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5445" windowWidth="19230" windowHeight="5490" activeTab="1"/>
  </bookViews>
  <sheets>
    <sheet name="Instructions" sheetId="9" r:id="rId1"/>
    <sheet name="Report" sheetId="7" r:id="rId2"/>
    <sheet name="Funds" sheetId="14" r:id="rId3"/>
    <sheet name="Accounts" sheetId="10" r:id="rId4"/>
    <sheet name="Entries" sheetId="13" r:id="rId5"/>
    <sheet name="Aid Adjust" sheetId="5" r:id="rId6"/>
    <sheet name="Shift11" sheetId="2" r:id="rId7"/>
    <sheet name="Data" sheetId="1" r:id="rId8"/>
    <sheet name="Shift10" sheetId="4" r:id="rId9"/>
    <sheet name="Levy" sheetId="11" r:id="rId10"/>
    <sheet name="Credits" sheetId="19" r:id="rId11"/>
    <sheet name="Receipts" sheetId="12" r:id="rId12"/>
    <sheet name="Ideas" sheetId="8" r:id="rId13"/>
    <sheet name="Query1" sheetId="15" r:id="rId14"/>
    <sheet name="Query4" sheetId="16" r:id="rId15"/>
  </sheets>
  <definedNames>
    <definedName name="Aid">'Aid Adjust'!$A$10:$H$346</definedName>
    <definedName name="Ideas" localSheetId="10">Credits!$A$8:$C$344</definedName>
    <definedName name="Ideas" localSheetId="9">Levy!$A$8:$C$344</definedName>
    <definedName name="Ideas">Ideas!$A$9:$H$345</definedName>
    <definedName name="_xlnm.Print_Area" localSheetId="10">Credits!$A$1:$E$344</definedName>
    <definedName name="_xlnm.Print_Area" localSheetId="0">Instructions!$A$1:$M$77</definedName>
    <definedName name="_xlnm.Print_Area" localSheetId="9">Levy!$A$1:$V$344</definedName>
    <definedName name="_xlnm.Print_Titles" localSheetId="3">Accounts!$1:$9</definedName>
    <definedName name="_xlnm.Print_Titles" localSheetId="5">'Aid Adjust'!$1:$9</definedName>
    <definedName name="_xlnm.Print_Titles" localSheetId="10">Credits!$1:$7</definedName>
    <definedName name="_xlnm.Print_Titles" localSheetId="7">Data!$A:$C,Data!$1:$7</definedName>
    <definedName name="_xlnm.Print_Titles" localSheetId="4">Entries!$1:$3</definedName>
    <definedName name="_xlnm.Print_Titles" localSheetId="12">Ideas!$1:$8</definedName>
    <definedName name="_xlnm.Print_Titles" localSheetId="9">Levy!$1:$7</definedName>
    <definedName name="_xlnm.Print_Titles" localSheetId="13">Query1!$1:$3</definedName>
    <definedName name="_xlnm.Print_Titles" localSheetId="14">Query4!$1:$3</definedName>
    <definedName name="_xlnm.Print_Titles" localSheetId="11">Receipts!$1:$7</definedName>
    <definedName name="_xlnm.Print_Titles" localSheetId="8">Shift10!$1:$7</definedName>
    <definedName name="_xlnm.Print_Titles" localSheetId="6">Shift11!$1:$6</definedName>
    <definedName name="Query_from_Databridge" localSheetId="13">Query1!$A$3:$F$146</definedName>
    <definedName name="Query_from_Databridge" localSheetId="14">Query4!$A$3:$F$138</definedName>
    <definedName name="Shift05" localSheetId="11">Receipts!$A$8:$K$344</definedName>
    <definedName name="ShiftCY">Shift11!$A$8:$O$344</definedName>
    <definedName name="ShiftPY">Shift10!$A$8:$O$344</definedName>
  </definedNames>
  <calcPr calcId="145621" fullCalcOnLoad="1"/>
</workbook>
</file>

<file path=xl/calcChain.xml><?xml version="1.0" encoding="utf-8"?>
<calcChain xmlns="http://schemas.openxmlformats.org/spreadsheetml/2006/main">
  <c r="J53" i="10" l="1"/>
  <c r="J114" i="10"/>
  <c r="M114" i="10"/>
  <c r="G9" i="8"/>
  <c r="A10" i="9"/>
  <c r="C35" i="7"/>
  <c r="C36" i="7"/>
  <c r="H23" i="7"/>
  <c r="H18" i="7"/>
  <c r="E76" i="7"/>
  <c r="F78" i="7"/>
  <c r="O11" i="11"/>
  <c r="C34" i="7"/>
  <c r="C33" i="7"/>
  <c r="B60" i="9"/>
  <c r="B57" i="9"/>
  <c r="B53" i="9"/>
  <c r="B49" i="9"/>
  <c r="C39" i="9"/>
  <c r="C38" i="9"/>
  <c r="A15" i="9"/>
  <c r="A13" i="9"/>
  <c r="A5" i="9"/>
  <c r="G322" i="8"/>
  <c r="O8" i="4"/>
  <c r="O6" i="19"/>
  <c r="X9" i="11"/>
  <c r="X10" i="11"/>
  <c r="X11" i="11"/>
  <c r="X12" i="11"/>
  <c r="X13" i="11"/>
  <c r="X14" i="11"/>
  <c r="X15" i="11"/>
  <c r="X16" i="11"/>
  <c r="X17" i="11"/>
  <c r="X18" i="11"/>
  <c r="X19" i="11"/>
  <c r="X20" i="11"/>
  <c r="X21" i="1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X72" i="11"/>
  <c r="X73" i="11"/>
  <c r="X74" i="11"/>
  <c r="X75" i="11"/>
  <c r="X76" i="11"/>
  <c r="X77" i="11"/>
  <c r="X78" i="11"/>
  <c r="X79" i="11"/>
  <c r="X80" i="11"/>
  <c r="X81" i="11"/>
  <c r="X82" i="11"/>
  <c r="X83" i="11"/>
  <c r="X84" i="11"/>
  <c r="X85" i="11"/>
  <c r="X86" i="11"/>
  <c r="X87" i="11"/>
  <c r="X88" i="11"/>
  <c r="X89" i="11"/>
  <c r="X90" i="11"/>
  <c r="X91" i="11"/>
  <c r="X92" i="11"/>
  <c r="X93" i="11"/>
  <c r="X94" i="11"/>
  <c r="X95" i="11"/>
  <c r="X96" i="11"/>
  <c r="X97" i="11"/>
  <c r="X98" i="11"/>
  <c r="X99" i="11"/>
  <c r="X100" i="11"/>
  <c r="X101" i="11"/>
  <c r="X102" i="11"/>
  <c r="X103" i="11"/>
  <c r="X104" i="11"/>
  <c r="X105" i="11"/>
  <c r="X106" i="11"/>
  <c r="X107" i="11"/>
  <c r="X108" i="11"/>
  <c r="X109" i="11"/>
  <c r="X110" i="11"/>
  <c r="X111" i="11"/>
  <c r="X112" i="11"/>
  <c r="X113" i="11"/>
  <c r="X114" i="11"/>
  <c r="X115" i="11"/>
  <c r="X116" i="11"/>
  <c r="X117" i="11"/>
  <c r="X118" i="11"/>
  <c r="X119" i="11"/>
  <c r="X120" i="11"/>
  <c r="X121" i="11"/>
  <c r="X122" i="11"/>
  <c r="X123" i="11"/>
  <c r="X124" i="11"/>
  <c r="X125" i="11"/>
  <c r="X126" i="11"/>
  <c r="X127" i="11"/>
  <c r="X128" i="11"/>
  <c r="X129" i="11"/>
  <c r="X130" i="11"/>
  <c r="X131" i="11"/>
  <c r="X132" i="11"/>
  <c r="X133" i="11"/>
  <c r="X134" i="11"/>
  <c r="X135" i="11"/>
  <c r="X136" i="11"/>
  <c r="X137" i="11"/>
  <c r="X138" i="11"/>
  <c r="X139" i="11"/>
  <c r="X140" i="11"/>
  <c r="X141" i="11"/>
  <c r="X142" i="11"/>
  <c r="X143" i="11"/>
  <c r="X144" i="11"/>
  <c r="X145" i="11"/>
  <c r="X146" i="11"/>
  <c r="X147" i="11"/>
  <c r="X148" i="11"/>
  <c r="X149" i="11"/>
  <c r="X150" i="11"/>
  <c r="X151" i="11"/>
  <c r="X152" i="11"/>
  <c r="X153" i="11"/>
  <c r="X154" i="11"/>
  <c r="X155" i="11"/>
  <c r="X156" i="11"/>
  <c r="X157" i="11"/>
  <c r="X158" i="11"/>
  <c r="X159" i="11"/>
  <c r="X160" i="11"/>
  <c r="X161" i="11"/>
  <c r="X162" i="11"/>
  <c r="X163" i="11"/>
  <c r="X164" i="11"/>
  <c r="X165" i="11"/>
  <c r="X166" i="11"/>
  <c r="X167" i="11"/>
  <c r="X168" i="11"/>
  <c r="X169" i="11"/>
  <c r="X170" i="11"/>
  <c r="X171" i="11"/>
  <c r="X172" i="11"/>
  <c r="X173" i="11"/>
  <c r="X174" i="11"/>
  <c r="X175" i="11"/>
  <c r="X176" i="11"/>
  <c r="X177" i="11"/>
  <c r="X178" i="11"/>
  <c r="X179" i="11"/>
  <c r="X180" i="11"/>
  <c r="X181" i="11"/>
  <c r="X182" i="11"/>
  <c r="X183" i="11"/>
  <c r="X184" i="11"/>
  <c r="X185" i="11"/>
  <c r="X186" i="11"/>
  <c r="X187" i="11"/>
  <c r="X188" i="11"/>
  <c r="X189" i="11"/>
  <c r="X190" i="11"/>
  <c r="X191" i="11"/>
  <c r="X192" i="11"/>
  <c r="X193" i="11"/>
  <c r="X194" i="11"/>
  <c r="X195" i="11"/>
  <c r="X196" i="11"/>
  <c r="X197" i="11"/>
  <c r="X198" i="11"/>
  <c r="X199" i="11"/>
  <c r="X200" i="11"/>
  <c r="X201" i="11"/>
  <c r="X202" i="11"/>
  <c r="X203" i="11"/>
  <c r="X204" i="11"/>
  <c r="X205" i="11"/>
  <c r="X206" i="11"/>
  <c r="X207" i="11"/>
  <c r="X208" i="11"/>
  <c r="X209" i="11"/>
  <c r="X210" i="11"/>
  <c r="X211" i="11"/>
  <c r="X212" i="11"/>
  <c r="X213" i="11"/>
  <c r="X214" i="11"/>
  <c r="X215" i="11"/>
  <c r="X216" i="11"/>
  <c r="X217" i="11"/>
  <c r="X218" i="11"/>
  <c r="X219" i="11"/>
  <c r="X220" i="11"/>
  <c r="X221" i="11"/>
  <c r="X222" i="11"/>
  <c r="X223" i="11"/>
  <c r="X224" i="11"/>
  <c r="X225" i="11"/>
  <c r="X226" i="11"/>
  <c r="X227" i="11"/>
  <c r="X228" i="11"/>
  <c r="X229" i="11"/>
  <c r="X230" i="11"/>
  <c r="X231" i="11"/>
  <c r="X232" i="11"/>
  <c r="X233" i="11"/>
  <c r="X234" i="11"/>
  <c r="X235" i="11"/>
  <c r="X236" i="11"/>
  <c r="X237" i="11"/>
  <c r="X238" i="11"/>
  <c r="X239" i="11"/>
  <c r="X240" i="11"/>
  <c r="X241" i="11"/>
  <c r="X242" i="11"/>
  <c r="X243" i="11"/>
  <c r="X244" i="11"/>
  <c r="X245" i="11"/>
  <c r="X246" i="11"/>
  <c r="X247" i="11"/>
  <c r="X248" i="11"/>
  <c r="X249" i="11"/>
  <c r="X250" i="11"/>
  <c r="X251" i="11"/>
  <c r="X252" i="11"/>
  <c r="X253" i="11"/>
  <c r="X254" i="11"/>
  <c r="X255" i="11"/>
  <c r="X256" i="11"/>
  <c r="X257" i="11"/>
  <c r="X258" i="11"/>
  <c r="X259" i="11"/>
  <c r="X260" i="11"/>
  <c r="X261" i="11"/>
  <c r="X262" i="11"/>
  <c r="X263" i="11"/>
  <c r="X264" i="11"/>
  <c r="X265" i="11"/>
  <c r="X266" i="11"/>
  <c r="X267" i="11"/>
  <c r="X268" i="11"/>
  <c r="X269" i="11"/>
  <c r="X270" i="11"/>
  <c r="X271" i="11"/>
  <c r="X272" i="11"/>
  <c r="X273" i="11"/>
  <c r="X274" i="11"/>
  <c r="X275" i="11"/>
  <c r="X276" i="11"/>
  <c r="X277" i="11"/>
  <c r="X278" i="11"/>
  <c r="X279" i="11"/>
  <c r="X280" i="11"/>
  <c r="X281" i="11"/>
  <c r="X282" i="11"/>
  <c r="X283" i="11"/>
  <c r="X284" i="11"/>
  <c r="X285" i="11"/>
  <c r="X286" i="11"/>
  <c r="X287" i="11"/>
  <c r="X288" i="11"/>
  <c r="X289" i="11"/>
  <c r="X290" i="11"/>
  <c r="X291" i="11"/>
  <c r="X292" i="11"/>
  <c r="X293" i="11"/>
  <c r="X294" i="11"/>
  <c r="X295" i="11"/>
  <c r="X296" i="11"/>
  <c r="X297" i="11"/>
  <c r="X298" i="11"/>
  <c r="X299" i="11"/>
  <c r="X300" i="11"/>
  <c r="X301" i="11"/>
  <c r="X302" i="11"/>
  <c r="X303" i="11"/>
  <c r="X304" i="11"/>
  <c r="X305" i="11"/>
  <c r="X306" i="11"/>
  <c r="X307" i="11"/>
  <c r="X308" i="11"/>
  <c r="X309" i="11"/>
  <c r="X310" i="11"/>
  <c r="X311" i="11"/>
  <c r="X312" i="11"/>
  <c r="X313" i="11"/>
  <c r="X314" i="11"/>
  <c r="X315" i="11"/>
  <c r="X316" i="11"/>
  <c r="X317" i="11"/>
  <c r="X318" i="11"/>
  <c r="X319" i="11"/>
  <c r="X320" i="11"/>
  <c r="X321" i="11"/>
  <c r="X322" i="11"/>
  <c r="X323" i="11"/>
  <c r="X324" i="11"/>
  <c r="X325" i="11"/>
  <c r="X326" i="11"/>
  <c r="X327" i="11"/>
  <c r="X328" i="11"/>
  <c r="X329" i="11"/>
  <c r="X330" i="11"/>
  <c r="X331" i="11"/>
  <c r="X332" i="11"/>
  <c r="X333" i="11"/>
  <c r="X334" i="11"/>
  <c r="X335" i="11"/>
  <c r="X336" i="11"/>
  <c r="X337" i="11"/>
  <c r="X338" i="11"/>
  <c r="X339" i="11"/>
  <c r="X340" i="11"/>
  <c r="X341" i="11"/>
  <c r="X342" i="11"/>
  <c r="X343" i="11"/>
  <c r="X344"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W56" i="11"/>
  <c r="W57" i="11"/>
  <c r="W58" i="11"/>
  <c r="W59" i="11"/>
  <c r="W60" i="11"/>
  <c r="W61" i="11"/>
  <c r="W62" i="11"/>
  <c r="W63" i="11"/>
  <c r="W64" i="11"/>
  <c r="W65" i="11"/>
  <c r="W66" i="11"/>
  <c r="W67" i="11"/>
  <c r="W68" i="11"/>
  <c r="W69" i="11"/>
  <c r="W70" i="11"/>
  <c r="W71" i="11"/>
  <c r="W72" i="11"/>
  <c r="W73" i="11"/>
  <c r="W74" i="11"/>
  <c r="W75" i="11"/>
  <c r="W76" i="11"/>
  <c r="W77" i="11"/>
  <c r="W78" i="11"/>
  <c r="W79" i="11"/>
  <c r="W80" i="11"/>
  <c r="W81" i="11"/>
  <c r="W82" i="11"/>
  <c r="W83" i="11"/>
  <c r="W84" i="11"/>
  <c r="W85" i="11"/>
  <c r="W86" i="11"/>
  <c r="W87" i="11"/>
  <c r="W88" i="11"/>
  <c r="W89" i="11"/>
  <c r="W90" i="11"/>
  <c r="W91" i="11"/>
  <c r="W92" i="11"/>
  <c r="W93" i="11"/>
  <c r="W94" i="11"/>
  <c r="W95" i="11"/>
  <c r="W96" i="11"/>
  <c r="W97" i="11"/>
  <c r="W98" i="11"/>
  <c r="W99" i="11"/>
  <c r="W100" i="11"/>
  <c r="W101" i="11"/>
  <c r="W102" i="11"/>
  <c r="W103" i="11"/>
  <c r="W104" i="11"/>
  <c r="W105" i="11"/>
  <c r="W106" i="11"/>
  <c r="W107" i="11"/>
  <c r="W108" i="11"/>
  <c r="W109" i="11"/>
  <c r="W110" i="11"/>
  <c r="W111" i="11"/>
  <c r="W112" i="11"/>
  <c r="W113" i="11"/>
  <c r="W114" i="11"/>
  <c r="W115" i="11"/>
  <c r="W116" i="11"/>
  <c r="W117" i="11"/>
  <c r="W118" i="11"/>
  <c r="W119" i="11"/>
  <c r="W120" i="11"/>
  <c r="W121" i="11"/>
  <c r="W122" i="11"/>
  <c r="W123" i="11"/>
  <c r="W124" i="11"/>
  <c r="W125" i="11"/>
  <c r="W126" i="11"/>
  <c r="W127" i="11"/>
  <c r="W128" i="11"/>
  <c r="W129" i="11"/>
  <c r="W130" i="11"/>
  <c r="W131" i="11"/>
  <c r="W132" i="11"/>
  <c r="W133" i="11"/>
  <c r="W134" i="11"/>
  <c r="W135" i="11"/>
  <c r="W136" i="11"/>
  <c r="W137" i="11"/>
  <c r="W138" i="11"/>
  <c r="W139" i="11"/>
  <c r="W140" i="11"/>
  <c r="W141" i="11"/>
  <c r="W142" i="11"/>
  <c r="W143" i="11"/>
  <c r="W144" i="11"/>
  <c r="W145" i="11"/>
  <c r="W146" i="11"/>
  <c r="W147" i="11"/>
  <c r="W148" i="11"/>
  <c r="W149" i="11"/>
  <c r="W150" i="11"/>
  <c r="W151" i="11"/>
  <c r="W152" i="11"/>
  <c r="W153" i="11"/>
  <c r="W154" i="11"/>
  <c r="W155" i="11"/>
  <c r="W156" i="11"/>
  <c r="W157" i="11"/>
  <c r="W158" i="11"/>
  <c r="W159" i="11"/>
  <c r="W160" i="11"/>
  <c r="W161" i="11"/>
  <c r="W162" i="11"/>
  <c r="W163" i="11"/>
  <c r="W164" i="11"/>
  <c r="W165" i="11"/>
  <c r="W166" i="11"/>
  <c r="W167" i="11"/>
  <c r="W168" i="11"/>
  <c r="W169" i="11"/>
  <c r="W170" i="11"/>
  <c r="W171" i="11"/>
  <c r="W172" i="11"/>
  <c r="W173" i="11"/>
  <c r="W174" i="11"/>
  <c r="W175" i="11"/>
  <c r="W176" i="11"/>
  <c r="W177" i="11"/>
  <c r="W178" i="11"/>
  <c r="W179" i="11"/>
  <c r="W180" i="11"/>
  <c r="W181" i="11"/>
  <c r="W182" i="11"/>
  <c r="W183" i="11"/>
  <c r="W184" i="11"/>
  <c r="W185" i="11"/>
  <c r="W186" i="11"/>
  <c r="W187" i="11"/>
  <c r="W188" i="11"/>
  <c r="W189" i="11"/>
  <c r="W190" i="11"/>
  <c r="W191" i="11"/>
  <c r="W192" i="11"/>
  <c r="W193" i="11"/>
  <c r="W194" i="11"/>
  <c r="W195" i="11"/>
  <c r="W196" i="11"/>
  <c r="W197" i="11"/>
  <c r="W198" i="11"/>
  <c r="W199" i="11"/>
  <c r="W200" i="11"/>
  <c r="W201" i="11"/>
  <c r="W202" i="11"/>
  <c r="W203" i="11"/>
  <c r="W204" i="11"/>
  <c r="W205" i="11"/>
  <c r="W206" i="11"/>
  <c r="W207" i="11"/>
  <c r="W208" i="11"/>
  <c r="W209" i="11"/>
  <c r="W210" i="11"/>
  <c r="W211" i="11"/>
  <c r="W212" i="11"/>
  <c r="W213" i="11"/>
  <c r="W214" i="11"/>
  <c r="W215" i="11"/>
  <c r="W216" i="11"/>
  <c r="W217" i="11"/>
  <c r="W218" i="11"/>
  <c r="W219" i="11"/>
  <c r="W220" i="11"/>
  <c r="W221" i="11"/>
  <c r="W222" i="11"/>
  <c r="W223" i="11"/>
  <c r="W224" i="11"/>
  <c r="W225" i="11"/>
  <c r="W226" i="11"/>
  <c r="W227" i="11"/>
  <c r="W228" i="11"/>
  <c r="W229" i="11"/>
  <c r="W230" i="11"/>
  <c r="W231" i="11"/>
  <c r="W232" i="11"/>
  <c r="W233" i="11"/>
  <c r="W234" i="11"/>
  <c r="W235" i="11"/>
  <c r="W236" i="11"/>
  <c r="W237" i="11"/>
  <c r="W238" i="11"/>
  <c r="W239" i="11"/>
  <c r="W240" i="11"/>
  <c r="W241" i="11"/>
  <c r="W242" i="11"/>
  <c r="W243" i="11"/>
  <c r="W244" i="11"/>
  <c r="W245" i="11"/>
  <c r="W246" i="11"/>
  <c r="W247" i="11"/>
  <c r="W248" i="11"/>
  <c r="W249" i="11"/>
  <c r="W250" i="11"/>
  <c r="W251" i="11"/>
  <c r="W252" i="11"/>
  <c r="W253" i="11"/>
  <c r="W254" i="11"/>
  <c r="W255" i="11"/>
  <c r="W256" i="11"/>
  <c r="W257" i="11"/>
  <c r="W258" i="11"/>
  <c r="W259" i="11"/>
  <c r="W260" i="11"/>
  <c r="W261" i="11"/>
  <c r="W262" i="11"/>
  <c r="W263" i="11"/>
  <c r="W264" i="11"/>
  <c r="W265" i="11"/>
  <c r="W266" i="11"/>
  <c r="W267" i="11"/>
  <c r="W268" i="11"/>
  <c r="W269" i="11"/>
  <c r="W270" i="11"/>
  <c r="W271" i="11"/>
  <c r="W272" i="11"/>
  <c r="W273" i="11"/>
  <c r="W274" i="11"/>
  <c r="W275" i="11"/>
  <c r="W276" i="11"/>
  <c r="W277" i="11"/>
  <c r="W278" i="11"/>
  <c r="W279" i="11"/>
  <c r="W280" i="11"/>
  <c r="W281" i="11"/>
  <c r="W282" i="11"/>
  <c r="W283" i="11"/>
  <c r="W284" i="11"/>
  <c r="W285" i="11"/>
  <c r="W286" i="11"/>
  <c r="W287" i="11"/>
  <c r="W288" i="11"/>
  <c r="W289" i="11"/>
  <c r="W290" i="11"/>
  <c r="W291" i="11"/>
  <c r="W292" i="11"/>
  <c r="W293" i="11"/>
  <c r="W294" i="11"/>
  <c r="W295" i="11"/>
  <c r="W296" i="11"/>
  <c r="W297" i="11"/>
  <c r="W298" i="11"/>
  <c r="W299" i="11"/>
  <c r="W300" i="11"/>
  <c r="W301" i="11"/>
  <c r="W302" i="11"/>
  <c r="W303" i="11"/>
  <c r="W304" i="11"/>
  <c r="W305" i="11"/>
  <c r="W306" i="11"/>
  <c r="W307" i="11"/>
  <c r="W308" i="11"/>
  <c r="W309" i="11"/>
  <c r="W310" i="11"/>
  <c r="W311" i="11"/>
  <c r="W312" i="11"/>
  <c r="W313" i="11"/>
  <c r="W314" i="11"/>
  <c r="W315" i="11"/>
  <c r="W316" i="11"/>
  <c r="W317" i="11"/>
  <c r="W318" i="11"/>
  <c r="W319" i="11"/>
  <c r="W320" i="11"/>
  <c r="W321" i="11"/>
  <c r="W322" i="11"/>
  <c r="W323" i="11"/>
  <c r="W324" i="11"/>
  <c r="W325" i="11"/>
  <c r="W326" i="11"/>
  <c r="W327" i="11"/>
  <c r="W328" i="11"/>
  <c r="W329" i="11"/>
  <c r="W330" i="11"/>
  <c r="W331" i="11"/>
  <c r="W332" i="11"/>
  <c r="W333" i="11"/>
  <c r="W334" i="11"/>
  <c r="W335" i="11"/>
  <c r="W336" i="11"/>
  <c r="W337" i="11"/>
  <c r="W338" i="11"/>
  <c r="W339" i="11"/>
  <c r="W340" i="11"/>
  <c r="W341" i="11"/>
  <c r="W342" i="11"/>
  <c r="W343" i="11"/>
  <c r="W344"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100" i="11"/>
  <c r="V101" i="11"/>
  <c r="V102" i="11"/>
  <c r="V103" i="11"/>
  <c r="V104" i="11"/>
  <c r="V105" i="11"/>
  <c r="V106" i="11"/>
  <c r="V107" i="11"/>
  <c r="V108" i="11"/>
  <c r="V109" i="11"/>
  <c r="V110" i="11"/>
  <c r="V111" i="11"/>
  <c r="V112" i="11"/>
  <c r="V113" i="11"/>
  <c r="V114" i="11"/>
  <c r="V115" i="11"/>
  <c r="V116" i="11"/>
  <c r="V117" i="11"/>
  <c r="V118" i="11"/>
  <c r="V119" i="11"/>
  <c r="V120" i="11"/>
  <c r="V121" i="11"/>
  <c r="V122" i="11"/>
  <c r="V123" i="11"/>
  <c r="V124" i="11"/>
  <c r="V125" i="11"/>
  <c r="V126" i="11"/>
  <c r="V127" i="11"/>
  <c r="V128" i="11"/>
  <c r="V129" i="11"/>
  <c r="V130" i="11"/>
  <c r="V131" i="11"/>
  <c r="V132" i="11"/>
  <c r="V133" i="11"/>
  <c r="V134" i="11"/>
  <c r="V135" i="11"/>
  <c r="V136" i="11"/>
  <c r="V137" i="11"/>
  <c r="V138" i="11"/>
  <c r="V139" i="11"/>
  <c r="V140" i="11"/>
  <c r="V141" i="11"/>
  <c r="V142" i="11"/>
  <c r="V143" i="11"/>
  <c r="V144" i="11"/>
  <c r="V145" i="11"/>
  <c r="V146" i="11"/>
  <c r="V147" i="11"/>
  <c r="V148" i="11"/>
  <c r="V149" i="11"/>
  <c r="V150" i="11"/>
  <c r="V151" i="11"/>
  <c r="V152" i="11"/>
  <c r="V153" i="11"/>
  <c r="V154" i="11"/>
  <c r="V155" i="11"/>
  <c r="V156" i="11"/>
  <c r="V157" i="11"/>
  <c r="V158" i="11"/>
  <c r="V159" i="11"/>
  <c r="V160" i="11"/>
  <c r="V161" i="11"/>
  <c r="V162" i="11"/>
  <c r="V163" i="11"/>
  <c r="V164" i="11"/>
  <c r="V165" i="11"/>
  <c r="V166" i="11"/>
  <c r="V167" i="11"/>
  <c r="V168" i="11"/>
  <c r="V169" i="11"/>
  <c r="V170" i="11"/>
  <c r="V171" i="11"/>
  <c r="V172" i="11"/>
  <c r="V173" i="11"/>
  <c r="V174" i="11"/>
  <c r="V175" i="11"/>
  <c r="V176" i="11"/>
  <c r="V177" i="11"/>
  <c r="V178" i="11"/>
  <c r="V179" i="11"/>
  <c r="V180" i="11"/>
  <c r="V181" i="11"/>
  <c r="V182" i="11"/>
  <c r="V183" i="11"/>
  <c r="V184" i="11"/>
  <c r="V185" i="11"/>
  <c r="V186" i="11"/>
  <c r="V187" i="11"/>
  <c r="V188" i="11"/>
  <c r="V189" i="11"/>
  <c r="V190" i="11"/>
  <c r="V191" i="11"/>
  <c r="V192" i="11"/>
  <c r="V193" i="11"/>
  <c r="V194" i="11"/>
  <c r="V195" i="11"/>
  <c r="V196" i="11"/>
  <c r="V197" i="11"/>
  <c r="V198" i="11"/>
  <c r="V199" i="11"/>
  <c r="V200" i="11"/>
  <c r="V201" i="11"/>
  <c r="V202" i="11"/>
  <c r="V203" i="11"/>
  <c r="V204" i="11"/>
  <c r="V205" i="11"/>
  <c r="V206" i="11"/>
  <c r="V207" i="11"/>
  <c r="V208" i="11"/>
  <c r="V209" i="11"/>
  <c r="V210" i="11"/>
  <c r="V211" i="11"/>
  <c r="V212" i="11"/>
  <c r="V213" i="11"/>
  <c r="V214" i="11"/>
  <c r="V215" i="11"/>
  <c r="V216" i="11"/>
  <c r="V217" i="11"/>
  <c r="V218" i="11"/>
  <c r="V219" i="11"/>
  <c r="V220" i="11"/>
  <c r="V221" i="11"/>
  <c r="V222" i="11"/>
  <c r="V223" i="11"/>
  <c r="V224" i="11"/>
  <c r="V225" i="11"/>
  <c r="V226" i="11"/>
  <c r="V227" i="11"/>
  <c r="V228" i="11"/>
  <c r="V229" i="11"/>
  <c r="V230" i="11"/>
  <c r="V231" i="11"/>
  <c r="V232" i="11"/>
  <c r="V233" i="11"/>
  <c r="V234" i="11"/>
  <c r="V235" i="11"/>
  <c r="V236" i="11"/>
  <c r="V237" i="11"/>
  <c r="V238" i="11"/>
  <c r="V239" i="11"/>
  <c r="V240" i="11"/>
  <c r="V241" i="11"/>
  <c r="V242" i="11"/>
  <c r="V243" i="11"/>
  <c r="V244" i="11"/>
  <c r="V245" i="11"/>
  <c r="V246" i="11"/>
  <c r="V247" i="11"/>
  <c r="V248" i="11"/>
  <c r="V249" i="11"/>
  <c r="V250" i="11"/>
  <c r="V251" i="11"/>
  <c r="V252" i="11"/>
  <c r="V253" i="11"/>
  <c r="V254" i="11"/>
  <c r="V255" i="11"/>
  <c r="V256" i="11"/>
  <c r="V257" i="11"/>
  <c r="V258" i="11"/>
  <c r="V259" i="11"/>
  <c r="V260" i="11"/>
  <c r="V261" i="11"/>
  <c r="V262" i="11"/>
  <c r="V263" i="11"/>
  <c r="V264" i="11"/>
  <c r="V265" i="11"/>
  <c r="V266" i="11"/>
  <c r="V267" i="11"/>
  <c r="V268" i="11"/>
  <c r="V269" i="11"/>
  <c r="V270" i="11"/>
  <c r="V271" i="11"/>
  <c r="V272" i="11"/>
  <c r="V273" i="11"/>
  <c r="V274" i="11"/>
  <c r="V275" i="11"/>
  <c r="V276" i="11"/>
  <c r="V277" i="11"/>
  <c r="V278" i="11"/>
  <c r="V279" i="11"/>
  <c r="V280" i="11"/>
  <c r="V281" i="11"/>
  <c r="V282" i="11"/>
  <c r="V283" i="11"/>
  <c r="V284" i="11"/>
  <c r="V285" i="11"/>
  <c r="V286" i="11"/>
  <c r="V287" i="11"/>
  <c r="V288" i="11"/>
  <c r="V289" i="11"/>
  <c r="V290" i="11"/>
  <c r="V291" i="11"/>
  <c r="V292" i="11"/>
  <c r="V293" i="11"/>
  <c r="V294" i="11"/>
  <c r="V295" i="11"/>
  <c r="V296" i="11"/>
  <c r="V297" i="11"/>
  <c r="V298" i="11"/>
  <c r="V299" i="11"/>
  <c r="V300" i="11"/>
  <c r="V301" i="11"/>
  <c r="V302" i="11"/>
  <c r="V303" i="11"/>
  <c r="V304" i="11"/>
  <c r="V305" i="11"/>
  <c r="V306" i="11"/>
  <c r="V307" i="11"/>
  <c r="V308" i="11"/>
  <c r="V309" i="11"/>
  <c r="V310" i="11"/>
  <c r="V311" i="11"/>
  <c r="V312" i="11"/>
  <c r="V313" i="11"/>
  <c r="V314" i="11"/>
  <c r="V315" i="11"/>
  <c r="V316" i="11"/>
  <c r="V317" i="11"/>
  <c r="V318" i="11"/>
  <c r="V319" i="11"/>
  <c r="V320" i="11"/>
  <c r="V321" i="11"/>
  <c r="V322" i="11"/>
  <c r="V323" i="11"/>
  <c r="V324" i="11"/>
  <c r="V325" i="11"/>
  <c r="V326" i="11"/>
  <c r="V327" i="11"/>
  <c r="V328" i="11"/>
  <c r="V329" i="11"/>
  <c r="V330" i="11"/>
  <c r="V331" i="11"/>
  <c r="V332" i="11"/>
  <c r="V333" i="11"/>
  <c r="V334" i="11"/>
  <c r="V335" i="11"/>
  <c r="V336" i="11"/>
  <c r="V337" i="11"/>
  <c r="V338" i="11"/>
  <c r="V339" i="11"/>
  <c r="V340" i="11"/>
  <c r="V341" i="11"/>
  <c r="V342" i="11"/>
  <c r="V343" i="11"/>
  <c r="V344"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U54" i="11"/>
  <c r="U55" i="11"/>
  <c r="U56" i="11"/>
  <c r="U57" i="11"/>
  <c r="U58" i="11"/>
  <c r="U59" i="11"/>
  <c r="U60" i="11"/>
  <c r="U61" i="11"/>
  <c r="U62" i="11"/>
  <c r="U63" i="11"/>
  <c r="U64" i="11"/>
  <c r="U65" i="11"/>
  <c r="U66" i="11"/>
  <c r="U67" i="11"/>
  <c r="U68" i="11"/>
  <c r="U69" i="11"/>
  <c r="U70" i="11"/>
  <c r="U71" i="11"/>
  <c r="U72" i="11"/>
  <c r="U73" i="11"/>
  <c r="U74" i="11"/>
  <c r="U75" i="11"/>
  <c r="U76" i="11"/>
  <c r="U77" i="11"/>
  <c r="U78" i="11"/>
  <c r="U79" i="11"/>
  <c r="U80" i="11"/>
  <c r="U81" i="11"/>
  <c r="U82" i="11"/>
  <c r="U83" i="11"/>
  <c r="U84" i="11"/>
  <c r="U85" i="11"/>
  <c r="U86" i="11"/>
  <c r="U87" i="11"/>
  <c r="U88" i="11"/>
  <c r="U89" i="11"/>
  <c r="U90" i="11"/>
  <c r="U91" i="11"/>
  <c r="U92" i="11"/>
  <c r="U93" i="11"/>
  <c r="U94" i="11"/>
  <c r="U95" i="11"/>
  <c r="U96" i="11"/>
  <c r="U97" i="11"/>
  <c r="U98" i="11"/>
  <c r="U99" i="11"/>
  <c r="U100" i="11"/>
  <c r="U101" i="11"/>
  <c r="U102" i="11"/>
  <c r="U103" i="11"/>
  <c r="U104" i="11"/>
  <c r="U105" i="11"/>
  <c r="U106" i="11"/>
  <c r="U107" i="11"/>
  <c r="U108" i="11"/>
  <c r="U109" i="11"/>
  <c r="U110" i="11"/>
  <c r="U111" i="11"/>
  <c r="U112" i="11"/>
  <c r="U113" i="11"/>
  <c r="U114" i="11"/>
  <c r="U115" i="11"/>
  <c r="U116" i="11"/>
  <c r="U117" i="11"/>
  <c r="U118" i="11"/>
  <c r="U119" i="11"/>
  <c r="U120" i="11"/>
  <c r="Y120" i="11"/>
  <c r="U121" i="11"/>
  <c r="U122" i="11"/>
  <c r="U123" i="11"/>
  <c r="U124" i="11"/>
  <c r="U125" i="11"/>
  <c r="U126" i="11"/>
  <c r="U127" i="11"/>
  <c r="U128" i="11"/>
  <c r="U129" i="11"/>
  <c r="U130" i="11"/>
  <c r="U131" i="11"/>
  <c r="U132" i="11"/>
  <c r="U133" i="11"/>
  <c r="U134" i="11"/>
  <c r="U135" i="11"/>
  <c r="U136" i="11"/>
  <c r="Y136" i="11"/>
  <c r="U137" i="11"/>
  <c r="U138" i="11"/>
  <c r="U139" i="11"/>
  <c r="U140" i="11"/>
  <c r="U141" i="11"/>
  <c r="U142" i="11"/>
  <c r="U143" i="11"/>
  <c r="U144" i="11"/>
  <c r="U145" i="11"/>
  <c r="U146" i="11"/>
  <c r="U147" i="11"/>
  <c r="U148" i="11"/>
  <c r="U149" i="11"/>
  <c r="U150" i="11"/>
  <c r="U151" i="11"/>
  <c r="U152" i="11"/>
  <c r="Y152" i="11"/>
  <c r="U153" i="11"/>
  <c r="U154" i="11"/>
  <c r="U155" i="11"/>
  <c r="U156" i="11"/>
  <c r="U157" i="11"/>
  <c r="U158" i="11"/>
  <c r="U159" i="11"/>
  <c r="U160" i="11"/>
  <c r="U161" i="11"/>
  <c r="U162" i="11"/>
  <c r="U163" i="11"/>
  <c r="U164" i="11"/>
  <c r="U165" i="11"/>
  <c r="U166" i="11"/>
  <c r="U167" i="11"/>
  <c r="U168" i="11"/>
  <c r="Y168" i="11"/>
  <c r="U169" i="11"/>
  <c r="U170" i="11"/>
  <c r="U171" i="11"/>
  <c r="U172" i="11"/>
  <c r="U173" i="11"/>
  <c r="U174" i="11"/>
  <c r="U175" i="11"/>
  <c r="U176" i="11"/>
  <c r="U177" i="11"/>
  <c r="U178" i="11"/>
  <c r="U179" i="11"/>
  <c r="U180" i="11"/>
  <c r="U181" i="11"/>
  <c r="U182" i="11"/>
  <c r="U183" i="11"/>
  <c r="U184" i="11"/>
  <c r="U185" i="11"/>
  <c r="U186" i="11"/>
  <c r="U187" i="11"/>
  <c r="U188" i="11"/>
  <c r="U189" i="11"/>
  <c r="U190" i="11"/>
  <c r="U191" i="11"/>
  <c r="U192" i="11"/>
  <c r="U193" i="11"/>
  <c r="U194" i="11"/>
  <c r="U195" i="11"/>
  <c r="U196" i="11"/>
  <c r="U197" i="11"/>
  <c r="U198" i="11"/>
  <c r="U199" i="11"/>
  <c r="U200" i="11"/>
  <c r="U201" i="11"/>
  <c r="U202" i="11"/>
  <c r="U203" i="11"/>
  <c r="U204" i="11"/>
  <c r="U205" i="11"/>
  <c r="U206" i="11"/>
  <c r="U207" i="11"/>
  <c r="U208" i="11"/>
  <c r="U209" i="11"/>
  <c r="U210" i="11"/>
  <c r="U211" i="11"/>
  <c r="U212" i="11"/>
  <c r="U213" i="11"/>
  <c r="U214" i="11"/>
  <c r="U215" i="11"/>
  <c r="U216" i="11"/>
  <c r="U217" i="11"/>
  <c r="U218" i="11"/>
  <c r="U219" i="11"/>
  <c r="U220" i="11"/>
  <c r="U221" i="11"/>
  <c r="U222" i="11"/>
  <c r="U223" i="11"/>
  <c r="U224" i="11"/>
  <c r="U225" i="11"/>
  <c r="U226" i="11"/>
  <c r="U227" i="11"/>
  <c r="U228" i="11"/>
  <c r="U229" i="11"/>
  <c r="U230" i="11"/>
  <c r="U231" i="11"/>
  <c r="U232" i="11"/>
  <c r="U233" i="11"/>
  <c r="P233" i="12"/>
  <c r="U234" i="11"/>
  <c r="U235" i="11"/>
  <c r="U236" i="11"/>
  <c r="U237" i="11"/>
  <c r="U238" i="11"/>
  <c r="U239" i="11"/>
  <c r="U240" i="11"/>
  <c r="U241" i="11"/>
  <c r="U242" i="11"/>
  <c r="U243" i="11"/>
  <c r="P243" i="12"/>
  <c r="U244" i="11"/>
  <c r="U245" i="11"/>
  <c r="U246" i="11"/>
  <c r="U247" i="11"/>
  <c r="U248" i="11"/>
  <c r="U249" i="11"/>
  <c r="P249" i="12"/>
  <c r="U250" i="11"/>
  <c r="U251" i="11"/>
  <c r="U252" i="11"/>
  <c r="U253" i="11"/>
  <c r="U254" i="11"/>
  <c r="U255" i="11"/>
  <c r="P255" i="12"/>
  <c r="U256" i="11"/>
  <c r="U257" i="11"/>
  <c r="U258" i="11"/>
  <c r="U259" i="11"/>
  <c r="U260" i="11"/>
  <c r="U261" i="11"/>
  <c r="U262" i="11"/>
  <c r="U263" i="11"/>
  <c r="U264" i="11"/>
  <c r="U265" i="11"/>
  <c r="U266" i="11"/>
  <c r="U267" i="11"/>
  <c r="P267" i="12"/>
  <c r="U268" i="11"/>
  <c r="U269" i="11"/>
  <c r="U270" i="11"/>
  <c r="U271" i="11"/>
  <c r="U272" i="11"/>
  <c r="U273" i="11"/>
  <c r="U274" i="11"/>
  <c r="U275" i="11"/>
  <c r="U276" i="11"/>
  <c r="U277" i="11"/>
  <c r="U278" i="11"/>
  <c r="U279" i="11"/>
  <c r="U280" i="11"/>
  <c r="U281" i="11"/>
  <c r="P281" i="12"/>
  <c r="U282" i="11"/>
  <c r="U283" i="11"/>
  <c r="U284" i="11"/>
  <c r="U285" i="11"/>
  <c r="U286" i="11"/>
  <c r="U287" i="11"/>
  <c r="U288" i="11"/>
  <c r="U289" i="11"/>
  <c r="U290" i="11"/>
  <c r="U291" i="11"/>
  <c r="P291" i="12"/>
  <c r="U292" i="11"/>
  <c r="U293" i="11"/>
  <c r="U294" i="11"/>
  <c r="U295" i="11"/>
  <c r="U296" i="11"/>
  <c r="U297" i="11"/>
  <c r="U298" i="11"/>
  <c r="U299" i="11"/>
  <c r="U300" i="11"/>
  <c r="U301" i="11"/>
  <c r="P301" i="12"/>
  <c r="U302" i="11"/>
  <c r="U303" i="11"/>
  <c r="U304" i="11"/>
  <c r="U305" i="11"/>
  <c r="U306" i="11"/>
  <c r="U307" i="11"/>
  <c r="U308" i="11"/>
  <c r="U309" i="11"/>
  <c r="U310" i="11"/>
  <c r="U311" i="11"/>
  <c r="U312" i="11"/>
  <c r="U313" i="11"/>
  <c r="U314" i="11"/>
  <c r="U315" i="11"/>
  <c r="U316" i="11"/>
  <c r="U317" i="11"/>
  <c r="P317" i="12"/>
  <c r="U318" i="11"/>
  <c r="U319" i="11"/>
  <c r="U320" i="11"/>
  <c r="U321" i="11"/>
  <c r="U322" i="11"/>
  <c r="U323" i="11"/>
  <c r="U324" i="11"/>
  <c r="U325" i="11"/>
  <c r="U326" i="11"/>
  <c r="U327" i="11"/>
  <c r="Y327" i="11"/>
  <c r="U328" i="11"/>
  <c r="U329" i="11"/>
  <c r="U330" i="11"/>
  <c r="U331" i="11"/>
  <c r="P331" i="12"/>
  <c r="U332" i="11"/>
  <c r="U333" i="11"/>
  <c r="U334" i="11"/>
  <c r="U335" i="11"/>
  <c r="Y335" i="11"/>
  <c r="U336" i="11"/>
  <c r="U337" i="11"/>
  <c r="U338" i="11"/>
  <c r="U339" i="11"/>
  <c r="Y339" i="11"/>
  <c r="U340" i="11"/>
  <c r="U341" i="11"/>
  <c r="U342" i="11"/>
  <c r="U343" i="11"/>
  <c r="Y343" i="11"/>
  <c r="U344" i="11"/>
  <c r="X8" i="11"/>
  <c r="W8" i="11"/>
  <c r="V8" i="11"/>
  <c r="Y9" i="11"/>
  <c r="U8" i="11"/>
  <c r="P237" i="12"/>
  <c r="P247" i="12"/>
  <c r="P253" i="12"/>
  <c r="P265" i="12"/>
  <c r="P269" i="12"/>
  <c r="P285" i="12"/>
  <c r="P297" i="12"/>
  <c r="P307" i="12"/>
  <c r="P319" i="12"/>
  <c r="Y12" i="11"/>
  <c r="Y16" i="11"/>
  <c r="Y20" i="11"/>
  <c r="Y24" i="11"/>
  <c r="Y28" i="11"/>
  <c r="Y32" i="11"/>
  <c r="Y36" i="11"/>
  <c r="Y40" i="11"/>
  <c r="Y44" i="11"/>
  <c r="Y48" i="11"/>
  <c r="Y52" i="11"/>
  <c r="Y56" i="11"/>
  <c r="Y60" i="11"/>
  <c r="Y64" i="11"/>
  <c r="Y68" i="11"/>
  <c r="Y72" i="11"/>
  <c r="Y76" i="11"/>
  <c r="Y80" i="11"/>
  <c r="Y84" i="11"/>
  <c r="Y88" i="11"/>
  <c r="Y92" i="11"/>
  <c r="Y96" i="11"/>
  <c r="Y100" i="11"/>
  <c r="Y104" i="11"/>
  <c r="Y112" i="11"/>
  <c r="Y128" i="11"/>
  <c r="Y144" i="11"/>
  <c r="Y160" i="11"/>
  <c r="Y176" i="11"/>
  <c r="Y341" i="11"/>
  <c r="Y337" i="11"/>
  <c r="Y333" i="11"/>
  <c r="Y329" i="11"/>
  <c r="Y325" i="11"/>
  <c r="Y11" i="11"/>
  <c r="Y13" i="11"/>
  <c r="Y15" i="11"/>
  <c r="Y17" i="11"/>
  <c r="Y19" i="11"/>
  <c r="Y21" i="11"/>
  <c r="Y23" i="11"/>
  <c r="Y25" i="11"/>
  <c r="Y27" i="11"/>
  <c r="Y29" i="11"/>
  <c r="Y31" i="11"/>
  <c r="Y33" i="11"/>
  <c r="Y35" i="11"/>
  <c r="Y37" i="11"/>
  <c r="Y39" i="11"/>
  <c r="Y41" i="11"/>
  <c r="Y43" i="11"/>
  <c r="Y45" i="11"/>
  <c r="Y47" i="11"/>
  <c r="Y49" i="11"/>
  <c r="Y51" i="11"/>
  <c r="Y53" i="11"/>
  <c r="Y55" i="11"/>
  <c r="Y57" i="11"/>
  <c r="Y59" i="11"/>
  <c r="Y61" i="11"/>
  <c r="Y63" i="11"/>
  <c r="Y65" i="11"/>
  <c r="Y67" i="11"/>
  <c r="Y69" i="11"/>
  <c r="Y71" i="11"/>
  <c r="Y73" i="11"/>
  <c r="Y75" i="11"/>
  <c r="Y77" i="11"/>
  <c r="Y79" i="11"/>
  <c r="Y81" i="11"/>
  <c r="Y83" i="11"/>
  <c r="Y85" i="11"/>
  <c r="Y87" i="11"/>
  <c r="Y89" i="11"/>
  <c r="Y91" i="11"/>
  <c r="Y93" i="11"/>
  <c r="Y95" i="11"/>
  <c r="Y97" i="11"/>
  <c r="Y99" i="11"/>
  <c r="Y101" i="11"/>
  <c r="Y103" i="11"/>
  <c r="Y105" i="11"/>
  <c r="Y107" i="11"/>
  <c r="Y109" i="11"/>
  <c r="Y111" i="11"/>
  <c r="Y113" i="11"/>
  <c r="Y115" i="11"/>
  <c r="Y117" i="11"/>
  <c r="Y119" i="11"/>
  <c r="Y121" i="11"/>
  <c r="Y123" i="11"/>
  <c r="Y125" i="11"/>
  <c r="Y127" i="11"/>
  <c r="Y129" i="11"/>
  <c r="Y131" i="11"/>
  <c r="Y133" i="11"/>
  <c r="Y135" i="11"/>
  <c r="Y137" i="11"/>
  <c r="Y139" i="11"/>
  <c r="Y141" i="11"/>
  <c r="Y143" i="11"/>
  <c r="Y145" i="11"/>
  <c r="Y147" i="11"/>
  <c r="Y149" i="11"/>
  <c r="Y151" i="11"/>
  <c r="Y153" i="11"/>
  <c r="Y155" i="11"/>
  <c r="Y157" i="11"/>
  <c r="Y159" i="11"/>
  <c r="Y161" i="11"/>
  <c r="Y163" i="11"/>
  <c r="Y165" i="11"/>
  <c r="Y167" i="11"/>
  <c r="Y169" i="11"/>
  <c r="Y171" i="11"/>
  <c r="Y173" i="11"/>
  <c r="Y175" i="11"/>
  <c r="Y177" i="11"/>
  <c r="Y179" i="11"/>
  <c r="Y181" i="11"/>
  <c r="Y183" i="11"/>
  <c r="Y185" i="11"/>
  <c r="Y187" i="11"/>
  <c r="Y189" i="11"/>
  <c r="Y191" i="11"/>
  <c r="Y193" i="11"/>
  <c r="Y195" i="11"/>
  <c r="Y197" i="11"/>
  <c r="Y199" i="11"/>
  <c r="Y201" i="11"/>
  <c r="Y203" i="11"/>
  <c r="Y205" i="11"/>
  <c r="Y207" i="11"/>
  <c r="Y209" i="11"/>
  <c r="Y211" i="11"/>
  <c r="Y213" i="11"/>
  <c r="Y215" i="11"/>
  <c r="Y217" i="11"/>
  <c r="Y219" i="11"/>
  <c r="Y221" i="11"/>
  <c r="Y223" i="11"/>
  <c r="Y225" i="11"/>
  <c r="Y227" i="11"/>
  <c r="Y229" i="11"/>
  <c r="Y231" i="11"/>
  <c r="Y233" i="11"/>
  <c r="Y235" i="11"/>
  <c r="Y237" i="11"/>
  <c r="Y239" i="11"/>
  <c r="Y241" i="11"/>
  <c r="Y243" i="11"/>
  <c r="Y245" i="11"/>
  <c r="Y247" i="11"/>
  <c r="Y249" i="11"/>
  <c r="Y251" i="11"/>
  <c r="Y253" i="11"/>
  <c r="Y255" i="11"/>
  <c r="Y257" i="11"/>
  <c r="Y259" i="11"/>
  <c r="Y261" i="11"/>
  <c r="Y263" i="11"/>
  <c r="Y264" i="11"/>
  <c r="Y265" i="11"/>
  <c r="Y266" i="11"/>
  <c r="Y267" i="11"/>
  <c r="Y268" i="11"/>
  <c r="Y269" i="11"/>
  <c r="Y270" i="11"/>
  <c r="Y271" i="11"/>
  <c r="Y272" i="11"/>
  <c r="Y273" i="11"/>
  <c r="Y274" i="11"/>
  <c r="Y275" i="11"/>
  <c r="Y276" i="11"/>
  <c r="Y277" i="11"/>
  <c r="Y278" i="11"/>
  <c r="Y279" i="11"/>
  <c r="Y280" i="11"/>
  <c r="Y281" i="11"/>
  <c r="Y282" i="11"/>
  <c r="Y283" i="11"/>
  <c r="Y284" i="11"/>
  <c r="Y285" i="11"/>
  <c r="Y286" i="11"/>
  <c r="Y287" i="11"/>
  <c r="Y288" i="11"/>
  <c r="Y289" i="11"/>
  <c r="Y290" i="11"/>
  <c r="Y291" i="11"/>
  <c r="Y292" i="11"/>
  <c r="Y293" i="11"/>
  <c r="Y294" i="11"/>
  <c r="Y295" i="11"/>
  <c r="Y296" i="11"/>
  <c r="Y297" i="11"/>
  <c r="Y298" i="11"/>
  <c r="Y299" i="11"/>
  <c r="Y300" i="11"/>
  <c r="Y301" i="11"/>
  <c r="Y302" i="11"/>
  <c r="Y303" i="11"/>
  <c r="Y304" i="11"/>
  <c r="Y305" i="11"/>
  <c r="Y306" i="11"/>
  <c r="Y307" i="11"/>
  <c r="Y308" i="11"/>
  <c r="Y309" i="11"/>
  <c r="Y310" i="11"/>
  <c r="Y311" i="11"/>
  <c r="Y312" i="11"/>
  <c r="Y313" i="11"/>
  <c r="Y314" i="11"/>
  <c r="Y315" i="11"/>
  <c r="Y316" i="11"/>
  <c r="Y317" i="11"/>
  <c r="Y318" i="11"/>
  <c r="Y319" i="11"/>
  <c r="Y320" i="11"/>
  <c r="Y321" i="11"/>
  <c r="Y322" i="11"/>
  <c r="Y323" i="11"/>
  <c r="Y324" i="11"/>
  <c r="H344" i="19"/>
  <c r="H343" i="19"/>
  <c r="H342" i="19"/>
  <c r="H341" i="19"/>
  <c r="H340" i="19"/>
  <c r="H339" i="19"/>
  <c r="H338" i="19"/>
  <c r="H337" i="19"/>
  <c r="H336" i="19"/>
  <c r="H335" i="19"/>
  <c r="H334" i="19"/>
  <c r="H333" i="19"/>
  <c r="H332" i="19"/>
  <c r="H331" i="19"/>
  <c r="H330" i="19"/>
  <c r="H329" i="19"/>
  <c r="H328" i="19"/>
  <c r="H327" i="19"/>
  <c r="H326" i="19"/>
  <c r="N6" i="19"/>
  <c r="M6" i="19"/>
  <c r="L6" i="19"/>
  <c r="K6" i="19"/>
  <c r="J6" i="19"/>
  <c r="H1" i="19"/>
  <c r="D6" i="19"/>
  <c r="E6" i="19"/>
  <c r="F6" i="19"/>
  <c r="G6"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128" i="19"/>
  <c r="H129" i="19"/>
  <c r="H130" i="19"/>
  <c r="H131" i="19"/>
  <c r="H132" i="19"/>
  <c r="H133" i="19"/>
  <c r="H134" i="19"/>
  <c r="H135" i="19"/>
  <c r="H136" i="19"/>
  <c r="H137" i="19"/>
  <c r="H138" i="19"/>
  <c r="H139" i="19"/>
  <c r="H140" i="19"/>
  <c r="H141" i="19"/>
  <c r="H142" i="19"/>
  <c r="H143" i="19"/>
  <c r="H144" i="19"/>
  <c r="H145" i="19"/>
  <c r="H146" i="19"/>
  <c r="H147" i="19"/>
  <c r="H148" i="19"/>
  <c r="H149" i="19"/>
  <c r="H150" i="19"/>
  <c r="H151" i="19"/>
  <c r="H152" i="19"/>
  <c r="H153" i="19"/>
  <c r="H154" i="19"/>
  <c r="H155" i="19"/>
  <c r="H156" i="19"/>
  <c r="H157" i="19"/>
  <c r="H158" i="19"/>
  <c r="H159" i="19"/>
  <c r="H160" i="19"/>
  <c r="H161" i="19"/>
  <c r="H162" i="19"/>
  <c r="H163" i="19"/>
  <c r="H164" i="19"/>
  <c r="H165" i="19"/>
  <c r="H166" i="19"/>
  <c r="H167" i="19"/>
  <c r="H168" i="19"/>
  <c r="H169" i="19"/>
  <c r="H170" i="19"/>
  <c r="H171" i="19"/>
  <c r="H172" i="19"/>
  <c r="H173" i="19"/>
  <c r="H174" i="19"/>
  <c r="H175" i="19"/>
  <c r="H176" i="19"/>
  <c r="H177" i="19"/>
  <c r="H178" i="19"/>
  <c r="H179" i="19"/>
  <c r="H180" i="19"/>
  <c r="H181" i="19"/>
  <c r="H182" i="19"/>
  <c r="H183" i="19"/>
  <c r="H184" i="19"/>
  <c r="H185" i="19"/>
  <c r="H186" i="19"/>
  <c r="H187" i="19"/>
  <c r="H188" i="19"/>
  <c r="H189" i="19"/>
  <c r="H190" i="19"/>
  <c r="H191" i="19"/>
  <c r="H192" i="19"/>
  <c r="H193" i="19"/>
  <c r="H194" i="19"/>
  <c r="H195" i="19"/>
  <c r="H196" i="19"/>
  <c r="H197" i="19"/>
  <c r="H198" i="19"/>
  <c r="H199" i="19"/>
  <c r="H200" i="19"/>
  <c r="H201" i="19"/>
  <c r="H202" i="19"/>
  <c r="H203" i="19"/>
  <c r="H204" i="19"/>
  <c r="H205" i="19"/>
  <c r="H206" i="19"/>
  <c r="H207" i="19"/>
  <c r="H208" i="19"/>
  <c r="H209" i="19"/>
  <c r="H210" i="19"/>
  <c r="H211" i="19"/>
  <c r="H212" i="19"/>
  <c r="H213" i="19"/>
  <c r="H214" i="19"/>
  <c r="H215" i="19"/>
  <c r="H216" i="19"/>
  <c r="H217" i="19"/>
  <c r="H218" i="19"/>
  <c r="H219" i="19"/>
  <c r="H220" i="19"/>
  <c r="H221" i="19"/>
  <c r="H222" i="19"/>
  <c r="H223" i="19"/>
  <c r="H224" i="19"/>
  <c r="H225" i="19"/>
  <c r="H226" i="19"/>
  <c r="H227" i="19"/>
  <c r="H228" i="19"/>
  <c r="H229" i="19"/>
  <c r="H230" i="19"/>
  <c r="H231" i="19"/>
  <c r="H232" i="19"/>
  <c r="H233" i="19"/>
  <c r="H234" i="19"/>
  <c r="H235" i="19"/>
  <c r="H236" i="19"/>
  <c r="H237" i="19"/>
  <c r="H238" i="19"/>
  <c r="H239" i="19"/>
  <c r="H240" i="19"/>
  <c r="H241" i="19"/>
  <c r="H242" i="19"/>
  <c r="H243" i="19"/>
  <c r="H244" i="19"/>
  <c r="H245" i="19"/>
  <c r="H246" i="19"/>
  <c r="H247" i="19"/>
  <c r="H248" i="19"/>
  <c r="H249" i="19"/>
  <c r="H250" i="19"/>
  <c r="H251" i="19"/>
  <c r="H252" i="19"/>
  <c r="H253" i="19"/>
  <c r="H254" i="19"/>
  <c r="H255" i="19"/>
  <c r="H256" i="19"/>
  <c r="H257" i="19"/>
  <c r="H258" i="19"/>
  <c r="H259" i="19"/>
  <c r="H260" i="19"/>
  <c r="H261" i="19"/>
  <c r="H262" i="19"/>
  <c r="H263" i="19"/>
  <c r="H264" i="19"/>
  <c r="H265" i="19"/>
  <c r="H266" i="19"/>
  <c r="H267" i="19"/>
  <c r="H268" i="19"/>
  <c r="H269" i="19"/>
  <c r="H270" i="19"/>
  <c r="H271" i="19"/>
  <c r="H272" i="19"/>
  <c r="H273" i="19"/>
  <c r="H274" i="19"/>
  <c r="H275" i="19"/>
  <c r="H276" i="19"/>
  <c r="H277" i="19"/>
  <c r="H278" i="19"/>
  <c r="H279" i="19"/>
  <c r="H280" i="19"/>
  <c r="H281" i="19"/>
  <c r="H282" i="19"/>
  <c r="H283" i="19"/>
  <c r="H284" i="19"/>
  <c r="H285" i="19"/>
  <c r="H286" i="19"/>
  <c r="H287" i="19"/>
  <c r="H288" i="19"/>
  <c r="H289" i="19"/>
  <c r="H290" i="19"/>
  <c r="H291" i="19"/>
  <c r="H292" i="19"/>
  <c r="H293" i="19"/>
  <c r="H294" i="19"/>
  <c r="H295" i="19"/>
  <c r="H296" i="19"/>
  <c r="H297" i="19"/>
  <c r="H298" i="19"/>
  <c r="H299" i="19"/>
  <c r="H300" i="19"/>
  <c r="H301" i="19"/>
  <c r="H302" i="19"/>
  <c r="H303" i="19"/>
  <c r="H304" i="19"/>
  <c r="H305" i="19"/>
  <c r="H306" i="19"/>
  <c r="H307" i="19"/>
  <c r="H308" i="19"/>
  <c r="H309" i="19"/>
  <c r="H310" i="19"/>
  <c r="H311" i="19"/>
  <c r="H312" i="19"/>
  <c r="H313" i="19"/>
  <c r="H314" i="19"/>
  <c r="H315" i="19"/>
  <c r="H316" i="19"/>
  <c r="H317" i="19"/>
  <c r="H318" i="19"/>
  <c r="H319" i="19"/>
  <c r="H320" i="19"/>
  <c r="H321" i="19"/>
  <c r="H322" i="19"/>
  <c r="H323" i="19"/>
  <c r="H324" i="19"/>
  <c r="H325" i="19"/>
  <c r="A2" i="19"/>
  <c r="H6" i="19"/>
  <c r="O8" i="11"/>
  <c r="P9" i="11"/>
  <c r="Q8" i="11"/>
  <c r="Z8" i="1"/>
  <c r="Z9" i="1"/>
  <c r="Z10" i="1"/>
  <c r="A3" i="19"/>
  <c r="Z17" i="1"/>
  <c r="T9" i="11"/>
  <c r="T10" i="11"/>
  <c r="T11" i="11"/>
  <c r="T12" i="11"/>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T122" i="11"/>
  <c r="T123" i="11"/>
  <c r="T124" i="11"/>
  <c r="T125" i="11"/>
  <c r="T126" i="11"/>
  <c r="T127" i="11"/>
  <c r="T128" i="11"/>
  <c r="T129" i="11"/>
  <c r="T130" i="11"/>
  <c r="T131" i="11"/>
  <c r="T132" i="11"/>
  <c r="T133" i="11"/>
  <c r="T134" i="11"/>
  <c r="T135" i="11"/>
  <c r="T136" i="11"/>
  <c r="T137" i="11"/>
  <c r="T138" i="11"/>
  <c r="T139" i="11"/>
  <c r="T140" i="11"/>
  <c r="T141" i="11"/>
  <c r="T142" i="11"/>
  <c r="T143" i="11"/>
  <c r="T144" i="11"/>
  <c r="T145" i="11"/>
  <c r="T146" i="11"/>
  <c r="T147" i="11"/>
  <c r="T148" i="11"/>
  <c r="T149" i="11"/>
  <c r="T150" i="11"/>
  <c r="T151" i="11"/>
  <c r="T152" i="11"/>
  <c r="T153" i="11"/>
  <c r="T154" i="11"/>
  <c r="T155" i="11"/>
  <c r="T156" i="11"/>
  <c r="T157" i="11"/>
  <c r="T158" i="11"/>
  <c r="T159" i="11"/>
  <c r="T160" i="11"/>
  <c r="T161" i="11"/>
  <c r="T162" i="11"/>
  <c r="T163" i="11"/>
  <c r="T164" i="11"/>
  <c r="T165" i="11"/>
  <c r="T166" i="11"/>
  <c r="T167" i="11"/>
  <c r="T168" i="11"/>
  <c r="T169" i="11"/>
  <c r="T170" i="11"/>
  <c r="T171" i="11"/>
  <c r="T172" i="11"/>
  <c r="T173" i="11"/>
  <c r="T174" i="11"/>
  <c r="T175" i="11"/>
  <c r="T176" i="11"/>
  <c r="T177" i="11"/>
  <c r="T178" i="11"/>
  <c r="T179" i="11"/>
  <c r="T180" i="11"/>
  <c r="T181" i="11"/>
  <c r="T182" i="11"/>
  <c r="T183" i="11"/>
  <c r="T184" i="11"/>
  <c r="T185" i="11"/>
  <c r="T186" i="11"/>
  <c r="T187" i="11"/>
  <c r="T188" i="11"/>
  <c r="T189" i="11"/>
  <c r="T190" i="11"/>
  <c r="T191" i="11"/>
  <c r="T192" i="11"/>
  <c r="T193" i="11"/>
  <c r="T194" i="11"/>
  <c r="T195" i="11"/>
  <c r="T196" i="11"/>
  <c r="T197" i="11"/>
  <c r="T198" i="11"/>
  <c r="T199" i="11"/>
  <c r="T200" i="11"/>
  <c r="T201" i="11"/>
  <c r="T202" i="11"/>
  <c r="T203" i="11"/>
  <c r="T204" i="11"/>
  <c r="T205" i="11"/>
  <c r="T206" i="11"/>
  <c r="T207" i="11"/>
  <c r="T208" i="11"/>
  <c r="T209" i="11"/>
  <c r="T210" i="11"/>
  <c r="T211" i="11"/>
  <c r="T212" i="11"/>
  <c r="T213" i="11"/>
  <c r="T214" i="11"/>
  <c r="T215" i="11"/>
  <c r="T216" i="11"/>
  <c r="T217" i="11"/>
  <c r="T218" i="11"/>
  <c r="T219" i="11"/>
  <c r="T220" i="11"/>
  <c r="T221" i="11"/>
  <c r="T222" i="11"/>
  <c r="T223" i="11"/>
  <c r="T224" i="11"/>
  <c r="T225" i="11"/>
  <c r="T226" i="11"/>
  <c r="T227" i="11"/>
  <c r="T228" i="11"/>
  <c r="T229" i="11"/>
  <c r="T230" i="11"/>
  <c r="T231" i="11"/>
  <c r="T232" i="11"/>
  <c r="T233" i="11"/>
  <c r="T234" i="11"/>
  <c r="T235" i="11"/>
  <c r="T236" i="11"/>
  <c r="T237" i="11"/>
  <c r="T238" i="11"/>
  <c r="T239" i="11"/>
  <c r="T240" i="11"/>
  <c r="T241" i="11"/>
  <c r="T242" i="11"/>
  <c r="T243" i="11"/>
  <c r="T244" i="11"/>
  <c r="T245" i="11"/>
  <c r="T246" i="11"/>
  <c r="T247" i="11"/>
  <c r="T248" i="11"/>
  <c r="T249" i="11"/>
  <c r="T250" i="11"/>
  <c r="T251" i="11"/>
  <c r="T252" i="11"/>
  <c r="T253" i="11"/>
  <c r="T254" i="11"/>
  <c r="T255" i="11"/>
  <c r="T256" i="11"/>
  <c r="T257" i="11"/>
  <c r="T258" i="11"/>
  <c r="T259" i="11"/>
  <c r="T260" i="11"/>
  <c r="T261" i="11"/>
  <c r="T262" i="11"/>
  <c r="T263" i="11"/>
  <c r="T264" i="11"/>
  <c r="T265" i="11"/>
  <c r="T266" i="11"/>
  <c r="T267" i="11"/>
  <c r="T268" i="11"/>
  <c r="T269" i="11"/>
  <c r="T270" i="11"/>
  <c r="T271" i="11"/>
  <c r="T272" i="11"/>
  <c r="T273" i="11"/>
  <c r="T274" i="11"/>
  <c r="T275" i="11"/>
  <c r="T276" i="11"/>
  <c r="T277" i="11"/>
  <c r="T278" i="11"/>
  <c r="T279" i="11"/>
  <c r="T280" i="11"/>
  <c r="T281" i="11"/>
  <c r="T282" i="11"/>
  <c r="T283" i="11"/>
  <c r="T284" i="11"/>
  <c r="T285" i="11"/>
  <c r="T286" i="11"/>
  <c r="T287" i="11"/>
  <c r="T288" i="11"/>
  <c r="T289" i="11"/>
  <c r="T290" i="11"/>
  <c r="T291" i="11"/>
  <c r="T292" i="11"/>
  <c r="T293" i="11"/>
  <c r="T294" i="11"/>
  <c r="T295" i="11"/>
  <c r="T296" i="11"/>
  <c r="T297" i="11"/>
  <c r="T298" i="11"/>
  <c r="T299" i="11"/>
  <c r="T300" i="11"/>
  <c r="T301" i="11"/>
  <c r="T302" i="11"/>
  <c r="T303" i="11"/>
  <c r="T304" i="11"/>
  <c r="T305" i="11"/>
  <c r="T306" i="11"/>
  <c r="T307" i="11"/>
  <c r="T308" i="11"/>
  <c r="T309" i="11"/>
  <c r="T310" i="11"/>
  <c r="T311" i="11"/>
  <c r="T312" i="11"/>
  <c r="T313" i="11"/>
  <c r="T314" i="11"/>
  <c r="T315" i="11"/>
  <c r="T316" i="11"/>
  <c r="T317" i="11"/>
  <c r="T318" i="11"/>
  <c r="T319" i="11"/>
  <c r="T320" i="11"/>
  <c r="T321" i="11"/>
  <c r="T322" i="11"/>
  <c r="T323" i="11"/>
  <c r="T324" i="11"/>
  <c r="T325" i="11"/>
  <c r="T326" i="11"/>
  <c r="T327" i="11"/>
  <c r="T328" i="11"/>
  <c r="T329" i="11"/>
  <c r="T330" i="11"/>
  <c r="T331" i="11"/>
  <c r="T332" i="11"/>
  <c r="T333" i="11"/>
  <c r="T334" i="11"/>
  <c r="T335" i="11"/>
  <c r="T336" i="11"/>
  <c r="T337" i="11"/>
  <c r="T338" i="11"/>
  <c r="T339" i="11"/>
  <c r="T340" i="11"/>
  <c r="T341" i="11"/>
  <c r="T342" i="11"/>
  <c r="T343" i="11"/>
  <c r="T344"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S45" i="11"/>
  <c r="S46" i="11"/>
  <c r="S47" i="11"/>
  <c r="S48" i="11"/>
  <c r="S49" i="11"/>
  <c r="S50" i="11"/>
  <c r="S51" i="11"/>
  <c r="S52" i="11"/>
  <c r="S53" i="11"/>
  <c r="S54" i="11"/>
  <c r="S55" i="11"/>
  <c r="S56" i="11"/>
  <c r="S57" i="11"/>
  <c r="S58" i="11"/>
  <c r="S59" i="11"/>
  <c r="S60" i="11"/>
  <c r="S61" i="11"/>
  <c r="S62" i="11"/>
  <c r="S63" i="11"/>
  <c r="S64" i="11"/>
  <c r="S65" i="11"/>
  <c r="S66" i="11"/>
  <c r="S67" i="11"/>
  <c r="S68" i="11"/>
  <c r="S69" i="11"/>
  <c r="S70" i="11"/>
  <c r="S71" i="11"/>
  <c r="S72" i="11"/>
  <c r="S73" i="11"/>
  <c r="S74" i="11"/>
  <c r="S75" i="11"/>
  <c r="S76" i="11"/>
  <c r="S77" i="11"/>
  <c r="S78" i="11"/>
  <c r="S79" i="11"/>
  <c r="S80" i="11"/>
  <c r="S81" i="11"/>
  <c r="S82" i="11"/>
  <c r="S83" i="11"/>
  <c r="S84" i="11"/>
  <c r="S85" i="11"/>
  <c r="S86" i="11"/>
  <c r="S87" i="11"/>
  <c r="S88" i="11"/>
  <c r="S89" i="11"/>
  <c r="S90" i="11"/>
  <c r="S91" i="11"/>
  <c r="S92" i="11"/>
  <c r="S93" i="11"/>
  <c r="S94" i="11"/>
  <c r="S95" i="11"/>
  <c r="S96" i="11"/>
  <c r="S97" i="11"/>
  <c r="S98" i="11"/>
  <c r="S99" i="11"/>
  <c r="S100" i="11"/>
  <c r="S101" i="11"/>
  <c r="S102" i="11"/>
  <c r="S103" i="11"/>
  <c r="S104" i="11"/>
  <c r="S105" i="11"/>
  <c r="S106" i="11"/>
  <c r="S107" i="11"/>
  <c r="S108" i="11"/>
  <c r="S109" i="11"/>
  <c r="S110" i="11"/>
  <c r="S111" i="11"/>
  <c r="S112" i="11"/>
  <c r="S113" i="11"/>
  <c r="S114" i="11"/>
  <c r="S115" i="11"/>
  <c r="S116" i="11"/>
  <c r="S117" i="11"/>
  <c r="S118" i="11"/>
  <c r="S119" i="11"/>
  <c r="S120" i="11"/>
  <c r="S121" i="11"/>
  <c r="S122" i="11"/>
  <c r="S123" i="11"/>
  <c r="S124" i="11"/>
  <c r="S125" i="11"/>
  <c r="S126" i="11"/>
  <c r="S127" i="11"/>
  <c r="S128" i="11"/>
  <c r="S129" i="11"/>
  <c r="S130" i="11"/>
  <c r="S131" i="11"/>
  <c r="S132" i="11"/>
  <c r="S133" i="11"/>
  <c r="S134" i="11"/>
  <c r="S135" i="11"/>
  <c r="S136" i="11"/>
  <c r="S137" i="11"/>
  <c r="S138" i="11"/>
  <c r="S139" i="11"/>
  <c r="S140" i="11"/>
  <c r="S141" i="11"/>
  <c r="S142" i="11"/>
  <c r="S143" i="11"/>
  <c r="S144" i="11"/>
  <c r="S145" i="11"/>
  <c r="S146" i="11"/>
  <c r="S147" i="11"/>
  <c r="S148" i="11"/>
  <c r="S149" i="11"/>
  <c r="S150" i="11"/>
  <c r="S151" i="11"/>
  <c r="S152" i="11"/>
  <c r="S153" i="11"/>
  <c r="S154" i="11"/>
  <c r="S155" i="11"/>
  <c r="S156" i="11"/>
  <c r="S157" i="11"/>
  <c r="S158" i="11"/>
  <c r="S159" i="11"/>
  <c r="S160" i="11"/>
  <c r="S161" i="11"/>
  <c r="S162" i="11"/>
  <c r="S163" i="11"/>
  <c r="S164" i="11"/>
  <c r="S165" i="11"/>
  <c r="S166" i="11"/>
  <c r="S167" i="11"/>
  <c r="S168" i="11"/>
  <c r="S169" i="11"/>
  <c r="S170" i="11"/>
  <c r="S171" i="11"/>
  <c r="S172" i="11"/>
  <c r="S173" i="11"/>
  <c r="S174" i="11"/>
  <c r="S175" i="11"/>
  <c r="S176" i="11"/>
  <c r="S177" i="11"/>
  <c r="S178" i="11"/>
  <c r="S179" i="11"/>
  <c r="S180" i="11"/>
  <c r="S181" i="11"/>
  <c r="S182" i="11"/>
  <c r="S183" i="11"/>
  <c r="S184" i="11"/>
  <c r="S185" i="11"/>
  <c r="S186" i="11"/>
  <c r="S187" i="11"/>
  <c r="S188" i="11"/>
  <c r="S189" i="11"/>
  <c r="S190" i="11"/>
  <c r="S191" i="11"/>
  <c r="S192" i="11"/>
  <c r="S193" i="11"/>
  <c r="S194" i="11"/>
  <c r="S195" i="11"/>
  <c r="S196" i="11"/>
  <c r="S197" i="11"/>
  <c r="S198" i="11"/>
  <c r="S199" i="11"/>
  <c r="S200" i="11"/>
  <c r="S201" i="11"/>
  <c r="S202" i="11"/>
  <c r="S203" i="11"/>
  <c r="S204" i="11"/>
  <c r="S205" i="11"/>
  <c r="S206" i="11"/>
  <c r="S207" i="11"/>
  <c r="S208" i="11"/>
  <c r="S209" i="11"/>
  <c r="S210" i="11"/>
  <c r="S211" i="11"/>
  <c r="S212" i="11"/>
  <c r="S213" i="11"/>
  <c r="S214" i="11"/>
  <c r="S215" i="11"/>
  <c r="S216" i="11"/>
  <c r="S217" i="11"/>
  <c r="S218" i="11"/>
  <c r="S219" i="11"/>
  <c r="S220" i="11"/>
  <c r="S221" i="11"/>
  <c r="S222" i="11"/>
  <c r="S223" i="11"/>
  <c r="S224" i="11"/>
  <c r="S225" i="11"/>
  <c r="S226" i="11"/>
  <c r="S227" i="11"/>
  <c r="S228" i="11"/>
  <c r="S229" i="11"/>
  <c r="S230" i="11"/>
  <c r="S231" i="11"/>
  <c r="S232" i="11"/>
  <c r="S233" i="11"/>
  <c r="S234" i="11"/>
  <c r="S235" i="11"/>
  <c r="S236" i="11"/>
  <c r="S237" i="11"/>
  <c r="S238" i="11"/>
  <c r="S239" i="11"/>
  <c r="S240" i="11"/>
  <c r="S241" i="11"/>
  <c r="S242" i="11"/>
  <c r="S243" i="11"/>
  <c r="S244" i="11"/>
  <c r="S245" i="11"/>
  <c r="S246" i="11"/>
  <c r="S247" i="11"/>
  <c r="S248" i="11"/>
  <c r="S249" i="11"/>
  <c r="S250" i="11"/>
  <c r="S251" i="11"/>
  <c r="S252" i="11"/>
  <c r="S253" i="11"/>
  <c r="S254" i="11"/>
  <c r="S255" i="11"/>
  <c r="S256" i="11"/>
  <c r="S257" i="11"/>
  <c r="S258" i="11"/>
  <c r="S259" i="11"/>
  <c r="S260" i="11"/>
  <c r="S261" i="11"/>
  <c r="S262" i="11"/>
  <c r="S263" i="11"/>
  <c r="S264" i="11"/>
  <c r="S265" i="11"/>
  <c r="S266" i="11"/>
  <c r="S267" i="11"/>
  <c r="S268" i="11"/>
  <c r="S269" i="11"/>
  <c r="S270" i="11"/>
  <c r="S271" i="11"/>
  <c r="S272" i="11"/>
  <c r="S273" i="11"/>
  <c r="S274" i="11"/>
  <c r="S275" i="11"/>
  <c r="S276" i="11"/>
  <c r="S277" i="11"/>
  <c r="S278" i="11"/>
  <c r="S279" i="11"/>
  <c r="S280" i="11"/>
  <c r="S281" i="11"/>
  <c r="S282" i="11"/>
  <c r="S283" i="11"/>
  <c r="S284" i="11"/>
  <c r="S285" i="11"/>
  <c r="S286" i="11"/>
  <c r="S287" i="11"/>
  <c r="S288" i="11"/>
  <c r="S289" i="11"/>
  <c r="S290" i="11"/>
  <c r="S291" i="11"/>
  <c r="S292" i="11"/>
  <c r="S293" i="11"/>
  <c r="S294" i="11"/>
  <c r="S295" i="11"/>
  <c r="S296" i="11"/>
  <c r="S297" i="11"/>
  <c r="S298" i="11"/>
  <c r="S299" i="11"/>
  <c r="S300" i="11"/>
  <c r="S301" i="11"/>
  <c r="S302" i="11"/>
  <c r="S303" i="11"/>
  <c r="S304" i="11"/>
  <c r="S305" i="11"/>
  <c r="S306" i="11"/>
  <c r="S307" i="11"/>
  <c r="S308" i="11"/>
  <c r="S309" i="11"/>
  <c r="S310" i="11"/>
  <c r="S311" i="11"/>
  <c r="S312" i="11"/>
  <c r="S313" i="11"/>
  <c r="S314" i="11"/>
  <c r="S315" i="11"/>
  <c r="S316" i="11"/>
  <c r="S317" i="11"/>
  <c r="S318" i="11"/>
  <c r="S319" i="11"/>
  <c r="S320" i="11"/>
  <c r="S321" i="11"/>
  <c r="S322" i="11"/>
  <c r="S323" i="11"/>
  <c r="S324" i="11"/>
  <c r="S325" i="11"/>
  <c r="S326" i="11"/>
  <c r="S327" i="11"/>
  <c r="S328" i="11"/>
  <c r="S329" i="11"/>
  <c r="S330" i="11"/>
  <c r="S331" i="11"/>
  <c r="S332" i="11"/>
  <c r="S333" i="11"/>
  <c r="S334" i="11"/>
  <c r="S335" i="11"/>
  <c r="S336" i="11"/>
  <c r="S337" i="11"/>
  <c r="S338" i="11"/>
  <c r="S339" i="11"/>
  <c r="S340" i="11"/>
  <c r="S341" i="11"/>
  <c r="S342" i="11"/>
  <c r="S343" i="11"/>
  <c r="S344" i="11"/>
  <c r="T8" i="11"/>
  <c r="T6" i="11"/>
  <c r="S8" i="11"/>
  <c r="S6" i="11"/>
  <c r="E77" i="7"/>
  <c r="F79" i="7"/>
  <c r="I127" i="10"/>
  <c r="J4" i="12"/>
  <c r="E4" i="12"/>
  <c r="B59" i="7"/>
  <c r="C48" i="7"/>
  <c r="A2" i="11"/>
  <c r="A3" i="11"/>
  <c r="A1" i="1"/>
  <c r="D9" i="1"/>
  <c r="AC9" i="1"/>
  <c r="AD9" i="1"/>
  <c r="E9" i="2"/>
  <c r="E9" i="1"/>
  <c r="F9" i="1"/>
  <c r="G9" i="1"/>
  <c r="H9" i="1"/>
  <c r="AB9" i="1"/>
  <c r="D10" i="1"/>
  <c r="E10" i="1"/>
  <c r="F10" i="1"/>
  <c r="G10" i="1"/>
  <c r="H10" i="1"/>
  <c r="AB10" i="1"/>
  <c r="D11" i="1"/>
  <c r="AC11" i="1"/>
  <c r="E11" i="1"/>
  <c r="F11" i="1"/>
  <c r="G11" i="1"/>
  <c r="H11" i="1"/>
  <c r="AB11" i="1"/>
  <c r="D12" i="1"/>
  <c r="E12" i="1"/>
  <c r="F12" i="1"/>
  <c r="G12" i="1"/>
  <c r="H12" i="1"/>
  <c r="AB12" i="1"/>
  <c r="D13" i="1"/>
  <c r="AC13" i="1"/>
  <c r="AD13" i="1"/>
  <c r="E13" i="2"/>
  <c r="E13" i="1"/>
  <c r="F13" i="1"/>
  <c r="G13" i="1"/>
  <c r="H13" i="1"/>
  <c r="AB13" i="1"/>
  <c r="D14" i="1"/>
  <c r="E14" i="1"/>
  <c r="F14" i="1"/>
  <c r="G14" i="1"/>
  <c r="H14" i="1"/>
  <c r="AB14" i="1"/>
  <c r="D15" i="1"/>
  <c r="AC15" i="1"/>
  <c r="AD15" i="1"/>
  <c r="E15" i="2"/>
  <c r="E17" i="5"/>
  <c r="E15" i="1"/>
  <c r="F15" i="1"/>
  <c r="G15" i="1"/>
  <c r="H15" i="1"/>
  <c r="AB15" i="1"/>
  <c r="D16" i="1"/>
  <c r="E16" i="1"/>
  <c r="F16" i="1"/>
  <c r="G16" i="1"/>
  <c r="H16" i="1"/>
  <c r="AB16" i="1"/>
  <c r="D17" i="1"/>
  <c r="AC17" i="1"/>
  <c r="AD17" i="1"/>
  <c r="E17" i="2"/>
  <c r="E19" i="5"/>
  <c r="E17" i="1"/>
  <c r="F17" i="1"/>
  <c r="G17" i="1"/>
  <c r="H17" i="1"/>
  <c r="AB17" i="1"/>
  <c r="D18" i="1"/>
  <c r="E18" i="1"/>
  <c r="F18" i="1"/>
  <c r="G18" i="1"/>
  <c r="H18" i="1"/>
  <c r="AB18" i="1"/>
  <c r="D19" i="1"/>
  <c r="AC19" i="1"/>
  <c r="AD19" i="1"/>
  <c r="E19" i="2"/>
  <c r="E21" i="5"/>
  <c r="E19" i="1"/>
  <c r="F19" i="1"/>
  <c r="G19" i="1"/>
  <c r="H19" i="1"/>
  <c r="AB19" i="1"/>
  <c r="D20" i="1"/>
  <c r="E20" i="1"/>
  <c r="F20" i="1"/>
  <c r="G20" i="1"/>
  <c r="H20" i="1"/>
  <c r="AB20" i="1"/>
  <c r="D21" i="1"/>
  <c r="AC21" i="1"/>
  <c r="AD21" i="1"/>
  <c r="E21" i="2"/>
  <c r="E21" i="1"/>
  <c r="F21" i="1"/>
  <c r="G21" i="1"/>
  <c r="H21" i="1"/>
  <c r="AB21" i="1"/>
  <c r="M21" i="2"/>
  <c r="D22" i="1"/>
  <c r="E22" i="1"/>
  <c r="F22" i="1"/>
  <c r="G22" i="1"/>
  <c r="H22" i="1"/>
  <c r="AB22" i="1"/>
  <c r="M22" i="2"/>
  <c r="D23" i="1"/>
  <c r="AC23" i="1"/>
  <c r="AD23" i="1"/>
  <c r="E23" i="2"/>
  <c r="E25" i="5"/>
  <c r="E23" i="1"/>
  <c r="F23" i="1"/>
  <c r="G23" i="1"/>
  <c r="H23" i="1"/>
  <c r="AB23" i="1"/>
  <c r="D24" i="1"/>
  <c r="E24" i="1"/>
  <c r="F24" i="1"/>
  <c r="G24" i="1"/>
  <c r="H24" i="1"/>
  <c r="AB24" i="1"/>
  <c r="D25" i="1"/>
  <c r="AC25" i="1"/>
  <c r="AD25" i="1"/>
  <c r="E25" i="2"/>
  <c r="E27" i="5"/>
  <c r="E25" i="1"/>
  <c r="F25" i="1"/>
  <c r="G25" i="1"/>
  <c r="H25" i="1"/>
  <c r="AB25" i="1"/>
  <c r="D26" i="1"/>
  <c r="E26" i="1"/>
  <c r="F26" i="1"/>
  <c r="G26" i="1"/>
  <c r="H26" i="1"/>
  <c r="AB26" i="1"/>
  <c r="D27" i="1"/>
  <c r="AC27" i="1"/>
  <c r="AD27" i="1"/>
  <c r="E27" i="2"/>
  <c r="E29" i="5"/>
  <c r="E27" i="1"/>
  <c r="F27" i="1"/>
  <c r="G27" i="1"/>
  <c r="H27" i="1"/>
  <c r="AB27" i="1"/>
  <c r="D28" i="1"/>
  <c r="E28" i="1"/>
  <c r="F28" i="1"/>
  <c r="G28" i="1"/>
  <c r="H28" i="1"/>
  <c r="AB28" i="1"/>
  <c r="D29" i="1"/>
  <c r="E29" i="1"/>
  <c r="F29" i="1"/>
  <c r="G29" i="1"/>
  <c r="H29" i="1"/>
  <c r="AB29" i="1"/>
  <c r="D30" i="1"/>
  <c r="E30" i="1"/>
  <c r="F30" i="1"/>
  <c r="G30" i="1"/>
  <c r="H30" i="1"/>
  <c r="AB30" i="1"/>
  <c r="D31" i="1"/>
  <c r="E31" i="1"/>
  <c r="F31" i="1"/>
  <c r="G31" i="1"/>
  <c r="H31" i="1"/>
  <c r="AB31" i="1"/>
  <c r="D32" i="1"/>
  <c r="E32" i="1"/>
  <c r="F32" i="1"/>
  <c r="G32" i="1"/>
  <c r="H32" i="1"/>
  <c r="AB32" i="1"/>
  <c r="D33" i="1"/>
  <c r="E33" i="1"/>
  <c r="F33" i="1"/>
  <c r="G33" i="1"/>
  <c r="H33" i="1"/>
  <c r="AB33" i="1"/>
  <c r="D34" i="1"/>
  <c r="E34" i="1"/>
  <c r="F34" i="1"/>
  <c r="G34" i="1"/>
  <c r="H34" i="1"/>
  <c r="AB34" i="1"/>
  <c r="D35" i="1"/>
  <c r="E35" i="1"/>
  <c r="F35" i="1"/>
  <c r="G35" i="1"/>
  <c r="H35" i="1"/>
  <c r="AB35" i="1"/>
  <c r="D36" i="1"/>
  <c r="E36" i="1"/>
  <c r="F36" i="1"/>
  <c r="G36" i="1"/>
  <c r="H36" i="1"/>
  <c r="AB36" i="1"/>
  <c r="D37" i="1"/>
  <c r="E37" i="1"/>
  <c r="F37" i="1"/>
  <c r="G37" i="1"/>
  <c r="H37" i="1"/>
  <c r="AB37" i="1"/>
  <c r="D38" i="1"/>
  <c r="E38" i="1"/>
  <c r="F38" i="1"/>
  <c r="G38" i="1"/>
  <c r="H38" i="1"/>
  <c r="AB38" i="1"/>
  <c r="D39" i="1"/>
  <c r="E39" i="1"/>
  <c r="F39" i="1"/>
  <c r="G39" i="1"/>
  <c r="H39" i="1"/>
  <c r="AB39" i="1"/>
  <c r="D40" i="1"/>
  <c r="E40" i="1"/>
  <c r="F40" i="1"/>
  <c r="G40" i="1"/>
  <c r="H40" i="1"/>
  <c r="AB40" i="1"/>
  <c r="D41" i="1"/>
  <c r="E41" i="1"/>
  <c r="F41" i="1"/>
  <c r="G41" i="1"/>
  <c r="H41" i="1"/>
  <c r="AB41" i="1"/>
  <c r="D42" i="1"/>
  <c r="E42" i="1"/>
  <c r="F42" i="1"/>
  <c r="G42" i="1"/>
  <c r="H42" i="1"/>
  <c r="AB42" i="1"/>
  <c r="D43" i="1"/>
  <c r="E43" i="1"/>
  <c r="F43" i="1"/>
  <c r="G43" i="1"/>
  <c r="H43" i="1"/>
  <c r="AB43" i="1"/>
  <c r="D44" i="1"/>
  <c r="E44" i="1"/>
  <c r="F44" i="1"/>
  <c r="G44" i="1"/>
  <c r="H44" i="1"/>
  <c r="AB44" i="1"/>
  <c r="D45" i="1"/>
  <c r="E45" i="1"/>
  <c r="F45" i="1"/>
  <c r="G45" i="1"/>
  <c r="H45" i="1"/>
  <c r="AB45" i="1"/>
  <c r="D46" i="1"/>
  <c r="E46" i="1"/>
  <c r="F46" i="1"/>
  <c r="G46" i="1"/>
  <c r="H46" i="1"/>
  <c r="AB46" i="1"/>
  <c r="D47" i="1"/>
  <c r="E47" i="1"/>
  <c r="F47" i="1"/>
  <c r="G47" i="1"/>
  <c r="H47" i="1"/>
  <c r="AB47" i="1"/>
  <c r="D48" i="1"/>
  <c r="E48" i="1"/>
  <c r="F48" i="1"/>
  <c r="G48" i="1"/>
  <c r="H48" i="1"/>
  <c r="AB48" i="1"/>
  <c r="D49" i="1"/>
  <c r="E49" i="1"/>
  <c r="F49" i="1"/>
  <c r="G49" i="1"/>
  <c r="H49" i="1"/>
  <c r="AB49" i="1"/>
  <c r="D50" i="1"/>
  <c r="E50" i="1"/>
  <c r="F50" i="1"/>
  <c r="G50" i="1"/>
  <c r="H50" i="1"/>
  <c r="AB50" i="1"/>
  <c r="D51" i="1"/>
  <c r="E51" i="1"/>
  <c r="F51" i="1"/>
  <c r="G51" i="1"/>
  <c r="H51" i="1"/>
  <c r="AB51" i="1"/>
  <c r="D52" i="1"/>
  <c r="E52" i="1"/>
  <c r="F52" i="1"/>
  <c r="G52" i="1"/>
  <c r="H52" i="1"/>
  <c r="AB52" i="1"/>
  <c r="D53" i="1"/>
  <c r="E53" i="1"/>
  <c r="F53" i="1"/>
  <c r="G53" i="1"/>
  <c r="H53" i="1"/>
  <c r="AB53" i="1"/>
  <c r="D54" i="1"/>
  <c r="E54" i="1"/>
  <c r="F54" i="1"/>
  <c r="G54" i="1"/>
  <c r="H54" i="1"/>
  <c r="AB54" i="1"/>
  <c r="D55" i="1"/>
  <c r="E55" i="1"/>
  <c r="F55" i="1"/>
  <c r="G55" i="1"/>
  <c r="H55" i="1"/>
  <c r="AB55" i="1"/>
  <c r="D56" i="1"/>
  <c r="E56" i="1"/>
  <c r="F56" i="1"/>
  <c r="G56" i="1"/>
  <c r="H56" i="1"/>
  <c r="AB56" i="1"/>
  <c r="D57" i="1"/>
  <c r="E57" i="1"/>
  <c r="F57" i="1"/>
  <c r="G57" i="1"/>
  <c r="H57" i="1"/>
  <c r="AB57" i="1"/>
  <c r="D58" i="1"/>
  <c r="E58" i="1"/>
  <c r="F58" i="1"/>
  <c r="G58" i="1"/>
  <c r="H58" i="1"/>
  <c r="AB58" i="1"/>
  <c r="D59" i="1"/>
  <c r="E59" i="1"/>
  <c r="F59" i="1"/>
  <c r="G59" i="1"/>
  <c r="H59" i="1"/>
  <c r="AB59" i="1"/>
  <c r="D60" i="1"/>
  <c r="E60" i="1"/>
  <c r="F60" i="1"/>
  <c r="G60" i="1"/>
  <c r="H60" i="1"/>
  <c r="AB60" i="1"/>
  <c r="D61" i="1"/>
  <c r="E61" i="1"/>
  <c r="F61" i="1"/>
  <c r="G61" i="1"/>
  <c r="H61" i="1"/>
  <c r="AB61" i="1"/>
  <c r="D62" i="1"/>
  <c r="E62" i="1"/>
  <c r="F62" i="1"/>
  <c r="G62" i="1"/>
  <c r="H62" i="1"/>
  <c r="AB62" i="1"/>
  <c r="D63" i="1"/>
  <c r="E63" i="1"/>
  <c r="F63" i="1"/>
  <c r="G63" i="1"/>
  <c r="H63" i="1"/>
  <c r="AB63" i="1"/>
  <c r="D64" i="1"/>
  <c r="E64" i="1"/>
  <c r="F64" i="1"/>
  <c r="G64" i="1"/>
  <c r="H64" i="1"/>
  <c r="AB64" i="1"/>
  <c r="D65" i="1"/>
  <c r="E65" i="1"/>
  <c r="F65" i="1"/>
  <c r="G65" i="1"/>
  <c r="H65" i="1"/>
  <c r="AB65" i="1"/>
  <c r="D66" i="1"/>
  <c r="E66" i="1"/>
  <c r="F66" i="1"/>
  <c r="G66" i="1"/>
  <c r="H66" i="1"/>
  <c r="AB66" i="1"/>
  <c r="D67" i="1"/>
  <c r="E67" i="1"/>
  <c r="F67" i="1"/>
  <c r="G67" i="1"/>
  <c r="H67" i="1"/>
  <c r="AB67" i="1"/>
  <c r="D68" i="1"/>
  <c r="E68" i="1"/>
  <c r="F68" i="1"/>
  <c r="G68" i="1"/>
  <c r="H68" i="1"/>
  <c r="AB68" i="1"/>
  <c r="D69" i="1"/>
  <c r="E69" i="1"/>
  <c r="F69" i="1"/>
  <c r="G69" i="1"/>
  <c r="H69" i="1"/>
  <c r="AB69" i="1"/>
  <c r="D70" i="1"/>
  <c r="E70" i="1"/>
  <c r="F70" i="1"/>
  <c r="G70" i="1"/>
  <c r="H70" i="1"/>
  <c r="AB70" i="1"/>
  <c r="D71" i="1"/>
  <c r="E71" i="1"/>
  <c r="F71" i="1"/>
  <c r="G71" i="1"/>
  <c r="H71" i="1"/>
  <c r="AB71" i="1"/>
  <c r="D72" i="1"/>
  <c r="E72" i="1"/>
  <c r="F72" i="1"/>
  <c r="G72" i="1"/>
  <c r="H72" i="1"/>
  <c r="AB72" i="1"/>
  <c r="D73" i="1"/>
  <c r="E73" i="1"/>
  <c r="F73" i="1"/>
  <c r="G73" i="1"/>
  <c r="H73" i="1"/>
  <c r="AB73" i="1"/>
  <c r="D74" i="1"/>
  <c r="E74" i="1"/>
  <c r="F74" i="1"/>
  <c r="G74" i="1"/>
  <c r="H74" i="1"/>
  <c r="AB74" i="1"/>
  <c r="D75" i="1"/>
  <c r="E75" i="1"/>
  <c r="F75" i="1"/>
  <c r="G75" i="1"/>
  <c r="H75" i="1"/>
  <c r="AB75" i="1"/>
  <c r="D76" i="1"/>
  <c r="E76" i="1"/>
  <c r="F76" i="1"/>
  <c r="G76" i="1"/>
  <c r="H76" i="1"/>
  <c r="AB76" i="1"/>
  <c r="D77" i="1"/>
  <c r="E77" i="1"/>
  <c r="F77" i="1"/>
  <c r="G77" i="1"/>
  <c r="H77" i="1"/>
  <c r="AB77" i="1"/>
  <c r="D78" i="1"/>
  <c r="E78" i="1"/>
  <c r="F78" i="1"/>
  <c r="G78" i="1"/>
  <c r="H78" i="1"/>
  <c r="AB78" i="1"/>
  <c r="D79" i="1"/>
  <c r="E79" i="1"/>
  <c r="F79" i="1"/>
  <c r="G79" i="1"/>
  <c r="H79" i="1"/>
  <c r="AB79" i="1"/>
  <c r="D80" i="1"/>
  <c r="E80" i="1"/>
  <c r="F80" i="1"/>
  <c r="G80" i="1"/>
  <c r="H80" i="1"/>
  <c r="AB80" i="1"/>
  <c r="D81" i="1"/>
  <c r="E81" i="1"/>
  <c r="F81" i="1"/>
  <c r="G81" i="1"/>
  <c r="H81" i="1"/>
  <c r="AB81" i="1"/>
  <c r="D82" i="1"/>
  <c r="E82" i="1"/>
  <c r="F82" i="1"/>
  <c r="G82" i="1"/>
  <c r="H82" i="1"/>
  <c r="AB82" i="1"/>
  <c r="D83" i="1"/>
  <c r="E83" i="1"/>
  <c r="F83" i="1"/>
  <c r="G83" i="1"/>
  <c r="H83" i="1"/>
  <c r="AB83" i="1"/>
  <c r="D84" i="1"/>
  <c r="E84" i="1"/>
  <c r="F84" i="1"/>
  <c r="G84" i="1"/>
  <c r="H84" i="1"/>
  <c r="AB84" i="1"/>
  <c r="D85" i="1"/>
  <c r="E85" i="1"/>
  <c r="F85" i="1"/>
  <c r="G85" i="1"/>
  <c r="H85" i="1"/>
  <c r="AB85" i="1"/>
  <c r="D86" i="1"/>
  <c r="E86" i="1"/>
  <c r="F86" i="1"/>
  <c r="G86" i="1"/>
  <c r="H86" i="1"/>
  <c r="AB86" i="1"/>
  <c r="D87" i="1"/>
  <c r="E87" i="1"/>
  <c r="F87" i="1"/>
  <c r="G87" i="1"/>
  <c r="H87" i="1"/>
  <c r="AB87" i="1"/>
  <c r="D88" i="1"/>
  <c r="E88" i="1"/>
  <c r="F88" i="1"/>
  <c r="G88" i="1"/>
  <c r="H88" i="1"/>
  <c r="AB88" i="1"/>
  <c r="D89" i="1"/>
  <c r="E89" i="1"/>
  <c r="F89" i="1"/>
  <c r="G89" i="1"/>
  <c r="H89" i="1"/>
  <c r="AB89" i="1"/>
  <c r="D90" i="1"/>
  <c r="E90" i="1"/>
  <c r="F90" i="1"/>
  <c r="G90" i="1"/>
  <c r="H90" i="1"/>
  <c r="AB90" i="1"/>
  <c r="D91" i="1"/>
  <c r="E91" i="1"/>
  <c r="F91" i="1"/>
  <c r="G91" i="1"/>
  <c r="H91" i="1"/>
  <c r="AB91" i="1"/>
  <c r="D92" i="1"/>
  <c r="E92" i="1"/>
  <c r="F92" i="1"/>
  <c r="G92" i="1"/>
  <c r="H92" i="1"/>
  <c r="AB92" i="1"/>
  <c r="D93" i="1"/>
  <c r="E93" i="1"/>
  <c r="F93" i="1"/>
  <c r="G93" i="1"/>
  <c r="H93" i="1"/>
  <c r="AB93" i="1"/>
  <c r="D94" i="1"/>
  <c r="E94" i="1"/>
  <c r="F94" i="1"/>
  <c r="G94" i="1"/>
  <c r="H94" i="1"/>
  <c r="AB94" i="1"/>
  <c r="D95" i="1"/>
  <c r="E95" i="1"/>
  <c r="F95" i="1"/>
  <c r="G95" i="1"/>
  <c r="H95" i="1"/>
  <c r="AB95" i="1"/>
  <c r="D96" i="1"/>
  <c r="E96" i="1"/>
  <c r="F96" i="1"/>
  <c r="G96" i="1"/>
  <c r="H96" i="1"/>
  <c r="AB96" i="1"/>
  <c r="D97" i="1"/>
  <c r="E97" i="1"/>
  <c r="F97" i="1"/>
  <c r="G97" i="1"/>
  <c r="H97" i="1"/>
  <c r="AB97" i="1"/>
  <c r="D98" i="1"/>
  <c r="E98" i="1"/>
  <c r="F98" i="1"/>
  <c r="G98" i="1"/>
  <c r="H98" i="1"/>
  <c r="AB98" i="1"/>
  <c r="D99" i="1"/>
  <c r="E99" i="1"/>
  <c r="F99" i="1"/>
  <c r="G99" i="1"/>
  <c r="H99" i="1"/>
  <c r="AB99" i="1"/>
  <c r="D100" i="1"/>
  <c r="E100" i="1"/>
  <c r="F100" i="1"/>
  <c r="G100" i="1"/>
  <c r="H100" i="1"/>
  <c r="AB100" i="1"/>
  <c r="D101" i="1"/>
  <c r="E101" i="1"/>
  <c r="F101" i="1"/>
  <c r="G101" i="1"/>
  <c r="H101" i="1"/>
  <c r="AB101" i="1"/>
  <c r="D102" i="1"/>
  <c r="E102" i="1"/>
  <c r="F102" i="1"/>
  <c r="G102" i="1"/>
  <c r="H102" i="1"/>
  <c r="AB102" i="1"/>
  <c r="D103" i="1"/>
  <c r="E103" i="1"/>
  <c r="F103" i="1"/>
  <c r="G103" i="1"/>
  <c r="H103" i="1"/>
  <c r="AB103" i="1"/>
  <c r="D104" i="1"/>
  <c r="E104" i="1"/>
  <c r="F104" i="1"/>
  <c r="G104" i="1"/>
  <c r="H104" i="1"/>
  <c r="AB104" i="1"/>
  <c r="D105" i="1"/>
  <c r="E105" i="1"/>
  <c r="F105" i="1"/>
  <c r="G105" i="1"/>
  <c r="H105" i="1"/>
  <c r="AB105" i="1"/>
  <c r="D106" i="1"/>
  <c r="E106" i="1"/>
  <c r="F106" i="1"/>
  <c r="G106" i="1"/>
  <c r="H106" i="1"/>
  <c r="AB106" i="1"/>
  <c r="D107" i="1"/>
  <c r="E107" i="1"/>
  <c r="F107" i="1"/>
  <c r="G107" i="1"/>
  <c r="H107" i="1"/>
  <c r="AB107" i="1"/>
  <c r="D108" i="1"/>
  <c r="E108" i="1"/>
  <c r="F108" i="1"/>
  <c r="G108" i="1"/>
  <c r="H108" i="1"/>
  <c r="AB108" i="1"/>
  <c r="D109" i="1"/>
  <c r="E109" i="1"/>
  <c r="F109" i="1"/>
  <c r="G109" i="1"/>
  <c r="H109" i="1"/>
  <c r="AB109" i="1"/>
  <c r="D110" i="1"/>
  <c r="E110" i="1"/>
  <c r="F110" i="1"/>
  <c r="G110" i="1"/>
  <c r="H110" i="1"/>
  <c r="AB110" i="1"/>
  <c r="D111" i="1"/>
  <c r="E111" i="1"/>
  <c r="F111" i="1"/>
  <c r="G111" i="1"/>
  <c r="H111" i="1"/>
  <c r="AB111" i="1"/>
  <c r="D112" i="1"/>
  <c r="E112" i="1"/>
  <c r="F112" i="1"/>
  <c r="G112" i="1"/>
  <c r="H112" i="1"/>
  <c r="AB112" i="1"/>
  <c r="D113" i="1"/>
  <c r="E113" i="1"/>
  <c r="F113" i="1"/>
  <c r="G113" i="1"/>
  <c r="H113" i="1"/>
  <c r="AB113" i="1"/>
  <c r="D114" i="1"/>
  <c r="E114" i="1"/>
  <c r="F114" i="1"/>
  <c r="G114" i="1"/>
  <c r="H114" i="1"/>
  <c r="AB114" i="1"/>
  <c r="D115" i="1"/>
  <c r="E115" i="1"/>
  <c r="F115" i="1"/>
  <c r="G115" i="1"/>
  <c r="H115" i="1"/>
  <c r="AB115" i="1"/>
  <c r="D116" i="1"/>
  <c r="E116" i="1"/>
  <c r="F116" i="1"/>
  <c r="G116" i="1"/>
  <c r="H116" i="1"/>
  <c r="AB116" i="1"/>
  <c r="D117" i="1"/>
  <c r="E117" i="1"/>
  <c r="F117" i="1"/>
  <c r="G117" i="1"/>
  <c r="H117" i="1"/>
  <c r="AB117" i="1"/>
  <c r="D118" i="1"/>
  <c r="E118" i="1"/>
  <c r="F118" i="1"/>
  <c r="G118" i="1"/>
  <c r="H118" i="1"/>
  <c r="AB118" i="1"/>
  <c r="D119" i="1"/>
  <c r="E119" i="1"/>
  <c r="F119" i="1"/>
  <c r="G119" i="1"/>
  <c r="H119" i="1"/>
  <c r="AB119" i="1"/>
  <c r="D120" i="1"/>
  <c r="E120" i="1"/>
  <c r="F120" i="1"/>
  <c r="G120" i="1"/>
  <c r="H120" i="1"/>
  <c r="AB120" i="1"/>
  <c r="D121" i="1"/>
  <c r="E121" i="1"/>
  <c r="F121" i="1"/>
  <c r="G121" i="1"/>
  <c r="H121" i="1"/>
  <c r="AB121" i="1"/>
  <c r="D122" i="1"/>
  <c r="E122" i="1"/>
  <c r="F122" i="1"/>
  <c r="G122" i="1"/>
  <c r="H122" i="1"/>
  <c r="AB122" i="1"/>
  <c r="D123" i="1"/>
  <c r="E123" i="1"/>
  <c r="F123" i="1"/>
  <c r="G123" i="1"/>
  <c r="H123" i="1"/>
  <c r="AB123" i="1"/>
  <c r="D124" i="1"/>
  <c r="E124" i="1"/>
  <c r="F124" i="1"/>
  <c r="G124" i="1"/>
  <c r="H124" i="1"/>
  <c r="AB124" i="1"/>
  <c r="D125" i="1"/>
  <c r="E125" i="1"/>
  <c r="F125" i="1"/>
  <c r="G125" i="1"/>
  <c r="H125" i="1"/>
  <c r="AB125" i="1"/>
  <c r="D126" i="1"/>
  <c r="E126" i="1"/>
  <c r="F126" i="1"/>
  <c r="G126" i="1"/>
  <c r="H126" i="1"/>
  <c r="AB126" i="1"/>
  <c r="D127" i="1"/>
  <c r="E127" i="1"/>
  <c r="F127" i="1"/>
  <c r="G127" i="1"/>
  <c r="H127" i="1"/>
  <c r="AB127" i="1"/>
  <c r="D128" i="1"/>
  <c r="E128" i="1"/>
  <c r="F128" i="1"/>
  <c r="G128" i="1"/>
  <c r="H128" i="1"/>
  <c r="AB128" i="1"/>
  <c r="D129" i="1"/>
  <c r="E129" i="1"/>
  <c r="F129" i="1"/>
  <c r="G129" i="1"/>
  <c r="H129" i="1"/>
  <c r="AB129" i="1"/>
  <c r="D130" i="1"/>
  <c r="E130" i="1"/>
  <c r="F130" i="1"/>
  <c r="G130" i="1"/>
  <c r="H130" i="1"/>
  <c r="AB130" i="1"/>
  <c r="D131" i="1"/>
  <c r="E131" i="1"/>
  <c r="F131" i="1"/>
  <c r="G131" i="1"/>
  <c r="H131" i="1"/>
  <c r="AB131" i="1"/>
  <c r="D132" i="1"/>
  <c r="E132" i="1"/>
  <c r="F132" i="1"/>
  <c r="G132" i="1"/>
  <c r="H132" i="1"/>
  <c r="AB132" i="1"/>
  <c r="D133" i="1"/>
  <c r="E133" i="1"/>
  <c r="F133" i="1"/>
  <c r="G133" i="1"/>
  <c r="H133" i="1"/>
  <c r="AB133" i="1"/>
  <c r="D134" i="1"/>
  <c r="E134" i="1"/>
  <c r="F134" i="1"/>
  <c r="G134" i="1"/>
  <c r="H134" i="1"/>
  <c r="AB134" i="1"/>
  <c r="D135" i="1"/>
  <c r="E135" i="1"/>
  <c r="F135" i="1"/>
  <c r="G135" i="1"/>
  <c r="H135" i="1"/>
  <c r="AB135" i="1"/>
  <c r="D136" i="1"/>
  <c r="E136" i="1"/>
  <c r="F136" i="1"/>
  <c r="G136" i="1"/>
  <c r="H136" i="1"/>
  <c r="AB136" i="1"/>
  <c r="D137" i="1"/>
  <c r="E137" i="1"/>
  <c r="F137" i="1"/>
  <c r="G137" i="1"/>
  <c r="H137" i="1"/>
  <c r="AB137" i="1"/>
  <c r="D138" i="1"/>
  <c r="E138" i="1"/>
  <c r="F138" i="1"/>
  <c r="G138" i="1"/>
  <c r="H138" i="1"/>
  <c r="AB138" i="1"/>
  <c r="D139" i="1"/>
  <c r="E139" i="1"/>
  <c r="F139" i="1"/>
  <c r="G139" i="1"/>
  <c r="H139" i="1"/>
  <c r="AB139" i="1"/>
  <c r="D140" i="1"/>
  <c r="E140" i="1"/>
  <c r="F140" i="1"/>
  <c r="G140" i="1"/>
  <c r="H140" i="1"/>
  <c r="AB140" i="1"/>
  <c r="D141" i="1"/>
  <c r="E141" i="1"/>
  <c r="F141" i="1"/>
  <c r="G141" i="1"/>
  <c r="H141" i="1"/>
  <c r="AB141" i="1"/>
  <c r="D142" i="1"/>
  <c r="E142" i="1"/>
  <c r="F142" i="1"/>
  <c r="G142" i="1"/>
  <c r="H142" i="1"/>
  <c r="AB142" i="1"/>
  <c r="D143" i="1"/>
  <c r="E143" i="1"/>
  <c r="F143" i="1"/>
  <c r="G143" i="1"/>
  <c r="H143" i="1"/>
  <c r="AB143" i="1"/>
  <c r="D144" i="1"/>
  <c r="E144" i="1"/>
  <c r="F144" i="1"/>
  <c r="G144" i="1"/>
  <c r="H144" i="1"/>
  <c r="AB144" i="1"/>
  <c r="D145" i="1"/>
  <c r="E145" i="1"/>
  <c r="F145" i="1"/>
  <c r="G145" i="1"/>
  <c r="H145" i="1"/>
  <c r="AB145" i="1"/>
  <c r="M145" i="2"/>
  <c r="D146" i="1"/>
  <c r="E146" i="1"/>
  <c r="F146" i="1"/>
  <c r="G146" i="1"/>
  <c r="H146" i="1"/>
  <c r="AB146" i="1"/>
  <c r="D147" i="1"/>
  <c r="E147" i="1"/>
  <c r="F147" i="1"/>
  <c r="G147" i="1"/>
  <c r="H147" i="1"/>
  <c r="AB147" i="1"/>
  <c r="D148" i="1"/>
  <c r="E148" i="1"/>
  <c r="F148" i="1"/>
  <c r="G148" i="1"/>
  <c r="H148" i="1"/>
  <c r="AB148" i="1"/>
  <c r="D149" i="1"/>
  <c r="E149" i="1"/>
  <c r="F149" i="1"/>
  <c r="G149" i="1"/>
  <c r="H149" i="1"/>
  <c r="AB149" i="1"/>
  <c r="M149" i="2"/>
  <c r="D150" i="1"/>
  <c r="E150" i="1"/>
  <c r="F150" i="1"/>
  <c r="G150" i="1"/>
  <c r="H150" i="1"/>
  <c r="AB150" i="1"/>
  <c r="D151" i="1"/>
  <c r="E151" i="1"/>
  <c r="F151" i="1"/>
  <c r="G151" i="1"/>
  <c r="H151" i="1"/>
  <c r="AB151" i="1"/>
  <c r="D152" i="1"/>
  <c r="E152" i="1"/>
  <c r="F152" i="1"/>
  <c r="G152" i="1"/>
  <c r="H152" i="1"/>
  <c r="AB152" i="1"/>
  <c r="D153" i="1"/>
  <c r="E153" i="1"/>
  <c r="F153" i="1"/>
  <c r="G153" i="1"/>
  <c r="H153" i="1"/>
  <c r="AB153" i="1"/>
  <c r="D154" i="1"/>
  <c r="E154" i="1"/>
  <c r="F154" i="1"/>
  <c r="G154" i="1"/>
  <c r="H154" i="1"/>
  <c r="AB154" i="1"/>
  <c r="D155" i="1"/>
  <c r="E155" i="1"/>
  <c r="F155" i="1"/>
  <c r="G155" i="1"/>
  <c r="H155" i="1"/>
  <c r="AB155" i="1"/>
  <c r="D156" i="1"/>
  <c r="E156" i="1"/>
  <c r="F156" i="1"/>
  <c r="G156" i="1"/>
  <c r="H156" i="1"/>
  <c r="AB156" i="1"/>
  <c r="D157" i="1"/>
  <c r="E157" i="1"/>
  <c r="F157" i="1"/>
  <c r="G157" i="1"/>
  <c r="H157" i="1"/>
  <c r="AB157" i="1"/>
  <c r="D158" i="1"/>
  <c r="E158" i="1"/>
  <c r="F158" i="1"/>
  <c r="G158" i="1"/>
  <c r="H158" i="1"/>
  <c r="AB158" i="1"/>
  <c r="D159" i="1"/>
  <c r="E159" i="1"/>
  <c r="F159" i="1"/>
  <c r="G159" i="1"/>
  <c r="H159" i="1"/>
  <c r="AB159" i="1"/>
  <c r="D160" i="1"/>
  <c r="E160" i="1"/>
  <c r="F160" i="1"/>
  <c r="G160" i="1"/>
  <c r="H160" i="1"/>
  <c r="AB160" i="1"/>
  <c r="D161" i="1"/>
  <c r="E161" i="1"/>
  <c r="F161" i="1"/>
  <c r="G161" i="1"/>
  <c r="H161" i="1"/>
  <c r="AB161" i="1"/>
  <c r="M161" i="2"/>
  <c r="D162" i="1"/>
  <c r="E162" i="1"/>
  <c r="F162" i="1"/>
  <c r="G162" i="1"/>
  <c r="H162" i="1"/>
  <c r="AB162" i="1"/>
  <c r="D163" i="1"/>
  <c r="E163" i="1"/>
  <c r="F163" i="1"/>
  <c r="G163" i="1"/>
  <c r="H163" i="1"/>
  <c r="AB163" i="1"/>
  <c r="D164" i="1"/>
  <c r="E164" i="1"/>
  <c r="F164" i="1"/>
  <c r="G164" i="1"/>
  <c r="H164" i="1"/>
  <c r="AB164" i="1"/>
  <c r="D165" i="1"/>
  <c r="E165" i="1"/>
  <c r="F165" i="1"/>
  <c r="G165" i="1"/>
  <c r="H165" i="1"/>
  <c r="AB165" i="1"/>
  <c r="D166" i="1"/>
  <c r="E166" i="1"/>
  <c r="F166" i="1"/>
  <c r="G166" i="1"/>
  <c r="H166" i="1"/>
  <c r="AB166" i="1"/>
  <c r="D167" i="1"/>
  <c r="E167" i="1"/>
  <c r="F167" i="1"/>
  <c r="G167" i="1"/>
  <c r="H167" i="1"/>
  <c r="AB167" i="1"/>
  <c r="D168" i="1"/>
  <c r="E168" i="1"/>
  <c r="F168" i="1"/>
  <c r="G168" i="1"/>
  <c r="H168" i="1"/>
  <c r="AB168" i="1"/>
  <c r="D169" i="1"/>
  <c r="E169" i="1"/>
  <c r="F169" i="1"/>
  <c r="G169" i="1"/>
  <c r="H169" i="1"/>
  <c r="AB169" i="1"/>
  <c r="D170" i="1"/>
  <c r="E170" i="1"/>
  <c r="F170" i="1"/>
  <c r="G170" i="1"/>
  <c r="H170" i="1"/>
  <c r="AB170" i="1"/>
  <c r="D171" i="1"/>
  <c r="E171" i="1"/>
  <c r="F171" i="1"/>
  <c r="G171" i="1"/>
  <c r="H171" i="1"/>
  <c r="AB171" i="1"/>
  <c r="D172" i="1"/>
  <c r="E172" i="1"/>
  <c r="F172" i="1"/>
  <c r="G172" i="1"/>
  <c r="H172" i="1"/>
  <c r="AB172" i="1"/>
  <c r="D173" i="1"/>
  <c r="E173" i="1"/>
  <c r="F173" i="1"/>
  <c r="G173" i="1"/>
  <c r="H173" i="1"/>
  <c r="AB173" i="1"/>
  <c r="D174" i="1"/>
  <c r="E174" i="1"/>
  <c r="F174" i="1"/>
  <c r="G174" i="1"/>
  <c r="H174" i="1"/>
  <c r="AB174" i="1"/>
  <c r="D175" i="1"/>
  <c r="E175" i="1"/>
  <c r="F175" i="1"/>
  <c r="G175" i="1"/>
  <c r="H175" i="1"/>
  <c r="AB175" i="1"/>
  <c r="D176" i="1"/>
  <c r="E176" i="1"/>
  <c r="F176" i="1"/>
  <c r="G176" i="1"/>
  <c r="H176" i="1"/>
  <c r="AB176" i="1"/>
  <c r="D177" i="1"/>
  <c r="E177" i="1"/>
  <c r="F177" i="1"/>
  <c r="G177" i="1"/>
  <c r="H177" i="1"/>
  <c r="AB177" i="1"/>
  <c r="D178" i="1"/>
  <c r="E178" i="1"/>
  <c r="F178" i="1"/>
  <c r="G178" i="1"/>
  <c r="H178" i="1"/>
  <c r="AB178" i="1"/>
  <c r="D179" i="1"/>
  <c r="E179" i="1"/>
  <c r="F179" i="1"/>
  <c r="G179" i="1"/>
  <c r="H179" i="1"/>
  <c r="AB179" i="1"/>
  <c r="D180" i="1"/>
  <c r="E180" i="1"/>
  <c r="F180" i="1"/>
  <c r="G180" i="1"/>
  <c r="H180" i="1"/>
  <c r="AB180" i="1"/>
  <c r="D181" i="1"/>
  <c r="E181" i="1"/>
  <c r="F181" i="1"/>
  <c r="G181" i="1"/>
  <c r="H181" i="1"/>
  <c r="AB181" i="1"/>
  <c r="D182" i="1"/>
  <c r="E182" i="1"/>
  <c r="F182" i="1"/>
  <c r="G182" i="1"/>
  <c r="H182" i="1"/>
  <c r="AB182" i="1"/>
  <c r="D183" i="1"/>
  <c r="E183" i="1"/>
  <c r="F183" i="1"/>
  <c r="G183" i="1"/>
  <c r="H183" i="1"/>
  <c r="AB183" i="1"/>
  <c r="D184" i="1"/>
  <c r="E184" i="1"/>
  <c r="F184" i="1"/>
  <c r="G184" i="1"/>
  <c r="H184" i="1"/>
  <c r="AB184" i="1"/>
  <c r="D185" i="1"/>
  <c r="E185" i="1"/>
  <c r="F185" i="1"/>
  <c r="G185" i="1"/>
  <c r="H185" i="1"/>
  <c r="AB185" i="1"/>
  <c r="D186" i="1"/>
  <c r="E186" i="1"/>
  <c r="F186" i="1"/>
  <c r="G186" i="1"/>
  <c r="H186" i="1"/>
  <c r="AB186" i="1"/>
  <c r="D187" i="1"/>
  <c r="E187" i="1"/>
  <c r="F187" i="1"/>
  <c r="G187" i="1"/>
  <c r="H187" i="1"/>
  <c r="AB187" i="1"/>
  <c r="D188" i="1"/>
  <c r="E188" i="1"/>
  <c r="F188" i="1"/>
  <c r="G188" i="1"/>
  <c r="H188" i="1"/>
  <c r="AB188" i="1"/>
  <c r="D189" i="1"/>
  <c r="E189" i="1"/>
  <c r="F189" i="1"/>
  <c r="G189" i="1"/>
  <c r="H189" i="1"/>
  <c r="AB189" i="1"/>
  <c r="D190" i="1"/>
  <c r="E190" i="1"/>
  <c r="F190" i="1"/>
  <c r="G190" i="1"/>
  <c r="H190" i="1"/>
  <c r="AB190" i="1"/>
  <c r="D191" i="1"/>
  <c r="E191" i="1"/>
  <c r="F191" i="1"/>
  <c r="G191" i="1"/>
  <c r="H191" i="1"/>
  <c r="AB191" i="1"/>
  <c r="D192" i="1"/>
  <c r="E192" i="1"/>
  <c r="F192" i="1"/>
  <c r="G192" i="1"/>
  <c r="H192" i="1"/>
  <c r="AB192" i="1"/>
  <c r="D193" i="1"/>
  <c r="E193" i="1"/>
  <c r="F193" i="1"/>
  <c r="G193" i="1"/>
  <c r="H193" i="1"/>
  <c r="AB193" i="1"/>
  <c r="D194" i="1"/>
  <c r="E194" i="1"/>
  <c r="F194" i="1"/>
  <c r="G194" i="1"/>
  <c r="H194" i="1"/>
  <c r="AB194" i="1"/>
  <c r="D195" i="1"/>
  <c r="E195" i="1"/>
  <c r="F195" i="1"/>
  <c r="G195" i="1"/>
  <c r="H195" i="1"/>
  <c r="AB195" i="1"/>
  <c r="D196" i="1"/>
  <c r="E196" i="1"/>
  <c r="F196" i="1"/>
  <c r="G196" i="1"/>
  <c r="H196" i="1"/>
  <c r="AB196" i="1"/>
  <c r="D197" i="1"/>
  <c r="E197" i="1"/>
  <c r="F197" i="1"/>
  <c r="G197" i="1"/>
  <c r="H197" i="1"/>
  <c r="AB197" i="1"/>
  <c r="D198" i="1"/>
  <c r="E198" i="1"/>
  <c r="F198" i="1"/>
  <c r="G198" i="1"/>
  <c r="H198" i="1"/>
  <c r="AB198" i="1"/>
  <c r="D199" i="1"/>
  <c r="E199" i="1"/>
  <c r="F199" i="1"/>
  <c r="G199" i="1"/>
  <c r="H199" i="1"/>
  <c r="AB199" i="1"/>
  <c r="D200" i="1"/>
  <c r="E200" i="1"/>
  <c r="F200" i="1"/>
  <c r="G200" i="1"/>
  <c r="H200" i="1"/>
  <c r="AB200" i="1"/>
  <c r="D201" i="1"/>
  <c r="E201" i="1"/>
  <c r="F201" i="1"/>
  <c r="G201" i="1"/>
  <c r="H201" i="1"/>
  <c r="AB201" i="1"/>
  <c r="D202" i="1"/>
  <c r="E202" i="1"/>
  <c r="F202" i="1"/>
  <c r="G202" i="1"/>
  <c r="H202" i="1"/>
  <c r="AB202" i="1"/>
  <c r="D203" i="1"/>
  <c r="E203" i="1"/>
  <c r="F203" i="1"/>
  <c r="G203" i="1"/>
  <c r="H203" i="1"/>
  <c r="AB203" i="1"/>
  <c r="D204" i="1"/>
  <c r="E204" i="1"/>
  <c r="F204" i="1"/>
  <c r="G204" i="1"/>
  <c r="H204" i="1"/>
  <c r="AB204" i="1"/>
  <c r="D205" i="1"/>
  <c r="E205" i="1"/>
  <c r="F205" i="1"/>
  <c r="G205" i="1"/>
  <c r="H205" i="1"/>
  <c r="AB205" i="1"/>
  <c r="D206" i="1"/>
  <c r="E206" i="1"/>
  <c r="F206" i="1"/>
  <c r="G206" i="1"/>
  <c r="H206" i="1"/>
  <c r="AB206" i="1"/>
  <c r="D207" i="1"/>
  <c r="E207" i="1"/>
  <c r="F207" i="1"/>
  <c r="G207" i="1"/>
  <c r="H207" i="1"/>
  <c r="AB207" i="1"/>
  <c r="D208" i="1"/>
  <c r="E208" i="1"/>
  <c r="F208" i="1"/>
  <c r="G208" i="1"/>
  <c r="H208" i="1"/>
  <c r="AB208" i="1"/>
  <c r="D209" i="1"/>
  <c r="E209" i="1"/>
  <c r="F209" i="1"/>
  <c r="G209" i="1"/>
  <c r="H209" i="1"/>
  <c r="AB209" i="1"/>
  <c r="D210" i="1"/>
  <c r="E210" i="1"/>
  <c r="F210" i="1"/>
  <c r="G210" i="1"/>
  <c r="H210" i="1"/>
  <c r="AB210" i="1"/>
  <c r="D211" i="1"/>
  <c r="E211" i="1"/>
  <c r="F211" i="1"/>
  <c r="G211" i="1"/>
  <c r="H211" i="1"/>
  <c r="AB211" i="1"/>
  <c r="D212" i="1"/>
  <c r="E212" i="1"/>
  <c r="F212" i="1"/>
  <c r="G212" i="1"/>
  <c r="H212" i="1"/>
  <c r="AB212" i="1"/>
  <c r="D213" i="1"/>
  <c r="E213" i="1"/>
  <c r="F213" i="1"/>
  <c r="G213" i="1"/>
  <c r="H213" i="1"/>
  <c r="AB213" i="1"/>
  <c r="D214" i="1"/>
  <c r="E214" i="1"/>
  <c r="F214" i="1"/>
  <c r="G214" i="1"/>
  <c r="H214" i="1"/>
  <c r="AB214" i="1"/>
  <c r="D215" i="1"/>
  <c r="E215" i="1"/>
  <c r="F215" i="1"/>
  <c r="G215" i="1"/>
  <c r="H215" i="1"/>
  <c r="AB215" i="1"/>
  <c r="D216" i="1"/>
  <c r="E216" i="1"/>
  <c r="F216" i="1"/>
  <c r="G216" i="1"/>
  <c r="H216" i="1"/>
  <c r="AB216" i="1"/>
  <c r="D217" i="1"/>
  <c r="E217" i="1"/>
  <c r="F217" i="1"/>
  <c r="G217" i="1"/>
  <c r="H217" i="1"/>
  <c r="AB217" i="1"/>
  <c r="D218" i="1"/>
  <c r="E218" i="1"/>
  <c r="F218" i="1"/>
  <c r="G218" i="1"/>
  <c r="H218" i="1"/>
  <c r="AB218" i="1"/>
  <c r="D219" i="1"/>
  <c r="E219" i="1"/>
  <c r="F219" i="1"/>
  <c r="G219" i="1"/>
  <c r="H219" i="1"/>
  <c r="AB219" i="1"/>
  <c r="D220" i="1"/>
  <c r="E220" i="1"/>
  <c r="F220" i="1"/>
  <c r="G220" i="1"/>
  <c r="H220" i="1"/>
  <c r="AB220" i="1"/>
  <c r="D221" i="1"/>
  <c r="E221" i="1"/>
  <c r="F221" i="1"/>
  <c r="G221" i="1"/>
  <c r="H221" i="1"/>
  <c r="AB221" i="1"/>
  <c r="D222" i="1"/>
  <c r="E222" i="1"/>
  <c r="F222" i="1"/>
  <c r="G222" i="1"/>
  <c r="H222" i="1"/>
  <c r="AB222" i="1"/>
  <c r="D223" i="1"/>
  <c r="E223" i="1"/>
  <c r="F223" i="1"/>
  <c r="G223" i="1"/>
  <c r="H223" i="1"/>
  <c r="AB223" i="1"/>
  <c r="D224" i="1"/>
  <c r="E224" i="1"/>
  <c r="F224" i="1"/>
  <c r="G224" i="1"/>
  <c r="H224" i="1"/>
  <c r="AB224" i="1"/>
  <c r="D225" i="1"/>
  <c r="E225" i="1"/>
  <c r="F225" i="1"/>
  <c r="G225" i="1"/>
  <c r="H225" i="1"/>
  <c r="AB225" i="1"/>
  <c r="D226" i="1"/>
  <c r="E226" i="1"/>
  <c r="F226" i="1"/>
  <c r="G226" i="1"/>
  <c r="H226" i="1"/>
  <c r="AB226" i="1"/>
  <c r="D227" i="1"/>
  <c r="E227" i="1"/>
  <c r="F227" i="1"/>
  <c r="G227" i="1"/>
  <c r="H227" i="1"/>
  <c r="AB227" i="1"/>
  <c r="D228" i="1"/>
  <c r="E228" i="1"/>
  <c r="F228" i="1"/>
  <c r="G228" i="1"/>
  <c r="H228" i="1"/>
  <c r="AB228" i="1"/>
  <c r="D229" i="1"/>
  <c r="E229" i="1"/>
  <c r="F229" i="1"/>
  <c r="G229" i="1"/>
  <c r="H229" i="1"/>
  <c r="AB229" i="1"/>
  <c r="D230" i="1"/>
  <c r="E230" i="1"/>
  <c r="F230" i="1"/>
  <c r="G230" i="1"/>
  <c r="H230" i="1"/>
  <c r="AB230" i="1"/>
  <c r="D231" i="1"/>
  <c r="E231" i="1"/>
  <c r="F231" i="1"/>
  <c r="G231" i="1"/>
  <c r="H231" i="1"/>
  <c r="AB231" i="1"/>
  <c r="D232" i="1"/>
  <c r="E232" i="1"/>
  <c r="F232" i="1"/>
  <c r="G232" i="1"/>
  <c r="H232" i="1"/>
  <c r="AB232" i="1"/>
  <c r="D233" i="1"/>
  <c r="E233" i="1"/>
  <c r="F233" i="1"/>
  <c r="G233" i="1"/>
  <c r="H233" i="1"/>
  <c r="AB233" i="1"/>
  <c r="D234" i="1"/>
  <c r="E234" i="1"/>
  <c r="F234" i="1"/>
  <c r="G234" i="1"/>
  <c r="H234" i="1"/>
  <c r="AB234" i="1"/>
  <c r="D235" i="1"/>
  <c r="E235" i="1"/>
  <c r="F235" i="1"/>
  <c r="G235" i="1"/>
  <c r="H235" i="1"/>
  <c r="AB235" i="1"/>
  <c r="D236" i="1"/>
  <c r="E236" i="1"/>
  <c r="F236" i="1"/>
  <c r="G236" i="1"/>
  <c r="H236" i="1"/>
  <c r="AB236" i="1"/>
  <c r="D237" i="1"/>
  <c r="E237" i="1"/>
  <c r="F237" i="1"/>
  <c r="G237" i="1"/>
  <c r="H237" i="1"/>
  <c r="AB237" i="1"/>
  <c r="D238" i="1"/>
  <c r="E238" i="1"/>
  <c r="F238" i="1"/>
  <c r="G238" i="1"/>
  <c r="H238" i="1"/>
  <c r="AB238" i="1"/>
  <c r="D239" i="1"/>
  <c r="E239" i="1"/>
  <c r="F239" i="1"/>
  <c r="G239" i="1"/>
  <c r="H239" i="1"/>
  <c r="AB239" i="1"/>
  <c r="D240" i="1"/>
  <c r="E240" i="1"/>
  <c r="F240" i="1"/>
  <c r="G240" i="1"/>
  <c r="H240" i="1"/>
  <c r="AB240" i="1"/>
  <c r="D241" i="1"/>
  <c r="E241" i="1"/>
  <c r="F241" i="1"/>
  <c r="G241" i="1"/>
  <c r="H241" i="1"/>
  <c r="AB241" i="1"/>
  <c r="D242" i="1"/>
  <c r="E242" i="1"/>
  <c r="F242" i="1"/>
  <c r="G242" i="1"/>
  <c r="H242" i="1"/>
  <c r="AB242" i="1"/>
  <c r="D243" i="1"/>
  <c r="E243" i="1"/>
  <c r="F243" i="1"/>
  <c r="G243" i="1"/>
  <c r="H243" i="1"/>
  <c r="AB243" i="1"/>
  <c r="D244" i="1"/>
  <c r="E244" i="1"/>
  <c r="F244" i="1"/>
  <c r="G244" i="1"/>
  <c r="H244" i="1"/>
  <c r="AB244" i="1"/>
  <c r="D245" i="1"/>
  <c r="E245" i="1"/>
  <c r="F245" i="1"/>
  <c r="G245" i="1"/>
  <c r="H245" i="1"/>
  <c r="AB245" i="1"/>
  <c r="D246" i="1"/>
  <c r="E246" i="1"/>
  <c r="F246" i="1"/>
  <c r="G246" i="1"/>
  <c r="H246" i="1"/>
  <c r="AB246" i="1"/>
  <c r="D247" i="1"/>
  <c r="E247" i="1"/>
  <c r="F247" i="1"/>
  <c r="G247" i="1"/>
  <c r="H247" i="1"/>
  <c r="AB247" i="1"/>
  <c r="D248" i="1"/>
  <c r="E248" i="1"/>
  <c r="F248" i="1"/>
  <c r="G248" i="1"/>
  <c r="H248" i="1"/>
  <c r="AB248" i="1"/>
  <c r="D249" i="1"/>
  <c r="E249" i="1"/>
  <c r="F249" i="1"/>
  <c r="G249" i="1"/>
  <c r="H249" i="1"/>
  <c r="AB249" i="1"/>
  <c r="M249" i="2"/>
  <c r="G251" i="5"/>
  <c r="D250" i="1"/>
  <c r="E250" i="1"/>
  <c r="F250" i="1"/>
  <c r="G250" i="1"/>
  <c r="H250" i="1"/>
  <c r="AB250" i="1"/>
  <c r="D251" i="1"/>
  <c r="E251" i="1"/>
  <c r="F251" i="1"/>
  <c r="G251" i="1"/>
  <c r="H251" i="1"/>
  <c r="AB251" i="1"/>
  <c r="M251" i="2"/>
  <c r="D252" i="1"/>
  <c r="E252" i="1"/>
  <c r="F252" i="1"/>
  <c r="G252" i="1"/>
  <c r="H252" i="1"/>
  <c r="AB252" i="1"/>
  <c r="D253" i="1"/>
  <c r="E253" i="1"/>
  <c r="F253" i="1"/>
  <c r="G253" i="1"/>
  <c r="H253" i="1"/>
  <c r="AB253" i="1"/>
  <c r="M253" i="2"/>
  <c r="D254" i="1"/>
  <c r="E254" i="1"/>
  <c r="F254" i="1"/>
  <c r="G254" i="1"/>
  <c r="H254" i="1"/>
  <c r="AB254" i="1"/>
  <c r="D255" i="1"/>
  <c r="E255" i="1"/>
  <c r="F255" i="1"/>
  <c r="G255" i="1"/>
  <c r="H255" i="1"/>
  <c r="AB255" i="1"/>
  <c r="M255" i="2"/>
  <c r="G257" i="5"/>
  <c r="D256" i="1"/>
  <c r="E256" i="1"/>
  <c r="F256" i="1"/>
  <c r="G256" i="1"/>
  <c r="H256" i="1"/>
  <c r="AB256" i="1"/>
  <c r="M256" i="2"/>
  <c r="D257" i="1"/>
  <c r="E257" i="1"/>
  <c r="F257" i="1"/>
  <c r="G257" i="1"/>
  <c r="H257" i="1"/>
  <c r="AB257" i="1"/>
  <c r="M257" i="2"/>
  <c r="D258" i="1"/>
  <c r="E258" i="1"/>
  <c r="F258" i="1"/>
  <c r="G258" i="1"/>
  <c r="H258" i="1"/>
  <c r="AB258" i="1"/>
  <c r="D259" i="1"/>
  <c r="E259" i="1"/>
  <c r="F259" i="1"/>
  <c r="G259" i="1"/>
  <c r="H259" i="1"/>
  <c r="AB259" i="1"/>
  <c r="M259" i="2"/>
  <c r="D260" i="1"/>
  <c r="E260" i="1"/>
  <c r="F260" i="1"/>
  <c r="G260" i="1"/>
  <c r="H260" i="1"/>
  <c r="AB260" i="1"/>
  <c r="M260" i="2"/>
  <c r="D261" i="1"/>
  <c r="E261" i="1"/>
  <c r="F261" i="1"/>
  <c r="G261" i="1"/>
  <c r="H261" i="1"/>
  <c r="AB261" i="1"/>
  <c r="M261" i="2"/>
  <c r="D262" i="1"/>
  <c r="E262" i="1"/>
  <c r="F262" i="1"/>
  <c r="G262" i="1"/>
  <c r="H262" i="1"/>
  <c r="AB262" i="1"/>
  <c r="D263" i="1"/>
  <c r="E263" i="1"/>
  <c r="F263" i="1"/>
  <c r="G263" i="1"/>
  <c r="H263" i="1"/>
  <c r="AB263" i="1"/>
  <c r="M263" i="2"/>
  <c r="D264" i="1"/>
  <c r="E264" i="1"/>
  <c r="F264" i="1"/>
  <c r="G264" i="1"/>
  <c r="H264" i="1"/>
  <c r="AB264" i="1"/>
  <c r="M264" i="2"/>
  <c r="D265" i="1"/>
  <c r="E265" i="1"/>
  <c r="F265" i="1"/>
  <c r="G265" i="1"/>
  <c r="H265" i="1"/>
  <c r="AB265" i="1"/>
  <c r="M265" i="2"/>
  <c r="D266" i="1"/>
  <c r="E266" i="1"/>
  <c r="F266" i="1"/>
  <c r="G266" i="1"/>
  <c r="H266" i="1"/>
  <c r="AB266" i="1"/>
  <c r="D267" i="1"/>
  <c r="E267" i="1"/>
  <c r="F267" i="1"/>
  <c r="G267" i="1"/>
  <c r="H267" i="1"/>
  <c r="AB267" i="1"/>
  <c r="M267" i="2"/>
  <c r="D268" i="1"/>
  <c r="E268" i="1"/>
  <c r="F268" i="1"/>
  <c r="G268" i="1"/>
  <c r="H268" i="1"/>
  <c r="AB268" i="1"/>
  <c r="M268" i="2"/>
  <c r="D269" i="1"/>
  <c r="E269" i="1"/>
  <c r="F269" i="1"/>
  <c r="G269" i="1"/>
  <c r="H269" i="1"/>
  <c r="AB269" i="1"/>
  <c r="M269" i="2"/>
  <c r="G271" i="5"/>
  <c r="D270" i="1"/>
  <c r="E270" i="1"/>
  <c r="F270" i="1"/>
  <c r="G270" i="1"/>
  <c r="H270" i="1"/>
  <c r="AB270" i="1"/>
  <c r="D271" i="1"/>
  <c r="E271" i="1"/>
  <c r="F271" i="1"/>
  <c r="G271" i="1"/>
  <c r="H271" i="1"/>
  <c r="AB271" i="1"/>
  <c r="M271" i="2"/>
  <c r="G273" i="5"/>
  <c r="D272" i="1"/>
  <c r="E272" i="1"/>
  <c r="F272" i="1"/>
  <c r="G272" i="1"/>
  <c r="H272" i="1"/>
  <c r="AB272" i="1"/>
  <c r="M272" i="2"/>
  <c r="D273" i="1"/>
  <c r="E273" i="1"/>
  <c r="F273" i="1"/>
  <c r="G273" i="1"/>
  <c r="H273" i="1"/>
  <c r="AB273" i="1"/>
  <c r="D274" i="1"/>
  <c r="E274" i="1"/>
  <c r="F274" i="1"/>
  <c r="G274" i="1"/>
  <c r="H274" i="1"/>
  <c r="AB274" i="1"/>
  <c r="D275" i="1"/>
  <c r="E275" i="1"/>
  <c r="F275" i="1"/>
  <c r="G275" i="1"/>
  <c r="H275" i="1"/>
  <c r="AB275" i="1"/>
  <c r="M275" i="2"/>
  <c r="D276" i="1"/>
  <c r="E276" i="1"/>
  <c r="F276" i="1"/>
  <c r="G276" i="1"/>
  <c r="H276" i="1"/>
  <c r="AB276" i="1"/>
  <c r="M276" i="2"/>
  <c r="D277" i="1"/>
  <c r="E277" i="1"/>
  <c r="F277" i="1"/>
  <c r="G277" i="1"/>
  <c r="H277" i="1"/>
  <c r="AB277" i="1"/>
  <c r="M277" i="2"/>
  <c r="D278" i="1"/>
  <c r="E278" i="1"/>
  <c r="F278" i="1"/>
  <c r="G278" i="1"/>
  <c r="H278" i="1"/>
  <c r="AB278" i="1"/>
  <c r="D279" i="1"/>
  <c r="E279" i="1"/>
  <c r="F279" i="1"/>
  <c r="G279" i="1"/>
  <c r="H279" i="1"/>
  <c r="AB279" i="1"/>
  <c r="M279" i="2"/>
  <c r="D280" i="1"/>
  <c r="E280" i="1"/>
  <c r="F280" i="1"/>
  <c r="G280" i="1"/>
  <c r="H280" i="1"/>
  <c r="AB280" i="1"/>
  <c r="M280" i="2"/>
  <c r="D281" i="1"/>
  <c r="E281" i="1"/>
  <c r="F281" i="1"/>
  <c r="G281" i="1"/>
  <c r="H281" i="1"/>
  <c r="AB281" i="1"/>
  <c r="M281" i="2"/>
  <c r="D282" i="1"/>
  <c r="E282" i="1"/>
  <c r="F282" i="1"/>
  <c r="G282" i="1"/>
  <c r="H282" i="1"/>
  <c r="AB282" i="1"/>
  <c r="D283" i="1"/>
  <c r="E283" i="1"/>
  <c r="F283" i="1"/>
  <c r="G283" i="1"/>
  <c r="H283" i="1"/>
  <c r="AB283" i="1"/>
  <c r="M283" i="2"/>
  <c r="D284" i="1"/>
  <c r="E284" i="1"/>
  <c r="F284" i="1"/>
  <c r="G284" i="1"/>
  <c r="H284" i="1"/>
  <c r="AB284" i="1"/>
  <c r="M284" i="2"/>
  <c r="D285" i="1"/>
  <c r="E285" i="1"/>
  <c r="F285" i="1"/>
  <c r="G285" i="1"/>
  <c r="H285" i="1"/>
  <c r="AB285" i="1"/>
  <c r="M285" i="2"/>
  <c r="G287" i="5"/>
  <c r="D286" i="1"/>
  <c r="E286" i="1"/>
  <c r="F286" i="1"/>
  <c r="G286" i="1"/>
  <c r="H286" i="1"/>
  <c r="AB286" i="1"/>
  <c r="D287" i="1"/>
  <c r="E287" i="1"/>
  <c r="F287" i="1"/>
  <c r="G287" i="1"/>
  <c r="H287" i="1"/>
  <c r="AB287" i="1"/>
  <c r="M287" i="2"/>
  <c r="G289" i="5"/>
  <c r="D288" i="1"/>
  <c r="E288" i="1"/>
  <c r="F288" i="1"/>
  <c r="G288" i="1"/>
  <c r="H288" i="1"/>
  <c r="AB288" i="1"/>
  <c r="D289" i="1"/>
  <c r="E289" i="1"/>
  <c r="F289" i="1"/>
  <c r="G289" i="1"/>
  <c r="H289" i="1"/>
  <c r="AB289" i="1"/>
  <c r="M289" i="2"/>
  <c r="D290" i="1"/>
  <c r="E290" i="1"/>
  <c r="F290" i="1"/>
  <c r="G290" i="1"/>
  <c r="H290" i="1"/>
  <c r="AB290" i="1"/>
  <c r="D291" i="1"/>
  <c r="E291" i="1"/>
  <c r="F291" i="1"/>
  <c r="G291" i="1"/>
  <c r="H291" i="1"/>
  <c r="AB291" i="1"/>
  <c r="M291" i="2"/>
  <c r="D292" i="1"/>
  <c r="E292" i="1"/>
  <c r="F292" i="1"/>
  <c r="G292" i="1"/>
  <c r="H292" i="1"/>
  <c r="AB292" i="1"/>
  <c r="M292" i="2"/>
  <c r="D293" i="1"/>
  <c r="E293" i="1"/>
  <c r="F293" i="1"/>
  <c r="G293" i="1"/>
  <c r="H293" i="1"/>
  <c r="AB293" i="1"/>
  <c r="M293" i="2"/>
  <c r="G295" i="5"/>
  <c r="D294" i="1"/>
  <c r="E294" i="1"/>
  <c r="F294" i="1"/>
  <c r="G294" i="1"/>
  <c r="H294" i="1"/>
  <c r="AB294" i="1"/>
  <c r="D295" i="1"/>
  <c r="E295" i="1"/>
  <c r="F295" i="1"/>
  <c r="G295" i="1"/>
  <c r="H295" i="1"/>
  <c r="AB295" i="1"/>
  <c r="M295" i="2"/>
  <c r="D296" i="1"/>
  <c r="E296" i="1"/>
  <c r="F296" i="1"/>
  <c r="G296" i="1"/>
  <c r="H296" i="1"/>
  <c r="AB296" i="1"/>
  <c r="D297" i="1"/>
  <c r="E297" i="1"/>
  <c r="F297" i="1"/>
  <c r="G297" i="1"/>
  <c r="H297" i="1"/>
  <c r="AB297" i="1"/>
  <c r="M297" i="2"/>
  <c r="G299" i="5"/>
  <c r="D298" i="1"/>
  <c r="E298" i="1"/>
  <c r="F298" i="1"/>
  <c r="G298" i="1"/>
  <c r="H298" i="1"/>
  <c r="AB298" i="1"/>
  <c r="D299" i="1"/>
  <c r="E299" i="1"/>
  <c r="F299" i="1"/>
  <c r="G299" i="1"/>
  <c r="H299" i="1"/>
  <c r="AB299" i="1"/>
  <c r="M299" i="2"/>
  <c r="D300" i="1"/>
  <c r="E300" i="1"/>
  <c r="F300" i="1"/>
  <c r="G300" i="1"/>
  <c r="H300" i="1"/>
  <c r="AB300" i="1"/>
  <c r="M300" i="2"/>
  <c r="D301" i="1"/>
  <c r="E301" i="1"/>
  <c r="F301" i="1"/>
  <c r="G301" i="1"/>
  <c r="H301" i="1"/>
  <c r="AB301" i="1"/>
  <c r="M301" i="2"/>
  <c r="D302" i="1"/>
  <c r="E302" i="1"/>
  <c r="F302" i="1"/>
  <c r="G302" i="1"/>
  <c r="H302" i="1"/>
  <c r="AB302" i="1"/>
  <c r="D303" i="1"/>
  <c r="E303" i="1"/>
  <c r="F303" i="1"/>
  <c r="G303" i="1"/>
  <c r="H303" i="1"/>
  <c r="AB303" i="1"/>
  <c r="D304" i="1"/>
  <c r="E304" i="1"/>
  <c r="F304" i="1"/>
  <c r="G304" i="1"/>
  <c r="H304" i="1"/>
  <c r="AB304" i="1"/>
  <c r="M304" i="2"/>
  <c r="G306" i="5"/>
  <c r="D305" i="1"/>
  <c r="E305" i="1"/>
  <c r="F305" i="1"/>
  <c r="G305" i="1"/>
  <c r="H305" i="1"/>
  <c r="AB305" i="1"/>
  <c r="M305" i="2"/>
  <c r="D306" i="1"/>
  <c r="E306" i="1"/>
  <c r="F306" i="1"/>
  <c r="G306" i="1"/>
  <c r="H306" i="1"/>
  <c r="AB306" i="1"/>
  <c r="M306" i="2"/>
  <c r="D307" i="1"/>
  <c r="E307" i="1"/>
  <c r="F307" i="1"/>
  <c r="G307" i="1"/>
  <c r="H307" i="1"/>
  <c r="AB307" i="1"/>
  <c r="M307" i="2"/>
  <c r="D308" i="1"/>
  <c r="E308" i="1"/>
  <c r="F308" i="1"/>
  <c r="G308" i="1"/>
  <c r="H308" i="1"/>
  <c r="AB308" i="1"/>
  <c r="M308" i="2"/>
  <c r="G310" i="5"/>
  <c r="D309" i="1"/>
  <c r="E309" i="1"/>
  <c r="F309" i="1"/>
  <c r="G309" i="1"/>
  <c r="H309" i="1"/>
  <c r="AB309" i="1"/>
  <c r="M309" i="2"/>
  <c r="D310" i="1"/>
  <c r="E310" i="1"/>
  <c r="F310" i="1"/>
  <c r="G310" i="1"/>
  <c r="H310" i="1"/>
  <c r="AB310" i="1"/>
  <c r="M310" i="2"/>
  <c r="D311" i="1"/>
  <c r="E311" i="1"/>
  <c r="F311" i="1"/>
  <c r="G311" i="1"/>
  <c r="H311" i="1"/>
  <c r="AB311" i="1"/>
  <c r="M311" i="2"/>
  <c r="G313" i="5"/>
  <c r="D312" i="1"/>
  <c r="E312" i="1"/>
  <c r="F312" i="1"/>
  <c r="G312" i="1"/>
  <c r="H312" i="1"/>
  <c r="AB312" i="1"/>
  <c r="M312" i="2"/>
  <c r="D313" i="1"/>
  <c r="E313" i="1"/>
  <c r="F313" i="1"/>
  <c r="G313" i="1"/>
  <c r="H313" i="1"/>
  <c r="AB313" i="1"/>
  <c r="M313" i="2"/>
  <c r="D314" i="1"/>
  <c r="E314" i="1"/>
  <c r="F314" i="1"/>
  <c r="G314" i="1"/>
  <c r="H314" i="1"/>
  <c r="AB314" i="1"/>
  <c r="M314" i="2"/>
  <c r="G316" i="5"/>
  <c r="D315" i="1"/>
  <c r="E315" i="1"/>
  <c r="F315" i="1"/>
  <c r="G315" i="1"/>
  <c r="H315" i="1"/>
  <c r="AB315" i="1"/>
  <c r="M315" i="2"/>
  <c r="D316" i="1"/>
  <c r="E316" i="1"/>
  <c r="F316" i="1"/>
  <c r="G316" i="1"/>
  <c r="H316" i="1"/>
  <c r="AB316" i="1"/>
  <c r="M316" i="2"/>
  <c r="D317" i="1"/>
  <c r="E317" i="1"/>
  <c r="F317" i="1"/>
  <c r="G317" i="1"/>
  <c r="H317" i="1"/>
  <c r="AB317" i="1"/>
  <c r="M317" i="2"/>
  <c r="D318" i="1"/>
  <c r="E318" i="1"/>
  <c r="F318" i="1"/>
  <c r="G318" i="1"/>
  <c r="H318" i="1"/>
  <c r="AB318" i="1"/>
  <c r="M318" i="2"/>
  <c r="D319" i="1"/>
  <c r="E319" i="1"/>
  <c r="F319" i="1"/>
  <c r="G319" i="1"/>
  <c r="H319" i="1"/>
  <c r="AB319" i="1"/>
  <c r="M319" i="2"/>
  <c r="D320" i="1"/>
  <c r="E320" i="1"/>
  <c r="F320" i="1"/>
  <c r="G320" i="1"/>
  <c r="H320" i="1"/>
  <c r="AB320" i="1"/>
  <c r="M320" i="2"/>
  <c r="D321" i="1"/>
  <c r="E321" i="1"/>
  <c r="F321" i="1"/>
  <c r="G321" i="1"/>
  <c r="H321" i="1"/>
  <c r="AB321" i="1"/>
  <c r="M321" i="2"/>
  <c r="D322" i="1"/>
  <c r="E322" i="1"/>
  <c r="F322" i="1"/>
  <c r="G322" i="1"/>
  <c r="H322" i="1"/>
  <c r="AB322" i="1"/>
  <c r="M322" i="2"/>
  <c r="D323" i="1"/>
  <c r="E323" i="1"/>
  <c r="F323" i="1"/>
  <c r="G323" i="1"/>
  <c r="H323" i="1"/>
  <c r="AB323" i="1"/>
  <c r="M323" i="2"/>
  <c r="D324" i="1"/>
  <c r="E324" i="1"/>
  <c r="F324" i="1"/>
  <c r="G324" i="1"/>
  <c r="H324" i="1"/>
  <c r="AB324" i="1"/>
  <c r="M324" i="2"/>
  <c r="D325" i="1"/>
  <c r="E325" i="1"/>
  <c r="F325" i="1"/>
  <c r="G325" i="1"/>
  <c r="H325" i="1"/>
  <c r="AB325" i="1"/>
  <c r="M325" i="2"/>
  <c r="D326" i="1"/>
  <c r="E326" i="1"/>
  <c r="F326" i="1"/>
  <c r="G326" i="1"/>
  <c r="H326" i="1"/>
  <c r="AB326" i="1"/>
  <c r="M326" i="2"/>
  <c r="D327" i="1"/>
  <c r="E327" i="1"/>
  <c r="F327" i="1"/>
  <c r="G327" i="1"/>
  <c r="H327" i="1"/>
  <c r="AB327" i="1"/>
  <c r="M327" i="2"/>
  <c r="D328" i="1"/>
  <c r="E328" i="1"/>
  <c r="F328" i="1"/>
  <c r="G328" i="1"/>
  <c r="H328" i="1"/>
  <c r="AB328" i="1"/>
  <c r="M328" i="2"/>
  <c r="D329" i="1"/>
  <c r="E329" i="1"/>
  <c r="F329" i="1"/>
  <c r="G329" i="1"/>
  <c r="H329" i="1"/>
  <c r="AB329" i="1"/>
  <c r="M329" i="2"/>
  <c r="D330" i="1"/>
  <c r="E330" i="1"/>
  <c r="F330" i="1"/>
  <c r="G330" i="1"/>
  <c r="H330" i="1"/>
  <c r="AB330" i="1"/>
  <c r="M330" i="2"/>
  <c r="D331" i="1"/>
  <c r="E331" i="1"/>
  <c r="F331" i="1"/>
  <c r="G331" i="1"/>
  <c r="H331" i="1"/>
  <c r="AB331" i="1"/>
  <c r="M331" i="2"/>
  <c r="D332" i="1"/>
  <c r="E332" i="1"/>
  <c r="F332" i="1"/>
  <c r="G332" i="1"/>
  <c r="H332" i="1"/>
  <c r="AB332" i="1"/>
  <c r="M332" i="2"/>
  <c r="D333" i="1"/>
  <c r="E333" i="1"/>
  <c r="F333" i="1"/>
  <c r="G333" i="1"/>
  <c r="H333" i="1"/>
  <c r="AB333" i="1"/>
  <c r="M333" i="2"/>
  <c r="D334" i="1"/>
  <c r="E334" i="1"/>
  <c r="F334" i="1"/>
  <c r="G334" i="1"/>
  <c r="H334" i="1"/>
  <c r="AB334" i="1"/>
  <c r="M334" i="2"/>
  <c r="D335" i="1"/>
  <c r="E335" i="1"/>
  <c r="F335" i="1"/>
  <c r="G335" i="1"/>
  <c r="H335" i="1"/>
  <c r="AB335" i="1"/>
  <c r="M335" i="2"/>
  <c r="D336" i="1"/>
  <c r="E336" i="1"/>
  <c r="F336" i="1"/>
  <c r="G336" i="1"/>
  <c r="H336" i="1"/>
  <c r="AB336" i="1"/>
  <c r="M336" i="2"/>
  <c r="D337" i="1"/>
  <c r="E337" i="1"/>
  <c r="F337" i="1"/>
  <c r="G337" i="1"/>
  <c r="H337" i="1"/>
  <c r="AB337" i="1"/>
  <c r="M337" i="2"/>
  <c r="D338" i="1"/>
  <c r="E338" i="1"/>
  <c r="F338" i="1"/>
  <c r="G338" i="1"/>
  <c r="H338" i="1"/>
  <c r="AB338" i="1"/>
  <c r="M338" i="2"/>
  <c r="G340" i="5"/>
  <c r="D339" i="1"/>
  <c r="E339" i="1"/>
  <c r="F339" i="1"/>
  <c r="G339" i="1"/>
  <c r="H339" i="1"/>
  <c r="AB339" i="1"/>
  <c r="M339" i="2"/>
  <c r="D340" i="1"/>
  <c r="E340" i="1"/>
  <c r="F340" i="1"/>
  <c r="G340" i="1"/>
  <c r="H340" i="1"/>
  <c r="AB340" i="1"/>
  <c r="M340" i="2"/>
  <c r="G342" i="5"/>
  <c r="D341" i="1"/>
  <c r="E341" i="1"/>
  <c r="F341" i="1"/>
  <c r="G341" i="1"/>
  <c r="H341" i="1"/>
  <c r="AB341" i="1"/>
  <c r="M341" i="2"/>
  <c r="D342" i="1"/>
  <c r="E342" i="1"/>
  <c r="F342" i="1"/>
  <c r="G342" i="1"/>
  <c r="H342" i="1"/>
  <c r="AB342" i="1"/>
  <c r="M342" i="2"/>
  <c r="D343" i="1"/>
  <c r="E343" i="1"/>
  <c r="F343" i="1"/>
  <c r="G343" i="1"/>
  <c r="H343" i="1"/>
  <c r="AB343" i="1"/>
  <c r="M343" i="2"/>
  <c r="D344" i="1"/>
  <c r="AC344" i="1"/>
  <c r="E344" i="1"/>
  <c r="F344" i="1"/>
  <c r="G344" i="1"/>
  <c r="H344" i="1"/>
  <c r="AB344" i="1"/>
  <c r="E8" i="1"/>
  <c r="F8" i="1"/>
  <c r="G8" i="1"/>
  <c r="H8" i="1"/>
  <c r="AB8" i="1"/>
  <c r="D8" i="1"/>
  <c r="E7" i="7"/>
  <c r="D22" i="7"/>
  <c r="D20" i="7"/>
  <c r="D23" i="7"/>
  <c r="D17" i="7"/>
  <c r="D16" i="7"/>
  <c r="D15" i="7"/>
  <c r="D14" i="7"/>
  <c r="D13" i="7"/>
  <c r="D12" i="7"/>
  <c r="D11" i="7"/>
  <c r="D10" i="7"/>
  <c r="D9" i="7"/>
  <c r="I114" i="10"/>
  <c r="A15" i="10"/>
  <c r="A14" i="10"/>
  <c r="A13" i="10"/>
  <c r="A94" i="10"/>
  <c r="A93" i="10"/>
  <c r="A92" i="10"/>
  <c r="A83" i="10"/>
  <c r="A82" i="10"/>
  <c r="A81" i="10"/>
  <c r="A80" i="10"/>
  <c r="A79" i="10"/>
  <c r="A78" i="10"/>
  <c r="A77" i="10"/>
  <c r="A41" i="10"/>
  <c r="A40" i="10"/>
  <c r="A39" i="10"/>
  <c r="N69" i="10"/>
  <c r="A61" i="10"/>
  <c r="N59" i="10"/>
  <c r="N41" i="10"/>
  <c r="N40" i="10"/>
  <c r="N39" i="10"/>
  <c r="N23" i="10"/>
  <c r="N22" i="10"/>
  <c r="N15" i="10"/>
  <c r="N14" i="10"/>
  <c r="N13" i="10"/>
  <c r="A37" i="10"/>
  <c r="A36" i="10"/>
  <c r="A35" i="10"/>
  <c r="A34" i="10"/>
  <c r="A33" i="10"/>
  <c r="A32" i="10"/>
  <c r="A31" i="10"/>
  <c r="A91" i="10"/>
  <c r="A90" i="10"/>
  <c r="A89" i="10"/>
  <c r="A88" i="10"/>
  <c r="A87" i="10"/>
  <c r="A86" i="10"/>
  <c r="A85" i="10"/>
  <c r="B130" i="10"/>
  <c r="A127" i="10"/>
  <c r="B123" i="10"/>
  <c r="B117" i="10"/>
  <c r="A115" i="10"/>
  <c r="A114" i="10"/>
  <c r="B110" i="10"/>
  <c r="B104" i="10"/>
  <c r="A108" i="10"/>
  <c r="A102" i="10"/>
  <c r="B98" i="10"/>
  <c r="A95" i="10"/>
  <c r="A96" i="10"/>
  <c r="O3"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8" i="12"/>
  <c r="A1" i="12"/>
  <c r="G4" i="8"/>
  <c r="D4" i="8"/>
  <c r="A1" i="5"/>
  <c r="A1" i="2"/>
  <c r="AD4" i="1"/>
  <c r="AC4" i="1"/>
  <c r="A1" i="4"/>
  <c r="B71" i="10"/>
  <c r="A68" i="10"/>
  <c r="A67" i="10"/>
  <c r="B63" i="10"/>
  <c r="A60" i="10"/>
  <c r="A59" i="10"/>
  <c r="B55" i="10"/>
  <c r="B49" i="10"/>
  <c r="B43" i="10"/>
  <c r="A38" i="10"/>
  <c r="A29" i="10"/>
  <c r="A28" i="10"/>
  <c r="A27" i="10"/>
  <c r="A26" i="10"/>
  <c r="A25" i="10"/>
  <c r="A24" i="10"/>
  <c r="A23" i="10"/>
  <c r="A22" i="10"/>
  <c r="B18" i="10"/>
  <c r="A12" i="10"/>
  <c r="A30" i="10"/>
  <c r="B140" i="14"/>
  <c r="B139" i="14"/>
  <c r="B138" i="14"/>
  <c r="B137" i="14"/>
  <c r="B130" i="14"/>
  <c r="B131" i="14"/>
  <c r="B129" i="14"/>
  <c r="B128" i="14"/>
  <c r="B122" i="14"/>
  <c r="B121" i="14"/>
  <c r="B120" i="14"/>
  <c r="B119" i="14"/>
  <c r="B113" i="14"/>
  <c r="B112" i="14"/>
  <c r="B111" i="14"/>
  <c r="B110" i="14"/>
  <c r="B99" i="14"/>
  <c r="B100" i="14"/>
  <c r="B101" i="14"/>
  <c r="B102" i="14"/>
  <c r="B103" i="14"/>
  <c r="B104" i="14"/>
  <c r="B98" i="14"/>
  <c r="B88" i="14"/>
  <c r="B89" i="14"/>
  <c r="B90" i="14"/>
  <c r="B91" i="14"/>
  <c r="B92" i="14"/>
  <c r="B93" i="14"/>
  <c r="B87" i="14"/>
  <c r="B77" i="14"/>
  <c r="B78" i="14"/>
  <c r="B79" i="14"/>
  <c r="B80" i="14"/>
  <c r="B81" i="14"/>
  <c r="B82" i="14"/>
  <c r="B76" i="14"/>
  <c r="B66" i="14"/>
  <c r="B67" i="14"/>
  <c r="B68" i="14"/>
  <c r="B69" i="14"/>
  <c r="B70" i="14"/>
  <c r="B71" i="14"/>
  <c r="B65" i="14"/>
  <c r="B59" i="14"/>
  <c r="B58" i="14"/>
  <c r="B57" i="14"/>
  <c r="B56" i="14"/>
  <c r="C46" i="14"/>
  <c r="C45" i="14"/>
  <c r="C44" i="14"/>
  <c r="C43" i="14"/>
  <c r="C36" i="14"/>
  <c r="C37" i="14"/>
  <c r="C38" i="14"/>
  <c r="C39" i="14"/>
  <c r="C40" i="14"/>
  <c r="C41" i="14"/>
  <c r="C42" i="14"/>
  <c r="C35" i="14"/>
  <c r="A20" i="14"/>
  <c r="K7" i="14"/>
  <c r="J7" i="14"/>
  <c r="I7" i="14"/>
  <c r="H7" i="14"/>
  <c r="G7" i="14"/>
  <c r="F7" i="14"/>
  <c r="E7" i="14"/>
  <c r="D7" i="14"/>
  <c r="B92" i="7"/>
  <c r="A104" i="7"/>
  <c r="B134" i="7"/>
  <c r="B111" i="7"/>
  <c r="B120" i="7"/>
  <c r="B94" i="7"/>
  <c r="B93" i="7"/>
  <c r="B91" i="7"/>
  <c r="A89" i="7"/>
  <c r="B73" i="7"/>
  <c r="B63" i="7"/>
  <c r="F7" i="7"/>
  <c r="D7" i="7"/>
  <c r="C7" i="7"/>
  <c r="D2" i="7"/>
  <c r="O9" i="11"/>
  <c r="O10"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Y331" i="1"/>
  <c r="X331" i="1"/>
  <c r="Y309" i="1"/>
  <c r="F309" i="2"/>
  <c r="X309" i="1"/>
  <c r="Y288" i="1"/>
  <c r="F288" i="2"/>
  <c r="X288" i="1"/>
  <c r="G6" i="4"/>
  <c r="F6" i="4"/>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8" i="2"/>
  <c r="R6" i="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J235" i="12"/>
  <c r="R236" i="11"/>
  <c r="R237" i="11"/>
  <c r="R238" i="11"/>
  <c r="R239" i="11"/>
  <c r="J239" i="12"/>
  <c r="R240" i="11"/>
  <c r="R241" i="11"/>
  <c r="J241" i="12"/>
  <c r="R242" i="11"/>
  <c r="R243" i="11"/>
  <c r="R244" i="11"/>
  <c r="R245" i="11"/>
  <c r="R246" i="11"/>
  <c r="R247" i="11"/>
  <c r="R248" i="11"/>
  <c r="R249" i="11"/>
  <c r="R250" i="11"/>
  <c r="R251" i="11"/>
  <c r="J251" i="12"/>
  <c r="R252" i="11"/>
  <c r="R253" i="11"/>
  <c r="R254" i="11"/>
  <c r="R255" i="11"/>
  <c r="R256" i="11"/>
  <c r="R257" i="11"/>
  <c r="J257" i="12"/>
  <c r="R258" i="11"/>
  <c r="R259" i="11"/>
  <c r="R260" i="11"/>
  <c r="R261" i="11"/>
  <c r="R262" i="11"/>
  <c r="R263" i="11"/>
  <c r="J263" i="12"/>
  <c r="R264" i="11"/>
  <c r="R265" i="11"/>
  <c r="R266" i="11"/>
  <c r="R267" i="11"/>
  <c r="R268" i="11"/>
  <c r="R269" i="11"/>
  <c r="R270" i="11"/>
  <c r="R271" i="11"/>
  <c r="R272" i="11"/>
  <c r="R273" i="11"/>
  <c r="J273" i="12"/>
  <c r="R274" i="11"/>
  <c r="R275" i="11"/>
  <c r="J275" i="12"/>
  <c r="R276" i="11"/>
  <c r="R277" i="11"/>
  <c r="R278" i="11"/>
  <c r="R279" i="11"/>
  <c r="R280" i="11"/>
  <c r="R281" i="11"/>
  <c r="R282" i="11"/>
  <c r="R283" i="11"/>
  <c r="R284" i="11"/>
  <c r="R285" i="11"/>
  <c r="R286" i="11"/>
  <c r="R287" i="11"/>
  <c r="R288" i="11"/>
  <c r="R289" i="11"/>
  <c r="J289" i="12"/>
  <c r="R290" i="11"/>
  <c r="R291" i="11"/>
  <c r="R292" i="11"/>
  <c r="R293" i="11"/>
  <c r="R294" i="11"/>
  <c r="R295" i="11"/>
  <c r="J295" i="12"/>
  <c r="R296" i="11"/>
  <c r="R297" i="11"/>
  <c r="R298" i="11"/>
  <c r="R299" i="11"/>
  <c r="J299" i="12"/>
  <c r="R300" i="11"/>
  <c r="R301" i="11"/>
  <c r="R302" i="11"/>
  <c r="R303" i="11"/>
  <c r="J303" i="12"/>
  <c r="R304" i="11"/>
  <c r="R305" i="11"/>
  <c r="J305" i="12"/>
  <c r="R306" i="11"/>
  <c r="R307" i="11"/>
  <c r="R308" i="11"/>
  <c r="R309" i="11"/>
  <c r="R310" i="11"/>
  <c r="R311" i="11"/>
  <c r="R312" i="11"/>
  <c r="R313" i="11"/>
  <c r="R314" i="11"/>
  <c r="R315" i="11"/>
  <c r="R316" i="11"/>
  <c r="R317" i="11"/>
  <c r="R318" i="11"/>
  <c r="R319" i="11"/>
  <c r="R320" i="11"/>
  <c r="R321" i="11"/>
  <c r="J321" i="12"/>
  <c r="R322" i="11"/>
  <c r="R323" i="11"/>
  <c r="R324" i="11"/>
  <c r="R325" i="11"/>
  <c r="R326" i="11"/>
  <c r="R327" i="11"/>
  <c r="R328" i="11"/>
  <c r="R329" i="11"/>
  <c r="R330" i="11"/>
  <c r="R331" i="11"/>
  <c r="R332" i="11"/>
  <c r="R333" i="11"/>
  <c r="R334" i="11"/>
  <c r="R335" i="11"/>
  <c r="J335" i="12"/>
  <c r="R336" i="11"/>
  <c r="R337" i="11"/>
  <c r="J337" i="12"/>
  <c r="R338" i="11"/>
  <c r="R339" i="11"/>
  <c r="J339" i="12"/>
  <c r="R340" i="11"/>
  <c r="R341" i="11"/>
  <c r="R342" i="11"/>
  <c r="R343" i="11"/>
  <c r="R344" i="11"/>
  <c r="R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8" i="11"/>
  <c r="L6" i="11"/>
  <c r="M6" i="11"/>
  <c r="N6" i="11"/>
  <c r="J6" i="11"/>
  <c r="I6" i="11"/>
  <c r="H6" i="11"/>
  <c r="F6" i="11"/>
  <c r="G6" i="11"/>
  <c r="Z343" i="1"/>
  <c r="AC343" i="1"/>
  <c r="AD343" i="1"/>
  <c r="E343" i="2"/>
  <c r="E345" i="5"/>
  <c r="Z344" i="1"/>
  <c r="F343" i="2"/>
  <c r="G343" i="2"/>
  <c r="I343" i="2"/>
  <c r="J343" i="2"/>
  <c r="K343" i="2"/>
  <c r="L343" i="2"/>
  <c r="N343" i="2"/>
  <c r="F344" i="2"/>
  <c r="G344" i="2"/>
  <c r="I344" i="2"/>
  <c r="J344" i="2"/>
  <c r="K344" i="2"/>
  <c r="L344" i="2"/>
  <c r="N344" i="2"/>
  <c r="O343" i="4"/>
  <c r="O344" i="4"/>
  <c r="G344" i="8"/>
  <c r="H344" i="8"/>
  <c r="G345" i="8"/>
  <c r="H345"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3" i="8"/>
  <c r="G324" i="8"/>
  <c r="G325" i="8"/>
  <c r="G326" i="8"/>
  <c r="G327" i="8"/>
  <c r="G328" i="8"/>
  <c r="G329" i="8"/>
  <c r="G330" i="8"/>
  <c r="G331" i="8"/>
  <c r="G332" i="8"/>
  <c r="G333" i="8"/>
  <c r="G334" i="8"/>
  <c r="G335" i="8"/>
  <c r="G336" i="8"/>
  <c r="G337" i="8"/>
  <c r="G338" i="8"/>
  <c r="G339" i="8"/>
  <c r="G340" i="8"/>
  <c r="G341" i="8"/>
  <c r="G342" i="8"/>
  <c r="G343" i="8"/>
  <c r="E7" i="8"/>
  <c r="D7" i="8"/>
  <c r="AC8" i="1"/>
  <c r="AD8" i="1"/>
  <c r="E8" i="2"/>
  <c r="F8" i="2"/>
  <c r="G8" i="2"/>
  <c r="I8" i="2"/>
  <c r="J8" i="2"/>
  <c r="K8" i="2"/>
  <c r="L8" i="2"/>
  <c r="F9" i="2"/>
  <c r="G9" i="2"/>
  <c r="I9" i="2"/>
  <c r="J9" i="2"/>
  <c r="K9" i="2"/>
  <c r="L9" i="2"/>
  <c r="AC10" i="1"/>
  <c r="AD10" i="1"/>
  <c r="E10" i="2"/>
  <c r="E12" i="5"/>
  <c r="F10" i="2"/>
  <c r="G10" i="2"/>
  <c r="I10" i="2"/>
  <c r="J10" i="2"/>
  <c r="K10" i="2"/>
  <c r="L10" i="2"/>
  <c r="Z11" i="1"/>
  <c r="F11" i="2"/>
  <c r="G11" i="2"/>
  <c r="I11" i="2"/>
  <c r="J11" i="2"/>
  <c r="K11" i="2"/>
  <c r="L11" i="2"/>
  <c r="Z12" i="1"/>
  <c r="AC12" i="1"/>
  <c r="AD12" i="1"/>
  <c r="E12" i="2"/>
  <c r="E14" i="5"/>
  <c r="F12" i="2"/>
  <c r="G12" i="2"/>
  <c r="I12" i="2"/>
  <c r="J12" i="2"/>
  <c r="K12" i="2"/>
  <c r="L12" i="2"/>
  <c r="Z13" i="1"/>
  <c r="F13" i="2"/>
  <c r="G13" i="2"/>
  <c r="I13" i="2"/>
  <c r="J13" i="2"/>
  <c r="K13" i="2"/>
  <c r="L13" i="2"/>
  <c r="Z14" i="1"/>
  <c r="AC14" i="1"/>
  <c r="AD14" i="1"/>
  <c r="E14" i="2"/>
  <c r="E16" i="5"/>
  <c r="F14" i="2"/>
  <c r="G14" i="2"/>
  <c r="I14" i="2"/>
  <c r="J14" i="2"/>
  <c r="K14" i="2"/>
  <c r="L14" i="2"/>
  <c r="Z15" i="1"/>
  <c r="F15" i="2"/>
  <c r="G15" i="2"/>
  <c r="I15" i="2"/>
  <c r="J15" i="2"/>
  <c r="K15" i="2"/>
  <c r="L15" i="2"/>
  <c r="Z16" i="1"/>
  <c r="AC16" i="1"/>
  <c r="AD16" i="1"/>
  <c r="E16" i="2"/>
  <c r="E18" i="5"/>
  <c r="F16" i="2"/>
  <c r="G16" i="2"/>
  <c r="I16" i="2"/>
  <c r="J16" i="2"/>
  <c r="K16" i="2"/>
  <c r="L16" i="2"/>
  <c r="F17" i="2"/>
  <c r="G17" i="2"/>
  <c r="I17" i="2"/>
  <c r="J17" i="2"/>
  <c r="K17" i="2"/>
  <c r="L17" i="2"/>
  <c r="Z18" i="1"/>
  <c r="AC18" i="1"/>
  <c r="AD18" i="1"/>
  <c r="E18" i="2"/>
  <c r="E20" i="5"/>
  <c r="F18" i="2"/>
  <c r="G18" i="2"/>
  <c r="I18" i="2"/>
  <c r="J18" i="2"/>
  <c r="K18" i="2"/>
  <c r="L18" i="2"/>
  <c r="Z19" i="1"/>
  <c r="F19" i="2"/>
  <c r="G19" i="2"/>
  <c r="I19" i="2"/>
  <c r="J19" i="2"/>
  <c r="K19" i="2"/>
  <c r="L19" i="2"/>
  <c r="Z20" i="1"/>
  <c r="AC20" i="1"/>
  <c r="AD20" i="1"/>
  <c r="E20" i="2"/>
  <c r="E22" i="5"/>
  <c r="F20" i="2"/>
  <c r="G20" i="2"/>
  <c r="I20" i="2"/>
  <c r="J20" i="2"/>
  <c r="K20" i="2"/>
  <c r="L20" i="2"/>
  <c r="Z21" i="1"/>
  <c r="F21" i="2"/>
  <c r="G21" i="2"/>
  <c r="I21" i="2"/>
  <c r="J21" i="2"/>
  <c r="K21" i="2"/>
  <c r="L21" i="2"/>
  <c r="Z22" i="1"/>
  <c r="AC22" i="1"/>
  <c r="AD22" i="1"/>
  <c r="E22" i="2"/>
  <c r="E24" i="5"/>
  <c r="F22" i="2"/>
  <c r="G22" i="2"/>
  <c r="I22" i="2"/>
  <c r="J22" i="2"/>
  <c r="K22" i="2"/>
  <c r="L22" i="2"/>
  <c r="Z23" i="1"/>
  <c r="F23" i="2"/>
  <c r="G23" i="2"/>
  <c r="I23" i="2"/>
  <c r="J23" i="2"/>
  <c r="K23" i="2"/>
  <c r="L23" i="2"/>
  <c r="Z24" i="1"/>
  <c r="AC24" i="1"/>
  <c r="AD24" i="1"/>
  <c r="E24" i="2"/>
  <c r="E26" i="5"/>
  <c r="F24" i="2"/>
  <c r="G24" i="2"/>
  <c r="I24" i="2"/>
  <c r="J24" i="2"/>
  <c r="K24" i="2"/>
  <c r="L24" i="2"/>
  <c r="Z25" i="1"/>
  <c r="F25" i="2"/>
  <c r="G25" i="2"/>
  <c r="I25" i="2"/>
  <c r="J25" i="2"/>
  <c r="K25" i="2"/>
  <c r="L25" i="2"/>
  <c r="Z26" i="1"/>
  <c r="AC26" i="1"/>
  <c r="AD26" i="1"/>
  <c r="E26" i="2"/>
  <c r="F26" i="2"/>
  <c r="G26" i="2"/>
  <c r="I26" i="2"/>
  <c r="J26" i="2"/>
  <c r="K26" i="2"/>
  <c r="L26" i="2"/>
  <c r="Z27" i="1"/>
  <c r="F27" i="2"/>
  <c r="G27" i="2"/>
  <c r="I27" i="2"/>
  <c r="J27" i="2"/>
  <c r="K27" i="2"/>
  <c r="L27" i="2"/>
  <c r="Z28" i="1"/>
  <c r="AC28" i="1"/>
  <c r="AD28" i="1"/>
  <c r="E28" i="2"/>
  <c r="E30" i="5"/>
  <c r="F28" i="2"/>
  <c r="G28" i="2"/>
  <c r="I28" i="2"/>
  <c r="J28" i="2"/>
  <c r="K28" i="2"/>
  <c r="L28" i="2"/>
  <c r="Z29" i="1"/>
  <c r="AC29" i="1"/>
  <c r="AD29" i="1"/>
  <c r="E29" i="2"/>
  <c r="E31" i="5"/>
  <c r="F29" i="2"/>
  <c r="G29" i="2"/>
  <c r="I29" i="2"/>
  <c r="J29" i="2"/>
  <c r="K29" i="2"/>
  <c r="L29" i="2"/>
  <c r="Z30" i="1"/>
  <c r="AC30" i="1"/>
  <c r="AD30" i="1"/>
  <c r="E30" i="2"/>
  <c r="E32" i="5"/>
  <c r="F30" i="2"/>
  <c r="G30" i="2"/>
  <c r="I30" i="2"/>
  <c r="J30" i="2"/>
  <c r="K30" i="2"/>
  <c r="L30" i="2"/>
  <c r="Z31" i="1"/>
  <c r="AC31" i="1"/>
  <c r="AD31" i="1"/>
  <c r="E31" i="2"/>
  <c r="E33" i="5"/>
  <c r="F31" i="2"/>
  <c r="G31" i="2"/>
  <c r="I31" i="2"/>
  <c r="J31" i="2"/>
  <c r="K31" i="2"/>
  <c r="L31" i="2"/>
  <c r="Z32" i="1"/>
  <c r="AC32" i="1"/>
  <c r="AD32" i="1"/>
  <c r="E32" i="2"/>
  <c r="E34" i="5"/>
  <c r="F32" i="2"/>
  <c r="G32" i="2"/>
  <c r="I32" i="2"/>
  <c r="J32" i="2"/>
  <c r="K32" i="2"/>
  <c r="L32" i="2"/>
  <c r="Z33" i="1"/>
  <c r="AC33" i="1"/>
  <c r="AD33" i="1"/>
  <c r="E33" i="2"/>
  <c r="E35" i="5"/>
  <c r="F33" i="2"/>
  <c r="G33" i="2"/>
  <c r="I33" i="2"/>
  <c r="J33" i="2"/>
  <c r="K33" i="2"/>
  <c r="L33" i="2"/>
  <c r="Z34" i="1"/>
  <c r="AC34" i="1"/>
  <c r="AD34" i="1"/>
  <c r="E34" i="2"/>
  <c r="E36" i="5"/>
  <c r="F34" i="2"/>
  <c r="G34" i="2"/>
  <c r="I34" i="2"/>
  <c r="J34" i="2"/>
  <c r="K34" i="2"/>
  <c r="L34" i="2"/>
  <c r="Z35" i="1"/>
  <c r="AC35" i="1"/>
  <c r="AD35" i="1"/>
  <c r="E35" i="2"/>
  <c r="E37" i="5"/>
  <c r="F35" i="2"/>
  <c r="G35" i="2"/>
  <c r="I35" i="2"/>
  <c r="J35" i="2"/>
  <c r="K35" i="2"/>
  <c r="L35" i="2"/>
  <c r="Z36" i="1"/>
  <c r="AC36" i="1"/>
  <c r="AD36" i="1"/>
  <c r="E36" i="2"/>
  <c r="E38" i="5"/>
  <c r="F36" i="2"/>
  <c r="G36" i="2"/>
  <c r="I36" i="2"/>
  <c r="J36" i="2"/>
  <c r="K36" i="2"/>
  <c r="L36" i="2"/>
  <c r="Z37" i="1"/>
  <c r="AC37" i="1"/>
  <c r="AD37" i="1"/>
  <c r="E37" i="2"/>
  <c r="E39" i="5"/>
  <c r="F37" i="2"/>
  <c r="G37" i="2"/>
  <c r="I37" i="2"/>
  <c r="J37" i="2"/>
  <c r="K37" i="2"/>
  <c r="L37" i="2"/>
  <c r="Z38" i="1"/>
  <c r="AC38" i="1"/>
  <c r="AD38" i="1"/>
  <c r="E38" i="2"/>
  <c r="E40" i="5"/>
  <c r="F38" i="2"/>
  <c r="G38" i="2"/>
  <c r="I38" i="2"/>
  <c r="J38" i="2"/>
  <c r="K38" i="2"/>
  <c r="L38" i="2"/>
  <c r="Z39" i="1"/>
  <c r="AC39" i="1"/>
  <c r="AD39" i="1"/>
  <c r="E39" i="2"/>
  <c r="F39" i="2"/>
  <c r="G39" i="2"/>
  <c r="I39" i="2"/>
  <c r="J39" i="2"/>
  <c r="K39" i="2"/>
  <c r="L39" i="2"/>
  <c r="Z40" i="1"/>
  <c r="AC40" i="1"/>
  <c r="AD40" i="1"/>
  <c r="E40" i="2"/>
  <c r="E42" i="5"/>
  <c r="F40" i="2"/>
  <c r="G40" i="2"/>
  <c r="I40" i="2"/>
  <c r="J40" i="2"/>
  <c r="K40" i="2"/>
  <c r="L40" i="2"/>
  <c r="Z41" i="1"/>
  <c r="AC41" i="1"/>
  <c r="AD41" i="1"/>
  <c r="E41" i="2"/>
  <c r="E43" i="5"/>
  <c r="F41" i="2"/>
  <c r="G41" i="2"/>
  <c r="I41" i="2"/>
  <c r="J41" i="2"/>
  <c r="K41" i="2"/>
  <c r="L41" i="2"/>
  <c r="Z42" i="1"/>
  <c r="AC42" i="1"/>
  <c r="AD42" i="1"/>
  <c r="E42" i="2"/>
  <c r="E44" i="5"/>
  <c r="F42" i="2"/>
  <c r="G42" i="2"/>
  <c r="I42" i="2"/>
  <c r="J42" i="2"/>
  <c r="K42" i="2"/>
  <c r="L42" i="2"/>
  <c r="Z43" i="1"/>
  <c r="AC43" i="1"/>
  <c r="AD43" i="1"/>
  <c r="E43" i="2"/>
  <c r="E45" i="5"/>
  <c r="F43" i="2"/>
  <c r="G43" i="2"/>
  <c r="I43" i="2"/>
  <c r="J43" i="2"/>
  <c r="K43" i="2"/>
  <c r="L43" i="2"/>
  <c r="Z44" i="1"/>
  <c r="AC44" i="1"/>
  <c r="AD44" i="1"/>
  <c r="E44" i="2"/>
  <c r="F44" i="2"/>
  <c r="G44" i="2"/>
  <c r="I44" i="2"/>
  <c r="J44" i="2"/>
  <c r="K44" i="2"/>
  <c r="L44" i="2"/>
  <c r="Z45" i="1"/>
  <c r="AC45" i="1"/>
  <c r="AD45" i="1"/>
  <c r="E45" i="2"/>
  <c r="E47" i="5"/>
  <c r="F45" i="2"/>
  <c r="G45" i="2"/>
  <c r="I45" i="2"/>
  <c r="J45" i="2"/>
  <c r="K45" i="2"/>
  <c r="L45" i="2"/>
  <c r="Z46" i="1"/>
  <c r="AC46" i="1"/>
  <c r="AD46" i="1"/>
  <c r="E46" i="2"/>
  <c r="F46" i="2"/>
  <c r="G46" i="2"/>
  <c r="I46" i="2"/>
  <c r="J46" i="2"/>
  <c r="K46" i="2"/>
  <c r="L46" i="2"/>
  <c r="Z47" i="1"/>
  <c r="AC47" i="1"/>
  <c r="AD47" i="1"/>
  <c r="E47" i="2"/>
  <c r="E49" i="5"/>
  <c r="F47" i="2"/>
  <c r="G47" i="2"/>
  <c r="I47" i="2"/>
  <c r="J47" i="2"/>
  <c r="K47" i="2"/>
  <c r="L47" i="2"/>
  <c r="Z48" i="1"/>
  <c r="AC48" i="1"/>
  <c r="AD48" i="1"/>
  <c r="E48" i="2"/>
  <c r="E50" i="5"/>
  <c r="F48" i="2"/>
  <c r="G48" i="2"/>
  <c r="I48" i="2"/>
  <c r="J48" i="2"/>
  <c r="K48" i="2"/>
  <c r="L48" i="2"/>
  <c r="Z49" i="1"/>
  <c r="AC49" i="1"/>
  <c r="AD49" i="1"/>
  <c r="E49" i="2"/>
  <c r="E51" i="5"/>
  <c r="F49" i="2"/>
  <c r="G49" i="2"/>
  <c r="I49" i="2"/>
  <c r="J49" i="2"/>
  <c r="K49" i="2"/>
  <c r="L49" i="2"/>
  <c r="Z50" i="1"/>
  <c r="AC50" i="1"/>
  <c r="AD50" i="1"/>
  <c r="E50" i="2"/>
  <c r="E52" i="5"/>
  <c r="F50" i="2"/>
  <c r="G50" i="2"/>
  <c r="I50" i="2"/>
  <c r="J50" i="2"/>
  <c r="K50" i="2"/>
  <c r="L50" i="2"/>
  <c r="Z51" i="1"/>
  <c r="AC51" i="1"/>
  <c r="AD51" i="1"/>
  <c r="E51" i="2"/>
  <c r="E53" i="5"/>
  <c r="F51" i="2"/>
  <c r="G51" i="2"/>
  <c r="I51" i="2"/>
  <c r="J51" i="2"/>
  <c r="K51" i="2"/>
  <c r="L51" i="2"/>
  <c r="Z52" i="1"/>
  <c r="AC52" i="1"/>
  <c r="AD52" i="1"/>
  <c r="E52" i="2"/>
  <c r="E54" i="5"/>
  <c r="F52" i="2"/>
  <c r="G52" i="2"/>
  <c r="I52" i="2"/>
  <c r="J52" i="2"/>
  <c r="K52" i="2"/>
  <c r="L52" i="2"/>
  <c r="Z53" i="1"/>
  <c r="AC53" i="1"/>
  <c r="AD53" i="1"/>
  <c r="E53" i="2"/>
  <c r="E55" i="5"/>
  <c r="F53" i="2"/>
  <c r="G53" i="2"/>
  <c r="I53" i="2"/>
  <c r="J53" i="2"/>
  <c r="K53" i="2"/>
  <c r="L53" i="2"/>
  <c r="Z54" i="1"/>
  <c r="AC54" i="1"/>
  <c r="AD54" i="1"/>
  <c r="E54" i="2"/>
  <c r="F54" i="2"/>
  <c r="G54" i="2"/>
  <c r="I54" i="2"/>
  <c r="J54" i="2"/>
  <c r="K54" i="2"/>
  <c r="L54" i="2"/>
  <c r="Z55" i="1"/>
  <c r="AC55" i="1"/>
  <c r="AD55" i="1"/>
  <c r="E55" i="2"/>
  <c r="E57" i="5"/>
  <c r="F55" i="2"/>
  <c r="G55" i="2"/>
  <c r="I55" i="2"/>
  <c r="J55" i="2"/>
  <c r="K55" i="2"/>
  <c r="L55" i="2"/>
  <c r="Z56" i="1"/>
  <c r="AC56" i="1"/>
  <c r="AD56" i="1"/>
  <c r="E56" i="2"/>
  <c r="E58" i="5"/>
  <c r="F56" i="2"/>
  <c r="G56" i="2"/>
  <c r="I56" i="2"/>
  <c r="J56" i="2"/>
  <c r="K56" i="2"/>
  <c r="L56" i="2"/>
  <c r="Z57" i="1"/>
  <c r="AC57" i="1"/>
  <c r="AD57" i="1"/>
  <c r="E57" i="2"/>
  <c r="E59" i="5"/>
  <c r="F57" i="2"/>
  <c r="G57" i="2"/>
  <c r="I57" i="2"/>
  <c r="J57" i="2"/>
  <c r="K57" i="2"/>
  <c r="L57" i="2"/>
  <c r="Z58" i="1"/>
  <c r="AC58" i="1"/>
  <c r="AD58" i="1"/>
  <c r="E58" i="2"/>
  <c r="F58" i="2"/>
  <c r="G58" i="2"/>
  <c r="I58" i="2"/>
  <c r="J58" i="2"/>
  <c r="K58" i="2"/>
  <c r="L58" i="2"/>
  <c r="Z59" i="1"/>
  <c r="AC59" i="1"/>
  <c r="AD59" i="1"/>
  <c r="E59" i="2"/>
  <c r="E61" i="5"/>
  <c r="F59" i="2"/>
  <c r="G59" i="2"/>
  <c r="I59" i="2"/>
  <c r="J59" i="2"/>
  <c r="K59" i="2"/>
  <c r="L59" i="2"/>
  <c r="Z60" i="1"/>
  <c r="AC60" i="1"/>
  <c r="AD60" i="1"/>
  <c r="E60" i="2"/>
  <c r="E62" i="5"/>
  <c r="F60" i="2"/>
  <c r="G60" i="2"/>
  <c r="I60" i="2"/>
  <c r="J60" i="2"/>
  <c r="K60" i="2"/>
  <c r="L60" i="2"/>
  <c r="Z61" i="1"/>
  <c r="AC61" i="1"/>
  <c r="AD61" i="1"/>
  <c r="E61" i="2"/>
  <c r="E63" i="5"/>
  <c r="F61" i="2"/>
  <c r="G61" i="2"/>
  <c r="I61" i="2"/>
  <c r="J61" i="2"/>
  <c r="K61" i="2"/>
  <c r="L61" i="2"/>
  <c r="Z62" i="1"/>
  <c r="AC62" i="1"/>
  <c r="AD62" i="1"/>
  <c r="E62" i="2"/>
  <c r="F62" i="2"/>
  <c r="G62" i="2"/>
  <c r="I62" i="2"/>
  <c r="J62" i="2"/>
  <c r="K62" i="2"/>
  <c r="L62" i="2"/>
  <c r="Z63" i="1"/>
  <c r="AC63" i="1"/>
  <c r="AD63" i="1"/>
  <c r="E63" i="2"/>
  <c r="E65" i="5"/>
  <c r="F63" i="2"/>
  <c r="G63" i="2"/>
  <c r="I63" i="2"/>
  <c r="J63" i="2"/>
  <c r="K63" i="2"/>
  <c r="L63" i="2"/>
  <c r="Z64" i="1"/>
  <c r="AC64" i="1"/>
  <c r="AD64" i="1"/>
  <c r="E64" i="2"/>
  <c r="E66" i="5"/>
  <c r="F64" i="2"/>
  <c r="G64" i="2"/>
  <c r="I64" i="2"/>
  <c r="J64" i="2"/>
  <c r="K64" i="2"/>
  <c r="L64" i="2"/>
  <c r="Z65" i="1"/>
  <c r="AC65" i="1"/>
  <c r="AD65" i="1"/>
  <c r="E65" i="2"/>
  <c r="E67" i="5"/>
  <c r="F65" i="2"/>
  <c r="G65" i="2"/>
  <c r="I65" i="2"/>
  <c r="J65" i="2"/>
  <c r="K65" i="2"/>
  <c r="L65" i="2"/>
  <c r="Z66" i="1"/>
  <c r="AC66" i="1"/>
  <c r="AD66" i="1"/>
  <c r="E66" i="2"/>
  <c r="F66" i="2"/>
  <c r="G66" i="2"/>
  <c r="I66" i="2"/>
  <c r="J66" i="2"/>
  <c r="K66" i="2"/>
  <c r="L66" i="2"/>
  <c r="Z67" i="1"/>
  <c r="AC67" i="1"/>
  <c r="AD67" i="1"/>
  <c r="E67" i="2"/>
  <c r="E69" i="5"/>
  <c r="F67" i="2"/>
  <c r="G67" i="2"/>
  <c r="I67" i="2"/>
  <c r="J67" i="2"/>
  <c r="K67" i="2"/>
  <c r="L67" i="2"/>
  <c r="Z68" i="1"/>
  <c r="AC68" i="1"/>
  <c r="AD68" i="1"/>
  <c r="E68" i="2"/>
  <c r="E70" i="5"/>
  <c r="F68" i="2"/>
  <c r="G68" i="2"/>
  <c r="I68" i="2"/>
  <c r="J68" i="2"/>
  <c r="K68" i="2"/>
  <c r="L68" i="2"/>
  <c r="Z69" i="1"/>
  <c r="AC69" i="1"/>
  <c r="AD69" i="1"/>
  <c r="E69" i="2"/>
  <c r="E71" i="5"/>
  <c r="F69" i="2"/>
  <c r="G69" i="2"/>
  <c r="I69" i="2"/>
  <c r="J69" i="2"/>
  <c r="K69" i="2"/>
  <c r="L69" i="2"/>
  <c r="Z70" i="1"/>
  <c r="AC70" i="1"/>
  <c r="AD70" i="1"/>
  <c r="E70" i="2"/>
  <c r="F70" i="2"/>
  <c r="G70" i="2"/>
  <c r="I70" i="2"/>
  <c r="J70" i="2"/>
  <c r="K70" i="2"/>
  <c r="L70" i="2"/>
  <c r="Z71" i="1"/>
  <c r="AC71" i="1"/>
  <c r="AD71" i="1"/>
  <c r="E71" i="2"/>
  <c r="E73" i="5"/>
  <c r="F71" i="2"/>
  <c r="G71" i="2"/>
  <c r="I71" i="2"/>
  <c r="J71" i="2"/>
  <c r="K71" i="2"/>
  <c r="L71" i="2"/>
  <c r="Z72" i="1"/>
  <c r="AC72" i="1"/>
  <c r="AD72" i="1"/>
  <c r="E72" i="2"/>
  <c r="E74" i="5"/>
  <c r="F72" i="2"/>
  <c r="G72" i="2"/>
  <c r="I72" i="2"/>
  <c r="J72" i="2"/>
  <c r="K72" i="2"/>
  <c r="L72" i="2"/>
  <c r="Z73" i="1"/>
  <c r="AC73" i="1"/>
  <c r="AD73" i="1"/>
  <c r="E73" i="2"/>
  <c r="E75" i="5"/>
  <c r="F73" i="2"/>
  <c r="G73" i="2"/>
  <c r="I73" i="2"/>
  <c r="J73" i="2"/>
  <c r="K73" i="2"/>
  <c r="L73" i="2"/>
  <c r="Z74" i="1"/>
  <c r="AC74" i="1"/>
  <c r="AD74" i="1"/>
  <c r="E74" i="2"/>
  <c r="F74" i="2"/>
  <c r="G74" i="2"/>
  <c r="I74" i="2"/>
  <c r="J74" i="2"/>
  <c r="K74" i="2"/>
  <c r="L74" i="2"/>
  <c r="Z75" i="1"/>
  <c r="AC75" i="1"/>
  <c r="AD75" i="1"/>
  <c r="E75" i="2"/>
  <c r="E77" i="5"/>
  <c r="F75" i="2"/>
  <c r="G75" i="2"/>
  <c r="I75" i="2"/>
  <c r="J75" i="2"/>
  <c r="K75" i="2"/>
  <c r="L75" i="2"/>
  <c r="Z76" i="1"/>
  <c r="AC76" i="1"/>
  <c r="AD76" i="1"/>
  <c r="E76" i="2"/>
  <c r="E78" i="5"/>
  <c r="F76" i="2"/>
  <c r="G76" i="2"/>
  <c r="I76" i="2"/>
  <c r="J76" i="2"/>
  <c r="K76" i="2"/>
  <c r="L76" i="2"/>
  <c r="Z77" i="1"/>
  <c r="AC77" i="1"/>
  <c r="AD77" i="1"/>
  <c r="E77" i="2"/>
  <c r="E79" i="5"/>
  <c r="F77" i="2"/>
  <c r="G77" i="2"/>
  <c r="I77" i="2"/>
  <c r="J77" i="2"/>
  <c r="K77" i="2"/>
  <c r="L77" i="2"/>
  <c r="Z78" i="1"/>
  <c r="AC78" i="1"/>
  <c r="AD78" i="1"/>
  <c r="E78" i="2"/>
  <c r="E80" i="5"/>
  <c r="F78" i="2"/>
  <c r="G78" i="2"/>
  <c r="I78" i="2"/>
  <c r="J78" i="2"/>
  <c r="K78" i="2"/>
  <c r="L78" i="2"/>
  <c r="Z79" i="1"/>
  <c r="AC79" i="1"/>
  <c r="AD79" i="1"/>
  <c r="E79" i="2"/>
  <c r="E81" i="5"/>
  <c r="F79" i="2"/>
  <c r="G79" i="2"/>
  <c r="I79" i="2"/>
  <c r="J79" i="2"/>
  <c r="K79" i="2"/>
  <c r="L79" i="2"/>
  <c r="Z80" i="1"/>
  <c r="AC80" i="1"/>
  <c r="AD80" i="1"/>
  <c r="E80" i="2"/>
  <c r="E82" i="5"/>
  <c r="F80" i="2"/>
  <c r="G80" i="2"/>
  <c r="I80" i="2"/>
  <c r="J80" i="2"/>
  <c r="K80" i="2"/>
  <c r="L80" i="2"/>
  <c r="Z81" i="1"/>
  <c r="AC81" i="1"/>
  <c r="AD81" i="1"/>
  <c r="E81" i="2"/>
  <c r="E83" i="5"/>
  <c r="F81" i="2"/>
  <c r="G81" i="2"/>
  <c r="I81" i="2"/>
  <c r="J81" i="2"/>
  <c r="K81" i="2"/>
  <c r="L81" i="2"/>
  <c r="Z82" i="1"/>
  <c r="AC82" i="1"/>
  <c r="AD82" i="1"/>
  <c r="E82" i="2"/>
  <c r="E84" i="5"/>
  <c r="F82" i="2"/>
  <c r="G82" i="2"/>
  <c r="I82" i="2"/>
  <c r="J82" i="2"/>
  <c r="K82" i="2"/>
  <c r="L82" i="2"/>
  <c r="Z83" i="1"/>
  <c r="AC83" i="1"/>
  <c r="AD83" i="1"/>
  <c r="E83" i="2"/>
  <c r="E85" i="5"/>
  <c r="F83" i="2"/>
  <c r="G83" i="2"/>
  <c r="I83" i="2"/>
  <c r="J83" i="2"/>
  <c r="K83" i="2"/>
  <c r="L83" i="2"/>
  <c r="Z84" i="1"/>
  <c r="AC84" i="1"/>
  <c r="AD84" i="1"/>
  <c r="E84" i="2"/>
  <c r="E86" i="5"/>
  <c r="F84" i="2"/>
  <c r="G84" i="2"/>
  <c r="I84" i="2"/>
  <c r="J84" i="2"/>
  <c r="K84" i="2"/>
  <c r="L84" i="2"/>
  <c r="Z85" i="1"/>
  <c r="AC85" i="1"/>
  <c r="AD85" i="1"/>
  <c r="E85" i="2"/>
  <c r="E87" i="5"/>
  <c r="F85" i="2"/>
  <c r="G85" i="2"/>
  <c r="I85" i="2"/>
  <c r="J85" i="2"/>
  <c r="K85" i="2"/>
  <c r="L85" i="2"/>
  <c r="Z86" i="1"/>
  <c r="AC86" i="1"/>
  <c r="AD86" i="1"/>
  <c r="E86" i="2"/>
  <c r="F86" i="2"/>
  <c r="G86" i="2"/>
  <c r="I86" i="2"/>
  <c r="J86" i="2"/>
  <c r="K86" i="2"/>
  <c r="L86" i="2"/>
  <c r="Z87" i="1"/>
  <c r="AC87" i="1"/>
  <c r="AD87" i="1"/>
  <c r="E87" i="2"/>
  <c r="E89" i="5"/>
  <c r="F87" i="2"/>
  <c r="G87" i="2"/>
  <c r="I87" i="2"/>
  <c r="J87" i="2"/>
  <c r="K87" i="2"/>
  <c r="L87" i="2"/>
  <c r="Z88" i="1"/>
  <c r="AC88" i="1"/>
  <c r="AD88" i="1"/>
  <c r="E88" i="2"/>
  <c r="E90" i="5"/>
  <c r="F88" i="2"/>
  <c r="G88" i="2"/>
  <c r="I88" i="2"/>
  <c r="J88" i="2"/>
  <c r="K88" i="2"/>
  <c r="L88" i="2"/>
  <c r="Z89" i="1"/>
  <c r="AC89" i="1"/>
  <c r="AD89" i="1"/>
  <c r="E89" i="2"/>
  <c r="E91" i="5"/>
  <c r="F89" i="2"/>
  <c r="G89" i="2"/>
  <c r="I89" i="2"/>
  <c r="J89" i="2"/>
  <c r="K89" i="2"/>
  <c r="L89" i="2"/>
  <c r="Z90" i="1"/>
  <c r="AC90" i="1"/>
  <c r="AD90" i="1"/>
  <c r="E90" i="2"/>
  <c r="E92" i="5"/>
  <c r="F90" i="2"/>
  <c r="G90" i="2"/>
  <c r="I90" i="2"/>
  <c r="J90" i="2"/>
  <c r="K90" i="2"/>
  <c r="L90" i="2"/>
  <c r="Z91" i="1"/>
  <c r="AC91" i="1"/>
  <c r="AD91" i="1"/>
  <c r="E91" i="2"/>
  <c r="E93" i="5"/>
  <c r="F91" i="2"/>
  <c r="G91" i="2"/>
  <c r="I91" i="2"/>
  <c r="J91" i="2"/>
  <c r="K91" i="2"/>
  <c r="L91" i="2"/>
  <c r="Z92" i="1"/>
  <c r="AC92" i="1"/>
  <c r="AD92" i="1"/>
  <c r="E92" i="2"/>
  <c r="E94" i="5"/>
  <c r="F92" i="2"/>
  <c r="G92" i="2"/>
  <c r="I92" i="2"/>
  <c r="J92" i="2"/>
  <c r="K92" i="2"/>
  <c r="L92" i="2"/>
  <c r="Z93" i="1"/>
  <c r="AC93" i="1"/>
  <c r="AD93" i="1"/>
  <c r="E93" i="2"/>
  <c r="E95" i="5"/>
  <c r="F93" i="2"/>
  <c r="G93" i="2"/>
  <c r="I93" i="2"/>
  <c r="J93" i="2"/>
  <c r="K93" i="2"/>
  <c r="L93" i="2"/>
  <c r="Z94" i="1"/>
  <c r="AC94" i="1"/>
  <c r="AD94" i="1"/>
  <c r="E94" i="2"/>
  <c r="E96" i="5"/>
  <c r="F94" i="2"/>
  <c r="G94" i="2"/>
  <c r="I94" i="2"/>
  <c r="J94" i="2"/>
  <c r="K94" i="2"/>
  <c r="L94" i="2"/>
  <c r="Z95" i="1"/>
  <c r="AC95" i="1"/>
  <c r="AD95" i="1"/>
  <c r="E95" i="2"/>
  <c r="E97" i="5"/>
  <c r="F95" i="2"/>
  <c r="G95" i="2"/>
  <c r="I95" i="2"/>
  <c r="J95" i="2"/>
  <c r="K95" i="2"/>
  <c r="L95" i="2"/>
  <c r="Z96" i="1"/>
  <c r="AC96" i="1"/>
  <c r="AD96" i="1"/>
  <c r="E96" i="2"/>
  <c r="F96" i="2"/>
  <c r="G96" i="2"/>
  <c r="I96" i="2"/>
  <c r="J96" i="2"/>
  <c r="K96" i="2"/>
  <c r="L96" i="2"/>
  <c r="Z97" i="1"/>
  <c r="AC97" i="1"/>
  <c r="AD97" i="1"/>
  <c r="E97" i="2"/>
  <c r="E99" i="5"/>
  <c r="F97" i="2"/>
  <c r="G97" i="2"/>
  <c r="I97" i="2"/>
  <c r="J97" i="2"/>
  <c r="K97" i="2"/>
  <c r="L97" i="2"/>
  <c r="Z98" i="1"/>
  <c r="AC98" i="1"/>
  <c r="AD98" i="1"/>
  <c r="E98" i="2"/>
  <c r="E100" i="5"/>
  <c r="F98" i="2"/>
  <c r="G98" i="2"/>
  <c r="I98" i="2"/>
  <c r="J98" i="2"/>
  <c r="K98" i="2"/>
  <c r="L98" i="2"/>
  <c r="Z99" i="1"/>
  <c r="AC99" i="1"/>
  <c r="AD99" i="1"/>
  <c r="E99" i="2"/>
  <c r="E101" i="5"/>
  <c r="F99" i="2"/>
  <c r="G99" i="2"/>
  <c r="I99" i="2"/>
  <c r="J99" i="2"/>
  <c r="K99" i="2"/>
  <c r="L99" i="2"/>
  <c r="Z100" i="1"/>
  <c r="AC100" i="1"/>
  <c r="AD100" i="1"/>
  <c r="E100" i="2"/>
  <c r="E102" i="5"/>
  <c r="F100" i="2"/>
  <c r="G100" i="2"/>
  <c r="I100" i="2"/>
  <c r="J100" i="2"/>
  <c r="K100" i="2"/>
  <c r="L100" i="2"/>
  <c r="Z101" i="1"/>
  <c r="AC101" i="1"/>
  <c r="AD101" i="1"/>
  <c r="E101" i="2"/>
  <c r="E103" i="5"/>
  <c r="F101" i="2"/>
  <c r="G101" i="2"/>
  <c r="I101" i="2"/>
  <c r="J101" i="2"/>
  <c r="K101" i="2"/>
  <c r="L101" i="2"/>
  <c r="Z102" i="1"/>
  <c r="AC102" i="1"/>
  <c r="AD102" i="1"/>
  <c r="E102" i="2"/>
  <c r="E104" i="5"/>
  <c r="F102" i="2"/>
  <c r="G102" i="2"/>
  <c r="I102" i="2"/>
  <c r="J102" i="2"/>
  <c r="K102" i="2"/>
  <c r="L102" i="2"/>
  <c r="Z103" i="1"/>
  <c r="AC103" i="1"/>
  <c r="AD103" i="1"/>
  <c r="E103" i="2"/>
  <c r="E105" i="5"/>
  <c r="F103" i="2"/>
  <c r="G103" i="2"/>
  <c r="I103" i="2"/>
  <c r="J103" i="2"/>
  <c r="K103" i="2"/>
  <c r="L103" i="2"/>
  <c r="Z104" i="1"/>
  <c r="AC104" i="1"/>
  <c r="AD104" i="1"/>
  <c r="E104" i="2"/>
  <c r="E106" i="5"/>
  <c r="F104" i="2"/>
  <c r="G104" i="2"/>
  <c r="I104" i="2"/>
  <c r="J104" i="2"/>
  <c r="K104" i="2"/>
  <c r="L104" i="2"/>
  <c r="Z105" i="1"/>
  <c r="AC105" i="1"/>
  <c r="AD105" i="1"/>
  <c r="E105" i="2"/>
  <c r="E107" i="5"/>
  <c r="F105" i="2"/>
  <c r="G105" i="2"/>
  <c r="I105" i="2"/>
  <c r="J105" i="2"/>
  <c r="K105" i="2"/>
  <c r="L105" i="2"/>
  <c r="Z106" i="1"/>
  <c r="AC106" i="1"/>
  <c r="AD106" i="1"/>
  <c r="E106" i="2"/>
  <c r="F106" i="2"/>
  <c r="G106" i="2"/>
  <c r="I106" i="2"/>
  <c r="J106" i="2"/>
  <c r="K106" i="2"/>
  <c r="L106" i="2"/>
  <c r="Z107" i="1"/>
  <c r="AC107" i="1"/>
  <c r="AD107" i="1"/>
  <c r="E107" i="2"/>
  <c r="E109" i="5"/>
  <c r="F107" i="2"/>
  <c r="G107" i="2"/>
  <c r="I107" i="2"/>
  <c r="J107" i="2"/>
  <c r="K107" i="2"/>
  <c r="L107" i="2"/>
  <c r="Z108" i="1"/>
  <c r="AC108" i="1"/>
  <c r="AD108" i="1"/>
  <c r="E108" i="2"/>
  <c r="F108" i="2"/>
  <c r="G108" i="2"/>
  <c r="I108" i="2"/>
  <c r="J108" i="2"/>
  <c r="K108" i="2"/>
  <c r="L108" i="2"/>
  <c r="Z109" i="1"/>
  <c r="AC109" i="1"/>
  <c r="AD109" i="1"/>
  <c r="E109" i="2"/>
  <c r="E111" i="5"/>
  <c r="F109" i="2"/>
  <c r="G109" i="2"/>
  <c r="I109" i="2"/>
  <c r="J109" i="2"/>
  <c r="K109" i="2"/>
  <c r="L109" i="2"/>
  <c r="Z110" i="1"/>
  <c r="AC110" i="1"/>
  <c r="AD110" i="1"/>
  <c r="E110" i="2"/>
  <c r="E112" i="5"/>
  <c r="F110" i="2"/>
  <c r="G110" i="2"/>
  <c r="I110" i="2"/>
  <c r="J110" i="2"/>
  <c r="K110" i="2"/>
  <c r="L110" i="2"/>
  <c r="Z111" i="1"/>
  <c r="AC111" i="1"/>
  <c r="AD111" i="1"/>
  <c r="E111" i="2"/>
  <c r="E113" i="5"/>
  <c r="F111" i="2"/>
  <c r="G111" i="2"/>
  <c r="I111" i="2"/>
  <c r="J111" i="2"/>
  <c r="K111" i="2"/>
  <c r="L111" i="2"/>
  <c r="Z112" i="1"/>
  <c r="AC112" i="1"/>
  <c r="AD112" i="1"/>
  <c r="E112" i="2"/>
  <c r="E114" i="5"/>
  <c r="F112" i="2"/>
  <c r="G112" i="2"/>
  <c r="I112" i="2"/>
  <c r="J112" i="2"/>
  <c r="K112" i="2"/>
  <c r="L112" i="2"/>
  <c r="Z113" i="1"/>
  <c r="AC113" i="1"/>
  <c r="AD113" i="1"/>
  <c r="E113" i="2"/>
  <c r="E115" i="5"/>
  <c r="F113" i="2"/>
  <c r="G113" i="2"/>
  <c r="I113" i="2"/>
  <c r="J113" i="2"/>
  <c r="K113" i="2"/>
  <c r="L113" i="2"/>
  <c r="Z114" i="1"/>
  <c r="AC114" i="1"/>
  <c r="AD114" i="1"/>
  <c r="E114" i="2"/>
  <c r="E116" i="5"/>
  <c r="F114" i="2"/>
  <c r="G114" i="2"/>
  <c r="I114" i="2"/>
  <c r="J114" i="2"/>
  <c r="K114" i="2"/>
  <c r="L114" i="2"/>
  <c r="Z115" i="1"/>
  <c r="AC115" i="1"/>
  <c r="AD115" i="1"/>
  <c r="E115" i="2"/>
  <c r="E117" i="5"/>
  <c r="F115" i="2"/>
  <c r="G115" i="2"/>
  <c r="I115" i="2"/>
  <c r="J115" i="2"/>
  <c r="K115" i="2"/>
  <c r="L115" i="2"/>
  <c r="Z116" i="1"/>
  <c r="AC116" i="1"/>
  <c r="AD116" i="1"/>
  <c r="E116" i="2"/>
  <c r="E118" i="5"/>
  <c r="F116" i="2"/>
  <c r="G116" i="2"/>
  <c r="I116" i="2"/>
  <c r="J116" i="2"/>
  <c r="K116" i="2"/>
  <c r="L116" i="2"/>
  <c r="Z117" i="1"/>
  <c r="AC117" i="1"/>
  <c r="AD117" i="1"/>
  <c r="E117" i="2"/>
  <c r="E119" i="5"/>
  <c r="F117" i="2"/>
  <c r="G117" i="2"/>
  <c r="I117" i="2"/>
  <c r="J117" i="2"/>
  <c r="K117" i="2"/>
  <c r="L117" i="2"/>
  <c r="Z118" i="1"/>
  <c r="AC118" i="1"/>
  <c r="AD118" i="1"/>
  <c r="E118" i="2"/>
  <c r="E120" i="5"/>
  <c r="F118" i="2"/>
  <c r="G118" i="2"/>
  <c r="I118" i="2"/>
  <c r="J118" i="2"/>
  <c r="K118" i="2"/>
  <c r="L118" i="2"/>
  <c r="Z119" i="1"/>
  <c r="AC119" i="1"/>
  <c r="AD119" i="1"/>
  <c r="E119" i="2"/>
  <c r="F119" i="2"/>
  <c r="G119" i="2"/>
  <c r="I119" i="2"/>
  <c r="J119" i="2"/>
  <c r="K119" i="2"/>
  <c r="L119" i="2"/>
  <c r="Z120" i="1"/>
  <c r="AC120" i="1"/>
  <c r="AD120" i="1"/>
  <c r="E120" i="2"/>
  <c r="E122" i="5"/>
  <c r="F120" i="2"/>
  <c r="G120" i="2"/>
  <c r="I120" i="2"/>
  <c r="J120" i="2"/>
  <c r="K120" i="2"/>
  <c r="L120" i="2"/>
  <c r="Z121" i="1"/>
  <c r="AC121" i="1"/>
  <c r="AD121" i="1"/>
  <c r="E121" i="2"/>
  <c r="E123" i="5"/>
  <c r="F121" i="2"/>
  <c r="G121" i="2"/>
  <c r="I121" i="2"/>
  <c r="J121" i="2"/>
  <c r="K121" i="2"/>
  <c r="L121" i="2"/>
  <c r="Z122" i="1"/>
  <c r="AC122" i="1"/>
  <c r="AD122" i="1"/>
  <c r="E122" i="2"/>
  <c r="E124" i="5"/>
  <c r="F122" i="2"/>
  <c r="G122" i="2"/>
  <c r="I122" i="2"/>
  <c r="J122" i="2"/>
  <c r="K122" i="2"/>
  <c r="L122" i="2"/>
  <c r="Z123" i="1"/>
  <c r="AC123" i="1"/>
  <c r="AD123" i="1"/>
  <c r="E123" i="2"/>
  <c r="E125" i="5"/>
  <c r="F123" i="2"/>
  <c r="G123" i="2"/>
  <c r="I123" i="2"/>
  <c r="J123" i="2"/>
  <c r="K123" i="2"/>
  <c r="L123" i="2"/>
  <c r="Z124" i="1"/>
  <c r="AC124" i="1"/>
  <c r="AD124" i="1"/>
  <c r="E124" i="2"/>
  <c r="E126" i="5"/>
  <c r="F124" i="2"/>
  <c r="G124" i="2"/>
  <c r="I124" i="2"/>
  <c r="J124" i="2"/>
  <c r="K124" i="2"/>
  <c r="L124" i="2"/>
  <c r="Z125" i="1"/>
  <c r="AC125" i="1"/>
  <c r="AD125" i="1"/>
  <c r="E125" i="2"/>
  <c r="E127" i="5"/>
  <c r="F125" i="2"/>
  <c r="G125" i="2"/>
  <c r="I125" i="2"/>
  <c r="J125" i="2"/>
  <c r="K125" i="2"/>
  <c r="L125" i="2"/>
  <c r="Z126" i="1"/>
  <c r="AC126" i="1"/>
  <c r="AD126" i="1"/>
  <c r="E126" i="2"/>
  <c r="E128" i="5"/>
  <c r="F126" i="2"/>
  <c r="G126" i="2"/>
  <c r="I126" i="2"/>
  <c r="J126" i="2"/>
  <c r="K126" i="2"/>
  <c r="L126" i="2"/>
  <c r="Z127" i="1"/>
  <c r="AC127" i="1"/>
  <c r="AD127" i="1"/>
  <c r="E127" i="2"/>
  <c r="E129" i="5"/>
  <c r="F127" i="2"/>
  <c r="G127" i="2"/>
  <c r="I127" i="2"/>
  <c r="J127" i="2"/>
  <c r="K127" i="2"/>
  <c r="L127" i="2"/>
  <c r="Z128" i="1"/>
  <c r="AC128" i="1"/>
  <c r="AD128" i="1"/>
  <c r="E128" i="2"/>
  <c r="E130" i="5"/>
  <c r="F128" i="2"/>
  <c r="G128" i="2"/>
  <c r="I128" i="2"/>
  <c r="J128" i="2"/>
  <c r="K128" i="2"/>
  <c r="L128" i="2"/>
  <c r="Z129" i="1"/>
  <c r="AC129" i="1"/>
  <c r="AD129" i="1"/>
  <c r="E129" i="2"/>
  <c r="E131" i="5"/>
  <c r="F129" i="2"/>
  <c r="G129" i="2"/>
  <c r="I129" i="2"/>
  <c r="J129" i="2"/>
  <c r="K129" i="2"/>
  <c r="L129" i="2"/>
  <c r="Z130" i="1"/>
  <c r="AC130" i="1"/>
  <c r="AD130" i="1"/>
  <c r="E130" i="2"/>
  <c r="E132" i="5"/>
  <c r="F130" i="2"/>
  <c r="G130" i="2"/>
  <c r="I130" i="2"/>
  <c r="J130" i="2"/>
  <c r="K130" i="2"/>
  <c r="L130" i="2"/>
  <c r="Z131" i="1"/>
  <c r="AC131" i="1"/>
  <c r="AD131" i="1"/>
  <c r="E131" i="2"/>
  <c r="E133" i="5"/>
  <c r="F131" i="2"/>
  <c r="G131" i="2"/>
  <c r="I131" i="2"/>
  <c r="J131" i="2"/>
  <c r="K131" i="2"/>
  <c r="L131" i="2"/>
  <c r="Z132" i="1"/>
  <c r="AC132" i="1"/>
  <c r="AD132" i="1"/>
  <c r="E132" i="2"/>
  <c r="E134" i="5"/>
  <c r="F132" i="2"/>
  <c r="G132" i="2"/>
  <c r="I132" i="2"/>
  <c r="J132" i="2"/>
  <c r="K132" i="2"/>
  <c r="L132" i="2"/>
  <c r="Z133" i="1"/>
  <c r="AC133" i="1"/>
  <c r="AD133" i="1"/>
  <c r="E133" i="2"/>
  <c r="E135" i="5"/>
  <c r="F133" i="2"/>
  <c r="G133" i="2"/>
  <c r="I133" i="2"/>
  <c r="J133" i="2"/>
  <c r="K133" i="2"/>
  <c r="L133" i="2"/>
  <c r="Z134" i="1"/>
  <c r="AC134" i="1"/>
  <c r="AD134" i="1"/>
  <c r="E134" i="2"/>
  <c r="E136" i="5"/>
  <c r="F134" i="2"/>
  <c r="G134" i="2"/>
  <c r="I134" i="2"/>
  <c r="J134" i="2"/>
  <c r="K134" i="2"/>
  <c r="L134" i="2"/>
  <c r="Z135" i="1"/>
  <c r="AC135" i="1"/>
  <c r="AD135" i="1"/>
  <c r="E135" i="2"/>
  <c r="E137" i="5"/>
  <c r="F135" i="2"/>
  <c r="G135" i="2"/>
  <c r="I135" i="2"/>
  <c r="J135" i="2"/>
  <c r="K135" i="2"/>
  <c r="L135" i="2"/>
  <c r="Z136" i="1"/>
  <c r="AC136" i="1"/>
  <c r="AD136" i="1"/>
  <c r="E136" i="2"/>
  <c r="E138" i="5"/>
  <c r="F136" i="2"/>
  <c r="G136" i="2"/>
  <c r="I136" i="2"/>
  <c r="J136" i="2"/>
  <c r="K136" i="2"/>
  <c r="L136" i="2"/>
  <c r="Z137" i="1"/>
  <c r="AC137" i="1"/>
  <c r="AD137" i="1"/>
  <c r="E137" i="2"/>
  <c r="E139" i="5"/>
  <c r="F137" i="2"/>
  <c r="G137" i="2"/>
  <c r="I137" i="2"/>
  <c r="J137" i="2"/>
  <c r="K137" i="2"/>
  <c r="L137" i="2"/>
  <c r="Z138" i="1"/>
  <c r="AC138" i="1"/>
  <c r="AD138" i="1"/>
  <c r="E138" i="2"/>
  <c r="E140" i="5"/>
  <c r="F138" i="2"/>
  <c r="G138" i="2"/>
  <c r="I138" i="2"/>
  <c r="J138" i="2"/>
  <c r="K138" i="2"/>
  <c r="L138" i="2"/>
  <c r="Z139" i="1"/>
  <c r="AC139" i="1"/>
  <c r="AD139" i="1"/>
  <c r="E139" i="2"/>
  <c r="E141" i="5"/>
  <c r="F139" i="2"/>
  <c r="G139" i="2"/>
  <c r="I139" i="2"/>
  <c r="J139" i="2"/>
  <c r="K139" i="2"/>
  <c r="L139" i="2"/>
  <c r="Z140" i="1"/>
  <c r="AC140" i="1"/>
  <c r="AD140" i="1"/>
  <c r="E140" i="2"/>
  <c r="E142" i="5"/>
  <c r="F140" i="2"/>
  <c r="G140" i="2"/>
  <c r="I140" i="2"/>
  <c r="J140" i="2"/>
  <c r="K140" i="2"/>
  <c r="L140" i="2"/>
  <c r="Z141" i="1"/>
  <c r="AC141" i="1"/>
  <c r="AD141" i="1"/>
  <c r="E141" i="2"/>
  <c r="E143" i="5"/>
  <c r="F141" i="2"/>
  <c r="G141" i="2"/>
  <c r="I141" i="2"/>
  <c r="J141" i="2"/>
  <c r="K141" i="2"/>
  <c r="L141" i="2"/>
  <c r="Z142" i="1"/>
  <c r="AC142" i="1"/>
  <c r="AD142" i="1"/>
  <c r="E142" i="2"/>
  <c r="F142" i="2"/>
  <c r="G142" i="2"/>
  <c r="I142" i="2"/>
  <c r="J142" i="2"/>
  <c r="K142" i="2"/>
  <c r="L142" i="2"/>
  <c r="Z143" i="1"/>
  <c r="AC143" i="1"/>
  <c r="AD143" i="1"/>
  <c r="E143" i="2"/>
  <c r="E145" i="5"/>
  <c r="F143" i="2"/>
  <c r="G143" i="2"/>
  <c r="I143" i="2"/>
  <c r="J143" i="2"/>
  <c r="K143" i="2"/>
  <c r="L143" i="2"/>
  <c r="Z144" i="1"/>
  <c r="AC144" i="1"/>
  <c r="AD144" i="1"/>
  <c r="E144" i="2"/>
  <c r="E146" i="5"/>
  <c r="F144" i="2"/>
  <c r="G144" i="2"/>
  <c r="I144" i="2"/>
  <c r="J144" i="2"/>
  <c r="K144" i="2"/>
  <c r="L144" i="2"/>
  <c r="Z145" i="1"/>
  <c r="AC145" i="1"/>
  <c r="AD145" i="1"/>
  <c r="E145" i="2"/>
  <c r="F145" i="2"/>
  <c r="G145" i="2"/>
  <c r="I145" i="2"/>
  <c r="J145" i="2"/>
  <c r="K145" i="2"/>
  <c r="L145" i="2"/>
  <c r="Z146" i="1"/>
  <c r="AC146" i="1"/>
  <c r="AD146" i="1"/>
  <c r="E146" i="2"/>
  <c r="E148" i="5"/>
  <c r="F146" i="2"/>
  <c r="G146" i="2"/>
  <c r="I146" i="2"/>
  <c r="J146" i="2"/>
  <c r="K146" i="2"/>
  <c r="L146" i="2"/>
  <c r="Z147" i="1"/>
  <c r="AC147" i="1"/>
  <c r="AD147" i="1"/>
  <c r="E147" i="2"/>
  <c r="E149" i="5"/>
  <c r="F147" i="2"/>
  <c r="G147" i="2"/>
  <c r="I147" i="2"/>
  <c r="J147" i="2"/>
  <c r="K147" i="2"/>
  <c r="L147" i="2"/>
  <c r="Z148" i="1"/>
  <c r="AC148" i="1"/>
  <c r="AD148" i="1"/>
  <c r="E148" i="2"/>
  <c r="E150" i="5"/>
  <c r="F148" i="2"/>
  <c r="G148" i="2"/>
  <c r="I148" i="2"/>
  <c r="J148" i="2"/>
  <c r="K148" i="2"/>
  <c r="L148" i="2"/>
  <c r="Z149" i="1"/>
  <c r="AC149" i="1"/>
  <c r="AD149" i="1"/>
  <c r="E149" i="2"/>
  <c r="E151" i="5"/>
  <c r="F149" i="2"/>
  <c r="G149" i="2"/>
  <c r="I149" i="2"/>
  <c r="J149" i="2"/>
  <c r="K149" i="2"/>
  <c r="L149" i="2"/>
  <c r="Z150" i="1"/>
  <c r="AC150" i="1"/>
  <c r="AD150" i="1"/>
  <c r="E150" i="2"/>
  <c r="E152" i="5"/>
  <c r="F150" i="2"/>
  <c r="G150" i="2"/>
  <c r="I150" i="2"/>
  <c r="J150" i="2"/>
  <c r="K150" i="2"/>
  <c r="L150" i="2"/>
  <c r="Z151" i="1"/>
  <c r="AC151" i="1"/>
  <c r="AD151" i="1"/>
  <c r="E151" i="2"/>
  <c r="F151" i="2"/>
  <c r="G151" i="2"/>
  <c r="I151" i="2"/>
  <c r="J151" i="2"/>
  <c r="K151" i="2"/>
  <c r="L151" i="2"/>
  <c r="Z152" i="1"/>
  <c r="AC152" i="1"/>
  <c r="AD152" i="1"/>
  <c r="E152" i="2"/>
  <c r="E154" i="5"/>
  <c r="F152" i="2"/>
  <c r="G152" i="2"/>
  <c r="I152" i="2"/>
  <c r="J152" i="2"/>
  <c r="K152" i="2"/>
  <c r="L152" i="2"/>
  <c r="Z153" i="1"/>
  <c r="AC153" i="1"/>
  <c r="AD153" i="1"/>
  <c r="E153" i="2"/>
  <c r="F153" i="2"/>
  <c r="G153" i="2"/>
  <c r="I153" i="2"/>
  <c r="J153" i="2"/>
  <c r="K153" i="2"/>
  <c r="L153" i="2"/>
  <c r="Z154" i="1"/>
  <c r="AC154" i="1"/>
  <c r="AD154" i="1"/>
  <c r="E154" i="2"/>
  <c r="E156" i="5"/>
  <c r="F154" i="2"/>
  <c r="G154" i="2"/>
  <c r="I154" i="2"/>
  <c r="J154" i="2"/>
  <c r="K154" i="2"/>
  <c r="L154" i="2"/>
  <c r="Z155" i="1"/>
  <c r="AC155" i="1"/>
  <c r="AD155" i="1"/>
  <c r="E155" i="2"/>
  <c r="E157" i="5"/>
  <c r="F155" i="2"/>
  <c r="G155" i="2"/>
  <c r="I155" i="2"/>
  <c r="J155" i="2"/>
  <c r="K155" i="2"/>
  <c r="L155" i="2"/>
  <c r="Z156" i="1"/>
  <c r="AC156" i="1"/>
  <c r="AD156" i="1"/>
  <c r="E156" i="2"/>
  <c r="E158" i="5"/>
  <c r="F156" i="2"/>
  <c r="G156" i="2"/>
  <c r="I156" i="2"/>
  <c r="J156" i="2"/>
  <c r="K156" i="2"/>
  <c r="L156" i="2"/>
  <c r="Z157" i="1"/>
  <c r="AC157" i="1"/>
  <c r="AD157" i="1"/>
  <c r="E157" i="2"/>
  <c r="E159" i="5"/>
  <c r="F157" i="2"/>
  <c r="G157" i="2"/>
  <c r="I157" i="2"/>
  <c r="J157" i="2"/>
  <c r="K157" i="2"/>
  <c r="L157" i="2"/>
  <c r="Z158" i="1"/>
  <c r="AC158" i="1"/>
  <c r="AD158" i="1"/>
  <c r="E158" i="2"/>
  <c r="F158" i="2"/>
  <c r="G158" i="2"/>
  <c r="I158" i="2"/>
  <c r="J158" i="2"/>
  <c r="K158" i="2"/>
  <c r="L158" i="2"/>
  <c r="Z159" i="1"/>
  <c r="AC159" i="1"/>
  <c r="AD159" i="1"/>
  <c r="E159" i="2"/>
  <c r="E161" i="5"/>
  <c r="F159" i="2"/>
  <c r="G159" i="2"/>
  <c r="I159" i="2"/>
  <c r="J159" i="2"/>
  <c r="K159" i="2"/>
  <c r="L159" i="2"/>
  <c r="Z160" i="1"/>
  <c r="AC160" i="1"/>
  <c r="AD160" i="1"/>
  <c r="E160" i="2"/>
  <c r="E162" i="5"/>
  <c r="F160" i="2"/>
  <c r="G160" i="2"/>
  <c r="I160" i="2"/>
  <c r="J160" i="2"/>
  <c r="K160" i="2"/>
  <c r="L160" i="2"/>
  <c r="Z161" i="1"/>
  <c r="AC161" i="1"/>
  <c r="AD161" i="1"/>
  <c r="E161" i="2"/>
  <c r="F161" i="2"/>
  <c r="G161" i="2"/>
  <c r="I161" i="2"/>
  <c r="J161" i="2"/>
  <c r="K161" i="2"/>
  <c r="L161" i="2"/>
  <c r="Z162" i="1"/>
  <c r="AC162" i="1"/>
  <c r="AD162" i="1"/>
  <c r="E162" i="2"/>
  <c r="E164" i="5"/>
  <c r="F162" i="2"/>
  <c r="G162" i="2"/>
  <c r="I162" i="2"/>
  <c r="J162" i="2"/>
  <c r="K162" i="2"/>
  <c r="L162" i="2"/>
  <c r="Z163" i="1"/>
  <c r="AC163" i="1"/>
  <c r="AD163" i="1"/>
  <c r="E163" i="2"/>
  <c r="E165" i="5"/>
  <c r="F163" i="2"/>
  <c r="G163" i="2"/>
  <c r="I163" i="2"/>
  <c r="J163" i="2"/>
  <c r="K163" i="2"/>
  <c r="L163" i="2"/>
  <c r="Z164" i="1"/>
  <c r="AC164" i="1"/>
  <c r="AD164" i="1"/>
  <c r="E164" i="2"/>
  <c r="E166" i="5"/>
  <c r="F164" i="2"/>
  <c r="G164" i="2"/>
  <c r="I164" i="2"/>
  <c r="J164" i="2"/>
  <c r="K164" i="2"/>
  <c r="L164" i="2"/>
  <c r="Z165" i="1"/>
  <c r="AC165" i="1"/>
  <c r="AD165" i="1"/>
  <c r="E165" i="2"/>
  <c r="E167" i="5"/>
  <c r="F165" i="2"/>
  <c r="G165" i="2"/>
  <c r="I165" i="2"/>
  <c r="J165" i="2"/>
  <c r="K165" i="2"/>
  <c r="L165" i="2"/>
  <c r="Z166" i="1"/>
  <c r="AC166" i="1"/>
  <c r="AD166" i="1"/>
  <c r="E166" i="2"/>
  <c r="E168" i="5"/>
  <c r="F166" i="2"/>
  <c r="G166" i="2"/>
  <c r="I166" i="2"/>
  <c r="J166" i="2"/>
  <c r="K166" i="2"/>
  <c r="L166" i="2"/>
  <c r="Z167" i="1"/>
  <c r="AC167" i="1"/>
  <c r="AD167" i="1"/>
  <c r="E167" i="2"/>
  <c r="E169" i="5"/>
  <c r="F167" i="2"/>
  <c r="G167" i="2"/>
  <c r="I167" i="2"/>
  <c r="J167" i="2"/>
  <c r="K167" i="2"/>
  <c r="L167" i="2"/>
  <c r="Z168" i="1"/>
  <c r="AC168" i="1"/>
  <c r="AD168" i="1"/>
  <c r="E168" i="2"/>
  <c r="F168" i="2"/>
  <c r="G168" i="2"/>
  <c r="I168" i="2"/>
  <c r="J168" i="2"/>
  <c r="K168" i="2"/>
  <c r="L168" i="2"/>
  <c r="Z169" i="1"/>
  <c r="AC169" i="1"/>
  <c r="AD169" i="1"/>
  <c r="E169" i="2"/>
  <c r="E171" i="5"/>
  <c r="F169" i="2"/>
  <c r="G169" i="2"/>
  <c r="I169" i="2"/>
  <c r="J169" i="2"/>
  <c r="K169" i="2"/>
  <c r="L169" i="2"/>
  <c r="Z170" i="1"/>
  <c r="AC170" i="1"/>
  <c r="AD170" i="1"/>
  <c r="E170" i="2"/>
  <c r="E172" i="5"/>
  <c r="F170" i="2"/>
  <c r="G170" i="2"/>
  <c r="I170" i="2"/>
  <c r="J170" i="2"/>
  <c r="K170" i="2"/>
  <c r="L170" i="2"/>
  <c r="Z171" i="1"/>
  <c r="AA171" i="1"/>
  <c r="D171" i="2"/>
  <c r="AC171" i="1"/>
  <c r="AD171" i="1"/>
  <c r="E171" i="2"/>
  <c r="E173" i="5"/>
  <c r="F171" i="2"/>
  <c r="G171" i="2"/>
  <c r="I171" i="2"/>
  <c r="J171" i="2"/>
  <c r="K171" i="2"/>
  <c r="L171" i="2"/>
  <c r="Z172" i="1"/>
  <c r="AA172" i="1"/>
  <c r="D172" i="2"/>
  <c r="D174" i="5"/>
  <c r="AC172" i="1"/>
  <c r="AD172" i="1"/>
  <c r="E172" i="2"/>
  <c r="E174" i="5"/>
  <c r="F172" i="2"/>
  <c r="G172" i="2"/>
  <c r="I172" i="2"/>
  <c r="J172" i="2"/>
  <c r="K172" i="2"/>
  <c r="L172" i="2"/>
  <c r="Z173" i="1"/>
  <c r="AC173" i="1"/>
  <c r="AD173" i="1"/>
  <c r="E173" i="2"/>
  <c r="E175" i="5"/>
  <c r="F173" i="2"/>
  <c r="G173" i="2"/>
  <c r="I173" i="2"/>
  <c r="J173" i="2"/>
  <c r="K173" i="2"/>
  <c r="L173" i="2"/>
  <c r="Z174" i="1"/>
  <c r="AC174" i="1"/>
  <c r="AD174" i="1"/>
  <c r="E174" i="2"/>
  <c r="E176" i="5"/>
  <c r="F174" i="2"/>
  <c r="G174" i="2"/>
  <c r="I174" i="2"/>
  <c r="J174" i="2"/>
  <c r="K174" i="2"/>
  <c r="L174" i="2"/>
  <c r="Z175" i="1"/>
  <c r="AA175" i="1"/>
  <c r="D175" i="2"/>
  <c r="D177" i="5"/>
  <c r="AC175" i="1"/>
  <c r="AD175" i="1"/>
  <c r="E175" i="2"/>
  <c r="E177" i="5"/>
  <c r="F175" i="2"/>
  <c r="G175" i="2"/>
  <c r="I175" i="2"/>
  <c r="J175" i="2"/>
  <c r="K175" i="2"/>
  <c r="L175" i="2"/>
  <c r="Z176" i="1"/>
  <c r="AA176" i="1"/>
  <c r="D176" i="2"/>
  <c r="AC176" i="1"/>
  <c r="AD176" i="1"/>
  <c r="E176" i="2"/>
  <c r="E178" i="5"/>
  <c r="F176" i="2"/>
  <c r="G176" i="2"/>
  <c r="I176" i="2"/>
  <c r="J176" i="2"/>
  <c r="K176" i="2"/>
  <c r="L176" i="2"/>
  <c r="Z177" i="1"/>
  <c r="AC177" i="1"/>
  <c r="AD177" i="1"/>
  <c r="E177" i="2"/>
  <c r="E179" i="5"/>
  <c r="F177" i="2"/>
  <c r="G177" i="2"/>
  <c r="I177" i="2"/>
  <c r="J177" i="2"/>
  <c r="K177" i="2"/>
  <c r="L177" i="2"/>
  <c r="Z178" i="1"/>
  <c r="AC178" i="1"/>
  <c r="AD178" i="1"/>
  <c r="E178" i="2"/>
  <c r="E180" i="5"/>
  <c r="F178" i="2"/>
  <c r="G178" i="2"/>
  <c r="I178" i="2"/>
  <c r="J178" i="2"/>
  <c r="K178" i="2"/>
  <c r="L178" i="2"/>
  <c r="Z179" i="1"/>
  <c r="AA179" i="1"/>
  <c r="D179" i="2"/>
  <c r="AC179" i="1"/>
  <c r="AD179" i="1"/>
  <c r="E179" i="2"/>
  <c r="E181" i="5"/>
  <c r="F179" i="2"/>
  <c r="G179" i="2"/>
  <c r="I179" i="2"/>
  <c r="J179" i="2"/>
  <c r="K179" i="2"/>
  <c r="L179" i="2"/>
  <c r="Z180" i="1"/>
  <c r="AA180" i="1"/>
  <c r="D180" i="2"/>
  <c r="AC180" i="1"/>
  <c r="AD180" i="1"/>
  <c r="E180" i="2"/>
  <c r="E182" i="5"/>
  <c r="F180" i="2"/>
  <c r="G180" i="2"/>
  <c r="I180" i="2"/>
  <c r="J180" i="2"/>
  <c r="K180" i="2"/>
  <c r="L180" i="2"/>
  <c r="Z181" i="1"/>
  <c r="AC181" i="1"/>
  <c r="AD181" i="1"/>
  <c r="E181" i="2"/>
  <c r="E183" i="5"/>
  <c r="F181" i="2"/>
  <c r="G181" i="2"/>
  <c r="I181" i="2"/>
  <c r="J181" i="2"/>
  <c r="K181" i="2"/>
  <c r="L181" i="2"/>
  <c r="Z182" i="1"/>
  <c r="AC182" i="1"/>
  <c r="AD182" i="1"/>
  <c r="E182" i="2"/>
  <c r="E184" i="5"/>
  <c r="F182" i="2"/>
  <c r="G182" i="2"/>
  <c r="I182" i="2"/>
  <c r="J182" i="2"/>
  <c r="K182" i="2"/>
  <c r="L182" i="2"/>
  <c r="Z183" i="1"/>
  <c r="AA183" i="1"/>
  <c r="D183" i="2"/>
  <c r="AC183" i="1"/>
  <c r="AD183" i="1"/>
  <c r="E183" i="2"/>
  <c r="E185" i="5"/>
  <c r="F183" i="2"/>
  <c r="G183" i="2"/>
  <c r="I183" i="2"/>
  <c r="J183" i="2"/>
  <c r="K183" i="2"/>
  <c r="L183" i="2"/>
  <c r="Z184" i="1"/>
  <c r="AA184" i="1"/>
  <c r="D184" i="2"/>
  <c r="AC184" i="1"/>
  <c r="AD184" i="1"/>
  <c r="E184" i="2"/>
  <c r="E186" i="5"/>
  <c r="F184" i="2"/>
  <c r="G184" i="2"/>
  <c r="I184" i="2"/>
  <c r="J184" i="2"/>
  <c r="K184" i="2"/>
  <c r="L184" i="2"/>
  <c r="Z185" i="1"/>
  <c r="AC185" i="1"/>
  <c r="AD185" i="1"/>
  <c r="E185" i="2"/>
  <c r="F185" i="2"/>
  <c r="G185" i="2"/>
  <c r="I185" i="2"/>
  <c r="J185" i="2"/>
  <c r="K185" i="2"/>
  <c r="L185" i="2"/>
  <c r="Z186" i="1"/>
  <c r="AC186" i="1"/>
  <c r="AD186" i="1"/>
  <c r="E186" i="2"/>
  <c r="E188" i="5"/>
  <c r="F186" i="2"/>
  <c r="G186" i="2"/>
  <c r="I186" i="2"/>
  <c r="J186" i="2"/>
  <c r="K186" i="2"/>
  <c r="L186" i="2"/>
  <c r="Z187" i="1"/>
  <c r="AA187" i="1"/>
  <c r="D187" i="2"/>
  <c r="AC187" i="1"/>
  <c r="AD187" i="1"/>
  <c r="E187" i="2"/>
  <c r="E189" i="5"/>
  <c r="F187" i="2"/>
  <c r="G187" i="2"/>
  <c r="I187" i="2"/>
  <c r="J187" i="2"/>
  <c r="K187" i="2"/>
  <c r="L187" i="2"/>
  <c r="Z188" i="1"/>
  <c r="AA188" i="1"/>
  <c r="D188" i="2"/>
  <c r="AC188" i="1"/>
  <c r="AD188" i="1"/>
  <c r="E188" i="2"/>
  <c r="E190" i="5"/>
  <c r="F188" i="2"/>
  <c r="G188" i="2"/>
  <c r="I188" i="2"/>
  <c r="J188" i="2"/>
  <c r="K188" i="2"/>
  <c r="L188" i="2"/>
  <c r="Z189" i="1"/>
  <c r="AC189" i="1"/>
  <c r="AD189" i="1"/>
  <c r="E189" i="2"/>
  <c r="E191" i="5"/>
  <c r="F189" i="2"/>
  <c r="G189" i="2"/>
  <c r="I189" i="2"/>
  <c r="J189" i="2"/>
  <c r="K189" i="2"/>
  <c r="L189" i="2"/>
  <c r="Z190" i="1"/>
  <c r="AC190" i="1"/>
  <c r="AD190" i="1"/>
  <c r="E190" i="2"/>
  <c r="E192" i="5"/>
  <c r="F190" i="2"/>
  <c r="G190" i="2"/>
  <c r="I190" i="2"/>
  <c r="J190" i="2"/>
  <c r="K190" i="2"/>
  <c r="L190" i="2"/>
  <c r="Z191" i="1"/>
  <c r="AA191" i="1"/>
  <c r="D191" i="2"/>
  <c r="AC191" i="1"/>
  <c r="AD191" i="1"/>
  <c r="E191" i="2"/>
  <c r="E193" i="5"/>
  <c r="F191" i="2"/>
  <c r="G191" i="2"/>
  <c r="I191" i="2"/>
  <c r="J191" i="2"/>
  <c r="K191" i="2"/>
  <c r="L191" i="2"/>
  <c r="Z192" i="1"/>
  <c r="AA192" i="1"/>
  <c r="D192" i="2"/>
  <c r="AC192" i="1"/>
  <c r="AD192" i="1"/>
  <c r="E192" i="2"/>
  <c r="E194" i="5"/>
  <c r="F192" i="2"/>
  <c r="G192" i="2"/>
  <c r="I192" i="2"/>
  <c r="J192" i="2"/>
  <c r="K192" i="2"/>
  <c r="L192" i="2"/>
  <c r="Z193" i="1"/>
  <c r="AC193" i="1"/>
  <c r="AD193" i="1"/>
  <c r="E193" i="2"/>
  <c r="F193" i="2"/>
  <c r="G193" i="2"/>
  <c r="I193" i="2"/>
  <c r="J193" i="2"/>
  <c r="K193" i="2"/>
  <c r="L193" i="2"/>
  <c r="Z194" i="1"/>
  <c r="AC194" i="1"/>
  <c r="AD194" i="1"/>
  <c r="E194" i="2"/>
  <c r="E196" i="5"/>
  <c r="F194" i="2"/>
  <c r="G194" i="2"/>
  <c r="I194" i="2"/>
  <c r="J194" i="2"/>
  <c r="K194" i="2"/>
  <c r="L194" i="2"/>
  <c r="Z195" i="1"/>
  <c r="AA195" i="1"/>
  <c r="D195" i="2"/>
  <c r="AC195" i="1"/>
  <c r="AD195" i="1"/>
  <c r="E195" i="2"/>
  <c r="E197" i="5"/>
  <c r="F195" i="2"/>
  <c r="G195" i="2"/>
  <c r="I195" i="2"/>
  <c r="J195" i="2"/>
  <c r="K195" i="2"/>
  <c r="L195" i="2"/>
  <c r="Z196" i="1"/>
  <c r="AA196" i="1"/>
  <c r="D196" i="2"/>
  <c r="AC196" i="1"/>
  <c r="AD196" i="1"/>
  <c r="E196" i="2"/>
  <c r="E198" i="5"/>
  <c r="F196" i="2"/>
  <c r="G196" i="2"/>
  <c r="I196" i="2"/>
  <c r="J196" i="2"/>
  <c r="K196" i="2"/>
  <c r="L196" i="2"/>
  <c r="Z197" i="1"/>
  <c r="AC197" i="1"/>
  <c r="AD197" i="1"/>
  <c r="E197" i="2"/>
  <c r="E199" i="5"/>
  <c r="F197" i="2"/>
  <c r="G197" i="2"/>
  <c r="I197" i="2"/>
  <c r="J197" i="2"/>
  <c r="K197" i="2"/>
  <c r="L197" i="2"/>
  <c r="Z198" i="1"/>
  <c r="AC198" i="1"/>
  <c r="AD198" i="1"/>
  <c r="E198" i="2"/>
  <c r="E200" i="5"/>
  <c r="F198" i="2"/>
  <c r="G198" i="2"/>
  <c r="I198" i="2"/>
  <c r="J198" i="2"/>
  <c r="K198" i="2"/>
  <c r="L198" i="2"/>
  <c r="Z199" i="1"/>
  <c r="AA199" i="1"/>
  <c r="D199" i="2"/>
  <c r="D201" i="5"/>
  <c r="AC199" i="1"/>
  <c r="AD199" i="1"/>
  <c r="E199" i="2"/>
  <c r="E201" i="5"/>
  <c r="F199" i="2"/>
  <c r="G199" i="2"/>
  <c r="I199" i="2"/>
  <c r="J199" i="2"/>
  <c r="K199" i="2"/>
  <c r="L199" i="2"/>
  <c r="Z200" i="1"/>
  <c r="AA200" i="1"/>
  <c r="D200" i="2"/>
  <c r="AC200" i="1"/>
  <c r="AD200" i="1"/>
  <c r="E200" i="2"/>
  <c r="E202" i="5"/>
  <c r="F200" i="2"/>
  <c r="G200" i="2"/>
  <c r="I200" i="2"/>
  <c r="J200" i="2"/>
  <c r="K200" i="2"/>
  <c r="L200" i="2"/>
  <c r="Z201" i="1"/>
  <c r="AC201" i="1"/>
  <c r="AD201" i="1"/>
  <c r="E201" i="2"/>
  <c r="E203" i="5"/>
  <c r="F201" i="2"/>
  <c r="G201" i="2"/>
  <c r="I201" i="2"/>
  <c r="J201" i="2"/>
  <c r="K201" i="2"/>
  <c r="L201" i="2"/>
  <c r="Z202" i="1"/>
  <c r="AC202" i="1"/>
  <c r="AD202" i="1"/>
  <c r="E202" i="2"/>
  <c r="E204" i="5"/>
  <c r="F202" i="2"/>
  <c r="G202" i="2"/>
  <c r="I202" i="2"/>
  <c r="J202" i="2"/>
  <c r="K202" i="2"/>
  <c r="L202" i="2"/>
  <c r="Z203" i="1"/>
  <c r="AA203" i="1"/>
  <c r="D203" i="2"/>
  <c r="AC203" i="1"/>
  <c r="AD203" i="1"/>
  <c r="E203" i="2"/>
  <c r="E205" i="5"/>
  <c r="F203" i="2"/>
  <c r="G203" i="2"/>
  <c r="I203" i="2"/>
  <c r="J203" i="2"/>
  <c r="K203" i="2"/>
  <c r="L203" i="2"/>
  <c r="Z204" i="1"/>
  <c r="AA204" i="1"/>
  <c r="D204" i="2"/>
  <c r="AC204" i="1"/>
  <c r="AD204" i="1"/>
  <c r="E204" i="2"/>
  <c r="E206" i="5"/>
  <c r="F204" i="2"/>
  <c r="G204" i="2"/>
  <c r="I204" i="2"/>
  <c r="J204" i="2"/>
  <c r="K204" i="2"/>
  <c r="L204" i="2"/>
  <c r="Z205" i="1"/>
  <c r="AC205" i="1"/>
  <c r="AD205" i="1"/>
  <c r="E205" i="2"/>
  <c r="E207" i="5"/>
  <c r="F205" i="2"/>
  <c r="G205" i="2"/>
  <c r="I205" i="2"/>
  <c r="J205" i="2"/>
  <c r="K205" i="2"/>
  <c r="L205" i="2"/>
  <c r="Z206" i="1"/>
  <c r="AC206" i="1"/>
  <c r="AD206" i="1"/>
  <c r="E206" i="2"/>
  <c r="E208" i="5"/>
  <c r="F206" i="2"/>
  <c r="G206" i="2"/>
  <c r="I206" i="2"/>
  <c r="J206" i="2"/>
  <c r="K206" i="2"/>
  <c r="L206" i="2"/>
  <c r="Z207" i="1"/>
  <c r="AA207" i="1"/>
  <c r="D207" i="2"/>
  <c r="D209" i="5"/>
  <c r="AC207" i="1"/>
  <c r="AD207" i="1"/>
  <c r="E207" i="2"/>
  <c r="F207" i="2"/>
  <c r="G207" i="2"/>
  <c r="I207" i="2"/>
  <c r="J207" i="2"/>
  <c r="K207" i="2"/>
  <c r="L207" i="2"/>
  <c r="Z208" i="1"/>
  <c r="AA208" i="1"/>
  <c r="D208" i="2"/>
  <c r="AC208" i="1"/>
  <c r="AD208" i="1"/>
  <c r="E208" i="2"/>
  <c r="E210" i="5"/>
  <c r="F208" i="2"/>
  <c r="G208" i="2"/>
  <c r="I208" i="2"/>
  <c r="J208" i="2"/>
  <c r="K208" i="2"/>
  <c r="L208" i="2"/>
  <c r="Z209" i="1"/>
  <c r="AC209" i="1"/>
  <c r="AD209" i="1"/>
  <c r="E209" i="2"/>
  <c r="F209" i="2"/>
  <c r="G209" i="2"/>
  <c r="I209" i="2"/>
  <c r="J209" i="2"/>
  <c r="K209" i="2"/>
  <c r="L209" i="2"/>
  <c r="Z210" i="1"/>
  <c r="AC210" i="1"/>
  <c r="AD210" i="1"/>
  <c r="E210" i="2"/>
  <c r="E212" i="5"/>
  <c r="F210" i="2"/>
  <c r="G210" i="2"/>
  <c r="I210" i="2"/>
  <c r="J210" i="2"/>
  <c r="K210" i="2"/>
  <c r="L210" i="2"/>
  <c r="Z211" i="1"/>
  <c r="AA211" i="1"/>
  <c r="D211" i="2"/>
  <c r="AC211" i="1"/>
  <c r="AD211" i="1"/>
  <c r="E211" i="2"/>
  <c r="E213" i="5"/>
  <c r="F211" i="2"/>
  <c r="G211" i="2"/>
  <c r="I211" i="2"/>
  <c r="J211" i="2"/>
  <c r="K211" i="2"/>
  <c r="L211" i="2"/>
  <c r="Z212" i="1"/>
  <c r="AA212" i="1"/>
  <c r="D212" i="2"/>
  <c r="D214" i="5"/>
  <c r="AC212" i="1"/>
  <c r="AD212" i="1"/>
  <c r="E212" i="2"/>
  <c r="E214" i="5"/>
  <c r="F212" i="2"/>
  <c r="G212" i="2"/>
  <c r="I212" i="2"/>
  <c r="J212" i="2"/>
  <c r="K212" i="2"/>
  <c r="L212" i="2"/>
  <c r="Z213" i="1"/>
  <c r="AC213" i="1"/>
  <c r="AD213" i="1"/>
  <c r="E213" i="2"/>
  <c r="E215" i="5"/>
  <c r="F213" i="2"/>
  <c r="G213" i="2"/>
  <c r="I213" i="2"/>
  <c r="J213" i="2"/>
  <c r="K213" i="2"/>
  <c r="L213" i="2"/>
  <c r="Z214" i="1"/>
  <c r="AC214" i="1"/>
  <c r="AD214" i="1"/>
  <c r="E214" i="2"/>
  <c r="E216" i="5"/>
  <c r="F214" i="2"/>
  <c r="G214" i="2"/>
  <c r="I214" i="2"/>
  <c r="J214" i="2"/>
  <c r="K214" i="2"/>
  <c r="L214" i="2"/>
  <c r="Z215" i="1"/>
  <c r="AA215" i="1"/>
  <c r="D215" i="2"/>
  <c r="AC215" i="1"/>
  <c r="AD215" i="1"/>
  <c r="E215" i="2"/>
  <c r="E217" i="5"/>
  <c r="F215" i="2"/>
  <c r="G215" i="2"/>
  <c r="I215" i="2"/>
  <c r="J215" i="2"/>
  <c r="K215" i="2"/>
  <c r="L215" i="2"/>
  <c r="Z216" i="1"/>
  <c r="AA216" i="1"/>
  <c r="D216" i="2"/>
  <c r="AC216" i="1"/>
  <c r="AD216" i="1"/>
  <c r="E216" i="2"/>
  <c r="E218" i="5"/>
  <c r="F216" i="2"/>
  <c r="G216" i="2"/>
  <c r="I216" i="2"/>
  <c r="J216" i="2"/>
  <c r="K216" i="2"/>
  <c r="L216" i="2"/>
  <c r="Z217" i="1"/>
  <c r="AC217" i="1"/>
  <c r="AD217" i="1"/>
  <c r="E217" i="2"/>
  <c r="E219" i="5"/>
  <c r="F217" i="2"/>
  <c r="G217" i="2"/>
  <c r="I217" i="2"/>
  <c r="J217" i="2"/>
  <c r="K217" i="2"/>
  <c r="L217" i="2"/>
  <c r="Z218" i="1"/>
  <c r="AC218" i="1"/>
  <c r="AD218" i="1"/>
  <c r="E218" i="2"/>
  <c r="E220" i="5"/>
  <c r="F218" i="2"/>
  <c r="G218" i="2"/>
  <c r="I218" i="2"/>
  <c r="J218" i="2"/>
  <c r="K218" i="2"/>
  <c r="L218" i="2"/>
  <c r="Z219" i="1"/>
  <c r="AA219" i="1"/>
  <c r="D219" i="2"/>
  <c r="AC219" i="1"/>
  <c r="AD219" i="1"/>
  <c r="E219" i="2"/>
  <c r="E221" i="5"/>
  <c r="F219" i="2"/>
  <c r="G219" i="2"/>
  <c r="I219" i="2"/>
  <c r="J219" i="2"/>
  <c r="K219" i="2"/>
  <c r="L219" i="2"/>
  <c r="Z220" i="1"/>
  <c r="AA220" i="1"/>
  <c r="D220" i="2"/>
  <c r="AC220" i="1"/>
  <c r="AD220" i="1"/>
  <c r="E220" i="2"/>
  <c r="E222" i="5"/>
  <c r="F220" i="2"/>
  <c r="G220" i="2"/>
  <c r="I220" i="2"/>
  <c r="J220" i="2"/>
  <c r="K220" i="2"/>
  <c r="L220" i="2"/>
  <c r="Z221" i="1"/>
  <c r="AC221" i="1"/>
  <c r="AD221" i="1"/>
  <c r="E221" i="2"/>
  <c r="E223" i="5"/>
  <c r="F221" i="2"/>
  <c r="G221" i="2"/>
  <c r="I221" i="2"/>
  <c r="J221" i="2"/>
  <c r="K221" i="2"/>
  <c r="L221" i="2"/>
  <c r="Z222" i="1"/>
  <c r="AC222" i="1"/>
  <c r="AD222" i="1"/>
  <c r="E222" i="2"/>
  <c r="E224" i="5"/>
  <c r="F222" i="2"/>
  <c r="G222" i="2"/>
  <c r="I222" i="2"/>
  <c r="J222" i="2"/>
  <c r="K222" i="2"/>
  <c r="L222" i="2"/>
  <c r="Z223" i="1"/>
  <c r="AA223" i="1"/>
  <c r="D223" i="2"/>
  <c r="AC223" i="1"/>
  <c r="AD223" i="1"/>
  <c r="E223" i="2"/>
  <c r="E225" i="5"/>
  <c r="F223" i="2"/>
  <c r="G223" i="2"/>
  <c r="I223" i="2"/>
  <c r="J223" i="2"/>
  <c r="K223" i="2"/>
  <c r="L223" i="2"/>
  <c r="Z224" i="1"/>
  <c r="AA224" i="1"/>
  <c r="D224" i="2"/>
  <c r="AC224" i="1"/>
  <c r="AD224" i="1"/>
  <c r="E224" i="2"/>
  <c r="E226" i="5"/>
  <c r="F224" i="2"/>
  <c r="G224" i="2"/>
  <c r="I224" i="2"/>
  <c r="J224" i="2"/>
  <c r="K224" i="2"/>
  <c r="L224" i="2"/>
  <c r="Z225" i="1"/>
  <c r="AC225" i="1"/>
  <c r="AD225" i="1"/>
  <c r="E225" i="2"/>
  <c r="E227" i="5"/>
  <c r="F225" i="2"/>
  <c r="G225" i="2"/>
  <c r="I225" i="2"/>
  <c r="J225" i="2"/>
  <c r="K225" i="2"/>
  <c r="L225" i="2"/>
  <c r="Z226" i="1"/>
  <c r="AC226" i="1"/>
  <c r="AD226" i="1"/>
  <c r="E226" i="2"/>
  <c r="E228" i="5"/>
  <c r="F226" i="2"/>
  <c r="G226" i="2"/>
  <c r="I226" i="2"/>
  <c r="J226" i="2"/>
  <c r="K226" i="2"/>
  <c r="L226" i="2"/>
  <c r="Z227" i="1"/>
  <c r="AA227" i="1"/>
  <c r="D227" i="2"/>
  <c r="AC227" i="1"/>
  <c r="AD227" i="1"/>
  <c r="E227" i="2"/>
  <c r="E229" i="5"/>
  <c r="F227" i="2"/>
  <c r="G227" i="2"/>
  <c r="I227" i="2"/>
  <c r="J227" i="2"/>
  <c r="K227" i="2"/>
  <c r="L227" i="2"/>
  <c r="Z228" i="1"/>
  <c r="AA228" i="1"/>
  <c r="D228" i="2"/>
  <c r="D230" i="5"/>
  <c r="AC228" i="1"/>
  <c r="AD228" i="1"/>
  <c r="E228" i="2"/>
  <c r="E230" i="5"/>
  <c r="F228" i="2"/>
  <c r="G228" i="2"/>
  <c r="I228" i="2"/>
  <c r="J228" i="2"/>
  <c r="K228" i="2"/>
  <c r="L228" i="2"/>
  <c r="Z229" i="1"/>
  <c r="AC229" i="1"/>
  <c r="AD229" i="1"/>
  <c r="E229" i="2"/>
  <c r="E231" i="5"/>
  <c r="F229" i="2"/>
  <c r="G229" i="2"/>
  <c r="I229" i="2"/>
  <c r="J229" i="2"/>
  <c r="K229" i="2"/>
  <c r="L229" i="2"/>
  <c r="Z230" i="1"/>
  <c r="AC230" i="1"/>
  <c r="AD230" i="1"/>
  <c r="E230" i="2"/>
  <c r="E232" i="5"/>
  <c r="F230" i="2"/>
  <c r="G230" i="2"/>
  <c r="I230" i="2"/>
  <c r="J230" i="2"/>
  <c r="K230" i="2"/>
  <c r="L230" i="2"/>
  <c r="Z231" i="1"/>
  <c r="AA231" i="1"/>
  <c r="D231" i="2"/>
  <c r="AC231" i="1"/>
  <c r="AD231" i="1"/>
  <c r="E231" i="2"/>
  <c r="E233" i="5"/>
  <c r="F231" i="2"/>
  <c r="G231" i="2"/>
  <c r="I231" i="2"/>
  <c r="J231" i="2"/>
  <c r="K231" i="2"/>
  <c r="L231" i="2"/>
  <c r="Z232" i="1"/>
  <c r="AA232" i="1"/>
  <c r="D232" i="2"/>
  <c r="D234" i="5"/>
  <c r="AC232" i="1"/>
  <c r="AD232" i="1"/>
  <c r="E232" i="2"/>
  <c r="E234" i="5"/>
  <c r="F232" i="2"/>
  <c r="G232" i="2"/>
  <c r="I232" i="2"/>
  <c r="J232" i="2"/>
  <c r="K232" i="2"/>
  <c r="L232" i="2"/>
  <c r="Z233" i="1"/>
  <c r="AC233" i="1"/>
  <c r="AD233" i="1"/>
  <c r="E233" i="2"/>
  <c r="E235" i="5"/>
  <c r="F233" i="2"/>
  <c r="G233" i="2"/>
  <c r="I233" i="2"/>
  <c r="J233" i="2"/>
  <c r="K233" i="2"/>
  <c r="L233" i="2"/>
  <c r="Z234" i="1"/>
  <c r="AC234" i="1"/>
  <c r="F234" i="2"/>
  <c r="G234" i="2"/>
  <c r="I234" i="2"/>
  <c r="J234" i="2"/>
  <c r="K234" i="2"/>
  <c r="L234" i="2"/>
  <c r="Z235" i="1"/>
  <c r="AA235" i="1"/>
  <c r="D235" i="2"/>
  <c r="AC235" i="1"/>
  <c r="AD235" i="1"/>
  <c r="E235" i="2"/>
  <c r="E237" i="5"/>
  <c r="F235" i="2"/>
  <c r="G235" i="2"/>
  <c r="I235" i="2"/>
  <c r="J235" i="2"/>
  <c r="K235" i="2"/>
  <c r="L235" i="2"/>
  <c r="Z236" i="1"/>
  <c r="AA236" i="1"/>
  <c r="D236" i="2"/>
  <c r="D238" i="5"/>
  <c r="AC236" i="1"/>
  <c r="AD236" i="1"/>
  <c r="E236" i="2"/>
  <c r="E238" i="5"/>
  <c r="F236" i="2"/>
  <c r="G236" i="2"/>
  <c r="I236" i="2"/>
  <c r="J236" i="2"/>
  <c r="K236" i="2"/>
  <c r="L236" i="2"/>
  <c r="Z237" i="1"/>
  <c r="AC237" i="1"/>
  <c r="AD237" i="1"/>
  <c r="E237" i="2"/>
  <c r="E239" i="5"/>
  <c r="F237" i="2"/>
  <c r="G237" i="2"/>
  <c r="I237" i="2"/>
  <c r="J237" i="2"/>
  <c r="K237" i="2"/>
  <c r="L237" i="2"/>
  <c r="Z238" i="1"/>
  <c r="AC238" i="1"/>
  <c r="AD238" i="1"/>
  <c r="E238" i="2"/>
  <c r="E240" i="5"/>
  <c r="F238" i="2"/>
  <c r="G238" i="2"/>
  <c r="I238" i="2"/>
  <c r="J238" i="2"/>
  <c r="K238" i="2"/>
  <c r="L238" i="2"/>
  <c r="Z239" i="1"/>
  <c r="AA239" i="1"/>
  <c r="D239" i="2"/>
  <c r="AC239" i="1"/>
  <c r="AD239" i="1"/>
  <c r="E239" i="2"/>
  <c r="E241" i="5"/>
  <c r="F239" i="2"/>
  <c r="G239" i="2"/>
  <c r="I239" i="2"/>
  <c r="J239" i="2"/>
  <c r="K239" i="2"/>
  <c r="L239" i="2"/>
  <c r="Z240" i="1"/>
  <c r="AA240" i="1"/>
  <c r="D240" i="2"/>
  <c r="AC240" i="1"/>
  <c r="AD240" i="1"/>
  <c r="E240" i="2"/>
  <c r="E242" i="5"/>
  <c r="F240" i="2"/>
  <c r="G240" i="2"/>
  <c r="I240" i="2"/>
  <c r="J240" i="2"/>
  <c r="K240" i="2"/>
  <c r="L240" i="2"/>
  <c r="Z241" i="1"/>
  <c r="AC241" i="1"/>
  <c r="AD241" i="1"/>
  <c r="E241" i="2"/>
  <c r="E243" i="5"/>
  <c r="F241" i="2"/>
  <c r="G241" i="2"/>
  <c r="I241" i="2"/>
  <c r="J241" i="2"/>
  <c r="K241" i="2"/>
  <c r="L241" i="2"/>
  <c r="Z242" i="1"/>
  <c r="AC242" i="1"/>
  <c r="AD242" i="1"/>
  <c r="E242" i="2"/>
  <c r="E244" i="5"/>
  <c r="F242" i="2"/>
  <c r="G242" i="2"/>
  <c r="I242" i="2"/>
  <c r="J242" i="2"/>
  <c r="K242" i="2"/>
  <c r="L242" i="2"/>
  <c r="Z243" i="1"/>
  <c r="AA243" i="1"/>
  <c r="D243" i="2"/>
  <c r="AC243" i="1"/>
  <c r="AD243" i="1"/>
  <c r="E243" i="2"/>
  <c r="E245" i="5"/>
  <c r="F243" i="2"/>
  <c r="G243" i="2"/>
  <c r="I243" i="2"/>
  <c r="J243" i="2"/>
  <c r="K243" i="2"/>
  <c r="L243" i="2"/>
  <c r="Z244" i="1"/>
  <c r="AA244" i="1"/>
  <c r="D244" i="2"/>
  <c r="AC244" i="1"/>
  <c r="AD244" i="1"/>
  <c r="E244" i="2"/>
  <c r="E246" i="5"/>
  <c r="F244" i="2"/>
  <c r="G244" i="2"/>
  <c r="I244" i="2"/>
  <c r="J244" i="2"/>
  <c r="K244" i="2"/>
  <c r="L244" i="2"/>
  <c r="Z245" i="1"/>
  <c r="AC245" i="1"/>
  <c r="AD245" i="1"/>
  <c r="E245" i="2"/>
  <c r="E247" i="5"/>
  <c r="F245" i="2"/>
  <c r="G245" i="2"/>
  <c r="I245" i="2"/>
  <c r="J245" i="2"/>
  <c r="K245" i="2"/>
  <c r="L245" i="2"/>
  <c r="Z246" i="1"/>
  <c r="AC246" i="1"/>
  <c r="AD246" i="1"/>
  <c r="E246" i="2"/>
  <c r="E248" i="5"/>
  <c r="F246" i="2"/>
  <c r="G246" i="2"/>
  <c r="I246" i="2"/>
  <c r="J246" i="2"/>
  <c r="K246" i="2"/>
  <c r="L246" i="2"/>
  <c r="Z247" i="1"/>
  <c r="AA247" i="1"/>
  <c r="D247" i="2"/>
  <c r="AC247" i="1"/>
  <c r="AD247" i="1"/>
  <c r="E247" i="2"/>
  <c r="E249" i="5"/>
  <c r="F247" i="2"/>
  <c r="G247" i="2"/>
  <c r="I247" i="2"/>
  <c r="J247" i="2"/>
  <c r="K247" i="2"/>
  <c r="L247" i="2"/>
  <c r="Z248" i="1"/>
  <c r="AA248" i="1"/>
  <c r="D248" i="2"/>
  <c r="AC248" i="1"/>
  <c r="AD248" i="1"/>
  <c r="F248" i="2"/>
  <c r="G248" i="2"/>
  <c r="I248" i="2"/>
  <c r="J248" i="2"/>
  <c r="K248" i="2"/>
  <c r="L248" i="2"/>
  <c r="Z249" i="1"/>
  <c r="AC249" i="1"/>
  <c r="AD249" i="1"/>
  <c r="E249" i="2"/>
  <c r="E251" i="5"/>
  <c r="F249" i="2"/>
  <c r="G249" i="2"/>
  <c r="I249" i="2"/>
  <c r="J249" i="2"/>
  <c r="K249" i="2"/>
  <c r="L249" i="2"/>
  <c r="Z250" i="1"/>
  <c r="AC250" i="1"/>
  <c r="AD250" i="1"/>
  <c r="E250" i="2"/>
  <c r="E252" i="5"/>
  <c r="F250" i="2"/>
  <c r="G250" i="2"/>
  <c r="I250" i="2"/>
  <c r="J250" i="2"/>
  <c r="K250" i="2"/>
  <c r="L250" i="2"/>
  <c r="Z251" i="1"/>
  <c r="AA251" i="1"/>
  <c r="D251" i="2"/>
  <c r="AC251" i="1"/>
  <c r="AD251" i="1"/>
  <c r="E251" i="2"/>
  <c r="E253" i="5"/>
  <c r="F251" i="2"/>
  <c r="G251" i="2"/>
  <c r="I251" i="2"/>
  <c r="J251" i="2"/>
  <c r="K251" i="2"/>
  <c r="L251" i="2"/>
  <c r="Z252" i="1"/>
  <c r="AA252" i="1"/>
  <c r="D252" i="2"/>
  <c r="AC252" i="1"/>
  <c r="AD252" i="1"/>
  <c r="E252" i="2"/>
  <c r="E254" i="5"/>
  <c r="F252" i="2"/>
  <c r="G252" i="2"/>
  <c r="I252" i="2"/>
  <c r="J252" i="2"/>
  <c r="K252" i="2"/>
  <c r="L252" i="2"/>
  <c r="Z253" i="1"/>
  <c r="AC253" i="1"/>
  <c r="AD253" i="1"/>
  <c r="E253" i="2"/>
  <c r="E255" i="5"/>
  <c r="F253" i="2"/>
  <c r="G253" i="2"/>
  <c r="I253" i="2"/>
  <c r="J253" i="2"/>
  <c r="K253" i="2"/>
  <c r="L253" i="2"/>
  <c r="Z254" i="1"/>
  <c r="AC254" i="1"/>
  <c r="AD254" i="1"/>
  <c r="E254" i="2"/>
  <c r="E256" i="5"/>
  <c r="F254" i="2"/>
  <c r="G254" i="2"/>
  <c r="I254" i="2"/>
  <c r="J254" i="2"/>
  <c r="K254" i="2"/>
  <c r="L254" i="2"/>
  <c r="Z255" i="1"/>
  <c r="AA255" i="1"/>
  <c r="D255" i="2"/>
  <c r="AC255" i="1"/>
  <c r="AD255" i="1"/>
  <c r="E255" i="2"/>
  <c r="E257" i="5"/>
  <c r="F255" i="2"/>
  <c r="G255" i="2"/>
  <c r="I255" i="2"/>
  <c r="J255" i="2"/>
  <c r="K255" i="2"/>
  <c r="L255" i="2"/>
  <c r="Z256" i="1"/>
  <c r="AA256" i="1"/>
  <c r="D256" i="2"/>
  <c r="D258" i="5"/>
  <c r="AC256" i="1"/>
  <c r="AD256" i="1"/>
  <c r="E256" i="2"/>
  <c r="E258" i="5"/>
  <c r="F256" i="2"/>
  <c r="G256" i="2"/>
  <c r="I256" i="2"/>
  <c r="J256" i="2"/>
  <c r="K256" i="2"/>
  <c r="L256" i="2"/>
  <c r="Z257" i="1"/>
  <c r="AC257" i="1"/>
  <c r="AD257" i="1"/>
  <c r="E257" i="2"/>
  <c r="E259" i="5"/>
  <c r="F257" i="2"/>
  <c r="G257" i="2"/>
  <c r="I257" i="2"/>
  <c r="J257" i="2"/>
  <c r="K257" i="2"/>
  <c r="L257" i="2"/>
  <c r="Z258" i="1"/>
  <c r="AC258" i="1"/>
  <c r="AD258" i="1"/>
  <c r="E258" i="2"/>
  <c r="E260" i="5"/>
  <c r="F258" i="2"/>
  <c r="G258" i="2"/>
  <c r="I258" i="2"/>
  <c r="J258" i="2"/>
  <c r="K258" i="2"/>
  <c r="L258" i="2"/>
  <c r="Z259" i="1"/>
  <c r="AA259" i="1"/>
  <c r="D259" i="2"/>
  <c r="AC259" i="1"/>
  <c r="AD259" i="1"/>
  <c r="E259" i="2"/>
  <c r="E261" i="5"/>
  <c r="F259" i="2"/>
  <c r="G259" i="2"/>
  <c r="I259" i="2"/>
  <c r="J259" i="2"/>
  <c r="K259" i="2"/>
  <c r="L259" i="2"/>
  <c r="Z260" i="1"/>
  <c r="AA260" i="1"/>
  <c r="D260" i="2"/>
  <c r="AC260" i="1"/>
  <c r="AD260" i="1"/>
  <c r="E260" i="2"/>
  <c r="F260" i="2"/>
  <c r="G260" i="2"/>
  <c r="I260" i="2"/>
  <c r="J260" i="2"/>
  <c r="K260" i="2"/>
  <c r="L260" i="2"/>
  <c r="Z261" i="1"/>
  <c r="AA261" i="1"/>
  <c r="D261" i="2"/>
  <c r="AC261" i="1"/>
  <c r="AD261" i="1"/>
  <c r="E261" i="2"/>
  <c r="E263" i="5"/>
  <c r="F261" i="2"/>
  <c r="G261" i="2"/>
  <c r="I261" i="2"/>
  <c r="J261" i="2"/>
  <c r="K261" i="2"/>
  <c r="L261" i="2"/>
  <c r="Z262" i="1"/>
  <c r="AC262" i="1"/>
  <c r="AD262" i="1"/>
  <c r="E262" i="2"/>
  <c r="E264" i="5"/>
  <c r="F262" i="2"/>
  <c r="G262" i="2"/>
  <c r="I262" i="2"/>
  <c r="J262" i="2"/>
  <c r="K262" i="2"/>
  <c r="L262" i="2"/>
  <c r="Z263" i="1"/>
  <c r="AA263" i="1"/>
  <c r="D263" i="2"/>
  <c r="AC263" i="1"/>
  <c r="AD263" i="1"/>
  <c r="E263" i="2"/>
  <c r="E265" i="5"/>
  <c r="F263" i="2"/>
  <c r="G263" i="2"/>
  <c r="I263" i="2"/>
  <c r="J263" i="2"/>
  <c r="K263" i="2"/>
  <c r="L263" i="2"/>
  <c r="Z264" i="1"/>
  <c r="AA264" i="1"/>
  <c r="D264" i="2"/>
  <c r="AC264" i="1"/>
  <c r="AD264" i="1"/>
  <c r="E264" i="2"/>
  <c r="E266" i="5"/>
  <c r="F264" i="2"/>
  <c r="G264" i="2"/>
  <c r="I264" i="2"/>
  <c r="J264" i="2"/>
  <c r="K264" i="2"/>
  <c r="L264" i="2"/>
  <c r="Z265" i="1"/>
  <c r="AC265" i="1"/>
  <c r="AD265" i="1"/>
  <c r="E265" i="2"/>
  <c r="E267" i="5"/>
  <c r="F265" i="2"/>
  <c r="G265" i="2"/>
  <c r="I265" i="2"/>
  <c r="J265" i="2"/>
  <c r="K265" i="2"/>
  <c r="L265" i="2"/>
  <c r="Z266" i="1"/>
  <c r="AC266" i="1"/>
  <c r="AD266" i="1"/>
  <c r="E266" i="2"/>
  <c r="E268" i="5"/>
  <c r="F266" i="2"/>
  <c r="G266" i="2"/>
  <c r="I266" i="2"/>
  <c r="J266" i="2"/>
  <c r="K266" i="2"/>
  <c r="L266" i="2"/>
  <c r="Z267" i="1"/>
  <c r="AA267" i="1"/>
  <c r="D267" i="2"/>
  <c r="AC267" i="1"/>
  <c r="AD267" i="1"/>
  <c r="E267" i="2"/>
  <c r="E269" i="5"/>
  <c r="F267" i="2"/>
  <c r="G267" i="2"/>
  <c r="I267" i="2"/>
  <c r="J267" i="2"/>
  <c r="K267" i="2"/>
  <c r="L267" i="2"/>
  <c r="Z268" i="1"/>
  <c r="AA268" i="1"/>
  <c r="D268" i="2"/>
  <c r="AC268" i="1"/>
  <c r="AD268" i="1"/>
  <c r="E268" i="2"/>
  <c r="E270" i="5"/>
  <c r="F268" i="2"/>
  <c r="G268" i="2"/>
  <c r="I268" i="2"/>
  <c r="J268" i="2"/>
  <c r="K268" i="2"/>
  <c r="L268" i="2"/>
  <c r="Z269" i="1"/>
  <c r="AA269" i="1"/>
  <c r="D269" i="2"/>
  <c r="AC269" i="1"/>
  <c r="AD269" i="1"/>
  <c r="E269" i="2"/>
  <c r="E271" i="5"/>
  <c r="F269" i="2"/>
  <c r="G269" i="2"/>
  <c r="I269" i="2"/>
  <c r="J269" i="2"/>
  <c r="K269" i="2"/>
  <c r="L269" i="2"/>
  <c r="Z270" i="1"/>
  <c r="AC270" i="1"/>
  <c r="AD270" i="1"/>
  <c r="E270" i="2"/>
  <c r="E272" i="5"/>
  <c r="F270" i="2"/>
  <c r="G270" i="2"/>
  <c r="I270" i="2"/>
  <c r="J270" i="2"/>
  <c r="K270" i="2"/>
  <c r="L270" i="2"/>
  <c r="Z271" i="1"/>
  <c r="AA271" i="1"/>
  <c r="D271" i="2"/>
  <c r="D273" i="5"/>
  <c r="AC271" i="1"/>
  <c r="AD271" i="1"/>
  <c r="E271" i="2"/>
  <c r="E273" i="5"/>
  <c r="F271" i="2"/>
  <c r="G271" i="2"/>
  <c r="I271" i="2"/>
  <c r="J271" i="2"/>
  <c r="K271" i="2"/>
  <c r="L271" i="2"/>
  <c r="Z272" i="1"/>
  <c r="AA272" i="1"/>
  <c r="D272" i="2"/>
  <c r="AC272" i="1"/>
  <c r="AD272" i="1"/>
  <c r="E272" i="2"/>
  <c r="E274" i="5"/>
  <c r="F272" i="2"/>
  <c r="G272" i="2"/>
  <c r="I272" i="2"/>
  <c r="J272" i="2"/>
  <c r="K272" i="2"/>
  <c r="L272" i="2"/>
  <c r="Z273" i="1"/>
  <c r="AC273" i="1"/>
  <c r="AD273" i="1"/>
  <c r="E273" i="2"/>
  <c r="E275" i="5"/>
  <c r="F273" i="2"/>
  <c r="G273" i="2"/>
  <c r="I273" i="2"/>
  <c r="J273" i="2"/>
  <c r="K273" i="2"/>
  <c r="L273" i="2"/>
  <c r="Z274" i="1"/>
  <c r="AC274" i="1"/>
  <c r="AD274" i="1"/>
  <c r="E274" i="2"/>
  <c r="E276" i="5"/>
  <c r="F274" i="2"/>
  <c r="G274" i="2"/>
  <c r="I274" i="2"/>
  <c r="J274" i="2"/>
  <c r="K274" i="2"/>
  <c r="L274" i="2"/>
  <c r="Z275" i="1"/>
  <c r="AA275" i="1"/>
  <c r="D275" i="2"/>
  <c r="D277" i="5"/>
  <c r="AC275" i="1"/>
  <c r="AD275" i="1"/>
  <c r="E275" i="2"/>
  <c r="F275" i="2"/>
  <c r="G275" i="2"/>
  <c r="I275" i="2"/>
  <c r="J275" i="2"/>
  <c r="K275" i="2"/>
  <c r="L275" i="2"/>
  <c r="Z276" i="1"/>
  <c r="AA276" i="1"/>
  <c r="D276" i="2"/>
  <c r="AC276" i="1"/>
  <c r="AD276" i="1"/>
  <c r="E276" i="2"/>
  <c r="E278" i="5"/>
  <c r="F276" i="2"/>
  <c r="G276" i="2"/>
  <c r="I276" i="2"/>
  <c r="J276" i="2"/>
  <c r="K276" i="2"/>
  <c r="L276" i="2"/>
  <c r="Z277" i="1"/>
  <c r="AA277" i="1"/>
  <c r="D277" i="2"/>
  <c r="D279" i="5"/>
  <c r="AC277" i="1"/>
  <c r="AD277" i="1"/>
  <c r="E277" i="2"/>
  <c r="F277" i="2"/>
  <c r="G277" i="2"/>
  <c r="I277" i="2"/>
  <c r="J277" i="2"/>
  <c r="K277" i="2"/>
  <c r="L277" i="2"/>
  <c r="Z278" i="1"/>
  <c r="AC278" i="1"/>
  <c r="AD278" i="1"/>
  <c r="E278" i="2"/>
  <c r="E280" i="5"/>
  <c r="F278" i="2"/>
  <c r="G278" i="2"/>
  <c r="I278" i="2"/>
  <c r="J278" i="2"/>
  <c r="K278" i="2"/>
  <c r="L278" i="2"/>
  <c r="Z279" i="1"/>
  <c r="AA279" i="1"/>
  <c r="D279" i="2"/>
  <c r="AC279" i="1"/>
  <c r="AD279" i="1"/>
  <c r="E279" i="2"/>
  <c r="E281" i="5"/>
  <c r="F279" i="2"/>
  <c r="G279" i="2"/>
  <c r="I279" i="2"/>
  <c r="J279" i="2"/>
  <c r="K279" i="2"/>
  <c r="L279" i="2"/>
  <c r="Z280" i="1"/>
  <c r="AA280" i="1"/>
  <c r="D280" i="2"/>
  <c r="D282" i="5"/>
  <c r="AC280" i="1"/>
  <c r="AD280" i="1"/>
  <c r="E280" i="2"/>
  <c r="E282" i="5"/>
  <c r="F280" i="2"/>
  <c r="G280" i="2"/>
  <c r="I280" i="2"/>
  <c r="J280" i="2"/>
  <c r="K280" i="2"/>
  <c r="L280" i="2"/>
  <c r="Z281" i="1"/>
  <c r="AC281" i="1"/>
  <c r="AD281" i="1"/>
  <c r="E281" i="2"/>
  <c r="E283" i="5"/>
  <c r="F281" i="2"/>
  <c r="G281" i="2"/>
  <c r="I281" i="2"/>
  <c r="J281" i="2"/>
  <c r="K281" i="2"/>
  <c r="L281" i="2"/>
  <c r="Z282" i="1"/>
  <c r="AC282" i="1"/>
  <c r="AD282" i="1"/>
  <c r="E282" i="2"/>
  <c r="E284" i="5"/>
  <c r="F282" i="2"/>
  <c r="G282" i="2"/>
  <c r="I282" i="2"/>
  <c r="J282" i="2"/>
  <c r="K282" i="2"/>
  <c r="L282" i="2"/>
  <c r="Z283" i="1"/>
  <c r="AA283" i="1"/>
  <c r="D283" i="2"/>
  <c r="D285" i="5"/>
  <c r="AC283" i="1"/>
  <c r="AD283" i="1"/>
  <c r="E283" i="2"/>
  <c r="F283" i="2"/>
  <c r="G283" i="2"/>
  <c r="I283" i="2"/>
  <c r="J283" i="2"/>
  <c r="K283" i="2"/>
  <c r="L283" i="2"/>
  <c r="Z284" i="1"/>
  <c r="AA284" i="1"/>
  <c r="D284" i="2"/>
  <c r="AC284" i="1"/>
  <c r="AD284" i="1"/>
  <c r="E284" i="2"/>
  <c r="E286" i="5"/>
  <c r="F284" i="2"/>
  <c r="G284" i="2"/>
  <c r="I284" i="2"/>
  <c r="J284" i="2"/>
  <c r="K284" i="2"/>
  <c r="L284" i="2"/>
  <c r="Z285" i="1"/>
  <c r="AA285" i="1"/>
  <c r="D285" i="2"/>
  <c r="AC285" i="1"/>
  <c r="AD285" i="1"/>
  <c r="E285" i="2"/>
  <c r="E287" i="5"/>
  <c r="F285" i="2"/>
  <c r="G285" i="2"/>
  <c r="I285" i="2"/>
  <c r="J285" i="2"/>
  <c r="K285" i="2"/>
  <c r="L285" i="2"/>
  <c r="Z286" i="1"/>
  <c r="AC286" i="1"/>
  <c r="AD286" i="1"/>
  <c r="E286" i="2"/>
  <c r="E288" i="5"/>
  <c r="F286" i="2"/>
  <c r="G286" i="2"/>
  <c r="I286" i="2"/>
  <c r="J286" i="2"/>
  <c r="K286" i="2"/>
  <c r="L286" i="2"/>
  <c r="Z287" i="1"/>
  <c r="AA287" i="1"/>
  <c r="D287" i="2"/>
  <c r="AC287" i="1"/>
  <c r="AD287" i="1"/>
  <c r="E287" i="2"/>
  <c r="E289" i="5"/>
  <c r="F287" i="2"/>
  <c r="G287" i="2"/>
  <c r="I287" i="2"/>
  <c r="J287" i="2"/>
  <c r="K287" i="2"/>
  <c r="L287" i="2"/>
  <c r="Z288" i="1"/>
  <c r="AA288" i="1"/>
  <c r="D288" i="2"/>
  <c r="D290" i="5"/>
  <c r="AC288" i="1"/>
  <c r="AD288" i="1"/>
  <c r="E288" i="2"/>
  <c r="E290" i="5"/>
  <c r="G288" i="2"/>
  <c r="I288" i="2"/>
  <c r="J288" i="2"/>
  <c r="K288" i="2"/>
  <c r="L288" i="2"/>
  <c r="Z289" i="1"/>
  <c r="AC289" i="1"/>
  <c r="AD289" i="1"/>
  <c r="E289" i="2"/>
  <c r="E291" i="5"/>
  <c r="F289" i="2"/>
  <c r="G289" i="2"/>
  <c r="I289" i="2"/>
  <c r="J289" i="2"/>
  <c r="K289" i="2"/>
  <c r="L289" i="2"/>
  <c r="Z290" i="1"/>
  <c r="AC290" i="1"/>
  <c r="AD290" i="1"/>
  <c r="E290" i="2"/>
  <c r="E292" i="5"/>
  <c r="F290" i="2"/>
  <c r="G290" i="2"/>
  <c r="I290" i="2"/>
  <c r="J290" i="2"/>
  <c r="K290" i="2"/>
  <c r="L290" i="2"/>
  <c r="Z291" i="1"/>
  <c r="AC291" i="1"/>
  <c r="AD291" i="1"/>
  <c r="E291" i="2"/>
  <c r="E293" i="5"/>
  <c r="F291" i="2"/>
  <c r="G291" i="2"/>
  <c r="I291" i="2"/>
  <c r="J291" i="2"/>
  <c r="K291" i="2"/>
  <c r="L291" i="2"/>
  <c r="Z292" i="1"/>
  <c r="AC292" i="1"/>
  <c r="AD292" i="1"/>
  <c r="E292" i="2"/>
  <c r="E294" i="5"/>
  <c r="F292" i="2"/>
  <c r="G292" i="2"/>
  <c r="I292" i="2"/>
  <c r="J292" i="2"/>
  <c r="K292" i="2"/>
  <c r="L292" i="2"/>
  <c r="Z293" i="1"/>
  <c r="AC293" i="1"/>
  <c r="AD293" i="1"/>
  <c r="E293" i="2"/>
  <c r="F293" i="2"/>
  <c r="G293" i="2"/>
  <c r="I293" i="2"/>
  <c r="J293" i="2"/>
  <c r="K293" i="2"/>
  <c r="L293" i="2"/>
  <c r="Z294" i="1"/>
  <c r="AC294" i="1"/>
  <c r="AD294" i="1"/>
  <c r="E294" i="2"/>
  <c r="E296" i="5"/>
  <c r="F294" i="2"/>
  <c r="G294" i="2"/>
  <c r="I294" i="2"/>
  <c r="J294" i="2"/>
  <c r="K294" i="2"/>
  <c r="L294" i="2"/>
  <c r="Z295" i="1"/>
  <c r="AC295" i="1"/>
  <c r="AD295" i="1"/>
  <c r="E295" i="2"/>
  <c r="E297" i="5"/>
  <c r="F295" i="2"/>
  <c r="G295" i="2"/>
  <c r="I295" i="2"/>
  <c r="J295" i="2"/>
  <c r="K295" i="2"/>
  <c r="L295" i="2"/>
  <c r="Z296" i="1"/>
  <c r="AC296" i="1"/>
  <c r="AD296" i="1"/>
  <c r="E296" i="2"/>
  <c r="E298" i="5"/>
  <c r="F296" i="2"/>
  <c r="G296" i="2"/>
  <c r="I296" i="2"/>
  <c r="J296" i="2"/>
  <c r="K296" i="2"/>
  <c r="L296" i="2"/>
  <c r="Z297" i="1"/>
  <c r="AC297" i="1"/>
  <c r="AD297" i="1"/>
  <c r="E297" i="2"/>
  <c r="E299" i="5"/>
  <c r="F297" i="2"/>
  <c r="G297" i="2"/>
  <c r="I297" i="2"/>
  <c r="J297" i="2"/>
  <c r="K297" i="2"/>
  <c r="L297" i="2"/>
  <c r="Z298" i="1"/>
  <c r="AC298" i="1"/>
  <c r="AD298" i="1"/>
  <c r="E298" i="2"/>
  <c r="E300" i="5"/>
  <c r="F298" i="2"/>
  <c r="G298" i="2"/>
  <c r="I298" i="2"/>
  <c r="J298" i="2"/>
  <c r="K298" i="2"/>
  <c r="L298" i="2"/>
  <c r="Z299" i="1"/>
  <c r="AC299" i="1"/>
  <c r="AD299" i="1"/>
  <c r="E299" i="2"/>
  <c r="E301" i="5"/>
  <c r="F299" i="2"/>
  <c r="G299" i="2"/>
  <c r="I299" i="2"/>
  <c r="J299" i="2"/>
  <c r="K299" i="2"/>
  <c r="L299" i="2"/>
  <c r="Z300" i="1"/>
  <c r="AC300" i="1"/>
  <c r="AD300" i="1"/>
  <c r="E300" i="2"/>
  <c r="E302" i="5"/>
  <c r="F300" i="2"/>
  <c r="G300" i="2"/>
  <c r="I300" i="2"/>
  <c r="J300" i="2"/>
  <c r="K300" i="2"/>
  <c r="L300" i="2"/>
  <c r="Z301" i="1"/>
  <c r="AC301" i="1"/>
  <c r="AD301" i="1"/>
  <c r="E301" i="2"/>
  <c r="E303" i="5"/>
  <c r="F301" i="2"/>
  <c r="G301" i="2"/>
  <c r="I301" i="2"/>
  <c r="J301" i="2"/>
  <c r="K301" i="2"/>
  <c r="L301" i="2"/>
  <c r="Z302" i="1"/>
  <c r="AC302" i="1"/>
  <c r="AD302" i="1"/>
  <c r="E302" i="2"/>
  <c r="E304" i="5"/>
  <c r="F302" i="2"/>
  <c r="G302" i="2"/>
  <c r="I302" i="2"/>
  <c r="J302" i="2"/>
  <c r="K302" i="2"/>
  <c r="L302" i="2"/>
  <c r="Z303" i="1"/>
  <c r="AC303" i="1"/>
  <c r="AD303" i="1"/>
  <c r="E303" i="2"/>
  <c r="E305" i="5"/>
  <c r="F303" i="2"/>
  <c r="G303" i="2"/>
  <c r="I303" i="2"/>
  <c r="J303" i="2"/>
  <c r="K303" i="2"/>
  <c r="L303" i="2"/>
  <c r="Z304" i="1"/>
  <c r="AC304" i="1"/>
  <c r="AD304" i="1"/>
  <c r="E304" i="2"/>
  <c r="E306" i="5"/>
  <c r="F304" i="2"/>
  <c r="G304" i="2"/>
  <c r="I304" i="2"/>
  <c r="J304" i="2"/>
  <c r="K304" i="2"/>
  <c r="L304" i="2"/>
  <c r="Z305" i="1"/>
  <c r="AC305" i="1"/>
  <c r="AD305" i="1"/>
  <c r="E305" i="2"/>
  <c r="E307" i="5"/>
  <c r="F305" i="2"/>
  <c r="G305" i="2"/>
  <c r="I305" i="2"/>
  <c r="J305" i="2"/>
  <c r="K305" i="2"/>
  <c r="L305" i="2"/>
  <c r="Z306" i="1"/>
  <c r="AC306" i="1"/>
  <c r="AD306" i="1"/>
  <c r="E306" i="2"/>
  <c r="E308" i="5"/>
  <c r="F306" i="2"/>
  <c r="G306" i="2"/>
  <c r="I306" i="2"/>
  <c r="J306" i="2"/>
  <c r="K306" i="2"/>
  <c r="L306" i="2"/>
  <c r="Z307" i="1"/>
  <c r="AC307" i="1"/>
  <c r="AD307" i="1"/>
  <c r="E307" i="2"/>
  <c r="E309" i="5"/>
  <c r="F307" i="2"/>
  <c r="G307" i="2"/>
  <c r="I307" i="2"/>
  <c r="J307" i="2"/>
  <c r="K307" i="2"/>
  <c r="L307" i="2"/>
  <c r="Z308" i="1"/>
  <c r="AC308" i="1"/>
  <c r="AD308" i="1"/>
  <c r="E308" i="2"/>
  <c r="E310" i="5"/>
  <c r="F308" i="2"/>
  <c r="G308" i="2"/>
  <c r="I308" i="2"/>
  <c r="J308" i="2"/>
  <c r="K308" i="2"/>
  <c r="L308" i="2"/>
  <c r="Z309" i="1"/>
  <c r="AC309" i="1"/>
  <c r="AD309" i="1"/>
  <c r="E309" i="2"/>
  <c r="G309" i="2"/>
  <c r="I309" i="2"/>
  <c r="J309" i="2"/>
  <c r="K309" i="2"/>
  <c r="L309" i="2"/>
  <c r="Z310" i="1"/>
  <c r="AC310" i="1"/>
  <c r="AD310" i="1"/>
  <c r="E310" i="2"/>
  <c r="E312" i="5"/>
  <c r="F310" i="2"/>
  <c r="G310" i="2"/>
  <c r="I310" i="2"/>
  <c r="J310" i="2"/>
  <c r="K310" i="2"/>
  <c r="L310" i="2"/>
  <c r="Z311" i="1"/>
  <c r="AA311" i="1"/>
  <c r="D311" i="2"/>
  <c r="AC311" i="1"/>
  <c r="AD311" i="1"/>
  <c r="E311" i="2"/>
  <c r="E313" i="5"/>
  <c r="F311" i="2"/>
  <c r="G311" i="2"/>
  <c r="I311" i="2"/>
  <c r="J311" i="2"/>
  <c r="K311" i="2"/>
  <c r="L311" i="2"/>
  <c r="Z312" i="1"/>
  <c r="AA312" i="1"/>
  <c r="D312" i="2"/>
  <c r="AC312" i="1"/>
  <c r="AD312" i="1"/>
  <c r="E312" i="2"/>
  <c r="E314" i="5"/>
  <c r="F312" i="2"/>
  <c r="G312" i="2"/>
  <c r="I312" i="2"/>
  <c r="J312" i="2"/>
  <c r="K312" i="2"/>
  <c r="L312" i="2"/>
  <c r="Z313" i="1"/>
  <c r="AA313" i="1"/>
  <c r="D313" i="2"/>
  <c r="AC313" i="1"/>
  <c r="AD313" i="1"/>
  <c r="E313" i="2"/>
  <c r="E315" i="5"/>
  <c r="F313" i="2"/>
  <c r="G313" i="2"/>
  <c r="I313" i="2"/>
  <c r="J313" i="2"/>
  <c r="K313" i="2"/>
  <c r="L313" i="2"/>
  <c r="Z314" i="1"/>
  <c r="AC314" i="1"/>
  <c r="AD314" i="1"/>
  <c r="E314" i="2"/>
  <c r="E316" i="5"/>
  <c r="F314" i="2"/>
  <c r="G314" i="2"/>
  <c r="I314" i="2"/>
  <c r="J314" i="2"/>
  <c r="K314" i="2"/>
  <c r="L314" i="2"/>
  <c r="Z315" i="1"/>
  <c r="AC315" i="1"/>
  <c r="AD315" i="1"/>
  <c r="E315" i="2"/>
  <c r="F315" i="2"/>
  <c r="G315" i="2"/>
  <c r="I315" i="2"/>
  <c r="J315" i="2"/>
  <c r="K315" i="2"/>
  <c r="L315" i="2"/>
  <c r="Z316" i="1"/>
  <c r="AA316" i="1"/>
  <c r="D316" i="2"/>
  <c r="AC316" i="1"/>
  <c r="AD316" i="1"/>
  <c r="E316" i="2"/>
  <c r="E318" i="5"/>
  <c r="F316" i="2"/>
  <c r="G316" i="2"/>
  <c r="I316" i="2"/>
  <c r="J316" i="2"/>
  <c r="K316" i="2"/>
  <c r="L316" i="2"/>
  <c r="Z317" i="1"/>
  <c r="AA317" i="1"/>
  <c r="D317" i="2"/>
  <c r="AC317" i="1"/>
  <c r="AD317" i="1"/>
  <c r="E317" i="2"/>
  <c r="F317" i="2"/>
  <c r="G317" i="2"/>
  <c r="I317" i="2"/>
  <c r="J317" i="2"/>
  <c r="K317" i="2"/>
  <c r="L317" i="2"/>
  <c r="Z318" i="1"/>
  <c r="AC318" i="1"/>
  <c r="AD318" i="1"/>
  <c r="E318" i="2"/>
  <c r="E320" i="5"/>
  <c r="F318" i="2"/>
  <c r="G318" i="2"/>
  <c r="I318" i="2"/>
  <c r="J318" i="2"/>
  <c r="K318" i="2"/>
  <c r="L318" i="2"/>
  <c r="Z319" i="1"/>
  <c r="AA319" i="1"/>
  <c r="D319" i="2"/>
  <c r="AC319" i="1"/>
  <c r="AD319" i="1"/>
  <c r="E319" i="2"/>
  <c r="E321" i="5"/>
  <c r="F319" i="2"/>
  <c r="G319" i="2"/>
  <c r="I319" i="2"/>
  <c r="J319" i="2"/>
  <c r="K319" i="2"/>
  <c r="L319" i="2"/>
  <c r="Z320" i="1"/>
  <c r="AA320" i="1"/>
  <c r="D320" i="2"/>
  <c r="AC320" i="1"/>
  <c r="AD320" i="1"/>
  <c r="E320" i="2"/>
  <c r="E322" i="5"/>
  <c r="F320" i="2"/>
  <c r="G320" i="2"/>
  <c r="I320" i="2"/>
  <c r="J320" i="2"/>
  <c r="K320" i="2"/>
  <c r="L320" i="2"/>
  <c r="Z321" i="1"/>
  <c r="AA321" i="1"/>
  <c r="D321" i="2"/>
  <c r="D323" i="5"/>
  <c r="AC321" i="1"/>
  <c r="AD321" i="1"/>
  <c r="E321" i="2"/>
  <c r="F321" i="2"/>
  <c r="C11" i="7"/>
  <c r="E11" i="7"/>
  <c r="G321" i="2"/>
  <c r="C12" i="7"/>
  <c r="E12" i="7"/>
  <c r="I321" i="2"/>
  <c r="C14" i="7"/>
  <c r="E14" i="7"/>
  <c r="J321" i="2"/>
  <c r="C15" i="7"/>
  <c r="F113" i="7"/>
  <c r="K321" i="2"/>
  <c r="C16" i="7"/>
  <c r="E16" i="7"/>
  <c r="L321" i="2"/>
  <c r="C17" i="7"/>
  <c r="E17" i="7"/>
  <c r="Z322" i="1"/>
  <c r="AC322" i="1"/>
  <c r="AD322" i="1"/>
  <c r="E322" i="2"/>
  <c r="E324" i="5"/>
  <c r="F322" i="2"/>
  <c r="G322" i="2"/>
  <c r="I322" i="2"/>
  <c r="J322" i="2"/>
  <c r="K322" i="2"/>
  <c r="L322" i="2"/>
  <c r="Z323" i="1"/>
  <c r="AA323" i="1"/>
  <c r="D323" i="2"/>
  <c r="AC323" i="1"/>
  <c r="AD323" i="1"/>
  <c r="E323" i="2"/>
  <c r="F323" i="2"/>
  <c r="G323" i="2"/>
  <c r="I323" i="2"/>
  <c r="J323" i="2"/>
  <c r="K323" i="2"/>
  <c r="L323" i="2"/>
  <c r="Z324" i="1"/>
  <c r="AA324" i="1"/>
  <c r="D324" i="2"/>
  <c r="AC324" i="1"/>
  <c r="AD324" i="1"/>
  <c r="E324" i="2"/>
  <c r="E326" i="5"/>
  <c r="F324" i="2"/>
  <c r="G324" i="2"/>
  <c r="I324" i="2"/>
  <c r="J324" i="2"/>
  <c r="K324" i="2"/>
  <c r="L324" i="2"/>
  <c r="Z325" i="1"/>
  <c r="AA325" i="1"/>
  <c r="D325" i="2"/>
  <c r="AC325" i="1"/>
  <c r="AD325" i="1"/>
  <c r="E325" i="2"/>
  <c r="F325" i="2"/>
  <c r="G325" i="2"/>
  <c r="I325" i="2"/>
  <c r="J325" i="2"/>
  <c r="K325" i="2"/>
  <c r="L325" i="2"/>
  <c r="Z326" i="1"/>
  <c r="AA326" i="1"/>
  <c r="D326" i="2"/>
  <c r="AC326" i="1"/>
  <c r="AD326" i="1"/>
  <c r="E326" i="2"/>
  <c r="E328" i="5"/>
  <c r="F326" i="2"/>
  <c r="G326" i="2"/>
  <c r="I326" i="2"/>
  <c r="J326" i="2"/>
  <c r="K326" i="2"/>
  <c r="L326" i="2"/>
  <c r="Z327" i="1"/>
  <c r="AA327" i="1"/>
  <c r="D327" i="2"/>
  <c r="AC327" i="1"/>
  <c r="AD327" i="1"/>
  <c r="E327" i="2"/>
  <c r="E329" i="5"/>
  <c r="F327" i="2"/>
  <c r="G327" i="2"/>
  <c r="I327" i="2"/>
  <c r="J327" i="2"/>
  <c r="K327" i="2"/>
  <c r="L327" i="2"/>
  <c r="Z328" i="1"/>
  <c r="AC328" i="1"/>
  <c r="AD328" i="1"/>
  <c r="E328" i="2"/>
  <c r="E330" i="5"/>
  <c r="F328" i="2"/>
  <c r="G328" i="2"/>
  <c r="I328" i="2"/>
  <c r="J328" i="2"/>
  <c r="K328" i="2"/>
  <c r="L328" i="2"/>
  <c r="Z329" i="1"/>
  <c r="AA329" i="1"/>
  <c r="D329" i="2"/>
  <c r="AC329" i="1"/>
  <c r="AD329" i="1"/>
  <c r="E329" i="2"/>
  <c r="E331" i="5"/>
  <c r="F329" i="2"/>
  <c r="G329" i="2"/>
  <c r="I329" i="2"/>
  <c r="J329" i="2"/>
  <c r="K329" i="2"/>
  <c r="L329" i="2"/>
  <c r="Z330" i="1"/>
  <c r="AA330" i="1"/>
  <c r="D330" i="2"/>
  <c r="D332" i="5"/>
  <c r="AC330" i="1"/>
  <c r="AD330" i="1"/>
  <c r="E330" i="2"/>
  <c r="F330" i="2"/>
  <c r="G330" i="2"/>
  <c r="I330" i="2"/>
  <c r="J330" i="2"/>
  <c r="K330" i="2"/>
  <c r="L330" i="2"/>
  <c r="Z331" i="1"/>
  <c r="AC331" i="1"/>
  <c r="AD331" i="1"/>
  <c r="E331" i="2"/>
  <c r="F331" i="2"/>
  <c r="G331" i="2"/>
  <c r="I331" i="2"/>
  <c r="J331" i="2"/>
  <c r="K331" i="2"/>
  <c r="L331" i="2"/>
  <c r="Z332" i="1"/>
  <c r="AA332" i="1"/>
  <c r="D332" i="2"/>
  <c r="AC332" i="1"/>
  <c r="AD332" i="1"/>
  <c r="E332" i="2"/>
  <c r="E334" i="5"/>
  <c r="F332" i="2"/>
  <c r="G332" i="2"/>
  <c r="I332" i="2"/>
  <c r="J332" i="2"/>
  <c r="K332" i="2"/>
  <c r="L332" i="2"/>
  <c r="Z333" i="1"/>
  <c r="AA333" i="1"/>
  <c r="D333" i="2"/>
  <c r="AC333" i="1"/>
  <c r="AD333" i="1"/>
  <c r="E333" i="2"/>
  <c r="E335" i="5"/>
  <c r="F333" i="2"/>
  <c r="G333" i="2"/>
  <c r="I333" i="2"/>
  <c r="J333" i="2"/>
  <c r="K333" i="2"/>
  <c r="L333" i="2"/>
  <c r="Z334" i="1"/>
  <c r="AA334" i="1"/>
  <c r="D334" i="2"/>
  <c r="AC334" i="1"/>
  <c r="AD334" i="1"/>
  <c r="E334" i="2"/>
  <c r="E336" i="5"/>
  <c r="F334" i="2"/>
  <c r="G334" i="2"/>
  <c r="I334" i="2"/>
  <c r="J334" i="2"/>
  <c r="K334" i="2"/>
  <c r="L334" i="2"/>
  <c r="Z335" i="1"/>
  <c r="AA335" i="1"/>
  <c r="D335" i="2"/>
  <c r="AC335" i="1"/>
  <c r="AD335" i="1"/>
  <c r="E335" i="2"/>
  <c r="E337" i="5"/>
  <c r="F335" i="2"/>
  <c r="G335" i="2"/>
  <c r="I335" i="2"/>
  <c r="J335" i="2"/>
  <c r="K335" i="2"/>
  <c r="L335" i="2"/>
  <c r="Z336" i="1"/>
  <c r="AA336" i="1"/>
  <c r="D336" i="2"/>
  <c r="AC336" i="1"/>
  <c r="AD336" i="1"/>
  <c r="E336" i="2"/>
  <c r="F336" i="2"/>
  <c r="G336" i="2"/>
  <c r="I336" i="2"/>
  <c r="J336" i="2"/>
  <c r="K336" i="2"/>
  <c r="L336" i="2"/>
  <c r="Z337" i="1"/>
  <c r="AA337" i="1"/>
  <c r="D337" i="2"/>
  <c r="D339" i="5"/>
  <c r="AC337" i="1"/>
  <c r="AD337" i="1"/>
  <c r="E337" i="2"/>
  <c r="E339" i="5"/>
  <c r="F337" i="2"/>
  <c r="G337" i="2"/>
  <c r="I337" i="2"/>
  <c r="J337" i="2"/>
  <c r="K337" i="2"/>
  <c r="L337" i="2"/>
  <c r="Z338" i="1"/>
  <c r="AA338" i="1"/>
  <c r="D338" i="2"/>
  <c r="AC338" i="1"/>
  <c r="AD338" i="1"/>
  <c r="E338" i="2"/>
  <c r="E340" i="5"/>
  <c r="F338" i="2"/>
  <c r="G338" i="2"/>
  <c r="I338" i="2"/>
  <c r="J338" i="2"/>
  <c r="K338" i="2"/>
  <c r="L338" i="2"/>
  <c r="Z339" i="1"/>
  <c r="AA339" i="1"/>
  <c r="D339" i="2"/>
  <c r="AC339" i="1"/>
  <c r="AD339" i="1"/>
  <c r="E339" i="2"/>
  <c r="E341" i="5"/>
  <c r="F339" i="2"/>
  <c r="G339" i="2"/>
  <c r="I339" i="2"/>
  <c r="J339" i="2"/>
  <c r="K339" i="2"/>
  <c r="L339" i="2"/>
  <c r="Z340" i="1"/>
  <c r="AA340" i="1"/>
  <c r="D340" i="2"/>
  <c r="AC340" i="1"/>
  <c r="AD340" i="1"/>
  <c r="E340" i="2"/>
  <c r="F340" i="2"/>
  <c r="G340" i="2"/>
  <c r="I340" i="2"/>
  <c r="J340" i="2"/>
  <c r="K340" i="2"/>
  <c r="L340" i="2"/>
  <c r="Z341" i="1"/>
  <c r="AA341" i="1"/>
  <c r="D341" i="2"/>
  <c r="AC341" i="1"/>
  <c r="AD341" i="1"/>
  <c r="E341" i="2"/>
  <c r="E343" i="5"/>
  <c r="F341" i="2"/>
  <c r="G341" i="2"/>
  <c r="I341" i="2"/>
  <c r="J341" i="2"/>
  <c r="K341" i="2"/>
  <c r="L341" i="2"/>
  <c r="Z342" i="1"/>
  <c r="AA342" i="1"/>
  <c r="D342" i="2"/>
  <c r="D344" i="5"/>
  <c r="AC342" i="1"/>
  <c r="AD342" i="1"/>
  <c r="E342" i="2"/>
  <c r="E344" i="5"/>
  <c r="F342" i="2"/>
  <c r="G342" i="2"/>
  <c r="I342" i="2"/>
  <c r="J342" i="2"/>
  <c r="K342" i="2"/>
  <c r="L342" i="2"/>
  <c r="N8" i="2"/>
  <c r="N9" i="2"/>
  <c r="N10" i="2"/>
  <c r="N11" i="2"/>
  <c r="N12" i="2"/>
  <c r="N13" i="2"/>
  <c r="N14" i="2"/>
  <c r="N15" i="2"/>
  <c r="N16" i="2"/>
  <c r="N17" i="2"/>
  <c r="N18" i="2"/>
  <c r="N19" i="2"/>
  <c r="N20" i="2"/>
  <c r="N21" i="2"/>
  <c r="N22" i="2"/>
  <c r="I22" i="1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I280" i="12"/>
  <c r="N281" i="2"/>
  <c r="N282" i="2"/>
  <c r="N283" i="2"/>
  <c r="N284" i="2"/>
  <c r="N285" i="2"/>
  <c r="N286" i="2"/>
  <c r="N287" i="2"/>
  <c r="N288" i="2"/>
  <c r="C22" i="7"/>
  <c r="J96" i="10"/>
  <c r="N289" i="2"/>
  <c r="N290" i="2"/>
  <c r="N291" i="2"/>
  <c r="N292" i="2"/>
  <c r="N293" i="2"/>
  <c r="N294" i="2"/>
  <c r="N295" i="2"/>
  <c r="I295" i="12"/>
  <c r="N296" i="2"/>
  <c r="N297" i="2"/>
  <c r="I297" i="12"/>
  <c r="N298" i="2"/>
  <c r="N299" i="2"/>
  <c r="N300" i="2"/>
  <c r="N301" i="2"/>
  <c r="Q301" i="2"/>
  <c r="N302" i="2"/>
  <c r="N303" i="2"/>
  <c r="N304" i="2"/>
  <c r="N305" i="2"/>
  <c r="N306" i="2"/>
  <c r="N307" i="2"/>
  <c r="N308" i="2"/>
  <c r="N309" i="2"/>
  <c r="I309" i="12"/>
  <c r="N310" i="2"/>
  <c r="N311" i="2"/>
  <c r="N312" i="2"/>
  <c r="N313" i="2"/>
  <c r="N314" i="2"/>
  <c r="N315" i="2"/>
  <c r="N316" i="2"/>
  <c r="N317" i="2"/>
  <c r="N318" i="2"/>
  <c r="N319" i="2"/>
  <c r="N320" i="2"/>
  <c r="N321" i="2"/>
  <c r="N322" i="2"/>
  <c r="N323" i="2"/>
  <c r="N324" i="2"/>
  <c r="N325" i="2"/>
  <c r="N326" i="2"/>
  <c r="N327" i="2"/>
  <c r="N328" i="2"/>
  <c r="N329" i="2"/>
  <c r="N330" i="2"/>
  <c r="N331" i="2"/>
  <c r="N332" i="2"/>
  <c r="N333" i="2"/>
  <c r="Q333" i="2"/>
  <c r="N334" i="2"/>
  <c r="N335" i="2"/>
  <c r="N336" i="2"/>
  <c r="N337" i="2"/>
  <c r="N338" i="2"/>
  <c r="N339" i="2"/>
  <c r="N340" i="2"/>
  <c r="N341" i="2"/>
  <c r="Q341" i="2"/>
  <c r="N342" i="2"/>
  <c r="K6" i="11"/>
  <c r="Q6" i="11"/>
  <c r="R6" i="11"/>
  <c r="E6" i="4"/>
  <c r="H6" i="4"/>
  <c r="I6" i="4"/>
  <c r="J6" i="4"/>
  <c r="K6" i="4"/>
  <c r="L6" i="4"/>
  <c r="M6" i="4"/>
  <c r="N6"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D6" i="4"/>
  <c r="E6" i="1"/>
  <c r="F6" i="1"/>
  <c r="G6" i="1"/>
  <c r="H6" i="1"/>
  <c r="I6" i="1"/>
  <c r="J6" i="1"/>
  <c r="K6" i="1"/>
  <c r="L6" i="1"/>
  <c r="M6" i="1"/>
  <c r="N6" i="1"/>
  <c r="O6" i="1"/>
  <c r="P6" i="1"/>
  <c r="Q6" i="1"/>
  <c r="S6" i="1"/>
  <c r="T6" i="1"/>
  <c r="U6" i="1"/>
  <c r="V6" i="1"/>
  <c r="W6" i="1"/>
  <c r="X6" i="1"/>
  <c r="Y6" i="1"/>
  <c r="D6" i="1"/>
  <c r="H6" i="2"/>
  <c r="E15" i="5"/>
  <c r="E23" i="5"/>
  <c r="E28" i="5"/>
  <c r="L1" i="10"/>
  <c r="F140" i="16"/>
  <c r="F148" i="15"/>
  <c r="L77" i="10"/>
  <c r="L25" i="10"/>
  <c r="L79" i="10"/>
  <c r="L24" i="10"/>
  <c r="L78" i="10"/>
  <c r="L12" i="10"/>
  <c r="L67" i="10"/>
  <c r="D14" i="14"/>
  <c r="J127" i="10"/>
  <c r="E14" i="14"/>
  <c r="F137" i="14"/>
  <c r="J137" i="14"/>
  <c r="R137" i="14"/>
  <c r="K138" i="14"/>
  <c r="S138" i="14"/>
  <c r="L139" i="14"/>
  <c r="E119" i="14"/>
  <c r="M119" i="14"/>
  <c r="F120" i="14"/>
  <c r="N120" i="14"/>
  <c r="G121" i="14"/>
  <c r="O121" i="14"/>
  <c r="I24" i="10"/>
  <c r="I78" i="10"/>
  <c r="J24" i="10"/>
  <c r="K24" i="10"/>
  <c r="K78" i="10"/>
  <c r="F14" i="14"/>
  <c r="I25" i="10"/>
  <c r="I79" i="10"/>
  <c r="J25" i="10"/>
  <c r="J79" i="10"/>
  <c r="K25" i="10"/>
  <c r="K79" i="10"/>
  <c r="L80" i="10"/>
  <c r="I80" i="10"/>
  <c r="J80" i="10"/>
  <c r="K80" i="10"/>
  <c r="L81" i="10"/>
  <c r="I81" i="10"/>
  <c r="J81" i="10"/>
  <c r="K81" i="10"/>
  <c r="L82" i="10"/>
  <c r="I82" i="10"/>
  <c r="J82" i="10"/>
  <c r="K82" i="10"/>
  <c r="L83" i="10"/>
  <c r="I83" i="10"/>
  <c r="J83" i="10"/>
  <c r="K83" i="10"/>
  <c r="M83" i="10"/>
  <c r="G14" i="14"/>
  <c r="I33" i="10"/>
  <c r="I87" i="10"/>
  <c r="H14" i="14"/>
  <c r="S68" i="14"/>
  <c r="I14" i="14"/>
  <c r="J69" i="14"/>
  <c r="J14" i="14"/>
  <c r="K14" i="14"/>
  <c r="J37" i="10"/>
  <c r="J91" i="10"/>
  <c r="J95" i="10"/>
  <c r="I77" i="10"/>
  <c r="J77" i="10"/>
  <c r="K77" i="10"/>
  <c r="I12" i="10"/>
  <c r="I67" i="10"/>
  <c r="J12" i="10"/>
  <c r="J67" i="10"/>
  <c r="K12" i="10"/>
  <c r="K67" i="10"/>
  <c r="K71" i="10"/>
  <c r="E65" i="14"/>
  <c r="M65" i="14"/>
  <c r="G66" i="14"/>
  <c r="O66" i="14"/>
  <c r="E67" i="14"/>
  <c r="G67" i="14"/>
  <c r="I67" i="14"/>
  <c r="K67" i="14"/>
  <c r="M67" i="14"/>
  <c r="O67" i="14"/>
  <c r="Q67" i="14"/>
  <c r="S67" i="14"/>
  <c r="K68" i="14"/>
  <c r="F69" i="14"/>
  <c r="N69" i="14"/>
  <c r="Q70" i="14"/>
  <c r="Q71" i="14"/>
  <c r="L76" i="14"/>
  <c r="H77" i="14"/>
  <c r="L77" i="14"/>
  <c r="P77" i="14"/>
  <c r="F78" i="14"/>
  <c r="H78" i="14"/>
  <c r="J78" i="14"/>
  <c r="L78" i="14"/>
  <c r="N78" i="14"/>
  <c r="P78" i="14"/>
  <c r="R78" i="14"/>
  <c r="F79" i="14"/>
  <c r="N79" i="14"/>
  <c r="F80" i="14"/>
  <c r="N80" i="14"/>
  <c r="J81" i="14"/>
  <c r="R81" i="14"/>
  <c r="H82" i="14"/>
  <c r="G87" i="14"/>
  <c r="K87" i="14"/>
  <c r="O87" i="14"/>
  <c r="S87" i="14"/>
  <c r="H88" i="14"/>
  <c r="L88" i="14"/>
  <c r="P88" i="14"/>
  <c r="F89" i="14"/>
  <c r="H89" i="14"/>
  <c r="J89" i="14"/>
  <c r="L89" i="14"/>
  <c r="N89" i="14"/>
  <c r="P89" i="14"/>
  <c r="R89" i="14"/>
  <c r="G90" i="14"/>
  <c r="O90" i="14"/>
  <c r="L91" i="14"/>
  <c r="I92" i="14"/>
  <c r="Q92" i="14"/>
  <c r="P93" i="14"/>
  <c r="M61" i="10"/>
  <c r="M59" i="10"/>
  <c r="M29" i="10"/>
  <c r="M28" i="10"/>
  <c r="M27" i="10"/>
  <c r="M26" i="10"/>
  <c r="M23" i="10"/>
  <c r="M22" i="10"/>
  <c r="B5" i="7"/>
  <c r="J1" i="10"/>
  <c r="I1" i="10"/>
  <c r="Q1" i="2"/>
  <c r="K1" i="14"/>
  <c r="I1" i="13"/>
  <c r="H145" i="7"/>
  <c r="H143" i="7"/>
  <c r="H141" i="7"/>
  <c r="H133" i="7"/>
  <c r="H132" i="7"/>
  <c r="H129" i="7"/>
  <c r="H128" i="7"/>
  <c r="H116" i="7"/>
  <c r="H118" i="7"/>
  <c r="H114" i="7"/>
  <c r="H113" i="7"/>
  <c r="H109" i="7"/>
  <c r="H107" i="7"/>
  <c r="E145" i="14"/>
  <c r="D43" i="14"/>
  <c r="D44" i="14"/>
  <c r="D45" i="14"/>
  <c r="F145" i="14"/>
  <c r="G145" i="14"/>
  <c r="H145" i="14"/>
  <c r="I145" i="14"/>
  <c r="J145" i="14"/>
  <c r="K145" i="14"/>
  <c r="L145" i="14"/>
  <c r="M145" i="14"/>
  <c r="N145" i="14"/>
  <c r="O145" i="14"/>
  <c r="P145" i="14"/>
  <c r="Q145" i="14"/>
  <c r="R145" i="14"/>
  <c r="S145" i="14"/>
  <c r="D35" i="14"/>
  <c r="D49" i="14"/>
  <c r="D36" i="14"/>
  <c r="D37" i="14"/>
  <c r="D38" i="14"/>
  <c r="D39" i="14"/>
  <c r="D40" i="14"/>
  <c r="D41" i="14"/>
  <c r="D42" i="14"/>
  <c r="D46" i="14"/>
  <c r="F49" i="14"/>
  <c r="G49" i="14"/>
  <c r="H49" i="14"/>
  <c r="I49" i="14"/>
  <c r="J49" i="14"/>
  <c r="K49" i="14"/>
  <c r="L49" i="14"/>
  <c r="M49" i="14"/>
  <c r="N49" i="14"/>
  <c r="O49" i="14"/>
  <c r="P49" i="14"/>
  <c r="Q49" i="14"/>
  <c r="R49" i="14"/>
  <c r="S49" i="14"/>
  <c r="E49" i="14"/>
  <c r="V1" i="11"/>
  <c r="F69" i="7"/>
  <c r="E67" i="7"/>
  <c r="F68" i="7"/>
  <c r="E66" i="7"/>
  <c r="B102" i="7"/>
  <c r="B52" i="7"/>
  <c r="B3" i="12"/>
  <c r="L1" i="12"/>
  <c r="M1" i="9"/>
  <c r="I52" i="7"/>
  <c r="H1" i="5"/>
  <c r="AD1" i="1"/>
  <c r="H3" i="8"/>
  <c r="A102" i="7"/>
  <c r="A52" i="7"/>
  <c r="F129" i="7"/>
  <c r="E21" i="7"/>
  <c r="O1" i="4"/>
  <c r="H128" i="14"/>
  <c r="L128" i="14"/>
  <c r="P128" i="14"/>
  <c r="G129" i="14"/>
  <c r="K129" i="14"/>
  <c r="O129" i="14"/>
  <c r="S129" i="14"/>
  <c r="F130" i="14"/>
  <c r="J130" i="14"/>
  <c r="N130" i="14"/>
  <c r="R130" i="14"/>
  <c r="I110" i="14"/>
  <c r="M110" i="14"/>
  <c r="Q110" i="14"/>
  <c r="F111" i="14"/>
  <c r="I111" i="14"/>
  <c r="K111" i="14"/>
  <c r="M111" i="14"/>
  <c r="O111" i="14"/>
  <c r="Q111" i="14"/>
  <c r="S111" i="14"/>
  <c r="F112" i="14"/>
  <c r="H112" i="14"/>
  <c r="J112" i="14"/>
  <c r="L112" i="14"/>
  <c r="N112" i="14"/>
  <c r="P112" i="14"/>
  <c r="R112" i="14"/>
  <c r="E56" i="14"/>
  <c r="G56" i="14"/>
  <c r="I56" i="14"/>
  <c r="K56" i="14"/>
  <c r="M56" i="14"/>
  <c r="O56" i="14"/>
  <c r="Q56" i="14"/>
  <c r="S56" i="14"/>
  <c r="F57" i="14"/>
  <c r="H57" i="14"/>
  <c r="J57" i="14"/>
  <c r="L57" i="14"/>
  <c r="N57" i="14"/>
  <c r="P57" i="14"/>
  <c r="R57" i="14"/>
  <c r="E58" i="14"/>
  <c r="G58" i="14"/>
  <c r="I58" i="14"/>
  <c r="K58" i="14"/>
  <c r="M58" i="14"/>
  <c r="O58" i="14"/>
  <c r="Q58" i="14"/>
  <c r="S58" i="14"/>
  <c r="O6" i="11"/>
  <c r="E21" i="12"/>
  <c r="P6" i="11"/>
  <c r="J21" i="12"/>
  <c r="D18" i="7"/>
  <c r="J33" i="10"/>
  <c r="J87" i="10"/>
  <c r="S93" i="14"/>
  <c r="Q93" i="14"/>
  <c r="O93" i="14"/>
  <c r="M93" i="14"/>
  <c r="K93" i="14"/>
  <c r="I93" i="14"/>
  <c r="G93" i="14"/>
  <c r="E93" i="14"/>
  <c r="R90" i="14"/>
  <c r="P90" i="14"/>
  <c r="N90" i="14"/>
  <c r="L90" i="14"/>
  <c r="J90" i="14"/>
  <c r="H90" i="14"/>
  <c r="F90" i="14"/>
  <c r="S89" i="14"/>
  <c r="Q89" i="14"/>
  <c r="O89" i="14"/>
  <c r="M89" i="14"/>
  <c r="K89" i="14"/>
  <c r="I89" i="14"/>
  <c r="G89" i="14"/>
  <c r="E89" i="14"/>
  <c r="S82" i="14"/>
  <c r="Q82" i="14"/>
  <c r="O82" i="14"/>
  <c r="M82" i="14"/>
  <c r="K82" i="14"/>
  <c r="I82" i="14"/>
  <c r="G82" i="14"/>
  <c r="E82" i="14"/>
  <c r="S79" i="14"/>
  <c r="Q79" i="14"/>
  <c r="O79" i="14"/>
  <c r="M79" i="14"/>
  <c r="K79" i="14"/>
  <c r="I79" i="14"/>
  <c r="G79" i="14"/>
  <c r="E79" i="14"/>
  <c r="S78" i="14"/>
  <c r="Q78" i="14"/>
  <c r="O78" i="14"/>
  <c r="M78" i="14"/>
  <c r="K78" i="14"/>
  <c r="I78" i="14"/>
  <c r="G78" i="14"/>
  <c r="E78" i="14"/>
  <c r="R71" i="14"/>
  <c r="P71" i="14"/>
  <c r="N71" i="14"/>
  <c r="L71" i="14"/>
  <c r="J71" i="14"/>
  <c r="H71" i="14"/>
  <c r="F71" i="14"/>
  <c r="Q68" i="14"/>
  <c r="M68" i="14"/>
  <c r="I68" i="14"/>
  <c r="E68" i="14"/>
  <c r="R67" i="14"/>
  <c r="P67" i="14"/>
  <c r="N67" i="14"/>
  <c r="L67" i="14"/>
  <c r="J67" i="14"/>
  <c r="H67" i="14"/>
  <c r="F67" i="14"/>
  <c r="D67" i="14"/>
  <c r="J38" i="10"/>
  <c r="J92" i="10"/>
  <c r="K37" i="10"/>
  <c r="K91" i="10"/>
  <c r="K33" i="10"/>
  <c r="K87" i="10"/>
  <c r="O6" i="4"/>
  <c r="D6" i="11"/>
  <c r="I95" i="10"/>
  <c r="M95" i="10"/>
  <c r="M80" i="10"/>
  <c r="L37" i="10"/>
  <c r="L91" i="10"/>
  <c r="G104" i="14"/>
  <c r="I104" i="14"/>
  <c r="L38" i="10"/>
  <c r="L92" i="10"/>
  <c r="L35" i="10"/>
  <c r="L89" i="10"/>
  <c r="I102" i="14"/>
  <c r="M102" i="14"/>
  <c r="Q102" i="14"/>
  <c r="F102" i="14"/>
  <c r="J102" i="14"/>
  <c r="N102" i="14"/>
  <c r="R102" i="14"/>
  <c r="L33" i="10"/>
  <c r="L87" i="10"/>
  <c r="G100" i="14"/>
  <c r="I100" i="14"/>
  <c r="K100" i="14"/>
  <c r="M100" i="14"/>
  <c r="O100" i="14"/>
  <c r="Q100" i="14"/>
  <c r="S100" i="14"/>
  <c r="F100" i="14"/>
  <c r="H100" i="14"/>
  <c r="J100" i="14"/>
  <c r="L100" i="14"/>
  <c r="N100" i="14"/>
  <c r="P100" i="14"/>
  <c r="R100" i="14"/>
  <c r="L31" i="10"/>
  <c r="L85" i="10"/>
  <c r="G140" i="14"/>
  <c r="I140" i="14"/>
  <c r="K140" i="14"/>
  <c r="M140" i="14"/>
  <c r="O140" i="14"/>
  <c r="Q140" i="14"/>
  <c r="S140" i="14"/>
  <c r="G122" i="14"/>
  <c r="I122" i="14"/>
  <c r="K122" i="14"/>
  <c r="M122" i="14"/>
  <c r="O122" i="14"/>
  <c r="Q122" i="14"/>
  <c r="S122" i="14"/>
  <c r="G98" i="14"/>
  <c r="I98" i="14"/>
  <c r="K98" i="14"/>
  <c r="M98" i="14"/>
  <c r="O98" i="14"/>
  <c r="Q98" i="14"/>
  <c r="S98" i="14"/>
  <c r="L30" i="10"/>
  <c r="L84" i="10"/>
  <c r="F140" i="14"/>
  <c r="H140" i="14"/>
  <c r="J140" i="14"/>
  <c r="L140" i="14"/>
  <c r="N140" i="14"/>
  <c r="P140" i="14"/>
  <c r="R140" i="14"/>
  <c r="E140" i="14"/>
  <c r="F122" i="14"/>
  <c r="H122" i="14"/>
  <c r="J122" i="14"/>
  <c r="L122" i="14"/>
  <c r="N122" i="14"/>
  <c r="P122" i="14"/>
  <c r="R122" i="14"/>
  <c r="E122" i="14"/>
  <c r="D122" i="14"/>
  <c r="F98" i="14"/>
  <c r="H98" i="14"/>
  <c r="J98" i="14"/>
  <c r="L98" i="14"/>
  <c r="N98" i="14"/>
  <c r="P98" i="14"/>
  <c r="R98" i="14"/>
  <c r="R70" i="14"/>
  <c r="J70" i="14"/>
  <c r="R68" i="14"/>
  <c r="P68" i="14"/>
  <c r="N68" i="14"/>
  <c r="L68" i="14"/>
  <c r="J68" i="14"/>
  <c r="H68" i="14"/>
  <c r="F68" i="14"/>
  <c r="P66" i="14"/>
  <c r="N66" i="14"/>
  <c r="H66" i="14"/>
  <c r="F66" i="14"/>
  <c r="K34" i="10"/>
  <c r="K88" i="10"/>
  <c r="J34" i="10"/>
  <c r="J88" i="10"/>
  <c r="J32" i="10"/>
  <c r="E98" i="14"/>
  <c r="D98" i="14"/>
  <c r="E100" i="14"/>
  <c r="D100" i="14"/>
  <c r="E104" i="14"/>
  <c r="D104" i="14"/>
  <c r="R104" i="14"/>
  <c r="P104" i="14"/>
  <c r="N104" i="14"/>
  <c r="L104" i="14"/>
  <c r="J104" i="14"/>
  <c r="F104" i="14"/>
  <c r="G103" i="14"/>
  <c r="O103" i="14"/>
  <c r="L103" i="14"/>
  <c r="G101" i="14"/>
  <c r="I101" i="14"/>
  <c r="K101" i="14"/>
  <c r="M101" i="14"/>
  <c r="O101" i="14"/>
  <c r="Q101" i="14"/>
  <c r="S101" i="14"/>
  <c r="L34" i="10"/>
  <c r="L88" i="10"/>
  <c r="F101" i="14"/>
  <c r="H101" i="14"/>
  <c r="J101" i="14"/>
  <c r="L101" i="14"/>
  <c r="N101" i="14"/>
  <c r="P101" i="14"/>
  <c r="R101" i="14"/>
  <c r="G99" i="14"/>
  <c r="K99" i="14"/>
  <c r="O99" i="14"/>
  <c r="S99" i="14"/>
  <c r="H99" i="14"/>
  <c r="L99" i="14"/>
  <c r="P99" i="14"/>
  <c r="G131" i="14"/>
  <c r="I131" i="14"/>
  <c r="K131" i="14"/>
  <c r="M131" i="14"/>
  <c r="O131" i="14"/>
  <c r="Q131" i="14"/>
  <c r="S131" i="14"/>
  <c r="G113" i="14"/>
  <c r="I113" i="14"/>
  <c r="K113" i="14"/>
  <c r="M113" i="14"/>
  <c r="O113" i="14"/>
  <c r="Q113" i="14"/>
  <c r="S113" i="14"/>
  <c r="F131" i="14"/>
  <c r="H131" i="14"/>
  <c r="J131" i="14"/>
  <c r="L131" i="14"/>
  <c r="N131" i="14"/>
  <c r="P131" i="14"/>
  <c r="R131" i="14"/>
  <c r="E131" i="14"/>
  <c r="E101" i="14"/>
  <c r="D101" i="14"/>
  <c r="S104" i="14"/>
  <c r="Q104" i="14"/>
  <c r="O104" i="14"/>
  <c r="M104" i="14"/>
  <c r="K104" i="14"/>
  <c r="H104" i="14"/>
  <c r="E39" i="12"/>
  <c r="E71" i="12"/>
  <c r="E119" i="12"/>
  <c r="E151" i="12"/>
  <c r="E183" i="12"/>
  <c r="E215" i="12"/>
  <c r="E247" i="12"/>
  <c r="E279" i="12"/>
  <c r="E311" i="12"/>
  <c r="E343" i="12"/>
  <c r="E38" i="12"/>
  <c r="E70" i="12"/>
  <c r="E102" i="12"/>
  <c r="E134" i="12"/>
  <c r="E166" i="12"/>
  <c r="E198" i="12"/>
  <c r="E230" i="12"/>
  <c r="E262" i="12"/>
  <c r="E294" i="12"/>
  <c r="E326" i="12"/>
  <c r="P320" i="12"/>
  <c r="Q320" i="12"/>
  <c r="P260" i="12"/>
  <c r="Q260" i="12"/>
  <c r="P142" i="12"/>
  <c r="Q142" i="12"/>
  <c r="P82" i="12"/>
  <c r="Q82" i="12"/>
  <c r="P74" i="12"/>
  <c r="Q74" i="12"/>
  <c r="P34" i="12"/>
  <c r="Q34" i="12"/>
  <c r="P26" i="12"/>
  <c r="Q26" i="12"/>
  <c r="P18" i="12"/>
  <c r="Q18" i="12"/>
  <c r="P14" i="12"/>
  <c r="Q14" i="12"/>
  <c r="P10" i="12"/>
  <c r="Q10" i="12"/>
  <c r="P339" i="12"/>
  <c r="Q339" i="12"/>
  <c r="P323" i="12"/>
  <c r="Q323" i="12"/>
  <c r="P315" i="12"/>
  <c r="Q315" i="12"/>
  <c r="P299" i="12"/>
  <c r="Q299" i="12"/>
  <c r="P287" i="12"/>
  <c r="Q287" i="12"/>
  <c r="P275" i="12"/>
  <c r="Q275" i="12"/>
  <c r="P259" i="12"/>
  <c r="Q259" i="12"/>
  <c r="P251" i="12"/>
  <c r="Q251" i="12"/>
  <c r="P235" i="12"/>
  <c r="Q235" i="12"/>
  <c r="P227" i="12"/>
  <c r="Q227" i="12"/>
  <c r="P223" i="12"/>
  <c r="Q223" i="12"/>
  <c r="P219" i="12"/>
  <c r="Q219" i="12"/>
  <c r="P211" i="12"/>
  <c r="Q211" i="12"/>
  <c r="P203" i="12"/>
  <c r="Q203" i="12"/>
  <c r="P195" i="12"/>
  <c r="Q195" i="12"/>
  <c r="P191" i="12"/>
  <c r="Q191" i="12"/>
  <c r="P187" i="12"/>
  <c r="Q187" i="12"/>
  <c r="P179" i="12"/>
  <c r="Q179" i="12"/>
  <c r="P171" i="12"/>
  <c r="Q171" i="12"/>
  <c r="P163" i="12"/>
  <c r="Q163" i="12"/>
  <c r="P159" i="12"/>
  <c r="Q159" i="12"/>
  <c r="P155" i="12"/>
  <c r="Q155" i="12"/>
  <c r="P147" i="12"/>
  <c r="Q147" i="12"/>
  <c r="P139" i="12"/>
  <c r="Q139" i="12"/>
  <c r="P131" i="12"/>
  <c r="Q131" i="12"/>
  <c r="P127" i="12"/>
  <c r="Q127" i="12"/>
  <c r="P123" i="12"/>
  <c r="Q123" i="12"/>
  <c r="P115" i="12"/>
  <c r="Q115" i="12"/>
  <c r="P111" i="12"/>
  <c r="Q111" i="12"/>
  <c r="P107" i="12"/>
  <c r="Q107" i="12"/>
  <c r="P47" i="12"/>
  <c r="Q47" i="12"/>
  <c r="D140" i="14"/>
  <c r="P244" i="12"/>
  <c r="Q244" i="12"/>
  <c r="P208" i="12"/>
  <c r="Q208" i="12"/>
  <c r="P176" i="12"/>
  <c r="Q176" i="12"/>
  <c r="P144" i="12"/>
  <c r="Q144" i="12"/>
  <c r="P112" i="12"/>
  <c r="Q112" i="12"/>
  <c r="P80" i="12"/>
  <c r="Q80" i="12"/>
  <c r="P64" i="12"/>
  <c r="Q64" i="12"/>
  <c r="P48" i="12"/>
  <c r="Q48" i="12"/>
  <c r="P32" i="12"/>
  <c r="Q32" i="12"/>
  <c r="P16" i="12"/>
  <c r="Q16" i="12"/>
  <c r="P341" i="12"/>
  <c r="Q341" i="12"/>
  <c r="P325" i="12"/>
  <c r="Q325" i="12"/>
  <c r="P309" i="12"/>
  <c r="Q309" i="12"/>
  <c r="P293" i="12"/>
  <c r="Q293" i="12"/>
  <c r="P277" i="12"/>
  <c r="Q277" i="12"/>
  <c r="P261" i="12"/>
  <c r="Q261" i="12"/>
  <c r="P245" i="12"/>
  <c r="Q245" i="12"/>
  <c r="P229" i="12"/>
  <c r="Q229" i="12"/>
  <c r="P221" i="12"/>
  <c r="Q221" i="12"/>
  <c r="P213" i="12"/>
  <c r="Q213" i="12"/>
  <c r="P205" i="12"/>
  <c r="Q205" i="12"/>
  <c r="P197" i="12"/>
  <c r="Q197" i="12"/>
  <c r="P189" i="12"/>
  <c r="Q189" i="12"/>
  <c r="P181" i="12"/>
  <c r="Q181" i="12"/>
  <c r="P173" i="12"/>
  <c r="Q173" i="12"/>
  <c r="P165" i="12"/>
  <c r="Q165" i="12"/>
  <c r="P157" i="12"/>
  <c r="Q157" i="12"/>
  <c r="P149" i="12"/>
  <c r="Q149" i="12"/>
  <c r="P141" i="12"/>
  <c r="Q141" i="12"/>
  <c r="P133" i="12"/>
  <c r="Q133" i="12"/>
  <c r="P125" i="12"/>
  <c r="Q125" i="12"/>
  <c r="P117" i="12"/>
  <c r="Q117" i="12"/>
  <c r="P109" i="12"/>
  <c r="Q109" i="12"/>
  <c r="P101" i="12"/>
  <c r="Q101" i="12"/>
  <c r="P93" i="12"/>
  <c r="Q93" i="12"/>
  <c r="P85" i="12"/>
  <c r="Q85" i="12"/>
  <c r="P77" i="12"/>
  <c r="Q77" i="12"/>
  <c r="P69" i="12"/>
  <c r="Q69" i="12"/>
  <c r="P61" i="12"/>
  <c r="Q61" i="12"/>
  <c r="P53" i="12"/>
  <c r="Q53" i="12"/>
  <c r="P45" i="12"/>
  <c r="Q45" i="12"/>
  <c r="P37" i="12"/>
  <c r="Q37" i="12"/>
  <c r="P29" i="12"/>
  <c r="Q29" i="12"/>
  <c r="M17" i="2"/>
  <c r="M9" i="2"/>
  <c r="G11" i="5"/>
  <c r="D131" i="14"/>
  <c r="L15" i="10"/>
  <c r="J86" i="10"/>
  <c r="E6" i="11"/>
  <c r="P321" i="12"/>
  <c r="Q321" i="12"/>
  <c r="P305" i="12"/>
  <c r="Q305" i="12"/>
  <c r="P289" i="12"/>
  <c r="Q289" i="12"/>
  <c r="P273" i="12"/>
  <c r="Q273" i="12"/>
  <c r="P257" i="12"/>
  <c r="Q257" i="12"/>
  <c r="P241" i="12"/>
  <c r="Q241" i="12"/>
  <c r="P225" i="12"/>
  <c r="Q225" i="12"/>
  <c r="P217" i="12"/>
  <c r="Q217" i="12"/>
  <c r="P209" i="12"/>
  <c r="Q209" i="12"/>
  <c r="P201" i="12"/>
  <c r="Q201" i="12"/>
  <c r="P193" i="12"/>
  <c r="Q193" i="12"/>
  <c r="P185" i="12"/>
  <c r="Q185" i="12"/>
  <c r="P177" i="12"/>
  <c r="Q177" i="12"/>
  <c r="P169" i="12"/>
  <c r="Q169" i="12"/>
  <c r="P161" i="12"/>
  <c r="Q161" i="12"/>
  <c r="P153" i="12"/>
  <c r="Q153" i="12"/>
  <c r="P145" i="12"/>
  <c r="Q145" i="12"/>
  <c r="P137" i="12"/>
  <c r="Q137" i="12"/>
  <c r="P129" i="12"/>
  <c r="Q129" i="12"/>
  <c r="P121" i="12"/>
  <c r="Q121" i="12"/>
  <c r="P113" i="12"/>
  <c r="Q113" i="12"/>
  <c r="P105" i="12"/>
  <c r="Q105" i="12"/>
  <c r="P97" i="12"/>
  <c r="Q97" i="12"/>
  <c r="P89" i="12"/>
  <c r="Q89" i="12"/>
  <c r="P81" i="12"/>
  <c r="Q81" i="12"/>
  <c r="P73" i="12"/>
  <c r="Q73" i="12"/>
  <c r="P65" i="12"/>
  <c r="Q65" i="12"/>
  <c r="P57" i="12"/>
  <c r="Q57" i="12"/>
  <c r="P49" i="12"/>
  <c r="Q49" i="12"/>
  <c r="P41" i="12"/>
  <c r="Q41" i="12"/>
  <c r="P33" i="12"/>
  <c r="Q33" i="12"/>
  <c r="P25" i="12"/>
  <c r="Q25" i="12"/>
  <c r="P336" i="12"/>
  <c r="Q336" i="12"/>
  <c r="P304" i="12"/>
  <c r="Q304" i="12"/>
  <c r="P276" i="12"/>
  <c r="Q276" i="12"/>
  <c r="P240" i="12"/>
  <c r="Q240" i="12"/>
  <c r="P337" i="12"/>
  <c r="Q337" i="12"/>
  <c r="P8" i="12"/>
  <c r="Q8" i="12"/>
  <c r="P28" i="12"/>
  <c r="Q28" i="12"/>
  <c r="P36" i="12"/>
  <c r="Q36" i="12"/>
  <c r="P60" i="12"/>
  <c r="Q60" i="12"/>
  <c r="P92" i="12"/>
  <c r="Q92" i="12"/>
  <c r="P100" i="12"/>
  <c r="Q100" i="12"/>
  <c r="P116" i="12"/>
  <c r="Q116" i="12"/>
  <c r="P124" i="12"/>
  <c r="Q124" i="12"/>
  <c r="P156" i="12"/>
  <c r="Q156" i="12"/>
  <c r="P180" i="12"/>
  <c r="Q180" i="12"/>
  <c r="P188" i="12"/>
  <c r="Q188" i="12"/>
  <c r="P220" i="12"/>
  <c r="Q220" i="12"/>
  <c r="P264" i="12"/>
  <c r="Q264" i="12"/>
  <c r="P332" i="12"/>
  <c r="Q332" i="12"/>
  <c r="P268" i="12"/>
  <c r="Q268" i="12"/>
  <c r="P296" i="12"/>
  <c r="Q296" i="12"/>
  <c r="P312" i="12"/>
  <c r="Q312" i="12"/>
  <c r="P328" i="12"/>
  <c r="Q328" i="12"/>
  <c r="P344" i="12"/>
  <c r="Q344" i="12"/>
  <c r="P11" i="12"/>
  <c r="Q11" i="12"/>
  <c r="P15" i="12"/>
  <c r="Q15" i="12"/>
  <c r="P19" i="12"/>
  <c r="Q19" i="12"/>
  <c r="P23" i="12"/>
  <c r="Q23" i="12"/>
  <c r="P39" i="12"/>
  <c r="Q39" i="12"/>
  <c r="P55" i="12"/>
  <c r="Q55" i="12"/>
  <c r="P71" i="12"/>
  <c r="Q71" i="12"/>
  <c r="P87" i="12"/>
  <c r="Q87" i="12"/>
  <c r="P103" i="12"/>
  <c r="Q103" i="12"/>
  <c r="P119" i="12"/>
  <c r="Q119" i="12"/>
  <c r="P135" i="12"/>
  <c r="Q135" i="12"/>
  <c r="P151" i="12"/>
  <c r="Q151" i="12"/>
  <c r="P167" i="12"/>
  <c r="Q167" i="12"/>
  <c r="P183" i="12"/>
  <c r="Q183" i="12"/>
  <c r="P199" i="12"/>
  <c r="Q199" i="12"/>
  <c r="P215" i="12"/>
  <c r="Q215" i="12"/>
  <c r="P231" i="12"/>
  <c r="Q231" i="12"/>
  <c r="P263" i="12"/>
  <c r="Q263" i="12"/>
  <c r="P295" i="12"/>
  <c r="Q295" i="12"/>
  <c r="P327" i="12"/>
  <c r="Q327" i="12"/>
  <c r="P22" i="12"/>
  <c r="Q22" i="12"/>
  <c r="P38" i="12"/>
  <c r="Q38" i="12"/>
  <c r="P54" i="12"/>
  <c r="Q54" i="12"/>
  <c r="P70" i="12"/>
  <c r="Q70" i="12"/>
  <c r="P102" i="12"/>
  <c r="Q102" i="12"/>
  <c r="P134" i="12"/>
  <c r="Q134" i="12"/>
  <c r="P166" i="12"/>
  <c r="Q166" i="12"/>
  <c r="P198" i="12"/>
  <c r="Q198" i="12"/>
  <c r="P230" i="12"/>
  <c r="Q230" i="12"/>
  <c r="P262" i="12"/>
  <c r="Q262" i="12"/>
  <c r="P294" i="12"/>
  <c r="Q294" i="12"/>
  <c r="P326" i="12"/>
  <c r="Q326" i="12"/>
  <c r="P12" i="12"/>
  <c r="Q12" i="12"/>
  <c r="P24" i="12"/>
  <c r="Q24" i="12"/>
  <c r="P40" i="12"/>
  <c r="Q40" i="12"/>
  <c r="P44" i="12"/>
  <c r="Q44" i="12"/>
  <c r="P56" i="12"/>
  <c r="Q56" i="12"/>
  <c r="P72" i="12"/>
  <c r="Q72" i="12"/>
  <c r="P76" i="12"/>
  <c r="Q76" i="12"/>
  <c r="P88" i="12"/>
  <c r="Q88" i="12"/>
  <c r="P96" i="12"/>
  <c r="Q96" i="12"/>
  <c r="P104" i="12"/>
  <c r="Q104" i="12"/>
  <c r="P108" i="12"/>
  <c r="Q108" i="12"/>
  <c r="P120" i="12"/>
  <c r="Q120" i="12"/>
  <c r="P128" i="12"/>
  <c r="Q128" i="12"/>
  <c r="P136" i="12"/>
  <c r="Q136" i="12"/>
  <c r="P140" i="12"/>
  <c r="Q140" i="12"/>
  <c r="P152" i="12"/>
  <c r="Q152" i="12"/>
  <c r="P160" i="12"/>
  <c r="Q160" i="12"/>
  <c r="P168" i="12"/>
  <c r="Q168" i="12"/>
  <c r="P172" i="12"/>
  <c r="Q172" i="12"/>
  <c r="P184" i="12"/>
  <c r="Q184" i="12"/>
  <c r="P192" i="12"/>
  <c r="Q192" i="12"/>
  <c r="P200" i="12"/>
  <c r="Q200" i="12"/>
  <c r="P204" i="12"/>
  <c r="Q204" i="12"/>
  <c r="P216" i="12"/>
  <c r="Q216" i="12"/>
  <c r="P224" i="12"/>
  <c r="Q224" i="12"/>
  <c r="P232" i="12"/>
  <c r="Q232" i="12"/>
  <c r="P236" i="12"/>
  <c r="Q236" i="12"/>
  <c r="P256" i="12"/>
  <c r="Q256" i="12"/>
  <c r="P272" i="12"/>
  <c r="Q272" i="12"/>
  <c r="P292" i="12"/>
  <c r="Q292" i="12"/>
  <c r="P300" i="12"/>
  <c r="Q300" i="12"/>
  <c r="P308" i="12"/>
  <c r="Q308" i="12"/>
  <c r="P324" i="12"/>
  <c r="Q324" i="12"/>
  <c r="P340" i="12"/>
  <c r="Q340" i="12"/>
  <c r="J17" i="12"/>
  <c r="M25" i="2"/>
  <c r="J25" i="12"/>
  <c r="J37" i="12"/>
  <c r="M41" i="2"/>
  <c r="J41" i="12"/>
  <c r="J53" i="12"/>
  <c r="M57" i="2"/>
  <c r="G59" i="5"/>
  <c r="J57" i="12"/>
  <c r="J69" i="12"/>
  <c r="M73" i="2"/>
  <c r="G75" i="5"/>
  <c r="J73" i="12"/>
  <c r="J85" i="12"/>
  <c r="M89" i="2"/>
  <c r="G91" i="5"/>
  <c r="J89" i="12"/>
  <c r="J101" i="12"/>
  <c r="M105" i="2"/>
  <c r="J105" i="12"/>
  <c r="J117" i="12"/>
  <c r="M121" i="2"/>
  <c r="G123" i="5"/>
  <c r="J121" i="12"/>
  <c r="J133" i="12"/>
  <c r="M137" i="2"/>
  <c r="J137" i="12"/>
  <c r="J149" i="12"/>
  <c r="M153" i="2"/>
  <c r="G155" i="5"/>
  <c r="J153" i="12"/>
  <c r="J165" i="12"/>
  <c r="M169" i="2"/>
  <c r="J169" i="12"/>
  <c r="M173" i="2"/>
  <c r="J173" i="12"/>
  <c r="M181" i="2"/>
  <c r="J181" i="12"/>
  <c r="M185" i="2"/>
  <c r="J185" i="12"/>
  <c r="M189" i="2"/>
  <c r="G191" i="5"/>
  <c r="J189" i="12"/>
  <c r="M197" i="2"/>
  <c r="G199" i="5"/>
  <c r="J197" i="12"/>
  <c r="M201" i="2"/>
  <c r="J201" i="12"/>
  <c r="M205" i="2"/>
  <c r="J205" i="12"/>
  <c r="M213" i="2"/>
  <c r="J213" i="12"/>
  <c r="M217" i="2"/>
  <c r="J217" i="12"/>
  <c r="M221" i="2"/>
  <c r="G223" i="5"/>
  <c r="J221" i="12"/>
  <c r="M229" i="2"/>
  <c r="G231" i="5"/>
  <c r="J229" i="12"/>
  <c r="M233" i="2"/>
  <c r="G235" i="5"/>
  <c r="J233" i="12"/>
  <c r="M237" i="2"/>
  <c r="J237" i="12"/>
  <c r="M245" i="2"/>
  <c r="G247" i="5"/>
  <c r="J245" i="12"/>
  <c r="J249" i="12"/>
  <c r="J253" i="12"/>
  <c r="J261" i="12"/>
  <c r="J265" i="12"/>
  <c r="J269" i="12"/>
  <c r="J277" i="12"/>
  <c r="J281" i="12"/>
  <c r="J285" i="12"/>
  <c r="J293" i="12"/>
  <c r="J297" i="12"/>
  <c r="J301" i="12"/>
  <c r="J309" i="12"/>
  <c r="J317" i="12"/>
  <c r="J325" i="12"/>
  <c r="E25" i="12"/>
  <c r="E29" i="12"/>
  <c r="E33" i="12"/>
  <c r="E37" i="12"/>
  <c r="E41" i="12"/>
  <c r="E45" i="12"/>
  <c r="E49" i="12"/>
  <c r="E53" i="12"/>
  <c r="E57" i="12"/>
  <c r="E61" i="12"/>
  <c r="E65" i="12"/>
  <c r="E69" i="12"/>
  <c r="E73" i="12"/>
  <c r="E77" i="12"/>
  <c r="E81" i="12"/>
  <c r="E85" i="12"/>
  <c r="E89" i="12"/>
  <c r="E93" i="12"/>
  <c r="E97" i="12"/>
  <c r="E101" i="12"/>
  <c r="E105" i="12"/>
  <c r="E109" i="12"/>
  <c r="E113" i="12"/>
  <c r="E117" i="12"/>
  <c r="E121" i="12"/>
  <c r="E125" i="12"/>
  <c r="E129" i="12"/>
  <c r="E133" i="12"/>
  <c r="E137" i="12"/>
  <c r="E141" i="12"/>
  <c r="E145" i="12"/>
  <c r="E149" i="12"/>
  <c r="E153" i="12"/>
  <c r="E157" i="12"/>
  <c r="E161" i="12"/>
  <c r="E165" i="12"/>
  <c r="E169" i="12"/>
  <c r="E173" i="12"/>
  <c r="E177" i="12"/>
  <c r="E181" i="12"/>
  <c r="E185" i="12"/>
  <c r="E189" i="12"/>
  <c r="E193" i="12"/>
  <c r="E197" i="12"/>
  <c r="E201" i="12"/>
  <c r="E205" i="12"/>
  <c r="E209" i="12"/>
  <c r="E213" i="12"/>
  <c r="E217" i="12"/>
  <c r="E221" i="12"/>
  <c r="E225" i="12"/>
  <c r="E229" i="12"/>
  <c r="E233" i="12"/>
  <c r="E237" i="12"/>
  <c r="E241" i="12"/>
  <c r="E245" i="12"/>
  <c r="E249" i="12"/>
  <c r="E253" i="12"/>
  <c r="E257" i="12"/>
  <c r="E261" i="12"/>
  <c r="E265" i="12"/>
  <c r="E269" i="12"/>
  <c r="E273" i="12"/>
  <c r="E277" i="12"/>
  <c r="E281" i="12"/>
  <c r="E285" i="12"/>
  <c r="E289" i="12"/>
  <c r="E293" i="12"/>
  <c r="E297" i="12"/>
  <c r="E301" i="12"/>
  <c r="E305" i="12"/>
  <c r="E309" i="12"/>
  <c r="E313" i="12"/>
  <c r="E317" i="12"/>
  <c r="E321" i="12"/>
  <c r="E325" i="12"/>
  <c r="E329" i="12"/>
  <c r="E333" i="12"/>
  <c r="E337" i="12"/>
  <c r="E341" i="12"/>
  <c r="E8" i="12"/>
  <c r="M12" i="2"/>
  <c r="J12" i="12"/>
  <c r="M16" i="2"/>
  <c r="J16" i="12"/>
  <c r="M20" i="2"/>
  <c r="J20" i="12"/>
  <c r="M24" i="2"/>
  <c r="G26" i="5"/>
  <c r="J24" i="12"/>
  <c r="M28" i="2"/>
  <c r="J28" i="12"/>
  <c r="M32" i="2"/>
  <c r="J32" i="12"/>
  <c r="M36" i="2"/>
  <c r="J36" i="12"/>
  <c r="M40" i="2"/>
  <c r="G42" i="5"/>
  <c r="J40" i="12"/>
  <c r="M44" i="2"/>
  <c r="G46" i="5"/>
  <c r="J44" i="12"/>
  <c r="M48" i="2"/>
  <c r="G50" i="5"/>
  <c r="J48" i="12"/>
  <c r="M52" i="2"/>
  <c r="J52" i="12"/>
  <c r="M56" i="2"/>
  <c r="G58" i="5"/>
  <c r="J56" i="12"/>
  <c r="M60" i="2"/>
  <c r="J60" i="12"/>
  <c r="M64" i="2"/>
  <c r="G66" i="5"/>
  <c r="J64" i="12"/>
  <c r="M68" i="2"/>
  <c r="J68" i="12"/>
  <c r="M72" i="2"/>
  <c r="J72" i="12"/>
  <c r="M76" i="2"/>
  <c r="J76" i="12"/>
  <c r="M80" i="2"/>
  <c r="J80" i="12"/>
  <c r="M84" i="2"/>
  <c r="J84" i="12"/>
  <c r="M88" i="2"/>
  <c r="J88" i="12"/>
  <c r="M92" i="2"/>
  <c r="J92" i="12"/>
  <c r="M96" i="2"/>
  <c r="J96" i="12"/>
  <c r="M100" i="2"/>
  <c r="J100" i="12"/>
  <c r="M104" i="2"/>
  <c r="G106" i="5"/>
  <c r="J104" i="12"/>
  <c r="M108" i="2"/>
  <c r="J108" i="12"/>
  <c r="M112" i="2"/>
  <c r="J112" i="12"/>
  <c r="M116" i="2"/>
  <c r="J116" i="12"/>
  <c r="M120" i="2"/>
  <c r="G122" i="5"/>
  <c r="J120" i="12"/>
  <c r="M124" i="2"/>
  <c r="G126" i="5"/>
  <c r="J124" i="12"/>
  <c r="M128" i="2"/>
  <c r="J128" i="12"/>
  <c r="M132" i="2"/>
  <c r="J132" i="12"/>
  <c r="M136" i="2"/>
  <c r="J136" i="12"/>
  <c r="M140" i="2"/>
  <c r="J140" i="12"/>
  <c r="M144" i="2"/>
  <c r="G146" i="5"/>
  <c r="J144" i="12"/>
  <c r="M148" i="2"/>
  <c r="J148" i="12"/>
  <c r="M152" i="2"/>
  <c r="J152" i="12"/>
  <c r="M156" i="2"/>
  <c r="G158" i="5"/>
  <c r="J156" i="12"/>
  <c r="M160" i="2"/>
  <c r="J160" i="12"/>
  <c r="M164" i="2"/>
  <c r="J164" i="12"/>
  <c r="M168" i="2"/>
  <c r="J168" i="12"/>
  <c r="M172" i="2"/>
  <c r="J172" i="12"/>
  <c r="M176" i="2"/>
  <c r="J176" i="12"/>
  <c r="M180" i="2"/>
  <c r="G182" i="5"/>
  <c r="J180" i="12"/>
  <c r="M184" i="2"/>
  <c r="J184" i="12"/>
  <c r="M188" i="2"/>
  <c r="G190" i="5"/>
  <c r="J188" i="12"/>
  <c r="M192" i="2"/>
  <c r="G194" i="5"/>
  <c r="J192" i="12"/>
  <c r="M196" i="2"/>
  <c r="J196" i="12"/>
  <c r="M200" i="2"/>
  <c r="J200" i="12"/>
  <c r="M204" i="2"/>
  <c r="J204" i="12"/>
  <c r="M208" i="2"/>
  <c r="J208" i="12"/>
  <c r="M212" i="2"/>
  <c r="G214" i="5"/>
  <c r="J212" i="12"/>
  <c r="M216" i="2"/>
  <c r="J216" i="12"/>
  <c r="M220" i="2"/>
  <c r="G222" i="5"/>
  <c r="J220" i="12"/>
  <c r="M224" i="2"/>
  <c r="J224" i="12"/>
  <c r="M228" i="2"/>
  <c r="J228" i="12"/>
  <c r="M232" i="2"/>
  <c r="J232" i="12"/>
  <c r="M236" i="2"/>
  <c r="G238" i="5"/>
  <c r="J236" i="12"/>
  <c r="M244" i="2"/>
  <c r="J244" i="12"/>
  <c r="M248" i="2"/>
  <c r="G250" i="5"/>
  <c r="J248" i="12"/>
  <c r="J256" i="12"/>
  <c r="J264" i="12"/>
  <c r="J272" i="12"/>
  <c r="J284" i="12"/>
  <c r="J292" i="12"/>
  <c r="J300" i="12"/>
  <c r="J308" i="12"/>
  <c r="J316" i="12"/>
  <c r="J324" i="12"/>
  <c r="J332" i="12"/>
  <c r="J340" i="12"/>
  <c r="L41" i="10"/>
  <c r="L40" i="10"/>
  <c r="E11" i="12"/>
  <c r="E15" i="12"/>
  <c r="E19" i="12"/>
  <c r="E27" i="12"/>
  <c r="E47" i="12"/>
  <c r="E55" i="12"/>
  <c r="E83" i="12"/>
  <c r="E91" i="12"/>
  <c r="E103" i="12"/>
  <c r="E107" i="12"/>
  <c r="E127" i="12"/>
  <c r="E131" i="12"/>
  <c r="E135" i="12"/>
  <c r="E139" i="12"/>
  <c r="E159" i="12"/>
  <c r="E163" i="12"/>
  <c r="E167" i="12"/>
  <c r="E171" i="12"/>
  <c r="E191" i="12"/>
  <c r="E195" i="12"/>
  <c r="E199" i="12"/>
  <c r="E203" i="12"/>
  <c r="E223" i="12"/>
  <c r="E227" i="12"/>
  <c r="E231" i="12"/>
  <c r="E235" i="12"/>
  <c r="E255" i="12"/>
  <c r="E259" i="12"/>
  <c r="E263" i="12"/>
  <c r="E267" i="12"/>
  <c r="E287" i="12"/>
  <c r="E291" i="12"/>
  <c r="E295" i="12"/>
  <c r="E299" i="12"/>
  <c r="E319" i="12"/>
  <c r="E323" i="12"/>
  <c r="E327" i="12"/>
  <c r="E331" i="12"/>
  <c r="E14" i="12"/>
  <c r="E18" i="12"/>
  <c r="E22" i="12"/>
  <c r="E26" i="12"/>
  <c r="E46" i="12"/>
  <c r="E50" i="12"/>
  <c r="E54" i="12"/>
  <c r="E58" i="12"/>
  <c r="E78" i="12"/>
  <c r="E82" i="12"/>
  <c r="E86" i="12"/>
  <c r="E90" i="12"/>
  <c r="E110" i="12"/>
  <c r="E114" i="12"/>
  <c r="E118" i="12"/>
  <c r="E122" i="12"/>
  <c r="E142" i="12"/>
  <c r="E146" i="12"/>
  <c r="E150" i="12"/>
  <c r="E154" i="12"/>
  <c r="E174" i="12"/>
  <c r="E178" i="12"/>
  <c r="E182" i="12"/>
  <c r="E186" i="12"/>
  <c r="E206" i="12"/>
  <c r="E210" i="12"/>
  <c r="E214" i="12"/>
  <c r="E218" i="12"/>
  <c r="E238" i="12"/>
  <c r="E242" i="12"/>
  <c r="E246" i="12"/>
  <c r="E250" i="12"/>
  <c r="E270" i="12"/>
  <c r="E274" i="12"/>
  <c r="E278" i="12"/>
  <c r="E282" i="12"/>
  <c r="E302" i="12"/>
  <c r="E306" i="12"/>
  <c r="E310" i="12"/>
  <c r="E314" i="12"/>
  <c r="E334" i="12"/>
  <c r="E338" i="12"/>
  <c r="E342" i="12"/>
  <c r="E240" i="12"/>
  <c r="E252" i="12"/>
  <c r="E260" i="12"/>
  <c r="E268" i="12"/>
  <c r="E276" i="12"/>
  <c r="E280" i="12"/>
  <c r="E288" i="12"/>
  <c r="E296" i="12"/>
  <c r="E304" i="12"/>
  <c r="E312" i="12"/>
  <c r="E320" i="12"/>
  <c r="E328" i="12"/>
  <c r="E336" i="12"/>
  <c r="E344" i="12"/>
  <c r="J341" i="12"/>
  <c r="J8" i="12"/>
  <c r="E12" i="12"/>
  <c r="E16" i="12"/>
  <c r="E20" i="12"/>
  <c r="E24" i="12"/>
  <c r="E28" i="12"/>
  <c r="E32" i="12"/>
  <c r="E36" i="12"/>
  <c r="E40" i="12"/>
  <c r="E44" i="12"/>
  <c r="E48" i="12"/>
  <c r="E56" i="12"/>
  <c r="E60" i="12"/>
  <c r="E64" i="12"/>
  <c r="E68" i="12"/>
  <c r="E72" i="12"/>
  <c r="E76" i="12"/>
  <c r="E80" i="12"/>
  <c r="E84" i="12"/>
  <c r="E88" i="12"/>
  <c r="E92" i="12"/>
  <c r="E96" i="12"/>
  <c r="E100" i="12"/>
  <c r="E104" i="12"/>
  <c r="E108" i="12"/>
  <c r="E112" i="12"/>
  <c r="E116" i="12"/>
  <c r="E120" i="12"/>
  <c r="E124" i="12"/>
  <c r="E128" i="12"/>
  <c r="E136" i="12"/>
  <c r="E140" i="12"/>
  <c r="E144" i="12"/>
  <c r="E152" i="12"/>
  <c r="E156" i="12"/>
  <c r="E160" i="12"/>
  <c r="E168" i="12"/>
  <c r="E172" i="12"/>
  <c r="E176" i="12"/>
  <c r="E180" i="12"/>
  <c r="E184" i="12"/>
  <c r="E188" i="12"/>
  <c r="E192" i="12"/>
  <c r="E200" i="12"/>
  <c r="E204" i="12"/>
  <c r="E208" i="12"/>
  <c r="E216" i="12"/>
  <c r="E220" i="12"/>
  <c r="E224" i="12"/>
  <c r="E232" i="12"/>
  <c r="E236" i="12"/>
  <c r="E244" i="12"/>
  <c r="E256" i="12"/>
  <c r="E264" i="12"/>
  <c r="E272" i="12"/>
  <c r="E284" i="12"/>
  <c r="E292" i="12"/>
  <c r="E300" i="12"/>
  <c r="E308" i="12"/>
  <c r="E316" i="12"/>
  <c r="E324" i="12"/>
  <c r="E332" i="12"/>
  <c r="E340" i="12"/>
  <c r="M11" i="2"/>
  <c r="I11" i="12"/>
  <c r="J11" i="12"/>
  <c r="M15" i="2"/>
  <c r="J15" i="12"/>
  <c r="M19" i="2"/>
  <c r="G21" i="5"/>
  <c r="J19" i="12"/>
  <c r="M23" i="2"/>
  <c r="Q23" i="2"/>
  <c r="J23" i="12"/>
  <c r="M27" i="2"/>
  <c r="J27" i="12"/>
  <c r="M31" i="2"/>
  <c r="G33" i="5"/>
  <c r="J31" i="12"/>
  <c r="M35" i="2"/>
  <c r="I35" i="12"/>
  <c r="J35" i="12"/>
  <c r="M39" i="2"/>
  <c r="I39" i="12"/>
  <c r="J39" i="12"/>
  <c r="K39" i="12"/>
  <c r="M43" i="2"/>
  <c r="I43" i="12"/>
  <c r="J43" i="12"/>
  <c r="M47" i="2"/>
  <c r="Q47" i="2"/>
  <c r="J47" i="12"/>
  <c r="M51" i="2"/>
  <c r="J51" i="12"/>
  <c r="M55" i="2"/>
  <c r="I55" i="12"/>
  <c r="J55" i="12"/>
  <c r="M59" i="2"/>
  <c r="J59" i="12"/>
  <c r="M63" i="2"/>
  <c r="I63" i="12"/>
  <c r="J63" i="12"/>
  <c r="M67" i="2"/>
  <c r="J67" i="12"/>
  <c r="M71" i="2"/>
  <c r="J71" i="12"/>
  <c r="M75" i="2"/>
  <c r="J75" i="12"/>
  <c r="M79" i="2"/>
  <c r="Q79" i="2"/>
  <c r="J79" i="12"/>
  <c r="M83" i="2"/>
  <c r="J83" i="12"/>
  <c r="M87" i="2"/>
  <c r="Q87" i="2"/>
  <c r="J87" i="12"/>
  <c r="M91" i="2"/>
  <c r="J91" i="12"/>
  <c r="M95" i="2"/>
  <c r="J95" i="12"/>
  <c r="M99" i="2"/>
  <c r="J99" i="12"/>
  <c r="M103" i="2"/>
  <c r="J103" i="12"/>
  <c r="M107" i="2"/>
  <c r="I107" i="12"/>
  <c r="J107" i="12"/>
  <c r="M111" i="2"/>
  <c r="J111" i="12"/>
  <c r="M115" i="2"/>
  <c r="J115" i="12"/>
  <c r="M119" i="2"/>
  <c r="I119" i="12"/>
  <c r="K119" i="12"/>
  <c r="J119" i="12"/>
  <c r="M123" i="2"/>
  <c r="Q123" i="2"/>
  <c r="J123" i="12"/>
  <c r="M127" i="2"/>
  <c r="J127" i="12"/>
  <c r="M131" i="2"/>
  <c r="Q131" i="2"/>
  <c r="J131" i="12"/>
  <c r="M135" i="2"/>
  <c r="J135" i="12"/>
  <c r="M139" i="2"/>
  <c r="Q139" i="2"/>
  <c r="J139" i="12"/>
  <c r="M143" i="2"/>
  <c r="J143" i="12"/>
  <c r="M147" i="2"/>
  <c r="J147" i="12"/>
  <c r="M151" i="2"/>
  <c r="J151" i="12"/>
  <c r="M155" i="2"/>
  <c r="J155" i="12"/>
  <c r="M159" i="2"/>
  <c r="J159" i="12"/>
  <c r="M163" i="2"/>
  <c r="J163" i="12"/>
  <c r="M167" i="2"/>
  <c r="Q167" i="2"/>
  <c r="J167" i="12"/>
  <c r="M171" i="2"/>
  <c r="I171" i="12"/>
  <c r="J171" i="12"/>
  <c r="M175" i="2"/>
  <c r="J175" i="12"/>
  <c r="M179" i="2"/>
  <c r="J179" i="12"/>
  <c r="M183" i="2"/>
  <c r="G185" i="5"/>
  <c r="J183" i="12"/>
  <c r="M187" i="2"/>
  <c r="I187" i="12"/>
  <c r="J187" i="12"/>
  <c r="M191" i="2"/>
  <c r="J191" i="12"/>
  <c r="M195" i="2"/>
  <c r="Q195" i="2"/>
  <c r="J195" i="12"/>
  <c r="M199" i="2"/>
  <c r="G201" i="5"/>
  <c r="J199" i="12"/>
  <c r="M203" i="2"/>
  <c r="Q203" i="2"/>
  <c r="J203" i="12"/>
  <c r="M207" i="2"/>
  <c r="I207" i="12"/>
  <c r="J207" i="12"/>
  <c r="M211" i="2"/>
  <c r="G213" i="5"/>
  <c r="J211" i="12"/>
  <c r="M215" i="2"/>
  <c r="G217" i="5"/>
  <c r="J215" i="12"/>
  <c r="M219" i="2"/>
  <c r="J219" i="12"/>
  <c r="M223" i="2"/>
  <c r="Q223" i="2"/>
  <c r="J223" i="12"/>
  <c r="M227" i="2"/>
  <c r="J227" i="12"/>
  <c r="M231" i="2"/>
  <c r="G233" i="5"/>
  <c r="J231" i="12"/>
  <c r="M235" i="2"/>
  <c r="Q235" i="2"/>
  <c r="M239" i="2"/>
  <c r="M243" i="2"/>
  <c r="J243" i="12"/>
  <c r="M247" i="2"/>
  <c r="I247" i="12"/>
  <c r="K247" i="12"/>
  <c r="J247" i="12"/>
  <c r="J255" i="12"/>
  <c r="J259" i="12"/>
  <c r="J267" i="12"/>
  <c r="J271" i="12"/>
  <c r="J287" i="12"/>
  <c r="J291" i="12"/>
  <c r="J307" i="12"/>
  <c r="J315" i="12"/>
  <c r="J319" i="12"/>
  <c r="J323" i="12"/>
  <c r="J327" i="12"/>
  <c r="J331" i="12"/>
  <c r="M10" i="2"/>
  <c r="J10" i="12"/>
  <c r="M14" i="2"/>
  <c r="J14" i="12"/>
  <c r="M18" i="2"/>
  <c r="J18" i="12"/>
  <c r="J22" i="12"/>
  <c r="M26" i="2"/>
  <c r="J26" i="12"/>
  <c r="M30" i="2"/>
  <c r="J30" i="12"/>
  <c r="M34" i="2"/>
  <c r="J34" i="12"/>
  <c r="M38" i="2"/>
  <c r="J38" i="12"/>
  <c r="M42" i="2"/>
  <c r="J42" i="12"/>
  <c r="M46" i="2"/>
  <c r="J46" i="12"/>
  <c r="M50" i="2"/>
  <c r="I50" i="12"/>
  <c r="J50" i="12"/>
  <c r="M54" i="2"/>
  <c r="J54" i="12"/>
  <c r="M58" i="2"/>
  <c r="J58" i="12"/>
  <c r="M62" i="2"/>
  <c r="J62" i="12"/>
  <c r="M66" i="2"/>
  <c r="J66" i="12"/>
  <c r="M70" i="2"/>
  <c r="I70" i="12"/>
  <c r="J70" i="12"/>
  <c r="M74" i="2"/>
  <c r="J74" i="12"/>
  <c r="M78" i="2"/>
  <c r="G80" i="5"/>
  <c r="J78" i="12"/>
  <c r="M82" i="2"/>
  <c r="J82" i="12"/>
  <c r="M86" i="2"/>
  <c r="J86" i="12"/>
  <c r="M90" i="2"/>
  <c r="J90" i="12"/>
  <c r="J94" i="12"/>
  <c r="M98" i="2"/>
  <c r="J98" i="12"/>
  <c r="M102" i="2"/>
  <c r="G104" i="5"/>
  <c r="J102" i="12"/>
  <c r="M106" i="2"/>
  <c r="J106" i="12"/>
  <c r="M110" i="2"/>
  <c r="J110" i="12"/>
  <c r="M114" i="2"/>
  <c r="G116" i="5"/>
  <c r="J114" i="12"/>
  <c r="M118" i="2"/>
  <c r="J118" i="12"/>
  <c r="M122" i="2"/>
  <c r="J122" i="12"/>
  <c r="M126" i="2"/>
  <c r="J126" i="12"/>
  <c r="M130" i="2"/>
  <c r="J130" i="12"/>
  <c r="M134" i="2"/>
  <c r="J134" i="12"/>
  <c r="M138" i="2"/>
  <c r="G140" i="5"/>
  <c r="J138" i="12"/>
  <c r="M142" i="2"/>
  <c r="J142" i="12"/>
  <c r="M146" i="2"/>
  <c r="G148" i="5"/>
  <c r="J146" i="12"/>
  <c r="M150" i="2"/>
  <c r="G152" i="5"/>
  <c r="J150" i="12"/>
  <c r="M154" i="2"/>
  <c r="G156" i="5"/>
  <c r="J154" i="12"/>
  <c r="M158" i="2"/>
  <c r="G160" i="5"/>
  <c r="J158" i="12"/>
  <c r="M162" i="2"/>
  <c r="J162" i="12"/>
  <c r="M166" i="2"/>
  <c r="J166" i="12"/>
  <c r="M170" i="2"/>
  <c r="J170" i="12"/>
  <c r="M174" i="2"/>
  <c r="J174" i="12"/>
  <c r="M178" i="2"/>
  <c r="J178" i="12"/>
  <c r="M182" i="2"/>
  <c r="G184" i="5"/>
  <c r="J182" i="12"/>
  <c r="M186" i="2"/>
  <c r="J186" i="12"/>
  <c r="M190" i="2"/>
  <c r="J190" i="12"/>
  <c r="M194" i="2"/>
  <c r="G196" i="5"/>
  <c r="J194" i="12"/>
  <c r="M198" i="2"/>
  <c r="G200" i="5"/>
  <c r="J198" i="12"/>
  <c r="M202" i="2"/>
  <c r="J202" i="12"/>
  <c r="M206" i="2"/>
  <c r="J206" i="12"/>
  <c r="M210" i="2"/>
  <c r="J210" i="12"/>
  <c r="M214" i="2"/>
  <c r="G216" i="5"/>
  <c r="J214" i="12"/>
  <c r="M218" i="2"/>
  <c r="J218" i="12"/>
  <c r="M222" i="2"/>
  <c r="J222" i="12"/>
  <c r="M226" i="2"/>
  <c r="J226" i="12"/>
  <c r="M230" i="2"/>
  <c r="G232" i="5"/>
  <c r="J230" i="12"/>
  <c r="M234" i="2"/>
  <c r="J234" i="12"/>
  <c r="M238" i="2"/>
  <c r="G240" i="5"/>
  <c r="J238" i="12"/>
  <c r="M242" i="2"/>
  <c r="G244" i="5"/>
  <c r="J242" i="12"/>
  <c r="M246" i="2"/>
  <c r="J246" i="12"/>
  <c r="M250" i="2"/>
  <c r="G252" i="5"/>
  <c r="J250" i="12"/>
  <c r="M254" i="2"/>
  <c r="J254" i="12"/>
  <c r="M258" i="2"/>
  <c r="J258" i="12"/>
  <c r="M262" i="2"/>
  <c r="G264" i="5"/>
  <c r="J262" i="12"/>
  <c r="M266" i="2"/>
  <c r="J266" i="12"/>
  <c r="M270" i="2"/>
  <c r="J270" i="12"/>
  <c r="M274" i="2"/>
  <c r="J274" i="12"/>
  <c r="M278" i="2"/>
  <c r="J278" i="12"/>
  <c r="M282" i="2"/>
  <c r="J282" i="12"/>
  <c r="M286" i="2"/>
  <c r="G288" i="5"/>
  <c r="J286" i="12"/>
  <c r="M290" i="2"/>
  <c r="Q290" i="2"/>
  <c r="J290" i="12"/>
  <c r="M294" i="2"/>
  <c r="J294" i="12"/>
  <c r="M298" i="2"/>
  <c r="I298" i="12"/>
  <c r="J298" i="12"/>
  <c r="M302" i="2"/>
  <c r="J302" i="12"/>
  <c r="J306" i="12"/>
  <c r="J310" i="12"/>
  <c r="J314" i="12"/>
  <c r="J318" i="12"/>
  <c r="J322" i="12"/>
  <c r="J326" i="12"/>
  <c r="J330" i="12"/>
  <c r="J334" i="12"/>
  <c r="J338" i="12"/>
  <c r="J342" i="12"/>
  <c r="M240" i="2"/>
  <c r="J240" i="12"/>
  <c r="J252" i="12"/>
  <c r="J260" i="12"/>
  <c r="J268" i="12"/>
  <c r="J276" i="12"/>
  <c r="M288" i="2"/>
  <c r="J288" i="12"/>
  <c r="M296" i="2"/>
  <c r="J296" i="12"/>
  <c r="J304" i="12"/>
  <c r="J312" i="12"/>
  <c r="J320" i="12"/>
  <c r="J328" i="12"/>
  <c r="J336" i="12"/>
  <c r="M344" i="2"/>
  <c r="J344" i="12"/>
  <c r="G303" i="5"/>
  <c r="G279" i="5"/>
  <c r="G267" i="5"/>
  <c r="G187" i="5"/>
  <c r="G139" i="5"/>
  <c r="G43" i="5"/>
  <c r="M79" i="10"/>
  <c r="I102" i="7"/>
  <c r="M82" i="10"/>
  <c r="M81" i="10"/>
  <c r="L71" i="10"/>
  <c r="M67" i="10"/>
  <c r="E170" i="5"/>
  <c r="E110" i="5"/>
  <c r="E46" i="5"/>
  <c r="M12" i="10"/>
  <c r="M87" i="10"/>
  <c r="C13" i="7"/>
  <c r="E13" i="7"/>
  <c r="O6" i="12"/>
  <c r="E10" i="5"/>
  <c r="M77" i="10"/>
  <c r="G215" i="5"/>
  <c r="P342" i="12"/>
  <c r="Q342" i="12"/>
  <c r="P310" i="12"/>
  <c r="Q310" i="12"/>
  <c r="P278" i="12"/>
  <c r="Q278" i="12"/>
  <c r="P246" i="12"/>
  <c r="Q246" i="12"/>
  <c r="P214" i="12"/>
  <c r="Q214" i="12"/>
  <c r="P182" i="12"/>
  <c r="Q182" i="12"/>
  <c r="P150" i="12"/>
  <c r="Q150" i="12"/>
  <c r="P118" i="12"/>
  <c r="Q118" i="12"/>
  <c r="P86" i="12"/>
  <c r="Q86" i="12"/>
  <c r="P280" i="12"/>
  <c r="Q280" i="12"/>
  <c r="J280" i="12"/>
  <c r="P252" i="12"/>
  <c r="Q252" i="12"/>
  <c r="M252" i="2"/>
  <c r="P316" i="12"/>
  <c r="Q316" i="12"/>
  <c r="P284" i="12"/>
  <c r="Q284" i="12"/>
  <c r="P248" i="12"/>
  <c r="Q248" i="12"/>
  <c r="E248" i="12"/>
  <c r="P228" i="12"/>
  <c r="Q228" i="12"/>
  <c r="E228" i="12"/>
  <c r="P212" i="12"/>
  <c r="Q212" i="12"/>
  <c r="E212" i="12"/>
  <c r="P196" i="12"/>
  <c r="Q196" i="12"/>
  <c r="E196" i="12"/>
  <c r="P164" i="12"/>
  <c r="Q164" i="12"/>
  <c r="E164" i="12"/>
  <c r="P148" i="12"/>
  <c r="Q148" i="12"/>
  <c r="E148" i="12"/>
  <c r="P132" i="12"/>
  <c r="Q132" i="12"/>
  <c r="E132" i="12"/>
  <c r="P84" i="12"/>
  <c r="Q84" i="12"/>
  <c r="P68" i="12"/>
  <c r="Q68" i="12"/>
  <c r="P52" i="12"/>
  <c r="Q52" i="12"/>
  <c r="E52" i="12"/>
  <c r="P20" i="12"/>
  <c r="Q20" i="12"/>
  <c r="P338" i="12"/>
  <c r="Q338" i="12"/>
  <c r="P330" i="12"/>
  <c r="Q330" i="12"/>
  <c r="E330" i="12"/>
  <c r="P322" i="12"/>
  <c r="Q322" i="12"/>
  <c r="E322" i="12"/>
  <c r="P318" i="12"/>
  <c r="Q318" i="12"/>
  <c r="E318" i="12"/>
  <c r="P314" i="12"/>
  <c r="Q314" i="12"/>
  <c r="P306" i="12"/>
  <c r="Q306" i="12"/>
  <c r="P298" i="12"/>
  <c r="Q298" i="12"/>
  <c r="E298" i="12"/>
  <c r="P290" i="12"/>
  <c r="Q290" i="12"/>
  <c r="E290" i="12"/>
  <c r="P286" i="12"/>
  <c r="Q286" i="12"/>
  <c r="E286" i="12"/>
  <c r="P282" i="12"/>
  <c r="Q282" i="12"/>
  <c r="P274" i="12"/>
  <c r="Q274" i="12"/>
  <c r="P266" i="12"/>
  <c r="Q266" i="12"/>
  <c r="E266" i="12"/>
  <c r="P258" i="12"/>
  <c r="Q258" i="12"/>
  <c r="E258" i="12"/>
  <c r="P254" i="12"/>
  <c r="Q254" i="12"/>
  <c r="E254" i="12"/>
  <c r="P250" i="12"/>
  <c r="Q250" i="12"/>
  <c r="P242" i="12"/>
  <c r="Q242" i="12"/>
  <c r="P234" i="12"/>
  <c r="Q234" i="12"/>
  <c r="E234" i="12"/>
  <c r="P226" i="12"/>
  <c r="Q226" i="12"/>
  <c r="E226" i="12"/>
  <c r="P222" i="12"/>
  <c r="Q222" i="12"/>
  <c r="E222" i="12"/>
  <c r="P218" i="12"/>
  <c r="Q218" i="12"/>
  <c r="P210" i="12"/>
  <c r="Q210" i="12"/>
  <c r="P202" i="12"/>
  <c r="Q202" i="12"/>
  <c r="E202" i="12"/>
  <c r="P194" i="12"/>
  <c r="Q194" i="12"/>
  <c r="E194" i="12"/>
  <c r="P190" i="12"/>
  <c r="Q190" i="12"/>
  <c r="E190" i="12"/>
  <c r="P186" i="12"/>
  <c r="Q186" i="12"/>
  <c r="P178" i="12"/>
  <c r="Q178" i="12"/>
  <c r="P170" i="12"/>
  <c r="Q170" i="12"/>
  <c r="E170" i="12"/>
  <c r="P162" i="12"/>
  <c r="Q162" i="12"/>
  <c r="E162" i="12"/>
  <c r="P158" i="12"/>
  <c r="Q158" i="12"/>
  <c r="E158" i="12"/>
  <c r="P154" i="12"/>
  <c r="Q154" i="12"/>
  <c r="P146" i="12"/>
  <c r="Q146" i="12"/>
  <c r="P138" i="12"/>
  <c r="Q138" i="12"/>
  <c r="E138" i="12"/>
  <c r="P130" i="12"/>
  <c r="Q130" i="12"/>
  <c r="E130" i="12"/>
  <c r="P126" i="12"/>
  <c r="Q126" i="12"/>
  <c r="E126" i="12"/>
  <c r="P122" i="12"/>
  <c r="Q122" i="12"/>
  <c r="P114" i="12"/>
  <c r="Q114" i="12"/>
  <c r="P106" i="12"/>
  <c r="Q106" i="12"/>
  <c r="E106" i="12"/>
  <c r="P98" i="12"/>
  <c r="Q98" i="12"/>
  <c r="E98" i="12"/>
  <c r="P94" i="12"/>
  <c r="Q94" i="12"/>
  <c r="E94" i="12"/>
  <c r="P90" i="12"/>
  <c r="Q90" i="12"/>
  <c r="P99" i="12"/>
  <c r="Q99" i="12"/>
  <c r="E99" i="12"/>
  <c r="E95" i="12"/>
  <c r="P91" i="12"/>
  <c r="Q91" i="12"/>
  <c r="P83" i="12"/>
  <c r="Q83" i="12"/>
  <c r="P75" i="12"/>
  <c r="Q75" i="12"/>
  <c r="E75" i="12"/>
  <c r="P67" i="12"/>
  <c r="Q67" i="12"/>
  <c r="E67" i="12"/>
  <c r="E63" i="12"/>
  <c r="P59" i="12"/>
  <c r="Q59" i="12"/>
  <c r="P51" i="12"/>
  <c r="Q51" i="12"/>
  <c r="P43" i="12"/>
  <c r="Q43" i="12"/>
  <c r="E43" i="12"/>
  <c r="P35" i="12"/>
  <c r="Q35" i="12"/>
  <c r="E35" i="12"/>
  <c r="E31" i="12"/>
  <c r="P27" i="12"/>
  <c r="Q27" i="12"/>
  <c r="P17" i="12"/>
  <c r="Q17" i="12"/>
  <c r="E17" i="12"/>
  <c r="P9" i="12"/>
  <c r="Q9" i="12"/>
  <c r="P103" i="14"/>
  <c r="G70" i="14"/>
  <c r="K70" i="14"/>
  <c r="O70" i="14"/>
  <c r="S70" i="14"/>
  <c r="E81" i="14"/>
  <c r="G81" i="14"/>
  <c r="I81" i="14"/>
  <c r="K81" i="14"/>
  <c r="M81" i="14"/>
  <c r="O81" i="14"/>
  <c r="Q81" i="14"/>
  <c r="S81" i="14"/>
  <c r="F92" i="14"/>
  <c r="H92" i="14"/>
  <c r="J92" i="14"/>
  <c r="L92" i="14"/>
  <c r="N92" i="14"/>
  <c r="P92" i="14"/>
  <c r="R92" i="14"/>
  <c r="E70" i="14"/>
  <c r="M70" i="14"/>
  <c r="H81" i="14"/>
  <c r="L81" i="14"/>
  <c r="P81" i="14"/>
  <c r="G92" i="14"/>
  <c r="K92" i="14"/>
  <c r="O92" i="14"/>
  <c r="S92" i="14"/>
  <c r="P70" i="14"/>
  <c r="L70" i="14"/>
  <c r="H70" i="14"/>
  <c r="K36" i="10"/>
  <c r="K90" i="10"/>
  <c r="J36" i="10"/>
  <c r="J90" i="10"/>
  <c r="I36" i="10"/>
  <c r="I90" i="10"/>
  <c r="I103" i="14"/>
  <c r="M103" i="14"/>
  <c r="Q103" i="14"/>
  <c r="L36" i="10"/>
  <c r="L90" i="10"/>
  <c r="F103" i="14"/>
  <c r="J103" i="14"/>
  <c r="N103" i="14"/>
  <c r="R103" i="14"/>
  <c r="H7" i="8"/>
  <c r="M33" i="2"/>
  <c r="J33" i="12"/>
  <c r="M49" i="2"/>
  <c r="G51" i="5"/>
  <c r="J49" i="12"/>
  <c r="M65" i="2"/>
  <c r="G67" i="5"/>
  <c r="J65" i="12"/>
  <c r="M81" i="2"/>
  <c r="J81" i="12"/>
  <c r="M97" i="2"/>
  <c r="Q97" i="2"/>
  <c r="J97" i="12"/>
  <c r="M113" i="2"/>
  <c r="J113" i="12"/>
  <c r="M129" i="2"/>
  <c r="Q129" i="2"/>
  <c r="J129" i="12"/>
  <c r="J145" i="12"/>
  <c r="J161" i="12"/>
  <c r="M177" i="2"/>
  <c r="Q177" i="2"/>
  <c r="J177" i="12"/>
  <c r="M193" i="2"/>
  <c r="G195" i="5"/>
  <c r="J193" i="12"/>
  <c r="M209" i="2"/>
  <c r="I209" i="12"/>
  <c r="J209" i="12"/>
  <c r="M225" i="2"/>
  <c r="I225" i="12"/>
  <c r="J225" i="12"/>
  <c r="M241" i="2"/>
  <c r="G243" i="5"/>
  <c r="M273" i="2"/>
  <c r="I273" i="12"/>
  <c r="L273" i="12"/>
  <c r="I35" i="10"/>
  <c r="I89" i="10"/>
  <c r="K35" i="10"/>
  <c r="K89" i="10"/>
  <c r="E69" i="14"/>
  <c r="G69" i="14"/>
  <c r="I69" i="14"/>
  <c r="K69" i="14"/>
  <c r="M69" i="14"/>
  <c r="O69" i="14"/>
  <c r="Q69" i="14"/>
  <c r="S69" i="14"/>
  <c r="E80" i="14"/>
  <c r="G80" i="14"/>
  <c r="I80" i="14"/>
  <c r="K80" i="14"/>
  <c r="M80" i="14"/>
  <c r="O80" i="14"/>
  <c r="Q80" i="14"/>
  <c r="S80" i="14"/>
  <c r="E91" i="14"/>
  <c r="G91" i="14"/>
  <c r="I91" i="14"/>
  <c r="K91" i="14"/>
  <c r="M91" i="14"/>
  <c r="O91" i="14"/>
  <c r="Q91" i="14"/>
  <c r="S91" i="14"/>
  <c r="J35" i="10"/>
  <c r="J89" i="10"/>
  <c r="H69" i="14"/>
  <c r="L69" i="14"/>
  <c r="P69" i="14"/>
  <c r="H80" i="14"/>
  <c r="L80" i="14"/>
  <c r="P80" i="14"/>
  <c r="F91" i="14"/>
  <c r="J91" i="14"/>
  <c r="N91" i="14"/>
  <c r="R91" i="14"/>
  <c r="G102" i="14"/>
  <c r="G106" i="14"/>
  <c r="K102" i="14"/>
  <c r="O102" i="14"/>
  <c r="O106" i="14"/>
  <c r="S102" i="14"/>
  <c r="H102" i="14"/>
  <c r="L102" i="14"/>
  <c r="L106" i="14"/>
  <c r="P102" i="14"/>
  <c r="P106" i="14"/>
  <c r="E102" i="14"/>
  <c r="I32" i="10"/>
  <c r="I86" i="10"/>
  <c r="E66" i="14"/>
  <c r="I66" i="14"/>
  <c r="M66" i="14"/>
  <c r="Q66" i="14"/>
  <c r="E77" i="14"/>
  <c r="G77" i="14"/>
  <c r="I77" i="14"/>
  <c r="K77" i="14"/>
  <c r="M77" i="14"/>
  <c r="O77" i="14"/>
  <c r="Q77" i="14"/>
  <c r="S77" i="14"/>
  <c r="E88" i="14"/>
  <c r="G88" i="14"/>
  <c r="I88" i="14"/>
  <c r="K88" i="14"/>
  <c r="M88" i="14"/>
  <c r="O88" i="14"/>
  <c r="Q88" i="14"/>
  <c r="S88" i="14"/>
  <c r="K66" i="14"/>
  <c r="S66" i="14"/>
  <c r="F77" i="14"/>
  <c r="J77" i="14"/>
  <c r="N77" i="14"/>
  <c r="R77" i="14"/>
  <c r="F88" i="14"/>
  <c r="J88" i="14"/>
  <c r="N88" i="14"/>
  <c r="R88" i="14"/>
  <c r="R66" i="14"/>
  <c r="L66" i="14"/>
  <c r="J66" i="14"/>
  <c r="K32" i="10"/>
  <c r="K86" i="10"/>
  <c r="I99" i="14"/>
  <c r="I106" i="14"/>
  <c r="M99" i="14"/>
  <c r="M106" i="14"/>
  <c r="Q99" i="14"/>
  <c r="Q106" i="14"/>
  <c r="L32" i="10"/>
  <c r="F99" i="14"/>
  <c r="F106" i="14"/>
  <c r="J99" i="14"/>
  <c r="J106" i="14"/>
  <c r="N99" i="14"/>
  <c r="N106" i="14"/>
  <c r="R99" i="14"/>
  <c r="R106" i="14"/>
  <c r="E99" i="14"/>
  <c r="J78" i="10"/>
  <c r="M78" i="10"/>
  <c r="E59" i="14"/>
  <c r="E128" i="14"/>
  <c r="G128" i="14"/>
  <c r="G133" i="14"/>
  <c r="I128" i="14"/>
  <c r="K128" i="14"/>
  <c r="K133" i="14"/>
  <c r="M128" i="14"/>
  <c r="O128" i="14"/>
  <c r="Q128" i="14"/>
  <c r="S128" i="14"/>
  <c r="F129" i="14"/>
  <c r="H129" i="14"/>
  <c r="J129" i="14"/>
  <c r="L129" i="14"/>
  <c r="L133" i="14"/>
  <c r="N129" i="14"/>
  <c r="P129" i="14"/>
  <c r="P133" i="14"/>
  <c r="R129" i="14"/>
  <c r="E130" i="14"/>
  <c r="G130" i="14"/>
  <c r="I130" i="14"/>
  <c r="K130" i="14"/>
  <c r="M130" i="14"/>
  <c r="O130" i="14"/>
  <c r="O133" i="14"/>
  <c r="Q130" i="14"/>
  <c r="S130" i="14"/>
  <c r="F110" i="14"/>
  <c r="H110" i="14"/>
  <c r="J110" i="14"/>
  <c r="L110" i="14"/>
  <c r="N110" i="14"/>
  <c r="P110" i="14"/>
  <c r="R110" i="14"/>
  <c r="E111" i="14"/>
  <c r="G111" i="14"/>
  <c r="F128" i="14"/>
  <c r="J128" i="14"/>
  <c r="J133" i="14"/>
  <c r="N128" i="14"/>
  <c r="N133" i="14"/>
  <c r="R128" i="14"/>
  <c r="R133" i="14"/>
  <c r="E129" i="14"/>
  <c r="I129" i="14"/>
  <c r="M129" i="14"/>
  <c r="Q129" i="14"/>
  <c r="H130" i="14"/>
  <c r="L130" i="14"/>
  <c r="P130" i="14"/>
  <c r="E110" i="14"/>
  <c r="G110" i="14"/>
  <c r="K110" i="14"/>
  <c r="O110" i="14"/>
  <c r="S110" i="14"/>
  <c r="H111" i="14"/>
  <c r="J111" i="14"/>
  <c r="L111" i="14"/>
  <c r="N111" i="14"/>
  <c r="P111" i="14"/>
  <c r="R111" i="14"/>
  <c r="E112" i="14"/>
  <c r="G112" i="14"/>
  <c r="I112" i="14"/>
  <c r="I115" i="14"/>
  <c r="K112" i="14"/>
  <c r="M112" i="14"/>
  <c r="O112" i="14"/>
  <c r="Q112" i="14"/>
  <c r="Q115" i="14"/>
  <c r="S112" i="14"/>
  <c r="F56" i="14"/>
  <c r="H56" i="14"/>
  <c r="J56" i="14"/>
  <c r="L56" i="14"/>
  <c r="N56" i="14"/>
  <c r="P56" i="14"/>
  <c r="R56" i="14"/>
  <c r="E57" i="14"/>
  <c r="G57" i="14"/>
  <c r="I57" i="14"/>
  <c r="K57" i="14"/>
  <c r="M57" i="14"/>
  <c r="O57" i="14"/>
  <c r="Q57" i="14"/>
  <c r="S57" i="14"/>
  <c r="F58" i="14"/>
  <c r="H58" i="14"/>
  <c r="H61" i="14"/>
  <c r="J58" i="14"/>
  <c r="L58" i="14"/>
  <c r="N58" i="14"/>
  <c r="P58" i="14"/>
  <c r="P61" i="14"/>
  <c r="R58" i="14"/>
  <c r="S59" i="14"/>
  <c r="Q59" i="14"/>
  <c r="O59" i="14"/>
  <c r="M59" i="14"/>
  <c r="K59" i="14"/>
  <c r="I59" i="14"/>
  <c r="G59" i="14"/>
  <c r="F113" i="14"/>
  <c r="H113" i="14"/>
  <c r="J113" i="14"/>
  <c r="L113" i="14"/>
  <c r="N113" i="14"/>
  <c r="P113" i="14"/>
  <c r="R113" i="14"/>
  <c r="E113" i="14"/>
  <c r="R59" i="14"/>
  <c r="P59" i="14"/>
  <c r="N59" i="14"/>
  <c r="L59" i="14"/>
  <c r="J59" i="14"/>
  <c r="H59" i="14"/>
  <c r="F59" i="14"/>
  <c r="E74" i="12"/>
  <c r="E66" i="12"/>
  <c r="E62" i="12"/>
  <c r="E42" i="12"/>
  <c r="E34" i="12"/>
  <c r="E30" i="12"/>
  <c r="E10" i="12"/>
  <c r="E339" i="12"/>
  <c r="E335" i="12"/>
  <c r="E315" i="12"/>
  <c r="E307" i="12"/>
  <c r="E303" i="12"/>
  <c r="E283" i="12"/>
  <c r="E275" i="12"/>
  <c r="E271" i="12"/>
  <c r="E251" i="12"/>
  <c r="E243" i="12"/>
  <c r="E239" i="12"/>
  <c r="E219" i="12"/>
  <c r="E211" i="12"/>
  <c r="E207" i="12"/>
  <c r="E187" i="12"/>
  <c r="E179" i="12"/>
  <c r="E175" i="12"/>
  <c r="E155" i="12"/>
  <c r="E147" i="12"/>
  <c r="E143" i="12"/>
  <c r="E123" i="12"/>
  <c r="E115" i="12"/>
  <c r="E111" i="12"/>
  <c r="E87" i="12"/>
  <c r="E79" i="12"/>
  <c r="E59" i="12"/>
  <c r="E51" i="12"/>
  <c r="E23" i="12"/>
  <c r="P95" i="12"/>
  <c r="Q95" i="12"/>
  <c r="P63" i="12"/>
  <c r="Q63" i="12"/>
  <c r="P31" i="12"/>
  <c r="Q31" i="12"/>
  <c r="E103" i="14"/>
  <c r="E106" i="14"/>
  <c r="H103" i="14"/>
  <c r="H106" i="14"/>
  <c r="S103" i="14"/>
  <c r="S106" i="14"/>
  <c r="K103" i="14"/>
  <c r="K106" i="14"/>
  <c r="F70" i="14"/>
  <c r="N70" i="14"/>
  <c r="E61" i="14"/>
  <c r="D78" i="14"/>
  <c r="D89" i="14"/>
  <c r="M115" i="14"/>
  <c r="H133" i="14"/>
  <c r="M92" i="14"/>
  <c r="E92" i="14"/>
  <c r="D92" i="14"/>
  <c r="O95" i="14"/>
  <c r="G95" i="14"/>
  <c r="N81" i="14"/>
  <c r="F81" i="14"/>
  <c r="I70" i="14"/>
  <c r="I37" i="10"/>
  <c r="I91" i="10"/>
  <c r="M91" i="10"/>
  <c r="I38" i="10"/>
  <c r="I92" i="10"/>
  <c r="G71" i="14"/>
  <c r="K71" i="14"/>
  <c r="O71" i="14"/>
  <c r="S71" i="14"/>
  <c r="F82" i="14"/>
  <c r="J82" i="14"/>
  <c r="N82" i="14"/>
  <c r="R82" i="14"/>
  <c r="F93" i="14"/>
  <c r="J93" i="14"/>
  <c r="N93" i="14"/>
  <c r="R93" i="14"/>
  <c r="I34" i="10"/>
  <c r="I88" i="10"/>
  <c r="M88" i="10"/>
  <c r="G68" i="14"/>
  <c r="D68" i="14"/>
  <c r="O68" i="14"/>
  <c r="H79" i="14"/>
  <c r="L79" i="14"/>
  <c r="P79" i="14"/>
  <c r="E90" i="14"/>
  <c r="I90" i="14"/>
  <c r="M90" i="14"/>
  <c r="Q90" i="14"/>
  <c r="E137" i="14"/>
  <c r="G137" i="14"/>
  <c r="I137" i="14"/>
  <c r="K137" i="14"/>
  <c r="K142" i="14"/>
  <c r="M137" i="14"/>
  <c r="O137" i="14"/>
  <c r="Q137" i="14"/>
  <c r="S137" i="14"/>
  <c r="S142" i="14"/>
  <c r="F138" i="14"/>
  <c r="H138" i="14"/>
  <c r="J138" i="14"/>
  <c r="L138" i="14"/>
  <c r="N138" i="14"/>
  <c r="P138" i="14"/>
  <c r="R138" i="14"/>
  <c r="E139" i="14"/>
  <c r="G139" i="14"/>
  <c r="I139" i="14"/>
  <c r="K139" i="14"/>
  <c r="M139" i="14"/>
  <c r="O139" i="14"/>
  <c r="Q139" i="14"/>
  <c r="S139" i="14"/>
  <c r="F119" i="14"/>
  <c r="H119" i="14"/>
  <c r="J119" i="14"/>
  <c r="L119" i="14"/>
  <c r="N119" i="14"/>
  <c r="P119" i="14"/>
  <c r="R119" i="14"/>
  <c r="E120" i="14"/>
  <c r="G120" i="14"/>
  <c r="I120" i="14"/>
  <c r="K120" i="14"/>
  <c r="M120" i="14"/>
  <c r="O120" i="14"/>
  <c r="Q120" i="14"/>
  <c r="S120" i="14"/>
  <c r="F121" i="14"/>
  <c r="H121" i="14"/>
  <c r="J121" i="14"/>
  <c r="L121" i="14"/>
  <c r="N121" i="14"/>
  <c r="N124" i="14"/>
  <c r="P121" i="14"/>
  <c r="R121" i="14"/>
  <c r="I30" i="10"/>
  <c r="K30" i="10"/>
  <c r="K84" i="10"/>
  <c r="J31" i="10"/>
  <c r="J85" i="10"/>
  <c r="F65" i="14"/>
  <c r="F73" i="14"/>
  <c r="H65" i="14"/>
  <c r="H73" i="14"/>
  <c r="J65" i="14"/>
  <c r="J73" i="14"/>
  <c r="L65" i="14"/>
  <c r="L73" i="14"/>
  <c r="N65" i="14"/>
  <c r="P65" i="14"/>
  <c r="P73" i="14"/>
  <c r="R65" i="14"/>
  <c r="F76" i="14"/>
  <c r="H76" i="14"/>
  <c r="I76" i="14"/>
  <c r="I84" i="14"/>
  <c r="K76" i="14"/>
  <c r="N76" i="14"/>
  <c r="N84" i="14"/>
  <c r="P76" i="14"/>
  <c r="Q76" i="14"/>
  <c r="Q84" i="14"/>
  <c r="S76" i="14"/>
  <c r="F87" i="14"/>
  <c r="H87" i="14"/>
  <c r="J87" i="14"/>
  <c r="J95" i="14"/>
  <c r="L87" i="14"/>
  <c r="N87" i="14"/>
  <c r="N95" i="14"/>
  <c r="P87" i="14"/>
  <c r="R87" i="14"/>
  <c r="R95" i="14"/>
  <c r="D145" i="14"/>
  <c r="G281" i="5"/>
  <c r="G265" i="5"/>
  <c r="M8" i="2"/>
  <c r="I255" i="12"/>
  <c r="K255" i="12"/>
  <c r="I285" i="12"/>
  <c r="L285" i="12"/>
  <c r="I269" i="12"/>
  <c r="G255" i="5"/>
  <c r="I253" i="12"/>
  <c r="L253" i="12"/>
  <c r="I221" i="12"/>
  <c r="K221" i="12"/>
  <c r="I189" i="12"/>
  <c r="K189" i="12"/>
  <c r="E211" i="5"/>
  <c r="E195" i="5"/>
  <c r="E187" i="5"/>
  <c r="E163" i="5"/>
  <c r="E155" i="5"/>
  <c r="E147" i="5"/>
  <c r="E88" i="5"/>
  <c r="AD11" i="1"/>
  <c r="E11" i="2"/>
  <c r="E13" i="5"/>
  <c r="M94" i="2"/>
  <c r="F95" i="14"/>
  <c r="F84" i="14"/>
  <c r="I84" i="10"/>
  <c r="F124" i="14"/>
  <c r="D110" i="14"/>
  <c r="E115" i="14"/>
  <c r="L86" i="10"/>
  <c r="E133" i="14"/>
  <c r="D128" i="14"/>
  <c r="I15" i="10"/>
  <c r="M15" i="10"/>
  <c r="D88" i="14"/>
  <c r="D77" i="14"/>
  <c r="Q61" i="14"/>
  <c r="M61" i="14"/>
  <c r="I61" i="14"/>
  <c r="D57" i="14"/>
  <c r="J13" i="10"/>
  <c r="J18" i="10"/>
  <c r="S115" i="14"/>
  <c r="K115" i="14"/>
  <c r="R115" i="14"/>
  <c r="N115" i="14"/>
  <c r="J115" i="14"/>
  <c r="F115" i="14"/>
  <c r="D130" i="14"/>
  <c r="K15" i="10"/>
  <c r="D59" i="14"/>
  <c r="L13" i="10"/>
  <c r="L18" i="10"/>
  <c r="D70" i="14"/>
  <c r="S84" i="14"/>
  <c r="K84" i="14"/>
  <c r="H84" i="14"/>
  <c r="N73" i="14"/>
  <c r="D103" i="14"/>
  <c r="D113" i="14"/>
  <c r="L14" i="10"/>
  <c r="L102" i="10"/>
  <c r="L104" i="10"/>
  <c r="S61" i="14"/>
  <c r="O61" i="14"/>
  <c r="K61" i="14"/>
  <c r="G61" i="14"/>
  <c r="R61" i="14"/>
  <c r="N61" i="14"/>
  <c r="J61" i="14"/>
  <c r="F61" i="14"/>
  <c r="D112" i="14"/>
  <c r="K14" i="10"/>
  <c r="O115" i="14"/>
  <c r="G115" i="14"/>
  <c r="D129" i="14"/>
  <c r="J15" i="10"/>
  <c r="D111" i="14"/>
  <c r="J14" i="10"/>
  <c r="P115" i="14"/>
  <c r="L115" i="14"/>
  <c r="H115" i="14"/>
  <c r="Q133" i="14"/>
  <c r="M133" i="14"/>
  <c r="I133" i="14"/>
  <c r="D99" i="14"/>
  <c r="D66" i="14"/>
  <c r="D102" i="14"/>
  <c r="D56" i="14"/>
  <c r="I13" i="10"/>
  <c r="D81" i="14"/>
  <c r="D133" i="14"/>
  <c r="I14" i="10"/>
  <c r="M14" i="10"/>
  <c r="D115" i="14"/>
  <c r="D106" i="14"/>
  <c r="L39" i="10"/>
  <c r="L43" i="10"/>
  <c r="L60" i="10"/>
  <c r="L63" i="10"/>
  <c r="M86" i="10"/>
  <c r="E285" i="5"/>
  <c r="E277" i="5"/>
  <c r="J157" i="12"/>
  <c r="J141" i="12"/>
  <c r="J125" i="12"/>
  <c r="J109" i="12"/>
  <c r="J93" i="12"/>
  <c r="J77" i="12"/>
  <c r="J61" i="12"/>
  <c r="J45" i="12"/>
  <c r="J29" i="12"/>
  <c r="J9" i="12"/>
  <c r="M165" i="2"/>
  <c r="I165" i="12"/>
  <c r="K165" i="12"/>
  <c r="M157" i="2"/>
  <c r="Q157" i="2"/>
  <c r="M141" i="2"/>
  <c r="G143" i="5"/>
  <c r="M133" i="2"/>
  <c r="Q133" i="2"/>
  <c r="M125" i="2"/>
  <c r="G127" i="5"/>
  <c r="M117" i="2"/>
  <c r="Q117" i="2"/>
  <c r="M109" i="2"/>
  <c r="M101" i="2"/>
  <c r="G103" i="5"/>
  <c r="M93" i="2"/>
  <c r="M85" i="2"/>
  <c r="M77" i="2"/>
  <c r="M69" i="2"/>
  <c r="Q69" i="2"/>
  <c r="M61" i="2"/>
  <c r="G63" i="5"/>
  <c r="M53" i="2"/>
  <c r="Q53" i="2"/>
  <c r="M45" i="2"/>
  <c r="I45" i="12"/>
  <c r="K45" i="12"/>
  <c r="M37" i="2"/>
  <c r="G39" i="5"/>
  <c r="P206" i="12"/>
  <c r="Q206" i="12"/>
  <c r="P270" i="12"/>
  <c r="Q270" i="12"/>
  <c r="P334" i="12"/>
  <c r="Q334" i="12"/>
  <c r="G239" i="5"/>
  <c r="I300" i="12"/>
  <c r="G297" i="5"/>
  <c r="G283" i="5"/>
  <c r="I281" i="12"/>
  <c r="K281" i="12"/>
  <c r="P21" i="12"/>
  <c r="Q21" i="12"/>
  <c r="G219" i="5"/>
  <c r="Q261" i="2"/>
  <c r="I261" i="12"/>
  <c r="L261" i="12"/>
  <c r="G263" i="5"/>
  <c r="P288" i="12"/>
  <c r="Q288" i="12"/>
  <c r="G163" i="5"/>
  <c r="G99" i="5"/>
  <c r="P174" i="12"/>
  <c r="Q174" i="12"/>
  <c r="P78" i="12"/>
  <c r="Q78" i="12"/>
  <c r="P66" i="12"/>
  <c r="Q66" i="12"/>
  <c r="P62" i="12"/>
  <c r="Q62" i="12"/>
  <c r="P58" i="12"/>
  <c r="Q58" i="12"/>
  <c r="P50" i="12"/>
  <c r="Q50" i="12"/>
  <c r="P46" i="12"/>
  <c r="Q46" i="12"/>
  <c r="P42" i="12"/>
  <c r="Q42" i="12"/>
  <c r="P335" i="12"/>
  <c r="Q335" i="12"/>
  <c r="P271" i="12"/>
  <c r="Q271" i="12"/>
  <c r="U6" i="11"/>
  <c r="P302" i="12"/>
  <c r="Q302" i="12"/>
  <c r="P238" i="12"/>
  <c r="Q238" i="12"/>
  <c r="P110" i="12"/>
  <c r="Q110" i="12"/>
  <c r="P30" i="12"/>
  <c r="Q30" i="12"/>
  <c r="P303" i="12"/>
  <c r="Q303" i="12"/>
  <c r="P239" i="12"/>
  <c r="Q239" i="12"/>
  <c r="G275" i="5"/>
  <c r="I145" i="12"/>
  <c r="K145" i="12"/>
  <c r="G147" i="5"/>
  <c r="G293" i="5"/>
  <c r="M89" i="10"/>
  <c r="P79" i="12"/>
  <c r="Q79" i="12"/>
  <c r="L108" i="10"/>
  <c r="P207" i="12"/>
  <c r="Q207" i="12"/>
  <c r="P175" i="12"/>
  <c r="Q175" i="12"/>
  <c r="P143" i="12"/>
  <c r="Q143" i="12"/>
  <c r="L93" i="14"/>
  <c r="P91" i="14"/>
  <c r="P95" i="14"/>
  <c r="H91" i="14"/>
  <c r="Q87" i="14"/>
  <c r="Q95" i="14"/>
  <c r="M87" i="14"/>
  <c r="M95" i="14"/>
  <c r="I87" i="14"/>
  <c r="I95" i="14"/>
  <c r="E87" i="14"/>
  <c r="L82" i="14"/>
  <c r="R80" i="14"/>
  <c r="J80" i="14"/>
  <c r="D80" i="14"/>
  <c r="R76" i="14"/>
  <c r="M76" i="14"/>
  <c r="M84" i="14"/>
  <c r="J76" i="14"/>
  <c r="E76" i="14"/>
  <c r="M71" i="14"/>
  <c r="M73" i="14"/>
  <c r="M147" i="14"/>
  <c r="E71" i="14"/>
  <c r="R69" i="14"/>
  <c r="D69" i="14"/>
  <c r="S65" i="14"/>
  <c r="S73" i="14"/>
  <c r="O65" i="14"/>
  <c r="O73" i="14"/>
  <c r="K65" i="14"/>
  <c r="K73" i="14"/>
  <c r="G65" i="14"/>
  <c r="K31" i="10"/>
  <c r="K85" i="10"/>
  <c r="I31" i="10"/>
  <c r="I85" i="10"/>
  <c r="M85" i="10"/>
  <c r="J30" i="10"/>
  <c r="Q121" i="14"/>
  <c r="M121" i="14"/>
  <c r="M124" i="14"/>
  <c r="I121" i="14"/>
  <c r="E121" i="14"/>
  <c r="P120" i="14"/>
  <c r="P124" i="14"/>
  <c r="L120" i="14"/>
  <c r="L124" i="14"/>
  <c r="H120" i="14"/>
  <c r="S119" i="14"/>
  <c r="O119" i="14"/>
  <c r="O124" i="14"/>
  <c r="K119" i="14"/>
  <c r="G119" i="14"/>
  <c r="R139" i="14"/>
  <c r="R142" i="14"/>
  <c r="N139" i="14"/>
  <c r="J139" i="14"/>
  <c r="J142" i="14"/>
  <c r="F139" i="14"/>
  <c r="Q138" i="14"/>
  <c r="Q142" i="14"/>
  <c r="M138" i="14"/>
  <c r="M142" i="14"/>
  <c r="I138" i="14"/>
  <c r="I142" i="14"/>
  <c r="E138" i="14"/>
  <c r="P137" i="14"/>
  <c r="L137" i="14"/>
  <c r="L142" i="14"/>
  <c r="H137" i="14"/>
  <c r="F7" i="8"/>
  <c r="L93" i="10"/>
  <c r="G270" i="5"/>
  <c r="G84" i="5"/>
  <c r="G64" i="5"/>
  <c r="Q58" i="2"/>
  <c r="Q46" i="2"/>
  <c r="I42" i="12"/>
  <c r="K42" i="12"/>
  <c r="G40" i="5"/>
  <c r="G32" i="5"/>
  <c r="G241" i="5"/>
  <c r="I18" i="10"/>
  <c r="M90" i="10"/>
  <c r="G282" i="5"/>
  <c r="G278" i="5"/>
  <c r="G262" i="5"/>
  <c r="Q90" i="2"/>
  <c r="Q78" i="2"/>
  <c r="I78" i="12"/>
  <c r="I74" i="12"/>
  <c r="L74" i="12"/>
  <c r="Q70" i="2"/>
  <c r="G72" i="5"/>
  <c r="G68" i="5"/>
  <c r="G52" i="5"/>
  <c r="Q50" i="2"/>
  <c r="Q26" i="2"/>
  <c r="I259" i="12"/>
  <c r="G261" i="5"/>
  <c r="Q259" i="2"/>
  <c r="P13" i="12"/>
  <c r="Q13" i="12"/>
  <c r="E13" i="12"/>
  <c r="V6" i="11"/>
  <c r="J13" i="12"/>
  <c r="G119" i="5"/>
  <c r="Q149" i="2"/>
  <c r="G151" i="5"/>
  <c r="I149" i="12"/>
  <c r="L149" i="12"/>
  <c r="G167" i="5"/>
  <c r="Q93" i="2"/>
  <c r="K261" i="12"/>
  <c r="E124" i="14"/>
  <c r="J84" i="10"/>
  <c r="M84" i="10"/>
  <c r="E73" i="14"/>
  <c r="E84" i="14"/>
  <c r="L84" i="14"/>
  <c r="E142" i="14"/>
  <c r="F142" i="14"/>
  <c r="G124" i="14"/>
  <c r="H124" i="14"/>
  <c r="G73" i="14"/>
  <c r="E95" i="14"/>
  <c r="D87" i="14"/>
  <c r="D91" i="14"/>
  <c r="L95" i="14"/>
  <c r="L110" i="10"/>
  <c r="L94" i="10"/>
  <c r="L98" i="10"/>
  <c r="R73" i="14"/>
  <c r="M29" i="2"/>
  <c r="G31" i="5"/>
  <c r="E147" i="14"/>
  <c r="M13" i="2"/>
  <c r="I252" i="12"/>
  <c r="D58" i="14"/>
  <c r="F133" i="14"/>
  <c r="F147" i="14"/>
  <c r="S133" i="14"/>
  <c r="G210" i="5"/>
  <c r="I32" i="12"/>
  <c r="K32" i="12"/>
  <c r="G18" i="5"/>
  <c r="L61" i="14"/>
  <c r="L147" i="14"/>
  <c r="G202" i="5"/>
  <c r="H93" i="14"/>
  <c r="S90" i="14"/>
  <c r="S95" i="14"/>
  <c r="K90" i="14"/>
  <c r="P82" i="14"/>
  <c r="R79" i="14"/>
  <c r="R84" i="14"/>
  <c r="J79" i="14"/>
  <c r="O76" i="14"/>
  <c r="O84" i="14"/>
  <c r="G76" i="14"/>
  <c r="I71" i="14"/>
  <c r="D71" i="14"/>
  <c r="Q65" i="14"/>
  <c r="Q73" i="14"/>
  <c r="Q147" i="14"/>
  <c r="I65" i="14"/>
  <c r="K38" i="10"/>
  <c r="S121" i="14"/>
  <c r="S124" i="14"/>
  <c r="K121" i="14"/>
  <c r="D121" i="14"/>
  <c r="K40" i="10"/>
  <c r="K102" i="10"/>
  <c r="R120" i="14"/>
  <c r="R124" i="14"/>
  <c r="J120" i="14"/>
  <c r="D120" i="14"/>
  <c r="J40" i="10"/>
  <c r="J102" i="10"/>
  <c r="Q119" i="14"/>
  <c r="Q124" i="14"/>
  <c r="I119" i="14"/>
  <c r="P139" i="14"/>
  <c r="P142" i="14"/>
  <c r="H139" i="14"/>
  <c r="O138" i="14"/>
  <c r="O142" i="14"/>
  <c r="G138" i="14"/>
  <c r="D138" i="14"/>
  <c r="J41" i="10"/>
  <c r="J108" i="10"/>
  <c r="N137" i="14"/>
  <c r="S147" i="14"/>
  <c r="R147" i="14"/>
  <c r="W6" i="11"/>
  <c r="N142" i="14"/>
  <c r="N147" i="14"/>
  <c r="D137" i="14"/>
  <c r="I73" i="14"/>
  <c r="D65" i="14"/>
  <c r="D73" i="14"/>
  <c r="I39" i="10"/>
  <c r="O147" i="14"/>
  <c r="D90" i="14"/>
  <c r="K95" i="14"/>
  <c r="H95" i="14"/>
  <c r="D93" i="14"/>
  <c r="K13" i="10"/>
  <c r="D61" i="14"/>
  <c r="G142" i="14"/>
  <c r="J94" i="10"/>
  <c r="J110" i="10"/>
  <c r="H142" i="14"/>
  <c r="D139" i="14"/>
  <c r="K41" i="10"/>
  <c r="K108" i="10"/>
  <c r="I124" i="14"/>
  <c r="D119" i="14"/>
  <c r="J104" i="10"/>
  <c r="J93" i="10"/>
  <c r="K104" i="10"/>
  <c r="K93" i="10"/>
  <c r="K92" i="10"/>
  <c r="G84" i="14"/>
  <c r="G147" i="14"/>
  <c r="D76" i="14"/>
  <c r="D79" i="14"/>
  <c r="J84" i="14"/>
  <c r="J147" i="14"/>
  <c r="P84" i="14"/>
  <c r="P147" i="14"/>
  <c r="D82" i="14"/>
  <c r="L32" i="12"/>
  <c r="J124" i="14"/>
  <c r="K124" i="14"/>
  <c r="M92" i="10"/>
  <c r="K18" i="10"/>
  <c r="M13" i="10"/>
  <c r="H147" i="14"/>
  <c r="D95" i="14"/>
  <c r="K39" i="10"/>
  <c r="K43" i="10"/>
  <c r="K60" i="10"/>
  <c r="K63" i="10"/>
  <c r="M39" i="10"/>
  <c r="D142" i="14"/>
  <c r="I41" i="10"/>
  <c r="D84" i="14"/>
  <c r="J39" i="10"/>
  <c r="J43" i="10"/>
  <c r="J60" i="10"/>
  <c r="J63" i="10"/>
  <c r="D124" i="14"/>
  <c r="D147" i="14"/>
  <c r="I40" i="10"/>
  <c r="K94" i="10"/>
  <c r="K98" i="10"/>
  <c r="K110" i="10"/>
  <c r="K147" i="14"/>
  <c r="I147" i="14"/>
  <c r="M40" i="10"/>
  <c r="I102" i="10"/>
  <c r="M41" i="10"/>
  <c r="I108" i="10"/>
  <c r="I43" i="10"/>
  <c r="I60" i="10"/>
  <c r="I110" i="10"/>
  <c r="I94" i="10"/>
  <c r="M94" i="10"/>
  <c r="M108" i="10"/>
  <c r="M102" i="10"/>
  <c r="I104" i="10"/>
  <c r="I93" i="10"/>
  <c r="I63" i="10"/>
  <c r="M60" i="10"/>
  <c r="M93" i="10"/>
  <c r="E15" i="7"/>
  <c r="M127" i="10"/>
  <c r="F76" i="7"/>
  <c r="E78" i="7"/>
  <c r="E22" i="7"/>
  <c r="E23" i="7"/>
  <c r="F128" i="7"/>
  <c r="K253" i="12"/>
  <c r="Q335" i="2"/>
  <c r="I301" i="12"/>
  <c r="K301" i="12"/>
  <c r="I192" i="12"/>
  <c r="I136" i="12"/>
  <c r="I68" i="12"/>
  <c r="K68" i="12"/>
  <c r="Q292" i="2"/>
  <c r="Q92" i="2"/>
  <c r="G86" i="5"/>
  <c r="I80" i="12"/>
  <c r="L80" i="12"/>
  <c r="G74" i="5"/>
  <c r="I24" i="12"/>
  <c r="L24" i="12"/>
  <c r="G321" i="5"/>
  <c r="Q272" i="2"/>
  <c r="G274" i="5"/>
  <c r="Q244" i="2"/>
  <c r="Q132" i="2"/>
  <c r="G134" i="5"/>
  <c r="Q64" i="2"/>
  <c r="Q60" i="2"/>
  <c r="G62" i="5"/>
  <c r="G54" i="5"/>
  <c r="Q48" i="2"/>
  <c r="Q44" i="2"/>
  <c r="Q40" i="2"/>
  <c r="I337" i="12"/>
  <c r="L337" i="12"/>
  <c r="I325" i="12"/>
  <c r="I153" i="12"/>
  <c r="K153" i="12"/>
  <c r="Q153" i="2"/>
  <c r="I89" i="12"/>
  <c r="K89" i="12"/>
  <c r="Q89" i="2"/>
  <c r="I57" i="12"/>
  <c r="L57" i="12"/>
  <c r="Q57" i="2"/>
  <c r="Q9" i="2"/>
  <c r="I9" i="12"/>
  <c r="Q21" i="2"/>
  <c r="G23" i="5"/>
  <c r="Q297" i="2"/>
  <c r="Q212" i="2"/>
  <c r="I124" i="12"/>
  <c r="L124" i="12"/>
  <c r="AD234" i="1"/>
  <c r="E234" i="2"/>
  <c r="E236" i="5"/>
  <c r="G6" i="2"/>
  <c r="Q216" i="2"/>
  <c r="Q156" i="2"/>
  <c r="Q112" i="2"/>
  <c r="AA8" i="1"/>
  <c r="D8" i="2"/>
  <c r="AA344" i="1"/>
  <c r="D344" i="2"/>
  <c r="AA343" i="1"/>
  <c r="D343" i="2"/>
  <c r="AA331" i="1"/>
  <c r="D331" i="2"/>
  <c r="D333" i="5"/>
  <c r="AA315" i="1"/>
  <c r="D315" i="2"/>
  <c r="D315" i="12"/>
  <c r="AA328" i="1"/>
  <c r="D328" i="2"/>
  <c r="AA309" i="1"/>
  <c r="D309" i="2"/>
  <c r="AA307" i="1"/>
  <c r="D307" i="2"/>
  <c r="O307" i="2"/>
  <c r="AA305" i="1"/>
  <c r="D305" i="2"/>
  <c r="AA303" i="1"/>
  <c r="D303" i="2"/>
  <c r="D303" i="12"/>
  <c r="F303" i="12"/>
  <c r="AA301" i="1"/>
  <c r="D301" i="2"/>
  <c r="AA299" i="1"/>
  <c r="D299" i="2"/>
  <c r="AA297" i="1"/>
  <c r="D297" i="2"/>
  <c r="D299" i="5"/>
  <c r="AA295" i="1"/>
  <c r="D295" i="2"/>
  <c r="D297" i="5"/>
  <c r="F297" i="5"/>
  <c r="H297" i="5"/>
  <c r="AA293" i="1"/>
  <c r="D293" i="2"/>
  <c r="D295" i="5"/>
  <c r="AA291" i="1"/>
  <c r="D291" i="2"/>
  <c r="D293" i="5"/>
  <c r="AA289" i="1"/>
  <c r="D289" i="2"/>
  <c r="AA281" i="1"/>
  <c r="D281" i="2"/>
  <c r="AA273" i="1"/>
  <c r="D273" i="2"/>
  <c r="D273" i="12"/>
  <c r="F273" i="12"/>
  <c r="AA265" i="1"/>
  <c r="D265" i="2"/>
  <c r="D267" i="5"/>
  <c r="F267" i="5"/>
  <c r="H267" i="5"/>
  <c r="AA257" i="1"/>
  <c r="D257" i="2"/>
  <c r="AA253" i="1"/>
  <c r="D253" i="2"/>
  <c r="AA249" i="1"/>
  <c r="D249" i="2"/>
  <c r="AA245" i="1"/>
  <c r="D245" i="2"/>
  <c r="O245" i="2"/>
  <c r="AA241" i="1"/>
  <c r="D241" i="2"/>
  <c r="AA237" i="1"/>
  <c r="D237" i="2"/>
  <c r="AA233" i="1"/>
  <c r="D233" i="2"/>
  <c r="D235" i="5"/>
  <c r="F235" i="5"/>
  <c r="H235" i="5"/>
  <c r="AA229" i="1"/>
  <c r="D229" i="2"/>
  <c r="AA225" i="1"/>
  <c r="D225" i="2"/>
  <c r="AA221" i="1"/>
  <c r="D221" i="2"/>
  <c r="AA217" i="1"/>
  <c r="D217" i="2"/>
  <c r="AA213" i="1"/>
  <c r="D213" i="2"/>
  <c r="D213" i="12"/>
  <c r="AA209" i="1"/>
  <c r="D209" i="2"/>
  <c r="AA205" i="1"/>
  <c r="D205" i="2"/>
  <c r="D207" i="5"/>
  <c r="F207" i="5"/>
  <c r="AA201" i="1"/>
  <c r="D201" i="2"/>
  <c r="D203" i="5"/>
  <c r="F203" i="5"/>
  <c r="AA197" i="1"/>
  <c r="D197" i="2"/>
  <c r="D197" i="12"/>
  <c r="AA193" i="1"/>
  <c r="D193" i="2"/>
  <c r="AA189" i="1"/>
  <c r="D189" i="2"/>
  <c r="P189" i="2"/>
  <c r="AA185" i="1"/>
  <c r="D185" i="2"/>
  <c r="P185" i="2"/>
  <c r="AA181" i="1"/>
  <c r="D181" i="2"/>
  <c r="D181" i="12"/>
  <c r="F181" i="12"/>
  <c r="AA177" i="1"/>
  <c r="D177" i="2"/>
  <c r="AA173" i="1"/>
  <c r="D173" i="2"/>
  <c r="D175" i="5"/>
  <c r="F175" i="5"/>
  <c r="AA169" i="1"/>
  <c r="D169" i="2"/>
  <c r="D169" i="12"/>
  <c r="G169" i="12"/>
  <c r="AA167" i="1"/>
  <c r="D167" i="2"/>
  <c r="D169" i="5"/>
  <c r="F169" i="5"/>
  <c r="AA165" i="1"/>
  <c r="D165" i="2"/>
  <c r="O165" i="2"/>
  <c r="AA163" i="1"/>
  <c r="D163" i="2"/>
  <c r="AA161" i="1"/>
  <c r="D161" i="2"/>
  <c r="AA159" i="1"/>
  <c r="D159" i="2"/>
  <c r="D161" i="5"/>
  <c r="F161" i="5"/>
  <c r="AA157" i="1"/>
  <c r="D157" i="2"/>
  <c r="AA155" i="1"/>
  <c r="D155" i="2"/>
  <c r="P155" i="2"/>
  <c r="AA153" i="1"/>
  <c r="D153" i="2"/>
  <c r="AA151" i="1"/>
  <c r="D151" i="2"/>
  <c r="AA149" i="1"/>
  <c r="D149" i="2"/>
  <c r="AA147" i="1"/>
  <c r="D147" i="2"/>
  <c r="P147" i="2"/>
  <c r="AA145" i="1"/>
  <c r="D145" i="2"/>
  <c r="AA143" i="1"/>
  <c r="D143" i="2"/>
  <c r="AA141" i="1"/>
  <c r="D141" i="2"/>
  <c r="AA139" i="1"/>
  <c r="D139" i="2"/>
  <c r="D141" i="5"/>
  <c r="F141" i="5"/>
  <c r="AA137" i="1"/>
  <c r="D137" i="2"/>
  <c r="AA135" i="1"/>
  <c r="D135" i="2"/>
  <c r="D135" i="12"/>
  <c r="AA133" i="1"/>
  <c r="D133" i="2"/>
  <c r="AA131" i="1"/>
  <c r="D131" i="2"/>
  <c r="D131" i="12"/>
  <c r="F131" i="12"/>
  <c r="AA129" i="1"/>
  <c r="D129" i="2"/>
  <c r="AA127" i="1"/>
  <c r="D127" i="2"/>
  <c r="O127" i="2"/>
  <c r="AA125" i="1"/>
  <c r="D125" i="2"/>
  <c r="AA123" i="1"/>
  <c r="D123" i="2"/>
  <c r="AA121" i="1"/>
  <c r="D121" i="2"/>
  <c r="AA119" i="1"/>
  <c r="D119" i="2"/>
  <c r="AA117" i="1"/>
  <c r="D117" i="2"/>
  <c r="AA115" i="1"/>
  <c r="D115" i="2"/>
  <c r="D115" i="12"/>
  <c r="AA113" i="1"/>
  <c r="D113" i="2"/>
  <c r="AA111" i="1"/>
  <c r="D111" i="2"/>
  <c r="AA109" i="1"/>
  <c r="D109" i="2"/>
  <c r="AA107" i="1"/>
  <c r="D107" i="2"/>
  <c r="AA105" i="1"/>
  <c r="D105" i="2"/>
  <c r="AA103" i="1"/>
  <c r="D103" i="2"/>
  <c r="P103" i="2"/>
  <c r="AA101" i="1"/>
  <c r="D101" i="2"/>
  <c r="AA99" i="1"/>
  <c r="D99" i="2"/>
  <c r="D101" i="5"/>
  <c r="F101" i="5"/>
  <c r="AA97" i="1"/>
  <c r="D97" i="2"/>
  <c r="AA95" i="1"/>
  <c r="D95" i="2"/>
  <c r="D95" i="12"/>
  <c r="AA93" i="1"/>
  <c r="D93" i="2"/>
  <c r="AA91" i="1"/>
  <c r="D91" i="2"/>
  <c r="AA89" i="1"/>
  <c r="D89" i="2"/>
  <c r="AA87" i="1"/>
  <c r="D87" i="2"/>
  <c r="AA85" i="1"/>
  <c r="D85" i="2"/>
  <c r="AA83" i="1"/>
  <c r="D83" i="2"/>
  <c r="P83" i="2"/>
  <c r="AA81" i="1"/>
  <c r="D81" i="2"/>
  <c r="AA79" i="1"/>
  <c r="D79" i="2"/>
  <c r="AA77" i="1"/>
  <c r="D77" i="2"/>
  <c r="AA75" i="1"/>
  <c r="D75" i="2"/>
  <c r="D77" i="5"/>
  <c r="F77" i="5"/>
  <c r="AA73" i="1"/>
  <c r="D73" i="2"/>
  <c r="AA71" i="1"/>
  <c r="D71" i="2"/>
  <c r="P71" i="2"/>
  <c r="AA69" i="1"/>
  <c r="D69" i="2"/>
  <c r="AA67" i="1"/>
  <c r="D67" i="2"/>
  <c r="D69" i="5"/>
  <c r="F69" i="5"/>
  <c r="AA65" i="1"/>
  <c r="D65" i="2"/>
  <c r="AA63" i="1"/>
  <c r="D63" i="2"/>
  <c r="AA61" i="1"/>
  <c r="D61" i="2"/>
  <c r="AA59" i="1"/>
  <c r="D59" i="2"/>
  <c r="D59" i="12"/>
  <c r="AA57" i="1"/>
  <c r="D57" i="2"/>
  <c r="AA55" i="1"/>
  <c r="D55" i="2"/>
  <c r="AA53" i="1"/>
  <c r="D53" i="2"/>
  <c r="AA51" i="1"/>
  <c r="D51" i="2"/>
  <c r="D53" i="5"/>
  <c r="F53" i="5"/>
  <c r="AA49" i="1"/>
  <c r="D49" i="2"/>
  <c r="AA47" i="1"/>
  <c r="D47" i="2"/>
  <c r="D47" i="12"/>
  <c r="AA45" i="1"/>
  <c r="D45" i="2"/>
  <c r="AA43" i="1"/>
  <c r="D43" i="2"/>
  <c r="D45" i="5"/>
  <c r="F45" i="5"/>
  <c r="AA41" i="1"/>
  <c r="D41" i="2"/>
  <c r="AA39" i="1"/>
  <c r="D39" i="2"/>
  <c r="D41" i="5"/>
  <c r="AA37" i="1"/>
  <c r="D37" i="2"/>
  <c r="AA35" i="1"/>
  <c r="D35" i="2"/>
  <c r="O35" i="2"/>
  <c r="AA33" i="1"/>
  <c r="D33" i="2"/>
  <c r="AA31" i="1"/>
  <c r="D31" i="2"/>
  <c r="D31" i="12"/>
  <c r="G31" i="12"/>
  <c r="AA29" i="1"/>
  <c r="D29" i="2"/>
  <c r="AA27" i="1"/>
  <c r="D27" i="2"/>
  <c r="O27" i="2"/>
  <c r="AA25" i="1"/>
  <c r="D25" i="2"/>
  <c r="AA24" i="1"/>
  <c r="D24" i="2"/>
  <c r="AA21" i="1"/>
  <c r="D21" i="2"/>
  <c r="AA20" i="1"/>
  <c r="D20" i="2"/>
  <c r="D22" i="5"/>
  <c r="F22" i="5"/>
  <c r="AA18" i="1"/>
  <c r="D18" i="2"/>
  <c r="AA16" i="1"/>
  <c r="D16" i="2"/>
  <c r="P16" i="2"/>
  <c r="AA14" i="1"/>
  <c r="D14" i="2"/>
  <c r="AA11" i="1"/>
  <c r="D11" i="2"/>
  <c r="P11" i="2"/>
  <c r="AA10" i="1"/>
  <c r="D10" i="2"/>
  <c r="AA322" i="1"/>
  <c r="D322" i="2"/>
  <c r="AA318" i="1"/>
  <c r="D318" i="2"/>
  <c r="AA314" i="1"/>
  <c r="D314" i="2"/>
  <c r="AA310" i="1"/>
  <c r="D310" i="2"/>
  <c r="AA308" i="1"/>
  <c r="D308" i="2"/>
  <c r="O308" i="2"/>
  <c r="AA306" i="1"/>
  <c r="D306" i="2"/>
  <c r="AA304" i="1"/>
  <c r="D304" i="2"/>
  <c r="O304" i="2"/>
  <c r="AA302" i="1"/>
  <c r="D302" i="2"/>
  <c r="AA300" i="1"/>
  <c r="D300" i="2"/>
  <c r="O300" i="2"/>
  <c r="AA298" i="1"/>
  <c r="D298" i="2"/>
  <c r="AA296" i="1"/>
  <c r="D296" i="2"/>
  <c r="D298" i="5"/>
  <c r="AA294" i="1"/>
  <c r="D294" i="2"/>
  <c r="AA292" i="1"/>
  <c r="D292" i="2"/>
  <c r="D294" i="5"/>
  <c r="AA290" i="1"/>
  <c r="D290" i="2"/>
  <c r="AA286" i="1"/>
  <c r="D286" i="2"/>
  <c r="AA282" i="1"/>
  <c r="D282" i="2"/>
  <c r="AA278" i="1"/>
  <c r="D278" i="2"/>
  <c r="AA274" i="1"/>
  <c r="D274" i="2"/>
  <c r="AA270" i="1"/>
  <c r="D270" i="2"/>
  <c r="AA266" i="1"/>
  <c r="D266" i="2"/>
  <c r="AA262" i="1"/>
  <c r="D262" i="2"/>
  <c r="AA258" i="1"/>
  <c r="D258" i="2"/>
  <c r="AA254" i="1"/>
  <c r="D254" i="2"/>
  <c r="AA250" i="1"/>
  <c r="D250" i="2"/>
  <c r="AA246" i="1"/>
  <c r="D246" i="2"/>
  <c r="AA242" i="1"/>
  <c r="D242" i="2"/>
  <c r="AA238" i="1"/>
  <c r="D238" i="2"/>
  <c r="AA234" i="1"/>
  <c r="D234" i="2"/>
  <c r="AA230" i="1"/>
  <c r="D230" i="2"/>
  <c r="AA226" i="1"/>
  <c r="D226" i="2"/>
  <c r="AA222" i="1"/>
  <c r="D222" i="2"/>
  <c r="AA218" i="1"/>
  <c r="D218" i="2"/>
  <c r="AA214" i="1"/>
  <c r="D214" i="2"/>
  <c r="AA210" i="1"/>
  <c r="D210" i="2"/>
  <c r="AA206" i="1"/>
  <c r="D206" i="2"/>
  <c r="AA202" i="1"/>
  <c r="D202" i="2"/>
  <c r="AA198" i="1"/>
  <c r="D198" i="2"/>
  <c r="AA194" i="1"/>
  <c r="D194" i="2"/>
  <c r="AA190" i="1"/>
  <c r="D190" i="2"/>
  <c r="AA186" i="1"/>
  <c r="D186" i="2"/>
  <c r="AA182" i="1"/>
  <c r="D182" i="2"/>
  <c r="AA178" i="1"/>
  <c r="D178" i="2"/>
  <c r="D180" i="5"/>
  <c r="F180" i="5"/>
  <c r="AA174" i="1"/>
  <c r="D174" i="2"/>
  <c r="D176" i="5"/>
  <c r="F176" i="5"/>
  <c r="AA170" i="1"/>
  <c r="D170" i="2"/>
  <c r="D172" i="5"/>
  <c r="F172" i="5"/>
  <c r="AA168" i="1"/>
  <c r="D168" i="2"/>
  <c r="P168" i="2"/>
  <c r="AA166" i="1"/>
  <c r="D166" i="2"/>
  <c r="AA164" i="1"/>
  <c r="D164" i="2"/>
  <c r="D166" i="5"/>
  <c r="AA162" i="1"/>
  <c r="D162" i="2"/>
  <c r="AA160" i="1"/>
  <c r="D160" i="2"/>
  <c r="AA158" i="1"/>
  <c r="D158" i="2"/>
  <c r="AA156" i="1"/>
  <c r="D156" i="2"/>
  <c r="D156" i="12"/>
  <c r="AA154" i="1"/>
  <c r="D154" i="2"/>
  <c r="AA152" i="1"/>
  <c r="D152" i="2"/>
  <c r="D154" i="5"/>
  <c r="F154" i="5"/>
  <c r="AA150" i="1"/>
  <c r="D150" i="2"/>
  <c r="P150" i="2"/>
  <c r="AA148" i="1"/>
  <c r="D148" i="2"/>
  <c r="AA146" i="1"/>
  <c r="D146" i="2"/>
  <c r="D146" i="12"/>
  <c r="G146" i="12"/>
  <c r="AA144" i="1"/>
  <c r="D144" i="2"/>
  <c r="D146" i="5"/>
  <c r="F146" i="5"/>
  <c r="H146" i="5"/>
  <c r="AA142" i="1"/>
  <c r="D142" i="2"/>
  <c r="O142" i="2"/>
  <c r="AA140" i="1"/>
  <c r="D140" i="2"/>
  <c r="D142" i="5"/>
  <c r="F142" i="5"/>
  <c r="AA138" i="1"/>
  <c r="D138" i="2"/>
  <c r="D138" i="12"/>
  <c r="AA136" i="1"/>
  <c r="D136" i="2"/>
  <c r="D136" i="12"/>
  <c r="AA134" i="1"/>
  <c r="D134" i="2"/>
  <c r="AA132" i="1"/>
  <c r="D132" i="2"/>
  <c r="D132" i="12"/>
  <c r="G132" i="12"/>
  <c r="AA130" i="1"/>
  <c r="D130" i="2"/>
  <c r="D132" i="5"/>
  <c r="F132" i="5"/>
  <c r="AA128" i="1"/>
  <c r="D128" i="2"/>
  <c r="P128" i="2"/>
  <c r="AA126" i="1"/>
  <c r="D126" i="2"/>
  <c r="P126" i="2"/>
  <c r="AA124" i="1"/>
  <c r="D124" i="2"/>
  <c r="D126" i="5"/>
  <c r="F126" i="5"/>
  <c r="H126" i="5"/>
  <c r="AA122" i="1"/>
  <c r="D122" i="2"/>
  <c r="D122" i="12"/>
  <c r="F122" i="12"/>
  <c r="AA120" i="1"/>
  <c r="D120" i="2"/>
  <c r="D120" i="12"/>
  <c r="AA118" i="1"/>
  <c r="D118" i="2"/>
  <c r="O118" i="2"/>
  <c r="AA116" i="1"/>
  <c r="D116" i="2"/>
  <c r="AA114" i="1"/>
  <c r="D114" i="2"/>
  <c r="P114" i="2"/>
  <c r="AA112" i="1"/>
  <c r="D112" i="2"/>
  <c r="AA110" i="1"/>
  <c r="D110" i="2"/>
  <c r="D110" i="12"/>
  <c r="G110" i="12"/>
  <c r="AA108" i="1"/>
  <c r="D108" i="2"/>
  <c r="P108" i="2"/>
  <c r="AA106" i="1"/>
  <c r="D106" i="2"/>
  <c r="AA104" i="1"/>
  <c r="D104" i="2"/>
  <c r="AA102" i="1"/>
  <c r="D102" i="2"/>
  <c r="D104" i="5"/>
  <c r="F104" i="5"/>
  <c r="H104" i="5"/>
  <c r="AA100" i="1"/>
  <c r="D100" i="2"/>
  <c r="D102" i="5"/>
  <c r="F102" i="5"/>
  <c r="AA98" i="1"/>
  <c r="D98" i="2"/>
  <c r="P98" i="2"/>
  <c r="AA96" i="1"/>
  <c r="D96" i="2"/>
  <c r="D98" i="5"/>
  <c r="AA94" i="1"/>
  <c r="D94" i="2"/>
  <c r="D94" i="12"/>
  <c r="F94" i="12"/>
  <c r="AA92" i="1"/>
  <c r="D92" i="2"/>
  <c r="D94" i="5"/>
  <c r="F94" i="5"/>
  <c r="H94" i="5"/>
  <c r="AA90" i="1"/>
  <c r="D90" i="2"/>
  <c r="O90" i="2"/>
  <c r="AA88" i="1"/>
  <c r="D88" i="2"/>
  <c r="D88" i="12"/>
  <c r="F88" i="12"/>
  <c r="AA86" i="1"/>
  <c r="D86" i="2"/>
  <c r="O86" i="2"/>
  <c r="AA84" i="1"/>
  <c r="D84" i="2"/>
  <c r="P84" i="2"/>
  <c r="AA82" i="1"/>
  <c r="D82" i="2"/>
  <c r="P82" i="2"/>
  <c r="AA80" i="1"/>
  <c r="D80" i="2"/>
  <c r="P80" i="2"/>
  <c r="AA78" i="1"/>
  <c r="D78" i="2"/>
  <c r="D78" i="12"/>
  <c r="F78" i="12"/>
  <c r="AA76" i="1"/>
  <c r="D76" i="2"/>
  <c r="D78" i="5"/>
  <c r="F78" i="5"/>
  <c r="AA74" i="1"/>
  <c r="D74" i="2"/>
  <c r="D76" i="5"/>
  <c r="AA72" i="1"/>
  <c r="D72" i="2"/>
  <c r="AA70" i="1"/>
  <c r="D70" i="2"/>
  <c r="O70" i="2"/>
  <c r="AA68" i="1"/>
  <c r="D68" i="2"/>
  <c r="D70" i="5"/>
  <c r="F70" i="5"/>
  <c r="AA66" i="1"/>
  <c r="D66" i="2"/>
  <c r="P66" i="2"/>
  <c r="AA64" i="1"/>
  <c r="D64" i="2"/>
  <c r="AA62" i="1"/>
  <c r="D62" i="2"/>
  <c r="D64" i="5"/>
  <c r="AA60" i="1"/>
  <c r="D60" i="2"/>
  <c r="D62" i="5"/>
  <c r="F62" i="5"/>
  <c r="H62" i="5"/>
  <c r="AA58" i="1"/>
  <c r="D58" i="2"/>
  <c r="AA56" i="1"/>
  <c r="D56" i="2"/>
  <c r="AA54" i="1"/>
  <c r="D54" i="2"/>
  <c r="D54" i="12"/>
  <c r="AA52" i="1"/>
  <c r="D52" i="2"/>
  <c r="D54" i="5"/>
  <c r="F54" i="5"/>
  <c r="H54" i="5"/>
  <c r="AA50" i="1"/>
  <c r="D50" i="2"/>
  <c r="AA48" i="1"/>
  <c r="D48" i="2"/>
  <c r="P48" i="2"/>
  <c r="AA46" i="1"/>
  <c r="D46" i="2"/>
  <c r="P46" i="2"/>
  <c r="AA44" i="1"/>
  <c r="D44" i="2"/>
  <c r="D46" i="5"/>
  <c r="F46" i="5"/>
  <c r="H46" i="5"/>
  <c r="AA42" i="1"/>
  <c r="D42" i="2"/>
  <c r="D42" i="12"/>
  <c r="F42" i="12"/>
  <c r="AA40" i="1"/>
  <c r="D40" i="2"/>
  <c r="AA38" i="1"/>
  <c r="D38" i="2"/>
  <c r="P38" i="2"/>
  <c r="AA36" i="1"/>
  <c r="D36" i="2"/>
  <c r="P36" i="2"/>
  <c r="AA34" i="1"/>
  <c r="D34" i="2"/>
  <c r="O34" i="2"/>
  <c r="AA32" i="1"/>
  <c r="D32" i="2"/>
  <c r="AA30" i="1"/>
  <c r="D30" i="2"/>
  <c r="P30" i="2"/>
  <c r="AA28" i="1"/>
  <c r="D28" i="2"/>
  <c r="D30" i="5"/>
  <c r="F30" i="5"/>
  <c r="AA26" i="1"/>
  <c r="D26" i="2"/>
  <c r="O26" i="2"/>
  <c r="AA23" i="1"/>
  <c r="D23" i="2"/>
  <c r="P23" i="2"/>
  <c r="AA22" i="1"/>
  <c r="D22" i="2"/>
  <c r="O22" i="2"/>
  <c r="AA19" i="1"/>
  <c r="D19" i="2"/>
  <c r="D19" i="12"/>
  <c r="AA17" i="1"/>
  <c r="D17" i="2"/>
  <c r="D17" i="12"/>
  <c r="F17" i="12"/>
  <c r="AA15" i="1"/>
  <c r="D15" i="2"/>
  <c r="P15" i="2"/>
  <c r="AA13" i="1"/>
  <c r="D13" i="2"/>
  <c r="AA12" i="1"/>
  <c r="D12" i="2"/>
  <c r="D14" i="5"/>
  <c r="F14" i="5"/>
  <c r="AA9" i="1"/>
  <c r="D9" i="2"/>
  <c r="P9" i="2"/>
  <c r="E9" i="12"/>
  <c r="E11" i="5"/>
  <c r="L301" i="12"/>
  <c r="L68" i="12"/>
  <c r="L309" i="12"/>
  <c r="D215" i="12"/>
  <c r="G215" i="12"/>
  <c r="O231" i="2"/>
  <c r="D249" i="5"/>
  <c r="F249" i="5"/>
  <c r="P263" i="2"/>
  <c r="O271" i="2"/>
  <c r="O279" i="2"/>
  <c r="D287" i="12"/>
  <c r="P311" i="2"/>
  <c r="D328" i="5"/>
  <c r="F328" i="5"/>
  <c r="D340" i="5"/>
  <c r="F340" i="5"/>
  <c r="H340" i="5"/>
  <c r="D327" i="5"/>
  <c r="D335" i="5"/>
  <c r="F335" i="5"/>
  <c r="H335" i="5"/>
  <c r="F339" i="5"/>
  <c r="K124" i="12"/>
  <c r="K297" i="12"/>
  <c r="L297" i="12"/>
  <c r="K57" i="12"/>
  <c r="L89" i="12"/>
  <c r="L153" i="12"/>
  <c r="K24" i="12"/>
  <c r="D108" i="5"/>
  <c r="O146" i="2"/>
  <c r="P178" i="2"/>
  <c r="O169" i="2"/>
  <c r="D177" i="12"/>
  <c r="G177" i="12"/>
  <c r="O185" i="2"/>
  <c r="O197" i="2"/>
  <c r="O205" i="2"/>
  <c r="O213" i="2"/>
  <c r="P221" i="2"/>
  <c r="D229" i="12"/>
  <c r="D239" i="5"/>
  <c r="F239" i="5"/>
  <c r="H239" i="5"/>
  <c r="P237" i="2"/>
  <c r="D243" i="5"/>
  <c r="F243" i="5"/>
  <c r="D245" i="12"/>
  <c r="F245" i="12"/>
  <c r="P245" i="2"/>
  <c r="P253" i="2"/>
  <c r="O265" i="2"/>
  <c r="D275" i="5"/>
  <c r="F275" i="5"/>
  <c r="H275" i="5"/>
  <c r="D297" i="12"/>
  <c r="G297" i="12"/>
  <c r="D303" i="5"/>
  <c r="F303" i="5"/>
  <c r="H303" i="5"/>
  <c r="D311" i="5"/>
  <c r="D317" i="5"/>
  <c r="O343" i="2"/>
  <c r="D343" i="12"/>
  <c r="F343" i="12"/>
  <c r="D345" i="5"/>
  <c r="F345" i="5"/>
  <c r="H345" i="5"/>
  <c r="P343" i="2"/>
  <c r="K9" i="12"/>
  <c r="L9" i="12"/>
  <c r="K325" i="12"/>
  <c r="L325" i="12"/>
  <c r="K337" i="12"/>
  <c r="L39" i="12"/>
  <c r="L119" i="12"/>
  <c r="F138" i="12"/>
  <c r="F166" i="5"/>
  <c r="O180" i="2"/>
  <c r="O208" i="2"/>
  <c r="D224" i="12"/>
  <c r="P240" i="2"/>
  <c r="P264" i="2"/>
  <c r="O276" i="2"/>
  <c r="D286" i="5"/>
  <c r="F286" i="5"/>
  <c r="H286" i="5"/>
  <c r="O292" i="2"/>
  <c r="P312" i="2"/>
  <c r="D318" i="5"/>
  <c r="F318" i="5"/>
  <c r="P320" i="2"/>
  <c r="P324" i="2"/>
  <c r="D43" i="12"/>
  <c r="G43" i="12"/>
  <c r="P59" i="2"/>
  <c r="P75" i="2"/>
  <c r="O91" i="2"/>
  <c r="D117" i="5"/>
  <c r="F117" i="5"/>
  <c r="D129" i="5"/>
  <c r="F129" i="5"/>
  <c r="P135" i="2"/>
  <c r="D157" i="5"/>
  <c r="F157" i="5"/>
  <c r="O159" i="2"/>
  <c r="O167" i="2"/>
  <c r="D173" i="5"/>
  <c r="F173" i="5"/>
  <c r="P175" i="2"/>
  <c r="E91" i="7"/>
  <c r="E97" i="7"/>
  <c r="K309" i="12"/>
  <c r="L22" i="12"/>
  <c r="Y331" i="11"/>
  <c r="F224" i="12"/>
  <c r="G287" i="12"/>
  <c r="L136" i="12"/>
  <c r="L225" i="12"/>
  <c r="F91" i="7"/>
  <c r="F97" i="7"/>
  <c r="L298" i="12"/>
  <c r="L171" i="12"/>
  <c r="L107" i="12"/>
  <c r="K55" i="12"/>
  <c r="K35" i="12"/>
  <c r="L280" i="12"/>
  <c r="G7" i="8"/>
  <c r="P99" i="2"/>
  <c r="D83" i="12"/>
  <c r="G83" i="12"/>
  <c r="O67" i="2"/>
  <c r="D51" i="12"/>
  <c r="D37" i="5"/>
  <c r="F37" i="5"/>
  <c r="H37" i="5"/>
  <c r="D341" i="5"/>
  <c r="F341" i="5"/>
  <c r="O339" i="2"/>
  <c r="O336" i="2"/>
  <c r="D325" i="5"/>
  <c r="D149" i="5"/>
  <c r="F149" i="5"/>
  <c r="O139" i="2"/>
  <c r="D133" i="5"/>
  <c r="F133" i="5"/>
  <c r="D105" i="5"/>
  <c r="F105" i="5"/>
  <c r="P95" i="2"/>
  <c r="D71" i="12"/>
  <c r="F71" i="12"/>
  <c r="P47" i="2"/>
  <c r="D33" i="5"/>
  <c r="F33" i="5"/>
  <c r="H33" i="5"/>
  <c r="D18" i="5"/>
  <c r="F18" i="5"/>
  <c r="H18" i="5"/>
  <c r="D134" i="5"/>
  <c r="F134" i="5"/>
  <c r="H134" i="5"/>
  <c r="F287" i="12"/>
  <c r="D191" i="5"/>
  <c r="F191" i="5"/>
  <c r="H191" i="5"/>
  <c r="D183" i="5"/>
  <c r="F183" i="5"/>
  <c r="O173" i="2"/>
  <c r="P297" i="2"/>
  <c r="D340" i="12"/>
  <c r="P340" i="2"/>
  <c r="D342" i="5"/>
  <c r="D335" i="12"/>
  <c r="F335" i="12"/>
  <c r="P335" i="2"/>
  <c r="D332" i="12"/>
  <c r="G332" i="12"/>
  <c r="D334" i="5"/>
  <c r="F334" i="5"/>
  <c r="O332" i="2"/>
  <c r="P327" i="2"/>
  <c r="O319" i="2"/>
  <c r="P319" i="2"/>
  <c r="D321" i="5"/>
  <c r="F321" i="5"/>
  <c r="H321" i="5"/>
  <c r="D319" i="12"/>
  <c r="G319" i="12"/>
  <c r="P313" i="2"/>
  <c r="O313" i="2"/>
  <c r="D313" i="12"/>
  <c r="F313" i="12"/>
  <c r="D315" i="5"/>
  <c r="F315" i="5"/>
  <c r="P285" i="2"/>
  <c r="D287" i="5"/>
  <c r="F287" i="5"/>
  <c r="H287" i="5"/>
  <c r="P269" i="2"/>
  <c r="D269" i="12"/>
  <c r="O261" i="2"/>
  <c r="D263" i="5"/>
  <c r="F263" i="5"/>
  <c r="H263" i="5"/>
  <c r="D339" i="12"/>
  <c r="G339" i="12"/>
  <c r="O331" i="2"/>
  <c r="D338" i="5"/>
  <c r="P328" i="2"/>
  <c r="O301" i="2"/>
  <c r="F299" i="5"/>
  <c r="H299" i="5"/>
  <c r="O289" i="2"/>
  <c r="P273" i="2"/>
  <c r="D265" i="12"/>
  <c r="O257" i="2"/>
  <c r="O233" i="2"/>
  <c r="P201" i="2"/>
  <c r="D150" i="12"/>
  <c r="G150" i="12"/>
  <c r="P142" i="2"/>
  <c r="P122" i="2"/>
  <c r="D90" i="12"/>
  <c r="G90" i="12"/>
  <c r="Z6" i="1"/>
  <c r="D251" i="5"/>
  <c r="F251" i="5"/>
  <c r="H251" i="5"/>
  <c r="P233" i="2"/>
  <c r="P209" i="2"/>
  <c r="D201" i="12"/>
  <c r="F201" i="12"/>
  <c r="P165" i="2"/>
  <c r="D178" i="12"/>
  <c r="F178" i="12"/>
  <c r="P170" i="2"/>
  <c r="P166" i="2"/>
  <c r="P154" i="2"/>
  <c r="O150" i="2"/>
  <c r="D148" i="5"/>
  <c r="F148" i="5"/>
  <c r="H148" i="5"/>
  <c r="D144" i="5"/>
  <c r="D140" i="5"/>
  <c r="F140" i="5"/>
  <c r="H140" i="5"/>
  <c r="P130" i="2"/>
  <c r="D114" i="12"/>
  <c r="G114" i="12"/>
  <c r="D98" i="12"/>
  <c r="O82" i="2"/>
  <c r="D36" i="5"/>
  <c r="F36" i="5"/>
  <c r="F59" i="12"/>
  <c r="G115" i="12"/>
  <c r="G41" i="5"/>
  <c r="I231" i="12"/>
  <c r="I167" i="12"/>
  <c r="K167" i="12"/>
  <c r="I49" i="12"/>
  <c r="K49" i="12"/>
  <c r="O174" i="2"/>
  <c r="P174" i="2"/>
  <c r="D29" i="5"/>
  <c r="F29" i="5"/>
  <c r="D13" i="5"/>
  <c r="F13" i="5"/>
  <c r="O296" i="2"/>
  <c r="D60" i="12"/>
  <c r="F60" i="12"/>
  <c r="G303" i="12"/>
  <c r="D174" i="12"/>
  <c r="D184" i="5"/>
  <c r="F184" i="5"/>
  <c r="H184" i="5"/>
  <c r="D199" i="5"/>
  <c r="F199" i="5"/>
  <c r="H199" i="5"/>
  <c r="P197" i="2"/>
  <c r="D205" i="12"/>
  <c r="G205" i="12"/>
  <c r="P205" i="2"/>
  <c r="D215" i="5"/>
  <c r="F215" i="5"/>
  <c r="H215" i="5"/>
  <c r="P213" i="2"/>
  <c r="O221" i="2"/>
  <c r="D231" i="5"/>
  <c r="F231" i="5"/>
  <c r="H231" i="5"/>
  <c r="D237" i="12"/>
  <c r="F237" i="12"/>
  <c r="O237" i="2"/>
  <c r="D247" i="5"/>
  <c r="F247" i="5"/>
  <c r="H247" i="5"/>
  <c r="D255" i="5"/>
  <c r="F255" i="5"/>
  <c r="H255" i="5"/>
  <c r="D261" i="12"/>
  <c r="G261" i="12"/>
  <c r="N261" i="12"/>
  <c r="P261" i="2"/>
  <c r="O269" i="2"/>
  <c r="D271" i="5"/>
  <c r="F271" i="5"/>
  <c r="H271" i="5"/>
  <c r="O285" i="2"/>
  <c r="D285" i="12"/>
  <c r="F285" i="12"/>
  <c r="K136" i="12"/>
  <c r="O177" i="2"/>
  <c r="G81" i="5"/>
  <c r="I96" i="10"/>
  <c r="I37" i="12"/>
  <c r="K37" i="12"/>
  <c r="I262" i="12"/>
  <c r="K262" i="12"/>
  <c r="I241" i="12"/>
  <c r="K241" i="12"/>
  <c r="Q247" i="2"/>
  <c r="I237" i="12"/>
  <c r="K237" i="12"/>
  <c r="I217" i="12"/>
  <c r="L217" i="12"/>
  <c r="Q41" i="2"/>
  <c r="Q236" i="2"/>
  <c r="Q192" i="2"/>
  <c r="Q164" i="2"/>
  <c r="I160" i="12"/>
  <c r="K160" i="12"/>
  <c r="I156" i="12"/>
  <c r="Q152" i="2"/>
  <c r="Q124" i="2"/>
  <c r="Q116" i="2"/>
  <c r="Q108" i="2"/>
  <c r="Q100" i="2"/>
  <c r="Q88" i="2"/>
  <c r="I84" i="12"/>
  <c r="Q72" i="2"/>
  <c r="I64" i="12"/>
  <c r="I52" i="12"/>
  <c r="I48" i="12"/>
  <c r="I44" i="12"/>
  <c r="I40" i="12"/>
  <c r="Q24" i="2"/>
  <c r="Q12" i="2"/>
  <c r="F290" i="5"/>
  <c r="F285" i="5"/>
  <c r="F282" i="5"/>
  <c r="F273" i="5"/>
  <c r="H273" i="5"/>
  <c r="F258" i="5"/>
  <c r="F238" i="5"/>
  <c r="H238" i="5"/>
  <c r="F234" i="5"/>
  <c r="F230" i="5"/>
  <c r="F201" i="5"/>
  <c r="H201" i="5"/>
  <c r="F177" i="5"/>
  <c r="F174" i="5"/>
  <c r="F146" i="12"/>
  <c r="D134" i="12"/>
  <c r="F134" i="12"/>
  <c r="L192" i="12"/>
  <c r="K192" i="12"/>
  <c r="I98" i="10"/>
  <c r="F297" i="12"/>
  <c r="G42" i="12"/>
  <c r="D331" i="12"/>
  <c r="G331" i="12"/>
  <c r="O323" i="2"/>
  <c r="P336" i="2"/>
  <c r="O297" i="2"/>
  <c r="O273" i="2"/>
  <c r="P265" i="2"/>
  <c r="P257" i="2"/>
  <c r="O241" i="2"/>
  <c r="D233" i="12"/>
  <c r="F233" i="12"/>
  <c r="D217" i="12"/>
  <c r="F217" i="12"/>
  <c r="O209" i="2"/>
  <c r="O201" i="2"/>
  <c r="O193" i="2"/>
  <c r="O178" i="2"/>
  <c r="D170" i="12"/>
  <c r="G170" i="12"/>
  <c r="O166" i="2"/>
  <c r="P158" i="2"/>
  <c r="D152" i="5"/>
  <c r="F152" i="5"/>
  <c r="H152" i="5"/>
  <c r="P146" i="2"/>
  <c r="O138" i="2"/>
  <c r="P138" i="2"/>
  <c r="D136" i="5"/>
  <c r="F136" i="5"/>
  <c r="D126" i="12"/>
  <c r="G126" i="12"/>
  <c r="D118" i="12"/>
  <c r="P110" i="2"/>
  <c r="D102" i="12"/>
  <c r="F102" i="12"/>
  <c r="D96" i="5"/>
  <c r="F96" i="5"/>
  <c r="D88" i="5"/>
  <c r="F88" i="5"/>
  <c r="D80" i="5"/>
  <c r="F80" i="5"/>
  <c r="H80" i="5"/>
  <c r="O38" i="2"/>
  <c r="O30" i="2"/>
  <c r="P22" i="2"/>
  <c r="K80" i="12"/>
  <c r="G87" i="5"/>
  <c r="Q85" i="2"/>
  <c r="I90" i="12"/>
  <c r="G92" i="5"/>
  <c r="I86" i="12"/>
  <c r="K86" i="12"/>
  <c r="G88" i="5"/>
  <c r="Q86" i="2"/>
  <c r="I82" i="12"/>
  <c r="K82" i="12"/>
  <c r="Q82" i="2"/>
  <c r="G76" i="5"/>
  <c r="Q74" i="2"/>
  <c r="Q66" i="2"/>
  <c r="I66" i="12"/>
  <c r="L66" i="12"/>
  <c r="Q62" i="2"/>
  <c r="I62" i="12"/>
  <c r="L62" i="12"/>
  <c r="G60" i="5"/>
  <c r="I58" i="12"/>
  <c r="L58" i="12"/>
  <c r="Q54" i="2"/>
  <c r="G56" i="5"/>
  <c r="I54" i="12"/>
  <c r="L54" i="12"/>
  <c r="G48" i="5"/>
  <c r="I46" i="12"/>
  <c r="L46" i="12"/>
  <c r="Q42" i="2"/>
  <c r="G44" i="5"/>
  <c r="I38" i="12"/>
  <c r="Q38" i="2"/>
  <c r="I34" i="12"/>
  <c r="K34" i="12"/>
  <c r="Q34" i="2"/>
  <c r="G36" i="5"/>
  <c r="Q30" i="2"/>
  <c r="I30" i="12"/>
  <c r="L30" i="12"/>
  <c r="G28" i="5"/>
  <c r="I26" i="12"/>
  <c r="L26" i="12"/>
  <c r="Q213" i="2"/>
  <c r="I213" i="12"/>
  <c r="K213" i="12"/>
  <c r="G207" i="5"/>
  <c r="I205" i="12"/>
  <c r="K205" i="12"/>
  <c r="I201" i="12"/>
  <c r="L201" i="12"/>
  <c r="N201" i="12"/>
  <c r="G203" i="5"/>
  <c r="Q181" i="2"/>
  <c r="G183" i="5"/>
  <c r="G175" i="5"/>
  <c r="H175" i="5"/>
  <c r="I173" i="12"/>
  <c r="L173" i="12"/>
  <c r="Q169" i="2"/>
  <c r="G171" i="5"/>
  <c r="G107" i="5"/>
  <c r="Q105" i="2"/>
  <c r="I17" i="12"/>
  <c r="L17" i="12"/>
  <c r="G19" i="5"/>
  <c r="Q293" i="2"/>
  <c r="I293" i="12"/>
  <c r="K293" i="12"/>
  <c r="I291" i="12"/>
  <c r="L291" i="12"/>
  <c r="Q291" i="2"/>
  <c r="I276" i="12"/>
  <c r="L276" i="12"/>
  <c r="N276" i="12"/>
  <c r="Q276" i="2"/>
  <c r="Q268" i="2"/>
  <c r="I268" i="12"/>
  <c r="L268" i="12"/>
  <c r="I260" i="12"/>
  <c r="Q260" i="2"/>
  <c r="I220" i="12"/>
  <c r="Q220" i="2"/>
  <c r="Q8" i="2"/>
  <c r="N6" i="2"/>
  <c r="P342" i="2"/>
  <c r="D338" i="12"/>
  <c r="F338" i="12"/>
  <c r="D337" i="12"/>
  <c r="F337" i="12"/>
  <c r="P333" i="2"/>
  <c r="P329" i="2"/>
  <c r="O326" i="2"/>
  <c r="D324" i="12"/>
  <c r="G324" i="12"/>
  <c r="D320" i="12"/>
  <c r="G320" i="12"/>
  <c r="P317" i="2"/>
  <c r="P316" i="2"/>
  <c r="D312" i="12"/>
  <c r="O311" i="2"/>
  <c r="J6" i="2"/>
  <c r="O287" i="2"/>
  <c r="O284" i="2"/>
  <c r="H282" i="5"/>
  <c r="D279" i="12"/>
  <c r="D276" i="12"/>
  <c r="F277" i="5"/>
  <c r="D272" i="12"/>
  <c r="D268" i="12"/>
  <c r="D263" i="12"/>
  <c r="O255" i="2"/>
  <c r="D252" i="12"/>
  <c r="G252" i="12"/>
  <c r="N252" i="12"/>
  <c r="P247" i="2"/>
  <c r="P244" i="2"/>
  <c r="D239" i="12"/>
  <c r="D231" i="12"/>
  <c r="O223" i="2"/>
  <c r="P220" i="2"/>
  <c r="D216" i="12"/>
  <c r="F216" i="12"/>
  <c r="D204" i="12"/>
  <c r="P203" i="2"/>
  <c r="O200" i="2"/>
  <c r="O196" i="2"/>
  <c r="O192" i="2"/>
  <c r="P188" i="2"/>
  <c r="P180" i="2"/>
  <c r="P176" i="2"/>
  <c r="D171" i="12"/>
  <c r="F171" i="12"/>
  <c r="K6" i="2"/>
  <c r="I6" i="2"/>
  <c r="F6" i="2"/>
  <c r="F19" i="12"/>
  <c r="O32" i="2"/>
  <c r="O40" i="2"/>
  <c r="O56" i="2"/>
  <c r="O64" i="2"/>
  <c r="O72" i="2"/>
  <c r="O92" i="2"/>
  <c r="O104" i="2"/>
  <c r="O112" i="2"/>
  <c r="O160" i="2"/>
  <c r="O164" i="2"/>
  <c r="F294" i="5"/>
  <c r="F298" i="5"/>
  <c r="D300" i="12"/>
  <c r="G300" i="12"/>
  <c r="N300" i="12"/>
  <c r="D304" i="12"/>
  <c r="F304" i="12"/>
  <c r="D308" i="12"/>
  <c r="G308" i="12"/>
  <c r="O20" i="2"/>
  <c r="F47" i="12"/>
  <c r="G135" i="12"/>
  <c r="F293" i="5"/>
  <c r="H293" i="5"/>
  <c r="P295" i="2"/>
  <c r="O299" i="2"/>
  <c r="P307" i="2"/>
  <c r="Q113" i="2"/>
  <c r="G115" i="5"/>
  <c r="Q81" i="2"/>
  <c r="I81" i="12"/>
  <c r="L81" i="12"/>
  <c r="G35" i="5"/>
  <c r="Q33" i="2"/>
  <c r="Q252" i="2"/>
  <c r="I8" i="12"/>
  <c r="K8" i="12"/>
  <c r="I288" i="12"/>
  <c r="K288" i="12"/>
  <c r="Q282" i="2"/>
  <c r="I274" i="12"/>
  <c r="I270" i="12"/>
  <c r="K270" i="12"/>
  <c r="Q254" i="2"/>
  <c r="I234" i="12"/>
  <c r="L234" i="12"/>
  <c r="Q226" i="2"/>
  <c r="Q206" i="2"/>
  <c r="I190" i="12"/>
  <c r="L190" i="12"/>
  <c r="I178" i="12"/>
  <c r="Q174" i="2"/>
  <c r="I166" i="12"/>
  <c r="K166" i="12"/>
  <c r="I130" i="12"/>
  <c r="K130" i="12"/>
  <c r="I122" i="12"/>
  <c r="L122" i="12"/>
  <c r="Q118" i="2"/>
  <c r="I10" i="12"/>
  <c r="I244" i="12"/>
  <c r="K244" i="12"/>
  <c r="Q232" i="2"/>
  <c r="I216" i="12"/>
  <c r="Q208" i="2"/>
  <c r="Q200" i="2"/>
  <c r="Q184" i="2"/>
  <c r="Q176" i="2"/>
  <c r="I164" i="12"/>
  <c r="Q160" i="2"/>
  <c r="I152" i="12"/>
  <c r="K152" i="12"/>
  <c r="I132" i="12"/>
  <c r="L132" i="12"/>
  <c r="N132" i="12"/>
  <c r="I116" i="12"/>
  <c r="I100" i="12"/>
  <c r="I96" i="12"/>
  <c r="Q84" i="2"/>
  <c r="I76" i="12"/>
  <c r="K76" i="12"/>
  <c r="I72" i="12"/>
  <c r="L72" i="12"/>
  <c r="I60" i="12"/>
  <c r="L60" i="12"/>
  <c r="Q52" i="2"/>
  <c r="I36" i="12"/>
  <c r="Q32" i="2"/>
  <c r="I12" i="12"/>
  <c r="G95" i="12"/>
  <c r="F95" i="12"/>
  <c r="G171" i="12"/>
  <c r="N171" i="12"/>
  <c r="G304" i="12"/>
  <c r="F312" i="12"/>
  <c r="G312" i="12"/>
  <c r="F324" i="12"/>
  <c r="G315" i="12"/>
  <c r="F315" i="12"/>
  <c r="G269" i="12"/>
  <c r="F269" i="12"/>
  <c r="G213" i="12"/>
  <c r="F213" i="12"/>
  <c r="F197" i="12"/>
  <c r="G197" i="12"/>
  <c r="G174" i="12"/>
  <c r="F174" i="12"/>
  <c r="O211" i="2"/>
  <c r="D213" i="5"/>
  <c r="F213" i="5"/>
  <c r="D221" i="5"/>
  <c r="F221" i="5"/>
  <c r="P219" i="2"/>
  <c r="D235" i="12"/>
  <c r="P235" i="2"/>
  <c r="D245" i="5"/>
  <c r="F245" i="5"/>
  <c r="P243" i="2"/>
  <c r="D251" i="12"/>
  <c r="O251" i="2"/>
  <c r="P259" i="2"/>
  <c r="D261" i="5"/>
  <c r="F261" i="5"/>
  <c r="H261" i="5"/>
  <c r="P267" i="2"/>
  <c r="D269" i="5"/>
  <c r="F269" i="5"/>
  <c r="F229" i="12"/>
  <c r="G229" i="12"/>
  <c r="D227" i="12"/>
  <c r="O227" i="2"/>
  <c r="G88" i="12"/>
  <c r="D21" i="5"/>
  <c r="F21" i="5"/>
  <c r="D288" i="12"/>
  <c r="G288" i="12"/>
  <c r="P280" i="2"/>
  <c r="P272" i="2"/>
  <c r="P172" i="2"/>
  <c r="P156" i="2"/>
  <c r="O140" i="2"/>
  <c r="P124" i="2"/>
  <c r="O108" i="2"/>
  <c r="P76" i="2"/>
  <c r="D44" i="12"/>
  <c r="G44" i="12"/>
  <c r="F114" i="12"/>
  <c r="F126" i="12"/>
  <c r="F332" i="12"/>
  <c r="F331" i="12"/>
  <c r="F169" i="12"/>
  <c r="P255" i="2"/>
  <c r="P239" i="2"/>
  <c r="D225" i="5"/>
  <c r="F225" i="5"/>
  <c r="H225" i="5"/>
  <c r="O199" i="2"/>
  <c r="I334" i="12"/>
  <c r="K334" i="12"/>
  <c r="I330" i="12"/>
  <c r="K330" i="12"/>
  <c r="Q328" i="2"/>
  <c r="Q320" i="2"/>
  <c r="I318" i="12"/>
  <c r="K318" i="12"/>
  <c r="Q316" i="2"/>
  <c r="Q312" i="2"/>
  <c r="Q306" i="2"/>
  <c r="D319" i="5"/>
  <c r="D301" i="5"/>
  <c r="F301" i="5"/>
  <c r="D291" i="12"/>
  <c r="D283" i="12"/>
  <c r="G283" i="12"/>
  <c r="O275" i="2"/>
  <c r="I212" i="12"/>
  <c r="I236" i="12"/>
  <c r="G246" i="5"/>
  <c r="G25" i="5"/>
  <c r="G57" i="5"/>
  <c r="G121" i="5"/>
  <c r="I200" i="12"/>
  <c r="L205" i="12"/>
  <c r="I208" i="12"/>
  <c r="K208" i="12"/>
  <c r="I232" i="12"/>
  <c r="K232" i="12"/>
  <c r="L86" i="12"/>
  <c r="L82" i="12"/>
  <c r="K280" i="12"/>
  <c r="K26" i="12"/>
  <c r="K217" i="12"/>
  <c r="L237" i="12"/>
  <c r="Q165" i="2"/>
  <c r="Q107" i="2"/>
  <c r="G132" i="5"/>
  <c r="H132" i="5"/>
  <c r="Q102" i="2"/>
  <c r="Q273" i="2"/>
  <c r="K132" i="12"/>
  <c r="Q190" i="2"/>
  <c r="I223" i="12"/>
  <c r="L223" i="12"/>
  <c r="G34" i="5"/>
  <c r="Q239" i="2"/>
  <c r="AD344" i="1"/>
  <c r="E344" i="2"/>
  <c r="AC6" i="1"/>
  <c r="F44" i="12"/>
  <c r="F300" i="12"/>
  <c r="F308" i="12"/>
  <c r="F320" i="12"/>
  <c r="F31" i="12"/>
  <c r="G47" i="12"/>
  <c r="AA6" i="1"/>
  <c r="D12" i="12"/>
  <c r="G12" i="12"/>
  <c r="D178" i="5"/>
  <c r="F178" i="5"/>
  <c r="H178" i="5"/>
  <c r="D170" i="5"/>
  <c r="F170" i="5"/>
  <c r="H170" i="5"/>
  <c r="D160" i="12"/>
  <c r="P152" i="2"/>
  <c r="O144" i="2"/>
  <c r="O136" i="2"/>
  <c r="D130" i="5"/>
  <c r="F130" i="5"/>
  <c r="H130" i="5"/>
  <c r="O120" i="2"/>
  <c r="D112" i="12"/>
  <c r="F112" i="12"/>
  <c r="D106" i="5"/>
  <c r="F106" i="5"/>
  <c r="H106" i="5"/>
  <c r="D86" i="5"/>
  <c r="F86" i="5"/>
  <c r="H86" i="5"/>
  <c r="P68" i="2"/>
  <c r="D52" i="12"/>
  <c r="G52" i="12"/>
  <c r="P28" i="2"/>
  <c r="G94" i="12"/>
  <c r="G122" i="12"/>
  <c r="G237" i="12"/>
  <c r="N237" i="12"/>
  <c r="G78" i="12"/>
  <c r="K252" i="12"/>
  <c r="L252" i="12"/>
  <c r="I13" i="12"/>
  <c r="G15" i="5"/>
  <c r="G345" i="5"/>
  <c r="Q343" i="2"/>
  <c r="I343" i="12"/>
  <c r="G343" i="5"/>
  <c r="I341" i="12"/>
  <c r="Q337" i="2"/>
  <c r="G339" i="5"/>
  <c r="H339" i="5"/>
  <c r="G337" i="5"/>
  <c r="I335" i="12"/>
  <c r="L335" i="12"/>
  <c r="G335" i="5"/>
  <c r="I333" i="12"/>
  <c r="G333" i="5"/>
  <c r="I331" i="12"/>
  <c r="Q331" i="2"/>
  <c r="I327" i="12"/>
  <c r="K327" i="12"/>
  <c r="G329" i="5"/>
  <c r="Q327" i="2"/>
  <c r="G327" i="5"/>
  <c r="Q325" i="2"/>
  <c r="I323" i="12"/>
  <c r="Q323" i="2"/>
  <c r="G325" i="5"/>
  <c r="Q319" i="2"/>
  <c r="I319" i="12"/>
  <c r="K319" i="12"/>
  <c r="Q315" i="2"/>
  <c r="G317" i="5"/>
  <c r="I315" i="12"/>
  <c r="G315" i="5"/>
  <c r="Q313" i="2"/>
  <c r="I313" i="12"/>
  <c r="G311" i="5"/>
  <c r="Q309" i="2"/>
  <c r="I305" i="12"/>
  <c r="L305" i="12"/>
  <c r="G307" i="5"/>
  <c r="M303" i="2"/>
  <c r="AB6" i="1"/>
  <c r="Q280" i="2"/>
  <c r="I272" i="12"/>
  <c r="K272" i="12"/>
  <c r="G131" i="5"/>
  <c r="G254" i="5"/>
  <c r="K190" i="12"/>
  <c r="K58" i="12"/>
  <c r="L49" i="12"/>
  <c r="I101" i="12"/>
  <c r="K101" i="12"/>
  <c r="I53" i="12"/>
  <c r="L53" i="12"/>
  <c r="G176" i="5"/>
  <c r="H176" i="5"/>
  <c r="I239" i="12"/>
  <c r="Q154" i="2"/>
  <c r="I113" i="12"/>
  <c r="G179" i="5"/>
  <c r="Q241" i="2"/>
  <c r="G83" i="5"/>
  <c r="I299" i="12"/>
  <c r="K299" i="12"/>
  <c r="Q295" i="2"/>
  <c r="I277" i="12"/>
  <c r="L277" i="12"/>
  <c r="I257" i="12"/>
  <c r="L257" i="12"/>
  <c r="O9" i="2"/>
  <c r="H243" i="5"/>
  <c r="F252" i="12"/>
  <c r="F135" i="12"/>
  <c r="D11" i="5"/>
  <c r="F11" i="5"/>
  <c r="H11" i="5"/>
  <c r="O36" i="2"/>
  <c r="P19" i="2"/>
  <c r="G338" i="12"/>
  <c r="G201" i="12"/>
  <c r="F339" i="12"/>
  <c r="G337" i="12"/>
  <c r="F110" i="12"/>
  <c r="G178" i="12"/>
  <c r="F177" i="12"/>
  <c r="Q193" i="2"/>
  <c r="K46" i="12"/>
  <c r="L145" i="12"/>
  <c r="K81" i="12"/>
  <c r="L241" i="12"/>
  <c r="K225" i="12"/>
  <c r="L281" i="12"/>
  <c r="I177" i="12"/>
  <c r="L177" i="12"/>
  <c r="N177" i="12"/>
  <c r="Q305" i="2"/>
  <c r="I97" i="12"/>
  <c r="I33" i="12"/>
  <c r="I193" i="12"/>
  <c r="L193" i="12"/>
  <c r="Q285" i="2"/>
  <c r="Q281" i="2"/>
  <c r="Q277" i="2"/>
  <c r="Q269" i="2"/>
  <c r="Q265" i="2"/>
  <c r="Q253" i="2"/>
  <c r="I249" i="12"/>
  <c r="K249" i="12"/>
  <c r="I245" i="12"/>
  <c r="L245" i="12"/>
  <c r="Q237" i="2"/>
  <c r="I233" i="12"/>
  <c r="Q229" i="2"/>
  <c r="Q221" i="2"/>
  <c r="Q217" i="2"/>
  <c r="Q205" i="2"/>
  <c r="Q201" i="2"/>
  <c r="Q189" i="2"/>
  <c r="I185" i="12"/>
  <c r="L185" i="12"/>
  <c r="I181" i="12"/>
  <c r="I169" i="12"/>
  <c r="I137" i="12"/>
  <c r="K137" i="12"/>
  <c r="I105" i="12"/>
  <c r="L105" i="12"/>
  <c r="I73" i="12"/>
  <c r="K73" i="12"/>
  <c r="I41" i="12"/>
  <c r="K41" i="12"/>
  <c r="K10" i="12"/>
  <c r="L10" i="12"/>
  <c r="F120" i="12"/>
  <c r="G120" i="12"/>
  <c r="G136" i="12"/>
  <c r="F136" i="12"/>
  <c r="G156" i="12"/>
  <c r="F156" i="12"/>
  <c r="F204" i="12"/>
  <c r="G204" i="12"/>
  <c r="F268" i="12"/>
  <c r="G268" i="12"/>
  <c r="N268" i="12"/>
  <c r="G272" i="12"/>
  <c r="F272" i="12"/>
  <c r="F276" i="12"/>
  <c r="G276" i="12"/>
  <c r="F227" i="12"/>
  <c r="G227" i="12"/>
  <c r="F231" i="12"/>
  <c r="G231" i="12"/>
  <c r="N231" i="12"/>
  <c r="F235" i="12"/>
  <c r="G235" i="12"/>
  <c r="G239" i="12"/>
  <c r="F239" i="12"/>
  <c r="F251" i="12"/>
  <c r="G251" i="12"/>
  <c r="G263" i="12"/>
  <c r="F263" i="12"/>
  <c r="G279" i="12"/>
  <c r="F279" i="12"/>
  <c r="E108" i="5"/>
  <c r="F108" i="5"/>
  <c r="O106" i="2"/>
  <c r="G60" i="12"/>
  <c r="G19" i="12"/>
  <c r="P12" i="2"/>
  <c r="O19" i="2"/>
  <c r="D140" i="12"/>
  <c r="P116" i="2"/>
  <c r="D100" i="12"/>
  <c r="D90" i="5"/>
  <c r="F90" i="5"/>
  <c r="O80" i="2"/>
  <c r="P72" i="2"/>
  <c r="D64" i="12"/>
  <c r="P56" i="2"/>
  <c r="D50" i="5"/>
  <c r="F50" i="5"/>
  <c r="H50" i="5"/>
  <c r="D40" i="12"/>
  <c r="P32" i="2"/>
  <c r="D23" i="12"/>
  <c r="F23" i="12"/>
  <c r="O12" i="2"/>
  <c r="G102" i="12"/>
  <c r="F150" i="12"/>
  <c r="F261" i="12"/>
  <c r="G343" i="12"/>
  <c r="F215" i="12"/>
  <c r="F90" i="12"/>
  <c r="G134" i="12"/>
  <c r="G313" i="12"/>
  <c r="D203" i="12"/>
  <c r="K285" i="12"/>
  <c r="Q29" i="2"/>
  <c r="L37" i="12"/>
  <c r="K149" i="12"/>
  <c r="K54" i="12"/>
  <c r="L167" i="12"/>
  <c r="K268" i="12"/>
  <c r="L42" i="12"/>
  <c r="K30" i="12"/>
  <c r="G135" i="5"/>
  <c r="I117" i="12"/>
  <c r="L117" i="12"/>
  <c r="I85" i="12"/>
  <c r="G71" i="5"/>
  <c r="G55" i="5"/>
  <c r="L327" i="12"/>
  <c r="Q187" i="2"/>
  <c r="Q182" i="2"/>
  <c r="I214" i="12"/>
  <c r="L214" i="12"/>
  <c r="Q274" i="2"/>
  <c r="Q122" i="2"/>
  <c r="Q286" i="2"/>
  <c r="G332" i="5"/>
  <c r="G322" i="5"/>
  <c r="G249" i="5"/>
  <c r="G102" i="5"/>
  <c r="G118" i="5"/>
  <c r="K257" i="12"/>
  <c r="L178" i="12"/>
  <c r="K178" i="12"/>
  <c r="E68" i="5"/>
  <c r="O66" i="2"/>
  <c r="G112" i="12"/>
  <c r="G71" i="12"/>
  <c r="G216" i="12"/>
  <c r="F205" i="12"/>
  <c r="D10" i="5"/>
  <c r="F10" i="5"/>
  <c r="O8" i="2"/>
  <c r="Q287" i="2"/>
  <c r="Q263" i="2"/>
  <c r="H213" i="5"/>
  <c r="G10" i="5"/>
  <c r="K117" i="12"/>
  <c r="K53" i="12"/>
  <c r="L101" i="12"/>
  <c r="L165" i="12"/>
  <c r="L288" i="12"/>
  <c r="N288" i="12"/>
  <c r="K305" i="12"/>
  <c r="K291" i="12"/>
  <c r="I133" i="12"/>
  <c r="Q101" i="2"/>
  <c r="I69" i="12"/>
  <c r="Q37" i="2"/>
  <c r="Q194" i="2"/>
  <c r="I206" i="12"/>
  <c r="L206" i="12"/>
  <c r="I226" i="12"/>
  <c r="I250" i="12"/>
  <c r="L250" i="12"/>
  <c r="Q314" i="2"/>
  <c r="G314" i="5"/>
  <c r="Q35" i="2"/>
  <c r="I87" i="12"/>
  <c r="L87" i="12"/>
  <c r="Q271" i="2"/>
  <c r="G192" i="5"/>
  <c r="I242" i="12"/>
  <c r="K242" i="12"/>
  <c r="G272" i="5"/>
  <c r="I203" i="12"/>
  <c r="L203" i="12"/>
  <c r="G301" i="5"/>
  <c r="Q43" i="2"/>
  <c r="Q270" i="2"/>
  <c r="Q39" i="2"/>
  <c r="Q119" i="2"/>
  <c r="G162" i="5"/>
  <c r="Q121" i="2"/>
  <c r="I121" i="12"/>
  <c r="K121" i="12"/>
  <c r="F51" i="12"/>
  <c r="G51" i="12"/>
  <c r="G224" i="12"/>
  <c r="F288" i="12"/>
  <c r="P60" i="2"/>
  <c r="O44" i="2"/>
  <c r="O28" i="2"/>
  <c r="G181" i="12"/>
  <c r="G217" i="12"/>
  <c r="N217" i="12"/>
  <c r="G245" i="12"/>
  <c r="N245" i="12"/>
  <c r="D199" i="12"/>
  <c r="P199" i="2"/>
  <c r="O203" i="2"/>
  <c r="D205" i="5"/>
  <c r="F205" i="5"/>
  <c r="D211" i="12"/>
  <c r="P211" i="2"/>
  <c r="D217" i="5"/>
  <c r="F217" i="5"/>
  <c r="H217" i="5"/>
  <c r="O215" i="2"/>
  <c r="D219" i="12"/>
  <c r="G219" i="12"/>
  <c r="O219" i="2"/>
  <c r="D223" i="12"/>
  <c r="P223" i="2"/>
  <c r="D229" i="5"/>
  <c r="F229" i="5"/>
  <c r="P227" i="2"/>
  <c r="P231" i="2"/>
  <c r="D233" i="5"/>
  <c r="F233" i="5"/>
  <c r="H233" i="5"/>
  <c r="O235" i="2"/>
  <c r="D237" i="5"/>
  <c r="F237" i="5"/>
  <c r="O239" i="2"/>
  <c r="D241" i="5"/>
  <c r="F241" i="5"/>
  <c r="H241" i="5"/>
  <c r="D243" i="12"/>
  <c r="F243" i="12"/>
  <c r="O243" i="2"/>
  <c r="D247" i="12"/>
  <c r="O247" i="2"/>
  <c r="P251" i="2"/>
  <c r="D253" i="5"/>
  <c r="F253" i="5"/>
  <c r="D257" i="5"/>
  <c r="F257" i="5"/>
  <c r="H257" i="5"/>
  <c r="D255" i="12"/>
  <c r="D259" i="12"/>
  <c r="O259" i="2"/>
  <c r="D265" i="5"/>
  <c r="F265" i="5"/>
  <c r="H265" i="5"/>
  <c r="O263" i="2"/>
  <c r="D267" i="12"/>
  <c r="O267" i="2"/>
  <c r="P271" i="2"/>
  <c r="D271" i="12"/>
  <c r="F271" i="12"/>
  <c r="P275" i="2"/>
  <c r="D275" i="12"/>
  <c r="P279" i="2"/>
  <c r="D281" i="5"/>
  <c r="F281" i="5"/>
  <c r="H281" i="5"/>
  <c r="O283" i="2"/>
  <c r="P283" i="2"/>
  <c r="P287" i="2"/>
  <c r="D289" i="5"/>
  <c r="F289" i="5"/>
  <c r="H289" i="5"/>
  <c r="P291" i="2"/>
  <c r="O291" i="2"/>
  <c r="D295" i="12"/>
  <c r="O295" i="2"/>
  <c r="P299" i="2"/>
  <c r="D299" i="12"/>
  <c r="D305" i="5"/>
  <c r="F305" i="5"/>
  <c r="P303" i="2"/>
  <c r="D307" i="12"/>
  <c r="G307" i="12"/>
  <c r="D309" i="5"/>
  <c r="F309" i="5"/>
  <c r="D313" i="5"/>
  <c r="F313" i="5"/>
  <c r="H313" i="5"/>
  <c r="D311" i="12"/>
  <c r="P326" i="2"/>
  <c r="D326" i="12"/>
  <c r="P330" i="2"/>
  <c r="O330" i="2"/>
  <c r="P334" i="2"/>
  <c r="D334" i="12"/>
  <c r="O338" i="2"/>
  <c r="P338" i="2"/>
  <c r="D342" i="12"/>
  <c r="O342" i="2"/>
  <c r="D321" i="12"/>
  <c r="O321" i="2"/>
  <c r="O329" i="2"/>
  <c r="D331" i="5"/>
  <c r="F331" i="5"/>
  <c r="O333" i="2"/>
  <c r="D333" i="12"/>
  <c r="P337" i="2"/>
  <c r="O337" i="2"/>
  <c r="O341" i="2"/>
  <c r="P341" i="2"/>
  <c r="D346" i="5"/>
  <c r="K231" i="12"/>
  <c r="L231" i="12"/>
  <c r="L50" i="12"/>
  <c r="K50" i="12"/>
  <c r="L70" i="12"/>
  <c r="K70" i="12"/>
  <c r="K214" i="12"/>
  <c r="K209" i="12"/>
  <c r="L209" i="12"/>
  <c r="L36" i="12"/>
  <c r="K36" i="12"/>
  <c r="K96" i="12"/>
  <c r="L96" i="12"/>
  <c r="K300" i="12"/>
  <c r="L300" i="12"/>
  <c r="G47" i="5"/>
  <c r="Q45" i="2"/>
  <c r="Q77" i="2"/>
  <c r="G79" i="5"/>
  <c r="G111" i="5"/>
  <c r="Q109" i="2"/>
  <c r="Q141" i="2"/>
  <c r="I141" i="12"/>
  <c r="K141" i="12"/>
  <c r="G96" i="5"/>
  <c r="Q94" i="2"/>
  <c r="I321" i="12"/>
  <c r="Q321" i="2"/>
  <c r="I289" i="12"/>
  <c r="G291" i="5"/>
  <c r="G259" i="5"/>
  <c r="Q257" i="2"/>
  <c r="Q344" i="2"/>
  <c r="C20" i="7"/>
  <c r="C23" i="7"/>
  <c r="J68" i="10"/>
  <c r="I344" i="12"/>
  <c r="K344" i="12"/>
  <c r="G338" i="5"/>
  <c r="I336" i="12"/>
  <c r="I328" i="12"/>
  <c r="G330" i="5"/>
  <c r="Q304" i="2"/>
  <c r="I304" i="12"/>
  <c r="L304" i="12"/>
  <c r="N304" i="12"/>
  <c r="Q296" i="2"/>
  <c r="I296" i="12"/>
  <c r="L296" i="12"/>
  <c r="G290" i="5"/>
  <c r="H290" i="5"/>
  <c r="Q288" i="2"/>
  <c r="I240" i="12"/>
  <c r="K240" i="12"/>
  <c r="G242" i="5"/>
  <c r="G344" i="5"/>
  <c r="Q342" i="2"/>
  <c r="Q338" i="2"/>
  <c r="I338" i="12"/>
  <c r="Q334" i="2"/>
  <c r="G336" i="5"/>
  <c r="Q326" i="2"/>
  <c r="G328" i="5"/>
  <c r="H328" i="5"/>
  <c r="Q322" i="2"/>
  <c r="I322" i="12"/>
  <c r="Q318" i="2"/>
  <c r="G320" i="5"/>
  <c r="G312" i="5"/>
  <c r="Q310" i="2"/>
  <c r="I306" i="12"/>
  <c r="G308" i="5"/>
  <c r="Q302" i="2"/>
  <c r="I302" i="12"/>
  <c r="Q298" i="2"/>
  <c r="G300" i="5"/>
  <c r="I294" i="12"/>
  <c r="Q294" i="2"/>
  <c r="G292" i="5"/>
  <c r="I290" i="12"/>
  <c r="I282" i="12"/>
  <c r="L282" i="12"/>
  <c r="G284" i="5"/>
  <c r="Q278" i="2"/>
  <c r="I278" i="12"/>
  <c r="K274" i="12"/>
  <c r="L274" i="12"/>
  <c r="G268" i="5"/>
  <c r="Q266" i="2"/>
  <c r="G260" i="5"/>
  <c r="Q258" i="2"/>
  <c r="I258" i="12"/>
  <c r="K258" i="12"/>
  <c r="I254" i="12"/>
  <c r="K254" i="12"/>
  <c r="G256" i="5"/>
  <c r="I246" i="12"/>
  <c r="G248" i="5"/>
  <c r="Q238" i="2"/>
  <c r="I238" i="12"/>
  <c r="Q234" i="2"/>
  <c r="G236" i="5"/>
  <c r="Q230" i="2"/>
  <c r="I230" i="12"/>
  <c r="K230" i="12"/>
  <c r="Q222" i="2"/>
  <c r="G224" i="5"/>
  <c r="Q218" i="2"/>
  <c r="G220" i="5"/>
  <c r="I210" i="12"/>
  <c r="K210" i="12"/>
  <c r="G212" i="5"/>
  <c r="Q202" i="2"/>
  <c r="I202" i="12"/>
  <c r="K202" i="12"/>
  <c r="G204" i="5"/>
  <c r="I198" i="12"/>
  <c r="Q198" i="2"/>
  <c r="Q186" i="2"/>
  <c r="G188" i="5"/>
  <c r="G180" i="5"/>
  <c r="H180" i="5"/>
  <c r="Q178" i="2"/>
  <c r="G172" i="5"/>
  <c r="H172" i="5"/>
  <c r="Q170" i="2"/>
  <c r="Q166" i="2"/>
  <c r="G168" i="5"/>
  <c r="I162" i="12"/>
  <c r="K162" i="12"/>
  <c r="Q162" i="2"/>
  <c r="Q158" i="2"/>
  <c r="I158" i="12"/>
  <c r="K158" i="12"/>
  <c r="I146" i="12"/>
  <c r="Q146" i="2"/>
  <c r="G144" i="5"/>
  <c r="Q142" i="2"/>
  <c r="Q138" i="2"/>
  <c r="I138" i="12"/>
  <c r="I134" i="12"/>
  <c r="Q134" i="2"/>
  <c r="G128" i="5"/>
  <c r="Q126" i="2"/>
  <c r="G120" i="5"/>
  <c r="I118" i="12"/>
  <c r="L118" i="12"/>
  <c r="I114" i="12"/>
  <c r="Q114" i="2"/>
  <c r="G112" i="5"/>
  <c r="I110" i="12"/>
  <c r="L110" i="12"/>
  <c r="N110" i="12"/>
  <c r="G108" i="5"/>
  <c r="I106" i="12"/>
  <c r="Q98" i="2"/>
  <c r="G100" i="5"/>
  <c r="I98" i="12"/>
  <c r="I18" i="12"/>
  <c r="Q18" i="2"/>
  <c r="Q14" i="2"/>
  <c r="I14" i="12"/>
  <c r="G12" i="5"/>
  <c r="M6" i="2"/>
  <c r="Q339" i="2"/>
  <c r="G341" i="5"/>
  <c r="I339" i="12"/>
  <c r="I311" i="12"/>
  <c r="Q311" i="2"/>
  <c r="Q307" i="2"/>
  <c r="G309" i="5"/>
  <c r="I283" i="12"/>
  <c r="Q283" i="2"/>
  <c r="Q275" i="2"/>
  <c r="I275" i="12"/>
  <c r="Q267" i="2"/>
  <c r="I267" i="12"/>
  <c r="G269" i="5"/>
  <c r="Q251" i="2"/>
  <c r="I251" i="12"/>
  <c r="I243" i="12"/>
  <c r="Q243" i="2"/>
  <c r="G245" i="5"/>
  <c r="G237" i="5"/>
  <c r="I235" i="12"/>
  <c r="I227" i="12"/>
  <c r="L227" i="12"/>
  <c r="N227" i="12"/>
  <c r="Q227" i="2"/>
  <c r="G229" i="5"/>
  <c r="G221" i="5"/>
  <c r="H221" i="5"/>
  <c r="Q219" i="2"/>
  <c r="Q215" i="2"/>
  <c r="I215" i="12"/>
  <c r="Q211" i="2"/>
  <c r="I211" i="12"/>
  <c r="K211" i="12"/>
  <c r="G209" i="5"/>
  <c r="Q207" i="2"/>
  <c r="I195" i="12"/>
  <c r="G197" i="5"/>
  <c r="Q191" i="2"/>
  <c r="I191" i="12"/>
  <c r="G193" i="5"/>
  <c r="K187" i="12"/>
  <c r="L187" i="12"/>
  <c r="Q183" i="2"/>
  <c r="I183" i="12"/>
  <c r="I179" i="12"/>
  <c r="G181" i="5"/>
  <c r="Q179" i="2"/>
  <c r="I175" i="12"/>
  <c r="G177" i="5"/>
  <c r="H177" i="5"/>
  <c r="Q171" i="2"/>
  <c r="G173" i="5"/>
  <c r="Q163" i="2"/>
  <c r="G165" i="5"/>
  <c r="I163" i="12"/>
  <c r="Q159" i="2"/>
  <c r="I159" i="12"/>
  <c r="G161" i="5"/>
  <c r="H161" i="5"/>
  <c r="I155" i="12"/>
  <c r="Q155" i="2"/>
  <c r="I151" i="12"/>
  <c r="Q151" i="2"/>
  <c r="I147" i="12"/>
  <c r="G149" i="5"/>
  <c r="H149" i="5"/>
  <c r="Q147" i="2"/>
  <c r="G145" i="5"/>
  <c r="I143" i="12"/>
  <c r="Q143" i="2"/>
  <c r="G141" i="5"/>
  <c r="H141" i="5"/>
  <c r="I139" i="12"/>
  <c r="L139" i="12"/>
  <c r="I135" i="12"/>
  <c r="G137" i="5"/>
  <c r="G133" i="5"/>
  <c r="H133" i="5"/>
  <c r="I131" i="12"/>
  <c r="I127" i="12"/>
  <c r="G129" i="5"/>
  <c r="H129" i="5"/>
  <c r="G125" i="5"/>
  <c r="I123" i="12"/>
  <c r="K123" i="12"/>
  <c r="G117" i="5"/>
  <c r="H117" i="5"/>
  <c r="Q115" i="2"/>
  <c r="G113" i="5"/>
  <c r="I111" i="12"/>
  <c r="L111" i="12"/>
  <c r="G105" i="5"/>
  <c r="H105" i="5"/>
  <c r="Q103" i="2"/>
  <c r="I103" i="12"/>
  <c r="I99" i="12"/>
  <c r="Q99" i="2"/>
  <c r="G101" i="5"/>
  <c r="H101" i="5"/>
  <c r="G97" i="5"/>
  <c r="I95" i="12"/>
  <c r="Q91" i="2"/>
  <c r="G93" i="5"/>
  <c r="I83" i="12"/>
  <c r="G85" i="5"/>
  <c r="Q83" i="2"/>
  <c r="I75" i="12"/>
  <c r="Q75" i="2"/>
  <c r="G73" i="5"/>
  <c r="Q71" i="2"/>
  <c r="Q67" i="2"/>
  <c r="I67" i="12"/>
  <c r="L67" i="12"/>
  <c r="G65" i="5"/>
  <c r="Q63" i="2"/>
  <c r="I59" i="12"/>
  <c r="L59" i="12"/>
  <c r="Q59" i="2"/>
  <c r="G53" i="5"/>
  <c r="H53" i="5"/>
  <c r="Q51" i="2"/>
  <c r="I51" i="12"/>
  <c r="K51" i="12"/>
  <c r="I47" i="12"/>
  <c r="K47" i="12"/>
  <c r="G49" i="5"/>
  <c r="K43" i="12"/>
  <c r="L43" i="12"/>
  <c r="N43" i="12"/>
  <c r="Q31" i="2"/>
  <c r="I31" i="12"/>
  <c r="K31" i="12"/>
  <c r="I27" i="12"/>
  <c r="Q27" i="2"/>
  <c r="G29" i="5"/>
  <c r="H29" i="5"/>
  <c r="I19" i="12"/>
  <c r="K19" i="12"/>
  <c r="Q19" i="2"/>
  <c r="G17" i="5"/>
  <c r="I15" i="12"/>
  <c r="Q15" i="2"/>
  <c r="Q340" i="2"/>
  <c r="I340" i="12"/>
  <c r="K340" i="12"/>
  <c r="Q332" i="2"/>
  <c r="I332" i="12"/>
  <c r="K332" i="12"/>
  <c r="G334" i="5"/>
  <c r="H334" i="5"/>
  <c r="I324" i="12"/>
  <c r="Q324" i="2"/>
  <c r="G318" i="5"/>
  <c r="I316" i="12"/>
  <c r="K316" i="12"/>
  <c r="Q308" i="2"/>
  <c r="I308" i="12"/>
  <c r="K308" i="12"/>
  <c r="Q300" i="2"/>
  <c r="G302" i="5"/>
  <c r="I292" i="12"/>
  <c r="K292" i="12"/>
  <c r="G294" i="5"/>
  <c r="H294" i="5"/>
  <c r="Q284" i="2"/>
  <c r="I284" i="12"/>
  <c r="G286" i="5"/>
  <c r="G266" i="5"/>
  <c r="Q264" i="2"/>
  <c r="G258" i="5"/>
  <c r="H258" i="5"/>
  <c r="I256" i="12"/>
  <c r="I248" i="12"/>
  <c r="Q248" i="2"/>
  <c r="Q228" i="2"/>
  <c r="G230" i="5"/>
  <c r="H230" i="5"/>
  <c r="G226" i="5"/>
  <c r="Q224" i="2"/>
  <c r="L216" i="12"/>
  <c r="N216" i="12"/>
  <c r="K216" i="12"/>
  <c r="Q204" i="2"/>
  <c r="G206" i="5"/>
  <c r="I204" i="12"/>
  <c r="G198" i="5"/>
  <c r="I196" i="12"/>
  <c r="I188" i="12"/>
  <c r="K188" i="12"/>
  <c r="Q188" i="2"/>
  <c r="I184" i="12"/>
  <c r="K184" i="12"/>
  <c r="G186" i="5"/>
  <c r="Q180" i="2"/>
  <c r="I180" i="12"/>
  <c r="G178" i="5"/>
  <c r="I176" i="12"/>
  <c r="Q172" i="2"/>
  <c r="I172" i="12"/>
  <c r="G174" i="5"/>
  <c r="H174" i="5"/>
  <c r="Q168" i="2"/>
  <c r="I168" i="12"/>
  <c r="K168" i="12"/>
  <c r="G170" i="5"/>
  <c r="L164" i="12"/>
  <c r="K164" i="12"/>
  <c r="G150" i="5"/>
  <c r="I148" i="12"/>
  <c r="L148" i="12"/>
  <c r="Q148" i="2"/>
  <c r="Q144" i="2"/>
  <c r="I144" i="12"/>
  <c r="L144" i="12"/>
  <c r="Q140" i="2"/>
  <c r="I140" i="12"/>
  <c r="G142" i="5"/>
  <c r="H142" i="5"/>
  <c r="G138" i="5"/>
  <c r="Q136" i="2"/>
  <c r="Q128" i="2"/>
  <c r="G130" i="5"/>
  <c r="I128" i="12"/>
  <c r="Q120" i="2"/>
  <c r="I120" i="12"/>
  <c r="I112" i="12"/>
  <c r="G114" i="5"/>
  <c r="G110" i="5"/>
  <c r="I108" i="12"/>
  <c r="G98" i="5"/>
  <c r="Q96" i="2"/>
  <c r="I92" i="12"/>
  <c r="G94" i="5"/>
  <c r="G90" i="5"/>
  <c r="I88" i="12"/>
  <c r="G82" i="5"/>
  <c r="Q80" i="2"/>
  <c r="G78" i="5"/>
  <c r="H78" i="5"/>
  <c r="Q76" i="2"/>
  <c r="Q68" i="2"/>
  <c r="G70" i="5"/>
  <c r="H70" i="5"/>
  <c r="Q56" i="2"/>
  <c r="I56" i="12"/>
  <c r="Q36" i="2"/>
  <c r="G38" i="5"/>
  <c r="Q28" i="2"/>
  <c r="G30" i="5"/>
  <c r="H30" i="5"/>
  <c r="I28" i="12"/>
  <c r="G22" i="5"/>
  <c r="H22" i="5"/>
  <c r="Q20" i="2"/>
  <c r="I20" i="12"/>
  <c r="L20" i="12"/>
  <c r="Q16" i="2"/>
  <c r="I16" i="12"/>
  <c r="K12" i="12"/>
  <c r="L12" i="12"/>
  <c r="N12" i="12"/>
  <c r="Q10" i="2"/>
  <c r="I23" i="12"/>
  <c r="Q55" i="2"/>
  <c r="I79" i="12"/>
  <c r="Q175" i="2"/>
  <c r="L247" i="12"/>
  <c r="K223" i="12"/>
  <c r="G69" i="5"/>
  <c r="H69" i="5"/>
  <c r="G45" i="5"/>
  <c r="Q289" i="2"/>
  <c r="G323" i="5"/>
  <c r="L330" i="12"/>
  <c r="L270" i="12"/>
  <c r="K22" i="12"/>
  <c r="L35" i="12"/>
  <c r="K276" i="12"/>
  <c r="K62" i="12"/>
  <c r="L34" i="12"/>
  <c r="K66" i="12"/>
  <c r="K203" i="12"/>
  <c r="L299" i="12"/>
  <c r="I109" i="12"/>
  <c r="K109" i="12"/>
  <c r="I77" i="12"/>
  <c r="K77" i="12"/>
  <c r="G61" i="5"/>
  <c r="G109" i="5"/>
  <c r="G189" i="5"/>
  <c r="Q231" i="2"/>
  <c r="G20" i="5"/>
  <c r="Q130" i="2"/>
  <c r="G136" i="5"/>
  <c r="I150" i="12"/>
  <c r="G164" i="5"/>
  <c r="I170" i="12"/>
  <c r="I174" i="12"/>
  <c r="I182" i="12"/>
  <c r="I186" i="12"/>
  <c r="I194" i="12"/>
  <c r="G208" i="5"/>
  <c r="Q210" i="2"/>
  <c r="I218" i="12"/>
  <c r="G228" i="5"/>
  <c r="Q250" i="2"/>
  <c r="I266" i="12"/>
  <c r="G276" i="5"/>
  <c r="G296" i="5"/>
  <c r="I314" i="12"/>
  <c r="I326" i="12"/>
  <c r="Q240" i="2"/>
  <c r="I312" i="12"/>
  <c r="L312" i="12"/>
  <c r="N312" i="12"/>
  <c r="Q336" i="2"/>
  <c r="G37" i="5"/>
  <c r="G89" i="5"/>
  <c r="Q135" i="2"/>
  <c r="G169" i="5"/>
  <c r="H169" i="5"/>
  <c r="G225" i="5"/>
  <c r="I271" i="12"/>
  <c r="G285" i="5"/>
  <c r="H285" i="5"/>
  <c r="G16" i="5"/>
  <c r="I102" i="12"/>
  <c r="Q106" i="2"/>
  <c r="G124" i="5"/>
  <c r="I126" i="12"/>
  <c r="I142" i="12"/>
  <c r="K142" i="12"/>
  <c r="I154" i="12"/>
  <c r="K154" i="12"/>
  <c r="I222" i="12"/>
  <c r="Q242" i="2"/>
  <c r="Q246" i="2"/>
  <c r="Q262" i="2"/>
  <c r="G280" i="5"/>
  <c r="I286" i="12"/>
  <c r="G304" i="5"/>
  <c r="I310" i="12"/>
  <c r="G324" i="5"/>
  <c r="Q330" i="2"/>
  <c r="I342" i="12"/>
  <c r="G298" i="5"/>
  <c r="H298" i="5"/>
  <c r="I320" i="12"/>
  <c r="K320" i="12"/>
  <c r="G346" i="5"/>
  <c r="G205" i="5"/>
  <c r="Q299" i="2"/>
  <c r="I307" i="12"/>
  <c r="L307" i="12"/>
  <c r="G153" i="5"/>
  <c r="I219" i="12"/>
  <c r="L219" i="12"/>
  <c r="Q196" i="2"/>
  <c r="G326" i="5"/>
  <c r="G166" i="5"/>
  <c r="H166" i="5"/>
  <c r="I91" i="12"/>
  <c r="K91" i="12"/>
  <c r="G277" i="5"/>
  <c r="H277" i="5"/>
  <c r="Q256" i="2"/>
  <c r="I199" i="12"/>
  <c r="I224" i="12"/>
  <c r="I115" i="12"/>
  <c r="L295" i="12"/>
  <c r="K295" i="12"/>
  <c r="G157" i="5"/>
  <c r="I71" i="12"/>
  <c r="I228" i="12"/>
  <c r="G77" i="5"/>
  <c r="H77" i="5"/>
  <c r="G13" i="5"/>
  <c r="H13" i="5"/>
  <c r="Q11" i="2"/>
  <c r="K277" i="12"/>
  <c r="Q127" i="2"/>
  <c r="Q110" i="2"/>
  <c r="Q150" i="2"/>
  <c r="Q214" i="2"/>
  <c r="Q95" i="2"/>
  <c r="L269" i="12"/>
  <c r="N269" i="12"/>
  <c r="K269" i="12"/>
  <c r="G14" i="5"/>
  <c r="H14" i="5"/>
  <c r="I264" i="12"/>
  <c r="K264" i="12"/>
  <c r="Q111" i="2"/>
  <c r="G253" i="5"/>
  <c r="Q199" i="2"/>
  <c r="I104" i="12"/>
  <c r="G234" i="5"/>
  <c r="H234" i="5"/>
  <c r="Q104" i="2"/>
  <c r="G154" i="5"/>
  <c r="H154" i="5"/>
  <c r="G218" i="5"/>
  <c r="G331" i="5"/>
  <c r="I329" i="12"/>
  <c r="Q317" i="2"/>
  <c r="G319" i="5"/>
  <c r="I317" i="12"/>
  <c r="L317" i="12"/>
  <c r="G27" i="5"/>
  <c r="Q25" i="2"/>
  <c r="Q279" i="2"/>
  <c r="I279" i="12"/>
  <c r="Q197" i="2"/>
  <c r="I197" i="12"/>
  <c r="L6" i="2"/>
  <c r="Q161" i="2"/>
  <c r="Q145" i="2"/>
  <c r="I287" i="12"/>
  <c r="L287" i="12"/>
  <c r="N287" i="12"/>
  <c r="Q185" i="2"/>
  <c r="Q249" i="2"/>
  <c r="I25" i="12"/>
  <c r="L25" i="12"/>
  <c r="Q73" i="2"/>
  <c r="Q137" i="2"/>
  <c r="I229" i="12"/>
  <c r="K229" i="12"/>
  <c r="Q233" i="2"/>
  <c r="Q245" i="2"/>
  <c r="I265" i="12"/>
  <c r="Q329" i="2"/>
  <c r="Q225" i="2"/>
  <c r="Q209" i="2"/>
  <c r="I129" i="12"/>
  <c r="K129" i="12"/>
  <c r="I65" i="12"/>
  <c r="Q49" i="2"/>
  <c r="I263" i="12"/>
  <c r="L263" i="12"/>
  <c r="N263" i="12"/>
  <c r="Q255" i="2"/>
  <c r="Q173" i="2"/>
  <c r="Q17" i="2"/>
  <c r="E153" i="5"/>
  <c r="D151" i="12"/>
  <c r="O151" i="2"/>
  <c r="E98" i="5"/>
  <c r="F98" i="5"/>
  <c r="H98" i="5"/>
  <c r="O96" i="2"/>
  <c r="D96" i="12"/>
  <c r="E60" i="5"/>
  <c r="D58" i="12"/>
  <c r="O58" i="2"/>
  <c r="E327" i="5"/>
  <c r="F327" i="5"/>
  <c r="H327" i="5"/>
  <c r="P325" i="2"/>
  <c r="O325" i="2"/>
  <c r="D325" i="12"/>
  <c r="E311" i="5"/>
  <c r="F311" i="5"/>
  <c r="H311" i="5"/>
  <c r="O309" i="2"/>
  <c r="D309" i="12"/>
  <c r="P309" i="2"/>
  <c r="E295" i="5"/>
  <c r="F295" i="5"/>
  <c r="H295" i="5"/>
  <c r="P293" i="2"/>
  <c r="O293" i="2"/>
  <c r="D293" i="12"/>
  <c r="F293" i="12"/>
  <c r="E279" i="5"/>
  <c r="F279" i="5"/>
  <c r="H279" i="5"/>
  <c r="O277" i="2"/>
  <c r="D277" i="12"/>
  <c r="P277" i="2"/>
  <c r="E262" i="5"/>
  <c r="O260" i="2"/>
  <c r="E121" i="5"/>
  <c r="P119" i="2"/>
  <c r="D119" i="12"/>
  <c r="E76" i="5"/>
  <c r="F76" i="5"/>
  <c r="H76" i="5"/>
  <c r="O74" i="2"/>
  <c r="E41" i="5"/>
  <c r="F41" i="5"/>
  <c r="H41" i="5"/>
  <c r="O39" i="2"/>
  <c r="N60" i="12"/>
  <c r="F214" i="5"/>
  <c r="H214" i="5"/>
  <c r="N178" i="12"/>
  <c r="F83" i="12"/>
  <c r="G233" i="12"/>
  <c r="F12" i="12"/>
  <c r="G131" i="12"/>
  <c r="G273" i="12"/>
  <c r="N273" i="12"/>
  <c r="D167" i="5"/>
  <c r="F167" i="5"/>
  <c r="H167" i="5"/>
  <c r="D165" i="12"/>
  <c r="D171" i="5"/>
  <c r="F171" i="5"/>
  <c r="H171" i="5"/>
  <c r="P169" i="2"/>
  <c r="D173" i="12"/>
  <c r="P173" i="2"/>
  <c r="D179" i="5"/>
  <c r="F179" i="5"/>
  <c r="H179" i="5"/>
  <c r="P177" i="2"/>
  <c r="O181" i="2"/>
  <c r="P181" i="2"/>
  <c r="D185" i="12"/>
  <c r="D187" i="5"/>
  <c r="F187" i="5"/>
  <c r="H187" i="5"/>
  <c r="O189" i="2"/>
  <c r="D189" i="12"/>
  <c r="E319" i="5"/>
  <c r="O317" i="2"/>
  <c r="D317" i="12"/>
  <c r="E160" i="5"/>
  <c r="O158" i="2"/>
  <c r="E64" i="5"/>
  <c r="F64" i="5"/>
  <c r="H64" i="5"/>
  <c r="D62" i="12"/>
  <c r="G62" i="12"/>
  <c r="E48" i="5"/>
  <c r="D46" i="12"/>
  <c r="F319" i="5"/>
  <c r="H319" i="5"/>
  <c r="D167" i="12"/>
  <c r="P167" i="2"/>
  <c r="O171" i="2"/>
  <c r="P171" i="2"/>
  <c r="D175" i="12"/>
  <c r="O175" i="2"/>
  <c r="D181" i="5"/>
  <c r="F181" i="5"/>
  <c r="H181" i="5"/>
  <c r="O179" i="2"/>
  <c r="P179" i="2"/>
  <c r="D179" i="12"/>
  <c r="G179" i="12"/>
  <c r="O183" i="2"/>
  <c r="D185" i="5"/>
  <c r="F185" i="5"/>
  <c r="H185" i="5"/>
  <c r="D183" i="12"/>
  <c r="P183" i="2"/>
  <c r="D187" i="12"/>
  <c r="D189" i="5"/>
  <c r="F189" i="5"/>
  <c r="H189" i="5"/>
  <c r="P187" i="2"/>
  <c r="O187" i="2"/>
  <c r="P191" i="2"/>
  <c r="D193" i="5"/>
  <c r="F193" i="5"/>
  <c r="H193" i="5"/>
  <c r="D191" i="12"/>
  <c r="O191" i="2"/>
  <c r="P195" i="2"/>
  <c r="O195" i="2"/>
  <c r="D197" i="5"/>
  <c r="F197" i="5"/>
  <c r="H197" i="5"/>
  <c r="E209" i="5"/>
  <c r="F209" i="5"/>
  <c r="H209" i="5"/>
  <c r="D207" i="12"/>
  <c r="G207" i="12"/>
  <c r="O207" i="2"/>
  <c r="P207" i="2"/>
  <c r="E144" i="5"/>
  <c r="D142" i="12"/>
  <c r="E72" i="5"/>
  <c r="P70" i="2"/>
  <c r="E56" i="5"/>
  <c r="O54" i="2"/>
  <c r="I21" i="12"/>
  <c r="L21" i="12"/>
  <c r="F144" i="5"/>
  <c r="L208" i="12"/>
  <c r="D9" i="12"/>
  <c r="F9" i="12"/>
  <c r="G285" i="12"/>
  <c r="N285" i="12"/>
  <c r="L8" i="12"/>
  <c r="L162" i="12"/>
  <c r="K110" i="12"/>
  <c r="L47" i="12"/>
  <c r="N47" i="12"/>
  <c r="L230" i="12"/>
  <c r="K78" i="12"/>
  <c r="L78" i="12"/>
  <c r="N78" i="12"/>
  <c r="K235" i="12"/>
  <c r="L235" i="12"/>
  <c r="N235" i="12"/>
  <c r="K315" i="12"/>
  <c r="L315" i="12"/>
  <c r="N315" i="12"/>
  <c r="G24" i="5"/>
  <c r="Q22" i="2"/>
  <c r="K273" i="12"/>
  <c r="K287" i="12"/>
  <c r="P17" i="2"/>
  <c r="O17" i="2"/>
  <c r="D19" i="5"/>
  <c r="F19" i="5"/>
  <c r="H19" i="5"/>
  <c r="D24" i="5"/>
  <c r="F24" i="5"/>
  <c r="D22" i="12"/>
  <c r="D26" i="12"/>
  <c r="P26" i="2"/>
  <c r="D30" i="12"/>
  <c r="D32" i="5"/>
  <c r="F32" i="5"/>
  <c r="H32" i="5"/>
  <c r="P34" i="2"/>
  <c r="D34" i="12"/>
  <c r="G34" i="12"/>
  <c r="N34" i="12"/>
  <c r="D38" i="12"/>
  <c r="D40" i="5"/>
  <c r="F40" i="5"/>
  <c r="H40" i="5"/>
  <c r="P42" i="2"/>
  <c r="O42" i="2"/>
  <c r="O46" i="2"/>
  <c r="D48" i="5"/>
  <c r="D50" i="12"/>
  <c r="P50" i="2"/>
  <c r="D56" i="5"/>
  <c r="P54" i="2"/>
  <c r="D60" i="5"/>
  <c r="F60" i="5"/>
  <c r="H60" i="5"/>
  <c r="P58" i="2"/>
  <c r="P62" i="2"/>
  <c r="O62" i="2"/>
  <c r="D68" i="5"/>
  <c r="F68" i="5"/>
  <c r="H68" i="5"/>
  <c r="D66" i="12"/>
  <c r="D70" i="12"/>
  <c r="D72" i="5"/>
  <c r="D74" i="12"/>
  <c r="G74" i="12"/>
  <c r="N74" i="12"/>
  <c r="P74" i="2"/>
  <c r="P78" i="2"/>
  <c r="O78" i="2"/>
  <c r="D82" i="12"/>
  <c r="D84" i="5"/>
  <c r="F84" i="5"/>
  <c r="H84" i="5"/>
  <c r="D86" i="12"/>
  <c r="P86" i="2"/>
  <c r="P90" i="2"/>
  <c r="D92" i="5"/>
  <c r="F92" i="5"/>
  <c r="H92" i="5"/>
  <c r="P94" i="2"/>
  <c r="O94" i="2"/>
  <c r="D100" i="5"/>
  <c r="F100" i="5"/>
  <c r="H100" i="5"/>
  <c r="O98" i="2"/>
  <c r="O102" i="2"/>
  <c r="P102" i="2"/>
  <c r="P106" i="2"/>
  <c r="D106" i="12"/>
  <c r="O110" i="2"/>
  <c r="D112" i="5"/>
  <c r="F112" i="5"/>
  <c r="D116" i="5"/>
  <c r="F116" i="5"/>
  <c r="H116" i="5"/>
  <c r="O114" i="2"/>
  <c r="D120" i="5"/>
  <c r="F120" i="5"/>
  <c r="H120" i="5"/>
  <c r="P118" i="2"/>
  <c r="O122" i="2"/>
  <c r="D124" i="5"/>
  <c r="F124" i="5"/>
  <c r="D128" i="5"/>
  <c r="F128" i="5"/>
  <c r="H128" i="5"/>
  <c r="O126" i="2"/>
  <c r="D130" i="12"/>
  <c r="G130" i="12"/>
  <c r="O130" i="2"/>
  <c r="F319" i="12"/>
  <c r="D25" i="5"/>
  <c r="F25" i="5"/>
  <c r="H25" i="5"/>
  <c r="O23" i="2"/>
  <c r="D34" i="5"/>
  <c r="F34" i="5"/>
  <c r="H34" i="5"/>
  <c r="D32" i="12"/>
  <c r="D38" i="5"/>
  <c r="F38" i="5"/>
  <c r="D36" i="12"/>
  <c r="D42" i="5"/>
  <c r="F42" i="5"/>
  <c r="H42" i="5"/>
  <c r="P40" i="2"/>
  <c r="O48" i="2"/>
  <c r="D48" i="12"/>
  <c r="O52" i="2"/>
  <c r="P52" i="2"/>
  <c r="D58" i="5"/>
  <c r="F58" i="5"/>
  <c r="H58" i="5"/>
  <c r="D56" i="12"/>
  <c r="D66" i="5"/>
  <c r="F66" i="5"/>
  <c r="H66" i="5"/>
  <c r="P64" i="2"/>
  <c r="O68" i="2"/>
  <c r="D68" i="12"/>
  <c r="D72" i="12"/>
  <c r="D74" i="5"/>
  <c r="F74" i="5"/>
  <c r="H74" i="5"/>
  <c r="O76" i="2"/>
  <c r="D76" i="12"/>
  <c r="D80" i="12"/>
  <c r="D82" i="5"/>
  <c r="F82" i="5"/>
  <c r="H82" i="5"/>
  <c r="D84" i="12"/>
  <c r="O84" i="2"/>
  <c r="O88" i="2"/>
  <c r="P88" i="2"/>
  <c r="D92" i="12"/>
  <c r="P92" i="2"/>
  <c r="O100" i="2"/>
  <c r="P100" i="2"/>
  <c r="D104" i="12"/>
  <c r="P104" i="2"/>
  <c r="D108" i="12"/>
  <c r="D110" i="5"/>
  <c r="F110" i="5"/>
  <c r="H110" i="5"/>
  <c r="P112" i="2"/>
  <c r="D114" i="5"/>
  <c r="F114" i="5"/>
  <c r="H114" i="5"/>
  <c r="D122" i="5"/>
  <c r="F122" i="5"/>
  <c r="H122" i="5"/>
  <c r="P120" i="2"/>
  <c r="D124" i="12"/>
  <c r="O124" i="2"/>
  <c r="D128" i="12"/>
  <c r="O128" i="2"/>
  <c r="O132" i="2"/>
  <c r="P132" i="2"/>
  <c r="P136" i="2"/>
  <c r="D138" i="5"/>
  <c r="F138" i="5"/>
  <c r="H138" i="5"/>
  <c r="P144" i="2"/>
  <c r="D144" i="12"/>
  <c r="D150" i="5"/>
  <c r="F150" i="5"/>
  <c r="O148" i="2"/>
  <c r="O152" i="2"/>
  <c r="D152" i="12"/>
  <c r="D158" i="5"/>
  <c r="F158" i="5"/>
  <c r="H158" i="5"/>
  <c r="O156" i="2"/>
  <c r="D162" i="5"/>
  <c r="F162" i="5"/>
  <c r="H162" i="5"/>
  <c r="P160" i="2"/>
  <c r="P164" i="2"/>
  <c r="D164" i="12"/>
  <c r="G164" i="12"/>
  <c r="N164" i="12"/>
  <c r="O168" i="2"/>
  <c r="D168" i="12"/>
  <c r="O172" i="2"/>
  <c r="D172" i="12"/>
  <c r="D176" i="12"/>
  <c r="O176" i="2"/>
  <c r="D180" i="12"/>
  <c r="D182" i="5"/>
  <c r="F182" i="5"/>
  <c r="H182" i="5"/>
  <c r="K67" i="12"/>
  <c r="I94" i="12"/>
  <c r="K94" i="12"/>
  <c r="L189" i="12"/>
  <c r="P215" i="2"/>
  <c r="D6" i="2"/>
  <c r="D195" i="12"/>
  <c r="E248" i="2"/>
  <c r="O248" i="2"/>
  <c r="AD6" i="1"/>
  <c r="D13" i="12"/>
  <c r="G13" i="12"/>
  <c r="D15" i="5"/>
  <c r="F15" i="5"/>
  <c r="H15" i="5"/>
  <c r="O13" i="2"/>
  <c r="P13" i="2"/>
  <c r="P184" i="2"/>
  <c r="O184" i="2"/>
  <c r="D186" i="5"/>
  <c r="F186" i="5"/>
  <c r="H186" i="5"/>
  <c r="D184" i="12"/>
  <c r="D188" i="12"/>
  <c r="D190" i="5"/>
  <c r="F190" i="5"/>
  <c r="H190" i="5"/>
  <c r="O188" i="2"/>
  <c r="P192" i="2"/>
  <c r="D192" i="12"/>
  <c r="D194" i="5"/>
  <c r="F194" i="5"/>
  <c r="H194" i="5"/>
  <c r="P196" i="2"/>
  <c r="D196" i="12"/>
  <c r="D198" i="5"/>
  <c r="F198" i="5"/>
  <c r="H198" i="5"/>
  <c r="P200" i="2"/>
  <c r="D200" i="12"/>
  <c r="D202" i="5"/>
  <c r="F202" i="5"/>
  <c r="H202" i="5"/>
  <c r="D206" i="5"/>
  <c r="F206" i="5"/>
  <c r="H206" i="5"/>
  <c r="O204" i="2"/>
  <c r="P204" i="2"/>
  <c r="D210" i="5"/>
  <c r="F210" i="5"/>
  <c r="H210" i="5"/>
  <c r="D208" i="12"/>
  <c r="P208" i="2"/>
  <c r="P212" i="2"/>
  <c r="D212" i="12"/>
  <c r="O212" i="2"/>
  <c r="P216" i="2"/>
  <c r="O216" i="2"/>
  <c r="D218" i="5"/>
  <c r="F218" i="5"/>
  <c r="H218" i="5"/>
  <c r="O220" i="2"/>
  <c r="D220" i="12"/>
  <c r="D222" i="5"/>
  <c r="F222" i="5"/>
  <c r="H222" i="5"/>
  <c r="D226" i="5"/>
  <c r="F226" i="5"/>
  <c r="H226" i="5"/>
  <c r="O224" i="2"/>
  <c r="P224" i="2"/>
  <c r="D228" i="12"/>
  <c r="O228" i="2"/>
  <c r="P228" i="2"/>
  <c r="O232" i="2"/>
  <c r="D232" i="12"/>
  <c r="P232" i="2"/>
  <c r="P236" i="2"/>
  <c r="O236" i="2"/>
  <c r="D236" i="12"/>
  <c r="D240" i="12"/>
  <c r="D242" i="5"/>
  <c r="F242" i="5"/>
  <c r="H242" i="5"/>
  <c r="O240" i="2"/>
  <c r="D244" i="12"/>
  <c r="O244" i="2"/>
  <c r="D246" i="5"/>
  <c r="F246" i="5"/>
  <c r="H246" i="5"/>
  <c r="D250" i="5"/>
  <c r="P248" i="2"/>
  <c r="D254" i="5"/>
  <c r="F254" i="5"/>
  <c r="H254" i="5"/>
  <c r="P252" i="2"/>
  <c r="O252" i="2"/>
  <c r="P256" i="2"/>
  <c r="D256" i="12"/>
  <c r="O256" i="2"/>
  <c r="D260" i="12"/>
  <c r="D262" i="5"/>
  <c r="F262" i="5"/>
  <c r="H262" i="5"/>
  <c r="P260" i="2"/>
  <c r="O264" i="2"/>
  <c r="D266" i="5"/>
  <c r="F266" i="5"/>
  <c r="H266" i="5"/>
  <c r="D264" i="12"/>
  <c r="P268" i="2"/>
  <c r="O268" i="2"/>
  <c r="D270" i="5"/>
  <c r="F270" i="5"/>
  <c r="H270" i="5"/>
  <c r="D274" i="5"/>
  <c r="F274" i="5"/>
  <c r="H274" i="5"/>
  <c r="O272" i="2"/>
  <c r="P276" i="2"/>
  <c r="D278" i="5"/>
  <c r="F278" i="5"/>
  <c r="H278" i="5"/>
  <c r="O280" i="2"/>
  <c r="D280" i="12"/>
  <c r="D284" i="12"/>
  <c r="P284" i="2"/>
  <c r="O288" i="2"/>
  <c r="P288" i="2"/>
  <c r="P292" i="2"/>
  <c r="D292" i="12"/>
  <c r="D296" i="12"/>
  <c r="P296" i="2"/>
  <c r="P300" i="2"/>
  <c r="D302" i="5"/>
  <c r="F302" i="5"/>
  <c r="H302" i="5"/>
  <c r="P304" i="2"/>
  <c r="D306" i="5"/>
  <c r="F306" i="5"/>
  <c r="H306" i="5"/>
  <c r="P308" i="2"/>
  <c r="D310" i="5"/>
  <c r="F310" i="5"/>
  <c r="H310" i="5"/>
  <c r="D314" i="5"/>
  <c r="F314" i="5"/>
  <c r="H314" i="5"/>
  <c r="O312" i="2"/>
  <c r="D316" i="12"/>
  <c r="O316" i="2"/>
  <c r="D322" i="5"/>
  <c r="F322" i="5"/>
  <c r="H322" i="5"/>
  <c r="O320" i="2"/>
  <c r="O324" i="2"/>
  <c r="D326" i="5"/>
  <c r="F326" i="5"/>
  <c r="O11" i="2"/>
  <c r="D11" i="12"/>
  <c r="O16" i="2"/>
  <c r="D16" i="12"/>
  <c r="P20" i="2"/>
  <c r="D20" i="12"/>
  <c r="D26" i="5"/>
  <c r="F26" i="5"/>
  <c r="H26" i="5"/>
  <c r="D24" i="12"/>
  <c r="D27" i="12"/>
  <c r="P27" i="2"/>
  <c r="O31" i="2"/>
  <c r="P31" i="2"/>
  <c r="P35" i="2"/>
  <c r="D35" i="12"/>
  <c r="G35" i="12"/>
  <c r="D39" i="12"/>
  <c r="P39" i="2"/>
  <c r="O43" i="2"/>
  <c r="P43" i="2"/>
  <c r="D49" i="5"/>
  <c r="F49" i="5"/>
  <c r="H49" i="5"/>
  <c r="O47" i="2"/>
  <c r="P51" i="2"/>
  <c r="O51" i="2"/>
  <c r="P55" i="2"/>
  <c r="D55" i="12"/>
  <c r="D61" i="5"/>
  <c r="F61" i="5"/>
  <c r="H61" i="5"/>
  <c r="O59" i="2"/>
  <c r="P63" i="2"/>
  <c r="O63" i="2"/>
  <c r="D67" i="12"/>
  <c r="P67" i="2"/>
  <c r="D73" i="5"/>
  <c r="F73" i="5"/>
  <c r="H73" i="5"/>
  <c r="O71" i="2"/>
  <c r="D75" i="12"/>
  <c r="O75" i="2"/>
  <c r="D79" i="12"/>
  <c r="O79" i="2"/>
  <c r="D85" i="5"/>
  <c r="F85" i="5"/>
  <c r="H85" i="5"/>
  <c r="O83" i="2"/>
  <c r="D89" i="5"/>
  <c r="F89" i="5"/>
  <c r="H89" i="5"/>
  <c r="O87" i="2"/>
  <c r="D91" i="12"/>
  <c r="P91" i="2"/>
  <c r="D97" i="5"/>
  <c r="F97" i="5"/>
  <c r="H97" i="5"/>
  <c r="O95" i="2"/>
  <c r="O99" i="2"/>
  <c r="D99" i="12"/>
  <c r="F99" i="12"/>
  <c r="O103" i="2"/>
  <c r="D103" i="12"/>
  <c r="O107" i="2"/>
  <c r="D109" i="5"/>
  <c r="F109" i="5"/>
  <c r="D111" i="12"/>
  <c r="O111" i="2"/>
  <c r="O115" i="2"/>
  <c r="P115" i="2"/>
  <c r="O119" i="2"/>
  <c r="D121" i="5"/>
  <c r="F121" i="5"/>
  <c r="H121" i="5"/>
  <c r="O123" i="2"/>
  <c r="P123" i="2"/>
  <c r="D127" i="12"/>
  <c r="P127" i="2"/>
  <c r="O131" i="2"/>
  <c r="P131" i="2"/>
  <c r="O135" i="2"/>
  <c r="D137" i="5"/>
  <c r="F137" i="5"/>
  <c r="D139" i="12"/>
  <c r="P139" i="2"/>
  <c r="O143" i="2"/>
  <c r="D143" i="12"/>
  <c r="G143" i="12"/>
  <c r="O147" i="2"/>
  <c r="D147" i="12"/>
  <c r="D153" i="5"/>
  <c r="F153" i="5"/>
  <c r="H153" i="5"/>
  <c r="P151" i="2"/>
  <c r="D155" i="12"/>
  <c r="G155" i="12"/>
  <c r="O155" i="2"/>
  <c r="P159" i="2"/>
  <c r="D159" i="12"/>
  <c r="D163" i="12"/>
  <c r="O163" i="2"/>
  <c r="D17" i="5"/>
  <c r="F17" i="5"/>
  <c r="H17" i="5"/>
  <c r="D15" i="12"/>
  <c r="O15" i="2"/>
  <c r="D188" i="5"/>
  <c r="F188" i="5"/>
  <c r="H188" i="5"/>
  <c r="O186" i="2"/>
  <c r="D186" i="12"/>
  <c r="P186" i="2"/>
  <c r="P190" i="2"/>
  <c r="D192" i="5"/>
  <c r="F192" i="5"/>
  <c r="H192" i="5"/>
  <c r="O190" i="2"/>
  <c r="D190" i="12"/>
  <c r="F190" i="12"/>
  <c r="D196" i="5"/>
  <c r="F196" i="5"/>
  <c r="H196" i="5"/>
  <c r="O194" i="2"/>
  <c r="D194" i="12"/>
  <c r="F194" i="12"/>
  <c r="P194" i="2"/>
  <c r="O198" i="2"/>
  <c r="D200" i="5"/>
  <c r="F200" i="5"/>
  <c r="H200" i="5"/>
  <c r="P198" i="2"/>
  <c r="D198" i="12"/>
  <c r="D202" i="12"/>
  <c r="G202" i="12"/>
  <c r="D204" i="5"/>
  <c r="F204" i="5"/>
  <c r="H204" i="5"/>
  <c r="O202" i="2"/>
  <c r="P202" i="2"/>
  <c r="D208" i="5"/>
  <c r="F208" i="5"/>
  <c r="H208" i="5"/>
  <c r="P206" i="2"/>
  <c r="O206" i="2"/>
  <c r="D206" i="12"/>
  <c r="D210" i="12"/>
  <c r="O210" i="2"/>
  <c r="D212" i="5"/>
  <c r="F212" i="5"/>
  <c r="P210" i="2"/>
  <c r="D214" i="12"/>
  <c r="O214" i="2"/>
  <c r="D216" i="5"/>
  <c r="F216" i="5"/>
  <c r="H216" i="5"/>
  <c r="P214" i="2"/>
  <c r="D218" i="12"/>
  <c r="D220" i="5"/>
  <c r="F220" i="5"/>
  <c r="H220" i="5"/>
  <c r="P218" i="2"/>
  <c r="O218" i="2"/>
  <c r="D222" i="12"/>
  <c r="F222" i="12"/>
  <c r="O222" i="2"/>
  <c r="P222" i="2"/>
  <c r="D224" i="5"/>
  <c r="F224" i="5"/>
  <c r="H224" i="5"/>
  <c r="P226" i="2"/>
  <c r="D228" i="5"/>
  <c r="F228" i="5"/>
  <c r="H228" i="5"/>
  <c r="D226" i="12"/>
  <c r="G226" i="12"/>
  <c r="O226" i="2"/>
  <c r="P230" i="2"/>
  <c r="D232" i="5"/>
  <c r="F232" i="5"/>
  <c r="H232" i="5"/>
  <c r="D230" i="12"/>
  <c r="O230" i="2"/>
  <c r="D236" i="5"/>
  <c r="F236" i="5"/>
  <c r="D234" i="12"/>
  <c r="F234" i="12"/>
  <c r="P234" i="2"/>
  <c r="O234" i="2"/>
  <c r="O238" i="2"/>
  <c r="D238" i="12"/>
  <c r="P238" i="2"/>
  <c r="D240" i="5"/>
  <c r="F240" i="5"/>
  <c r="H240" i="5"/>
  <c r="P242" i="2"/>
  <c r="O242" i="2"/>
  <c r="D242" i="12"/>
  <c r="D244" i="5"/>
  <c r="F244" i="5"/>
  <c r="H244" i="5"/>
  <c r="P246" i="2"/>
  <c r="O246" i="2"/>
  <c r="D246" i="12"/>
  <c r="D248" i="5"/>
  <c r="F248" i="5"/>
  <c r="H248" i="5"/>
  <c r="D250" i="12"/>
  <c r="P250" i="2"/>
  <c r="D252" i="5"/>
  <c r="F252" i="5"/>
  <c r="H252" i="5"/>
  <c r="O250" i="2"/>
  <c r="P254" i="2"/>
  <c r="O254" i="2"/>
  <c r="D254" i="12"/>
  <c r="G254" i="12"/>
  <c r="D256" i="5"/>
  <c r="F256" i="5"/>
  <c r="H256" i="5"/>
  <c r="D260" i="5"/>
  <c r="F260" i="5"/>
  <c r="H260" i="5"/>
  <c r="D258" i="12"/>
  <c r="G258" i="12"/>
  <c r="O258" i="2"/>
  <c r="P258" i="2"/>
  <c r="P262" i="2"/>
  <c r="O262" i="2"/>
  <c r="D264" i="5"/>
  <c r="F264" i="5"/>
  <c r="H264" i="5"/>
  <c r="D262" i="12"/>
  <c r="D266" i="12"/>
  <c r="F266" i="12"/>
  <c r="O266" i="2"/>
  <c r="D268" i="5"/>
  <c r="F268" i="5"/>
  <c r="P266" i="2"/>
  <c r="O270" i="2"/>
  <c r="P270" i="2"/>
  <c r="D270" i="12"/>
  <c r="D272" i="5"/>
  <c r="F272" i="5"/>
  <c r="H272" i="5"/>
  <c r="D274" i="12"/>
  <c r="D276" i="5"/>
  <c r="F276" i="5"/>
  <c r="H276" i="5"/>
  <c r="O274" i="2"/>
  <c r="P274" i="2"/>
  <c r="D278" i="12"/>
  <c r="D280" i="5"/>
  <c r="F280" i="5"/>
  <c r="H280" i="5"/>
  <c r="P278" i="2"/>
  <c r="O278" i="2"/>
  <c r="P282" i="2"/>
  <c r="D284" i="5"/>
  <c r="F284" i="5"/>
  <c r="H284" i="5"/>
  <c r="D282" i="12"/>
  <c r="O282" i="2"/>
  <c r="D286" i="12"/>
  <c r="F286" i="12"/>
  <c r="O286" i="2"/>
  <c r="P286" i="2"/>
  <c r="D288" i="5"/>
  <c r="F288" i="5"/>
  <c r="H288" i="5"/>
  <c r="P290" i="2"/>
  <c r="D292" i="5"/>
  <c r="F292" i="5"/>
  <c r="H292" i="5"/>
  <c r="D290" i="12"/>
  <c r="G290" i="12"/>
  <c r="O290" i="2"/>
  <c r="O294" i="2"/>
  <c r="D296" i="5"/>
  <c r="F296" i="5"/>
  <c r="H296" i="5"/>
  <c r="D294" i="12"/>
  <c r="P294" i="2"/>
  <c r="D300" i="5"/>
  <c r="F300" i="5"/>
  <c r="H300" i="5"/>
  <c r="P298" i="2"/>
  <c r="O298" i="2"/>
  <c r="D298" i="12"/>
  <c r="F298" i="12"/>
  <c r="D302" i="12"/>
  <c r="D304" i="5"/>
  <c r="F304" i="5"/>
  <c r="H304" i="5"/>
  <c r="P302" i="2"/>
  <c r="O302" i="2"/>
  <c r="D306" i="12"/>
  <c r="P306" i="2"/>
  <c r="D308" i="5"/>
  <c r="F308" i="5"/>
  <c r="H308" i="5"/>
  <c r="O306" i="2"/>
  <c r="D312" i="5"/>
  <c r="F312" i="5"/>
  <c r="P310" i="2"/>
  <c r="D310" i="12"/>
  <c r="O310" i="2"/>
  <c r="P314" i="2"/>
  <c r="D314" i="12"/>
  <c r="D316" i="5"/>
  <c r="F316" i="5"/>
  <c r="H316" i="5"/>
  <c r="O314" i="2"/>
  <c r="P318" i="2"/>
  <c r="O318" i="2"/>
  <c r="D318" i="12"/>
  <c r="G318" i="12"/>
  <c r="N318" i="12"/>
  <c r="D320" i="5"/>
  <c r="F320" i="5"/>
  <c r="H320" i="5"/>
  <c r="P322" i="2"/>
  <c r="O322" i="2"/>
  <c r="D322" i="12"/>
  <c r="G322" i="12"/>
  <c r="D324" i="5"/>
  <c r="F324" i="5"/>
  <c r="H324" i="5"/>
  <c r="D12" i="5"/>
  <c r="P10" i="2"/>
  <c r="O10" i="2"/>
  <c r="D10" i="12"/>
  <c r="F10" i="12"/>
  <c r="O14" i="2"/>
  <c r="P14" i="2"/>
  <c r="D16" i="5"/>
  <c r="F16" i="5"/>
  <c r="H16" i="5"/>
  <c r="D14" i="12"/>
  <c r="D20" i="5"/>
  <c r="F20" i="5"/>
  <c r="H20" i="5"/>
  <c r="P18" i="2"/>
  <c r="D18" i="12"/>
  <c r="O18" i="2"/>
  <c r="D23" i="5"/>
  <c r="F23" i="5"/>
  <c r="H23" i="5"/>
  <c r="O21" i="2"/>
  <c r="P21" i="2"/>
  <c r="D21" i="12"/>
  <c r="D27" i="5"/>
  <c r="F27" i="5"/>
  <c r="H27" i="5"/>
  <c r="P25" i="2"/>
  <c r="O25" i="2"/>
  <c r="D25" i="12"/>
  <c r="D31" i="5"/>
  <c r="F31" i="5"/>
  <c r="H31" i="5"/>
  <c r="D29" i="12"/>
  <c r="P29" i="2"/>
  <c r="O29" i="2"/>
  <c r="D35" i="5"/>
  <c r="F35" i="5"/>
  <c r="H35" i="5"/>
  <c r="D33" i="12"/>
  <c r="O33" i="2"/>
  <c r="P33" i="2"/>
  <c r="D39" i="5"/>
  <c r="F39" i="5"/>
  <c r="H39" i="5"/>
  <c r="P37" i="2"/>
  <c r="D37" i="12"/>
  <c r="O37" i="2"/>
  <c r="O41" i="2"/>
  <c r="D43" i="5"/>
  <c r="F43" i="5"/>
  <c r="H43" i="5"/>
  <c r="P41" i="2"/>
  <c r="D41" i="12"/>
  <c r="P45" i="2"/>
  <c r="D47" i="5"/>
  <c r="F47" i="5"/>
  <c r="H47" i="5"/>
  <c r="D45" i="12"/>
  <c r="O45" i="2"/>
  <c r="D49" i="12"/>
  <c r="P49" i="2"/>
  <c r="D51" i="5"/>
  <c r="F51" i="5"/>
  <c r="H51" i="5"/>
  <c r="O49" i="2"/>
  <c r="D55" i="5"/>
  <c r="F55" i="5"/>
  <c r="H55" i="5"/>
  <c r="D53" i="12"/>
  <c r="P53" i="2"/>
  <c r="O53" i="2"/>
  <c r="P57" i="2"/>
  <c r="O57" i="2"/>
  <c r="D57" i="12"/>
  <c r="D59" i="5"/>
  <c r="F59" i="5"/>
  <c r="H59" i="5"/>
  <c r="D61" i="12"/>
  <c r="O61" i="2"/>
  <c r="D63" i="5"/>
  <c r="F63" i="5"/>
  <c r="H63" i="5"/>
  <c r="P61" i="2"/>
  <c r="D65" i="12"/>
  <c r="O65" i="2"/>
  <c r="P65" i="2"/>
  <c r="D67" i="5"/>
  <c r="F67" i="5"/>
  <c r="H67" i="5"/>
  <c r="P69" i="2"/>
  <c r="O69" i="2"/>
  <c r="D71" i="5"/>
  <c r="F71" i="5"/>
  <c r="H71" i="5"/>
  <c r="D69" i="12"/>
  <c r="O73" i="2"/>
  <c r="D75" i="5"/>
  <c r="F75" i="5"/>
  <c r="H75" i="5"/>
  <c r="D73" i="12"/>
  <c r="P73" i="2"/>
  <c r="D79" i="5"/>
  <c r="F79" i="5"/>
  <c r="H79" i="5"/>
  <c r="P77" i="2"/>
  <c r="D77" i="12"/>
  <c r="O77" i="2"/>
  <c r="D81" i="12"/>
  <c r="D83" i="5"/>
  <c r="F83" i="5"/>
  <c r="H83" i="5"/>
  <c r="O81" i="2"/>
  <c r="P81" i="2"/>
  <c r="D87" i="5"/>
  <c r="F87" i="5"/>
  <c r="H87" i="5"/>
  <c r="D85" i="12"/>
  <c r="P85" i="2"/>
  <c r="O85" i="2"/>
  <c r="P89" i="2"/>
  <c r="D89" i="12"/>
  <c r="D91" i="5"/>
  <c r="F91" i="5"/>
  <c r="H91" i="5"/>
  <c r="O89" i="2"/>
  <c r="P93" i="2"/>
  <c r="O93" i="2"/>
  <c r="D95" i="5"/>
  <c r="F95" i="5"/>
  <c r="D93" i="12"/>
  <c r="D97" i="12"/>
  <c r="O97" i="2"/>
  <c r="P97" i="2"/>
  <c r="D99" i="5"/>
  <c r="F99" i="5"/>
  <c r="H99" i="5"/>
  <c r="D101" i="12"/>
  <c r="O101" i="2"/>
  <c r="D103" i="5"/>
  <c r="F103" i="5"/>
  <c r="H103" i="5"/>
  <c r="P101" i="2"/>
  <c r="O105" i="2"/>
  <c r="D105" i="12"/>
  <c r="D107" i="5"/>
  <c r="F107" i="5"/>
  <c r="H107" i="5"/>
  <c r="P105" i="2"/>
  <c r="D109" i="12"/>
  <c r="O109" i="2"/>
  <c r="D111" i="5"/>
  <c r="F111" i="5"/>
  <c r="H111" i="5"/>
  <c r="P109" i="2"/>
  <c r="D113" i="12"/>
  <c r="P113" i="2"/>
  <c r="D115" i="5"/>
  <c r="F115" i="5"/>
  <c r="H115" i="5"/>
  <c r="O113" i="2"/>
  <c r="D117" i="12"/>
  <c r="O117" i="2"/>
  <c r="D119" i="5"/>
  <c r="F119" i="5"/>
  <c r="H119" i="5"/>
  <c r="P117" i="2"/>
  <c r="O121" i="2"/>
  <c r="D121" i="12"/>
  <c r="P121" i="2"/>
  <c r="D123" i="5"/>
  <c r="F123" i="5"/>
  <c r="H123" i="5"/>
  <c r="D125" i="12"/>
  <c r="O125" i="2"/>
  <c r="P125" i="2"/>
  <c r="D127" i="5"/>
  <c r="F127" i="5"/>
  <c r="H127" i="5"/>
  <c r="D129" i="12"/>
  <c r="O129" i="2"/>
  <c r="D131" i="5"/>
  <c r="F131" i="5"/>
  <c r="H131" i="5"/>
  <c r="P129" i="2"/>
  <c r="D133" i="12"/>
  <c r="O133" i="2"/>
  <c r="D135" i="5"/>
  <c r="F135" i="5"/>
  <c r="H135" i="5"/>
  <c r="P133" i="2"/>
  <c r="D139" i="5"/>
  <c r="F139" i="5"/>
  <c r="H139" i="5"/>
  <c r="P137" i="2"/>
  <c r="O137" i="2"/>
  <c r="D137" i="12"/>
  <c r="P141" i="2"/>
  <c r="O141" i="2"/>
  <c r="D143" i="5"/>
  <c r="F143" i="5"/>
  <c r="H143" i="5"/>
  <c r="D141" i="12"/>
  <c r="D147" i="5"/>
  <c r="F147" i="5"/>
  <c r="H147" i="5"/>
  <c r="P145" i="2"/>
  <c r="O145" i="2"/>
  <c r="D145" i="12"/>
  <c r="D149" i="12"/>
  <c r="D151" i="5"/>
  <c r="F151" i="5"/>
  <c r="H151" i="5"/>
  <c r="P149" i="2"/>
  <c r="O149" i="2"/>
  <c r="O153" i="2"/>
  <c r="D155" i="5"/>
  <c r="F155" i="5"/>
  <c r="H155" i="5"/>
  <c r="P153" i="2"/>
  <c r="D153" i="12"/>
  <c r="P157" i="2"/>
  <c r="D159" i="5"/>
  <c r="F159" i="5"/>
  <c r="D157" i="12"/>
  <c r="O157" i="2"/>
  <c r="D163" i="5"/>
  <c r="F163" i="5"/>
  <c r="H163" i="5"/>
  <c r="P161" i="2"/>
  <c r="O161" i="2"/>
  <c r="D161" i="12"/>
  <c r="K13" i="12"/>
  <c r="L232" i="12"/>
  <c r="L160" i="12"/>
  <c r="Q13" i="2"/>
  <c r="L210" i="12"/>
  <c r="K74" i="12"/>
  <c r="K59" i="12"/>
  <c r="K259" i="12"/>
  <c r="L259" i="12"/>
  <c r="P140" i="2"/>
  <c r="D116" i="12"/>
  <c r="P96" i="2"/>
  <c r="O60" i="2"/>
  <c r="P44" i="2"/>
  <c r="D28" i="12"/>
  <c r="L331" i="12"/>
  <c r="N331" i="12"/>
  <c r="K331" i="12"/>
  <c r="Q61" i="2"/>
  <c r="I61" i="12"/>
  <c r="I93" i="12"/>
  <c r="G95" i="5"/>
  <c r="Q125" i="2"/>
  <c r="I125" i="12"/>
  <c r="G159" i="5"/>
  <c r="I157" i="12"/>
  <c r="L45" i="12"/>
  <c r="L109" i="12"/>
  <c r="L11" i="12"/>
  <c r="K11" i="12"/>
  <c r="G17" i="12"/>
  <c r="N17" i="12"/>
  <c r="F35" i="12"/>
  <c r="F43" i="12"/>
  <c r="G99" i="12"/>
  <c r="K312" i="12"/>
  <c r="K304" i="12"/>
  <c r="K296" i="12"/>
  <c r="L334" i="12"/>
  <c r="L318" i="12"/>
  <c r="K298" i="12"/>
  <c r="L262" i="12"/>
  <c r="L258" i="12"/>
  <c r="N258" i="12"/>
  <c r="L242" i="12"/>
  <c r="K234" i="12"/>
  <c r="L166" i="12"/>
  <c r="L158" i="12"/>
  <c r="L154" i="12"/>
  <c r="L130" i="12"/>
  <c r="N130" i="12"/>
  <c r="K122" i="12"/>
  <c r="K118" i="12"/>
  <c r="K307" i="12"/>
  <c r="L267" i="12"/>
  <c r="L243" i="12"/>
  <c r="L211" i="12"/>
  <c r="K175" i="12"/>
  <c r="K171" i="12"/>
  <c r="K155" i="12"/>
  <c r="K139" i="12"/>
  <c r="K107" i="12"/>
  <c r="L103" i="12"/>
  <c r="L91" i="12"/>
  <c r="L71" i="12"/>
  <c r="L55" i="12"/>
  <c r="L19" i="12"/>
  <c r="N19" i="12"/>
  <c r="L332" i="12"/>
  <c r="N332" i="12"/>
  <c r="L316" i="12"/>
  <c r="L292" i="12"/>
  <c r="L244" i="12"/>
  <c r="L188" i="12"/>
  <c r="K144" i="12"/>
  <c r="K72" i="12"/>
  <c r="L293" i="12"/>
  <c r="L249" i="12"/>
  <c r="K245" i="12"/>
  <c r="K233" i="12"/>
  <c r="L229" i="12"/>
  <c r="N229" i="12"/>
  <c r="L213" i="12"/>
  <c r="N213" i="12"/>
  <c r="K185" i="12"/>
  <c r="L121" i="12"/>
  <c r="K105" i="12"/>
  <c r="L73" i="12"/>
  <c r="L41" i="12"/>
  <c r="G211" i="5"/>
  <c r="G227" i="5"/>
  <c r="I161" i="12"/>
  <c r="Q65" i="2"/>
  <c r="K201" i="12"/>
  <c r="L129" i="12"/>
  <c r="K173" i="12"/>
  <c r="K111" i="12"/>
  <c r="L221" i="12"/>
  <c r="K17" i="12"/>
  <c r="G23" i="12"/>
  <c r="G59" i="12"/>
  <c r="F115" i="12"/>
  <c r="F143" i="12"/>
  <c r="F155" i="12"/>
  <c r="F179" i="12"/>
  <c r="F207" i="12"/>
  <c r="G243" i="12"/>
  <c r="G271" i="12"/>
  <c r="F283" i="12"/>
  <c r="G335" i="12"/>
  <c r="N335" i="12"/>
  <c r="F34" i="12"/>
  <c r="F62" i="12"/>
  <c r="F74" i="12"/>
  <c r="G138" i="12"/>
  <c r="F170" i="12"/>
  <c r="G190" i="12"/>
  <c r="N190" i="12"/>
  <c r="G194" i="12"/>
  <c r="F202" i="12"/>
  <c r="G222" i="12"/>
  <c r="F226" i="12"/>
  <c r="F254" i="12"/>
  <c r="G266" i="12"/>
  <c r="G286" i="12"/>
  <c r="F290" i="12"/>
  <c r="F318" i="12"/>
  <c r="F52" i="12"/>
  <c r="F132" i="12"/>
  <c r="F164" i="12"/>
  <c r="G196" i="12"/>
  <c r="L254" i="12"/>
  <c r="L319" i="12"/>
  <c r="N319" i="12"/>
  <c r="L255" i="12"/>
  <c r="K227" i="12"/>
  <c r="L308" i="12"/>
  <c r="N308" i="12"/>
  <c r="L272" i="12"/>
  <c r="N272" i="12"/>
  <c r="L264" i="12"/>
  <c r="K148" i="12"/>
  <c r="K116" i="12"/>
  <c r="K104" i="12"/>
  <c r="L76" i="12"/>
  <c r="K60" i="12"/>
  <c r="L137" i="12"/>
  <c r="K25" i="12"/>
  <c r="K335" i="12"/>
  <c r="Q331" i="12"/>
  <c r="Q319" i="12"/>
  <c r="Q307" i="12"/>
  <c r="Q281" i="12"/>
  <c r="Q267" i="12"/>
  <c r="Q255" i="12"/>
  <c r="Q247" i="12"/>
  <c r="Q237" i="12"/>
  <c r="Q233" i="12"/>
  <c r="Y344" i="11"/>
  <c r="Y342" i="11"/>
  <c r="Y340" i="11"/>
  <c r="Y338" i="11"/>
  <c r="Y336" i="11"/>
  <c r="Y334" i="11"/>
  <c r="Y332" i="11"/>
  <c r="Y330" i="11"/>
  <c r="Y328" i="11"/>
  <c r="Y326" i="11"/>
  <c r="Y262" i="11"/>
  <c r="Y260" i="11"/>
  <c r="Y258" i="11"/>
  <c r="Y256" i="11"/>
  <c r="Y254" i="11"/>
  <c r="Y252" i="11"/>
  <c r="Y250" i="11"/>
  <c r="Y248" i="11"/>
  <c r="Y246" i="11"/>
  <c r="Q317" i="12"/>
  <c r="Q301" i="12"/>
  <c r="Q297" i="12"/>
  <c r="Q291" i="12"/>
  <c r="Q285" i="12"/>
  <c r="Q269" i="12"/>
  <c r="Q265" i="12"/>
  <c r="Q253" i="12"/>
  <c r="Q249" i="12"/>
  <c r="Q243" i="12"/>
  <c r="Y244" i="11"/>
  <c r="Y242" i="11"/>
  <c r="Y240" i="11"/>
  <c r="Y238" i="11"/>
  <c r="Y236" i="11"/>
  <c r="Y234" i="11"/>
  <c r="Y232" i="11"/>
  <c r="Y230" i="11"/>
  <c r="Y228" i="11"/>
  <c r="Y226" i="11"/>
  <c r="Y224" i="11"/>
  <c r="Y222" i="11"/>
  <c r="Y220" i="11"/>
  <c r="Y218" i="11"/>
  <c r="Y216" i="11"/>
  <c r="Y214" i="11"/>
  <c r="Y212" i="11"/>
  <c r="Y210" i="11"/>
  <c r="Y208" i="11"/>
  <c r="Y206" i="11"/>
  <c r="Y204" i="11"/>
  <c r="Y202" i="11"/>
  <c r="Y200" i="11"/>
  <c r="Y198" i="11"/>
  <c r="Y196" i="11"/>
  <c r="Y194" i="11"/>
  <c r="Y192" i="11"/>
  <c r="Y190" i="11"/>
  <c r="Y188" i="11"/>
  <c r="Y186" i="11"/>
  <c r="Y184" i="11"/>
  <c r="Y182" i="11"/>
  <c r="Y180" i="11"/>
  <c r="Y178" i="11"/>
  <c r="Y174" i="11"/>
  <c r="Y172" i="11"/>
  <c r="Y170" i="11"/>
  <c r="Y166" i="11"/>
  <c r="Y164" i="11"/>
  <c r="Y162" i="11"/>
  <c r="Y158" i="11"/>
  <c r="Y156" i="11"/>
  <c r="Y154" i="11"/>
  <c r="Y150" i="11"/>
  <c r="Y148" i="11"/>
  <c r="Y146" i="11"/>
  <c r="Y142" i="11"/>
  <c r="Y140" i="11"/>
  <c r="Y138" i="11"/>
  <c r="Y134" i="11"/>
  <c r="Y132" i="11"/>
  <c r="Y130" i="11"/>
  <c r="Y126" i="11"/>
  <c r="Y124" i="11"/>
  <c r="Y122" i="11"/>
  <c r="Y118" i="11"/>
  <c r="Y116" i="11"/>
  <c r="Y114" i="11"/>
  <c r="Y110" i="11"/>
  <c r="Y108" i="11"/>
  <c r="Y106" i="11"/>
  <c r="Y102" i="11"/>
  <c r="Y98" i="11"/>
  <c r="Y94" i="11"/>
  <c r="Y90" i="11"/>
  <c r="Y86" i="11"/>
  <c r="Y82" i="11"/>
  <c r="Y78" i="11"/>
  <c r="Y74" i="11"/>
  <c r="Y70" i="11"/>
  <c r="Y66" i="11"/>
  <c r="Y62" i="11"/>
  <c r="Y58" i="11"/>
  <c r="Y54" i="11"/>
  <c r="Y50" i="11"/>
  <c r="Y46" i="11"/>
  <c r="Y42" i="11"/>
  <c r="Y38" i="11"/>
  <c r="Y34" i="11"/>
  <c r="Y30" i="11"/>
  <c r="Y26" i="11"/>
  <c r="Y22" i="11"/>
  <c r="Y18" i="11"/>
  <c r="Y14" i="11"/>
  <c r="Y10" i="11"/>
  <c r="H26" i="7"/>
  <c r="F77" i="7"/>
  <c r="E79" i="7"/>
  <c r="H21" i="5"/>
  <c r="E6" i="12"/>
  <c r="F196" i="12"/>
  <c r="Y8" i="11"/>
  <c r="X6" i="11"/>
  <c r="N136" i="12"/>
  <c r="N122" i="12"/>
  <c r="N205" i="12"/>
  <c r="N297" i="12"/>
  <c r="N35" i="12"/>
  <c r="N337" i="12"/>
  <c r="N42" i="12"/>
  <c r="N62" i="12"/>
  <c r="L344" i="12"/>
  <c r="K219" i="12"/>
  <c r="L155" i="12"/>
  <c r="K71" i="12"/>
  <c r="K267" i="12"/>
  <c r="L233" i="12"/>
  <c r="N233" i="12"/>
  <c r="K207" i="12"/>
  <c r="L207" i="12"/>
  <c r="K151" i="12"/>
  <c r="L151" i="12"/>
  <c r="P343" i="12"/>
  <c r="Q343" i="12"/>
  <c r="J343" i="12"/>
  <c r="P333" i="12"/>
  <c r="Q333" i="12"/>
  <c r="J333" i="12"/>
  <c r="P329" i="12"/>
  <c r="Q329" i="12"/>
  <c r="J329" i="12"/>
  <c r="K329" i="12"/>
  <c r="P313" i="12"/>
  <c r="Q313" i="12"/>
  <c r="J313" i="12"/>
  <c r="P311" i="12"/>
  <c r="Q311" i="12"/>
  <c r="J311" i="12"/>
  <c r="P283" i="12"/>
  <c r="Q283" i="12"/>
  <c r="J283" i="12"/>
  <c r="P279" i="12"/>
  <c r="Q279" i="12"/>
  <c r="Q6" i="12"/>
  <c r="J279" i="12"/>
  <c r="K263" i="12"/>
  <c r="Y6" i="11"/>
  <c r="L13" i="12"/>
  <c r="K103" i="12"/>
  <c r="K243" i="12"/>
  <c r="L175" i="12"/>
  <c r="L104" i="12"/>
  <c r="L116" i="12"/>
  <c r="L159" i="12"/>
  <c r="K159" i="12"/>
  <c r="L63" i="12"/>
  <c r="K63" i="12"/>
  <c r="L112" i="12"/>
  <c r="N112" i="12"/>
  <c r="K112" i="12"/>
  <c r="K92" i="12"/>
  <c r="L92" i="12"/>
  <c r="L329" i="12"/>
  <c r="K21" i="12"/>
  <c r="F265" i="12"/>
  <c r="G265" i="12"/>
  <c r="F340" i="12"/>
  <c r="G340" i="12"/>
  <c r="F322" i="12"/>
  <c r="K193" i="12"/>
  <c r="L44" i="12"/>
  <c r="N44" i="12"/>
  <c r="K44" i="12"/>
  <c r="L52" i="12"/>
  <c r="N52" i="12"/>
  <c r="K52" i="12"/>
  <c r="K156" i="12"/>
  <c r="L156" i="12"/>
  <c r="N156" i="12"/>
  <c r="K40" i="12"/>
  <c r="L40" i="12"/>
  <c r="K48" i="12"/>
  <c r="L48" i="12"/>
  <c r="L64" i="12"/>
  <c r="K64" i="12"/>
  <c r="K84" i="12"/>
  <c r="L84" i="12"/>
  <c r="L100" i="12"/>
  <c r="K100" i="12"/>
  <c r="K220" i="12"/>
  <c r="L220" i="12"/>
  <c r="L260" i="12"/>
  <c r="K260" i="12"/>
  <c r="L38" i="12"/>
  <c r="K38" i="12"/>
  <c r="K90" i="12"/>
  <c r="L90" i="12"/>
  <c r="N90" i="12"/>
  <c r="H88" i="5"/>
  <c r="G118" i="12"/>
  <c r="N118" i="12"/>
  <c r="F118" i="12"/>
  <c r="L200" i="12"/>
  <c r="K200" i="12"/>
  <c r="L236" i="12"/>
  <c r="K236" i="12"/>
  <c r="G291" i="12"/>
  <c r="N291" i="12"/>
  <c r="F291" i="12"/>
  <c r="K212" i="12"/>
  <c r="L212" i="12"/>
  <c r="L113" i="12"/>
  <c r="K113" i="12"/>
  <c r="L239" i="12"/>
  <c r="N239" i="12"/>
  <c r="K239" i="12"/>
  <c r="I303" i="12"/>
  <c r="G305" i="5"/>
  <c r="H305" i="5"/>
  <c r="Q303" i="2"/>
  <c r="O303" i="2"/>
  <c r="L341" i="12"/>
  <c r="K341" i="12"/>
  <c r="G160" i="12"/>
  <c r="F160" i="12"/>
  <c r="N160" i="12"/>
  <c r="F56" i="5"/>
  <c r="H56" i="5"/>
  <c r="H108" i="5"/>
  <c r="K323" i="12"/>
  <c r="L323" i="12"/>
  <c r="E346" i="5"/>
  <c r="F346" i="5"/>
  <c r="H346" i="5"/>
  <c r="C10" i="7"/>
  <c r="D344" i="12"/>
  <c r="N307" i="12"/>
  <c r="L169" i="12"/>
  <c r="N169" i="12"/>
  <c r="K169" i="12"/>
  <c r="L33" i="12"/>
  <c r="K33" i="12"/>
  <c r="N243" i="12"/>
  <c r="F72" i="5"/>
  <c r="H72" i="5"/>
  <c r="G293" i="12"/>
  <c r="N293" i="12"/>
  <c r="K317" i="12"/>
  <c r="L181" i="12"/>
  <c r="N181" i="12"/>
  <c r="K181" i="12"/>
  <c r="K97" i="12"/>
  <c r="L97" i="12"/>
  <c r="N59" i="12"/>
  <c r="L85" i="12"/>
  <c r="K85" i="12"/>
  <c r="G64" i="12"/>
  <c r="N64" i="12"/>
  <c r="F64" i="12"/>
  <c r="F100" i="12"/>
  <c r="G100" i="12"/>
  <c r="N100" i="12"/>
  <c r="G140" i="12"/>
  <c r="F140" i="12"/>
  <c r="N207" i="12"/>
  <c r="N155" i="12"/>
  <c r="K20" i="12"/>
  <c r="L168" i="12"/>
  <c r="L340" i="12"/>
  <c r="N340" i="12"/>
  <c r="L202" i="12"/>
  <c r="G298" i="12"/>
  <c r="N298" i="12"/>
  <c r="F258" i="12"/>
  <c r="G234" i="12"/>
  <c r="N234" i="12"/>
  <c r="F130" i="12"/>
  <c r="F307" i="12"/>
  <c r="F219" i="12"/>
  <c r="L184" i="12"/>
  <c r="L51" i="12"/>
  <c r="N51" i="12"/>
  <c r="N71" i="12"/>
  <c r="L123" i="12"/>
  <c r="L94" i="12"/>
  <c r="N94" i="12"/>
  <c r="L142" i="12"/>
  <c r="K250" i="12"/>
  <c r="L240" i="12"/>
  <c r="L320" i="12"/>
  <c r="N320" i="12"/>
  <c r="L141" i="12"/>
  <c r="L77" i="12"/>
  <c r="F13" i="12"/>
  <c r="H312" i="5"/>
  <c r="H268" i="5"/>
  <c r="H236" i="5"/>
  <c r="H212" i="5"/>
  <c r="H137" i="5"/>
  <c r="H109" i="5"/>
  <c r="H326" i="5"/>
  <c r="L31" i="12"/>
  <c r="N31" i="12"/>
  <c r="H150" i="5"/>
  <c r="H38" i="5"/>
  <c r="H124" i="5"/>
  <c r="H112" i="5"/>
  <c r="F48" i="5"/>
  <c r="H48" i="5"/>
  <c r="K282" i="12"/>
  <c r="H144" i="5"/>
  <c r="K206" i="12"/>
  <c r="F203" i="12"/>
  <c r="G203" i="12"/>
  <c r="N203" i="12"/>
  <c r="F40" i="12"/>
  <c r="G40" i="12"/>
  <c r="N40" i="12"/>
  <c r="L226" i="12"/>
  <c r="N226" i="12"/>
  <c r="K226" i="12"/>
  <c r="L69" i="12"/>
  <c r="K69" i="12"/>
  <c r="K133" i="12"/>
  <c r="L133" i="12"/>
  <c r="H10" i="5"/>
  <c r="K65" i="12"/>
  <c r="L65" i="12"/>
  <c r="K197" i="12"/>
  <c r="L197" i="12"/>
  <c r="N197" i="12"/>
  <c r="L228" i="12"/>
  <c r="K228" i="12"/>
  <c r="L224" i="12"/>
  <c r="N224" i="12"/>
  <c r="K224" i="12"/>
  <c r="L342" i="12"/>
  <c r="K342" i="12"/>
  <c r="L222" i="12"/>
  <c r="K222" i="12"/>
  <c r="K102" i="12"/>
  <c r="L102" i="12"/>
  <c r="N102" i="12"/>
  <c r="K326" i="12"/>
  <c r="L326" i="12"/>
  <c r="K266" i="12"/>
  <c r="L266" i="12"/>
  <c r="N266" i="12"/>
  <c r="K194" i="12"/>
  <c r="L194" i="12"/>
  <c r="N194" i="12"/>
  <c r="K182" i="12"/>
  <c r="L182" i="12"/>
  <c r="L170" i="12"/>
  <c r="N170" i="12"/>
  <c r="K170" i="12"/>
  <c r="L150" i="12"/>
  <c r="N150" i="12"/>
  <c r="K150" i="12"/>
  <c r="K79" i="12"/>
  <c r="L79" i="12"/>
  <c r="K23" i="12"/>
  <c r="L23" i="12"/>
  <c r="N23" i="12"/>
  <c r="L16" i="12"/>
  <c r="K16" i="12"/>
  <c r="K56" i="12"/>
  <c r="L56" i="12"/>
  <c r="K88" i="12"/>
  <c r="L88" i="12"/>
  <c r="N88" i="12"/>
  <c r="L108" i="12"/>
  <c r="K108" i="12"/>
  <c r="L120" i="12"/>
  <c r="N120" i="12"/>
  <c r="K120" i="12"/>
  <c r="L128" i="12"/>
  <c r="K128" i="12"/>
  <c r="K140" i="12"/>
  <c r="L140" i="12"/>
  <c r="L256" i="12"/>
  <c r="K256" i="12"/>
  <c r="K324" i="12"/>
  <c r="L324" i="12"/>
  <c r="N324" i="12"/>
  <c r="K75" i="12"/>
  <c r="L75" i="12"/>
  <c r="L95" i="12"/>
  <c r="N95" i="12"/>
  <c r="K95" i="12"/>
  <c r="L99" i="12"/>
  <c r="N99" i="12"/>
  <c r="K99" i="12"/>
  <c r="K131" i="12"/>
  <c r="L131" i="12"/>
  <c r="N131" i="12"/>
  <c r="L179" i="12"/>
  <c r="N179" i="12"/>
  <c r="K179" i="12"/>
  <c r="K191" i="12"/>
  <c r="L191" i="12"/>
  <c r="L215" i="12"/>
  <c r="N215" i="12"/>
  <c r="K215" i="12"/>
  <c r="L251" i="12"/>
  <c r="N251" i="12"/>
  <c r="K251" i="12"/>
  <c r="K14" i="12"/>
  <c r="L14" i="12"/>
  <c r="K98" i="12"/>
  <c r="L98" i="12"/>
  <c r="L114" i="12"/>
  <c r="N114" i="12"/>
  <c r="K114" i="12"/>
  <c r="K134" i="12"/>
  <c r="L134" i="12"/>
  <c r="N134" i="12"/>
  <c r="K146" i="12"/>
  <c r="L146" i="12"/>
  <c r="N146" i="12"/>
  <c r="L198" i="12"/>
  <c r="K198" i="12"/>
  <c r="L238" i="12"/>
  <c r="K238" i="12"/>
  <c r="L294" i="12"/>
  <c r="K294" i="12"/>
  <c r="L306" i="12"/>
  <c r="K306" i="12"/>
  <c r="K328" i="12"/>
  <c r="L328" i="12"/>
  <c r="J115" i="10"/>
  <c r="F20" i="7"/>
  <c r="F23" i="7"/>
  <c r="F321" i="12"/>
  <c r="G321" i="12"/>
  <c r="G342" i="12"/>
  <c r="F342" i="12"/>
  <c r="G295" i="12"/>
  <c r="N295" i="12"/>
  <c r="F295" i="12"/>
  <c r="G267" i="12"/>
  <c r="N267" i="12"/>
  <c r="F267" i="12"/>
  <c r="F259" i="12"/>
  <c r="G259" i="12"/>
  <c r="N259" i="12"/>
  <c r="G247" i="12"/>
  <c r="N247" i="12"/>
  <c r="F247" i="12"/>
  <c r="H229" i="5"/>
  <c r="F223" i="12"/>
  <c r="G223" i="12"/>
  <c r="N223" i="12"/>
  <c r="F211" i="12"/>
  <c r="G211" i="12"/>
  <c r="F199" i="12"/>
  <c r="G199" i="12"/>
  <c r="N222" i="12"/>
  <c r="N211" i="12"/>
  <c r="D248" i="12"/>
  <c r="G248" i="12"/>
  <c r="N248" i="12"/>
  <c r="K265" i="12"/>
  <c r="L265" i="12"/>
  <c r="N265" i="12"/>
  <c r="K115" i="12"/>
  <c r="L115" i="12"/>
  <c r="N115" i="12"/>
  <c r="L199" i="12"/>
  <c r="K199" i="12"/>
  <c r="L310" i="12"/>
  <c r="K310" i="12"/>
  <c r="L286" i="12"/>
  <c r="N286" i="12"/>
  <c r="K286" i="12"/>
  <c r="L126" i="12"/>
  <c r="N126" i="12"/>
  <c r="K126" i="12"/>
  <c r="L271" i="12"/>
  <c r="N271" i="12"/>
  <c r="K271" i="12"/>
  <c r="K314" i="12"/>
  <c r="L314" i="12"/>
  <c r="K218" i="12"/>
  <c r="L218" i="12"/>
  <c r="K186" i="12"/>
  <c r="L186" i="12"/>
  <c r="L174" i="12"/>
  <c r="N174" i="12"/>
  <c r="K174" i="12"/>
  <c r="K28" i="12"/>
  <c r="L28" i="12"/>
  <c r="K172" i="12"/>
  <c r="L172" i="12"/>
  <c r="K176" i="12"/>
  <c r="L176" i="12"/>
  <c r="L180" i="12"/>
  <c r="K180" i="12"/>
  <c r="L196" i="12"/>
  <c r="N196" i="12"/>
  <c r="K196" i="12"/>
  <c r="K204" i="12"/>
  <c r="L204" i="12"/>
  <c r="N204" i="12"/>
  <c r="K248" i="12"/>
  <c r="L248" i="12"/>
  <c r="L284" i="12"/>
  <c r="K284" i="12"/>
  <c r="L15" i="12"/>
  <c r="K15" i="12"/>
  <c r="L27" i="12"/>
  <c r="K27" i="12"/>
  <c r="K83" i="12"/>
  <c r="L83" i="12"/>
  <c r="N83" i="12"/>
  <c r="L127" i="12"/>
  <c r="K127" i="12"/>
  <c r="K135" i="12"/>
  <c r="L135" i="12"/>
  <c r="N135" i="12"/>
  <c r="L143" i="12"/>
  <c r="N143" i="12"/>
  <c r="K143" i="12"/>
  <c r="L147" i="12"/>
  <c r="K147" i="12"/>
  <c r="L163" i="12"/>
  <c r="K163" i="12"/>
  <c r="L183" i="12"/>
  <c r="K183" i="12"/>
  <c r="K195" i="12"/>
  <c r="L195" i="12"/>
  <c r="K275" i="12"/>
  <c r="L275" i="12"/>
  <c r="L339" i="12"/>
  <c r="N339" i="12"/>
  <c r="K339" i="12"/>
  <c r="L18" i="12"/>
  <c r="K18" i="12"/>
  <c r="K106" i="12"/>
  <c r="L106" i="12"/>
  <c r="K138" i="12"/>
  <c r="L138" i="12"/>
  <c r="N138" i="12"/>
  <c r="K246" i="12"/>
  <c r="L246" i="12"/>
  <c r="L278" i="12"/>
  <c r="K278" i="12"/>
  <c r="L290" i="12"/>
  <c r="N290" i="12"/>
  <c r="K290" i="12"/>
  <c r="L302" i="12"/>
  <c r="K302" i="12"/>
  <c r="K322" i="12"/>
  <c r="L322" i="12"/>
  <c r="N322" i="12"/>
  <c r="K338" i="12"/>
  <c r="L338" i="12"/>
  <c r="N338" i="12"/>
  <c r="K336" i="12"/>
  <c r="L336" i="12"/>
  <c r="L289" i="12"/>
  <c r="K289" i="12"/>
  <c r="K321" i="12"/>
  <c r="L321" i="12"/>
  <c r="G333" i="12"/>
  <c r="F333" i="12"/>
  <c r="H331" i="5"/>
  <c r="F334" i="12"/>
  <c r="G334" i="12"/>
  <c r="N334" i="12"/>
  <c r="F326" i="12"/>
  <c r="G326" i="12"/>
  <c r="N326" i="12"/>
  <c r="F311" i="12"/>
  <c r="G311" i="12"/>
  <c r="H309" i="5"/>
  <c r="G299" i="12"/>
  <c r="N299" i="12"/>
  <c r="F299" i="12"/>
  <c r="G275" i="12"/>
  <c r="F275" i="12"/>
  <c r="G255" i="12"/>
  <c r="N255" i="12"/>
  <c r="F255" i="12"/>
  <c r="H253" i="5"/>
  <c r="H237" i="5"/>
  <c r="H205" i="5"/>
  <c r="G119" i="12"/>
  <c r="N119" i="12"/>
  <c r="F119" i="12"/>
  <c r="G277" i="12"/>
  <c r="N277" i="12"/>
  <c r="F277" i="12"/>
  <c r="G309" i="12"/>
  <c r="N309" i="12"/>
  <c r="F309" i="12"/>
  <c r="G58" i="12"/>
  <c r="N58" i="12"/>
  <c r="F58" i="12"/>
  <c r="F96" i="12"/>
  <c r="G96" i="12"/>
  <c r="N96" i="12"/>
  <c r="F151" i="12"/>
  <c r="G151" i="12"/>
  <c r="N151" i="12"/>
  <c r="F325" i="12"/>
  <c r="G325" i="12"/>
  <c r="N325" i="12"/>
  <c r="F142" i="12"/>
  <c r="G142" i="12"/>
  <c r="N142" i="12"/>
  <c r="G191" i="12"/>
  <c r="N191" i="12"/>
  <c r="F191" i="12"/>
  <c r="G187" i="12"/>
  <c r="N187" i="12"/>
  <c r="F187" i="12"/>
  <c r="G183" i="12"/>
  <c r="F183" i="12"/>
  <c r="G175" i="12"/>
  <c r="F175" i="12"/>
  <c r="F167" i="12"/>
  <c r="G167" i="12"/>
  <c r="N167" i="12"/>
  <c r="G189" i="12"/>
  <c r="N189" i="12"/>
  <c r="F189" i="12"/>
  <c r="F165" i="12"/>
  <c r="G165" i="12"/>
  <c r="N165" i="12"/>
  <c r="N175" i="12"/>
  <c r="F46" i="12"/>
  <c r="G46" i="12"/>
  <c r="N46" i="12"/>
  <c r="F317" i="12"/>
  <c r="G317" i="12"/>
  <c r="N317" i="12"/>
  <c r="G185" i="12"/>
  <c r="N185" i="12"/>
  <c r="F185" i="12"/>
  <c r="G173" i="12"/>
  <c r="N173" i="12"/>
  <c r="F173" i="12"/>
  <c r="H24" i="5"/>
  <c r="F172" i="12"/>
  <c r="G172" i="12"/>
  <c r="F168" i="12"/>
  <c r="G168" i="12"/>
  <c r="N168" i="12"/>
  <c r="G152" i="12"/>
  <c r="F152" i="12"/>
  <c r="G144" i="12"/>
  <c r="N144" i="12"/>
  <c r="F144" i="12"/>
  <c r="F76" i="12"/>
  <c r="G76" i="12"/>
  <c r="N76" i="12"/>
  <c r="F68" i="12"/>
  <c r="G68" i="12"/>
  <c r="N68" i="12"/>
  <c r="G56" i="12"/>
  <c r="F56" i="12"/>
  <c r="F48" i="12"/>
  <c r="G48" i="12"/>
  <c r="N48" i="12"/>
  <c r="F36" i="12"/>
  <c r="G36" i="12"/>
  <c r="N36" i="12"/>
  <c r="G32" i="12"/>
  <c r="N32" i="12"/>
  <c r="F32" i="12"/>
  <c r="G86" i="12"/>
  <c r="N86" i="12"/>
  <c r="F86" i="12"/>
  <c r="G82" i="12"/>
  <c r="N82" i="12"/>
  <c r="F82" i="12"/>
  <c r="G70" i="12"/>
  <c r="N70" i="12"/>
  <c r="F70" i="12"/>
  <c r="F50" i="12"/>
  <c r="G50" i="12"/>
  <c r="N50" i="12"/>
  <c r="F38" i="12"/>
  <c r="G38" i="12"/>
  <c r="N38" i="12"/>
  <c r="F30" i="12"/>
  <c r="G30" i="12"/>
  <c r="N30" i="12"/>
  <c r="F26" i="12"/>
  <c r="G26" i="12"/>
  <c r="N26" i="12"/>
  <c r="G180" i="12"/>
  <c r="F180" i="12"/>
  <c r="F176" i="12"/>
  <c r="G176" i="12"/>
  <c r="G128" i="12"/>
  <c r="N128" i="12"/>
  <c r="F128" i="12"/>
  <c r="G124" i="12"/>
  <c r="N124" i="12"/>
  <c r="F124" i="12"/>
  <c r="G108" i="12"/>
  <c r="N108" i="12"/>
  <c r="F108" i="12"/>
  <c r="F104" i="12"/>
  <c r="G104" i="12"/>
  <c r="N104" i="12"/>
  <c r="G92" i="12"/>
  <c r="N92" i="12"/>
  <c r="F92" i="12"/>
  <c r="F84" i="12"/>
  <c r="G84" i="12"/>
  <c r="N84" i="12"/>
  <c r="G80" i="12"/>
  <c r="N80" i="12"/>
  <c r="F80" i="12"/>
  <c r="G72" i="12"/>
  <c r="N72" i="12"/>
  <c r="F72" i="12"/>
  <c r="F106" i="12"/>
  <c r="G106" i="12"/>
  <c r="G66" i="12"/>
  <c r="N66" i="12"/>
  <c r="F66" i="12"/>
  <c r="G22" i="12"/>
  <c r="N22" i="12"/>
  <c r="F22" i="12"/>
  <c r="F195" i="12"/>
  <c r="G195" i="12"/>
  <c r="E250" i="5"/>
  <c r="F250" i="5"/>
  <c r="H250" i="5"/>
  <c r="E6" i="2"/>
  <c r="K157" i="12"/>
  <c r="L157" i="12"/>
  <c r="K125" i="12"/>
  <c r="L125" i="12"/>
  <c r="G8" i="5"/>
  <c r="L61" i="12"/>
  <c r="K61" i="12"/>
  <c r="F28" i="12"/>
  <c r="G28" i="12"/>
  <c r="N28" i="12"/>
  <c r="F116" i="12"/>
  <c r="G116" i="12"/>
  <c r="N116" i="12"/>
  <c r="F157" i="12"/>
  <c r="G157" i="12"/>
  <c r="G149" i="12"/>
  <c r="N149" i="12"/>
  <c r="F149" i="12"/>
  <c r="G133" i="12"/>
  <c r="F133" i="12"/>
  <c r="G129" i="12"/>
  <c r="N129" i="12"/>
  <c r="F129" i="12"/>
  <c r="F125" i="12"/>
  <c r="G125" i="12"/>
  <c r="F117" i="12"/>
  <c r="G117" i="12"/>
  <c r="N117" i="12"/>
  <c r="G113" i="12"/>
  <c r="N113" i="12"/>
  <c r="F113" i="12"/>
  <c r="F109" i="12"/>
  <c r="G109" i="12"/>
  <c r="N109" i="12"/>
  <c r="F101" i="12"/>
  <c r="G101" i="12"/>
  <c r="N101" i="12"/>
  <c r="F97" i="12"/>
  <c r="G97" i="12"/>
  <c r="N97" i="12"/>
  <c r="H95" i="5"/>
  <c r="G81" i="12"/>
  <c r="N81" i="12"/>
  <c r="F81" i="12"/>
  <c r="G77" i="12"/>
  <c r="N77" i="12"/>
  <c r="F77" i="12"/>
  <c r="G73" i="12"/>
  <c r="N73" i="12"/>
  <c r="F73" i="12"/>
  <c r="G65" i="12"/>
  <c r="N65" i="12"/>
  <c r="F65" i="12"/>
  <c r="F61" i="12"/>
  <c r="G61" i="12"/>
  <c r="N61" i="12"/>
  <c r="G57" i="12"/>
  <c r="N57" i="12"/>
  <c r="F57" i="12"/>
  <c r="F49" i="12"/>
  <c r="G49" i="12"/>
  <c r="N49" i="12"/>
  <c r="F45" i="12"/>
  <c r="G45" i="12"/>
  <c r="N45" i="12"/>
  <c r="G37" i="12"/>
  <c r="N37" i="12"/>
  <c r="F37" i="12"/>
  <c r="F18" i="12"/>
  <c r="G18" i="12"/>
  <c r="N18" i="12"/>
  <c r="F12" i="5"/>
  <c r="G310" i="12"/>
  <c r="N310" i="12"/>
  <c r="F310" i="12"/>
  <c r="G306" i="12"/>
  <c r="N306" i="12"/>
  <c r="F306" i="12"/>
  <c r="G302" i="12"/>
  <c r="N302" i="12"/>
  <c r="F302" i="12"/>
  <c r="G294" i="12"/>
  <c r="N294" i="12"/>
  <c r="F294" i="12"/>
  <c r="G282" i="12"/>
  <c r="N282" i="12"/>
  <c r="F282" i="12"/>
  <c r="F278" i="12"/>
  <c r="G278" i="12"/>
  <c r="N278" i="12"/>
  <c r="F274" i="12"/>
  <c r="G274" i="12"/>
  <c r="N274" i="12"/>
  <c r="G270" i="12"/>
  <c r="N270" i="12"/>
  <c r="F270" i="12"/>
  <c r="N254" i="12"/>
  <c r="G250" i="12"/>
  <c r="N250" i="12"/>
  <c r="F250" i="12"/>
  <c r="F246" i="12"/>
  <c r="G246" i="12"/>
  <c r="N246" i="12"/>
  <c r="G242" i="12"/>
  <c r="N242" i="12"/>
  <c r="F242" i="12"/>
  <c r="F230" i="12"/>
  <c r="G230" i="12"/>
  <c r="N230" i="12"/>
  <c r="G218" i="12"/>
  <c r="F218" i="12"/>
  <c r="F214" i="12"/>
  <c r="G214" i="12"/>
  <c r="N214" i="12"/>
  <c r="F210" i="12"/>
  <c r="G210" i="12"/>
  <c r="N210" i="12"/>
  <c r="N202" i="12"/>
  <c r="F186" i="12"/>
  <c r="G186" i="12"/>
  <c r="F15" i="12"/>
  <c r="G15" i="12"/>
  <c r="N15" i="12"/>
  <c r="F159" i="12"/>
  <c r="G159" i="12"/>
  <c r="N159" i="12"/>
  <c r="G147" i="12"/>
  <c r="N147" i="12"/>
  <c r="F147" i="12"/>
  <c r="G103" i="12"/>
  <c r="N103" i="12"/>
  <c r="F103" i="12"/>
  <c r="F55" i="12"/>
  <c r="G55" i="12"/>
  <c r="N55" i="12"/>
  <c r="F24" i="12"/>
  <c r="G24" i="12"/>
  <c r="N24" i="12"/>
  <c r="F20" i="12"/>
  <c r="G20" i="12"/>
  <c r="N20" i="12"/>
  <c r="F16" i="12"/>
  <c r="G16" i="12"/>
  <c r="F11" i="12"/>
  <c r="G11" i="12"/>
  <c r="N11" i="12"/>
  <c r="F292" i="12"/>
  <c r="G292" i="12"/>
  <c r="N292" i="12"/>
  <c r="G280" i="12"/>
  <c r="N280" i="12"/>
  <c r="F280" i="12"/>
  <c r="G260" i="12"/>
  <c r="N260" i="12"/>
  <c r="F260" i="12"/>
  <c r="F256" i="12"/>
  <c r="G256" i="12"/>
  <c r="F248" i="12"/>
  <c r="G240" i="12"/>
  <c r="N240" i="12"/>
  <c r="F240" i="12"/>
  <c r="G220" i="12"/>
  <c r="N220" i="12"/>
  <c r="F220" i="12"/>
  <c r="F212" i="12"/>
  <c r="G212" i="12"/>
  <c r="N212" i="12"/>
  <c r="G184" i="12"/>
  <c r="N184" i="12"/>
  <c r="F184" i="12"/>
  <c r="L161" i="12"/>
  <c r="K161" i="12"/>
  <c r="K93" i="12"/>
  <c r="L93" i="12"/>
  <c r="Q6" i="2"/>
  <c r="G161" i="12"/>
  <c r="N161" i="12"/>
  <c r="F161" i="12"/>
  <c r="G153" i="12"/>
  <c r="N153" i="12"/>
  <c r="F153" i="12"/>
  <c r="F145" i="12"/>
  <c r="G145" i="12"/>
  <c r="N145" i="12"/>
  <c r="F141" i="12"/>
  <c r="G141" i="12"/>
  <c r="N141" i="12"/>
  <c r="G137" i="12"/>
  <c r="N137" i="12"/>
  <c r="F137" i="12"/>
  <c r="F121" i="12"/>
  <c r="G121" i="12"/>
  <c r="N121" i="12"/>
  <c r="G105" i="12"/>
  <c r="N105" i="12"/>
  <c r="F105" i="12"/>
  <c r="G93" i="12"/>
  <c r="N93" i="12"/>
  <c r="F93" i="12"/>
  <c r="G89" i="12"/>
  <c r="N89" i="12"/>
  <c r="F89" i="12"/>
  <c r="F85" i="12"/>
  <c r="G85" i="12"/>
  <c r="N85" i="12"/>
  <c r="G69" i="12"/>
  <c r="N69" i="12"/>
  <c r="F69" i="12"/>
  <c r="G53" i="12"/>
  <c r="N53" i="12"/>
  <c r="F53" i="12"/>
  <c r="G41" i="12"/>
  <c r="N41" i="12"/>
  <c r="F41" i="12"/>
  <c r="F33" i="12"/>
  <c r="G33" i="12"/>
  <c r="N33" i="12"/>
  <c r="G29" i="12"/>
  <c r="F29" i="12"/>
  <c r="G25" i="12"/>
  <c r="N25" i="12"/>
  <c r="F25" i="12"/>
  <c r="G21" i="12"/>
  <c r="N21" i="12"/>
  <c r="F21" i="12"/>
  <c r="F14" i="12"/>
  <c r="G14" i="12"/>
  <c r="N14" i="12"/>
  <c r="G10" i="12"/>
  <c r="F314" i="12"/>
  <c r="G314" i="12"/>
  <c r="N314" i="12"/>
  <c r="F262" i="12"/>
  <c r="G262" i="12"/>
  <c r="N262" i="12"/>
  <c r="G238" i="12"/>
  <c r="F238" i="12"/>
  <c r="G206" i="12"/>
  <c r="N206" i="12"/>
  <c r="F206" i="12"/>
  <c r="G198" i="12"/>
  <c r="F198" i="12"/>
  <c r="G163" i="12"/>
  <c r="N163" i="12"/>
  <c r="F163" i="12"/>
  <c r="G139" i="12"/>
  <c r="N139" i="12"/>
  <c r="F139" i="12"/>
  <c r="F127" i="12"/>
  <c r="G127" i="12"/>
  <c r="N127" i="12"/>
  <c r="F111" i="12"/>
  <c r="G111" i="12"/>
  <c r="N111" i="12"/>
  <c r="F91" i="12"/>
  <c r="G91" i="12"/>
  <c r="N91" i="12"/>
  <c r="F79" i="12"/>
  <c r="G79" i="12"/>
  <c r="N79" i="12"/>
  <c r="F75" i="12"/>
  <c r="G75" i="12"/>
  <c r="N75" i="12"/>
  <c r="G67" i="12"/>
  <c r="N67" i="12"/>
  <c r="F67" i="12"/>
  <c r="F39" i="12"/>
  <c r="G39" i="12"/>
  <c r="N39" i="12"/>
  <c r="F27" i="12"/>
  <c r="G27" i="12"/>
  <c r="N27" i="12"/>
  <c r="F316" i="12"/>
  <c r="G316" i="12"/>
  <c r="N316" i="12"/>
  <c r="G296" i="12"/>
  <c r="N296" i="12"/>
  <c r="F296" i="12"/>
  <c r="G284" i="12"/>
  <c r="N284" i="12"/>
  <c r="F284" i="12"/>
  <c r="G264" i="12"/>
  <c r="N264" i="12"/>
  <c r="F264" i="12"/>
  <c r="G244" i="12"/>
  <c r="N244" i="12"/>
  <c r="F244" i="12"/>
  <c r="F236" i="12"/>
  <c r="G236" i="12"/>
  <c r="N236" i="12"/>
  <c r="G232" i="12"/>
  <c r="N232" i="12"/>
  <c r="F232" i="12"/>
  <c r="F228" i="12"/>
  <c r="G228" i="12"/>
  <c r="N228" i="12"/>
  <c r="G208" i="12"/>
  <c r="N208" i="12"/>
  <c r="F208" i="12"/>
  <c r="F200" i="12"/>
  <c r="G200" i="12"/>
  <c r="N200" i="12"/>
  <c r="F192" i="12"/>
  <c r="G192" i="12"/>
  <c r="N192" i="12"/>
  <c r="G188" i="12"/>
  <c r="N188" i="12"/>
  <c r="F188" i="12"/>
  <c r="P6" i="12"/>
  <c r="K279" i="12"/>
  <c r="L279" i="12"/>
  <c r="N279" i="12"/>
  <c r="K283" i="12"/>
  <c r="L283" i="12"/>
  <c r="N283" i="12"/>
  <c r="L311" i="12"/>
  <c r="K311" i="12"/>
  <c r="L313" i="12"/>
  <c r="N313" i="12"/>
  <c r="K313" i="12"/>
  <c r="K333" i="12"/>
  <c r="L333" i="12"/>
  <c r="L343" i="12"/>
  <c r="N343" i="12"/>
  <c r="K343" i="12"/>
  <c r="J6" i="12"/>
  <c r="N13" i="12"/>
  <c r="N275" i="12"/>
  <c r="G344" i="12"/>
  <c r="N344" i="12"/>
  <c r="F344" i="12"/>
  <c r="F10" i="7"/>
  <c r="L303" i="12"/>
  <c r="N303" i="12"/>
  <c r="K303" i="12"/>
  <c r="N172" i="12"/>
  <c r="N311" i="12"/>
  <c r="N198" i="12"/>
  <c r="N238" i="12"/>
  <c r="N256" i="12"/>
  <c r="N16" i="12"/>
  <c r="N133" i="12"/>
  <c r="N140" i="12"/>
  <c r="N125" i="12"/>
  <c r="N157" i="12"/>
  <c r="N180" i="12"/>
  <c r="N183" i="12"/>
  <c r="N199" i="12"/>
  <c r="N342" i="12"/>
  <c r="N333" i="12"/>
  <c r="N186" i="12"/>
  <c r="N218" i="12"/>
  <c r="N195" i="12"/>
  <c r="N106" i="12"/>
  <c r="N176" i="12"/>
  <c r="N56" i="12"/>
  <c r="N321" i="12"/>
  <c r="N10" i="12"/>
  <c r="H12" i="5"/>
  <c r="D26" i="7"/>
  <c r="N219" i="12"/>
  <c r="P344" i="2"/>
  <c r="O344" i="2"/>
  <c r="F98" i="12"/>
  <c r="G98" i="12"/>
  <c r="N98" i="12"/>
  <c r="D52" i="5"/>
  <c r="F52" i="5"/>
  <c r="H52" i="5"/>
  <c r="O50" i="2"/>
  <c r="G54" i="12"/>
  <c r="N54" i="12"/>
  <c r="F54" i="12"/>
  <c r="D118" i="5"/>
  <c r="F118" i="5"/>
  <c r="H118" i="5"/>
  <c r="O116" i="2"/>
  <c r="O154" i="2"/>
  <c r="D154" i="12"/>
  <c r="D156" i="5"/>
  <c r="F156" i="5"/>
  <c r="H156" i="5"/>
  <c r="D182" i="12"/>
  <c r="O182" i="2"/>
  <c r="P182" i="2"/>
  <c r="P24" i="2"/>
  <c r="O24" i="2"/>
  <c r="O55" i="2"/>
  <c r="D57" i="5"/>
  <c r="F57" i="5"/>
  <c r="H57" i="5"/>
  <c r="D63" i="12"/>
  <c r="D65" i="5"/>
  <c r="F65" i="5"/>
  <c r="H65" i="5"/>
  <c r="P79" i="2"/>
  <c r="D81" i="5"/>
  <c r="F81" i="5"/>
  <c r="H81" i="5"/>
  <c r="P87" i="2"/>
  <c r="D87" i="12"/>
  <c r="C9" i="7"/>
  <c r="D93" i="5"/>
  <c r="F93" i="5"/>
  <c r="H93" i="5"/>
  <c r="D107" i="12"/>
  <c r="P107" i="2"/>
  <c r="D113" i="5"/>
  <c r="F113" i="5"/>
  <c r="H113" i="5"/>
  <c r="P111" i="2"/>
  <c r="D123" i="12"/>
  <c r="D125" i="5"/>
  <c r="F125" i="5"/>
  <c r="H125" i="5"/>
  <c r="D145" i="5"/>
  <c r="F145" i="5"/>
  <c r="H145" i="5"/>
  <c r="P143" i="2"/>
  <c r="D165" i="5"/>
  <c r="F165" i="5"/>
  <c r="H165" i="5"/>
  <c r="P163" i="2"/>
  <c r="P193" i="2"/>
  <c r="D193" i="12"/>
  <c r="D195" i="5"/>
  <c r="F195" i="5"/>
  <c r="H195" i="5"/>
  <c r="O217" i="2"/>
  <c r="P217" i="2"/>
  <c r="D219" i="5"/>
  <c r="F219" i="5"/>
  <c r="H219" i="5"/>
  <c r="D227" i="5"/>
  <c r="F227" i="5"/>
  <c r="H227" i="5"/>
  <c r="P225" i="2"/>
  <c r="D225" i="12"/>
  <c r="O225" i="2"/>
  <c r="D241" i="12"/>
  <c r="P241" i="2"/>
  <c r="D249" i="12"/>
  <c r="O249" i="2"/>
  <c r="P249" i="2"/>
  <c r="D259" i="5"/>
  <c r="F259" i="5"/>
  <c r="H259" i="5"/>
  <c r="D257" i="12"/>
  <c r="D291" i="5"/>
  <c r="F291" i="5"/>
  <c r="H291" i="5"/>
  <c r="P289" i="2"/>
  <c r="D289" i="12"/>
  <c r="O328" i="2"/>
  <c r="D328" i="12"/>
  <c r="D330" i="5"/>
  <c r="F330" i="5"/>
  <c r="H330" i="5"/>
  <c r="D8" i="12"/>
  <c r="P8" i="2"/>
  <c r="F344" i="5"/>
  <c r="H344" i="5"/>
  <c r="D343" i="5"/>
  <c r="F343" i="5"/>
  <c r="H343" i="5"/>
  <c r="D341" i="12"/>
  <c r="E342" i="5"/>
  <c r="F342" i="5"/>
  <c r="H342" i="5"/>
  <c r="O340" i="2"/>
  <c r="P339" i="2"/>
  <c r="E338" i="5"/>
  <c r="D336" i="12"/>
  <c r="D337" i="5"/>
  <c r="F337" i="5"/>
  <c r="H337" i="5"/>
  <c r="O335" i="2"/>
  <c r="O334" i="2"/>
  <c r="D336" i="5"/>
  <c r="F336" i="5"/>
  <c r="H336" i="5"/>
  <c r="P332" i="2"/>
  <c r="E333" i="5"/>
  <c r="F333" i="5"/>
  <c r="H333" i="5"/>
  <c r="P331" i="2"/>
  <c r="D329" i="12"/>
  <c r="O327" i="2"/>
  <c r="D329" i="5"/>
  <c r="F329" i="5"/>
  <c r="H329" i="5"/>
  <c r="D327" i="12"/>
  <c r="E323" i="5"/>
  <c r="F323" i="5"/>
  <c r="H323" i="5"/>
  <c r="P321" i="2"/>
  <c r="G9" i="12"/>
  <c r="N9" i="12"/>
  <c r="K87" i="12"/>
  <c r="K177" i="12"/>
  <c r="L152" i="12"/>
  <c r="N152" i="12"/>
  <c r="F338" i="5"/>
  <c r="H338" i="5"/>
  <c r="P134" i="2"/>
  <c r="O134" i="2"/>
  <c r="P148" i="2"/>
  <c r="D148" i="12"/>
  <c r="D160" i="5"/>
  <c r="F160" i="5"/>
  <c r="H160" i="5"/>
  <c r="D158" i="12"/>
  <c r="D162" i="12"/>
  <c r="D164" i="5"/>
  <c r="F164" i="5"/>
  <c r="H164" i="5"/>
  <c r="P162" i="2"/>
  <c r="O162" i="2"/>
  <c r="D168" i="5"/>
  <c r="F168" i="5"/>
  <c r="H168" i="5"/>
  <c r="D166" i="12"/>
  <c r="D209" i="12"/>
  <c r="D211" i="5"/>
  <c r="F211" i="5"/>
  <c r="H211" i="5"/>
  <c r="D221" i="12"/>
  <c r="D223" i="5"/>
  <c r="F223" i="5"/>
  <c r="H223" i="5"/>
  <c r="P229" i="2"/>
  <c r="O229" i="2"/>
  <c r="O253" i="2"/>
  <c r="D253" i="12"/>
  <c r="D283" i="5"/>
  <c r="F283" i="5"/>
  <c r="H283" i="5"/>
  <c r="D281" i="12"/>
  <c r="O281" i="2"/>
  <c r="P281" i="2"/>
  <c r="D301" i="12"/>
  <c r="P301" i="2"/>
  <c r="P305" i="2"/>
  <c r="D305" i="12"/>
  <c r="O305" i="2"/>
  <c r="D307" i="5"/>
  <c r="F307" i="5"/>
  <c r="H307" i="5"/>
  <c r="E332" i="5"/>
  <c r="F332" i="5"/>
  <c r="H332" i="5"/>
  <c r="D330" i="12"/>
  <c r="E325" i="5"/>
  <c r="F325" i="5"/>
  <c r="H325" i="5"/>
  <c r="P323" i="2"/>
  <c r="D323" i="12"/>
  <c r="E317" i="5"/>
  <c r="P315" i="2"/>
  <c r="O315" i="2"/>
  <c r="D44" i="5"/>
  <c r="F44" i="5"/>
  <c r="H44" i="5"/>
  <c r="E109" i="7"/>
  <c r="E110" i="7"/>
  <c r="F119" i="7"/>
  <c r="F118" i="7"/>
  <c r="O170" i="2"/>
  <c r="D28" i="5"/>
  <c r="F28" i="5"/>
  <c r="I29" i="12"/>
  <c r="F133" i="7"/>
  <c r="E133" i="7"/>
  <c r="I23" i="7"/>
  <c r="J47" i="10"/>
  <c r="J98" i="10"/>
  <c r="M96" i="10"/>
  <c r="E18" i="7"/>
  <c r="E26" i="7"/>
  <c r="J55" i="10"/>
  <c r="J69" i="10"/>
  <c r="K29" i="12"/>
  <c r="K6" i="12"/>
  <c r="L29" i="12"/>
  <c r="I6" i="12"/>
  <c r="G323" i="12"/>
  <c r="N323" i="12"/>
  <c r="F323" i="12"/>
  <c r="F305" i="12"/>
  <c r="G305" i="12"/>
  <c r="N305" i="12"/>
  <c r="G281" i="12"/>
  <c r="N281" i="12"/>
  <c r="F281" i="12"/>
  <c r="F253" i="12"/>
  <c r="G253" i="12"/>
  <c r="N253" i="12"/>
  <c r="G166" i="12"/>
  <c r="N166" i="12"/>
  <c r="F166" i="12"/>
  <c r="G158" i="12"/>
  <c r="N158" i="12"/>
  <c r="F158" i="12"/>
  <c r="F148" i="12"/>
  <c r="G148" i="12"/>
  <c r="N148" i="12"/>
  <c r="G327" i="12"/>
  <c r="N327" i="12"/>
  <c r="F327" i="12"/>
  <c r="G336" i="12"/>
  <c r="N336" i="12"/>
  <c r="F336" i="12"/>
  <c r="P6" i="2"/>
  <c r="G257" i="12"/>
  <c r="N257" i="12"/>
  <c r="F257" i="12"/>
  <c r="F249" i="12"/>
  <c r="G249" i="12"/>
  <c r="N249" i="12"/>
  <c r="G241" i="12"/>
  <c r="N241" i="12"/>
  <c r="F241" i="12"/>
  <c r="F225" i="12"/>
  <c r="G225" i="12"/>
  <c r="N225" i="12"/>
  <c r="F123" i="12"/>
  <c r="G123" i="12"/>
  <c r="N123" i="12"/>
  <c r="G107" i="12"/>
  <c r="N107" i="12"/>
  <c r="F107" i="12"/>
  <c r="F9" i="7"/>
  <c r="F18" i="7"/>
  <c r="C18" i="7"/>
  <c r="I115" i="10"/>
  <c r="F63" i="12"/>
  <c r="G63" i="12"/>
  <c r="N63" i="12"/>
  <c r="F317" i="5"/>
  <c r="H317" i="5"/>
  <c r="F330" i="12"/>
  <c r="G330" i="12"/>
  <c r="N330" i="12"/>
  <c r="F301" i="12"/>
  <c r="G301" i="12"/>
  <c r="N301" i="12"/>
  <c r="F221" i="12"/>
  <c r="G221" i="12"/>
  <c r="N221" i="12"/>
  <c r="F209" i="12"/>
  <c r="G209" i="12"/>
  <c r="N209" i="12"/>
  <c r="G162" i="12"/>
  <c r="N162" i="12"/>
  <c r="F162" i="12"/>
  <c r="G329" i="12"/>
  <c r="N329" i="12"/>
  <c r="F329" i="12"/>
  <c r="G341" i="12"/>
  <c r="N341" i="12"/>
  <c r="F341" i="12"/>
  <c r="G8" i="12"/>
  <c r="F8" i="12"/>
  <c r="D6" i="12"/>
  <c r="F328" i="12"/>
  <c r="G328" i="12"/>
  <c r="N328" i="12"/>
  <c r="F289" i="12"/>
  <c r="G289" i="12"/>
  <c r="N289" i="12"/>
  <c r="F193" i="12"/>
  <c r="G193" i="12"/>
  <c r="N193" i="12"/>
  <c r="G87" i="12"/>
  <c r="N87" i="12"/>
  <c r="F87" i="12"/>
  <c r="O6" i="2"/>
  <c r="G182" i="12"/>
  <c r="N182" i="12"/>
  <c r="F182" i="12"/>
  <c r="F154" i="12"/>
  <c r="G154" i="12"/>
  <c r="N154" i="12"/>
  <c r="F124" i="7"/>
  <c r="E125" i="7"/>
  <c r="J121" i="10"/>
  <c r="J123" i="10"/>
  <c r="F143" i="7"/>
  <c r="E144" i="7"/>
  <c r="J128" i="10"/>
  <c r="J130" i="10"/>
  <c r="E143" i="7"/>
  <c r="F144" i="7"/>
  <c r="J49" i="10"/>
  <c r="F6" i="12"/>
  <c r="N8" i="12"/>
  <c r="G6" i="12"/>
  <c r="C26" i="7"/>
  <c r="I68" i="10"/>
  <c r="M68" i="10"/>
  <c r="E107" i="7"/>
  <c r="E108" i="7"/>
  <c r="L6" i="12"/>
  <c r="N29" i="12"/>
  <c r="I117" i="10"/>
  <c r="M115" i="10"/>
  <c r="F26" i="7"/>
  <c r="F132" i="7"/>
  <c r="E132" i="7"/>
  <c r="I18" i="7"/>
  <c r="I26" i="7"/>
  <c r="E146" i="7"/>
  <c r="F145" i="7"/>
  <c r="E141" i="7"/>
  <c r="F142" i="7"/>
  <c r="I47" i="10"/>
  <c r="I128" i="10"/>
  <c r="M128" i="10"/>
  <c r="F141" i="7"/>
  <c r="E142" i="7"/>
  <c r="F117" i="7"/>
  <c r="F116" i="7"/>
  <c r="I53" i="10"/>
  <c r="N6" i="12"/>
  <c r="F115" i="7"/>
  <c r="F114" i="7"/>
  <c r="I49" i="10"/>
  <c r="M47" i="10"/>
  <c r="I55" i="10"/>
  <c r="I69" i="10"/>
  <c r="M53" i="10"/>
  <c r="I130" i="10"/>
  <c r="F122" i="7"/>
  <c r="E123" i="7"/>
  <c r="E136" i="7"/>
  <c r="I121" i="10"/>
  <c r="F136" i="7"/>
  <c r="I71" i="10"/>
  <c r="I123" i="10"/>
  <c r="M121" i="10"/>
  <c r="H159" i="5"/>
  <c r="D8" i="5"/>
  <c r="H157" i="5"/>
  <c r="H318" i="5"/>
  <c r="H173" i="5"/>
  <c r="H341" i="5"/>
  <c r="H102" i="5"/>
  <c r="H207" i="5"/>
  <c r="H45" i="5"/>
  <c r="H249" i="5"/>
  <c r="H315" i="5"/>
  <c r="H36" i="5"/>
  <c r="H183" i="5"/>
  <c r="H203" i="5"/>
  <c r="H28" i="5"/>
  <c r="F8" i="5"/>
  <c r="E8" i="5"/>
  <c r="H90" i="5"/>
  <c r="H269" i="5"/>
  <c r="H96" i="5"/>
  <c r="H301" i="5"/>
  <c r="H245" i="5"/>
  <c r="H136" i="5"/>
  <c r="F146" i="7"/>
  <c r="E145" i="7"/>
  <c r="E149" i="7"/>
  <c r="H8" i="5"/>
  <c r="F149" i="7"/>
  <c r="M69" i="10"/>
  <c r="J71" i="10"/>
  <c r="J117" i="10"/>
</calcChain>
</file>

<file path=xl/comments1.xml><?xml version="1.0" encoding="utf-8"?>
<comments xmlns="http://schemas.openxmlformats.org/spreadsheetml/2006/main">
  <authors>
    <author>colleenl</author>
  </authors>
  <commentList>
    <comment ref="B55" authorId="0">
      <text>
        <r>
          <rPr>
            <b/>
            <sz val="10"/>
            <color indexed="81"/>
            <rFont val="Tahoma"/>
            <family val="2"/>
          </rPr>
          <t>colleenl:</t>
        </r>
        <r>
          <rPr>
            <sz val="10"/>
            <color indexed="81"/>
            <rFont val="Tahoma"/>
            <family val="2"/>
          </rPr>
          <t xml:space="preserve">
Account will have debit balance if current year shift exceeds May-July tax receipts.
Otherwise, zero.</t>
        </r>
      </text>
    </comment>
    <comment ref="B117" authorId="0">
      <text>
        <r>
          <rPr>
            <b/>
            <sz val="10"/>
            <color indexed="81"/>
            <rFont val="Tahoma"/>
            <family val="2"/>
          </rPr>
          <t xml:space="preserve">colleenl:
</t>
        </r>
        <r>
          <rPr>
            <sz val="10"/>
            <color indexed="81"/>
            <rFont val="Tahoma"/>
            <family val="2"/>
          </rPr>
          <t>Credit</t>
        </r>
        <r>
          <rPr>
            <sz val="10"/>
            <color indexed="81"/>
            <rFont val="Tahoma"/>
            <family val="2"/>
          </rPr>
          <t xml:space="preserve"> balance when state aids are reduced because of shift.
Debit balance when state aids are repaid because shift is reduced.
Zero when shift percentage is zero in both years.
Account 020+299=0</t>
        </r>
      </text>
    </comment>
    <comment ref="B130" authorId="0">
      <text>
        <r>
          <rPr>
            <b/>
            <sz val="10"/>
            <color indexed="81"/>
            <rFont val="Tahoma"/>
            <family val="2"/>
          </rPr>
          <t xml:space="preserve">colleenl:
</t>
        </r>
        <r>
          <rPr>
            <sz val="10"/>
            <color indexed="81"/>
            <rFont val="Tahoma"/>
            <family val="2"/>
          </rPr>
          <t>D</t>
        </r>
        <r>
          <rPr>
            <sz val="10"/>
            <color indexed="81"/>
            <rFont val="Tahoma"/>
            <family val="2"/>
          </rPr>
          <t>ebit balance when state aids are reduced because of shift.
Credit balance when state aids are repaid because shift is reduced.
Zero when shift percentage is zero in both years.
Account 020+299=0</t>
        </r>
      </text>
    </comment>
  </commentList>
</comments>
</file>

<file path=xl/comments2.xml><?xml version="1.0" encoding="utf-8"?>
<comments xmlns="http://schemas.openxmlformats.org/spreadsheetml/2006/main">
  <authors>
    <author>colleenl</author>
    <author>Leemon, Colleen</author>
  </authors>
  <commentList>
    <comment ref="D4" authorId="0">
      <text>
        <r>
          <rPr>
            <b/>
            <sz val="10"/>
            <color indexed="81"/>
            <rFont val="Tahoma"/>
            <family val="2"/>
          </rPr>
          <t>colleenl:</t>
        </r>
        <r>
          <rPr>
            <sz val="10"/>
            <color indexed="81"/>
            <rFont val="Tahoma"/>
            <family val="2"/>
          </rPr>
          <t xml:space="preserve">
From Revenue plus taconite credits
</t>
        </r>
      </text>
    </comment>
    <comment ref="E4" authorId="1">
      <text>
        <r>
          <rPr>
            <b/>
            <sz val="8"/>
            <color indexed="81"/>
            <rFont val="Tahoma"/>
            <family val="2"/>
          </rPr>
          <t>Leemon, Colleen:</t>
        </r>
        <r>
          <rPr>
            <sz val="8"/>
            <color indexed="81"/>
            <rFont val="Tahoma"/>
            <family val="2"/>
          </rPr>
          <t xml:space="preserve">
Total prelimary credits from Revenue plus taconite credits from counties.
</t>
        </r>
      </text>
    </comment>
  </commentList>
</comments>
</file>

<file path=xl/comments3.xml><?xml version="1.0" encoding="utf-8"?>
<comments xmlns="http://schemas.openxmlformats.org/spreadsheetml/2006/main">
  <authors>
    <author>colleenl</author>
    <author>Leemon, Colleen</author>
  </authors>
  <commentList>
    <comment ref="N3" authorId="0">
      <text>
        <r>
          <rPr>
            <b/>
            <sz val="8"/>
            <color indexed="81"/>
            <rFont val="Arial"/>
            <family val="2"/>
          </rPr>
          <t xml:space="preserve">colleenl:
</t>
        </r>
        <r>
          <rPr>
            <sz val="8"/>
            <color indexed="81"/>
            <rFont val="Arial"/>
            <family val="2"/>
          </rPr>
          <t>Amounts in this column are used as May-June 2011 tax receipts for metering of Ideas payments.  Also used as estimate of May-June 2012 tax receipts if no change in tax shift.</t>
        </r>
      </text>
    </comment>
    <comment ref="Q4" authorId="1">
      <text>
        <r>
          <rPr>
            <b/>
            <sz val="8"/>
            <color indexed="81"/>
            <rFont val="Arial"/>
            <family val="2"/>
          </rPr>
          <t>colleenl:</t>
        </r>
        <r>
          <rPr>
            <sz val="8"/>
            <color indexed="81"/>
            <rFont val="Arial"/>
            <family val="2"/>
          </rPr>
          <t xml:space="preserve">
Amounts in this column are used for FY 2012 total tax receipts for Ideas, prior to adjusting for tax shift.</t>
        </r>
      </text>
    </comment>
  </commentList>
</comments>
</file>

<file path=xl/connections.xml><?xml version="1.0" encoding="utf-8"?>
<connections xmlns="http://schemas.openxmlformats.org/spreadsheetml/2006/main">
  <connection id="1" name="Connection" type="1" refreshedVersion="4" background="1" saveData="1">
    <dbPr connection="Description=Databridge;DRIVER=SQL Server;SERVER=MDEDATAB;UID=databridge_ro;APP=Microsoft Data Access Components;WSID=PFD5BBYM11;DATABASE=DataBridge;Network=DBMSSOCN;Trusted_Connection=Yes" command="SELECT generalledger2.dat_yer, generalledger2.dst_num, generalledger2.dst_tye, generalledger2.gen_lgr_num, generalledger2.fun_num, generalledger2.end_bal_amt_x000d__x000a_FROM DataBridge.databridge_app_user.generalledger2 generalledger2_x000d__x000a_WHERE (generalledger2.dat_yer='10-11') AND (generalledger2.gen_lgr_num=$2.14) AND (generalledger2.fun_num=1)_x000d__x000a_ORDER BY generalledger2.dst_num, generalledger2.dst_tye, generalledger2.fun_num"/>
  </connection>
  <connection id="2" name="Connection1" type="1" refreshedVersion="4" background="1" saveData="1">
    <dbPr connection="Description=Databridge;DRIVER=SQL Server;SERVER=MDEDATAB;UID=databridge_ro;APP=Microsoft Data Access Components;WSID=PFD5BBYM11;DATABASE=DataBridge;Network=DBMSSOCN;Trusted_Connection=Yes" command="SELECT generalledger2.dat_yer, generalledger2.dst_num, generalledger2.dst_tye, generalledger2.gen_lgr_num, generalledger2.fun_num, generalledger2.end_bal_amt_x000d__x000a_FROM DataBridge.databridge_app_user.generalledger2 generalledger2_x000d__x000a_WHERE (generalledger2.dat_yer='10-11') AND (generalledger2.gen_lgr_num=$2.14) AND (generalledger2.fun_num=4)_x000d__x000a_ORDER BY generalledger2.dst_num, generalledger2.dst_tye"/>
  </connection>
</connections>
</file>

<file path=xl/sharedStrings.xml><?xml version="1.0" encoding="utf-8"?>
<sst xmlns="http://schemas.openxmlformats.org/spreadsheetml/2006/main" count="3756" uniqueCount="719">
  <si>
    <t>This section shows how to determine the balance to be reflected in each account at year-end after all tax entries (including the property tax shift entries) have been made.  Balance sheet accounts are listed first and then revenue source codes.  Also shown is the source document where the data for each step of the reconcilation can be obtained.</t>
  </si>
  <si>
    <t>(adjustment to balance GNL 214 account with SRC 211)</t>
  </si>
  <si>
    <t>See comments by accounts GNL 214 and SRC 020 and 299</t>
  </si>
  <si>
    <t>OPEB</t>
  </si>
  <si>
    <r>
      <t>Note:</t>
    </r>
    <r>
      <rPr>
        <sz val="8"/>
        <color indexed="10"/>
        <rFont val="Arial"/>
        <family val="2"/>
      </rPr>
      <t xml:space="preserve">  District should override when actual data is available</t>
    </r>
  </si>
  <si>
    <t xml:space="preserve">AITKIN          </t>
  </si>
  <si>
    <t xml:space="preserve">MINNEAPOLIS     </t>
  </si>
  <si>
    <t xml:space="preserve">HILL CITY       </t>
  </si>
  <si>
    <t xml:space="preserve">MCGREGOR        </t>
  </si>
  <si>
    <t xml:space="preserve">SOUTH ST. PAUL  </t>
  </si>
  <si>
    <t xml:space="preserve">ANOKA-HENNEPIN  </t>
  </si>
  <si>
    <t xml:space="preserve">CENTENNIAL      </t>
  </si>
  <si>
    <t>COLUMBIA HEIGHTS</t>
  </si>
  <si>
    <t xml:space="preserve">FRIDLEY         </t>
  </si>
  <si>
    <t xml:space="preserve">ST. FRANCIS     </t>
  </si>
  <si>
    <t>SPRING LAKE PARK</t>
  </si>
  <si>
    <t xml:space="preserve">DETROIT LAKES   </t>
  </si>
  <si>
    <t xml:space="preserve">FRAZEE-VERGAS   </t>
  </si>
  <si>
    <t xml:space="preserve">BEMIDJI         </t>
  </si>
  <si>
    <t xml:space="preserve">BLACKDUCK       </t>
  </si>
  <si>
    <t xml:space="preserve">KELLIHER        </t>
  </si>
  <si>
    <t xml:space="preserve">RED LAKE        </t>
  </si>
  <si>
    <t xml:space="preserve">SAUK RAPIDS     </t>
  </si>
  <si>
    <t xml:space="preserve">FOLEY           </t>
  </si>
  <si>
    <t xml:space="preserve">ST. CLAIR       </t>
  </si>
  <si>
    <t xml:space="preserve">MANKATO         </t>
  </si>
  <si>
    <t xml:space="preserve">COMFREY         </t>
  </si>
  <si>
    <t xml:space="preserve">SLEEPY EYE      </t>
  </si>
  <si>
    <t xml:space="preserve">SPRINGFIELD     </t>
  </si>
  <si>
    <t xml:space="preserve">NEW ULM         </t>
  </si>
  <si>
    <t xml:space="preserve">BARNUM          </t>
  </si>
  <si>
    <t xml:space="preserve">CARLTON         </t>
  </si>
  <si>
    <t xml:space="preserve">CLOQUET         </t>
  </si>
  <si>
    <t xml:space="preserve">CROMWELL-WRIGHT </t>
  </si>
  <si>
    <t xml:space="preserve">MOOSE LAKE      </t>
  </si>
  <si>
    <t xml:space="preserve">ESKO            </t>
  </si>
  <si>
    <t xml:space="preserve">WRENSHALL       </t>
  </si>
  <si>
    <t xml:space="preserve">NORWOOD         </t>
  </si>
  <si>
    <t xml:space="preserve">WACONIA         </t>
  </si>
  <si>
    <t xml:space="preserve">WATERTOWN-MAYER </t>
  </si>
  <si>
    <t xml:space="preserve">CHASKA          </t>
  </si>
  <si>
    <t>WALKER-HACKENSAC</t>
  </si>
  <si>
    <t>CASS LAKE-BENA S</t>
  </si>
  <si>
    <t xml:space="preserve">PILLAGER        </t>
  </si>
  <si>
    <t>NORTHLAND COMMUN</t>
  </si>
  <si>
    <t xml:space="preserve">MONTEVIDEO      </t>
  </si>
  <si>
    <t xml:space="preserve">NORTH BRANCH    </t>
  </si>
  <si>
    <t xml:space="preserve">RUSH CITY       </t>
  </si>
  <si>
    <t xml:space="preserve">BARNESVILLE     </t>
  </si>
  <si>
    <t xml:space="preserve">HAWLEY          </t>
  </si>
  <si>
    <t xml:space="preserve">MOORHEAD        </t>
  </si>
  <si>
    <t xml:space="preserve">BAGLEY          </t>
  </si>
  <si>
    <t xml:space="preserve">COOK COUNTY     </t>
  </si>
  <si>
    <t xml:space="preserve">MOUNTAIN LAKE   </t>
  </si>
  <si>
    <t xml:space="preserve">WINDOM          </t>
  </si>
  <si>
    <t xml:space="preserve">BRAINERD        </t>
  </si>
  <si>
    <t xml:space="preserve">CROSBY-IRONTON  </t>
  </si>
  <si>
    <t xml:space="preserve">PEQUOT LAKES    </t>
  </si>
  <si>
    <t xml:space="preserve">BURNSVILLE      </t>
  </si>
  <si>
    <t xml:space="preserve">FARMINGTON      </t>
  </si>
  <si>
    <t xml:space="preserve">LAKEVILLE       </t>
  </si>
  <si>
    <t xml:space="preserve">RANDOLPH        </t>
  </si>
  <si>
    <t xml:space="preserve">ROSEMOUNT-APPLE </t>
  </si>
  <si>
    <t>WEST ST. PAUL-ME</t>
  </si>
  <si>
    <t>INVER GROVE HEIG</t>
  </si>
  <si>
    <t xml:space="preserve">HASTINGS        </t>
  </si>
  <si>
    <t xml:space="preserve">HAYFIELD        </t>
  </si>
  <si>
    <t>KASSON-MANTORVIL</t>
  </si>
  <si>
    <t xml:space="preserve">ALEXANDRIA      </t>
  </si>
  <si>
    <t xml:space="preserve">BRANDON         </t>
  </si>
  <si>
    <t xml:space="preserve">EVANSVILLE      </t>
  </si>
  <si>
    <t xml:space="preserve">OSAKIS          </t>
  </si>
  <si>
    <t xml:space="preserve">CHATFIELD       </t>
  </si>
  <si>
    <t xml:space="preserve">LANESBORO       </t>
  </si>
  <si>
    <t xml:space="preserve">MABEL-CANTON    </t>
  </si>
  <si>
    <t>RUSHFORD-PETERSO</t>
  </si>
  <si>
    <t xml:space="preserve">ALBERT LEA      </t>
  </si>
  <si>
    <t xml:space="preserve">ALDEN           </t>
  </si>
  <si>
    <t xml:space="preserve">CANNON FALLS    </t>
  </si>
  <si>
    <t xml:space="preserve">GOODHUE         </t>
  </si>
  <si>
    <t xml:space="preserve">PINE ISLAND     </t>
  </si>
  <si>
    <t xml:space="preserve">RED WING        </t>
  </si>
  <si>
    <t xml:space="preserve">ASHBY           </t>
  </si>
  <si>
    <t xml:space="preserve">HERMAN-NORCROSS </t>
  </si>
  <si>
    <t xml:space="preserve">HOPKINS         </t>
  </si>
  <si>
    <t xml:space="preserve">BLOOMINGTON     </t>
  </si>
  <si>
    <t xml:space="preserve">EDEN PRAIRIE    </t>
  </si>
  <si>
    <t xml:space="preserve">EDINA           </t>
  </si>
  <si>
    <t xml:space="preserve">MINNETONKA      </t>
  </si>
  <si>
    <t xml:space="preserve">WESTONKA        </t>
  </si>
  <si>
    <t xml:space="preserve">ORONO           </t>
  </si>
  <si>
    <t xml:space="preserve">OSSEO           </t>
  </si>
  <si>
    <t xml:space="preserve">RICHFIELD       </t>
  </si>
  <si>
    <t xml:space="preserve">ROBBINSDALE     </t>
  </si>
  <si>
    <t xml:space="preserve">ST. ANTHONY-NEW </t>
  </si>
  <si>
    <t xml:space="preserve">ST. LOUIS PARK  </t>
  </si>
  <si>
    <t xml:space="preserve">WAYZATA         </t>
  </si>
  <si>
    <t xml:space="preserve">BROOKLYN CENTER </t>
  </si>
  <si>
    <t xml:space="preserve">HOUSTON         </t>
  </si>
  <si>
    <t xml:space="preserve">SPRING GROVE    </t>
  </si>
  <si>
    <t xml:space="preserve">CALEDONIA       </t>
  </si>
  <si>
    <t>LACRESCENT-HOKAH</t>
  </si>
  <si>
    <t xml:space="preserve">LAPORTE         </t>
  </si>
  <si>
    <t xml:space="preserve">NEVIS           </t>
  </si>
  <si>
    <t xml:space="preserve">PARK RAPIDS     </t>
  </si>
  <si>
    <t xml:space="preserve">BRAHAM          </t>
  </si>
  <si>
    <t xml:space="preserve">GREENWAY        </t>
  </si>
  <si>
    <t xml:space="preserve">DEER RIVER      </t>
  </si>
  <si>
    <t xml:space="preserve">GRAND RAPIDS    </t>
  </si>
  <si>
    <t>NASHWAUK-KEEWATI</t>
  </si>
  <si>
    <t xml:space="preserve">FRANCONIA       </t>
  </si>
  <si>
    <t>HERON LAKE-OKABE</t>
  </si>
  <si>
    <t xml:space="preserve">MORA            </t>
  </si>
  <si>
    <t xml:space="preserve">OGILVIE         </t>
  </si>
  <si>
    <t>NEW LONDON-SPICE</t>
  </si>
  <si>
    <t xml:space="preserve">WILLMAR         </t>
  </si>
  <si>
    <t xml:space="preserve">LANCASTER       </t>
  </si>
  <si>
    <t>INTERNATIONAL FA</t>
  </si>
  <si>
    <t>LITTLEFORK-BIG F</t>
  </si>
  <si>
    <t>SOUTH KOOCHICHIN</t>
  </si>
  <si>
    <t xml:space="preserve">DAWSON-BOYD     </t>
  </si>
  <si>
    <t xml:space="preserve">LAKE SUPERIOR   </t>
  </si>
  <si>
    <t>LAKE OF THE WOOD</t>
  </si>
  <si>
    <t>CLEVELAND PUBLIC</t>
  </si>
  <si>
    <t xml:space="preserve">LECENTER        </t>
  </si>
  <si>
    <t>MONTGOMERY-LONSD</t>
  </si>
  <si>
    <t xml:space="preserve">HENDRICKS       </t>
  </si>
  <si>
    <t xml:space="preserve">IVANHOE         </t>
  </si>
  <si>
    <t xml:space="preserve">LAKE BENTON     </t>
  </si>
  <si>
    <t xml:space="preserve">MARSHALL        </t>
  </si>
  <si>
    <t xml:space="preserve">MINNEOTA        </t>
  </si>
  <si>
    <t xml:space="preserve">LYND            </t>
  </si>
  <si>
    <t xml:space="preserve">HUTCHINSON      </t>
  </si>
  <si>
    <t xml:space="preserve">LESTER PRAIRIE  </t>
  </si>
  <si>
    <t xml:space="preserve">MAHNOMEN        </t>
  </si>
  <si>
    <t xml:space="preserve">WAUBUN          </t>
  </si>
  <si>
    <t xml:space="preserve">MARSHALL COUNTY </t>
  </si>
  <si>
    <t xml:space="preserve">GRYGLA          </t>
  </si>
  <si>
    <t xml:space="preserve">TRUMAN          </t>
  </si>
  <si>
    <t>EDEN VALLEY-WATK</t>
  </si>
  <si>
    <t xml:space="preserve">LITCHFIELD      </t>
  </si>
  <si>
    <t xml:space="preserve">DASSEL-COKATO   </t>
  </si>
  <si>
    <t xml:space="preserve">ISLE            </t>
  </si>
  <si>
    <t xml:space="preserve">PRINCETON       </t>
  </si>
  <si>
    <t xml:space="preserve">ONAMIA          </t>
  </si>
  <si>
    <t xml:space="preserve">LITTLE FALLS    </t>
  </si>
  <si>
    <t xml:space="preserve">PIERZ           </t>
  </si>
  <si>
    <t xml:space="preserve">ROYALTON        </t>
  </si>
  <si>
    <t xml:space="preserve">SWANVILLE       </t>
  </si>
  <si>
    <t xml:space="preserve">UPSALA          </t>
  </si>
  <si>
    <t xml:space="preserve">AUSTIN          </t>
  </si>
  <si>
    <t xml:space="preserve">GRAND MEADOW    </t>
  </si>
  <si>
    <t xml:space="preserve">LYLE            </t>
  </si>
  <si>
    <t xml:space="preserve">LEROY           </t>
  </si>
  <si>
    <t xml:space="preserve">SOUTHLAND       </t>
  </si>
  <si>
    <t xml:space="preserve">FULDA           </t>
  </si>
  <si>
    <t xml:space="preserve">NICOLLET        </t>
  </si>
  <si>
    <t xml:space="preserve">ST. PETER       </t>
  </si>
  <si>
    <t xml:space="preserve">ADRIAN          </t>
  </si>
  <si>
    <t xml:space="preserve">BREWSTER        </t>
  </si>
  <si>
    <t xml:space="preserve">ELLSWORTH       </t>
  </si>
  <si>
    <t xml:space="preserve">ROUND LAKE      </t>
  </si>
  <si>
    <t xml:space="preserve">WORTHINGTON     </t>
  </si>
  <si>
    <t xml:space="preserve">BYRON           </t>
  </si>
  <si>
    <t xml:space="preserve">DOVER-EYOTA     </t>
  </si>
  <si>
    <t xml:space="preserve">STEWARTVILLE    </t>
  </si>
  <si>
    <t xml:space="preserve">ROCHESTER       </t>
  </si>
  <si>
    <t xml:space="preserve">BATTLE LAKE     </t>
  </si>
  <si>
    <t xml:space="preserve">FERGUS FALLS    </t>
  </si>
  <si>
    <t xml:space="preserve">HENNING         </t>
  </si>
  <si>
    <t xml:space="preserve">PARKERS PRAIRIE </t>
  </si>
  <si>
    <t xml:space="preserve">PELICAN RAPIDS  </t>
  </si>
  <si>
    <t xml:space="preserve">PERHAM          </t>
  </si>
  <si>
    <t xml:space="preserve">UNDERWOOD       </t>
  </si>
  <si>
    <t xml:space="preserve">NEW YORK MILLS  </t>
  </si>
  <si>
    <t xml:space="preserve">GOODRIDGE       </t>
  </si>
  <si>
    <t>THIEF RIVER FALL</t>
  </si>
  <si>
    <t xml:space="preserve">WILLOW RIVER    </t>
  </si>
  <si>
    <t xml:space="preserve">PINE CITY       </t>
  </si>
  <si>
    <t xml:space="preserve">EDGERTON        </t>
  </si>
  <si>
    <t xml:space="preserve">CLIMAX          </t>
  </si>
  <si>
    <t xml:space="preserve">CROOKSTON       </t>
  </si>
  <si>
    <t>EAST GRAND FORKS</t>
  </si>
  <si>
    <t>FERTILE-BELTRAMI</t>
  </si>
  <si>
    <t xml:space="preserve">FISHER          </t>
  </si>
  <si>
    <t xml:space="preserve">FOSSTON         </t>
  </si>
  <si>
    <t xml:space="preserve">CYRUS           </t>
  </si>
  <si>
    <t xml:space="preserve">MOUNDS VIEW     </t>
  </si>
  <si>
    <t>NORTH ST PAUL-MA</t>
  </si>
  <si>
    <t xml:space="preserve">ROSEVILLE       </t>
  </si>
  <si>
    <t xml:space="preserve">WHITE BEAR LAKE </t>
  </si>
  <si>
    <t xml:space="preserve">ST. PAUL        </t>
  </si>
  <si>
    <t xml:space="preserve">OKLEE           </t>
  </si>
  <si>
    <t xml:space="preserve">PLUMMER         </t>
  </si>
  <si>
    <t xml:space="preserve">RED LAKE FALLS  </t>
  </si>
  <si>
    <t xml:space="preserve">MILROY          </t>
  </si>
  <si>
    <t xml:space="preserve">WABASSO         </t>
  </si>
  <si>
    <t xml:space="preserve">FARIBAULT       </t>
  </si>
  <si>
    <t xml:space="preserve">NORTHFIELD      </t>
  </si>
  <si>
    <t>HILLS-BEAVER CRE</t>
  </si>
  <si>
    <t xml:space="preserve">BADGER          </t>
  </si>
  <si>
    <t xml:space="preserve">ROSEAU          </t>
  </si>
  <si>
    <t xml:space="preserve">WARROAD         </t>
  </si>
  <si>
    <t xml:space="preserve">CHISHOLM        </t>
  </si>
  <si>
    <t xml:space="preserve">ELY             </t>
  </si>
  <si>
    <t xml:space="preserve">FLOODWOOD       </t>
  </si>
  <si>
    <t xml:space="preserve">HERMANTOWN      </t>
  </si>
  <si>
    <t xml:space="preserve">HIBBING         </t>
  </si>
  <si>
    <t xml:space="preserve">PROCTOR         </t>
  </si>
  <si>
    <t xml:space="preserve">VIRGINIA        </t>
  </si>
  <si>
    <t xml:space="preserve">NETT LAKE       </t>
  </si>
  <si>
    <t xml:space="preserve">DULUTH          </t>
  </si>
  <si>
    <t>MOUNTAIN IRON-BU</t>
  </si>
  <si>
    <t xml:space="preserve">BELLE PLAINE    </t>
  </si>
  <si>
    <t xml:space="preserve">JORDAN          </t>
  </si>
  <si>
    <t>PRIOR LAKE-SAVAG</t>
  </si>
  <si>
    <t xml:space="preserve">SHAKOPEE        </t>
  </si>
  <si>
    <t xml:space="preserve">NEW PRAGUE AREA </t>
  </si>
  <si>
    <t xml:space="preserve">BECKER          </t>
  </si>
  <si>
    <t xml:space="preserve">BIG LAKE        </t>
  </si>
  <si>
    <t xml:space="preserve">ELK RIVER       </t>
  </si>
  <si>
    <t xml:space="preserve">HOLDINGFORD     </t>
  </si>
  <si>
    <t xml:space="preserve">KIMBALL         </t>
  </si>
  <si>
    <t xml:space="preserve">MELROSE         </t>
  </si>
  <si>
    <t xml:space="preserve">PAYNESVILLE     </t>
  </si>
  <si>
    <t xml:space="preserve">ST. CLOUD       </t>
  </si>
  <si>
    <t xml:space="preserve">SAUK CENTRE     </t>
  </si>
  <si>
    <t xml:space="preserve">ALBANY          </t>
  </si>
  <si>
    <t xml:space="preserve">SARTELL         </t>
  </si>
  <si>
    <t xml:space="preserve">ROCORI          </t>
  </si>
  <si>
    <t>BLOOMING PRAIRIE</t>
  </si>
  <si>
    <t xml:space="preserve">OWATONNA        </t>
  </si>
  <si>
    <t xml:space="preserve">MEDFORD         </t>
  </si>
  <si>
    <t xml:space="preserve">HANCOCK         </t>
  </si>
  <si>
    <t xml:space="preserve">MORRIS          </t>
  </si>
  <si>
    <t xml:space="preserve">CHOKIO-ALBERTA  </t>
  </si>
  <si>
    <t>KERKHOVEN-MURDOC</t>
  </si>
  <si>
    <t xml:space="preserve">BENSON          </t>
  </si>
  <si>
    <t xml:space="preserve">BERTHA-HEWITT   </t>
  </si>
  <si>
    <t xml:space="preserve">BROWERVILLE     </t>
  </si>
  <si>
    <t xml:space="preserve">BROWNS VALLEY   </t>
  </si>
  <si>
    <t>WHEATON AREA SCH</t>
  </si>
  <si>
    <t xml:space="preserve">WABASHA-KELLOGG </t>
  </si>
  <si>
    <t xml:space="preserve">LAKE CITY       </t>
  </si>
  <si>
    <t xml:space="preserve">PRINSBURG       </t>
  </si>
  <si>
    <t xml:space="preserve">VERNDALE        </t>
  </si>
  <si>
    <t xml:space="preserve">SEBEKA          </t>
  </si>
  <si>
    <t xml:space="preserve">MENAHGA         </t>
  </si>
  <si>
    <t xml:space="preserve">WASECA          </t>
  </si>
  <si>
    <t xml:space="preserve">FOREST LAKE     </t>
  </si>
  <si>
    <t xml:space="preserve">MAHTOMEDI       </t>
  </si>
  <si>
    <t>SOUTH WASHINGTON</t>
  </si>
  <si>
    <t xml:space="preserve">STILLWATER      </t>
  </si>
  <si>
    <t xml:space="preserve">BUTTERFIELD     </t>
  </si>
  <si>
    <t xml:space="preserve">MADELIA         </t>
  </si>
  <si>
    <t xml:space="preserve">ST. JAMES       </t>
  </si>
  <si>
    <t xml:space="preserve">BRECKENRIDGE    </t>
  </si>
  <si>
    <t xml:space="preserve">ROTHSAY         </t>
  </si>
  <si>
    <t xml:space="preserve">CAMPBELL-TINTAH </t>
  </si>
  <si>
    <t xml:space="preserve">LEWISTON-ALTURA </t>
  </si>
  <si>
    <t xml:space="preserve">ST. CHARLES     </t>
  </si>
  <si>
    <t>WINONA AREA PUBL</t>
  </si>
  <si>
    <t xml:space="preserve">ANNANDALE       </t>
  </si>
  <si>
    <t xml:space="preserve">BUFFALO         </t>
  </si>
  <si>
    <t xml:space="preserve">DELANO          </t>
  </si>
  <si>
    <t xml:space="preserve">MAPLE LAKE      </t>
  </si>
  <si>
    <t xml:space="preserve">MONTICELLO      </t>
  </si>
  <si>
    <t xml:space="preserve">ROCKFORD        </t>
  </si>
  <si>
    <t>ST. MICHAEL-ALBE</t>
  </si>
  <si>
    <t xml:space="preserve">CANBY           </t>
  </si>
  <si>
    <t>CAMBRIDGE-ISANTI</t>
  </si>
  <si>
    <t xml:space="preserve">MILACA          </t>
  </si>
  <si>
    <t xml:space="preserve">ULEN-HITTERDAL  </t>
  </si>
  <si>
    <t>LAKE CRYSTAL-WEL</t>
  </si>
  <si>
    <t xml:space="preserve">TRITON          </t>
  </si>
  <si>
    <t>UNITED SOUTH CEN</t>
  </si>
  <si>
    <t xml:space="preserve">MAPLE RIVER     </t>
  </si>
  <si>
    <t xml:space="preserve">KINGSLAND       </t>
  </si>
  <si>
    <t>ST. LOUIS COUNTY</t>
  </si>
  <si>
    <t>WATERVILLE-ELYSI</t>
  </si>
  <si>
    <t xml:space="preserve">CHISAGO LAKES   </t>
  </si>
  <si>
    <t xml:space="preserve">MINNEWASKA      </t>
  </si>
  <si>
    <t xml:space="preserve">EVELETH-GILBERT </t>
  </si>
  <si>
    <t>WADENA-DEER CREE</t>
  </si>
  <si>
    <t>BUFFALO LAKE-HEC</t>
  </si>
  <si>
    <t>DILWORTH-GLYNDON</t>
  </si>
  <si>
    <t>HINCKLEY-FINLAYS</t>
  </si>
  <si>
    <t xml:space="preserve">LAKEVIEW        </t>
  </si>
  <si>
    <t xml:space="preserve">N.R.H.E.G.      </t>
  </si>
  <si>
    <t>MURRAY COUNTY CE</t>
  </si>
  <si>
    <t xml:space="preserve">STAPLES-MOTLEY  </t>
  </si>
  <si>
    <t xml:space="preserve">KITTSON CENTRAL </t>
  </si>
  <si>
    <t>KENYON-WANAMINGO</t>
  </si>
  <si>
    <t>PINE RIVER-BACKU</t>
  </si>
  <si>
    <t>WARREN-ALVARADO-</t>
  </si>
  <si>
    <t xml:space="preserve">M.A.C.C.R.A.Y.  </t>
  </si>
  <si>
    <t xml:space="preserve">LUVERNE         </t>
  </si>
  <si>
    <t xml:space="preserve">YELLOW MEDICINE </t>
  </si>
  <si>
    <t>FILLMORE CENTRAL</t>
  </si>
  <si>
    <t>NORMAN COUNTY EA</t>
  </si>
  <si>
    <t xml:space="preserve">SIBLEY EAST     </t>
  </si>
  <si>
    <t>CLEARBROOK-GONVI</t>
  </si>
  <si>
    <t>WEST CENTRAL ARE</t>
  </si>
  <si>
    <t xml:space="preserve">TRI-COUNTY      </t>
  </si>
  <si>
    <t>BELGRADE-BROOTEN</t>
  </si>
  <si>
    <t xml:space="preserve">G.F.W.          </t>
  </si>
  <si>
    <t xml:space="preserve">A.C.G.C.        </t>
  </si>
  <si>
    <t>LESUEUR-HENDERSO</t>
  </si>
  <si>
    <t>MARTIN COUNTY WE</t>
  </si>
  <si>
    <t>NORMAN COUNTY WE</t>
  </si>
  <si>
    <t>BIRD ISLAND-OLIV</t>
  </si>
  <si>
    <t>GRANADA HUNTLEY-</t>
  </si>
  <si>
    <t xml:space="preserve">EAST CENTRAL    </t>
  </si>
  <si>
    <t xml:space="preserve">WIN-E-MAC       </t>
  </si>
  <si>
    <t>GREENBUSH-MIDDLE</t>
  </si>
  <si>
    <t>HOWARD LAKE-WAVE</t>
  </si>
  <si>
    <t>PIPESTONE AREA S</t>
  </si>
  <si>
    <t xml:space="preserve">MESABI EAST     </t>
  </si>
  <si>
    <t>FAIRMONT AREA SC</t>
  </si>
  <si>
    <t>LONG PRAIRIE-GRE</t>
  </si>
  <si>
    <t xml:space="preserve">CEDAR MOUNTAIN  </t>
  </si>
  <si>
    <t>EAGLE VALLEY PUB</t>
  </si>
  <si>
    <t>ZUMBROTA-MAZEPPA</t>
  </si>
  <si>
    <t>JANESVILLE-WALDO</t>
  </si>
  <si>
    <t>LAC QUI PARLE VA</t>
  </si>
  <si>
    <t xml:space="preserve">ADA-BORUP       </t>
  </si>
  <si>
    <t>STEPHEN-ARGYLE C</t>
  </si>
  <si>
    <t>GLENCOE-SILVER L</t>
  </si>
  <si>
    <t xml:space="preserve">BLUE EARTH AREA </t>
  </si>
  <si>
    <t>RED ROCK CENTRAL</t>
  </si>
  <si>
    <t>GLENVILLE-EMMONS</t>
  </si>
  <si>
    <t>CLINTON-GRACEVIL</t>
  </si>
  <si>
    <t>LAKE PARK AUDUBO</t>
  </si>
  <si>
    <t xml:space="preserve">RENVILLE COUNTY </t>
  </si>
  <si>
    <t>JACKSON COUNTY C</t>
  </si>
  <si>
    <t>REDWOOD AREA SCH</t>
  </si>
  <si>
    <t>WESTBROOK-WALNUT</t>
  </si>
  <si>
    <t>Comm Service</t>
  </si>
  <si>
    <t>Reemploy</t>
  </si>
  <si>
    <t>Hea Ben</t>
  </si>
  <si>
    <t>100% Shift Total</t>
  </si>
  <si>
    <t>Add'l Referendum</t>
  </si>
  <si>
    <t xml:space="preserve">PRIOR LAKE      </t>
  </si>
  <si>
    <t>Total Aid Adjust</t>
  </si>
  <si>
    <t>State Total</t>
  </si>
  <si>
    <t>PINE POINT</t>
  </si>
  <si>
    <t>Genl RMV Other</t>
  </si>
  <si>
    <t>Genl NTC Voter</t>
  </si>
  <si>
    <t>Genl NTC Other</t>
  </si>
  <si>
    <t>Integ--1st Class</t>
  </si>
  <si>
    <t>Hea Ben Adjust</t>
  </si>
  <si>
    <t>Int Adj PY--1st Class</t>
  </si>
  <si>
    <t>Int Adj 2YP--1st Class</t>
  </si>
  <si>
    <t>General Shift Aid Adjust</t>
  </si>
  <si>
    <t xml:space="preserve"> Comm Serv Aid Adjust</t>
  </si>
  <si>
    <t>Comm Serv at Shift %</t>
  </si>
  <si>
    <t>Refer Aid Adjust</t>
  </si>
  <si>
    <t>Addl Refer Shift</t>
  </si>
  <si>
    <t>Genl with Aid Adjust</t>
  </si>
  <si>
    <t>Refer with Aid Adjust</t>
  </si>
  <si>
    <t>Refer No Aid Adjust</t>
  </si>
  <si>
    <t>100% Shift</t>
  </si>
  <si>
    <t>Reemploy Resv</t>
  </si>
  <si>
    <t>Reemploy Unrsv</t>
  </si>
  <si>
    <t>Addl Retire</t>
  </si>
  <si>
    <t>PROPERTY TAX SHIFT YEAR-END RECONCILIATION</t>
  </si>
  <si>
    <t>Enter District Number</t>
  </si>
  <si>
    <t>A</t>
  </si>
  <si>
    <t>General - Shift &amp; Adjust Aid</t>
  </si>
  <si>
    <t>B</t>
  </si>
  <si>
    <t xml:space="preserve">General - Operating Referendum (with aid adjust) </t>
  </si>
  <si>
    <t>C</t>
  </si>
  <si>
    <t>General - Operating Referendum (no aid adjust)</t>
  </si>
  <si>
    <t>D</t>
  </si>
  <si>
    <t>General - Addl Referendum Shift</t>
  </si>
  <si>
    <t>E</t>
  </si>
  <si>
    <t>F</t>
  </si>
  <si>
    <t>G</t>
  </si>
  <si>
    <t>General - Reemploy Ins (Reserved)</t>
  </si>
  <si>
    <t>H</t>
  </si>
  <si>
    <t>General - Reemploy Ins (Unreserved)</t>
  </si>
  <si>
    <t>I</t>
  </si>
  <si>
    <t>General - Legislative Changes</t>
  </si>
  <si>
    <t>J</t>
  </si>
  <si>
    <t>General Fund Total</t>
  </si>
  <si>
    <t>K</t>
  </si>
  <si>
    <t>Comm Serv - Shift &amp; Adjust Aid</t>
  </si>
  <si>
    <t>L</t>
  </si>
  <si>
    <t>Comm Serv - 100% Shift, No Adjust</t>
  </si>
  <si>
    <t>M</t>
  </si>
  <si>
    <t>Comm Serv - Legislative Change</t>
  </si>
  <si>
    <t>N</t>
  </si>
  <si>
    <t>Comm Serv Fund Total</t>
  </si>
  <si>
    <t>O</t>
  </si>
  <si>
    <t>Total</t>
  </si>
  <si>
    <t>Definitions of levy categories within funds</t>
  </si>
  <si>
    <t>Shift &amp; Adjust Aid</t>
  </si>
  <si>
    <t>Operating referendum (with aid adjust)</t>
  </si>
  <si>
    <t>Operating referendum (no aid adjust)</t>
  </si>
  <si>
    <t>Addl referendum shift</t>
  </si>
  <si>
    <t>due to the net of changes in the allocation of HACA and the increase in referendum equalization aid.</t>
  </si>
  <si>
    <t>This amount will be constant from year to year.</t>
  </si>
  <si>
    <t>100% shift, no adjust</t>
  </si>
  <si>
    <t>Reemploy Ins (reserved)</t>
  </si>
  <si>
    <t>Reemploy Ins (unreserved)</t>
  </si>
  <si>
    <t>Legislative changes</t>
  </si>
  <si>
    <t>ASSUMPTIONS:</t>
  </si>
  <si>
    <t>1)</t>
  </si>
  <si>
    <t>2)</t>
  </si>
  <si>
    <t>have been coded to 214 to zero out the account.  If not, the following entry should be made:</t>
  </si>
  <si>
    <t>Debit</t>
  </si>
  <si>
    <t>Credit</t>
  </si>
  <si>
    <t>REV</t>
  </si>
  <si>
    <t>01-005-000-000-211-000</t>
  </si>
  <si>
    <t>Gen Ed Revenue</t>
  </si>
  <si>
    <t>GNL</t>
  </si>
  <si>
    <t>01-214</t>
  </si>
  <si>
    <t>Adv of Unearned Gen Ed</t>
  </si>
  <si>
    <t>3)</t>
  </si>
  <si>
    <t>If not, the following entries should be made:</t>
  </si>
  <si>
    <t>01-005-000-000-299-000</t>
  </si>
  <si>
    <t>Prop Tax Shift Adjustment</t>
  </si>
  <si>
    <t>04-005-000-000-299-000</t>
  </si>
  <si>
    <t>01-005-000-XXX-XXX-000</t>
  </si>
  <si>
    <t>State Aid Receivable or State Aid Revenue</t>
  </si>
  <si>
    <t>04-005-000-XXX-XXX-000</t>
  </si>
  <si>
    <t>General
Fund</t>
  </si>
  <si>
    <t>Comm Service Fund</t>
  </si>
  <si>
    <t>Mobile Home Taxes</t>
  </si>
  <si>
    <t>Total May/June/July Tax Settlement Receipts</t>
  </si>
  <si>
    <t>01-235</t>
  </si>
  <si>
    <t>Prop Tax Sub Years</t>
  </si>
  <si>
    <t>04-235</t>
  </si>
  <si>
    <t>04-214</t>
  </si>
  <si>
    <t>Local Property Taxes--Reemployment</t>
  </si>
  <si>
    <t>01-005-000-830-001-000</t>
  </si>
  <si>
    <t>Local Property Taxes--Career Technical</t>
  </si>
  <si>
    <t>01-005-000-830-211-000 (if not enough tax receipts)</t>
  </si>
  <si>
    <t>Gen Ed Revenue--Career Technical</t>
  </si>
  <si>
    <t xml:space="preserve">01-005-000-000-001-000 </t>
  </si>
  <si>
    <t>Local Property Taxes</t>
  </si>
  <si>
    <t>01-005-000-000-211-000 (if not enough tax receipts)</t>
  </si>
  <si>
    <t>04-005-000-XXX-001-000</t>
  </si>
  <si>
    <t>04-005-000-XXX-211-000</t>
  </si>
  <si>
    <t xml:space="preserve">01-005-000-000-296-000 </t>
  </si>
  <si>
    <t>Property Tax Shift Offset Adjustment</t>
  </si>
  <si>
    <t>04-005-000-000-211-000</t>
  </si>
  <si>
    <t xml:space="preserve">04-005-000-000-296-000 </t>
  </si>
  <si>
    <t>(reverse prior year shift)</t>
  </si>
  <si>
    <t>01-005-000-000-020-000</t>
  </si>
  <si>
    <t>Prop Tax Shift Revenue</t>
  </si>
  <si>
    <t>04-005-000-000-020-000</t>
  </si>
  <si>
    <t>State Aid Adjustment for Shift</t>
  </si>
  <si>
    <t>01-101</t>
  </si>
  <si>
    <t>Cash</t>
  </si>
  <si>
    <t>04-101</t>
  </si>
  <si>
    <t>01-213</t>
  </si>
  <si>
    <t>Property Tax Shift Adjustment</t>
  </si>
  <si>
    <t>(modification by fund to correct (increase or decrease) property tax shift adjustment and redistribution of prior adjustment per Ideas report)</t>
  </si>
  <si>
    <t>General - 100% Shift, No Adjust</t>
  </si>
  <si>
    <t>General - Career Technical</t>
  </si>
  <si>
    <t>Career Technical</t>
  </si>
  <si>
    <t>Shift at</t>
  </si>
  <si>
    <t>General Fund</t>
  </si>
  <si>
    <t>Comm Serv Fund</t>
  </si>
  <si>
    <t>PROPERTY TAX SHIFT</t>
  </si>
  <si>
    <t>Early Recognition Levies</t>
  </si>
  <si>
    <t>Other Levies</t>
  </si>
  <si>
    <t>Column 3 is the revenue change to be recognized as a result of the levies shifted with with no aid reduction (net of column 1 and column 2 for these categories).</t>
  </si>
  <si>
    <t>Balance Sheet Acccounts:</t>
  </si>
  <si>
    <t>Tax Settlement Reports (Form 52)</t>
  </si>
  <si>
    <t>(Do not include any July payments)</t>
  </si>
  <si>
    <t>General Ledger</t>
  </si>
  <si>
    <t>Taxes Receivable Report (Form 51)</t>
  </si>
  <si>
    <t>Amount by which tax shift exceeds property tax receipts</t>
  </si>
  <si>
    <t>Revenue Accounts:</t>
  </si>
  <si>
    <t>Amount of General Ed Aid recognized early for shift with aid reduction</t>
  </si>
  <si>
    <t>The following categories are mutually exclusive, that is, each levy appears in one category only.</t>
  </si>
  <si>
    <t>Total General Aid Adjust</t>
  </si>
  <si>
    <t>Prinsburg Exclusion NTC Voter</t>
  </si>
  <si>
    <t>Prinsburg Exclusion RMV Voter</t>
  </si>
  <si>
    <t>Property Taxes for Subsequent Years (GNL 235) entries have already taken place.  Prior to the tax shift entries the balance</t>
  </si>
  <si>
    <t>Reemploy Adjust Reserved</t>
  </si>
  <si>
    <t>Reemploy Adjust Unreserved</t>
  </si>
  <si>
    <t>CSE Levy for Credit Allocation</t>
  </si>
  <si>
    <t>Genl Levy for Credit Allocation</t>
  </si>
  <si>
    <t>Total Levy for Credit Allocation</t>
  </si>
  <si>
    <t>Computed Credits for Tax Shift</t>
  </si>
  <si>
    <t>Total Levy</t>
  </si>
  <si>
    <t>Estimated Gened Recognition</t>
  </si>
  <si>
    <t>Includes selected levies that have been adjusted based on legislation that changes a levy authority after the levy has</t>
  </si>
  <si>
    <t>Legislative Changes Genl Fund</t>
  </si>
  <si>
    <t>Legislative Changes Comm Serv</t>
  </si>
  <si>
    <t>Leg Changes Genl Fund</t>
  </si>
  <si>
    <t>Leg Changes Comm Serv</t>
  </si>
  <si>
    <t>Total Gross Shift</t>
  </si>
  <si>
    <t>The first section shows the property tax shift report for the school district, with a definition for each tax shift category.</t>
  </si>
  <si>
    <t>RTR</t>
  </si>
  <si>
    <t>PLAINVIEW-ELGIN-MILLV</t>
  </si>
  <si>
    <t>Includes levies that are shifted at 100% and for which there is no reduction to state aid.  This category</t>
  </si>
  <si>
    <t>includes integration for first class districts, additional retirement, health benefits, and related adjustments.</t>
  </si>
  <si>
    <t>01-005-000-000-001-000</t>
  </si>
  <si>
    <t>Community Service Fund</t>
  </si>
  <si>
    <t>Shiftable Oth Gen
(E+F+G-U-X-Y-AA)</t>
  </si>
  <si>
    <t>Shiftable Comm Serv (H-T-V)</t>
  </si>
  <si>
    <t>Notes:</t>
  </si>
  <si>
    <t>To select a specific district, type the district number in cell A3  (use 1.2 for Minneapolis) and press enter.  Information for the selected district will then appear in the report.  Running a macro is not required.</t>
  </si>
  <si>
    <t>Reconciation of Property Tax Accounts</t>
  </si>
  <si>
    <t>General</t>
  </si>
  <si>
    <t>Comm Serv</t>
  </si>
  <si>
    <t>Debt</t>
  </si>
  <si>
    <t>Report of Credits from Dept of Revenue</t>
  </si>
  <si>
    <t>Credits on Taxes receivable minus credits from Revenue</t>
  </si>
  <si>
    <t>Tax Shift Entry</t>
  </si>
  <si>
    <t>Levy Limitation &amp; Certification Report</t>
  </si>
  <si>
    <t>Entries to record property taxes</t>
  </si>
  <si>
    <t>Jan 1</t>
  </si>
  <si>
    <t>GL 110</t>
  </si>
  <si>
    <t>Current Taxes Receivable</t>
  </si>
  <si>
    <t>GL 235</t>
  </si>
  <si>
    <t>Deferred Revenue</t>
  </si>
  <si>
    <t>To record current year levy as taxes receivable</t>
  </si>
  <si>
    <t>GL 111</t>
  </si>
  <si>
    <t>Delinquent Taxes Receivable</t>
  </si>
  <si>
    <t>To transfer current taxes receivable to delinquent taxes</t>
  </si>
  <si>
    <t>Jan - July</t>
  </si>
  <si>
    <t>GL 101</t>
  </si>
  <si>
    <t>SRC 009</t>
  </si>
  <si>
    <t>Fiscal Disparities</t>
  </si>
  <si>
    <t>SRC 014</t>
  </si>
  <si>
    <t>Taconite Homestead Credit</t>
  </si>
  <si>
    <t>SRC 019</t>
  </si>
  <si>
    <t>Miscellaneous tax revenue</t>
  </si>
  <si>
    <t>To record first half tax settlements received from counties</t>
  </si>
  <si>
    <t>June 30</t>
  </si>
  <si>
    <t>GL 214</t>
  </si>
  <si>
    <t>Advance of Unearned Gened</t>
  </si>
  <si>
    <t>SRC 001</t>
  </si>
  <si>
    <t>Tax Revenue</t>
  </si>
  <si>
    <t>Tax Revenue (Portions with Finance Codes)</t>
  </si>
  <si>
    <t>To record current year tax shift</t>
  </si>
  <si>
    <t>July 1</t>
  </si>
  <si>
    <t>To reverse prior year tax shift</t>
  </si>
  <si>
    <t>To record levy revenue for current year</t>
  </si>
  <si>
    <t>To reduce taxes receivable for amount to be paid by state credits</t>
  </si>
  <si>
    <t>To reduce taxes receivable for amount to be paid by fiscal disparities</t>
  </si>
  <si>
    <t>To reduce taxes receivable for amount to be paid by taconite homestead credit</t>
  </si>
  <si>
    <t>Debit/Credit</t>
  </si>
  <si>
    <t>Credit/Debit</t>
  </si>
  <si>
    <t>To adjust taxes receivable for county auditor adjustments</t>
  </si>
  <si>
    <t>Oct - Jan</t>
  </si>
  <si>
    <t>GL 009</t>
  </si>
  <si>
    <t>GL 014</t>
  </si>
  <si>
    <t>To record second half tax settlements received from counties</t>
  </si>
  <si>
    <t>To reduce taxes receivable for abatements</t>
  </si>
  <si>
    <t>To reduce taxes receivable for seventh-year write offs</t>
  </si>
  <si>
    <t>GL 231</t>
  </si>
  <si>
    <t>Deferred Revenue--Delinquent Taxes</t>
  </si>
  <si>
    <t>To adjust deferred revenue for delinquent taxes</t>
  </si>
  <si>
    <t>Community Serv</t>
  </si>
  <si>
    <t>Debt Service</t>
  </si>
  <si>
    <r>
      <t xml:space="preserve">The </t>
    </r>
    <r>
      <rPr>
        <b/>
        <sz val="8"/>
        <rFont val="Arial"/>
        <family val="2"/>
      </rPr>
      <t xml:space="preserve">"Reports" tab </t>
    </r>
    <r>
      <rPr>
        <sz val="8"/>
        <rFont val="Arial"/>
        <family val="2"/>
      </rPr>
      <t>shows the property tax shift report for a selected school district.</t>
    </r>
  </si>
  <si>
    <t>SRC 211</t>
  </si>
  <si>
    <t>Tax Shift Report (column 6)</t>
  </si>
  <si>
    <t>Tax Shift Report (column 2 - lines A+B or K )</t>
  </si>
  <si>
    <t>Tax Shift Report (column 1 - lines A+B or K)</t>
  </si>
  <si>
    <t>Year end receivable (payable) adjustment for property tax shift</t>
  </si>
  <si>
    <t>Tax Shift Report (column 2 - lines C+D+E+F+G+H+I or L+M)</t>
  </si>
  <si>
    <t>Tax Shift Report (column 1 - lines C+D+E+F+G+H+I or L+M)</t>
  </si>
  <si>
    <t>All other fields will compute, including those that come from the Tax Shift spreadsheet</t>
  </si>
  <si>
    <t>Note:</t>
  </si>
  <si>
    <t>Tax Shift Report (column 1 - line J or N)</t>
  </si>
  <si>
    <t>Tax Shift Report (column 5 - line J or N)</t>
  </si>
  <si>
    <t>Tax Shift Report (column 6 - line J or N)</t>
  </si>
  <si>
    <t>Certified Levy</t>
  </si>
  <si>
    <t>Debit (Credit)</t>
  </si>
  <si>
    <t>(Credit)</t>
  </si>
  <si>
    <t>Increase (decrease) to credits by county</t>
  </si>
  <si>
    <t>Asset  and expenditure accounts would normally have a debit balance</t>
  </si>
  <si>
    <t>Liability and revenue accounts would normally have a credit balance</t>
  </si>
  <si>
    <t>Account balances are indicated as debit or (credit) balance</t>
  </si>
  <si>
    <t>Data entered on Funds tab will carryover and be used to allocate adjustments and abatements</t>
  </si>
  <si>
    <t>On Reports tab enter your district # in cell A3 so correct tax shift amounts carryover</t>
  </si>
  <si>
    <t>On this tab enter data in highlighted fields only--from source indicated</t>
  </si>
  <si>
    <t>Enter debits as positive and credits as negative, as indicated in column H</t>
  </si>
  <si>
    <t>Year end payable (receivable) for property tax shift</t>
  </si>
  <si>
    <t>Date</t>
  </si>
  <si>
    <t>Subtotal</t>
  </si>
  <si>
    <t>Enter certified levies for each year below</t>
  </si>
  <si>
    <t>Also used to allocate adjustments and abatements on Accounts tab</t>
  </si>
  <si>
    <t>This data is used to report certified levies on Accounts tab</t>
  </si>
  <si>
    <t>Debt Serv</t>
  </si>
  <si>
    <t>Pay 2007</t>
  </si>
  <si>
    <t>Pay 2006</t>
  </si>
  <si>
    <t>Pay 2005</t>
  </si>
  <si>
    <t>Taxes receivable</t>
  </si>
  <si>
    <t>Fiscal disparities</t>
  </si>
  <si>
    <t>Miscellaneous taxes</t>
  </si>
  <si>
    <t>Total settlement</t>
  </si>
  <si>
    <t>County</t>
  </si>
  <si>
    <t>Pay 2008</t>
  </si>
  <si>
    <t>Taconite homestead</t>
  </si>
  <si>
    <t>Taconite homestead credit</t>
  </si>
  <si>
    <t>Amounts will be allocated to funds based upon certified levies above</t>
  </si>
  <si>
    <t>Settlements will be totaled by year and fund for carryover to Accounts tab</t>
  </si>
  <si>
    <t>Total Certified Levy</t>
  </si>
  <si>
    <t>Delinquent Taxes receivable</t>
  </si>
  <si>
    <t>Current Taxes receivable</t>
  </si>
  <si>
    <t>State Aid Adjustment
Src Code 299</t>
  </si>
  <si>
    <t>Revenue Adjustment
Src Code 299</t>
  </si>
  <si>
    <t>If settlement sheet from the county already shows settlements by fund:</t>
  </si>
  <si>
    <r>
      <t xml:space="preserve">Debit
</t>
    </r>
    <r>
      <rPr>
        <sz val="8"/>
        <rFont val="Arial"/>
        <family val="2"/>
      </rPr>
      <t>(Credit)</t>
    </r>
  </si>
  <si>
    <r>
      <t xml:space="preserve">Credit
</t>
    </r>
    <r>
      <rPr>
        <sz val="8"/>
        <rFont val="Arial"/>
        <family val="2"/>
      </rPr>
      <t>(Debit)</t>
    </r>
  </si>
  <si>
    <t>If more columns are needed, insert between column M and S</t>
  </si>
  <si>
    <t>Lesser of Gross Shift or Tax Receipts (but not less than zero)</t>
  </si>
  <si>
    <t>Positve amount indicates state aid payment</t>
  </si>
  <si>
    <t xml:space="preserve">Negative amount indicates reduction to state aid payments </t>
  </si>
  <si>
    <t>Pay 2009</t>
  </si>
  <si>
    <t>The entries start with the levy being certified by the school board and work through a full year of accounting entries.</t>
  </si>
  <si>
    <t>Note:  Property tax shift entry shown on "Report" tab combines the June 30th entry to record the current year tax shift (entry just above this note) with the prior July 1st entry to reverse the prior year tax shift (entry similar to entry below, but for the previous July 1st).</t>
  </si>
  <si>
    <t>Genl RMV Voter</t>
  </si>
  <si>
    <t>Includes reemployment insurance levy adjustments for FY 2003 shifted at 100% with no aid adjustment.</t>
  </si>
  <si>
    <t>Includes reemployment insurance levy and adjustments for FY 2004 and later shifted at 100% with no aid adjustment.</t>
  </si>
  <si>
    <t>This category is the Pay 2001 referendum levy shifted at 31%.  This amount will be constant from year to year.</t>
  </si>
  <si>
    <t>This is an additional revenue shift for districts that had a decrease in Pay 1994 referendum levy</t>
  </si>
  <si>
    <t>Entry to GNL 214 minus entries to SRC 211</t>
  </si>
  <si>
    <t>Entry toGNL 214 minus entries to SRC 211</t>
  </si>
  <si>
    <t>Enter data in green highlighted cells</t>
  </si>
  <si>
    <t>Unprotect this tab and enter settlement data directly into cells E56 through S145, orange outlined section below</t>
  </si>
  <si>
    <t>Caution:  You will be overriding the formulas in these cells</t>
  </si>
  <si>
    <t>dat_yer</t>
  </si>
  <si>
    <t>dst_num</t>
  </si>
  <si>
    <t>dst_tye</t>
  </si>
  <si>
    <t>gen_lgr_num</t>
  </si>
  <si>
    <t>fun_num</t>
  </si>
  <si>
    <t>end_bal_amt</t>
  </si>
  <si>
    <t>Pay 2001
Refer Shift</t>
  </si>
  <si>
    <t>Total General Fund Shift</t>
  </si>
  <si>
    <t>Total Comm Serv Fund Shift</t>
  </si>
  <si>
    <t>Pay 2010</t>
  </si>
  <si>
    <t xml:space="preserve">ORTONVILLE-BELLINGHAM  </t>
  </si>
  <si>
    <t>TRACY AREA</t>
  </si>
  <si>
    <t>Watch for consolidated districts</t>
  </si>
  <si>
    <t>Genl RMV Voter Levy</t>
  </si>
  <si>
    <t>Genl RMV Other Levy</t>
  </si>
  <si>
    <t>Genl NTC Voter Levy</t>
  </si>
  <si>
    <t>Genl NTC Other Levy</t>
  </si>
  <si>
    <t>Comm Service Levy</t>
  </si>
  <si>
    <t>Debt Voter Levy</t>
  </si>
  <si>
    <t>Debt Other Levy</t>
  </si>
  <si>
    <t>OPEB Voter Levy</t>
  </si>
  <si>
    <t>OPEB Other Levy</t>
  </si>
  <si>
    <t>Career technical levy and adjustment shifted at 100% with no aid adjustment.</t>
  </si>
  <si>
    <t>Career Tech Adjust</t>
  </si>
  <si>
    <t>Certain levies have been--and will continue to be--shifted 100% with no aid reduction.  Recognizing these levies early gets the revenue into the same fiscal year as the related expenditures.  There is no state aid adjustment for this portion of the shift.</t>
  </si>
  <si>
    <t>Starting in fiscal year 2004, the shift was expanded to include all other general and community service fund levies, net of tax credits.  There is a corresponding state aid adjustment for this portion of the property tax shift, making this portion of the shift revenue neutral to school districts each year.  If the shift at the end of the current year is larger than the shift at the end of the previous year, state aid for the current year is reduced for the net increase in the shift.  If the shift at the end of the current year is less than the shift at the end of the previous year, state aid for the current year is increased for the net decrease in the shift.</t>
  </si>
  <si>
    <t>Est Pay 2010 Credits</t>
  </si>
  <si>
    <t>Levy</t>
  </si>
  <si>
    <t>Credits</t>
  </si>
  <si>
    <t>Net Levy</t>
  </si>
  <si>
    <t>Tax Settlement Reports (Form 52) for each July</t>
  </si>
  <si>
    <t>Total May-June 2010 Tax Receipts for Ideas</t>
  </si>
  <si>
    <t>Pay 2011</t>
  </si>
  <si>
    <t>10 Pay 11</t>
  </si>
  <si>
    <t>FY 2011</t>
  </si>
  <si>
    <t>06/30/11</t>
  </si>
  <si>
    <t>FY 2012</t>
  </si>
  <si>
    <t>Column 4 is the net shift amount to be recognized as a result of levies shifted with an aid reduction.  A negative amount in this column represents a debit balance in source 020 and related crebit balance in source 299.</t>
  </si>
  <si>
    <t>Column 5 is the state aid payment (reduction) that is being made in the current year for the property tax shift.</t>
  </si>
  <si>
    <t>Column 6 represents the state aid payment (reduction) that will be made next year, for this year's tax shift.  Column 4 plus column 5 plus column 6 should equal zero.</t>
  </si>
  <si>
    <r>
      <t>Enter data on the</t>
    </r>
    <r>
      <rPr>
        <b/>
        <sz val="8"/>
        <rFont val="Arial"/>
        <family val="2"/>
      </rPr>
      <t xml:space="preserve"> Funds tab</t>
    </r>
    <r>
      <rPr>
        <sz val="8"/>
        <rFont val="Arial"/>
        <family val="2"/>
      </rPr>
      <t xml:space="preserve"> if you want to use the reconciliation feature in the Accounts tab. </t>
    </r>
  </si>
  <si>
    <r>
      <t xml:space="preserve">The </t>
    </r>
    <r>
      <rPr>
        <b/>
        <sz val="8"/>
        <rFont val="Arial"/>
        <family val="2"/>
      </rPr>
      <t>Accounts tab</t>
    </r>
    <r>
      <rPr>
        <sz val="8"/>
        <rFont val="Arial"/>
        <family val="2"/>
      </rPr>
      <t xml:space="preserve"> provides a year-end reconciliation for each tax-related account.</t>
    </r>
  </si>
  <si>
    <r>
      <t xml:space="preserve">The </t>
    </r>
    <r>
      <rPr>
        <b/>
        <sz val="8"/>
        <rFont val="Arial"/>
        <family val="2"/>
      </rPr>
      <t>Entries tab</t>
    </r>
    <r>
      <rPr>
        <sz val="8"/>
        <rFont val="Arial"/>
        <family val="2"/>
      </rPr>
      <t xml:space="preserve"> shows standard accounting entries for recording property taxes.</t>
    </r>
  </si>
  <si>
    <t>The other tabs in this spreadsheet provide the data that is used to create the tax shift report shown in the Reports tab.</t>
  </si>
  <si>
    <t>The second section discusses the assumptions that have been made in generating the entries to record the tax shift.  Also review the Accounts tab and Entries tab.</t>
  </si>
  <si>
    <t>This tab can serve as a year-end reconcilation tool.  Enter data in the highlighted fields on this tab and in the Funds tab.  All other fields in this tab will automatically be computed.</t>
  </si>
  <si>
    <t>Starting in fiscal year 2006, the shift percentage for other levies was set to zero percent.</t>
  </si>
  <si>
    <t>Prel Pay 2010 Credits</t>
  </si>
  <si>
    <t>been certified (See Minnesota Statutes, section 126C.48, subdivision 6).  The revenue shift is at 100% and there is</t>
  </si>
  <si>
    <t>Not Revised</t>
  </si>
  <si>
    <t>STR 21,22-1</t>
  </si>
  <si>
    <t>STR 21,22-2</t>
  </si>
  <si>
    <t>STR 21,22-3</t>
  </si>
  <si>
    <t>STR 21,22-4</t>
  </si>
  <si>
    <t>STR 21,22-5</t>
  </si>
  <si>
    <t>STR 21,22-6</t>
  </si>
  <si>
    <t>STR 21,22-7</t>
  </si>
  <si>
    <t>STR 21,22-9</t>
  </si>
  <si>
    <t xml:space="preserve"> </t>
  </si>
  <si>
    <t>STR 21,22-8</t>
  </si>
  <si>
    <t>GDS Levy for Credit Allocation</t>
  </si>
  <si>
    <t>OPEB Levy for Credit Allocation</t>
  </si>
  <si>
    <t>Estimated Total Credits</t>
  </si>
  <si>
    <t>Estimated Credits Allocation?
1=Yes, 0=No</t>
  </si>
  <si>
    <t>Credits by Fund from Revenue</t>
  </si>
  <si>
    <t>Fund 1</t>
  </si>
  <si>
    <t>Fund 4</t>
  </si>
  <si>
    <t>Fund 7</t>
  </si>
  <si>
    <t>Fund 47</t>
  </si>
  <si>
    <t>Est/Act Fund 1 Credits</t>
  </si>
  <si>
    <t>Est/Act Fund 4 Credits</t>
  </si>
  <si>
    <t>Est/Act Fund 7 Credits</t>
  </si>
  <si>
    <t>Est/Act Fund 47 Credits</t>
  </si>
  <si>
    <t>Shift at 48.6%</t>
  </si>
  <si>
    <t>Pay 2012</t>
  </si>
  <si>
    <t>11 Pay 12</t>
  </si>
  <si>
    <t>FY 2013</t>
  </si>
  <si>
    <t>06/30/12</t>
  </si>
  <si>
    <t>07/01/2011 to 06/30/2012</t>
  </si>
  <si>
    <t>07/01/2011 to 04/30/2012</t>
  </si>
  <si>
    <t>05/01/2012 to 06/30/2012</t>
  </si>
  <si>
    <t>Starting in fiscal year 2011, the shift percentage for other levies was set to 48.6 percent, and based on gross levies (before subtraction of credits).</t>
  </si>
  <si>
    <t>From Certified Levy Summaries</t>
  </si>
  <si>
    <t>10-11</t>
  </si>
  <si>
    <t>Query Date 07-06-12</t>
  </si>
  <si>
    <t>IDEAS from State Aid Adjustment (Column 5).xlsx</t>
  </si>
  <si>
    <t xml:space="preserve">If you have questions about the property tax shift or about using  this spreadsheet, contact Terri Yetter by phone at 651-582-8868 or by e-mail at terri.yetter@state.mn.us. </t>
  </si>
  <si>
    <t>File created from IDEAS run under S:\common\TAXSFTR</t>
  </si>
  <si>
    <t>File created from LEVY run under S:\common\TAXSHIFT</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</si>
</sst>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7" formatCode="&quot;$&quot;#,##0.00_);\(&quot;$&quot;#,##0.00\)"/>
    <numFmt numFmtId="44" formatCode="_(&quot;$&quot;* #,##0.00_);_(&quot;$&quot;* \(#,##0.00\);_(&quot;$&quot;* &quot;-&quot;??_);_(@_)"/>
    <numFmt numFmtId="43" formatCode="_(* #,##0.00_);_(* \(#,##0.00\);_(* &quot;-&quot;??_);_(@_)"/>
    <numFmt numFmtId="164" formatCode="0.0%"/>
    <numFmt numFmtId="165" formatCode="0_);\(0\)"/>
    <numFmt numFmtId="166" formatCode="mm/dd/yy"/>
    <numFmt numFmtId="167" formatCode="mm/dd/yy;@"/>
    <numFmt numFmtId="168" formatCode="[$-409]mmmm\ d\,\ yyyy;@"/>
    <numFmt numFmtId="172" formatCode="0.0_);\(0.0\)"/>
  </numFmts>
  <fonts count="16" x14ac:knownFonts="1">
    <font>
      <sz val="8"/>
      <name val="Arial"/>
      <family val="2"/>
    </font>
    <font>
      <sz val="10"/>
      <name val="Arial"/>
      <family val="2"/>
    </font>
    <font>
      <sz val="8"/>
      <name val="Arial"/>
      <family val="2"/>
    </font>
    <font>
      <b/>
      <sz val="8"/>
      <name val="Arial"/>
      <family val="2"/>
    </font>
    <font>
      <sz val="8"/>
      <name val="Arial"/>
      <family val="2"/>
    </font>
    <font>
      <sz val="8"/>
      <color indexed="10"/>
      <name val="Arial"/>
      <family val="2"/>
    </font>
    <font>
      <sz val="10"/>
      <color indexed="81"/>
      <name val="Tahoma"/>
      <family val="2"/>
    </font>
    <font>
      <b/>
      <sz val="10"/>
      <color indexed="81"/>
      <name val="Tahoma"/>
      <family val="2"/>
    </font>
    <font>
      <b/>
      <sz val="8"/>
      <color indexed="10"/>
      <name val="Arial"/>
      <family val="2"/>
    </font>
    <font>
      <b/>
      <sz val="8"/>
      <color indexed="81"/>
      <name val="Arial"/>
      <family val="2"/>
    </font>
    <font>
      <sz val="8"/>
      <color indexed="81"/>
      <name val="Arial"/>
      <family val="2"/>
    </font>
    <font>
      <sz val="8"/>
      <color indexed="81"/>
      <name val="Tahoma"/>
      <family val="2"/>
    </font>
    <font>
      <b/>
      <sz val="8"/>
      <color indexed="81"/>
      <name val="Tahoma"/>
      <family val="2"/>
    </font>
    <font>
      <sz val="11"/>
      <name val="Times New Roman"/>
      <family val="1"/>
    </font>
    <font>
      <sz val="11"/>
      <color theme="1"/>
      <name val="Calibri"/>
      <family val="2"/>
      <scheme val="minor"/>
    </font>
    <font>
      <b/>
      <sz val="10"/>
      <color rgb="FFFF0000"/>
      <name val="Arial"/>
      <family val="2"/>
    </font>
  </fonts>
  <fills count="9">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45"/>
        <bgColor indexed="64"/>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theme="9" tint="0.59999389629810485"/>
        <bgColor indexed="64"/>
      </patternFill>
    </fill>
  </fills>
  <borders count="24">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double">
        <color indexed="64"/>
      </bottom>
      <diagonal/>
    </border>
    <border>
      <left/>
      <right style="thin">
        <color indexed="64"/>
      </right>
      <top/>
      <bottom style="double">
        <color indexed="64"/>
      </bottom>
      <diagonal/>
    </border>
    <border diagonalDown="1">
      <left/>
      <right/>
      <top/>
      <bottom/>
      <diagonal style="thin">
        <color indexed="64"/>
      </diagonal>
    </border>
    <border diagonalUp="1">
      <left/>
      <right/>
      <top/>
      <bottom/>
      <diagonal style="thin">
        <color indexed="64"/>
      </diagonal>
    </border>
    <border>
      <left/>
      <right/>
      <top style="thin">
        <color indexed="64"/>
      </top>
      <bottom style="double">
        <color indexed="64"/>
      </bottom>
      <diagonal/>
    </border>
    <border>
      <left style="thick">
        <color indexed="52"/>
      </left>
      <right/>
      <top style="thick">
        <color indexed="52"/>
      </top>
      <bottom/>
      <diagonal/>
    </border>
    <border>
      <left/>
      <right/>
      <top style="thick">
        <color indexed="52"/>
      </top>
      <bottom/>
      <diagonal/>
    </border>
    <border>
      <left/>
      <right style="thick">
        <color indexed="52"/>
      </right>
      <top style="thick">
        <color indexed="52"/>
      </top>
      <bottom/>
      <diagonal/>
    </border>
    <border>
      <left style="thick">
        <color indexed="52"/>
      </left>
      <right/>
      <top/>
      <bottom/>
      <diagonal/>
    </border>
    <border>
      <left/>
      <right style="thick">
        <color indexed="52"/>
      </right>
      <top/>
      <bottom/>
      <diagonal/>
    </border>
    <border>
      <left style="thick">
        <color indexed="52"/>
      </left>
      <right/>
      <top/>
      <bottom style="thick">
        <color indexed="52"/>
      </bottom>
      <diagonal/>
    </border>
    <border>
      <left/>
      <right/>
      <top/>
      <bottom style="thick">
        <color indexed="52"/>
      </bottom>
      <diagonal/>
    </border>
    <border>
      <left/>
      <right style="thick">
        <color indexed="52"/>
      </right>
      <top/>
      <bottom style="thick">
        <color indexed="52"/>
      </bottom>
      <diagonal/>
    </border>
    <border>
      <left style="medium">
        <color indexed="64"/>
      </left>
      <right/>
      <top/>
      <bottom/>
      <diagonal/>
    </border>
    <border>
      <left/>
      <right style="medium">
        <color indexed="64"/>
      </right>
      <top/>
      <bottom/>
      <diagonal/>
    </border>
  </borders>
  <cellStyleXfs count="38">
    <xf numFmtId="39" fontId="0" fillId="0" borderId="0"/>
    <xf numFmtId="43" fontId="1" fillId="0" borderId="0" applyFont="0" applyFill="0" applyBorder="0" applyAlignment="0" applyProtection="0"/>
    <xf numFmtId="3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7"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39" fontId="13" fillId="0" borderId="0"/>
    <xf numFmtId="39" fontId="2" fillId="0" borderId="0"/>
    <xf numFmtId="0" fontId="14" fillId="0" borderId="0"/>
  </cellStyleXfs>
  <cellXfs count="199">
    <xf numFmtId="39" fontId="0" fillId="0" borderId="0" xfId="0"/>
    <xf numFmtId="39" fontId="2" fillId="0" borderId="0" xfId="0" applyFont="1"/>
    <xf numFmtId="43" fontId="2" fillId="0" borderId="0" xfId="0" applyNumberFormat="1" applyFont="1"/>
    <xf numFmtId="43" fontId="2" fillId="0" borderId="0" xfId="0" applyNumberFormat="1" applyFont="1" applyFill="1"/>
    <xf numFmtId="39" fontId="2" fillId="0" borderId="0" xfId="0" applyFont="1" applyFill="1"/>
    <xf numFmtId="165" fontId="2" fillId="0" borderId="0" xfId="0" applyNumberFormat="1" applyFont="1"/>
    <xf numFmtId="165" fontId="2" fillId="0" borderId="0" xfId="0" applyNumberFormat="1" applyFont="1" applyAlignment="1">
      <alignment horizontal="center" wrapText="1"/>
    </xf>
    <xf numFmtId="39" fontId="2" fillId="0" borderId="0" xfId="0" applyFont="1" applyAlignment="1">
      <alignment horizontal="center" wrapText="1"/>
    </xf>
    <xf numFmtId="43" fontId="2" fillId="0" borderId="0" xfId="0" applyNumberFormat="1" applyFont="1" applyAlignment="1">
      <alignment horizontal="center" wrapText="1"/>
    </xf>
    <xf numFmtId="43" fontId="2" fillId="0" borderId="0" xfId="0" applyNumberFormat="1" applyFont="1" applyFill="1" applyAlignment="1">
      <alignment horizontal="center" wrapText="1"/>
    </xf>
    <xf numFmtId="39" fontId="3" fillId="0" borderId="0" xfId="0" applyFont="1"/>
    <xf numFmtId="165" fontId="3" fillId="0" borderId="0" xfId="0" applyNumberFormat="1" applyFont="1"/>
    <xf numFmtId="39" fontId="2" fillId="0" borderId="0" xfId="0" applyFont="1" applyAlignment="1">
      <alignment wrapText="1"/>
    </xf>
    <xf numFmtId="39" fontId="2" fillId="0" borderId="0" xfId="0" applyFont="1" applyAlignment="1"/>
    <xf numFmtId="39" fontId="3" fillId="0" borderId="0" xfId="0" applyFont="1" applyAlignment="1"/>
    <xf numFmtId="166" fontId="2" fillId="0" borderId="0" xfId="0" quotePrefix="1" applyNumberFormat="1" applyFont="1" applyAlignment="1">
      <alignment horizontal="right"/>
    </xf>
    <xf numFmtId="39" fontId="2" fillId="0" borderId="0" xfId="0" applyFont="1" applyAlignment="1">
      <alignment vertical="top" wrapText="1"/>
    </xf>
    <xf numFmtId="43" fontId="2" fillId="0" borderId="0" xfId="0" applyNumberFormat="1" applyFont="1" applyFill="1" applyBorder="1" applyAlignment="1">
      <alignment horizontal="center" wrapText="1"/>
    </xf>
    <xf numFmtId="165" fontId="2" fillId="0" borderId="0" xfId="0" applyNumberFormat="1" applyFont="1" applyFill="1"/>
    <xf numFmtId="39" fontId="0" fillId="0" borderId="0" xfId="0" applyFill="1"/>
    <xf numFmtId="39" fontId="4" fillId="0" borderId="0" xfId="0" applyFont="1" applyFill="1" applyAlignment="1">
      <alignment vertical="top" wrapText="1"/>
    </xf>
    <xf numFmtId="43" fontId="2" fillId="0" borderId="0" xfId="0" applyNumberFormat="1" applyFont="1" applyFill="1" applyBorder="1"/>
    <xf numFmtId="165" fontId="3" fillId="0" borderId="0" xfId="0" applyNumberFormat="1" applyFont="1" applyFill="1"/>
    <xf numFmtId="39" fontId="0" fillId="0" borderId="0" xfId="0" applyAlignment="1">
      <alignment vertical="top" wrapText="1"/>
    </xf>
    <xf numFmtId="49" fontId="3" fillId="0" borderId="0" xfId="0" applyNumberFormat="1" applyFont="1"/>
    <xf numFmtId="49" fontId="0" fillId="0" borderId="0" xfId="0" applyNumberFormat="1"/>
    <xf numFmtId="39" fontId="0" fillId="2" borderId="0" xfId="0" applyFill="1" applyProtection="1">
      <protection locked="0"/>
    </xf>
    <xf numFmtId="39" fontId="0" fillId="3" borderId="0" xfId="0" applyFill="1" applyProtection="1">
      <protection locked="0"/>
    </xf>
    <xf numFmtId="39" fontId="0" fillId="4" borderId="0" xfId="0" applyFill="1" applyProtection="1">
      <protection locked="0"/>
    </xf>
    <xf numFmtId="39" fontId="0" fillId="5" borderId="0" xfId="0" applyFill="1" applyProtection="1">
      <protection locked="0"/>
    </xf>
    <xf numFmtId="39" fontId="0" fillId="0" borderId="0" xfId="0" applyFill="1" applyProtection="1"/>
    <xf numFmtId="39" fontId="0" fillId="5" borderId="0" xfId="0" applyFill="1" applyAlignment="1" applyProtection="1">
      <alignment horizontal="right"/>
      <protection locked="0"/>
    </xf>
    <xf numFmtId="39" fontId="0" fillId="6" borderId="0" xfId="0" applyFill="1" applyAlignment="1" applyProtection="1">
      <alignment horizontal="right"/>
      <protection locked="0"/>
    </xf>
    <xf numFmtId="39" fontId="0" fillId="0" borderId="0" xfId="0" applyAlignment="1">
      <alignment wrapText="1"/>
    </xf>
    <xf numFmtId="44" fontId="2" fillId="2" borderId="1" xfId="18" applyNumberFormat="1" applyFont="1" applyFill="1" applyBorder="1" applyProtection="1">
      <protection locked="0"/>
    </xf>
    <xf numFmtId="43" fontId="2" fillId="2" borderId="0" xfId="18" applyNumberFormat="1" applyFont="1" applyFill="1" applyBorder="1" applyProtection="1">
      <protection locked="0"/>
    </xf>
    <xf numFmtId="44" fontId="2" fillId="2" borderId="0" xfId="18" applyNumberFormat="1" applyFont="1" applyFill="1" applyBorder="1" applyProtection="1">
      <protection locked="0"/>
    </xf>
    <xf numFmtId="43" fontId="2" fillId="2" borderId="1" xfId="0" applyNumberFormat="1" applyFont="1" applyFill="1" applyBorder="1" applyProtection="1">
      <protection locked="0"/>
    </xf>
    <xf numFmtId="43" fontId="2" fillId="2" borderId="2" xfId="18" applyNumberFormat="1" applyFont="1" applyFill="1" applyBorder="1" applyProtection="1">
      <protection locked="0"/>
    </xf>
    <xf numFmtId="43" fontId="2" fillId="2" borderId="3" xfId="0" applyNumberFormat="1" applyFont="1" applyFill="1" applyBorder="1" applyProtection="1">
      <protection locked="0"/>
    </xf>
    <xf numFmtId="0" fontId="3" fillId="7" borderId="0" xfId="1" applyNumberFormat="1" applyFont="1" applyFill="1" applyProtection="1">
      <protection locked="0"/>
    </xf>
    <xf numFmtId="167" fontId="0" fillId="0" borderId="0" xfId="0" applyNumberFormat="1"/>
    <xf numFmtId="39" fontId="0" fillId="0" borderId="0" xfId="0" applyFill="1" applyAlignment="1" applyProtection="1">
      <alignment horizontal="right"/>
    </xf>
    <xf numFmtId="39" fontId="0" fillId="0" borderId="0" xfId="0" applyProtection="1"/>
    <xf numFmtId="39" fontId="3" fillId="0" borderId="0" xfId="0" applyFont="1" applyAlignment="1" applyProtection="1">
      <alignment horizontal="left" indent="2"/>
    </xf>
    <xf numFmtId="165" fontId="3" fillId="0" borderId="0" xfId="0" applyNumberFormat="1" applyFont="1" applyAlignment="1" applyProtection="1">
      <alignment horizontal="left"/>
    </xf>
    <xf numFmtId="39" fontId="0" fillId="0" borderId="0" xfId="0" applyAlignment="1" applyProtection="1"/>
    <xf numFmtId="39" fontId="0" fillId="0" borderId="0" xfId="0" applyAlignment="1" applyProtection="1">
      <alignment horizontal="right"/>
    </xf>
    <xf numFmtId="167" fontId="0" fillId="0" borderId="0" xfId="0" applyNumberFormat="1" applyProtection="1"/>
    <xf numFmtId="165" fontId="2" fillId="0" borderId="0" xfId="0" applyNumberFormat="1" applyFont="1" applyAlignment="1" applyProtection="1">
      <alignment horizontal="left"/>
    </xf>
    <xf numFmtId="165" fontId="2" fillId="0" borderId="0" xfId="0" applyNumberFormat="1" applyFont="1" applyAlignment="1" applyProtection="1"/>
    <xf numFmtId="39" fontId="3" fillId="0" borderId="0" xfId="0" applyFont="1" applyAlignment="1" applyProtection="1">
      <alignment horizontal="center"/>
    </xf>
    <xf numFmtId="39" fontId="0" fillId="0" borderId="0" xfId="0" applyAlignment="1" applyProtection="1">
      <alignment horizontal="center"/>
    </xf>
    <xf numFmtId="165" fontId="0" fillId="0" borderId="0" xfId="0" applyNumberFormat="1" applyAlignment="1" applyProtection="1">
      <alignment horizontal="center"/>
    </xf>
    <xf numFmtId="165" fontId="0" fillId="0" borderId="0" xfId="0" applyNumberFormat="1" applyAlignment="1" applyProtection="1"/>
    <xf numFmtId="39" fontId="3" fillId="0" borderId="0" xfId="0" applyFont="1" applyProtection="1"/>
    <xf numFmtId="39" fontId="2" fillId="0" borderId="0" xfId="0" applyFont="1" applyProtection="1"/>
    <xf numFmtId="39" fontId="0" fillId="0" borderId="0" xfId="0" applyAlignment="1" applyProtection="1">
      <alignment horizontal="left"/>
    </xf>
    <xf numFmtId="39" fontId="0" fillId="0" borderId="0" xfId="0" applyBorder="1" applyAlignment="1" applyProtection="1">
      <alignment horizontal="right"/>
    </xf>
    <xf numFmtId="39" fontId="0" fillId="0" borderId="0" xfId="0" applyBorder="1" applyProtection="1"/>
    <xf numFmtId="39" fontId="0" fillId="0" borderId="0" xfId="0" applyFill="1" applyAlignment="1" applyProtection="1">
      <alignment horizontal="left" indent="1"/>
    </xf>
    <xf numFmtId="39" fontId="0" fillId="0" borderId="0" xfId="0" applyFill="1" applyBorder="1" applyAlignment="1" applyProtection="1">
      <alignment horizontal="right"/>
    </xf>
    <xf numFmtId="39" fontId="0" fillId="0" borderId="0" xfId="0" applyAlignment="1" applyProtection="1">
      <alignment horizontal="left" indent="1"/>
    </xf>
    <xf numFmtId="39" fontId="0" fillId="0" borderId="0" xfId="0" applyBorder="1" applyAlignment="1" applyProtection="1"/>
    <xf numFmtId="39" fontId="3" fillId="0" borderId="0" xfId="0" applyFont="1" applyAlignment="1" applyProtection="1">
      <alignment horizontal="left"/>
    </xf>
    <xf numFmtId="39" fontId="0" fillId="0" borderId="0" xfId="0" applyAlignment="1" applyProtection="1">
      <alignment horizontal="left" indent="2"/>
    </xf>
    <xf numFmtId="39" fontId="2" fillId="0" borderId="0" xfId="0" applyFont="1" applyAlignment="1" applyProtection="1">
      <alignment horizontal="left" indent="2"/>
    </xf>
    <xf numFmtId="39" fontId="3" fillId="0" borderId="0" xfId="0" applyFont="1" applyAlignment="1" applyProtection="1">
      <alignment horizontal="left" indent="1"/>
    </xf>
    <xf numFmtId="39" fontId="0" fillId="0" borderId="0" xfId="0" quotePrefix="1" applyProtection="1"/>
    <xf numFmtId="39" fontId="0" fillId="0" borderId="0" xfId="0" quotePrefix="1" applyAlignment="1" applyProtection="1">
      <alignment horizontal="left" indent="2"/>
    </xf>
    <xf numFmtId="39" fontId="3" fillId="0" borderId="0" xfId="0" quotePrefix="1" applyFont="1" applyProtection="1"/>
    <xf numFmtId="39" fontId="2" fillId="0" borderId="0" xfId="0" quotePrefix="1" applyFont="1" applyAlignment="1" applyProtection="1">
      <alignment horizontal="left" indent="2"/>
    </xf>
    <xf numFmtId="166" fontId="2" fillId="0" borderId="0" xfId="0" applyNumberFormat="1" applyFont="1" applyProtection="1"/>
    <xf numFmtId="39" fontId="2" fillId="0" borderId="0" xfId="0" applyFont="1" applyFill="1" applyProtection="1"/>
    <xf numFmtId="165" fontId="2" fillId="0" borderId="0" xfId="0" applyNumberFormat="1" applyFont="1" applyAlignment="1" applyProtection="1">
      <alignment horizontal="center"/>
    </xf>
    <xf numFmtId="39" fontId="2" fillId="0" borderId="0" xfId="0" applyFont="1" applyAlignment="1" applyProtection="1">
      <alignment horizontal="center" wrapText="1"/>
    </xf>
    <xf numFmtId="39" fontId="2" fillId="0" borderId="0" xfId="0" applyFont="1" applyBorder="1" applyAlignment="1" applyProtection="1">
      <alignment horizontal="center" wrapText="1"/>
    </xf>
    <xf numFmtId="39" fontId="2" fillId="0" borderId="1" xfId="0" applyFont="1" applyBorder="1" applyAlignment="1" applyProtection="1">
      <alignment horizontal="center" wrapText="1"/>
    </xf>
    <xf numFmtId="39" fontId="2" fillId="0" borderId="0" xfId="0" applyFont="1" applyBorder="1" applyProtection="1"/>
    <xf numFmtId="39" fontId="2" fillId="0" borderId="0" xfId="0" applyFont="1" applyAlignment="1" applyProtection="1">
      <alignment horizontal="center"/>
    </xf>
    <xf numFmtId="39" fontId="2" fillId="0" borderId="0" xfId="0" applyFont="1" applyFill="1" applyAlignment="1" applyProtection="1">
      <alignment horizontal="center"/>
    </xf>
    <xf numFmtId="39" fontId="2" fillId="0" borderId="0" xfId="0" applyFont="1" applyFill="1" applyBorder="1" applyProtection="1"/>
    <xf numFmtId="37" fontId="2" fillId="0" borderId="0" xfId="0" applyNumberFormat="1" applyFont="1" applyAlignment="1" applyProtection="1">
      <alignment horizontal="center"/>
    </xf>
    <xf numFmtId="0" fontId="2" fillId="0" borderId="0" xfId="0" applyNumberFormat="1" applyFont="1" applyProtection="1"/>
    <xf numFmtId="0" fontId="3" fillId="0" borderId="4" xfId="0" applyNumberFormat="1" applyFont="1" applyBorder="1" applyProtection="1"/>
    <xf numFmtId="39" fontId="2" fillId="0" borderId="5" xfId="0" applyFont="1" applyBorder="1" applyProtection="1"/>
    <xf numFmtId="39" fontId="2" fillId="0" borderId="6" xfId="0" applyFont="1" applyBorder="1" applyProtection="1"/>
    <xf numFmtId="0" fontId="3" fillId="0" borderId="7" xfId="0" applyNumberFormat="1" applyFont="1" applyBorder="1" applyProtection="1"/>
    <xf numFmtId="39" fontId="2" fillId="0" borderId="1" xfId="0" applyFont="1" applyBorder="1" applyProtection="1"/>
    <xf numFmtId="0" fontId="2" fillId="0" borderId="7" xfId="0" applyNumberFormat="1" applyFont="1" applyBorder="1" applyProtection="1"/>
    <xf numFmtId="39" fontId="2" fillId="0" borderId="0" xfId="0" applyFont="1" applyBorder="1" applyAlignment="1" applyProtection="1">
      <alignment horizontal="center"/>
    </xf>
    <xf numFmtId="39" fontId="2" fillId="0" borderId="1" xfId="0" applyFont="1" applyBorder="1" applyAlignment="1" applyProtection="1">
      <alignment horizontal="center"/>
    </xf>
    <xf numFmtId="39" fontId="2" fillId="0" borderId="7" xfId="0" applyFont="1" applyBorder="1" applyProtection="1"/>
    <xf numFmtId="39" fontId="2" fillId="0" borderId="7" xfId="0" applyFont="1" applyFill="1" applyBorder="1" applyProtection="1"/>
    <xf numFmtId="0" fontId="2" fillId="0" borderId="7" xfId="0" applyNumberFormat="1" applyFont="1" applyBorder="1" applyAlignment="1" applyProtection="1">
      <alignment horizontal="left"/>
    </xf>
    <xf numFmtId="39" fontId="2" fillId="0" borderId="0" xfId="0" quotePrefix="1" applyFont="1" applyFill="1" applyBorder="1" applyProtection="1"/>
    <xf numFmtId="39" fontId="2" fillId="0" borderId="0" xfId="0" applyFont="1" applyFill="1" applyBorder="1" applyAlignment="1" applyProtection="1">
      <alignment horizontal="right"/>
    </xf>
    <xf numFmtId="39" fontId="2" fillId="0" borderId="1" xfId="0" applyFont="1" applyFill="1" applyBorder="1" applyAlignment="1" applyProtection="1">
      <alignment horizontal="right"/>
    </xf>
    <xf numFmtId="39" fontId="2" fillId="0" borderId="8" xfId="0" applyFont="1" applyFill="1" applyBorder="1" applyProtection="1"/>
    <xf numFmtId="39" fontId="2" fillId="0" borderId="2" xfId="0" quotePrefix="1" applyFont="1" applyFill="1" applyBorder="1" applyProtection="1"/>
    <xf numFmtId="39" fontId="2" fillId="0" borderId="2" xfId="0" applyFont="1" applyBorder="1" applyProtection="1"/>
    <xf numFmtId="39" fontId="2" fillId="0" borderId="3" xfId="0" applyFont="1" applyFill="1" applyBorder="1" applyAlignment="1" applyProtection="1">
      <alignment horizontal="right"/>
    </xf>
    <xf numFmtId="39" fontId="3" fillId="0" borderId="4" xfId="0" applyFont="1" applyBorder="1" applyAlignment="1" applyProtection="1">
      <alignment horizontal="left"/>
    </xf>
    <xf numFmtId="39" fontId="2" fillId="0" borderId="5" xfId="0" applyFont="1" applyBorder="1" applyAlignment="1" applyProtection="1">
      <alignment horizontal="center" wrapText="1"/>
    </xf>
    <xf numFmtId="39" fontId="2" fillId="0" borderId="6" xfId="0" applyFont="1" applyBorder="1" applyAlignment="1" applyProtection="1">
      <alignment horizontal="center" wrapText="1"/>
    </xf>
    <xf numFmtId="39" fontId="2" fillId="0" borderId="7" xfId="0" applyFont="1" applyFill="1" applyBorder="1" applyAlignment="1" applyProtection="1">
      <alignment horizontal="left"/>
    </xf>
    <xf numFmtId="39" fontId="2" fillId="0" borderId="8" xfId="0" applyFont="1" applyBorder="1" applyProtection="1"/>
    <xf numFmtId="39" fontId="2" fillId="0" borderId="2" xfId="0" applyFont="1" applyFill="1" applyBorder="1" applyProtection="1"/>
    <xf numFmtId="43" fontId="2" fillId="0" borderId="5" xfId="18" applyNumberFormat="1" applyFont="1" applyFill="1" applyBorder="1" applyProtection="1"/>
    <xf numFmtId="43" fontId="2" fillId="0" borderId="6" xfId="0" applyNumberFormat="1" applyFont="1" applyFill="1" applyBorder="1" applyProtection="1"/>
    <xf numFmtId="39" fontId="2" fillId="0" borderId="0" xfId="0" applyFont="1" applyFill="1" applyBorder="1" applyAlignment="1" applyProtection="1">
      <alignment horizontal="left" indent="2"/>
    </xf>
    <xf numFmtId="44" fontId="2" fillId="0" borderId="9" xfId="0" applyNumberFormat="1" applyFont="1" applyFill="1" applyBorder="1" applyProtection="1"/>
    <xf numFmtId="44" fontId="2" fillId="0" borderId="10" xfId="0" applyNumberFormat="1" applyFont="1" applyFill="1" applyBorder="1" applyProtection="1"/>
    <xf numFmtId="39" fontId="2" fillId="0" borderId="3" xfId="0" applyFont="1" applyBorder="1" applyProtection="1"/>
    <xf numFmtId="39" fontId="3" fillId="0" borderId="0" xfId="0" applyFont="1" applyBorder="1" applyAlignment="1" applyProtection="1">
      <alignment horizontal="center" wrapText="1"/>
    </xf>
    <xf numFmtId="39" fontId="2" fillId="0" borderId="0" xfId="0" quotePrefix="1" applyFont="1" applyProtection="1"/>
    <xf numFmtId="39" fontId="2" fillId="0" borderId="11" xfId="0" applyFont="1" applyBorder="1" applyProtection="1"/>
    <xf numFmtId="39" fontId="2" fillId="0" borderId="12" xfId="0" applyFont="1" applyBorder="1" applyProtection="1"/>
    <xf numFmtId="39" fontId="2" fillId="0" borderId="11" xfId="0" applyFont="1" applyFill="1" applyBorder="1" applyProtection="1"/>
    <xf numFmtId="39" fontId="2" fillId="0" borderId="12" xfId="0" applyFont="1" applyFill="1" applyBorder="1" applyProtection="1"/>
    <xf numFmtId="39" fontId="2" fillId="0" borderId="13" xfId="0" applyFont="1" applyBorder="1" applyProtection="1"/>
    <xf numFmtId="39" fontId="2" fillId="0" borderId="0" xfId="0" quotePrefix="1" applyFont="1" applyFill="1" applyProtection="1"/>
    <xf numFmtId="39" fontId="2" fillId="0" borderId="13" xfId="0" applyFont="1" applyFill="1" applyBorder="1" applyProtection="1"/>
    <xf numFmtId="43" fontId="2" fillId="0" borderId="0" xfId="0" applyNumberFormat="1" applyFont="1" applyProtection="1"/>
    <xf numFmtId="39" fontId="8" fillId="0" borderId="0" xfId="0" applyFont="1" applyProtection="1"/>
    <xf numFmtId="165" fontId="0" fillId="0" borderId="0" xfId="0" applyNumberFormat="1" applyProtection="1"/>
    <xf numFmtId="39" fontId="0" fillId="0" borderId="14" xfId="0" applyBorder="1" applyAlignment="1" applyProtection="1">
      <alignment horizontal="right"/>
    </xf>
    <xf numFmtId="39" fontId="0" fillId="0" borderId="15" xfId="0" applyBorder="1" applyAlignment="1" applyProtection="1">
      <alignment horizontal="right"/>
    </xf>
    <xf numFmtId="39" fontId="0" fillId="0" borderId="16" xfId="0" applyBorder="1" applyAlignment="1" applyProtection="1">
      <alignment horizontal="right"/>
    </xf>
    <xf numFmtId="39" fontId="0" fillId="0" borderId="17" xfId="0" applyBorder="1" applyAlignment="1" applyProtection="1">
      <alignment horizontal="right"/>
    </xf>
    <xf numFmtId="39" fontId="0" fillId="0" borderId="18" xfId="0" applyBorder="1" applyAlignment="1" applyProtection="1">
      <alignment horizontal="right"/>
    </xf>
    <xf numFmtId="39" fontId="0" fillId="0" borderId="18" xfId="0" applyBorder="1" applyProtection="1"/>
    <xf numFmtId="39" fontId="0" fillId="0" borderId="17" xfId="0" applyFill="1" applyBorder="1" applyAlignment="1" applyProtection="1">
      <alignment horizontal="right"/>
    </xf>
    <xf numFmtId="39" fontId="0" fillId="0" borderId="18" xfId="0" applyFill="1" applyBorder="1" applyAlignment="1" applyProtection="1">
      <alignment horizontal="right"/>
    </xf>
    <xf numFmtId="39" fontId="0" fillId="0" borderId="17" xfId="0" applyBorder="1" applyAlignment="1" applyProtection="1"/>
    <xf numFmtId="39" fontId="0" fillId="0" borderId="18" xfId="0" applyBorder="1" applyAlignment="1" applyProtection="1"/>
    <xf numFmtId="39" fontId="0" fillId="0" borderId="19" xfId="0" applyBorder="1" applyAlignment="1" applyProtection="1">
      <alignment horizontal="right"/>
    </xf>
    <xf numFmtId="39" fontId="0" fillId="0" borderId="20" xfId="0" applyBorder="1" applyAlignment="1" applyProtection="1">
      <alignment horizontal="right"/>
    </xf>
    <xf numFmtId="39" fontId="0" fillId="0" borderId="21" xfId="0" applyBorder="1" applyAlignment="1" applyProtection="1">
      <alignment horizontal="right"/>
    </xf>
    <xf numFmtId="39" fontId="0" fillId="0" borderId="0" xfId="0" applyFill="1" applyAlignment="1" applyProtection="1">
      <alignment horizontal="center"/>
    </xf>
    <xf numFmtId="39" fontId="3" fillId="0" borderId="0" xfId="0" applyFont="1" applyFill="1" applyAlignment="1" applyProtection="1">
      <alignment horizontal="center"/>
    </xf>
    <xf numFmtId="39" fontId="3" fillId="0" borderId="0" xfId="0" applyFont="1" applyFill="1" applyProtection="1"/>
    <xf numFmtId="39" fontId="0" fillId="0" borderId="0" xfId="0" applyFill="1" applyProtection="1">
      <protection locked="0"/>
    </xf>
    <xf numFmtId="165" fontId="0" fillId="0" borderId="0" xfId="0" applyNumberFormat="1"/>
    <xf numFmtId="167" fontId="2" fillId="0" borderId="0" xfId="0" applyNumberFormat="1" applyFont="1" applyFill="1"/>
    <xf numFmtId="167" fontId="0" fillId="0" borderId="0" xfId="0" applyNumberFormat="1" applyFill="1" applyProtection="1"/>
    <xf numFmtId="39" fontId="0" fillId="0" borderId="0" xfId="0" applyAlignment="1"/>
    <xf numFmtId="167" fontId="0" fillId="0" borderId="0" xfId="0" applyNumberFormat="1" applyFill="1"/>
    <xf numFmtId="43" fontId="0" fillId="0" borderId="0" xfId="0" applyNumberFormat="1" applyFill="1" applyAlignment="1">
      <alignment horizontal="center" wrapText="1"/>
    </xf>
    <xf numFmtId="164" fontId="3" fillId="0" borderId="0" xfId="0" applyNumberFormat="1" applyFont="1" applyFill="1" applyAlignment="1">
      <alignment horizontal="center" wrapText="1"/>
    </xf>
    <xf numFmtId="43" fontId="2" fillId="0" borderId="0" xfId="0" quotePrefix="1" applyNumberFormat="1" applyFont="1" applyAlignment="1">
      <alignment horizontal="center" wrapText="1"/>
    </xf>
    <xf numFmtId="43" fontId="2" fillId="0" borderId="0" xfId="0" quotePrefix="1" applyNumberFormat="1" applyFont="1" applyFill="1" applyAlignment="1">
      <alignment horizontal="center" wrapText="1"/>
    </xf>
    <xf numFmtId="43" fontId="2" fillId="0" borderId="22" xfId="0" applyNumberFormat="1" applyFont="1" applyFill="1" applyBorder="1"/>
    <xf numFmtId="43" fontId="2" fillId="0" borderId="22" xfId="0" applyNumberFormat="1" applyFont="1" applyFill="1" applyBorder="1" applyAlignment="1">
      <alignment horizontal="center" wrapText="1"/>
    </xf>
    <xf numFmtId="165" fontId="2" fillId="0" borderId="0" xfId="0" applyNumberFormat="1" applyFont="1" applyFill="1" applyAlignment="1">
      <alignment horizontal="center" wrapText="1"/>
    </xf>
    <xf numFmtId="39" fontId="0" fillId="0" borderId="0" xfId="0" applyAlignment="1">
      <alignment horizontal="left"/>
    </xf>
    <xf numFmtId="39" fontId="0" fillId="0" borderId="0" xfId="0" applyAlignment="1" applyProtection="1">
      <alignment horizontal="center" wrapText="1"/>
    </xf>
    <xf numFmtId="168" fontId="2" fillId="0" borderId="0" xfId="0" quotePrefix="1" applyNumberFormat="1" applyFont="1" applyAlignment="1" applyProtection="1">
      <alignment horizontal="center"/>
    </xf>
    <xf numFmtId="49" fontId="0" fillId="0" borderId="0" xfId="0" quotePrefix="1" applyNumberFormat="1"/>
    <xf numFmtId="43" fontId="0" fillId="0" borderId="0" xfId="0" applyNumberFormat="1" applyFill="1" applyAlignment="1">
      <alignment horizontal="center"/>
    </xf>
    <xf numFmtId="165" fontId="0" fillId="0" borderId="0" xfId="0" applyNumberFormat="1" applyFill="1"/>
    <xf numFmtId="43" fontId="2" fillId="0" borderId="23" xfId="0" applyNumberFormat="1" applyFont="1" applyFill="1" applyBorder="1"/>
    <xf numFmtId="43" fontId="0" fillId="0" borderId="0" xfId="0" applyNumberFormat="1" applyAlignment="1">
      <alignment horizontal="center" wrapText="1"/>
    </xf>
    <xf numFmtId="39" fontId="0" fillId="0" borderId="0" xfId="0" quotePrefix="1"/>
    <xf numFmtId="39" fontId="0" fillId="0" borderId="0" xfId="0" applyNumberFormat="1"/>
    <xf numFmtId="43" fontId="0" fillId="0" borderId="0" xfId="0" applyNumberFormat="1" applyFont="1" applyFill="1" applyAlignment="1">
      <alignment horizontal="center" wrapText="1"/>
    </xf>
    <xf numFmtId="165" fontId="0" fillId="0" borderId="0" xfId="0" applyNumberFormat="1" applyFont="1" applyFill="1"/>
    <xf numFmtId="43" fontId="0" fillId="0" borderId="0" xfId="0" applyNumberFormat="1" applyFont="1" applyFill="1" applyAlignment="1">
      <alignment horizontal="center"/>
    </xf>
    <xf numFmtId="43" fontId="0" fillId="0" borderId="0" xfId="0" applyNumberFormat="1" applyFont="1" applyFill="1" applyBorder="1" applyAlignment="1">
      <alignment horizontal="center"/>
    </xf>
    <xf numFmtId="43" fontId="2" fillId="0" borderId="23" xfId="0" applyNumberFormat="1" applyFont="1" applyFill="1" applyBorder="1" applyAlignment="1">
      <alignment horizontal="center" wrapText="1"/>
    </xf>
    <xf numFmtId="165" fontId="15" fillId="0" borderId="0" xfId="0" applyNumberFormat="1" applyFont="1" applyAlignment="1">
      <alignment horizontal="left"/>
    </xf>
    <xf numFmtId="165" fontId="3" fillId="0" borderId="0" xfId="0" applyNumberFormat="1" applyFont="1" applyAlignment="1">
      <alignment horizontal="center"/>
    </xf>
    <xf numFmtId="165" fontId="0" fillId="0" borderId="0" xfId="0" applyNumberFormat="1" applyFont="1"/>
    <xf numFmtId="39" fontId="14" fillId="8" borderId="0" xfId="37" applyNumberFormat="1" applyFill="1"/>
    <xf numFmtId="43" fontId="14" fillId="8" borderId="0" xfId="8" applyFont="1" applyFill="1"/>
    <xf numFmtId="43" fontId="2" fillId="8" borderId="0" xfId="0" applyNumberFormat="1" applyFont="1" applyFill="1"/>
    <xf numFmtId="43" fontId="2" fillId="8" borderId="22" xfId="0" applyNumberFormat="1" applyFont="1" applyFill="1" applyBorder="1"/>
    <xf numFmtId="39" fontId="0" fillId="8" borderId="0" xfId="0" applyFill="1"/>
    <xf numFmtId="43" fontId="2" fillId="8" borderId="0" xfId="0" applyNumberFormat="1" applyFont="1" applyFill="1" applyBorder="1"/>
    <xf numFmtId="172" fontId="0" fillId="0" borderId="0" xfId="0" applyNumberFormat="1"/>
    <xf numFmtId="39" fontId="0" fillId="0" borderId="0" xfId="0" applyAlignment="1">
      <alignment vertical="top" wrapText="1"/>
    </xf>
    <xf numFmtId="39" fontId="2" fillId="0" borderId="0" xfId="0" applyFont="1" applyAlignment="1">
      <alignment vertical="top" wrapText="1"/>
    </xf>
    <xf numFmtId="39" fontId="0" fillId="0" borderId="0" xfId="0" applyAlignment="1">
      <alignment wrapText="1"/>
    </xf>
    <xf numFmtId="39" fontId="0" fillId="0" borderId="0" xfId="0" applyFill="1" applyAlignment="1">
      <alignment vertical="top" wrapText="1"/>
    </xf>
    <xf numFmtId="39" fontId="2" fillId="0" borderId="0" xfId="0" applyFont="1" applyAlignment="1">
      <alignment wrapText="1"/>
    </xf>
    <xf numFmtId="39" fontId="0" fillId="0" borderId="0" xfId="0" applyFont="1" applyAlignment="1">
      <alignment vertical="top" wrapText="1"/>
    </xf>
    <xf numFmtId="39" fontId="0" fillId="0" borderId="0" xfId="0" applyAlignment="1">
      <alignment horizontal="left" vertical="top" wrapText="1"/>
    </xf>
    <xf numFmtId="43" fontId="3" fillId="0" borderId="22" xfId="0" applyNumberFormat="1" applyFont="1" applyFill="1" applyBorder="1" applyAlignment="1">
      <alignment horizontal="center"/>
    </xf>
    <xf numFmtId="43" fontId="3" fillId="0" borderId="0" xfId="0" applyNumberFormat="1" applyFont="1" applyFill="1" applyBorder="1" applyAlignment="1">
      <alignment horizontal="center"/>
    </xf>
    <xf numFmtId="165" fontId="0" fillId="0" borderId="0" xfId="0" applyNumberFormat="1" applyFont="1" applyAlignment="1">
      <alignment horizontal="left" wrapText="1"/>
    </xf>
    <xf numFmtId="165" fontId="3" fillId="0" borderId="0" xfId="0" applyNumberFormat="1" applyFont="1" applyAlignment="1">
      <alignment horizontal="center"/>
    </xf>
    <xf numFmtId="43" fontId="2" fillId="0" borderId="0" xfId="0" applyNumberFormat="1" applyFont="1" applyFill="1" applyAlignment="1">
      <alignment horizontal="center"/>
    </xf>
    <xf numFmtId="43" fontId="0" fillId="0" borderId="0" xfId="0" applyNumberFormat="1" applyFill="1" applyAlignment="1">
      <alignment horizontal="center"/>
    </xf>
    <xf numFmtId="43" fontId="2" fillId="0" borderId="0" xfId="0" applyNumberFormat="1" applyFont="1" applyAlignment="1">
      <alignment horizontal="center"/>
    </xf>
    <xf numFmtId="39" fontId="0" fillId="0" borderId="0" xfId="0" applyAlignment="1"/>
    <xf numFmtId="43" fontId="0" fillId="0" borderId="0" xfId="0" applyNumberFormat="1" applyFill="1" applyAlignment="1">
      <alignment horizontal="center" wrapText="1"/>
    </xf>
    <xf numFmtId="39" fontId="0" fillId="0" borderId="0" xfId="0" applyAlignment="1">
      <alignment horizontal="center" wrapText="1"/>
    </xf>
    <xf numFmtId="43" fontId="3" fillId="0" borderId="0" xfId="0" applyNumberFormat="1" applyFont="1" applyFill="1" applyAlignment="1">
      <alignment horizontal="center" wrapText="1"/>
    </xf>
    <xf numFmtId="43" fontId="3" fillId="0" borderId="0" xfId="0" applyNumberFormat="1" applyFont="1" applyAlignment="1">
      <alignment horizontal="center" wrapText="1"/>
    </xf>
  </cellXfs>
  <cellStyles count="38">
    <cellStyle name="Comma" xfId="1" builtinId="3"/>
    <cellStyle name="Comma [2]" xfId="2"/>
    <cellStyle name="Comma 10" xfId="3"/>
    <cellStyle name="Comma 11" xfId="4"/>
    <cellStyle name="Comma 12" xfId="5"/>
    <cellStyle name="Comma 13" xfId="6"/>
    <cellStyle name="Comma 14" xfId="7"/>
    <cellStyle name="Comma 15" xfId="8"/>
    <cellStyle name="Comma 16" xfId="9"/>
    <cellStyle name="Comma 2" xfId="10"/>
    <cellStyle name="Comma 3" xfId="11"/>
    <cellStyle name="Comma 4" xfId="12"/>
    <cellStyle name="Comma 5" xfId="13"/>
    <cellStyle name="Comma 6" xfId="14"/>
    <cellStyle name="Comma 7" xfId="15"/>
    <cellStyle name="Comma 8" xfId="16"/>
    <cellStyle name="Comma 9" xfId="17"/>
    <cellStyle name="Currency" xfId="18" builtinId="4"/>
    <cellStyle name="Currency [2]" xfId="19"/>
    <cellStyle name="Currency 10" xfId="20"/>
    <cellStyle name="Currency 11" xfId="21"/>
    <cellStyle name="Currency 12" xfId="22"/>
    <cellStyle name="Currency 13" xfId="23"/>
    <cellStyle name="Currency 14" xfId="24"/>
    <cellStyle name="Currency 2" xfId="25"/>
    <cellStyle name="Currency 3" xfId="26"/>
    <cellStyle name="Currency 4" xfId="27"/>
    <cellStyle name="Currency 5" xfId="28"/>
    <cellStyle name="Currency 6" xfId="29"/>
    <cellStyle name="Currency 7" xfId="30"/>
    <cellStyle name="Currency 8" xfId="31"/>
    <cellStyle name="Currency 9" xfId="32"/>
    <cellStyle name="Normal" xfId="0" builtinId="0"/>
    <cellStyle name="Normal 2" xfId="33"/>
    <cellStyle name="Normal 3" xfId="34"/>
    <cellStyle name="Normal 4" xfId="35"/>
    <cellStyle name="Normal 5" xfId="36"/>
    <cellStyle name="Normal 6" xfId="3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name="Query from Databridge" connectionId="1" autoFormatId="16" applyNumberFormats="0" applyBorderFormats="0" applyFontFormats="1" applyPatternFormats="1" applyAlignmentFormats="0" applyWidthHeightFormats="0">
  <queryTableRefresh nextId="7">
    <queryTableFields count="6">
      <queryTableField id="1" name="dat_yer"/>
      <queryTableField id="2" name="dst_num"/>
      <queryTableField id="3" name="dst_tye"/>
      <queryTableField id="4" name="gen_lgr_num"/>
      <queryTableField id="5" name="fun_num"/>
      <queryTableField id="6" name="end_bal_amt"/>
    </queryTableFields>
  </queryTableRefresh>
</queryTable>
</file>

<file path=xl/queryTables/queryTable2.xml><?xml version="1.0" encoding="utf-8"?>
<queryTable xmlns="http://schemas.openxmlformats.org/spreadsheetml/2006/main" name="Query from Databridge" connectionId="2" autoFormatId="16" applyNumberFormats="0" applyBorderFormats="0" applyFontFormats="1" applyPatternFormats="1" applyAlignmentFormats="0" applyWidthHeightFormats="0">
  <queryTableRefresh nextId="7">
    <queryTableFields count="6">
      <queryTableField id="1" name="dat_yer"/>
      <queryTableField id="2" name="dst_num"/>
      <queryTableField id="3" name="dst_tye"/>
      <queryTableField id="4" name="gen_lgr_num"/>
      <queryTableField id="5" name="fun_num"/>
      <queryTableField id="6" name="end_bal_amt"/>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77"/>
  <sheetViews>
    <sheetView workbookViewId="0">
      <selection activeCell="E81" sqref="E81"/>
    </sheetView>
  </sheetViews>
  <sheetFormatPr defaultRowHeight="11.25" x14ac:dyDescent="0.2"/>
  <cols>
    <col min="1" max="2" width="4.83203125" style="1" customWidth="1"/>
    <col min="3" max="3" width="10.83203125" style="1" customWidth="1"/>
    <col min="4" max="12" width="11.83203125" style="1" customWidth="1"/>
    <col min="13" max="13" width="12.83203125" style="1" customWidth="1"/>
    <col min="14" max="19" width="9.33203125" style="1"/>
    <col min="20" max="21" width="22.1640625" style="1" bestFit="1" customWidth="1"/>
    <col min="22" max="16384" width="9.33203125" style="1"/>
  </cols>
  <sheetData>
    <row r="1" spans="1:20" s="7" customFormat="1" x14ac:dyDescent="0.2">
      <c r="A1" s="10" t="s">
        <v>465</v>
      </c>
      <c r="B1" s="1"/>
      <c r="C1" s="1"/>
      <c r="D1" s="1"/>
      <c r="E1" s="1"/>
      <c r="F1" s="1"/>
      <c r="G1" s="1"/>
      <c r="H1" s="1"/>
      <c r="I1" s="1"/>
      <c r="J1" s="1"/>
      <c r="K1" s="1"/>
      <c r="L1" s="1"/>
      <c r="M1" s="15">
        <f>Report!I1</f>
        <v>41115</v>
      </c>
      <c r="O1" s="6">
        <v>2012</v>
      </c>
      <c r="P1" t="s">
        <v>704</v>
      </c>
      <c r="Q1" s="163" t="s">
        <v>705</v>
      </c>
      <c r="R1" s="33" t="s">
        <v>706</v>
      </c>
    </row>
    <row r="2" spans="1:20" x14ac:dyDescent="0.2">
      <c r="A2"/>
      <c r="D2" s="4"/>
      <c r="P2" t="s">
        <v>662</v>
      </c>
      <c r="Q2" s="163" t="s">
        <v>663</v>
      </c>
      <c r="R2" s="33" t="s">
        <v>666</v>
      </c>
      <c r="S2" s="158" t="s">
        <v>707</v>
      </c>
      <c r="T2" s="163" t="s">
        <v>708</v>
      </c>
    </row>
    <row r="3" spans="1:20" x14ac:dyDescent="0.2">
      <c r="P3" s="1" t="s">
        <v>639</v>
      </c>
      <c r="R3" t="s">
        <v>664</v>
      </c>
      <c r="S3" s="158" t="s">
        <v>665</v>
      </c>
      <c r="T3" s="163" t="s">
        <v>709</v>
      </c>
    </row>
    <row r="4" spans="1:20" x14ac:dyDescent="0.2">
      <c r="P4" s="33" t="s">
        <v>617</v>
      </c>
      <c r="R4"/>
      <c r="T4" t="s">
        <v>710</v>
      </c>
    </row>
    <row r="5" spans="1:20" x14ac:dyDescent="0.2">
      <c r="A5" s="180" t="str">
        <f>"The property tax shift is an accounting entry that takes a portion of the school district's property tax revenue and moves it forward one fiscal year, i.e.,  taxes that would otherwise be revenue for fiscal year "&amp;RIGHT(R1,4)&amp;" are shifted into fiscal year "&amp;RIGHT(R2,4)&amp;".  The property tax shift requirement is in Minnesota Statutes, section 123B.75, subdivision 5."</f>
        <v>The property tax shift is an accounting entry that takes a portion of the school district's property tax revenue and moves it forward one fiscal year, i.e.,  taxes that would otherwise be revenue for fiscal year 2013 are shifted into fiscal year 2012.  The property tax shift requirement is in Minnesota Statutes, section 123B.75, subdivision 5.</v>
      </c>
      <c r="B5" s="181"/>
      <c r="C5" s="181"/>
      <c r="D5" s="181"/>
      <c r="E5" s="181"/>
      <c r="F5" s="181"/>
      <c r="G5" s="181"/>
      <c r="H5" s="181"/>
      <c r="I5" s="181"/>
      <c r="J5" s="181"/>
      <c r="K5" s="181"/>
      <c r="L5" s="181"/>
      <c r="M5" s="181"/>
      <c r="P5" s="1" t="s">
        <v>600</v>
      </c>
    </row>
    <row r="6" spans="1:20" x14ac:dyDescent="0.2">
      <c r="A6" s="181"/>
      <c r="B6" s="181"/>
      <c r="C6" s="181"/>
      <c r="D6" s="181"/>
      <c r="E6" s="181"/>
      <c r="F6" s="181"/>
      <c r="G6" s="181"/>
      <c r="H6" s="181"/>
      <c r="I6" s="181"/>
      <c r="J6" s="181"/>
      <c r="K6" s="181"/>
      <c r="L6" s="181"/>
      <c r="M6" s="181"/>
      <c r="P6" s="33" t="s">
        <v>592</v>
      </c>
    </row>
    <row r="7" spans="1:20" x14ac:dyDescent="0.2">
      <c r="A7" s="16"/>
      <c r="B7" s="16"/>
      <c r="C7" s="16"/>
      <c r="D7" s="16"/>
      <c r="E7" s="16"/>
      <c r="F7" s="16"/>
      <c r="G7" s="16"/>
      <c r="H7" s="16"/>
      <c r="I7" s="16"/>
      <c r="J7" s="16"/>
      <c r="K7" s="16"/>
      <c r="L7" s="16"/>
      <c r="M7" s="16"/>
      <c r="P7" s="1" t="s">
        <v>593</v>
      </c>
    </row>
    <row r="8" spans="1:20" x14ac:dyDescent="0.2">
      <c r="A8" s="10" t="s">
        <v>505</v>
      </c>
      <c r="P8" s="33" t="s">
        <v>594</v>
      </c>
    </row>
    <row r="10" spans="1:20" ht="11.25" customHeight="1" x14ac:dyDescent="0.2">
      <c r="A10" s="183" t="str">
        <f>"For the June 30, "&amp;RIGHT(R2,4)&amp;", tax shift this spreadsheet is using the payable "&amp;RIGHT(P1,4)&amp;" final certified levies plus/minus county auditor adjustments."</f>
        <v>For the June 30, 2012, tax shift this spreadsheet is using the payable 2012 final certified levies plus/minus county auditor adjustments.</v>
      </c>
      <c r="B10" s="182"/>
      <c r="C10" s="182"/>
      <c r="D10" s="182"/>
      <c r="E10" s="182"/>
      <c r="F10" s="182"/>
      <c r="G10" s="182"/>
      <c r="H10" s="182"/>
      <c r="I10" s="182"/>
      <c r="J10" s="182"/>
      <c r="K10" s="182"/>
      <c r="L10" s="182"/>
      <c r="M10" s="182"/>
    </row>
    <row r="11" spans="1:20" ht="11.25" customHeight="1" x14ac:dyDescent="0.2">
      <c r="A11" s="182"/>
      <c r="B11" s="182"/>
      <c r="C11" s="182"/>
      <c r="D11" s="182"/>
      <c r="E11" s="182"/>
      <c r="F11" s="182"/>
      <c r="G11" s="182"/>
      <c r="H11" s="182"/>
      <c r="I11" s="182"/>
      <c r="J11" s="182"/>
      <c r="K11" s="182"/>
      <c r="L11" s="182"/>
      <c r="M11" s="182"/>
    </row>
    <row r="12" spans="1:20" x14ac:dyDescent="0.2">
      <c r="A12" s="33"/>
      <c r="B12" s="33"/>
      <c r="C12" s="33"/>
      <c r="D12" s="33"/>
      <c r="E12" s="33"/>
      <c r="F12" s="33"/>
      <c r="G12" s="33"/>
      <c r="H12" s="33"/>
      <c r="I12" s="33"/>
      <c r="J12" s="33"/>
      <c r="K12" s="33"/>
      <c r="L12" s="33"/>
      <c r="M12" s="33"/>
    </row>
    <row r="13" spans="1:20" x14ac:dyDescent="0.2">
      <c r="A13" s="183" t="str">
        <f>"Preliminary payable "&amp;RIGHT(P1,4)&amp;" credits are used in this spreadsheet.  The spreadsheet will be updated to use final payable "&amp;RIGHT(P1,4)&amp;" credits when that data is available."</f>
        <v>Preliminary payable 2012 credits are used in this spreadsheet.  The spreadsheet will be updated to use final payable 2012 credits when that data is available.</v>
      </c>
      <c r="B13" s="182"/>
      <c r="C13" s="182"/>
      <c r="D13" s="182"/>
      <c r="E13" s="182"/>
      <c r="F13" s="182"/>
      <c r="G13" s="182"/>
      <c r="H13" s="182"/>
      <c r="I13" s="182"/>
      <c r="J13" s="182"/>
      <c r="K13" s="182"/>
      <c r="L13" s="182"/>
      <c r="M13" s="182"/>
    </row>
    <row r="14" spans="1:20" x14ac:dyDescent="0.2">
      <c r="A14" s="33"/>
      <c r="B14" s="33"/>
      <c r="C14" s="33"/>
      <c r="D14" s="33"/>
      <c r="E14" s="33"/>
      <c r="F14" s="33"/>
      <c r="G14" s="33"/>
      <c r="H14" s="33"/>
      <c r="I14" s="33"/>
      <c r="J14" s="33"/>
      <c r="K14" s="33"/>
      <c r="L14" s="33"/>
      <c r="M14" s="33"/>
    </row>
    <row r="15" spans="1:20" ht="11.25" customHeight="1" x14ac:dyDescent="0.2">
      <c r="A15" s="180" t="str">
        <f>"Tax receipts for May-July "&amp;RIGHT(R2,4)&amp;" for the general fund and community service fund have been estimated on the Receipts tab.  Preliminary payable "&amp;RIGHT(P1,4)&amp;" credits from the Department of Revenue are used in computing estimated tax receipts.  These estimates are carried over to cells E89 and F89 of the Report tab.  Districts should override these estimates when actual tax receipts are determined."</f>
        <v>Tax receipts for May-July 2012 for the general fund and community service fund have been estimated on the Receipts tab.  Preliminary payable 2012 credits from the Department of Revenue are used in computing estimated tax receipts.  These estimates are carried over to cells E89 and F89 of the Report tab.  Districts should override these estimates when actual tax receipts are determined.</v>
      </c>
      <c r="B15" s="182"/>
      <c r="C15" s="182"/>
      <c r="D15" s="182"/>
      <c r="E15" s="182"/>
      <c r="F15" s="182"/>
      <c r="G15" s="182"/>
      <c r="H15" s="182"/>
      <c r="I15" s="182"/>
      <c r="J15" s="182"/>
      <c r="K15" s="182"/>
      <c r="L15" s="182"/>
      <c r="M15" s="182"/>
      <c r="N15" s="16"/>
      <c r="O15" s="16"/>
    </row>
    <row r="16" spans="1:20" ht="11.25" customHeight="1" x14ac:dyDescent="0.2">
      <c r="A16" s="181"/>
      <c r="B16" s="182"/>
      <c r="C16" s="182"/>
      <c r="D16" s="182"/>
      <c r="E16" s="182"/>
      <c r="F16" s="182"/>
      <c r="G16" s="182"/>
      <c r="H16" s="182"/>
      <c r="I16" s="182"/>
      <c r="J16" s="182"/>
      <c r="K16" s="182"/>
      <c r="L16" s="182"/>
      <c r="M16" s="182"/>
      <c r="N16" s="16"/>
      <c r="O16" s="16"/>
    </row>
    <row r="17" spans="1:15" x14ac:dyDescent="0.2">
      <c r="A17" s="182"/>
      <c r="B17" s="182"/>
      <c r="C17" s="182"/>
      <c r="D17" s="182"/>
      <c r="E17" s="182"/>
      <c r="F17" s="182"/>
      <c r="G17" s="182"/>
      <c r="H17" s="182"/>
      <c r="I17" s="182"/>
      <c r="J17" s="182"/>
      <c r="K17" s="182"/>
      <c r="L17" s="182"/>
      <c r="M17" s="182"/>
      <c r="N17" s="16"/>
      <c r="O17" s="16"/>
    </row>
    <row r="18" spans="1:15" x14ac:dyDescent="0.2">
      <c r="A18" s="20"/>
      <c r="B18" s="23"/>
      <c r="C18" s="23"/>
      <c r="D18" s="23"/>
      <c r="E18" s="23"/>
      <c r="F18" s="23"/>
      <c r="G18" s="23"/>
      <c r="H18" s="23"/>
      <c r="I18" s="23"/>
      <c r="J18" s="23"/>
      <c r="K18" s="23"/>
      <c r="L18" s="23"/>
      <c r="M18" s="23"/>
      <c r="N18" s="23"/>
      <c r="O18" s="23"/>
    </row>
    <row r="19" spans="1:15" x14ac:dyDescent="0.2">
      <c r="A19" s="14" t="s">
        <v>466</v>
      </c>
      <c r="B19" s="12"/>
      <c r="C19" s="12"/>
      <c r="D19" s="12"/>
      <c r="E19" s="12"/>
      <c r="F19" s="12"/>
      <c r="G19" s="12"/>
      <c r="H19" s="12"/>
      <c r="I19" s="12"/>
      <c r="J19" s="12"/>
      <c r="K19" s="12"/>
      <c r="L19" s="12"/>
      <c r="M19" s="12"/>
    </row>
    <row r="20" spans="1:15" x14ac:dyDescent="0.2">
      <c r="A20" s="180" t="s">
        <v>654</v>
      </c>
      <c r="B20" s="181"/>
      <c r="C20" s="181"/>
      <c r="D20" s="181"/>
      <c r="E20" s="181"/>
      <c r="F20" s="181"/>
      <c r="G20" s="181"/>
      <c r="H20" s="181"/>
      <c r="I20" s="181"/>
      <c r="J20" s="181"/>
      <c r="K20" s="181"/>
      <c r="L20" s="181"/>
      <c r="M20" s="181"/>
    </row>
    <row r="21" spans="1:15" x14ac:dyDescent="0.2">
      <c r="A21" s="181"/>
      <c r="B21" s="181"/>
      <c r="C21" s="181"/>
      <c r="D21" s="181"/>
      <c r="E21" s="181"/>
      <c r="F21" s="181"/>
      <c r="G21" s="181"/>
      <c r="H21" s="181"/>
      <c r="I21" s="181"/>
      <c r="J21" s="181"/>
      <c r="K21" s="181"/>
      <c r="L21" s="181"/>
      <c r="M21" s="181"/>
    </row>
    <row r="22" spans="1:15" x14ac:dyDescent="0.2">
      <c r="A22" s="13"/>
      <c r="B22" s="12"/>
      <c r="C22" s="12"/>
      <c r="D22" s="12"/>
      <c r="E22" s="12"/>
      <c r="F22" s="12"/>
      <c r="G22" s="12"/>
      <c r="H22" s="12"/>
      <c r="I22" s="12"/>
      <c r="J22" s="12"/>
      <c r="K22" s="12"/>
      <c r="L22" s="12"/>
      <c r="M22" s="12"/>
    </row>
    <row r="23" spans="1:15" x14ac:dyDescent="0.2">
      <c r="A23" s="10" t="s">
        <v>467</v>
      </c>
    </row>
    <row r="24" spans="1:15" x14ac:dyDescent="0.2">
      <c r="A24" s="180" t="s">
        <v>655</v>
      </c>
      <c r="B24" s="181"/>
      <c r="C24" s="181"/>
      <c r="D24" s="181"/>
      <c r="E24" s="181"/>
      <c r="F24" s="181"/>
      <c r="G24" s="181"/>
      <c r="H24" s="181"/>
      <c r="I24" s="181"/>
      <c r="J24" s="181"/>
      <c r="K24" s="181"/>
      <c r="L24" s="181"/>
      <c r="M24" s="181"/>
    </row>
    <row r="25" spans="1:15" x14ac:dyDescent="0.2">
      <c r="A25" s="181"/>
      <c r="B25" s="181"/>
      <c r="C25" s="181"/>
      <c r="D25" s="181"/>
      <c r="E25" s="181"/>
      <c r="F25" s="181"/>
      <c r="G25" s="181"/>
      <c r="H25" s="181"/>
      <c r="I25" s="181"/>
      <c r="J25" s="181"/>
      <c r="K25" s="181"/>
      <c r="L25" s="181"/>
      <c r="M25" s="181"/>
    </row>
    <row r="26" spans="1:15" x14ac:dyDescent="0.2">
      <c r="A26" s="181"/>
      <c r="B26" s="181"/>
      <c r="C26" s="181"/>
      <c r="D26" s="181"/>
      <c r="E26" s="181"/>
      <c r="F26" s="181"/>
      <c r="G26" s="181"/>
      <c r="H26" s="181"/>
      <c r="I26" s="181"/>
      <c r="J26" s="181"/>
      <c r="K26" s="181"/>
      <c r="L26" s="181"/>
      <c r="M26" s="181"/>
    </row>
    <row r="27" spans="1:15" x14ac:dyDescent="0.2">
      <c r="A27" s="181"/>
      <c r="B27" s="181"/>
      <c r="C27" s="181"/>
      <c r="D27" s="181"/>
      <c r="E27" s="181"/>
      <c r="F27" s="181"/>
      <c r="G27" s="181"/>
      <c r="H27" s="181"/>
      <c r="I27" s="181"/>
      <c r="J27" s="181"/>
      <c r="K27" s="181"/>
      <c r="L27" s="181"/>
      <c r="M27" s="181"/>
    </row>
    <row r="28" spans="1:15" x14ac:dyDescent="0.2">
      <c r="A28" s="16"/>
      <c r="B28" s="16"/>
      <c r="C28" s="16"/>
      <c r="D28" s="16"/>
      <c r="E28" s="16"/>
      <c r="F28" s="16"/>
      <c r="G28" s="16"/>
      <c r="H28" s="16"/>
      <c r="I28" s="16"/>
      <c r="J28" s="16"/>
      <c r="K28" s="16"/>
      <c r="L28" s="16"/>
      <c r="M28" s="16"/>
    </row>
    <row r="29" spans="1:15" x14ac:dyDescent="0.2">
      <c r="A29" s="180" t="s">
        <v>676</v>
      </c>
      <c r="B29" s="181"/>
      <c r="C29" s="181"/>
      <c r="D29" s="181"/>
      <c r="E29" s="181"/>
      <c r="F29" s="181"/>
      <c r="G29" s="181"/>
      <c r="H29" s="181"/>
      <c r="I29" s="181"/>
      <c r="J29" s="181"/>
      <c r="K29" s="181"/>
      <c r="L29" s="181"/>
      <c r="M29" s="181"/>
    </row>
    <row r="30" spans="1:15" x14ac:dyDescent="0.2">
      <c r="A30" s="180" t="s">
        <v>711</v>
      </c>
      <c r="B30" s="181"/>
      <c r="C30" s="181"/>
      <c r="D30" s="181"/>
      <c r="E30" s="181"/>
      <c r="F30" s="181"/>
      <c r="G30" s="181"/>
      <c r="H30" s="181"/>
      <c r="I30" s="181"/>
      <c r="J30" s="181"/>
      <c r="K30" s="181"/>
      <c r="L30" s="181"/>
      <c r="M30" s="181"/>
    </row>
    <row r="31" spans="1:15" x14ac:dyDescent="0.2">
      <c r="A31" s="23"/>
      <c r="B31" s="16"/>
      <c r="C31" s="16"/>
      <c r="D31" s="16"/>
      <c r="E31" s="16"/>
      <c r="F31" s="16"/>
      <c r="G31" s="16"/>
      <c r="H31" s="16"/>
      <c r="I31" s="16"/>
      <c r="J31" s="16"/>
      <c r="K31" s="16"/>
      <c r="L31" s="16"/>
      <c r="M31" s="16"/>
    </row>
    <row r="33" spans="1:13" x14ac:dyDescent="0.2">
      <c r="A33" s="1" t="s">
        <v>561</v>
      </c>
    </row>
    <row r="34" spans="1:13" x14ac:dyDescent="0.2">
      <c r="B34" s="181" t="s">
        <v>506</v>
      </c>
      <c r="C34" s="181"/>
      <c r="D34" s="181"/>
      <c r="E34" s="181"/>
      <c r="F34" s="181"/>
      <c r="G34" s="181"/>
      <c r="H34" s="181"/>
      <c r="I34" s="181"/>
      <c r="J34" s="181"/>
      <c r="K34" s="181"/>
      <c r="L34" s="181"/>
      <c r="M34" s="181"/>
    </row>
    <row r="35" spans="1:13" x14ac:dyDescent="0.2">
      <c r="B35" s="181"/>
      <c r="C35" s="181"/>
      <c r="D35" s="181"/>
      <c r="E35" s="181"/>
      <c r="F35" s="181"/>
      <c r="G35" s="181"/>
      <c r="H35" s="181"/>
      <c r="I35" s="181"/>
      <c r="J35" s="181"/>
      <c r="K35" s="181"/>
      <c r="L35" s="181"/>
      <c r="M35" s="181"/>
    </row>
    <row r="37" spans="1:13" x14ac:dyDescent="0.2">
      <c r="B37" s="1" t="s">
        <v>496</v>
      </c>
    </row>
    <row r="38" spans="1:13" x14ac:dyDescent="0.2">
      <c r="C38" s="155" t="str">
        <f>"Column 1 is the amount of payable "&amp;RIGHT(P1,4)&amp;" levy to be recognized in fiscal year "&amp;RIGHT(R2,4)&amp;"."</f>
        <v>Column 1 is the amount of payable 2012 levy to be recognized in fiscal year 2012.</v>
      </c>
      <c r="D38" s="16"/>
      <c r="E38" s="16"/>
      <c r="F38" s="16"/>
      <c r="G38" s="16"/>
      <c r="H38" s="16"/>
      <c r="I38" s="16"/>
      <c r="J38" s="16"/>
      <c r="K38" s="16"/>
      <c r="L38" s="16"/>
      <c r="M38" s="16"/>
    </row>
    <row r="39" spans="1:13" x14ac:dyDescent="0.2">
      <c r="B39" s="16"/>
      <c r="C39" s="155" t="str">
        <f>"Column 2 is the amount of payable "&amp;RIGHT(P2,4)&amp;" levy that was recognized in fiscal year "&amp;RIGHT(R3,4)&amp;"."</f>
        <v>Column 2 is the amount of payable 2011 levy that was recognized in fiscal year 2011.</v>
      </c>
      <c r="D39" s="16"/>
      <c r="E39" s="16"/>
      <c r="F39" s="16"/>
      <c r="G39" s="16"/>
      <c r="H39" s="16"/>
      <c r="I39" s="16"/>
      <c r="J39" s="16"/>
      <c r="K39" s="16"/>
      <c r="L39" s="16"/>
      <c r="M39" s="16"/>
    </row>
    <row r="40" spans="1:13" x14ac:dyDescent="0.2">
      <c r="B40" s="16"/>
      <c r="C40" s="185" t="s">
        <v>468</v>
      </c>
      <c r="D40" s="181"/>
      <c r="E40" s="181"/>
      <c r="F40" s="181"/>
      <c r="G40" s="181"/>
      <c r="H40" s="181"/>
      <c r="I40" s="181"/>
      <c r="J40" s="181"/>
      <c r="K40" s="181"/>
      <c r="L40" s="181"/>
      <c r="M40" s="181"/>
    </row>
    <row r="41" spans="1:13" x14ac:dyDescent="0.2">
      <c r="B41" s="16"/>
      <c r="C41" s="186" t="s">
        <v>667</v>
      </c>
      <c r="D41" s="180"/>
      <c r="E41" s="180"/>
      <c r="F41" s="180"/>
      <c r="G41" s="180"/>
      <c r="H41" s="180"/>
      <c r="I41" s="180"/>
      <c r="J41" s="180"/>
      <c r="K41" s="180"/>
      <c r="L41" s="180"/>
      <c r="M41" s="180"/>
    </row>
    <row r="42" spans="1:13" x14ac:dyDescent="0.2">
      <c r="B42" s="16"/>
      <c r="C42" s="180"/>
      <c r="D42" s="180"/>
      <c r="E42" s="180"/>
      <c r="F42" s="180"/>
      <c r="G42" s="180"/>
      <c r="H42" s="180"/>
      <c r="I42" s="180"/>
      <c r="J42" s="180"/>
      <c r="K42" s="180"/>
      <c r="L42" s="180"/>
      <c r="M42" s="180"/>
    </row>
    <row r="43" spans="1:13" x14ac:dyDescent="0.2">
      <c r="B43" s="16"/>
      <c r="C43" s="180" t="s">
        <v>668</v>
      </c>
      <c r="D43" s="181"/>
      <c r="E43" s="181"/>
      <c r="F43" s="181"/>
      <c r="G43" s="181"/>
      <c r="H43" s="181"/>
      <c r="I43" s="181"/>
      <c r="J43" s="181"/>
      <c r="K43" s="181"/>
      <c r="L43" s="181"/>
      <c r="M43" s="181"/>
    </row>
    <row r="44" spans="1:13" x14ac:dyDescent="0.2">
      <c r="B44" s="16"/>
      <c r="C44" s="180" t="s">
        <v>669</v>
      </c>
      <c r="D44" s="181"/>
      <c r="E44" s="181"/>
      <c r="F44" s="181"/>
      <c r="G44" s="181"/>
      <c r="H44" s="181"/>
      <c r="I44" s="181"/>
      <c r="J44" s="181"/>
      <c r="K44" s="181"/>
      <c r="L44" s="181"/>
      <c r="M44" s="181"/>
    </row>
    <row r="45" spans="1:13" x14ac:dyDescent="0.2">
      <c r="B45" s="16"/>
      <c r="C45" s="181"/>
      <c r="D45" s="181"/>
      <c r="E45" s="181"/>
      <c r="F45" s="181"/>
      <c r="G45" s="181"/>
      <c r="H45" s="181"/>
      <c r="I45" s="181"/>
      <c r="J45" s="181"/>
      <c r="K45" s="181"/>
      <c r="L45" s="181"/>
      <c r="M45" s="181"/>
    </row>
    <row r="46" spans="1:13" x14ac:dyDescent="0.2">
      <c r="B46" s="16"/>
      <c r="C46" s="16"/>
      <c r="D46" s="16"/>
      <c r="E46" s="16"/>
      <c r="F46" s="16"/>
      <c r="G46" s="16"/>
      <c r="H46" s="16"/>
      <c r="I46" s="16"/>
      <c r="J46" s="16"/>
      <c r="K46" s="16"/>
      <c r="L46" s="16"/>
      <c r="M46" s="16"/>
    </row>
    <row r="47" spans="1:13" x14ac:dyDescent="0.2">
      <c r="B47" s="180" t="s">
        <v>674</v>
      </c>
      <c r="C47" s="180"/>
      <c r="D47" s="180"/>
      <c r="E47" s="180"/>
      <c r="F47" s="180"/>
      <c r="G47" s="180"/>
      <c r="H47" s="180"/>
      <c r="I47" s="180"/>
      <c r="J47" s="180"/>
      <c r="K47" s="180"/>
      <c r="L47" s="180"/>
      <c r="M47" s="180"/>
    </row>
    <row r="48" spans="1:13" x14ac:dyDescent="0.2">
      <c r="C48" s="16"/>
      <c r="D48" s="16"/>
      <c r="E48" s="16"/>
      <c r="F48" s="16"/>
      <c r="G48" s="16"/>
      <c r="H48" s="16"/>
      <c r="I48" s="16"/>
      <c r="J48" s="16"/>
      <c r="K48" s="16"/>
      <c r="L48" s="16"/>
      <c r="M48" s="16"/>
    </row>
    <row r="49" spans="1:13" x14ac:dyDescent="0.2">
      <c r="B49" s="180" t="str">
        <f>"In the third section, estimated tax receipts for May, June and July "&amp;RIGHT(R2,4)&amp;" have been computed.  See blue highlighted area.  Override these estimates with actual tax settlement receipts for May, June and July "&amp;RIGHT(R2,4)&amp;" when this data is available.  If the gross shift amount is greater than May, June and July tax receipts, the district will recognize fiscal year "&amp;RIGHT(R1,4)&amp;" general education aid early in an amount equal to the difference between tax receipts and the gross shift."</f>
        <v>In the third section, estimated tax receipts for May, June and July 2012 have been computed.  See blue highlighted area.  Override these estimates with actual tax settlement receipts for May, June and July 2012 when this data is available.  If the gross shift amount is greater than May, June and July tax receipts, the district will recognize fiscal year 2013 general education aid early in an amount equal to the difference between tax receipts and the gross shift.</v>
      </c>
      <c r="C49" s="180"/>
      <c r="D49" s="180"/>
      <c r="E49" s="180"/>
      <c r="F49" s="180"/>
      <c r="G49" s="180"/>
      <c r="H49" s="180"/>
      <c r="I49" s="180"/>
      <c r="J49" s="180"/>
      <c r="K49" s="180"/>
      <c r="L49" s="180"/>
      <c r="M49" s="180"/>
    </row>
    <row r="50" spans="1:13" x14ac:dyDescent="0.2">
      <c r="B50" s="181"/>
      <c r="C50" s="180"/>
      <c r="D50" s="180"/>
      <c r="E50" s="180"/>
      <c r="F50" s="180"/>
      <c r="G50" s="180"/>
      <c r="H50" s="180"/>
      <c r="I50" s="180"/>
      <c r="J50" s="180"/>
      <c r="K50" s="180"/>
      <c r="L50" s="180"/>
      <c r="M50" s="180"/>
    </row>
    <row r="51" spans="1:13" x14ac:dyDescent="0.2">
      <c r="B51" s="180"/>
      <c r="C51" s="180"/>
      <c r="D51" s="180"/>
      <c r="E51" s="180"/>
      <c r="F51" s="180"/>
      <c r="G51" s="180"/>
      <c r="H51" s="180"/>
      <c r="I51" s="180"/>
      <c r="J51" s="180"/>
      <c r="K51" s="180"/>
      <c r="L51" s="180"/>
      <c r="M51" s="180"/>
    </row>
    <row r="52" spans="1:13" x14ac:dyDescent="0.2">
      <c r="B52" s="16"/>
      <c r="C52" s="16"/>
      <c r="D52" s="16"/>
      <c r="E52" s="16"/>
      <c r="F52" s="16"/>
      <c r="G52" s="16"/>
      <c r="H52" s="16"/>
      <c r="I52" s="16"/>
      <c r="J52" s="16"/>
      <c r="K52" s="16"/>
      <c r="L52" s="16"/>
      <c r="M52" s="16"/>
    </row>
    <row r="53" spans="1:13" x14ac:dyDescent="0.2">
      <c r="B53" s="180" t="str">
        <f>"The fourth section provides information to make the year-end accounting entries for the fiscal year "&amp;RIGHT(R2,4)&amp;" property tax shift.  The entry will include any general education aid to be recognized early if tax settlement receipts entered in section three are less than the gross shift amount."</f>
        <v>The fourth section provides information to make the year-end accounting entries for the fiscal year 2012 property tax shift.  The entry will include any general education aid to be recognized early if tax settlement receipts entered in section three are less than the gross shift amount.</v>
      </c>
      <c r="C53" s="180"/>
      <c r="D53" s="180"/>
      <c r="E53" s="180"/>
      <c r="F53" s="180"/>
      <c r="G53" s="180"/>
      <c r="H53" s="180"/>
      <c r="I53" s="180"/>
      <c r="J53" s="180"/>
      <c r="K53" s="180"/>
      <c r="L53" s="180"/>
      <c r="M53" s="180"/>
    </row>
    <row r="54" spans="1:13" x14ac:dyDescent="0.2">
      <c r="B54" s="180"/>
      <c r="C54" s="180"/>
      <c r="D54" s="180"/>
      <c r="E54" s="180"/>
      <c r="F54" s="180"/>
      <c r="G54" s="180"/>
      <c r="H54" s="180"/>
      <c r="I54" s="180"/>
      <c r="J54" s="180"/>
      <c r="K54" s="180"/>
      <c r="L54" s="180"/>
      <c r="M54" s="180"/>
    </row>
    <row r="55" spans="1:13" x14ac:dyDescent="0.2">
      <c r="B55" s="23"/>
      <c r="C55" s="23"/>
      <c r="D55" s="23"/>
      <c r="E55" s="23"/>
      <c r="F55" s="23"/>
      <c r="G55" s="23"/>
      <c r="H55" s="23"/>
      <c r="I55" s="23"/>
      <c r="J55" s="23"/>
      <c r="K55" s="23"/>
      <c r="L55" s="23"/>
      <c r="M55" s="23"/>
    </row>
    <row r="56" spans="1:13" x14ac:dyDescent="0.2">
      <c r="A56" t="s">
        <v>670</v>
      </c>
      <c r="B56" s="16"/>
      <c r="C56" s="16"/>
      <c r="D56" s="16"/>
      <c r="E56" s="16"/>
      <c r="F56" s="16"/>
      <c r="G56" s="16"/>
      <c r="H56" s="16"/>
      <c r="I56" s="16"/>
      <c r="J56" s="16"/>
      <c r="K56" s="16"/>
      <c r="L56" s="16"/>
      <c r="M56" s="16"/>
    </row>
    <row r="57" spans="1:13" x14ac:dyDescent="0.2">
      <c r="B57" s="180" t="str">
        <f>"Enter certified levy by fund for payable "&amp;RIGHT(P8,4)&amp;" through "&amp;RIGHT(P1,4)&amp;" in the yellow highlighted section.  Verify total certified levy.  This data is used in the Accounts tab to automatically enter the certifed levy and to allocate abatements and adjustments."</f>
        <v>Enter certified levy by fund for payable 2005 through 2012 in the yellow highlighted section.  Verify total certified levy.  This data is used in the Accounts tab to automatically enter the certifed levy and to allocate abatements and adjustments.</v>
      </c>
      <c r="C57" s="181"/>
      <c r="D57" s="181"/>
      <c r="E57" s="181"/>
      <c r="F57" s="181"/>
      <c r="G57" s="181"/>
      <c r="H57" s="181"/>
      <c r="I57" s="181"/>
      <c r="J57" s="181"/>
      <c r="K57" s="181"/>
      <c r="L57" s="181"/>
      <c r="M57" s="181"/>
    </row>
    <row r="58" spans="1:13" x14ac:dyDescent="0.2">
      <c r="B58" s="180"/>
      <c r="C58" s="180"/>
      <c r="D58" s="180"/>
      <c r="E58" s="180"/>
      <c r="F58" s="180"/>
      <c r="G58" s="180"/>
      <c r="H58" s="180"/>
      <c r="I58" s="180"/>
      <c r="J58" s="180"/>
      <c r="K58" s="180"/>
      <c r="L58" s="180"/>
      <c r="M58" s="180"/>
    </row>
    <row r="59" spans="1:13" x14ac:dyDescent="0.2">
      <c r="B59" s="23"/>
      <c r="C59" s="23"/>
      <c r="D59" s="23"/>
      <c r="E59" s="23"/>
      <c r="F59" s="23"/>
      <c r="G59" s="23"/>
      <c r="H59" s="23"/>
      <c r="I59" s="23"/>
      <c r="J59" s="23"/>
      <c r="K59" s="23"/>
      <c r="L59" s="23"/>
      <c r="M59" s="23"/>
    </row>
    <row r="60" spans="1:13" x14ac:dyDescent="0.2">
      <c r="B60" s="180" t="str">
        <f>"Enter tax settlements received during fiscal year "&amp;RIGHT(R2,4)&amp;" in the green highlighted section.  The green outlined section below will then show each settlement allocated by fund.  This data carries over as settlements received in the Accounts tab."</f>
        <v>Enter tax settlements received during fiscal year 2012 in the green highlighted section.  The green outlined section below will then show each settlement allocated by fund.  This data carries over as settlements received in the Accounts tab.</v>
      </c>
      <c r="C60" s="180"/>
      <c r="D60" s="180"/>
      <c r="E60" s="180"/>
      <c r="F60" s="180"/>
      <c r="G60" s="180"/>
      <c r="H60" s="180"/>
      <c r="I60" s="180"/>
      <c r="J60" s="180"/>
      <c r="K60" s="180"/>
      <c r="L60" s="180"/>
      <c r="M60" s="180"/>
    </row>
    <row r="61" spans="1:13" x14ac:dyDescent="0.2">
      <c r="B61" s="180"/>
      <c r="C61" s="180"/>
      <c r="D61" s="180"/>
      <c r="E61" s="180"/>
      <c r="F61" s="180"/>
      <c r="G61" s="180"/>
      <c r="H61" s="180"/>
      <c r="I61" s="180"/>
      <c r="J61" s="180"/>
      <c r="K61" s="180"/>
      <c r="L61" s="180"/>
      <c r="M61" s="180"/>
    </row>
    <row r="62" spans="1:13" x14ac:dyDescent="0.2">
      <c r="B62" s="23"/>
      <c r="C62" s="23"/>
      <c r="D62" s="23"/>
      <c r="E62" s="23"/>
      <c r="F62" s="23"/>
      <c r="G62" s="23"/>
      <c r="H62" s="23"/>
      <c r="I62" s="23"/>
      <c r="J62" s="23"/>
      <c r="K62" s="23"/>
      <c r="L62" s="23"/>
      <c r="M62" s="23"/>
    </row>
    <row r="63" spans="1:13" x14ac:dyDescent="0.2">
      <c r="A63" t="s">
        <v>671</v>
      </c>
    </row>
    <row r="64" spans="1:13" x14ac:dyDescent="0.2">
      <c r="B64" s="181" t="s">
        <v>0</v>
      </c>
      <c r="C64" s="181"/>
      <c r="D64" s="181"/>
      <c r="E64" s="181"/>
      <c r="F64" s="181"/>
      <c r="G64" s="181"/>
      <c r="H64" s="181"/>
      <c r="I64" s="181"/>
      <c r="J64" s="181"/>
      <c r="K64" s="181"/>
      <c r="L64" s="181"/>
      <c r="M64" s="181"/>
    </row>
    <row r="65" spans="1:13" x14ac:dyDescent="0.2">
      <c r="B65" s="181"/>
      <c r="C65" s="181"/>
      <c r="D65" s="181"/>
      <c r="E65" s="181"/>
      <c r="F65" s="181"/>
      <c r="G65" s="181"/>
      <c r="H65" s="181"/>
      <c r="I65" s="181"/>
      <c r="J65" s="181"/>
      <c r="K65" s="181"/>
      <c r="L65" s="181"/>
      <c r="M65" s="181"/>
    </row>
    <row r="66" spans="1:13" x14ac:dyDescent="0.2">
      <c r="B66" s="181"/>
      <c r="C66" s="181"/>
      <c r="D66" s="181"/>
      <c r="E66" s="181"/>
      <c r="F66" s="181"/>
      <c r="G66" s="181"/>
      <c r="H66" s="181"/>
      <c r="I66" s="181"/>
      <c r="J66" s="181"/>
      <c r="K66" s="181"/>
      <c r="L66" s="181"/>
      <c r="M66" s="181"/>
    </row>
    <row r="67" spans="1:13" x14ac:dyDescent="0.2">
      <c r="B67" s="16"/>
      <c r="C67" s="16"/>
      <c r="D67" s="16"/>
      <c r="E67" s="16"/>
      <c r="F67" s="16"/>
      <c r="G67" s="16"/>
      <c r="H67" s="16"/>
      <c r="I67" s="16"/>
      <c r="J67" s="16"/>
      <c r="K67" s="16"/>
      <c r="L67" s="16"/>
      <c r="M67" s="16"/>
    </row>
    <row r="68" spans="1:13" x14ac:dyDescent="0.2">
      <c r="B68" s="180" t="s">
        <v>675</v>
      </c>
      <c r="C68" s="181"/>
      <c r="D68" s="181"/>
      <c r="E68" s="181"/>
      <c r="F68" s="181"/>
      <c r="G68" s="181"/>
      <c r="H68" s="181"/>
      <c r="I68" s="181"/>
      <c r="J68" s="181"/>
      <c r="K68" s="181"/>
      <c r="L68" s="181"/>
      <c r="M68" s="181"/>
    </row>
    <row r="69" spans="1:13" x14ac:dyDescent="0.2">
      <c r="B69" s="180"/>
      <c r="C69" s="180"/>
      <c r="D69" s="180"/>
      <c r="E69" s="180"/>
      <c r="F69" s="180"/>
      <c r="G69" s="180"/>
      <c r="H69" s="180"/>
      <c r="I69" s="180"/>
      <c r="J69" s="180"/>
      <c r="K69" s="180"/>
      <c r="L69" s="180"/>
      <c r="M69" s="180"/>
    </row>
    <row r="70" spans="1:13" x14ac:dyDescent="0.2">
      <c r="B70" s="23"/>
      <c r="C70" s="23"/>
      <c r="D70" s="23"/>
      <c r="E70" s="23"/>
      <c r="F70" s="23"/>
      <c r="G70" s="23"/>
      <c r="H70" s="23"/>
      <c r="I70" s="23"/>
      <c r="J70" s="23"/>
      <c r="K70" s="23"/>
      <c r="L70" s="23"/>
      <c r="M70" s="23"/>
    </row>
    <row r="71" spans="1:13" ht="11.25" customHeight="1" x14ac:dyDescent="0.2">
      <c r="A71" s="180" t="s">
        <v>672</v>
      </c>
      <c r="B71" s="182"/>
      <c r="C71" s="182"/>
      <c r="D71" s="182"/>
      <c r="E71" s="182"/>
      <c r="F71" s="182"/>
      <c r="G71" s="182"/>
      <c r="H71" s="182"/>
      <c r="I71" s="182"/>
      <c r="J71" s="182"/>
      <c r="K71" s="182"/>
      <c r="L71" s="182"/>
      <c r="M71" s="182"/>
    </row>
    <row r="72" spans="1:13" ht="11.25" customHeight="1" x14ac:dyDescent="0.2">
      <c r="A72" s="23"/>
      <c r="B72" s="182" t="s">
        <v>618</v>
      </c>
      <c r="C72" s="182"/>
      <c r="D72" s="182"/>
      <c r="E72" s="182"/>
      <c r="F72" s="182"/>
      <c r="G72" s="182"/>
      <c r="H72" s="182"/>
      <c r="I72" s="182"/>
      <c r="J72" s="182"/>
      <c r="K72" s="182"/>
      <c r="L72" s="182"/>
      <c r="M72" s="182"/>
    </row>
    <row r="73" spans="1:13" ht="11.25" customHeight="1" x14ac:dyDescent="0.2">
      <c r="A73" s="23"/>
      <c r="B73" s="33"/>
      <c r="C73" s="33"/>
      <c r="D73" s="33"/>
      <c r="E73" s="33"/>
      <c r="F73" s="33"/>
      <c r="G73" s="33"/>
      <c r="H73" s="33"/>
      <c r="I73" s="33"/>
      <c r="J73" s="33"/>
      <c r="K73" s="33"/>
      <c r="L73" s="33"/>
      <c r="M73" s="33"/>
    </row>
    <row r="74" spans="1:13" x14ac:dyDescent="0.2">
      <c r="A74" t="s">
        <v>673</v>
      </c>
    </row>
    <row r="76" spans="1:13" x14ac:dyDescent="0.2">
      <c r="A76" s="182" t="s">
        <v>716</v>
      </c>
      <c r="B76" s="184"/>
      <c r="C76" s="184"/>
      <c r="D76" s="184"/>
      <c r="E76" s="184"/>
      <c r="F76" s="184"/>
      <c r="G76" s="184"/>
      <c r="H76" s="184"/>
      <c r="I76" s="184"/>
      <c r="J76" s="184"/>
      <c r="K76" s="184"/>
      <c r="L76" s="184"/>
      <c r="M76" s="184"/>
    </row>
    <row r="77" spans="1:13" x14ac:dyDescent="0.2">
      <c r="A77" s="184"/>
      <c r="B77" s="184"/>
      <c r="C77" s="184"/>
      <c r="D77" s="184"/>
      <c r="E77" s="184"/>
      <c r="F77" s="184"/>
      <c r="G77" s="184"/>
      <c r="H77" s="184"/>
      <c r="I77" s="184"/>
      <c r="J77" s="184"/>
      <c r="K77" s="184"/>
      <c r="L77" s="184"/>
      <c r="M77" s="184"/>
    </row>
  </sheetData>
  <mergeCells count="23">
    <mergeCell ref="A71:M71"/>
    <mergeCell ref="B72:M72"/>
    <mergeCell ref="A76:M77"/>
    <mergeCell ref="A29:M29"/>
    <mergeCell ref="C44:M45"/>
    <mergeCell ref="B34:M35"/>
    <mergeCell ref="C40:M40"/>
    <mergeCell ref="B47:M47"/>
    <mergeCell ref="C41:M42"/>
    <mergeCell ref="C43:M43"/>
    <mergeCell ref="B49:M51"/>
    <mergeCell ref="B53:M54"/>
    <mergeCell ref="B64:M66"/>
    <mergeCell ref="B68:M69"/>
    <mergeCell ref="B60:M61"/>
    <mergeCell ref="B57:M58"/>
    <mergeCell ref="A30:M30"/>
    <mergeCell ref="A5:M6"/>
    <mergeCell ref="A20:M21"/>
    <mergeCell ref="A24:M27"/>
    <mergeCell ref="A15:M17"/>
    <mergeCell ref="A13:M13"/>
    <mergeCell ref="A10:M11"/>
  </mergeCells>
  <phoneticPr fontId="0" type="noConversion"/>
  <pageMargins left="0.5" right="0.5" top="0.75" bottom="0.75" header="0.5" footer="0.5"/>
  <pageSetup scale="86"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8"/>
  <sheetViews>
    <sheetView tabSelected="1" zoomScaleNormal="100" workbookViewId="0">
      <selection activeCell="A3" sqref="A3"/>
    </sheetView>
  </sheetViews>
  <sheetFormatPr defaultRowHeight="11.25" x14ac:dyDescent="0.2"/>
  <cols>
    <col min="1" max="1" width="5.83203125" style="56" customWidth="1"/>
    <col min="2" max="2" width="44.83203125" style="56" customWidth="1"/>
    <col min="3" max="3" width="15.33203125" style="56" customWidth="1"/>
    <col min="4" max="5" width="15.83203125" style="56" customWidth="1"/>
    <col min="6" max="6" width="14.83203125" style="56" customWidth="1"/>
    <col min="7" max="7" width="5.83203125" style="56" customWidth="1"/>
    <col min="8" max="9" width="15.83203125" style="56" customWidth="1"/>
    <col min="10" max="16384" width="9.33203125" style="56"/>
  </cols>
  <sheetData>
    <row r="1" spans="1:9" x14ac:dyDescent="0.2">
      <c r="D1" s="51" t="s">
        <v>365</v>
      </c>
      <c r="I1" s="72">
        <v>41115</v>
      </c>
    </row>
    <row r="2" spans="1:9" x14ac:dyDescent="0.2">
      <c r="D2" s="157" t="str">
        <f>Instructions!S2</f>
        <v>06/30/12</v>
      </c>
    </row>
    <row r="3" spans="1:9" x14ac:dyDescent="0.2">
      <c r="A3" s="40">
        <v>1.2</v>
      </c>
      <c r="B3" s="56" t="s">
        <v>366</v>
      </c>
    </row>
    <row r="4" spans="1:9" x14ac:dyDescent="0.2">
      <c r="C4" s="73"/>
    </row>
    <row r="5" spans="1:9" x14ac:dyDescent="0.2">
      <c r="B5" s="55" t="str">
        <f>VLOOKUP(A3,ShiftCY,3)</f>
        <v xml:space="preserve">MINNEAPOLIS     </v>
      </c>
    </row>
    <row r="6" spans="1:9" x14ac:dyDescent="0.2">
      <c r="B6" s="55"/>
      <c r="C6" s="74">
        <v>1</v>
      </c>
      <c r="D6" s="74">
        <v>2</v>
      </c>
      <c r="E6" s="74">
        <v>3</v>
      </c>
      <c r="F6" s="74">
        <v>4</v>
      </c>
      <c r="G6" s="74"/>
      <c r="H6" s="74">
        <v>5</v>
      </c>
      <c r="I6" s="74">
        <v>6</v>
      </c>
    </row>
    <row r="7" spans="1:9" ht="33.75" x14ac:dyDescent="0.2">
      <c r="C7" s="75" t="str">
        <f>"Gross Shift Amount 
"&amp;Instructions!Q1</f>
        <v>Gross Shift Amount 
11 Pay 12</v>
      </c>
      <c r="D7" s="156" t="str">
        <f>"Replacement for "&amp;Instructions!Q2&amp;" Shift"</f>
        <v>Replacement for 10 Pay 11 Shift</v>
      </c>
      <c r="E7" s="156" t="str">
        <f>Instructions!R2&amp;"
Revenue Adjust
Src Code 001"</f>
        <v>FY 2012
Revenue Adjust
Src Code 001</v>
      </c>
      <c r="F7" s="76" t="str">
        <f>Instructions!R2&amp;" Net Shift Amount
Src Code 020"</f>
        <v>FY 2012 Net Shift Amount
Src Code 020</v>
      </c>
      <c r="G7" s="77"/>
      <c r="H7" s="75" t="s">
        <v>608</v>
      </c>
      <c r="I7" s="75" t="s">
        <v>609</v>
      </c>
    </row>
    <row r="8" spans="1:9" x14ac:dyDescent="0.2">
      <c r="F8" s="78"/>
      <c r="G8" s="77"/>
    </row>
    <row r="9" spans="1:9" x14ac:dyDescent="0.2">
      <c r="A9" s="79" t="s">
        <v>367</v>
      </c>
      <c r="B9" s="56" t="s">
        <v>368</v>
      </c>
      <c r="C9" s="56">
        <f>VLOOKUP($A$3,ShiftCY,4,FALSE)</f>
        <v>11569510.289999999</v>
      </c>
      <c r="D9" s="56">
        <f>VLOOKUP($A$3,ShiftPY,4,FALSE)</f>
        <v>14582222.49</v>
      </c>
      <c r="F9" s="78">
        <f>C9-D9</f>
        <v>-3012712.2000000011</v>
      </c>
      <c r="G9" s="77"/>
    </row>
    <row r="10" spans="1:9" x14ac:dyDescent="0.2">
      <c r="A10" s="80" t="s">
        <v>369</v>
      </c>
      <c r="B10" s="73" t="s">
        <v>370</v>
      </c>
      <c r="C10" s="56">
        <f>VLOOKUP($A$3,ShiftCY,5,FALSE)</f>
        <v>22730185.920000002</v>
      </c>
      <c r="D10" s="56">
        <f>VLOOKUP($A$3,ShiftPY,5,FALSE)</f>
        <v>21821401.640000001</v>
      </c>
      <c r="E10" s="73"/>
      <c r="F10" s="78">
        <f>C10-D10</f>
        <v>908784.28000000119</v>
      </c>
      <c r="G10" s="77"/>
    </row>
    <row r="11" spans="1:9" x14ac:dyDescent="0.2">
      <c r="A11" s="80" t="s">
        <v>371</v>
      </c>
      <c r="B11" s="73" t="s">
        <v>372</v>
      </c>
      <c r="C11" s="56">
        <f>VLOOKUP($A$3,ShiftCY,6,FALSE)</f>
        <v>10049626.5</v>
      </c>
      <c r="D11" s="56">
        <f>VLOOKUP($A$3,ShiftPY,6,FALSE)</f>
        <v>10049626.5</v>
      </c>
      <c r="E11" s="56">
        <f t="shared" ref="E11:E17" si="0">C11-D11</f>
        <v>0</v>
      </c>
      <c r="F11" s="81"/>
      <c r="G11" s="77"/>
    </row>
    <row r="12" spans="1:9" x14ac:dyDescent="0.2">
      <c r="A12" s="79" t="s">
        <v>373</v>
      </c>
      <c r="B12" s="56" t="s">
        <v>374</v>
      </c>
      <c r="C12" s="56">
        <f>VLOOKUP($A$3,ShiftCY,7,FALSE)</f>
        <v>1205612.71</v>
      </c>
      <c r="D12" s="56">
        <f>VLOOKUP($A$3,ShiftPY,7,FALSE)</f>
        <v>1205612.71</v>
      </c>
      <c r="E12" s="56">
        <f t="shared" si="0"/>
        <v>0</v>
      </c>
      <c r="F12" s="78"/>
      <c r="G12" s="77"/>
    </row>
    <row r="13" spans="1:9" x14ac:dyDescent="0.2">
      <c r="A13" s="80" t="s">
        <v>375</v>
      </c>
      <c r="B13" s="73" t="s">
        <v>460</v>
      </c>
      <c r="C13" s="56">
        <f>VLOOKUP($A$3,ShiftCY,8,FALSE)</f>
        <v>551214.1399999999</v>
      </c>
      <c r="D13" s="56">
        <f>VLOOKUP($A$3,ShiftPY,8,FALSE)</f>
        <v>529738.02</v>
      </c>
      <c r="E13" s="73">
        <f t="shared" si="0"/>
        <v>21476.119999999879</v>
      </c>
      <c r="F13" s="81"/>
      <c r="G13" s="77"/>
    </row>
    <row r="14" spans="1:9" x14ac:dyDescent="0.2">
      <c r="A14" s="80" t="s">
        <v>376</v>
      </c>
      <c r="B14" s="73" t="s">
        <v>459</v>
      </c>
      <c r="C14" s="56">
        <f>VLOOKUP($A$3,ShiftCY,9,FALSE)</f>
        <v>8657778.6500000004</v>
      </c>
      <c r="D14" s="56">
        <f>VLOOKUP($A$3,ShiftPY,9,FALSE)</f>
        <v>8867688.2599999998</v>
      </c>
      <c r="E14" s="73">
        <f t="shared" si="0"/>
        <v>-209909.6099999994</v>
      </c>
      <c r="F14" s="81"/>
      <c r="G14" s="77"/>
    </row>
    <row r="15" spans="1:9" x14ac:dyDescent="0.2">
      <c r="A15" s="79" t="s">
        <v>377</v>
      </c>
      <c r="B15" s="56" t="s">
        <v>378</v>
      </c>
      <c r="C15" s="56">
        <f>VLOOKUP($A$3,ShiftCY,10,FALSE)</f>
        <v>0</v>
      </c>
      <c r="D15" s="56">
        <f>VLOOKUP($A$3,ShiftPY,10,FALSE)</f>
        <v>0</v>
      </c>
      <c r="E15" s="56">
        <f t="shared" si="0"/>
        <v>0</v>
      </c>
      <c r="F15" s="78"/>
      <c r="G15" s="77"/>
    </row>
    <row r="16" spans="1:9" x14ac:dyDescent="0.2">
      <c r="A16" s="82" t="s">
        <v>379</v>
      </c>
      <c r="B16" s="56" t="s">
        <v>380</v>
      </c>
      <c r="C16" s="56">
        <f>VLOOKUP($A$3,ShiftCY,11,FALSE)</f>
        <v>1774703.81</v>
      </c>
      <c r="D16" s="56">
        <f>VLOOKUP($A$3,ShiftPY,11,FALSE)</f>
        <v>1757181.65</v>
      </c>
      <c r="E16" s="56">
        <f t="shared" si="0"/>
        <v>17522.160000000149</v>
      </c>
      <c r="F16" s="78"/>
      <c r="G16" s="77"/>
    </row>
    <row r="17" spans="1:9" x14ac:dyDescent="0.2">
      <c r="A17" s="79" t="s">
        <v>381</v>
      </c>
      <c r="B17" s="56" t="s">
        <v>382</v>
      </c>
      <c r="C17" s="56">
        <f>VLOOKUP($A$3,ShiftCY,12,FALSE)</f>
        <v>0</v>
      </c>
      <c r="D17" s="56">
        <f>VLOOKUP($A$3,ShiftPY,12,FALSE)</f>
        <v>0</v>
      </c>
      <c r="E17" s="56">
        <f t="shared" si="0"/>
        <v>0</v>
      </c>
      <c r="F17" s="78"/>
      <c r="G17" s="77"/>
    </row>
    <row r="18" spans="1:9" x14ac:dyDescent="0.2">
      <c r="A18" s="79" t="s">
        <v>383</v>
      </c>
      <c r="B18" s="56" t="s">
        <v>384</v>
      </c>
      <c r="C18" s="56">
        <f>SUM(C9:C17)</f>
        <v>56538632.020000003</v>
      </c>
      <c r="D18" s="56">
        <f>SUM(D9:D17)</f>
        <v>58813471.270000003</v>
      </c>
      <c r="E18" s="56">
        <f>SUM(E9:E17)</f>
        <v>-170911.32999999938</v>
      </c>
      <c r="F18" s="78">
        <f>SUM(F9:F17)</f>
        <v>-2103927.92</v>
      </c>
      <c r="G18" s="77"/>
      <c r="H18" s="56">
        <f>VLOOKUP($A$3,Ideas,4)</f>
        <v>1703911.26</v>
      </c>
      <c r="I18" s="56">
        <f>-F18-H18</f>
        <v>400016.65999999992</v>
      </c>
    </row>
    <row r="19" spans="1:9" x14ac:dyDescent="0.2">
      <c r="A19" s="79"/>
      <c r="F19" s="78"/>
      <c r="G19" s="77"/>
    </row>
    <row r="20" spans="1:9" x14ac:dyDescent="0.2">
      <c r="A20" s="79" t="s">
        <v>385</v>
      </c>
      <c r="B20" s="56" t="s">
        <v>386</v>
      </c>
      <c r="C20" s="56">
        <f>VLOOKUP($A$3,ShiftCY,13,FALSE)</f>
        <v>2395201.98</v>
      </c>
      <c r="D20" s="56">
        <f>VLOOKUP($A$3,ShiftPY,13,FALSE)</f>
        <v>1994567.95</v>
      </c>
      <c r="F20" s="78">
        <f>C20-D20</f>
        <v>400634.03</v>
      </c>
      <c r="G20" s="77"/>
    </row>
    <row r="21" spans="1:9" x14ac:dyDescent="0.2">
      <c r="A21" s="79" t="s">
        <v>387</v>
      </c>
      <c r="B21" s="56" t="s">
        <v>388</v>
      </c>
      <c r="C21" s="56">
        <v>0</v>
      </c>
      <c r="D21" s="56">
        <v>0</v>
      </c>
      <c r="E21" s="56">
        <f>C21-D21</f>
        <v>0</v>
      </c>
      <c r="F21" s="78"/>
      <c r="G21" s="77"/>
    </row>
    <row r="22" spans="1:9" x14ac:dyDescent="0.2">
      <c r="A22" s="79" t="s">
        <v>389</v>
      </c>
      <c r="B22" s="56" t="s">
        <v>390</v>
      </c>
      <c r="C22" s="56">
        <f>VLOOKUP($A$3,ShiftCY,14,FALSE)</f>
        <v>0</v>
      </c>
      <c r="D22" s="56">
        <f>VLOOKUP($A$3,ShiftPY,14,FALSE)</f>
        <v>0</v>
      </c>
      <c r="E22" s="56">
        <f>C22-D22</f>
        <v>0</v>
      </c>
      <c r="F22" s="78"/>
      <c r="G22" s="77"/>
    </row>
    <row r="23" spans="1:9" x14ac:dyDescent="0.2">
      <c r="A23" s="79" t="s">
        <v>391</v>
      </c>
      <c r="B23" s="56" t="s">
        <v>392</v>
      </c>
      <c r="C23" s="56">
        <f>SUM(C20:C22)</f>
        <v>2395201.98</v>
      </c>
      <c r="D23" s="56">
        <f>SUM(D20:D22)</f>
        <v>1994567.95</v>
      </c>
      <c r="E23" s="56">
        <f>SUM(E20:E22)</f>
        <v>0</v>
      </c>
      <c r="F23" s="78">
        <f>SUM(F20:F22)</f>
        <v>400634.03</v>
      </c>
      <c r="G23" s="77"/>
      <c r="H23" s="56">
        <f>VLOOKUP($A$3,Ideas,5)</f>
        <v>0</v>
      </c>
      <c r="I23" s="56">
        <f>-F23-H23</f>
        <v>-400634.03</v>
      </c>
    </row>
    <row r="24" spans="1:9" x14ac:dyDescent="0.2">
      <c r="A24" s="79"/>
      <c r="F24" s="78"/>
      <c r="G24" s="77"/>
    </row>
    <row r="25" spans="1:9" x14ac:dyDescent="0.2">
      <c r="A25" s="79"/>
      <c r="F25" s="78"/>
      <c r="G25" s="77"/>
    </row>
    <row r="26" spans="1:9" x14ac:dyDescent="0.2">
      <c r="A26" s="79" t="s">
        <v>393</v>
      </c>
      <c r="B26" s="56" t="s">
        <v>394</v>
      </c>
      <c r="C26" s="56">
        <f>C18+C23</f>
        <v>58933834</v>
      </c>
      <c r="D26" s="56">
        <f>D18+D23</f>
        <v>60808039.220000006</v>
      </c>
      <c r="E26" s="56">
        <f>E18+E23</f>
        <v>-170911.32999999938</v>
      </c>
      <c r="F26" s="78">
        <f>F18+F23</f>
        <v>-1703293.89</v>
      </c>
      <c r="G26" s="77"/>
      <c r="H26" s="56">
        <f>H18+H23</f>
        <v>1703911.26</v>
      </c>
      <c r="I26" s="56">
        <f>I18+I23</f>
        <v>-617.37000000011176</v>
      </c>
    </row>
    <row r="31" spans="1:9" x14ac:dyDescent="0.2">
      <c r="A31" s="55" t="s">
        <v>395</v>
      </c>
    </row>
    <row r="32" spans="1:9" x14ac:dyDescent="0.2">
      <c r="A32" s="56" t="s">
        <v>477</v>
      </c>
    </row>
    <row r="33" spans="2:9" x14ac:dyDescent="0.2">
      <c r="B33" s="73" t="s">
        <v>396</v>
      </c>
      <c r="C33" s="73" t="str">
        <f>"For "&amp;Instructions!P1&amp;" this category includes all levies not identified below, shifted at 48.6%."</f>
        <v>For Pay 2012 this category includes all levies not identified below, shifted at 48.6%.</v>
      </c>
      <c r="D33" s="73"/>
      <c r="E33" s="73"/>
      <c r="F33" s="73"/>
      <c r="G33" s="73"/>
      <c r="H33" s="73"/>
    </row>
    <row r="34" spans="2:9" x14ac:dyDescent="0.2">
      <c r="B34" s="73"/>
      <c r="C34" s="73" t="str">
        <f>"For "&amp;Instructions!P2&amp;" this category includes all levies not identified below, shifted at 48.6%."</f>
        <v>For Pay 2011 this category includes all levies not identified below, shifted at 48.6%.</v>
      </c>
      <c r="D34" s="73"/>
      <c r="E34" s="73"/>
      <c r="F34" s="73"/>
      <c r="G34" s="73"/>
      <c r="H34" s="73"/>
    </row>
    <row r="35" spans="2:9" x14ac:dyDescent="0.2">
      <c r="B35" s="73" t="s">
        <v>397</v>
      </c>
      <c r="C35" s="73" t="str">
        <f>"For "&amp;Instructions!P1&amp;" this category is the greater of zero, or the "&amp;Instructions!P1&amp;" referendum levy shifted at 48.6% minus"</f>
        <v>For Pay 2012 this category is the greater of zero, or the Pay 2012 referendum levy shifted at 48.6% minus</v>
      </c>
      <c r="D35" s="73"/>
      <c r="E35" s="73"/>
      <c r="F35" s="73"/>
      <c r="G35" s="73"/>
      <c r="H35" s="73"/>
    </row>
    <row r="36" spans="2:9" x14ac:dyDescent="0.2">
      <c r="B36" s="73"/>
      <c r="C36" s="73" t="str">
        <f>"the Pay 2001 referendum shifted at 31%."</f>
        <v>the Pay 2001 referendum shifted at 31%.</v>
      </c>
      <c r="D36" s="73"/>
      <c r="E36" s="73"/>
      <c r="F36" s="73"/>
      <c r="G36" s="73"/>
      <c r="H36" s="73"/>
    </row>
    <row r="37" spans="2:9" x14ac:dyDescent="0.2">
      <c r="B37" s="73" t="s">
        <v>398</v>
      </c>
      <c r="C37" s="30" t="s">
        <v>623</v>
      </c>
      <c r="D37" s="73"/>
      <c r="E37" s="73"/>
      <c r="F37" s="73"/>
      <c r="G37" s="73"/>
      <c r="H37" s="73"/>
    </row>
    <row r="38" spans="2:9" x14ac:dyDescent="0.2">
      <c r="B38" s="56" t="s">
        <v>399</v>
      </c>
      <c r="C38" s="56" t="s">
        <v>624</v>
      </c>
    </row>
    <row r="39" spans="2:9" x14ac:dyDescent="0.2">
      <c r="C39" s="56" t="s">
        <v>400</v>
      </c>
    </row>
    <row r="40" spans="2:9" x14ac:dyDescent="0.2">
      <c r="C40" s="56" t="s">
        <v>401</v>
      </c>
    </row>
    <row r="41" spans="2:9" x14ac:dyDescent="0.2">
      <c r="B41" s="56" t="s">
        <v>461</v>
      </c>
      <c r="C41" s="56" t="s">
        <v>652</v>
      </c>
    </row>
    <row r="42" spans="2:9" x14ac:dyDescent="0.2">
      <c r="B42" s="56" t="s">
        <v>402</v>
      </c>
      <c r="C42" s="56" t="s">
        <v>499</v>
      </c>
    </row>
    <row r="43" spans="2:9" x14ac:dyDescent="0.2">
      <c r="C43" s="56" t="s">
        <v>500</v>
      </c>
    </row>
    <row r="44" spans="2:9" x14ac:dyDescent="0.2">
      <c r="B44" s="56" t="s">
        <v>403</v>
      </c>
      <c r="C44" s="56" t="s">
        <v>621</v>
      </c>
    </row>
    <row r="45" spans="2:9" x14ac:dyDescent="0.2">
      <c r="B45" s="56" t="s">
        <v>404</v>
      </c>
      <c r="C45" s="56" t="s">
        <v>622</v>
      </c>
    </row>
    <row r="46" spans="2:9" x14ac:dyDescent="0.2">
      <c r="B46" s="73" t="s">
        <v>405</v>
      </c>
      <c r="C46" s="56" t="s">
        <v>490</v>
      </c>
    </row>
    <row r="47" spans="2:9" x14ac:dyDescent="0.2">
      <c r="C47" s="43" t="s">
        <v>678</v>
      </c>
    </row>
    <row r="48" spans="2:9" x14ac:dyDescent="0.2">
      <c r="C48" s="73" t="str">
        <f>"no adjustment to state aids.  For "&amp;Instructions!P2&amp;" and "&amp;Instructions!P1&amp;" this category is zero."</f>
        <v>no adjustment to state aids.  For Pay 2011 and Pay 2012 this category is zero.</v>
      </c>
      <c r="D48" s="73"/>
      <c r="E48" s="73"/>
      <c r="F48" s="73"/>
      <c r="G48" s="73"/>
      <c r="H48" s="73"/>
      <c r="I48" s="73"/>
    </row>
    <row r="49" spans="1:9" x14ac:dyDescent="0.2">
      <c r="C49" s="73"/>
      <c r="D49" s="73"/>
      <c r="E49" s="73"/>
      <c r="F49" s="73"/>
      <c r="G49" s="73"/>
      <c r="H49" s="73"/>
      <c r="I49" s="73"/>
    </row>
    <row r="50" spans="1:9" x14ac:dyDescent="0.2">
      <c r="C50" s="73"/>
      <c r="D50" s="73"/>
      <c r="E50" s="73"/>
      <c r="F50" s="73"/>
      <c r="G50" s="73"/>
      <c r="H50" s="73"/>
      <c r="I50" s="73"/>
    </row>
    <row r="52" spans="1:9" x14ac:dyDescent="0.2">
      <c r="A52" s="83">
        <f>$A$3</f>
        <v>1.2</v>
      </c>
      <c r="B52" s="55" t="str">
        <f>VLOOKUP($A$3,ShiftCY,3)</f>
        <v xml:space="preserve">MINNEAPOLIS     </v>
      </c>
      <c r="I52" s="72">
        <f>Instructions!$M$1</f>
        <v>41115</v>
      </c>
    </row>
    <row r="55" spans="1:9" x14ac:dyDescent="0.2">
      <c r="G55" s="79"/>
    </row>
    <row r="56" spans="1:9" x14ac:dyDescent="0.2">
      <c r="A56" s="84" t="s">
        <v>406</v>
      </c>
      <c r="B56" s="85"/>
      <c r="C56" s="85"/>
      <c r="D56" s="85"/>
      <c r="E56" s="85"/>
      <c r="F56" s="86"/>
      <c r="G56" s="79"/>
    </row>
    <row r="57" spans="1:9" x14ac:dyDescent="0.2">
      <c r="A57" s="87"/>
      <c r="B57" s="78"/>
      <c r="C57" s="78"/>
      <c r="D57" s="78"/>
      <c r="E57" s="78"/>
      <c r="F57" s="88"/>
      <c r="G57" s="79"/>
    </row>
    <row r="58" spans="1:9" x14ac:dyDescent="0.2">
      <c r="A58" s="89" t="s">
        <v>407</v>
      </c>
      <c r="B58" s="78" t="s">
        <v>481</v>
      </c>
      <c r="C58" s="78"/>
      <c r="D58" s="78"/>
      <c r="E58" s="78"/>
      <c r="F58" s="88"/>
      <c r="G58" s="79"/>
      <c r="H58" s="83"/>
    </row>
    <row r="59" spans="1:9" x14ac:dyDescent="0.2">
      <c r="A59" s="89"/>
      <c r="B59" s="78" t="str">
        <f>"in account 235 should equal the Certified "&amp;Instructions!P1&amp;" levy from the School Tax Report."</f>
        <v>in account 235 should equal the Certified Pay 2012 levy from the School Tax Report.</v>
      </c>
      <c r="C59" s="78"/>
      <c r="D59" s="78"/>
      <c r="E59" s="78"/>
      <c r="F59" s="88"/>
      <c r="G59" s="79"/>
    </row>
    <row r="60" spans="1:9" x14ac:dyDescent="0.2">
      <c r="A60" s="89"/>
      <c r="B60" s="78"/>
      <c r="C60" s="78"/>
      <c r="D60" s="78"/>
      <c r="E60" s="78"/>
      <c r="F60" s="88"/>
      <c r="G60" s="79"/>
    </row>
    <row r="61" spans="1:9" x14ac:dyDescent="0.2">
      <c r="A61" s="89"/>
      <c r="B61" s="78"/>
      <c r="C61" s="78"/>
      <c r="D61" s="78"/>
      <c r="E61" s="78"/>
      <c r="F61" s="88"/>
      <c r="G61" s="79"/>
    </row>
    <row r="62" spans="1:9" x14ac:dyDescent="0.2">
      <c r="A62" s="89"/>
      <c r="B62" s="78"/>
      <c r="C62" s="78"/>
      <c r="D62" s="78"/>
      <c r="E62" s="78"/>
      <c r="F62" s="88"/>
      <c r="G62" s="79"/>
    </row>
    <row r="63" spans="1:9" x14ac:dyDescent="0.2">
      <c r="A63" s="89" t="s">
        <v>408</v>
      </c>
      <c r="B63" s="78" t="str">
        <f>"If the Advance of Unearned General Education Revenue (GNL 214) was used in "&amp;Instructions!R3&amp;", enough general ed payments should"</f>
        <v>If the Advance of Unearned General Education Revenue (GNL 214) was used in FY 2011, enough general ed payments should</v>
      </c>
      <c r="C63" s="78"/>
      <c r="D63" s="78"/>
      <c r="E63" s="78"/>
      <c r="F63" s="88"/>
      <c r="G63" s="79"/>
    </row>
    <row r="64" spans="1:9" x14ac:dyDescent="0.2">
      <c r="A64" s="89"/>
      <c r="B64" s="78" t="s">
        <v>409</v>
      </c>
      <c r="C64" s="78"/>
      <c r="D64" s="78"/>
      <c r="E64" s="78"/>
      <c r="F64" s="88"/>
      <c r="G64" s="79"/>
    </row>
    <row r="65" spans="1:7" x14ac:dyDescent="0.2">
      <c r="A65" s="89"/>
      <c r="B65" s="78"/>
      <c r="C65" s="78"/>
      <c r="D65" s="78"/>
      <c r="E65" s="90" t="s">
        <v>410</v>
      </c>
      <c r="F65" s="91" t="s">
        <v>411</v>
      </c>
      <c r="G65" s="79"/>
    </row>
    <row r="66" spans="1:7" x14ac:dyDescent="0.2">
      <c r="A66" s="92" t="s">
        <v>412</v>
      </c>
      <c r="B66" s="56" t="s">
        <v>413</v>
      </c>
      <c r="C66" s="73" t="s">
        <v>414</v>
      </c>
      <c r="E66" s="56">
        <f>F68</f>
        <v>4894482</v>
      </c>
      <c r="F66" s="88"/>
      <c r="G66" s="79"/>
    </row>
    <row r="67" spans="1:7" x14ac:dyDescent="0.2">
      <c r="A67" s="92" t="s">
        <v>412</v>
      </c>
      <c r="B67" s="56" t="s">
        <v>446</v>
      </c>
      <c r="C67" s="73" t="s">
        <v>414</v>
      </c>
      <c r="E67" s="56">
        <f>F69</f>
        <v>0</v>
      </c>
      <c r="F67" s="88"/>
      <c r="G67" s="79"/>
    </row>
    <row r="68" spans="1:7" x14ac:dyDescent="0.2">
      <c r="A68" s="93" t="s">
        <v>415</v>
      </c>
      <c r="B68" s="73" t="s">
        <v>416</v>
      </c>
      <c r="C68" s="56" t="s">
        <v>417</v>
      </c>
      <c r="E68" s="78"/>
      <c r="F68" s="88">
        <f>-VLOOKUP($A$3,Ideas,7)</f>
        <v>4894482</v>
      </c>
      <c r="G68" s="79"/>
    </row>
    <row r="69" spans="1:7" x14ac:dyDescent="0.2">
      <c r="A69" s="93" t="s">
        <v>415</v>
      </c>
      <c r="B69" s="73" t="s">
        <v>433</v>
      </c>
      <c r="C69" s="56" t="s">
        <v>417</v>
      </c>
      <c r="E69" s="78"/>
      <c r="F69" s="88">
        <f>-VLOOKUP($A$3,Ideas,8)</f>
        <v>0</v>
      </c>
      <c r="G69" s="79"/>
    </row>
    <row r="70" spans="1:7" x14ac:dyDescent="0.2">
      <c r="A70" s="93"/>
      <c r="B70" s="73"/>
      <c r="F70" s="88"/>
      <c r="G70" s="79"/>
    </row>
    <row r="71" spans="1:7" x14ac:dyDescent="0.2">
      <c r="A71" s="93"/>
      <c r="B71" s="73"/>
      <c r="F71" s="88"/>
      <c r="G71" s="79"/>
    </row>
    <row r="72" spans="1:7" x14ac:dyDescent="0.2">
      <c r="A72" s="89"/>
      <c r="B72" s="78"/>
      <c r="C72" s="78"/>
      <c r="D72" s="78"/>
      <c r="E72" s="78"/>
      <c r="F72" s="88"/>
      <c r="G72" s="79"/>
    </row>
    <row r="73" spans="1:7" x14ac:dyDescent="0.2">
      <c r="A73" s="94" t="s">
        <v>418</v>
      </c>
      <c r="B73" s="78" t="str">
        <f>"The "&amp;Instructions!R2&amp;" tax shift payment adjustments reflected on the IDEAS reports should have been recorded to source 299."</f>
        <v>The FY 2012 tax shift payment adjustments reflected on the IDEAS reports should have been recorded to source 299.</v>
      </c>
      <c r="C73" s="78"/>
      <c r="D73" s="78"/>
      <c r="E73" s="78"/>
      <c r="F73" s="88"/>
      <c r="G73" s="79"/>
    </row>
    <row r="74" spans="1:7" x14ac:dyDescent="0.2">
      <c r="A74" s="89"/>
      <c r="B74" s="78" t="s">
        <v>419</v>
      </c>
      <c r="C74" s="78"/>
      <c r="D74" s="78"/>
      <c r="E74" s="78"/>
      <c r="F74" s="88"/>
      <c r="G74" s="79"/>
    </row>
    <row r="75" spans="1:7" x14ac:dyDescent="0.2">
      <c r="A75" s="92"/>
      <c r="B75" s="78"/>
      <c r="C75" s="78"/>
      <c r="D75" s="78"/>
      <c r="E75" s="90" t="s">
        <v>410</v>
      </c>
      <c r="F75" s="91" t="s">
        <v>411</v>
      </c>
      <c r="G75" s="79"/>
    </row>
    <row r="76" spans="1:7" x14ac:dyDescent="0.2">
      <c r="A76" s="93" t="s">
        <v>412</v>
      </c>
      <c r="B76" s="95" t="s">
        <v>420</v>
      </c>
      <c r="C76" s="81" t="s">
        <v>421</v>
      </c>
      <c r="D76" s="81"/>
      <c r="E76" s="96" t="str">
        <f>IF(H18&lt;=0,-H18," ")</f>
        <v xml:space="preserve"> </v>
      </c>
      <c r="F76" s="97">
        <f>IF(H18&lt;=0," ",H18)</f>
        <v>1703911.26</v>
      </c>
      <c r="G76" s="79"/>
    </row>
    <row r="77" spans="1:7" x14ac:dyDescent="0.2">
      <c r="A77" s="93" t="s">
        <v>412</v>
      </c>
      <c r="B77" s="95" t="s">
        <v>422</v>
      </c>
      <c r="C77" s="81" t="s">
        <v>421</v>
      </c>
      <c r="D77" s="81"/>
      <c r="E77" s="96">
        <f>IF(H23&lt;=0,-H23," ")</f>
        <v>0</v>
      </c>
      <c r="F77" s="97" t="str">
        <f>IF(H23&lt;=0," ",H23)</f>
        <v xml:space="preserve"> </v>
      </c>
      <c r="G77" s="79"/>
    </row>
    <row r="78" spans="1:7" x14ac:dyDescent="0.2">
      <c r="A78" s="93" t="s">
        <v>412</v>
      </c>
      <c r="B78" s="95" t="s">
        <v>423</v>
      </c>
      <c r="C78" s="78" t="s">
        <v>424</v>
      </c>
      <c r="D78" s="78"/>
      <c r="E78" s="78">
        <f>F76</f>
        <v>1703911.26</v>
      </c>
      <c r="F78" s="97" t="str">
        <f>E76</f>
        <v xml:space="preserve"> </v>
      </c>
      <c r="G78" s="79"/>
    </row>
    <row r="79" spans="1:7" x14ac:dyDescent="0.2">
      <c r="A79" s="93" t="s">
        <v>412</v>
      </c>
      <c r="B79" s="95" t="s">
        <v>425</v>
      </c>
      <c r="C79" s="78" t="s">
        <v>424</v>
      </c>
      <c r="D79" s="78"/>
      <c r="E79" s="78" t="str">
        <f>F77</f>
        <v xml:space="preserve"> </v>
      </c>
      <c r="F79" s="97">
        <f>E77</f>
        <v>0</v>
      </c>
      <c r="G79" s="79"/>
    </row>
    <row r="80" spans="1:7" x14ac:dyDescent="0.2">
      <c r="A80" s="98"/>
      <c r="B80" s="99"/>
      <c r="C80" s="100"/>
      <c r="D80" s="100"/>
      <c r="E80" s="100"/>
      <c r="F80" s="101"/>
      <c r="G80" s="79"/>
    </row>
    <row r="81" spans="1:8" x14ac:dyDescent="0.2">
      <c r="A81" s="81"/>
      <c r="B81" s="95"/>
      <c r="C81" s="78"/>
      <c r="D81" s="78"/>
      <c r="E81" s="78"/>
      <c r="F81" s="96"/>
      <c r="G81" s="79"/>
    </row>
    <row r="82" spans="1:8" x14ac:dyDescent="0.2">
      <c r="A82" s="81"/>
      <c r="B82" s="95"/>
      <c r="C82" s="78"/>
      <c r="D82" s="78"/>
      <c r="E82" s="78"/>
      <c r="F82" s="96"/>
      <c r="G82" s="79"/>
    </row>
    <row r="83" spans="1:8" x14ac:dyDescent="0.2">
      <c r="A83" s="81"/>
      <c r="B83" s="95"/>
      <c r="C83" s="78"/>
      <c r="D83" s="78"/>
      <c r="E83" s="78"/>
      <c r="F83" s="96"/>
      <c r="G83" s="79"/>
    </row>
    <row r="84" spans="1:8" x14ac:dyDescent="0.2">
      <c r="A84" s="81"/>
      <c r="B84" s="95"/>
      <c r="C84" s="78"/>
      <c r="D84" s="78"/>
      <c r="E84" s="78"/>
      <c r="F84" s="96"/>
      <c r="G84" s="79"/>
    </row>
    <row r="85" spans="1:8" x14ac:dyDescent="0.2">
      <c r="A85" s="81"/>
      <c r="B85" s="95"/>
      <c r="C85" s="78"/>
      <c r="D85" s="78"/>
      <c r="E85" s="78"/>
      <c r="F85" s="96"/>
      <c r="G85" s="79"/>
    </row>
    <row r="86" spans="1:8" x14ac:dyDescent="0.2">
      <c r="A86" s="81"/>
      <c r="B86" s="95"/>
      <c r="C86" s="78"/>
      <c r="D86" s="78"/>
      <c r="E86" s="78"/>
      <c r="F86" s="96"/>
      <c r="G86" s="79"/>
    </row>
    <row r="87" spans="1:8" x14ac:dyDescent="0.2">
      <c r="A87" s="81"/>
      <c r="B87" s="95"/>
      <c r="C87" s="78"/>
      <c r="D87" s="78"/>
      <c r="E87" s="78"/>
      <c r="F87" s="96"/>
      <c r="G87" s="79"/>
    </row>
    <row r="88" spans="1:8" x14ac:dyDescent="0.2">
      <c r="A88" s="100"/>
      <c r="B88" s="100"/>
      <c r="C88" s="100"/>
      <c r="D88" s="100"/>
      <c r="E88" s="100"/>
      <c r="F88" s="100"/>
      <c r="G88" s="79"/>
    </row>
    <row r="89" spans="1:8" ht="22.5" x14ac:dyDescent="0.2">
      <c r="A89" s="102" t="str">
        <f>"ENTER:  May/June/July "&amp;RIGHT(Instructions!R2,4)&amp;" Receipts for:"</f>
        <v>ENTER:  May/June/July 2012 Receipts for:</v>
      </c>
      <c r="B89" s="78"/>
      <c r="C89" s="78"/>
      <c r="D89" s="78"/>
      <c r="E89" s="103" t="s">
        <v>426</v>
      </c>
      <c r="F89" s="104" t="s">
        <v>427</v>
      </c>
      <c r="G89" s="79"/>
    </row>
    <row r="90" spans="1:8" x14ac:dyDescent="0.2">
      <c r="A90" s="105"/>
      <c r="B90" s="78"/>
      <c r="C90" s="78"/>
      <c r="D90" s="78"/>
      <c r="E90" s="78"/>
      <c r="F90" s="88"/>
      <c r="G90" s="79"/>
    </row>
    <row r="91" spans="1:8" x14ac:dyDescent="0.2">
      <c r="A91" s="92"/>
      <c r="B91" s="81" t="str">
        <f>Instructions!P1&amp;" Real Estate and Personal Property Taxes"</f>
        <v>Pay 2012 Real Estate and Personal Property Taxes</v>
      </c>
      <c r="C91" s="78"/>
      <c r="D91" s="78"/>
      <c r="E91" s="36">
        <f>VLOOKUP($A3,Receipts!$A$8:$L$344,5,FALSE)</f>
        <v>51621102.07</v>
      </c>
      <c r="F91" s="34">
        <f>VLOOKUP($A3,Receipts!$A$8:$L$344,10,FALSE)</f>
        <v>2449575.5299999998</v>
      </c>
      <c r="G91" s="79"/>
      <c r="H91" s="124" t="s">
        <v>4</v>
      </c>
    </row>
    <row r="92" spans="1:8" x14ac:dyDescent="0.2">
      <c r="A92" s="92"/>
      <c r="B92" s="81" t="str">
        <f>Instructions!P2&amp;" and earlier Real Estate and Personal Property Taxes"</f>
        <v>Pay 2011 and earlier Real Estate and Personal Property Taxes</v>
      </c>
      <c r="C92" s="78"/>
      <c r="D92" s="78"/>
      <c r="E92" s="35">
        <v>0</v>
      </c>
      <c r="F92" s="37">
        <v>0</v>
      </c>
      <c r="G92" s="79"/>
    </row>
    <row r="93" spans="1:8" x14ac:dyDescent="0.2">
      <c r="A93" s="92"/>
      <c r="B93" s="81" t="str">
        <f>Instructions!P1&amp;" Fiscal Disparities"</f>
        <v>Pay 2012 Fiscal Disparities</v>
      </c>
      <c r="C93" s="78"/>
      <c r="D93" s="78"/>
      <c r="E93" s="35">
        <v>0</v>
      </c>
      <c r="F93" s="37">
        <v>0</v>
      </c>
      <c r="G93" s="79"/>
    </row>
    <row r="94" spans="1:8" x14ac:dyDescent="0.2">
      <c r="A94" s="92"/>
      <c r="B94" s="81" t="str">
        <f>Instructions!P1&amp;" Taconite Homestead Credit"</f>
        <v>Pay 2012 Taconite Homestead Credit</v>
      </c>
      <c r="C94" s="78"/>
      <c r="D94" s="78"/>
      <c r="E94" s="35">
        <v>0</v>
      </c>
      <c r="F94" s="37">
        <v>0</v>
      </c>
      <c r="G94" s="79"/>
    </row>
    <row r="95" spans="1:8" x14ac:dyDescent="0.2">
      <c r="A95" s="106"/>
      <c r="B95" s="107" t="s">
        <v>428</v>
      </c>
      <c r="C95" s="100"/>
      <c r="D95" s="100"/>
      <c r="E95" s="38">
        <v>0</v>
      </c>
      <c r="F95" s="39">
        <v>0</v>
      </c>
      <c r="G95" s="79"/>
    </row>
    <row r="96" spans="1:8" x14ac:dyDescent="0.2">
      <c r="A96" s="92"/>
      <c r="B96" s="81"/>
      <c r="C96" s="78"/>
      <c r="D96" s="78"/>
      <c r="E96" s="108"/>
      <c r="F96" s="109"/>
      <c r="G96" s="79"/>
    </row>
    <row r="97" spans="1:9" ht="12" thickBot="1" x14ac:dyDescent="0.25">
      <c r="A97" s="92"/>
      <c r="B97" s="110" t="s">
        <v>429</v>
      </c>
      <c r="C97" s="78"/>
      <c r="D97" s="78"/>
      <c r="E97" s="111">
        <f>SUM(E91:E95)</f>
        <v>51621102.07</v>
      </c>
      <c r="F97" s="112">
        <f>SUM(F91:F95)</f>
        <v>2449575.5299999998</v>
      </c>
      <c r="G97" s="79"/>
    </row>
    <row r="98" spans="1:9" ht="12" thickTop="1" x14ac:dyDescent="0.2">
      <c r="A98" s="106"/>
      <c r="B98" s="107"/>
      <c r="C98" s="100"/>
      <c r="D98" s="100"/>
      <c r="E98" s="100"/>
      <c r="F98" s="113"/>
    </row>
    <row r="99" spans="1:9" x14ac:dyDescent="0.2">
      <c r="A99" s="78"/>
      <c r="B99" s="81"/>
      <c r="C99" s="78"/>
      <c r="D99" s="78"/>
      <c r="E99" s="78"/>
      <c r="F99" s="78"/>
    </row>
    <row r="100" spans="1:9" x14ac:dyDescent="0.2">
      <c r="A100" s="78"/>
      <c r="B100" s="81"/>
      <c r="C100" s="78"/>
      <c r="D100" s="78"/>
      <c r="E100" s="78"/>
      <c r="F100" s="78"/>
    </row>
    <row r="101" spans="1:9" x14ac:dyDescent="0.2">
      <c r="A101" s="78"/>
      <c r="B101" s="81"/>
      <c r="C101" s="78"/>
      <c r="D101" s="78"/>
      <c r="E101" s="78"/>
      <c r="F101" s="78"/>
    </row>
    <row r="102" spans="1:9" x14ac:dyDescent="0.2">
      <c r="A102" s="83">
        <f>$A$3</f>
        <v>1.2</v>
      </c>
      <c r="B102" s="55" t="str">
        <f>VLOOKUP($A$3,ShiftCY,3)</f>
        <v xml:space="preserve">MINNEAPOLIS     </v>
      </c>
      <c r="C102" s="78"/>
      <c r="D102" s="78"/>
      <c r="E102" s="78"/>
      <c r="F102" s="78"/>
      <c r="I102" s="72">
        <f>Instructions!$M$1</f>
        <v>41115</v>
      </c>
    </row>
    <row r="103" spans="1:9" x14ac:dyDescent="0.2">
      <c r="A103" s="78"/>
      <c r="B103" s="81"/>
      <c r="C103" s="78"/>
      <c r="D103" s="78"/>
      <c r="E103" s="78"/>
      <c r="F103" s="78"/>
    </row>
    <row r="104" spans="1:9" ht="22.5" x14ac:dyDescent="0.2">
      <c r="A104" s="55" t="str">
        <f>"Entry to record June "&amp;RIGHT(Instructions!R2,4)&amp;" property tax shift"</f>
        <v>Entry to record June 2012 property tax shift</v>
      </c>
      <c r="B104" s="81"/>
      <c r="C104" s="78"/>
      <c r="D104" s="78"/>
      <c r="E104" s="114" t="s">
        <v>611</v>
      </c>
      <c r="F104" s="114" t="s">
        <v>612</v>
      </c>
      <c r="H104" s="83"/>
    </row>
    <row r="105" spans="1:9" x14ac:dyDescent="0.2">
      <c r="A105" s="55"/>
      <c r="B105" s="81"/>
      <c r="C105" s="78"/>
      <c r="D105" s="78"/>
      <c r="E105" s="78"/>
      <c r="F105" s="78"/>
      <c r="H105" s="83"/>
    </row>
    <row r="106" spans="1:9" x14ac:dyDescent="0.2">
      <c r="B106" s="81"/>
      <c r="C106" s="78"/>
      <c r="D106" s="78"/>
      <c r="E106" s="78"/>
      <c r="F106" s="78"/>
    </row>
    <row r="107" spans="1:9" x14ac:dyDescent="0.2">
      <c r="A107" s="56" t="s">
        <v>415</v>
      </c>
      <c r="B107" s="115" t="s">
        <v>430</v>
      </c>
      <c r="C107" s="56" t="s">
        <v>431</v>
      </c>
      <c r="E107" s="73">
        <f>IF(C18&lt;E97,C18,E97)</f>
        <v>51621102.07</v>
      </c>
      <c r="F107" s="73"/>
      <c r="G107" s="116"/>
      <c r="H107" s="56" t="str">
        <f>"Column "&amp;C6&amp;" - line "&amp;A18</f>
        <v>Column 1 - line J</v>
      </c>
    </row>
    <row r="108" spans="1:9" x14ac:dyDescent="0.2">
      <c r="B108" s="73" t="s">
        <v>416</v>
      </c>
      <c r="C108" s="56" t="s">
        <v>417</v>
      </c>
      <c r="E108" s="56">
        <f>IF(C18-E107&lt;0,0,C18-E107)</f>
        <v>4917529.950000003</v>
      </c>
      <c r="F108" s="73"/>
      <c r="G108" s="117"/>
    </row>
    <row r="109" spans="1:9" x14ac:dyDescent="0.2">
      <c r="A109" s="56" t="s">
        <v>415</v>
      </c>
      <c r="B109" s="115" t="s">
        <v>432</v>
      </c>
      <c r="C109" s="56" t="s">
        <v>431</v>
      </c>
      <c r="E109" s="73">
        <f>IF(C23&lt;F97,C23,F97)</f>
        <v>2395201.98</v>
      </c>
      <c r="F109" s="73"/>
      <c r="G109" s="116"/>
      <c r="H109" s="56" t="str">
        <f>"Column "&amp;C6&amp;" - line "&amp;A23</f>
        <v>Column 1 - line N</v>
      </c>
    </row>
    <row r="110" spans="1:9" x14ac:dyDescent="0.2">
      <c r="B110" s="73" t="s">
        <v>433</v>
      </c>
      <c r="C110" s="56" t="s">
        <v>417</v>
      </c>
      <c r="E110" s="56">
        <f>C23-E109</f>
        <v>0</v>
      </c>
      <c r="F110" s="73"/>
      <c r="G110" s="117"/>
    </row>
    <row r="111" spans="1:9" x14ac:dyDescent="0.2">
      <c r="B111" s="73" t="str">
        <f>"(recognition of gross shift for "&amp;Instructions!R2&amp;")"</f>
        <v>(recognition of gross shift for FY 2012)</v>
      </c>
      <c r="E111" s="73"/>
      <c r="F111" s="73"/>
    </row>
    <row r="112" spans="1:9" x14ac:dyDescent="0.2">
      <c r="B112" s="73"/>
      <c r="E112" s="73"/>
      <c r="F112" s="73"/>
    </row>
    <row r="113" spans="1:8" x14ac:dyDescent="0.2">
      <c r="A113" s="56" t="s">
        <v>412</v>
      </c>
      <c r="B113" s="115" t="s">
        <v>501</v>
      </c>
      <c r="C113" s="56" t="s">
        <v>434</v>
      </c>
      <c r="E113" s="73"/>
      <c r="F113" s="73">
        <f>C15</f>
        <v>0</v>
      </c>
      <c r="G113" s="78"/>
      <c r="H113" s="56" t="str">
        <f>"Column "&amp;C6&amp;" - line "&amp;A15</f>
        <v>Column 1 - line G</v>
      </c>
    </row>
    <row r="114" spans="1:8" x14ac:dyDescent="0.2">
      <c r="A114" s="56" t="s">
        <v>412</v>
      </c>
      <c r="B114" s="56" t="s">
        <v>435</v>
      </c>
      <c r="C114" s="56" t="s">
        <v>436</v>
      </c>
      <c r="E114" s="73"/>
      <c r="F114" s="73">
        <f>C13-F115</f>
        <v>551214.1399999999</v>
      </c>
      <c r="G114" s="116"/>
      <c r="H114" s="56" t="str">
        <f>"Column "&amp;C6&amp;" - line "&amp;A13</f>
        <v>Column 1 - line E</v>
      </c>
    </row>
    <row r="115" spans="1:8" x14ac:dyDescent="0.2">
      <c r="A115" s="56" t="s">
        <v>412</v>
      </c>
      <c r="B115" s="56" t="s">
        <v>437</v>
      </c>
      <c r="C115" s="56" t="s">
        <v>438</v>
      </c>
      <c r="E115" s="73"/>
      <c r="F115" s="73">
        <f>MIN(E108-F117,C13)</f>
        <v>0</v>
      </c>
      <c r="G115" s="117"/>
    </row>
    <row r="116" spans="1:8" x14ac:dyDescent="0.2">
      <c r="A116" s="56" t="s">
        <v>412</v>
      </c>
      <c r="B116" s="115" t="s">
        <v>439</v>
      </c>
      <c r="C116" s="56" t="s">
        <v>440</v>
      </c>
      <c r="E116" s="73"/>
      <c r="F116" s="73">
        <f>C11+C12+C14+C16+C17-F117</f>
        <v>16770191.719999995</v>
      </c>
      <c r="G116" s="116"/>
      <c r="H116" s="56" t="str">
        <f>"Column "&amp;C6&amp;" - line "&amp;A11&amp;"+"&amp;A12&amp;"+"&amp;A14&amp;"+"&amp;A16&amp;"+"&amp;A17</f>
        <v>Column 1 - line C+D+F+H+I</v>
      </c>
    </row>
    <row r="117" spans="1:8" x14ac:dyDescent="0.2">
      <c r="A117" s="56" t="s">
        <v>412</v>
      </c>
      <c r="B117" s="56" t="s">
        <v>441</v>
      </c>
      <c r="C117" s="56" t="s">
        <v>414</v>
      </c>
      <c r="E117" s="73"/>
      <c r="F117" s="73">
        <f>MIN(E108,MAX(0,C11+C12+C14+C16+C17))</f>
        <v>4917529.950000003</v>
      </c>
      <c r="G117" s="117"/>
    </row>
    <row r="118" spans="1:8" x14ac:dyDescent="0.2">
      <c r="A118" s="56" t="s">
        <v>412</v>
      </c>
      <c r="B118" s="115" t="s">
        <v>442</v>
      </c>
      <c r="C118" s="56" t="s">
        <v>440</v>
      </c>
      <c r="E118" s="73"/>
      <c r="F118" s="73">
        <f>C21+C22-F119</f>
        <v>0</v>
      </c>
      <c r="G118" s="116"/>
      <c r="H118" s="56" t="str">
        <f>"Column "&amp;C6&amp;" - line "&amp;A21&amp;"+"&amp;A22</f>
        <v>Column 1 - line L+M</v>
      </c>
    </row>
    <row r="119" spans="1:8" x14ac:dyDescent="0.2">
      <c r="A119" s="56" t="s">
        <v>412</v>
      </c>
      <c r="B119" s="115" t="s">
        <v>443</v>
      </c>
      <c r="C119" s="73" t="s">
        <v>414</v>
      </c>
      <c r="E119" s="73"/>
      <c r="F119" s="73">
        <f>E110</f>
        <v>0</v>
      </c>
      <c r="G119" s="117"/>
    </row>
    <row r="120" spans="1:8" x14ac:dyDescent="0.2">
      <c r="B120" s="56" t="str">
        <f>"(spread of early recognition items for "&amp;Instructions!R2&amp;")"</f>
        <v>(spread of early recognition items for FY 2012)</v>
      </c>
      <c r="E120" s="73"/>
      <c r="F120" s="73"/>
    </row>
    <row r="121" spans="1:8" x14ac:dyDescent="0.2">
      <c r="E121" s="73"/>
      <c r="F121" s="73"/>
    </row>
    <row r="122" spans="1:8" x14ac:dyDescent="0.2">
      <c r="A122" s="56" t="s">
        <v>412</v>
      </c>
      <c r="B122" s="56" t="s">
        <v>413</v>
      </c>
      <c r="C122" s="73" t="s">
        <v>414</v>
      </c>
      <c r="E122" s="73"/>
      <c r="F122" s="73">
        <f>E108-F115-F117</f>
        <v>0</v>
      </c>
      <c r="G122" s="116"/>
      <c r="H122" s="56" t="s">
        <v>625</v>
      </c>
    </row>
    <row r="123" spans="1:8" x14ac:dyDescent="0.2">
      <c r="A123" s="56" t="s">
        <v>412</v>
      </c>
      <c r="B123" s="56" t="s">
        <v>444</v>
      </c>
      <c r="C123" s="73" t="s">
        <v>445</v>
      </c>
      <c r="E123" s="73">
        <f>F122</f>
        <v>0</v>
      </c>
      <c r="F123" s="73"/>
      <c r="G123" s="117"/>
    </row>
    <row r="124" spans="1:8" x14ac:dyDescent="0.2">
      <c r="A124" s="73" t="s">
        <v>412</v>
      </c>
      <c r="B124" s="73" t="s">
        <v>446</v>
      </c>
      <c r="C124" s="73" t="s">
        <v>414</v>
      </c>
      <c r="D124" s="73"/>
      <c r="E124" s="73"/>
      <c r="F124" s="73">
        <f>E110-F119</f>
        <v>0</v>
      </c>
      <c r="G124" s="118"/>
      <c r="H124" s="73" t="s">
        <v>626</v>
      </c>
    </row>
    <row r="125" spans="1:8" x14ac:dyDescent="0.2">
      <c r="A125" s="73" t="s">
        <v>412</v>
      </c>
      <c r="B125" s="73" t="s">
        <v>447</v>
      </c>
      <c r="C125" s="73" t="s">
        <v>445</v>
      </c>
      <c r="D125" s="73"/>
      <c r="E125" s="73">
        <f>F124</f>
        <v>0</v>
      </c>
      <c r="F125" s="73"/>
      <c r="G125" s="119"/>
      <c r="H125" s="73"/>
    </row>
    <row r="126" spans="1:8" x14ac:dyDescent="0.2">
      <c r="A126" s="73"/>
      <c r="B126" s="73" t="s">
        <v>1</v>
      </c>
      <c r="C126" s="73"/>
      <c r="D126" s="73"/>
      <c r="E126" s="73"/>
      <c r="F126" s="73"/>
      <c r="G126" s="81"/>
      <c r="H126" s="73"/>
    </row>
    <row r="127" spans="1:8" x14ac:dyDescent="0.2">
      <c r="E127" s="73"/>
      <c r="F127" s="73"/>
    </row>
    <row r="128" spans="1:8" x14ac:dyDescent="0.2">
      <c r="A128" s="73" t="s">
        <v>412</v>
      </c>
      <c r="B128" s="73" t="s">
        <v>439</v>
      </c>
      <c r="C128" s="73" t="s">
        <v>440</v>
      </c>
      <c r="D128" s="73"/>
      <c r="E128" s="73"/>
      <c r="F128" s="73">
        <f>D9+D10</f>
        <v>36403624.130000003</v>
      </c>
      <c r="G128" s="73"/>
      <c r="H128" s="56" t="str">
        <f>"Column "&amp;D6&amp;" - line "&amp;A9&amp;"+"&amp;A10</f>
        <v>Column 2 - line A+B</v>
      </c>
    </row>
    <row r="129" spans="1:8" x14ac:dyDescent="0.2">
      <c r="A129" s="73" t="s">
        <v>412</v>
      </c>
      <c r="B129" s="73" t="s">
        <v>442</v>
      </c>
      <c r="C129" s="73" t="s">
        <v>440</v>
      </c>
      <c r="D129" s="73"/>
      <c r="E129" s="73"/>
      <c r="F129" s="73">
        <f>D20</f>
        <v>1994567.95</v>
      </c>
      <c r="G129" s="73"/>
      <c r="H129" s="56" t="str">
        <f>"Column "&amp;D6&amp;" - line "&amp;A20</f>
        <v>Column 2 - line K</v>
      </c>
    </row>
    <row r="130" spans="1:8" x14ac:dyDescent="0.2">
      <c r="B130" s="56" t="s">
        <v>448</v>
      </c>
      <c r="E130" s="73"/>
      <c r="F130" s="73"/>
    </row>
    <row r="131" spans="1:8" x14ac:dyDescent="0.2">
      <c r="E131" s="73"/>
      <c r="F131" s="73"/>
    </row>
    <row r="132" spans="1:8" x14ac:dyDescent="0.2">
      <c r="A132" s="56" t="s">
        <v>412</v>
      </c>
      <c r="B132" s="115" t="s">
        <v>449</v>
      </c>
      <c r="C132" s="73" t="s">
        <v>450</v>
      </c>
      <c r="E132" s="56">
        <f>IF($F18&lt;0,-$F18," ")</f>
        <v>2103927.92</v>
      </c>
      <c r="F132" s="56" t="str">
        <f>IF($F18&lt;0," ",$F18)</f>
        <v xml:space="preserve"> </v>
      </c>
      <c r="H132" s="56" t="str">
        <f>"Column "&amp;F6&amp;" - line "&amp;A18</f>
        <v>Column 4 - line J</v>
      </c>
    </row>
    <row r="133" spans="1:8" x14ac:dyDescent="0.2">
      <c r="A133" s="56" t="s">
        <v>412</v>
      </c>
      <c r="B133" s="115" t="s">
        <v>451</v>
      </c>
      <c r="C133" s="73" t="s">
        <v>450</v>
      </c>
      <c r="E133" s="56" t="str">
        <f>IF($F23&lt;0,-$F23," ")</f>
        <v xml:space="preserve"> </v>
      </c>
      <c r="F133" s="56">
        <f>IF($F23&lt;0," ",$F23)</f>
        <v>400634.03</v>
      </c>
      <c r="H133" s="56" t="str">
        <f>"Column "&amp;F6&amp;" - line "&amp;A23</f>
        <v>Column 4 - line N</v>
      </c>
    </row>
    <row r="134" spans="1:8" x14ac:dyDescent="0.2">
      <c r="B134" s="56" t="str">
        <f>"(spread of tax shift amount for "&amp;Instructions!R2&amp;")"</f>
        <v>(spread of tax shift amount for FY 2012)</v>
      </c>
      <c r="C134" s="73"/>
    </row>
    <row r="135" spans="1:8" x14ac:dyDescent="0.2">
      <c r="C135" s="73"/>
    </row>
    <row r="136" spans="1:8" ht="12" thickBot="1" x14ac:dyDescent="0.25">
      <c r="A136" s="120"/>
      <c r="B136" s="120" t="s">
        <v>394</v>
      </c>
      <c r="C136" s="120"/>
      <c r="D136" s="120"/>
      <c r="E136" s="120">
        <f>SUM(E107:E135)</f>
        <v>61037761.920000002</v>
      </c>
      <c r="F136" s="120">
        <f>SUM(F107:F135)</f>
        <v>61037761.920000002</v>
      </c>
    </row>
    <row r="137" spans="1:8" ht="12" thickTop="1" x14ac:dyDescent="0.2"/>
    <row r="141" spans="1:8" x14ac:dyDescent="0.2">
      <c r="A141" s="73" t="s">
        <v>412</v>
      </c>
      <c r="B141" s="121" t="s">
        <v>420</v>
      </c>
      <c r="C141" s="73" t="s">
        <v>452</v>
      </c>
      <c r="D141" s="73"/>
      <c r="E141" s="73" t="str">
        <f>IF(I18&lt;0,-I18," ")</f>
        <v xml:space="preserve"> </v>
      </c>
      <c r="F141" s="73">
        <f>IF(I18&lt;0," ",I18)</f>
        <v>400016.65999999992</v>
      </c>
      <c r="G141" s="116"/>
      <c r="H141" s="56" t="str">
        <f>"Column "&amp;I6&amp;" - line "&amp;A18</f>
        <v>Column 6 - line J</v>
      </c>
    </row>
    <row r="142" spans="1:8" x14ac:dyDescent="0.2">
      <c r="A142" s="73" t="s">
        <v>415</v>
      </c>
      <c r="B142" s="121" t="s">
        <v>453</v>
      </c>
      <c r="C142" s="73" t="s">
        <v>454</v>
      </c>
      <c r="D142" s="73"/>
      <c r="E142" s="73">
        <f>F141</f>
        <v>400016.65999999992</v>
      </c>
      <c r="F142" s="73" t="str">
        <f>E141</f>
        <v xml:space="preserve"> </v>
      </c>
      <c r="G142" s="117"/>
      <c r="H142" s="73"/>
    </row>
    <row r="143" spans="1:8" x14ac:dyDescent="0.2">
      <c r="A143" s="73" t="s">
        <v>412</v>
      </c>
      <c r="B143" s="121" t="s">
        <v>422</v>
      </c>
      <c r="C143" s="73" t="s">
        <v>452</v>
      </c>
      <c r="D143" s="73"/>
      <c r="E143" s="73">
        <f>IF(I23&lt;0,-I23," ")</f>
        <v>400634.03</v>
      </c>
      <c r="F143" s="73" t="str">
        <f>IF(I23&lt;0," ",I23)</f>
        <v xml:space="preserve"> </v>
      </c>
      <c r="G143" s="116"/>
      <c r="H143" s="56" t="str">
        <f>"Column "&amp;I6&amp;" - line "&amp;A23</f>
        <v>Column 6 - line N</v>
      </c>
    </row>
    <row r="144" spans="1:8" x14ac:dyDescent="0.2">
      <c r="A144" s="73" t="s">
        <v>415</v>
      </c>
      <c r="B144" s="73" t="s">
        <v>455</v>
      </c>
      <c r="C144" s="73" t="s">
        <v>454</v>
      </c>
      <c r="D144" s="73"/>
      <c r="E144" s="73" t="str">
        <f>F143</f>
        <v xml:space="preserve"> </v>
      </c>
      <c r="F144" s="56">
        <f>E143</f>
        <v>400634.03</v>
      </c>
      <c r="G144" s="117"/>
      <c r="H144" s="73"/>
    </row>
    <row r="145" spans="1:8" x14ac:dyDescent="0.2">
      <c r="A145" s="73" t="s">
        <v>415</v>
      </c>
      <c r="B145" s="73" t="s">
        <v>456</v>
      </c>
      <c r="C145" s="73" t="s">
        <v>457</v>
      </c>
      <c r="D145" s="73"/>
      <c r="E145" s="73" t="str">
        <f>F146</f>
        <v xml:space="preserve"> </v>
      </c>
      <c r="F145" s="73">
        <f>E146</f>
        <v>617.37000000011176</v>
      </c>
      <c r="G145" s="116"/>
      <c r="H145" s="56" t="str">
        <f>"Column "&amp;I6&amp;" - line "&amp;A26</f>
        <v>Column 6 - line O</v>
      </c>
    </row>
    <row r="146" spans="1:8" x14ac:dyDescent="0.2">
      <c r="A146" s="73" t="s">
        <v>415</v>
      </c>
      <c r="B146" s="121" t="s">
        <v>453</v>
      </c>
      <c r="C146" s="73" t="s">
        <v>454</v>
      </c>
      <c r="D146" s="73"/>
      <c r="E146" s="73">
        <f>IF(I26&lt;0,-I26," ")</f>
        <v>617.37000000011176</v>
      </c>
      <c r="F146" s="73" t="str">
        <f>IF(I26&lt;0," ",I26)</f>
        <v xml:space="preserve"> </v>
      </c>
      <c r="G146" s="117"/>
    </row>
    <row r="147" spans="1:8" x14ac:dyDescent="0.2">
      <c r="A147" s="73"/>
      <c r="B147" s="73" t="s">
        <v>458</v>
      </c>
      <c r="C147" s="73"/>
      <c r="D147" s="73"/>
      <c r="E147" s="73"/>
      <c r="G147" s="73"/>
      <c r="H147" s="73"/>
    </row>
    <row r="148" spans="1:8" x14ac:dyDescent="0.2">
      <c r="A148" s="73"/>
      <c r="B148" s="73"/>
      <c r="C148" s="73"/>
      <c r="D148" s="73"/>
      <c r="E148" s="73"/>
      <c r="G148" s="73"/>
      <c r="H148" s="73"/>
    </row>
    <row r="149" spans="1:8" ht="12" thickBot="1" x14ac:dyDescent="0.25">
      <c r="A149" s="122"/>
      <c r="B149" s="122" t="s">
        <v>394</v>
      </c>
      <c r="C149" s="122"/>
      <c r="D149" s="122"/>
      <c r="E149" s="122">
        <f>SUM(E141:E148)</f>
        <v>801268.06</v>
      </c>
      <c r="F149" s="122">
        <f>SUM(F141:F148)</f>
        <v>801268.06</v>
      </c>
      <c r="G149" s="73"/>
      <c r="H149" s="73"/>
    </row>
    <row r="150" spans="1:8" ht="12" thickTop="1" x14ac:dyDescent="0.2">
      <c r="A150" s="73"/>
      <c r="B150" s="73"/>
      <c r="C150" s="73"/>
      <c r="D150" s="73"/>
      <c r="E150" s="73"/>
      <c r="G150" s="73"/>
      <c r="H150" s="73"/>
    </row>
    <row r="151" spans="1:8" x14ac:dyDescent="0.2">
      <c r="A151" s="73"/>
      <c r="B151" s="73"/>
      <c r="C151" s="73"/>
      <c r="D151" s="73"/>
      <c r="E151" s="73"/>
      <c r="F151" s="73"/>
      <c r="G151" s="73"/>
      <c r="H151" s="73"/>
    </row>
    <row r="152" spans="1:8" x14ac:dyDescent="0.2">
      <c r="A152" s="73"/>
      <c r="C152" s="73"/>
      <c r="D152" s="73"/>
      <c r="E152" s="73"/>
      <c r="F152" s="73"/>
      <c r="G152" s="73"/>
      <c r="H152" s="73"/>
    </row>
    <row r="153" spans="1:8" x14ac:dyDescent="0.2">
      <c r="A153" s="123"/>
      <c r="B153" s="123"/>
      <c r="C153" s="123"/>
      <c r="D153" s="123"/>
    </row>
    <row r="154" spans="1:8" x14ac:dyDescent="0.2">
      <c r="A154" s="123"/>
      <c r="B154" s="123"/>
      <c r="C154" s="123"/>
      <c r="D154" s="123"/>
    </row>
    <row r="155" spans="1:8" x14ac:dyDescent="0.2">
      <c r="A155" s="123"/>
      <c r="B155" s="123"/>
      <c r="C155" s="123"/>
      <c r="D155" s="123"/>
    </row>
    <row r="156" spans="1:8" x14ac:dyDescent="0.2">
      <c r="A156" s="123"/>
      <c r="B156" s="123"/>
      <c r="C156" s="123"/>
      <c r="D156" s="123"/>
    </row>
    <row r="157" spans="1:8" x14ac:dyDescent="0.2">
      <c r="A157" s="123"/>
      <c r="B157" s="123"/>
      <c r="C157" s="123"/>
      <c r="D157" s="123"/>
    </row>
    <row r="158" spans="1:8" x14ac:dyDescent="0.2">
      <c r="A158" s="123"/>
      <c r="B158" s="123"/>
      <c r="C158" s="123"/>
      <c r="D158" s="123"/>
    </row>
    <row r="159" spans="1:8" x14ac:dyDescent="0.2">
      <c r="A159" s="123"/>
      <c r="B159" s="123"/>
      <c r="C159" s="123"/>
      <c r="D159" s="123"/>
    </row>
    <row r="160" spans="1:8" x14ac:dyDescent="0.2">
      <c r="A160" s="123"/>
      <c r="B160" s="123"/>
      <c r="C160" s="123"/>
      <c r="D160" s="123"/>
    </row>
    <row r="161" spans="1:4" x14ac:dyDescent="0.2">
      <c r="A161" s="123"/>
      <c r="B161" s="123"/>
      <c r="C161" s="123"/>
      <c r="D161" s="123"/>
    </row>
    <row r="162" spans="1:4" x14ac:dyDescent="0.2">
      <c r="A162" s="123"/>
      <c r="B162" s="123"/>
      <c r="C162" s="123"/>
      <c r="D162" s="123"/>
    </row>
    <row r="163" spans="1:4" x14ac:dyDescent="0.2">
      <c r="A163" s="123"/>
      <c r="B163" s="123"/>
      <c r="C163" s="123"/>
      <c r="D163" s="123"/>
    </row>
    <row r="164" spans="1:4" x14ac:dyDescent="0.2">
      <c r="A164" s="123"/>
      <c r="B164" s="123"/>
      <c r="C164" s="123"/>
      <c r="D164" s="123"/>
    </row>
    <row r="165" spans="1:4" x14ac:dyDescent="0.2">
      <c r="A165" s="123"/>
      <c r="B165" s="123"/>
      <c r="C165" s="123"/>
      <c r="D165" s="123"/>
    </row>
    <row r="166" spans="1:4" x14ac:dyDescent="0.2">
      <c r="A166" s="123"/>
      <c r="B166" s="123"/>
      <c r="C166" s="123"/>
      <c r="D166" s="123"/>
    </row>
    <row r="167" spans="1:4" x14ac:dyDescent="0.2">
      <c r="A167" s="123"/>
      <c r="B167" s="123"/>
      <c r="C167" s="123"/>
      <c r="D167" s="123"/>
    </row>
    <row r="168" spans="1:4" x14ac:dyDescent="0.2">
      <c r="A168" s="123"/>
      <c r="B168" s="123"/>
      <c r="C168" s="123"/>
      <c r="D168" s="123"/>
    </row>
    <row r="169" spans="1:4" x14ac:dyDescent="0.2">
      <c r="A169" s="123"/>
      <c r="B169" s="123"/>
      <c r="C169" s="123"/>
      <c r="D169" s="123"/>
    </row>
    <row r="170" spans="1:4" x14ac:dyDescent="0.2">
      <c r="A170" s="123"/>
      <c r="B170" s="123"/>
      <c r="C170" s="123"/>
      <c r="D170" s="123"/>
    </row>
    <row r="171" spans="1:4" x14ac:dyDescent="0.2">
      <c r="A171" s="123"/>
      <c r="B171" s="123"/>
      <c r="C171" s="123"/>
      <c r="D171" s="123"/>
    </row>
    <row r="172" spans="1:4" x14ac:dyDescent="0.2">
      <c r="A172" s="123"/>
      <c r="B172" s="123"/>
      <c r="C172" s="123"/>
      <c r="D172" s="123"/>
    </row>
    <row r="173" spans="1:4" x14ac:dyDescent="0.2">
      <c r="A173" s="123"/>
      <c r="B173" s="123"/>
      <c r="C173" s="123"/>
      <c r="D173" s="123"/>
    </row>
    <row r="174" spans="1:4" x14ac:dyDescent="0.2">
      <c r="A174" s="123"/>
      <c r="B174" s="123"/>
      <c r="C174" s="123"/>
      <c r="D174" s="123"/>
    </row>
    <row r="175" spans="1:4" x14ac:dyDescent="0.2">
      <c r="A175" s="123"/>
      <c r="B175" s="123"/>
      <c r="C175" s="123"/>
      <c r="D175" s="123"/>
    </row>
    <row r="176" spans="1:4" x14ac:dyDescent="0.2">
      <c r="A176" s="123"/>
      <c r="B176" s="123"/>
      <c r="C176" s="123"/>
      <c r="D176" s="123"/>
    </row>
    <row r="177" spans="1:4" x14ac:dyDescent="0.2">
      <c r="A177" s="123"/>
      <c r="B177" s="123"/>
      <c r="C177" s="123"/>
      <c r="D177" s="123"/>
    </row>
    <row r="178" spans="1:4" x14ac:dyDescent="0.2">
      <c r="A178" s="123"/>
      <c r="B178" s="123"/>
      <c r="C178" s="123"/>
      <c r="D178" s="123"/>
    </row>
    <row r="179" spans="1:4" x14ac:dyDescent="0.2">
      <c r="A179" s="123"/>
      <c r="B179" s="123"/>
      <c r="C179" s="123"/>
      <c r="D179" s="123"/>
    </row>
    <row r="180" spans="1:4" x14ac:dyDescent="0.2">
      <c r="A180" s="123"/>
      <c r="B180" s="123"/>
      <c r="C180" s="123"/>
      <c r="D180" s="123"/>
    </row>
    <row r="181" spans="1:4" x14ac:dyDescent="0.2">
      <c r="A181" s="123"/>
      <c r="B181" s="123"/>
      <c r="C181" s="123"/>
      <c r="D181" s="123"/>
    </row>
    <row r="182" spans="1:4" x14ac:dyDescent="0.2">
      <c r="A182" s="123"/>
      <c r="B182" s="123"/>
      <c r="C182" s="123"/>
      <c r="D182" s="123"/>
    </row>
    <row r="183" spans="1:4" x14ac:dyDescent="0.2">
      <c r="A183" s="123"/>
      <c r="B183" s="123"/>
      <c r="C183" s="123"/>
      <c r="D183" s="123"/>
    </row>
    <row r="184" spans="1:4" x14ac:dyDescent="0.2">
      <c r="A184" s="123"/>
      <c r="B184" s="123"/>
      <c r="C184" s="123"/>
      <c r="D184" s="123"/>
    </row>
    <row r="185" spans="1:4" x14ac:dyDescent="0.2">
      <c r="A185" s="123"/>
      <c r="B185" s="123"/>
      <c r="C185" s="123"/>
      <c r="D185" s="123"/>
    </row>
    <row r="186" spans="1:4" x14ac:dyDescent="0.2">
      <c r="A186" s="123"/>
      <c r="B186" s="123"/>
      <c r="C186" s="123"/>
      <c r="D186" s="123"/>
    </row>
    <row r="187" spans="1:4" x14ac:dyDescent="0.2">
      <c r="A187" s="123"/>
      <c r="B187" s="123"/>
      <c r="C187" s="123"/>
      <c r="D187" s="123"/>
    </row>
    <row r="188" spans="1:4" x14ac:dyDescent="0.2">
      <c r="A188" s="123"/>
      <c r="B188" s="123"/>
      <c r="C188" s="123"/>
      <c r="D188" s="123"/>
    </row>
    <row r="189" spans="1:4" x14ac:dyDescent="0.2">
      <c r="A189" s="123"/>
      <c r="B189" s="123"/>
      <c r="C189" s="123"/>
      <c r="D189" s="123"/>
    </row>
    <row r="190" spans="1:4" x14ac:dyDescent="0.2">
      <c r="A190" s="123"/>
      <c r="B190" s="123"/>
      <c r="C190" s="123"/>
      <c r="D190" s="123"/>
    </row>
    <row r="191" spans="1:4" x14ac:dyDescent="0.2">
      <c r="A191" s="123"/>
      <c r="B191" s="123"/>
      <c r="C191" s="123"/>
      <c r="D191" s="123"/>
    </row>
    <row r="192" spans="1:4" x14ac:dyDescent="0.2">
      <c r="A192" s="123"/>
      <c r="B192" s="123"/>
      <c r="C192" s="123"/>
      <c r="D192" s="123"/>
    </row>
    <row r="193" spans="1:4" x14ac:dyDescent="0.2">
      <c r="A193" s="123"/>
      <c r="B193" s="123"/>
      <c r="C193" s="123"/>
      <c r="D193" s="123"/>
    </row>
    <row r="194" spans="1:4" x14ac:dyDescent="0.2">
      <c r="A194" s="123"/>
      <c r="B194" s="123"/>
      <c r="C194" s="123"/>
      <c r="D194" s="123"/>
    </row>
    <row r="195" spans="1:4" x14ac:dyDescent="0.2">
      <c r="A195" s="123"/>
      <c r="B195" s="123"/>
      <c r="C195" s="123"/>
      <c r="D195" s="123"/>
    </row>
    <row r="196" spans="1:4" x14ac:dyDescent="0.2">
      <c r="A196" s="123"/>
      <c r="B196" s="123"/>
      <c r="C196" s="123"/>
      <c r="D196" s="123"/>
    </row>
    <row r="197" spans="1:4" x14ac:dyDescent="0.2">
      <c r="A197" s="123"/>
      <c r="B197" s="123"/>
      <c r="C197" s="123"/>
      <c r="D197" s="123"/>
    </row>
    <row r="198" spans="1:4" x14ac:dyDescent="0.2">
      <c r="A198" s="123"/>
      <c r="B198" s="123"/>
      <c r="C198" s="123"/>
      <c r="D198" s="123"/>
    </row>
    <row r="199" spans="1:4" x14ac:dyDescent="0.2">
      <c r="A199" s="123"/>
      <c r="B199" s="123"/>
      <c r="C199" s="123"/>
      <c r="D199" s="123"/>
    </row>
    <row r="200" spans="1:4" x14ac:dyDescent="0.2">
      <c r="A200" s="123"/>
      <c r="B200" s="123"/>
      <c r="C200" s="123"/>
      <c r="D200" s="123"/>
    </row>
    <row r="201" spans="1:4" x14ac:dyDescent="0.2">
      <c r="A201" s="123"/>
      <c r="B201" s="123"/>
      <c r="C201" s="123"/>
      <c r="D201" s="123"/>
    </row>
    <row r="202" spans="1:4" x14ac:dyDescent="0.2">
      <c r="A202" s="123"/>
      <c r="B202" s="123"/>
      <c r="C202" s="123"/>
      <c r="D202" s="123"/>
    </row>
    <row r="203" spans="1:4" x14ac:dyDescent="0.2">
      <c r="A203" s="123"/>
      <c r="B203" s="123"/>
      <c r="C203" s="123"/>
      <c r="D203" s="123"/>
    </row>
    <row r="204" spans="1:4" x14ac:dyDescent="0.2">
      <c r="A204" s="123"/>
      <c r="B204" s="123"/>
      <c r="C204" s="123"/>
      <c r="D204" s="123"/>
    </row>
    <row r="205" spans="1:4" x14ac:dyDescent="0.2">
      <c r="A205" s="123"/>
      <c r="B205" s="123"/>
      <c r="C205" s="123"/>
      <c r="D205" s="123"/>
    </row>
    <row r="206" spans="1:4" x14ac:dyDescent="0.2">
      <c r="A206" s="123"/>
      <c r="B206" s="123"/>
      <c r="C206" s="123"/>
      <c r="D206" s="123"/>
    </row>
    <row r="207" spans="1:4" x14ac:dyDescent="0.2">
      <c r="A207" s="123"/>
      <c r="B207" s="123"/>
      <c r="C207" s="123"/>
      <c r="D207" s="123"/>
    </row>
    <row r="208" spans="1:4" x14ac:dyDescent="0.2">
      <c r="A208" s="123"/>
      <c r="B208" s="123"/>
      <c r="C208" s="123"/>
      <c r="D208" s="123"/>
    </row>
    <row r="209" spans="1:4" x14ac:dyDescent="0.2">
      <c r="A209" s="123"/>
      <c r="B209" s="123"/>
      <c r="C209" s="123"/>
      <c r="D209" s="123"/>
    </row>
    <row r="210" spans="1:4" x14ac:dyDescent="0.2">
      <c r="A210" s="123"/>
      <c r="B210" s="123"/>
      <c r="C210" s="123"/>
      <c r="D210" s="123"/>
    </row>
    <row r="211" spans="1:4" x14ac:dyDescent="0.2">
      <c r="A211" s="123"/>
      <c r="B211" s="123"/>
      <c r="C211" s="123"/>
      <c r="D211" s="123"/>
    </row>
    <row r="212" spans="1:4" x14ac:dyDescent="0.2">
      <c r="A212" s="123"/>
      <c r="B212" s="123"/>
      <c r="C212" s="123"/>
      <c r="D212" s="123"/>
    </row>
    <row r="213" spans="1:4" x14ac:dyDescent="0.2">
      <c r="A213" s="123"/>
      <c r="B213" s="123"/>
      <c r="C213" s="123"/>
      <c r="D213" s="123"/>
    </row>
    <row r="214" spans="1:4" x14ac:dyDescent="0.2">
      <c r="A214" s="123"/>
      <c r="B214" s="123"/>
      <c r="C214" s="123"/>
      <c r="D214" s="123"/>
    </row>
    <row r="215" spans="1:4" x14ac:dyDescent="0.2">
      <c r="A215" s="123"/>
      <c r="B215" s="123"/>
      <c r="C215" s="123"/>
      <c r="D215" s="123"/>
    </row>
    <row r="216" spans="1:4" x14ac:dyDescent="0.2">
      <c r="A216" s="123"/>
      <c r="B216" s="123"/>
      <c r="C216" s="123"/>
      <c r="D216" s="123"/>
    </row>
    <row r="217" spans="1:4" x14ac:dyDescent="0.2">
      <c r="A217" s="123"/>
      <c r="B217" s="123"/>
      <c r="C217" s="123"/>
      <c r="D217" s="123"/>
    </row>
    <row r="218" spans="1:4" x14ac:dyDescent="0.2">
      <c r="A218" s="123"/>
      <c r="B218" s="123"/>
      <c r="C218" s="123"/>
      <c r="D218" s="123"/>
    </row>
    <row r="219" spans="1:4" x14ac:dyDescent="0.2">
      <c r="A219" s="123"/>
      <c r="B219" s="123"/>
      <c r="C219" s="123"/>
      <c r="D219" s="123"/>
    </row>
    <row r="220" spans="1:4" x14ac:dyDescent="0.2">
      <c r="A220" s="123"/>
      <c r="B220" s="123"/>
      <c r="C220" s="123"/>
      <c r="D220" s="123"/>
    </row>
    <row r="221" spans="1:4" x14ac:dyDescent="0.2">
      <c r="A221" s="123"/>
      <c r="B221" s="123"/>
      <c r="C221" s="123"/>
      <c r="D221" s="123"/>
    </row>
    <row r="222" spans="1:4" x14ac:dyDescent="0.2">
      <c r="A222" s="123"/>
      <c r="B222" s="123"/>
      <c r="C222" s="123"/>
      <c r="D222" s="123"/>
    </row>
    <row r="223" spans="1:4" x14ac:dyDescent="0.2">
      <c r="A223" s="123"/>
      <c r="B223" s="123"/>
      <c r="C223" s="123"/>
      <c r="D223" s="123"/>
    </row>
    <row r="224" spans="1:4" x14ac:dyDescent="0.2">
      <c r="A224" s="123"/>
      <c r="B224" s="123"/>
      <c r="C224" s="123"/>
      <c r="D224" s="123"/>
    </row>
    <row r="225" spans="1:4" x14ac:dyDescent="0.2">
      <c r="A225" s="123"/>
      <c r="B225" s="123"/>
      <c r="C225" s="123"/>
      <c r="D225" s="123"/>
    </row>
    <row r="226" spans="1:4" x14ac:dyDescent="0.2">
      <c r="A226" s="123"/>
      <c r="B226" s="123"/>
      <c r="C226" s="123"/>
      <c r="D226" s="123"/>
    </row>
    <row r="227" spans="1:4" x14ac:dyDescent="0.2">
      <c r="A227" s="123"/>
      <c r="B227" s="123"/>
      <c r="C227" s="123"/>
      <c r="D227" s="123"/>
    </row>
    <row r="228" spans="1:4" x14ac:dyDescent="0.2">
      <c r="A228" s="123"/>
      <c r="B228" s="123"/>
      <c r="C228" s="123"/>
      <c r="D228" s="123"/>
    </row>
    <row r="229" spans="1:4" x14ac:dyDescent="0.2">
      <c r="A229" s="123"/>
      <c r="B229" s="123"/>
      <c r="C229" s="123"/>
      <c r="D229" s="123"/>
    </row>
    <row r="230" spans="1:4" x14ac:dyDescent="0.2">
      <c r="A230" s="123"/>
      <c r="B230" s="123"/>
      <c r="C230" s="123"/>
      <c r="D230" s="123"/>
    </row>
    <row r="231" spans="1:4" x14ac:dyDescent="0.2">
      <c r="A231" s="123"/>
      <c r="B231" s="123"/>
      <c r="C231" s="123"/>
      <c r="D231" s="123"/>
    </row>
    <row r="232" spans="1:4" x14ac:dyDescent="0.2">
      <c r="A232" s="123"/>
      <c r="B232" s="123"/>
      <c r="C232" s="123"/>
      <c r="D232" s="123"/>
    </row>
    <row r="233" spans="1:4" x14ac:dyDescent="0.2">
      <c r="A233" s="123"/>
      <c r="B233" s="123"/>
      <c r="C233" s="123"/>
      <c r="D233" s="123"/>
    </row>
    <row r="234" spans="1:4" x14ac:dyDescent="0.2">
      <c r="A234" s="123"/>
      <c r="B234" s="123"/>
      <c r="C234" s="123"/>
      <c r="D234" s="123"/>
    </row>
    <row r="235" spans="1:4" x14ac:dyDescent="0.2">
      <c r="A235" s="123"/>
      <c r="B235" s="123"/>
      <c r="C235" s="123"/>
      <c r="D235" s="123"/>
    </row>
    <row r="236" spans="1:4" x14ac:dyDescent="0.2">
      <c r="A236" s="123"/>
      <c r="B236" s="123"/>
      <c r="C236" s="123"/>
      <c r="D236" s="123"/>
    </row>
    <row r="237" spans="1:4" x14ac:dyDescent="0.2">
      <c r="A237" s="123"/>
      <c r="B237" s="123"/>
      <c r="C237" s="123"/>
      <c r="D237" s="123"/>
    </row>
    <row r="238" spans="1:4" x14ac:dyDescent="0.2">
      <c r="A238" s="123"/>
      <c r="B238" s="123"/>
      <c r="C238" s="123"/>
      <c r="D238" s="123"/>
    </row>
    <row r="239" spans="1:4" x14ac:dyDescent="0.2">
      <c r="A239" s="123"/>
      <c r="B239" s="123"/>
      <c r="C239" s="123"/>
      <c r="D239" s="123"/>
    </row>
    <row r="240" spans="1:4" x14ac:dyDescent="0.2">
      <c r="A240" s="123"/>
      <c r="B240" s="123"/>
      <c r="C240" s="123"/>
      <c r="D240" s="123"/>
    </row>
    <row r="241" spans="1:4" x14ac:dyDescent="0.2">
      <c r="A241" s="123"/>
      <c r="B241" s="123"/>
      <c r="C241" s="123"/>
      <c r="D241" s="123"/>
    </row>
    <row r="242" spans="1:4" x14ac:dyDescent="0.2">
      <c r="A242" s="123"/>
      <c r="B242" s="123"/>
      <c r="C242" s="123"/>
      <c r="D242" s="123"/>
    </row>
    <row r="243" spans="1:4" x14ac:dyDescent="0.2">
      <c r="A243" s="123"/>
      <c r="B243" s="123"/>
      <c r="C243" s="123"/>
      <c r="D243" s="123"/>
    </row>
    <row r="244" spans="1:4" x14ac:dyDescent="0.2">
      <c r="A244" s="123"/>
      <c r="B244" s="123"/>
      <c r="C244" s="123"/>
      <c r="D244" s="123"/>
    </row>
    <row r="245" spans="1:4" x14ac:dyDescent="0.2">
      <c r="A245" s="123"/>
      <c r="B245" s="123"/>
      <c r="C245" s="123"/>
      <c r="D245" s="123"/>
    </row>
    <row r="246" spans="1:4" x14ac:dyDescent="0.2">
      <c r="A246" s="123"/>
      <c r="B246" s="123"/>
      <c r="C246" s="123"/>
      <c r="D246" s="123"/>
    </row>
    <row r="247" spans="1:4" x14ac:dyDescent="0.2">
      <c r="A247" s="123"/>
      <c r="B247" s="123"/>
      <c r="C247" s="123"/>
      <c r="D247" s="123"/>
    </row>
    <row r="248" spans="1:4" x14ac:dyDescent="0.2">
      <c r="A248" s="123"/>
      <c r="B248" s="123"/>
      <c r="C248" s="123"/>
      <c r="D248" s="123"/>
    </row>
    <row r="249" spans="1:4" x14ac:dyDescent="0.2">
      <c r="A249" s="123"/>
      <c r="B249" s="123"/>
      <c r="C249" s="123"/>
      <c r="D249" s="123"/>
    </row>
    <row r="250" spans="1:4" x14ac:dyDescent="0.2">
      <c r="A250" s="123"/>
      <c r="B250" s="123"/>
      <c r="C250" s="123"/>
      <c r="D250" s="123"/>
    </row>
    <row r="251" spans="1:4" x14ac:dyDescent="0.2">
      <c r="A251" s="123"/>
      <c r="B251" s="123"/>
      <c r="C251" s="123"/>
      <c r="D251" s="123"/>
    </row>
    <row r="252" spans="1:4" x14ac:dyDescent="0.2">
      <c r="A252" s="123"/>
      <c r="B252" s="123"/>
      <c r="C252" s="123"/>
      <c r="D252" s="123"/>
    </row>
    <row r="253" spans="1:4" x14ac:dyDescent="0.2">
      <c r="A253" s="123"/>
      <c r="B253" s="123"/>
      <c r="C253" s="123"/>
      <c r="D253" s="123"/>
    </row>
    <row r="254" spans="1:4" x14ac:dyDescent="0.2">
      <c r="A254" s="123"/>
      <c r="B254" s="123"/>
      <c r="C254" s="123"/>
      <c r="D254" s="123"/>
    </row>
    <row r="255" spans="1:4" x14ac:dyDescent="0.2">
      <c r="A255" s="123"/>
      <c r="B255" s="123"/>
      <c r="C255" s="123"/>
      <c r="D255" s="123"/>
    </row>
    <row r="256" spans="1:4" x14ac:dyDescent="0.2">
      <c r="A256" s="123"/>
      <c r="B256" s="123"/>
      <c r="C256" s="123"/>
      <c r="D256" s="123"/>
    </row>
    <row r="257" spans="1:4" x14ac:dyDescent="0.2">
      <c r="A257" s="123"/>
      <c r="B257" s="123"/>
      <c r="C257" s="123"/>
      <c r="D257" s="123"/>
    </row>
    <row r="258" spans="1:4" x14ac:dyDescent="0.2">
      <c r="A258" s="123"/>
      <c r="B258" s="123"/>
      <c r="C258" s="123"/>
      <c r="D258" s="123"/>
    </row>
    <row r="259" spans="1:4" x14ac:dyDescent="0.2">
      <c r="A259" s="123"/>
      <c r="B259" s="123"/>
      <c r="C259" s="123"/>
      <c r="D259" s="123"/>
    </row>
    <row r="260" spans="1:4" x14ac:dyDescent="0.2">
      <c r="A260" s="123"/>
      <c r="B260" s="123"/>
      <c r="C260" s="123"/>
      <c r="D260" s="123"/>
    </row>
    <row r="261" spans="1:4" x14ac:dyDescent="0.2">
      <c r="A261" s="123"/>
      <c r="B261" s="123"/>
      <c r="C261" s="123"/>
      <c r="D261" s="123"/>
    </row>
    <row r="262" spans="1:4" x14ac:dyDescent="0.2">
      <c r="A262" s="123"/>
      <c r="B262" s="123"/>
      <c r="C262" s="123"/>
      <c r="D262" s="123"/>
    </row>
    <row r="263" spans="1:4" x14ac:dyDescent="0.2">
      <c r="A263" s="123"/>
      <c r="B263" s="123"/>
      <c r="C263" s="123"/>
      <c r="D263" s="123"/>
    </row>
    <row r="264" spans="1:4" x14ac:dyDescent="0.2">
      <c r="A264" s="123"/>
      <c r="B264" s="123"/>
      <c r="C264" s="123"/>
      <c r="D264" s="123"/>
    </row>
    <row r="265" spans="1:4" x14ac:dyDescent="0.2">
      <c r="A265" s="123"/>
      <c r="B265" s="123"/>
      <c r="C265" s="123"/>
      <c r="D265" s="123"/>
    </row>
    <row r="266" spans="1:4" x14ac:dyDescent="0.2">
      <c r="A266" s="123"/>
      <c r="B266" s="123"/>
      <c r="C266" s="123"/>
      <c r="D266" s="123"/>
    </row>
    <row r="267" spans="1:4" x14ac:dyDescent="0.2">
      <c r="A267" s="123"/>
      <c r="B267" s="123"/>
      <c r="C267" s="123"/>
      <c r="D267" s="123"/>
    </row>
    <row r="268" spans="1:4" x14ac:dyDescent="0.2">
      <c r="A268" s="123"/>
      <c r="B268" s="123"/>
      <c r="C268" s="123"/>
      <c r="D268" s="123"/>
    </row>
    <row r="269" spans="1:4" x14ac:dyDescent="0.2">
      <c r="A269" s="123"/>
      <c r="B269" s="123"/>
      <c r="C269" s="123"/>
      <c r="D269" s="123"/>
    </row>
    <row r="270" spans="1:4" x14ac:dyDescent="0.2">
      <c r="A270" s="123"/>
      <c r="B270" s="123"/>
      <c r="C270" s="123"/>
      <c r="D270" s="123"/>
    </row>
    <row r="271" spans="1:4" x14ac:dyDescent="0.2">
      <c r="A271" s="123"/>
      <c r="B271" s="123"/>
      <c r="C271" s="123"/>
      <c r="D271" s="123"/>
    </row>
    <row r="272" spans="1:4" x14ac:dyDescent="0.2">
      <c r="A272" s="123"/>
      <c r="B272" s="123"/>
      <c r="C272" s="123"/>
      <c r="D272" s="123"/>
    </row>
    <row r="273" spans="1:4" x14ac:dyDescent="0.2">
      <c r="A273" s="123"/>
      <c r="B273" s="123"/>
      <c r="C273" s="123"/>
      <c r="D273" s="123"/>
    </row>
    <row r="274" spans="1:4" x14ac:dyDescent="0.2">
      <c r="A274" s="123"/>
      <c r="B274" s="123"/>
      <c r="C274" s="123"/>
      <c r="D274" s="123"/>
    </row>
    <row r="275" spans="1:4" x14ac:dyDescent="0.2">
      <c r="A275" s="123"/>
      <c r="B275" s="123"/>
      <c r="C275" s="123"/>
      <c r="D275" s="123"/>
    </row>
    <row r="276" spans="1:4" x14ac:dyDescent="0.2">
      <c r="A276" s="123"/>
      <c r="B276" s="123"/>
      <c r="C276" s="123"/>
      <c r="D276" s="123"/>
    </row>
    <row r="277" spans="1:4" x14ac:dyDescent="0.2">
      <c r="A277" s="123"/>
      <c r="B277" s="123"/>
      <c r="C277" s="123"/>
      <c r="D277" s="123"/>
    </row>
    <row r="278" spans="1:4" x14ac:dyDescent="0.2">
      <c r="A278" s="123"/>
      <c r="B278" s="123"/>
      <c r="C278" s="123"/>
      <c r="D278" s="123"/>
    </row>
    <row r="279" spans="1:4" x14ac:dyDescent="0.2">
      <c r="A279" s="123"/>
      <c r="B279" s="123"/>
      <c r="C279" s="123"/>
      <c r="D279" s="123"/>
    </row>
    <row r="280" spans="1:4" x14ac:dyDescent="0.2">
      <c r="A280" s="123"/>
      <c r="B280" s="123"/>
      <c r="C280" s="123"/>
      <c r="D280" s="123"/>
    </row>
    <row r="281" spans="1:4" x14ac:dyDescent="0.2">
      <c r="A281" s="123"/>
      <c r="B281" s="123"/>
      <c r="C281" s="123"/>
      <c r="D281" s="123"/>
    </row>
    <row r="282" spans="1:4" x14ac:dyDescent="0.2">
      <c r="A282" s="123"/>
      <c r="B282" s="123"/>
      <c r="C282" s="123"/>
      <c r="D282" s="123"/>
    </row>
    <row r="283" spans="1:4" x14ac:dyDescent="0.2">
      <c r="A283" s="123"/>
      <c r="B283" s="123"/>
      <c r="C283" s="123"/>
      <c r="D283" s="123"/>
    </row>
    <row r="284" spans="1:4" x14ac:dyDescent="0.2">
      <c r="A284" s="123"/>
      <c r="B284" s="123"/>
      <c r="C284" s="123"/>
      <c r="D284" s="123"/>
    </row>
    <row r="285" spans="1:4" x14ac:dyDescent="0.2">
      <c r="A285" s="123"/>
      <c r="B285" s="123"/>
      <c r="C285" s="123"/>
      <c r="D285" s="123"/>
    </row>
    <row r="286" spans="1:4" x14ac:dyDescent="0.2">
      <c r="A286" s="123"/>
      <c r="B286" s="123"/>
      <c r="C286" s="123"/>
      <c r="D286" s="123"/>
    </row>
    <row r="287" spans="1:4" x14ac:dyDescent="0.2">
      <c r="A287" s="123"/>
      <c r="B287" s="123"/>
      <c r="C287" s="123"/>
      <c r="D287" s="123"/>
    </row>
    <row r="288" spans="1:4" x14ac:dyDescent="0.2">
      <c r="A288" s="123"/>
      <c r="B288" s="123"/>
      <c r="C288" s="123"/>
      <c r="D288" s="123"/>
    </row>
    <row r="289" spans="1:4" x14ac:dyDescent="0.2">
      <c r="A289" s="123"/>
      <c r="B289" s="123"/>
      <c r="C289" s="123"/>
      <c r="D289" s="123"/>
    </row>
    <row r="290" spans="1:4" x14ac:dyDescent="0.2">
      <c r="A290" s="123"/>
      <c r="B290" s="123"/>
      <c r="C290" s="123"/>
      <c r="D290" s="123"/>
    </row>
    <row r="291" spans="1:4" x14ac:dyDescent="0.2">
      <c r="A291" s="123"/>
      <c r="B291" s="123"/>
      <c r="C291" s="123"/>
      <c r="D291" s="123"/>
    </row>
    <row r="292" spans="1:4" x14ac:dyDescent="0.2">
      <c r="A292" s="123"/>
      <c r="B292" s="123"/>
      <c r="C292" s="123"/>
      <c r="D292" s="123"/>
    </row>
    <row r="293" spans="1:4" x14ac:dyDescent="0.2">
      <c r="A293" s="123"/>
      <c r="B293" s="123"/>
      <c r="C293" s="123"/>
      <c r="D293" s="123"/>
    </row>
    <row r="294" spans="1:4" x14ac:dyDescent="0.2">
      <c r="A294" s="123"/>
      <c r="B294" s="123"/>
      <c r="C294" s="123"/>
      <c r="D294" s="123"/>
    </row>
    <row r="295" spans="1:4" x14ac:dyDescent="0.2">
      <c r="A295" s="123"/>
      <c r="B295" s="123"/>
      <c r="C295" s="123"/>
      <c r="D295" s="123"/>
    </row>
    <row r="296" spans="1:4" x14ac:dyDescent="0.2">
      <c r="A296" s="123"/>
      <c r="B296" s="123"/>
      <c r="C296" s="123"/>
      <c r="D296" s="123"/>
    </row>
    <row r="297" spans="1:4" x14ac:dyDescent="0.2">
      <c r="A297" s="123"/>
      <c r="B297" s="123"/>
      <c r="C297" s="123"/>
      <c r="D297" s="123"/>
    </row>
    <row r="298" spans="1:4" x14ac:dyDescent="0.2">
      <c r="A298" s="123"/>
      <c r="B298" s="123"/>
      <c r="C298" s="123"/>
      <c r="D298" s="123"/>
    </row>
    <row r="299" spans="1:4" x14ac:dyDescent="0.2">
      <c r="A299" s="123"/>
      <c r="B299" s="123"/>
      <c r="C299" s="123"/>
      <c r="D299" s="123"/>
    </row>
    <row r="300" spans="1:4" x14ac:dyDescent="0.2">
      <c r="A300" s="123"/>
      <c r="B300" s="123"/>
      <c r="C300" s="123"/>
      <c r="D300" s="123"/>
    </row>
    <row r="301" spans="1:4" x14ac:dyDescent="0.2">
      <c r="A301" s="123"/>
      <c r="B301" s="123"/>
      <c r="C301" s="123"/>
      <c r="D301" s="123"/>
    </row>
    <row r="302" spans="1:4" x14ac:dyDescent="0.2">
      <c r="A302" s="123"/>
      <c r="B302" s="123"/>
      <c r="C302" s="123"/>
      <c r="D302" s="123"/>
    </row>
    <row r="303" spans="1:4" x14ac:dyDescent="0.2">
      <c r="A303" s="123"/>
      <c r="B303" s="123"/>
      <c r="C303" s="123"/>
      <c r="D303" s="123"/>
    </row>
    <row r="304" spans="1:4" x14ac:dyDescent="0.2">
      <c r="A304" s="123"/>
      <c r="B304" s="123"/>
      <c r="C304" s="123"/>
      <c r="D304" s="123"/>
    </row>
    <row r="305" spans="1:4" x14ac:dyDescent="0.2">
      <c r="A305" s="123"/>
      <c r="B305" s="123"/>
      <c r="C305" s="123"/>
      <c r="D305" s="123"/>
    </row>
    <row r="306" spans="1:4" x14ac:dyDescent="0.2">
      <c r="A306" s="123"/>
      <c r="B306" s="123"/>
      <c r="C306" s="123"/>
      <c r="D306" s="123"/>
    </row>
    <row r="307" spans="1:4" x14ac:dyDescent="0.2">
      <c r="A307" s="123"/>
      <c r="B307" s="123"/>
      <c r="C307" s="123"/>
      <c r="D307" s="123"/>
    </row>
    <row r="308" spans="1:4" x14ac:dyDescent="0.2">
      <c r="A308" s="123"/>
      <c r="B308" s="123"/>
      <c r="C308" s="123"/>
      <c r="D308" s="123"/>
    </row>
    <row r="309" spans="1:4" x14ac:dyDescent="0.2">
      <c r="A309" s="123"/>
      <c r="B309" s="123"/>
      <c r="C309" s="123"/>
      <c r="D309" s="123"/>
    </row>
    <row r="310" spans="1:4" x14ac:dyDescent="0.2">
      <c r="A310" s="123"/>
      <c r="B310" s="123"/>
      <c r="C310" s="123"/>
      <c r="D310" s="123"/>
    </row>
    <row r="311" spans="1:4" x14ac:dyDescent="0.2">
      <c r="A311" s="123"/>
      <c r="B311" s="123"/>
      <c r="C311" s="123"/>
      <c r="D311" s="123"/>
    </row>
    <row r="312" spans="1:4" x14ac:dyDescent="0.2">
      <c r="A312" s="123"/>
      <c r="B312" s="123"/>
      <c r="C312" s="123"/>
      <c r="D312" s="123"/>
    </row>
    <row r="313" spans="1:4" x14ac:dyDescent="0.2">
      <c r="A313" s="123"/>
      <c r="B313" s="123"/>
      <c r="C313" s="123"/>
      <c r="D313" s="123"/>
    </row>
    <row r="314" spans="1:4" x14ac:dyDescent="0.2">
      <c r="A314" s="123"/>
      <c r="B314" s="123"/>
      <c r="C314" s="123"/>
      <c r="D314" s="123"/>
    </row>
    <row r="315" spans="1:4" x14ac:dyDescent="0.2">
      <c r="A315" s="123"/>
      <c r="B315" s="123"/>
      <c r="C315" s="123"/>
      <c r="D315" s="123"/>
    </row>
    <row r="316" spans="1:4" x14ac:dyDescent="0.2">
      <c r="A316" s="123"/>
      <c r="B316" s="123"/>
      <c r="C316" s="123"/>
      <c r="D316" s="123"/>
    </row>
    <row r="317" spans="1:4" x14ac:dyDescent="0.2">
      <c r="A317" s="123"/>
      <c r="B317" s="123"/>
      <c r="C317" s="123"/>
      <c r="D317" s="123"/>
    </row>
    <row r="318" spans="1:4" x14ac:dyDescent="0.2">
      <c r="A318" s="123"/>
      <c r="B318" s="123"/>
      <c r="C318" s="123"/>
      <c r="D318" s="123"/>
    </row>
    <row r="319" spans="1:4" x14ac:dyDescent="0.2">
      <c r="A319" s="123"/>
      <c r="B319" s="123"/>
      <c r="C319" s="123"/>
      <c r="D319" s="123"/>
    </row>
    <row r="320" spans="1:4" x14ac:dyDescent="0.2">
      <c r="A320" s="123"/>
      <c r="B320" s="123"/>
      <c r="C320" s="123"/>
      <c r="D320" s="123"/>
    </row>
    <row r="321" spans="1:4" x14ac:dyDescent="0.2">
      <c r="A321" s="123"/>
      <c r="B321" s="123"/>
      <c r="C321" s="123"/>
      <c r="D321" s="123"/>
    </row>
    <row r="322" spans="1:4" x14ac:dyDescent="0.2">
      <c r="A322" s="123"/>
      <c r="B322" s="123"/>
      <c r="C322" s="123"/>
      <c r="D322" s="123"/>
    </row>
    <row r="323" spans="1:4" x14ac:dyDescent="0.2">
      <c r="A323" s="123"/>
      <c r="B323" s="123"/>
      <c r="C323" s="123"/>
      <c r="D323" s="123"/>
    </row>
    <row r="324" spans="1:4" x14ac:dyDescent="0.2">
      <c r="A324" s="123"/>
      <c r="B324" s="123"/>
      <c r="C324" s="123"/>
      <c r="D324" s="123"/>
    </row>
    <row r="325" spans="1:4" x14ac:dyDescent="0.2">
      <c r="A325" s="123"/>
      <c r="B325" s="123"/>
      <c r="C325" s="123"/>
      <c r="D325" s="123"/>
    </row>
    <row r="326" spans="1:4" x14ac:dyDescent="0.2">
      <c r="A326" s="123"/>
      <c r="B326" s="123"/>
      <c r="C326" s="123"/>
      <c r="D326" s="123"/>
    </row>
    <row r="327" spans="1:4" x14ac:dyDescent="0.2">
      <c r="A327" s="123"/>
      <c r="B327" s="123"/>
      <c r="C327" s="123"/>
      <c r="D327" s="123"/>
    </row>
    <row r="328" spans="1:4" x14ac:dyDescent="0.2">
      <c r="A328" s="123"/>
      <c r="B328" s="123"/>
      <c r="C328" s="123"/>
      <c r="D328" s="123"/>
    </row>
    <row r="329" spans="1:4" x14ac:dyDescent="0.2">
      <c r="A329" s="123"/>
      <c r="B329" s="123"/>
      <c r="C329" s="123"/>
      <c r="D329" s="123"/>
    </row>
    <row r="330" spans="1:4" x14ac:dyDescent="0.2">
      <c r="A330" s="123"/>
      <c r="B330" s="123"/>
      <c r="C330" s="123"/>
      <c r="D330" s="123"/>
    </row>
    <row r="331" spans="1:4" x14ac:dyDescent="0.2">
      <c r="A331" s="123"/>
      <c r="B331" s="123"/>
      <c r="C331" s="123"/>
      <c r="D331" s="123"/>
    </row>
    <row r="332" spans="1:4" x14ac:dyDescent="0.2">
      <c r="A332" s="123"/>
      <c r="B332" s="123"/>
      <c r="C332" s="123"/>
      <c r="D332" s="123"/>
    </row>
    <row r="333" spans="1:4" x14ac:dyDescent="0.2">
      <c r="A333" s="123"/>
      <c r="B333" s="123"/>
      <c r="C333" s="123"/>
      <c r="D333" s="123"/>
    </row>
    <row r="334" spans="1:4" x14ac:dyDescent="0.2">
      <c r="A334" s="123"/>
      <c r="B334" s="123"/>
      <c r="C334" s="123"/>
      <c r="D334" s="123"/>
    </row>
    <row r="335" spans="1:4" x14ac:dyDescent="0.2">
      <c r="A335" s="123"/>
      <c r="B335" s="123"/>
      <c r="C335" s="123"/>
      <c r="D335" s="123"/>
    </row>
    <row r="336" spans="1:4" x14ac:dyDescent="0.2">
      <c r="A336" s="123"/>
      <c r="B336" s="123"/>
      <c r="C336" s="123"/>
      <c r="D336" s="123"/>
    </row>
    <row r="337" spans="1:4" x14ac:dyDescent="0.2">
      <c r="A337" s="123"/>
      <c r="B337" s="123"/>
      <c r="C337" s="123"/>
      <c r="D337" s="123"/>
    </row>
    <row r="338" spans="1:4" x14ac:dyDescent="0.2">
      <c r="A338" s="123"/>
      <c r="B338" s="123"/>
      <c r="C338" s="123"/>
      <c r="D338" s="123"/>
    </row>
    <row r="339" spans="1:4" x14ac:dyDescent="0.2">
      <c r="A339" s="123"/>
      <c r="B339" s="123"/>
      <c r="C339" s="123"/>
      <c r="D339" s="123"/>
    </row>
    <row r="340" spans="1:4" x14ac:dyDescent="0.2">
      <c r="A340" s="123"/>
      <c r="B340" s="123"/>
      <c r="C340" s="123"/>
      <c r="D340" s="123"/>
    </row>
    <row r="341" spans="1:4" x14ac:dyDescent="0.2">
      <c r="A341" s="123"/>
      <c r="B341" s="123"/>
      <c r="C341" s="123"/>
      <c r="D341" s="123"/>
    </row>
    <row r="342" spans="1:4" x14ac:dyDescent="0.2">
      <c r="A342" s="123"/>
      <c r="B342" s="123"/>
      <c r="C342" s="123"/>
      <c r="D342" s="123"/>
    </row>
    <row r="343" spans="1:4" x14ac:dyDescent="0.2">
      <c r="A343" s="123"/>
      <c r="B343" s="123"/>
      <c r="C343" s="123"/>
      <c r="D343" s="123"/>
    </row>
    <row r="344" spans="1:4" x14ac:dyDescent="0.2">
      <c r="A344" s="123"/>
      <c r="B344" s="123"/>
      <c r="C344" s="123"/>
      <c r="D344" s="123"/>
    </row>
    <row r="345" spans="1:4" x14ac:dyDescent="0.2">
      <c r="A345" s="123"/>
      <c r="B345" s="123"/>
      <c r="C345" s="123"/>
      <c r="D345" s="123"/>
    </row>
    <row r="346" spans="1:4" x14ac:dyDescent="0.2">
      <c r="A346" s="123"/>
      <c r="B346" s="123"/>
      <c r="C346" s="123"/>
      <c r="D346" s="123"/>
    </row>
    <row r="347" spans="1:4" x14ac:dyDescent="0.2">
      <c r="A347" s="123"/>
      <c r="B347" s="123"/>
      <c r="C347" s="123"/>
      <c r="D347" s="123"/>
    </row>
    <row r="348" spans="1:4" x14ac:dyDescent="0.2">
      <c r="A348" s="123"/>
      <c r="B348" s="123"/>
      <c r="C348" s="123"/>
      <c r="D348" s="123"/>
    </row>
  </sheetData>
  <phoneticPr fontId="0" type="noConversion"/>
  <printOptions horizontalCentered="1"/>
  <pageMargins left="0.75" right="0.75" top="1" bottom="1" header="0.5" footer="0.5"/>
  <pageSetup scale="89" fitToHeight="3" orientation="landscape" r:id="rId1"/>
  <headerFooter alignWithMargins="0">
    <oddFooter>&amp;C&amp;P of &amp;N</oddFooter>
  </headerFooter>
  <ignoredErrors>
    <ignoredError sqref="E143:F14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47"/>
  <sheetViews>
    <sheetView workbookViewId="0">
      <selection activeCell="A4" sqref="A4"/>
    </sheetView>
  </sheetViews>
  <sheetFormatPr defaultRowHeight="11.25" x14ac:dyDescent="0.2"/>
  <cols>
    <col min="1" max="1" width="5.83203125" style="43" customWidth="1"/>
    <col min="2" max="2" width="11.83203125" style="43" customWidth="1"/>
    <col min="3" max="3" width="14.83203125" style="43" customWidth="1"/>
    <col min="4" max="4" width="14.83203125" style="46" customWidth="1"/>
    <col min="5" max="5" width="14.83203125" style="47" customWidth="1"/>
    <col min="6" max="65" width="14.83203125" style="43" customWidth="1"/>
    <col min="66" max="16384" width="9.33203125" style="43"/>
  </cols>
  <sheetData>
    <row r="1" spans="1:13" x14ac:dyDescent="0.2">
      <c r="A1" s="45" t="s">
        <v>588</v>
      </c>
      <c r="K1" s="48">
        <f>Report!I1</f>
        <v>41115</v>
      </c>
    </row>
    <row r="2" spans="1:13" x14ac:dyDescent="0.2">
      <c r="A2" s="49" t="s">
        <v>590</v>
      </c>
      <c r="F2" s="56"/>
      <c r="G2" s="124"/>
      <c r="H2" s="124"/>
    </row>
    <row r="3" spans="1:13" x14ac:dyDescent="0.2">
      <c r="A3" s="49" t="s">
        <v>589</v>
      </c>
    </row>
    <row r="4" spans="1:13" x14ac:dyDescent="0.2">
      <c r="B4" s="49"/>
      <c r="C4" s="49"/>
      <c r="D4" s="50"/>
    </row>
    <row r="5" spans="1:13" x14ac:dyDescent="0.2">
      <c r="B5" s="49"/>
      <c r="C5" s="49"/>
      <c r="D5" s="50"/>
    </row>
    <row r="6" spans="1:13" ht="12" customHeight="1" x14ac:dyDescent="0.2">
      <c r="B6" s="45"/>
      <c r="C6" s="45"/>
      <c r="D6" s="51" t="s">
        <v>574</v>
      </c>
      <c r="E6" s="51"/>
      <c r="F6" s="51"/>
    </row>
    <row r="7" spans="1:13" s="52" customFormat="1" x14ac:dyDescent="0.2">
      <c r="B7" s="53"/>
      <c r="C7" s="53"/>
      <c r="D7" s="52" t="str">
        <f>Instructions!P1</f>
        <v>Pay 2012</v>
      </c>
      <c r="E7" s="52" t="str">
        <f>Instructions!P2</f>
        <v>Pay 2011</v>
      </c>
      <c r="F7" s="52" t="str">
        <f>Instructions!P3</f>
        <v>Pay 2010</v>
      </c>
      <c r="G7" s="52" t="str">
        <f>Instructions!P4</f>
        <v>Pay 2009</v>
      </c>
      <c r="H7" s="52" t="str">
        <f>Instructions!P5</f>
        <v>Pay 2008</v>
      </c>
      <c r="I7" s="52" t="str">
        <f>Instructions!P6</f>
        <v>Pay 2007</v>
      </c>
      <c r="J7" s="52" t="str">
        <f>Instructions!P7</f>
        <v>Pay 2006</v>
      </c>
      <c r="K7" s="52" t="str">
        <f>Instructions!P8</f>
        <v>Pay 2005</v>
      </c>
    </row>
    <row r="8" spans="1:13" x14ac:dyDescent="0.2">
      <c r="B8" s="53"/>
      <c r="C8" s="53"/>
      <c r="D8" s="47"/>
      <c r="E8" s="43"/>
    </row>
    <row r="9" spans="1:13" x14ac:dyDescent="0.2">
      <c r="B9" s="43" t="s">
        <v>508</v>
      </c>
      <c r="D9" s="31">
        <v>0</v>
      </c>
      <c r="E9" s="31">
        <v>0</v>
      </c>
      <c r="F9" s="31">
        <v>0</v>
      </c>
      <c r="G9" s="31">
        <v>0</v>
      </c>
      <c r="H9" s="31">
        <v>0</v>
      </c>
      <c r="I9" s="31">
        <v>0</v>
      </c>
      <c r="J9" s="31">
        <v>0</v>
      </c>
      <c r="K9" s="31">
        <v>0</v>
      </c>
    </row>
    <row r="10" spans="1:13" x14ac:dyDescent="0.2">
      <c r="B10" s="43" t="s">
        <v>559</v>
      </c>
      <c r="D10" s="31">
        <v>0</v>
      </c>
      <c r="E10" s="31">
        <v>0</v>
      </c>
      <c r="F10" s="31">
        <v>0</v>
      </c>
      <c r="G10" s="31">
        <v>0</v>
      </c>
      <c r="H10" s="31">
        <v>0</v>
      </c>
      <c r="I10" s="31">
        <v>0</v>
      </c>
      <c r="J10" s="31">
        <v>0</v>
      </c>
      <c r="K10" s="31">
        <v>0</v>
      </c>
    </row>
    <row r="11" spans="1:13" x14ac:dyDescent="0.2">
      <c r="B11" s="43" t="s">
        <v>560</v>
      </c>
      <c r="D11" s="31">
        <v>0</v>
      </c>
      <c r="E11" s="31">
        <v>0</v>
      </c>
      <c r="F11" s="31">
        <v>0</v>
      </c>
      <c r="G11" s="31">
        <v>0</v>
      </c>
      <c r="H11" s="31">
        <v>0</v>
      </c>
      <c r="I11" s="31">
        <v>0</v>
      </c>
      <c r="J11" s="31">
        <v>0</v>
      </c>
      <c r="K11" s="31">
        <v>0</v>
      </c>
    </row>
    <row r="12" spans="1:13" x14ac:dyDescent="0.2">
      <c r="B12" s="43" t="s">
        <v>3</v>
      </c>
      <c r="D12" s="31">
        <v>0</v>
      </c>
      <c r="E12" s="31">
        <v>0</v>
      </c>
      <c r="F12" s="31">
        <v>0</v>
      </c>
      <c r="G12" s="31">
        <v>0</v>
      </c>
      <c r="H12" s="31">
        <v>0</v>
      </c>
      <c r="I12" s="31">
        <v>0</v>
      </c>
      <c r="J12" s="31">
        <v>0</v>
      </c>
      <c r="K12" s="31">
        <v>0</v>
      </c>
    </row>
    <row r="13" spans="1:13" x14ac:dyDescent="0.2">
      <c r="D13" s="42"/>
      <c r="E13" s="30"/>
      <c r="F13" s="30"/>
      <c r="G13" s="30"/>
      <c r="H13" s="30"/>
      <c r="I13" s="30"/>
      <c r="J13" s="30"/>
      <c r="K13" s="30"/>
      <c r="M13" s="30"/>
    </row>
    <row r="14" spans="1:13" x14ac:dyDescent="0.2">
      <c r="B14" s="44" t="s">
        <v>605</v>
      </c>
      <c r="D14" s="42">
        <f t="shared" ref="D14:K14" si="0">SUM(D9:D13)</f>
        <v>0</v>
      </c>
      <c r="E14" s="42">
        <f t="shared" si="0"/>
        <v>0</v>
      </c>
      <c r="F14" s="42">
        <f t="shared" si="0"/>
        <v>0</v>
      </c>
      <c r="G14" s="42">
        <f t="shared" si="0"/>
        <v>0</v>
      </c>
      <c r="H14" s="42">
        <f t="shared" si="0"/>
        <v>0</v>
      </c>
      <c r="I14" s="42">
        <f t="shared" si="0"/>
        <v>0</v>
      </c>
      <c r="J14" s="42">
        <f t="shared" si="0"/>
        <v>0</v>
      </c>
      <c r="K14" s="42">
        <f t="shared" si="0"/>
        <v>0</v>
      </c>
      <c r="M14" s="30"/>
    </row>
    <row r="15" spans="1:13" x14ac:dyDescent="0.2">
      <c r="B15" s="53"/>
      <c r="C15" s="53"/>
      <c r="D15" s="54"/>
      <c r="E15" s="42"/>
      <c r="F15" s="30"/>
      <c r="G15" s="30"/>
      <c r="H15" s="30"/>
      <c r="I15" s="30"/>
      <c r="J15" s="30"/>
      <c r="K15" s="30"/>
      <c r="L15" s="30"/>
      <c r="M15" s="30"/>
    </row>
    <row r="16" spans="1:13" x14ac:dyDescent="0.2">
      <c r="B16" s="53"/>
      <c r="C16" s="53"/>
      <c r="D16" s="54"/>
    </row>
    <row r="17" spans="1:19" x14ac:dyDescent="0.2">
      <c r="B17" s="53"/>
      <c r="C17" s="53"/>
      <c r="D17" s="54"/>
    </row>
    <row r="18" spans="1:19" x14ac:dyDescent="0.2">
      <c r="B18" s="53"/>
      <c r="C18" s="53"/>
      <c r="D18" s="54"/>
    </row>
    <row r="19" spans="1:19" x14ac:dyDescent="0.2">
      <c r="B19" s="53"/>
      <c r="C19" s="53"/>
      <c r="D19" s="54"/>
    </row>
    <row r="20" spans="1:19" x14ac:dyDescent="0.2">
      <c r="A20" s="45" t="str">
        <f>"Enter each tax settlement received July 1, "&amp;RIGHT(Instructions!P2,4)&amp;" through June 30, "&amp;RIGHT(Instructions!P1,4)</f>
        <v>Enter each tax settlement received July 1, 2011 through June 30, 2012</v>
      </c>
    </row>
    <row r="21" spans="1:19" x14ac:dyDescent="0.2">
      <c r="A21" s="49" t="s">
        <v>627</v>
      </c>
    </row>
    <row r="22" spans="1:19" x14ac:dyDescent="0.2">
      <c r="A22" s="43" t="s">
        <v>613</v>
      </c>
    </row>
    <row r="23" spans="1:19" x14ac:dyDescent="0.2">
      <c r="A23" s="43" t="s">
        <v>603</v>
      </c>
    </row>
    <row r="24" spans="1:19" x14ac:dyDescent="0.2">
      <c r="A24" s="43" t="s">
        <v>604</v>
      </c>
    </row>
    <row r="26" spans="1:19" x14ac:dyDescent="0.2">
      <c r="A26" s="55" t="s">
        <v>610</v>
      </c>
    </row>
    <row r="27" spans="1:19" x14ac:dyDescent="0.2">
      <c r="A27" s="43" t="s">
        <v>628</v>
      </c>
    </row>
    <row r="28" spans="1:19" x14ac:dyDescent="0.2">
      <c r="A28" s="43" t="s">
        <v>629</v>
      </c>
    </row>
    <row r="31" spans="1:19" ht="12" customHeight="1" x14ac:dyDescent="0.2"/>
    <row r="32" spans="1:19" s="52" customFormat="1" x14ac:dyDescent="0.2">
      <c r="E32" s="52" t="s">
        <v>599</v>
      </c>
      <c r="F32" s="52" t="s">
        <v>599</v>
      </c>
      <c r="G32" s="52" t="s">
        <v>599</v>
      </c>
      <c r="H32" s="52" t="s">
        <v>599</v>
      </c>
      <c r="I32" s="52" t="s">
        <v>599</v>
      </c>
      <c r="J32" s="52" t="s">
        <v>599</v>
      </c>
      <c r="K32" s="52" t="s">
        <v>599</v>
      </c>
      <c r="L32" s="52" t="s">
        <v>599</v>
      </c>
      <c r="M32" s="52" t="s">
        <v>599</v>
      </c>
      <c r="N32" s="52" t="s">
        <v>599</v>
      </c>
      <c r="O32" s="52" t="s">
        <v>599</v>
      </c>
      <c r="P32" s="52" t="s">
        <v>599</v>
      </c>
      <c r="Q32" s="52" t="s">
        <v>599</v>
      </c>
      <c r="R32" s="52" t="s">
        <v>599</v>
      </c>
      <c r="S32" s="52" t="s">
        <v>599</v>
      </c>
    </row>
    <row r="33" spans="1:19" s="52" customFormat="1" x14ac:dyDescent="0.2">
      <c r="D33" s="52" t="s">
        <v>394</v>
      </c>
      <c r="E33" s="52" t="s">
        <v>586</v>
      </c>
      <c r="F33" s="52" t="s">
        <v>586</v>
      </c>
      <c r="G33" s="52" t="s">
        <v>586</v>
      </c>
      <c r="H33" s="52" t="s">
        <v>586</v>
      </c>
      <c r="I33" s="52" t="s">
        <v>586</v>
      </c>
      <c r="J33" s="52" t="s">
        <v>586</v>
      </c>
      <c r="K33" s="52" t="s">
        <v>586</v>
      </c>
      <c r="L33" s="52" t="s">
        <v>586</v>
      </c>
      <c r="M33" s="52" t="s">
        <v>586</v>
      </c>
      <c r="N33" s="52" t="s">
        <v>586</v>
      </c>
      <c r="O33" s="52" t="s">
        <v>586</v>
      </c>
      <c r="P33" s="52" t="s">
        <v>586</v>
      </c>
      <c r="Q33" s="52" t="s">
        <v>586</v>
      </c>
      <c r="R33" s="52" t="s">
        <v>586</v>
      </c>
      <c r="S33" s="52" t="s">
        <v>586</v>
      </c>
    </row>
    <row r="34" spans="1:19" x14ac:dyDescent="0.2">
      <c r="F34" s="52"/>
      <c r="G34" s="52"/>
    </row>
    <row r="35" spans="1:19" x14ac:dyDescent="0.2">
      <c r="A35" s="56" t="s">
        <v>595</v>
      </c>
      <c r="C35" s="57" t="str">
        <f>Instructions!P1</f>
        <v>Pay 2012</v>
      </c>
      <c r="D35" s="46">
        <f>SUM(E35:S35)</f>
        <v>0</v>
      </c>
      <c r="E35" s="32">
        <v>0</v>
      </c>
      <c r="F35" s="32">
        <v>0</v>
      </c>
      <c r="G35" s="32">
        <v>0</v>
      </c>
      <c r="H35" s="32">
        <v>0</v>
      </c>
      <c r="I35" s="32">
        <v>0</v>
      </c>
      <c r="J35" s="32">
        <v>0</v>
      </c>
      <c r="K35" s="32">
        <v>0</v>
      </c>
      <c r="L35" s="32">
        <v>0</v>
      </c>
      <c r="M35" s="32">
        <v>0</v>
      </c>
      <c r="N35" s="32">
        <v>0</v>
      </c>
      <c r="O35" s="32">
        <v>0</v>
      </c>
      <c r="P35" s="32">
        <v>0</v>
      </c>
      <c r="Q35" s="32">
        <v>0</v>
      </c>
      <c r="R35" s="32">
        <v>0</v>
      </c>
      <c r="S35" s="32">
        <v>0</v>
      </c>
    </row>
    <row r="36" spans="1:19" x14ac:dyDescent="0.2">
      <c r="C36" s="57" t="str">
        <f>Instructions!P2</f>
        <v>Pay 2011</v>
      </c>
      <c r="D36" s="46">
        <f t="shared" ref="D36:D46" si="1">SUM(E36:S36)</f>
        <v>0</v>
      </c>
      <c r="E36" s="32">
        <v>0</v>
      </c>
      <c r="F36" s="32">
        <v>0</v>
      </c>
      <c r="G36" s="32">
        <v>0</v>
      </c>
      <c r="H36" s="32">
        <v>0</v>
      </c>
      <c r="I36" s="32">
        <v>0</v>
      </c>
      <c r="J36" s="32">
        <v>0</v>
      </c>
      <c r="K36" s="32">
        <v>0</v>
      </c>
      <c r="L36" s="32">
        <v>0</v>
      </c>
      <c r="M36" s="32">
        <v>0</v>
      </c>
      <c r="N36" s="32">
        <v>0</v>
      </c>
      <c r="O36" s="32">
        <v>0</v>
      </c>
      <c r="P36" s="32">
        <v>0</v>
      </c>
      <c r="Q36" s="32">
        <v>0</v>
      </c>
      <c r="R36" s="32">
        <v>0</v>
      </c>
      <c r="S36" s="32">
        <v>0</v>
      </c>
    </row>
    <row r="37" spans="1:19" x14ac:dyDescent="0.2">
      <c r="C37" s="57" t="str">
        <f>Instructions!P3</f>
        <v>Pay 2010</v>
      </c>
      <c r="D37" s="46">
        <f t="shared" si="1"/>
        <v>0</v>
      </c>
      <c r="E37" s="32">
        <v>0</v>
      </c>
      <c r="F37" s="32">
        <v>0</v>
      </c>
      <c r="G37" s="32">
        <v>0</v>
      </c>
      <c r="H37" s="32">
        <v>0</v>
      </c>
      <c r="I37" s="32">
        <v>0</v>
      </c>
      <c r="J37" s="32">
        <v>0</v>
      </c>
      <c r="K37" s="32">
        <v>0</v>
      </c>
      <c r="L37" s="32">
        <v>0</v>
      </c>
      <c r="M37" s="32">
        <v>0</v>
      </c>
      <c r="N37" s="32">
        <v>0</v>
      </c>
      <c r="O37" s="32">
        <v>0</v>
      </c>
      <c r="P37" s="32">
        <v>0</v>
      </c>
      <c r="Q37" s="32">
        <v>0</v>
      </c>
      <c r="R37" s="32">
        <v>0</v>
      </c>
      <c r="S37" s="32">
        <v>0</v>
      </c>
    </row>
    <row r="38" spans="1:19" x14ac:dyDescent="0.2">
      <c r="C38" s="57" t="str">
        <f>Instructions!P4</f>
        <v>Pay 2009</v>
      </c>
      <c r="D38" s="46">
        <f t="shared" si="1"/>
        <v>0</v>
      </c>
      <c r="E38" s="32">
        <v>0</v>
      </c>
      <c r="F38" s="32">
        <v>0</v>
      </c>
      <c r="G38" s="32">
        <v>0</v>
      </c>
      <c r="H38" s="32">
        <v>0</v>
      </c>
      <c r="I38" s="32">
        <v>0</v>
      </c>
      <c r="J38" s="32">
        <v>0</v>
      </c>
      <c r="K38" s="32">
        <v>0</v>
      </c>
      <c r="L38" s="32">
        <v>0</v>
      </c>
      <c r="M38" s="32">
        <v>0</v>
      </c>
      <c r="N38" s="32">
        <v>0</v>
      </c>
      <c r="O38" s="32">
        <v>0</v>
      </c>
      <c r="P38" s="32">
        <v>0</v>
      </c>
      <c r="Q38" s="32">
        <v>0</v>
      </c>
      <c r="R38" s="32">
        <v>0</v>
      </c>
      <c r="S38" s="32">
        <v>0</v>
      </c>
    </row>
    <row r="39" spans="1:19" x14ac:dyDescent="0.2">
      <c r="C39" s="57" t="str">
        <f>Instructions!P5</f>
        <v>Pay 2008</v>
      </c>
      <c r="D39" s="46">
        <f t="shared" si="1"/>
        <v>0</v>
      </c>
      <c r="E39" s="32">
        <v>0</v>
      </c>
      <c r="F39" s="32">
        <v>0</v>
      </c>
      <c r="G39" s="32">
        <v>0</v>
      </c>
      <c r="H39" s="32">
        <v>0</v>
      </c>
      <c r="I39" s="32">
        <v>0</v>
      </c>
      <c r="J39" s="32">
        <v>0</v>
      </c>
      <c r="K39" s="32">
        <v>0</v>
      </c>
      <c r="L39" s="32">
        <v>0</v>
      </c>
      <c r="M39" s="32">
        <v>0</v>
      </c>
      <c r="N39" s="32">
        <v>0</v>
      </c>
      <c r="O39" s="32">
        <v>0</v>
      </c>
      <c r="P39" s="32">
        <v>0</v>
      </c>
      <c r="Q39" s="32">
        <v>0</v>
      </c>
      <c r="R39" s="32">
        <v>0</v>
      </c>
      <c r="S39" s="32">
        <v>0</v>
      </c>
    </row>
    <row r="40" spans="1:19" x14ac:dyDescent="0.2">
      <c r="C40" s="57" t="str">
        <f>Instructions!P6</f>
        <v>Pay 2007</v>
      </c>
      <c r="D40" s="46">
        <f t="shared" si="1"/>
        <v>0</v>
      </c>
      <c r="E40" s="32">
        <v>0</v>
      </c>
      <c r="F40" s="32">
        <v>0</v>
      </c>
      <c r="G40" s="32">
        <v>0</v>
      </c>
      <c r="H40" s="32">
        <v>0</v>
      </c>
      <c r="I40" s="32">
        <v>0</v>
      </c>
      <c r="J40" s="32">
        <v>0</v>
      </c>
      <c r="K40" s="32">
        <v>0</v>
      </c>
      <c r="L40" s="32">
        <v>0</v>
      </c>
      <c r="M40" s="32">
        <v>0</v>
      </c>
      <c r="N40" s="32">
        <v>0</v>
      </c>
      <c r="O40" s="32">
        <v>0</v>
      </c>
      <c r="P40" s="32">
        <v>0</v>
      </c>
      <c r="Q40" s="32">
        <v>0</v>
      </c>
      <c r="R40" s="32">
        <v>0</v>
      </c>
      <c r="S40" s="32">
        <v>0</v>
      </c>
    </row>
    <row r="41" spans="1:19" x14ac:dyDescent="0.2">
      <c r="C41" s="57" t="str">
        <f>Instructions!P7</f>
        <v>Pay 2006</v>
      </c>
      <c r="D41" s="46">
        <f t="shared" si="1"/>
        <v>0</v>
      </c>
      <c r="E41" s="32">
        <v>0</v>
      </c>
      <c r="F41" s="32">
        <v>0</v>
      </c>
      <c r="G41" s="32">
        <v>0</v>
      </c>
      <c r="H41" s="32">
        <v>0</v>
      </c>
      <c r="I41" s="32">
        <v>0</v>
      </c>
      <c r="J41" s="32">
        <v>0</v>
      </c>
      <c r="K41" s="32">
        <v>0</v>
      </c>
      <c r="L41" s="32">
        <v>0</v>
      </c>
      <c r="M41" s="32">
        <v>0</v>
      </c>
      <c r="N41" s="32">
        <v>0</v>
      </c>
      <c r="O41" s="32">
        <v>0</v>
      </c>
      <c r="P41" s="32">
        <v>0</v>
      </c>
      <c r="Q41" s="32">
        <v>0</v>
      </c>
      <c r="R41" s="32">
        <v>0</v>
      </c>
      <c r="S41" s="32">
        <v>0</v>
      </c>
    </row>
    <row r="42" spans="1:19" x14ac:dyDescent="0.2">
      <c r="C42" s="57" t="str">
        <f>Instructions!P8</f>
        <v>Pay 2005</v>
      </c>
      <c r="D42" s="46">
        <f t="shared" si="1"/>
        <v>0</v>
      </c>
      <c r="E42" s="32">
        <v>0</v>
      </c>
      <c r="F42" s="32">
        <v>0</v>
      </c>
      <c r="G42" s="32">
        <v>0</v>
      </c>
      <c r="H42" s="32">
        <v>0</v>
      </c>
      <c r="I42" s="32">
        <v>0</v>
      </c>
      <c r="J42" s="32">
        <v>0</v>
      </c>
      <c r="K42" s="32">
        <v>0</v>
      </c>
      <c r="L42" s="32">
        <v>0</v>
      </c>
      <c r="M42" s="32">
        <v>0</v>
      </c>
      <c r="N42" s="32">
        <v>0</v>
      </c>
      <c r="O42" s="32">
        <v>0</v>
      </c>
      <c r="P42" s="32">
        <v>0</v>
      </c>
      <c r="Q42" s="32">
        <v>0</v>
      </c>
      <c r="R42" s="32">
        <v>0</v>
      </c>
      <c r="S42" s="32">
        <v>0</v>
      </c>
    </row>
    <row r="43" spans="1:19" x14ac:dyDescent="0.2">
      <c r="A43" s="43" t="s">
        <v>596</v>
      </c>
      <c r="C43" s="57" t="str">
        <f>Instructions!P1</f>
        <v>Pay 2012</v>
      </c>
      <c r="D43" s="46">
        <f t="shared" si="1"/>
        <v>0</v>
      </c>
      <c r="E43" s="32">
        <v>0</v>
      </c>
      <c r="F43" s="32">
        <v>0</v>
      </c>
      <c r="G43" s="32">
        <v>0</v>
      </c>
      <c r="H43" s="32">
        <v>0</v>
      </c>
      <c r="I43" s="32">
        <v>0</v>
      </c>
      <c r="J43" s="32">
        <v>0</v>
      </c>
      <c r="K43" s="32">
        <v>0</v>
      </c>
      <c r="L43" s="32">
        <v>0</v>
      </c>
      <c r="M43" s="32">
        <v>0</v>
      </c>
      <c r="N43" s="32">
        <v>0</v>
      </c>
      <c r="O43" s="32">
        <v>0</v>
      </c>
      <c r="P43" s="32">
        <v>0</v>
      </c>
      <c r="Q43" s="32">
        <v>0</v>
      </c>
      <c r="R43" s="32">
        <v>0</v>
      </c>
      <c r="S43" s="32">
        <v>0</v>
      </c>
    </row>
    <row r="44" spans="1:19" x14ac:dyDescent="0.2">
      <c r="B44" s="57"/>
      <c r="C44" s="57" t="str">
        <f>Instructions!P2</f>
        <v>Pay 2011</v>
      </c>
      <c r="D44" s="46">
        <f t="shared" si="1"/>
        <v>0</v>
      </c>
      <c r="E44" s="32">
        <v>0</v>
      </c>
      <c r="F44" s="32">
        <v>0</v>
      </c>
      <c r="G44" s="32">
        <v>0</v>
      </c>
      <c r="H44" s="32">
        <v>0</v>
      </c>
      <c r="I44" s="32">
        <v>0</v>
      </c>
      <c r="J44" s="32">
        <v>0</v>
      </c>
      <c r="K44" s="32">
        <v>0</v>
      </c>
      <c r="L44" s="32">
        <v>0</v>
      </c>
      <c r="M44" s="32">
        <v>0</v>
      </c>
      <c r="N44" s="32">
        <v>0</v>
      </c>
      <c r="O44" s="32">
        <v>0</v>
      </c>
      <c r="P44" s="32">
        <v>0</v>
      </c>
      <c r="Q44" s="32">
        <v>0</v>
      </c>
      <c r="R44" s="32">
        <v>0</v>
      </c>
      <c r="S44" s="32">
        <v>0</v>
      </c>
    </row>
    <row r="45" spans="1:19" x14ac:dyDescent="0.2">
      <c r="A45" s="43" t="s">
        <v>601</v>
      </c>
      <c r="B45" s="57"/>
      <c r="C45" s="57" t="str">
        <f>Instructions!P1</f>
        <v>Pay 2012</v>
      </c>
      <c r="D45" s="46">
        <f t="shared" si="1"/>
        <v>0</v>
      </c>
      <c r="E45" s="32">
        <v>0</v>
      </c>
      <c r="F45" s="32">
        <v>0</v>
      </c>
      <c r="G45" s="32">
        <v>0</v>
      </c>
      <c r="H45" s="32">
        <v>0</v>
      </c>
      <c r="I45" s="32">
        <v>0</v>
      </c>
      <c r="J45" s="32">
        <v>0</v>
      </c>
      <c r="K45" s="32">
        <v>0</v>
      </c>
      <c r="L45" s="32">
        <v>0</v>
      </c>
      <c r="M45" s="32">
        <v>0</v>
      </c>
      <c r="N45" s="32">
        <v>0</v>
      </c>
      <c r="O45" s="32">
        <v>0</v>
      </c>
      <c r="P45" s="32">
        <v>0</v>
      </c>
      <c r="Q45" s="32">
        <v>0</v>
      </c>
      <c r="R45" s="32">
        <v>0</v>
      </c>
      <c r="S45" s="32">
        <v>0</v>
      </c>
    </row>
    <row r="46" spans="1:19" x14ac:dyDescent="0.2">
      <c r="B46" s="57"/>
      <c r="C46" s="57" t="str">
        <f>Instructions!P2</f>
        <v>Pay 2011</v>
      </c>
      <c r="D46" s="46">
        <f t="shared" si="1"/>
        <v>0</v>
      </c>
      <c r="E46" s="32">
        <v>0</v>
      </c>
      <c r="F46" s="32">
        <v>0</v>
      </c>
      <c r="G46" s="32">
        <v>0</v>
      </c>
      <c r="H46" s="32">
        <v>0</v>
      </c>
      <c r="I46" s="32">
        <v>0</v>
      </c>
      <c r="J46" s="32">
        <v>0</v>
      </c>
      <c r="K46" s="32">
        <v>0</v>
      </c>
      <c r="L46" s="32">
        <v>0</v>
      </c>
      <c r="M46" s="32">
        <v>0</v>
      </c>
      <c r="N46" s="32">
        <v>0</v>
      </c>
      <c r="O46" s="32">
        <v>0</v>
      </c>
      <c r="P46" s="32">
        <v>0</v>
      </c>
      <c r="Q46" s="32">
        <v>0</v>
      </c>
      <c r="R46" s="32">
        <v>0</v>
      </c>
      <c r="S46" s="32">
        <v>0</v>
      </c>
    </row>
    <row r="47" spans="1:19" x14ac:dyDescent="0.2">
      <c r="A47" s="43" t="s">
        <v>597</v>
      </c>
      <c r="E47" s="32">
        <v>0</v>
      </c>
      <c r="F47" s="32">
        <v>0</v>
      </c>
      <c r="G47" s="32">
        <v>0</v>
      </c>
      <c r="H47" s="32">
        <v>0</v>
      </c>
      <c r="I47" s="32">
        <v>0</v>
      </c>
      <c r="J47" s="32">
        <v>0</v>
      </c>
      <c r="K47" s="32">
        <v>0</v>
      </c>
      <c r="L47" s="32">
        <v>0</v>
      </c>
      <c r="M47" s="32">
        <v>0</v>
      </c>
      <c r="N47" s="32">
        <v>0</v>
      </c>
      <c r="O47" s="32">
        <v>0</v>
      </c>
      <c r="P47" s="32">
        <v>0</v>
      </c>
      <c r="Q47" s="32">
        <v>0</v>
      </c>
      <c r="R47" s="32">
        <v>0</v>
      </c>
      <c r="S47" s="32">
        <v>0</v>
      </c>
    </row>
    <row r="48" spans="1:19" x14ac:dyDescent="0.2">
      <c r="F48" s="52"/>
      <c r="G48" s="52"/>
    </row>
    <row r="49" spans="1:19" x14ac:dyDescent="0.2">
      <c r="B49" s="55" t="s">
        <v>598</v>
      </c>
      <c r="D49" s="47">
        <f>SUM(D35:D48)</f>
        <v>0</v>
      </c>
      <c r="E49" s="47">
        <f>SUM(E35:E48)</f>
        <v>0</v>
      </c>
      <c r="F49" s="47">
        <f t="shared" ref="F49:S49" si="2">SUM(F35:F48)</f>
        <v>0</v>
      </c>
      <c r="G49" s="47">
        <f t="shared" si="2"/>
        <v>0</v>
      </c>
      <c r="H49" s="47">
        <f t="shared" si="2"/>
        <v>0</v>
      </c>
      <c r="I49" s="47">
        <f t="shared" si="2"/>
        <v>0</v>
      </c>
      <c r="J49" s="47">
        <f t="shared" si="2"/>
        <v>0</v>
      </c>
      <c r="K49" s="47">
        <f t="shared" si="2"/>
        <v>0</v>
      </c>
      <c r="L49" s="47">
        <f t="shared" si="2"/>
        <v>0</v>
      </c>
      <c r="M49" s="47">
        <f t="shared" si="2"/>
        <v>0</v>
      </c>
      <c r="N49" s="47">
        <f t="shared" si="2"/>
        <v>0</v>
      </c>
      <c r="O49" s="47">
        <f t="shared" si="2"/>
        <v>0</v>
      </c>
      <c r="P49" s="47">
        <f t="shared" si="2"/>
        <v>0</v>
      </c>
      <c r="Q49" s="47">
        <f t="shared" si="2"/>
        <v>0</v>
      </c>
      <c r="R49" s="47">
        <f t="shared" si="2"/>
        <v>0</v>
      </c>
      <c r="S49" s="47">
        <f t="shared" si="2"/>
        <v>0</v>
      </c>
    </row>
    <row r="50" spans="1:19" x14ac:dyDescent="0.2">
      <c r="F50" s="52"/>
      <c r="G50" s="52"/>
    </row>
    <row r="51" spans="1:19" x14ac:dyDescent="0.2">
      <c r="F51" s="52"/>
      <c r="G51" s="52"/>
    </row>
    <row r="52" spans="1:19" x14ac:dyDescent="0.2">
      <c r="F52" s="52"/>
      <c r="G52" s="52"/>
    </row>
    <row r="53" spans="1:19" x14ac:dyDescent="0.2">
      <c r="F53" s="52"/>
      <c r="G53" s="52"/>
    </row>
    <row r="54" spans="1:19" x14ac:dyDescent="0.2">
      <c r="F54" s="52"/>
      <c r="G54" s="52"/>
    </row>
    <row r="55" spans="1:19" ht="12" thickBot="1" x14ac:dyDescent="0.25">
      <c r="A55" s="56" t="s">
        <v>607</v>
      </c>
    </row>
    <row r="56" spans="1:19" ht="12" thickTop="1" x14ac:dyDescent="0.2">
      <c r="B56" s="57" t="str">
        <f>Instructions!P1</f>
        <v>Pay 2012</v>
      </c>
      <c r="C56" s="57" t="s">
        <v>508</v>
      </c>
      <c r="D56" s="46">
        <f>SUM(E56:S56)</f>
        <v>0</v>
      </c>
      <c r="E56" s="126">
        <f t="shared" ref="E56:S56" si="3">ROUND(IF($D$14=0,0,E$35/$D$14*$D9),2)</f>
        <v>0</v>
      </c>
      <c r="F56" s="127">
        <f t="shared" si="3"/>
        <v>0</v>
      </c>
      <c r="G56" s="127">
        <f t="shared" si="3"/>
        <v>0</v>
      </c>
      <c r="H56" s="127">
        <f t="shared" si="3"/>
        <v>0</v>
      </c>
      <c r="I56" s="127">
        <f t="shared" si="3"/>
        <v>0</v>
      </c>
      <c r="J56" s="127">
        <f t="shared" si="3"/>
        <v>0</v>
      </c>
      <c r="K56" s="127">
        <f t="shared" si="3"/>
        <v>0</v>
      </c>
      <c r="L56" s="127">
        <f t="shared" si="3"/>
        <v>0</v>
      </c>
      <c r="M56" s="127">
        <f t="shared" si="3"/>
        <v>0</v>
      </c>
      <c r="N56" s="127">
        <f t="shared" si="3"/>
        <v>0</v>
      </c>
      <c r="O56" s="127">
        <f t="shared" si="3"/>
        <v>0</v>
      </c>
      <c r="P56" s="127">
        <f t="shared" si="3"/>
        <v>0</v>
      </c>
      <c r="Q56" s="127">
        <f t="shared" si="3"/>
        <v>0</v>
      </c>
      <c r="R56" s="127">
        <f t="shared" si="3"/>
        <v>0</v>
      </c>
      <c r="S56" s="128">
        <f t="shared" si="3"/>
        <v>0</v>
      </c>
    </row>
    <row r="57" spans="1:19" x14ac:dyDescent="0.2">
      <c r="B57" s="57" t="str">
        <f>Instructions!P1</f>
        <v>Pay 2012</v>
      </c>
      <c r="C57" s="57" t="s">
        <v>509</v>
      </c>
      <c r="D57" s="46">
        <f>SUM(E57:S57)</f>
        <v>0</v>
      </c>
      <c r="E57" s="129">
        <f t="shared" ref="E57:S57" si="4">ROUND(IF($D$14=0,0,E$35/$D$14*$D10),2)</f>
        <v>0</v>
      </c>
      <c r="F57" s="58">
        <f t="shared" si="4"/>
        <v>0</v>
      </c>
      <c r="G57" s="58">
        <f t="shared" si="4"/>
        <v>0</v>
      </c>
      <c r="H57" s="58">
        <f t="shared" si="4"/>
        <v>0</v>
      </c>
      <c r="I57" s="58">
        <f t="shared" si="4"/>
        <v>0</v>
      </c>
      <c r="J57" s="58">
        <f t="shared" si="4"/>
        <v>0</v>
      </c>
      <c r="K57" s="58">
        <f t="shared" si="4"/>
        <v>0</v>
      </c>
      <c r="L57" s="58">
        <f t="shared" si="4"/>
        <v>0</v>
      </c>
      <c r="M57" s="58">
        <f t="shared" si="4"/>
        <v>0</v>
      </c>
      <c r="N57" s="58">
        <f t="shared" si="4"/>
        <v>0</v>
      </c>
      <c r="O57" s="58">
        <f t="shared" si="4"/>
        <v>0</v>
      </c>
      <c r="P57" s="58">
        <f t="shared" si="4"/>
        <v>0</v>
      </c>
      <c r="Q57" s="58">
        <f t="shared" si="4"/>
        <v>0</v>
      </c>
      <c r="R57" s="58">
        <f t="shared" si="4"/>
        <v>0</v>
      </c>
      <c r="S57" s="130">
        <f t="shared" si="4"/>
        <v>0</v>
      </c>
    </row>
    <row r="58" spans="1:19" x14ac:dyDescent="0.2">
      <c r="B58" s="57" t="str">
        <f>Instructions!P1</f>
        <v>Pay 2012</v>
      </c>
      <c r="C58" s="57" t="s">
        <v>591</v>
      </c>
      <c r="D58" s="46">
        <f>SUM(E58:S58)</f>
        <v>0</v>
      </c>
      <c r="E58" s="129">
        <f t="shared" ref="E58:S58" si="5">ROUND(IF($D$14=0,0,E$35/$D$14*$D11),2)</f>
        <v>0</v>
      </c>
      <c r="F58" s="58">
        <f t="shared" si="5"/>
        <v>0</v>
      </c>
      <c r="G58" s="58">
        <f t="shared" si="5"/>
        <v>0</v>
      </c>
      <c r="H58" s="58">
        <f t="shared" si="5"/>
        <v>0</v>
      </c>
      <c r="I58" s="58">
        <f t="shared" si="5"/>
        <v>0</v>
      </c>
      <c r="J58" s="58">
        <f t="shared" si="5"/>
        <v>0</v>
      </c>
      <c r="K58" s="58">
        <f t="shared" si="5"/>
        <v>0</v>
      </c>
      <c r="L58" s="58">
        <f t="shared" si="5"/>
        <v>0</v>
      </c>
      <c r="M58" s="58">
        <f t="shared" si="5"/>
        <v>0</v>
      </c>
      <c r="N58" s="58">
        <f t="shared" si="5"/>
        <v>0</v>
      </c>
      <c r="O58" s="58">
        <f t="shared" si="5"/>
        <v>0</v>
      </c>
      <c r="P58" s="58">
        <f t="shared" si="5"/>
        <v>0</v>
      </c>
      <c r="Q58" s="58">
        <f t="shared" si="5"/>
        <v>0</v>
      </c>
      <c r="R58" s="58">
        <f t="shared" si="5"/>
        <v>0</v>
      </c>
      <c r="S58" s="130">
        <f t="shared" si="5"/>
        <v>0</v>
      </c>
    </row>
    <row r="59" spans="1:19" x14ac:dyDescent="0.2">
      <c r="B59" s="57" t="str">
        <f>Instructions!P1</f>
        <v>Pay 2012</v>
      </c>
      <c r="C59" s="57" t="s">
        <v>3</v>
      </c>
      <c r="D59" s="46">
        <f>SUM(E59:S59)</f>
        <v>0</v>
      </c>
      <c r="E59" s="129">
        <f t="shared" ref="E59:S59" si="6">ROUND(IF($D$14=0,0,E$35/$D$14*$D12),2)</f>
        <v>0</v>
      </c>
      <c r="F59" s="58">
        <f t="shared" si="6"/>
        <v>0</v>
      </c>
      <c r="G59" s="58">
        <f t="shared" si="6"/>
        <v>0</v>
      </c>
      <c r="H59" s="58">
        <f t="shared" si="6"/>
        <v>0</v>
      </c>
      <c r="I59" s="58">
        <f t="shared" si="6"/>
        <v>0</v>
      </c>
      <c r="J59" s="58">
        <f t="shared" si="6"/>
        <v>0</v>
      </c>
      <c r="K59" s="58">
        <f t="shared" si="6"/>
        <v>0</v>
      </c>
      <c r="L59" s="58">
        <f t="shared" si="6"/>
        <v>0</v>
      </c>
      <c r="M59" s="58">
        <f t="shared" si="6"/>
        <v>0</v>
      </c>
      <c r="N59" s="58">
        <f t="shared" si="6"/>
        <v>0</v>
      </c>
      <c r="O59" s="58">
        <f t="shared" si="6"/>
        <v>0</v>
      </c>
      <c r="P59" s="58">
        <f t="shared" si="6"/>
        <v>0</v>
      </c>
      <c r="Q59" s="58">
        <f t="shared" si="6"/>
        <v>0</v>
      </c>
      <c r="R59" s="58">
        <f t="shared" si="6"/>
        <v>0</v>
      </c>
      <c r="S59" s="130">
        <f t="shared" si="6"/>
        <v>0</v>
      </c>
    </row>
    <row r="60" spans="1:19" x14ac:dyDescent="0.2">
      <c r="B60" s="57"/>
      <c r="C60" s="57"/>
      <c r="E60" s="129"/>
      <c r="F60" s="59"/>
      <c r="G60" s="59"/>
      <c r="H60" s="59"/>
      <c r="I60" s="59"/>
      <c r="J60" s="59"/>
      <c r="K60" s="59"/>
      <c r="L60" s="59"/>
      <c r="M60" s="59"/>
      <c r="N60" s="59"/>
      <c r="O60" s="59"/>
      <c r="P60" s="59"/>
      <c r="Q60" s="59"/>
      <c r="R60" s="59"/>
      <c r="S60" s="131"/>
    </row>
    <row r="61" spans="1:19" s="30" customFormat="1" x14ac:dyDescent="0.2">
      <c r="C61" s="60" t="s">
        <v>587</v>
      </c>
      <c r="D61" s="42">
        <f>SUM(D56:D60)</f>
        <v>0</v>
      </c>
      <c r="E61" s="132">
        <f>SUM(E56:E60)</f>
        <v>0</v>
      </c>
      <c r="F61" s="61">
        <f t="shared" ref="F61:S61" si="7">SUM(F56:F60)</f>
        <v>0</v>
      </c>
      <c r="G61" s="61">
        <f t="shared" si="7"/>
        <v>0</v>
      </c>
      <c r="H61" s="61">
        <f t="shared" si="7"/>
        <v>0</v>
      </c>
      <c r="I61" s="61">
        <f t="shared" si="7"/>
        <v>0</v>
      </c>
      <c r="J61" s="61">
        <f t="shared" si="7"/>
        <v>0</v>
      </c>
      <c r="K61" s="61">
        <f t="shared" si="7"/>
        <v>0</v>
      </c>
      <c r="L61" s="61">
        <f t="shared" si="7"/>
        <v>0</v>
      </c>
      <c r="M61" s="61">
        <f t="shared" si="7"/>
        <v>0</v>
      </c>
      <c r="N61" s="61">
        <f t="shared" si="7"/>
        <v>0</v>
      </c>
      <c r="O61" s="61">
        <f t="shared" si="7"/>
        <v>0</v>
      </c>
      <c r="P61" s="61">
        <f t="shared" si="7"/>
        <v>0</v>
      </c>
      <c r="Q61" s="61">
        <f t="shared" si="7"/>
        <v>0</v>
      </c>
      <c r="R61" s="61">
        <f t="shared" si="7"/>
        <v>0</v>
      </c>
      <c r="S61" s="133">
        <f t="shared" si="7"/>
        <v>0</v>
      </c>
    </row>
    <row r="62" spans="1:19" x14ac:dyDescent="0.2">
      <c r="B62" s="62"/>
      <c r="C62" s="62"/>
      <c r="E62" s="129"/>
      <c r="F62" s="59"/>
      <c r="G62" s="59"/>
      <c r="H62" s="59"/>
      <c r="I62" s="59"/>
      <c r="J62" s="59"/>
      <c r="K62" s="59"/>
      <c r="L62" s="59"/>
      <c r="M62" s="59"/>
      <c r="N62" s="59"/>
      <c r="O62" s="59"/>
      <c r="P62" s="59"/>
      <c r="Q62" s="59"/>
      <c r="R62" s="59"/>
      <c r="S62" s="131"/>
    </row>
    <row r="63" spans="1:19" x14ac:dyDescent="0.2">
      <c r="B63" s="62"/>
      <c r="C63" s="62"/>
      <c r="E63" s="129"/>
      <c r="F63" s="59"/>
      <c r="G63" s="59"/>
      <c r="H63" s="59"/>
      <c r="I63" s="59"/>
      <c r="J63" s="59"/>
      <c r="K63" s="59"/>
      <c r="L63" s="59"/>
      <c r="M63" s="59"/>
      <c r="N63" s="59"/>
      <c r="O63" s="59"/>
      <c r="P63" s="59"/>
      <c r="Q63" s="59"/>
      <c r="R63" s="59"/>
      <c r="S63" s="131"/>
    </row>
    <row r="64" spans="1:19" x14ac:dyDescent="0.2">
      <c r="A64" s="43" t="s">
        <v>606</v>
      </c>
      <c r="B64" s="62"/>
      <c r="C64" s="62"/>
      <c r="E64" s="129"/>
      <c r="F64" s="59"/>
      <c r="G64" s="59"/>
      <c r="H64" s="59"/>
      <c r="I64" s="59"/>
      <c r="J64" s="59"/>
      <c r="K64" s="59"/>
      <c r="L64" s="59"/>
      <c r="M64" s="59"/>
      <c r="N64" s="59"/>
      <c r="O64" s="59"/>
      <c r="P64" s="59"/>
      <c r="Q64" s="59"/>
      <c r="R64" s="59"/>
      <c r="S64" s="131"/>
    </row>
    <row r="65" spans="1:19" x14ac:dyDescent="0.2">
      <c r="B65" s="57" t="str">
        <f>Instructions!P2</f>
        <v>Pay 2011</v>
      </c>
      <c r="C65" s="57" t="s">
        <v>508</v>
      </c>
      <c r="D65" s="46">
        <f t="shared" ref="D65:D71" si="8">SUM(E65:S65)</f>
        <v>0</v>
      </c>
      <c r="E65" s="129">
        <f t="shared" ref="E65:S65" si="9">ROUND(IF($E$14=0,0,E$36/$E$14*$E9),2)</f>
        <v>0</v>
      </c>
      <c r="F65" s="58">
        <f t="shared" si="9"/>
        <v>0</v>
      </c>
      <c r="G65" s="58">
        <f t="shared" si="9"/>
        <v>0</v>
      </c>
      <c r="H65" s="58">
        <f t="shared" si="9"/>
        <v>0</v>
      </c>
      <c r="I65" s="58">
        <f t="shared" si="9"/>
        <v>0</v>
      </c>
      <c r="J65" s="58">
        <f t="shared" si="9"/>
        <v>0</v>
      </c>
      <c r="K65" s="58">
        <f t="shared" si="9"/>
        <v>0</v>
      </c>
      <c r="L65" s="58">
        <f t="shared" si="9"/>
        <v>0</v>
      </c>
      <c r="M65" s="58">
        <f t="shared" si="9"/>
        <v>0</v>
      </c>
      <c r="N65" s="58">
        <f t="shared" si="9"/>
        <v>0</v>
      </c>
      <c r="O65" s="58">
        <f t="shared" si="9"/>
        <v>0</v>
      </c>
      <c r="P65" s="58">
        <f t="shared" si="9"/>
        <v>0</v>
      </c>
      <c r="Q65" s="58">
        <f t="shared" si="9"/>
        <v>0</v>
      </c>
      <c r="R65" s="58">
        <f t="shared" si="9"/>
        <v>0</v>
      </c>
      <c r="S65" s="130">
        <f t="shared" si="9"/>
        <v>0</v>
      </c>
    </row>
    <row r="66" spans="1:19" x14ac:dyDescent="0.2">
      <c r="B66" s="57" t="str">
        <f>Instructions!P3</f>
        <v>Pay 2010</v>
      </c>
      <c r="C66" s="57" t="s">
        <v>508</v>
      </c>
      <c r="D66" s="46">
        <f t="shared" si="8"/>
        <v>0</v>
      </c>
      <c r="E66" s="129">
        <f t="shared" ref="E66:S66" si="10">ROUND(IF($F$14=0,0,E$37/$F$14*$F9),2)</f>
        <v>0</v>
      </c>
      <c r="F66" s="58">
        <f t="shared" si="10"/>
        <v>0</v>
      </c>
      <c r="G66" s="58">
        <f t="shared" si="10"/>
        <v>0</v>
      </c>
      <c r="H66" s="58">
        <f t="shared" si="10"/>
        <v>0</v>
      </c>
      <c r="I66" s="58">
        <f t="shared" si="10"/>
        <v>0</v>
      </c>
      <c r="J66" s="58">
        <f t="shared" si="10"/>
        <v>0</v>
      </c>
      <c r="K66" s="58">
        <f t="shared" si="10"/>
        <v>0</v>
      </c>
      <c r="L66" s="58">
        <f t="shared" si="10"/>
        <v>0</v>
      </c>
      <c r="M66" s="58">
        <f t="shared" si="10"/>
        <v>0</v>
      </c>
      <c r="N66" s="58">
        <f t="shared" si="10"/>
        <v>0</v>
      </c>
      <c r="O66" s="58">
        <f t="shared" si="10"/>
        <v>0</v>
      </c>
      <c r="P66" s="58">
        <f t="shared" si="10"/>
        <v>0</v>
      </c>
      <c r="Q66" s="58">
        <f t="shared" si="10"/>
        <v>0</v>
      </c>
      <c r="R66" s="58">
        <f t="shared" si="10"/>
        <v>0</v>
      </c>
      <c r="S66" s="130">
        <f t="shared" si="10"/>
        <v>0</v>
      </c>
    </row>
    <row r="67" spans="1:19" x14ac:dyDescent="0.2">
      <c r="B67" s="57" t="str">
        <f>Instructions!P4</f>
        <v>Pay 2009</v>
      </c>
      <c r="C67" s="57" t="s">
        <v>508</v>
      </c>
      <c r="D67" s="46">
        <f t="shared" si="8"/>
        <v>0</v>
      </c>
      <c r="E67" s="129">
        <f t="shared" ref="E67:S67" si="11">ROUND(IF($G$14=0,0,E$38/$G$14*$G9),2)</f>
        <v>0</v>
      </c>
      <c r="F67" s="58">
        <f t="shared" si="11"/>
        <v>0</v>
      </c>
      <c r="G67" s="58">
        <f t="shared" si="11"/>
        <v>0</v>
      </c>
      <c r="H67" s="58">
        <f t="shared" si="11"/>
        <v>0</v>
      </c>
      <c r="I67" s="58">
        <f t="shared" si="11"/>
        <v>0</v>
      </c>
      <c r="J67" s="58">
        <f t="shared" si="11"/>
        <v>0</v>
      </c>
      <c r="K67" s="58">
        <f t="shared" si="11"/>
        <v>0</v>
      </c>
      <c r="L67" s="58">
        <f t="shared" si="11"/>
        <v>0</v>
      </c>
      <c r="M67" s="58">
        <f t="shared" si="11"/>
        <v>0</v>
      </c>
      <c r="N67" s="58">
        <f t="shared" si="11"/>
        <v>0</v>
      </c>
      <c r="O67" s="58">
        <f t="shared" si="11"/>
        <v>0</v>
      </c>
      <c r="P67" s="58">
        <f t="shared" si="11"/>
        <v>0</v>
      </c>
      <c r="Q67" s="58">
        <f t="shared" si="11"/>
        <v>0</v>
      </c>
      <c r="R67" s="58">
        <f t="shared" si="11"/>
        <v>0</v>
      </c>
      <c r="S67" s="130">
        <f t="shared" si="11"/>
        <v>0</v>
      </c>
    </row>
    <row r="68" spans="1:19" x14ac:dyDescent="0.2">
      <c r="B68" s="57" t="str">
        <f>Instructions!P5</f>
        <v>Pay 2008</v>
      </c>
      <c r="C68" s="57" t="s">
        <v>508</v>
      </c>
      <c r="D68" s="46">
        <f t="shared" si="8"/>
        <v>0</v>
      </c>
      <c r="E68" s="129">
        <f t="shared" ref="E68:S68" si="12">ROUND(IF($H$14=0,0,E$39/$H$14*$H9),2)</f>
        <v>0</v>
      </c>
      <c r="F68" s="58">
        <f t="shared" si="12"/>
        <v>0</v>
      </c>
      <c r="G68" s="58">
        <f t="shared" si="12"/>
        <v>0</v>
      </c>
      <c r="H68" s="58">
        <f t="shared" si="12"/>
        <v>0</v>
      </c>
      <c r="I68" s="58">
        <f t="shared" si="12"/>
        <v>0</v>
      </c>
      <c r="J68" s="58">
        <f t="shared" si="12"/>
        <v>0</v>
      </c>
      <c r="K68" s="58">
        <f t="shared" si="12"/>
        <v>0</v>
      </c>
      <c r="L68" s="58">
        <f t="shared" si="12"/>
        <v>0</v>
      </c>
      <c r="M68" s="58">
        <f t="shared" si="12"/>
        <v>0</v>
      </c>
      <c r="N68" s="58">
        <f t="shared" si="12"/>
        <v>0</v>
      </c>
      <c r="O68" s="58">
        <f t="shared" si="12"/>
        <v>0</v>
      </c>
      <c r="P68" s="58">
        <f t="shared" si="12"/>
        <v>0</v>
      </c>
      <c r="Q68" s="58">
        <f t="shared" si="12"/>
        <v>0</v>
      </c>
      <c r="R68" s="58">
        <f t="shared" si="12"/>
        <v>0</v>
      </c>
      <c r="S68" s="130">
        <f t="shared" si="12"/>
        <v>0</v>
      </c>
    </row>
    <row r="69" spans="1:19" x14ac:dyDescent="0.2">
      <c r="B69" s="57" t="str">
        <f>Instructions!P6</f>
        <v>Pay 2007</v>
      </c>
      <c r="C69" s="57" t="s">
        <v>508</v>
      </c>
      <c r="D69" s="46">
        <f t="shared" si="8"/>
        <v>0</v>
      </c>
      <c r="E69" s="129">
        <f t="shared" ref="E69:S69" si="13">ROUND(IF($I$14=0,0,E$40/$I$14*$I9),2)</f>
        <v>0</v>
      </c>
      <c r="F69" s="58">
        <f t="shared" si="13"/>
        <v>0</v>
      </c>
      <c r="G69" s="58">
        <f t="shared" si="13"/>
        <v>0</v>
      </c>
      <c r="H69" s="58">
        <f t="shared" si="13"/>
        <v>0</v>
      </c>
      <c r="I69" s="58">
        <f t="shared" si="13"/>
        <v>0</v>
      </c>
      <c r="J69" s="58">
        <f t="shared" si="13"/>
        <v>0</v>
      </c>
      <c r="K69" s="58">
        <f t="shared" si="13"/>
        <v>0</v>
      </c>
      <c r="L69" s="58">
        <f t="shared" si="13"/>
        <v>0</v>
      </c>
      <c r="M69" s="58">
        <f t="shared" si="13"/>
        <v>0</v>
      </c>
      <c r="N69" s="58">
        <f t="shared" si="13"/>
        <v>0</v>
      </c>
      <c r="O69" s="58">
        <f t="shared" si="13"/>
        <v>0</v>
      </c>
      <c r="P69" s="58">
        <f t="shared" si="13"/>
        <v>0</v>
      </c>
      <c r="Q69" s="58">
        <f t="shared" si="13"/>
        <v>0</v>
      </c>
      <c r="R69" s="58">
        <f t="shared" si="13"/>
        <v>0</v>
      </c>
      <c r="S69" s="130">
        <f t="shared" si="13"/>
        <v>0</v>
      </c>
    </row>
    <row r="70" spans="1:19" x14ac:dyDescent="0.2">
      <c r="B70" s="57" t="str">
        <f>Instructions!P7</f>
        <v>Pay 2006</v>
      </c>
      <c r="C70" s="57" t="s">
        <v>508</v>
      </c>
      <c r="D70" s="46">
        <f t="shared" si="8"/>
        <v>0</v>
      </c>
      <c r="E70" s="129">
        <f t="shared" ref="E70:S70" si="14">ROUND(IF($J$14=0,0,E$41/$J$14*$J9),2)</f>
        <v>0</v>
      </c>
      <c r="F70" s="58">
        <f t="shared" si="14"/>
        <v>0</v>
      </c>
      <c r="G70" s="58">
        <f t="shared" si="14"/>
        <v>0</v>
      </c>
      <c r="H70" s="58">
        <f t="shared" si="14"/>
        <v>0</v>
      </c>
      <c r="I70" s="58">
        <f t="shared" si="14"/>
        <v>0</v>
      </c>
      <c r="J70" s="58">
        <f t="shared" si="14"/>
        <v>0</v>
      </c>
      <c r="K70" s="58">
        <f t="shared" si="14"/>
        <v>0</v>
      </c>
      <c r="L70" s="58">
        <f t="shared" si="14"/>
        <v>0</v>
      </c>
      <c r="M70" s="58">
        <f t="shared" si="14"/>
        <v>0</v>
      </c>
      <c r="N70" s="58">
        <f t="shared" si="14"/>
        <v>0</v>
      </c>
      <c r="O70" s="58">
        <f t="shared" si="14"/>
        <v>0</v>
      </c>
      <c r="P70" s="58">
        <f t="shared" si="14"/>
        <v>0</v>
      </c>
      <c r="Q70" s="58">
        <f t="shared" si="14"/>
        <v>0</v>
      </c>
      <c r="R70" s="58">
        <f t="shared" si="14"/>
        <v>0</v>
      </c>
      <c r="S70" s="130">
        <f t="shared" si="14"/>
        <v>0</v>
      </c>
    </row>
    <row r="71" spans="1:19" x14ac:dyDescent="0.2">
      <c r="B71" s="57" t="str">
        <f>Instructions!P8</f>
        <v>Pay 2005</v>
      </c>
      <c r="C71" s="57" t="s">
        <v>508</v>
      </c>
      <c r="D71" s="46">
        <f t="shared" si="8"/>
        <v>0</v>
      </c>
      <c r="E71" s="129">
        <f t="shared" ref="E71:S71" si="15">ROUND(IF($K$14=0,0,E$42/$K$14*$K9),2)</f>
        <v>0</v>
      </c>
      <c r="F71" s="58">
        <f t="shared" si="15"/>
        <v>0</v>
      </c>
      <c r="G71" s="58">
        <f t="shared" si="15"/>
        <v>0</v>
      </c>
      <c r="H71" s="58">
        <f t="shared" si="15"/>
        <v>0</v>
      </c>
      <c r="I71" s="58">
        <f t="shared" si="15"/>
        <v>0</v>
      </c>
      <c r="J71" s="58">
        <f t="shared" si="15"/>
        <v>0</v>
      </c>
      <c r="K71" s="58">
        <f t="shared" si="15"/>
        <v>0</v>
      </c>
      <c r="L71" s="58">
        <f t="shared" si="15"/>
        <v>0</v>
      </c>
      <c r="M71" s="58">
        <f t="shared" si="15"/>
        <v>0</v>
      </c>
      <c r="N71" s="58">
        <f t="shared" si="15"/>
        <v>0</v>
      </c>
      <c r="O71" s="58">
        <f t="shared" si="15"/>
        <v>0</v>
      </c>
      <c r="P71" s="58">
        <f t="shared" si="15"/>
        <v>0</v>
      </c>
      <c r="Q71" s="58">
        <f t="shared" si="15"/>
        <v>0</v>
      </c>
      <c r="R71" s="58">
        <f t="shared" si="15"/>
        <v>0</v>
      </c>
      <c r="S71" s="130">
        <f t="shared" si="15"/>
        <v>0</v>
      </c>
    </row>
    <row r="72" spans="1:19" x14ac:dyDescent="0.2">
      <c r="B72" s="57"/>
      <c r="C72" s="57"/>
      <c r="E72" s="129"/>
      <c r="F72" s="58"/>
      <c r="G72" s="58"/>
      <c r="H72" s="58"/>
      <c r="I72" s="58"/>
      <c r="J72" s="58"/>
      <c r="K72" s="58"/>
      <c r="L72" s="58"/>
      <c r="M72" s="58"/>
      <c r="N72" s="58"/>
      <c r="O72" s="58"/>
      <c r="P72" s="58"/>
      <c r="Q72" s="58"/>
      <c r="R72" s="58"/>
      <c r="S72" s="130"/>
    </row>
    <row r="73" spans="1:19" x14ac:dyDescent="0.2">
      <c r="B73" s="57"/>
      <c r="C73" s="57" t="s">
        <v>587</v>
      </c>
      <c r="D73" s="46">
        <f>SUM(D65:D72)</f>
        <v>0</v>
      </c>
      <c r="E73" s="134">
        <f t="shared" ref="E73:S73" si="16">SUM(E65:E72)</f>
        <v>0</v>
      </c>
      <c r="F73" s="63">
        <f t="shared" si="16"/>
        <v>0</v>
      </c>
      <c r="G73" s="63">
        <f t="shared" si="16"/>
        <v>0</v>
      </c>
      <c r="H73" s="63">
        <f t="shared" si="16"/>
        <v>0</v>
      </c>
      <c r="I73" s="63">
        <f t="shared" si="16"/>
        <v>0</v>
      </c>
      <c r="J73" s="63">
        <f t="shared" si="16"/>
        <v>0</v>
      </c>
      <c r="K73" s="63">
        <f t="shared" si="16"/>
        <v>0</v>
      </c>
      <c r="L73" s="63">
        <f t="shared" si="16"/>
        <v>0</v>
      </c>
      <c r="M73" s="63">
        <f t="shared" si="16"/>
        <v>0</v>
      </c>
      <c r="N73" s="63">
        <f t="shared" si="16"/>
        <v>0</v>
      </c>
      <c r="O73" s="63">
        <f t="shared" si="16"/>
        <v>0</v>
      </c>
      <c r="P73" s="63">
        <f t="shared" si="16"/>
        <v>0</v>
      </c>
      <c r="Q73" s="63">
        <f t="shared" si="16"/>
        <v>0</v>
      </c>
      <c r="R73" s="63">
        <f t="shared" si="16"/>
        <v>0</v>
      </c>
      <c r="S73" s="135">
        <f t="shared" si="16"/>
        <v>0</v>
      </c>
    </row>
    <row r="74" spans="1:19" x14ac:dyDescent="0.2">
      <c r="B74" s="57"/>
      <c r="C74" s="57"/>
      <c r="E74" s="129"/>
      <c r="F74" s="58"/>
      <c r="G74" s="58"/>
      <c r="H74" s="58"/>
      <c r="I74" s="58"/>
      <c r="J74" s="58"/>
      <c r="K74" s="58"/>
      <c r="L74" s="58"/>
      <c r="M74" s="58"/>
      <c r="N74" s="58"/>
      <c r="O74" s="58"/>
      <c r="P74" s="58"/>
      <c r="Q74" s="58"/>
      <c r="R74" s="58"/>
      <c r="S74" s="130"/>
    </row>
    <row r="75" spans="1:19" x14ac:dyDescent="0.2">
      <c r="B75" s="57"/>
      <c r="C75" s="57"/>
      <c r="E75" s="129"/>
      <c r="F75" s="58"/>
      <c r="G75" s="58"/>
      <c r="H75" s="58"/>
      <c r="I75" s="58"/>
      <c r="J75" s="58"/>
      <c r="K75" s="58"/>
      <c r="L75" s="58"/>
      <c r="M75" s="58"/>
      <c r="N75" s="58"/>
      <c r="O75" s="58"/>
      <c r="P75" s="58"/>
      <c r="Q75" s="58"/>
      <c r="R75" s="58"/>
      <c r="S75" s="130"/>
    </row>
    <row r="76" spans="1:19" x14ac:dyDescent="0.2">
      <c r="A76" s="64"/>
      <c r="B76" s="57" t="str">
        <f>Instructions!P2</f>
        <v>Pay 2011</v>
      </c>
      <c r="C76" s="57" t="s">
        <v>509</v>
      </c>
      <c r="D76" s="46">
        <f t="shared" ref="D76:D82" si="17">SUM(E76:S76)</f>
        <v>0</v>
      </c>
      <c r="E76" s="129">
        <f t="shared" ref="E76:S76" si="18">ROUND(IF($E$14=0,0,E$36/$E$14*$E10),2)</f>
        <v>0</v>
      </c>
      <c r="F76" s="58">
        <f t="shared" si="18"/>
        <v>0</v>
      </c>
      <c r="G76" s="58">
        <f t="shared" si="18"/>
        <v>0</v>
      </c>
      <c r="H76" s="58">
        <f t="shared" si="18"/>
        <v>0</v>
      </c>
      <c r="I76" s="58">
        <f t="shared" si="18"/>
        <v>0</v>
      </c>
      <c r="J76" s="58">
        <f t="shared" si="18"/>
        <v>0</v>
      </c>
      <c r="K76" s="58">
        <f t="shared" si="18"/>
        <v>0</v>
      </c>
      <c r="L76" s="58">
        <f t="shared" si="18"/>
        <v>0</v>
      </c>
      <c r="M76" s="58">
        <f t="shared" si="18"/>
        <v>0</v>
      </c>
      <c r="N76" s="58">
        <f t="shared" si="18"/>
        <v>0</v>
      </c>
      <c r="O76" s="58">
        <f t="shared" si="18"/>
        <v>0</v>
      </c>
      <c r="P76" s="58">
        <f t="shared" si="18"/>
        <v>0</v>
      </c>
      <c r="Q76" s="58">
        <f t="shared" si="18"/>
        <v>0</v>
      </c>
      <c r="R76" s="58">
        <f t="shared" si="18"/>
        <v>0</v>
      </c>
      <c r="S76" s="130">
        <f t="shared" si="18"/>
        <v>0</v>
      </c>
    </row>
    <row r="77" spans="1:19" x14ac:dyDescent="0.2">
      <c r="B77" s="57" t="str">
        <f>Instructions!P3</f>
        <v>Pay 2010</v>
      </c>
      <c r="C77" s="57" t="s">
        <v>509</v>
      </c>
      <c r="D77" s="46">
        <f t="shared" si="17"/>
        <v>0</v>
      </c>
      <c r="E77" s="129">
        <f t="shared" ref="E77:S77" si="19">ROUND(IF($F$14=0,0,E$37/$F$14*$F10),2)</f>
        <v>0</v>
      </c>
      <c r="F77" s="58">
        <f t="shared" si="19"/>
        <v>0</v>
      </c>
      <c r="G77" s="58">
        <f t="shared" si="19"/>
        <v>0</v>
      </c>
      <c r="H77" s="58">
        <f t="shared" si="19"/>
        <v>0</v>
      </c>
      <c r="I77" s="58">
        <f t="shared" si="19"/>
        <v>0</v>
      </c>
      <c r="J77" s="58">
        <f t="shared" si="19"/>
        <v>0</v>
      </c>
      <c r="K77" s="58">
        <f t="shared" si="19"/>
        <v>0</v>
      </c>
      <c r="L77" s="58">
        <f t="shared" si="19"/>
        <v>0</v>
      </c>
      <c r="M77" s="58">
        <f t="shared" si="19"/>
        <v>0</v>
      </c>
      <c r="N77" s="58">
        <f t="shared" si="19"/>
        <v>0</v>
      </c>
      <c r="O77" s="58">
        <f t="shared" si="19"/>
        <v>0</v>
      </c>
      <c r="P77" s="58">
        <f t="shared" si="19"/>
        <v>0</v>
      </c>
      <c r="Q77" s="58">
        <f t="shared" si="19"/>
        <v>0</v>
      </c>
      <c r="R77" s="58">
        <f t="shared" si="19"/>
        <v>0</v>
      </c>
      <c r="S77" s="130">
        <f t="shared" si="19"/>
        <v>0</v>
      </c>
    </row>
    <row r="78" spans="1:19" x14ac:dyDescent="0.2">
      <c r="B78" s="57" t="str">
        <f>Instructions!P4</f>
        <v>Pay 2009</v>
      </c>
      <c r="C78" s="57" t="s">
        <v>509</v>
      </c>
      <c r="D78" s="46">
        <f t="shared" si="17"/>
        <v>0</v>
      </c>
      <c r="E78" s="129">
        <f t="shared" ref="E78:S78" si="20">ROUND(IF($G$14=0,0,E$38/$G$14*$G10),2)</f>
        <v>0</v>
      </c>
      <c r="F78" s="58">
        <f t="shared" si="20"/>
        <v>0</v>
      </c>
      <c r="G78" s="58">
        <f t="shared" si="20"/>
        <v>0</v>
      </c>
      <c r="H78" s="58">
        <f t="shared" si="20"/>
        <v>0</v>
      </c>
      <c r="I78" s="58">
        <f t="shared" si="20"/>
        <v>0</v>
      </c>
      <c r="J78" s="58">
        <f t="shared" si="20"/>
        <v>0</v>
      </c>
      <c r="K78" s="58">
        <f t="shared" si="20"/>
        <v>0</v>
      </c>
      <c r="L78" s="58">
        <f t="shared" si="20"/>
        <v>0</v>
      </c>
      <c r="M78" s="58">
        <f t="shared" si="20"/>
        <v>0</v>
      </c>
      <c r="N78" s="58">
        <f t="shared" si="20"/>
        <v>0</v>
      </c>
      <c r="O78" s="58">
        <f t="shared" si="20"/>
        <v>0</v>
      </c>
      <c r="P78" s="58">
        <f t="shared" si="20"/>
        <v>0</v>
      </c>
      <c r="Q78" s="58">
        <f t="shared" si="20"/>
        <v>0</v>
      </c>
      <c r="R78" s="58">
        <f t="shared" si="20"/>
        <v>0</v>
      </c>
      <c r="S78" s="130">
        <f t="shared" si="20"/>
        <v>0</v>
      </c>
    </row>
    <row r="79" spans="1:19" x14ac:dyDescent="0.2">
      <c r="B79" s="57" t="str">
        <f>Instructions!P5</f>
        <v>Pay 2008</v>
      </c>
      <c r="C79" s="57" t="s">
        <v>509</v>
      </c>
      <c r="D79" s="46">
        <f t="shared" si="17"/>
        <v>0</v>
      </c>
      <c r="E79" s="129">
        <f t="shared" ref="E79:S79" si="21">ROUND(IF($H$14=0,0,E$39/$H$14*$H10),2)</f>
        <v>0</v>
      </c>
      <c r="F79" s="58">
        <f t="shared" si="21"/>
        <v>0</v>
      </c>
      <c r="G79" s="58">
        <f t="shared" si="21"/>
        <v>0</v>
      </c>
      <c r="H79" s="58">
        <f t="shared" si="21"/>
        <v>0</v>
      </c>
      <c r="I79" s="58">
        <f t="shared" si="21"/>
        <v>0</v>
      </c>
      <c r="J79" s="58">
        <f t="shared" si="21"/>
        <v>0</v>
      </c>
      <c r="K79" s="58">
        <f t="shared" si="21"/>
        <v>0</v>
      </c>
      <c r="L79" s="58">
        <f t="shared" si="21"/>
        <v>0</v>
      </c>
      <c r="M79" s="58">
        <f t="shared" si="21"/>
        <v>0</v>
      </c>
      <c r="N79" s="58">
        <f t="shared" si="21"/>
        <v>0</v>
      </c>
      <c r="O79" s="58">
        <f t="shared" si="21"/>
        <v>0</v>
      </c>
      <c r="P79" s="58">
        <f t="shared" si="21"/>
        <v>0</v>
      </c>
      <c r="Q79" s="58">
        <f t="shared" si="21"/>
        <v>0</v>
      </c>
      <c r="R79" s="58">
        <f t="shared" si="21"/>
        <v>0</v>
      </c>
      <c r="S79" s="130">
        <f t="shared" si="21"/>
        <v>0</v>
      </c>
    </row>
    <row r="80" spans="1:19" x14ac:dyDescent="0.2">
      <c r="B80" s="57" t="str">
        <f>Instructions!P6</f>
        <v>Pay 2007</v>
      </c>
      <c r="C80" s="57" t="s">
        <v>509</v>
      </c>
      <c r="D80" s="46">
        <f t="shared" si="17"/>
        <v>0</v>
      </c>
      <c r="E80" s="129">
        <f t="shared" ref="E80:S80" si="22">ROUND(IF($I$14=0,0,E$40/$I$14*$I10),2)</f>
        <v>0</v>
      </c>
      <c r="F80" s="58">
        <f t="shared" si="22"/>
        <v>0</v>
      </c>
      <c r="G80" s="58">
        <f t="shared" si="22"/>
        <v>0</v>
      </c>
      <c r="H80" s="58">
        <f t="shared" si="22"/>
        <v>0</v>
      </c>
      <c r="I80" s="58">
        <f t="shared" si="22"/>
        <v>0</v>
      </c>
      <c r="J80" s="58">
        <f t="shared" si="22"/>
        <v>0</v>
      </c>
      <c r="K80" s="58">
        <f t="shared" si="22"/>
        <v>0</v>
      </c>
      <c r="L80" s="58">
        <f t="shared" si="22"/>
        <v>0</v>
      </c>
      <c r="M80" s="58">
        <f t="shared" si="22"/>
        <v>0</v>
      </c>
      <c r="N80" s="58">
        <f t="shared" si="22"/>
        <v>0</v>
      </c>
      <c r="O80" s="58">
        <f t="shared" si="22"/>
        <v>0</v>
      </c>
      <c r="P80" s="58">
        <f t="shared" si="22"/>
        <v>0</v>
      </c>
      <c r="Q80" s="58">
        <f t="shared" si="22"/>
        <v>0</v>
      </c>
      <c r="R80" s="58">
        <f t="shared" si="22"/>
        <v>0</v>
      </c>
      <c r="S80" s="130">
        <f t="shared" si="22"/>
        <v>0</v>
      </c>
    </row>
    <row r="81" spans="1:19" x14ac:dyDescent="0.2">
      <c r="B81" s="57" t="str">
        <f>Instructions!P7</f>
        <v>Pay 2006</v>
      </c>
      <c r="C81" s="57" t="s">
        <v>509</v>
      </c>
      <c r="D81" s="46">
        <f t="shared" si="17"/>
        <v>0</v>
      </c>
      <c r="E81" s="129">
        <f t="shared" ref="E81:S81" si="23">ROUND(IF($J$14=0,0,E$41/$J$14*$J10),2)</f>
        <v>0</v>
      </c>
      <c r="F81" s="58">
        <f t="shared" si="23"/>
        <v>0</v>
      </c>
      <c r="G81" s="58">
        <f t="shared" si="23"/>
        <v>0</v>
      </c>
      <c r="H81" s="58">
        <f t="shared" si="23"/>
        <v>0</v>
      </c>
      <c r="I81" s="58">
        <f t="shared" si="23"/>
        <v>0</v>
      </c>
      <c r="J81" s="58">
        <f t="shared" si="23"/>
        <v>0</v>
      </c>
      <c r="K81" s="58">
        <f t="shared" si="23"/>
        <v>0</v>
      </c>
      <c r="L81" s="58">
        <f t="shared" si="23"/>
        <v>0</v>
      </c>
      <c r="M81" s="58">
        <f t="shared" si="23"/>
        <v>0</v>
      </c>
      <c r="N81" s="58">
        <f t="shared" si="23"/>
        <v>0</v>
      </c>
      <c r="O81" s="58">
        <f t="shared" si="23"/>
        <v>0</v>
      </c>
      <c r="P81" s="58">
        <f t="shared" si="23"/>
        <v>0</v>
      </c>
      <c r="Q81" s="58">
        <f t="shared" si="23"/>
        <v>0</v>
      </c>
      <c r="R81" s="58">
        <f t="shared" si="23"/>
        <v>0</v>
      </c>
      <c r="S81" s="130">
        <f t="shared" si="23"/>
        <v>0</v>
      </c>
    </row>
    <row r="82" spans="1:19" x14ac:dyDescent="0.2">
      <c r="B82" s="57" t="str">
        <f>Instructions!P8</f>
        <v>Pay 2005</v>
      </c>
      <c r="C82" s="57" t="s">
        <v>509</v>
      </c>
      <c r="D82" s="46">
        <f t="shared" si="17"/>
        <v>0</v>
      </c>
      <c r="E82" s="129">
        <f t="shared" ref="E82:S82" si="24">ROUND(IF($K$14=0,0,E$42/$K$14*$K10),2)</f>
        <v>0</v>
      </c>
      <c r="F82" s="58">
        <f t="shared" si="24"/>
        <v>0</v>
      </c>
      <c r="G82" s="58">
        <f t="shared" si="24"/>
        <v>0</v>
      </c>
      <c r="H82" s="58">
        <f t="shared" si="24"/>
        <v>0</v>
      </c>
      <c r="I82" s="58">
        <f t="shared" si="24"/>
        <v>0</v>
      </c>
      <c r="J82" s="58">
        <f t="shared" si="24"/>
        <v>0</v>
      </c>
      <c r="K82" s="58">
        <f t="shared" si="24"/>
        <v>0</v>
      </c>
      <c r="L82" s="58">
        <f t="shared" si="24"/>
        <v>0</v>
      </c>
      <c r="M82" s="58">
        <f t="shared" si="24"/>
        <v>0</v>
      </c>
      <c r="N82" s="58">
        <f t="shared" si="24"/>
        <v>0</v>
      </c>
      <c r="O82" s="58">
        <f t="shared" si="24"/>
        <v>0</v>
      </c>
      <c r="P82" s="58">
        <f t="shared" si="24"/>
        <v>0</v>
      </c>
      <c r="Q82" s="58">
        <f t="shared" si="24"/>
        <v>0</v>
      </c>
      <c r="R82" s="58">
        <f t="shared" si="24"/>
        <v>0</v>
      </c>
      <c r="S82" s="130">
        <f t="shared" si="24"/>
        <v>0</v>
      </c>
    </row>
    <row r="83" spans="1:19" x14ac:dyDescent="0.2">
      <c r="B83" s="57"/>
      <c r="C83" s="57"/>
      <c r="E83" s="129"/>
      <c r="F83" s="58"/>
      <c r="G83" s="58"/>
      <c r="H83" s="58"/>
      <c r="I83" s="58"/>
      <c r="J83" s="58"/>
      <c r="K83" s="58"/>
      <c r="L83" s="58"/>
      <c r="M83" s="58"/>
      <c r="N83" s="58"/>
      <c r="O83" s="58"/>
      <c r="P83" s="58"/>
      <c r="Q83" s="58"/>
      <c r="R83" s="58"/>
      <c r="S83" s="130"/>
    </row>
    <row r="84" spans="1:19" x14ac:dyDescent="0.2">
      <c r="B84" s="57"/>
      <c r="C84" s="57" t="s">
        <v>587</v>
      </c>
      <c r="D84" s="46">
        <f>SUM(D76:D83)</f>
        <v>0</v>
      </c>
      <c r="E84" s="134">
        <f t="shared" ref="E84:S84" si="25">SUM(E76:E83)</f>
        <v>0</v>
      </c>
      <c r="F84" s="63">
        <f t="shared" si="25"/>
        <v>0</v>
      </c>
      <c r="G84" s="63">
        <f t="shared" si="25"/>
        <v>0</v>
      </c>
      <c r="H84" s="63">
        <f t="shared" si="25"/>
        <v>0</v>
      </c>
      <c r="I84" s="63">
        <f t="shared" si="25"/>
        <v>0</v>
      </c>
      <c r="J84" s="63">
        <f t="shared" si="25"/>
        <v>0</v>
      </c>
      <c r="K84" s="63">
        <f t="shared" si="25"/>
        <v>0</v>
      </c>
      <c r="L84" s="63">
        <f t="shared" si="25"/>
        <v>0</v>
      </c>
      <c r="M84" s="63">
        <f t="shared" si="25"/>
        <v>0</v>
      </c>
      <c r="N84" s="63">
        <f t="shared" si="25"/>
        <v>0</v>
      </c>
      <c r="O84" s="63">
        <f t="shared" si="25"/>
        <v>0</v>
      </c>
      <c r="P84" s="63">
        <f t="shared" si="25"/>
        <v>0</v>
      </c>
      <c r="Q84" s="63">
        <f t="shared" si="25"/>
        <v>0</v>
      </c>
      <c r="R84" s="63">
        <f t="shared" si="25"/>
        <v>0</v>
      </c>
      <c r="S84" s="135">
        <f t="shared" si="25"/>
        <v>0</v>
      </c>
    </row>
    <row r="85" spans="1:19" x14ac:dyDescent="0.2">
      <c r="B85" s="57"/>
      <c r="C85" s="57"/>
      <c r="E85" s="129"/>
      <c r="F85" s="58"/>
      <c r="G85" s="58"/>
      <c r="H85" s="58"/>
      <c r="I85" s="58"/>
      <c r="J85" s="58"/>
      <c r="K85" s="58"/>
      <c r="L85" s="58"/>
      <c r="M85" s="58"/>
      <c r="N85" s="58"/>
      <c r="O85" s="58"/>
      <c r="P85" s="58"/>
      <c r="Q85" s="58"/>
      <c r="R85" s="58"/>
      <c r="S85" s="130"/>
    </row>
    <row r="86" spans="1:19" x14ac:dyDescent="0.2">
      <c r="A86" s="64"/>
      <c r="B86" s="57"/>
      <c r="C86" s="57"/>
      <c r="E86" s="129"/>
      <c r="F86" s="58"/>
      <c r="G86" s="58"/>
      <c r="H86" s="58"/>
      <c r="I86" s="58"/>
      <c r="J86" s="58"/>
      <c r="K86" s="58"/>
      <c r="L86" s="58"/>
      <c r="M86" s="58"/>
      <c r="N86" s="58"/>
      <c r="O86" s="58"/>
      <c r="P86" s="58"/>
      <c r="Q86" s="58"/>
      <c r="R86" s="58"/>
      <c r="S86" s="130"/>
    </row>
    <row r="87" spans="1:19" x14ac:dyDescent="0.2">
      <c r="B87" s="57" t="str">
        <f>Instructions!P2</f>
        <v>Pay 2011</v>
      </c>
      <c r="C87" s="57" t="s">
        <v>591</v>
      </c>
      <c r="D87" s="46">
        <f t="shared" ref="D87:D93" si="26">SUM(E87:S87)</f>
        <v>0</v>
      </c>
      <c r="E87" s="129">
        <f t="shared" ref="E87:S87" si="27">ROUND(IF($E$14=0,0,E$36/$E$14*$E11),2)</f>
        <v>0</v>
      </c>
      <c r="F87" s="58">
        <f t="shared" si="27"/>
        <v>0</v>
      </c>
      <c r="G87" s="58">
        <f t="shared" si="27"/>
        <v>0</v>
      </c>
      <c r="H87" s="58">
        <f t="shared" si="27"/>
        <v>0</v>
      </c>
      <c r="I87" s="58">
        <f t="shared" si="27"/>
        <v>0</v>
      </c>
      <c r="J87" s="58">
        <f t="shared" si="27"/>
        <v>0</v>
      </c>
      <c r="K87" s="58">
        <f t="shared" si="27"/>
        <v>0</v>
      </c>
      <c r="L87" s="58">
        <f t="shared" si="27"/>
        <v>0</v>
      </c>
      <c r="M87" s="58">
        <f t="shared" si="27"/>
        <v>0</v>
      </c>
      <c r="N87" s="58">
        <f t="shared" si="27"/>
        <v>0</v>
      </c>
      <c r="O87" s="58">
        <f t="shared" si="27"/>
        <v>0</v>
      </c>
      <c r="P87" s="58">
        <f t="shared" si="27"/>
        <v>0</v>
      </c>
      <c r="Q87" s="58">
        <f t="shared" si="27"/>
        <v>0</v>
      </c>
      <c r="R87" s="58">
        <f t="shared" si="27"/>
        <v>0</v>
      </c>
      <c r="S87" s="130">
        <f t="shared" si="27"/>
        <v>0</v>
      </c>
    </row>
    <row r="88" spans="1:19" x14ac:dyDescent="0.2">
      <c r="B88" s="57" t="str">
        <f>Instructions!P3</f>
        <v>Pay 2010</v>
      </c>
      <c r="C88" s="57" t="s">
        <v>591</v>
      </c>
      <c r="D88" s="46">
        <f t="shared" si="26"/>
        <v>0</v>
      </c>
      <c r="E88" s="129">
        <f t="shared" ref="E88:S88" si="28">ROUND(IF($F$14=0,0,E$37/$F$14*$F11),2)</f>
        <v>0</v>
      </c>
      <c r="F88" s="58">
        <f t="shared" si="28"/>
        <v>0</v>
      </c>
      <c r="G88" s="58">
        <f t="shared" si="28"/>
        <v>0</v>
      </c>
      <c r="H88" s="58">
        <f t="shared" si="28"/>
        <v>0</v>
      </c>
      <c r="I88" s="58">
        <f t="shared" si="28"/>
        <v>0</v>
      </c>
      <c r="J88" s="58">
        <f t="shared" si="28"/>
        <v>0</v>
      </c>
      <c r="K88" s="58">
        <f t="shared" si="28"/>
        <v>0</v>
      </c>
      <c r="L88" s="58">
        <f t="shared" si="28"/>
        <v>0</v>
      </c>
      <c r="M88" s="58">
        <f t="shared" si="28"/>
        <v>0</v>
      </c>
      <c r="N88" s="58">
        <f t="shared" si="28"/>
        <v>0</v>
      </c>
      <c r="O88" s="58">
        <f t="shared" si="28"/>
        <v>0</v>
      </c>
      <c r="P88" s="58">
        <f t="shared" si="28"/>
        <v>0</v>
      </c>
      <c r="Q88" s="58">
        <f t="shared" si="28"/>
        <v>0</v>
      </c>
      <c r="R88" s="58">
        <f t="shared" si="28"/>
        <v>0</v>
      </c>
      <c r="S88" s="130">
        <f t="shared" si="28"/>
        <v>0</v>
      </c>
    </row>
    <row r="89" spans="1:19" x14ac:dyDescent="0.2">
      <c r="B89" s="57" t="str">
        <f>Instructions!P4</f>
        <v>Pay 2009</v>
      </c>
      <c r="C89" s="57" t="s">
        <v>591</v>
      </c>
      <c r="D89" s="46">
        <f t="shared" si="26"/>
        <v>0</v>
      </c>
      <c r="E89" s="129">
        <f t="shared" ref="E89:S89" si="29">ROUND(IF($G$14=0,0,E$38/$G$14*$G11),2)</f>
        <v>0</v>
      </c>
      <c r="F89" s="58">
        <f t="shared" si="29"/>
        <v>0</v>
      </c>
      <c r="G89" s="58">
        <f t="shared" si="29"/>
        <v>0</v>
      </c>
      <c r="H89" s="58">
        <f t="shared" si="29"/>
        <v>0</v>
      </c>
      <c r="I89" s="58">
        <f t="shared" si="29"/>
        <v>0</v>
      </c>
      <c r="J89" s="58">
        <f t="shared" si="29"/>
        <v>0</v>
      </c>
      <c r="K89" s="58">
        <f t="shared" si="29"/>
        <v>0</v>
      </c>
      <c r="L89" s="58">
        <f t="shared" si="29"/>
        <v>0</v>
      </c>
      <c r="M89" s="58">
        <f t="shared" si="29"/>
        <v>0</v>
      </c>
      <c r="N89" s="58">
        <f t="shared" si="29"/>
        <v>0</v>
      </c>
      <c r="O89" s="58">
        <f t="shared" si="29"/>
        <v>0</v>
      </c>
      <c r="P89" s="58">
        <f t="shared" si="29"/>
        <v>0</v>
      </c>
      <c r="Q89" s="58">
        <f t="shared" si="29"/>
        <v>0</v>
      </c>
      <c r="R89" s="58">
        <f t="shared" si="29"/>
        <v>0</v>
      </c>
      <c r="S89" s="130">
        <f t="shared" si="29"/>
        <v>0</v>
      </c>
    </row>
    <row r="90" spans="1:19" x14ac:dyDescent="0.2">
      <c r="B90" s="57" t="str">
        <f>Instructions!P5</f>
        <v>Pay 2008</v>
      </c>
      <c r="C90" s="57" t="s">
        <v>591</v>
      </c>
      <c r="D90" s="46">
        <f t="shared" si="26"/>
        <v>0</v>
      </c>
      <c r="E90" s="129">
        <f t="shared" ref="E90:S90" si="30">ROUND(IF($H$14=0,0,E$39/$H$14*$H11),2)</f>
        <v>0</v>
      </c>
      <c r="F90" s="58">
        <f t="shared" si="30"/>
        <v>0</v>
      </c>
      <c r="G90" s="58">
        <f t="shared" si="30"/>
        <v>0</v>
      </c>
      <c r="H90" s="58">
        <f t="shared" si="30"/>
        <v>0</v>
      </c>
      <c r="I90" s="58">
        <f t="shared" si="30"/>
        <v>0</v>
      </c>
      <c r="J90" s="58">
        <f t="shared" si="30"/>
        <v>0</v>
      </c>
      <c r="K90" s="58">
        <f t="shared" si="30"/>
        <v>0</v>
      </c>
      <c r="L90" s="58">
        <f t="shared" si="30"/>
        <v>0</v>
      </c>
      <c r="M90" s="58">
        <f t="shared" si="30"/>
        <v>0</v>
      </c>
      <c r="N90" s="58">
        <f t="shared" si="30"/>
        <v>0</v>
      </c>
      <c r="O90" s="58">
        <f t="shared" si="30"/>
        <v>0</v>
      </c>
      <c r="P90" s="58">
        <f t="shared" si="30"/>
        <v>0</v>
      </c>
      <c r="Q90" s="58">
        <f t="shared" si="30"/>
        <v>0</v>
      </c>
      <c r="R90" s="58">
        <f t="shared" si="30"/>
        <v>0</v>
      </c>
      <c r="S90" s="130">
        <f t="shared" si="30"/>
        <v>0</v>
      </c>
    </row>
    <row r="91" spans="1:19" x14ac:dyDescent="0.2">
      <c r="B91" s="57" t="str">
        <f>Instructions!P6</f>
        <v>Pay 2007</v>
      </c>
      <c r="C91" s="57" t="s">
        <v>591</v>
      </c>
      <c r="D91" s="46">
        <f t="shared" si="26"/>
        <v>0</v>
      </c>
      <c r="E91" s="129">
        <f t="shared" ref="E91:S91" si="31">ROUND(IF($I$14=0,0,E$40/$I$14*$I11),2)</f>
        <v>0</v>
      </c>
      <c r="F91" s="58">
        <f t="shared" si="31"/>
        <v>0</v>
      </c>
      <c r="G91" s="58">
        <f t="shared" si="31"/>
        <v>0</v>
      </c>
      <c r="H91" s="58">
        <f t="shared" si="31"/>
        <v>0</v>
      </c>
      <c r="I91" s="58">
        <f t="shared" si="31"/>
        <v>0</v>
      </c>
      <c r="J91" s="58">
        <f t="shared" si="31"/>
        <v>0</v>
      </c>
      <c r="K91" s="58">
        <f t="shared" si="31"/>
        <v>0</v>
      </c>
      <c r="L91" s="58">
        <f t="shared" si="31"/>
        <v>0</v>
      </c>
      <c r="M91" s="58">
        <f t="shared" si="31"/>
        <v>0</v>
      </c>
      <c r="N91" s="58">
        <f t="shared" si="31"/>
        <v>0</v>
      </c>
      <c r="O91" s="58">
        <f t="shared" si="31"/>
        <v>0</v>
      </c>
      <c r="P91" s="58">
        <f t="shared" si="31"/>
        <v>0</v>
      </c>
      <c r="Q91" s="58">
        <f t="shared" si="31"/>
        <v>0</v>
      </c>
      <c r="R91" s="58">
        <f t="shared" si="31"/>
        <v>0</v>
      </c>
      <c r="S91" s="130">
        <f t="shared" si="31"/>
        <v>0</v>
      </c>
    </row>
    <row r="92" spans="1:19" x14ac:dyDescent="0.2">
      <c r="B92" s="57" t="str">
        <f>Instructions!P7</f>
        <v>Pay 2006</v>
      </c>
      <c r="C92" s="57" t="s">
        <v>591</v>
      </c>
      <c r="D92" s="46">
        <f t="shared" si="26"/>
        <v>0</v>
      </c>
      <c r="E92" s="129">
        <f t="shared" ref="E92:S92" si="32">ROUND(IF($J$14=0,0,E$41/$J$14*$J11),2)</f>
        <v>0</v>
      </c>
      <c r="F92" s="58">
        <f t="shared" si="32"/>
        <v>0</v>
      </c>
      <c r="G92" s="58">
        <f t="shared" si="32"/>
        <v>0</v>
      </c>
      <c r="H92" s="58">
        <f t="shared" si="32"/>
        <v>0</v>
      </c>
      <c r="I92" s="58">
        <f t="shared" si="32"/>
        <v>0</v>
      </c>
      <c r="J92" s="58">
        <f t="shared" si="32"/>
        <v>0</v>
      </c>
      <c r="K92" s="58">
        <f t="shared" si="32"/>
        <v>0</v>
      </c>
      <c r="L92" s="58">
        <f t="shared" si="32"/>
        <v>0</v>
      </c>
      <c r="M92" s="58">
        <f t="shared" si="32"/>
        <v>0</v>
      </c>
      <c r="N92" s="58">
        <f t="shared" si="32"/>
        <v>0</v>
      </c>
      <c r="O92" s="58">
        <f t="shared" si="32"/>
        <v>0</v>
      </c>
      <c r="P92" s="58">
        <f t="shared" si="32"/>
        <v>0</v>
      </c>
      <c r="Q92" s="58">
        <f t="shared" si="32"/>
        <v>0</v>
      </c>
      <c r="R92" s="58">
        <f t="shared" si="32"/>
        <v>0</v>
      </c>
      <c r="S92" s="130">
        <f t="shared" si="32"/>
        <v>0</v>
      </c>
    </row>
    <row r="93" spans="1:19" x14ac:dyDescent="0.2">
      <c r="B93" s="57" t="str">
        <f>Instructions!P8</f>
        <v>Pay 2005</v>
      </c>
      <c r="C93" s="57" t="s">
        <v>591</v>
      </c>
      <c r="D93" s="46">
        <f t="shared" si="26"/>
        <v>0</v>
      </c>
      <c r="E93" s="129">
        <f t="shared" ref="E93:S93" si="33">ROUND(IF($K$14=0,0,E$42/$K$14*$K11),2)</f>
        <v>0</v>
      </c>
      <c r="F93" s="58">
        <f t="shared" si="33"/>
        <v>0</v>
      </c>
      <c r="G93" s="58">
        <f t="shared" si="33"/>
        <v>0</v>
      </c>
      <c r="H93" s="58">
        <f t="shared" si="33"/>
        <v>0</v>
      </c>
      <c r="I93" s="58">
        <f t="shared" si="33"/>
        <v>0</v>
      </c>
      <c r="J93" s="58">
        <f t="shared" si="33"/>
        <v>0</v>
      </c>
      <c r="K93" s="58">
        <f t="shared" si="33"/>
        <v>0</v>
      </c>
      <c r="L93" s="58">
        <f t="shared" si="33"/>
        <v>0</v>
      </c>
      <c r="M93" s="58">
        <f t="shared" si="33"/>
        <v>0</v>
      </c>
      <c r="N93" s="58">
        <f t="shared" si="33"/>
        <v>0</v>
      </c>
      <c r="O93" s="58">
        <f t="shared" si="33"/>
        <v>0</v>
      </c>
      <c r="P93" s="58">
        <f t="shared" si="33"/>
        <v>0</v>
      </c>
      <c r="Q93" s="58">
        <f t="shared" si="33"/>
        <v>0</v>
      </c>
      <c r="R93" s="58">
        <f t="shared" si="33"/>
        <v>0</v>
      </c>
      <c r="S93" s="130">
        <f t="shared" si="33"/>
        <v>0</v>
      </c>
    </row>
    <row r="94" spans="1:19" x14ac:dyDescent="0.2">
      <c r="E94" s="129"/>
      <c r="F94" s="58"/>
      <c r="G94" s="58"/>
      <c r="H94" s="58"/>
      <c r="I94" s="58"/>
      <c r="J94" s="58"/>
      <c r="K94" s="58"/>
      <c r="L94" s="58"/>
      <c r="M94" s="58"/>
      <c r="N94" s="58"/>
      <c r="O94" s="58"/>
      <c r="P94" s="58"/>
      <c r="Q94" s="58"/>
      <c r="R94" s="58"/>
      <c r="S94" s="130"/>
    </row>
    <row r="95" spans="1:19" x14ac:dyDescent="0.2">
      <c r="C95" s="62" t="s">
        <v>587</v>
      </c>
      <c r="D95" s="47">
        <f>SUM(D87:D94)</f>
        <v>0</v>
      </c>
      <c r="E95" s="129">
        <f t="shared" ref="E95:S95" si="34">SUM(E87:E94)</f>
        <v>0</v>
      </c>
      <c r="F95" s="58">
        <f t="shared" si="34"/>
        <v>0</v>
      </c>
      <c r="G95" s="58">
        <f t="shared" si="34"/>
        <v>0</v>
      </c>
      <c r="H95" s="58">
        <f t="shared" si="34"/>
        <v>0</v>
      </c>
      <c r="I95" s="58">
        <f t="shared" si="34"/>
        <v>0</v>
      </c>
      <c r="J95" s="58">
        <f t="shared" si="34"/>
        <v>0</v>
      </c>
      <c r="K95" s="58">
        <f t="shared" si="34"/>
        <v>0</v>
      </c>
      <c r="L95" s="58">
        <f t="shared" si="34"/>
        <v>0</v>
      </c>
      <c r="M95" s="58">
        <f t="shared" si="34"/>
        <v>0</v>
      </c>
      <c r="N95" s="58">
        <f t="shared" si="34"/>
        <v>0</v>
      </c>
      <c r="O95" s="58">
        <f t="shared" si="34"/>
        <v>0</v>
      </c>
      <c r="P95" s="58">
        <f t="shared" si="34"/>
        <v>0</v>
      </c>
      <c r="Q95" s="58">
        <f t="shared" si="34"/>
        <v>0</v>
      </c>
      <c r="R95" s="58">
        <f t="shared" si="34"/>
        <v>0</v>
      </c>
      <c r="S95" s="130">
        <f t="shared" si="34"/>
        <v>0</v>
      </c>
    </row>
    <row r="96" spans="1:19" x14ac:dyDescent="0.2">
      <c r="B96" s="62"/>
      <c r="D96" s="47"/>
      <c r="E96" s="129"/>
      <c r="F96" s="58"/>
      <c r="G96" s="58"/>
      <c r="H96" s="58"/>
      <c r="I96" s="58"/>
      <c r="J96" s="58"/>
      <c r="K96" s="58"/>
      <c r="L96" s="58"/>
      <c r="M96" s="58"/>
      <c r="N96" s="58"/>
      <c r="O96" s="58"/>
      <c r="P96" s="58"/>
      <c r="Q96" s="58"/>
      <c r="R96" s="58"/>
      <c r="S96" s="130"/>
    </row>
    <row r="97" spans="1:19" x14ac:dyDescent="0.2">
      <c r="B97" s="62"/>
      <c r="D97" s="47"/>
      <c r="E97" s="129"/>
      <c r="F97" s="58"/>
      <c r="G97" s="58"/>
      <c r="H97" s="58"/>
      <c r="I97" s="58"/>
      <c r="J97" s="58"/>
      <c r="K97" s="58"/>
      <c r="L97" s="58"/>
      <c r="M97" s="58"/>
      <c r="N97" s="58"/>
      <c r="O97" s="58"/>
      <c r="P97" s="58"/>
      <c r="Q97" s="58"/>
      <c r="R97" s="58"/>
      <c r="S97" s="130"/>
    </row>
    <row r="98" spans="1:19" x14ac:dyDescent="0.2">
      <c r="B98" s="57" t="str">
        <f>Instructions!P2</f>
        <v>Pay 2011</v>
      </c>
      <c r="C98" s="57" t="s">
        <v>3</v>
      </c>
      <c r="D98" s="46">
        <f t="shared" ref="D98:D104" si="35">SUM(E98:S98)</f>
        <v>0</v>
      </c>
      <c r="E98" s="129">
        <f>ROUND(IF($E$14=0,0,E$36/$E$14*$E12),2)</f>
        <v>0</v>
      </c>
      <c r="F98" s="58">
        <f t="shared" ref="F98:S98" si="36">ROUND(IF($E$14=0,0,F$36/$E$14*$E12),2)</f>
        <v>0</v>
      </c>
      <c r="G98" s="58">
        <f t="shared" si="36"/>
        <v>0</v>
      </c>
      <c r="H98" s="58">
        <f t="shared" si="36"/>
        <v>0</v>
      </c>
      <c r="I98" s="58">
        <f t="shared" si="36"/>
        <v>0</v>
      </c>
      <c r="J98" s="58">
        <f t="shared" si="36"/>
        <v>0</v>
      </c>
      <c r="K98" s="58">
        <f t="shared" si="36"/>
        <v>0</v>
      </c>
      <c r="L98" s="58">
        <f t="shared" si="36"/>
        <v>0</v>
      </c>
      <c r="M98" s="58">
        <f t="shared" si="36"/>
        <v>0</v>
      </c>
      <c r="N98" s="58">
        <f t="shared" si="36"/>
        <v>0</v>
      </c>
      <c r="O98" s="58">
        <f t="shared" si="36"/>
        <v>0</v>
      </c>
      <c r="P98" s="58">
        <f t="shared" si="36"/>
        <v>0</v>
      </c>
      <c r="Q98" s="58">
        <f t="shared" si="36"/>
        <v>0</v>
      </c>
      <c r="R98" s="58">
        <f t="shared" si="36"/>
        <v>0</v>
      </c>
      <c r="S98" s="130">
        <f t="shared" si="36"/>
        <v>0</v>
      </c>
    </row>
    <row r="99" spans="1:19" x14ac:dyDescent="0.2">
      <c r="B99" s="57" t="str">
        <f>Instructions!P3</f>
        <v>Pay 2010</v>
      </c>
      <c r="C99" s="57" t="s">
        <v>3</v>
      </c>
      <c r="D99" s="46">
        <f t="shared" si="35"/>
        <v>0</v>
      </c>
      <c r="E99" s="129">
        <f>ROUND(IF($F$14=0,0,E$37/$F$14*$F12),2)</f>
        <v>0</v>
      </c>
      <c r="F99" s="58">
        <f t="shared" ref="F99:S99" si="37">ROUND(IF($F$14=0,0,F$37/$F$14*$F12),2)</f>
        <v>0</v>
      </c>
      <c r="G99" s="58">
        <f t="shared" si="37"/>
        <v>0</v>
      </c>
      <c r="H99" s="58">
        <f t="shared" si="37"/>
        <v>0</v>
      </c>
      <c r="I99" s="58">
        <f t="shared" si="37"/>
        <v>0</v>
      </c>
      <c r="J99" s="58">
        <f t="shared" si="37"/>
        <v>0</v>
      </c>
      <c r="K99" s="58">
        <f t="shared" si="37"/>
        <v>0</v>
      </c>
      <c r="L99" s="58">
        <f t="shared" si="37"/>
        <v>0</v>
      </c>
      <c r="M99" s="58">
        <f t="shared" si="37"/>
        <v>0</v>
      </c>
      <c r="N99" s="58">
        <f t="shared" si="37"/>
        <v>0</v>
      </c>
      <c r="O99" s="58">
        <f t="shared" si="37"/>
        <v>0</v>
      </c>
      <c r="P99" s="58">
        <f t="shared" si="37"/>
        <v>0</v>
      </c>
      <c r="Q99" s="58">
        <f t="shared" si="37"/>
        <v>0</v>
      </c>
      <c r="R99" s="58">
        <f t="shared" si="37"/>
        <v>0</v>
      </c>
      <c r="S99" s="130">
        <f t="shared" si="37"/>
        <v>0</v>
      </c>
    </row>
    <row r="100" spans="1:19" x14ac:dyDescent="0.2">
      <c r="B100" s="57" t="str">
        <f>Instructions!P4</f>
        <v>Pay 2009</v>
      </c>
      <c r="C100" s="57" t="s">
        <v>3</v>
      </c>
      <c r="D100" s="46">
        <f t="shared" si="35"/>
        <v>0</v>
      </c>
      <c r="E100" s="129">
        <f>ROUND(IF($G$14=0,0,E$38/$G$14*$G12),2)</f>
        <v>0</v>
      </c>
      <c r="F100" s="58">
        <f t="shared" ref="F100:S100" si="38">ROUND(IF($G$14=0,0,F$38/$G$14*$G12),2)</f>
        <v>0</v>
      </c>
      <c r="G100" s="58">
        <f t="shared" si="38"/>
        <v>0</v>
      </c>
      <c r="H100" s="58">
        <f t="shared" si="38"/>
        <v>0</v>
      </c>
      <c r="I100" s="58">
        <f t="shared" si="38"/>
        <v>0</v>
      </c>
      <c r="J100" s="58">
        <f t="shared" si="38"/>
        <v>0</v>
      </c>
      <c r="K100" s="58">
        <f t="shared" si="38"/>
        <v>0</v>
      </c>
      <c r="L100" s="58">
        <f t="shared" si="38"/>
        <v>0</v>
      </c>
      <c r="M100" s="58">
        <f t="shared" si="38"/>
        <v>0</v>
      </c>
      <c r="N100" s="58">
        <f t="shared" si="38"/>
        <v>0</v>
      </c>
      <c r="O100" s="58">
        <f t="shared" si="38"/>
        <v>0</v>
      </c>
      <c r="P100" s="58">
        <f t="shared" si="38"/>
        <v>0</v>
      </c>
      <c r="Q100" s="58">
        <f t="shared" si="38"/>
        <v>0</v>
      </c>
      <c r="R100" s="58">
        <f t="shared" si="38"/>
        <v>0</v>
      </c>
      <c r="S100" s="130">
        <f t="shared" si="38"/>
        <v>0</v>
      </c>
    </row>
    <row r="101" spans="1:19" x14ac:dyDescent="0.2">
      <c r="B101" s="57" t="str">
        <f>Instructions!P5</f>
        <v>Pay 2008</v>
      </c>
      <c r="C101" s="57" t="s">
        <v>3</v>
      </c>
      <c r="D101" s="46">
        <f t="shared" si="35"/>
        <v>0</v>
      </c>
      <c r="E101" s="129">
        <f>ROUND(IF($H$14=0,0,E$39/$H$14*$H12),2)</f>
        <v>0</v>
      </c>
      <c r="F101" s="58">
        <f t="shared" ref="F101:S101" si="39">ROUND(IF($H$14=0,0,F$39/$H$14*$H12),2)</f>
        <v>0</v>
      </c>
      <c r="G101" s="58">
        <f t="shared" si="39"/>
        <v>0</v>
      </c>
      <c r="H101" s="58">
        <f t="shared" si="39"/>
        <v>0</v>
      </c>
      <c r="I101" s="58">
        <f t="shared" si="39"/>
        <v>0</v>
      </c>
      <c r="J101" s="58">
        <f t="shared" si="39"/>
        <v>0</v>
      </c>
      <c r="K101" s="58">
        <f t="shared" si="39"/>
        <v>0</v>
      </c>
      <c r="L101" s="58">
        <f t="shared" si="39"/>
        <v>0</v>
      </c>
      <c r="M101" s="58">
        <f t="shared" si="39"/>
        <v>0</v>
      </c>
      <c r="N101" s="58">
        <f t="shared" si="39"/>
        <v>0</v>
      </c>
      <c r="O101" s="58">
        <f t="shared" si="39"/>
        <v>0</v>
      </c>
      <c r="P101" s="58">
        <f t="shared" si="39"/>
        <v>0</v>
      </c>
      <c r="Q101" s="58">
        <f t="shared" si="39"/>
        <v>0</v>
      </c>
      <c r="R101" s="58">
        <f t="shared" si="39"/>
        <v>0</v>
      </c>
      <c r="S101" s="130">
        <f t="shared" si="39"/>
        <v>0</v>
      </c>
    </row>
    <row r="102" spans="1:19" x14ac:dyDescent="0.2">
      <c r="B102" s="57" t="str">
        <f>Instructions!P6</f>
        <v>Pay 2007</v>
      </c>
      <c r="C102" s="57" t="s">
        <v>3</v>
      </c>
      <c r="D102" s="46">
        <f t="shared" si="35"/>
        <v>0</v>
      </c>
      <c r="E102" s="129">
        <f>ROUND(IF($I$14=0,0,E$40/$I$14*$I12),2)</f>
        <v>0</v>
      </c>
      <c r="F102" s="58">
        <f t="shared" ref="F102:S102" si="40">ROUND(IF($I$14=0,0,F$40/$I$14*$I12),2)</f>
        <v>0</v>
      </c>
      <c r="G102" s="58">
        <f t="shared" si="40"/>
        <v>0</v>
      </c>
      <c r="H102" s="58">
        <f t="shared" si="40"/>
        <v>0</v>
      </c>
      <c r="I102" s="58">
        <f t="shared" si="40"/>
        <v>0</v>
      </c>
      <c r="J102" s="58">
        <f t="shared" si="40"/>
        <v>0</v>
      </c>
      <c r="K102" s="58">
        <f t="shared" si="40"/>
        <v>0</v>
      </c>
      <c r="L102" s="58">
        <f t="shared" si="40"/>
        <v>0</v>
      </c>
      <c r="M102" s="58">
        <f t="shared" si="40"/>
        <v>0</v>
      </c>
      <c r="N102" s="58">
        <f t="shared" si="40"/>
        <v>0</v>
      </c>
      <c r="O102" s="58">
        <f t="shared" si="40"/>
        <v>0</v>
      </c>
      <c r="P102" s="58">
        <f t="shared" si="40"/>
        <v>0</v>
      </c>
      <c r="Q102" s="58">
        <f t="shared" si="40"/>
        <v>0</v>
      </c>
      <c r="R102" s="58">
        <f t="shared" si="40"/>
        <v>0</v>
      </c>
      <c r="S102" s="130">
        <f t="shared" si="40"/>
        <v>0</v>
      </c>
    </row>
    <row r="103" spans="1:19" x14ac:dyDescent="0.2">
      <c r="B103" s="57" t="str">
        <f>Instructions!P7</f>
        <v>Pay 2006</v>
      </c>
      <c r="C103" s="57" t="s">
        <v>3</v>
      </c>
      <c r="D103" s="46">
        <f t="shared" si="35"/>
        <v>0</v>
      </c>
      <c r="E103" s="129">
        <f>ROUND(IF($J$14=0,0,E$41/$J$14*$J12),2)</f>
        <v>0</v>
      </c>
      <c r="F103" s="58">
        <f t="shared" ref="F103:S103" si="41">ROUND(IF($J$14=0,0,F$41/$J$14*$J12),2)</f>
        <v>0</v>
      </c>
      <c r="G103" s="58">
        <f t="shared" si="41"/>
        <v>0</v>
      </c>
      <c r="H103" s="58">
        <f t="shared" si="41"/>
        <v>0</v>
      </c>
      <c r="I103" s="58">
        <f t="shared" si="41"/>
        <v>0</v>
      </c>
      <c r="J103" s="58">
        <f t="shared" si="41"/>
        <v>0</v>
      </c>
      <c r="K103" s="58">
        <f t="shared" si="41"/>
        <v>0</v>
      </c>
      <c r="L103" s="58">
        <f t="shared" si="41"/>
        <v>0</v>
      </c>
      <c r="M103" s="58">
        <f t="shared" si="41"/>
        <v>0</v>
      </c>
      <c r="N103" s="58">
        <f t="shared" si="41"/>
        <v>0</v>
      </c>
      <c r="O103" s="58">
        <f t="shared" si="41"/>
        <v>0</v>
      </c>
      <c r="P103" s="58">
        <f t="shared" si="41"/>
        <v>0</v>
      </c>
      <c r="Q103" s="58">
        <f t="shared" si="41"/>
        <v>0</v>
      </c>
      <c r="R103" s="58">
        <f t="shared" si="41"/>
        <v>0</v>
      </c>
      <c r="S103" s="130">
        <f t="shared" si="41"/>
        <v>0</v>
      </c>
    </row>
    <row r="104" spans="1:19" x14ac:dyDescent="0.2">
      <c r="B104" s="57" t="str">
        <f>Instructions!P8</f>
        <v>Pay 2005</v>
      </c>
      <c r="C104" s="57" t="s">
        <v>3</v>
      </c>
      <c r="D104" s="46">
        <f t="shared" si="35"/>
        <v>0</v>
      </c>
      <c r="E104" s="129">
        <f>ROUND(IF($K$14=0,0,E$42/$K$14*$K12),2)</f>
        <v>0</v>
      </c>
      <c r="F104" s="58">
        <f t="shared" ref="F104:S104" si="42">ROUND(IF($K$14=0,0,F$42/$K$14*$K12),2)</f>
        <v>0</v>
      </c>
      <c r="G104" s="58">
        <f t="shared" si="42"/>
        <v>0</v>
      </c>
      <c r="H104" s="58">
        <f t="shared" si="42"/>
        <v>0</v>
      </c>
      <c r="I104" s="58">
        <f t="shared" si="42"/>
        <v>0</v>
      </c>
      <c r="J104" s="58">
        <f t="shared" si="42"/>
        <v>0</v>
      </c>
      <c r="K104" s="58">
        <f t="shared" si="42"/>
        <v>0</v>
      </c>
      <c r="L104" s="58">
        <f t="shared" si="42"/>
        <v>0</v>
      </c>
      <c r="M104" s="58">
        <f t="shared" si="42"/>
        <v>0</v>
      </c>
      <c r="N104" s="58">
        <f t="shared" si="42"/>
        <v>0</v>
      </c>
      <c r="O104" s="58">
        <f t="shared" si="42"/>
        <v>0</v>
      </c>
      <c r="P104" s="58">
        <f t="shared" si="42"/>
        <v>0</v>
      </c>
      <c r="Q104" s="58">
        <f t="shared" si="42"/>
        <v>0</v>
      </c>
      <c r="R104" s="58">
        <f t="shared" si="42"/>
        <v>0</v>
      </c>
      <c r="S104" s="130">
        <f t="shared" si="42"/>
        <v>0</v>
      </c>
    </row>
    <row r="105" spans="1:19" x14ac:dyDescent="0.2">
      <c r="B105" s="62"/>
      <c r="D105" s="47"/>
      <c r="E105" s="129"/>
      <c r="F105" s="58"/>
      <c r="G105" s="58"/>
      <c r="H105" s="58"/>
      <c r="I105" s="58"/>
      <c r="J105" s="58"/>
      <c r="K105" s="58"/>
      <c r="L105" s="58"/>
      <c r="M105" s="58"/>
      <c r="N105" s="58"/>
      <c r="O105" s="58"/>
      <c r="P105" s="58"/>
      <c r="Q105" s="58"/>
      <c r="R105" s="58"/>
      <c r="S105" s="130"/>
    </row>
    <row r="106" spans="1:19" x14ac:dyDescent="0.2">
      <c r="B106" s="62"/>
      <c r="C106" s="62" t="s">
        <v>587</v>
      </c>
      <c r="D106" s="47">
        <f t="shared" ref="D106:S106" si="43">SUM(D98:D105)</f>
        <v>0</v>
      </c>
      <c r="E106" s="129">
        <f t="shared" si="43"/>
        <v>0</v>
      </c>
      <c r="F106" s="58">
        <f t="shared" si="43"/>
        <v>0</v>
      </c>
      <c r="G106" s="58">
        <f t="shared" si="43"/>
        <v>0</v>
      </c>
      <c r="H106" s="58">
        <f t="shared" si="43"/>
        <v>0</v>
      </c>
      <c r="I106" s="58">
        <f t="shared" si="43"/>
        <v>0</v>
      </c>
      <c r="J106" s="58">
        <f t="shared" si="43"/>
        <v>0</v>
      </c>
      <c r="K106" s="58">
        <f t="shared" si="43"/>
        <v>0</v>
      </c>
      <c r="L106" s="58">
        <f t="shared" si="43"/>
        <v>0</v>
      </c>
      <c r="M106" s="58">
        <f t="shared" si="43"/>
        <v>0</v>
      </c>
      <c r="N106" s="58">
        <f t="shared" si="43"/>
        <v>0</v>
      </c>
      <c r="O106" s="58">
        <f t="shared" si="43"/>
        <v>0</v>
      </c>
      <c r="P106" s="58">
        <f t="shared" si="43"/>
        <v>0</v>
      </c>
      <c r="Q106" s="58">
        <f t="shared" si="43"/>
        <v>0</v>
      </c>
      <c r="R106" s="58">
        <f t="shared" si="43"/>
        <v>0</v>
      </c>
      <c r="S106" s="130">
        <f t="shared" si="43"/>
        <v>0</v>
      </c>
    </row>
    <row r="107" spans="1:19" x14ac:dyDescent="0.2">
      <c r="B107" s="62"/>
      <c r="D107" s="47"/>
      <c r="E107" s="129"/>
      <c r="F107" s="58"/>
      <c r="G107" s="58"/>
      <c r="H107" s="58"/>
      <c r="I107" s="58"/>
      <c r="J107" s="58"/>
      <c r="K107" s="58"/>
      <c r="L107" s="58"/>
      <c r="M107" s="58"/>
      <c r="N107" s="58"/>
      <c r="O107" s="58"/>
      <c r="P107" s="58"/>
      <c r="Q107" s="58"/>
      <c r="R107" s="58"/>
      <c r="S107" s="130"/>
    </row>
    <row r="108" spans="1:19" x14ac:dyDescent="0.2">
      <c r="E108" s="129"/>
      <c r="F108" s="59"/>
      <c r="G108" s="59"/>
      <c r="H108" s="59"/>
      <c r="I108" s="59"/>
      <c r="J108" s="59"/>
      <c r="K108" s="59"/>
      <c r="L108" s="59"/>
      <c r="M108" s="59"/>
      <c r="N108" s="59"/>
      <c r="O108" s="59"/>
      <c r="P108" s="59"/>
      <c r="Q108" s="59"/>
      <c r="R108" s="59"/>
      <c r="S108" s="131"/>
    </row>
    <row r="109" spans="1:19" x14ac:dyDescent="0.2">
      <c r="A109" s="43" t="s">
        <v>596</v>
      </c>
      <c r="B109" s="62"/>
      <c r="C109" s="62"/>
      <c r="E109" s="129"/>
      <c r="F109" s="59"/>
      <c r="G109" s="59"/>
      <c r="H109" s="59"/>
      <c r="I109" s="59"/>
      <c r="J109" s="59"/>
      <c r="K109" s="59"/>
      <c r="L109" s="59"/>
      <c r="M109" s="59"/>
      <c r="N109" s="59"/>
      <c r="O109" s="59"/>
      <c r="P109" s="59"/>
      <c r="Q109" s="59"/>
      <c r="R109" s="59"/>
      <c r="S109" s="131"/>
    </row>
    <row r="110" spans="1:19" x14ac:dyDescent="0.2">
      <c r="B110" s="57" t="str">
        <f>Instructions!P1</f>
        <v>Pay 2012</v>
      </c>
      <c r="C110" s="57" t="s">
        <v>508</v>
      </c>
      <c r="D110" s="46">
        <f>SUM(E110:S110)</f>
        <v>0</v>
      </c>
      <c r="E110" s="129">
        <f t="shared" ref="E110:S110" si="44">ROUND(IF($D$14=0,0,E$43/$D$14*$D9),2)</f>
        <v>0</v>
      </c>
      <c r="F110" s="58">
        <f t="shared" si="44"/>
        <v>0</v>
      </c>
      <c r="G110" s="58">
        <f t="shared" si="44"/>
        <v>0</v>
      </c>
      <c r="H110" s="58">
        <f t="shared" si="44"/>
        <v>0</v>
      </c>
      <c r="I110" s="58">
        <f t="shared" si="44"/>
        <v>0</v>
      </c>
      <c r="J110" s="58">
        <f t="shared" si="44"/>
        <v>0</v>
      </c>
      <c r="K110" s="58">
        <f t="shared" si="44"/>
        <v>0</v>
      </c>
      <c r="L110" s="58">
        <f t="shared" si="44"/>
        <v>0</v>
      </c>
      <c r="M110" s="58">
        <f t="shared" si="44"/>
        <v>0</v>
      </c>
      <c r="N110" s="58">
        <f t="shared" si="44"/>
        <v>0</v>
      </c>
      <c r="O110" s="58">
        <f t="shared" si="44"/>
        <v>0</v>
      </c>
      <c r="P110" s="58">
        <f t="shared" si="44"/>
        <v>0</v>
      </c>
      <c r="Q110" s="58">
        <f t="shared" si="44"/>
        <v>0</v>
      </c>
      <c r="R110" s="58">
        <f t="shared" si="44"/>
        <v>0</v>
      </c>
      <c r="S110" s="130">
        <f t="shared" si="44"/>
        <v>0</v>
      </c>
    </row>
    <row r="111" spans="1:19" x14ac:dyDescent="0.2">
      <c r="A111" s="64"/>
      <c r="B111" s="57" t="str">
        <f>Instructions!P1</f>
        <v>Pay 2012</v>
      </c>
      <c r="C111" s="57" t="s">
        <v>509</v>
      </c>
      <c r="D111" s="46">
        <f>SUM(E111:S111)</f>
        <v>0</v>
      </c>
      <c r="E111" s="129">
        <f t="shared" ref="E111:S111" si="45">ROUND(IF($D$14=0,0,E$43/$D$14*$D10),2)</f>
        <v>0</v>
      </c>
      <c r="F111" s="58">
        <f t="shared" si="45"/>
        <v>0</v>
      </c>
      <c r="G111" s="58">
        <f t="shared" si="45"/>
        <v>0</v>
      </c>
      <c r="H111" s="58">
        <f t="shared" si="45"/>
        <v>0</v>
      </c>
      <c r="I111" s="58">
        <f t="shared" si="45"/>
        <v>0</v>
      </c>
      <c r="J111" s="58">
        <f t="shared" si="45"/>
        <v>0</v>
      </c>
      <c r="K111" s="58">
        <f t="shared" si="45"/>
        <v>0</v>
      </c>
      <c r="L111" s="58">
        <f t="shared" si="45"/>
        <v>0</v>
      </c>
      <c r="M111" s="58">
        <f t="shared" si="45"/>
        <v>0</v>
      </c>
      <c r="N111" s="58">
        <f t="shared" si="45"/>
        <v>0</v>
      </c>
      <c r="O111" s="58">
        <f t="shared" si="45"/>
        <v>0</v>
      </c>
      <c r="P111" s="58">
        <f t="shared" si="45"/>
        <v>0</v>
      </c>
      <c r="Q111" s="58">
        <f t="shared" si="45"/>
        <v>0</v>
      </c>
      <c r="R111" s="58">
        <f t="shared" si="45"/>
        <v>0</v>
      </c>
      <c r="S111" s="130">
        <f t="shared" si="45"/>
        <v>0</v>
      </c>
    </row>
    <row r="112" spans="1:19" x14ac:dyDescent="0.2">
      <c r="B112" s="57" t="str">
        <f>Instructions!P1</f>
        <v>Pay 2012</v>
      </c>
      <c r="C112" s="57" t="s">
        <v>591</v>
      </c>
      <c r="D112" s="46">
        <f>SUM(E112:S112)</f>
        <v>0</v>
      </c>
      <c r="E112" s="129">
        <f t="shared" ref="E112:S112" si="46">ROUND(IF($D$14=0,0,E$43/$D$14*$D11),2)</f>
        <v>0</v>
      </c>
      <c r="F112" s="58">
        <f t="shared" si="46"/>
        <v>0</v>
      </c>
      <c r="G112" s="58">
        <f t="shared" si="46"/>
        <v>0</v>
      </c>
      <c r="H112" s="58">
        <f t="shared" si="46"/>
        <v>0</v>
      </c>
      <c r="I112" s="58">
        <f t="shared" si="46"/>
        <v>0</v>
      </c>
      <c r="J112" s="58">
        <f t="shared" si="46"/>
        <v>0</v>
      </c>
      <c r="K112" s="58">
        <f t="shared" si="46"/>
        <v>0</v>
      </c>
      <c r="L112" s="58">
        <f t="shared" si="46"/>
        <v>0</v>
      </c>
      <c r="M112" s="58">
        <f t="shared" si="46"/>
        <v>0</v>
      </c>
      <c r="N112" s="58">
        <f t="shared" si="46"/>
        <v>0</v>
      </c>
      <c r="O112" s="58">
        <f t="shared" si="46"/>
        <v>0</v>
      </c>
      <c r="P112" s="58">
        <f t="shared" si="46"/>
        <v>0</v>
      </c>
      <c r="Q112" s="58">
        <f t="shared" si="46"/>
        <v>0</v>
      </c>
      <c r="R112" s="58">
        <f t="shared" si="46"/>
        <v>0</v>
      </c>
      <c r="S112" s="130">
        <f t="shared" si="46"/>
        <v>0</v>
      </c>
    </row>
    <row r="113" spans="1:19" x14ac:dyDescent="0.2">
      <c r="B113" s="57" t="str">
        <f>Instructions!P1</f>
        <v>Pay 2012</v>
      </c>
      <c r="C113" s="57" t="s">
        <v>3</v>
      </c>
      <c r="D113" s="46">
        <f>SUM(E113:S113)</f>
        <v>0</v>
      </c>
      <c r="E113" s="129">
        <f t="shared" ref="E113:S113" si="47">ROUND(IF($D$14=0,0,E$43/$D$14*$D12),2)</f>
        <v>0</v>
      </c>
      <c r="F113" s="58">
        <f t="shared" si="47"/>
        <v>0</v>
      </c>
      <c r="G113" s="58">
        <f t="shared" si="47"/>
        <v>0</v>
      </c>
      <c r="H113" s="58">
        <f t="shared" si="47"/>
        <v>0</v>
      </c>
      <c r="I113" s="58">
        <f t="shared" si="47"/>
        <v>0</v>
      </c>
      <c r="J113" s="58">
        <f t="shared" si="47"/>
        <v>0</v>
      </c>
      <c r="K113" s="58">
        <f t="shared" si="47"/>
        <v>0</v>
      </c>
      <c r="L113" s="58">
        <f t="shared" si="47"/>
        <v>0</v>
      </c>
      <c r="M113" s="58">
        <f t="shared" si="47"/>
        <v>0</v>
      </c>
      <c r="N113" s="58">
        <f t="shared" si="47"/>
        <v>0</v>
      </c>
      <c r="O113" s="58">
        <f t="shared" si="47"/>
        <v>0</v>
      </c>
      <c r="P113" s="58">
        <f t="shared" si="47"/>
        <v>0</v>
      </c>
      <c r="Q113" s="58">
        <f t="shared" si="47"/>
        <v>0</v>
      </c>
      <c r="R113" s="58">
        <f t="shared" si="47"/>
        <v>0</v>
      </c>
      <c r="S113" s="130">
        <f t="shared" si="47"/>
        <v>0</v>
      </c>
    </row>
    <row r="114" spans="1:19" x14ac:dyDescent="0.2">
      <c r="E114" s="129"/>
      <c r="F114" s="58"/>
      <c r="G114" s="58"/>
      <c r="H114" s="58"/>
      <c r="I114" s="58"/>
      <c r="J114" s="58"/>
      <c r="K114" s="58"/>
      <c r="L114" s="58"/>
      <c r="M114" s="58"/>
      <c r="N114" s="58"/>
      <c r="O114" s="58"/>
      <c r="P114" s="58"/>
      <c r="Q114" s="58"/>
      <c r="R114" s="58"/>
      <c r="S114" s="130"/>
    </row>
    <row r="115" spans="1:19" x14ac:dyDescent="0.2">
      <c r="C115" s="57" t="s">
        <v>587</v>
      </c>
      <c r="D115" s="47">
        <f t="shared" ref="D115:S115" si="48">SUM(D110:D114)</f>
        <v>0</v>
      </c>
      <c r="E115" s="129">
        <f t="shared" si="48"/>
        <v>0</v>
      </c>
      <c r="F115" s="58">
        <f t="shared" si="48"/>
        <v>0</v>
      </c>
      <c r="G115" s="58">
        <f t="shared" si="48"/>
        <v>0</v>
      </c>
      <c r="H115" s="58">
        <f t="shared" si="48"/>
        <v>0</v>
      </c>
      <c r="I115" s="58">
        <f t="shared" si="48"/>
        <v>0</v>
      </c>
      <c r="J115" s="58">
        <f t="shared" si="48"/>
        <v>0</v>
      </c>
      <c r="K115" s="58">
        <f t="shared" si="48"/>
        <v>0</v>
      </c>
      <c r="L115" s="58">
        <f t="shared" si="48"/>
        <v>0</v>
      </c>
      <c r="M115" s="58">
        <f t="shared" si="48"/>
        <v>0</v>
      </c>
      <c r="N115" s="58">
        <f t="shared" si="48"/>
        <v>0</v>
      </c>
      <c r="O115" s="58">
        <f t="shared" si="48"/>
        <v>0</v>
      </c>
      <c r="P115" s="58">
        <f t="shared" si="48"/>
        <v>0</v>
      </c>
      <c r="Q115" s="58">
        <f t="shared" si="48"/>
        <v>0</v>
      </c>
      <c r="R115" s="58">
        <f t="shared" si="48"/>
        <v>0</v>
      </c>
      <c r="S115" s="130">
        <f t="shared" si="48"/>
        <v>0</v>
      </c>
    </row>
    <row r="116" spans="1:19" x14ac:dyDescent="0.2">
      <c r="E116" s="129"/>
      <c r="F116" s="59"/>
      <c r="G116" s="59"/>
      <c r="H116" s="59"/>
      <c r="I116" s="59"/>
      <c r="J116" s="59"/>
      <c r="K116" s="59"/>
      <c r="L116" s="59"/>
      <c r="M116" s="59"/>
      <c r="N116" s="59"/>
      <c r="O116" s="59"/>
      <c r="P116" s="59"/>
      <c r="Q116" s="59"/>
      <c r="R116" s="59"/>
      <c r="S116" s="131"/>
    </row>
    <row r="117" spans="1:19" x14ac:dyDescent="0.2">
      <c r="E117" s="129"/>
      <c r="F117" s="59"/>
      <c r="G117" s="59"/>
      <c r="H117" s="59"/>
      <c r="I117" s="59"/>
      <c r="J117" s="59"/>
      <c r="K117" s="59"/>
      <c r="L117" s="59"/>
      <c r="M117" s="59"/>
      <c r="N117" s="59"/>
      <c r="O117" s="59"/>
      <c r="P117" s="59"/>
      <c r="Q117" s="59"/>
      <c r="R117" s="59"/>
      <c r="S117" s="131"/>
    </row>
    <row r="118" spans="1:19" x14ac:dyDescent="0.2">
      <c r="A118" s="43" t="s">
        <v>596</v>
      </c>
      <c r="B118" s="62"/>
      <c r="C118" s="62"/>
      <c r="E118" s="129"/>
      <c r="F118" s="59"/>
      <c r="G118" s="59"/>
      <c r="H118" s="59"/>
      <c r="I118" s="59"/>
      <c r="J118" s="59"/>
      <c r="K118" s="59"/>
      <c r="L118" s="59"/>
      <c r="M118" s="59"/>
      <c r="N118" s="59"/>
      <c r="O118" s="59"/>
      <c r="P118" s="59"/>
      <c r="Q118" s="59"/>
      <c r="R118" s="59"/>
      <c r="S118" s="131"/>
    </row>
    <row r="119" spans="1:19" x14ac:dyDescent="0.2">
      <c r="B119" s="57" t="str">
        <f>Instructions!P2</f>
        <v>Pay 2011</v>
      </c>
      <c r="C119" s="57" t="s">
        <v>508</v>
      </c>
      <c r="D119" s="46">
        <f>SUM(E119:S119)</f>
        <v>0</v>
      </c>
      <c r="E119" s="129">
        <f t="shared" ref="E119:S119" si="49">ROUND(IF($E$14=0,0,E$44/$E$14*$E9),2)</f>
        <v>0</v>
      </c>
      <c r="F119" s="58">
        <f t="shared" si="49"/>
        <v>0</v>
      </c>
      <c r="G119" s="58">
        <f t="shared" si="49"/>
        <v>0</v>
      </c>
      <c r="H119" s="58">
        <f t="shared" si="49"/>
        <v>0</v>
      </c>
      <c r="I119" s="58">
        <f t="shared" si="49"/>
        <v>0</v>
      </c>
      <c r="J119" s="58">
        <f t="shared" si="49"/>
        <v>0</v>
      </c>
      <c r="K119" s="58">
        <f t="shared" si="49"/>
        <v>0</v>
      </c>
      <c r="L119" s="58">
        <f t="shared" si="49"/>
        <v>0</v>
      </c>
      <c r="M119" s="58">
        <f t="shared" si="49"/>
        <v>0</v>
      </c>
      <c r="N119" s="58">
        <f t="shared" si="49"/>
        <v>0</v>
      </c>
      <c r="O119" s="58">
        <f t="shared" si="49"/>
        <v>0</v>
      </c>
      <c r="P119" s="58">
        <f t="shared" si="49"/>
        <v>0</v>
      </c>
      <c r="Q119" s="58">
        <f t="shared" si="49"/>
        <v>0</v>
      </c>
      <c r="R119" s="58">
        <f t="shared" si="49"/>
        <v>0</v>
      </c>
      <c r="S119" s="130">
        <f t="shared" si="49"/>
        <v>0</v>
      </c>
    </row>
    <row r="120" spans="1:19" x14ac:dyDescent="0.2">
      <c r="A120" s="64"/>
      <c r="B120" s="57" t="str">
        <f>Instructions!P2</f>
        <v>Pay 2011</v>
      </c>
      <c r="C120" s="57" t="s">
        <v>509</v>
      </c>
      <c r="D120" s="46">
        <f>SUM(E120:S120)</f>
        <v>0</v>
      </c>
      <c r="E120" s="129">
        <f t="shared" ref="E120:S120" si="50">ROUND(IF($E$14=0,0,E$44/$E$14*$E10),2)</f>
        <v>0</v>
      </c>
      <c r="F120" s="58">
        <f t="shared" si="50"/>
        <v>0</v>
      </c>
      <c r="G120" s="58">
        <f t="shared" si="50"/>
        <v>0</v>
      </c>
      <c r="H120" s="58">
        <f t="shared" si="50"/>
        <v>0</v>
      </c>
      <c r="I120" s="58">
        <f t="shared" si="50"/>
        <v>0</v>
      </c>
      <c r="J120" s="58">
        <f t="shared" si="50"/>
        <v>0</v>
      </c>
      <c r="K120" s="58">
        <f t="shared" si="50"/>
        <v>0</v>
      </c>
      <c r="L120" s="58">
        <f t="shared" si="50"/>
        <v>0</v>
      </c>
      <c r="M120" s="58">
        <f t="shared" si="50"/>
        <v>0</v>
      </c>
      <c r="N120" s="58">
        <f t="shared" si="50"/>
        <v>0</v>
      </c>
      <c r="O120" s="58">
        <f t="shared" si="50"/>
        <v>0</v>
      </c>
      <c r="P120" s="58">
        <f t="shared" si="50"/>
        <v>0</v>
      </c>
      <c r="Q120" s="58">
        <f t="shared" si="50"/>
        <v>0</v>
      </c>
      <c r="R120" s="58">
        <f t="shared" si="50"/>
        <v>0</v>
      </c>
      <c r="S120" s="130">
        <f t="shared" si="50"/>
        <v>0</v>
      </c>
    </row>
    <row r="121" spans="1:19" x14ac:dyDescent="0.2">
      <c r="B121" s="57" t="str">
        <f>Instructions!P2</f>
        <v>Pay 2011</v>
      </c>
      <c r="C121" s="57" t="s">
        <v>591</v>
      </c>
      <c r="D121" s="46">
        <f>SUM(E121:S121)</f>
        <v>0</v>
      </c>
      <c r="E121" s="129">
        <f t="shared" ref="E121:S121" si="51">ROUND(IF($E$14=0,0,E$44/$E$14*$E11),2)</f>
        <v>0</v>
      </c>
      <c r="F121" s="58">
        <f t="shared" si="51"/>
        <v>0</v>
      </c>
      <c r="G121" s="58">
        <f t="shared" si="51"/>
        <v>0</v>
      </c>
      <c r="H121" s="58">
        <f t="shared" si="51"/>
        <v>0</v>
      </c>
      <c r="I121" s="58">
        <f t="shared" si="51"/>
        <v>0</v>
      </c>
      <c r="J121" s="58">
        <f t="shared" si="51"/>
        <v>0</v>
      </c>
      <c r="K121" s="58">
        <f t="shared" si="51"/>
        <v>0</v>
      </c>
      <c r="L121" s="58">
        <f t="shared" si="51"/>
        <v>0</v>
      </c>
      <c r="M121" s="58">
        <f t="shared" si="51"/>
        <v>0</v>
      </c>
      <c r="N121" s="58">
        <f t="shared" si="51"/>
        <v>0</v>
      </c>
      <c r="O121" s="58">
        <f t="shared" si="51"/>
        <v>0</v>
      </c>
      <c r="P121" s="58">
        <f t="shared" si="51"/>
        <v>0</v>
      </c>
      <c r="Q121" s="58">
        <f t="shared" si="51"/>
        <v>0</v>
      </c>
      <c r="R121" s="58">
        <f t="shared" si="51"/>
        <v>0</v>
      </c>
      <c r="S121" s="130">
        <f t="shared" si="51"/>
        <v>0</v>
      </c>
    </row>
    <row r="122" spans="1:19" x14ac:dyDescent="0.2">
      <c r="B122" s="57" t="str">
        <f>Instructions!P2</f>
        <v>Pay 2011</v>
      </c>
      <c r="C122" s="57" t="s">
        <v>3</v>
      </c>
      <c r="D122" s="46">
        <f>SUM(E122:S122)</f>
        <v>0</v>
      </c>
      <c r="E122" s="129">
        <f t="shared" ref="E122:S122" si="52">ROUND(IF($E$14=0,0,E$44/$E$14*$E12),2)</f>
        <v>0</v>
      </c>
      <c r="F122" s="58">
        <f t="shared" si="52"/>
        <v>0</v>
      </c>
      <c r="G122" s="58">
        <f t="shared" si="52"/>
        <v>0</v>
      </c>
      <c r="H122" s="58">
        <f t="shared" si="52"/>
        <v>0</v>
      </c>
      <c r="I122" s="58">
        <f t="shared" si="52"/>
        <v>0</v>
      </c>
      <c r="J122" s="58">
        <f t="shared" si="52"/>
        <v>0</v>
      </c>
      <c r="K122" s="58">
        <f t="shared" si="52"/>
        <v>0</v>
      </c>
      <c r="L122" s="58">
        <f t="shared" si="52"/>
        <v>0</v>
      </c>
      <c r="M122" s="58">
        <f t="shared" si="52"/>
        <v>0</v>
      </c>
      <c r="N122" s="58">
        <f t="shared" si="52"/>
        <v>0</v>
      </c>
      <c r="O122" s="58">
        <f t="shared" si="52"/>
        <v>0</v>
      </c>
      <c r="P122" s="58">
        <f t="shared" si="52"/>
        <v>0</v>
      </c>
      <c r="Q122" s="58">
        <f t="shared" si="52"/>
        <v>0</v>
      </c>
      <c r="R122" s="58">
        <f t="shared" si="52"/>
        <v>0</v>
      </c>
      <c r="S122" s="130">
        <f t="shared" si="52"/>
        <v>0</v>
      </c>
    </row>
    <row r="123" spans="1:19" x14ac:dyDescent="0.2">
      <c r="E123" s="129"/>
      <c r="F123" s="58"/>
      <c r="G123" s="58"/>
      <c r="H123" s="58"/>
      <c r="I123" s="58"/>
      <c r="J123" s="58"/>
      <c r="K123" s="58"/>
      <c r="L123" s="58"/>
      <c r="M123" s="58"/>
      <c r="N123" s="58"/>
      <c r="O123" s="58"/>
      <c r="P123" s="58"/>
      <c r="Q123" s="58"/>
      <c r="R123" s="58"/>
      <c r="S123" s="130"/>
    </row>
    <row r="124" spans="1:19" x14ac:dyDescent="0.2">
      <c r="C124" s="57" t="s">
        <v>587</v>
      </c>
      <c r="D124" s="47">
        <f>SUM(D119:D123)</f>
        <v>0</v>
      </c>
      <c r="E124" s="129">
        <f>SUM(E119:E123)</f>
        <v>0</v>
      </c>
      <c r="F124" s="58">
        <f t="shared" ref="F124:S124" si="53">SUM(F119:F123)</f>
        <v>0</v>
      </c>
      <c r="G124" s="58">
        <f t="shared" si="53"/>
        <v>0</v>
      </c>
      <c r="H124" s="58">
        <f t="shared" si="53"/>
        <v>0</v>
      </c>
      <c r="I124" s="58">
        <f t="shared" si="53"/>
        <v>0</v>
      </c>
      <c r="J124" s="58">
        <f t="shared" si="53"/>
        <v>0</v>
      </c>
      <c r="K124" s="58">
        <f t="shared" si="53"/>
        <v>0</v>
      </c>
      <c r="L124" s="58">
        <f t="shared" si="53"/>
        <v>0</v>
      </c>
      <c r="M124" s="58">
        <f t="shared" si="53"/>
        <v>0</v>
      </c>
      <c r="N124" s="58">
        <f t="shared" si="53"/>
        <v>0</v>
      </c>
      <c r="O124" s="58">
        <f t="shared" si="53"/>
        <v>0</v>
      </c>
      <c r="P124" s="58">
        <f t="shared" si="53"/>
        <v>0</v>
      </c>
      <c r="Q124" s="58">
        <f t="shared" si="53"/>
        <v>0</v>
      </c>
      <c r="R124" s="58">
        <f t="shared" si="53"/>
        <v>0</v>
      </c>
      <c r="S124" s="130">
        <f t="shared" si="53"/>
        <v>0</v>
      </c>
    </row>
    <row r="125" spans="1:19" x14ac:dyDescent="0.2">
      <c r="B125" s="57"/>
      <c r="E125" s="129"/>
      <c r="F125" s="59"/>
      <c r="G125" s="59"/>
      <c r="H125" s="59"/>
      <c r="I125" s="59"/>
      <c r="J125" s="59"/>
      <c r="K125" s="59"/>
      <c r="L125" s="59"/>
      <c r="M125" s="59"/>
      <c r="N125" s="59"/>
      <c r="O125" s="59"/>
      <c r="P125" s="59"/>
      <c r="Q125" s="59"/>
      <c r="R125" s="59"/>
      <c r="S125" s="131"/>
    </row>
    <row r="126" spans="1:19" x14ac:dyDescent="0.2">
      <c r="E126" s="129"/>
      <c r="F126" s="59"/>
      <c r="G126" s="59"/>
      <c r="H126" s="59"/>
      <c r="I126" s="59"/>
      <c r="J126" s="59"/>
      <c r="K126" s="59"/>
      <c r="L126" s="59"/>
      <c r="M126" s="59"/>
      <c r="N126" s="59"/>
      <c r="O126" s="59"/>
      <c r="P126" s="59"/>
      <c r="Q126" s="59"/>
      <c r="R126" s="59"/>
      <c r="S126" s="131"/>
    </row>
    <row r="127" spans="1:19" x14ac:dyDescent="0.2">
      <c r="A127" s="43" t="s">
        <v>602</v>
      </c>
      <c r="B127" s="62"/>
      <c r="C127" s="62"/>
      <c r="E127" s="129"/>
      <c r="F127" s="59"/>
      <c r="G127" s="59"/>
      <c r="H127" s="59"/>
      <c r="I127" s="59"/>
      <c r="J127" s="59"/>
      <c r="K127" s="59"/>
      <c r="L127" s="59"/>
      <c r="M127" s="59"/>
      <c r="N127" s="59"/>
      <c r="O127" s="59"/>
      <c r="P127" s="59"/>
      <c r="Q127" s="59"/>
      <c r="R127" s="59"/>
      <c r="S127" s="131"/>
    </row>
    <row r="128" spans="1:19" x14ac:dyDescent="0.2">
      <c r="B128" s="57" t="str">
        <f>Instructions!P1</f>
        <v>Pay 2012</v>
      </c>
      <c r="C128" s="57" t="s">
        <v>508</v>
      </c>
      <c r="D128" s="46">
        <f>SUM(E128:S128)</f>
        <v>0</v>
      </c>
      <c r="E128" s="129">
        <f t="shared" ref="E128:S128" si="54">ROUND(IF($D$14=0,0,E$45/$D$14*$D9),2)</f>
        <v>0</v>
      </c>
      <c r="F128" s="58">
        <f t="shared" si="54"/>
        <v>0</v>
      </c>
      <c r="G128" s="58">
        <f t="shared" si="54"/>
        <v>0</v>
      </c>
      <c r="H128" s="58">
        <f t="shared" si="54"/>
        <v>0</v>
      </c>
      <c r="I128" s="58">
        <f t="shared" si="54"/>
        <v>0</v>
      </c>
      <c r="J128" s="58">
        <f t="shared" si="54"/>
        <v>0</v>
      </c>
      <c r="K128" s="58">
        <f t="shared" si="54"/>
        <v>0</v>
      </c>
      <c r="L128" s="58">
        <f t="shared" si="54"/>
        <v>0</v>
      </c>
      <c r="M128" s="58">
        <f t="shared" si="54"/>
        <v>0</v>
      </c>
      <c r="N128" s="58">
        <f t="shared" si="54"/>
        <v>0</v>
      </c>
      <c r="O128" s="58">
        <f t="shared" si="54"/>
        <v>0</v>
      </c>
      <c r="P128" s="58">
        <f t="shared" si="54"/>
        <v>0</v>
      </c>
      <c r="Q128" s="58">
        <f t="shared" si="54"/>
        <v>0</v>
      </c>
      <c r="R128" s="58">
        <f t="shared" si="54"/>
        <v>0</v>
      </c>
      <c r="S128" s="130">
        <f t="shared" si="54"/>
        <v>0</v>
      </c>
    </row>
    <row r="129" spans="1:19" x14ac:dyDescent="0.2">
      <c r="A129" s="64"/>
      <c r="B129" s="57" t="str">
        <f>Instructions!P1</f>
        <v>Pay 2012</v>
      </c>
      <c r="C129" s="57" t="s">
        <v>509</v>
      </c>
      <c r="D129" s="46">
        <f>SUM(E129:S129)</f>
        <v>0</v>
      </c>
      <c r="E129" s="129">
        <f t="shared" ref="E129:S129" si="55">ROUND(IF($D$14=0,0,E$45/$D$14*$D10),2)</f>
        <v>0</v>
      </c>
      <c r="F129" s="58">
        <f t="shared" si="55"/>
        <v>0</v>
      </c>
      <c r="G129" s="58">
        <f t="shared" si="55"/>
        <v>0</v>
      </c>
      <c r="H129" s="58">
        <f t="shared" si="55"/>
        <v>0</v>
      </c>
      <c r="I129" s="58">
        <f t="shared" si="55"/>
        <v>0</v>
      </c>
      <c r="J129" s="58">
        <f t="shared" si="55"/>
        <v>0</v>
      </c>
      <c r="K129" s="58">
        <f t="shared" si="55"/>
        <v>0</v>
      </c>
      <c r="L129" s="58">
        <f t="shared" si="55"/>
        <v>0</v>
      </c>
      <c r="M129" s="58">
        <f t="shared" si="55"/>
        <v>0</v>
      </c>
      <c r="N129" s="58">
        <f t="shared" si="55"/>
        <v>0</v>
      </c>
      <c r="O129" s="58">
        <f t="shared" si="55"/>
        <v>0</v>
      </c>
      <c r="P129" s="58">
        <f t="shared" si="55"/>
        <v>0</v>
      </c>
      <c r="Q129" s="58">
        <f t="shared" si="55"/>
        <v>0</v>
      </c>
      <c r="R129" s="58">
        <f t="shared" si="55"/>
        <v>0</v>
      </c>
      <c r="S129" s="130">
        <f t="shared" si="55"/>
        <v>0</v>
      </c>
    </row>
    <row r="130" spans="1:19" x14ac:dyDescent="0.2">
      <c r="B130" s="57" t="str">
        <f>Instructions!P1</f>
        <v>Pay 2012</v>
      </c>
      <c r="C130" s="57" t="s">
        <v>591</v>
      </c>
      <c r="D130" s="46">
        <f>SUM(E130:S130)</f>
        <v>0</v>
      </c>
      <c r="E130" s="129">
        <f t="shared" ref="E130:S130" si="56">ROUND(IF($D$14=0,0,E$45/$D$14*$D11),2)</f>
        <v>0</v>
      </c>
      <c r="F130" s="58">
        <f t="shared" si="56"/>
        <v>0</v>
      </c>
      <c r="G130" s="58">
        <f t="shared" si="56"/>
        <v>0</v>
      </c>
      <c r="H130" s="58">
        <f t="shared" si="56"/>
        <v>0</v>
      </c>
      <c r="I130" s="58">
        <f t="shared" si="56"/>
        <v>0</v>
      </c>
      <c r="J130" s="58">
        <f t="shared" si="56"/>
        <v>0</v>
      </c>
      <c r="K130" s="58">
        <f t="shared" si="56"/>
        <v>0</v>
      </c>
      <c r="L130" s="58">
        <f t="shared" si="56"/>
        <v>0</v>
      </c>
      <c r="M130" s="58">
        <f t="shared" si="56"/>
        <v>0</v>
      </c>
      <c r="N130" s="58">
        <f t="shared" si="56"/>
        <v>0</v>
      </c>
      <c r="O130" s="58">
        <f t="shared" si="56"/>
        <v>0</v>
      </c>
      <c r="P130" s="58">
        <f t="shared" si="56"/>
        <v>0</v>
      </c>
      <c r="Q130" s="58">
        <f t="shared" si="56"/>
        <v>0</v>
      </c>
      <c r="R130" s="58">
        <f t="shared" si="56"/>
        <v>0</v>
      </c>
      <c r="S130" s="130">
        <f t="shared" si="56"/>
        <v>0</v>
      </c>
    </row>
    <row r="131" spans="1:19" x14ac:dyDescent="0.2">
      <c r="B131" s="57" t="str">
        <f>Instructions!P1</f>
        <v>Pay 2012</v>
      </c>
      <c r="C131" s="57" t="s">
        <v>3</v>
      </c>
      <c r="D131" s="46">
        <f>SUM(E131:S131)</f>
        <v>0</v>
      </c>
      <c r="E131" s="129">
        <f t="shared" ref="E131:S131" si="57">ROUND(IF($D$14=0,0,E$45/$D$14*$D12),2)</f>
        <v>0</v>
      </c>
      <c r="F131" s="58">
        <f t="shared" si="57"/>
        <v>0</v>
      </c>
      <c r="G131" s="58">
        <f t="shared" si="57"/>
        <v>0</v>
      </c>
      <c r="H131" s="58">
        <f t="shared" si="57"/>
        <v>0</v>
      </c>
      <c r="I131" s="58">
        <f t="shared" si="57"/>
        <v>0</v>
      </c>
      <c r="J131" s="58">
        <f t="shared" si="57"/>
        <v>0</v>
      </c>
      <c r="K131" s="58">
        <f t="shared" si="57"/>
        <v>0</v>
      </c>
      <c r="L131" s="58">
        <f t="shared" si="57"/>
        <v>0</v>
      </c>
      <c r="M131" s="58">
        <f t="shared" si="57"/>
        <v>0</v>
      </c>
      <c r="N131" s="58">
        <f t="shared" si="57"/>
        <v>0</v>
      </c>
      <c r="O131" s="58">
        <f t="shared" si="57"/>
        <v>0</v>
      </c>
      <c r="P131" s="58">
        <f t="shared" si="57"/>
        <v>0</v>
      </c>
      <c r="Q131" s="58">
        <f t="shared" si="57"/>
        <v>0</v>
      </c>
      <c r="R131" s="58">
        <f t="shared" si="57"/>
        <v>0</v>
      </c>
      <c r="S131" s="130">
        <f t="shared" si="57"/>
        <v>0</v>
      </c>
    </row>
    <row r="132" spans="1:19" x14ac:dyDescent="0.2">
      <c r="E132" s="129"/>
      <c r="F132" s="58"/>
      <c r="G132" s="58"/>
      <c r="H132" s="58"/>
      <c r="I132" s="58"/>
      <c r="J132" s="58"/>
      <c r="K132" s="58"/>
      <c r="L132" s="58"/>
      <c r="M132" s="58"/>
      <c r="N132" s="58"/>
      <c r="O132" s="58"/>
      <c r="P132" s="58"/>
      <c r="Q132" s="58"/>
      <c r="R132" s="58"/>
      <c r="S132" s="130"/>
    </row>
    <row r="133" spans="1:19" x14ac:dyDescent="0.2">
      <c r="C133" s="57" t="s">
        <v>587</v>
      </c>
      <c r="D133" s="47">
        <f t="shared" ref="D133:S133" si="58">SUM(D128:D132)</f>
        <v>0</v>
      </c>
      <c r="E133" s="129">
        <f t="shared" si="58"/>
        <v>0</v>
      </c>
      <c r="F133" s="58">
        <f t="shared" si="58"/>
        <v>0</v>
      </c>
      <c r="G133" s="58">
        <f t="shared" si="58"/>
        <v>0</v>
      </c>
      <c r="H133" s="58">
        <f t="shared" si="58"/>
        <v>0</v>
      </c>
      <c r="I133" s="58">
        <f t="shared" si="58"/>
        <v>0</v>
      </c>
      <c r="J133" s="58">
        <f t="shared" si="58"/>
        <v>0</v>
      </c>
      <c r="K133" s="58">
        <f t="shared" si="58"/>
        <v>0</v>
      </c>
      <c r="L133" s="58">
        <f t="shared" si="58"/>
        <v>0</v>
      </c>
      <c r="M133" s="58">
        <f t="shared" si="58"/>
        <v>0</v>
      </c>
      <c r="N133" s="58">
        <f t="shared" si="58"/>
        <v>0</v>
      </c>
      <c r="O133" s="58">
        <f t="shared" si="58"/>
        <v>0</v>
      </c>
      <c r="P133" s="58">
        <f t="shared" si="58"/>
        <v>0</v>
      </c>
      <c r="Q133" s="58">
        <f t="shared" si="58"/>
        <v>0</v>
      </c>
      <c r="R133" s="58">
        <f t="shared" si="58"/>
        <v>0</v>
      </c>
      <c r="S133" s="130">
        <f t="shared" si="58"/>
        <v>0</v>
      </c>
    </row>
    <row r="134" spans="1:19" x14ac:dyDescent="0.2">
      <c r="E134" s="129"/>
      <c r="F134" s="59"/>
      <c r="G134" s="59"/>
      <c r="H134" s="59"/>
      <c r="I134" s="59"/>
      <c r="J134" s="59"/>
      <c r="K134" s="59"/>
      <c r="L134" s="59"/>
      <c r="M134" s="59"/>
      <c r="N134" s="59"/>
      <c r="O134" s="59"/>
      <c r="P134" s="59"/>
      <c r="Q134" s="59"/>
      <c r="R134" s="59"/>
      <c r="S134" s="131"/>
    </row>
    <row r="135" spans="1:19" x14ac:dyDescent="0.2">
      <c r="E135" s="129"/>
      <c r="F135" s="59"/>
      <c r="G135" s="59"/>
      <c r="H135" s="59"/>
      <c r="I135" s="59"/>
      <c r="J135" s="59"/>
      <c r="K135" s="59"/>
      <c r="L135" s="59"/>
      <c r="M135" s="59"/>
      <c r="N135" s="59"/>
      <c r="O135" s="59"/>
      <c r="P135" s="59"/>
      <c r="Q135" s="59"/>
      <c r="R135" s="59"/>
      <c r="S135" s="131"/>
    </row>
    <row r="136" spans="1:19" x14ac:dyDescent="0.2">
      <c r="A136" s="43" t="s">
        <v>602</v>
      </c>
      <c r="B136" s="62"/>
      <c r="C136" s="62"/>
      <c r="E136" s="129"/>
      <c r="F136" s="59"/>
      <c r="G136" s="59"/>
      <c r="H136" s="59"/>
      <c r="I136" s="59"/>
      <c r="J136" s="59"/>
      <c r="K136" s="59"/>
      <c r="L136" s="59"/>
      <c r="M136" s="59"/>
      <c r="N136" s="59"/>
      <c r="O136" s="59"/>
      <c r="P136" s="59"/>
      <c r="Q136" s="59"/>
      <c r="R136" s="59"/>
      <c r="S136" s="131"/>
    </row>
    <row r="137" spans="1:19" x14ac:dyDescent="0.2">
      <c r="B137" s="57" t="str">
        <f>Instructions!P2</f>
        <v>Pay 2011</v>
      </c>
      <c r="C137" s="57" t="s">
        <v>508</v>
      </c>
      <c r="D137" s="46">
        <f>SUM(E137:S137)</f>
        <v>0</v>
      </c>
      <c r="E137" s="129">
        <f t="shared" ref="E137:S137" si="59">ROUND(IF($E$14=0,0,E$46/$E$14*$E9),2)</f>
        <v>0</v>
      </c>
      <c r="F137" s="58">
        <f t="shared" si="59"/>
        <v>0</v>
      </c>
      <c r="G137" s="58">
        <f t="shared" si="59"/>
        <v>0</v>
      </c>
      <c r="H137" s="58">
        <f t="shared" si="59"/>
        <v>0</v>
      </c>
      <c r="I137" s="58">
        <f t="shared" si="59"/>
        <v>0</v>
      </c>
      <c r="J137" s="58">
        <f t="shared" si="59"/>
        <v>0</v>
      </c>
      <c r="K137" s="58">
        <f t="shared" si="59"/>
        <v>0</v>
      </c>
      <c r="L137" s="58">
        <f t="shared" si="59"/>
        <v>0</v>
      </c>
      <c r="M137" s="58">
        <f t="shared" si="59"/>
        <v>0</v>
      </c>
      <c r="N137" s="58">
        <f t="shared" si="59"/>
        <v>0</v>
      </c>
      <c r="O137" s="58">
        <f t="shared" si="59"/>
        <v>0</v>
      </c>
      <c r="P137" s="58">
        <f t="shared" si="59"/>
        <v>0</v>
      </c>
      <c r="Q137" s="58">
        <f t="shared" si="59"/>
        <v>0</v>
      </c>
      <c r="R137" s="58">
        <f t="shared" si="59"/>
        <v>0</v>
      </c>
      <c r="S137" s="130">
        <f t="shared" si="59"/>
        <v>0</v>
      </c>
    </row>
    <row r="138" spans="1:19" x14ac:dyDescent="0.2">
      <c r="A138" s="64"/>
      <c r="B138" s="57" t="str">
        <f>Instructions!P2</f>
        <v>Pay 2011</v>
      </c>
      <c r="C138" s="57" t="s">
        <v>509</v>
      </c>
      <c r="D138" s="46">
        <f>SUM(E138:S138)</f>
        <v>0</v>
      </c>
      <c r="E138" s="129">
        <f t="shared" ref="E138:S138" si="60">ROUND(IF($E$14=0,0,E$46/$E$14*$E10),2)</f>
        <v>0</v>
      </c>
      <c r="F138" s="58">
        <f t="shared" si="60"/>
        <v>0</v>
      </c>
      <c r="G138" s="58">
        <f t="shared" si="60"/>
        <v>0</v>
      </c>
      <c r="H138" s="58">
        <f t="shared" si="60"/>
        <v>0</v>
      </c>
      <c r="I138" s="58">
        <f t="shared" si="60"/>
        <v>0</v>
      </c>
      <c r="J138" s="58">
        <f t="shared" si="60"/>
        <v>0</v>
      </c>
      <c r="K138" s="58">
        <f t="shared" si="60"/>
        <v>0</v>
      </c>
      <c r="L138" s="58">
        <f t="shared" si="60"/>
        <v>0</v>
      </c>
      <c r="M138" s="58">
        <f t="shared" si="60"/>
        <v>0</v>
      </c>
      <c r="N138" s="58">
        <f t="shared" si="60"/>
        <v>0</v>
      </c>
      <c r="O138" s="58">
        <f t="shared" si="60"/>
        <v>0</v>
      </c>
      <c r="P138" s="58">
        <f t="shared" si="60"/>
        <v>0</v>
      </c>
      <c r="Q138" s="58">
        <f t="shared" si="60"/>
        <v>0</v>
      </c>
      <c r="R138" s="58">
        <f t="shared" si="60"/>
        <v>0</v>
      </c>
      <c r="S138" s="130">
        <f t="shared" si="60"/>
        <v>0</v>
      </c>
    </row>
    <row r="139" spans="1:19" x14ac:dyDescent="0.2">
      <c r="B139" s="57" t="str">
        <f>Instructions!P2</f>
        <v>Pay 2011</v>
      </c>
      <c r="C139" s="57" t="s">
        <v>591</v>
      </c>
      <c r="D139" s="46">
        <f>SUM(E139:S139)</f>
        <v>0</v>
      </c>
      <c r="E139" s="129">
        <f t="shared" ref="E139:S139" si="61">ROUND(IF($E$14=0,0,E$46/$E$14*$E11),2)</f>
        <v>0</v>
      </c>
      <c r="F139" s="58">
        <f t="shared" si="61"/>
        <v>0</v>
      </c>
      <c r="G139" s="58">
        <f t="shared" si="61"/>
        <v>0</v>
      </c>
      <c r="H139" s="58">
        <f t="shared" si="61"/>
        <v>0</v>
      </c>
      <c r="I139" s="58">
        <f t="shared" si="61"/>
        <v>0</v>
      </c>
      <c r="J139" s="58">
        <f t="shared" si="61"/>
        <v>0</v>
      </c>
      <c r="K139" s="58">
        <f t="shared" si="61"/>
        <v>0</v>
      </c>
      <c r="L139" s="58">
        <f t="shared" si="61"/>
        <v>0</v>
      </c>
      <c r="M139" s="58">
        <f t="shared" si="61"/>
        <v>0</v>
      </c>
      <c r="N139" s="58">
        <f t="shared" si="61"/>
        <v>0</v>
      </c>
      <c r="O139" s="58">
        <f t="shared" si="61"/>
        <v>0</v>
      </c>
      <c r="P139" s="58">
        <f t="shared" si="61"/>
        <v>0</v>
      </c>
      <c r="Q139" s="58">
        <f t="shared" si="61"/>
        <v>0</v>
      </c>
      <c r="R139" s="58">
        <f t="shared" si="61"/>
        <v>0</v>
      </c>
      <c r="S139" s="130">
        <f t="shared" si="61"/>
        <v>0</v>
      </c>
    </row>
    <row r="140" spans="1:19" x14ac:dyDescent="0.2">
      <c r="B140" s="57" t="str">
        <f>Instructions!P2</f>
        <v>Pay 2011</v>
      </c>
      <c r="C140" s="57" t="s">
        <v>3</v>
      </c>
      <c r="D140" s="46">
        <f>SUM(E140:S140)</f>
        <v>0</v>
      </c>
      <c r="E140" s="129">
        <f t="shared" ref="E140:S140" si="62">ROUND(IF($E$14=0,0,E$46/$E$14*$E12),2)</f>
        <v>0</v>
      </c>
      <c r="F140" s="58">
        <f t="shared" si="62"/>
        <v>0</v>
      </c>
      <c r="G140" s="58">
        <f t="shared" si="62"/>
        <v>0</v>
      </c>
      <c r="H140" s="58">
        <f t="shared" si="62"/>
        <v>0</v>
      </c>
      <c r="I140" s="58">
        <f t="shared" si="62"/>
        <v>0</v>
      </c>
      <c r="J140" s="58">
        <f t="shared" si="62"/>
        <v>0</v>
      </c>
      <c r="K140" s="58">
        <f t="shared" si="62"/>
        <v>0</v>
      </c>
      <c r="L140" s="58">
        <f t="shared" si="62"/>
        <v>0</v>
      </c>
      <c r="M140" s="58">
        <f t="shared" si="62"/>
        <v>0</v>
      </c>
      <c r="N140" s="58">
        <f t="shared" si="62"/>
        <v>0</v>
      </c>
      <c r="O140" s="58">
        <f t="shared" si="62"/>
        <v>0</v>
      </c>
      <c r="P140" s="58">
        <f t="shared" si="62"/>
        <v>0</v>
      </c>
      <c r="Q140" s="58">
        <f t="shared" si="62"/>
        <v>0</v>
      </c>
      <c r="R140" s="58">
        <f t="shared" si="62"/>
        <v>0</v>
      </c>
      <c r="S140" s="130">
        <f t="shared" si="62"/>
        <v>0</v>
      </c>
    </row>
    <row r="141" spans="1:19" x14ac:dyDescent="0.2">
      <c r="E141" s="129"/>
      <c r="F141" s="58"/>
      <c r="G141" s="58"/>
      <c r="H141" s="58"/>
      <c r="I141" s="58"/>
      <c r="J141" s="58"/>
      <c r="K141" s="58"/>
      <c r="L141" s="58"/>
      <c r="M141" s="58"/>
      <c r="N141" s="58"/>
      <c r="O141" s="58"/>
      <c r="P141" s="58"/>
      <c r="Q141" s="58"/>
      <c r="R141" s="58"/>
      <c r="S141" s="130"/>
    </row>
    <row r="142" spans="1:19" x14ac:dyDescent="0.2">
      <c r="C142" s="57" t="s">
        <v>587</v>
      </c>
      <c r="D142" s="47">
        <f>SUM(D137:D141)</f>
        <v>0</v>
      </c>
      <c r="E142" s="129">
        <f>SUM(E137:E141)</f>
        <v>0</v>
      </c>
      <c r="F142" s="58">
        <f t="shared" ref="F142:S142" si="63">SUM(F137:F141)</f>
        <v>0</v>
      </c>
      <c r="G142" s="58">
        <f t="shared" si="63"/>
        <v>0</v>
      </c>
      <c r="H142" s="58">
        <f t="shared" si="63"/>
        <v>0</v>
      </c>
      <c r="I142" s="58">
        <f t="shared" si="63"/>
        <v>0</v>
      </c>
      <c r="J142" s="58">
        <f t="shared" si="63"/>
        <v>0</v>
      </c>
      <c r="K142" s="58">
        <f t="shared" si="63"/>
        <v>0</v>
      </c>
      <c r="L142" s="58">
        <f t="shared" si="63"/>
        <v>0</v>
      </c>
      <c r="M142" s="58">
        <f t="shared" si="63"/>
        <v>0</v>
      </c>
      <c r="N142" s="58">
        <f t="shared" si="63"/>
        <v>0</v>
      </c>
      <c r="O142" s="58">
        <f t="shared" si="63"/>
        <v>0</v>
      </c>
      <c r="P142" s="58">
        <f t="shared" si="63"/>
        <v>0</v>
      </c>
      <c r="Q142" s="58">
        <f t="shared" si="63"/>
        <v>0</v>
      </c>
      <c r="R142" s="58">
        <f t="shared" si="63"/>
        <v>0</v>
      </c>
      <c r="S142" s="130">
        <f t="shared" si="63"/>
        <v>0</v>
      </c>
    </row>
    <row r="143" spans="1:19" x14ac:dyDescent="0.2">
      <c r="E143" s="129"/>
      <c r="F143" s="59"/>
      <c r="G143" s="59"/>
      <c r="H143" s="59"/>
      <c r="I143" s="59"/>
      <c r="J143" s="59"/>
      <c r="K143" s="59"/>
      <c r="L143" s="59"/>
      <c r="M143" s="59"/>
      <c r="N143" s="59"/>
      <c r="O143" s="59"/>
      <c r="P143" s="59"/>
      <c r="Q143" s="59"/>
      <c r="R143" s="59"/>
      <c r="S143" s="131"/>
    </row>
    <row r="144" spans="1:19" x14ac:dyDescent="0.2">
      <c r="E144" s="129"/>
      <c r="F144" s="59"/>
      <c r="G144" s="59"/>
      <c r="H144" s="59"/>
      <c r="I144" s="59"/>
      <c r="J144" s="59"/>
      <c r="K144" s="59"/>
      <c r="L144" s="59"/>
      <c r="M144" s="59"/>
      <c r="N144" s="59"/>
      <c r="O144" s="59"/>
      <c r="P144" s="59"/>
      <c r="Q144" s="59"/>
      <c r="R144" s="59"/>
      <c r="S144" s="131"/>
    </row>
    <row r="145" spans="1:19" ht="12" thickBot="1" x14ac:dyDescent="0.25">
      <c r="A145" s="43" t="s">
        <v>597</v>
      </c>
      <c r="D145" s="46">
        <f>SUM(E145:S145)</f>
        <v>0</v>
      </c>
      <c r="E145" s="136">
        <f>E47</f>
        <v>0</v>
      </c>
      <c r="F145" s="137">
        <f t="shared" ref="F145:S145" si="64">F47</f>
        <v>0</v>
      </c>
      <c r="G145" s="137">
        <f t="shared" si="64"/>
        <v>0</v>
      </c>
      <c r="H145" s="137">
        <f t="shared" si="64"/>
        <v>0</v>
      </c>
      <c r="I145" s="137">
        <f t="shared" si="64"/>
        <v>0</v>
      </c>
      <c r="J145" s="137">
        <f t="shared" si="64"/>
        <v>0</v>
      </c>
      <c r="K145" s="137">
        <f t="shared" si="64"/>
        <v>0</v>
      </c>
      <c r="L145" s="137">
        <f t="shared" si="64"/>
        <v>0</v>
      </c>
      <c r="M145" s="137">
        <f t="shared" si="64"/>
        <v>0</v>
      </c>
      <c r="N145" s="137">
        <f t="shared" si="64"/>
        <v>0</v>
      </c>
      <c r="O145" s="137">
        <f t="shared" si="64"/>
        <v>0</v>
      </c>
      <c r="P145" s="137">
        <f t="shared" si="64"/>
        <v>0</v>
      </c>
      <c r="Q145" s="137">
        <f t="shared" si="64"/>
        <v>0</v>
      </c>
      <c r="R145" s="137">
        <f t="shared" si="64"/>
        <v>0</v>
      </c>
      <c r="S145" s="138">
        <f t="shared" si="64"/>
        <v>0</v>
      </c>
    </row>
    <row r="146" spans="1:19" ht="12" thickTop="1" x14ac:dyDescent="0.2"/>
    <row r="147" spans="1:19" x14ac:dyDescent="0.2">
      <c r="B147" s="55" t="s">
        <v>598</v>
      </c>
      <c r="D147" s="46">
        <f>D61+D73+D84+D95+D124+D142+D145</f>
        <v>0</v>
      </c>
      <c r="E147" s="46">
        <f>E61+E73+E84+E95+E106+E115+E124+E133+E142+E145</f>
        <v>0</v>
      </c>
      <c r="F147" s="46">
        <f t="shared" ref="F147:S147" si="65">F61+F73+F84+F95+F106+F115+F124+F133+F142+F145</f>
        <v>0</v>
      </c>
      <c r="G147" s="46">
        <f t="shared" si="65"/>
        <v>0</v>
      </c>
      <c r="H147" s="46">
        <f t="shared" si="65"/>
        <v>0</v>
      </c>
      <c r="I147" s="46">
        <f t="shared" si="65"/>
        <v>0</v>
      </c>
      <c r="J147" s="46">
        <f t="shared" si="65"/>
        <v>0</v>
      </c>
      <c r="K147" s="46">
        <f t="shared" si="65"/>
        <v>0</v>
      </c>
      <c r="L147" s="46">
        <f t="shared" si="65"/>
        <v>0</v>
      </c>
      <c r="M147" s="46">
        <f t="shared" si="65"/>
        <v>0</v>
      </c>
      <c r="N147" s="46">
        <f t="shared" si="65"/>
        <v>0</v>
      </c>
      <c r="O147" s="46">
        <f t="shared" si="65"/>
        <v>0</v>
      </c>
      <c r="P147" s="46">
        <f t="shared" si="65"/>
        <v>0</v>
      </c>
      <c r="Q147" s="46">
        <f t="shared" si="65"/>
        <v>0</v>
      </c>
      <c r="R147" s="46">
        <f t="shared" si="65"/>
        <v>0</v>
      </c>
      <c r="S147" s="46">
        <f t="shared" si="65"/>
        <v>0</v>
      </c>
    </row>
  </sheetData>
  <phoneticPr fontId="0" type="noConversion"/>
  <pageMargins left="0.25" right="0.25" top="0.75" bottom="0.75" header="0.5" footer="0.5"/>
  <pageSetup scale="62" fitToHeight="0" orientation="landscape" r:id="rId1"/>
  <headerFooter alignWithMargins="0"/>
  <rowBreaks count="1" manualBreakCount="1">
    <brk id="53" max="16383" man="1"/>
  </rowBreaks>
  <ignoredErrors>
    <ignoredError sqref="C44"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130"/>
  <sheetViews>
    <sheetView workbookViewId="0">
      <pane xSplit="8" ySplit="9" topLeftCell="I10" activePane="bottomRight" state="frozen"/>
      <selection pane="topRight" activeCell="I1" sqref="I1"/>
      <selection pane="bottomLeft" activeCell="A10" sqref="A10"/>
      <selection pane="bottomRight" activeCell="J53" sqref="J53"/>
    </sheetView>
  </sheetViews>
  <sheetFormatPr defaultRowHeight="11.25" x14ac:dyDescent="0.2"/>
  <cols>
    <col min="1" max="1" width="6.83203125" style="43" customWidth="1"/>
    <col min="2" max="2" width="9.33203125" style="43"/>
    <col min="3" max="3" width="12.83203125" style="43" customWidth="1"/>
    <col min="4" max="7" width="10.83203125" style="43" customWidth="1"/>
    <col min="8" max="8" width="13.5" style="43" customWidth="1"/>
    <col min="9" max="11" width="14.83203125" style="43" customWidth="1"/>
    <col min="12" max="12" width="14.83203125" style="30" customWidth="1"/>
    <col min="13" max="13" width="14.83203125" style="43" customWidth="1"/>
    <col min="14" max="16384" width="9.33203125" style="43"/>
  </cols>
  <sheetData>
    <row r="1" spans="1:14" x14ac:dyDescent="0.2">
      <c r="A1" s="55" t="s">
        <v>507</v>
      </c>
      <c r="C1" s="56"/>
      <c r="I1" s="125">
        <f>Report!A3</f>
        <v>1.2</v>
      </c>
      <c r="J1" s="43" t="str">
        <f>Report!B5</f>
        <v xml:space="preserve">MINNEAPOLIS     </v>
      </c>
      <c r="L1" s="145">
        <f>Report!I1</f>
        <v>41115</v>
      </c>
      <c r="N1" s="55" t="s">
        <v>570</v>
      </c>
    </row>
    <row r="2" spans="1:14" x14ac:dyDescent="0.2">
      <c r="C2" s="56"/>
      <c r="N2" s="65" t="s">
        <v>580</v>
      </c>
    </row>
    <row r="3" spans="1:14" x14ac:dyDescent="0.2">
      <c r="A3" s="65" t="s">
        <v>582</v>
      </c>
      <c r="C3" s="30"/>
      <c r="N3" s="65" t="s">
        <v>578</v>
      </c>
    </row>
    <row r="4" spans="1:14" x14ac:dyDescent="0.2">
      <c r="A4" s="65" t="s">
        <v>581</v>
      </c>
      <c r="N4" s="65" t="s">
        <v>579</v>
      </c>
    </row>
    <row r="5" spans="1:14" x14ac:dyDescent="0.2">
      <c r="A5" s="66" t="s">
        <v>583</v>
      </c>
      <c r="N5" s="66" t="s">
        <v>2</v>
      </c>
    </row>
    <row r="6" spans="1:14" x14ac:dyDescent="0.2">
      <c r="A6" s="65" t="s">
        <v>569</v>
      </c>
      <c r="I6" s="52"/>
      <c r="J6" s="52"/>
      <c r="K6" s="52"/>
      <c r="L6" s="139"/>
      <c r="M6" s="52"/>
    </row>
    <row r="7" spans="1:14" x14ac:dyDescent="0.2">
      <c r="A7" s="65" t="s">
        <v>584</v>
      </c>
      <c r="I7" s="51" t="s">
        <v>508</v>
      </c>
      <c r="J7" s="51" t="s">
        <v>509</v>
      </c>
      <c r="K7" s="51" t="s">
        <v>510</v>
      </c>
      <c r="L7" s="140" t="s">
        <v>510</v>
      </c>
      <c r="M7" s="51" t="s">
        <v>394</v>
      </c>
    </row>
    <row r="8" spans="1:14" x14ac:dyDescent="0.2">
      <c r="I8" s="52" t="s">
        <v>575</v>
      </c>
      <c r="J8" s="52" t="s">
        <v>575</v>
      </c>
      <c r="K8" s="52" t="s">
        <v>575</v>
      </c>
      <c r="L8" s="139" t="s">
        <v>575</v>
      </c>
      <c r="M8" s="52" t="s">
        <v>575</v>
      </c>
    </row>
    <row r="9" spans="1:14" x14ac:dyDescent="0.2">
      <c r="I9" s="52"/>
      <c r="J9" s="52"/>
      <c r="K9" s="52"/>
      <c r="L9" s="139"/>
      <c r="M9" s="52"/>
    </row>
    <row r="10" spans="1:14" x14ac:dyDescent="0.2">
      <c r="A10" s="55" t="s">
        <v>469</v>
      </c>
      <c r="N10" s="67"/>
    </row>
    <row r="12" spans="1:14" x14ac:dyDescent="0.2">
      <c r="A12" s="43" t="str">
        <f>Instructions!P1&amp;" Certified Levy"</f>
        <v>Pay 2012 Certified Levy</v>
      </c>
      <c r="H12" s="43" t="s">
        <v>410</v>
      </c>
      <c r="I12" s="30">
        <f>Funds!D9</f>
        <v>0</v>
      </c>
      <c r="J12" s="30">
        <f>Funds!D10</f>
        <v>0</v>
      </c>
      <c r="K12" s="30">
        <f>Funds!D11</f>
        <v>0</v>
      </c>
      <c r="L12" s="30">
        <f>Funds!D12</f>
        <v>0</v>
      </c>
      <c r="M12" s="30">
        <f>SUM(I12:L12)</f>
        <v>0</v>
      </c>
      <c r="N12" s="43" t="s">
        <v>514</v>
      </c>
    </row>
    <row r="13" spans="1:14" x14ac:dyDescent="0.2">
      <c r="A13" s="43" t="str">
        <f>"Tax settlements "&amp;Instructions!T4&amp;" for "&amp;Instructions!P1&amp;" levy"</f>
        <v>Tax settlements 05/01/2012 to 06/30/2012 for Pay 2012 levy</v>
      </c>
      <c r="H13" s="68" t="s">
        <v>576</v>
      </c>
      <c r="I13" s="30">
        <f>-Funds!D56</f>
        <v>0</v>
      </c>
      <c r="J13" s="30">
        <f>-Funds!D57</f>
        <v>0</v>
      </c>
      <c r="K13" s="30">
        <f>-Funds!D58</f>
        <v>0</v>
      </c>
      <c r="L13" s="30">
        <f>-Funds!D59</f>
        <v>0</v>
      </c>
      <c r="M13" s="30">
        <f>SUM(I13:L13)</f>
        <v>0</v>
      </c>
      <c r="N13" s="43" t="str">
        <f>"Tax Settlement Reports (Form 52) "&amp;Instructions!T2</f>
        <v>Tax Settlement Reports (Form 52) 07/01/2011 to 06/30/2012</v>
      </c>
    </row>
    <row r="14" spans="1:14" x14ac:dyDescent="0.2">
      <c r="A14" s="43" t="str">
        <f>"Tax settlements Fiscal disparities "&amp;Instructions!T4&amp;" for "&amp;Instructions!P1&amp;" levy"</f>
        <v>Tax settlements Fiscal disparities 05/01/2012 to 06/30/2012 for Pay 2012 levy</v>
      </c>
      <c r="H14" s="68" t="s">
        <v>576</v>
      </c>
      <c r="I14" s="30">
        <f>-Funds!D110</f>
        <v>0</v>
      </c>
      <c r="J14" s="30">
        <f>-Funds!D111</f>
        <v>0</v>
      </c>
      <c r="K14" s="30">
        <f>-Funds!D112</f>
        <v>0</v>
      </c>
      <c r="L14" s="30">
        <f>-Funds!D113</f>
        <v>0</v>
      </c>
      <c r="M14" s="30">
        <f>SUM(I14:L14)</f>
        <v>0</v>
      </c>
      <c r="N14" s="43" t="str">
        <f>"Tax Settlement Reports (Form 52) "&amp;Instructions!T2</f>
        <v>Tax Settlement Reports (Form 52) 07/01/2011 to 06/30/2012</v>
      </c>
    </row>
    <row r="15" spans="1:14" x14ac:dyDescent="0.2">
      <c r="A15" s="43" t="str">
        <f>"Tax settlements Taconite homestead credit "&amp;Instructions!T4&amp;" for "&amp;Instructions!P1&amp;" levy"</f>
        <v>Tax settlements Taconite homestead credit 05/01/2012 to 06/30/2012 for Pay 2012 levy</v>
      </c>
      <c r="H15" s="68" t="s">
        <v>576</v>
      </c>
      <c r="I15" s="30">
        <f>-Funds!D128</f>
        <v>0</v>
      </c>
      <c r="J15" s="30">
        <f>-Funds!D129</f>
        <v>0</v>
      </c>
      <c r="K15" s="30">
        <f>-Funds!D130</f>
        <v>0</v>
      </c>
      <c r="L15" s="30">
        <f>-Funds!D131</f>
        <v>0</v>
      </c>
      <c r="M15" s="30">
        <f>SUM(I15:L15)</f>
        <v>0</v>
      </c>
      <c r="N15" s="43" t="str">
        <f>"Tax Settlement Reports (Form 52) "&amp;Instructions!T2</f>
        <v>Tax Settlement Reports (Form 52) 07/01/2011 to 06/30/2012</v>
      </c>
    </row>
    <row r="16" spans="1:14" x14ac:dyDescent="0.2">
      <c r="A16" s="69" t="s">
        <v>471</v>
      </c>
    </row>
    <row r="17" spans="1:14" x14ac:dyDescent="0.2">
      <c r="B17" s="68"/>
    </row>
    <row r="18" spans="1:14" x14ac:dyDescent="0.2">
      <c r="B18" s="55" t="str">
        <f>"10 Taxes Receivable--Current "&amp;Instructions!S2</f>
        <v>10 Taxes Receivable--Current 06/30/12</v>
      </c>
      <c r="I18" s="55">
        <f>SUM(I12:I16)</f>
        <v>0</v>
      </c>
      <c r="J18" s="55">
        <f>SUM(J12:J16)</f>
        <v>0</v>
      </c>
      <c r="K18" s="55">
        <f>SUM(K12:K16)</f>
        <v>0</v>
      </c>
      <c r="L18" s="141">
        <f>SUM(L12:L16)</f>
        <v>0</v>
      </c>
    </row>
    <row r="19" spans="1:14" x14ac:dyDescent="0.2">
      <c r="B19" s="55"/>
    </row>
    <row r="20" spans="1:14" x14ac:dyDescent="0.2">
      <c r="B20" s="55"/>
    </row>
    <row r="22" spans="1:14" x14ac:dyDescent="0.2">
      <c r="A22" s="43" t="str">
        <f>"Delinquent Taxes Receivable "&amp;Instructions!S3</f>
        <v>Delinquent Taxes Receivable 06/30/11</v>
      </c>
      <c r="H22" s="43" t="s">
        <v>410</v>
      </c>
      <c r="I22" s="26">
        <v>0</v>
      </c>
      <c r="J22" s="26">
        <v>0</v>
      </c>
      <c r="K22" s="26">
        <v>0</v>
      </c>
      <c r="L22" s="142">
        <v>0</v>
      </c>
      <c r="M22" s="30">
        <f>SUM(I22:L22)</f>
        <v>0</v>
      </c>
      <c r="N22" s="43" t="str">
        <f>"General Ledger "&amp;Instructions!S3</f>
        <v>General Ledger 06/30/11</v>
      </c>
    </row>
    <row r="23" spans="1:14" x14ac:dyDescent="0.2">
      <c r="A23" s="43" t="str">
        <f>"Current Taxes Receivable "&amp;Instructions!S3</f>
        <v>Current Taxes Receivable 06/30/11</v>
      </c>
      <c r="H23" s="43" t="s">
        <v>410</v>
      </c>
      <c r="I23" s="26">
        <v>0</v>
      </c>
      <c r="J23" s="26">
        <v>0</v>
      </c>
      <c r="K23" s="26">
        <v>0</v>
      </c>
      <c r="L23" s="142">
        <v>0</v>
      </c>
      <c r="M23" s="30">
        <f>SUM(I23:L23)</f>
        <v>0</v>
      </c>
      <c r="N23" s="43" t="str">
        <f>"General Ledger "&amp;Instructions!S3</f>
        <v>General Ledger 06/30/11</v>
      </c>
    </row>
    <row r="24" spans="1:14" x14ac:dyDescent="0.2">
      <c r="A24" s="43" t="str">
        <f>"Increase (decrease) to "&amp;Instructions!P2&amp;" levy by county"</f>
        <v>Increase (decrease) to Pay 2011 levy by county</v>
      </c>
      <c r="H24" s="43" t="s">
        <v>575</v>
      </c>
      <c r="I24" s="30">
        <f>ROUND(IF(M24=0,0,Funds!E9/Funds!E14*M24),2)</f>
        <v>0</v>
      </c>
      <c r="J24" s="30">
        <f>ROUND(IF(M24=0,0,Funds!E10/Funds!E14*M24),2)</f>
        <v>0</v>
      </c>
      <c r="K24" s="30">
        <f>ROUND(IF(M24=0,0,Funds!E11/Funds!E14*M24),2)</f>
        <v>0</v>
      </c>
      <c r="L24" s="30">
        <f>ROUND(IF(M24=0,0,Funds!E12/Funds!E14*M24),2)</f>
        <v>0</v>
      </c>
      <c r="M24" s="27">
        <v>0</v>
      </c>
      <c r="N24" s="43" t="s">
        <v>473</v>
      </c>
    </row>
    <row r="25" spans="1:14" x14ac:dyDescent="0.2">
      <c r="A25" s="43" t="str">
        <f>"Increase (decrease) to "&amp;Instructions!P3&amp;" levy by county"</f>
        <v>Increase (decrease) to Pay 2010 levy by county</v>
      </c>
      <c r="H25" s="43" t="s">
        <v>575</v>
      </c>
      <c r="I25" s="30">
        <f>ROUND(IF($M$25=0,0,Funds!F9/Funds!$F$14*$M$25),2)</f>
        <v>0</v>
      </c>
      <c r="J25" s="30">
        <f>ROUND(IF($M$25=0,0,Funds!F10/Funds!$F$14*$M$25),2)</f>
        <v>0</v>
      </c>
      <c r="K25" s="30">
        <f>ROUND(IF($M$25=0,0,Funds!F11/Funds!$F$14*$M$25),2)</f>
        <v>0</v>
      </c>
      <c r="L25" s="30">
        <f>ROUND(IF($M$25=0,0,Funds!F12/Funds!$F$14*$M$25),2)</f>
        <v>0</v>
      </c>
      <c r="M25" s="27">
        <v>0</v>
      </c>
      <c r="N25" s="43" t="s">
        <v>473</v>
      </c>
    </row>
    <row r="26" spans="1:14" x14ac:dyDescent="0.2">
      <c r="A26" s="43" t="str">
        <f>"Education Homestead Market Value Credit for "&amp;Instructions!R2</f>
        <v>Education Homestead Market Value Credit for FY 2012</v>
      </c>
      <c r="H26" s="68" t="s">
        <v>576</v>
      </c>
      <c r="I26" s="28">
        <v>0</v>
      </c>
      <c r="J26" s="28">
        <v>0</v>
      </c>
      <c r="K26" s="28">
        <v>0</v>
      </c>
      <c r="L26" s="142">
        <v>0</v>
      </c>
      <c r="M26" s="30">
        <f>SUM(I26:L26)</f>
        <v>0</v>
      </c>
      <c r="N26" s="30" t="s">
        <v>511</v>
      </c>
    </row>
    <row r="27" spans="1:14" x14ac:dyDescent="0.2">
      <c r="A27" s="43" t="str">
        <f>"Agricultural Educ Homestead Market Value Credit for "&amp;Instructions!R2</f>
        <v>Agricultural Educ Homestead Market Value Credit for FY 2012</v>
      </c>
      <c r="H27" s="68" t="s">
        <v>576</v>
      </c>
      <c r="I27" s="28">
        <v>0</v>
      </c>
      <c r="J27" s="28">
        <v>0</v>
      </c>
      <c r="K27" s="28">
        <v>0</v>
      </c>
      <c r="L27" s="142">
        <v>0</v>
      </c>
      <c r="M27" s="30">
        <f>SUM(I27:L27)</f>
        <v>0</v>
      </c>
      <c r="N27" s="30" t="s">
        <v>511</v>
      </c>
    </row>
    <row r="28" spans="1:14" x14ac:dyDescent="0.2">
      <c r="A28" s="43" t="str">
        <f>"Other credits for "&amp;Instructions!R2</f>
        <v>Other credits for FY 2012</v>
      </c>
      <c r="H28" s="68" t="s">
        <v>576</v>
      </c>
      <c r="I28" s="28">
        <v>0</v>
      </c>
      <c r="J28" s="28">
        <v>0</v>
      </c>
      <c r="K28" s="28">
        <v>0</v>
      </c>
      <c r="L28" s="142">
        <v>0</v>
      </c>
      <c r="M28" s="30">
        <f>SUM(I28:L28)</f>
        <v>0</v>
      </c>
      <c r="N28" s="30" t="s">
        <v>511</v>
      </c>
    </row>
    <row r="29" spans="1:14" x14ac:dyDescent="0.2">
      <c r="A29" s="43" t="str">
        <f>"Disparity Aid adjustments for "&amp;Instructions!R2</f>
        <v>Disparity Aid adjustments for FY 2012</v>
      </c>
      <c r="H29" s="68" t="s">
        <v>576</v>
      </c>
      <c r="I29" s="28">
        <v>0</v>
      </c>
      <c r="J29" s="28">
        <v>0</v>
      </c>
      <c r="K29" s="28">
        <v>0</v>
      </c>
      <c r="L29" s="142">
        <v>0</v>
      </c>
      <c r="M29" s="30">
        <f>SUM(I29:L29)</f>
        <v>0</v>
      </c>
      <c r="N29" s="30" t="s">
        <v>511</v>
      </c>
    </row>
    <row r="30" spans="1:14" x14ac:dyDescent="0.2">
      <c r="A30" s="43" t="str">
        <f>"Decrease (increase) to credits by county"</f>
        <v>Decrease (increase) to credits by county</v>
      </c>
      <c r="H30" s="43" t="s">
        <v>575</v>
      </c>
      <c r="I30" s="30">
        <f>ROUND(IF(Funds!$E$14=0,0,Funds!E9/Funds!$E$14*$M$30),2)</f>
        <v>0</v>
      </c>
      <c r="J30" s="30">
        <f>ROUND(IF(Funds!$E$14=0,0,Funds!E10/Funds!$E$14*$M$30),2)</f>
        <v>0</v>
      </c>
      <c r="K30" s="30">
        <f>ROUND(IF(Funds!$E$14=0,0,Funds!E11/Funds!$E$14*$M$30),2)</f>
        <v>0</v>
      </c>
      <c r="L30" s="30">
        <f>ROUND(IF(Funds!$E$14=0,0,Funds!E12/Funds!$E$14*$M$30),2)</f>
        <v>0</v>
      </c>
      <c r="M30" s="27">
        <v>0</v>
      </c>
      <c r="N30" s="43" t="s">
        <v>512</v>
      </c>
    </row>
    <row r="31" spans="1:14" x14ac:dyDescent="0.2">
      <c r="A31" s="43" t="str">
        <f>"Abatements "&amp;Instructions!T2&amp;" for "&amp;Instructions!P2&amp;" levy"</f>
        <v>Abatements 07/01/2011 to 06/30/2012 for Pay 2011 levy</v>
      </c>
      <c r="H31" s="68" t="s">
        <v>576</v>
      </c>
      <c r="I31" s="30">
        <f>ROUND(IF(Funds!$E$14=0,0,Funds!E9/Funds!$E$14*$M$31),2)</f>
        <v>0</v>
      </c>
      <c r="J31" s="30">
        <f>ROUND(IF(Funds!$E$14=0,0,Funds!E10/Funds!$E$14*$M$31),2)</f>
        <v>0</v>
      </c>
      <c r="K31" s="30">
        <f>ROUND(IF(Funds!$E$14=0,0,Funds!E11/Funds!$E$14*$M$31),2)</f>
        <v>0</v>
      </c>
      <c r="L31" s="30">
        <f>ROUND(IF(Funds!$E$14=0,0,Funds!E12/Funds!$E$14*$M$31),2)</f>
        <v>0</v>
      </c>
      <c r="M31" s="27">
        <v>0</v>
      </c>
      <c r="N31" s="43" t="s">
        <v>473</v>
      </c>
    </row>
    <row r="32" spans="1:14" x14ac:dyDescent="0.2">
      <c r="A32" s="43" t="str">
        <f>"Abatements "&amp;Instructions!T2&amp;" for "&amp;Instructions!P3&amp;" levy"</f>
        <v>Abatements 07/01/2011 to 06/30/2012 for Pay 2010 levy</v>
      </c>
      <c r="H32" s="68" t="s">
        <v>576</v>
      </c>
      <c r="I32" s="30">
        <f>ROUND(IF(Funds!$F$14=0,0,Funds!F9/Funds!$F$14*$M$32),2)</f>
        <v>0</v>
      </c>
      <c r="J32" s="30">
        <f>ROUND(IF(Funds!$F$14=0,0,Funds!F10/Funds!$F$14*$M$32),2)</f>
        <v>0</v>
      </c>
      <c r="K32" s="30">
        <f>ROUND(IF(Funds!$F$14=0,0,Funds!F11/Funds!$F$14*$M$32),2)</f>
        <v>0</v>
      </c>
      <c r="L32" s="30">
        <f>ROUND(IF(Funds!$F$14=0,0,Funds!F12/Funds!$F$14*$M$32),2)</f>
        <v>0</v>
      </c>
      <c r="M32" s="27">
        <v>0</v>
      </c>
      <c r="N32" s="43" t="s">
        <v>473</v>
      </c>
    </row>
    <row r="33" spans="1:14" x14ac:dyDescent="0.2">
      <c r="A33" s="43" t="str">
        <f>"Abatements "&amp;Instructions!T2&amp;" for "&amp;Instructions!P4&amp;" levy"</f>
        <v>Abatements 07/01/2011 to 06/30/2012 for Pay 2009 levy</v>
      </c>
      <c r="H33" s="68" t="s">
        <v>576</v>
      </c>
      <c r="I33" s="30">
        <f>ROUND(IF(Funds!$G$14=0,0,Funds!G9/Funds!$G$14*$M$33),2)</f>
        <v>0</v>
      </c>
      <c r="J33" s="30">
        <f>ROUND(IF(Funds!$G$14=0,0,Funds!G10/Funds!$G$14*$M$33),2)</f>
        <v>0</v>
      </c>
      <c r="K33" s="30">
        <f>ROUND(IF(Funds!$G$14=0,0,Funds!G11/Funds!$G$14*$M$33),2)</f>
        <v>0</v>
      </c>
      <c r="L33" s="30">
        <f>ROUND(IF(Funds!$G$14=0,0,Funds!G12/Funds!$G$14*$M$33),2)</f>
        <v>0</v>
      </c>
      <c r="M33" s="27">
        <v>0</v>
      </c>
      <c r="N33" s="43" t="s">
        <v>473</v>
      </c>
    </row>
    <row r="34" spans="1:14" x14ac:dyDescent="0.2">
      <c r="A34" s="43" t="str">
        <f>"Abatements "&amp;Instructions!T2&amp;" for "&amp;Instructions!P5&amp;" levy"</f>
        <v>Abatements 07/01/2011 to 06/30/2012 for Pay 2008 levy</v>
      </c>
      <c r="H34" s="68" t="s">
        <v>576</v>
      </c>
      <c r="I34" s="30">
        <f>ROUND(IF(Funds!$H$14=0,0,Funds!H9/Funds!$H$14*$M$34),2)</f>
        <v>0</v>
      </c>
      <c r="J34" s="30">
        <f>ROUND(IF(Funds!$H$14=0,0,Funds!H10/Funds!$H$14*$M$34),2)</f>
        <v>0</v>
      </c>
      <c r="K34" s="30">
        <f>ROUND(IF(Funds!$H$14=0,0,Funds!H11/Funds!$H$14*$M$34),2)</f>
        <v>0</v>
      </c>
      <c r="L34" s="30">
        <f>ROUND(IF(Funds!$H$14=0,0,Funds!H12/Funds!$H$14*$M$34),2)</f>
        <v>0</v>
      </c>
      <c r="M34" s="27">
        <v>0</v>
      </c>
      <c r="N34" s="43" t="s">
        <v>473</v>
      </c>
    </row>
    <row r="35" spans="1:14" x14ac:dyDescent="0.2">
      <c r="A35" s="43" t="str">
        <f>"Abatements "&amp;Instructions!T2&amp;" for "&amp;Instructions!P6&amp;" levy"</f>
        <v>Abatements 07/01/2011 to 06/30/2012 for Pay 2007 levy</v>
      </c>
      <c r="H35" s="68" t="s">
        <v>576</v>
      </c>
      <c r="I35" s="30">
        <f>ROUND(IF(Funds!$I$14=0,0,Funds!I9/Funds!$I$14*$M$35),2)</f>
        <v>0</v>
      </c>
      <c r="J35" s="30">
        <f>ROUND(IF(Funds!$I$14=0,0,Funds!I10/Funds!$I$14*$M$35),2)</f>
        <v>0</v>
      </c>
      <c r="K35" s="30">
        <f>ROUND(IF(Funds!$I$14=0,0,Funds!I11/Funds!$I$14*$M$35),2)</f>
        <v>0</v>
      </c>
      <c r="L35" s="30">
        <f>ROUND(IF(Funds!$I$14=0,0,Funds!I12/Funds!$I$14*$M$35),2)</f>
        <v>0</v>
      </c>
      <c r="M35" s="27">
        <v>0</v>
      </c>
      <c r="N35" s="43" t="s">
        <v>473</v>
      </c>
    </row>
    <row r="36" spans="1:14" x14ac:dyDescent="0.2">
      <c r="A36" s="43" t="str">
        <f>"Abatements "&amp;Instructions!T2&amp;" for "&amp;Instructions!P7&amp;" levy"</f>
        <v>Abatements 07/01/2011 to 06/30/2012 for Pay 2006 levy</v>
      </c>
      <c r="H36" s="68" t="s">
        <v>576</v>
      </c>
      <c r="I36" s="30">
        <f>ROUND(IF(Funds!$J$14=0,0,Funds!J9/Funds!$J$14*$M$36),2)</f>
        <v>0</v>
      </c>
      <c r="J36" s="30">
        <f>ROUND(IF(Funds!$J$14=0,0,Funds!J10/Funds!$J$14*$M$36),2)</f>
        <v>0</v>
      </c>
      <c r="K36" s="30">
        <f>ROUND(IF(Funds!$J$14=0,0,Funds!J11/Funds!$J$14*$M$36),2)</f>
        <v>0</v>
      </c>
      <c r="L36" s="30">
        <f>ROUND(IF(Funds!$J$14=0,0,Funds!J12/Funds!$J$14*$M$36),2)</f>
        <v>0</v>
      </c>
      <c r="M36" s="27">
        <v>0</v>
      </c>
      <c r="N36" s="43" t="s">
        <v>473</v>
      </c>
    </row>
    <row r="37" spans="1:14" x14ac:dyDescent="0.2">
      <c r="A37" s="43" t="str">
        <f>"Abatements "&amp;Instructions!T2&amp;" for "&amp;Instructions!P8&amp;" levy"</f>
        <v>Abatements 07/01/2011 to 06/30/2012 for Pay 2005 levy</v>
      </c>
      <c r="H37" s="68" t="s">
        <v>576</v>
      </c>
      <c r="I37" s="30">
        <f>ROUND(IF(Funds!$K$14=0,0,Funds!K9/Funds!$K$14*$M$37),2)</f>
        <v>0</v>
      </c>
      <c r="J37" s="30">
        <f>ROUND(IF(Funds!$K$14=0,0,Funds!K10/Funds!$K$14*$M$37),2)</f>
        <v>0</v>
      </c>
      <c r="K37" s="30">
        <f>ROUND(IF(Funds!$K$14=0,0,Funds!K11/Funds!$K$14*$M$37),2)</f>
        <v>0</v>
      </c>
      <c r="L37" s="30">
        <f>ROUND(IF(Funds!$K$14=0,0,Funds!K12/Funds!$K$14*$M$37),2)</f>
        <v>0</v>
      </c>
      <c r="M37" s="27">
        <v>0</v>
      </c>
      <c r="N37" s="43" t="s">
        <v>473</v>
      </c>
    </row>
    <row r="38" spans="1:14" x14ac:dyDescent="0.2">
      <c r="A38" s="43" t="str">
        <f>"Write off "&amp;Instructions!P8&amp;" delinquent taxes negative (positive) balance due"</f>
        <v>Write off Pay 2005 delinquent taxes negative (positive) balance due</v>
      </c>
      <c r="H38" s="43" t="s">
        <v>575</v>
      </c>
      <c r="I38" s="30">
        <f>ROUND(IF(Funds!$K$14=0,0,Funds!K9/Funds!$K$14*$M$38),2)</f>
        <v>0</v>
      </c>
      <c r="J38" s="30">
        <f>ROUND(IF(Funds!$K$14=0,0,Funds!K10/Funds!$K$14*$M$38),2)</f>
        <v>0</v>
      </c>
      <c r="K38" s="30">
        <f>ROUND(IF(Funds!$K$14=0,0,Funds!K11/Funds!$K$14*$M$38),2)</f>
        <v>0</v>
      </c>
      <c r="L38" s="30">
        <f>ROUND(IF(Funds!$K$14=0,0,Funds!K12/Funds!$K$14*$M$38),2)</f>
        <v>0</v>
      </c>
      <c r="M38" s="27">
        <v>0</v>
      </c>
      <c r="N38" s="43" t="s">
        <v>473</v>
      </c>
    </row>
    <row r="39" spans="1:14" x14ac:dyDescent="0.2">
      <c r="A39" s="43" t="str">
        <f>"Tax settlements "&amp;Instructions!T2&amp;" for "&amp;Instructions!P2&amp;" and prior levies"</f>
        <v>Tax settlements 07/01/2011 to 06/30/2012 for Pay 2011 and prior levies</v>
      </c>
      <c r="H39" s="68" t="s">
        <v>576</v>
      </c>
      <c r="I39" s="30">
        <f>-Funds!D73</f>
        <v>0</v>
      </c>
      <c r="J39" s="30">
        <f>-Funds!D84</f>
        <v>0</v>
      </c>
      <c r="K39" s="30">
        <f>-Funds!D95</f>
        <v>0</v>
      </c>
      <c r="L39" s="30">
        <f>-Funds!D106</f>
        <v>0</v>
      </c>
      <c r="M39" s="30">
        <f>SUM(I39:L39)</f>
        <v>0</v>
      </c>
      <c r="N39" s="43" t="str">
        <f>"Tax Settlement Reports (Form 52) "&amp;Instructions!T2</f>
        <v>Tax Settlement Reports (Form 52) 07/01/2011 to 06/30/2012</v>
      </c>
    </row>
    <row r="40" spans="1:14" x14ac:dyDescent="0.2">
      <c r="A40" s="43" t="str">
        <f>"Tax settlements Fiscal Disparities "&amp;Instructions!T3&amp;" for "&amp;Instructions!P2</f>
        <v>Tax settlements Fiscal Disparities 07/01/2011 to 04/30/2012 for Pay 2011</v>
      </c>
      <c r="H40" s="68" t="s">
        <v>576</v>
      </c>
      <c r="I40" s="30">
        <f>-Funds!D119</f>
        <v>0</v>
      </c>
      <c r="J40" s="30">
        <f>-Funds!D120</f>
        <v>0</v>
      </c>
      <c r="K40" s="30">
        <f>-Funds!D121</f>
        <v>0</v>
      </c>
      <c r="L40" s="30">
        <f>-Funds!D122</f>
        <v>0</v>
      </c>
      <c r="M40" s="30">
        <f>SUM(I40:L40)</f>
        <v>0</v>
      </c>
      <c r="N40" s="43" t="str">
        <f>"Tax Settlement Reports (Form 52) "&amp;Instructions!T2</f>
        <v>Tax Settlement Reports (Form 52) 07/01/2011 to 06/30/2012</v>
      </c>
    </row>
    <row r="41" spans="1:14" x14ac:dyDescent="0.2">
      <c r="A41" s="43" t="str">
        <f>"Tax settlements Taconite homestead credit "&amp;Instructions!T3&amp;" for "&amp;Instructions!P2</f>
        <v>Tax settlements Taconite homestead credit 07/01/2011 to 04/30/2012 for Pay 2011</v>
      </c>
      <c r="H41" s="68" t="s">
        <v>576</v>
      </c>
      <c r="I41" s="30">
        <f>-Funds!D137</f>
        <v>0</v>
      </c>
      <c r="J41" s="30">
        <f>-Funds!D138</f>
        <v>0</v>
      </c>
      <c r="K41" s="30">
        <f>-Funds!D139</f>
        <v>0</v>
      </c>
      <c r="L41" s="30">
        <f>-Funds!D140</f>
        <v>0</v>
      </c>
      <c r="M41" s="30">
        <f>SUM(I41:L41)</f>
        <v>0</v>
      </c>
      <c r="N41" s="43" t="str">
        <f>"Tax Settlement Reports (Form 52) "&amp;Instructions!T2</f>
        <v>Tax Settlement Reports (Form 52) 07/01/2011 to 06/30/2012</v>
      </c>
    </row>
    <row r="42" spans="1:14" x14ac:dyDescent="0.2">
      <c r="I42" s="30"/>
      <c r="J42" s="30"/>
      <c r="K42" s="30"/>
      <c r="M42" s="30"/>
    </row>
    <row r="43" spans="1:14" x14ac:dyDescent="0.2">
      <c r="B43" s="55" t="str">
        <f>"111 Delinquent Taxes Receivable "&amp;Instructions!S2</f>
        <v>111 Delinquent Taxes Receivable 06/30/12</v>
      </c>
      <c r="I43" s="55">
        <f>SUM(I22:I41)</f>
        <v>0</v>
      </c>
      <c r="J43" s="55">
        <f>SUM(J22:J41)</f>
        <v>0</v>
      </c>
      <c r="K43" s="55">
        <f>SUM(K22:K41)</f>
        <v>0</v>
      </c>
      <c r="L43" s="141">
        <f>SUM(L22:L41)</f>
        <v>0</v>
      </c>
    </row>
    <row r="44" spans="1:14" x14ac:dyDescent="0.2">
      <c r="B44" s="55"/>
    </row>
    <row r="45" spans="1:14" x14ac:dyDescent="0.2">
      <c r="B45" s="55"/>
    </row>
    <row r="46" spans="1:14" x14ac:dyDescent="0.2">
      <c r="B46" s="55"/>
    </row>
    <row r="47" spans="1:14" x14ac:dyDescent="0.2">
      <c r="A47" s="43" t="s">
        <v>566</v>
      </c>
      <c r="B47" s="55"/>
      <c r="H47" s="68" t="s">
        <v>576</v>
      </c>
      <c r="I47" s="43">
        <f>Report!I18</f>
        <v>400016.65999999992</v>
      </c>
      <c r="J47" s="43">
        <f>Report!I23</f>
        <v>-400634.03</v>
      </c>
      <c r="M47" s="43">
        <f>SUM(I47:L47)</f>
        <v>-617.37000000011176</v>
      </c>
      <c r="N47" s="43" t="s">
        <v>563</v>
      </c>
    </row>
    <row r="48" spans="1:14" x14ac:dyDescent="0.2">
      <c r="B48" s="55"/>
    </row>
    <row r="49" spans="1:14" x14ac:dyDescent="0.2">
      <c r="B49" s="70" t="str">
        <f>"213 Property Tax Shift Adjustment "&amp;Instructions!S2</f>
        <v>213 Property Tax Shift Adjustment 06/30/12</v>
      </c>
      <c r="I49" s="55">
        <f>I47</f>
        <v>400016.65999999992</v>
      </c>
      <c r="J49" s="55">
        <f>J47</f>
        <v>-400634.03</v>
      </c>
    </row>
    <row r="50" spans="1:14" x14ac:dyDescent="0.2">
      <c r="B50" s="55"/>
    </row>
    <row r="51" spans="1:14" x14ac:dyDescent="0.2">
      <c r="B51" s="55"/>
    </row>
    <row r="53" spans="1:14" x14ac:dyDescent="0.2">
      <c r="A53" s="43" t="s">
        <v>474</v>
      </c>
      <c r="H53" s="43" t="s">
        <v>410</v>
      </c>
      <c r="I53" s="30">
        <f>Report!E108</f>
        <v>4917529.950000003</v>
      </c>
      <c r="J53" s="30">
        <f>Report!E110</f>
        <v>0</v>
      </c>
      <c r="M53" s="43">
        <f>SUM(I53:L53)</f>
        <v>4917529.950000003</v>
      </c>
      <c r="N53" s="43" t="s">
        <v>513</v>
      </c>
    </row>
    <row r="55" spans="1:14" x14ac:dyDescent="0.2">
      <c r="B55" s="55" t="str">
        <f>"214 Advance of Unearned General Education Aid "&amp;Instructions!S2</f>
        <v>214 Advance of Unearned General Education Aid 06/30/12</v>
      </c>
      <c r="I55" s="43">
        <f>SUM(I53:I54)</f>
        <v>4917529.950000003</v>
      </c>
      <c r="J55" s="43">
        <f>SUM(J53:J54)</f>
        <v>0</v>
      </c>
    </row>
    <row r="56" spans="1:14" x14ac:dyDescent="0.2">
      <c r="B56" s="71"/>
    </row>
    <row r="57" spans="1:14" x14ac:dyDescent="0.2">
      <c r="B57" s="55"/>
    </row>
    <row r="58" spans="1:14" x14ac:dyDescent="0.2">
      <c r="B58" s="55"/>
    </row>
    <row r="59" spans="1:14" x14ac:dyDescent="0.2">
      <c r="A59" s="43" t="str">
        <f>"Deferred Revenue for Delinquent Taxes "&amp;Instructions!S3</f>
        <v>Deferred Revenue for Delinquent Taxes 06/30/11</v>
      </c>
      <c r="H59" s="68" t="s">
        <v>576</v>
      </c>
      <c r="I59" s="26">
        <v>0</v>
      </c>
      <c r="J59" s="26">
        <v>0</v>
      </c>
      <c r="K59" s="26">
        <v>0</v>
      </c>
      <c r="L59" s="142">
        <v>0</v>
      </c>
      <c r="M59" s="30">
        <f>SUM(I59:L59)</f>
        <v>0</v>
      </c>
      <c r="N59" s="43" t="str">
        <f>"General Ledger "&amp;Instructions!S3</f>
        <v>General Ledger 06/30/11</v>
      </c>
    </row>
    <row r="60" spans="1:14" x14ac:dyDescent="0.2">
      <c r="A60" s="43" t="str">
        <f>"Decrease (increase) in Delinquent Taxes from "&amp;Instructions!S3&amp;" to "&amp;Instructions!S2</f>
        <v>Decrease (increase) in Delinquent Taxes from 06/30/11 to 06/30/12</v>
      </c>
      <c r="H60" s="43" t="s">
        <v>575</v>
      </c>
      <c r="I60" s="43">
        <f>I22-I43</f>
        <v>0</v>
      </c>
      <c r="J60" s="43">
        <f>J22-J43</f>
        <v>0</v>
      </c>
      <c r="K60" s="43">
        <f>K22-K43</f>
        <v>0</v>
      </c>
      <c r="L60" s="30">
        <f>L22-L43</f>
        <v>0</v>
      </c>
      <c r="M60" s="30">
        <f>SUM(I60:L60)</f>
        <v>0</v>
      </c>
      <c r="N60" s="43" t="s">
        <v>472</v>
      </c>
    </row>
    <row r="61" spans="1:14" x14ac:dyDescent="0.2">
      <c r="A61" s="43" t="str">
        <f>"Increase (decrease) in amount to be collected within 60 days from "&amp;Instructions!S3&amp;" to "&amp;Instructions!S2</f>
        <v>Increase (decrease) in amount to be collected within 60 days from 06/30/11 to 06/30/12</v>
      </c>
      <c r="H61" s="43" t="s">
        <v>575</v>
      </c>
      <c r="I61" s="29">
        <v>0</v>
      </c>
      <c r="J61" s="29">
        <v>0</v>
      </c>
      <c r="K61" s="29">
        <v>0</v>
      </c>
      <c r="L61" s="142">
        <v>0</v>
      </c>
      <c r="M61" s="30">
        <f>SUM(I61:L61)</f>
        <v>0</v>
      </c>
      <c r="N61" s="43" t="s">
        <v>660</v>
      </c>
    </row>
    <row r="63" spans="1:14" x14ac:dyDescent="0.2">
      <c r="B63" s="55" t="str">
        <f>"231 Deferred Revenue--Delinquent Taxes "&amp;Instructions!S2</f>
        <v>231 Deferred Revenue--Delinquent Taxes 06/30/12</v>
      </c>
      <c r="I63" s="55">
        <f>SUM(I59:I61)</f>
        <v>0</v>
      </c>
      <c r="J63" s="55">
        <f>SUM(J59:J61)</f>
        <v>0</v>
      </c>
      <c r="K63" s="55">
        <f>SUM(K59:K61)</f>
        <v>0</v>
      </c>
      <c r="L63" s="141">
        <f>SUM(L59:L61)</f>
        <v>0</v>
      </c>
    </row>
    <row r="64" spans="1:14" x14ac:dyDescent="0.2">
      <c r="B64" s="55"/>
    </row>
    <row r="65" spans="1:14" x14ac:dyDescent="0.2">
      <c r="B65" s="55"/>
    </row>
    <row r="67" spans="1:14" x14ac:dyDescent="0.2">
      <c r="A67" s="43" t="str">
        <f>Instructions!P1&amp;" Certified Levy"</f>
        <v>Pay 2012 Certified Levy</v>
      </c>
      <c r="H67" s="68" t="s">
        <v>576</v>
      </c>
      <c r="I67" s="43">
        <f>-I12</f>
        <v>0</v>
      </c>
      <c r="J67" s="43">
        <f>-J12</f>
        <v>0</v>
      </c>
      <c r="K67" s="43">
        <f>-K12</f>
        <v>0</v>
      </c>
      <c r="L67" s="30">
        <f>-L12</f>
        <v>0</v>
      </c>
      <c r="M67" s="43">
        <f>SUM(I67:L67)</f>
        <v>0</v>
      </c>
      <c r="N67" s="43" t="s">
        <v>514</v>
      </c>
    </row>
    <row r="68" spans="1:14" x14ac:dyDescent="0.2">
      <c r="A68" s="43" t="str">
        <f>"Property Tax Shift into "&amp;Instructions!R2</f>
        <v>Property Tax Shift into FY 2012</v>
      </c>
      <c r="H68" s="43" t="s">
        <v>410</v>
      </c>
      <c r="I68" s="30">
        <f>Report!C18</f>
        <v>56538632.020000003</v>
      </c>
      <c r="J68" s="30">
        <f>Report!C23</f>
        <v>2395201.98</v>
      </c>
      <c r="K68" s="30"/>
      <c r="M68" s="43">
        <f>SUM(I68:L68)</f>
        <v>58933834</v>
      </c>
      <c r="N68" s="43" t="s">
        <v>571</v>
      </c>
    </row>
    <row r="69" spans="1:14" x14ac:dyDescent="0.2">
      <c r="A69" s="43" t="s">
        <v>474</v>
      </c>
      <c r="H69" s="68" t="s">
        <v>576</v>
      </c>
      <c r="I69" s="43">
        <f>-I55</f>
        <v>-4917529.950000003</v>
      </c>
      <c r="J69" s="43">
        <f>-J55</f>
        <v>0</v>
      </c>
      <c r="M69" s="43">
        <f>SUM(I69:L69)</f>
        <v>-4917529.950000003</v>
      </c>
      <c r="N69" s="43" t="str">
        <f>"Account 214 balance at "&amp;Instructions!S2</f>
        <v>Account 214 balance at 06/30/12</v>
      </c>
    </row>
    <row r="71" spans="1:14" x14ac:dyDescent="0.2">
      <c r="B71" s="55" t="str">
        <f>"235 Property Taxes for Subsequent Years "&amp;Instructions!S2</f>
        <v>235 Property Taxes for Subsequent Years 06/30/12</v>
      </c>
      <c r="I71" s="55">
        <f>SUM(I67:I69)</f>
        <v>51621102.07</v>
      </c>
      <c r="J71" s="55">
        <f>SUM(J67:J69)</f>
        <v>2395201.98</v>
      </c>
      <c r="K71" s="55">
        <f>SUM(K67:K69)</f>
        <v>0</v>
      </c>
      <c r="L71" s="141">
        <f>SUM(L67:L69)</f>
        <v>0</v>
      </c>
    </row>
    <row r="72" spans="1:14" x14ac:dyDescent="0.2">
      <c r="B72" s="55"/>
    </row>
    <row r="73" spans="1:14" x14ac:dyDescent="0.2">
      <c r="B73" s="55"/>
    </row>
    <row r="74" spans="1:14" x14ac:dyDescent="0.2">
      <c r="B74" s="55"/>
    </row>
    <row r="75" spans="1:14" x14ac:dyDescent="0.2">
      <c r="A75" s="141" t="s">
        <v>475</v>
      </c>
    </row>
    <row r="77" spans="1:14" x14ac:dyDescent="0.2">
      <c r="A77" s="43" t="str">
        <f>Instructions!P2&amp;" Certified Levy"</f>
        <v>Pay 2011 Certified Levy</v>
      </c>
      <c r="H77" s="68" t="s">
        <v>576</v>
      </c>
      <c r="I77" s="30">
        <f>-Funds!E9</f>
        <v>0</v>
      </c>
      <c r="J77" s="30">
        <f>-Funds!E10</f>
        <v>0</v>
      </c>
      <c r="K77" s="30">
        <f>-Funds!E11</f>
        <v>0</v>
      </c>
      <c r="L77" s="30">
        <f>-Funds!E12</f>
        <v>0</v>
      </c>
      <c r="M77" s="30">
        <f>SUM(I77:L77)</f>
        <v>0</v>
      </c>
      <c r="N77" s="43" t="s">
        <v>514</v>
      </c>
    </row>
    <row r="78" spans="1:14" s="30" customFormat="1" x14ac:dyDescent="0.2">
      <c r="A78" s="30" t="str">
        <f>"Decrease (increase) to "&amp;Instructions!P2&amp;" levy by county"</f>
        <v>Decrease (increase) to Pay 2011 levy by county</v>
      </c>
      <c r="H78" s="30" t="s">
        <v>575</v>
      </c>
      <c r="I78" s="30">
        <f t="shared" ref="I78:K92" si="0">-I24</f>
        <v>0</v>
      </c>
      <c r="J78" s="30">
        <f t="shared" si="0"/>
        <v>0</v>
      </c>
      <c r="K78" s="30">
        <f t="shared" si="0"/>
        <v>0</v>
      </c>
      <c r="L78" s="30">
        <f t="shared" ref="L78:L92" si="1">-L24</f>
        <v>0</v>
      </c>
      <c r="M78" s="30">
        <f t="shared" ref="M78:M96" si="2">SUM(I78:L78)</f>
        <v>0</v>
      </c>
      <c r="N78" s="30" t="s">
        <v>473</v>
      </c>
    </row>
    <row r="79" spans="1:14" x14ac:dyDescent="0.2">
      <c r="A79" s="43" t="str">
        <f>"Decrease (increase) to "&amp;Instructions!P3&amp;" levy by county"</f>
        <v>Decrease (increase) to Pay 2010 levy by county</v>
      </c>
      <c r="H79" s="43" t="s">
        <v>575</v>
      </c>
      <c r="I79" s="43">
        <f t="shared" si="0"/>
        <v>0</v>
      </c>
      <c r="J79" s="43">
        <f t="shared" si="0"/>
        <v>0</v>
      </c>
      <c r="K79" s="43">
        <f t="shared" si="0"/>
        <v>0</v>
      </c>
      <c r="L79" s="30">
        <f t="shared" si="1"/>
        <v>0</v>
      </c>
      <c r="M79" s="30">
        <f t="shared" si="2"/>
        <v>0</v>
      </c>
      <c r="N79" s="43" t="s">
        <v>473</v>
      </c>
    </row>
    <row r="80" spans="1:14" x14ac:dyDescent="0.2">
      <c r="A80" s="43" t="str">
        <f>"Education Homestead Market Value Credit for "&amp;Instructions!R2</f>
        <v>Education Homestead Market Value Credit for FY 2012</v>
      </c>
      <c r="H80" s="43" t="s">
        <v>410</v>
      </c>
      <c r="I80" s="43">
        <f t="shared" si="0"/>
        <v>0</v>
      </c>
      <c r="J80" s="43">
        <f t="shared" si="0"/>
        <v>0</v>
      </c>
      <c r="K80" s="43">
        <f t="shared" si="0"/>
        <v>0</v>
      </c>
      <c r="L80" s="30">
        <f t="shared" si="1"/>
        <v>0</v>
      </c>
      <c r="M80" s="30">
        <f t="shared" si="2"/>
        <v>0</v>
      </c>
      <c r="N80" s="43" t="s">
        <v>473</v>
      </c>
    </row>
    <row r="81" spans="1:14" x14ac:dyDescent="0.2">
      <c r="A81" s="43" t="str">
        <f>"Agricultural Educ Homestead Market Value Credit for "&amp;Instructions!R2</f>
        <v>Agricultural Educ Homestead Market Value Credit for FY 2012</v>
      </c>
      <c r="H81" s="43" t="s">
        <v>410</v>
      </c>
      <c r="I81" s="43">
        <f t="shared" si="0"/>
        <v>0</v>
      </c>
      <c r="J81" s="43">
        <f t="shared" si="0"/>
        <v>0</v>
      </c>
      <c r="K81" s="43">
        <f t="shared" si="0"/>
        <v>0</v>
      </c>
      <c r="L81" s="30">
        <f t="shared" si="1"/>
        <v>0</v>
      </c>
      <c r="M81" s="30">
        <f t="shared" si="2"/>
        <v>0</v>
      </c>
      <c r="N81" s="43" t="s">
        <v>473</v>
      </c>
    </row>
    <row r="82" spans="1:14" x14ac:dyDescent="0.2">
      <c r="A82" s="43" t="str">
        <f>"Other Credits for "&amp;Instructions!R2</f>
        <v>Other Credits for FY 2012</v>
      </c>
      <c r="H82" s="43" t="s">
        <v>410</v>
      </c>
      <c r="I82" s="43">
        <f t="shared" si="0"/>
        <v>0</v>
      </c>
      <c r="J82" s="43">
        <f t="shared" si="0"/>
        <v>0</v>
      </c>
      <c r="K82" s="43">
        <f t="shared" si="0"/>
        <v>0</v>
      </c>
      <c r="L82" s="30">
        <f t="shared" si="1"/>
        <v>0</v>
      </c>
      <c r="M82" s="30">
        <f t="shared" si="2"/>
        <v>0</v>
      </c>
      <c r="N82" s="43" t="s">
        <v>473</v>
      </c>
    </row>
    <row r="83" spans="1:14" x14ac:dyDescent="0.2">
      <c r="A83" s="43" t="str">
        <f>"Disparity Aid adjustments for "&amp;Instructions!R2</f>
        <v>Disparity Aid adjustments for FY 2012</v>
      </c>
      <c r="H83" s="43" t="s">
        <v>410</v>
      </c>
      <c r="I83" s="43">
        <f t="shared" si="0"/>
        <v>0</v>
      </c>
      <c r="J83" s="43">
        <f t="shared" si="0"/>
        <v>0</v>
      </c>
      <c r="K83" s="43">
        <f t="shared" si="0"/>
        <v>0</v>
      </c>
      <c r="L83" s="30">
        <f t="shared" si="1"/>
        <v>0</v>
      </c>
      <c r="M83" s="30">
        <f t="shared" si="2"/>
        <v>0</v>
      </c>
      <c r="N83" s="43" t="s">
        <v>473</v>
      </c>
    </row>
    <row r="84" spans="1:14" x14ac:dyDescent="0.2">
      <c r="A84" s="43" t="s">
        <v>577</v>
      </c>
      <c r="H84" s="43" t="s">
        <v>575</v>
      </c>
      <c r="I84" s="43">
        <f t="shared" si="0"/>
        <v>0</v>
      </c>
      <c r="J84" s="43">
        <f t="shared" si="0"/>
        <v>0</v>
      </c>
      <c r="K84" s="43">
        <f t="shared" si="0"/>
        <v>0</v>
      </c>
      <c r="L84" s="30">
        <f t="shared" si="1"/>
        <v>0</v>
      </c>
      <c r="M84" s="30">
        <f t="shared" si="2"/>
        <v>0</v>
      </c>
      <c r="N84" s="43" t="s">
        <v>512</v>
      </c>
    </row>
    <row r="85" spans="1:14" x14ac:dyDescent="0.2">
      <c r="A85" s="43" t="str">
        <f>"Abatements "&amp;Instructions!T2&amp;" for "&amp;Instructions!P2&amp;" levy"</f>
        <v>Abatements 07/01/2011 to 06/30/2012 for Pay 2011 levy</v>
      </c>
      <c r="H85" s="43" t="s">
        <v>410</v>
      </c>
      <c r="I85" s="43">
        <f t="shared" si="0"/>
        <v>0</v>
      </c>
      <c r="J85" s="43">
        <f t="shared" si="0"/>
        <v>0</v>
      </c>
      <c r="K85" s="43">
        <f t="shared" si="0"/>
        <v>0</v>
      </c>
      <c r="L85" s="30">
        <f t="shared" si="1"/>
        <v>0</v>
      </c>
      <c r="M85" s="30">
        <f t="shared" si="2"/>
        <v>0</v>
      </c>
      <c r="N85" s="43" t="s">
        <v>473</v>
      </c>
    </row>
    <row r="86" spans="1:14" x14ac:dyDescent="0.2">
      <c r="A86" s="43" t="str">
        <f>"Abatements "&amp;Instructions!T2&amp;" for "&amp;Instructions!P3&amp;" levy"</f>
        <v>Abatements 07/01/2011 to 06/30/2012 for Pay 2010 levy</v>
      </c>
      <c r="H86" s="43" t="s">
        <v>410</v>
      </c>
      <c r="I86" s="43">
        <f t="shared" si="0"/>
        <v>0</v>
      </c>
      <c r="J86" s="43">
        <f t="shared" si="0"/>
        <v>0</v>
      </c>
      <c r="K86" s="43">
        <f t="shared" si="0"/>
        <v>0</v>
      </c>
      <c r="L86" s="30">
        <f t="shared" si="1"/>
        <v>0</v>
      </c>
      <c r="M86" s="30">
        <f t="shared" si="2"/>
        <v>0</v>
      </c>
      <c r="N86" s="43" t="s">
        <v>473</v>
      </c>
    </row>
    <row r="87" spans="1:14" x14ac:dyDescent="0.2">
      <c r="A87" s="43" t="str">
        <f>"Abatements "&amp;Instructions!T2&amp;" for "&amp;Instructions!P4&amp;" levy"</f>
        <v>Abatements 07/01/2011 to 06/30/2012 for Pay 2009 levy</v>
      </c>
      <c r="H87" s="43" t="s">
        <v>410</v>
      </c>
      <c r="I87" s="43">
        <f t="shared" si="0"/>
        <v>0</v>
      </c>
      <c r="J87" s="43">
        <f t="shared" si="0"/>
        <v>0</v>
      </c>
      <c r="K87" s="43">
        <f t="shared" si="0"/>
        <v>0</v>
      </c>
      <c r="L87" s="30">
        <f t="shared" si="1"/>
        <v>0</v>
      </c>
      <c r="M87" s="30">
        <f t="shared" si="2"/>
        <v>0</v>
      </c>
      <c r="N87" s="43" t="s">
        <v>473</v>
      </c>
    </row>
    <row r="88" spans="1:14" x14ac:dyDescent="0.2">
      <c r="A88" s="43" t="str">
        <f>"Abatements "&amp;Instructions!T2&amp;" for "&amp;Instructions!P5&amp;" levy"</f>
        <v>Abatements 07/01/2011 to 06/30/2012 for Pay 2008 levy</v>
      </c>
      <c r="H88" s="43" t="s">
        <v>410</v>
      </c>
      <c r="I88" s="43">
        <f t="shared" si="0"/>
        <v>0</v>
      </c>
      <c r="J88" s="43">
        <f t="shared" si="0"/>
        <v>0</v>
      </c>
      <c r="K88" s="43">
        <f t="shared" si="0"/>
        <v>0</v>
      </c>
      <c r="L88" s="30">
        <f t="shared" si="1"/>
        <v>0</v>
      </c>
      <c r="M88" s="30">
        <f t="shared" si="2"/>
        <v>0</v>
      </c>
      <c r="N88" s="43" t="s">
        <v>473</v>
      </c>
    </row>
    <row r="89" spans="1:14" x14ac:dyDescent="0.2">
      <c r="A89" s="43" t="str">
        <f>"Abatements "&amp;Instructions!T2&amp;" for "&amp;Instructions!P6&amp;" levy"</f>
        <v>Abatements 07/01/2011 to 06/30/2012 for Pay 2007 levy</v>
      </c>
      <c r="H89" s="43" t="s">
        <v>410</v>
      </c>
      <c r="I89" s="43">
        <f t="shared" si="0"/>
        <v>0</v>
      </c>
      <c r="J89" s="43">
        <f t="shared" si="0"/>
        <v>0</v>
      </c>
      <c r="K89" s="43">
        <f t="shared" si="0"/>
        <v>0</v>
      </c>
      <c r="L89" s="30">
        <f t="shared" si="1"/>
        <v>0</v>
      </c>
      <c r="M89" s="30">
        <f t="shared" si="2"/>
        <v>0</v>
      </c>
      <c r="N89" s="43" t="s">
        <v>473</v>
      </c>
    </row>
    <row r="90" spans="1:14" x14ac:dyDescent="0.2">
      <c r="A90" s="43" t="str">
        <f>"Abatements "&amp;Instructions!T2&amp;" for "&amp;Instructions!P7&amp;" levy"</f>
        <v>Abatements 07/01/2011 to 06/30/2012 for Pay 2006 levy</v>
      </c>
      <c r="H90" s="43" t="s">
        <v>410</v>
      </c>
      <c r="I90" s="43">
        <f t="shared" si="0"/>
        <v>0</v>
      </c>
      <c r="J90" s="43">
        <f t="shared" si="0"/>
        <v>0</v>
      </c>
      <c r="K90" s="43">
        <f t="shared" si="0"/>
        <v>0</v>
      </c>
      <c r="L90" s="30">
        <f t="shared" si="1"/>
        <v>0</v>
      </c>
      <c r="M90" s="30">
        <f t="shared" si="2"/>
        <v>0</v>
      </c>
      <c r="N90" s="43" t="s">
        <v>473</v>
      </c>
    </row>
    <row r="91" spans="1:14" x14ac:dyDescent="0.2">
      <c r="A91" s="43" t="str">
        <f>"Abatements "&amp;Instructions!T2&amp;" for "&amp;Instructions!P8&amp;" levy"</f>
        <v>Abatements 07/01/2011 to 06/30/2012 for Pay 2005 levy</v>
      </c>
      <c r="H91" s="43" t="s">
        <v>410</v>
      </c>
      <c r="I91" s="43">
        <f t="shared" si="0"/>
        <v>0</v>
      </c>
      <c r="J91" s="43">
        <f t="shared" si="0"/>
        <v>0</v>
      </c>
      <c r="K91" s="43">
        <f t="shared" si="0"/>
        <v>0</v>
      </c>
      <c r="L91" s="30">
        <f t="shared" si="1"/>
        <v>0</v>
      </c>
      <c r="M91" s="30">
        <f t="shared" si="2"/>
        <v>0</v>
      </c>
      <c r="N91" s="43" t="s">
        <v>473</v>
      </c>
    </row>
    <row r="92" spans="1:14" x14ac:dyDescent="0.2">
      <c r="A92" s="43" t="str">
        <f>"Write off "&amp;Instructions!P8&amp;" delinquent taxes positive (negative) balance due"</f>
        <v>Write off Pay 2005 delinquent taxes positive (negative) balance due</v>
      </c>
      <c r="H92" s="43" t="s">
        <v>575</v>
      </c>
      <c r="I92" s="43">
        <f t="shared" si="0"/>
        <v>0</v>
      </c>
      <c r="J92" s="43">
        <f t="shared" si="0"/>
        <v>0</v>
      </c>
      <c r="K92" s="43">
        <f t="shared" si="0"/>
        <v>0</v>
      </c>
      <c r="L92" s="30">
        <f t="shared" si="1"/>
        <v>0</v>
      </c>
      <c r="M92" s="30">
        <f t="shared" si="2"/>
        <v>0</v>
      </c>
      <c r="N92" s="43" t="s">
        <v>473</v>
      </c>
    </row>
    <row r="93" spans="1:14" x14ac:dyDescent="0.2">
      <c r="A93" s="43" t="str">
        <f>"Fiscal Disparities adjustment for "&amp;Instructions!R2</f>
        <v>Fiscal Disparities adjustment for FY 2012</v>
      </c>
      <c r="H93" s="43" t="s">
        <v>410</v>
      </c>
      <c r="I93" s="43">
        <f>-I102</f>
        <v>0</v>
      </c>
      <c r="J93" s="43">
        <f>-J102</f>
        <v>0</v>
      </c>
      <c r="K93" s="43">
        <f>-K102</f>
        <v>0</v>
      </c>
      <c r="L93" s="30">
        <f>-L102</f>
        <v>0</v>
      </c>
      <c r="M93" s="30">
        <f t="shared" si="2"/>
        <v>0</v>
      </c>
      <c r="N93" s="43" t="s">
        <v>470</v>
      </c>
    </row>
    <row r="94" spans="1:14" x14ac:dyDescent="0.2">
      <c r="A94" s="43" t="str">
        <f>"Taconite Homestead credit for "&amp;Instructions!R2</f>
        <v>Taconite Homestead credit for FY 2012</v>
      </c>
      <c r="H94" s="43" t="s">
        <v>410</v>
      </c>
      <c r="I94" s="43">
        <f>-I108</f>
        <v>0</v>
      </c>
      <c r="J94" s="43">
        <f>-J108</f>
        <v>0</v>
      </c>
      <c r="K94" s="43">
        <f>-K108</f>
        <v>0</v>
      </c>
      <c r="L94" s="30">
        <f>-L108</f>
        <v>0</v>
      </c>
      <c r="M94" s="30">
        <f t="shared" si="2"/>
        <v>0</v>
      </c>
      <c r="N94" s="43" t="s">
        <v>470</v>
      </c>
    </row>
    <row r="95" spans="1:14" x14ac:dyDescent="0.2">
      <c r="A95" s="43" t="str">
        <f>"Property Tax Shift into "&amp;Instructions!R3</f>
        <v>Property Tax Shift into FY 2011</v>
      </c>
      <c r="H95" s="43" t="s">
        <v>410</v>
      </c>
      <c r="I95" s="30">
        <f>Report!D11+Report!D12+Report!D13+Report!D14+Report!D15+Report!D16+Report!D17</f>
        <v>22409847.140000001</v>
      </c>
      <c r="J95" s="30">
        <f>Report!D21+Report!D22</f>
        <v>0</v>
      </c>
      <c r="M95" s="30">
        <f t="shared" si="2"/>
        <v>22409847.140000001</v>
      </c>
      <c r="N95" s="43" t="s">
        <v>567</v>
      </c>
    </row>
    <row r="96" spans="1:14" x14ac:dyDescent="0.2">
      <c r="A96" s="43" t="str">
        <f>"Property Tax Shift into "&amp;Instructions!R2</f>
        <v>Property Tax Shift into FY 2012</v>
      </c>
      <c r="H96" s="68" t="s">
        <v>576</v>
      </c>
      <c r="I96" s="30">
        <f>-(Report!C11+Report!C12+Report!C13+Report!C14+Report!C15+Report!C16+Report!C17)</f>
        <v>-22238935.809999999</v>
      </c>
      <c r="J96" s="30">
        <f>-(Report!C21+Report!C22)</f>
        <v>0</v>
      </c>
      <c r="M96" s="30">
        <f t="shared" si="2"/>
        <v>-22238935.809999999</v>
      </c>
      <c r="N96" s="43" t="s">
        <v>568</v>
      </c>
    </row>
    <row r="98" spans="1:14" x14ac:dyDescent="0.2">
      <c r="B98" s="55" t="str">
        <f>"001 Tax Revenue for "&amp;Instructions!R2</f>
        <v>001 Tax Revenue for FY 2012</v>
      </c>
      <c r="I98" s="55">
        <f>SUM(I77:I96)</f>
        <v>170911.33000000194</v>
      </c>
      <c r="J98" s="55">
        <f>SUM(J77:J96)</f>
        <v>0</v>
      </c>
      <c r="K98" s="55">
        <f>SUM(K77:K96)</f>
        <v>0</v>
      </c>
      <c r="L98" s="141">
        <f>SUM(L77:L96)</f>
        <v>0</v>
      </c>
    </row>
    <row r="99" spans="1:14" x14ac:dyDescent="0.2">
      <c r="B99" s="55"/>
    </row>
    <row r="100" spans="1:14" x14ac:dyDescent="0.2">
      <c r="B100" s="55"/>
    </row>
    <row r="102" spans="1:14" x14ac:dyDescent="0.2">
      <c r="A102" s="43" t="str">
        <f>"Tax settlements Fiscal Disparities for "&amp;Instructions!P2&amp;" levy"</f>
        <v>Tax settlements Fiscal Disparities for Pay 2011 levy</v>
      </c>
      <c r="H102" s="68" t="s">
        <v>576</v>
      </c>
      <c r="I102" s="43">
        <f>I14+I40</f>
        <v>0</v>
      </c>
      <c r="J102" s="43">
        <f>J14+J40</f>
        <v>0</v>
      </c>
      <c r="K102" s="43">
        <f>K14+K40</f>
        <v>0</v>
      </c>
      <c r="L102" s="30">
        <f>L14+L40</f>
        <v>0</v>
      </c>
      <c r="M102" s="43">
        <f>SUM(I102:L102)</f>
        <v>0</v>
      </c>
      <c r="N102" s="43" t="s">
        <v>470</v>
      </c>
    </row>
    <row r="104" spans="1:14" x14ac:dyDescent="0.2">
      <c r="B104" s="55" t="str">
        <f>"009 Fisclal Disparities for "&amp;Instructions!R2</f>
        <v>009 Fisclal Disparities for FY 2012</v>
      </c>
      <c r="I104" s="55">
        <f>SUM(I102)</f>
        <v>0</v>
      </c>
      <c r="J104" s="55">
        <f>SUM(J102)</f>
        <v>0</v>
      </c>
      <c r="K104" s="55">
        <f>SUM(K102)</f>
        <v>0</v>
      </c>
      <c r="L104" s="141">
        <f>SUM(L102)</f>
        <v>0</v>
      </c>
    </row>
    <row r="105" spans="1:14" x14ac:dyDescent="0.2">
      <c r="B105" s="55"/>
    </row>
    <row r="106" spans="1:14" x14ac:dyDescent="0.2">
      <c r="B106" s="55"/>
    </row>
    <row r="108" spans="1:14" x14ac:dyDescent="0.2">
      <c r="A108" s="43" t="str">
        <f>"Tax settlements Taconite homestead credit for "&amp;Instructions!P2&amp;" levy"</f>
        <v>Tax settlements Taconite homestead credit for Pay 2011 levy</v>
      </c>
      <c r="H108" s="68" t="s">
        <v>576</v>
      </c>
      <c r="I108" s="43">
        <f>I15+I41</f>
        <v>0</v>
      </c>
      <c r="J108" s="43">
        <f>J15+J41</f>
        <v>0</v>
      </c>
      <c r="K108" s="43">
        <f>K15+K41</f>
        <v>0</v>
      </c>
      <c r="L108" s="30">
        <f>L15+L41</f>
        <v>0</v>
      </c>
      <c r="M108" s="43">
        <f>SUM(I108:L108)</f>
        <v>0</v>
      </c>
      <c r="N108" s="43" t="s">
        <v>470</v>
      </c>
    </row>
    <row r="110" spans="1:14" x14ac:dyDescent="0.2">
      <c r="B110" s="55" t="str">
        <f>"014 Taconite Homestead Credits for "&amp;Instructions!R2</f>
        <v>014 Taconite Homestead Credits for FY 2012</v>
      </c>
      <c r="I110" s="55">
        <f>I108</f>
        <v>0</v>
      </c>
      <c r="J110" s="55">
        <f>J108</f>
        <v>0</v>
      </c>
      <c r="K110" s="55">
        <f>K108</f>
        <v>0</v>
      </c>
      <c r="L110" s="141">
        <f>L108</f>
        <v>0</v>
      </c>
    </row>
    <row r="111" spans="1:14" x14ac:dyDescent="0.2">
      <c r="B111" s="55"/>
      <c r="I111" s="55"/>
      <c r="J111" s="55"/>
      <c r="K111" s="55"/>
      <c r="L111" s="141"/>
    </row>
    <row r="112" spans="1:14" x14ac:dyDescent="0.2">
      <c r="B112" s="55"/>
    </row>
    <row r="113" spans="1:14" x14ac:dyDescent="0.2">
      <c r="B113" s="55"/>
    </row>
    <row r="114" spans="1:14" x14ac:dyDescent="0.2">
      <c r="A114" s="56" t="str">
        <f>"Property Tax Shift into "&amp;Instructions!R3</f>
        <v>Property Tax Shift into FY 2011</v>
      </c>
      <c r="H114" s="43" t="s">
        <v>410</v>
      </c>
      <c r="I114" s="43">
        <f>Report!D9+Report!D10</f>
        <v>36403624.130000003</v>
      </c>
      <c r="J114" s="43">
        <f>Report!D20</f>
        <v>1994567.95</v>
      </c>
      <c r="M114" s="43">
        <f>SUM(I114:L114)</f>
        <v>38398192.080000006</v>
      </c>
      <c r="N114" s="43" t="s">
        <v>564</v>
      </c>
    </row>
    <row r="115" spans="1:14" x14ac:dyDescent="0.2">
      <c r="A115" s="43" t="str">
        <f>"Property Tax Shift into "&amp;Instructions!R2</f>
        <v>Property Tax Shift into FY 2012</v>
      </c>
      <c r="H115" s="68" t="s">
        <v>576</v>
      </c>
      <c r="I115" s="43">
        <f>-(Report!C9+Report!C10)</f>
        <v>-34299696.210000001</v>
      </c>
      <c r="J115" s="43">
        <f>-Report!C20</f>
        <v>-2395201.98</v>
      </c>
      <c r="M115" s="43">
        <f>SUM(I115:L115)</f>
        <v>-36694898.189999998</v>
      </c>
      <c r="N115" s="43" t="s">
        <v>565</v>
      </c>
    </row>
    <row r="117" spans="1:14" x14ac:dyDescent="0.2">
      <c r="B117" s="70" t="str">
        <f>"020 Property Tax Shift Revenue for "&amp;Instructions!R2</f>
        <v>020 Property Tax Shift Revenue for FY 2012</v>
      </c>
      <c r="I117" s="43">
        <f>SUM(I114:I115)</f>
        <v>2103927.9200000018</v>
      </c>
      <c r="J117" s="43">
        <f>SUM(J114:J115)</f>
        <v>-400634.03</v>
      </c>
    </row>
    <row r="119" spans="1:14" x14ac:dyDescent="0.2">
      <c r="B119" s="55"/>
    </row>
    <row r="121" spans="1:14" x14ac:dyDescent="0.2">
      <c r="A121" s="43" t="s">
        <v>476</v>
      </c>
      <c r="H121" s="68" t="s">
        <v>576</v>
      </c>
      <c r="I121" s="43">
        <f>Report!E123</f>
        <v>0</v>
      </c>
      <c r="J121" s="43">
        <f>Report!E125</f>
        <v>0</v>
      </c>
      <c r="M121" s="43">
        <f>SUM(I121:L121)</f>
        <v>0</v>
      </c>
      <c r="N121" s="43" t="s">
        <v>513</v>
      </c>
    </row>
    <row r="123" spans="1:14" x14ac:dyDescent="0.2">
      <c r="B123" s="55" t="str">
        <f>"296 State Aid Adjustment for Shift for "&amp;Instructions!R2</f>
        <v>296 State Aid Adjustment for Shift for FY 2012</v>
      </c>
      <c r="I123" s="55">
        <f>SUM(I121)</f>
        <v>0</v>
      </c>
      <c r="J123" s="55">
        <f>SUM(J121)</f>
        <v>0</v>
      </c>
      <c r="K123" s="55"/>
      <c r="L123" s="141"/>
    </row>
    <row r="124" spans="1:14" x14ac:dyDescent="0.2">
      <c r="B124" s="55"/>
    </row>
    <row r="125" spans="1:14" x14ac:dyDescent="0.2">
      <c r="B125" s="55"/>
    </row>
    <row r="127" spans="1:14" x14ac:dyDescent="0.2">
      <c r="A127" s="43" t="str">
        <f>"Reductions to aid payments for "&amp;Instructions!R2&amp;" for property tax shift"</f>
        <v>Reductions to aid payments for FY 2012 for property tax shift</v>
      </c>
      <c r="H127" s="43" t="s">
        <v>410</v>
      </c>
      <c r="I127" s="43">
        <f>-Report!H18</f>
        <v>-1703911.26</v>
      </c>
      <c r="J127" s="43">
        <f>-Report!H23</f>
        <v>0</v>
      </c>
      <c r="M127" s="43">
        <f>SUM(I127:L127)</f>
        <v>-1703911.26</v>
      </c>
      <c r="N127" s="43" t="s">
        <v>572</v>
      </c>
    </row>
    <row r="128" spans="1:14" x14ac:dyDescent="0.2">
      <c r="A128" s="43" t="s">
        <v>585</v>
      </c>
      <c r="H128" s="43" t="s">
        <v>575</v>
      </c>
      <c r="I128" s="43">
        <f>-Report!I18</f>
        <v>-400016.65999999992</v>
      </c>
      <c r="J128" s="43">
        <f>-Report!I23</f>
        <v>400634.03</v>
      </c>
      <c r="M128" s="43">
        <f>SUM(I128:L128)</f>
        <v>617.37000000011176</v>
      </c>
      <c r="N128" s="43" t="s">
        <v>573</v>
      </c>
    </row>
    <row r="130" spans="2:10" x14ac:dyDescent="0.2">
      <c r="B130" s="70" t="str">
        <f>"299 State Aid Adjustment for Shift for "&amp;Instructions!R2</f>
        <v>299 State Aid Adjustment for Shift for FY 2012</v>
      </c>
      <c r="I130" s="55">
        <f>SUM(I127:I128)</f>
        <v>-2103927.92</v>
      </c>
      <c r="J130" s="55">
        <f>SUM(J127:J128)</f>
        <v>400634.03</v>
      </c>
    </row>
  </sheetData>
  <phoneticPr fontId="0" type="noConversion"/>
  <printOptions horizontalCentered="1"/>
  <pageMargins left="0.5" right="0.5" top="0.5" bottom="0.75" header="0.5" footer="0.5"/>
  <pageSetup scale="68" fitToHeight="2" orientation="landscape" r:id="rId1"/>
  <headerFooter alignWithMargins="0">
    <oddFooter>&amp;C&amp;P of &amp;N</oddFooter>
  </headerFooter>
  <rowBreaks count="1" manualBreakCount="1">
    <brk id="72" max="16383"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workbookViewId="0"/>
  </sheetViews>
  <sheetFormatPr defaultRowHeight="11.25" x14ac:dyDescent="0.2"/>
  <cols>
    <col min="2" max="2" width="10.33203125" bestFit="1" customWidth="1"/>
    <col min="9" max="9" width="9.83203125" bestFit="1" customWidth="1"/>
  </cols>
  <sheetData>
    <row r="1" spans="1:9" x14ac:dyDescent="0.2">
      <c r="A1" s="24" t="s">
        <v>515</v>
      </c>
      <c r="I1" s="41">
        <f>Report!I1</f>
        <v>41115</v>
      </c>
    </row>
    <row r="2" spans="1:9" x14ac:dyDescent="0.2">
      <c r="A2" s="25"/>
    </row>
    <row r="3" spans="1:9" x14ac:dyDescent="0.2">
      <c r="A3" s="25"/>
    </row>
    <row r="4" spans="1:9" x14ac:dyDescent="0.2">
      <c r="A4" s="25" t="s">
        <v>516</v>
      </c>
      <c r="B4" t="s">
        <v>410</v>
      </c>
      <c r="C4" t="s">
        <v>517</v>
      </c>
      <c r="D4" t="s">
        <v>518</v>
      </c>
    </row>
    <row r="5" spans="1:9" x14ac:dyDescent="0.2">
      <c r="A5" s="25"/>
      <c r="B5" t="s">
        <v>411</v>
      </c>
      <c r="C5" t="s">
        <v>519</v>
      </c>
      <c r="D5" t="s">
        <v>520</v>
      </c>
    </row>
    <row r="6" spans="1:9" x14ac:dyDescent="0.2">
      <c r="A6" s="25"/>
    </row>
    <row r="7" spans="1:9" x14ac:dyDescent="0.2">
      <c r="A7" s="25"/>
      <c r="C7" t="s">
        <v>521</v>
      </c>
    </row>
    <row r="8" spans="1:9" x14ac:dyDescent="0.2">
      <c r="A8" s="25"/>
    </row>
    <row r="9" spans="1:9" x14ac:dyDescent="0.2">
      <c r="A9" s="25"/>
    </row>
    <row r="10" spans="1:9" x14ac:dyDescent="0.2">
      <c r="A10" s="25" t="s">
        <v>516</v>
      </c>
      <c r="B10" t="s">
        <v>410</v>
      </c>
      <c r="C10" t="s">
        <v>522</v>
      </c>
      <c r="D10" t="s">
        <v>523</v>
      </c>
    </row>
    <row r="11" spans="1:9" x14ac:dyDescent="0.2">
      <c r="A11" s="25"/>
      <c r="B11" t="s">
        <v>411</v>
      </c>
      <c r="C11" t="s">
        <v>517</v>
      </c>
      <c r="D11" t="s">
        <v>518</v>
      </c>
    </row>
    <row r="12" spans="1:9" x14ac:dyDescent="0.2">
      <c r="A12" s="25"/>
    </row>
    <row r="13" spans="1:9" x14ac:dyDescent="0.2">
      <c r="A13" s="25"/>
      <c r="C13" t="s">
        <v>524</v>
      </c>
    </row>
    <row r="14" spans="1:9" x14ac:dyDescent="0.2">
      <c r="A14" s="25"/>
    </row>
    <row r="15" spans="1:9" x14ac:dyDescent="0.2">
      <c r="A15" s="25"/>
    </row>
    <row r="16" spans="1:9" x14ac:dyDescent="0.2">
      <c r="A16" s="25" t="s">
        <v>525</v>
      </c>
      <c r="B16" t="s">
        <v>410</v>
      </c>
      <c r="C16" t="s">
        <v>526</v>
      </c>
      <c r="D16" t="s">
        <v>454</v>
      </c>
    </row>
    <row r="17" spans="1:4" x14ac:dyDescent="0.2">
      <c r="A17" s="25"/>
      <c r="B17" t="s">
        <v>411</v>
      </c>
      <c r="C17" t="s">
        <v>517</v>
      </c>
      <c r="D17" t="s">
        <v>518</v>
      </c>
    </row>
    <row r="18" spans="1:4" x14ac:dyDescent="0.2">
      <c r="A18" s="25"/>
      <c r="B18" t="s">
        <v>411</v>
      </c>
      <c r="C18" t="s">
        <v>522</v>
      </c>
      <c r="D18" t="s">
        <v>523</v>
      </c>
    </row>
    <row r="19" spans="1:4" x14ac:dyDescent="0.2">
      <c r="A19" s="25"/>
      <c r="B19" t="s">
        <v>411</v>
      </c>
      <c r="C19" t="s">
        <v>527</v>
      </c>
      <c r="D19" t="s">
        <v>528</v>
      </c>
    </row>
    <row r="20" spans="1:4" x14ac:dyDescent="0.2">
      <c r="A20" s="25"/>
      <c r="B20" t="s">
        <v>411</v>
      </c>
      <c r="C20" t="s">
        <v>529</v>
      </c>
      <c r="D20" t="s">
        <v>530</v>
      </c>
    </row>
    <row r="21" spans="1:4" x14ac:dyDescent="0.2">
      <c r="A21" s="25"/>
      <c r="B21" t="s">
        <v>411</v>
      </c>
      <c r="C21" t="s">
        <v>531</v>
      </c>
      <c r="D21" t="s">
        <v>532</v>
      </c>
    </row>
    <row r="22" spans="1:4" x14ac:dyDescent="0.2">
      <c r="A22" s="25"/>
    </row>
    <row r="23" spans="1:4" x14ac:dyDescent="0.2">
      <c r="A23" s="25"/>
      <c r="C23" t="s">
        <v>533</v>
      </c>
    </row>
    <row r="24" spans="1:4" x14ac:dyDescent="0.2">
      <c r="A24" s="25"/>
    </row>
    <row r="25" spans="1:4" x14ac:dyDescent="0.2">
      <c r="A25" s="25"/>
    </row>
    <row r="26" spans="1:4" x14ac:dyDescent="0.2">
      <c r="A26" s="25" t="s">
        <v>534</v>
      </c>
      <c r="B26" t="s">
        <v>410</v>
      </c>
      <c r="C26" t="s">
        <v>519</v>
      </c>
      <c r="D26" t="s">
        <v>520</v>
      </c>
    </row>
    <row r="27" spans="1:4" x14ac:dyDescent="0.2">
      <c r="A27" s="25"/>
      <c r="B27" t="s">
        <v>410</v>
      </c>
      <c r="C27" t="s">
        <v>535</v>
      </c>
      <c r="D27" t="s">
        <v>536</v>
      </c>
    </row>
    <row r="28" spans="1:4" x14ac:dyDescent="0.2">
      <c r="A28" s="25"/>
      <c r="B28" t="s">
        <v>411</v>
      </c>
      <c r="C28" t="s">
        <v>537</v>
      </c>
      <c r="D28" t="s">
        <v>538</v>
      </c>
    </row>
    <row r="29" spans="1:4" x14ac:dyDescent="0.2">
      <c r="A29" s="25"/>
      <c r="B29" t="s">
        <v>411</v>
      </c>
      <c r="C29" s="19" t="s">
        <v>562</v>
      </c>
      <c r="D29" t="s">
        <v>539</v>
      </c>
    </row>
    <row r="30" spans="1:4" x14ac:dyDescent="0.2">
      <c r="A30" s="25"/>
    </row>
    <row r="31" spans="1:4" x14ac:dyDescent="0.2">
      <c r="A31" s="25"/>
      <c r="C31" t="s">
        <v>540</v>
      </c>
    </row>
    <row r="32" spans="1:4" x14ac:dyDescent="0.2">
      <c r="A32" s="25"/>
    </row>
    <row r="33" spans="1:9" x14ac:dyDescent="0.2">
      <c r="A33" s="25"/>
    </row>
    <row r="34" spans="1:9" ht="11.25" customHeight="1" x14ac:dyDescent="0.2">
      <c r="A34" s="25"/>
      <c r="B34" s="180" t="s">
        <v>619</v>
      </c>
      <c r="C34" s="180"/>
      <c r="D34" s="180"/>
      <c r="E34" s="180"/>
      <c r="F34" s="180"/>
      <c r="G34" s="180"/>
      <c r="H34" s="180"/>
      <c r="I34" s="180"/>
    </row>
    <row r="35" spans="1:9" ht="11.25" customHeight="1" x14ac:dyDescent="0.2">
      <c r="A35" s="25"/>
      <c r="B35" s="180"/>
      <c r="C35" s="180"/>
      <c r="D35" s="180"/>
      <c r="E35" s="180"/>
      <c r="F35" s="180"/>
      <c r="G35" s="180"/>
      <c r="H35" s="180"/>
      <c r="I35" s="180"/>
    </row>
    <row r="36" spans="1:9" x14ac:dyDescent="0.2">
      <c r="A36" s="25"/>
      <c r="B36" s="180"/>
      <c r="C36" s="180"/>
      <c r="D36" s="180"/>
      <c r="E36" s="180"/>
      <c r="F36" s="180"/>
      <c r="G36" s="180"/>
      <c r="H36" s="180"/>
      <c r="I36" s="180"/>
    </row>
    <row r="37" spans="1:9" x14ac:dyDescent="0.2">
      <c r="A37" s="25"/>
    </row>
    <row r="38" spans="1:9" x14ac:dyDescent="0.2">
      <c r="A38" s="25"/>
    </row>
    <row r="39" spans="1:9" x14ac:dyDescent="0.2">
      <c r="A39" s="25" t="s">
        <v>541</v>
      </c>
      <c r="B39" t="s">
        <v>410</v>
      </c>
      <c r="C39" t="s">
        <v>537</v>
      </c>
      <c r="D39" t="s">
        <v>538</v>
      </c>
    </row>
    <row r="40" spans="1:9" x14ac:dyDescent="0.2">
      <c r="A40" s="25"/>
      <c r="B40" t="s">
        <v>410</v>
      </c>
      <c r="C40" s="19" t="s">
        <v>562</v>
      </c>
      <c r="D40" t="s">
        <v>539</v>
      </c>
    </row>
    <row r="41" spans="1:9" x14ac:dyDescent="0.2">
      <c r="A41" s="25"/>
      <c r="B41" t="s">
        <v>411</v>
      </c>
      <c r="C41" t="s">
        <v>519</v>
      </c>
      <c r="D41" t="s">
        <v>520</v>
      </c>
    </row>
    <row r="42" spans="1:9" x14ac:dyDescent="0.2">
      <c r="A42" s="25"/>
      <c r="B42" t="s">
        <v>410</v>
      </c>
      <c r="C42" t="s">
        <v>535</v>
      </c>
      <c r="D42" t="s">
        <v>536</v>
      </c>
    </row>
    <row r="43" spans="1:9" x14ac:dyDescent="0.2">
      <c r="A43" s="25"/>
    </row>
    <row r="44" spans="1:9" x14ac:dyDescent="0.2">
      <c r="A44" s="25"/>
      <c r="C44" t="s">
        <v>542</v>
      </c>
    </row>
    <row r="45" spans="1:9" x14ac:dyDescent="0.2">
      <c r="A45" s="25"/>
      <c r="C45" s="33"/>
      <c r="D45" s="33"/>
      <c r="E45" s="33"/>
      <c r="F45" s="33"/>
      <c r="G45" s="33"/>
      <c r="H45" s="33"/>
    </row>
    <row r="46" spans="1:9" x14ac:dyDescent="0.2">
      <c r="A46" s="25"/>
    </row>
    <row r="47" spans="1:9" x14ac:dyDescent="0.2">
      <c r="A47" s="25" t="s">
        <v>541</v>
      </c>
      <c r="B47" t="s">
        <v>410</v>
      </c>
      <c r="C47" t="s">
        <v>519</v>
      </c>
      <c r="D47" t="s">
        <v>520</v>
      </c>
    </row>
    <row r="48" spans="1:9" x14ac:dyDescent="0.2">
      <c r="A48" s="25"/>
      <c r="B48" t="s">
        <v>411</v>
      </c>
      <c r="C48" t="s">
        <v>537</v>
      </c>
      <c r="D48" t="s">
        <v>538</v>
      </c>
    </row>
    <row r="49" spans="1:4" x14ac:dyDescent="0.2">
      <c r="A49" s="25"/>
      <c r="B49" t="s">
        <v>411</v>
      </c>
      <c r="C49" t="s">
        <v>537</v>
      </c>
      <c r="D49" t="s">
        <v>539</v>
      </c>
    </row>
    <row r="50" spans="1:4" x14ac:dyDescent="0.2">
      <c r="A50" s="25"/>
    </row>
    <row r="51" spans="1:4" x14ac:dyDescent="0.2">
      <c r="A51" s="25"/>
      <c r="C51" t="s">
        <v>543</v>
      </c>
    </row>
    <row r="52" spans="1:4" x14ac:dyDescent="0.2">
      <c r="A52" s="25"/>
    </row>
    <row r="53" spans="1:4" x14ac:dyDescent="0.2">
      <c r="A53" s="25"/>
    </row>
    <row r="54" spans="1:4" x14ac:dyDescent="0.2">
      <c r="A54" s="25" t="s">
        <v>541</v>
      </c>
      <c r="B54" t="s">
        <v>410</v>
      </c>
      <c r="C54" t="s">
        <v>537</v>
      </c>
      <c r="D54" t="s">
        <v>538</v>
      </c>
    </row>
    <row r="55" spans="1:4" x14ac:dyDescent="0.2">
      <c r="A55" s="25"/>
      <c r="B55" t="s">
        <v>411</v>
      </c>
      <c r="C55" t="s">
        <v>517</v>
      </c>
      <c r="D55" t="s">
        <v>518</v>
      </c>
    </row>
    <row r="56" spans="1:4" x14ac:dyDescent="0.2">
      <c r="A56" s="25"/>
    </row>
    <row r="57" spans="1:4" x14ac:dyDescent="0.2">
      <c r="A57" s="25"/>
      <c r="C57" t="s">
        <v>544</v>
      </c>
    </row>
    <row r="58" spans="1:4" x14ac:dyDescent="0.2">
      <c r="A58" s="25"/>
    </row>
    <row r="59" spans="1:4" x14ac:dyDescent="0.2">
      <c r="A59" s="25"/>
    </row>
    <row r="60" spans="1:4" x14ac:dyDescent="0.2">
      <c r="A60" s="25" t="s">
        <v>541</v>
      </c>
      <c r="B60" t="s">
        <v>410</v>
      </c>
      <c r="C60" t="s">
        <v>537</v>
      </c>
      <c r="D60" t="s">
        <v>538</v>
      </c>
    </row>
    <row r="61" spans="1:4" x14ac:dyDescent="0.2">
      <c r="A61" s="25"/>
      <c r="B61" t="s">
        <v>411</v>
      </c>
      <c r="C61" t="s">
        <v>517</v>
      </c>
      <c r="D61" t="s">
        <v>518</v>
      </c>
    </row>
    <row r="62" spans="1:4" x14ac:dyDescent="0.2">
      <c r="A62" s="25"/>
    </row>
    <row r="63" spans="1:4" x14ac:dyDescent="0.2">
      <c r="A63" s="25"/>
      <c r="C63" t="s">
        <v>545</v>
      </c>
    </row>
    <row r="64" spans="1:4" x14ac:dyDescent="0.2">
      <c r="A64" s="25"/>
    </row>
    <row r="65" spans="1:4" x14ac:dyDescent="0.2">
      <c r="A65" s="25"/>
    </row>
    <row r="66" spans="1:4" x14ac:dyDescent="0.2">
      <c r="A66" s="25" t="s">
        <v>541</v>
      </c>
      <c r="B66" t="s">
        <v>410</v>
      </c>
      <c r="C66" t="s">
        <v>537</v>
      </c>
      <c r="D66" t="s">
        <v>538</v>
      </c>
    </row>
    <row r="67" spans="1:4" x14ac:dyDescent="0.2">
      <c r="A67" s="25"/>
      <c r="B67" t="s">
        <v>411</v>
      </c>
      <c r="C67" t="s">
        <v>517</v>
      </c>
      <c r="D67" t="s">
        <v>518</v>
      </c>
    </row>
    <row r="68" spans="1:4" x14ac:dyDescent="0.2">
      <c r="A68" s="25"/>
    </row>
    <row r="69" spans="1:4" x14ac:dyDescent="0.2">
      <c r="A69" s="25"/>
      <c r="C69" t="s">
        <v>546</v>
      </c>
    </row>
    <row r="70" spans="1:4" x14ac:dyDescent="0.2">
      <c r="A70" s="25"/>
    </row>
    <row r="71" spans="1:4" x14ac:dyDescent="0.2">
      <c r="A71" s="25"/>
    </row>
    <row r="72" spans="1:4" x14ac:dyDescent="0.2">
      <c r="A72" s="25" t="s">
        <v>541</v>
      </c>
      <c r="B72" t="s">
        <v>547</v>
      </c>
      <c r="C72" t="s">
        <v>537</v>
      </c>
      <c r="D72" t="s">
        <v>538</v>
      </c>
    </row>
    <row r="73" spans="1:4" x14ac:dyDescent="0.2">
      <c r="A73" s="25"/>
      <c r="B73" t="s">
        <v>548</v>
      </c>
      <c r="C73" t="s">
        <v>517</v>
      </c>
      <c r="D73" t="s">
        <v>518</v>
      </c>
    </row>
    <row r="74" spans="1:4" x14ac:dyDescent="0.2">
      <c r="A74" s="25"/>
    </row>
    <row r="75" spans="1:4" x14ac:dyDescent="0.2">
      <c r="A75" s="25"/>
      <c r="C75" t="s">
        <v>549</v>
      </c>
    </row>
    <row r="76" spans="1:4" x14ac:dyDescent="0.2">
      <c r="A76" s="25"/>
    </row>
    <row r="77" spans="1:4" x14ac:dyDescent="0.2">
      <c r="A77" s="25"/>
    </row>
    <row r="78" spans="1:4" x14ac:dyDescent="0.2">
      <c r="A78" s="25" t="s">
        <v>550</v>
      </c>
      <c r="B78" t="s">
        <v>410</v>
      </c>
      <c r="C78" t="s">
        <v>526</v>
      </c>
      <c r="D78" t="s">
        <v>454</v>
      </c>
    </row>
    <row r="79" spans="1:4" x14ac:dyDescent="0.2">
      <c r="A79" s="25"/>
      <c r="B79" t="s">
        <v>411</v>
      </c>
      <c r="C79" t="s">
        <v>517</v>
      </c>
      <c r="D79" t="s">
        <v>518</v>
      </c>
    </row>
    <row r="80" spans="1:4" x14ac:dyDescent="0.2">
      <c r="A80" s="25"/>
      <c r="B80" t="s">
        <v>411</v>
      </c>
      <c r="C80" t="s">
        <v>522</v>
      </c>
      <c r="D80" t="s">
        <v>523</v>
      </c>
    </row>
    <row r="81" spans="1:4" x14ac:dyDescent="0.2">
      <c r="A81" s="25"/>
      <c r="B81" t="s">
        <v>411</v>
      </c>
      <c r="C81" t="s">
        <v>551</v>
      </c>
      <c r="D81" t="s">
        <v>528</v>
      </c>
    </row>
    <row r="82" spans="1:4" x14ac:dyDescent="0.2">
      <c r="A82" s="25"/>
      <c r="B82" t="s">
        <v>411</v>
      </c>
      <c r="C82" t="s">
        <v>552</v>
      </c>
      <c r="D82" t="s">
        <v>530</v>
      </c>
    </row>
    <row r="83" spans="1:4" x14ac:dyDescent="0.2">
      <c r="A83" s="25"/>
      <c r="B83" t="s">
        <v>411</v>
      </c>
      <c r="C83" t="s">
        <v>531</v>
      </c>
      <c r="D83" t="s">
        <v>532</v>
      </c>
    </row>
    <row r="84" spans="1:4" x14ac:dyDescent="0.2">
      <c r="A84" s="25"/>
    </row>
    <row r="85" spans="1:4" x14ac:dyDescent="0.2">
      <c r="A85" s="25"/>
      <c r="C85" t="s">
        <v>553</v>
      </c>
    </row>
    <row r="86" spans="1:4" x14ac:dyDescent="0.2">
      <c r="A86" s="25"/>
    </row>
    <row r="87" spans="1:4" x14ac:dyDescent="0.2">
      <c r="A87" s="25"/>
    </row>
    <row r="88" spans="1:4" x14ac:dyDescent="0.2">
      <c r="A88" s="25" t="s">
        <v>534</v>
      </c>
      <c r="B88" t="s">
        <v>410</v>
      </c>
      <c r="C88" t="s">
        <v>537</v>
      </c>
      <c r="D88" t="s">
        <v>538</v>
      </c>
    </row>
    <row r="89" spans="1:4" x14ac:dyDescent="0.2">
      <c r="A89" s="25"/>
      <c r="B89" t="s">
        <v>411</v>
      </c>
      <c r="C89" t="s">
        <v>522</v>
      </c>
      <c r="D89" t="s">
        <v>523</v>
      </c>
    </row>
    <row r="90" spans="1:4" x14ac:dyDescent="0.2">
      <c r="A90" s="25"/>
    </row>
    <row r="91" spans="1:4" x14ac:dyDescent="0.2">
      <c r="A91" s="25"/>
      <c r="C91" t="s">
        <v>554</v>
      </c>
    </row>
    <row r="92" spans="1:4" x14ac:dyDescent="0.2">
      <c r="A92" s="25"/>
    </row>
    <row r="93" spans="1:4" x14ac:dyDescent="0.2">
      <c r="A93" s="25"/>
    </row>
    <row r="94" spans="1:4" x14ac:dyDescent="0.2">
      <c r="A94" s="25" t="s">
        <v>534</v>
      </c>
      <c r="B94" t="s">
        <v>410</v>
      </c>
      <c r="C94" t="s">
        <v>537</v>
      </c>
      <c r="D94" t="s">
        <v>538</v>
      </c>
    </row>
    <row r="95" spans="1:4" x14ac:dyDescent="0.2">
      <c r="A95" s="25"/>
      <c r="B95" t="s">
        <v>411</v>
      </c>
      <c r="C95" t="s">
        <v>522</v>
      </c>
      <c r="D95" t="s">
        <v>523</v>
      </c>
    </row>
    <row r="96" spans="1:4" x14ac:dyDescent="0.2">
      <c r="A96" s="25"/>
    </row>
    <row r="97" spans="1:4" x14ac:dyDescent="0.2">
      <c r="A97" s="25"/>
      <c r="C97" t="s">
        <v>555</v>
      </c>
    </row>
    <row r="98" spans="1:4" x14ac:dyDescent="0.2">
      <c r="A98" s="25"/>
    </row>
    <row r="99" spans="1:4" x14ac:dyDescent="0.2">
      <c r="A99" s="25"/>
    </row>
    <row r="100" spans="1:4" x14ac:dyDescent="0.2">
      <c r="A100" s="25" t="s">
        <v>534</v>
      </c>
      <c r="B100" t="s">
        <v>547</v>
      </c>
      <c r="C100" t="s">
        <v>537</v>
      </c>
      <c r="D100" t="s">
        <v>538</v>
      </c>
    </row>
    <row r="101" spans="1:4" x14ac:dyDescent="0.2">
      <c r="A101" s="25"/>
      <c r="B101" t="s">
        <v>548</v>
      </c>
      <c r="C101" t="s">
        <v>556</v>
      </c>
      <c r="D101" s="1" t="s">
        <v>557</v>
      </c>
    </row>
    <row r="102" spans="1:4" x14ac:dyDescent="0.2">
      <c r="A102" s="25"/>
    </row>
    <row r="103" spans="1:4" x14ac:dyDescent="0.2">
      <c r="A103" s="25"/>
      <c r="C103" t="s">
        <v>558</v>
      </c>
    </row>
    <row r="104" spans="1:4" x14ac:dyDescent="0.2">
      <c r="A104" s="25"/>
    </row>
  </sheetData>
  <mergeCells count="1">
    <mergeCell ref="B34:I36"/>
  </mergeCells>
  <phoneticPr fontId="0" type="noConversion"/>
  <pageMargins left="1.25" right="1.25" top="1" bottom="1" header="0.5" footer="0.5"/>
  <pageSetup fitToWidth="0" fitToHeight="2" orientation="portrait" r:id="rId1"/>
  <headerFooter alignWithMargins="0">
    <oddFooter>&amp;C&amp;P of &amp;N</oddFooter>
  </headerFooter>
  <rowBreaks count="1" manualBreakCount="1">
    <brk id="6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6"/>
  <sheetViews>
    <sheetView workbookViewId="0">
      <pane xSplit="3" ySplit="9" topLeftCell="D10" activePane="bottomRight" state="frozen"/>
      <selection pane="topRight" activeCell="D1" sqref="D1"/>
      <selection pane="bottomLeft" activeCell="A8" sqref="A8"/>
      <selection pane="bottomRight" activeCell="A4" sqref="A4"/>
    </sheetView>
  </sheetViews>
  <sheetFormatPr defaultRowHeight="11.25" x14ac:dyDescent="0.2"/>
  <cols>
    <col min="1" max="2" width="6.83203125" style="5" customWidth="1"/>
    <col min="3" max="3" width="20.83203125" style="2" customWidth="1"/>
    <col min="4" max="4" width="15.83203125" style="2" customWidth="1"/>
    <col min="5" max="5" width="15.83203125" style="2" bestFit="1" customWidth="1"/>
    <col min="6" max="6" width="15.83203125" style="2" customWidth="1"/>
    <col min="7" max="7" width="14.83203125" style="2" customWidth="1"/>
    <col min="8" max="8" width="15.83203125" style="3" customWidth="1"/>
    <col min="9" max="16384" width="9.33203125" style="2"/>
  </cols>
  <sheetData>
    <row r="1" spans="1:8" x14ac:dyDescent="0.2">
      <c r="A1" s="11" t="str">
        <f>Instructions!R2&amp;" Aid Payment (Reduction)"</f>
        <v>FY 2012 Aid Payment (Reduction)</v>
      </c>
      <c r="H1" s="147">
        <f>Report!I1</f>
        <v>41115</v>
      </c>
    </row>
    <row r="2" spans="1:8" x14ac:dyDescent="0.2">
      <c r="A2" s="5" t="s">
        <v>615</v>
      </c>
      <c r="D2" s="3"/>
      <c r="E2" s="3"/>
      <c r="F2" s="3"/>
    </row>
    <row r="3" spans="1:8" x14ac:dyDescent="0.2">
      <c r="A3" s="5" t="s">
        <v>616</v>
      </c>
    </row>
    <row r="4" spans="1:8" x14ac:dyDescent="0.2">
      <c r="A4" s="172" t="s">
        <v>718</v>
      </c>
    </row>
    <row r="6" spans="1:8" s="8" customFormat="1" ht="22.5" x14ac:dyDescent="0.2">
      <c r="A6" s="6"/>
      <c r="B6" s="6"/>
      <c r="D6" s="8" t="s">
        <v>353</v>
      </c>
      <c r="E6" s="8" t="s">
        <v>356</v>
      </c>
      <c r="F6" s="8" t="s">
        <v>478</v>
      </c>
      <c r="G6" s="8" t="s">
        <v>354</v>
      </c>
      <c r="H6" s="9" t="s">
        <v>343</v>
      </c>
    </row>
    <row r="7" spans="1:8" x14ac:dyDescent="0.2">
      <c r="D7" s="3">
        <v>-247348012.89999998</v>
      </c>
      <c r="E7" s="3">
        <v>-245503404.36999995</v>
      </c>
      <c r="F7" s="3">
        <v>-492851417.27000004</v>
      </c>
      <c r="G7" s="3">
        <v>-35601748.930000007</v>
      </c>
      <c r="H7" s="3">
        <v>-528453166.20000005</v>
      </c>
    </row>
    <row r="8" spans="1:8" x14ac:dyDescent="0.2">
      <c r="C8" s="2" t="s">
        <v>344</v>
      </c>
      <c r="D8" s="3">
        <f>SUM(D10:D346)</f>
        <v>5693766.0999999968</v>
      </c>
      <c r="E8" s="3">
        <f>SUM(E10:E346)</f>
        <v>-14304632.40000001</v>
      </c>
      <c r="F8" s="3">
        <f>SUM(F10:F346)</f>
        <v>-8610866.299999997</v>
      </c>
      <c r="G8" s="3">
        <f>SUM(G10:G346)</f>
        <v>-204065.20999999958</v>
      </c>
      <c r="H8" s="3">
        <f>SUM(H10:H346)</f>
        <v>-8814931.5100000091</v>
      </c>
    </row>
    <row r="10" spans="1:8" x14ac:dyDescent="0.2">
      <c r="A10" s="5">
        <v>1</v>
      </c>
      <c r="B10" s="5">
        <v>1</v>
      </c>
      <c r="C10" s="2" t="s">
        <v>5</v>
      </c>
      <c r="D10" s="2">
        <f>Shift10!D8-Shift11!D8</f>
        <v>16354.580000000016</v>
      </c>
      <c r="E10" s="2">
        <f>Shift10!E8-Shift11!E8</f>
        <v>0</v>
      </c>
      <c r="F10" s="2">
        <f>D10+E10</f>
        <v>16354.580000000016</v>
      </c>
      <c r="G10" s="2">
        <f>Shift10!M8-Shift11!M8</f>
        <v>1607.3900000000003</v>
      </c>
      <c r="H10" s="3">
        <f>SUM(F10:G10)</f>
        <v>17961.970000000016</v>
      </c>
    </row>
    <row r="11" spans="1:8" x14ac:dyDescent="0.2">
      <c r="A11" s="5">
        <v>1.2</v>
      </c>
      <c r="B11" s="5">
        <v>3</v>
      </c>
      <c r="C11" s="2" t="s">
        <v>6</v>
      </c>
      <c r="D11" s="2">
        <f>Shift10!D9-Shift11!D9</f>
        <v>3012712.2000000011</v>
      </c>
      <c r="E11" s="2">
        <f>Shift10!E9-Shift11!E9</f>
        <v>-908784.28000000119</v>
      </c>
      <c r="F11" s="2">
        <f t="shared" ref="F11:F73" si="0">D11+E11</f>
        <v>2103927.92</v>
      </c>
      <c r="G11" s="2">
        <f>Shift10!M9-Shift11!M9</f>
        <v>-400634.03</v>
      </c>
      <c r="H11" s="3">
        <f t="shared" ref="H11:H73" si="1">SUM(F11:G11)</f>
        <v>1703293.89</v>
      </c>
    </row>
    <row r="12" spans="1:8" x14ac:dyDescent="0.2">
      <c r="A12" s="5">
        <v>2</v>
      </c>
      <c r="B12" s="5">
        <v>1</v>
      </c>
      <c r="C12" s="2" t="s">
        <v>7</v>
      </c>
      <c r="D12" s="2">
        <f>Shift10!D10-Shift11!D10</f>
        <v>-13585.699999999997</v>
      </c>
      <c r="E12" s="2">
        <f>Shift10!E10-Shift11!E10</f>
        <v>0</v>
      </c>
      <c r="F12" s="2">
        <f t="shared" si="0"/>
        <v>-13585.699999999997</v>
      </c>
      <c r="G12" s="2">
        <f>Shift10!M10-Shift11!M10</f>
        <v>-513.55999999999949</v>
      </c>
      <c r="H12" s="3">
        <f t="shared" si="1"/>
        <v>-14099.259999999997</v>
      </c>
    </row>
    <row r="13" spans="1:8" x14ac:dyDescent="0.2">
      <c r="A13" s="5">
        <v>4</v>
      </c>
      <c r="B13" s="5">
        <v>1</v>
      </c>
      <c r="C13" s="2" t="s">
        <v>8</v>
      </c>
      <c r="D13" s="2">
        <f>Shift10!D11-Shift11!D11</f>
        <v>87838.48</v>
      </c>
      <c r="E13" s="2">
        <f>Shift10!E11-Shift11!E11</f>
        <v>0</v>
      </c>
      <c r="F13" s="2">
        <f t="shared" si="0"/>
        <v>87838.48</v>
      </c>
      <c r="G13" s="2">
        <f>Shift10!M11-Shift11!M11</f>
        <v>-2248.6899999999987</v>
      </c>
      <c r="H13" s="3">
        <f t="shared" si="1"/>
        <v>85589.79</v>
      </c>
    </row>
    <row r="14" spans="1:8" x14ac:dyDescent="0.2">
      <c r="A14" s="5">
        <v>6</v>
      </c>
      <c r="B14" s="5">
        <v>3</v>
      </c>
      <c r="C14" s="2" t="s">
        <v>9</v>
      </c>
      <c r="D14" s="2">
        <f>Shift10!D12-Shift11!D12</f>
        <v>-41697.780000000028</v>
      </c>
      <c r="E14" s="2">
        <f>Shift10!E12-Shift11!E12</f>
        <v>103641.92999999993</v>
      </c>
      <c r="F14" s="2">
        <f t="shared" si="0"/>
        <v>61944.149999999907</v>
      </c>
      <c r="G14" s="2">
        <f>Shift10!M12-Shift11!M12</f>
        <v>999.22000000000116</v>
      </c>
      <c r="H14" s="3">
        <f t="shared" si="1"/>
        <v>62943.369999999908</v>
      </c>
    </row>
    <row r="15" spans="1:8" x14ac:dyDescent="0.2">
      <c r="A15" s="5">
        <v>11</v>
      </c>
      <c r="B15" s="5">
        <v>1</v>
      </c>
      <c r="C15" s="2" t="s">
        <v>10</v>
      </c>
      <c r="D15" s="2">
        <f>Shift10!D13-Shift11!D13</f>
        <v>2199107.5700000003</v>
      </c>
      <c r="E15" s="2">
        <f>Shift10!E13-Shift11!E13</f>
        <v>-308768.39999999851</v>
      </c>
      <c r="F15" s="2">
        <f t="shared" si="0"/>
        <v>1890339.1700000018</v>
      </c>
      <c r="G15" s="2">
        <f>Shift10!M13-Shift11!M13</f>
        <v>74704.459999999963</v>
      </c>
      <c r="H15" s="3">
        <f t="shared" si="1"/>
        <v>1965043.6300000018</v>
      </c>
    </row>
    <row r="16" spans="1:8" x14ac:dyDescent="0.2">
      <c r="A16" s="5">
        <v>12</v>
      </c>
      <c r="B16" s="5">
        <v>1</v>
      </c>
      <c r="C16" s="2" t="s">
        <v>11</v>
      </c>
      <c r="D16" s="2">
        <f>Shift10!D14-Shift11!D14</f>
        <v>-59835.090000000084</v>
      </c>
      <c r="E16" s="2">
        <f>Shift10!E14-Shift11!E14</f>
        <v>-681947.7799999998</v>
      </c>
      <c r="F16" s="2">
        <f t="shared" si="0"/>
        <v>-741782.86999999988</v>
      </c>
      <c r="G16" s="2">
        <f>Shift10!M14-Shift11!M14</f>
        <v>13600.760000000009</v>
      </c>
      <c r="H16" s="3">
        <f t="shared" si="1"/>
        <v>-728182.10999999987</v>
      </c>
    </row>
    <row r="17" spans="1:8" x14ac:dyDescent="0.2">
      <c r="A17" s="5">
        <v>13</v>
      </c>
      <c r="B17" s="5">
        <v>1</v>
      </c>
      <c r="C17" s="2" t="s">
        <v>12</v>
      </c>
      <c r="D17" s="2">
        <f>Shift10!D15-Shift11!D15</f>
        <v>-79953.979999999981</v>
      </c>
      <c r="E17" s="2">
        <f>Shift10!E15-Shift11!E15</f>
        <v>-61572.5</v>
      </c>
      <c r="F17" s="2">
        <f t="shared" si="0"/>
        <v>-141526.47999999998</v>
      </c>
      <c r="G17" s="2">
        <f>Shift10!M15-Shift11!M15</f>
        <v>-15058.139999999985</v>
      </c>
      <c r="H17" s="3">
        <f t="shared" si="1"/>
        <v>-156584.61999999997</v>
      </c>
    </row>
    <row r="18" spans="1:8" x14ac:dyDescent="0.2">
      <c r="A18" s="5">
        <v>14</v>
      </c>
      <c r="B18" s="5">
        <v>1</v>
      </c>
      <c r="C18" s="2" t="s">
        <v>13</v>
      </c>
      <c r="D18" s="2">
        <f>Shift10!D16-Shift11!D16</f>
        <v>131811.6100000001</v>
      </c>
      <c r="E18" s="2">
        <f>Shift10!E16-Shift11!E16</f>
        <v>165458.16999999993</v>
      </c>
      <c r="F18" s="2">
        <f t="shared" si="0"/>
        <v>297269.78000000003</v>
      </c>
      <c r="G18" s="2">
        <f>Shift10!M16-Shift11!M16</f>
        <v>-7198.5100000000093</v>
      </c>
      <c r="H18" s="3">
        <f t="shared" si="1"/>
        <v>290071.27</v>
      </c>
    </row>
    <row r="19" spans="1:8" x14ac:dyDescent="0.2">
      <c r="A19" s="5">
        <v>15</v>
      </c>
      <c r="B19" s="5">
        <v>1</v>
      </c>
      <c r="C19" s="2" t="s">
        <v>14</v>
      </c>
      <c r="D19" s="2">
        <f>Shift10!D17-Shift11!D17</f>
        <v>319097.01</v>
      </c>
      <c r="E19" s="2">
        <f>Shift10!E17-Shift11!E17</f>
        <v>121970.05999999982</v>
      </c>
      <c r="F19" s="2">
        <f t="shared" si="0"/>
        <v>441067.06999999983</v>
      </c>
      <c r="G19" s="2">
        <f>Shift10!M17-Shift11!M17</f>
        <v>24860.940000000002</v>
      </c>
      <c r="H19" s="3">
        <f t="shared" si="1"/>
        <v>465928.00999999983</v>
      </c>
    </row>
    <row r="20" spans="1:8" x14ac:dyDescent="0.2">
      <c r="A20" s="5">
        <v>16</v>
      </c>
      <c r="B20" s="5">
        <v>1</v>
      </c>
      <c r="C20" s="2" t="s">
        <v>15</v>
      </c>
      <c r="D20" s="2">
        <f>Shift10!D18-Shift11!D18</f>
        <v>-135051.30000000005</v>
      </c>
      <c r="E20" s="2">
        <f>Shift10!E18-Shift11!E18</f>
        <v>-265551.43000000017</v>
      </c>
      <c r="F20" s="2">
        <f t="shared" si="0"/>
        <v>-400602.73000000021</v>
      </c>
      <c r="G20" s="2">
        <f>Shift10!M18-Shift11!M18</f>
        <v>-19103.359999999986</v>
      </c>
      <c r="H20" s="3">
        <f t="shared" si="1"/>
        <v>-419706.0900000002</v>
      </c>
    </row>
    <row r="21" spans="1:8" x14ac:dyDescent="0.2">
      <c r="A21" s="5">
        <v>22</v>
      </c>
      <c r="B21" s="5">
        <v>1</v>
      </c>
      <c r="C21" s="2" t="s">
        <v>16</v>
      </c>
      <c r="D21" s="2">
        <f>Shift10!D19-Shift11!D19</f>
        <v>2216.8400000000838</v>
      </c>
      <c r="E21" s="2">
        <f>Shift10!E19-Shift11!E19</f>
        <v>7814.3399999999674</v>
      </c>
      <c r="F21" s="2">
        <f t="shared" si="0"/>
        <v>10031.180000000051</v>
      </c>
      <c r="G21" s="2">
        <f>Shift10!M19-Shift11!M19</f>
        <v>-5945.6200000000099</v>
      </c>
      <c r="H21" s="3">
        <f t="shared" si="1"/>
        <v>4085.5600000000413</v>
      </c>
    </row>
    <row r="22" spans="1:8" x14ac:dyDescent="0.2">
      <c r="A22" s="5">
        <v>23</v>
      </c>
      <c r="B22" s="5">
        <v>1</v>
      </c>
      <c r="C22" s="2" t="s">
        <v>17</v>
      </c>
      <c r="D22" s="2">
        <f>Shift10!D20-Shift11!D20</f>
        <v>2484.4100000000035</v>
      </c>
      <c r="E22" s="2">
        <f>Shift10!E20-Shift11!E20</f>
        <v>-829.21000000002095</v>
      </c>
      <c r="F22" s="2">
        <f t="shared" si="0"/>
        <v>1655.1999999999825</v>
      </c>
      <c r="G22" s="2">
        <f>Shift10!M20-Shift11!M20</f>
        <v>-1307.4000000000015</v>
      </c>
      <c r="H22" s="3">
        <f t="shared" si="1"/>
        <v>347.79999999998108</v>
      </c>
    </row>
    <row r="23" spans="1:8" x14ac:dyDescent="0.2">
      <c r="A23" s="5">
        <v>25</v>
      </c>
      <c r="B23" s="5">
        <v>1</v>
      </c>
      <c r="C23" s="2" t="s">
        <v>345</v>
      </c>
      <c r="D23" s="2">
        <f>Shift10!D21-Shift11!D21</f>
        <v>0</v>
      </c>
      <c r="E23" s="2">
        <f>Shift10!E21-Shift11!E21</f>
        <v>0</v>
      </c>
      <c r="F23" s="2">
        <f t="shared" si="0"/>
        <v>0</v>
      </c>
      <c r="G23" s="2">
        <f>Shift10!M21-Shift11!M21</f>
        <v>0</v>
      </c>
      <c r="H23" s="3">
        <f t="shared" si="1"/>
        <v>0</v>
      </c>
    </row>
    <row r="24" spans="1:8" x14ac:dyDescent="0.2">
      <c r="A24" s="5">
        <v>31</v>
      </c>
      <c r="B24" s="5">
        <v>1</v>
      </c>
      <c r="C24" s="2" t="s">
        <v>18</v>
      </c>
      <c r="D24" s="2">
        <f>Shift10!D22-Shift11!D22</f>
        <v>-9201.8100000000559</v>
      </c>
      <c r="E24" s="2">
        <f>Shift10!E22-Shift11!E22</f>
        <v>-444.9800000002142</v>
      </c>
      <c r="F24" s="2">
        <f t="shared" si="0"/>
        <v>-9646.7900000002701</v>
      </c>
      <c r="G24" s="2">
        <f>Shift10!M22-Shift11!M22</f>
        <v>-13499.180000000022</v>
      </c>
      <c r="H24" s="3">
        <f t="shared" si="1"/>
        <v>-23145.970000000292</v>
      </c>
    </row>
    <row r="25" spans="1:8" x14ac:dyDescent="0.2">
      <c r="A25" s="5">
        <v>32</v>
      </c>
      <c r="B25" s="5">
        <v>1</v>
      </c>
      <c r="C25" s="2" t="s">
        <v>19</v>
      </c>
      <c r="D25" s="2">
        <f>Shift10!D23-Shift11!D23</f>
        <v>2410.9799999999814</v>
      </c>
      <c r="E25" s="2">
        <f>Shift10!E23-Shift11!E23</f>
        <v>185.76</v>
      </c>
      <c r="F25" s="2">
        <f t="shared" si="0"/>
        <v>2596.7399999999816</v>
      </c>
      <c r="G25" s="2">
        <f>Shift10!M23-Shift11!M23</f>
        <v>262.20999999999913</v>
      </c>
      <c r="H25" s="3">
        <f t="shared" si="1"/>
        <v>2858.9499999999807</v>
      </c>
    </row>
    <row r="26" spans="1:8" x14ac:dyDescent="0.2">
      <c r="A26" s="5">
        <v>36</v>
      </c>
      <c r="B26" s="5">
        <v>1</v>
      </c>
      <c r="C26" s="2" t="s">
        <v>20</v>
      </c>
      <c r="D26" s="2">
        <f>Shift10!D24-Shift11!D24</f>
        <v>-12839.689999999999</v>
      </c>
      <c r="E26" s="2">
        <f>Shift10!E24-Shift11!E24</f>
        <v>0</v>
      </c>
      <c r="F26" s="2">
        <f t="shared" si="0"/>
        <v>-12839.689999999999</v>
      </c>
      <c r="G26" s="2">
        <f>Shift10!M24-Shift11!M24</f>
        <v>418.27999999999975</v>
      </c>
      <c r="H26" s="3">
        <f t="shared" si="1"/>
        <v>-12421.41</v>
      </c>
    </row>
    <row r="27" spans="1:8" x14ac:dyDescent="0.2">
      <c r="A27" s="5">
        <v>38</v>
      </c>
      <c r="B27" s="5">
        <v>1</v>
      </c>
      <c r="C27" s="2" t="s">
        <v>21</v>
      </c>
      <c r="D27" s="2">
        <f>Shift10!D25-Shift11!D25</f>
        <v>1182.9299999999998</v>
      </c>
      <c r="E27" s="2">
        <f>Shift10!E25-Shift11!E25</f>
        <v>-240.23000000000002</v>
      </c>
      <c r="F27" s="2">
        <f t="shared" si="0"/>
        <v>942.69999999999982</v>
      </c>
      <c r="G27" s="2">
        <f>Shift10!M25-Shift11!M25</f>
        <v>-13.530000000000001</v>
      </c>
      <c r="H27" s="3">
        <f t="shared" si="1"/>
        <v>929.16999999999985</v>
      </c>
    </row>
    <row r="28" spans="1:8" x14ac:dyDescent="0.2">
      <c r="A28" s="5">
        <v>47</v>
      </c>
      <c r="B28" s="5">
        <v>1</v>
      </c>
      <c r="C28" s="2" t="s">
        <v>22</v>
      </c>
      <c r="D28" s="2">
        <f>Shift10!D26-Shift11!D26</f>
        <v>-99358.530000000028</v>
      </c>
      <c r="E28" s="2">
        <f>Shift10!E26-Shift11!E26</f>
        <v>0</v>
      </c>
      <c r="F28" s="2">
        <f t="shared" si="0"/>
        <v>-99358.530000000028</v>
      </c>
      <c r="G28" s="2">
        <f>Shift10!M26-Shift11!M26</f>
        <v>8460.89</v>
      </c>
      <c r="H28" s="3">
        <f t="shared" si="1"/>
        <v>-90897.640000000029</v>
      </c>
    </row>
    <row r="29" spans="1:8" x14ac:dyDescent="0.2">
      <c r="A29" s="5">
        <v>51</v>
      </c>
      <c r="B29" s="5">
        <v>1</v>
      </c>
      <c r="C29" s="2" t="s">
        <v>23</v>
      </c>
      <c r="D29" s="2">
        <f>Shift10!D27-Shift11!D27</f>
        <v>17026.049999999988</v>
      </c>
      <c r="E29" s="2">
        <f>Shift10!E27-Shift11!E27</f>
        <v>-17723.709999999992</v>
      </c>
      <c r="F29" s="2">
        <f t="shared" si="0"/>
        <v>-697.66000000000349</v>
      </c>
      <c r="G29" s="2">
        <f>Shift10!M27-Shift11!M27</f>
        <v>3525.1800000000003</v>
      </c>
      <c r="H29" s="3">
        <f t="shared" si="1"/>
        <v>2827.5199999999968</v>
      </c>
    </row>
    <row r="30" spans="1:8" x14ac:dyDescent="0.2">
      <c r="A30" s="5">
        <v>75</v>
      </c>
      <c r="B30" s="5">
        <v>1</v>
      </c>
      <c r="C30" s="2" t="s">
        <v>24</v>
      </c>
      <c r="D30" s="2">
        <f>Shift10!D28-Shift11!D28</f>
        <v>20947.25</v>
      </c>
      <c r="E30" s="2">
        <f>Shift10!E28-Shift11!E28</f>
        <v>-13911.559999999998</v>
      </c>
      <c r="F30" s="2">
        <f t="shared" si="0"/>
        <v>7035.6900000000023</v>
      </c>
      <c r="G30" s="2">
        <f>Shift10!M28-Shift11!M28</f>
        <v>-402.90999999999985</v>
      </c>
      <c r="H30" s="3">
        <f t="shared" si="1"/>
        <v>6632.7800000000025</v>
      </c>
    </row>
    <row r="31" spans="1:8" x14ac:dyDescent="0.2">
      <c r="A31" s="5">
        <v>77</v>
      </c>
      <c r="B31" s="5">
        <v>1</v>
      </c>
      <c r="C31" s="2" t="s">
        <v>25</v>
      </c>
      <c r="D31" s="2">
        <f>Shift10!D29-Shift11!D29</f>
        <v>-65673.759999999776</v>
      </c>
      <c r="E31" s="2">
        <f>Shift10!E29-Shift11!E29</f>
        <v>26379.310000000056</v>
      </c>
      <c r="F31" s="2">
        <f t="shared" si="0"/>
        <v>-39294.449999999721</v>
      </c>
      <c r="G31" s="2">
        <f>Shift10!M29-Shift11!M29</f>
        <v>-58843.760000000009</v>
      </c>
      <c r="H31" s="3">
        <f t="shared" si="1"/>
        <v>-98138.20999999973</v>
      </c>
    </row>
    <row r="32" spans="1:8" x14ac:dyDescent="0.2">
      <c r="A32" s="5">
        <v>81</v>
      </c>
      <c r="B32" s="5">
        <v>1</v>
      </c>
      <c r="C32" s="2" t="s">
        <v>26</v>
      </c>
      <c r="D32" s="2">
        <f>Shift10!D30-Shift11!D30</f>
        <v>-9122.1699999999983</v>
      </c>
      <c r="E32" s="2">
        <f>Shift10!E30-Shift11!E30</f>
        <v>-6983.6000000000058</v>
      </c>
      <c r="F32" s="2">
        <f t="shared" si="0"/>
        <v>-16105.770000000004</v>
      </c>
      <c r="G32" s="2">
        <f>Shift10!M30-Shift11!M30</f>
        <v>129.78999999999905</v>
      </c>
      <c r="H32" s="3">
        <f t="shared" si="1"/>
        <v>-15975.980000000005</v>
      </c>
    </row>
    <row r="33" spans="1:8" x14ac:dyDescent="0.2">
      <c r="A33" s="5">
        <v>84</v>
      </c>
      <c r="B33" s="5">
        <v>1</v>
      </c>
      <c r="C33" s="2" t="s">
        <v>27</v>
      </c>
      <c r="D33" s="2">
        <f>Shift10!D31-Shift11!D31</f>
        <v>10447.889999999985</v>
      </c>
      <c r="E33" s="2">
        <f>Shift10!E31-Shift11!E31</f>
        <v>0</v>
      </c>
      <c r="F33" s="2">
        <f t="shared" si="0"/>
        <v>10447.889999999985</v>
      </c>
      <c r="G33" s="2">
        <f>Shift10!M31-Shift11!M31</f>
        <v>-1223.1100000000006</v>
      </c>
      <c r="H33" s="3">
        <f t="shared" si="1"/>
        <v>9224.7799999999843</v>
      </c>
    </row>
    <row r="34" spans="1:8" x14ac:dyDescent="0.2">
      <c r="A34" s="5">
        <v>85</v>
      </c>
      <c r="B34" s="5">
        <v>1</v>
      </c>
      <c r="C34" s="2" t="s">
        <v>28</v>
      </c>
      <c r="D34" s="2">
        <f>Shift10!D32-Shift11!D32</f>
        <v>8979.1199999999953</v>
      </c>
      <c r="E34" s="2">
        <f>Shift10!E32-Shift11!E32</f>
        <v>-350.85000000000582</v>
      </c>
      <c r="F34" s="2">
        <f t="shared" si="0"/>
        <v>8628.2699999999895</v>
      </c>
      <c r="G34" s="2">
        <f>Shift10!M32-Shift11!M32</f>
        <v>-1242.3500000000022</v>
      </c>
      <c r="H34" s="3">
        <f t="shared" si="1"/>
        <v>7385.9199999999873</v>
      </c>
    </row>
    <row r="35" spans="1:8" x14ac:dyDescent="0.2">
      <c r="A35" s="5">
        <v>88</v>
      </c>
      <c r="B35" s="5">
        <v>1</v>
      </c>
      <c r="C35" s="2" t="s">
        <v>29</v>
      </c>
      <c r="D35" s="2">
        <f>Shift10!D33-Shift11!D33</f>
        <v>39271.290000000037</v>
      </c>
      <c r="E35" s="2">
        <f>Shift10!E33-Shift11!E33</f>
        <v>-27962.690000000061</v>
      </c>
      <c r="F35" s="2">
        <f t="shared" si="0"/>
        <v>11308.599999999977</v>
      </c>
      <c r="G35" s="2">
        <f>Shift10!M33-Shift11!M33</f>
        <v>-5504.0900000000111</v>
      </c>
      <c r="H35" s="3">
        <f t="shared" si="1"/>
        <v>5804.5099999999657</v>
      </c>
    </row>
    <row r="36" spans="1:8" x14ac:dyDescent="0.2">
      <c r="A36" s="5">
        <v>91</v>
      </c>
      <c r="B36" s="5">
        <v>1</v>
      </c>
      <c r="C36" s="2" t="s">
        <v>30</v>
      </c>
      <c r="D36" s="2">
        <f>Shift10!D34-Shift11!D34</f>
        <v>1424.4499999999971</v>
      </c>
      <c r="E36" s="2">
        <f>Shift10!E34-Shift11!E34</f>
        <v>25498.71</v>
      </c>
      <c r="F36" s="2">
        <f t="shared" si="0"/>
        <v>26923.159999999996</v>
      </c>
      <c r="G36" s="2">
        <f>Shift10!M34-Shift11!M34</f>
        <v>440.86999999999898</v>
      </c>
      <c r="H36" s="3">
        <f t="shared" si="1"/>
        <v>27364.029999999995</v>
      </c>
    </row>
    <row r="37" spans="1:8" x14ac:dyDescent="0.2">
      <c r="A37" s="5">
        <v>93</v>
      </c>
      <c r="B37" s="5">
        <v>1</v>
      </c>
      <c r="C37" s="2" t="s">
        <v>31</v>
      </c>
      <c r="D37" s="2">
        <f>Shift10!D35-Shift11!D35</f>
        <v>47753.580000000009</v>
      </c>
      <c r="E37" s="2">
        <f>Shift10!E35-Shift11!E35</f>
        <v>-5329.8400000000256</v>
      </c>
      <c r="F37" s="2">
        <f t="shared" si="0"/>
        <v>42423.739999999983</v>
      </c>
      <c r="G37" s="2">
        <f>Shift10!M35-Shift11!M35</f>
        <v>2342.380000000001</v>
      </c>
      <c r="H37" s="3">
        <f t="shared" si="1"/>
        <v>44766.119999999981</v>
      </c>
    </row>
    <row r="38" spans="1:8" x14ac:dyDescent="0.2">
      <c r="A38" s="5">
        <v>94</v>
      </c>
      <c r="B38" s="5">
        <v>1</v>
      </c>
      <c r="C38" s="2" t="s">
        <v>32</v>
      </c>
      <c r="D38" s="2">
        <f>Shift10!D36-Shift11!D36</f>
        <v>-24586.809999999998</v>
      </c>
      <c r="E38" s="2">
        <f>Shift10!E36-Shift11!E36</f>
        <v>0</v>
      </c>
      <c r="F38" s="2">
        <f t="shared" si="0"/>
        <v>-24586.809999999998</v>
      </c>
      <c r="G38" s="2">
        <f>Shift10!M36-Shift11!M36</f>
        <v>1549.3999999999942</v>
      </c>
      <c r="H38" s="3">
        <f t="shared" si="1"/>
        <v>-23037.410000000003</v>
      </c>
    </row>
    <row r="39" spans="1:8" x14ac:dyDescent="0.2">
      <c r="A39" s="5">
        <v>95</v>
      </c>
      <c r="B39" s="5">
        <v>1</v>
      </c>
      <c r="C39" s="2" t="s">
        <v>33</v>
      </c>
      <c r="D39" s="2">
        <f>Shift10!D37-Shift11!D37</f>
        <v>-6621.5599999999977</v>
      </c>
      <c r="E39" s="2">
        <f>Shift10!E37-Shift11!E37</f>
        <v>0</v>
      </c>
      <c r="F39" s="2">
        <f t="shared" si="0"/>
        <v>-6621.5599999999977</v>
      </c>
      <c r="G39" s="2">
        <f>Shift10!M37-Shift11!M37</f>
        <v>-436.86999999999898</v>
      </c>
      <c r="H39" s="3">
        <f t="shared" si="1"/>
        <v>-7058.4299999999967</v>
      </c>
    </row>
    <row r="40" spans="1:8" x14ac:dyDescent="0.2">
      <c r="A40" s="5">
        <v>97</v>
      </c>
      <c r="B40" s="5">
        <v>1</v>
      </c>
      <c r="C40" s="2" t="s">
        <v>34</v>
      </c>
      <c r="D40" s="2">
        <f>Shift10!D38-Shift11!D38</f>
        <v>34185.079999999987</v>
      </c>
      <c r="E40" s="2">
        <f>Shift10!E38-Shift11!E38</f>
        <v>-57697.070000000007</v>
      </c>
      <c r="F40" s="2">
        <f t="shared" si="0"/>
        <v>-23511.99000000002</v>
      </c>
      <c r="G40" s="2">
        <f>Shift10!M38-Shift11!M38</f>
        <v>-587.61999999999898</v>
      </c>
      <c r="H40" s="3">
        <f t="shared" si="1"/>
        <v>-24099.610000000019</v>
      </c>
    </row>
    <row r="41" spans="1:8" x14ac:dyDescent="0.2">
      <c r="A41" s="5">
        <v>99</v>
      </c>
      <c r="B41" s="5">
        <v>1</v>
      </c>
      <c r="C41" s="2" t="s">
        <v>35</v>
      </c>
      <c r="D41" s="2">
        <f>Shift10!D39-Shift11!D39</f>
        <v>-3370.539999999979</v>
      </c>
      <c r="E41" s="2">
        <f>Shift10!E39-Shift11!E39</f>
        <v>0</v>
      </c>
      <c r="F41" s="2">
        <f t="shared" si="0"/>
        <v>-3370.539999999979</v>
      </c>
      <c r="G41" s="2">
        <f>Shift10!M39-Shift11!M39</f>
        <v>844.65999999999985</v>
      </c>
      <c r="H41" s="3">
        <f t="shared" si="1"/>
        <v>-2525.8799999999792</v>
      </c>
    </row>
    <row r="42" spans="1:8" x14ac:dyDescent="0.2">
      <c r="A42" s="5">
        <v>100</v>
      </c>
      <c r="B42" s="5">
        <v>1</v>
      </c>
      <c r="C42" s="2" t="s">
        <v>36</v>
      </c>
      <c r="D42" s="2">
        <f>Shift10!D40-Shift11!D40</f>
        <v>154.52999999999884</v>
      </c>
      <c r="E42" s="2">
        <f>Shift10!E40-Shift11!E40</f>
        <v>-437.16999999999825</v>
      </c>
      <c r="F42" s="2">
        <f t="shared" si="0"/>
        <v>-282.63999999999942</v>
      </c>
      <c r="G42" s="2">
        <f>Shift10!M40-Shift11!M40</f>
        <v>-1253.5499999999993</v>
      </c>
      <c r="H42" s="3">
        <f t="shared" si="1"/>
        <v>-1536.1899999999987</v>
      </c>
    </row>
    <row r="43" spans="1:8" x14ac:dyDescent="0.2">
      <c r="A43" s="5">
        <v>108</v>
      </c>
      <c r="B43" s="5">
        <v>1</v>
      </c>
      <c r="C43" s="2" t="s">
        <v>37</v>
      </c>
      <c r="D43" s="2">
        <f>Shift10!D41-Shift11!D41</f>
        <v>-46858.669999999984</v>
      </c>
      <c r="E43" s="2">
        <f>Shift10!E41-Shift11!E41</f>
        <v>-33954.390000000014</v>
      </c>
      <c r="F43" s="2">
        <f t="shared" si="0"/>
        <v>-80813.06</v>
      </c>
      <c r="G43" s="2">
        <f>Shift10!M41-Shift11!M41</f>
        <v>-7635.0299999999988</v>
      </c>
      <c r="H43" s="3">
        <f t="shared" si="1"/>
        <v>-88448.09</v>
      </c>
    </row>
    <row r="44" spans="1:8" x14ac:dyDescent="0.2">
      <c r="A44" s="5">
        <v>110</v>
      </c>
      <c r="B44" s="5">
        <v>1</v>
      </c>
      <c r="C44" s="2" t="s">
        <v>38</v>
      </c>
      <c r="D44" s="2">
        <f>Shift10!D42-Shift11!D42</f>
        <v>55610.400000000023</v>
      </c>
      <c r="E44" s="2">
        <f>Shift10!E42-Shift11!E42</f>
        <v>265190.19000000018</v>
      </c>
      <c r="F44" s="2">
        <f t="shared" si="0"/>
        <v>320800.5900000002</v>
      </c>
      <c r="G44" s="2">
        <f>Shift10!M42-Shift11!M42</f>
        <v>8693.7400000000198</v>
      </c>
      <c r="H44" s="3">
        <f t="shared" si="1"/>
        <v>329494.33000000019</v>
      </c>
    </row>
    <row r="45" spans="1:8" x14ac:dyDescent="0.2">
      <c r="A45" s="5">
        <v>111</v>
      </c>
      <c r="B45" s="5">
        <v>1</v>
      </c>
      <c r="C45" s="2" t="s">
        <v>39</v>
      </c>
      <c r="D45" s="2">
        <f>Shift10!D43-Shift11!D43</f>
        <v>51901.799999999988</v>
      </c>
      <c r="E45" s="2">
        <f>Shift10!E43-Shift11!E43</f>
        <v>-190373.34999999998</v>
      </c>
      <c r="F45" s="2">
        <f t="shared" si="0"/>
        <v>-138471.54999999999</v>
      </c>
      <c r="G45" s="2">
        <f>Shift10!M43-Shift11!M43</f>
        <v>-15668.789999999994</v>
      </c>
      <c r="H45" s="3">
        <f t="shared" si="1"/>
        <v>-154140.33999999997</v>
      </c>
    </row>
    <row r="46" spans="1:8" x14ac:dyDescent="0.2">
      <c r="A46" s="5">
        <v>112</v>
      </c>
      <c r="B46" s="5">
        <v>1</v>
      </c>
      <c r="C46" s="2" t="s">
        <v>40</v>
      </c>
      <c r="D46" s="2">
        <f>Shift10!D44-Shift11!D44</f>
        <v>433799.35000000009</v>
      </c>
      <c r="E46" s="2">
        <f>Shift10!E44-Shift11!E44</f>
        <v>-99265.080000000075</v>
      </c>
      <c r="F46" s="2">
        <f t="shared" si="0"/>
        <v>334534.27</v>
      </c>
      <c r="G46" s="2">
        <f>Shift10!M44-Shift11!M44</f>
        <v>27654.619999999995</v>
      </c>
      <c r="H46" s="3">
        <f t="shared" si="1"/>
        <v>362188.89</v>
      </c>
    </row>
    <row r="47" spans="1:8" x14ac:dyDescent="0.2">
      <c r="A47" s="5">
        <v>113</v>
      </c>
      <c r="B47" s="5">
        <v>1</v>
      </c>
      <c r="C47" s="2" t="s">
        <v>41</v>
      </c>
      <c r="D47" s="2">
        <f>Shift10!D45-Shift11!D45</f>
        <v>31895.010000000009</v>
      </c>
      <c r="E47" s="2">
        <f>Shift10!E45-Shift11!E45</f>
        <v>0</v>
      </c>
      <c r="F47" s="2">
        <f t="shared" si="0"/>
        <v>31895.010000000009</v>
      </c>
      <c r="G47" s="2">
        <f>Shift10!M45-Shift11!M45</f>
        <v>-13230.330000000002</v>
      </c>
      <c r="H47" s="3">
        <f t="shared" si="1"/>
        <v>18664.680000000008</v>
      </c>
    </row>
    <row r="48" spans="1:8" x14ac:dyDescent="0.2">
      <c r="A48" s="5">
        <v>115</v>
      </c>
      <c r="B48" s="5">
        <v>1</v>
      </c>
      <c r="C48" s="2" t="s">
        <v>42</v>
      </c>
      <c r="D48" s="2">
        <f>Shift10!D46-Shift11!D46</f>
        <v>-17902.5</v>
      </c>
      <c r="E48" s="2">
        <f>Shift10!E46-Shift11!E46</f>
        <v>0</v>
      </c>
      <c r="F48" s="2">
        <f t="shared" si="0"/>
        <v>-17902.5</v>
      </c>
      <c r="G48" s="2">
        <f>Shift10!M46-Shift11!M46</f>
        <v>-2891.8099999999977</v>
      </c>
      <c r="H48" s="3">
        <f t="shared" si="1"/>
        <v>-20794.309999999998</v>
      </c>
    </row>
    <row r="49" spans="1:8" x14ac:dyDescent="0.2">
      <c r="A49" s="5">
        <v>116</v>
      </c>
      <c r="B49" s="5">
        <v>1</v>
      </c>
      <c r="C49" s="2" t="s">
        <v>43</v>
      </c>
      <c r="D49" s="2">
        <f>Shift10!D47-Shift11!D47</f>
        <v>21255.850000000035</v>
      </c>
      <c r="E49" s="2">
        <f>Shift10!E47-Shift11!E47</f>
        <v>0</v>
      </c>
      <c r="F49" s="2">
        <f t="shared" si="0"/>
        <v>21255.850000000035</v>
      </c>
      <c r="G49" s="2">
        <f>Shift10!M47-Shift11!M47</f>
        <v>-690.54999999999563</v>
      </c>
      <c r="H49" s="3">
        <f t="shared" si="1"/>
        <v>20565.300000000039</v>
      </c>
    </row>
    <row r="50" spans="1:8" x14ac:dyDescent="0.2">
      <c r="A50" s="5">
        <v>118</v>
      </c>
      <c r="B50" s="5">
        <v>1</v>
      </c>
      <c r="C50" s="2" t="s">
        <v>44</v>
      </c>
      <c r="D50" s="2">
        <f>Shift10!D48-Shift11!D48</f>
        <v>-8955.7799999999988</v>
      </c>
      <c r="E50" s="2">
        <f>Shift10!E48-Shift11!E48</f>
        <v>-17227.36</v>
      </c>
      <c r="F50" s="2">
        <f t="shared" si="0"/>
        <v>-26183.14</v>
      </c>
      <c r="G50" s="2">
        <f>Shift10!M48-Shift11!M48</f>
        <v>4974.3299999999981</v>
      </c>
      <c r="H50" s="3">
        <f t="shared" si="1"/>
        <v>-21208.81</v>
      </c>
    </row>
    <row r="51" spans="1:8" x14ac:dyDescent="0.2">
      <c r="A51" s="5">
        <v>129</v>
      </c>
      <c r="B51" s="5">
        <v>1</v>
      </c>
      <c r="C51" s="2" t="s">
        <v>45</v>
      </c>
      <c r="D51" s="2">
        <f>Shift10!D49-Shift11!D49</f>
        <v>35920.26999999999</v>
      </c>
      <c r="E51" s="2">
        <f>Shift10!E49-Shift11!E49</f>
        <v>-191603.09999999995</v>
      </c>
      <c r="F51" s="2">
        <f t="shared" si="0"/>
        <v>-155682.82999999996</v>
      </c>
      <c r="G51" s="2">
        <f>Shift10!M49-Shift11!M49</f>
        <v>4897.4099999999962</v>
      </c>
      <c r="H51" s="3">
        <f t="shared" si="1"/>
        <v>-150785.41999999995</v>
      </c>
    </row>
    <row r="52" spans="1:8" x14ac:dyDescent="0.2">
      <c r="A52" s="5">
        <v>138</v>
      </c>
      <c r="B52" s="5">
        <v>1</v>
      </c>
      <c r="C52" s="2" t="s">
        <v>46</v>
      </c>
      <c r="D52" s="2">
        <f>Shift10!D50-Shift11!D50</f>
        <v>-87380.62</v>
      </c>
      <c r="E52" s="2">
        <f>Shift10!E50-Shift11!E50</f>
        <v>0</v>
      </c>
      <c r="F52" s="2">
        <f t="shared" si="0"/>
        <v>-87380.62</v>
      </c>
      <c r="G52" s="2">
        <f>Shift10!M50-Shift11!M50</f>
        <v>10579.160000000003</v>
      </c>
      <c r="H52" s="3">
        <f t="shared" si="1"/>
        <v>-76801.459999999992</v>
      </c>
    </row>
    <row r="53" spans="1:8" x14ac:dyDescent="0.2">
      <c r="A53" s="5">
        <v>139</v>
      </c>
      <c r="B53" s="5">
        <v>1</v>
      </c>
      <c r="C53" s="2" t="s">
        <v>47</v>
      </c>
      <c r="D53" s="2">
        <f>Shift10!D51-Shift11!D51</f>
        <v>30941.110000000015</v>
      </c>
      <c r="E53" s="2">
        <f>Shift10!E51-Shift11!E51</f>
        <v>0</v>
      </c>
      <c r="F53" s="2">
        <f t="shared" si="0"/>
        <v>30941.110000000015</v>
      </c>
      <c r="G53" s="2">
        <f>Shift10!M51-Shift11!M51</f>
        <v>-4249.6100000000006</v>
      </c>
      <c r="H53" s="3">
        <f t="shared" si="1"/>
        <v>26691.500000000015</v>
      </c>
    </row>
    <row r="54" spans="1:8" x14ac:dyDescent="0.2">
      <c r="A54" s="5">
        <v>146</v>
      </c>
      <c r="B54" s="5">
        <v>1</v>
      </c>
      <c r="C54" s="2" t="s">
        <v>48</v>
      </c>
      <c r="D54" s="2">
        <f>Shift10!D52-Shift11!D52</f>
        <v>-15906.449999999983</v>
      </c>
      <c r="E54" s="2">
        <f>Shift10!E52-Shift11!E52</f>
        <v>-5180.8400000000256</v>
      </c>
      <c r="F54" s="2">
        <f t="shared" si="0"/>
        <v>-21087.290000000008</v>
      </c>
      <c r="G54" s="2">
        <f>Shift10!M52-Shift11!M52</f>
        <v>-2147.6500000000015</v>
      </c>
      <c r="H54" s="3">
        <f t="shared" si="1"/>
        <v>-23234.94000000001</v>
      </c>
    </row>
    <row r="55" spans="1:8" x14ac:dyDescent="0.2">
      <c r="A55" s="5">
        <v>150</v>
      </c>
      <c r="B55" s="5">
        <v>1</v>
      </c>
      <c r="C55" s="2" t="s">
        <v>49</v>
      </c>
      <c r="D55" s="2">
        <f>Shift10!D53-Shift11!D53</f>
        <v>766.75</v>
      </c>
      <c r="E55" s="2">
        <f>Shift10!E53-Shift11!E53</f>
        <v>-1557.6199999999953</v>
      </c>
      <c r="F55" s="2">
        <f t="shared" si="0"/>
        <v>-790.86999999999534</v>
      </c>
      <c r="G55" s="2">
        <f>Shift10!M53-Shift11!M53</f>
        <v>1451.6900000000005</v>
      </c>
      <c r="H55" s="3">
        <f t="shared" si="1"/>
        <v>660.82000000000517</v>
      </c>
    </row>
    <row r="56" spans="1:8" x14ac:dyDescent="0.2">
      <c r="A56" s="5">
        <v>152</v>
      </c>
      <c r="B56" s="5">
        <v>1</v>
      </c>
      <c r="C56" s="2" t="s">
        <v>50</v>
      </c>
      <c r="D56" s="2">
        <f>Shift10!D54-Shift11!D54</f>
        <v>-181674.82000000007</v>
      </c>
      <c r="E56" s="2">
        <f>Shift10!E54-Shift11!E54</f>
        <v>-87722.479999999749</v>
      </c>
      <c r="F56" s="2">
        <f t="shared" si="0"/>
        <v>-269397.29999999981</v>
      </c>
      <c r="G56" s="2">
        <f>Shift10!M54-Shift11!M54</f>
        <v>-33284.720000000001</v>
      </c>
      <c r="H56" s="3">
        <f t="shared" si="1"/>
        <v>-302682.01999999979</v>
      </c>
    </row>
    <row r="57" spans="1:8" x14ac:dyDescent="0.2">
      <c r="A57" s="5">
        <v>162</v>
      </c>
      <c r="B57" s="5">
        <v>1</v>
      </c>
      <c r="C57" s="2" t="s">
        <v>51</v>
      </c>
      <c r="D57" s="2">
        <f>Shift10!D55-Shift11!D55</f>
        <v>-30789.910000000003</v>
      </c>
      <c r="E57" s="2">
        <f>Shift10!E55-Shift11!E55</f>
        <v>0</v>
      </c>
      <c r="F57" s="2">
        <f t="shared" si="0"/>
        <v>-30789.910000000003</v>
      </c>
      <c r="G57" s="2">
        <f>Shift10!M55-Shift11!M55</f>
        <v>3076.869999999999</v>
      </c>
      <c r="H57" s="3">
        <f t="shared" si="1"/>
        <v>-27713.040000000005</v>
      </c>
    </row>
    <row r="58" spans="1:8" x14ac:dyDescent="0.2">
      <c r="A58" s="5">
        <v>166</v>
      </c>
      <c r="B58" s="5">
        <v>1</v>
      </c>
      <c r="C58" s="2" t="s">
        <v>52</v>
      </c>
      <c r="D58" s="2">
        <f>Shift10!D56-Shift11!D56</f>
        <v>-5510.88</v>
      </c>
      <c r="E58" s="2">
        <f>Shift10!E56-Shift11!E56</f>
        <v>-13845.889999999985</v>
      </c>
      <c r="F58" s="2">
        <f t="shared" si="0"/>
        <v>-19356.769999999986</v>
      </c>
      <c r="G58" s="2">
        <f>Shift10!M56-Shift11!M56</f>
        <v>0</v>
      </c>
      <c r="H58" s="3">
        <f t="shared" si="1"/>
        <v>-19356.769999999986</v>
      </c>
    </row>
    <row r="59" spans="1:8" x14ac:dyDescent="0.2">
      <c r="A59" s="5">
        <v>173</v>
      </c>
      <c r="B59" s="5">
        <v>1</v>
      </c>
      <c r="C59" s="2" t="s">
        <v>53</v>
      </c>
      <c r="D59" s="2">
        <f>Shift10!D57-Shift11!D57</f>
        <v>-5934.6900000000023</v>
      </c>
      <c r="E59" s="2">
        <f>Shift10!E57-Shift11!E57</f>
        <v>-23600.159999999974</v>
      </c>
      <c r="F59" s="2">
        <f t="shared" si="0"/>
        <v>-29534.849999999977</v>
      </c>
      <c r="G59" s="2">
        <f>Shift10!M57-Shift11!M57</f>
        <v>591.95000000000073</v>
      </c>
      <c r="H59" s="3">
        <f t="shared" si="1"/>
        <v>-28942.899999999976</v>
      </c>
    </row>
    <row r="60" spans="1:8" x14ac:dyDescent="0.2">
      <c r="A60" s="5">
        <v>177</v>
      </c>
      <c r="B60" s="5">
        <v>1</v>
      </c>
      <c r="C60" s="2" t="s">
        <v>54</v>
      </c>
      <c r="D60" s="2">
        <f>Shift10!D58-Shift11!D58</f>
        <v>-62726.130000000005</v>
      </c>
      <c r="E60" s="2">
        <f>Shift10!E58-Shift11!E58</f>
        <v>-40847.330000000016</v>
      </c>
      <c r="F60" s="2">
        <f t="shared" si="0"/>
        <v>-103573.46000000002</v>
      </c>
      <c r="G60" s="2">
        <f>Shift10!M58-Shift11!M58</f>
        <v>1519.7299999999959</v>
      </c>
      <c r="H60" s="3">
        <f t="shared" si="1"/>
        <v>-102053.73000000003</v>
      </c>
    </row>
    <row r="61" spans="1:8" x14ac:dyDescent="0.2">
      <c r="A61" s="5">
        <v>181</v>
      </c>
      <c r="B61" s="5">
        <v>1</v>
      </c>
      <c r="C61" s="2" t="s">
        <v>55</v>
      </c>
      <c r="D61" s="2">
        <f>Shift10!D59-Shift11!D59</f>
        <v>128120.50000000023</v>
      </c>
      <c r="E61" s="2">
        <f>Shift10!E59-Shift11!E59</f>
        <v>-675608.94</v>
      </c>
      <c r="F61" s="2">
        <f t="shared" si="0"/>
        <v>-547488.43999999971</v>
      </c>
      <c r="G61" s="2">
        <f>Shift10!M59-Shift11!M59</f>
        <v>-1620.25</v>
      </c>
      <c r="H61" s="3">
        <f t="shared" si="1"/>
        <v>-549108.68999999971</v>
      </c>
    </row>
    <row r="62" spans="1:8" x14ac:dyDescent="0.2">
      <c r="A62" s="5">
        <v>182</v>
      </c>
      <c r="B62" s="5">
        <v>1</v>
      </c>
      <c r="C62" s="2" t="s">
        <v>56</v>
      </c>
      <c r="D62" s="2">
        <f>Shift10!D60-Shift11!D60</f>
        <v>-11316.359999999986</v>
      </c>
      <c r="E62" s="2">
        <f>Shift10!E60-Shift11!E60</f>
        <v>502.55999999999767</v>
      </c>
      <c r="F62" s="2">
        <f t="shared" si="0"/>
        <v>-10813.799999999988</v>
      </c>
      <c r="G62" s="2">
        <f>Shift10!M60-Shift11!M60</f>
        <v>969.00999999999976</v>
      </c>
      <c r="H62" s="3">
        <f t="shared" si="1"/>
        <v>-9844.7899999999881</v>
      </c>
    </row>
    <row r="63" spans="1:8" x14ac:dyDescent="0.2">
      <c r="A63" s="5">
        <v>186</v>
      </c>
      <c r="B63" s="5">
        <v>1</v>
      </c>
      <c r="C63" s="2" t="s">
        <v>57</v>
      </c>
      <c r="D63" s="2">
        <f>Shift10!D61-Shift11!D61</f>
        <v>163858.64999999997</v>
      </c>
      <c r="E63" s="2">
        <f>Shift10!E61-Shift11!E61</f>
        <v>-8777.7900000000009</v>
      </c>
      <c r="F63" s="2">
        <f t="shared" si="0"/>
        <v>155080.85999999996</v>
      </c>
      <c r="G63" s="2">
        <f>Shift10!M61-Shift11!M61</f>
        <v>-3224.3099999999977</v>
      </c>
      <c r="H63" s="3">
        <f t="shared" si="1"/>
        <v>151856.54999999996</v>
      </c>
    </row>
    <row r="64" spans="1:8" x14ac:dyDescent="0.2">
      <c r="A64" s="5">
        <v>191</v>
      </c>
      <c r="B64" s="5">
        <v>1</v>
      </c>
      <c r="C64" s="2" t="s">
        <v>58</v>
      </c>
      <c r="D64" s="2">
        <f>Shift10!D62-Shift11!D62</f>
        <v>592955.03000000026</v>
      </c>
      <c r="E64" s="2">
        <f>Shift10!E62-Shift11!E62</f>
        <v>3745.1199999991804</v>
      </c>
      <c r="F64" s="2">
        <f t="shared" si="0"/>
        <v>596700.14999999944</v>
      </c>
      <c r="G64" s="2">
        <f>Shift10!M62-Shift11!M62</f>
        <v>-14558.619999999995</v>
      </c>
      <c r="H64" s="3">
        <f t="shared" si="1"/>
        <v>582141.52999999945</v>
      </c>
    </row>
    <row r="65" spans="1:8" x14ac:dyDescent="0.2">
      <c r="A65" s="5">
        <v>192</v>
      </c>
      <c r="B65" s="5">
        <v>1</v>
      </c>
      <c r="C65" s="2" t="s">
        <v>59</v>
      </c>
      <c r="D65" s="2">
        <f>Shift10!D63-Shift11!D63</f>
        <v>80523.870000000112</v>
      </c>
      <c r="E65" s="2">
        <f>Shift10!E63-Shift11!E63</f>
        <v>28881.030000000028</v>
      </c>
      <c r="F65" s="2">
        <f t="shared" si="0"/>
        <v>109404.90000000014</v>
      </c>
      <c r="G65" s="2">
        <f>Shift10!M63-Shift11!M63</f>
        <v>-20234.610000000015</v>
      </c>
      <c r="H65" s="3">
        <f t="shared" si="1"/>
        <v>89170.290000000125</v>
      </c>
    </row>
    <row r="66" spans="1:8" x14ac:dyDescent="0.2">
      <c r="A66" s="5">
        <v>194</v>
      </c>
      <c r="B66" s="5">
        <v>1</v>
      </c>
      <c r="C66" s="2" t="s">
        <v>60</v>
      </c>
      <c r="D66" s="2">
        <f>Shift10!D64-Shift11!D64</f>
        <v>462662.98999999976</v>
      </c>
      <c r="E66" s="2">
        <f>Shift10!E64-Shift11!E64</f>
        <v>36844.149999999441</v>
      </c>
      <c r="F66" s="2">
        <f t="shared" si="0"/>
        <v>499507.1399999992</v>
      </c>
      <c r="G66" s="2">
        <f>Shift10!M64-Shift11!M64</f>
        <v>29996.890000000014</v>
      </c>
      <c r="H66" s="3">
        <f t="shared" si="1"/>
        <v>529504.02999999921</v>
      </c>
    </row>
    <row r="67" spans="1:8" x14ac:dyDescent="0.2">
      <c r="A67" s="5">
        <v>195</v>
      </c>
      <c r="B67" s="5">
        <v>1</v>
      </c>
      <c r="C67" s="2" t="s">
        <v>61</v>
      </c>
      <c r="D67" s="2">
        <f>Shift10!D65-Shift11!D65</f>
        <v>-2814.1699999999983</v>
      </c>
      <c r="E67" s="2">
        <f>Shift10!E65-Shift11!E65</f>
        <v>0</v>
      </c>
      <c r="F67" s="2">
        <f t="shared" si="0"/>
        <v>-2814.1699999999983</v>
      </c>
      <c r="G67" s="2">
        <f>Shift10!M65-Shift11!M65</f>
        <v>-1260.6799999999985</v>
      </c>
      <c r="H67" s="3">
        <f t="shared" si="1"/>
        <v>-4074.8499999999967</v>
      </c>
    </row>
    <row r="68" spans="1:8" x14ac:dyDescent="0.2">
      <c r="A68" s="5">
        <v>196</v>
      </c>
      <c r="B68" s="5">
        <v>1</v>
      </c>
      <c r="C68" s="2" t="s">
        <v>62</v>
      </c>
      <c r="D68" s="2">
        <f>Shift10!D66-Shift11!D66</f>
        <v>908226.0700000003</v>
      </c>
      <c r="E68" s="2">
        <f>Shift10!E66-Shift11!E66</f>
        <v>485947.50999999978</v>
      </c>
      <c r="F68" s="2">
        <f t="shared" si="0"/>
        <v>1394173.58</v>
      </c>
      <c r="G68" s="2">
        <f>Shift10!M66-Shift11!M66</f>
        <v>19149.369999999995</v>
      </c>
      <c r="H68" s="3">
        <f t="shared" si="1"/>
        <v>1413322.9500000002</v>
      </c>
    </row>
    <row r="69" spans="1:8" x14ac:dyDescent="0.2">
      <c r="A69" s="5">
        <v>197</v>
      </c>
      <c r="B69" s="5">
        <v>1</v>
      </c>
      <c r="C69" s="2" t="s">
        <v>63</v>
      </c>
      <c r="D69" s="2">
        <f>Shift10!D67-Shift11!D67</f>
        <v>81879.080000000075</v>
      </c>
      <c r="E69" s="2">
        <f>Shift10!E67-Shift11!E67</f>
        <v>-1291669.9000000004</v>
      </c>
      <c r="F69" s="2">
        <f t="shared" si="0"/>
        <v>-1209790.8200000003</v>
      </c>
      <c r="G69" s="2">
        <f>Shift10!M67-Shift11!M67</f>
        <v>-39724.669999999984</v>
      </c>
      <c r="H69" s="3">
        <f t="shared" si="1"/>
        <v>-1249515.4900000002</v>
      </c>
    </row>
    <row r="70" spans="1:8" x14ac:dyDescent="0.2">
      <c r="A70" s="5">
        <v>199</v>
      </c>
      <c r="B70" s="5">
        <v>1</v>
      </c>
      <c r="C70" s="2" t="s">
        <v>64</v>
      </c>
      <c r="D70" s="2">
        <f>Shift10!D68-Shift11!D68</f>
        <v>-7499.7100000001956</v>
      </c>
      <c r="E70" s="2">
        <f>Shift10!E68-Shift11!E68</f>
        <v>-77130.14000000013</v>
      </c>
      <c r="F70" s="2">
        <f t="shared" si="0"/>
        <v>-84629.850000000326</v>
      </c>
      <c r="G70" s="2">
        <f>Shift10!M68-Shift11!M68</f>
        <v>-35593.669999999984</v>
      </c>
      <c r="H70" s="3">
        <f t="shared" si="1"/>
        <v>-120223.52000000031</v>
      </c>
    </row>
    <row r="71" spans="1:8" x14ac:dyDescent="0.2">
      <c r="A71" s="5">
        <v>200</v>
      </c>
      <c r="B71" s="5">
        <v>1</v>
      </c>
      <c r="C71" s="2" t="s">
        <v>65</v>
      </c>
      <c r="D71" s="2">
        <f>Shift10!D69-Shift11!D69</f>
        <v>-108150.73999999999</v>
      </c>
      <c r="E71" s="2">
        <f>Shift10!E69-Shift11!E69</f>
        <v>-73436.549999999814</v>
      </c>
      <c r="F71" s="2">
        <f t="shared" si="0"/>
        <v>-181587.2899999998</v>
      </c>
      <c r="G71" s="2">
        <f>Shift10!M69-Shift11!M69</f>
        <v>9494.0100000000093</v>
      </c>
      <c r="H71" s="3">
        <f t="shared" si="1"/>
        <v>-172093.2799999998</v>
      </c>
    </row>
    <row r="72" spans="1:8" x14ac:dyDescent="0.2">
      <c r="A72" s="5">
        <v>203</v>
      </c>
      <c r="B72" s="5">
        <v>1</v>
      </c>
      <c r="C72" s="2" t="s">
        <v>66</v>
      </c>
      <c r="D72" s="2">
        <f>Shift10!D70-Shift11!D70</f>
        <v>15419.680000000022</v>
      </c>
      <c r="E72" s="2">
        <f>Shift10!E70-Shift11!E70</f>
        <v>-121054.16999999998</v>
      </c>
      <c r="F72" s="2">
        <f t="shared" si="0"/>
        <v>-105634.48999999996</v>
      </c>
      <c r="G72" s="2">
        <f>Shift10!M70-Shift11!M70</f>
        <v>-395.07999999999811</v>
      </c>
      <c r="H72" s="3">
        <f t="shared" si="1"/>
        <v>-106029.56999999996</v>
      </c>
    </row>
    <row r="73" spans="1:8" x14ac:dyDescent="0.2">
      <c r="A73" s="5">
        <v>204</v>
      </c>
      <c r="B73" s="5">
        <v>1</v>
      </c>
      <c r="C73" s="2" t="s">
        <v>67</v>
      </c>
      <c r="D73" s="2">
        <f>Shift10!D71-Shift11!D71</f>
        <v>202696.33999999997</v>
      </c>
      <c r="E73" s="2">
        <f>Shift10!E71-Shift11!E71</f>
        <v>-963.73999999999069</v>
      </c>
      <c r="F73" s="2">
        <f t="shared" si="0"/>
        <v>201732.59999999998</v>
      </c>
      <c r="G73" s="2">
        <f>Shift10!M71-Shift11!M71</f>
        <v>-22364.410000000003</v>
      </c>
      <c r="H73" s="3">
        <f t="shared" si="1"/>
        <v>179368.18999999997</v>
      </c>
    </row>
    <row r="74" spans="1:8" x14ac:dyDescent="0.2">
      <c r="A74" s="5">
        <v>206</v>
      </c>
      <c r="B74" s="5">
        <v>1</v>
      </c>
      <c r="C74" s="2" t="s">
        <v>68</v>
      </c>
      <c r="D74" s="2">
        <f>Shift10!D72-Shift11!D72</f>
        <v>81427.180000000051</v>
      </c>
      <c r="E74" s="2">
        <f>Shift10!E72-Shift11!E72</f>
        <v>20159.760000000009</v>
      </c>
      <c r="F74" s="2">
        <f t="shared" ref="F74:F135" si="2">D74+E74</f>
        <v>101586.94000000006</v>
      </c>
      <c r="G74" s="2">
        <f>Shift10!M72-Shift11!M72</f>
        <v>1226.1699999999837</v>
      </c>
      <c r="H74" s="3">
        <f t="shared" ref="H74:H135" si="3">SUM(F74:G74)</f>
        <v>102813.11000000004</v>
      </c>
    </row>
    <row r="75" spans="1:8" x14ac:dyDescent="0.2">
      <c r="A75" s="5">
        <v>207</v>
      </c>
      <c r="B75" s="5">
        <v>1</v>
      </c>
      <c r="C75" s="2" t="s">
        <v>69</v>
      </c>
      <c r="D75" s="2">
        <f>Shift10!D73-Shift11!D73</f>
        <v>-7555.3499999999913</v>
      </c>
      <c r="E75" s="2">
        <f>Shift10!E73-Shift11!E73</f>
        <v>2361.9600000000064</v>
      </c>
      <c r="F75" s="2">
        <f t="shared" si="2"/>
        <v>-5193.3899999999849</v>
      </c>
      <c r="G75" s="2">
        <f>Shift10!M73-Shift11!M73</f>
        <v>-161.84000000000015</v>
      </c>
      <c r="H75" s="3">
        <f t="shared" si="3"/>
        <v>-5355.229999999985</v>
      </c>
    </row>
    <row r="76" spans="1:8" x14ac:dyDescent="0.2">
      <c r="A76" s="5">
        <v>208</v>
      </c>
      <c r="B76" s="5">
        <v>1</v>
      </c>
      <c r="C76" s="2" t="s">
        <v>70</v>
      </c>
      <c r="D76" s="2">
        <f>Shift10!D74-Shift11!D74</f>
        <v>2634.010000000002</v>
      </c>
      <c r="E76" s="2">
        <f>Shift10!E74-Shift11!E74</f>
        <v>-3958.4700000000012</v>
      </c>
      <c r="F76" s="2">
        <f t="shared" si="2"/>
        <v>-1324.4599999999991</v>
      </c>
      <c r="G76" s="2">
        <f>Shift10!M74-Shift11!M74</f>
        <v>-290.6299999999992</v>
      </c>
      <c r="H76" s="3">
        <f t="shared" si="3"/>
        <v>-1615.0899999999983</v>
      </c>
    </row>
    <row r="77" spans="1:8" x14ac:dyDescent="0.2">
      <c r="A77" s="5">
        <v>213</v>
      </c>
      <c r="B77" s="5">
        <v>1</v>
      </c>
      <c r="C77" s="2" t="s">
        <v>71</v>
      </c>
      <c r="D77" s="2">
        <f>Shift10!D75-Shift11!D75</f>
        <v>18855.49000000002</v>
      </c>
      <c r="E77" s="2">
        <f>Shift10!E75-Shift11!E75</f>
        <v>0</v>
      </c>
      <c r="F77" s="2">
        <f t="shared" si="2"/>
        <v>18855.49000000002</v>
      </c>
      <c r="G77" s="2">
        <f>Shift10!M75-Shift11!M75</f>
        <v>-1117.7999999999993</v>
      </c>
      <c r="H77" s="3">
        <f t="shared" si="3"/>
        <v>17737.690000000021</v>
      </c>
    </row>
    <row r="78" spans="1:8" x14ac:dyDescent="0.2">
      <c r="A78" s="5">
        <v>227</v>
      </c>
      <c r="B78" s="5">
        <v>1</v>
      </c>
      <c r="C78" s="2" t="s">
        <v>72</v>
      </c>
      <c r="D78" s="2">
        <f>Shift10!D76-Shift11!D76</f>
        <v>11618.589999999997</v>
      </c>
      <c r="E78" s="2">
        <f>Shift10!E76-Shift11!E76</f>
        <v>-87261.299999999988</v>
      </c>
      <c r="F78" s="2">
        <f t="shared" si="2"/>
        <v>-75642.709999999992</v>
      </c>
      <c r="G78" s="2">
        <f>Shift10!M76-Shift11!M76</f>
        <v>-2966.5499999999993</v>
      </c>
      <c r="H78" s="3">
        <f t="shared" si="3"/>
        <v>-78609.259999999995</v>
      </c>
    </row>
    <row r="79" spans="1:8" x14ac:dyDescent="0.2">
      <c r="A79" s="5">
        <v>229</v>
      </c>
      <c r="B79" s="5">
        <v>1</v>
      </c>
      <c r="C79" s="2" t="s">
        <v>73</v>
      </c>
      <c r="D79" s="2">
        <f>Shift10!D77-Shift11!D77</f>
        <v>4338.1600000000035</v>
      </c>
      <c r="E79" s="2">
        <f>Shift10!E77-Shift11!E77</f>
        <v>18416.760000000002</v>
      </c>
      <c r="F79" s="2">
        <f t="shared" si="2"/>
        <v>22754.920000000006</v>
      </c>
      <c r="G79" s="2">
        <f>Shift10!M77-Shift11!M77</f>
        <v>-140.1200000000008</v>
      </c>
      <c r="H79" s="3">
        <f t="shared" si="3"/>
        <v>22614.800000000003</v>
      </c>
    </row>
    <row r="80" spans="1:8" x14ac:dyDescent="0.2">
      <c r="A80" s="5">
        <v>238</v>
      </c>
      <c r="B80" s="5">
        <v>1</v>
      </c>
      <c r="C80" s="2" t="s">
        <v>74</v>
      </c>
      <c r="D80" s="2">
        <f>Shift10!D78-Shift11!D78</f>
        <v>-5668.8000000000029</v>
      </c>
      <c r="E80" s="2">
        <f>Shift10!E78-Shift11!E78</f>
        <v>-2529.0200000000186</v>
      </c>
      <c r="F80" s="2">
        <f t="shared" si="2"/>
        <v>-8197.8200000000215</v>
      </c>
      <c r="G80" s="2">
        <f>Shift10!M78-Shift11!M78</f>
        <v>-5910.08</v>
      </c>
      <c r="H80" s="3">
        <f t="shared" si="3"/>
        <v>-14107.900000000021</v>
      </c>
    </row>
    <row r="81" spans="1:8" x14ac:dyDescent="0.2">
      <c r="A81" s="5">
        <v>239</v>
      </c>
      <c r="B81" s="5">
        <v>1</v>
      </c>
      <c r="C81" s="2" t="s">
        <v>75</v>
      </c>
      <c r="D81" s="2">
        <f>Shift10!D79-Shift11!D79</f>
        <v>220.69000000000233</v>
      </c>
      <c r="E81" s="2">
        <f>Shift10!E79-Shift11!E79</f>
        <v>-19760.510000000038</v>
      </c>
      <c r="F81" s="2">
        <f t="shared" si="2"/>
        <v>-19539.820000000036</v>
      </c>
      <c r="G81" s="2">
        <f>Shift10!M79-Shift11!M79</f>
        <v>3488.6800000000003</v>
      </c>
      <c r="H81" s="3">
        <f t="shared" si="3"/>
        <v>-16051.140000000036</v>
      </c>
    </row>
    <row r="82" spans="1:8" x14ac:dyDescent="0.2">
      <c r="A82" s="5">
        <v>241</v>
      </c>
      <c r="B82" s="5">
        <v>1</v>
      </c>
      <c r="C82" s="2" t="s">
        <v>76</v>
      </c>
      <c r="D82" s="2">
        <f>Shift10!D80-Shift11!D80</f>
        <v>141709.08000000007</v>
      </c>
      <c r="E82" s="2">
        <f>Shift10!E80-Shift11!E80</f>
        <v>-50992.479999999981</v>
      </c>
      <c r="F82" s="2">
        <f t="shared" si="2"/>
        <v>90716.600000000093</v>
      </c>
      <c r="G82" s="2">
        <f>Shift10!M80-Shift11!M80</f>
        <v>24161.37999999999</v>
      </c>
      <c r="H82" s="3">
        <f t="shared" si="3"/>
        <v>114877.98000000008</v>
      </c>
    </row>
    <row r="83" spans="1:8" x14ac:dyDescent="0.2">
      <c r="A83" s="5">
        <v>242</v>
      </c>
      <c r="B83" s="5">
        <v>1</v>
      </c>
      <c r="C83" s="2" t="s">
        <v>77</v>
      </c>
      <c r="D83" s="2">
        <f>Shift10!D81-Shift11!D81</f>
        <v>-29908.539999999994</v>
      </c>
      <c r="E83" s="2">
        <f>Shift10!E81-Shift11!E81</f>
        <v>174.69999999999709</v>
      </c>
      <c r="F83" s="2">
        <f t="shared" si="2"/>
        <v>-29733.839999999997</v>
      </c>
      <c r="G83" s="2">
        <f>Shift10!M81-Shift11!M81</f>
        <v>1756.2399999999998</v>
      </c>
      <c r="H83" s="3">
        <f t="shared" si="3"/>
        <v>-27977.599999999999</v>
      </c>
    </row>
    <row r="84" spans="1:8" x14ac:dyDescent="0.2">
      <c r="A84" s="5">
        <v>252</v>
      </c>
      <c r="B84" s="5">
        <v>1</v>
      </c>
      <c r="C84" s="2" t="s">
        <v>78</v>
      </c>
      <c r="D84" s="2">
        <f>Shift10!D82-Shift11!D82</f>
        <v>64330.619999999995</v>
      </c>
      <c r="E84" s="2">
        <f>Shift10!E82-Shift11!E82</f>
        <v>-9811.3699999999953</v>
      </c>
      <c r="F84" s="2">
        <f t="shared" si="2"/>
        <v>54519.25</v>
      </c>
      <c r="G84" s="2">
        <f>Shift10!M82-Shift11!M82</f>
        <v>-7222.9300000000076</v>
      </c>
      <c r="H84" s="3">
        <f t="shared" si="3"/>
        <v>47296.319999999992</v>
      </c>
    </row>
    <row r="85" spans="1:8" x14ac:dyDescent="0.2">
      <c r="A85" s="5">
        <v>253</v>
      </c>
      <c r="B85" s="5">
        <v>1</v>
      </c>
      <c r="C85" s="2" t="s">
        <v>79</v>
      </c>
      <c r="D85" s="2">
        <f>Shift10!D83-Shift11!D83</f>
        <v>23752.62000000001</v>
      </c>
      <c r="E85" s="2">
        <f>Shift10!E83-Shift11!E83</f>
        <v>-65746.509999999995</v>
      </c>
      <c r="F85" s="2">
        <f t="shared" si="2"/>
        <v>-41993.889999999985</v>
      </c>
      <c r="G85" s="2">
        <f>Shift10!M83-Shift11!M83</f>
        <v>-673.11000000000058</v>
      </c>
      <c r="H85" s="3">
        <f t="shared" si="3"/>
        <v>-42666.999999999985</v>
      </c>
    </row>
    <row r="86" spans="1:8" x14ac:dyDescent="0.2">
      <c r="A86" s="5">
        <v>255</v>
      </c>
      <c r="B86" s="5">
        <v>1</v>
      </c>
      <c r="C86" s="2" t="s">
        <v>80</v>
      </c>
      <c r="D86" s="2">
        <f>Shift10!D84-Shift11!D84</f>
        <v>49760.31</v>
      </c>
      <c r="E86" s="2">
        <f>Shift10!E84-Shift11!E84</f>
        <v>-93284.300000000017</v>
      </c>
      <c r="F86" s="2">
        <f t="shared" si="2"/>
        <v>-43523.99000000002</v>
      </c>
      <c r="G86" s="2">
        <f>Shift10!M84-Shift11!M84</f>
        <v>-6766.0899999999965</v>
      </c>
      <c r="H86" s="3">
        <f t="shared" si="3"/>
        <v>-50290.080000000016</v>
      </c>
    </row>
    <row r="87" spans="1:8" x14ac:dyDescent="0.2">
      <c r="A87" s="5">
        <v>256</v>
      </c>
      <c r="B87" s="5">
        <v>1</v>
      </c>
      <c r="C87" s="2" t="s">
        <v>81</v>
      </c>
      <c r="D87" s="2">
        <f>Shift10!D85-Shift11!D85</f>
        <v>-180496.20999999996</v>
      </c>
      <c r="E87" s="2">
        <f>Shift10!E85-Shift11!E85</f>
        <v>-194376.66999999993</v>
      </c>
      <c r="F87" s="2">
        <f t="shared" si="2"/>
        <v>-374872.87999999989</v>
      </c>
      <c r="G87" s="2">
        <f>Shift10!M85-Shift11!M85</f>
        <v>-11907.49000000002</v>
      </c>
      <c r="H87" s="3">
        <f t="shared" si="3"/>
        <v>-386780.36999999988</v>
      </c>
    </row>
    <row r="88" spans="1:8" x14ac:dyDescent="0.2">
      <c r="A88" s="5">
        <v>261</v>
      </c>
      <c r="B88" s="5">
        <v>1</v>
      </c>
      <c r="C88" s="2" t="s">
        <v>82</v>
      </c>
      <c r="D88" s="2">
        <f>Shift10!D86-Shift11!D86</f>
        <v>2295.8199999999997</v>
      </c>
      <c r="E88" s="2">
        <f>Shift10!E86-Shift11!E86</f>
        <v>0</v>
      </c>
      <c r="F88" s="2">
        <f t="shared" si="2"/>
        <v>2295.8199999999997</v>
      </c>
      <c r="G88" s="2">
        <f>Shift10!M86-Shift11!M86</f>
        <v>-108.75</v>
      </c>
      <c r="H88" s="3">
        <f t="shared" si="3"/>
        <v>2187.0699999999997</v>
      </c>
    </row>
    <row r="89" spans="1:8" x14ac:dyDescent="0.2">
      <c r="A89" s="5">
        <v>264</v>
      </c>
      <c r="B89" s="5">
        <v>1</v>
      </c>
      <c r="C89" s="2" t="s">
        <v>83</v>
      </c>
      <c r="D89" s="2">
        <f>Shift10!D87-Shift11!D87</f>
        <v>-20181.12</v>
      </c>
      <c r="E89" s="2">
        <f>Shift10!E87-Shift11!E87</f>
        <v>0</v>
      </c>
      <c r="F89" s="2">
        <f t="shared" si="2"/>
        <v>-20181.12</v>
      </c>
      <c r="G89" s="2">
        <f>Shift10!M87-Shift11!M87</f>
        <v>-183.94999999999891</v>
      </c>
      <c r="H89" s="3">
        <f t="shared" si="3"/>
        <v>-20365.07</v>
      </c>
    </row>
    <row r="90" spans="1:8" x14ac:dyDescent="0.2">
      <c r="A90" s="5">
        <v>270</v>
      </c>
      <c r="B90" s="5">
        <v>1</v>
      </c>
      <c r="C90" s="2" t="s">
        <v>84</v>
      </c>
      <c r="D90" s="2">
        <f>Shift10!D88-Shift11!D88</f>
        <v>43604.389999999665</v>
      </c>
      <c r="E90" s="2">
        <f>Shift10!E88-Shift11!E88</f>
        <v>-288396.30999999959</v>
      </c>
      <c r="F90" s="2">
        <f t="shared" si="2"/>
        <v>-244791.91999999993</v>
      </c>
      <c r="G90" s="2">
        <f>Shift10!M88-Shift11!M88</f>
        <v>-1583.6700000000419</v>
      </c>
      <c r="H90" s="3">
        <f t="shared" si="3"/>
        <v>-246375.58999999997</v>
      </c>
    </row>
    <row r="91" spans="1:8" x14ac:dyDescent="0.2">
      <c r="A91" s="5">
        <v>271</v>
      </c>
      <c r="B91" s="5">
        <v>1</v>
      </c>
      <c r="C91" s="2" t="s">
        <v>85</v>
      </c>
      <c r="D91" s="2">
        <f>Shift10!D89-Shift11!D89</f>
        <v>440746.48999999929</v>
      </c>
      <c r="E91" s="2">
        <f>Shift10!E89-Shift11!E89</f>
        <v>-729135.3200000003</v>
      </c>
      <c r="F91" s="2">
        <f t="shared" si="2"/>
        <v>-288388.83000000101</v>
      </c>
      <c r="G91" s="2">
        <f>Shift10!M89-Shift11!M89</f>
        <v>2719.8699999999953</v>
      </c>
      <c r="H91" s="3">
        <f t="shared" si="3"/>
        <v>-285668.96000000101</v>
      </c>
    </row>
    <row r="92" spans="1:8" x14ac:dyDescent="0.2">
      <c r="A92" s="5">
        <v>272</v>
      </c>
      <c r="B92" s="5">
        <v>1</v>
      </c>
      <c r="C92" s="2" t="s">
        <v>86</v>
      </c>
      <c r="D92" s="2">
        <f>Shift10!D90-Shift11!D90</f>
        <v>58033.259999999776</v>
      </c>
      <c r="E92" s="2">
        <f>Shift10!E90-Shift11!E90</f>
        <v>348088.75</v>
      </c>
      <c r="F92" s="2">
        <f t="shared" si="2"/>
        <v>406122.00999999978</v>
      </c>
      <c r="G92" s="2">
        <f>Shift10!M90-Shift11!M90</f>
        <v>-54615.969999999972</v>
      </c>
      <c r="H92" s="3">
        <f t="shared" si="3"/>
        <v>351506.0399999998</v>
      </c>
    </row>
    <row r="93" spans="1:8" x14ac:dyDescent="0.2">
      <c r="A93" s="5">
        <v>273</v>
      </c>
      <c r="B93" s="5">
        <v>1</v>
      </c>
      <c r="C93" s="2" t="s">
        <v>87</v>
      </c>
      <c r="D93" s="2">
        <f>Shift10!D91-Shift11!D91</f>
        <v>-2072261.8299999996</v>
      </c>
      <c r="E93" s="2">
        <f>Shift10!E91-Shift11!E91</f>
        <v>-418936.98999999976</v>
      </c>
      <c r="F93" s="2">
        <f t="shared" si="2"/>
        <v>-2491198.8199999994</v>
      </c>
      <c r="G93" s="2">
        <f>Shift10!M91-Shift11!M91</f>
        <v>-34488.429999999993</v>
      </c>
      <c r="H93" s="3">
        <f t="shared" si="3"/>
        <v>-2525687.2499999995</v>
      </c>
    </row>
    <row r="94" spans="1:8" x14ac:dyDescent="0.2">
      <c r="A94" s="5">
        <v>276</v>
      </c>
      <c r="B94" s="5">
        <v>1</v>
      </c>
      <c r="C94" s="2" t="s">
        <v>88</v>
      </c>
      <c r="D94" s="2">
        <f>Shift10!D92-Shift11!D92</f>
        <v>-9134.7399999992922</v>
      </c>
      <c r="E94" s="2">
        <f>Shift10!E92-Shift11!E92</f>
        <v>326346.28999999911</v>
      </c>
      <c r="F94" s="2">
        <f t="shared" si="2"/>
        <v>317211.54999999981</v>
      </c>
      <c r="G94" s="2">
        <f>Shift10!M92-Shift11!M92</f>
        <v>-2400.2600000000093</v>
      </c>
      <c r="H94" s="3">
        <f t="shared" si="3"/>
        <v>314811.2899999998</v>
      </c>
    </row>
    <row r="95" spans="1:8" x14ac:dyDescent="0.2">
      <c r="A95" s="5">
        <v>277</v>
      </c>
      <c r="B95" s="5">
        <v>1</v>
      </c>
      <c r="C95" s="2" t="s">
        <v>89</v>
      </c>
      <c r="D95" s="2">
        <f>Shift10!D93-Shift11!D93</f>
        <v>26754.130000000005</v>
      </c>
      <c r="E95" s="2">
        <f>Shift10!E93-Shift11!E93</f>
        <v>-96409.280000000261</v>
      </c>
      <c r="F95" s="2">
        <f t="shared" si="2"/>
        <v>-69655.150000000256</v>
      </c>
      <c r="G95" s="2">
        <f>Shift10!M93-Shift11!M93</f>
        <v>7726.3899999999849</v>
      </c>
      <c r="H95" s="3">
        <f t="shared" si="3"/>
        <v>-61928.760000000271</v>
      </c>
    </row>
    <row r="96" spans="1:8" x14ac:dyDescent="0.2">
      <c r="A96" s="5">
        <v>278</v>
      </c>
      <c r="B96" s="5">
        <v>1</v>
      </c>
      <c r="C96" s="2" t="s">
        <v>90</v>
      </c>
      <c r="D96" s="2">
        <f>Shift10!D94-Shift11!D94</f>
        <v>243641.30000000005</v>
      </c>
      <c r="E96" s="2">
        <f>Shift10!E94-Shift11!E94</f>
        <v>-213173.33000000007</v>
      </c>
      <c r="F96" s="2">
        <f t="shared" si="2"/>
        <v>30467.969999999972</v>
      </c>
      <c r="G96" s="2">
        <f>Shift10!M94-Shift11!M94</f>
        <v>-7798.1899999999878</v>
      </c>
      <c r="H96" s="3">
        <f t="shared" si="3"/>
        <v>22669.779999999984</v>
      </c>
    </row>
    <row r="97" spans="1:8" x14ac:dyDescent="0.2">
      <c r="A97" s="5">
        <v>279</v>
      </c>
      <c r="B97" s="5">
        <v>1</v>
      </c>
      <c r="C97" s="2" t="s">
        <v>91</v>
      </c>
      <c r="D97" s="2">
        <f>Shift10!D95-Shift11!D95</f>
        <v>511522.35000000056</v>
      </c>
      <c r="E97" s="2">
        <f>Shift10!E95-Shift11!E95</f>
        <v>-956983.3900000006</v>
      </c>
      <c r="F97" s="2">
        <f t="shared" si="2"/>
        <v>-445461.04000000004</v>
      </c>
      <c r="G97" s="2">
        <f>Shift10!M95-Shift11!M95</f>
        <v>43948.380000000005</v>
      </c>
      <c r="H97" s="3">
        <f t="shared" si="3"/>
        <v>-401512.66000000003</v>
      </c>
    </row>
    <row r="98" spans="1:8" x14ac:dyDescent="0.2">
      <c r="A98" s="5">
        <v>280</v>
      </c>
      <c r="B98" s="5">
        <v>1</v>
      </c>
      <c r="C98" s="2" t="s">
        <v>92</v>
      </c>
      <c r="D98" s="2">
        <f>Shift10!D96-Shift11!D96</f>
        <v>33749.069999999832</v>
      </c>
      <c r="E98" s="2">
        <f>Shift10!E96-Shift11!E96</f>
        <v>-36794.509999999776</v>
      </c>
      <c r="F98" s="2">
        <f t="shared" si="2"/>
        <v>-3045.4399999999441</v>
      </c>
      <c r="G98" s="2">
        <f>Shift10!M96-Shift11!M96</f>
        <v>-2769.0800000000163</v>
      </c>
      <c r="H98" s="3">
        <f t="shared" si="3"/>
        <v>-5814.5199999999604</v>
      </c>
    </row>
    <row r="99" spans="1:8" x14ac:dyDescent="0.2">
      <c r="A99" s="5">
        <v>281</v>
      </c>
      <c r="B99" s="5">
        <v>1</v>
      </c>
      <c r="C99" s="2" t="s">
        <v>93</v>
      </c>
      <c r="D99" s="2">
        <f>Shift10!D97-Shift11!D97</f>
        <v>1801312.3399999999</v>
      </c>
      <c r="E99" s="2">
        <f>Shift10!E97-Shift11!E97</f>
        <v>-1900188.3599999994</v>
      </c>
      <c r="F99" s="2">
        <f t="shared" si="2"/>
        <v>-98876.019999999553</v>
      </c>
      <c r="G99" s="2">
        <f>Shift10!M97-Shift11!M97</f>
        <v>-1875.6300000000047</v>
      </c>
      <c r="H99" s="3">
        <f t="shared" si="3"/>
        <v>-100751.64999999956</v>
      </c>
    </row>
    <row r="100" spans="1:8" x14ac:dyDescent="0.2">
      <c r="A100" s="5">
        <v>282</v>
      </c>
      <c r="B100" s="5">
        <v>1</v>
      </c>
      <c r="C100" s="2" t="s">
        <v>94</v>
      </c>
      <c r="D100" s="2">
        <f>Shift10!D98-Shift11!D98</f>
        <v>73216.020000000019</v>
      </c>
      <c r="E100" s="2">
        <f>Shift10!E98-Shift11!E98</f>
        <v>95786.030000000028</v>
      </c>
      <c r="F100" s="2">
        <f t="shared" si="2"/>
        <v>169002.05000000005</v>
      </c>
      <c r="G100" s="2">
        <f>Shift10!M98-Shift11!M98</f>
        <v>3545.4599999999919</v>
      </c>
      <c r="H100" s="3">
        <f t="shared" si="3"/>
        <v>172547.51000000004</v>
      </c>
    </row>
    <row r="101" spans="1:8" x14ac:dyDescent="0.2">
      <c r="A101" s="5">
        <v>283</v>
      </c>
      <c r="B101" s="5">
        <v>1</v>
      </c>
      <c r="C101" s="2" t="s">
        <v>95</v>
      </c>
      <c r="D101" s="2">
        <f>Shift10!D99-Shift11!D99</f>
        <v>-595165.4700000002</v>
      </c>
      <c r="E101" s="2">
        <f>Shift10!E99-Shift11!E99</f>
        <v>-141056.53000000026</v>
      </c>
      <c r="F101" s="2">
        <f t="shared" si="2"/>
        <v>-736222.00000000047</v>
      </c>
      <c r="G101" s="2">
        <f>Shift10!M99-Shift11!M99</f>
        <v>34948.77999999997</v>
      </c>
      <c r="H101" s="3">
        <f t="shared" si="3"/>
        <v>-701273.22000000044</v>
      </c>
    </row>
    <row r="102" spans="1:8" x14ac:dyDescent="0.2">
      <c r="A102" s="5">
        <v>284</v>
      </c>
      <c r="B102" s="5">
        <v>1</v>
      </c>
      <c r="C102" s="2" t="s">
        <v>96</v>
      </c>
      <c r="D102" s="2">
        <f>Shift10!D100-Shift11!D100</f>
        <v>-99220.379999999888</v>
      </c>
      <c r="E102" s="2">
        <f>Shift10!E100-Shift11!E100</f>
        <v>-492685.75</v>
      </c>
      <c r="F102" s="2">
        <f t="shared" si="2"/>
        <v>-591906.12999999989</v>
      </c>
      <c r="G102" s="2">
        <f>Shift10!M100-Shift11!M100</f>
        <v>41992.809999999939</v>
      </c>
      <c r="H102" s="3">
        <f t="shared" si="3"/>
        <v>-549913.31999999995</v>
      </c>
    </row>
    <row r="103" spans="1:8" x14ac:dyDescent="0.2">
      <c r="A103" s="5">
        <v>286</v>
      </c>
      <c r="B103" s="5">
        <v>1</v>
      </c>
      <c r="C103" s="2" t="s">
        <v>97</v>
      </c>
      <c r="D103" s="2">
        <f>Shift10!D101-Shift11!D101</f>
        <v>43886.890000000014</v>
      </c>
      <c r="E103" s="2">
        <f>Shift10!E101-Shift11!E101</f>
        <v>0</v>
      </c>
      <c r="F103" s="2">
        <f t="shared" si="2"/>
        <v>43886.890000000014</v>
      </c>
      <c r="G103" s="2">
        <f>Shift10!M101-Shift11!M101</f>
        <v>2169.2099999999919</v>
      </c>
      <c r="H103" s="3">
        <f t="shared" si="3"/>
        <v>46056.100000000006</v>
      </c>
    </row>
    <row r="104" spans="1:8" x14ac:dyDescent="0.2">
      <c r="A104" s="5">
        <v>294</v>
      </c>
      <c r="B104" s="5">
        <v>1</v>
      </c>
      <c r="C104" s="2" t="s">
        <v>98</v>
      </c>
      <c r="D104" s="2">
        <f>Shift10!D102-Shift11!D102</f>
        <v>-80931.63</v>
      </c>
      <c r="E104" s="2">
        <f>Shift10!E102-Shift11!E102</f>
        <v>10467.470000000001</v>
      </c>
      <c r="F104" s="2">
        <f t="shared" si="2"/>
        <v>-70464.160000000003</v>
      </c>
      <c r="G104" s="2">
        <f>Shift10!M102-Shift11!M102</f>
        <v>1924.0699999999997</v>
      </c>
      <c r="H104" s="3">
        <f t="shared" si="3"/>
        <v>-68540.09</v>
      </c>
    </row>
    <row r="105" spans="1:8" x14ac:dyDescent="0.2">
      <c r="A105" s="5">
        <v>297</v>
      </c>
      <c r="B105" s="5">
        <v>1</v>
      </c>
      <c r="C105" s="2" t="s">
        <v>99</v>
      </c>
      <c r="D105" s="2">
        <f>Shift10!D103-Shift11!D103</f>
        <v>7021.4099999999962</v>
      </c>
      <c r="E105" s="2">
        <f>Shift10!E103-Shift11!E103</f>
        <v>-2892.1799999999785</v>
      </c>
      <c r="F105" s="2">
        <f t="shared" si="2"/>
        <v>4129.2300000000178</v>
      </c>
      <c r="G105" s="2">
        <f>Shift10!M103-Shift11!M103</f>
        <v>-341.65999999999985</v>
      </c>
      <c r="H105" s="3">
        <f t="shared" si="3"/>
        <v>3787.5700000000179</v>
      </c>
    </row>
    <row r="106" spans="1:8" x14ac:dyDescent="0.2">
      <c r="A106" s="5">
        <v>299</v>
      </c>
      <c r="B106" s="5">
        <v>1</v>
      </c>
      <c r="C106" s="2" t="s">
        <v>100</v>
      </c>
      <c r="D106" s="2">
        <f>Shift10!D104-Shift11!D104</f>
        <v>-26269.809999999998</v>
      </c>
      <c r="E106" s="2">
        <f>Shift10!E104-Shift11!E104</f>
        <v>-1867.2199999999721</v>
      </c>
      <c r="F106" s="2">
        <f t="shared" si="2"/>
        <v>-28137.02999999997</v>
      </c>
      <c r="G106" s="2">
        <f>Shift10!M104-Shift11!M104</f>
        <v>2068.4199999999983</v>
      </c>
      <c r="H106" s="3">
        <f t="shared" si="3"/>
        <v>-26068.609999999971</v>
      </c>
    </row>
    <row r="107" spans="1:8" x14ac:dyDescent="0.2">
      <c r="A107" s="5">
        <v>300</v>
      </c>
      <c r="B107" s="5">
        <v>1</v>
      </c>
      <c r="C107" s="2" t="s">
        <v>101</v>
      </c>
      <c r="D107" s="2">
        <f>Shift10!D105-Shift11!D105</f>
        <v>3390.6199999999953</v>
      </c>
      <c r="E107" s="2">
        <f>Shift10!E105-Shift11!E105</f>
        <v>-22233.520000000019</v>
      </c>
      <c r="F107" s="2">
        <f t="shared" si="2"/>
        <v>-18842.900000000023</v>
      </c>
      <c r="G107" s="2">
        <f>Shift10!M105-Shift11!M105</f>
        <v>3156.570000000007</v>
      </c>
      <c r="H107" s="3">
        <f t="shared" si="3"/>
        <v>-15686.330000000016</v>
      </c>
    </row>
    <row r="108" spans="1:8" x14ac:dyDescent="0.2">
      <c r="A108" s="5">
        <v>306</v>
      </c>
      <c r="B108" s="5">
        <v>1</v>
      </c>
      <c r="C108" s="2" t="s">
        <v>102</v>
      </c>
      <c r="D108" s="2">
        <f>Shift10!D106-Shift11!D106</f>
        <v>-4501.8499999999913</v>
      </c>
      <c r="E108" s="2">
        <f>Shift10!E106-Shift11!E106</f>
        <v>0</v>
      </c>
      <c r="F108" s="2">
        <f t="shared" si="2"/>
        <v>-4501.8499999999913</v>
      </c>
      <c r="G108" s="2">
        <f>Shift10!M106-Shift11!M106</f>
        <v>-503.61000000000058</v>
      </c>
      <c r="H108" s="3">
        <f t="shared" si="3"/>
        <v>-5005.4599999999919</v>
      </c>
    </row>
    <row r="109" spans="1:8" x14ac:dyDescent="0.2">
      <c r="A109" s="5">
        <v>308</v>
      </c>
      <c r="B109" s="5">
        <v>1</v>
      </c>
      <c r="C109" s="2" t="s">
        <v>103</v>
      </c>
      <c r="D109" s="2">
        <f>Shift10!D107-Shift11!D107</f>
        <v>-1561.0499999999884</v>
      </c>
      <c r="E109" s="2">
        <f>Shift10!E107-Shift11!E107</f>
        <v>-904.16000000000349</v>
      </c>
      <c r="F109" s="2">
        <f t="shared" si="2"/>
        <v>-2465.2099999999919</v>
      </c>
      <c r="G109" s="2">
        <f>Shift10!M107-Shift11!M107</f>
        <v>2187.8899999999994</v>
      </c>
      <c r="H109" s="3">
        <f t="shared" si="3"/>
        <v>-277.31999999999243</v>
      </c>
    </row>
    <row r="110" spans="1:8" x14ac:dyDescent="0.2">
      <c r="A110" s="5">
        <v>309</v>
      </c>
      <c r="B110" s="5">
        <v>1</v>
      </c>
      <c r="C110" s="2" t="s">
        <v>104</v>
      </c>
      <c r="D110" s="2">
        <f>Shift10!D108-Shift11!D108</f>
        <v>-73325.799999999988</v>
      </c>
      <c r="E110" s="2">
        <f>Shift10!E108-Shift11!E108</f>
        <v>111685.71999999997</v>
      </c>
      <c r="F110" s="2">
        <f t="shared" si="2"/>
        <v>38359.919999999984</v>
      </c>
      <c r="G110" s="2">
        <f>Shift10!M108-Shift11!M108</f>
        <v>3149.5500000000029</v>
      </c>
      <c r="H110" s="3">
        <f t="shared" si="3"/>
        <v>41509.469999999987</v>
      </c>
    </row>
    <row r="111" spans="1:8" x14ac:dyDescent="0.2">
      <c r="A111" s="5">
        <v>314</v>
      </c>
      <c r="B111" s="5">
        <v>1</v>
      </c>
      <c r="C111" s="2" t="s">
        <v>105</v>
      </c>
      <c r="D111" s="2">
        <f>Shift10!D109-Shift11!D109</f>
        <v>17061.440000000002</v>
      </c>
      <c r="E111" s="2">
        <f>Shift10!E109-Shift11!E109</f>
        <v>21304.639999999999</v>
      </c>
      <c r="F111" s="2">
        <f t="shared" si="2"/>
        <v>38366.080000000002</v>
      </c>
      <c r="G111" s="2">
        <f>Shift10!M109-Shift11!M109</f>
        <v>4943.5399999999972</v>
      </c>
      <c r="H111" s="3">
        <f t="shared" si="3"/>
        <v>43309.619999999995</v>
      </c>
    </row>
    <row r="112" spans="1:8" x14ac:dyDescent="0.2">
      <c r="A112" s="5">
        <v>316</v>
      </c>
      <c r="B112" s="5">
        <v>1</v>
      </c>
      <c r="C112" s="2" t="s">
        <v>106</v>
      </c>
      <c r="D112" s="2">
        <f>Shift10!D110-Shift11!D110</f>
        <v>-32103.680000000008</v>
      </c>
      <c r="E112" s="2">
        <f>Shift10!E110-Shift11!E110</f>
        <v>0</v>
      </c>
      <c r="F112" s="2">
        <f t="shared" si="2"/>
        <v>-32103.680000000008</v>
      </c>
      <c r="G112" s="2">
        <f>Shift10!M110-Shift11!M110</f>
        <v>0</v>
      </c>
      <c r="H112" s="3">
        <f t="shared" si="3"/>
        <v>-32103.680000000008</v>
      </c>
    </row>
    <row r="113" spans="1:8" x14ac:dyDescent="0.2">
      <c r="A113" s="5">
        <v>317</v>
      </c>
      <c r="B113" s="5">
        <v>1</v>
      </c>
      <c r="C113" s="2" t="s">
        <v>107</v>
      </c>
      <c r="D113" s="2">
        <f>Shift10!D111-Shift11!D111</f>
        <v>-615.56000000000495</v>
      </c>
      <c r="E113" s="2">
        <f>Shift10!E111-Shift11!E111</f>
        <v>0</v>
      </c>
      <c r="F113" s="2">
        <f t="shared" si="2"/>
        <v>-615.56000000000495</v>
      </c>
      <c r="G113" s="2">
        <f>Shift10!M111-Shift11!M111</f>
        <v>0</v>
      </c>
      <c r="H113" s="3">
        <f t="shared" si="3"/>
        <v>-615.56000000000495</v>
      </c>
    </row>
    <row r="114" spans="1:8" x14ac:dyDescent="0.2">
      <c r="A114" s="5">
        <v>318</v>
      </c>
      <c r="B114" s="5">
        <v>1</v>
      </c>
      <c r="C114" s="2" t="s">
        <v>108</v>
      </c>
      <c r="D114" s="2">
        <f>Shift10!D112-Shift11!D112</f>
        <v>-120978.10000000009</v>
      </c>
      <c r="E114" s="2">
        <f>Shift10!E112-Shift11!E112</f>
        <v>0</v>
      </c>
      <c r="F114" s="2">
        <f t="shared" si="2"/>
        <v>-120978.10000000009</v>
      </c>
      <c r="G114" s="2">
        <f>Shift10!M112-Shift11!M112</f>
        <v>0</v>
      </c>
      <c r="H114" s="3">
        <f t="shared" si="3"/>
        <v>-120978.10000000009</v>
      </c>
    </row>
    <row r="115" spans="1:8" x14ac:dyDescent="0.2">
      <c r="A115" s="5">
        <v>319</v>
      </c>
      <c r="B115" s="5">
        <v>1</v>
      </c>
      <c r="C115" s="2" t="s">
        <v>109</v>
      </c>
      <c r="D115" s="2">
        <f>Shift10!D113-Shift11!D113</f>
        <v>105612.25999999998</v>
      </c>
      <c r="E115" s="2">
        <f>Shift10!E113-Shift11!E113</f>
        <v>291.20999999999185</v>
      </c>
      <c r="F115" s="2">
        <f t="shared" si="2"/>
        <v>105903.46999999997</v>
      </c>
      <c r="G115" s="2">
        <f>Shift10!M113-Shift11!M113</f>
        <v>0</v>
      </c>
      <c r="H115" s="3">
        <f t="shared" si="3"/>
        <v>105903.46999999997</v>
      </c>
    </row>
    <row r="116" spans="1:8" x14ac:dyDescent="0.2">
      <c r="A116" s="5">
        <v>323</v>
      </c>
      <c r="B116" s="5">
        <v>2</v>
      </c>
      <c r="C116" s="2" t="s">
        <v>110</v>
      </c>
      <c r="D116" s="2">
        <f>Shift10!D114-Shift11!D114</f>
        <v>1333.5599999999995</v>
      </c>
      <c r="E116" s="2">
        <f>Shift10!E114-Shift11!E114</f>
        <v>-1222.2200000000012</v>
      </c>
      <c r="F116" s="2">
        <f t="shared" si="2"/>
        <v>111.33999999999833</v>
      </c>
      <c r="G116" s="2">
        <f>Shift10!M114-Shift11!M114</f>
        <v>-1264.02</v>
      </c>
      <c r="H116" s="3">
        <f t="shared" si="3"/>
        <v>-1152.6800000000017</v>
      </c>
    </row>
    <row r="117" spans="1:8" x14ac:dyDescent="0.2">
      <c r="A117" s="5">
        <v>330</v>
      </c>
      <c r="B117" s="5">
        <v>1</v>
      </c>
      <c r="C117" s="2" t="s">
        <v>111</v>
      </c>
      <c r="D117" s="2">
        <f>Shift10!D115-Shift11!D115</f>
        <v>11599.159999999996</v>
      </c>
      <c r="E117" s="2">
        <f>Shift10!E115-Shift11!E115</f>
        <v>-12263.719999999972</v>
      </c>
      <c r="F117" s="2">
        <f t="shared" si="2"/>
        <v>-664.55999999997584</v>
      </c>
      <c r="G117" s="2">
        <f>Shift10!M115-Shift11!M115</f>
        <v>-1575.6100000000006</v>
      </c>
      <c r="H117" s="3">
        <f t="shared" si="3"/>
        <v>-2240.1699999999764</v>
      </c>
    </row>
    <row r="118" spans="1:8" x14ac:dyDescent="0.2">
      <c r="A118" s="5">
        <v>332</v>
      </c>
      <c r="B118" s="5">
        <v>1</v>
      </c>
      <c r="C118" s="2" t="s">
        <v>112</v>
      </c>
      <c r="D118" s="2">
        <f>Shift10!D116-Shift11!D116</f>
        <v>134595.32999999999</v>
      </c>
      <c r="E118" s="2">
        <f>Shift10!E116-Shift11!E116</f>
        <v>8071.0800000000017</v>
      </c>
      <c r="F118" s="2">
        <f t="shared" si="2"/>
        <v>142666.40999999997</v>
      </c>
      <c r="G118" s="2">
        <f>Shift10!M116-Shift11!M116</f>
        <v>10684.120000000003</v>
      </c>
      <c r="H118" s="3">
        <f t="shared" si="3"/>
        <v>153350.52999999997</v>
      </c>
    </row>
    <row r="119" spans="1:8" x14ac:dyDescent="0.2">
      <c r="A119" s="5">
        <v>333</v>
      </c>
      <c r="B119" s="5">
        <v>1</v>
      </c>
      <c r="C119" s="2" t="s">
        <v>113</v>
      </c>
      <c r="D119" s="2">
        <f>Shift10!D117-Shift11!D117</f>
        <v>22067.509999999995</v>
      </c>
      <c r="E119" s="2">
        <f>Shift10!E117-Shift11!E117</f>
        <v>0</v>
      </c>
      <c r="F119" s="2">
        <f t="shared" si="2"/>
        <v>22067.509999999995</v>
      </c>
      <c r="G119" s="2">
        <f>Shift10!M117-Shift11!M117</f>
        <v>2540.3199999999979</v>
      </c>
      <c r="H119" s="3">
        <f t="shared" si="3"/>
        <v>24607.829999999994</v>
      </c>
    </row>
    <row r="120" spans="1:8" x14ac:dyDescent="0.2">
      <c r="A120" s="5">
        <v>345</v>
      </c>
      <c r="B120" s="5">
        <v>1</v>
      </c>
      <c r="C120" s="2" t="s">
        <v>114</v>
      </c>
      <c r="D120" s="2">
        <f>Shift10!D118-Shift11!D118</f>
        <v>-277198.56</v>
      </c>
      <c r="E120" s="2">
        <f>Shift10!E118-Shift11!E118</f>
        <v>5960.640000000014</v>
      </c>
      <c r="F120" s="2">
        <f t="shared" si="2"/>
        <v>-271237.92</v>
      </c>
      <c r="G120" s="2">
        <f>Shift10!M118-Shift11!M118</f>
        <v>1286.9799999999959</v>
      </c>
      <c r="H120" s="3">
        <f t="shared" si="3"/>
        <v>-269950.94</v>
      </c>
    </row>
    <row r="121" spans="1:8" x14ac:dyDescent="0.2">
      <c r="A121" s="5">
        <v>347</v>
      </c>
      <c r="B121" s="5">
        <v>1</v>
      </c>
      <c r="C121" s="2" t="s">
        <v>115</v>
      </c>
      <c r="D121" s="2">
        <f>Shift10!D119-Shift11!D119</f>
        <v>-89454.390000000014</v>
      </c>
      <c r="E121" s="2">
        <f>Shift10!E119-Shift11!E119</f>
        <v>-10365.470000000205</v>
      </c>
      <c r="F121" s="2">
        <f t="shared" si="2"/>
        <v>-99819.860000000219</v>
      </c>
      <c r="G121" s="2">
        <f>Shift10!M119-Shift11!M119</f>
        <v>1362.4900000000198</v>
      </c>
      <c r="H121" s="3">
        <f t="shared" si="3"/>
        <v>-98457.370000000199</v>
      </c>
    </row>
    <row r="122" spans="1:8" x14ac:dyDescent="0.2">
      <c r="A122" s="5">
        <v>356</v>
      </c>
      <c r="B122" s="5">
        <v>1</v>
      </c>
      <c r="C122" s="2" t="s">
        <v>116</v>
      </c>
      <c r="D122" s="2">
        <f>Shift10!D120-Shift11!D120</f>
        <v>12341.17</v>
      </c>
      <c r="E122" s="2">
        <f>Shift10!E120-Shift11!E120</f>
        <v>21444.320000000007</v>
      </c>
      <c r="F122" s="2">
        <f t="shared" si="2"/>
        <v>33785.490000000005</v>
      </c>
      <c r="G122" s="2">
        <f>Shift10!M120-Shift11!M120</f>
        <v>-0.10999999999967258</v>
      </c>
      <c r="H122" s="3">
        <f t="shared" si="3"/>
        <v>33785.380000000005</v>
      </c>
    </row>
    <row r="123" spans="1:8" x14ac:dyDescent="0.2">
      <c r="A123" s="5">
        <v>361</v>
      </c>
      <c r="B123" s="5">
        <v>1</v>
      </c>
      <c r="C123" s="2" t="s">
        <v>117</v>
      </c>
      <c r="D123" s="2">
        <f>Shift10!D121-Shift11!D121</f>
        <v>110151.95000000001</v>
      </c>
      <c r="E123" s="2">
        <f>Shift10!E121-Shift11!E121</f>
        <v>2545.0800000000163</v>
      </c>
      <c r="F123" s="2">
        <f t="shared" si="2"/>
        <v>112697.03000000003</v>
      </c>
      <c r="G123" s="2">
        <f>Shift10!M121-Shift11!M121</f>
        <v>1052.4000000000015</v>
      </c>
      <c r="H123" s="3">
        <f t="shared" si="3"/>
        <v>113749.43000000002</v>
      </c>
    </row>
    <row r="124" spans="1:8" x14ac:dyDescent="0.2">
      <c r="A124" s="5">
        <v>362</v>
      </c>
      <c r="B124" s="5">
        <v>1</v>
      </c>
      <c r="C124" s="2" t="s">
        <v>118</v>
      </c>
      <c r="D124" s="2">
        <f>Shift10!D122-Shift11!D122</f>
        <v>20960.079999999994</v>
      </c>
      <c r="E124" s="2">
        <f>Shift10!E122-Shift11!E122</f>
        <v>54.45</v>
      </c>
      <c r="F124" s="2">
        <f t="shared" si="2"/>
        <v>21014.529999999995</v>
      </c>
      <c r="G124" s="2">
        <f>Shift10!M122-Shift11!M122</f>
        <v>973.68000000000029</v>
      </c>
      <c r="H124" s="3">
        <f t="shared" si="3"/>
        <v>21988.209999999995</v>
      </c>
    </row>
    <row r="125" spans="1:8" x14ac:dyDescent="0.2">
      <c r="A125" s="5">
        <v>363</v>
      </c>
      <c r="B125" s="5">
        <v>1</v>
      </c>
      <c r="C125" s="2" t="s">
        <v>119</v>
      </c>
      <c r="D125" s="2">
        <f>Shift10!D123-Shift11!D123</f>
        <v>-119772.93</v>
      </c>
      <c r="E125" s="2">
        <f>Shift10!E123-Shift11!E123</f>
        <v>1.3000000000000043</v>
      </c>
      <c r="F125" s="2">
        <f t="shared" si="2"/>
        <v>-119771.62999999999</v>
      </c>
      <c r="G125" s="2">
        <f>Shift10!M123-Shift11!M123</f>
        <v>853.14000000000124</v>
      </c>
      <c r="H125" s="3">
        <f t="shared" si="3"/>
        <v>-118918.48999999999</v>
      </c>
    </row>
    <row r="126" spans="1:8" x14ac:dyDescent="0.2">
      <c r="A126" s="5">
        <v>378</v>
      </c>
      <c r="B126" s="5">
        <v>1</v>
      </c>
      <c r="C126" s="2" t="s">
        <v>120</v>
      </c>
      <c r="D126" s="2">
        <f>Shift10!D124-Shift11!D124</f>
        <v>55195.100000000006</v>
      </c>
      <c r="E126" s="2">
        <f>Shift10!E124-Shift11!E124</f>
        <v>-41321.700000000004</v>
      </c>
      <c r="F126" s="2">
        <f t="shared" si="2"/>
        <v>13873.400000000001</v>
      </c>
      <c r="G126" s="2">
        <f>Shift10!M124-Shift11!M124</f>
        <v>541.68999999999869</v>
      </c>
      <c r="H126" s="3">
        <f t="shared" si="3"/>
        <v>14415.09</v>
      </c>
    </row>
    <row r="127" spans="1:8" x14ac:dyDescent="0.2">
      <c r="A127" s="5">
        <v>381</v>
      </c>
      <c r="B127" s="5">
        <v>1</v>
      </c>
      <c r="C127" s="2" t="s">
        <v>121</v>
      </c>
      <c r="D127" s="2">
        <f>Shift10!D125-Shift11!D125</f>
        <v>-91989.889999999985</v>
      </c>
      <c r="E127" s="2">
        <f>Shift10!E125-Shift11!E125</f>
        <v>0</v>
      </c>
      <c r="F127" s="2">
        <f t="shared" si="2"/>
        <v>-91989.889999999985</v>
      </c>
      <c r="G127" s="2">
        <f>Shift10!M125-Shift11!M125</f>
        <v>0</v>
      </c>
      <c r="H127" s="3">
        <f t="shared" si="3"/>
        <v>-91989.889999999985</v>
      </c>
    </row>
    <row r="128" spans="1:8" x14ac:dyDescent="0.2">
      <c r="A128" s="5">
        <v>390</v>
      </c>
      <c r="B128" s="5">
        <v>1</v>
      </c>
      <c r="C128" s="2" t="s">
        <v>122</v>
      </c>
      <c r="D128" s="2">
        <f>Shift10!D126-Shift11!D126</f>
        <v>9880.8300000000163</v>
      </c>
      <c r="E128" s="2">
        <f>Shift10!E126-Shift11!E126</f>
        <v>3782.4400000000023</v>
      </c>
      <c r="F128" s="2">
        <f t="shared" si="2"/>
        <v>13663.270000000019</v>
      </c>
      <c r="G128" s="2">
        <f>Shift10!M126-Shift11!M126</f>
        <v>4009.6800000000003</v>
      </c>
      <c r="H128" s="3">
        <f t="shared" si="3"/>
        <v>17672.950000000019</v>
      </c>
    </row>
    <row r="129" spans="1:8" x14ac:dyDescent="0.2">
      <c r="A129" s="5">
        <v>391</v>
      </c>
      <c r="B129" s="5">
        <v>1</v>
      </c>
      <c r="C129" s="2" t="s">
        <v>123</v>
      </c>
      <c r="D129" s="2">
        <f>Shift10!D127-Shift11!D127</f>
        <v>61666.920000000013</v>
      </c>
      <c r="E129" s="2">
        <f>Shift10!E127-Shift11!E127</f>
        <v>-60001.73000000001</v>
      </c>
      <c r="F129" s="2">
        <f t="shared" si="2"/>
        <v>1665.1900000000023</v>
      </c>
      <c r="G129" s="2">
        <f>Shift10!M127-Shift11!M127</f>
        <v>-878.49999999999818</v>
      </c>
      <c r="H129" s="3">
        <f t="shared" si="3"/>
        <v>786.69000000000415</v>
      </c>
    </row>
    <row r="130" spans="1:8" x14ac:dyDescent="0.2">
      <c r="A130" s="5">
        <v>392</v>
      </c>
      <c r="B130" s="5">
        <v>1</v>
      </c>
      <c r="C130" s="2" t="s">
        <v>124</v>
      </c>
      <c r="D130" s="2">
        <f>Shift10!D128-Shift11!D128</f>
        <v>39665.69</v>
      </c>
      <c r="E130" s="2">
        <f>Shift10!E128-Shift11!E128</f>
        <v>6541.070000000007</v>
      </c>
      <c r="F130" s="2">
        <f t="shared" si="2"/>
        <v>46206.760000000009</v>
      </c>
      <c r="G130" s="2">
        <f>Shift10!M128-Shift11!M128</f>
        <v>9654.6500000000015</v>
      </c>
      <c r="H130" s="3">
        <f t="shared" si="3"/>
        <v>55861.410000000011</v>
      </c>
    </row>
    <row r="131" spans="1:8" x14ac:dyDescent="0.2">
      <c r="A131" s="5">
        <v>394</v>
      </c>
      <c r="B131" s="5">
        <v>1</v>
      </c>
      <c r="C131" s="2" t="s">
        <v>125</v>
      </c>
      <c r="D131" s="2">
        <f>Shift10!D129-Shift11!D129</f>
        <v>21929.800000000047</v>
      </c>
      <c r="E131" s="2">
        <f>Shift10!E129-Shift11!E129</f>
        <v>3181.6100000000442</v>
      </c>
      <c r="F131" s="2">
        <f t="shared" si="2"/>
        <v>25111.410000000091</v>
      </c>
      <c r="G131" s="2">
        <f>Shift10!M129-Shift11!M129</f>
        <v>-2516.6200000000026</v>
      </c>
      <c r="H131" s="3">
        <f t="shared" si="3"/>
        <v>22594.790000000088</v>
      </c>
    </row>
    <row r="132" spans="1:8" x14ac:dyDescent="0.2">
      <c r="A132" s="5">
        <v>402</v>
      </c>
      <c r="B132" s="5">
        <v>1</v>
      </c>
      <c r="C132" s="2" t="s">
        <v>126</v>
      </c>
      <c r="D132" s="2">
        <f>Shift10!D130-Shift11!D130</f>
        <v>-61966.91</v>
      </c>
      <c r="E132" s="2">
        <f>Shift10!E130-Shift11!E130</f>
        <v>-787.16999999999825</v>
      </c>
      <c r="F132" s="2">
        <f t="shared" si="2"/>
        <v>-62754.080000000002</v>
      </c>
      <c r="G132" s="2">
        <f>Shift10!M130-Shift11!M130</f>
        <v>2899.49</v>
      </c>
      <c r="H132" s="3">
        <f t="shared" si="3"/>
        <v>-59854.590000000004</v>
      </c>
    </row>
    <row r="133" spans="1:8" x14ac:dyDescent="0.2">
      <c r="A133" s="5">
        <v>403</v>
      </c>
      <c r="B133" s="5">
        <v>1</v>
      </c>
      <c r="C133" s="2" t="s">
        <v>127</v>
      </c>
      <c r="D133" s="2">
        <f>Shift10!D131-Shift11!D131</f>
        <v>67253.179999999993</v>
      </c>
      <c r="E133" s="2">
        <f>Shift10!E131-Shift11!E131</f>
        <v>-2010.2200000000012</v>
      </c>
      <c r="F133" s="2">
        <f t="shared" si="2"/>
        <v>65242.959999999992</v>
      </c>
      <c r="G133" s="2">
        <f>Shift10!M131-Shift11!M131</f>
        <v>655.07999999999993</v>
      </c>
      <c r="H133" s="3">
        <f t="shared" si="3"/>
        <v>65898.039999999994</v>
      </c>
    </row>
    <row r="134" spans="1:8" x14ac:dyDescent="0.2">
      <c r="A134" s="5">
        <v>404</v>
      </c>
      <c r="B134" s="5">
        <v>1</v>
      </c>
      <c r="C134" s="2" t="s">
        <v>128</v>
      </c>
      <c r="D134" s="2">
        <f>Shift10!D132-Shift11!D132</f>
        <v>-1089.2099999999991</v>
      </c>
      <c r="E134" s="2">
        <f>Shift10!E132-Shift11!E132</f>
        <v>-1944.4599999999919</v>
      </c>
      <c r="F134" s="2">
        <f>D134+E134</f>
        <v>-3033.669999999991</v>
      </c>
      <c r="G134" s="2">
        <f>Shift10!M132-Shift11!M132</f>
        <v>900.42000000000007</v>
      </c>
      <c r="H134" s="3">
        <f t="shared" si="3"/>
        <v>-2133.2499999999909</v>
      </c>
    </row>
    <row r="135" spans="1:8" x14ac:dyDescent="0.2">
      <c r="A135" s="5">
        <v>413</v>
      </c>
      <c r="B135" s="5">
        <v>1</v>
      </c>
      <c r="C135" s="2" t="s">
        <v>129</v>
      </c>
      <c r="D135" s="2">
        <f>Shift10!D133-Shift11!D133</f>
        <v>-20920.560000000056</v>
      </c>
      <c r="E135" s="2">
        <f>Shift10!E133-Shift11!E133</f>
        <v>3862.7300000000978</v>
      </c>
      <c r="F135" s="2">
        <f t="shared" si="2"/>
        <v>-17057.829999999958</v>
      </c>
      <c r="G135" s="2">
        <f>Shift10!M133-Shift11!M133</f>
        <v>-9117.8500000000058</v>
      </c>
      <c r="H135" s="3">
        <f t="shared" si="3"/>
        <v>-26175.679999999964</v>
      </c>
    </row>
    <row r="136" spans="1:8" x14ac:dyDescent="0.2">
      <c r="A136" s="5">
        <v>414</v>
      </c>
      <c r="B136" s="5">
        <v>1</v>
      </c>
      <c r="C136" s="2" t="s">
        <v>130</v>
      </c>
      <c r="D136" s="2">
        <f>Shift10!D134-Shift11!D134</f>
        <v>53751.010000000009</v>
      </c>
      <c r="E136" s="2">
        <f>Shift10!E134-Shift11!E134</f>
        <v>-127.82000000000698</v>
      </c>
      <c r="F136" s="2">
        <f t="shared" ref="F136:F198" si="4">D136+E136</f>
        <v>53623.19</v>
      </c>
      <c r="G136" s="2">
        <f>Shift10!M134-Shift11!M134</f>
        <v>-2356.1299999999992</v>
      </c>
      <c r="H136" s="3">
        <f t="shared" ref="H136:H198" si="5">SUM(F136:G136)</f>
        <v>51267.060000000005</v>
      </c>
    </row>
    <row r="137" spans="1:8" x14ac:dyDescent="0.2">
      <c r="A137" s="5">
        <v>415</v>
      </c>
      <c r="B137" s="5">
        <v>1</v>
      </c>
      <c r="C137" s="2" t="s">
        <v>131</v>
      </c>
      <c r="D137" s="2">
        <f>Shift10!D135-Shift11!D135</f>
        <v>-12009.059999999998</v>
      </c>
      <c r="E137" s="2">
        <f>Shift10!E135-Shift11!E135</f>
        <v>-18998.709999999992</v>
      </c>
      <c r="F137" s="2">
        <f t="shared" si="4"/>
        <v>-31007.76999999999</v>
      </c>
      <c r="G137" s="2">
        <f>Shift10!M135-Shift11!M135</f>
        <v>-6049.2400000000016</v>
      </c>
      <c r="H137" s="3">
        <f t="shared" si="5"/>
        <v>-37057.009999999995</v>
      </c>
    </row>
    <row r="138" spans="1:8" x14ac:dyDescent="0.2">
      <c r="A138" s="5">
        <v>423</v>
      </c>
      <c r="B138" s="5">
        <v>1</v>
      </c>
      <c r="C138" s="2" t="s">
        <v>132</v>
      </c>
      <c r="D138" s="2">
        <f>Shift10!D136-Shift11!D136</f>
        <v>59068.910000000033</v>
      </c>
      <c r="E138" s="2">
        <f>Shift10!E136-Shift11!E136</f>
        <v>63016.510000000009</v>
      </c>
      <c r="F138" s="2">
        <f t="shared" si="4"/>
        <v>122085.42000000004</v>
      </c>
      <c r="G138" s="2">
        <f>Shift10!M136-Shift11!M136</f>
        <v>1551.429999999993</v>
      </c>
      <c r="H138" s="3">
        <f t="shared" si="5"/>
        <v>123636.85000000003</v>
      </c>
    </row>
    <row r="139" spans="1:8" x14ac:dyDescent="0.2">
      <c r="A139" s="5">
        <v>424</v>
      </c>
      <c r="B139" s="5">
        <v>1</v>
      </c>
      <c r="C139" s="2" t="s">
        <v>133</v>
      </c>
      <c r="D139" s="2">
        <f>Shift10!D137-Shift11!D137</f>
        <v>-371.77000000000407</v>
      </c>
      <c r="E139" s="2">
        <f>Shift10!E137-Shift11!E137</f>
        <v>18984.760000000009</v>
      </c>
      <c r="F139" s="2">
        <f t="shared" si="4"/>
        <v>18612.990000000005</v>
      </c>
      <c r="G139" s="2">
        <f>Shift10!M137-Shift11!M137</f>
        <v>-63.699999999998909</v>
      </c>
      <c r="H139" s="3">
        <f t="shared" si="5"/>
        <v>18549.290000000008</v>
      </c>
    </row>
    <row r="140" spans="1:8" x14ac:dyDescent="0.2">
      <c r="A140" s="5">
        <v>432</v>
      </c>
      <c r="B140" s="5">
        <v>1</v>
      </c>
      <c r="C140" s="2" t="s">
        <v>134</v>
      </c>
      <c r="D140" s="2">
        <f>Shift10!D138-Shift11!D138</f>
        <v>-5929.9499999999971</v>
      </c>
      <c r="E140" s="2">
        <f>Shift10!E138-Shift11!E138</f>
        <v>0</v>
      </c>
      <c r="F140" s="2">
        <f t="shared" si="4"/>
        <v>-5929.9499999999971</v>
      </c>
      <c r="G140" s="2">
        <f>Shift10!M138-Shift11!M138</f>
        <v>1482.7000000000007</v>
      </c>
      <c r="H140" s="3">
        <f t="shared" si="5"/>
        <v>-4447.2499999999964</v>
      </c>
    </row>
    <row r="141" spans="1:8" x14ac:dyDescent="0.2">
      <c r="A141" s="5">
        <v>435</v>
      </c>
      <c r="B141" s="5">
        <v>1</v>
      </c>
      <c r="C141" s="2" t="s">
        <v>135</v>
      </c>
      <c r="D141" s="2">
        <f>Shift10!D139-Shift11!D139</f>
        <v>-13434.199999999997</v>
      </c>
      <c r="E141" s="2">
        <f>Shift10!E139-Shift11!E139</f>
        <v>0</v>
      </c>
      <c r="F141" s="2">
        <f t="shared" si="4"/>
        <v>-13434.199999999997</v>
      </c>
      <c r="G141" s="2">
        <f>Shift10!M139-Shift11!M139</f>
        <v>362.92999999999847</v>
      </c>
      <c r="H141" s="3">
        <f t="shared" si="5"/>
        <v>-13071.269999999999</v>
      </c>
    </row>
    <row r="142" spans="1:8" x14ac:dyDescent="0.2">
      <c r="A142" s="5">
        <v>441</v>
      </c>
      <c r="B142" s="5">
        <v>1</v>
      </c>
      <c r="C142" s="2" t="s">
        <v>136</v>
      </c>
      <c r="D142" s="2">
        <f>Shift10!D140-Shift11!D140</f>
        <v>-5013.0800000000017</v>
      </c>
      <c r="E142" s="2">
        <f>Shift10!E140-Shift11!E140</f>
        <v>-176370.86</v>
      </c>
      <c r="F142" s="2">
        <f t="shared" si="4"/>
        <v>-181383.94</v>
      </c>
      <c r="G142" s="2">
        <f>Shift10!M140-Shift11!M140</f>
        <v>2032.4500000000007</v>
      </c>
      <c r="H142" s="3">
        <f t="shared" si="5"/>
        <v>-179351.49</v>
      </c>
    </row>
    <row r="143" spans="1:8" x14ac:dyDescent="0.2">
      <c r="A143" s="5">
        <v>447</v>
      </c>
      <c r="B143" s="5">
        <v>1</v>
      </c>
      <c r="C143" s="2" t="s">
        <v>137</v>
      </c>
      <c r="D143" s="2">
        <f>Shift10!D141-Shift11!D141</f>
        <v>979.93000000000029</v>
      </c>
      <c r="E143" s="2">
        <f>Shift10!E141-Shift11!E141</f>
        <v>-29035.77</v>
      </c>
      <c r="F143" s="2">
        <f t="shared" si="4"/>
        <v>-28055.84</v>
      </c>
      <c r="G143" s="2">
        <f>Shift10!M141-Shift11!M141</f>
        <v>-81.160000000000764</v>
      </c>
      <c r="H143" s="3">
        <f t="shared" si="5"/>
        <v>-28137</v>
      </c>
    </row>
    <row r="144" spans="1:8" x14ac:dyDescent="0.2">
      <c r="A144" s="5">
        <v>458</v>
      </c>
      <c r="B144" s="5">
        <v>1</v>
      </c>
      <c r="C144" s="2" t="s">
        <v>138</v>
      </c>
      <c r="D144" s="2">
        <f>Shift10!D142-Shift11!D142</f>
        <v>-15072.82</v>
      </c>
      <c r="E144" s="2">
        <f>Shift10!E142-Shift11!E142</f>
        <v>37949.450000000012</v>
      </c>
      <c r="F144" s="2">
        <f t="shared" si="4"/>
        <v>22876.630000000012</v>
      </c>
      <c r="G144" s="2">
        <f>Shift10!M142-Shift11!M142</f>
        <v>759.57999999999811</v>
      </c>
      <c r="H144" s="3">
        <f t="shared" si="5"/>
        <v>23636.21000000001</v>
      </c>
    </row>
    <row r="145" spans="1:8" x14ac:dyDescent="0.2">
      <c r="A145" s="5">
        <v>463</v>
      </c>
      <c r="B145" s="5">
        <v>1</v>
      </c>
      <c r="C145" s="2" t="s">
        <v>139</v>
      </c>
      <c r="D145" s="2">
        <f>Shift10!D143-Shift11!D143</f>
        <v>-7938.0399999999936</v>
      </c>
      <c r="E145" s="2">
        <f>Shift10!E143-Shift11!E143</f>
        <v>-3741.7300000000396</v>
      </c>
      <c r="F145" s="2">
        <f t="shared" si="4"/>
        <v>-11679.770000000033</v>
      </c>
      <c r="G145" s="2">
        <f>Shift10!M143-Shift11!M143</f>
        <v>-1562.6699999999983</v>
      </c>
      <c r="H145" s="3">
        <f t="shared" si="5"/>
        <v>-13242.440000000031</v>
      </c>
    </row>
    <row r="146" spans="1:8" x14ac:dyDescent="0.2">
      <c r="A146" s="5">
        <v>465</v>
      </c>
      <c r="B146" s="5">
        <v>1</v>
      </c>
      <c r="C146" s="2" t="s">
        <v>140</v>
      </c>
      <c r="D146" s="2">
        <f>Shift10!D144-Shift11!D144</f>
        <v>55241.669999999984</v>
      </c>
      <c r="E146" s="2">
        <f>Shift10!E144-Shift11!E144</f>
        <v>3257.179999999993</v>
      </c>
      <c r="F146" s="2">
        <f t="shared" si="4"/>
        <v>58498.849999999977</v>
      </c>
      <c r="G146" s="2">
        <f>Shift10!M144-Shift11!M144</f>
        <v>-617.61999999999534</v>
      </c>
      <c r="H146" s="3">
        <f t="shared" si="5"/>
        <v>57881.229999999981</v>
      </c>
    </row>
    <row r="147" spans="1:8" x14ac:dyDescent="0.2">
      <c r="A147" s="5">
        <v>466</v>
      </c>
      <c r="B147" s="5">
        <v>1</v>
      </c>
      <c r="C147" s="2" t="s">
        <v>141</v>
      </c>
      <c r="D147" s="2">
        <f>Shift10!D145-Shift11!D145</f>
        <v>26334.039999999979</v>
      </c>
      <c r="E147" s="2">
        <f>Shift10!E145-Shift11!E145</f>
        <v>2358.8299999999581</v>
      </c>
      <c r="F147" s="2">
        <f t="shared" si="4"/>
        <v>28692.869999999937</v>
      </c>
      <c r="G147" s="2">
        <f>Shift10!M145-Shift11!M145</f>
        <v>3666.2700000000041</v>
      </c>
      <c r="H147" s="3">
        <f t="shared" si="5"/>
        <v>32359.139999999941</v>
      </c>
    </row>
    <row r="148" spans="1:8" x14ac:dyDescent="0.2">
      <c r="A148" s="5">
        <v>473</v>
      </c>
      <c r="B148" s="5">
        <v>1</v>
      </c>
      <c r="C148" s="2" t="s">
        <v>142</v>
      </c>
      <c r="D148" s="2">
        <f>Shift10!D146-Shift11!D146</f>
        <v>-2825.6300000000047</v>
      </c>
      <c r="E148" s="2">
        <f>Shift10!E146-Shift11!E146</f>
        <v>0</v>
      </c>
      <c r="F148" s="2">
        <f t="shared" si="4"/>
        <v>-2825.6300000000047</v>
      </c>
      <c r="G148" s="2">
        <f>Shift10!M146-Shift11!M146</f>
        <v>-154.27999999999884</v>
      </c>
      <c r="H148" s="3">
        <f t="shared" si="5"/>
        <v>-2979.9100000000035</v>
      </c>
    </row>
    <row r="149" spans="1:8" x14ac:dyDescent="0.2">
      <c r="A149" s="5">
        <v>477</v>
      </c>
      <c r="B149" s="5">
        <v>1</v>
      </c>
      <c r="C149" s="2" t="s">
        <v>143</v>
      </c>
      <c r="D149" s="2">
        <f>Shift10!D147-Shift11!D147</f>
        <v>81029.429999999935</v>
      </c>
      <c r="E149" s="2">
        <f>Shift10!E147-Shift11!E147</f>
        <v>42677.359999999986</v>
      </c>
      <c r="F149" s="2">
        <f t="shared" si="4"/>
        <v>123706.78999999992</v>
      </c>
      <c r="G149" s="2">
        <f>Shift10!M147-Shift11!M147</f>
        <v>11982.550000000003</v>
      </c>
      <c r="H149" s="3">
        <f t="shared" si="5"/>
        <v>135689.33999999991</v>
      </c>
    </row>
    <row r="150" spans="1:8" x14ac:dyDescent="0.2">
      <c r="A150" s="5">
        <v>480</v>
      </c>
      <c r="B150" s="5">
        <v>1</v>
      </c>
      <c r="C150" s="2" t="s">
        <v>144</v>
      </c>
      <c r="D150" s="2">
        <f>Shift10!D148-Shift11!D148</f>
        <v>-406981.6</v>
      </c>
      <c r="E150" s="2">
        <f>Shift10!E148-Shift11!E148</f>
        <v>13746.420000000013</v>
      </c>
      <c r="F150" s="2">
        <f t="shared" si="4"/>
        <v>-393235.17999999993</v>
      </c>
      <c r="G150" s="2">
        <f>Shift10!M148-Shift11!M148</f>
        <v>-1865.9400000000023</v>
      </c>
      <c r="H150" s="3">
        <f t="shared" si="5"/>
        <v>-395101.11999999994</v>
      </c>
    </row>
    <row r="151" spans="1:8" x14ac:dyDescent="0.2">
      <c r="A151" s="5">
        <v>482</v>
      </c>
      <c r="B151" s="5">
        <v>1</v>
      </c>
      <c r="C151" s="2" t="s">
        <v>145</v>
      </c>
      <c r="D151" s="2">
        <f>Shift10!D149-Shift11!D149</f>
        <v>-125785.37</v>
      </c>
      <c r="E151" s="2">
        <f>Shift10!E149-Shift11!E149</f>
        <v>32832.920000000042</v>
      </c>
      <c r="F151" s="2">
        <f t="shared" si="4"/>
        <v>-92952.449999999953</v>
      </c>
      <c r="G151" s="2">
        <f>Shift10!M149-Shift11!M149</f>
        <v>16404.930000000008</v>
      </c>
      <c r="H151" s="3">
        <f t="shared" si="5"/>
        <v>-76547.519999999946</v>
      </c>
    </row>
    <row r="152" spans="1:8" x14ac:dyDescent="0.2">
      <c r="A152" s="5">
        <v>484</v>
      </c>
      <c r="B152" s="5">
        <v>1</v>
      </c>
      <c r="C152" s="2" t="s">
        <v>146</v>
      </c>
      <c r="D152" s="2">
        <f>Shift10!D150-Shift11!D150</f>
        <v>-11911.410000000003</v>
      </c>
      <c r="E152" s="2">
        <f>Shift10!E150-Shift11!E150</f>
        <v>1721.25</v>
      </c>
      <c r="F152" s="2">
        <f t="shared" si="4"/>
        <v>-10190.160000000003</v>
      </c>
      <c r="G152" s="2">
        <f>Shift10!M150-Shift11!M150</f>
        <v>-3380.8899999999994</v>
      </c>
      <c r="H152" s="3">
        <f t="shared" si="5"/>
        <v>-13571.050000000003</v>
      </c>
    </row>
    <row r="153" spans="1:8" x14ac:dyDescent="0.2">
      <c r="A153" s="5">
        <v>485</v>
      </c>
      <c r="B153" s="5">
        <v>1</v>
      </c>
      <c r="C153" s="2" t="s">
        <v>147</v>
      </c>
      <c r="D153" s="2">
        <f>Shift10!D151-Shift11!D151</f>
        <v>102.66000000000349</v>
      </c>
      <c r="E153" s="2">
        <f>Shift10!E151-Shift11!E151</f>
        <v>0</v>
      </c>
      <c r="F153" s="2">
        <f t="shared" si="4"/>
        <v>102.66000000000349</v>
      </c>
      <c r="G153" s="2">
        <f>Shift10!M151-Shift11!M151</f>
        <v>206.33000000000175</v>
      </c>
      <c r="H153" s="3">
        <f t="shared" si="5"/>
        <v>308.99000000000524</v>
      </c>
    </row>
    <row r="154" spans="1:8" x14ac:dyDescent="0.2">
      <c r="A154" s="5">
        <v>486</v>
      </c>
      <c r="B154" s="5">
        <v>1</v>
      </c>
      <c r="C154" s="2" t="s">
        <v>148</v>
      </c>
      <c r="D154" s="2">
        <f>Shift10!D152-Shift11!D152</f>
        <v>-21419.240000000005</v>
      </c>
      <c r="E154" s="2">
        <f>Shift10!E152-Shift11!E152</f>
        <v>-6751.5800000000017</v>
      </c>
      <c r="F154" s="2">
        <f t="shared" si="4"/>
        <v>-28170.820000000007</v>
      </c>
      <c r="G154" s="2">
        <f>Shift10!M152-Shift11!M152</f>
        <v>-385.54999999999927</v>
      </c>
      <c r="H154" s="3">
        <f t="shared" si="5"/>
        <v>-28556.370000000006</v>
      </c>
    </row>
    <row r="155" spans="1:8" x14ac:dyDescent="0.2">
      <c r="A155" s="5">
        <v>487</v>
      </c>
      <c r="B155" s="5">
        <v>1</v>
      </c>
      <c r="C155" s="2" t="s">
        <v>149</v>
      </c>
      <c r="D155" s="2">
        <f>Shift10!D153-Shift11!D153</f>
        <v>-34969.449999999997</v>
      </c>
      <c r="E155" s="2">
        <f>Shift10!E153-Shift11!E153</f>
        <v>-58985.490000000005</v>
      </c>
      <c r="F155" s="2">
        <f t="shared" si="4"/>
        <v>-93954.94</v>
      </c>
      <c r="G155" s="2">
        <f>Shift10!M153-Shift11!M153</f>
        <v>1454.71</v>
      </c>
      <c r="H155" s="3">
        <f t="shared" si="5"/>
        <v>-92500.23</v>
      </c>
    </row>
    <row r="156" spans="1:8" x14ac:dyDescent="0.2">
      <c r="A156" s="5">
        <v>492</v>
      </c>
      <c r="B156" s="5">
        <v>1</v>
      </c>
      <c r="C156" s="2" t="s">
        <v>150</v>
      </c>
      <c r="D156" s="2">
        <f>Shift10!D154-Shift11!D154</f>
        <v>-200553.04000000004</v>
      </c>
      <c r="E156" s="2">
        <f>Shift10!E154-Shift11!E154</f>
        <v>1370.8099999999395</v>
      </c>
      <c r="F156" s="2">
        <f t="shared" si="4"/>
        <v>-199182.2300000001</v>
      </c>
      <c r="G156" s="2">
        <f>Shift10!M154-Shift11!M154</f>
        <v>35832.300000000003</v>
      </c>
      <c r="H156" s="3">
        <f t="shared" si="5"/>
        <v>-163349.93000000011</v>
      </c>
    </row>
    <row r="157" spans="1:8" x14ac:dyDescent="0.2">
      <c r="A157" s="5">
        <v>495</v>
      </c>
      <c r="B157" s="5">
        <v>1</v>
      </c>
      <c r="C157" s="2" t="s">
        <v>151</v>
      </c>
      <c r="D157" s="2">
        <f>Shift10!D155-Shift11!D155</f>
        <v>-14270.399999999994</v>
      </c>
      <c r="E157" s="2">
        <f>Shift10!E155-Shift11!E155</f>
        <v>-7948.5299999999988</v>
      </c>
      <c r="F157" s="2">
        <f t="shared" si="4"/>
        <v>-22218.929999999993</v>
      </c>
      <c r="G157" s="2">
        <f>Shift10!M155-Shift11!M155</f>
        <v>-1026.4300000000021</v>
      </c>
      <c r="H157" s="3">
        <f t="shared" si="5"/>
        <v>-23245.359999999993</v>
      </c>
    </row>
    <row r="158" spans="1:8" x14ac:dyDescent="0.2">
      <c r="A158" s="5">
        <v>497</v>
      </c>
      <c r="B158" s="5">
        <v>1</v>
      </c>
      <c r="C158" s="2" t="s">
        <v>152</v>
      </c>
      <c r="D158" s="2">
        <f>Shift10!D156-Shift11!D156</f>
        <v>-23661.880000000005</v>
      </c>
      <c r="E158" s="2">
        <f>Shift10!E156-Shift11!E156</f>
        <v>0</v>
      </c>
      <c r="F158" s="2">
        <f t="shared" si="4"/>
        <v>-23661.880000000005</v>
      </c>
      <c r="G158" s="2">
        <f>Shift10!M156-Shift11!M156</f>
        <v>-2110.2100000000009</v>
      </c>
      <c r="H158" s="3">
        <f t="shared" si="5"/>
        <v>-25772.090000000004</v>
      </c>
    </row>
    <row r="159" spans="1:8" x14ac:dyDescent="0.2">
      <c r="A159" s="5">
        <v>499</v>
      </c>
      <c r="B159" s="5">
        <v>1</v>
      </c>
      <c r="C159" s="2" t="s">
        <v>153</v>
      </c>
      <c r="D159" s="2">
        <f>Shift10!D157-Shift11!D157</f>
        <v>62734.030000000006</v>
      </c>
      <c r="E159" s="2">
        <f>Shift10!E157-Shift11!E157</f>
        <v>16553.050000000017</v>
      </c>
      <c r="F159" s="2">
        <f t="shared" si="4"/>
        <v>79287.080000000016</v>
      </c>
      <c r="G159" s="2">
        <f>Shift10!M157-Shift11!M157</f>
        <v>-3679.4500000000007</v>
      </c>
      <c r="H159" s="3">
        <f t="shared" si="5"/>
        <v>75607.630000000019</v>
      </c>
    </row>
    <row r="160" spans="1:8" x14ac:dyDescent="0.2">
      <c r="A160" s="5">
        <v>500</v>
      </c>
      <c r="B160" s="5">
        <v>1</v>
      </c>
      <c r="C160" s="2" t="s">
        <v>154</v>
      </c>
      <c r="D160" s="2">
        <f>Shift10!D158-Shift11!D158</f>
        <v>-46281.69</v>
      </c>
      <c r="E160" s="2">
        <f>Shift10!E158-Shift11!E158</f>
        <v>229167.99000000002</v>
      </c>
      <c r="F160" s="2">
        <f t="shared" si="4"/>
        <v>182886.30000000002</v>
      </c>
      <c r="G160" s="2">
        <f>Shift10!M158-Shift11!M158</f>
        <v>-2485.41</v>
      </c>
      <c r="H160" s="3">
        <f t="shared" si="5"/>
        <v>180400.89</v>
      </c>
    </row>
    <row r="161" spans="1:8" x14ac:dyDescent="0.2">
      <c r="A161" s="5">
        <v>505</v>
      </c>
      <c r="B161" s="5">
        <v>1</v>
      </c>
      <c r="C161" s="2" t="s">
        <v>155</v>
      </c>
      <c r="D161" s="2">
        <f>Shift10!D159-Shift11!D159</f>
        <v>-1951.9199999999983</v>
      </c>
      <c r="E161" s="2">
        <f>Shift10!E159-Shift11!E159</f>
        <v>134272.20000000001</v>
      </c>
      <c r="F161" s="2">
        <f t="shared" si="4"/>
        <v>132320.28000000003</v>
      </c>
      <c r="G161" s="2">
        <f>Shift10!M159-Shift11!M159</f>
        <v>938.46999999999753</v>
      </c>
      <c r="H161" s="3">
        <f t="shared" si="5"/>
        <v>133258.75000000003</v>
      </c>
    </row>
    <row r="162" spans="1:8" x14ac:dyDescent="0.2">
      <c r="A162" s="5">
        <v>507</v>
      </c>
      <c r="B162" s="5">
        <v>1</v>
      </c>
      <c r="C162" s="2" t="s">
        <v>156</v>
      </c>
      <c r="D162" s="2">
        <f>Shift10!D160-Shift11!D160</f>
        <v>19269.650000000009</v>
      </c>
      <c r="E162" s="2">
        <f>Shift10!E160-Shift11!E160</f>
        <v>-31970.109999999986</v>
      </c>
      <c r="F162" s="2">
        <f t="shared" si="4"/>
        <v>-12700.459999999977</v>
      </c>
      <c r="G162" s="2">
        <f>Shift10!M160-Shift11!M160</f>
        <v>-410.18000000000029</v>
      </c>
      <c r="H162" s="3">
        <f t="shared" si="5"/>
        <v>-13110.639999999978</v>
      </c>
    </row>
    <row r="163" spans="1:8" x14ac:dyDescent="0.2">
      <c r="A163" s="5">
        <v>508</v>
      </c>
      <c r="B163" s="5">
        <v>1</v>
      </c>
      <c r="C163" s="2" t="s">
        <v>157</v>
      </c>
      <c r="D163" s="2">
        <f>Shift10!D161-Shift11!D161</f>
        <v>-12523.779999999912</v>
      </c>
      <c r="E163" s="2">
        <f>Shift10!E161-Shift11!E161</f>
        <v>-235890.80000000005</v>
      </c>
      <c r="F163" s="2">
        <f t="shared" si="4"/>
        <v>-248414.57999999996</v>
      </c>
      <c r="G163" s="2">
        <f>Shift10!M161-Shift11!M161</f>
        <v>1114.3999999999942</v>
      </c>
      <c r="H163" s="3">
        <f t="shared" si="5"/>
        <v>-247300.17999999996</v>
      </c>
    </row>
    <row r="164" spans="1:8" x14ac:dyDescent="0.2">
      <c r="A164" s="5">
        <v>511</v>
      </c>
      <c r="B164" s="5">
        <v>1</v>
      </c>
      <c r="C164" s="2" t="s">
        <v>158</v>
      </c>
      <c r="D164" s="2">
        <f>Shift10!D162-Shift11!D162</f>
        <v>29809.72</v>
      </c>
      <c r="E164" s="2">
        <f>Shift10!E162-Shift11!E162</f>
        <v>-7188.1600000000035</v>
      </c>
      <c r="F164" s="2">
        <f t="shared" si="4"/>
        <v>22621.559999999998</v>
      </c>
      <c r="G164" s="2">
        <f>Shift10!M162-Shift11!M162</f>
        <v>2474.89</v>
      </c>
      <c r="H164" s="3">
        <f t="shared" si="5"/>
        <v>25096.449999999997</v>
      </c>
    </row>
    <row r="165" spans="1:8" x14ac:dyDescent="0.2">
      <c r="A165" s="5">
        <v>513</v>
      </c>
      <c r="B165" s="5">
        <v>1</v>
      </c>
      <c r="C165" s="2" t="s">
        <v>159</v>
      </c>
      <c r="D165" s="2">
        <f>Shift10!D163-Shift11!D163</f>
        <v>-22333.800000000003</v>
      </c>
      <c r="E165" s="2">
        <f>Shift10!E163-Shift11!E163</f>
        <v>-5615.0299999999988</v>
      </c>
      <c r="F165" s="2">
        <f t="shared" si="4"/>
        <v>-27948.83</v>
      </c>
      <c r="G165" s="2">
        <f>Shift10!M163-Shift11!M163</f>
        <v>-1102.9099999999999</v>
      </c>
      <c r="H165" s="3">
        <f t="shared" si="5"/>
        <v>-29051.74</v>
      </c>
    </row>
    <row r="166" spans="1:8" x14ac:dyDescent="0.2">
      <c r="A166" s="5">
        <v>514</v>
      </c>
      <c r="B166" s="5">
        <v>1</v>
      </c>
      <c r="C166" s="2" t="s">
        <v>160</v>
      </c>
      <c r="D166" s="2">
        <f>Shift10!D164-Shift11!D164</f>
        <v>10922.940000000002</v>
      </c>
      <c r="E166" s="2">
        <f>Shift10!E164-Shift11!E164</f>
        <v>0</v>
      </c>
      <c r="F166" s="2">
        <f t="shared" si="4"/>
        <v>10922.940000000002</v>
      </c>
      <c r="G166" s="2">
        <f>Shift10!M164-Shift11!M164</f>
        <v>785.14999999999964</v>
      </c>
      <c r="H166" s="3">
        <f t="shared" si="5"/>
        <v>11708.090000000002</v>
      </c>
    </row>
    <row r="167" spans="1:8" x14ac:dyDescent="0.2">
      <c r="A167" s="5">
        <v>516</v>
      </c>
      <c r="B167" s="5">
        <v>1</v>
      </c>
      <c r="C167" s="2" t="s">
        <v>161</v>
      </c>
      <c r="D167" s="2">
        <f>Shift10!D165-Shift11!D165</f>
        <v>-677.45000000000073</v>
      </c>
      <c r="E167" s="2">
        <f>Shift10!E165-Shift11!E165</f>
        <v>4710.75</v>
      </c>
      <c r="F167" s="2">
        <f t="shared" si="4"/>
        <v>4033.2999999999993</v>
      </c>
      <c r="G167" s="2">
        <f>Shift10!M165-Shift11!M165</f>
        <v>-972.13000000000102</v>
      </c>
      <c r="H167" s="3">
        <f t="shared" si="5"/>
        <v>3061.1699999999983</v>
      </c>
    </row>
    <row r="168" spans="1:8" x14ac:dyDescent="0.2">
      <c r="A168" s="5">
        <v>518</v>
      </c>
      <c r="B168" s="5">
        <v>1</v>
      </c>
      <c r="C168" s="2" t="s">
        <v>162</v>
      </c>
      <c r="D168" s="2">
        <f>Shift10!D166-Shift11!D166</f>
        <v>-106081.99000000002</v>
      </c>
      <c r="E168" s="2">
        <f>Shift10!E166-Shift11!E166</f>
        <v>-16779.569999999949</v>
      </c>
      <c r="F168" s="2">
        <f t="shared" si="4"/>
        <v>-122861.55999999997</v>
      </c>
      <c r="G168" s="2">
        <f>Shift10!M166-Shift11!M166</f>
        <v>-3843.5399999999936</v>
      </c>
      <c r="H168" s="3">
        <f t="shared" si="5"/>
        <v>-126705.09999999996</v>
      </c>
    </row>
    <row r="169" spans="1:8" x14ac:dyDescent="0.2">
      <c r="A169" s="5">
        <v>531</v>
      </c>
      <c r="B169" s="5">
        <v>1</v>
      </c>
      <c r="C169" s="2" t="s">
        <v>163</v>
      </c>
      <c r="D169" s="2">
        <f>Shift10!D167-Shift11!D167</f>
        <v>-18298.300000000017</v>
      </c>
      <c r="E169" s="2">
        <f>Shift10!E167-Shift11!E167</f>
        <v>-102747.2</v>
      </c>
      <c r="F169" s="2">
        <f t="shared" si="4"/>
        <v>-121045.50000000001</v>
      </c>
      <c r="G169" s="2">
        <f>Shift10!M167-Shift11!M167</f>
        <v>-5212.8399999999965</v>
      </c>
      <c r="H169" s="3">
        <f t="shared" si="5"/>
        <v>-126258.34000000001</v>
      </c>
    </row>
    <row r="170" spans="1:8" x14ac:dyDescent="0.2">
      <c r="A170" s="5">
        <v>533</v>
      </c>
      <c r="B170" s="5">
        <v>1</v>
      </c>
      <c r="C170" s="2" t="s">
        <v>164</v>
      </c>
      <c r="D170" s="2">
        <f>Shift10!D168-Shift11!D168</f>
        <v>-24854.260000000009</v>
      </c>
      <c r="E170" s="2">
        <f>Shift10!E168-Shift11!E168</f>
        <v>-27.69999999999709</v>
      </c>
      <c r="F170" s="2">
        <f t="shared" si="4"/>
        <v>-24881.960000000006</v>
      </c>
      <c r="G170" s="2">
        <f>Shift10!M168-Shift11!M168</f>
        <v>-5929.2000000000007</v>
      </c>
      <c r="H170" s="3">
        <f t="shared" si="5"/>
        <v>-30811.160000000007</v>
      </c>
    </row>
    <row r="171" spans="1:8" x14ac:dyDescent="0.2">
      <c r="A171" s="5">
        <v>534</v>
      </c>
      <c r="B171" s="5">
        <v>1</v>
      </c>
      <c r="C171" s="2" t="s">
        <v>165</v>
      </c>
      <c r="D171" s="2">
        <f>Shift10!D169-Shift11!D169</f>
        <v>90572.94</v>
      </c>
      <c r="E171" s="2">
        <f>Shift10!E169-Shift11!E169</f>
        <v>-1594.5599999999977</v>
      </c>
      <c r="F171" s="2">
        <f t="shared" si="4"/>
        <v>88978.38</v>
      </c>
      <c r="G171" s="2">
        <f>Shift10!M169-Shift11!M169</f>
        <v>2586.4900000000052</v>
      </c>
      <c r="H171" s="3">
        <f t="shared" si="5"/>
        <v>91564.87000000001</v>
      </c>
    </row>
    <row r="172" spans="1:8" x14ac:dyDescent="0.2">
      <c r="A172" s="5">
        <v>535</v>
      </c>
      <c r="B172" s="5">
        <v>1</v>
      </c>
      <c r="C172" s="2" t="s">
        <v>166</v>
      </c>
      <c r="D172" s="2">
        <f>Shift10!D170-Shift11!D170</f>
        <v>526233.55000000075</v>
      </c>
      <c r="E172" s="2">
        <f>Shift10!E170-Shift11!E170</f>
        <v>-509124.84999999963</v>
      </c>
      <c r="F172" s="2">
        <f t="shared" si="4"/>
        <v>17108.700000001118</v>
      </c>
      <c r="G172" s="2">
        <f>Shift10!M170-Shift11!M170</f>
        <v>-31529.739999999991</v>
      </c>
      <c r="H172" s="3">
        <f t="shared" si="5"/>
        <v>-14421.039999998873</v>
      </c>
    </row>
    <row r="173" spans="1:8" x14ac:dyDescent="0.2">
      <c r="A173" s="5">
        <v>542</v>
      </c>
      <c r="B173" s="5">
        <v>1</v>
      </c>
      <c r="C173" s="2" t="s">
        <v>167</v>
      </c>
      <c r="D173" s="2">
        <f>Shift10!D171-Shift11!D171</f>
        <v>-4313.0799999999872</v>
      </c>
      <c r="E173" s="2">
        <f>Shift10!E171-Shift11!E171</f>
        <v>0</v>
      </c>
      <c r="F173" s="2">
        <f t="shared" si="4"/>
        <v>-4313.0799999999872</v>
      </c>
      <c r="G173" s="2">
        <f>Shift10!M171-Shift11!M171</f>
        <v>5647.73</v>
      </c>
      <c r="H173" s="3">
        <f t="shared" si="5"/>
        <v>1334.6500000000124</v>
      </c>
    </row>
    <row r="174" spans="1:8" x14ac:dyDescent="0.2">
      <c r="A174" s="5">
        <v>544</v>
      </c>
      <c r="B174" s="5">
        <v>1</v>
      </c>
      <c r="C174" s="2" t="s">
        <v>168</v>
      </c>
      <c r="D174" s="2">
        <f>Shift10!D172-Shift11!D172</f>
        <v>47098.119999999995</v>
      </c>
      <c r="E174" s="2">
        <f>Shift10!E172-Shift11!E172</f>
        <v>27509.910000000033</v>
      </c>
      <c r="F174" s="2">
        <f t="shared" si="4"/>
        <v>74608.030000000028</v>
      </c>
      <c r="G174" s="2">
        <f>Shift10!M172-Shift11!M172</f>
        <v>-20430.079999999987</v>
      </c>
      <c r="H174" s="3">
        <f t="shared" si="5"/>
        <v>54177.950000000041</v>
      </c>
    </row>
    <row r="175" spans="1:8" x14ac:dyDescent="0.2">
      <c r="A175" s="5">
        <v>545</v>
      </c>
      <c r="B175" s="5">
        <v>1</v>
      </c>
      <c r="C175" s="2" t="s">
        <v>169</v>
      </c>
      <c r="D175" s="2">
        <f>Shift10!D173-Shift11!D173</f>
        <v>-10131.690000000002</v>
      </c>
      <c r="E175" s="2">
        <f>Shift10!E173-Shift11!E173</f>
        <v>-8836.5599999999977</v>
      </c>
      <c r="F175" s="2">
        <f t="shared" si="4"/>
        <v>-18968.25</v>
      </c>
      <c r="G175" s="2">
        <f>Shift10!M173-Shift11!M173</f>
        <v>-363.93000000000029</v>
      </c>
      <c r="H175" s="3">
        <f t="shared" si="5"/>
        <v>-19332.18</v>
      </c>
    </row>
    <row r="176" spans="1:8" x14ac:dyDescent="0.2">
      <c r="A176" s="5">
        <v>547</v>
      </c>
      <c r="B176" s="5">
        <v>1</v>
      </c>
      <c r="C176" s="2" t="s">
        <v>170</v>
      </c>
      <c r="D176" s="2">
        <f>Shift10!D174-Shift11!D174</f>
        <v>1705.6900000000023</v>
      </c>
      <c r="E176" s="2">
        <f>Shift10!E174-Shift11!E174</f>
        <v>6932.3899999999849</v>
      </c>
      <c r="F176" s="2">
        <f t="shared" si="4"/>
        <v>8638.0799999999872</v>
      </c>
      <c r="G176" s="2">
        <f>Shift10!M174-Shift11!M174</f>
        <v>4487.880000000001</v>
      </c>
      <c r="H176" s="3">
        <f t="shared" si="5"/>
        <v>13125.959999999988</v>
      </c>
    </row>
    <row r="177" spans="1:8" x14ac:dyDescent="0.2">
      <c r="A177" s="5">
        <v>548</v>
      </c>
      <c r="B177" s="5">
        <v>1</v>
      </c>
      <c r="C177" s="2" t="s">
        <v>171</v>
      </c>
      <c r="D177" s="2">
        <f>Shift10!D175-Shift11!D175</f>
        <v>786.16000000000349</v>
      </c>
      <c r="E177" s="2">
        <f>Shift10!E175-Shift11!E175</f>
        <v>-355472.06</v>
      </c>
      <c r="F177" s="2">
        <f t="shared" si="4"/>
        <v>-354685.9</v>
      </c>
      <c r="G177" s="2">
        <f>Shift10!M175-Shift11!M175</f>
        <v>1822.0899999999965</v>
      </c>
      <c r="H177" s="3">
        <f t="shared" si="5"/>
        <v>-352863.81000000006</v>
      </c>
    </row>
    <row r="178" spans="1:8" x14ac:dyDescent="0.2">
      <c r="A178" s="5">
        <v>549</v>
      </c>
      <c r="B178" s="5">
        <v>1</v>
      </c>
      <c r="C178" s="2" t="s">
        <v>172</v>
      </c>
      <c r="D178" s="2">
        <f>Shift10!D176-Shift11!D176</f>
        <v>25620.809999999998</v>
      </c>
      <c r="E178" s="2">
        <f>Shift10!E176-Shift11!E176</f>
        <v>0</v>
      </c>
      <c r="F178" s="2">
        <f t="shared" si="4"/>
        <v>25620.809999999998</v>
      </c>
      <c r="G178" s="2">
        <f>Shift10!M176-Shift11!M176</f>
        <v>-1465.6300000000047</v>
      </c>
      <c r="H178" s="3">
        <f t="shared" si="5"/>
        <v>24155.179999999993</v>
      </c>
    </row>
    <row r="179" spans="1:8" x14ac:dyDescent="0.2">
      <c r="A179" s="5">
        <v>550</v>
      </c>
      <c r="B179" s="5">
        <v>1</v>
      </c>
      <c r="C179" s="2" t="s">
        <v>173</v>
      </c>
      <c r="D179" s="2">
        <f>Shift10!D177-Shift11!D177</f>
        <v>-4364.4000000000015</v>
      </c>
      <c r="E179" s="2">
        <f>Shift10!E177-Shift11!E177</f>
        <v>0</v>
      </c>
      <c r="F179" s="2">
        <f t="shared" si="4"/>
        <v>-4364.4000000000015</v>
      </c>
      <c r="G179" s="2">
        <f>Shift10!M177-Shift11!M177</f>
        <v>-567.35999999999876</v>
      </c>
      <c r="H179" s="3">
        <f t="shared" si="5"/>
        <v>-4931.76</v>
      </c>
    </row>
    <row r="180" spans="1:8" x14ac:dyDescent="0.2">
      <c r="A180" s="5">
        <v>553</v>
      </c>
      <c r="B180" s="5">
        <v>1</v>
      </c>
      <c r="C180" s="2" t="s">
        <v>174</v>
      </c>
      <c r="D180" s="2">
        <f>Shift10!D178-Shift11!D178</f>
        <v>16681.589999999997</v>
      </c>
      <c r="E180" s="2">
        <f>Shift10!E178-Shift11!E178</f>
        <v>-11974.100000000006</v>
      </c>
      <c r="F180" s="2">
        <f t="shared" si="4"/>
        <v>4707.4899999999907</v>
      </c>
      <c r="G180" s="2">
        <f>Shift10!M178-Shift11!M178</f>
        <v>4.6100000000005821</v>
      </c>
      <c r="H180" s="3">
        <f t="shared" si="5"/>
        <v>4712.0999999999913</v>
      </c>
    </row>
    <row r="181" spans="1:8" x14ac:dyDescent="0.2">
      <c r="A181" s="5">
        <v>561</v>
      </c>
      <c r="B181" s="5">
        <v>1</v>
      </c>
      <c r="C181" s="2" t="s">
        <v>175</v>
      </c>
      <c r="D181" s="2">
        <f>Shift10!D179-Shift11!D179</f>
        <v>1401.5800000000017</v>
      </c>
      <c r="E181" s="2">
        <f>Shift10!E179-Shift11!E179</f>
        <v>-1824.3899999999994</v>
      </c>
      <c r="F181" s="2">
        <f t="shared" si="4"/>
        <v>-422.80999999999767</v>
      </c>
      <c r="G181" s="2">
        <f>Shift10!M179-Shift11!M179</f>
        <v>-75.869999999999891</v>
      </c>
      <c r="H181" s="3">
        <f t="shared" si="5"/>
        <v>-498.67999999999756</v>
      </c>
    </row>
    <row r="182" spans="1:8" x14ac:dyDescent="0.2">
      <c r="A182" s="5">
        <v>564</v>
      </c>
      <c r="B182" s="5">
        <v>1</v>
      </c>
      <c r="C182" s="2" t="s">
        <v>176</v>
      </c>
      <c r="D182" s="2">
        <f>Shift10!D180-Shift11!D180</f>
        <v>-36516.080000000016</v>
      </c>
      <c r="E182" s="2">
        <f>Shift10!E180-Shift11!E180</f>
        <v>-35495.19</v>
      </c>
      <c r="F182" s="2">
        <f t="shared" si="4"/>
        <v>-72011.270000000019</v>
      </c>
      <c r="G182" s="2">
        <f>Shift10!M180-Shift11!M180</f>
        <v>-6267.9500000000044</v>
      </c>
      <c r="H182" s="3">
        <f t="shared" si="5"/>
        <v>-78279.22000000003</v>
      </c>
    </row>
    <row r="183" spans="1:8" x14ac:dyDescent="0.2">
      <c r="A183" s="5">
        <v>577</v>
      </c>
      <c r="B183" s="5">
        <v>1</v>
      </c>
      <c r="C183" s="2" t="s">
        <v>177</v>
      </c>
      <c r="D183" s="2">
        <f>Shift10!D181-Shift11!D181</f>
        <v>40509.819999999992</v>
      </c>
      <c r="E183" s="2">
        <f>Shift10!E181-Shift11!E181</f>
        <v>1201.2299999999996</v>
      </c>
      <c r="F183" s="2">
        <f t="shared" si="4"/>
        <v>41711.049999999988</v>
      </c>
      <c r="G183" s="2">
        <f>Shift10!M181-Shift11!M181</f>
        <v>-1764.25</v>
      </c>
      <c r="H183" s="3">
        <f t="shared" si="5"/>
        <v>39946.799999999988</v>
      </c>
    </row>
    <row r="184" spans="1:8" x14ac:dyDescent="0.2">
      <c r="A184" s="5">
        <v>578</v>
      </c>
      <c r="B184" s="5">
        <v>1</v>
      </c>
      <c r="C184" s="2" t="s">
        <v>178</v>
      </c>
      <c r="D184" s="2">
        <f>Shift10!D182-Shift11!D182</f>
        <v>63841.570000000007</v>
      </c>
      <c r="E184" s="2">
        <f>Shift10!E182-Shift11!E182</f>
        <v>26545.680000000051</v>
      </c>
      <c r="F184" s="2">
        <f t="shared" si="4"/>
        <v>90387.250000000058</v>
      </c>
      <c r="G184" s="2">
        <f>Shift10!M182-Shift11!M182</f>
        <v>3398.1299999999974</v>
      </c>
      <c r="H184" s="3">
        <f t="shared" si="5"/>
        <v>93785.380000000063</v>
      </c>
    </row>
    <row r="185" spans="1:8" x14ac:dyDescent="0.2">
      <c r="A185" s="5">
        <v>581</v>
      </c>
      <c r="B185" s="5">
        <v>1</v>
      </c>
      <c r="C185" s="2" t="s">
        <v>179</v>
      </c>
      <c r="D185" s="2">
        <f>Shift10!D183-Shift11!D183</f>
        <v>7439.9099999999889</v>
      </c>
      <c r="E185" s="2">
        <f>Shift10!E183-Shift11!E183</f>
        <v>-9864.9499999999825</v>
      </c>
      <c r="F185" s="2">
        <f t="shared" si="4"/>
        <v>-2425.0399999999936</v>
      </c>
      <c r="G185" s="2">
        <f>Shift10!M183-Shift11!M183</f>
        <v>1443.4500000000007</v>
      </c>
      <c r="H185" s="3">
        <f t="shared" si="5"/>
        <v>-981.58999999999287</v>
      </c>
    </row>
    <row r="186" spans="1:8" x14ac:dyDescent="0.2">
      <c r="A186" s="5">
        <v>592</v>
      </c>
      <c r="B186" s="5">
        <v>1</v>
      </c>
      <c r="C186" s="2" t="s">
        <v>180</v>
      </c>
      <c r="D186" s="2">
        <f>Shift10!D184-Shift11!D184</f>
        <v>-140.04999999999927</v>
      </c>
      <c r="E186" s="2">
        <f>Shift10!E184-Shift11!E184</f>
        <v>-1201.5099999999948</v>
      </c>
      <c r="F186" s="2">
        <f t="shared" si="4"/>
        <v>-1341.559999999994</v>
      </c>
      <c r="G186" s="2">
        <f>Shift10!M184-Shift11!M184</f>
        <v>-587.92999999999938</v>
      </c>
      <c r="H186" s="3">
        <f t="shared" si="5"/>
        <v>-1929.4899999999934</v>
      </c>
    </row>
    <row r="187" spans="1:8" x14ac:dyDescent="0.2">
      <c r="A187" s="5">
        <v>593</v>
      </c>
      <c r="B187" s="5">
        <v>1</v>
      </c>
      <c r="C187" s="2" t="s">
        <v>181</v>
      </c>
      <c r="D187" s="2">
        <f>Shift10!D185-Shift11!D185</f>
        <v>-8228.1100000000442</v>
      </c>
      <c r="E187" s="2">
        <f>Shift10!E185-Shift11!E185</f>
        <v>-458968.54000000004</v>
      </c>
      <c r="F187" s="2">
        <f t="shared" si="4"/>
        <v>-467196.65000000008</v>
      </c>
      <c r="G187" s="2">
        <f>Shift10!M185-Shift11!M185</f>
        <v>9543.4400000000023</v>
      </c>
      <c r="H187" s="3">
        <f t="shared" si="5"/>
        <v>-457653.21000000008</v>
      </c>
    </row>
    <row r="188" spans="1:8" x14ac:dyDescent="0.2">
      <c r="A188" s="5">
        <v>595</v>
      </c>
      <c r="B188" s="5">
        <v>1</v>
      </c>
      <c r="C188" s="2" t="s">
        <v>182</v>
      </c>
      <c r="D188" s="2">
        <f>Shift10!D186-Shift11!D186</f>
        <v>55994.359999999986</v>
      </c>
      <c r="E188" s="2">
        <f>Shift10!E186-Shift11!E186</f>
        <v>-745.65999999997439</v>
      </c>
      <c r="F188" s="2">
        <f t="shared" si="4"/>
        <v>55248.700000000012</v>
      </c>
      <c r="G188" s="2">
        <f>Shift10!M186-Shift11!M186</f>
        <v>-2769.6899999999951</v>
      </c>
      <c r="H188" s="3">
        <f t="shared" si="5"/>
        <v>52479.010000000017</v>
      </c>
    </row>
    <row r="189" spans="1:8" x14ac:dyDescent="0.2">
      <c r="A189" s="5">
        <v>599</v>
      </c>
      <c r="B189" s="5">
        <v>1</v>
      </c>
      <c r="C189" s="2" t="s">
        <v>183</v>
      </c>
      <c r="D189" s="2">
        <f>Shift10!D187-Shift11!D187</f>
        <v>2829.8199999999924</v>
      </c>
      <c r="E189" s="2">
        <f>Shift10!E187-Shift11!E187</f>
        <v>-3351.9700000000012</v>
      </c>
      <c r="F189" s="2">
        <f t="shared" si="4"/>
        <v>-522.15000000000873</v>
      </c>
      <c r="G189" s="2">
        <f>Shift10!M187-Shift11!M187</f>
        <v>78.340000000000146</v>
      </c>
      <c r="H189" s="3">
        <f t="shared" si="5"/>
        <v>-443.81000000000859</v>
      </c>
    </row>
    <row r="190" spans="1:8" x14ac:dyDescent="0.2">
      <c r="A190" s="5">
        <v>600</v>
      </c>
      <c r="B190" s="5">
        <v>1</v>
      </c>
      <c r="C190" s="2" t="s">
        <v>184</v>
      </c>
      <c r="D190" s="2">
        <f>Shift10!D188-Shift11!D188</f>
        <v>-1390.5299999999988</v>
      </c>
      <c r="E190" s="2">
        <f>Shift10!E188-Shift11!E188</f>
        <v>0</v>
      </c>
      <c r="F190" s="2">
        <f t="shared" si="4"/>
        <v>-1390.5299999999988</v>
      </c>
      <c r="G190" s="2">
        <f>Shift10!M188-Shift11!M188</f>
        <v>-1393.8099999999995</v>
      </c>
      <c r="H190" s="3">
        <f t="shared" si="5"/>
        <v>-2784.3399999999983</v>
      </c>
    </row>
    <row r="191" spans="1:8" x14ac:dyDescent="0.2">
      <c r="A191" s="5">
        <v>601</v>
      </c>
      <c r="B191" s="5">
        <v>1</v>
      </c>
      <c r="C191" s="2" t="s">
        <v>185</v>
      </c>
      <c r="D191" s="2">
        <f>Shift10!D189-Shift11!D189</f>
        <v>3246.5299999999988</v>
      </c>
      <c r="E191" s="2">
        <f>Shift10!E189-Shift11!E189</f>
        <v>9770.6899999999878</v>
      </c>
      <c r="F191" s="2">
        <f t="shared" si="4"/>
        <v>13017.219999999987</v>
      </c>
      <c r="G191" s="2">
        <f>Shift10!M189-Shift11!M189</f>
        <v>1942.8000000000029</v>
      </c>
      <c r="H191" s="3">
        <f t="shared" si="5"/>
        <v>14960.01999999999</v>
      </c>
    </row>
    <row r="192" spans="1:8" x14ac:dyDescent="0.2">
      <c r="A192" s="5">
        <v>611</v>
      </c>
      <c r="B192" s="5">
        <v>1</v>
      </c>
      <c r="C192" s="2" t="s">
        <v>186</v>
      </c>
      <c r="D192" s="2">
        <f>Shift10!D190-Shift11!D190</f>
        <v>3286.3399999999992</v>
      </c>
      <c r="E192" s="2">
        <f>Shift10!E190-Shift11!E190</f>
        <v>0</v>
      </c>
      <c r="F192" s="2">
        <f t="shared" si="4"/>
        <v>3286.3399999999992</v>
      </c>
      <c r="G192" s="2">
        <f>Shift10!M190-Shift11!M190</f>
        <v>1188.2699999999995</v>
      </c>
      <c r="H192" s="3">
        <f t="shared" si="5"/>
        <v>4474.6099999999988</v>
      </c>
    </row>
    <row r="193" spans="1:8" x14ac:dyDescent="0.2">
      <c r="A193" s="5">
        <v>621</v>
      </c>
      <c r="B193" s="5">
        <v>1</v>
      </c>
      <c r="C193" s="2" t="s">
        <v>187</v>
      </c>
      <c r="D193" s="2">
        <f>Shift10!D191-Shift11!D191</f>
        <v>-373650.23</v>
      </c>
      <c r="E193" s="2">
        <f>Shift10!E191-Shift11!E191</f>
        <v>-230344.56000000052</v>
      </c>
      <c r="F193" s="2">
        <f t="shared" si="4"/>
        <v>-603994.7900000005</v>
      </c>
      <c r="G193" s="2">
        <f>Shift10!M191-Shift11!M191</f>
        <v>34854.460000000021</v>
      </c>
      <c r="H193" s="3">
        <f t="shared" si="5"/>
        <v>-569140.33000000054</v>
      </c>
    </row>
    <row r="194" spans="1:8" x14ac:dyDescent="0.2">
      <c r="A194" s="5">
        <v>622</v>
      </c>
      <c r="B194" s="5">
        <v>1</v>
      </c>
      <c r="C194" s="2" t="s">
        <v>188</v>
      </c>
      <c r="D194" s="2">
        <f>Shift10!D192-Shift11!D192</f>
        <v>595399.44999999972</v>
      </c>
      <c r="E194" s="2">
        <f>Shift10!E192-Shift11!E192</f>
        <v>100528.12999999989</v>
      </c>
      <c r="F194" s="2">
        <f t="shared" si="4"/>
        <v>695927.57999999961</v>
      </c>
      <c r="G194" s="2">
        <f>Shift10!M192-Shift11!M192</f>
        <v>11088.570000000065</v>
      </c>
      <c r="H194" s="3">
        <f t="shared" si="5"/>
        <v>707016.14999999967</v>
      </c>
    </row>
    <row r="195" spans="1:8" x14ac:dyDescent="0.2">
      <c r="A195" s="5">
        <v>623</v>
      </c>
      <c r="B195" s="5">
        <v>1</v>
      </c>
      <c r="C195" s="2" t="s">
        <v>189</v>
      </c>
      <c r="D195" s="2">
        <f>Shift10!D193-Shift11!D193</f>
        <v>-191696.10999999987</v>
      </c>
      <c r="E195" s="2">
        <f>Shift10!E193-Shift11!E193</f>
        <v>302368.29999999981</v>
      </c>
      <c r="F195" s="2">
        <f t="shared" si="4"/>
        <v>110672.18999999994</v>
      </c>
      <c r="G195" s="2">
        <f>Shift10!M193-Shift11!M193</f>
        <v>-5198.75</v>
      </c>
      <c r="H195" s="3">
        <f t="shared" si="5"/>
        <v>105473.43999999994</v>
      </c>
    </row>
    <row r="196" spans="1:8" x14ac:dyDescent="0.2">
      <c r="A196" s="5">
        <v>624</v>
      </c>
      <c r="B196" s="5">
        <v>1</v>
      </c>
      <c r="C196" s="2" t="s">
        <v>190</v>
      </c>
      <c r="D196" s="2">
        <f>Shift10!D194-Shift11!D194</f>
        <v>21364.709999999963</v>
      </c>
      <c r="E196" s="2">
        <f>Shift10!E194-Shift11!E194</f>
        <v>-10872.790000000037</v>
      </c>
      <c r="F196" s="2">
        <f t="shared" si="4"/>
        <v>10491.919999999925</v>
      </c>
      <c r="G196" s="2">
        <f>Shift10!M194-Shift11!M194</f>
        <v>-59403.780000000028</v>
      </c>
      <c r="H196" s="3">
        <f t="shared" si="5"/>
        <v>-48911.860000000102</v>
      </c>
    </row>
    <row r="197" spans="1:8" x14ac:dyDescent="0.2">
      <c r="A197" s="5">
        <v>625</v>
      </c>
      <c r="B197" s="5">
        <v>1</v>
      </c>
      <c r="C197" s="2" t="s">
        <v>191</v>
      </c>
      <c r="D197" s="2">
        <f>Shift10!D195-Shift11!D195</f>
        <v>-1918120.8200000003</v>
      </c>
      <c r="E197" s="2">
        <f>Shift10!E195-Shift11!E195</f>
        <v>-404205.72000000067</v>
      </c>
      <c r="F197" s="2">
        <f t="shared" si="4"/>
        <v>-2322326.540000001</v>
      </c>
      <c r="G197" s="2">
        <f>Shift10!M195-Shift11!M195</f>
        <v>60315.030000000028</v>
      </c>
      <c r="H197" s="3">
        <f t="shared" si="5"/>
        <v>-2262011.5100000007</v>
      </c>
    </row>
    <row r="198" spans="1:8" x14ac:dyDescent="0.2">
      <c r="A198" s="5">
        <v>627</v>
      </c>
      <c r="B198" s="5">
        <v>1</v>
      </c>
      <c r="C198" s="2" t="s">
        <v>192</v>
      </c>
      <c r="D198" s="2">
        <f>Shift10!D196-Shift11!D196</f>
        <v>11293.469999999994</v>
      </c>
      <c r="E198" s="2">
        <f>Shift10!E196-Shift11!E196</f>
        <v>0</v>
      </c>
      <c r="F198" s="2">
        <f t="shared" si="4"/>
        <v>11293.469999999994</v>
      </c>
      <c r="G198" s="2">
        <f>Shift10!M196-Shift11!M196</f>
        <v>-2667.66</v>
      </c>
      <c r="H198" s="3">
        <f t="shared" si="5"/>
        <v>8625.809999999994</v>
      </c>
    </row>
    <row r="199" spans="1:8" x14ac:dyDescent="0.2">
      <c r="A199" s="5">
        <v>628</v>
      </c>
      <c r="B199" s="5">
        <v>1</v>
      </c>
      <c r="C199" s="2" t="s">
        <v>193</v>
      </c>
      <c r="D199" s="2">
        <f>Shift10!D197-Shift11!D197</f>
        <v>8012.1499999999978</v>
      </c>
      <c r="E199" s="2">
        <f>Shift10!E197-Shift11!E197</f>
        <v>-25981.069999999992</v>
      </c>
      <c r="F199" s="2">
        <f t="shared" ref="F199:F262" si="6">D199+E199</f>
        <v>-17968.919999999995</v>
      </c>
      <c r="G199" s="2">
        <f>Shift10!M197-Shift11!M197</f>
        <v>1639.2800000000025</v>
      </c>
      <c r="H199" s="3">
        <f t="shared" ref="H199:H262" si="7">SUM(F199:G199)</f>
        <v>-16329.639999999992</v>
      </c>
    </row>
    <row r="200" spans="1:8" x14ac:dyDescent="0.2">
      <c r="A200" s="5">
        <v>630</v>
      </c>
      <c r="B200" s="5">
        <v>1</v>
      </c>
      <c r="C200" s="2" t="s">
        <v>194</v>
      </c>
      <c r="D200" s="2">
        <f>Shift10!D198-Shift11!D198</f>
        <v>-7081.43</v>
      </c>
      <c r="E200" s="2">
        <f>Shift10!E198-Shift11!E198</f>
        <v>-2100.4900000000198</v>
      </c>
      <c r="F200" s="2">
        <f t="shared" si="6"/>
        <v>-9181.9200000000201</v>
      </c>
      <c r="G200" s="2">
        <f>Shift10!M198-Shift11!M198</f>
        <v>130.25</v>
      </c>
      <c r="H200" s="3">
        <f t="shared" si="7"/>
        <v>-9051.6700000000201</v>
      </c>
    </row>
    <row r="201" spans="1:8" x14ac:dyDescent="0.2">
      <c r="A201" s="5">
        <v>635</v>
      </c>
      <c r="B201" s="5">
        <v>1</v>
      </c>
      <c r="C201" s="2" t="s">
        <v>195</v>
      </c>
      <c r="D201" s="2">
        <f>Shift10!D199-Shift11!D199</f>
        <v>3426.7900000000009</v>
      </c>
      <c r="E201" s="2">
        <f>Shift10!E199-Shift11!E199</f>
        <v>-20690.479999999996</v>
      </c>
      <c r="F201" s="2">
        <f t="shared" si="6"/>
        <v>-17263.689999999995</v>
      </c>
      <c r="G201" s="2">
        <f>Shift10!M199-Shift11!M199</f>
        <v>-735.31999999999971</v>
      </c>
      <c r="H201" s="3">
        <f t="shared" si="7"/>
        <v>-17999.009999999995</v>
      </c>
    </row>
    <row r="202" spans="1:8" x14ac:dyDescent="0.2">
      <c r="A202" s="5">
        <v>640</v>
      </c>
      <c r="B202" s="5">
        <v>1</v>
      </c>
      <c r="C202" s="2" t="s">
        <v>196</v>
      </c>
      <c r="D202" s="2">
        <f>Shift10!D200-Shift11!D200</f>
        <v>-2086.1499999999942</v>
      </c>
      <c r="E202" s="2">
        <f>Shift10!E200-Shift11!E200</f>
        <v>-1185.8399999999965</v>
      </c>
      <c r="F202" s="2">
        <f t="shared" si="6"/>
        <v>-3271.9899999999907</v>
      </c>
      <c r="G202" s="2">
        <f>Shift10!M200-Shift11!M200</f>
        <v>254.65999999999985</v>
      </c>
      <c r="H202" s="3">
        <f t="shared" si="7"/>
        <v>-3017.3299999999908</v>
      </c>
    </row>
    <row r="203" spans="1:8" x14ac:dyDescent="0.2">
      <c r="A203" s="5">
        <v>656</v>
      </c>
      <c r="B203" s="5">
        <v>1</v>
      </c>
      <c r="C203" s="2" t="s">
        <v>197</v>
      </c>
      <c r="D203" s="2">
        <f>Shift10!D201-Shift11!D201</f>
        <v>165253.79000000004</v>
      </c>
      <c r="E203" s="2">
        <f>Shift10!E201-Shift11!E201</f>
        <v>59468.840000000026</v>
      </c>
      <c r="F203" s="2">
        <f t="shared" si="6"/>
        <v>224722.63000000006</v>
      </c>
      <c r="G203" s="2">
        <f>Shift10!M201-Shift11!M201</f>
        <v>-7676.5299999999988</v>
      </c>
      <c r="H203" s="3">
        <f t="shared" si="7"/>
        <v>217046.10000000006</v>
      </c>
    </row>
    <row r="204" spans="1:8" x14ac:dyDescent="0.2">
      <c r="A204" s="5">
        <v>659</v>
      </c>
      <c r="B204" s="5">
        <v>1</v>
      </c>
      <c r="C204" s="2" t="s">
        <v>198</v>
      </c>
      <c r="D204" s="2">
        <f>Shift10!D202-Shift11!D202</f>
        <v>444378.10000000009</v>
      </c>
      <c r="E204" s="2">
        <f>Shift10!E202-Shift11!E202</f>
        <v>-798823.79</v>
      </c>
      <c r="F204" s="2">
        <f t="shared" si="6"/>
        <v>-354445.68999999994</v>
      </c>
      <c r="G204" s="2">
        <f>Shift10!M202-Shift11!M202</f>
        <v>6544.2599999999802</v>
      </c>
      <c r="H204" s="3">
        <f t="shared" si="7"/>
        <v>-347901.42999999993</v>
      </c>
    </row>
    <row r="205" spans="1:8" x14ac:dyDescent="0.2">
      <c r="A205" s="5">
        <v>671</v>
      </c>
      <c r="B205" s="5">
        <v>1</v>
      </c>
      <c r="C205" s="2" t="s">
        <v>199</v>
      </c>
      <c r="D205" s="2">
        <f>Shift10!D203-Shift11!D203</f>
        <v>-7878.5899999999965</v>
      </c>
      <c r="E205" s="2">
        <f>Shift10!E203-Shift11!E203</f>
        <v>-1533.1999999999971</v>
      </c>
      <c r="F205" s="2">
        <f t="shared" si="6"/>
        <v>-9411.7899999999936</v>
      </c>
      <c r="G205" s="2">
        <f>Shift10!M203-Shift11!M203</f>
        <v>585.52000000000044</v>
      </c>
      <c r="H205" s="3">
        <f t="shared" si="7"/>
        <v>-8826.2699999999932</v>
      </c>
    </row>
    <row r="206" spans="1:8" x14ac:dyDescent="0.2">
      <c r="A206" s="5">
        <v>676</v>
      </c>
      <c r="B206" s="5">
        <v>1</v>
      </c>
      <c r="C206" s="2" t="s">
        <v>200</v>
      </c>
      <c r="D206" s="2">
        <f>Shift10!D204-Shift11!D204</f>
        <v>9803.6200000000026</v>
      </c>
      <c r="E206" s="2">
        <f>Shift10!E204-Shift11!E204</f>
        <v>-21281.009999999995</v>
      </c>
      <c r="F206" s="2">
        <f t="shared" si="6"/>
        <v>-11477.389999999992</v>
      </c>
      <c r="G206" s="2">
        <f>Shift10!M204-Shift11!M204</f>
        <v>1001.1599999999999</v>
      </c>
      <c r="H206" s="3">
        <f t="shared" si="7"/>
        <v>-10476.229999999992</v>
      </c>
    </row>
    <row r="207" spans="1:8" x14ac:dyDescent="0.2">
      <c r="A207" s="5">
        <v>682</v>
      </c>
      <c r="B207" s="5">
        <v>1</v>
      </c>
      <c r="C207" s="2" t="s">
        <v>201</v>
      </c>
      <c r="D207" s="2">
        <f>Shift10!D205-Shift11!D205</f>
        <v>6448.8399999999965</v>
      </c>
      <c r="E207" s="2">
        <f>Shift10!E205-Shift11!E205</f>
        <v>-60097.31</v>
      </c>
      <c r="F207" s="2">
        <f t="shared" si="6"/>
        <v>-53648.47</v>
      </c>
      <c r="G207" s="2">
        <f>Shift10!M205-Shift11!M205</f>
        <v>5952.0400000000009</v>
      </c>
      <c r="H207" s="3">
        <f t="shared" si="7"/>
        <v>-47696.43</v>
      </c>
    </row>
    <row r="208" spans="1:8" x14ac:dyDescent="0.2">
      <c r="A208" s="5">
        <v>690</v>
      </c>
      <c r="B208" s="5">
        <v>1</v>
      </c>
      <c r="C208" s="2" t="s">
        <v>202</v>
      </c>
      <c r="D208" s="2">
        <f>Shift10!D206-Shift11!D206</f>
        <v>-5367.7300000000105</v>
      </c>
      <c r="E208" s="2">
        <f>Shift10!E206-Shift11!E206</f>
        <v>-1785.0699999999779</v>
      </c>
      <c r="F208" s="2">
        <f t="shared" si="6"/>
        <v>-7152.7999999999884</v>
      </c>
      <c r="G208" s="2">
        <f>Shift10!M206-Shift11!M206</f>
        <v>692.06999999999971</v>
      </c>
      <c r="H208" s="3">
        <f t="shared" si="7"/>
        <v>-6460.7299999999886</v>
      </c>
    </row>
    <row r="209" spans="1:8" x14ac:dyDescent="0.2">
      <c r="A209" s="5">
        <v>695</v>
      </c>
      <c r="B209" s="5">
        <v>1</v>
      </c>
      <c r="C209" s="2" t="s">
        <v>203</v>
      </c>
      <c r="D209" s="2">
        <f>Shift10!D207-Shift11!D207</f>
        <v>0</v>
      </c>
      <c r="E209" s="2">
        <f>Shift10!E207-Shift11!E207</f>
        <v>-5262.5300000000279</v>
      </c>
      <c r="F209" s="2">
        <f t="shared" si="6"/>
        <v>-5262.5300000000279</v>
      </c>
      <c r="G209" s="2">
        <f>Shift10!M207-Shift11!M207</f>
        <v>0</v>
      </c>
      <c r="H209" s="3">
        <f t="shared" si="7"/>
        <v>-5262.5300000000279</v>
      </c>
    </row>
    <row r="210" spans="1:8" x14ac:dyDescent="0.2">
      <c r="A210" s="5">
        <v>696</v>
      </c>
      <c r="B210" s="5">
        <v>1</v>
      </c>
      <c r="C210" s="2" t="s">
        <v>204</v>
      </c>
      <c r="D210" s="2">
        <f>Shift10!D208-Shift11!D208</f>
        <v>88982.489999999991</v>
      </c>
      <c r="E210" s="2">
        <f>Shift10!E208-Shift11!E208</f>
        <v>-94539.65</v>
      </c>
      <c r="F210" s="2">
        <f t="shared" si="6"/>
        <v>-5557.1600000000035</v>
      </c>
      <c r="G210" s="2">
        <f>Shift10!M208-Shift11!M208</f>
        <v>6842.74</v>
      </c>
      <c r="H210" s="3">
        <f t="shared" si="7"/>
        <v>1285.5799999999963</v>
      </c>
    </row>
    <row r="211" spans="1:8" x14ac:dyDescent="0.2">
      <c r="A211" s="5">
        <v>698</v>
      </c>
      <c r="B211" s="5">
        <v>1</v>
      </c>
      <c r="C211" s="2" t="s">
        <v>205</v>
      </c>
      <c r="D211" s="2">
        <f>Shift10!D209-Shift11!D209</f>
        <v>-2229.070000000007</v>
      </c>
      <c r="E211" s="2">
        <f>Shift10!E209-Shift11!E209</f>
        <v>0</v>
      </c>
      <c r="F211" s="2">
        <f t="shared" si="6"/>
        <v>-2229.070000000007</v>
      </c>
      <c r="G211" s="2">
        <f>Shift10!M209-Shift11!M209</f>
        <v>126.52000000000044</v>
      </c>
      <c r="H211" s="3">
        <f t="shared" si="7"/>
        <v>-2102.5500000000065</v>
      </c>
    </row>
    <row r="212" spans="1:8" x14ac:dyDescent="0.2">
      <c r="A212" s="5">
        <v>700</v>
      </c>
      <c r="B212" s="5">
        <v>1</v>
      </c>
      <c r="C212" s="2" t="s">
        <v>206</v>
      </c>
      <c r="D212" s="2">
        <f>Shift10!D210-Shift11!D210</f>
        <v>-6950</v>
      </c>
      <c r="E212" s="2">
        <f>Shift10!E210-Shift11!E210</f>
        <v>0</v>
      </c>
      <c r="F212" s="2">
        <f t="shared" si="6"/>
        <v>-6950</v>
      </c>
      <c r="G212" s="2">
        <f>Shift10!M210-Shift11!M210</f>
        <v>-11100.490000000005</v>
      </c>
      <c r="H212" s="3">
        <f t="shared" si="7"/>
        <v>-18050.490000000005</v>
      </c>
    </row>
    <row r="213" spans="1:8" x14ac:dyDescent="0.2">
      <c r="A213" s="5">
        <v>701</v>
      </c>
      <c r="B213" s="5">
        <v>1</v>
      </c>
      <c r="C213" s="2" t="s">
        <v>207</v>
      </c>
      <c r="D213" s="2">
        <f>Shift10!D211-Shift11!D211</f>
        <v>-115902.96</v>
      </c>
      <c r="E213" s="2">
        <f>Shift10!E211-Shift11!E211</f>
        <v>6176.3499999999767</v>
      </c>
      <c r="F213" s="2">
        <f t="shared" si="6"/>
        <v>-109726.61000000003</v>
      </c>
      <c r="G213" s="2">
        <f>Shift10!M211-Shift11!M211</f>
        <v>0</v>
      </c>
      <c r="H213" s="3">
        <f t="shared" si="7"/>
        <v>-109726.61000000003</v>
      </c>
    </row>
    <row r="214" spans="1:8" x14ac:dyDescent="0.2">
      <c r="A214" s="5">
        <v>704</v>
      </c>
      <c r="B214" s="5">
        <v>1</v>
      </c>
      <c r="C214" s="2" t="s">
        <v>208</v>
      </c>
      <c r="D214" s="2">
        <f>Shift10!D212-Shift11!D212</f>
        <v>-80109.979999999981</v>
      </c>
      <c r="E214" s="2">
        <f>Shift10!E212-Shift11!E212</f>
        <v>0</v>
      </c>
      <c r="F214" s="2">
        <f t="shared" si="6"/>
        <v>-80109.979999999981</v>
      </c>
      <c r="G214" s="2">
        <f>Shift10!M212-Shift11!M212</f>
        <v>-353.5</v>
      </c>
      <c r="H214" s="3">
        <f t="shared" si="7"/>
        <v>-80463.479999999981</v>
      </c>
    </row>
    <row r="215" spans="1:8" x14ac:dyDescent="0.2">
      <c r="A215" s="5">
        <v>706</v>
      </c>
      <c r="B215" s="5">
        <v>1</v>
      </c>
      <c r="C215" s="2" t="s">
        <v>209</v>
      </c>
      <c r="D215" s="2">
        <f>Shift10!D213-Shift11!D213</f>
        <v>-2974.3899999999994</v>
      </c>
      <c r="E215" s="2">
        <f>Shift10!E213-Shift11!E213</f>
        <v>-2156.2300000000396</v>
      </c>
      <c r="F215" s="2">
        <f t="shared" si="6"/>
        <v>-5130.620000000039</v>
      </c>
      <c r="G215" s="2">
        <f>Shift10!M213-Shift11!M213</f>
        <v>0</v>
      </c>
      <c r="H215" s="3">
        <f t="shared" si="7"/>
        <v>-5130.620000000039</v>
      </c>
    </row>
    <row r="216" spans="1:8" x14ac:dyDescent="0.2">
      <c r="A216" s="5">
        <v>707</v>
      </c>
      <c r="B216" s="5">
        <v>1</v>
      </c>
      <c r="C216" s="2" t="s">
        <v>210</v>
      </c>
      <c r="D216" s="2">
        <f>Shift10!D214-Shift11!D214</f>
        <v>-6374.18</v>
      </c>
      <c r="E216" s="2">
        <f>Shift10!E214-Shift11!E214</f>
        <v>-205.77</v>
      </c>
      <c r="F216" s="2">
        <f t="shared" si="6"/>
        <v>-6579.9500000000007</v>
      </c>
      <c r="G216" s="2">
        <f>Shift10!M214-Shift11!M214</f>
        <v>-47.370000000000005</v>
      </c>
      <c r="H216" s="3">
        <f t="shared" si="7"/>
        <v>-6627.3200000000006</v>
      </c>
    </row>
    <row r="217" spans="1:8" x14ac:dyDescent="0.2">
      <c r="A217" s="5">
        <v>709</v>
      </c>
      <c r="B217" s="5">
        <v>1</v>
      </c>
      <c r="C217" s="2" t="s">
        <v>211</v>
      </c>
      <c r="D217" s="2">
        <f>Shift10!D215-Shift11!D215</f>
        <v>-223303.48000000021</v>
      </c>
      <c r="E217" s="2">
        <f>Shift10!E215-Shift11!E215</f>
        <v>231473.99000000022</v>
      </c>
      <c r="F217" s="2">
        <f t="shared" si="6"/>
        <v>8170.5100000000093</v>
      </c>
      <c r="G217" s="2">
        <f>Shift10!M215-Shift11!M215</f>
        <v>-5833.3899999999558</v>
      </c>
      <c r="H217" s="3">
        <f t="shared" si="7"/>
        <v>2337.1200000000536</v>
      </c>
    </row>
    <row r="218" spans="1:8" x14ac:dyDescent="0.2">
      <c r="A218" s="5">
        <v>712</v>
      </c>
      <c r="B218" s="5">
        <v>1</v>
      </c>
      <c r="C218" s="2" t="s">
        <v>212</v>
      </c>
      <c r="D218" s="2">
        <f>Shift10!D216-Shift11!D216</f>
        <v>0</v>
      </c>
      <c r="E218" s="2">
        <f>Shift10!E216-Shift11!E216</f>
        <v>6182.3500000000058</v>
      </c>
      <c r="F218" s="2">
        <f t="shared" si="6"/>
        <v>6182.3500000000058</v>
      </c>
      <c r="G218" s="2">
        <f>Shift10!M216-Shift11!M216</f>
        <v>0</v>
      </c>
      <c r="H218" s="3">
        <f t="shared" si="7"/>
        <v>6182.3500000000058</v>
      </c>
    </row>
    <row r="219" spans="1:8" x14ac:dyDescent="0.2">
      <c r="A219" s="5">
        <v>716</v>
      </c>
      <c r="B219" s="5">
        <v>1</v>
      </c>
      <c r="C219" s="2" t="s">
        <v>213</v>
      </c>
      <c r="D219" s="2">
        <f>Shift10!D217-Shift11!D217</f>
        <v>27406.200000000012</v>
      </c>
      <c r="E219" s="2">
        <f>Shift10!E217-Shift11!E217</f>
        <v>-7103.4200000000128</v>
      </c>
      <c r="F219" s="2">
        <f t="shared" si="6"/>
        <v>20302.78</v>
      </c>
      <c r="G219" s="2">
        <f>Shift10!M217-Shift11!M217</f>
        <v>7242.6599999999962</v>
      </c>
      <c r="H219" s="3">
        <f t="shared" si="7"/>
        <v>27545.439999999995</v>
      </c>
    </row>
    <row r="220" spans="1:8" x14ac:dyDescent="0.2">
      <c r="A220" s="5">
        <v>717</v>
      </c>
      <c r="B220" s="5">
        <v>1</v>
      </c>
      <c r="C220" s="2" t="s">
        <v>214</v>
      </c>
      <c r="D220" s="2">
        <f>Shift10!D218-Shift11!D218</f>
        <v>-183127.86000000004</v>
      </c>
      <c r="E220" s="2">
        <f>Shift10!E218-Shift11!E218</f>
        <v>37032.020000000019</v>
      </c>
      <c r="F220" s="2">
        <f t="shared" si="6"/>
        <v>-146095.84000000003</v>
      </c>
      <c r="G220" s="2">
        <f>Shift10!M218-Shift11!M218</f>
        <v>1422.0899999999965</v>
      </c>
      <c r="H220" s="3">
        <f t="shared" si="7"/>
        <v>-144673.75000000003</v>
      </c>
    </row>
    <row r="221" spans="1:8" x14ac:dyDescent="0.2">
      <c r="A221" s="5">
        <v>719</v>
      </c>
      <c r="B221" s="5">
        <v>1</v>
      </c>
      <c r="C221" s="2" t="s">
        <v>342</v>
      </c>
      <c r="D221" s="2">
        <f>Shift10!D219-Shift11!D219</f>
        <v>-157925.6100000001</v>
      </c>
      <c r="E221" s="2">
        <f>Shift10!E219-Shift11!E219</f>
        <v>-145367.47999999952</v>
      </c>
      <c r="F221" s="2">
        <f t="shared" si="6"/>
        <v>-303293.08999999962</v>
      </c>
      <c r="G221" s="2">
        <f>Shift10!M219-Shift11!M219</f>
        <v>15312.830000000016</v>
      </c>
      <c r="H221" s="3">
        <f t="shared" si="7"/>
        <v>-287980.2599999996</v>
      </c>
    </row>
    <row r="222" spans="1:8" x14ac:dyDescent="0.2">
      <c r="A222" s="5">
        <v>720</v>
      </c>
      <c r="B222" s="5">
        <v>1</v>
      </c>
      <c r="C222" s="2" t="s">
        <v>216</v>
      </c>
      <c r="D222" s="2">
        <f>Shift10!D220-Shift11!D220</f>
        <v>113312.32000000007</v>
      </c>
      <c r="E222" s="2">
        <f>Shift10!E220-Shift11!E220</f>
        <v>107924.20000000019</v>
      </c>
      <c r="F222" s="2">
        <f t="shared" si="6"/>
        <v>221236.52000000025</v>
      </c>
      <c r="G222" s="2">
        <f>Shift10!M220-Shift11!M220</f>
        <v>-15884.070000000007</v>
      </c>
      <c r="H222" s="3">
        <f t="shared" si="7"/>
        <v>205352.45000000024</v>
      </c>
    </row>
    <row r="223" spans="1:8" x14ac:dyDescent="0.2">
      <c r="A223" s="5">
        <v>721</v>
      </c>
      <c r="B223" s="5">
        <v>1</v>
      </c>
      <c r="C223" s="2" t="s">
        <v>217</v>
      </c>
      <c r="D223" s="2">
        <f>Shift10!D221-Shift11!D221</f>
        <v>280668.42999999993</v>
      </c>
      <c r="E223" s="2">
        <f>Shift10!E221-Shift11!E221</f>
        <v>94658.660000000149</v>
      </c>
      <c r="F223" s="2">
        <f t="shared" si="6"/>
        <v>375327.09000000008</v>
      </c>
      <c r="G223" s="2">
        <f>Shift10!M221-Shift11!M221</f>
        <v>-25.289999999993597</v>
      </c>
      <c r="H223" s="3">
        <f t="shared" si="7"/>
        <v>375301.8000000001</v>
      </c>
    </row>
    <row r="224" spans="1:8" x14ac:dyDescent="0.2">
      <c r="A224" s="5">
        <v>726</v>
      </c>
      <c r="B224" s="5">
        <v>1</v>
      </c>
      <c r="C224" s="2" t="s">
        <v>218</v>
      </c>
      <c r="D224" s="2">
        <f>Shift10!D222-Shift11!D222</f>
        <v>161138.16000000003</v>
      </c>
      <c r="E224" s="2">
        <f>Shift10!E222-Shift11!E222</f>
        <v>9484.7399999999907</v>
      </c>
      <c r="F224" s="2">
        <f t="shared" si="6"/>
        <v>170622.90000000002</v>
      </c>
      <c r="G224" s="2">
        <f>Shift10!M222-Shift11!M222</f>
        <v>-4049.5500000000029</v>
      </c>
      <c r="H224" s="3">
        <f t="shared" si="7"/>
        <v>166573.35000000003</v>
      </c>
    </row>
    <row r="225" spans="1:8" x14ac:dyDescent="0.2">
      <c r="A225" s="5">
        <v>727</v>
      </c>
      <c r="B225" s="5">
        <v>1</v>
      </c>
      <c r="C225" s="2" t="s">
        <v>219</v>
      </c>
      <c r="D225" s="2">
        <f>Shift10!D223-Shift11!D223</f>
        <v>-158683.00000000006</v>
      </c>
      <c r="E225" s="2">
        <f>Shift10!E223-Shift11!E223</f>
        <v>24507.440000000061</v>
      </c>
      <c r="F225" s="2">
        <f t="shared" si="6"/>
        <v>-134175.56</v>
      </c>
      <c r="G225" s="2">
        <f>Shift10!M223-Shift11!M223</f>
        <v>5522.1100000000006</v>
      </c>
      <c r="H225" s="3">
        <f t="shared" si="7"/>
        <v>-128653.45</v>
      </c>
    </row>
    <row r="226" spans="1:8" x14ac:dyDescent="0.2">
      <c r="A226" s="5">
        <v>728</v>
      </c>
      <c r="B226" s="5">
        <v>1</v>
      </c>
      <c r="C226" s="2" t="s">
        <v>220</v>
      </c>
      <c r="D226" s="2">
        <f>Shift10!D224-Shift11!D224</f>
        <v>-934743.15000000037</v>
      </c>
      <c r="E226" s="2">
        <f>Shift10!E224-Shift11!E224</f>
        <v>334726.04000000004</v>
      </c>
      <c r="F226" s="2">
        <f t="shared" si="6"/>
        <v>-600017.11000000034</v>
      </c>
      <c r="G226" s="2">
        <f>Shift10!M224-Shift11!M224</f>
        <v>16888.25</v>
      </c>
      <c r="H226" s="3">
        <f t="shared" si="7"/>
        <v>-583128.86000000034</v>
      </c>
    </row>
    <row r="227" spans="1:8" x14ac:dyDescent="0.2">
      <c r="A227" s="5">
        <v>738</v>
      </c>
      <c r="B227" s="5">
        <v>1</v>
      </c>
      <c r="C227" s="2" t="s">
        <v>221</v>
      </c>
      <c r="D227" s="2">
        <f>Shift10!D225-Shift11!D225</f>
        <v>-94640.949999999983</v>
      </c>
      <c r="E227" s="2">
        <f>Shift10!E225-Shift11!E225</f>
        <v>3002.4799999999814</v>
      </c>
      <c r="F227" s="2">
        <f t="shared" si="6"/>
        <v>-91638.47</v>
      </c>
      <c r="G227" s="2">
        <f>Shift10!M225-Shift11!M225</f>
        <v>4150.7400000000016</v>
      </c>
      <c r="H227" s="3">
        <f t="shared" si="7"/>
        <v>-87487.73</v>
      </c>
    </row>
    <row r="228" spans="1:8" x14ac:dyDescent="0.2">
      <c r="A228" s="5">
        <v>739</v>
      </c>
      <c r="B228" s="5">
        <v>1</v>
      </c>
      <c r="C228" s="2" t="s">
        <v>222</v>
      </c>
      <c r="D228" s="2">
        <f>Shift10!D226-Shift11!D226</f>
        <v>18991.510000000009</v>
      </c>
      <c r="E228" s="2">
        <f>Shift10!E226-Shift11!E226</f>
        <v>-1555.5500000000466</v>
      </c>
      <c r="F228" s="2">
        <f t="shared" si="6"/>
        <v>17435.959999999963</v>
      </c>
      <c r="G228" s="2">
        <f>Shift10!M226-Shift11!M226</f>
        <v>-177.90000000000146</v>
      </c>
      <c r="H228" s="3">
        <f t="shared" si="7"/>
        <v>17258.059999999961</v>
      </c>
    </row>
    <row r="229" spans="1:8" x14ac:dyDescent="0.2">
      <c r="A229" s="5">
        <v>740</v>
      </c>
      <c r="B229" s="5">
        <v>1</v>
      </c>
      <c r="C229" s="2" t="s">
        <v>223</v>
      </c>
      <c r="D229" s="2">
        <f>Shift10!D227-Shift11!D227</f>
        <v>32129.930000000022</v>
      </c>
      <c r="E229" s="2">
        <f>Shift10!E227-Shift11!E227</f>
        <v>-1562.9700000000303</v>
      </c>
      <c r="F229" s="2">
        <f t="shared" si="6"/>
        <v>30566.959999999992</v>
      </c>
      <c r="G229" s="2">
        <f>Shift10!M227-Shift11!M227</f>
        <v>-749.79000000000087</v>
      </c>
      <c r="H229" s="3">
        <f t="shared" si="7"/>
        <v>29817.169999999991</v>
      </c>
    </row>
    <row r="230" spans="1:8" x14ac:dyDescent="0.2">
      <c r="A230" s="5">
        <v>741</v>
      </c>
      <c r="B230" s="5">
        <v>1</v>
      </c>
      <c r="C230" s="2" t="s">
        <v>224</v>
      </c>
      <c r="D230" s="2">
        <f>Shift10!D228-Shift11!D228</f>
        <v>-2577.7000000000116</v>
      </c>
      <c r="E230" s="2">
        <f>Shift10!E228-Shift11!E228</f>
        <v>6348.1399999999703</v>
      </c>
      <c r="F230" s="2">
        <f t="shared" si="6"/>
        <v>3770.4399999999587</v>
      </c>
      <c r="G230" s="2">
        <f>Shift10!M228-Shift11!M228</f>
        <v>1599.739999999998</v>
      </c>
      <c r="H230" s="3">
        <f t="shared" si="7"/>
        <v>5370.1799999999566</v>
      </c>
    </row>
    <row r="231" spans="1:8" x14ac:dyDescent="0.2">
      <c r="A231" s="5">
        <v>742</v>
      </c>
      <c r="B231" s="5">
        <v>1</v>
      </c>
      <c r="C231" s="2" t="s">
        <v>225</v>
      </c>
      <c r="D231" s="2">
        <f>Shift10!D229-Shift11!D229</f>
        <v>-752613.44</v>
      </c>
      <c r="E231" s="2">
        <f>Shift10!E229-Shift11!E229</f>
        <v>-399265.33000000031</v>
      </c>
      <c r="F231" s="2">
        <f t="shared" si="6"/>
        <v>-1151878.7700000003</v>
      </c>
      <c r="G231" s="2">
        <f>Shift10!M229-Shift11!M229</f>
        <v>-3734.6600000000326</v>
      </c>
      <c r="H231" s="3">
        <f t="shared" si="7"/>
        <v>-1155613.4300000002</v>
      </c>
    </row>
    <row r="232" spans="1:8" x14ac:dyDescent="0.2">
      <c r="A232" s="5">
        <v>743</v>
      </c>
      <c r="B232" s="5">
        <v>1</v>
      </c>
      <c r="C232" s="2" t="s">
        <v>226</v>
      </c>
      <c r="D232" s="2">
        <f>Shift10!D230-Shift11!D230</f>
        <v>18689.73000000001</v>
      </c>
      <c r="E232" s="2">
        <f>Shift10!E230-Shift11!E230</f>
        <v>-45100.229999999981</v>
      </c>
      <c r="F232" s="2">
        <f t="shared" si="6"/>
        <v>-26410.499999999971</v>
      </c>
      <c r="G232" s="2">
        <f>Shift10!M230-Shift11!M230</f>
        <v>-2230.2799999999988</v>
      </c>
      <c r="H232" s="3">
        <f t="shared" si="7"/>
        <v>-28640.77999999997</v>
      </c>
    </row>
    <row r="233" spans="1:8" x14ac:dyDescent="0.2">
      <c r="A233" s="5">
        <v>745</v>
      </c>
      <c r="B233" s="5">
        <v>1</v>
      </c>
      <c r="C233" s="2" t="s">
        <v>227</v>
      </c>
      <c r="D233" s="2">
        <f>Shift10!D231-Shift11!D231</f>
        <v>25414.97</v>
      </c>
      <c r="E233" s="2">
        <f>Shift10!E231-Shift11!E231</f>
        <v>10462.600000000035</v>
      </c>
      <c r="F233" s="2">
        <f t="shared" si="6"/>
        <v>35877.570000000036</v>
      </c>
      <c r="G233" s="2">
        <f>Shift10!M231-Shift11!M231</f>
        <v>-888.98999999999796</v>
      </c>
      <c r="H233" s="3">
        <f t="shared" si="7"/>
        <v>34988.580000000038</v>
      </c>
    </row>
    <row r="234" spans="1:8" x14ac:dyDescent="0.2">
      <c r="A234" s="5">
        <v>748</v>
      </c>
      <c r="B234" s="5">
        <v>1</v>
      </c>
      <c r="C234" s="2" t="s">
        <v>228</v>
      </c>
      <c r="D234" s="2">
        <f>Shift10!D232-Shift11!D232</f>
        <v>42273.399999999965</v>
      </c>
      <c r="E234" s="2">
        <f>Shift10!E232-Shift11!E232</f>
        <v>-523993.98</v>
      </c>
      <c r="F234" s="2">
        <f t="shared" si="6"/>
        <v>-481720.58</v>
      </c>
      <c r="G234" s="2">
        <f>Shift10!M232-Shift11!M232</f>
        <v>-7755.5500000000029</v>
      </c>
      <c r="H234" s="3">
        <f t="shared" si="7"/>
        <v>-489476.13</v>
      </c>
    </row>
    <row r="235" spans="1:8" x14ac:dyDescent="0.2">
      <c r="A235" s="5">
        <v>750</v>
      </c>
      <c r="B235" s="5">
        <v>1</v>
      </c>
      <c r="C235" s="2" t="s">
        <v>229</v>
      </c>
      <c r="D235" s="2">
        <f>Shift10!D233-Shift11!D233</f>
        <v>-3254.640000000014</v>
      </c>
      <c r="E235" s="2">
        <f>Shift10!E233-Shift11!E233</f>
        <v>137831.17000000004</v>
      </c>
      <c r="F235" s="2">
        <f t="shared" si="6"/>
        <v>134576.53000000003</v>
      </c>
      <c r="G235" s="2">
        <f>Shift10!M233-Shift11!M233</f>
        <v>3061.1499999999942</v>
      </c>
      <c r="H235" s="3">
        <f t="shared" si="7"/>
        <v>137637.68000000002</v>
      </c>
    </row>
    <row r="236" spans="1:8" x14ac:dyDescent="0.2">
      <c r="A236" s="5">
        <v>756</v>
      </c>
      <c r="B236" s="5">
        <v>1</v>
      </c>
      <c r="C236" s="2" t="s">
        <v>230</v>
      </c>
      <c r="D236" s="2">
        <f>Shift10!D234-Shift11!D234</f>
        <v>9453.9199999999837</v>
      </c>
      <c r="E236" s="2">
        <f>Shift10!E234-Shift11!E234</f>
        <v>-10315.049999999988</v>
      </c>
      <c r="F236" s="2">
        <f t="shared" si="6"/>
        <v>-861.13000000000466</v>
      </c>
      <c r="G236" s="2">
        <f>Shift10!M234-Shift11!M234</f>
        <v>-710.18999999999869</v>
      </c>
      <c r="H236" s="3">
        <f t="shared" si="7"/>
        <v>-1571.3200000000033</v>
      </c>
    </row>
    <row r="237" spans="1:8" x14ac:dyDescent="0.2">
      <c r="A237" s="5">
        <v>761</v>
      </c>
      <c r="B237" s="5">
        <v>1</v>
      </c>
      <c r="C237" s="2" t="s">
        <v>231</v>
      </c>
      <c r="D237" s="2">
        <f>Shift10!D235-Shift11!D235</f>
        <v>2787.8800000000047</v>
      </c>
      <c r="E237" s="2">
        <f>Shift10!E235-Shift11!E235</f>
        <v>66396.160000000265</v>
      </c>
      <c r="F237" s="2">
        <f t="shared" si="6"/>
        <v>69184.04000000027</v>
      </c>
      <c r="G237" s="2">
        <f>Shift10!M235-Shift11!M235</f>
        <v>-3541.3199999999779</v>
      </c>
      <c r="H237" s="3">
        <f t="shared" si="7"/>
        <v>65642.720000000292</v>
      </c>
    </row>
    <row r="238" spans="1:8" x14ac:dyDescent="0.2">
      <c r="A238" s="5">
        <v>763</v>
      </c>
      <c r="B238" s="5">
        <v>1</v>
      </c>
      <c r="C238" s="2" t="s">
        <v>232</v>
      </c>
      <c r="D238" s="2">
        <f>Shift10!D236-Shift11!D236</f>
        <v>13836.330000000002</v>
      </c>
      <c r="E238" s="2">
        <f>Shift10!E236-Shift11!E236</f>
        <v>0</v>
      </c>
      <c r="F238" s="2">
        <f t="shared" si="6"/>
        <v>13836.330000000002</v>
      </c>
      <c r="G238" s="2">
        <f>Shift10!M236-Shift11!M236</f>
        <v>-515.09000000000015</v>
      </c>
      <c r="H238" s="3">
        <f t="shared" si="7"/>
        <v>13321.240000000002</v>
      </c>
    </row>
    <row r="239" spans="1:8" x14ac:dyDescent="0.2">
      <c r="A239" s="5">
        <v>768</v>
      </c>
      <c r="B239" s="5">
        <v>1</v>
      </c>
      <c r="C239" s="2" t="s">
        <v>233</v>
      </c>
      <c r="D239" s="2">
        <f>Shift10!D237-Shift11!D237</f>
        <v>-7648.2400000000052</v>
      </c>
      <c r="E239" s="2">
        <f>Shift10!E237-Shift11!E237</f>
        <v>-1586.1700000000128</v>
      </c>
      <c r="F239" s="2">
        <f t="shared" si="6"/>
        <v>-9234.410000000018</v>
      </c>
      <c r="G239" s="2">
        <f>Shift10!M237-Shift11!M237</f>
        <v>-236.89000000000033</v>
      </c>
      <c r="H239" s="3">
        <f t="shared" si="7"/>
        <v>-9471.3000000000175</v>
      </c>
    </row>
    <row r="240" spans="1:8" x14ac:dyDescent="0.2">
      <c r="A240" s="5">
        <v>769</v>
      </c>
      <c r="B240" s="5">
        <v>1</v>
      </c>
      <c r="C240" s="2" t="s">
        <v>234</v>
      </c>
      <c r="D240" s="2">
        <f>Shift10!D238-Shift11!D238</f>
        <v>-37234.94</v>
      </c>
      <c r="E240" s="2">
        <f>Shift10!E238-Shift11!E238</f>
        <v>-9810.8499999999767</v>
      </c>
      <c r="F240" s="2">
        <f t="shared" si="6"/>
        <v>-47045.789999999979</v>
      </c>
      <c r="G240" s="2">
        <f>Shift10!M238-Shift11!M238</f>
        <v>-8.5</v>
      </c>
      <c r="H240" s="3">
        <f t="shared" si="7"/>
        <v>-47054.289999999979</v>
      </c>
    </row>
    <row r="241" spans="1:8" x14ac:dyDescent="0.2">
      <c r="A241" s="5">
        <v>771</v>
      </c>
      <c r="B241" s="5">
        <v>1</v>
      </c>
      <c r="C241" s="2" t="s">
        <v>235</v>
      </c>
      <c r="D241" s="2">
        <f>Shift10!D239-Shift11!D239</f>
        <v>-9781.0999999999985</v>
      </c>
      <c r="E241" s="2">
        <f>Shift10!E239-Shift11!E239</f>
        <v>-23562.25</v>
      </c>
      <c r="F241" s="2">
        <f t="shared" si="6"/>
        <v>-33343.35</v>
      </c>
      <c r="G241" s="2">
        <f>Shift10!M239-Shift11!M239</f>
        <v>1156.7100000000009</v>
      </c>
      <c r="H241" s="3">
        <f t="shared" si="7"/>
        <v>-32186.639999999999</v>
      </c>
    </row>
    <row r="242" spans="1:8" x14ac:dyDescent="0.2">
      <c r="A242" s="5">
        <v>775</v>
      </c>
      <c r="B242" s="5">
        <v>1</v>
      </c>
      <c r="C242" s="2" t="s">
        <v>236</v>
      </c>
      <c r="D242" s="2">
        <f>Shift10!D240-Shift11!D240</f>
        <v>1721.8299999999872</v>
      </c>
      <c r="E242" s="2">
        <f>Shift10!E240-Shift11!E240</f>
        <v>-1735.9199999999983</v>
      </c>
      <c r="F242" s="2">
        <f t="shared" si="6"/>
        <v>-14.090000000011059</v>
      </c>
      <c r="G242" s="2">
        <f>Shift10!M240-Shift11!M240</f>
        <v>1855.0200000000004</v>
      </c>
      <c r="H242" s="3">
        <f t="shared" si="7"/>
        <v>1840.9299999999894</v>
      </c>
    </row>
    <row r="243" spans="1:8" x14ac:dyDescent="0.2">
      <c r="A243" s="5">
        <v>777</v>
      </c>
      <c r="B243" s="5">
        <v>1</v>
      </c>
      <c r="C243" s="2" t="s">
        <v>237</v>
      </c>
      <c r="D243" s="2">
        <f>Shift10!D241-Shift11!D241</f>
        <v>-6348.7699999999895</v>
      </c>
      <c r="E243" s="2">
        <f>Shift10!E241-Shift11!E241</f>
        <v>-45554.140000000014</v>
      </c>
      <c r="F243" s="2">
        <f t="shared" si="6"/>
        <v>-51902.91</v>
      </c>
      <c r="G243" s="2">
        <f>Shift10!M241-Shift11!M241</f>
        <v>4832.16</v>
      </c>
      <c r="H243" s="3">
        <f t="shared" si="7"/>
        <v>-47070.75</v>
      </c>
    </row>
    <row r="244" spans="1:8" x14ac:dyDescent="0.2">
      <c r="A244" s="5">
        <v>786</v>
      </c>
      <c r="B244" s="5">
        <v>1</v>
      </c>
      <c r="C244" s="2" t="s">
        <v>238</v>
      </c>
      <c r="D244" s="2">
        <f>Shift10!D242-Shift11!D242</f>
        <v>15504.990000000005</v>
      </c>
      <c r="E244" s="2">
        <f>Shift10!E242-Shift11!E242</f>
        <v>-7401.7799999999988</v>
      </c>
      <c r="F244" s="2">
        <f t="shared" si="6"/>
        <v>8103.2100000000064</v>
      </c>
      <c r="G244" s="2">
        <f>Shift10!M242-Shift11!M242</f>
        <v>12540.74</v>
      </c>
      <c r="H244" s="3">
        <f t="shared" si="7"/>
        <v>20643.950000000004</v>
      </c>
    </row>
    <row r="245" spans="1:8" x14ac:dyDescent="0.2">
      <c r="A245" s="5">
        <v>787</v>
      </c>
      <c r="B245" s="5">
        <v>1</v>
      </c>
      <c r="C245" s="2" t="s">
        <v>239</v>
      </c>
      <c r="D245" s="2">
        <f>Shift10!D243-Shift11!D243</f>
        <v>2530.8300000000017</v>
      </c>
      <c r="E245" s="2">
        <f>Shift10!E243-Shift11!E243</f>
        <v>0</v>
      </c>
      <c r="F245" s="2">
        <f t="shared" si="6"/>
        <v>2530.8300000000017</v>
      </c>
      <c r="G245" s="2">
        <f>Shift10!M243-Shift11!M243</f>
        <v>9374.4500000000007</v>
      </c>
      <c r="H245" s="3">
        <f t="shared" si="7"/>
        <v>11905.280000000002</v>
      </c>
    </row>
    <row r="246" spans="1:8" x14ac:dyDescent="0.2">
      <c r="A246" s="5">
        <v>801</v>
      </c>
      <c r="B246" s="5">
        <v>1</v>
      </c>
      <c r="C246" s="2" t="s">
        <v>240</v>
      </c>
      <c r="D246" s="2">
        <f>Shift10!D244-Shift11!D244</f>
        <v>-4284.5099999999984</v>
      </c>
      <c r="E246" s="2">
        <f>Shift10!E244-Shift11!E244</f>
        <v>0</v>
      </c>
      <c r="F246" s="2">
        <f t="shared" si="6"/>
        <v>-4284.5099999999984</v>
      </c>
      <c r="G246" s="2">
        <f>Shift10!M244-Shift11!M244</f>
        <v>246.18000000000029</v>
      </c>
      <c r="H246" s="3">
        <f t="shared" si="7"/>
        <v>-4038.3299999999981</v>
      </c>
    </row>
    <row r="247" spans="1:8" x14ac:dyDescent="0.2">
      <c r="A247" s="5">
        <v>803</v>
      </c>
      <c r="B247" s="5">
        <v>1</v>
      </c>
      <c r="C247" s="2" t="s">
        <v>241</v>
      </c>
      <c r="D247" s="2">
        <f>Shift10!D245-Shift11!D245</f>
        <v>-18782.809999999998</v>
      </c>
      <c r="E247" s="2">
        <f>Shift10!E245-Shift11!E245</f>
        <v>-115215.81000000001</v>
      </c>
      <c r="F247" s="2">
        <f t="shared" si="6"/>
        <v>-133998.62</v>
      </c>
      <c r="G247" s="2">
        <f>Shift10!M245-Shift11!M245</f>
        <v>830.29999999999927</v>
      </c>
      <c r="H247" s="3">
        <f t="shared" si="7"/>
        <v>-133168.32000000001</v>
      </c>
    </row>
    <row r="248" spans="1:8" x14ac:dyDescent="0.2">
      <c r="A248" s="5">
        <v>811</v>
      </c>
      <c r="B248" s="5">
        <v>1</v>
      </c>
      <c r="C248" s="2" t="s">
        <v>242</v>
      </c>
      <c r="D248" s="2">
        <f>Shift10!D246-Shift11!D246</f>
        <v>49764.049999999988</v>
      </c>
      <c r="E248" s="2">
        <f>Shift10!E246-Shift11!E246</f>
        <v>95841.139999999956</v>
      </c>
      <c r="F248" s="2">
        <f t="shared" si="6"/>
        <v>145605.18999999994</v>
      </c>
      <c r="G248" s="2">
        <f>Shift10!M246-Shift11!M246</f>
        <v>546.2699999999968</v>
      </c>
      <c r="H248" s="3">
        <f t="shared" si="7"/>
        <v>146151.45999999993</v>
      </c>
    </row>
    <row r="249" spans="1:8" x14ac:dyDescent="0.2">
      <c r="A249" s="5">
        <v>813</v>
      </c>
      <c r="B249" s="5">
        <v>1</v>
      </c>
      <c r="C249" s="2" t="s">
        <v>243</v>
      </c>
      <c r="D249" s="2">
        <f>Shift10!D247-Shift11!D247</f>
        <v>-51581.56</v>
      </c>
      <c r="E249" s="2">
        <f>Shift10!E247-Shift11!E247</f>
        <v>-12324.479999999981</v>
      </c>
      <c r="F249" s="2">
        <f t="shared" si="6"/>
        <v>-63906.039999999979</v>
      </c>
      <c r="G249" s="2">
        <f>Shift10!M247-Shift11!M247</f>
        <v>696.43999999999505</v>
      </c>
      <c r="H249" s="3">
        <f t="shared" si="7"/>
        <v>-63209.599999999984</v>
      </c>
    </row>
    <row r="250" spans="1:8" x14ac:dyDescent="0.2">
      <c r="A250" s="5">
        <v>815</v>
      </c>
      <c r="B250" s="5">
        <v>2</v>
      </c>
      <c r="C250" s="2" t="s">
        <v>244</v>
      </c>
      <c r="D250" s="2">
        <f>Shift10!D248-Shift11!D248</f>
        <v>-1345.13</v>
      </c>
      <c r="E250" s="2">
        <f>Shift10!E248-Shift11!E248</f>
        <v>8759.73</v>
      </c>
      <c r="F250" s="2">
        <f t="shared" si="6"/>
        <v>7414.5999999999995</v>
      </c>
      <c r="G250" s="2">
        <f>Shift10!M248-Shift11!M248</f>
        <v>0</v>
      </c>
      <c r="H250" s="3">
        <f t="shared" si="7"/>
        <v>7414.5999999999995</v>
      </c>
    </row>
    <row r="251" spans="1:8" x14ac:dyDescent="0.2">
      <c r="A251" s="5">
        <v>818</v>
      </c>
      <c r="B251" s="5">
        <v>1</v>
      </c>
      <c r="C251" s="2" t="s">
        <v>245</v>
      </c>
      <c r="D251" s="2">
        <f>Shift10!D249-Shift11!D249</f>
        <v>-1629.8199999999997</v>
      </c>
      <c r="E251" s="2">
        <f>Shift10!E249-Shift11!E249</f>
        <v>0</v>
      </c>
      <c r="F251" s="2">
        <f t="shared" si="6"/>
        <v>-1629.8199999999997</v>
      </c>
      <c r="G251" s="2">
        <f>Shift10!M249-Shift11!M249</f>
        <v>-3191.5600000000004</v>
      </c>
      <c r="H251" s="3">
        <f t="shared" si="7"/>
        <v>-4821.38</v>
      </c>
    </row>
    <row r="252" spans="1:8" x14ac:dyDescent="0.2">
      <c r="A252" s="5">
        <v>820</v>
      </c>
      <c r="B252" s="5">
        <v>1</v>
      </c>
      <c r="C252" s="2" t="s">
        <v>246</v>
      </c>
      <c r="D252" s="2">
        <f>Shift10!D250-Shift11!D250</f>
        <v>122.50999999999476</v>
      </c>
      <c r="E252" s="2">
        <f>Shift10!E250-Shift11!E250</f>
        <v>8616.289999999979</v>
      </c>
      <c r="F252" s="2">
        <f t="shared" si="6"/>
        <v>8738.7999999999738</v>
      </c>
      <c r="G252" s="2">
        <f>Shift10!M250-Shift11!M250</f>
        <v>84.559999999997672</v>
      </c>
      <c r="H252" s="3">
        <f t="shared" si="7"/>
        <v>8823.3599999999715</v>
      </c>
    </row>
    <row r="253" spans="1:8" x14ac:dyDescent="0.2">
      <c r="A253" s="5">
        <v>821</v>
      </c>
      <c r="B253" s="5">
        <v>1</v>
      </c>
      <c r="C253" s="2" t="s">
        <v>247</v>
      </c>
      <c r="D253" s="2">
        <f>Shift10!D251-Shift11!D251</f>
        <v>144320.46</v>
      </c>
      <c r="E253" s="2">
        <f>Shift10!E251-Shift11!E251</f>
        <v>0</v>
      </c>
      <c r="F253" s="2">
        <f t="shared" si="6"/>
        <v>144320.46</v>
      </c>
      <c r="G253" s="2">
        <f>Shift10!M251-Shift11!M251</f>
        <v>-810.16000000000349</v>
      </c>
      <c r="H253" s="3">
        <f t="shared" si="7"/>
        <v>143510.29999999999</v>
      </c>
    </row>
    <row r="254" spans="1:8" x14ac:dyDescent="0.2">
      <c r="A254" s="5">
        <v>829</v>
      </c>
      <c r="B254" s="5">
        <v>1</v>
      </c>
      <c r="C254" s="2" t="s">
        <v>248</v>
      </c>
      <c r="D254" s="2">
        <f>Shift10!D252-Shift11!D252</f>
        <v>-22530.340000000026</v>
      </c>
      <c r="E254" s="2">
        <f>Shift10!E252-Shift11!E252</f>
        <v>-401740.4</v>
      </c>
      <c r="F254" s="2">
        <f t="shared" si="6"/>
        <v>-424270.74000000005</v>
      </c>
      <c r="G254" s="2">
        <f>Shift10!M252-Shift11!M252</f>
        <v>3023.4100000000035</v>
      </c>
      <c r="H254" s="3">
        <f t="shared" si="7"/>
        <v>-421247.33000000007</v>
      </c>
    </row>
    <row r="255" spans="1:8" x14ac:dyDescent="0.2">
      <c r="A255" s="5">
        <v>831</v>
      </c>
      <c r="B255" s="5">
        <v>1</v>
      </c>
      <c r="C255" s="2" t="s">
        <v>249</v>
      </c>
      <c r="D255" s="2">
        <f>Shift10!D253-Shift11!D253</f>
        <v>260935.60999999987</v>
      </c>
      <c r="E255" s="2">
        <f>Shift10!E253-Shift11!E253</f>
        <v>20212.740000000224</v>
      </c>
      <c r="F255" s="2">
        <f t="shared" si="6"/>
        <v>281148.35000000009</v>
      </c>
      <c r="G255" s="2">
        <f>Shift10!M253-Shift11!M253</f>
        <v>-15137.929999999993</v>
      </c>
      <c r="H255" s="3">
        <f t="shared" si="7"/>
        <v>266010.4200000001</v>
      </c>
    </row>
    <row r="256" spans="1:8" x14ac:dyDescent="0.2">
      <c r="A256" s="5">
        <v>832</v>
      </c>
      <c r="B256" s="5">
        <v>1</v>
      </c>
      <c r="C256" s="2" t="s">
        <v>250</v>
      </c>
      <c r="D256" s="2">
        <f>Shift10!D254-Shift11!D254</f>
        <v>104959.03000000003</v>
      </c>
      <c r="E256" s="2">
        <f>Shift10!E254-Shift11!E254</f>
        <v>48614.580000000075</v>
      </c>
      <c r="F256" s="2">
        <f t="shared" si="6"/>
        <v>153573.6100000001</v>
      </c>
      <c r="G256" s="2">
        <f>Shift10!M254-Shift11!M254</f>
        <v>615.77000000000407</v>
      </c>
      <c r="H256" s="3">
        <f t="shared" si="7"/>
        <v>154189.38000000012</v>
      </c>
    </row>
    <row r="257" spans="1:8" x14ac:dyDescent="0.2">
      <c r="A257" s="5">
        <v>833</v>
      </c>
      <c r="B257" s="5">
        <v>1</v>
      </c>
      <c r="C257" s="2" t="s">
        <v>251</v>
      </c>
      <c r="D257" s="2">
        <f>Shift10!D255-Shift11!D255</f>
        <v>-209489.23000000045</v>
      </c>
      <c r="E257" s="2">
        <f>Shift10!E255-Shift11!E255</f>
        <v>176239.14999999944</v>
      </c>
      <c r="F257" s="2">
        <f t="shared" si="6"/>
        <v>-33250.080000001006</v>
      </c>
      <c r="G257" s="2">
        <f>Shift10!M255-Shift11!M255</f>
        <v>26918.560000000056</v>
      </c>
      <c r="H257" s="3">
        <f t="shared" si="7"/>
        <v>-6331.5200000009499</v>
      </c>
    </row>
    <row r="258" spans="1:8" x14ac:dyDescent="0.2">
      <c r="A258" s="5">
        <v>834</v>
      </c>
      <c r="B258" s="5">
        <v>1</v>
      </c>
      <c r="C258" s="2" t="s">
        <v>252</v>
      </c>
      <c r="D258" s="2">
        <f>Shift10!D256-Shift11!D256</f>
        <v>-60641.85999999987</v>
      </c>
      <c r="E258" s="2">
        <f>Shift10!E256-Shift11!E256</f>
        <v>-512658.0699999989</v>
      </c>
      <c r="F258" s="2">
        <f t="shared" si="6"/>
        <v>-573299.92999999877</v>
      </c>
      <c r="G258" s="2">
        <f>Shift10!M256-Shift11!M256</f>
        <v>5496.6600000000326</v>
      </c>
      <c r="H258" s="3">
        <f t="shared" si="7"/>
        <v>-567803.26999999874</v>
      </c>
    </row>
    <row r="259" spans="1:8" x14ac:dyDescent="0.2">
      <c r="A259" s="5">
        <v>836</v>
      </c>
      <c r="B259" s="5">
        <v>1</v>
      </c>
      <c r="C259" s="2" t="s">
        <v>253</v>
      </c>
      <c r="D259" s="2">
        <f>Shift10!D257-Shift11!D257</f>
        <v>29976.209999999992</v>
      </c>
      <c r="E259" s="2">
        <f>Shift10!E257-Shift11!E257</f>
        <v>0</v>
      </c>
      <c r="F259" s="2">
        <f t="shared" si="6"/>
        <v>29976.209999999992</v>
      </c>
      <c r="G259" s="2">
        <f>Shift10!M257-Shift11!M257</f>
        <v>-760.59000000000015</v>
      </c>
      <c r="H259" s="3">
        <f t="shared" si="7"/>
        <v>29215.619999999992</v>
      </c>
    </row>
    <row r="260" spans="1:8" x14ac:dyDescent="0.2">
      <c r="A260" s="5">
        <v>837</v>
      </c>
      <c r="B260" s="5">
        <v>1</v>
      </c>
      <c r="C260" s="2" t="s">
        <v>254</v>
      </c>
      <c r="D260" s="2">
        <f>Shift10!D258-Shift11!D258</f>
        <v>-61739.570000000007</v>
      </c>
      <c r="E260" s="2">
        <f>Shift10!E258-Shift11!E258</f>
        <v>-1524.5800000000017</v>
      </c>
      <c r="F260" s="2">
        <f t="shared" si="6"/>
        <v>-63264.150000000009</v>
      </c>
      <c r="G260" s="2">
        <f>Shift10!M258-Shift11!M258</f>
        <v>406.29999999999927</v>
      </c>
      <c r="H260" s="3">
        <f t="shared" si="7"/>
        <v>-62857.850000000006</v>
      </c>
    </row>
    <row r="261" spans="1:8" x14ac:dyDescent="0.2">
      <c r="A261" s="5">
        <v>840</v>
      </c>
      <c r="B261" s="5">
        <v>1</v>
      </c>
      <c r="C261" s="2" t="s">
        <v>255</v>
      </c>
      <c r="D261" s="2">
        <f>Shift10!D259-Shift11!D259</f>
        <v>-11370.949999999983</v>
      </c>
      <c r="E261" s="2">
        <f>Shift10!E259-Shift11!E259</f>
        <v>-1136.7600000000093</v>
      </c>
      <c r="F261" s="2">
        <f t="shared" si="6"/>
        <v>-12507.709999999992</v>
      </c>
      <c r="G261" s="2">
        <f>Shift10!M259-Shift11!M259</f>
        <v>1538.1900000000023</v>
      </c>
      <c r="H261" s="3">
        <f t="shared" si="7"/>
        <v>-10969.51999999999</v>
      </c>
    </row>
    <row r="262" spans="1:8" x14ac:dyDescent="0.2">
      <c r="A262" s="5">
        <v>846</v>
      </c>
      <c r="B262" s="5">
        <v>1</v>
      </c>
      <c r="C262" s="2" t="s">
        <v>256</v>
      </c>
      <c r="D262" s="2">
        <f>Shift10!D260-Shift11!D260</f>
        <v>27007.389999999985</v>
      </c>
      <c r="E262" s="2">
        <f>Shift10!E260-Shift11!E260</f>
        <v>-2949.2000000000116</v>
      </c>
      <c r="F262" s="2">
        <f t="shared" si="6"/>
        <v>24058.189999999973</v>
      </c>
      <c r="G262" s="2">
        <f>Shift10!M260-Shift11!M260</f>
        <v>474.15999999999622</v>
      </c>
      <c r="H262" s="3">
        <f t="shared" si="7"/>
        <v>24532.349999999969</v>
      </c>
    </row>
    <row r="263" spans="1:8" x14ac:dyDescent="0.2">
      <c r="A263" s="5">
        <v>850</v>
      </c>
      <c r="B263" s="5">
        <v>1</v>
      </c>
      <c r="C263" s="2" t="s">
        <v>257</v>
      </c>
      <c r="D263" s="2">
        <f>Shift10!D261-Shift11!D261</f>
        <v>55932.15</v>
      </c>
      <c r="E263" s="2">
        <f>Shift10!E261-Shift11!E261</f>
        <v>-45392.880000000005</v>
      </c>
      <c r="F263" s="2">
        <f t="shared" ref="F263:F326" si="8">D263+E263</f>
        <v>10539.269999999997</v>
      </c>
      <c r="G263" s="2">
        <f>Shift10!M261-Shift11!M261</f>
        <v>291.73999999999978</v>
      </c>
      <c r="H263" s="3">
        <f t="shared" ref="H263:H326" si="9">SUM(F263:G263)</f>
        <v>10831.009999999997</v>
      </c>
    </row>
    <row r="264" spans="1:8" x14ac:dyDescent="0.2">
      <c r="A264" s="5">
        <v>852</v>
      </c>
      <c r="B264" s="5">
        <v>1</v>
      </c>
      <c r="C264" s="2" t="s">
        <v>258</v>
      </c>
      <c r="D264" s="2">
        <f>Shift10!D262-Shift11!D262</f>
        <v>3485.0200000000004</v>
      </c>
      <c r="E264" s="2">
        <f>Shift10!E262-Shift11!E262</f>
        <v>62986.17</v>
      </c>
      <c r="F264" s="2">
        <f t="shared" si="8"/>
        <v>66471.19</v>
      </c>
      <c r="G264" s="2">
        <f>Shift10!M262-Shift11!M262</f>
        <v>-753.97999999999956</v>
      </c>
      <c r="H264" s="3">
        <f t="shared" si="9"/>
        <v>65717.210000000006</v>
      </c>
    </row>
    <row r="265" spans="1:8" x14ac:dyDescent="0.2">
      <c r="A265" s="5">
        <v>857</v>
      </c>
      <c r="B265" s="5">
        <v>1</v>
      </c>
      <c r="C265" s="2" t="s">
        <v>259</v>
      </c>
      <c r="D265" s="2">
        <f>Shift10!D263-Shift11!D263</f>
        <v>65188.060000000012</v>
      </c>
      <c r="E265" s="2">
        <f>Shift10!E263-Shift11!E263</f>
        <v>4571.8099999999977</v>
      </c>
      <c r="F265" s="2">
        <f t="shared" si="8"/>
        <v>69759.87000000001</v>
      </c>
      <c r="G265" s="2">
        <f>Shift10!M263-Shift11!M263</f>
        <v>-848.06999999999971</v>
      </c>
      <c r="H265" s="3">
        <f t="shared" si="9"/>
        <v>68911.800000000017</v>
      </c>
    </row>
    <row r="266" spans="1:8" x14ac:dyDescent="0.2">
      <c r="A266" s="5">
        <v>858</v>
      </c>
      <c r="B266" s="5">
        <v>1</v>
      </c>
      <c r="C266" s="2" t="s">
        <v>260</v>
      </c>
      <c r="D266" s="2">
        <f>Shift10!D264-Shift11!D264</f>
        <v>14601.12999999999</v>
      </c>
      <c r="E266" s="2">
        <f>Shift10!E264-Shift11!E264</f>
        <v>-107305.88</v>
      </c>
      <c r="F266" s="2">
        <f t="shared" si="8"/>
        <v>-92704.750000000015</v>
      </c>
      <c r="G266" s="2">
        <f>Shift10!M264-Shift11!M264</f>
        <v>-404.36000000000058</v>
      </c>
      <c r="H266" s="3">
        <f t="shared" si="9"/>
        <v>-93109.110000000015</v>
      </c>
    </row>
    <row r="267" spans="1:8" x14ac:dyDescent="0.2">
      <c r="A267" s="5">
        <v>861</v>
      </c>
      <c r="B267" s="5">
        <v>1</v>
      </c>
      <c r="C267" s="2" t="s">
        <v>261</v>
      </c>
      <c r="D267" s="2">
        <f>Shift10!D265-Shift11!D265</f>
        <v>9638.5999999999767</v>
      </c>
      <c r="E267" s="2">
        <f>Shift10!E265-Shift11!E265</f>
        <v>-21166.760000000242</v>
      </c>
      <c r="F267" s="2">
        <f t="shared" si="8"/>
        <v>-11528.160000000265</v>
      </c>
      <c r="G267" s="2">
        <f>Shift10!M265-Shift11!M265</f>
        <v>-347.97999999998137</v>
      </c>
      <c r="H267" s="3">
        <f t="shared" si="9"/>
        <v>-11876.140000000247</v>
      </c>
    </row>
    <row r="268" spans="1:8" x14ac:dyDescent="0.2">
      <c r="A268" s="5">
        <v>876</v>
      </c>
      <c r="B268" s="5">
        <v>1</v>
      </c>
      <c r="C268" s="2" t="s">
        <v>262</v>
      </c>
      <c r="D268" s="2">
        <f>Shift10!D266-Shift11!D266</f>
        <v>124773.75</v>
      </c>
      <c r="E268" s="2">
        <f>Shift10!E266-Shift11!E266</f>
        <v>-50702.930000000051</v>
      </c>
      <c r="F268" s="2">
        <f t="shared" si="8"/>
        <v>74070.819999999949</v>
      </c>
      <c r="G268" s="2">
        <f>Shift10!M266-Shift11!M266</f>
        <v>2056.179999999993</v>
      </c>
      <c r="H268" s="3">
        <f t="shared" si="9"/>
        <v>76126.999999999942</v>
      </c>
    </row>
    <row r="269" spans="1:8" x14ac:dyDescent="0.2">
      <c r="A269" s="5">
        <v>877</v>
      </c>
      <c r="B269" s="5">
        <v>1</v>
      </c>
      <c r="C269" s="2" t="s">
        <v>263</v>
      </c>
      <c r="D269" s="2">
        <f>Shift10!D267-Shift11!D267</f>
        <v>-7222.8199999998324</v>
      </c>
      <c r="E269" s="2">
        <f>Shift10!E267-Shift11!E267</f>
        <v>110529.89999999991</v>
      </c>
      <c r="F269" s="2">
        <f t="shared" si="8"/>
        <v>103307.08000000007</v>
      </c>
      <c r="G269" s="2">
        <f>Shift10!M267-Shift11!M267</f>
        <v>14314.809999999998</v>
      </c>
      <c r="H269" s="3">
        <f t="shared" si="9"/>
        <v>117621.89000000007</v>
      </c>
    </row>
    <row r="270" spans="1:8" x14ac:dyDescent="0.2">
      <c r="A270" s="5">
        <v>879</v>
      </c>
      <c r="B270" s="5">
        <v>1</v>
      </c>
      <c r="C270" s="2" t="s">
        <v>264</v>
      </c>
      <c r="D270" s="2">
        <f>Shift10!D268-Shift11!D268</f>
        <v>100582.30000000005</v>
      </c>
      <c r="E270" s="2">
        <f>Shift10!E268-Shift11!E268</f>
        <v>30748.379999999946</v>
      </c>
      <c r="F270" s="2">
        <f t="shared" si="8"/>
        <v>131330.68</v>
      </c>
      <c r="G270" s="2">
        <f>Shift10!M268-Shift11!M268</f>
        <v>20033.570000000007</v>
      </c>
      <c r="H270" s="3">
        <f t="shared" si="9"/>
        <v>151364.25</v>
      </c>
    </row>
    <row r="271" spans="1:8" x14ac:dyDescent="0.2">
      <c r="A271" s="5">
        <v>881</v>
      </c>
      <c r="B271" s="5">
        <v>1</v>
      </c>
      <c r="C271" s="2" t="s">
        <v>265</v>
      </c>
      <c r="D271" s="2">
        <f>Shift10!D269-Shift11!D269</f>
        <v>26860.279999999984</v>
      </c>
      <c r="E271" s="2">
        <f>Shift10!E269-Shift11!E269</f>
        <v>30301.199999999953</v>
      </c>
      <c r="F271" s="2">
        <f t="shared" si="8"/>
        <v>57161.479999999938</v>
      </c>
      <c r="G271" s="2">
        <f>Shift10!M269-Shift11!M269</f>
        <v>465.81999999999971</v>
      </c>
      <c r="H271" s="3">
        <f t="shared" si="9"/>
        <v>57627.299999999937</v>
      </c>
    </row>
    <row r="272" spans="1:8" x14ac:dyDescent="0.2">
      <c r="A272" s="5">
        <v>882</v>
      </c>
      <c r="B272" s="5">
        <v>1</v>
      </c>
      <c r="C272" s="2" t="s">
        <v>266</v>
      </c>
      <c r="D272" s="2">
        <f>Shift10!D270-Shift11!D270</f>
        <v>-122023.96999999997</v>
      </c>
      <c r="E272" s="2">
        <f>Shift10!E270-Shift11!E270</f>
        <v>-19900.179999999935</v>
      </c>
      <c r="F272" s="2">
        <f t="shared" si="8"/>
        <v>-141924.14999999991</v>
      </c>
      <c r="G272" s="2">
        <f>Shift10!M270-Shift11!M270</f>
        <v>-10055.979999999996</v>
      </c>
      <c r="H272" s="3">
        <f t="shared" si="9"/>
        <v>-151980.12999999989</v>
      </c>
    </row>
    <row r="273" spans="1:8" x14ac:dyDescent="0.2">
      <c r="A273" s="5">
        <v>883</v>
      </c>
      <c r="B273" s="5">
        <v>1</v>
      </c>
      <c r="C273" s="2" t="s">
        <v>267</v>
      </c>
      <c r="D273" s="2">
        <f>Shift10!D271-Shift11!D271</f>
        <v>-79191.419999999984</v>
      </c>
      <c r="E273" s="2">
        <f>Shift10!E271-Shift11!E271</f>
        <v>-10438.179999999993</v>
      </c>
      <c r="F273" s="2">
        <f t="shared" si="8"/>
        <v>-89629.599999999977</v>
      </c>
      <c r="G273" s="2">
        <f>Shift10!M271-Shift11!M271</f>
        <v>3973.5399999999936</v>
      </c>
      <c r="H273" s="3">
        <f t="shared" si="9"/>
        <v>-85656.059999999983</v>
      </c>
    </row>
    <row r="274" spans="1:8" x14ac:dyDescent="0.2">
      <c r="A274" s="5">
        <v>885</v>
      </c>
      <c r="B274" s="5">
        <v>1</v>
      </c>
      <c r="C274" s="2" t="s">
        <v>268</v>
      </c>
      <c r="D274" s="2">
        <f>Shift10!D272-Shift11!D272</f>
        <v>107266.82000000007</v>
      </c>
      <c r="E274" s="2">
        <f>Shift10!E272-Shift11!E272</f>
        <v>-248524.90000000014</v>
      </c>
      <c r="F274" s="2">
        <f t="shared" si="8"/>
        <v>-141258.08000000007</v>
      </c>
      <c r="G274" s="2">
        <f>Shift10!M272-Shift11!M272</f>
        <v>-5092.3699999999953</v>
      </c>
      <c r="H274" s="3">
        <f t="shared" si="9"/>
        <v>-146350.45000000007</v>
      </c>
    </row>
    <row r="275" spans="1:8" x14ac:dyDescent="0.2">
      <c r="A275" s="5">
        <v>891</v>
      </c>
      <c r="B275" s="5">
        <v>1</v>
      </c>
      <c r="C275" s="2" t="s">
        <v>269</v>
      </c>
      <c r="D275" s="2">
        <f>Shift10!D273-Shift11!D273</f>
        <v>5228.9599999999919</v>
      </c>
      <c r="E275" s="2">
        <f>Shift10!E273-Shift11!E273</f>
        <v>-3377.2099999999919</v>
      </c>
      <c r="F275" s="2">
        <f t="shared" si="8"/>
        <v>1851.75</v>
      </c>
      <c r="G275" s="2">
        <f>Shift10!M273-Shift11!M273</f>
        <v>490.86000000000058</v>
      </c>
      <c r="H275" s="3">
        <f t="shared" si="9"/>
        <v>2342.6100000000006</v>
      </c>
    </row>
    <row r="276" spans="1:8" x14ac:dyDescent="0.2">
      <c r="A276" s="5">
        <v>911</v>
      </c>
      <c r="B276" s="5">
        <v>1</v>
      </c>
      <c r="C276" s="2" t="s">
        <v>270</v>
      </c>
      <c r="D276" s="2">
        <f>Shift10!D274-Shift11!D274</f>
        <v>-35054.089999999967</v>
      </c>
      <c r="E276" s="2">
        <f>Shift10!E274-Shift11!E274</f>
        <v>0</v>
      </c>
      <c r="F276" s="2">
        <f t="shared" si="8"/>
        <v>-35054.089999999967</v>
      </c>
      <c r="G276" s="2">
        <f>Shift10!M274-Shift11!M274</f>
        <v>26277.020000000019</v>
      </c>
      <c r="H276" s="3">
        <f t="shared" si="9"/>
        <v>-8777.0699999999488</v>
      </c>
    </row>
    <row r="277" spans="1:8" x14ac:dyDescent="0.2">
      <c r="A277" s="5">
        <v>912</v>
      </c>
      <c r="B277" s="5">
        <v>1</v>
      </c>
      <c r="C277" s="2" t="s">
        <v>271</v>
      </c>
      <c r="D277" s="2">
        <f>Shift10!D275-Shift11!D275</f>
        <v>36151.650000000023</v>
      </c>
      <c r="E277" s="2">
        <f>Shift10!E275-Shift11!E275</f>
        <v>0</v>
      </c>
      <c r="F277" s="2">
        <f t="shared" si="8"/>
        <v>36151.650000000023</v>
      </c>
      <c r="G277" s="2">
        <f>Shift10!M275-Shift11!M275</f>
        <v>12085.129999999997</v>
      </c>
      <c r="H277" s="3">
        <f t="shared" si="9"/>
        <v>48236.780000000021</v>
      </c>
    </row>
    <row r="278" spans="1:8" x14ac:dyDescent="0.2">
      <c r="A278" s="5">
        <v>914</v>
      </c>
      <c r="B278" s="5">
        <v>1</v>
      </c>
      <c r="C278" s="2" t="s">
        <v>272</v>
      </c>
      <c r="D278" s="2">
        <f>Shift10!D276-Shift11!D276</f>
        <v>-716.86999999999534</v>
      </c>
      <c r="E278" s="2">
        <f>Shift10!E276-Shift11!E276</f>
        <v>-5105.679999999993</v>
      </c>
      <c r="F278" s="2">
        <f t="shared" si="8"/>
        <v>-5822.5499999999884</v>
      </c>
      <c r="G278" s="2">
        <f>Shift10!M276-Shift11!M276</f>
        <v>-574.42000000000007</v>
      </c>
      <c r="H278" s="3">
        <f t="shared" si="9"/>
        <v>-6396.9699999999884</v>
      </c>
    </row>
    <row r="279" spans="1:8" x14ac:dyDescent="0.2">
      <c r="A279" s="5">
        <v>2071</v>
      </c>
      <c r="B279" s="5">
        <v>1</v>
      </c>
      <c r="C279" s="2" t="s">
        <v>273</v>
      </c>
      <c r="D279" s="2">
        <f>Shift10!D277-Shift11!D277</f>
        <v>-7992.7799999999988</v>
      </c>
      <c r="E279" s="2">
        <f>Shift10!E277-Shift11!E277</f>
        <v>55742.959999999963</v>
      </c>
      <c r="F279" s="2">
        <f t="shared" si="8"/>
        <v>47750.179999999964</v>
      </c>
      <c r="G279" s="2">
        <f>Shift10!M277-Shift11!M277</f>
        <v>763.09999999999854</v>
      </c>
      <c r="H279" s="3">
        <f t="shared" si="9"/>
        <v>48513.279999999962</v>
      </c>
    </row>
    <row r="280" spans="1:8" x14ac:dyDescent="0.2">
      <c r="A280" s="5">
        <v>2125</v>
      </c>
      <c r="B280" s="5">
        <v>1</v>
      </c>
      <c r="C280" s="2" t="s">
        <v>274</v>
      </c>
      <c r="D280" s="2">
        <f>Shift10!D278-Shift11!D278</f>
        <v>-8357.3300000000163</v>
      </c>
      <c r="E280" s="2">
        <f>Shift10!E278-Shift11!E278</f>
        <v>1637.0899999999674</v>
      </c>
      <c r="F280" s="2">
        <f t="shared" si="8"/>
        <v>-6720.2400000000489</v>
      </c>
      <c r="G280" s="2">
        <f>Shift10!M278-Shift11!M278</f>
        <v>-3150.510000000002</v>
      </c>
      <c r="H280" s="3">
        <f t="shared" si="9"/>
        <v>-9870.7500000000509</v>
      </c>
    </row>
    <row r="281" spans="1:8" x14ac:dyDescent="0.2">
      <c r="A281" s="5">
        <v>2134</v>
      </c>
      <c r="B281" s="5">
        <v>1</v>
      </c>
      <c r="C281" s="2" t="s">
        <v>275</v>
      </c>
      <c r="D281" s="2">
        <f>Shift10!D279-Shift11!D279</f>
        <v>-10823.179999999993</v>
      </c>
      <c r="E281" s="2">
        <f>Shift10!E279-Shift11!E279</f>
        <v>-11227.150000000023</v>
      </c>
      <c r="F281" s="2">
        <f t="shared" si="8"/>
        <v>-22050.330000000016</v>
      </c>
      <c r="G281" s="2">
        <f>Shift10!M279-Shift11!M279</f>
        <v>3155.7400000000052</v>
      </c>
      <c r="H281" s="3">
        <f t="shared" si="9"/>
        <v>-18894.590000000011</v>
      </c>
    </row>
    <row r="282" spans="1:8" x14ac:dyDescent="0.2">
      <c r="A282" s="5">
        <v>2135</v>
      </c>
      <c r="B282" s="5">
        <v>1</v>
      </c>
      <c r="C282" s="2" t="s">
        <v>276</v>
      </c>
      <c r="D282" s="2">
        <f>Shift10!D280-Shift11!D280</f>
        <v>35998.649999999994</v>
      </c>
      <c r="E282" s="2">
        <f>Shift10!E280-Shift11!E280</f>
        <v>10340.570000000007</v>
      </c>
      <c r="F282" s="2">
        <f t="shared" si="8"/>
        <v>46339.22</v>
      </c>
      <c r="G282" s="2">
        <f>Shift10!M280-Shift11!M280</f>
        <v>381.06999999999971</v>
      </c>
      <c r="H282" s="3">
        <f t="shared" si="9"/>
        <v>46720.29</v>
      </c>
    </row>
    <row r="283" spans="1:8" x14ac:dyDescent="0.2">
      <c r="A283" s="5">
        <v>2137</v>
      </c>
      <c r="B283" s="5">
        <v>1</v>
      </c>
      <c r="C283" s="2" t="s">
        <v>277</v>
      </c>
      <c r="D283" s="2">
        <f>Shift10!D281-Shift11!D281</f>
        <v>-21405.330000000016</v>
      </c>
      <c r="E283" s="2">
        <f>Shift10!E281-Shift11!E281</f>
        <v>-7647.1499999999942</v>
      </c>
      <c r="F283" s="2">
        <f t="shared" si="8"/>
        <v>-29052.48000000001</v>
      </c>
      <c r="G283" s="2">
        <f>Shift10!M281-Shift11!M281</f>
        <v>173.38999999999942</v>
      </c>
      <c r="H283" s="3">
        <f t="shared" si="9"/>
        <v>-28879.090000000011</v>
      </c>
    </row>
    <row r="284" spans="1:8" x14ac:dyDescent="0.2">
      <c r="A284" s="5">
        <v>2142</v>
      </c>
      <c r="B284" s="5">
        <v>1</v>
      </c>
      <c r="C284" s="2" t="s">
        <v>278</v>
      </c>
      <c r="D284" s="2">
        <f>Shift10!D282-Shift11!D282</f>
        <v>-149695.02000000002</v>
      </c>
      <c r="E284" s="2">
        <f>Shift10!E282-Shift11!E282</f>
        <v>0</v>
      </c>
      <c r="F284" s="2">
        <f t="shared" si="8"/>
        <v>-149695.02000000002</v>
      </c>
      <c r="G284" s="2">
        <f>Shift10!M282-Shift11!M282</f>
        <v>0</v>
      </c>
      <c r="H284" s="3">
        <f t="shared" si="9"/>
        <v>-149695.02000000002</v>
      </c>
    </row>
    <row r="285" spans="1:8" x14ac:dyDescent="0.2">
      <c r="A285" s="5">
        <v>2143</v>
      </c>
      <c r="B285" s="5">
        <v>1</v>
      </c>
      <c r="C285" s="2" t="s">
        <v>279</v>
      </c>
      <c r="D285" s="2">
        <f>Shift10!D283-Shift11!D283</f>
        <v>22931.260000000009</v>
      </c>
      <c r="E285" s="2">
        <f>Shift10!E283-Shift11!E283</f>
        <v>56178.680000000051</v>
      </c>
      <c r="F285" s="2">
        <f t="shared" si="8"/>
        <v>79109.940000000061</v>
      </c>
      <c r="G285" s="2">
        <f>Shift10!M283-Shift11!M283</f>
        <v>6036.5900000000038</v>
      </c>
      <c r="H285" s="3">
        <f t="shared" si="9"/>
        <v>85146.530000000057</v>
      </c>
    </row>
    <row r="286" spans="1:8" x14ac:dyDescent="0.2">
      <c r="A286" s="5">
        <v>2144</v>
      </c>
      <c r="B286" s="5">
        <v>1</v>
      </c>
      <c r="C286" s="2" t="s">
        <v>280</v>
      </c>
      <c r="D286" s="2">
        <f>Shift10!D284-Shift11!D284</f>
        <v>-142544.5</v>
      </c>
      <c r="E286" s="2">
        <f>Shift10!E284-Shift11!E284</f>
        <v>-670.38000000000466</v>
      </c>
      <c r="F286" s="2">
        <f t="shared" si="8"/>
        <v>-143214.88</v>
      </c>
      <c r="G286" s="2">
        <f>Shift10!M284-Shift11!M284</f>
        <v>6728.3100000000268</v>
      </c>
      <c r="H286" s="3">
        <f t="shared" si="9"/>
        <v>-136486.56999999998</v>
      </c>
    </row>
    <row r="287" spans="1:8" x14ac:dyDescent="0.2">
      <c r="A287" s="5">
        <v>2149</v>
      </c>
      <c r="B287" s="5">
        <v>1</v>
      </c>
      <c r="C287" s="2" t="s">
        <v>281</v>
      </c>
      <c r="D287" s="2">
        <f>Shift10!D285-Shift11!D285</f>
        <v>-14118.520000000019</v>
      </c>
      <c r="E287" s="2">
        <f>Shift10!E285-Shift11!E285</f>
        <v>-29212</v>
      </c>
      <c r="F287" s="2">
        <f t="shared" si="8"/>
        <v>-43330.520000000019</v>
      </c>
      <c r="G287" s="2">
        <f>Shift10!M285-Shift11!M285</f>
        <v>-86.509999999994761</v>
      </c>
      <c r="H287" s="3">
        <f t="shared" si="9"/>
        <v>-43417.030000000013</v>
      </c>
    </row>
    <row r="288" spans="1:8" x14ac:dyDescent="0.2">
      <c r="A288" s="5">
        <v>2154</v>
      </c>
      <c r="B288" s="5">
        <v>1</v>
      </c>
      <c r="C288" s="2" t="s">
        <v>282</v>
      </c>
      <c r="D288" s="2">
        <f>Shift10!D286-Shift11!D286</f>
        <v>0</v>
      </c>
      <c r="E288" s="2">
        <f>Shift10!E286-Shift11!E286</f>
        <v>-141293.73000000001</v>
      </c>
      <c r="F288" s="2">
        <f t="shared" si="8"/>
        <v>-141293.73000000001</v>
      </c>
      <c r="G288" s="2">
        <f>Shift10!M286-Shift11!M286</f>
        <v>0</v>
      </c>
      <c r="H288" s="3">
        <f t="shared" si="9"/>
        <v>-141293.73000000001</v>
      </c>
    </row>
    <row r="289" spans="1:8" x14ac:dyDescent="0.2">
      <c r="A289" s="5">
        <v>2155</v>
      </c>
      <c r="B289" s="5">
        <v>1</v>
      </c>
      <c r="C289" s="2" t="s">
        <v>283</v>
      </c>
      <c r="D289" s="2">
        <f>Shift10!D287-Shift11!D287</f>
        <v>25946.599999999991</v>
      </c>
      <c r="E289" s="2">
        <f>Shift10!E287-Shift11!E287</f>
        <v>12781.799999999988</v>
      </c>
      <c r="F289" s="2">
        <f t="shared" si="8"/>
        <v>38728.39999999998</v>
      </c>
      <c r="G289" s="2">
        <f>Shift10!M287-Shift11!M287</f>
        <v>3848.1500000000015</v>
      </c>
      <c r="H289" s="3">
        <f t="shared" si="9"/>
        <v>42576.549999999981</v>
      </c>
    </row>
    <row r="290" spans="1:8" x14ac:dyDescent="0.2">
      <c r="A290" s="5">
        <v>2159</v>
      </c>
      <c r="B290" s="5">
        <v>1</v>
      </c>
      <c r="C290" s="2" t="s">
        <v>284</v>
      </c>
      <c r="D290" s="2">
        <f>Shift10!D288-Shift11!D288</f>
        <v>12806.820000000007</v>
      </c>
      <c r="E290" s="2">
        <f>Shift10!E288-Shift11!E288</f>
        <v>-46985.020000000033</v>
      </c>
      <c r="F290" s="2">
        <f t="shared" si="8"/>
        <v>-34178.200000000026</v>
      </c>
      <c r="G290" s="2">
        <f>Shift10!M288-Shift11!M288</f>
        <v>5142.4199999999983</v>
      </c>
      <c r="H290" s="3">
        <f t="shared" si="9"/>
        <v>-29035.780000000028</v>
      </c>
    </row>
    <row r="291" spans="1:8" x14ac:dyDescent="0.2">
      <c r="A291" s="5">
        <v>2164</v>
      </c>
      <c r="B291" s="5">
        <v>1</v>
      </c>
      <c r="C291" s="2" t="s">
        <v>285</v>
      </c>
      <c r="D291" s="2">
        <f>Shift10!D289-Shift11!D289</f>
        <v>58967.3</v>
      </c>
      <c r="E291" s="2">
        <f>Shift10!E289-Shift11!E289</f>
        <v>-4266.3399999999965</v>
      </c>
      <c r="F291" s="2">
        <f t="shared" si="8"/>
        <v>54700.960000000006</v>
      </c>
      <c r="G291" s="2">
        <f>Shift10!M289-Shift11!M289</f>
        <v>-1642.9700000000012</v>
      </c>
      <c r="H291" s="3">
        <f t="shared" si="9"/>
        <v>53057.990000000005</v>
      </c>
    </row>
    <row r="292" spans="1:8" x14ac:dyDescent="0.2">
      <c r="A292" s="5">
        <v>2165</v>
      </c>
      <c r="B292" s="5">
        <v>1</v>
      </c>
      <c r="C292" s="2" t="s">
        <v>286</v>
      </c>
      <c r="D292" s="2">
        <f>Shift10!D290-Shift11!D290</f>
        <v>21809.110000000015</v>
      </c>
      <c r="E292" s="2">
        <f>Shift10!E290-Shift11!E290</f>
        <v>8886.0200000000186</v>
      </c>
      <c r="F292" s="2">
        <f t="shared" si="8"/>
        <v>30695.130000000034</v>
      </c>
      <c r="G292" s="2">
        <f>Shift10!M290-Shift11!M290</f>
        <v>3785.2200000000012</v>
      </c>
      <c r="H292" s="3">
        <f t="shared" si="9"/>
        <v>34480.350000000035</v>
      </c>
    </row>
    <row r="293" spans="1:8" x14ac:dyDescent="0.2">
      <c r="A293" s="5">
        <v>2167</v>
      </c>
      <c r="B293" s="5">
        <v>1</v>
      </c>
      <c r="C293" s="2" t="s">
        <v>287</v>
      </c>
      <c r="D293" s="2">
        <f>Shift10!D291-Shift11!D291</f>
        <v>2206.5699999999779</v>
      </c>
      <c r="E293" s="2">
        <f>Shift10!E291-Shift11!E291</f>
        <v>-4405.1000000000058</v>
      </c>
      <c r="F293" s="2">
        <f t="shared" si="8"/>
        <v>-2198.5300000000279</v>
      </c>
      <c r="G293" s="2">
        <f>Shift10!M291-Shift11!M291</f>
        <v>-2547.1200000000008</v>
      </c>
      <c r="H293" s="3">
        <f t="shared" si="9"/>
        <v>-4745.6500000000287</v>
      </c>
    </row>
    <row r="294" spans="1:8" x14ac:dyDescent="0.2">
      <c r="A294" s="5">
        <v>2168</v>
      </c>
      <c r="B294" s="5">
        <v>1</v>
      </c>
      <c r="C294" s="2" t="s">
        <v>288</v>
      </c>
      <c r="D294" s="2">
        <f>Shift10!D292-Shift11!D292</f>
        <v>-46311.609999999986</v>
      </c>
      <c r="E294" s="2">
        <f>Shift10!E292-Shift11!E292</f>
        <v>689.69999999998254</v>
      </c>
      <c r="F294" s="2">
        <f t="shared" si="8"/>
        <v>-45621.91</v>
      </c>
      <c r="G294" s="2">
        <f>Shift10!M292-Shift11!M292</f>
        <v>3602.7599999999984</v>
      </c>
      <c r="H294" s="3">
        <f t="shared" si="9"/>
        <v>-42019.150000000009</v>
      </c>
    </row>
    <row r="295" spans="1:8" x14ac:dyDescent="0.2">
      <c r="A295" s="5">
        <v>2169</v>
      </c>
      <c r="B295" s="5">
        <v>1</v>
      </c>
      <c r="C295" s="2" t="s">
        <v>289</v>
      </c>
      <c r="D295" s="2">
        <f>Shift10!D293-Shift11!D293</f>
        <v>7243.6200000000244</v>
      </c>
      <c r="E295" s="2">
        <f>Shift10!E293-Shift11!E293</f>
        <v>-13182.960000000021</v>
      </c>
      <c r="F295" s="2">
        <f t="shared" si="8"/>
        <v>-5939.3399999999965</v>
      </c>
      <c r="G295" s="2">
        <f>Shift10!M293-Shift11!M293</f>
        <v>239.9800000000032</v>
      </c>
      <c r="H295" s="3">
        <f t="shared" si="9"/>
        <v>-5699.3599999999933</v>
      </c>
    </row>
    <row r="296" spans="1:8" x14ac:dyDescent="0.2">
      <c r="A296" s="5">
        <v>2170</v>
      </c>
      <c r="B296" s="5">
        <v>1</v>
      </c>
      <c r="C296" s="2" t="s">
        <v>290</v>
      </c>
      <c r="D296" s="2">
        <f>Shift10!D294-Shift11!D294</f>
        <v>87502.039999999979</v>
      </c>
      <c r="E296" s="2">
        <f>Shift10!E294-Shift11!E294</f>
        <v>-8207.2200000000303</v>
      </c>
      <c r="F296" s="2">
        <f t="shared" si="8"/>
        <v>79294.819999999949</v>
      </c>
      <c r="G296" s="2">
        <f>Shift10!M294-Shift11!M294</f>
        <v>-7919.7099999999991</v>
      </c>
      <c r="H296" s="3">
        <f t="shared" si="9"/>
        <v>71375.109999999957</v>
      </c>
    </row>
    <row r="297" spans="1:8" x14ac:dyDescent="0.2">
      <c r="A297" s="5">
        <v>2171</v>
      </c>
      <c r="B297" s="5">
        <v>1</v>
      </c>
      <c r="C297" s="2" t="s">
        <v>291</v>
      </c>
      <c r="D297" s="2">
        <f>Shift10!D295-Shift11!D295</f>
        <v>-4338.8800000000047</v>
      </c>
      <c r="E297" s="2">
        <f>Shift10!E295-Shift11!E295</f>
        <v>0</v>
      </c>
      <c r="F297" s="2">
        <f t="shared" si="8"/>
        <v>-4338.8800000000047</v>
      </c>
      <c r="G297" s="2">
        <f>Shift10!M295-Shift11!M295</f>
        <v>1280.1799999999985</v>
      </c>
      <c r="H297" s="3">
        <f t="shared" si="9"/>
        <v>-3058.7000000000062</v>
      </c>
    </row>
    <row r="298" spans="1:8" x14ac:dyDescent="0.2">
      <c r="A298" s="5">
        <v>2172</v>
      </c>
      <c r="B298" s="5">
        <v>1</v>
      </c>
      <c r="C298" s="2" t="s">
        <v>292</v>
      </c>
      <c r="D298" s="2">
        <f>Shift10!D296-Shift11!D296</f>
        <v>-8811.2700000000186</v>
      </c>
      <c r="E298" s="2">
        <f>Shift10!E296-Shift11!E296</f>
        <v>-84028.430000000051</v>
      </c>
      <c r="F298" s="2">
        <f t="shared" si="8"/>
        <v>-92839.70000000007</v>
      </c>
      <c r="G298" s="2">
        <f>Shift10!M296-Shift11!M296</f>
        <v>4425.5099999999948</v>
      </c>
      <c r="H298" s="3">
        <f t="shared" si="9"/>
        <v>-88414.190000000075</v>
      </c>
    </row>
    <row r="299" spans="1:8" x14ac:dyDescent="0.2">
      <c r="A299" s="5">
        <v>2174</v>
      </c>
      <c r="B299" s="5">
        <v>1</v>
      </c>
      <c r="C299" s="2" t="s">
        <v>293</v>
      </c>
      <c r="D299" s="2">
        <f>Shift10!D297-Shift11!D297</f>
        <v>25128.170000000013</v>
      </c>
      <c r="E299" s="2">
        <f>Shift10!E297-Shift11!E297</f>
        <v>105.64000000000004</v>
      </c>
      <c r="F299" s="2">
        <f t="shared" si="8"/>
        <v>25233.810000000012</v>
      </c>
      <c r="G299" s="2">
        <f>Shift10!M297-Shift11!M297</f>
        <v>-6574.25</v>
      </c>
      <c r="H299" s="3">
        <f t="shared" si="9"/>
        <v>18659.560000000012</v>
      </c>
    </row>
    <row r="300" spans="1:8" x14ac:dyDescent="0.2">
      <c r="A300" s="5">
        <v>2176</v>
      </c>
      <c r="B300" s="5">
        <v>1</v>
      </c>
      <c r="C300" s="2" t="s">
        <v>294</v>
      </c>
      <c r="D300" s="2">
        <f>Shift10!D298-Shift11!D298</f>
        <v>-46311.080000000016</v>
      </c>
      <c r="E300" s="2">
        <f>Shift10!E298-Shift11!E298</f>
        <v>9566.4199999999837</v>
      </c>
      <c r="F300" s="2">
        <f t="shared" si="8"/>
        <v>-36744.660000000033</v>
      </c>
      <c r="G300" s="2">
        <f>Shift10!M298-Shift11!M298</f>
        <v>-664.36000000000058</v>
      </c>
      <c r="H300" s="3">
        <f t="shared" si="9"/>
        <v>-37409.020000000033</v>
      </c>
    </row>
    <row r="301" spans="1:8" x14ac:dyDescent="0.2">
      <c r="A301" s="5">
        <v>2180</v>
      </c>
      <c r="B301" s="5">
        <v>1</v>
      </c>
      <c r="C301" s="2" t="s">
        <v>295</v>
      </c>
      <c r="D301" s="2">
        <f>Shift10!D299-Shift11!D299</f>
        <v>45181.569999999978</v>
      </c>
      <c r="E301" s="2">
        <f>Shift10!E299-Shift11!E299</f>
        <v>-108766.49999999994</v>
      </c>
      <c r="F301" s="2">
        <f t="shared" si="8"/>
        <v>-63584.929999999964</v>
      </c>
      <c r="G301" s="2">
        <f>Shift10!M299-Shift11!M299</f>
        <v>11490.879999999997</v>
      </c>
      <c r="H301" s="3">
        <f t="shared" si="9"/>
        <v>-52094.049999999967</v>
      </c>
    </row>
    <row r="302" spans="1:8" x14ac:dyDescent="0.2">
      <c r="A302" s="5">
        <v>2184</v>
      </c>
      <c r="B302" s="5">
        <v>1</v>
      </c>
      <c r="C302" s="2" t="s">
        <v>296</v>
      </c>
      <c r="D302" s="2">
        <f>Shift10!D300-Shift11!D300</f>
        <v>42833.679999999993</v>
      </c>
      <c r="E302" s="2">
        <f>Shift10!E300-Shift11!E300</f>
        <v>-10459.690000000002</v>
      </c>
      <c r="F302" s="2">
        <f t="shared" si="8"/>
        <v>32373.989999999991</v>
      </c>
      <c r="G302" s="2">
        <f>Shift10!M300-Shift11!M300</f>
        <v>1504.4399999999951</v>
      </c>
      <c r="H302" s="3">
        <f t="shared" si="9"/>
        <v>33878.429999999986</v>
      </c>
    </row>
    <row r="303" spans="1:8" x14ac:dyDescent="0.2">
      <c r="A303" s="5">
        <v>2190</v>
      </c>
      <c r="B303" s="5">
        <v>1</v>
      </c>
      <c r="C303" s="2" t="s">
        <v>297</v>
      </c>
      <c r="D303" s="2">
        <f>Shift10!D301-Shift11!D301</f>
        <v>-51004.400000000009</v>
      </c>
      <c r="E303" s="2">
        <f>Shift10!E301-Shift11!E301</f>
        <v>-35802.649999999965</v>
      </c>
      <c r="F303" s="2">
        <f t="shared" si="8"/>
        <v>-86807.049999999974</v>
      </c>
      <c r="G303" s="2">
        <f>Shift10!M301-Shift11!M301</f>
        <v>5651.6999999999971</v>
      </c>
      <c r="H303" s="3">
        <f t="shared" si="9"/>
        <v>-81155.349999999977</v>
      </c>
    </row>
    <row r="304" spans="1:8" x14ac:dyDescent="0.2">
      <c r="A304" s="5">
        <v>2198</v>
      </c>
      <c r="B304" s="5">
        <v>1</v>
      </c>
      <c r="C304" s="2" t="s">
        <v>298</v>
      </c>
      <c r="D304" s="2">
        <f>Shift10!D302-Shift11!D302</f>
        <v>-30036.850000000006</v>
      </c>
      <c r="E304" s="2">
        <f>Shift10!E302-Shift11!E302</f>
        <v>37.909999999974389</v>
      </c>
      <c r="F304" s="2">
        <f t="shared" si="8"/>
        <v>-29998.940000000031</v>
      </c>
      <c r="G304" s="2">
        <f>Shift10!M302-Shift11!M302</f>
        <v>-972.13999999999942</v>
      </c>
      <c r="H304" s="3">
        <f t="shared" si="9"/>
        <v>-30971.080000000031</v>
      </c>
    </row>
    <row r="305" spans="1:8" x14ac:dyDescent="0.2">
      <c r="A305" s="5">
        <v>2215</v>
      </c>
      <c r="B305" s="5">
        <v>1</v>
      </c>
      <c r="C305" s="2" t="s">
        <v>299</v>
      </c>
      <c r="D305" s="2">
        <f>Shift10!D303-Shift11!D303</f>
        <v>-3540.4000000000015</v>
      </c>
      <c r="E305" s="2">
        <f>Shift10!E303-Shift11!E303</f>
        <v>1228.0100000000093</v>
      </c>
      <c r="F305" s="2">
        <f t="shared" si="8"/>
        <v>-2312.3899999999921</v>
      </c>
      <c r="G305" s="2">
        <f>Shift10!M303-Shift11!M303</f>
        <v>372.61000000000058</v>
      </c>
      <c r="H305" s="3">
        <f t="shared" si="9"/>
        <v>-1939.7799999999916</v>
      </c>
    </row>
    <row r="306" spans="1:8" x14ac:dyDescent="0.2">
      <c r="A306" s="5">
        <v>2310</v>
      </c>
      <c r="B306" s="5">
        <v>1</v>
      </c>
      <c r="C306" s="2" t="s">
        <v>300</v>
      </c>
      <c r="D306" s="2">
        <f>Shift10!D304-Shift11!D304</f>
        <v>23268.660000000033</v>
      </c>
      <c r="E306" s="2">
        <f>Shift10!E304-Shift11!E304</f>
        <v>9328.3800000000047</v>
      </c>
      <c r="F306" s="2">
        <f t="shared" si="8"/>
        <v>32597.040000000037</v>
      </c>
      <c r="G306" s="2">
        <f>Shift10!M304-Shift11!M304</f>
        <v>-1393.8199999999997</v>
      </c>
      <c r="H306" s="3">
        <f t="shared" si="9"/>
        <v>31203.220000000038</v>
      </c>
    </row>
    <row r="307" spans="1:8" x14ac:dyDescent="0.2">
      <c r="A307" s="5">
        <v>2311</v>
      </c>
      <c r="B307" s="5">
        <v>1</v>
      </c>
      <c r="C307" s="2" t="s">
        <v>301</v>
      </c>
      <c r="D307" s="2">
        <f>Shift10!D305-Shift11!D305</f>
        <v>-74393.11</v>
      </c>
      <c r="E307" s="2">
        <f>Shift10!E305-Shift11!E305</f>
        <v>-24341.309999999998</v>
      </c>
      <c r="F307" s="2">
        <f t="shared" si="8"/>
        <v>-98734.42</v>
      </c>
      <c r="G307" s="2">
        <f>Shift10!M305-Shift11!M305</f>
        <v>-2838.7299999999996</v>
      </c>
      <c r="H307" s="3">
        <f t="shared" si="9"/>
        <v>-101573.15</v>
      </c>
    </row>
    <row r="308" spans="1:8" x14ac:dyDescent="0.2">
      <c r="A308" s="5">
        <v>2342</v>
      </c>
      <c r="B308" s="5">
        <v>1</v>
      </c>
      <c r="C308" s="2" t="s">
        <v>302</v>
      </c>
      <c r="D308" s="2">
        <f>Shift10!D306-Shift11!D306</f>
        <v>-32132.74000000002</v>
      </c>
      <c r="E308" s="2">
        <f>Shift10!E306-Shift11!E306</f>
        <v>-22251.269999999902</v>
      </c>
      <c r="F308" s="2">
        <f t="shared" si="8"/>
        <v>-54384.009999999922</v>
      </c>
      <c r="G308" s="2">
        <f>Shift10!M306-Shift11!M306</f>
        <v>1178.5400000000009</v>
      </c>
      <c r="H308" s="3">
        <f t="shared" si="9"/>
        <v>-53205.469999999921</v>
      </c>
    </row>
    <row r="309" spans="1:8" x14ac:dyDescent="0.2">
      <c r="A309" s="5">
        <v>2358</v>
      </c>
      <c r="B309" s="5">
        <v>1</v>
      </c>
      <c r="C309" s="2" t="s">
        <v>303</v>
      </c>
      <c r="D309" s="2">
        <f>Shift10!D307-Shift11!D307</f>
        <v>-37680.959999999999</v>
      </c>
      <c r="E309" s="2">
        <f>Shift10!E307-Shift11!E307</f>
        <v>-28223.259999999995</v>
      </c>
      <c r="F309" s="2">
        <f t="shared" si="8"/>
        <v>-65904.22</v>
      </c>
      <c r="G309" s="2">
        <f>Shift10!M307-Shift11!M307</f>
        <v>480.48000000000138</v>
      </c>
      <c r="H309" s="3">
        <f t="shared" si="9"/>
        <v>-65423.74</v>
      </c>
    </row>
    <row r="310" spans="1:8" x14ac:dyDescent="0.2">
      <c r="A310" s="5">
        <v>2364</v>
      </c>
      <c r="B310" s="5">
        <v>1</v>
      </c>
      <c r="C310" s="2" t="s">
        <v>304</v>
      </c>
      <c r="D310" s="2">
        <f>Shift10!D308-Shift11!D308</f>
        <v>35861.439999999995</v>
      </c>
      <c r="E310" s="2">
        <f>Shift10!E308-Shift11!E308</f>
        <v>1077.1499999999942</v>
      </c>
      <c r="F310" s="2">
        <f t="shared" si="8"/>
        <v>36938.589999999989</v>
      </c>
      <c r="G310" s="2">
        <f>Shift10!M308-Shift11!M308</f>
        <v>610.85000000000218</v>
      </c>
      <c r="H310" s="3">
        <f t="shared" si="9"/>
        <v>37549.439999999988</v>
      </c>
    </row>
    <row r="311" spans="1:8" x14ac:dyDescent="0.2">
      <c r="A311" s="5">
        <v>2365</v>
      </c>
      <c r="B311" s="5">
        <v>1</v>
      </c>
      <c r="C311" s="2" t="s">
        <v>305</v>
      </c>
      <c r="D311" s="2">
        <f>Shift10!D309-Shift11!D309</f>
        <v>-16192.719999999972</v>
      </c>
      <c r="E311" s="2">
        <f>Shift10!E309-Shift11!E309</f>
        <v>-165525.46</v>
      </c>
      <c r="F311" s="2">
        <f t="shared" si="8"/>
        <v>-181718.17999999996</v>
      </c>
      <c r="G311" s="2">
        <f>Shift10!M309-Shift11!M309</f>
        <v>2816.5800000000017</v>
      </c>
      <c r="H311" s="3">
        <f t="shared" si="9"/>
        <v>-178901.59999999998</v>
      </c>
    </row>
    <row r="312" spans="1:8" x14ac:dyDescent="0.2">
      <c r="A312" s="5">
        <v>2396</v>
      </c>
      <c r="B312" s="5">
        <v>1</v>
      </c>
      <c r="C312" s="2" t="s">
        <v>306</v>
      </c>
      <c r="D312" s="2">
        <f>Shift10!D310-Shift11!D310</f>
        <v>-11175.450000000012</v>
      </c>
      <c r="E312" s="2">
        <f>Shift10!E310-Shift11!E310</f>
        <v>-6904.2600000000093</v>
      </c>
      <c r="F312" s="2">
        <f t="shared" si="8"/>
        <v>-18079.710000000021</v>
      </c>
      <c r="G312" s="2">
        <f>Shift10!M310-Shift11!M310</f>
        <v>8186.7700000000041</v>
      </c>
      <c r="H312" s="3">
        <f t="shared" si="9"/>
        <v>-9892.9400000000169</v>
      </c>
    </row>
    <row r="313" spans="1:8" x14ac:dyDescent="0.2">
      <c r="A313" s="5">
        <v>2397</v>
      </c>
      <c r="B313" s="5">
        <v>1</v>
      </c>
      <c r="C313" s="2" t="s">
        <v>307</v>
      </c>
      <c r="D313" s="2">
        <f>Shift10!D311-Shift11!D311</f>
        <v>37427.669999999984</v>
      </c>
      <c r="E313" s="2">
        <f>Shift10!E311-Shift11!E311</f>
        <v>-263058.91000000003</v>
      </c>
      <c r="F313" s="2">
        <f t="shared" si="8"/>
        <v>-225631.24000000005</v>
      </c>
      <c r="G313" s="2">
        <f>Shift10!M311-Shift11!M311</f>
        <v>127.25</v>
      </c>
      <c r="H313" s="3">
        <f t="shared" si="9"/>
        <v>-225503.99000000005</v>
      </c>
    </row>
    <row r="314" spans="1:8" x14ac:dyDescent="0.2">
      <c r="A314" s="5">
        <v>2448</v>
      </c>
      <c r="B314" s="5">
        <v>1</v>
      </c>
      <c r="C314" s="2" t="s">
        <v>308</v>
      </c>
      <c r="D314" s="2">
        <f>Shift10!D312-Shift11!D312</f>
        <v>616.08999999999651</v>
      </c>
      <c r="E314" s="2">
        <f>Shift10!E312-Shift11!E312</f>
        <v>-17991.819999999949</v>
      </c>
      <c r="F314" s="2">
        <f t="shared" si="8"/>
        <v>-17375.729999999952</v>
      </c>
      <c r="G314" s="2">
        <f>Shift10!M312-Shift11!M312</f>
        <v>4589.2200000000012</v>
      </c>
      <c r="H314" s="3">
        <f t="shared" si="9"/>
        <v>-12786.509999999951</v>
      </c>
    </row>
    <row r="315" spans="1:8" x14ac:dyDescent="0.2">
      <c r="A315" s="5">
        <v>2527</v>
      </c>
      <c r="B315" s="5">
        <v>1</v>
      </c>
      <c r="C315" s="2" t="s">
        <v>309</v>
      </c>
      <c r="D315" s="2">
        <f>Shift10!D313-Shift11!D313</f>
        <v>7864.5</v>
      </c>
      <c r="E315" s="2">
        <f>Shift10!E313-Shift11!E313</f>
        <v>-48.590000000011059</v>
      </c>
      <c r="F315" s="2">
        <f t="shared" si="8"/>
        <v>7815.9099999999889</v>
      </c>
      <c r="G315" s="2">
        <f>Shift10!M313-Shift11!M313</f>
        <v>-903.82000000000153</v>
      </c>
      <c r="H315" s="3">
        <f t="shared" si="9"/>
        <v>6912.0899999999874</v>
      </c>
    </row>
    <row r="316" spans="1:8" x14ac:dyDescent="0.2">
      <c r="A316" s="5">
        <v>2534</v>
      </c>
      <c r="B316" s="5">
        <v>1</v>
      </c>
      <c r="C316" s="2" t="s">
        <v>310</v>
      </c>
      <c r="D316" s="2">
        <f>Shift10!D314-Shift11!D314</f>
        <v>35296.28</v>
      </c>
      <c r="E316" s="2">
        <f>Shift10!E314-Shift11!E314</f>
        <v>-2472.3500000000058</v>
      </c>
      <c r="F316" s="2">
        <f t="shared" si="8"/>
        <v>32823.929999999993</v>
      </c>
      <c r="G316" s="2">
        <f>Shift10!M314-Shift11!M314</f>
        <v>-3082.3500000000058</v>
      </c>
      <c r="H316" s="3">
        <f t="shared" si="9"/>
        <v>29741.579999999987</v>
      </c>
    </row>
    <row r="317" spans="1:8" x14ac:dyDescent="0.2">
      <c r="A317" s="5">
        <v>2536</v>
      </c>
      <c r="B317" s="5">
        <v>1</v>
      </c>
      <c r="C317" s="2" t="s">
        <v>311</v>
      </c>
      <c r="D317" s="2">
        <f>Shift10!D315-Shift11!D315</f>
        <v>29469.469999999994</v>
      </c>
      <c r="E317" s="2">
        <f>Shift10!E315-Shift11!E315</f>
        <v>-104256.62</v>
      </c>
      <c r="F317" s="2">
        <f t="shared" si="8"/>
        <v>-74787.149999999994</v>
      </c>
      <c r="G317" s="2">
        <f>Shift10!M315-Shift11!M315</f>
        <v>-522.2400000000016</v>
      </c>
      <c r="H317" s="3">
        <f t="shared" si="9"/>
        <v>-75309.39</v>
      </c>
    </row>
    <row r="318" spans="1:8" x14ac:dyDescent="0.2">
      <c r="A318" s="5">
        <v>2580</v>
      </c>
      <c r="B318" s="5">
        <v>1</v>
      </c>
      <c r="C318" s="2" t="s">
        <v>312</v>
      </c>
      <c r="D318" s="2">
        <f>Shift10!D316-Shift11!D316</f>
        <v>-22500.350000000006</v>
      </c>
      <c r="E318" s="2">
        <f>Shift10!E316-Shift11!E316</f>
        <v>0</v>
      </c>
      <c r="F318" s="2">
        <f t="shared" si="8"/>
        <v>-22500.350000000006</v>
      </c>
      <c r="G318" s="2">
        <f>Shift10!M316-Shift11!M316</f>
        <v>2487.2999999999956</v>
      </c>
      <c r="H318" s="3">
        <f t="shared" si="9"/>
        <v>-20013.05000000001</v>
      </c>
    </row>
    <row r="319" spans="1:8" x14ac:dyDescent="0.2">
      <c r="A319" s="5">
        <v>2609</v>
      </c>
      <c r="B319" s="5">
        <v>1</v>
      </c>
      <c r="C319" s="2" t="s">
        <v>313</v>
      </c>
      <c r="D319" s="2">
        <f>Shift10!D317-Shift11!D317</f>
        <v>-2587.5299999999988</v>
      </c>
      <c r="E319" s="2">
        <f>Shift10!E317-Shift11!E317</f>
        <v>-9355.789999999979</v>
      </c>
      <c r="F319" s="2">
        <f t="shared" si="8"/>
        <v>-11943.319999999978</v>
      </c>
      <c r="G319" s="2">
        <f>Shift10!M317-Shift11!M317</f>
        <v>-2459.9300000000003</v>
      </c>
      <c r="H319" s="3">
        <f t="shared" si="9"/>
        <v>-14403.249999999978</v>
      </c>
    </row>
    <row r="320" spans="1:8" x14ac:dyDescent="0.2">
      <c r="A320" s="5">
        <v>2683</v>
      </c>
      <c r="B320" s="5">
        <v>1</v>
      </c>
      <c r="C320" s="2" t="s">
        <v>314</v>
      </c>
      <c r="D320" s="2">
        <f>Shift10!D318-Shift11!D318</f>
        <v>28347.340000000004</v>
      </c>
      <c r="E320" s="2">
        <f>Shift10!E318-Shift11!E318</f>
        <v>-26757.46</v>
      </c>
      <c r="F320" s="2">
        <f t="shared" si="8"/>
        <v>1589.8800000000047</v>
      </c>
      <c r="G320" s="2">
        <f>Shift10!M318-Shift11!M318</f>
        <v>1433.6999999999989</v>
      </c>
      <c r="H320" s="3">
        <f t="shared" si="9"/>
        <v>3023.5800000000036</v>
      </c>
    </row>
    <row r="321" spans="1:8" x14ac:dyDescent="0.2">
      <c r="A321" s="5">
        <v>2687</v>
      </c>
      <c r="B321" s="5">
        <v>1</v>
      </c>
      <c r="C321" s="2" t="s">
        <v>315</v>
      </c>
      <c r="D321" s="2">
        <f>Shift10!D319-Shift11!D319</f>
        <v>-70787.56</v>
      </c>
      <c r="E321" s="2">
        <f>Shift10!E319-Shift11!E319</f>
        <v>55139.179999999993</v>
      </c>
      <c r="F321" s="2">
        <f t="shared" si="8"/>
        <v>-15648.380000000005</v>
      </c>
      <c r="G321" s="2">
        <f>Shift10!M319-Shift11!M319</f>
        <v>1489.2700000000041</v>
      </c>
      <c r="H321" s="3">
        <f t="shared" si="9"/>
        <v>-14159.11</v>
      </c>
    </row>
    <row r="322" spans="1:8" x14ac:dyDescent="0.2">
      <c r="A322" s="5">
        <v>2689</v>
      </c>
      <c r="B322" s="5">
        <v>1</v>
      </c>
      <c r="C322" s="2" t="s">
        <v>316</v>
      </c>
      <c r="D322" s="2">
        <f>Shift10!D320-Shift11!D320</f>
        <v>6787.289999999979</v>
      </c>
      <c r="E322" s="2">
        <f>Shift10!E320-Shift11!E320</f>
        <v>-11685.260000000009</v>
      </c>
      <c r="F322" s="2">
        <f t="shared" si="8"/>
        <v>-4897.9700000000303</v>
      </c>
      <c r="G322" s="2">
        <f>Shift10!M320-Shift11!M320</f>
        <v>-8176</v>
      </c>
      <c r="H322" s="3">
        <f t="shared" si="9"/>
        <v>-13073.97000000003</v>
      </c>
    </row>
    <row r="323" spans="1:8" x14ac:dyDescent="0.2">
      <c r="A323" s="5">
        <v>2711</v>
      </c>
      <c r="B323" s="5">
        <v>1</v>
      </c>
      <c r="C323" s="2" t="s">
        <v>317</v>
      </c>
      <c r="D323" s="2">
        <f>Shift10!D321-Shift11!D321</f>
        <v>0</v>
      </c>
      <c r="E323" s="2">
        <f>Shift10!E321-Shift11!E321</f>
        <v>0</v>
      </c>
      <c r="F323" s="2">
        <f t="shared" si="8"/>
        <v>0</v>
      </c>
      <c r="G323" s="2">
        <f>Shift10!M321-Shift11!M321</f>
        <v>0</v>
      </c>
      <c r="H323" s="3">
        <f t="shared" si="9"/>
        <v>0</v>
      </c>
    </row>
    <row r="324" spans="1:8" x14ac:dyDescent="0.2">
      <c r="A324" s="5">
        <v>2752</v>
      </c>
      <c r="B324" s="5">
        <v>1</v>
      </c>
      <c r="C324" s="2" t="s">
        <v>318</v>
      </c>
      <c r="D324" s="2">
        <f>Shift10!D322-Shift11!D322</f>
        <v>226343.05000000005</v>
      </c>
      <c r="E324" s="2">
        <f>Shift10!E322-Shift11!E322</f>
        <v>3822.1899999999441</v>
      </c>
      <c r="F324" s="2">
        <f t="shared" si="8"/>
        <v>230165.24</v>
      </c>
      <c r="G324" s="2">
        <f>Shift10!M322-Shift11!M322</f>
        <v>3905.1800000000076</v>
      </c>
      <c r="H324" s="3">
        <f t="shared" si="9"/>
        <v>234070.41999999998</v>
      </c>
    </row>
    <row r="325" spans="1:8" x14ac:dyDescent="0.2">
      <c r="A325" s="5">
        <v>2753</v>
      </c>
      <c r="B325" s="5">
        <v>1</v>
      </c>
      <c r="C325" s="2" t="s">
        <v>319</v>
      </c>
      <c r="D325" s="2">
        <f>Shift10!D323-Shift11!D323</f>
        <v>-9294.0599999999977</v>
      </c>
      <c r="E325" s="2">
        <f>Shift10!E323-Shift11!E323</f>
        <v>4608.6499999999651</v>
      </c>
      <c r="F325" s="2">
        <f t="shared" si="8"/>
        <v>-4685.4100000000326</v>
      </c>
      <c r="G325" s="2">
        <f>Shift10!M323-Shift11!M323</f>
        <v>-821.66000000000349</v>
      </c>
      <c r="H325" s="3">
        <f t="shared" si="9"/>
        <v>-5507.0700000000361</v>
      </c>
    </row>
    <row r="326" spans="1:8" x14ac:dyDescent="0.2">
      <c r="A326" s="5">
        <v>2754</v>
      </c>
      <c r="B326" s="5">
        <v>1</v>
      </c>
      <c r="C326" s="2" t="s">
        <v>320</v>
      </c>
      <c r="D326" s="2">
        <f>Shift10!D324-Shift11!D324</f>
        <v>20178.489999999991</v>
      </c>
      <c r="E326" s="2">
        <f>Shift10!E324-Shift11!E324</f>
        <v>0</v>
      </c>
      <c r="F326" s="2">
        <f t="shared" si="8"/>
        <v>20178.489999999991</v>
      </c>
      <c r="G326" s="2">
        <f>Shift10!M324-Shift11!M324</f>
        <v>-2069.3899999999994</v>
      </c>
      <c r="H326" s="3">
        <f t="shared" si="9"/>
        <v>18109.099999999991</v>
      </c>
    </row>
    <row r="327" spans="1:8" x14ac:dyDescent="0.2">
      <c r="A327" s="5">
        <v>2759</v>
      </c>
      <c r="B327" s="5">
        <v>1</v>
      </c>
      <c r="C327" s="2" t="s">
        <v>321</v>
      </c>
      <c r="D327" s="2">
        <f>Shift10!D325-Shift11!D325</f>
        <v>17894.909999999996</v>
      </c>
      <c r="E327" s="2">
        <f>Shift10!E325-Shift11!E325</f>
        <v>1653.3699999999953</v>
      </c>
      <c r="F327" s="2">
        <f t="shared" ref="F327:F344" si="10">D327+E327</f>
        <v>19548.279999999992</v>
      </c>
      <c r="G327" s="2">
        <f>Shift10!M325-Shift11!M325</f>
        <v>911.7400000000016</v>
      </c>
      <c r="H327" s="3">
        <f t="shared" ref="H327:H344" si="11">SUM(F327:G327)</f>
        <v>20460.019999999993</v>
      </c>
    </row>
    <row r="328" spans="1:8" x14ac:dyDescent="0.2">
      <c r="A328" s="5">
        <v>2805</v>
      </c>
      <c r="B328" s="5">
        <v>1</v>
      </c>
      <c r="C328" s="2" t="s">
        <v>322</v>
      </c>
      <c r="D328" s="2">
        <f>Shift10!D326-Shift11!D326</f>
        <v>-14439.260000000009</v>
      </c>
      <c r="E328" s="2">
        <f>Shift10!E326-Shift11!E326</f>
        <v>7411.9899999999907</v>
      </c>
      <c r="F328" s="2">
        <f t="shared" si="10"/>
        <v>-7027.2700000000186</v>
      </c>
      <c r="G328" s="2">
        <f>Shift10!M326-Shift11!M326</f>
        <v>-16045.779999999999</v>
      </c>
      <c r="H328" s="3">
        <f t="shared" si="11"/>
        <v>-23073.050000000017</v>
      </c>
    </row>
    <row r="329" spans="1:8" x14ac:dyDescent="0.2">
      <c r="A329" s="5">
        <v>2835</v>
      </c>
      <c r="B329" s="5">
        <v>1</v>
      </c>
      <c r="C329" s="2" t="s">
        <v>323</v>
      </c>
      <c r="D329" s="2">
        <f>Shift10!D327-Shift11!D327</f>
        <v>3785.1699999999983</v>
      </c>
      <c r="E329" s="2">
        <f>Shift10!E327-Shift11!E327</f>
        <v>-394414.16000000003</v>
      </c>
      <c r="F329" s="2">
        <f t="shared" si="10"/>
        <v>-390628.99000000005</v>
      </c>
      <c r="G329" s="2">
        <f>Shift10!M327-Shift11!M327</f>
        <v>2585.0300000000025</v>
      </c>
      <c r="H329" s="3">
        <f t="shared" si="11"/>
        <v>-388043.96</v>
      </c>
    </row>
    <row r="330" spans="1:8" x14ac:dyDescent="0.2">
      <c r="A330" s="5">
        <v>2853</v>
      </c>
      <c r="B330" s="5">
        <v>1</v>
      </c>
      <c r="C330" s="2" t="s">
        <v>324</v>
      </c>
      <c r="D330" s="2">
        <f>Shift10!D328-Shift11!D328</f>
        <v>-60317.700000000012</v>
      </c>
      <c r="E330" s="2">
        <f>Shift10!E328-Shift11!E328</f>
        <v>30419.780000000028</v>
      </c>
      <c r="F330" s="2">
        <f t="shared" si="10"/>
        <v>-29897.919999999984</v>
      </c>
      <c r="G330" s="2">
        <f>Shift10!M328-Shift11!M328</f>
        <v>9482.7900000000009</v>
      </c>
      <c r="H330" s="3">
        <f t="shared" si="11"/>
        <v>-20415.129999999983</v>
      </c>
    </row>
    <row r="331" spans="1:8" x14ac:dyDescent="0.2">
      <c r="A331" s="5">
        <v>2854</v>
      </c>
      <c r="B331" s="5">
        <v>1</v>
      </c>
      <c r="C331" s="2" t="s">
        <v>325</v>
      </c>
      <c r="D331" s="2">
        <f>Shift10!D329-Shift11!D329</f>
        <v>-5546.6399999999994</v>
      </c>
      <c r="E331" s="2">
        <f>Shift10!E329-Shift11!E329</f>
        <v>-488.38000000000466</v>
      </c>
      <c r="F331" s="2">
        <f t="shared" si="10"/>
        <v>-6035.0200000000041</v>
      </c>
      <c r="G331" s="2">
        <f>Shift10!M329-Shift11!M329</f>
        <v>-2314.0200000000004</v>
      </c>
      <c r="H331" s="3">
        <f t="shared" si="11"/>
        <v>-8349.0400000000045</v>
      </c>
    </row>
    <row r="332" spans="1:8" x14ac:dyDescent="0.2">
      <c r="A332" s="5">
        <v>2856</v>
      </c>
      <c r="B332" s="5">
        <v>1</v>
      </c>
      <c r="C332" s="2" t="s">
        <v>326</v>
      </c>
      <c r="D332" s="2">
        <f>Shift10!D330-Shift11!D330</f>
        <v>6176.3600000000006</v>
      </c>
      <c r="E332" s="2">
        <f>Shift10!E330-Shift11!E330</f>
        <v>0</v>
      </c>
      <c r="F332" s="2">
        <f t="shared" si="10"/>
        <v>6176.3600000000006</v>
      </c>
      <c r="G332" s="2">
        <f>Shift10!M330-Shift11!M330</f>
        <v>-5992.380000000001</v>
      </c>
      <c r="H332" s="3">
        <f t="shared" si="11"/>
        <v>183.97999999999956</v>
      </c>
    </row>
    <row r="333" spans="1:8" x14ac:dyDescent="0.2">
      <c r="A333" s="5">
        <v>2859</v>
      </c>
      <c r="B333" s="5">
        <v>1</v>
      </c>
      <c r="C333" s="2" t="s">
        <v>327</v>
      </c>
      <c r="D333" s="2">
        <f>Shift10!D331-Shift11!D331</f>
        <v>45442.839999999967</v>
      </c>
      <c r="E333" s="2">
        <f>Shift10!E331-Shift11!E331</f>
        <v>-60748.119999999995</v>
      </c>
      <c r="F333" s="2">
        <f t="shared" si="10"/>
        <v>-15305.280000000028</v>
      </c>
      <c r="G333" s="2">
        <f>Shift10!M331-Shift11!M331</f>
        <v>3790.6900000000023</v>
      </c>
      <c r="H333" s="3">
        <f t="shared" si="11"/>
        <v>-11514.590000000026</v>
      </c>
    </row>
    <row r="334" spans="1:8" x14ac:dyDescent="0.2">
      <c r="A334" s="5">
        <v>2860</v>
      </c>
      <c r="B334" s="5">
        <v>1</v>
      </c>
      <c r="C334" s="2" t="s">
        <v>328</v>
      </c>
      <c r="D334" s="2">
        <f>Shift10!D332-Shift11!D332</f>
        <v>3039.3500000000349</v>
      </c>
      <c r="E334" s="2">
        <f>Shift10!E332-Shift11!E332</f>
        <v>-713.64999999999418</v>
      </c>
      <c r="F334" s="2">
        <f t="shared" si="10"/>
        <v>2325.7000000000407</v>
      </c>
      <c r="G334" s="2">
        <f>Shift10!M332-Shift11!M332</f>
        <v>337.2899999999936</v>
      </c>
      <c r="H334" s="3">
        <f t="shared" si="11"/>
        <v>2662.9900000000343</v>
      </c>
    </row>
    <row r="335" spans="1:8" x14ac:dyDescent="0.2">
      <c r="A335" s="5">
        <v>2884</v>
      </c>
      <c r="B335" s="5">
        <v>1</v>
      </c>
      <c r="C335" s="2" t="s">
        <v>329</v>
      </c>
      <c r="D335" s="2">
        <f>Shift10!D333-Shift11!D333</f>
        <v>3177.3000000000029</v>
      </c>
      <c r="E335" s="2">
        <f>Shift10!E333-Shift11!E333</f>
        <v>-3048.1900000000023</v>
      </c>
      <c r="F335" s="2">
        <f t="shared" si="10"/>
        <v>129.11000000000058</v>
      </c>
      <c r="G335" s="2">
        <f>Shift10!M333-Shift11!M333</f>
        <v>-5848.52</v>
      </c>
      <c r="H335" s="3">
        <f t="shared" si="11"/>
        <v>-5719.41</v>
      </c>
    </row>
    <row r="336" spans="1:8" x14ac:dyDescent="0.2">
      <c r="A336" s="5">
        <v>2886</v>
      </c>
      <c r="B336" s="5">
        <v>1</v>
      </c>
      <c r="C336" s="2" t="s">
        <v>330</v>
      </c>
      <c r="D336" s="2">
        <f>Shift10!D334-Shift11!D334</f>
        <v>28007.759999999995</v>
      </c>
      <c r="E336" s="2">
        <f>Shift10!E334-Shift11!E334</f>
        <v>0</v>
      </c>
      <c r="F336" s="2">
        <f t="shared" si="10"/>
        <v>28007.759999999995</v>
      </c>
      <c r="G336" s="2">
        <f>Shift10!M334-Shift11!M334</f>
        <v>1599.3199999999997</v>
      </c>
      <c r="H336" s="3">
        <f t="shared" si="11"/>
        <v>29607.079999999994</v>
      </c>
    </row>
    <row r="337" spans="1:8" x14ac:dyDescent="0.2">
      <c r="A337" s="5">
        <v>2888</v>
      </c>
      <c r="B337" s="5">
        <v>1</v>
      </c>
      <c r="C337" s="2" t="s">
        <v>331</v>
      </c>
      <c r="D337" s="2">
        <f>Shift10!D335-Shift11!D335</f>
        <v>-6721.8999999999942</v>
      </c>
      <c r="E337" s="2">
        <f>Shift10!E335-Shift11!E335</f>
        <v>14778.489999999991</v>
      </c>
      <c r="F337" s="2">
        <f t="shared" si="10"/>
        <v>8056.5899999999965</v>
      </c>
      <c r="G337" s="2">
        <f>Shift10!M335-Shift11!M335</f>
        <v>3000.6999999999989</v>
      </c>
      <c r="H337" s="3">
        <f t="shared" si="11"/>
        <v>11057.289999999995</v>
      </c>
    </row>
    <row r="338" spans="1:8" x14ac:dyDescent="0.2">
      <c r="A338" s="5">
        <v>2889</v>
      </c>
      <c r="B338" s="5">
        <v>1</v>
      </c>
      <c r="C338" s="2" t="s">
        <v>332</v>
      </c>
      <c r="D338" s="2">
        <f>Shift10!D336-Shift11!D336</f>
        <v>1405.1100000000151</v>
      </c>
      <c r="E338" s="2">
        <f>Shift10!E336-Shift11!E336</f>
        <v>-22913.390000000014</v>
      </c>
      <c r="F338" s="2">
        <f t="shared" si="10"/>
        <v>-21508.28</v>
      </c>
      <c r="G338" s="2">
        <f>Shift10!M336-Shift11!M336</f>
        <v>-3957.510000000002</v>
      </c>
      <c r="H338" s="3">
        <f t="shared" si="11"/>
        <v>-25465.79</v>
      </c>
    </row>
    <row r="339" spans="1:8" x14ac:dyDescent="0.2">
      <c r="A339" s="5">
        <v>2890</v>
      </c>
      <c r="B339" s="5">
        <v>1</v>
      </c>
      <c r="C339" s="2" t="s">
        <v>333</v>
      </c>
      <c r="D339" s="2">
        <f>Shift10!D337-Shift11!D337</f>
        <v>-74912.570000000007</v>
      </c>
      <c r="E339" s="2">
        <f>Shift10!E337-Shift11!E337</f>
        <v>23453.380000000005</v>
      </c>
      <c r="F339" s="2">
        <f t="shared" si="10"/>
        <v>-51459.19</v>
      </c>
      <c r="G339" s="2">
        <f>Shift10!M337-Shift11!M337</f>
        <v>1070.9900000000016</v>
      </c>
      <c r="H339" s="3">
        <f t="shared" si="11"/>
        <v>-50388.2</v>
      </c>
    </row>
    <row r="340" spans="1:8" x14ac:dyDescent="0.2">
      <c r="A340" s="5">
        <v>2895</v>
      </c>
      <c r="B340" s="5">
        <v>1</v>
      </c>
      <c r="C340" s="2" t="s">
        <v>334</v>
      </c>
      <c r="D340" s="2">
        <f>Shift10!D338-Shift11!D338</f>
        <v>-110984.39999999997</v>
      </c>
      <c r="E340" s="2">
        <f>Shift10!E338-Shift11!E338</f>
        <v>29552.210000000021</v>
      </c>
      <c r="F340" s="2">
        <f t="shared" si="10"/>
        <v>-81432.189999999944</v>
      </c>
      <c r="G340" s="2">
        <f>Shift10!M338-Shift11!M338</f>
        <v>3450.5999999999985</v>
      </c>
      <c r="H340" s="3">
        <f t="shared" si="11"/>
        <v>-77981.589999999938</v>
      </c>
    </row>
    <row r="341" spans="1:8" x14ac:dyDescent="0.2">
      <c r="A341" s="5">
        <v>2897</v>
      </c>
      <c r="B341" s="5">
        <v>1</v>
      </c>
      <c r="C341" s="2" t="s">
        <v>335</v>
      </c>
      <c r="D341" s="2">
        <f>Shift10!D339-Shift11!D339</f>
        <v>-47689.440000000002</v>
      </c>
      <c r="E341" s="2">
        <f>Shift10!E339-Shift11!E339</f>
        <v>-206018.32000000004</v>
      </c>
      <c r="F341" s="2">
        <f t="shared" si="10"/>
        <v>-253707.76000000004</v>
      </c>
      <c r="G341" s="2">
        <f>Shift10!M339-Shift11!M339</f>
        <v>1559.0899999999965</v>
      </c>
      <c r="H341" s="3">
        <f t="shared" si="11"/>
        <v>-252148.67000000004</v>
      </c>
    </row>
    <row r="342" spans="1:8" x14ac:dyDescent="0.2">
      <c r="A342" s="5">
        <v>2898</v>
      </c>
      <c r="B342" s="5">
        <v>1</v>
      </c>
      <c r="C342" s="2" t="s">
        <v>336</v>
      </c>
      <c r="D342" s="2">
        <f>Shift10!D340-Shift11!D340</f>
        <v>-13282.660000000003</v>
      </c>
      <c r="E342" s="2">
        <f>Shift10!E340-Shift11!E340</f>
        <v>0</v>
      </c>
      <c r="F342" s="2">
        <f t="shared" si="10"/>
        <v>-13282.660000000003</v>
      </c>
      <c r="G342" s="2">
        <f>Shift10!M340-Shift11!M340</f>
        <v>2415.4199999999983</v>
      </c>
      <c r="H342" s="3">
        <f t="shared" si="11"/>
        <v>-10867.240000000005</v>
      </c>
    </row>
    <row r="343" spans="1:8" x14ac:dyDescent="0.2">
      <c r="A343" s="5">
        <v>2899</v>
      </c>
      <c r="B343" s="5">
        <v>1</v>
      </c>
      <c r="C343" s="2" t="s">
        <v>498</v>
      </c>
      <c r="D343" s="2">
        <f>Shift10!D341-Shift11!D341</f>
        <v>-1356.7699999999895</v>
      </c>
      <c r="E343" s="2">
        <f>Shift10!E341-Shift11!E341</f>
        <v>-1137.7199999999721</v>
      </c>
      <c r="F343" s="2">
        <f t="shared" si="10"/>
        <v>-2494.4899999999616</v>
      </c>
      <c r="G343" s="2">
        <f>Shift10!M341-Shift11!M341</f>
        <v>-4784.6699999999983</v>
      </c>
      <c r="H343" s="3">
        <f t="shared" si="11"/>
        <v>-7279.1599999999598</v>
      </c>
    </row>
    <row r="344" spans="1:8" x14ac:dyDescent="0.2">
      <c r="A344" s="5">
        <v>2902</v>
      </c>
      <c r="B344" s="5">
        <v>1</v>
      </c>
      <c r="C344" s="2" t="s">
        <v>497</v>
      </c>
      <c r="D344" s="2">
        <f>Shift10!D342-Shift11!D342</f>
        <v>-98487.37</v>
      </c>
      <c r="E344" s="2">
        <f>Shift10!E342-Shift11!E342</f>
        <v>-1820.070000000007</v>
      </c>
      <c r="F344" s="2">
        <f t="shared" si="10"/>
        <v>-100307.44</v>
      </c>
      <c r="G344" s="2">
        <f>Shift10!M342-Shift11!M342</f>
        <v>28151.06</v>
      </c>
      <c r="H344" s="3">
        <f t="shared" si="11"/>
        <v>-72156.38</v>
      </c>
    </row>
    <row r="345" spans="1:8" x14ac:dyDescent="0.2">
      <c r="A345" s="5">
        <v>2903</v>
      </c>
      <c r="B345" s="5">
        <v>1</v>
      </c>
      <c r="C345" s="2" t="s">
        <v>640</v>
      </c>
      <c r="D345" s="2">
        <f>Shift10!D343-Shift11!D343</f>
        <v>127817.87</v>
      </c>
      <c r="E345" s="2">
        <f>Shift10!E343-Shift11!E343</f>
        <v>-4821.9800000000105</v>
      </c>
      <c r="F345" s="2">
        <f>D345+E345</f>
        <v>122995.88999999998</v>
      </c>
      <c r="G345" s="2">
        <f>Shift10!M343-Shift11!M343</f>
        <v>1336.1400000000031</v>
      </c>
      <c r="H345" s="3">
        <f>SUM(F345:G345)</f>
        <v>124332.02999999998</v>
      </c>
    </row>
    <row r="346" spans="1:8" x14ac:dyDescent="0.2">
      <c r="A346" s="5">
        <v>2904</v>
      </c>
      <c r="B346" s="5">
        <v>1</v>
      </c>
      <c r="C346" s="2" t="s">
        <v>641</v>
      </c>
      <c r="D346" s="2">
        <f>Shift10!D344-Shift11!D344</f>
        <v>23030.140000000014</v>
      </c>
      <c r="E346" s="2">
        <f>Shift10!E344-Shift11!E344</f>
        <v>-14354.010000000009</v>
      </c>
      <c r="F346" s="2">
        <f>D346+E346</f>
        <v>8676.1300000000047</v>
      </c>
      <c r="G346" s="2">
        <f>Shift10!M344-Shift11!M344</f>
        <v>1736.9700000000012</v>
      </c>
      <c r="H346" s="3">
        <f>SUM(F346:G346)</f>
        <v>10413.100000000006</v>
      </c>
    </row>
  </sheetData>
  <phoneticPr fontId="0" type="noConversion"/>
  <printOptions gridLines="1"/>
  <pageMargins left="0.5" right="0.5" top="0.5" bottom="0.5" header="0.5" footer="0.5"/>
  <pageSetup scale="95" fitToHeight="0" orientation="portrait" r:id="rId1"/>
  <headerFooter alignWithMargins="0">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44"/>
  <sheetViews>
    <sheetView workbookViewId="0">
      <pane xSplit="3" ySplit="7" topLeftCell="D8" activePane="bottomRight" state="frozen"/>
      <selection pane="topRight" activeCell="D1" sqref="D1"/>
      <selection pane="bottomLeft" activeCell="A8" sqref="A8"/>
      <selection pane="bottomRight" activeCell="A9" sqref="A9"/>
    </sheetView>
  </sheetViews>
  <sheetFormatPr defaultRowHeight="11.25" x14ac:dyDescent="0.2"/>
  <cols>
    <col min="1" max="2" width="6.83203125" style="18" customWidth="1"/>
    <col min="3" max="3" width="20.83203125" style="3" customWidth="1"/>
    <col min="4" max="6" width="14.83203125" style="3" customWidth="1"/>
    <col min="7" max="14" width="13.83203125" style="3" customWidth="1"/>
    <col min="15" max="17" width="14.83203125" style="3" customWidth="1"/>
    <col min="18" max="16384" width="9.33203125" style="3"/>
  </cols>
  <sheetData>
    <row r="1" spans="1:17" x14ac:dyDescent="0.2">
      <c r="A1" s="22" t="str">
        <f>Instructions!P1&amp;" Gross Shift"</f>
        <v>Pay 2012 Gross Shift</v>
      </c>
      <c r="Q1" s="147">
        <f>Report!I1</f>
        <v>41115</v>
      </c>
    </row>
    <row r="3" spans="1:17" x14ac:dyDescent="0.2">
      <c r="A3" s="18" t="s">
        <v>462</v>
      </c>
      <c r="B3" s="149">
        <v>0.48599999999999999</v>
      </c>
    </row>
    <row r="4" spans="1:17" s="9" customFormat="1" ht="22.5" x14ac:dyDescent="0.2">
      <c r="A4" s="154"/>
      <c r="B4" s="154"/>
      <c r="D4" s="9" t="s">
        <v>358</v>
      </c>
      <c r="E4" s="9" t="s">
        <v>359</v>
      </c>
      <c r="F4" s="9" t="s">
        <v>360</v>
      </c>
      <c r="G4" s="9" t="s">
        <v>357</v>
      </c>
      <c r="H4" s="9" t="s">
        <v>461</v>
      </c>
      <c r="I4" s="151" t="s">
        <v>361</v>
      </c>
      <c r="J4" s="9" t="s">
        <v>362</v>
      </c>
      <c r="K4" s="9" t="s">
        <v>363</v>
      </c>
      <c r="L4" s="9" t="s">
        <v>493</v>
      </c>
      <c r="M4" s="9" t="s">
        <v>355</v>
      </c>
      <c r="N4" s="9" t="s">
        <v>494</v>
      </c>
      <c r="O4" s="9" t="s">
        <v>495</v>
      </c>
      <c r="P4" s="9" t="s">
        <v>637</v>
      </c>
      <c r="Q4" s="9" t="s">
        <v>638</v>
      </c>
    </row>
    <row r="6" spans="1:17" x14ac:dyDescent="0.2">
      <c r="C6" s="3" t="s">
        <v>344</v>
      </c>
      <c r="D6" s="3">
        <f>SUM(D8:D344)</f>
        <v>241654246.7999998</v>
      </c>
      <c r="E6" s="3">
        <f t="shared" ref="E6:Q6" si="0">SUM(E8:E344)</f>
        <v>259808036.76999986</v>
      </c>
      <c r="F6" s="3">
        <f t="shared" si="0"/>
        <v>114228540.45999998</v>
      </c>
      <c r="G6" s="3">
        <f t="shared" si="0"/>
        <v>4282529.1899999995</v>
      </c>
      <c r="H6" s="3">
        <f t="shared" si="0"/>
        <v>17147576.110000014</v>
      </c>
      <c r="I6" s="3">
        <f t="shared" si="0"/>
        <v>28857583.710000005</v>
      </c>
      <c r="J6" s="3">
        <f t="shared" si="0"/>
        <v>-139906.18</v>
      </c>
      <c r="K6" s="3">
        <f t="shared" si="0"/>
        <v>19088375.199999996</v>
      </c>
      <c r="L6" s="3">
        <f t="shared" si="0"/>
        <v>0</v>
      </c>
      <c r="M6" s="3">
        <f t="shared" si="0"/>
        <v>35805814.139999993</v>
      </c>
      <c r="N6" s="3">
        <f t="shared" si="0"/>
        <v>0</v>
      </c>
      <c r="O6" s="3">
        <f t="shared" si="0"/>
        <v>720732796.20000064</v>
      </c>
      <c r="P6" s="3">
        <f t="shared" si="0"/>
        <v>684926982.06000018</v>
      </c>
      <c r="Q6" s="3">
        <f t="shared" si="0"/>
        <v>35805814.139999993</v>
      </c>
    </row>
    <row r="8" spans="1:17" x14ac:dyDescent="0.2">
      <c r="A8" s="18">
        <v>1</v>
      </c>
      <c r="B8" s="18">
        <v>1</v>
      </c>
      <c r="C8" s="3" t="s">
        <v>5</v>
      </c>
      <c r="D8" s="3">
        <f>ROUND(Data!AA8*$B$3,2)</f>
        <v>400273.22</v>
      </c>
      <c r="E8" s="3">
        <f>MAX(0,Data!AD8-Data!Y8)</f>
        <v>0</v>
      </c>
      <c r="F8" s="3">
        <f>Data!Y8</f>
        <v>141143.88</v>
      </c>
      <c r="G8" s="3">
        <f>Data!X8</f>
        <v>0</v>
      </c>
      <c r="H8" s="3">
        <f>Data!K8+Data!R8</f>
        <v>29961.63</v>
      </c>
      <c r="I8" s="3">
        <f>Data!I8+Data!L8+Data!M8+Data!N8+Data!O8+Data!S8</f>
        <v>0</v>
      </c>
      <c r="J8" s="3">
        <f>Data!Q8</f>
        <v>0</v>
      </c>
      <c r="K8" s="3">
        <f>Data!J8+Data!P8</f>
        <v>1882.81</v>
      </c>
      <c r="L8" s="3">
        <f>Data!T8</f>
        <v>0</v>
      </c>
      <c r="M8" s="3">
        <f>ROUND(Data!AB8*$B$3,2)</f>
        <v>897.18</v>
      </c>
      <c r="N8" s="3">
        <f>Data!U8</f>
        <v>0</v>
      </c>
      <c r="O8" s="3">
        <f>SUM(D8:N8)</f>
        <v>574158.72000000009</v>
      </c>
      <c r="P8" s="3">
        <f>SUM(D8:L8)</f>
        <v>573261.54</v>
      </c>
      <c r="Q8" s="3">
        <f>SUM(M8:N8)</f>
        <v>897.18</v>
      </c>
    </row>
    <row r="9" spans="1:17" x14ac:dyDescent="0.2">
      <c r="A9" s="18">
        <v>1.2</v>
      </c>
      <c r="B9" s="18">
        <v>3</v>
      </c>
      <c r="C9" s="3" t="s">
        <v>6</v>
      </c>
      <c r="D9" s="3">
        <f>ROUND(Data!AA9*$B$3,2)</f>
        <v>11569510.289999999</v>
      </c>
      <c r="E9" s="3">
        <f>MAX(0,Data!AD9-Data!Y9)</f>
        <v>22730185.920000002</v>
      </c>
      <c r="F9" s="3">
        <f>Data!Y9</f>
        <v>10049626.5</v>
      </c>
      <c r="G9" s="3">
        <f>Data!X9</f>
        <v>1205612.71</v>
      </c>
      <c r="H9" s="3">
        <f>Data!K9+Data!R9</f>
        <v>551214.1399999999</v>
      </c>
      <c r="I9" s="3">
        <f>Data!I9+Data!L9+Data!M9+Data!N9+Data!O9+Data!S9</f>
        <v>8657778.6500000004</v>
      </c>
      <c r="J9" s="3">
        <f>Data!Q9</f>
        <v>0</v>
      </c>
      <c r="K9" s="3">
        <f>Data!J9+Data!P9</f>
        <v>1774703.81</v>
      </c>
      <c r="L9" s="3">
        <f>Data!T9</f>
        <v>0</v>
      </c>
      <c r="M9" s="3">
        <f>ROUND(Data!AB9*$B$3,2)</f>
        <v>2395201.98</v>
      </c>
      <c r="N9" s="3">
        <f>Data!U9</f>
        <v>0</v>
      </c>
      <c r="O9" s="3">
        <f t="shared" ref="O9:O71" si="1">SUM(D9:N9)</f>
        <v>58933834</v>
      </c>
      <c r="P9" s="3">
        <f t="shared" ref="P9:P71" si="2">SUM(D9:L9)</f>
        <v>56538632.020000003</v>
      </c>
      <c r="Q9" s="3">
        <f t="shared" ref="Q9:Q71" si="3">SUM(M9:N9)</f>
        <v>2395201.98</v>
      </c>
    </row>
    <row r="10" spans="1:17" x14ac:dyDescent="0.2">
      <c r="A10" s="18">
        <v>2</v>
      </c>
      <c r="B10" s="18">
        <v>1</v>
      </c>
      <c r="C10" s="3" t="s">
        <v>7</v>
      </c>
      <c r="D10" s="3">
        <f>ROUND(Data!AA10*$B$3,2)</f>
        <v>60705.45</v>
      </c>
      <c r="E10" s="3">
        <f>MAX(0,Data!AD10-Data!Y10)</f>
        <v>0</v>
      </c>
      <c r="F10" s="3">
        <f>Data!Y10</f>
        <v>0</v>
      </c>
      <c r="G10" s="3">
        <f>Data!X10</f>
        <v>0</v>
      </c>
      <c r="H10" s="3">
        <f>Data!K10+Data!R10</f>
        <v>10000</v>
      </c>
      <c r="I10" s="3">
        <f>Data!I10+Data!L10+Data!M10+Data!N10+Data!O10+Data!S10</f>
        <v>0</v>
      </c>
      <c r="J10" s="3">
        <f>Data!Q10</f>
        <v>0</v>
      </c>
      <c r="K10" s="3">
        <f>Data!J10+Data!P10</f>
        <v>16031.66</v>
      </c>
      <c r="L10" s="3">
        <f>Data!T10</f>
        <v>0</v>
      </c>
      <c r="M10" s="3">
        <f>ROUND(Data!AB10*$B$3,2)</f>
        <v>9705.42</v>
      </c>
      <c r="N10" s="3">
        <f>Data!U10</f>
        <v>0</v>
      </c>
      <c r="O10" s="3">
        <f t="shared" si="1"/>
        <v>96442.53</v>
      </c>
      <c r="P10" s="3">
        <f t="shared" si="2"/>
        <v>86737.11</v>
      </c>
      <c r="Q10" s="3">
        <f t="shared" si="3"/>
        <v>9705.42</v>
      </c>
    </row>
    <row r="11" spans="1:17" x14ac:dyDescent="0.2">
      <c r="A11" s="18">
        <v>4</v>
      </c>
      <c r="B11" s="18">
        <v>1</v>
      </c>
      <c r="C11" s="3" t="s">
        <v>8</v>
      </c>
      <c r="D11" s="3">
        <f>ROUND(Data!AA11*$B$3,2)</f>
        <v>84723.02</v>
      </c>
      <c r="E11" s="3">
        <f>MAX(0,Data!AD11-Data!Y11)</f>
        <v>0</v>
      </c>
      <c r="F11" s="3">
        <f>Data!Y11</f>
        <v>51784.65</v>
      </c>
      <c r="G11" s="3">
        <f>Data!X11</f>
        <v>0</v>
      </c>
      <c r="H11" s="3">
        <f>Data!K11+Data!R11</f>
        <v>11665.08</v>
      </c>
      <c r="I11" s="3">
        <f>Data!I11+Data!L11+Data!M11+Data!N11+Data!O11+Data!S11</f>
        <v>0</v>
      </c>
      <c r="J11" s="3">
        <f>Data!Q11</f>
        <v>0</v>
      </c>
      <c r="K11" s="3">
        <f>Data!J11+Data!P11</f>
        <v>-12981.289999999999</v>
      </c>
      <c r="L11" s="3">
        <f>Data!T11</f>
        <v>0</v>
      </c>
      <c r="M11" s="3">
        <f>ROUND(Data!AB11*$B$3,2)</f>
        <v>27577.1</v>
      </c>
      <c r="N11" s="3">
        <f>Data!U11</f>
        <v>0</v>
      </c>
      <c r="O11" s="3">
        <f t="shared" si="1"/>
        <v>162768.56</v>
      </c>
      <c r="P11" s="3">
        <f t="shared" si="2"/>
        <v>135191.46</v>
      </c>
      <c r="Q11" s="3">
        <f t="shared" si="3"/>
        <v>27577.1</v>
      </c>
    </row>
    <row r="12" spans="1:17" x14ac:dyDescent="0.2">
      <c r="A12" s="18">
        <v>6</v>
      </c>
      <c r="B12" s="18">
        <v>3</v>
      </c>
      <c r="C12" s="3" t="s">
        <v>9</v>
      </c>
      <c r="D12" s="3">
        <f>ROUND(Data!AA12*$B$3,2)</f>
        <v>1342633.11</v>
      </c>
      <c r="E12" s="3">
        <f>MAX(0,Data!AD12-Data!Y12)</f>
        <v>1092426.5</v>
      </c>
      <c r="F12" s="3">
        <f>Data!Y12</f>
        <v>360711.07</v>
      </c>
      <c r="G12" s="3">
        <f>Data!X12</f>
        <v>0</v>
      </c>
      <c r="H12" s="3">
        <f>Data!K12+Data!R12</f>
        <v>70749.16</v>
      </c>
      <c r="I12" s="3">
        <f>Data!I12+Data!L12+Data!M12+Data!N12+Data!O12+Data!S12</f>
        <v>0</v>
      </c>
      <c r="J12" s="3">
        <f>Data!Q12</f>
        <v>0</v>
      </c>
      <c r="K12" s="3">
        <f>Data!J12+Data!P12</f>
        <v>60297.279999999999</v>
      </c>
      <c r="L12" s="3">
        <f>Data!T12</f>
        <v>0</v>
      </c>
      <c r="M12" s="3">
        <f>ROUND(Data!AB12*$B$3,2)</f>
        <v>145894.76999999999</v>
      </c>
      <c r="N12" s="3">
        <f>Data!U12</f>
        <v>0</v>
      </c>
      <c r="O12" s="3">
        <f t="shared" si="1"/>
        <v>3072711.89</v>
      </c>
      <c r="P12" s="3">
        <f t="shared" si="2"/>
        <v>2926817.12</v>
      </c>
      <c r="Q12" s="3">
        <f t="shared" si="3"/>
        <v>145894.76999999999</v>
      </c>
    </row>
    <row r="13" spans="1:17" x14ac:dyDescent="0.2">
      <c r="A13" s="18">
        <v>11</v>
      </c>
      <c r="B13" s="18">
        <v>1</v>
      </c>
      <c r="C13" s="3" t="s">
        <v>10</v>
      </c>
      <c r="D13" s="3">
        <f>ROUND(Data!AA13*$B$3,2)</f>
        <v>9693090.9499999993</v>
      </c>
      <c r="E13" s="3">
        <f>MAX(0,Data!AD13-Data!Y13)</f>
        <v>21313952.109999999</v>
      </c>
      <c r="F13" s="3">
        <f>Data!Y13</f>
        <v>3515884.7</v>
      </c>
      <c r="G13" s="3">
        <f>Data!X13</f>
        <v>197692.1</v>
      </c>
      <c r="H13" s="3">
        <f>Data!K13+Data!R13</f>
        <v>939930.34</v>
      </c>
      <c r="I13" s="3">
        <f>Data!I13+Data!L13+Data!M13+Data!N13+Data!O13+Data!S13</f>
        <v>0</v>
      </c>
      <c r="J13" s="3">
        <f>Data!Q13</f>
        <v>0</v>
      </c>
      <c r="K13" s="3">
        <f>Data!J13+Data!P13</f>
        <v>805350.9</v>
      </c>
      <c r="L13" s="3">
        <f>Data!T13</f>
        <v>0</v>
      </c>
      <c r="M13" s="3">
        <f>ROUND(Data!AB13*$B$3,2)</f>
        <v>1509866.09</v>
      </c>
      <c r="N13" s="3">
        <f>Data!U13</f>
        <v>0</v>
      </c>
      <c r="O13" s="3">
        <f t="shared" si="1"/>
        <v>37975767.190000005</v>
      </c>
      <c r="P13" s="3">
        <f t="shared" si="2"/>
        <v>36465901.100000001</v>
      </c>
      <c r="Q13" s="3">
        <f t="shared" si="3"/>
        <v>1509866.09</v>
      </c>
    </row>
    <row r="14" spans="1:17" x14ac:dyDescent="0.2">
      <c r="A14" s="18">
        <v>12</v>
      </c>
      <c r="B14" s="18">
        <v>1</v>
      </c>
      <c r="C14" s="3" t="s">
        <v>11</v>
      </c>
      <c r="D14" s="3">
        <f>ROUND(Data!AA14*$B$3,2)</f>
        <v>1629289.23</v>
      </c>
      <c r="E14" s="3">
        <f>MAX(0,Data!AD14-Data!Y14)</f>
        <v>2426127.0699999998</v>
      </c>
      <c r="F14" s="3">
        <f>Data!Y14</f>
        <v>320094.52</v>
      </c>
      <c r="G14" s="3">
        <f>Data!X14</f>
        <v>16533.75</v>
      </c>
      <c r="H14" s="3">
        <f>Data!K14+Data!R14</f>
        <v>115112.6</v>
      </c>
      <c r="I14" s="3">
        <f>Data!I14+Data!L14+Data!M14+Data!N14+Data!O14+Data!S14</f>
        <v>0</v>
      </c>
      <c r="J14" s="3">
        <f>Data!Q14</f>
        <v>0</v>
      </c>
      <c r="K14" s="3">
        <f>Data!J14+Data!P14</f>
        <v>121208.84</v>
      </c>
      <c r="L14" s="3">
        <f>Data!T14</f>
        <v>0</v>
      </c>
      <c r="M14" s="3">
        <f>ROUND(Data!AB14*$B$3,2)</f>
        <v>211746.12</v>
      </c>
      <c r="N14" s="3">
        <f>Data!U14</f>
        <v>0</v>
      </c>
      <c r="O14" s="3">
        <f t="shared" si="1"/>
        <v>4840112.13</v>
      </c>
      <c r="P14" s="3">
        <f t="shared" si="2"/>
        <v>4628366.01</v>
      </c>
      <c r="Q14" s="3">
        <f t="shared" si="3"/>
        <v>211746.12</v>
      </c>
    </row>
    <row r="15" spans="1:17" x14ac:dyDescent="0.2">
      <c r="A15" s="18">
        <v>13</v>
      </c>
      <c r="B15" s="18">
        <v>1</v>
      </c>
      <c r="C15" s="3" t="s">
        <v>12</v>
      </c>
      <c r="D15" s="3">
        <f>ROUND(Data!AA15*$B$3,2)</f>
        <v>1036557.95</v>
      </c>
      <c r="E15" s="3">
        <f>MAX(0,Data!AD15-Data!Y15)</f>
        <v>810891.79</v>
      </c>
      <c r="F15" s="3">
        <f>Data!Y15</f>
        <v>848958.71</v>
      </c>
      <c r="G15" s="3">
        <f>Data!X15</f>
        <v>0</v>
      </c>
      <c r="H15" s="3">
        <f>Data!K15+Data!R15</f>
        <v>63473.100000000006</v>
      </c>
      <c r="I15" s="3">
        <f>Data!I15+Data!L15+Data!M15+Data!N15+Data!O15+Data!S15</f>
        <v>0</v>
      </c>
      <c r="J15" s="3">
        <f>Data!Q15</f>
        <v>0</v>
      </c>
      <c r="K15" s="3">
        <f>Data!J15+Data!P15</f>
        <v>32224.07</v>
      </c>
      <c r="L15" s="3">
        <f>Data!T15</f>
        <v>0</v>
      </c>
      <c r="M15" s="3">
        <f>ROUND(Data!AB15*$B$3,2)</f>
        <v>154587.26999999999</v>
      </c>
      <c r="N15" s="3">
        <f>Data!U15</f>
        <v>0</v>
      </c>
      <c r="O15" s="3">
        <f t="shared" si="1"/>
        <v>2946692.89</v>
      </c>
      <c r="P15" s="3">
        <f t="shared" si="2"/>
        <v>2792105.62</v>
      </c>
      <c r="Q15" s="3">
        <f t="shared" si="3"/>
        <v>154587.26999999999</v>
      </c>
    </row>
    <row r="16" spans="1:17" x14ac:dyDescent="0.2">
      <c r="A16" s="18">
        <v>14</v>
      </c>
      <c r="B16" s="18">
        <v>1</v>
      </c>
      <c r="C16" s="3" t="s">
        <v>13</v>
      </c>
      <c r="D16" s="3">
        <f>ROUND(Data!AA16*$B$3,2)</f>
        <v>1100248.76</v>
      </c>
      <c r="E16" s="3">
        <f>MAX(0,Data!AD16-Data!Y16)</f>
        <v>752276.98</v>
      </c>
      <c r="F16" s="3">
        <f>Data!Y16</f>
        <v>468605.33</v>
      </c>
      <c r="G16" s="3">
        <f>Data!X16</f>
        <v>0</v>
      </c>
      <c r="H16" s="3">
        <f>Data!K16+Data!R16</f>
        <v>68582.559999999998</v>
      </c>
      <c r="I16" s="3">
        <f>Data!I16+Data!L16+Data!M16+Data!N16+Data!O16+Data!S16</f>
        <v>0</v>
      </c>
      <c r="J16" s="3">
        <f>Data!Q16</f>
        <v>0</v>
      </c>
      <c r="K16" s="3">
        <f>Data!J16+Data!P16</f>
        <v>106303.92</v>
      </c>
      <c r="L16" s="3">
        <f>Data!T16</f>
        <v>0</v>
      </c>
      <c r="M16" s="3">
        <f>ROUND(Data!AB16*$B$3,2)</f>
        <v>226560.16</v>
      </c>
      <c r="N16" s="3">
        <f>Data!U16</f>
        <v>0</v>
      </c>
      <c r="O16" s="3">
        <f t="shared" si="1"/>
        <v>2722577.71</v>
      </c>
      <c r="P16" s="3">
        <f t="shared" si="2"/>
        <v>2496017.5499999998</v>
      </c>
      <c r="Q16" s="3">
        <f t="shared" si="3"/>
        <v>226560.16</v>
      </c>
    </row>
    <row r="17" spans="1:17" x14ac:dyDescent="0.2">
      <c r="A17" s="18">
        <v>15</v>
      </c>
      <c r="B17" s="18">
        <v>1</v>
      </c>
      <c r="C17" s="3" t="s">
        <v>14</v>
      </c>
      <c r="D17" s="3">
        <f>ROUND(Data!AA17*$B$3,2)</f>
        <v>1089099.8799999999</v>
      </c>
      <c r="E17" s="3">
        <f>MAX(0,Data!AD17-Data!Y17)</f>
        <v>596767.85000000009</v>
      </c>
      <c r="F17" s="3">
        <f>Data!Y17</f>
        <v>288492.78999999998</v>
      </c>
      <c r="G17" s="3">
        <f>Data!X17</f>
        <v>0</v>
      </c>
      <c r="H17" s="3">
        <f>Data!K17+Data!R17</f>
        <v>125814.1</v>
      </c>
      <c r="I17" s="3">
        <f>Data!I17+Data!L17+Data!M17+Data!N17+Data!O17+Data!S17</f>
        <v>0</v>
      </c>
      <c r="J17" s="3">
        <f>Data!Q17</f>
        <v>0</v>
      </c>
      <c r="K17" s="3">
        <f>Data!J17+Data!P17</f>
        <v>323183.07999999996</v>
      </c>
      <c r="L17" s="3">
        <f>Data!T17</f>
        <v>0</v>
      </c>
      <c r="M17" s="3">
        <f>ROUND(Data!AB17*$B$3,2)</f>
        <v>170083.7</v>
      </c>
      <c r="N17" s="3">
        <f>Data!U17</f>
        <v>0</v>
      </c>
      <c r="O17" s="3">
        <f>SUM(D17:N17)</f>
        <v>2593441.4000000004</v>
      </c>
      <c r="P17" s="3">
        <f>SUM(D17:L17)</f>
        <v>2423357.7000000002</v>
      </c>
      <c r="Q17" s="3">
        <f>SUM(M17:N17)</f>
        <v>170083.7</v>
      </c>
    </row>
    <row r="18" spans="1:17" x14ac:dyDescent="0.2">
      <c r="A18" s="18">
        <v>16</v>
      </c>
      <c r="B18" s="18">
        <v>1</v>
      </c>
      <c r="C18" s="3" t="s">
        <v>15</v>
      </c>
      <c r="D18" s="3">
        <f>ROUND(Data!AA18*$B$3,2)</f>
        <v>2060036.77</v>
      </c>
      <c r="E18" s="3">
        <f>MAX(0,Data!AD18-Data!Y18)</f>
        <v>1682306.2200000002</v>
      </c>
      <c r="F18" s="3">
        <f>Data!Y18</f>
        <v>804793.86</v>
      </c>
      <c r="G18" s="3">
        <f>Data!X18</f>
        <v>73286.44</v>
      </c>
      <c r="H18" s="3">
        <f>Data!K18+Data!R18</f>
        <v>81433.570000000007</v>
      </c>
      <c r="I18" s="3">
        <f>Data!I18+Data!L18+Data!M18+Data!N18+Data!O18+Data!S18</f>
        <v>0</v>
      </c>
      <c r="J18" s="3">
        <f>Data!Q18</f>
        <v>0</v>
      </c>
      <c r="K18" s="3">
        <f>Data!J18+Data!P18</f>
        <v>83924.13</v>
      </c>
      <c r="L18" s="3">
        <f>Data!T18</f>
        <v>0</v>
      </c>
      <c r="M18" s="3">
        <f>ROUND(Data!AB18*$B$3,2)</f>
        <v>225326.21</v>
      </c>
      <c r="N18" s="3">
        <f>Data!U18</f>
        <v>0</v>
      </c>
      <c r="O18" s="3">
        <f t="shared" si="1"/>
        <v>5011107.2000000011</v>
      </c>
      <c r="P18" s="3">
        <f t="shared" si="2"/>
        <v>4785780.9900000012</v>
      </c>
      <c r="Q18" s="3">
        <f t="shared" si="3"/>
        <v>225326.21</v>
      </c>
    </row>
    <row r="19" spans="1:17" x14ac:dyDescent="0.2">
      <c r="A19" s="18">
        <v>22</v>
      </c>
      <c r="B19" s="18">
        <v>1</v>
      </c>
      <c r="C19" s="3" t="s">
        <v>16</v>
      </c>
      <c r="D19" s="3">
        <f>ROUND(Data!AA19*$B$3,2)</f>
        <v>697179.97</v>
      </c>
      <c r="E19" s="3">
        <f>MAX(0,Data!AD19-Data!Y19)</f>
        <v>516047.57000000007</v>
      </c>
      <c r="F19" s="3">
        <f>Data!Y19</f>
        <v>133298.49</v>
      </c>
      <c r="G19" s="3">
        <f>Data!X19</f>
        <v>0</v>
      </c>
      <c r="H19" s="3">
        <f>Data!K19+Data!R19</f>
        <v>56261.09</v>
      </c>
      <c r="I19" s="3">
        <f>Data!I19+Data!L19+Data!M19+Data!N19+Data!O19+Data!S19</f>
        <v>0</v>
      </c>
      <c r="J19" s="3">
        <f>Data!Q19</f>
        <v>0</v>
      </c>
      <c r="K19" s="3">
        <f>Data!J19+Data!P19</f>
        <v>40886.229999999996</v>
      </c>
      <c r="L19" s="3">
        <f>Data!T19</f>
        <v>0</v>
      </c>
      <c r="M19" s="3">
        <f>ROUND(Data!AB19*$B$3,2)</f>
        <v>102490.6</v>
      </c>
      <c r="N19" s="3">
        <f>Data!U19</f>
        <v>0</v>
      </c>
      <c r="O19" s="3">
        <f t="shared" si="1"/>
        <v>1546163.9500000002</v>
      </c>
      <c r="P19" s="3">
        <f t="shared" si="2"/>
        <v>1443673.35</v>
      </c>
      <c r="Q19" s="3">
        <f t="shared" si="3"/>
        <v>102490.6</v>
      </c>
    </row>
    <row r="20" spans="1:17" x14ac:dyDescent="0.2">
      <c r="A20" s="18">
        <v>23</v>
      </c>
      <c r="B20" s="18">
        <v>1</v>
      </c>
      <c r="C20" s="3" t="s">
        <v>17</v>
      </c>
      <c r="D20" s="3">
        <f>ROUND(Data!AA20*$B$3,2)</f>
        <v>178791.83</v>
      </c>
      <c r="E20" s="3">
        <f>MAX(0,Data!AD20-Data!Y20)</f>
        <v>474821.03</v>
      </c>
      <c r="F20" s="3">
        <f>Data!Y20</f>
        <v>0</v>
      </c>
      <c r="G20" s="3">
        <f>Data!X20</f>
        <v>0</v>
      </c>
      <c r="H20" s="3">
        <f>Data!K20+Data!R20</f>
        <v>28255.59</v>
      </c>
      <c r="I20" s="3">
        <f>Data!I20+Data!L20+Data!M20+Data!N20+Data!O20+Data!S20</f>
        <v>0</v>
      </c>
      <c r="J20" s="3">
        <f>Data!Q20</f>
        <v>0</v>
      </c>
      <c r="K20" s="3">
        <f>Data!J20+Data!P20</f>
        <v>12688.98</v>
      </c>
      <c r="L20" s="3">
        <f>Data!T20</f>
        <v>0</v>
      </c>
      <c r="M20" s="3">
        <f>ROUND(Data!AB20*$B$3,2)</f>
        <v>41761.01</v>
      </c>
      <c r="N20" s="3">
        <f>Data!U20</f>
        <v>0</v>
      </c>
      <c r="O20" s="3">
        <f t="shared" si="1"/>
        <v>736318.44</v>
      </c>
      <c r="P20" s="3">
        <f t="shared" si="2"/>
        <v>694557.42999999993</v>
      </c>
      <c r="Q20" s="3">
        <f t="shared" si="3"/>
        <v>41761.01</v>
      </c>
    </row>
    <row r="21" spans="1:17" x14ac:dyDescent="0.2">
      <c r="A21" s="18">
        <v>25</v>
      </c>
      <c r="B21" s="18">
        <v>1</v>
      </c>
      <c r="C21" s="3" t="s">
        <v>345</v>
      </c>
      <c r="D21" s="3">
        <f>ROUND(Data!AA21*$B$3,2)</f>
        <v>0</v>
      </c>
      <c r="E21" s="3">
        <f>MAX(0,Data!AD21-Data!Y21)</f>
        <v>0</v>
      </c>
      <c r="F21" s="3">
        <f>Data!Y21</f>
        <v>0</v>
      </c>
      <c r="G21" s="3">
        <f>Data!X21</f>
        <v>0</v>
      </c>
      <c r="H21" s="3">
        <f>Data!K21+Data!R21</f>
        <v>0</v>
      </c>
      <c r="I21" s="3">
        <f>Data!I21+Data!L21+Data!M21+Data!N21+Data!O21+Data!S21</f>
        <v>0</v>
      </c>
      <c r="J21" s="3">
        <f>Data!Q21</f>
        <v>0</v>
      </c>
      <c r="K21" s="3">
        <f>Data!J21+Data!P21</f>
        <v>0</v>
      </c>
      <c r="L21" s="3">
        <f>Data!T21</f>
        <v>0</v>
      </c>
      <c r="M21" s="3">
        <f>ROUND(Data!AB21*$B$3,2)</f>
        <v>0</v>
      </c>
      <c r="N21" s="3">
        <f>Data!U21</f>
        <v>0</v>
      </c>
      <c r="O21" s="3">
        <f t="shared" si="1"/>
        <v>0</v>
      </c>
      <c r="P21" s="3">
        <f t="shared" si="2"/>
        <v>0</v>
      </c>
      <c r="Q21" s="3">
        <f t="shared" si="3"/>
        <v>0</v>
      </c>
    </row>
    <row r="22" spans="1:17" x14ac:dyDescent="0.2">
      <c r="A22" s="18">
        <v>31</v>
      </c>
      <c r="B22" s="18">
        <v>1</v>
      </c>
      <c r="C22" s="3" t="s">
        <v>18</v>
      </c>
      <c r="D22" s="3">
        <f>ROUND(Data!AA22*$B$3,2)</f>
        <v>972253</v>
      </c>
      <c r="E22" s="3">
        <f>MAX(0,Data!AD22-Data!Y22)</f>
        <v>898388.39000000013</v>
      </c>
      <c r="F22" s="3">
        <f>Data!Y22</f>
        <v>195530.98</v>
      </c>
      <c r="G22" s="3">
        <f>Data!X22</f>
        <v>0</v>
      </c>
      <c r="H22" s="3">
        <f>Data!K22+Data!R22</f>
        <v>111434.97</v>
      </c>
      <c r="I22" s="3">
        <f>Data!I22+Data!L22+Data!M22+Data!N22+Data!O22+Data!S22</f>
        <v>0</v>
      </c>
      <c r="J22" s="3">
        <f>Data!Q22</f>
        <v>0</v>
      </c>
      <c r="K22" s="3">
        <f>Data!J22+Data!P22</f>
        <v>46856.66</v>
      </c>
      <c r="L22" s="3">
        <f>Data!T22</f>
        <v>0</v>
      </c>
      <c r="M22" s="3">
        <f>ROUND(Data!AB22*$B$3,2)</f>
        <v>188645.26</v>
      </c>
      <c r="N22" s="3">
        <f>Data!U22</f>
        <v>0</v>
      </c>
      <c r="O22" s="3">
        <f t="shared" si="1"/>
        <v>2413109.2600000007</v>
      </c>
      <c r="P22" s="3">
        <f t="shared" si="2"/>
        <v>2224464.0000000005</v>
      </c>
      <c r="Q22" s="3">
        <f t="shared" si="3"/>
        <v>188645.26</v>
      </c>
    </row>
    <row r="23" spans="1:17" x14ac:dyDescent="0.2">
      <c r="A23" s="18">
        <v>32</v>
      </c>
      <c r="B23" s="18">
        <v>1</v>
      </c>
      <c r="C23" s="3" t="s">
        <v>19</v>
      </c>
      <c r="D23" s="3">
        <f>ROUND(Data!AA23*$B$3,2)</f>
        <v>138658.1</v>
      </c>
      <c r="E23" s="3">
        <f>MAX(0,Data!AD23-Data!Y23)</f>
        <v>0</v>
      </c>
      <c r="F23" s="3">
        <f>Data!Y23</f>
        <v>0</v>
      </c>
      <c r="G23" s="3">
        <f>Data!X23</f>
        <v>0</v>
      </c>
      <c r="H23" s="3">
        <f>Data!K23+Data!R23</f>
        <v>21400.19</v>
      </c>
      <c r="I23" s="3">
        <f>Data!I23+Data!L23+Data!M23+Data!N23+Data!O23+Data!S23</f>
        <v>0</v>
      </c>
      <c r="J23" s="3">
        <f>Data!Q23</f>
        <v>0</v>
      </c>
      <c r="K23" s="3">
        <f>Data!J23+Data!P23</f>
        <v>937.45</v>
      </c>
      <c r="L23" s="3">
        <f>Data!T23</f>
        <v>0</v>
      </c>
      <c r="M23" s="3">
        <f>ROUND(Data!AB23*$B$3,2)</f>
        <v>16809.86</v>
      </c>
      <c r="N23" s="3">
        <f>Data!U23</f>
        <v>0</v>
      </c>
      <c r="O23" s="3">
        <f t="shared" si="1"/>
        <v>177805.60000000003</v>
      </c>
      <c r="P23" s="3">
        <f t="shared" si="2"/>
        <v>160995.74000000002</v>
      </c>
      <c r="Q23" s="3">
        <f t="shared" si="3"/>
        <v>16809.86</v>
      </c>
    </row>
    <row r="24" spans="1:17" x14ac:dyDescent="0.2">
      <c r="A24" s="18">
        <v>36</v>
      </c>
      <c r="B24" s="18">
        <v>1</v>
      </c>
      <c r="C24" s="3" t="s">
        <v>20</v>
      </c>
      <c r="D24" s="3">
        <f>ROUND(Data!AA24*$B$3,2)</f>
        <v>27457.01</v>
      </c>
      <c r="E24" s="3">
        <f>MAX(0,Data!AD24-Data!Y24)</f>
        <v>0</v>
      </c>
      <c r="F24" s="3">
        <f>Data!Y24</f>
        <v>0</v>
      </c>
      <c r="G24" s="3">
        <f>Data!X24</f>
        <v>0</v>
      </c>
      <c r="H24" s="3">
        <f>Data!K24+Data!R24</f>
        <v>0</v>
      </c>
      <c r="I24" s="3">
        <f>Data!I24+Data!L24+Data!M24+Data!N24+Data!O24+Data!S24</f>
        <v>0</v>
      </c>
      <c r="J24" s="3">
        <f>Data!Q24</f>
        <v>0</v>
      </c>
      <c r="K24" s="3">
        <f>Data!J24+Data!P24</f>
        <v>0</v>
      </c>
      <c r="L24" s="3">
        <f>Data!T24</f>
        <v>0</v>
      </c>
      <c r="M24" s="3">
        <f>ROUND(Data!AB24*$B$3,2)</f>
        <v>5665.41</v>
      </c>
      <c r="N24" s="3">
        <f>Data!U24</f>
        <v>0</v>
      </c>
      <c r="O24" s="3">
        <f t="shared" si="1"/>
        <v>33122.42</v>
      </c>
      <c r="P24" s="3">
        <f t="shared" si="2"/>
        <v>27457.01</v>
      </c>
      <c r="Q24" s="3">
        <f t="shared" si="3"/>
        <v>5665.41</v>
      </c>
    </row>
    <row r="25" spans="1:17" x14ac:dyDescent="0.2">
      <c r="A25" s="18">
        <v>38</v>
      </c>
      <c r="B25" s="18">
        <v>1</v>
      </c>
      <c r="C25" s="3" t="s">
        <v>21</v>
      </c>
      <c r="D25" s="3">
        <f>ROUND(Data!AA25*$B$3,2)</f>
        <v>425.65</v>
      </c>
      <c r="E25" s="3">
        <f>MAX(0,Data!AD25-Data!Y25)</f>
        <v>1092.79</v>
      </c>
      <c r="F25" s="3">
        <f>Data!Y25</f>
        <v>149.12</v>
      </c>
      <c r="G25" s="3">
        <f>Data!X25</f>
        <v>0</v>
      </c>
      <c r="H25" s="3">
        <f>Data!K25+Data!R25</f>
        <v>0</v>
      </c>
      <c r="I25" s="3">
        <f>Data!I25+Data!L25+Data!M25+Data!N25+Data!O25+Data!S25</f>
        <v>0</v>
      </c>
      <c r="J25" s="3">
        <f>Data!Q25</f>
        <v>0</v>
      </c>
      <c r="K25" s="3">
        <f>Data!J25+Data!P25</f>
        <v>0</v>
      </c>
      <c r="L25" s="3">
        <f>Data!T25</f>
        <v>0</v>
      </c>
      <c r="M25" s="3">
        <f>ROUND(Data!AB25*$B$3,2)</f>
        <v>71.81</v>
      </c>
      <c r="N25" s="3">
        <f>Data!U25</f>
        <v>0</v>
      </c>
      <c r="O25" s="3">
        <f t="shared" si="1"/>
        <v>1739.37</v>
      </c>
      <c r="P25" s="3">
        <f t="shared" si="2"/>
        <v>1667.56</v>
      </c>
      <c r="Q25" s="3">
        <f t="shared" si="3"/>
        <v>71.81</v>
      </c>
    </row>
    <row r="26" spans="1:17" x14ac:dyDescent="0.2">
      <c r="A26" s="18">
        <v>47</v>
      </c>
      <c r="B26" s="18">
        <v>1</v>
      </c>
      <c r="C26" s="3" t="s">
        <v>22</v>
      </c>
      <c r="D26" s="3">
        <f>ROUND(Data!AA26*$B$3,2)</f>
        <v>717247.77</v>
      </c>
      <c r="E26" s="3">
        <f>MAX(0,Data!AD26-Data!Y26)</f>
        <v>0</v>
      </c>
      <c r="F26" s="3">
        <f>Data!Y26</f>
        <v>133802</v>
      </c>
      <c r="G26" s="3">
        <f>Data!X26</f>
        <v>0</v>
      </c>
      <c r="H26" s="3">
        <f>Data!K26+Data!R26</f>
        <v>80669.040000000008</v>
      </c>
      <c r="I26" s="3">
        <f>Data!I26+Data!L26+Data!M26+Data!N26+Data!O26+Data!S26</f>
        <v>0</v>
      </c>
      <c r="J26" s="3">
        <f>Data!Q26</f>
        <v>0</v>
      </c>
      <c r="K26" s="3">
        <f>Data!J26+Data!P26</f>
        <v>6391.5</v>
      </c>
      <c r="L26" s="3">
        <f>Data!T26</f>
        <v>0</v>
      </c>
      <c r="M26" s="3">
        <f>ROUND(Data!AB26*$B$3,2)</f>
        <v>119346.05</v>
      </c>
      <c r="N26" s="3">
        <f>Data!U26</f>
        <v>0</v>
      </c>
      <c r="O26" s="3">
        <f t="shared" si="1"/>
        <v>1057456.3600000001</v>
      </c>
      <c r="P26" s="3">
        <f t="shared" si="2"/>
        <v>938110.31</v>
      </c>
      <c r="Q26" s="3">
        <f t="shared" si="3"/>
        <v>119346.05</v>
      </c>
    </row>
    <row r="27" spans="1:17" x14ac:dyDescent="0.2">
      <c r="A27" s="18">
        <v>51</v>
      </c>
      <c r="B27" s="18">
        <v>1</v>
      </c>
      <c r="C27" s="3" t="s">
        <v>23</v>
      </c>
      <c r="D27" s="3">
        <f>ROUND(Data!AA27*$B$3,2)</f>
        <v>226157.7</v>
      </c>
      <c r="E27" s="3">
        <f>MAX(0,Data!AD27-Data!Y27)</f>
        <v>109948.25</v>
      </c>
      <c r="F27" s="3">
        <f>Data!Y27</f>
        <v>32144.54</v>
      </c>
      <c r="G27" s="3">
        <f>Data!X27</f>
        <v>0</v>
      </c>
      <c r="H27" s="3">
        <f>Data!K27+Data!R27</f>
        <v>35552.36</v>
      </c>
      <c r="I27" s="3">
        <f>Data!I27+Data!L27+Data!M27+Data!N27+Data!O27+Data!S27</f>
        <v>0</v>
      </c>
      <c r="J27" s="3">
        <f>Data!Q27</f>
        <v>0</v>
      </c>
      <c r="K27" s="3">
        <f>Data!J27+Data!P27</f>
        <v>36234.58</v>
      </c>
      <c r="L27" s="3">
        <f>Data!T27</f>
        <v>0</v>
      </c>
      <c r="M27" s="3">
        <f>ROUND(Data!AB27*$B$3,2)</f>
        <v>44309.11</v>
      </c>
      <c r="N27" s="3">
        <f>Data!U27</f>
        <v>0</v>
      </c>
      <c r="O27" s="3">
        <f t="shared" si="1"/>
        <v>484346.54</v>
      </c>
      <c r="P27" s="3">
        <f t="shared" si="2"/>
        <v>440037.43</v>
      </c>
      <c r="Q27" s="3">
        <f t="shared" si="3"/>
        <v>44309.11</v>
      </c>
    </row>
    <row r="28" spans="1:17" x14ac:dyDescent="0.2">
      <c r="A28" s="18">
        <v>75</v>
      </c>
      <c r="B28" s="18">
        <v>1</v>
      </c>
      <c r="C28" s="3" t="s">
        <v>24</v>
      </c>
      <c r="D28" s="3">
        <f>ROUND(Data!AA28*$B$3,2)</f>
        <v>110028.84</v>
      </c>
      <c r="E28" s="3">
        <f>MAX(0,Data!AD28-Data!Y28)</f>
        <v>59795.519999999997</v>
      </c>
      <c r="F28" s="3">
        <f>Data!Y28</f>
        <v>59511.62</v>
      </c>
      <c r="G28" s="3">
        <f>Data!X28</f>
        <v>0</v>
      </c>
      <c r="H28" s="3">
        <f>Data!K28+Data!R28</f>
        <v>13843.48</v>
      </c>
      <c r="I28" s="3">
        <f>Data!I28+Data!L28+Data!M28+Data!N28+Data!O28+Data!S28</f>
        <v>0</v>
      </c>
      <c r="J28" s="3">
        <f>Data!Q28</f>
        <v>0</v>
      </c>
      <c r="K28" s="3">
        <f>Data!J28+Data!P28</f>
        <v>-15.13</v>
      </c>
      <c r="L28" s="3">
        <f>Data!T28</f>
        <v>0</v>
      </c>
      <c r="M28" s="3">
        <f>ROUND(Data!AB28*$B$3,2)</f>
        <v>15345.81</v>
      </c>
      <c r="N28" s="3">
        <f>Data!U28</f>
        <v>0</v>
      </c>
      <c r="O28" s="3">
        <f t="shared" si="1"/>
        <v>258510.13999999998</v>
      </c>
      <c r="P28" s="3">
        <f t="shared" si="2"/>
        <v>243164.33</v>
      </c>
      <c r="Q28" s="3">
        <f t="shared" si="3"/>
        <v>15345.81</v>
      </c>
    </row>
    <row r="29" spans="1:17" x14ac:dyDescent="0.2">
      <c r="A29" s="18">
        <v>77</v>
      </c>
      <c r="B29" s="18">
        <v>1</v>
      </c>
      <c r="C29" s="3" t="s">
        <v>25</v>
      </c>
      <c r="D29" s="3">
        <f>ROUND(Data!AA29*$B$3,2)</f>
        <v>2278325.38</v>
      </c>
      <c r="E29" s="3">
        <f>MAX(0,Data!AD29-Data!Y29)</f>
        <v>1873911.75</v>
      </c>
      <c r="F29" s="3">
        <f>Data!Y29</f>
        <v>751973.08</v>
      </c>
      <c r="G29" s="3">
        <f>Data!X29</f>
        <v>0</v>
      </c>
      <c r="H29" s="3">
        <f>Data!K29+Data!R29</f>
        <v>153728.13</v>
      </c>
      <c r="I29" s="3">
        <f>Data!I29+Data!L29+Data!M29+Data!N29+Data!O29+Data!S29</f>
        <v>0</v>
      </c>
      <c r="J29" s="3">
        <f>Data!Q29</f>
        <v>0</v>
      </c>
      <c r="K29" s="3">
        <f>Data!J29+Data!P29</f>
        <v>179658.03</v>
      </c>
      <c r="L29" s="3">
        <f>Data!T29</f>
        <v>0</v>
      </c>
      <c r="M29" s="3">
        <f>ROUND(Data!AB29*$B$3,2)</f>
        <v>384030.21</v>
      </c>
      <c r="N29" s="3">
        <f>Data!U29</f>
        <v>0</v>
      </c>
      <c r="O29" s="3">
        <f t="shared" si="1"/>
        <v>5621626.5800000001</v>
      </c>
      <c r="P29" s="3">
        <f t="shared" si="2"/>
        <v>5237596.37</v>
      </c>
      <c r="Q29" s="3">
        <f t="shared" si="3"/>
        <v>384030.21</v>
      </c>
    </row>
    <row r="30" spans="1:17" x14ac:dyDescent="0.2">
      <c r="A30" s="18">
        <v>81</v>
      </c>
      <c r="B30" s="18">
        <v>1</v>
      </c>
      <c r="C30" s="3" t="s">
        <v>26</v>
      </c>
      <c r="D30" s="3">
        <f>ROUND(Data!AA30*$B$3,2)</f>
        <v>77296.929999999993</v>
      </c>
      <c r="E30" s="3">
        <f>MAX(0,Data!AD30-Data!Y30)</f>
        <v>16544.400000000009</v>
      </c>
      <c r="F30" s="3">
        <f>Data!Y30</f>
        <v>65568.179999999993</v>
      </c>
      <c r="G30" s="3">
        <f>Data!X30</f>
        <v>0</v>
      </c>
      <c r="H30" s="3">
        <f>Data!K30+Data!R30</f>
        <v>11665.08</v>
      </c>
      <c r="I30" s="3">
        <f>Data!I30+Data!L30+Data!M30+Data!N30+Data!O30+Data!S30</f>
        <v>0</v>
      </c>
      <c r="J30" s="3">
        <f>Data!Q30</f>
        <v>0</v>
      </c>
      <c r="K30" s="3">
        <f>Data!J30+Data!P30</f>
        <v>4097.8099999999995</v>
      </c>
      <c r="L30" s="3">
        <f>Data!T30</f>
        <v>0</v>
      </c>
      <c r="M30" s="3">
        <f>ROUND(Data!AB30*$B$3,2)</f>
        <v>11860.94</v>
      </c>
      <c r="N30" s="3">
        <f>Data!U30</f>
        <v>0</v>
      </c>
      <c r="O30" s="3">
        <f t="shared" si="1"/>
        <v>187033.34</v>
      </c>
      <c r="P30" s="3">
        <f t="shared" si="2"/>
        <v>175172.4</v>
      </c>
      <c r="Q30" s="3">
        <f t="shared" si="3"/>
        <v>11860.94</v>
      </c>
    </row>
    <row r="31" spans="1:17" x14ac:dyDescent="0.2">
      <c r="A31" s="18">
        <v>84</v>
      </c>
      <c r="B31" s="18">
        <v>1</v>
      </c>
      <c r="C31" s="3" t="s">
        <v>27</v>
      </c>
      <c r="D31" s="3">
        <f>ROUND(Data!AA31*$B$3,2)</f>
        <v>140223.63</v>
      </c>
      <c r="E31" s="3">
        <f>MAX(0,Data!AD31-Data!Y31)</f>
        <v>0</v>
      </c>
      <c r="F31" s="3">
        <f>Data!Y31</f>
        <v>64890.080000000002</v>
      </c>
      <c r="G31" s="3">
        <f>Data!X31</f>
        <v>0</v>
      </c>
      <c r="H31" s="3">
        <f>Data!K31+Data!R31</f>
        <v>18523.740000000002</v>
      </c>
      <c r="I31" s="3">
        <f>Data!I31+Data!L31+Data!M31+Data!N31+Data!O31+Data!S31</f>
        <v>0</v>
      </c>
      <c r="J31" s="3">
        <f>Data!Q31</f>
        <v>0</v>
      </c>
      <c r="K31" s="3">
        <f>Data!J31+Data!P31</f>
        <v>29705.8</v>
      </c>
      <c r="L31" s="3">
        <f>Data!T31</f>
        <v>0</v>
      </c>
      <c r="M31" s="3">
        <f>ROUND(Data!AB31*$B$3,2)</f>
        <v>36235.01</v>
      </c>
      <c r="N31" s="3">
        <f>Data!U31</f>
        <v>0</v>
      </c>
      <c r="O31" s="3">
        <f t="shared" si="1"/>
        <v>289578.26</v>
      </c>
      <c r="P31" s="3">
        <f t="shared" si="2"/>
        <v>253343.25</v>
      </c>
      <c r="Q31" s="3">
        <f t="shared" si="3"/>
        <v>36235.01</v>
      </c>
    </row>
    <row r="32" spans="1:17" x14ac:dyDescent="0.2">
      <c r="A32" s="18">
        <v>85</v>
      </c>
      <c r="B32" s="18">
        <v>1</v>
      </c>
      <c r="C32" s="3" t="s">
        <v>28</v>
      </c>
      <c r="D32" s="3">
        <f>ROUND(Data!AA32*$B$3,2)</f>
        <v>99456.49</v>
      </c>
      <c r="E32" s="3">
        <f>MAX(0,Data!AD32-Data!Y32)</f>
        <v>76932.53</v>
      </c>
      <c r="F32" s="3">
        <f>Data!Y32</f>
        <v>0</v>
      </c>
      <c r="G32" s="3">
        <f>Data!X32</f>
        <v>0</v>
      </c>
      <c r="H32" s="3">
        <f>Data!K32+Data!R32</f>
        <v>24237.54</v>
      </c>
      <c r="I32" s="3">
        <f>Data!I32+Data!L32+Data!M32+Data!N32+Data!O32+Data!S32</f>
        <v>0</v>
      </c>
      <c r="J32" s="3">
        <f>Data!Q32</f>
        <v>0</v>
      </c>
      <c r="K32" s="3">
        <f>Data!J32+Data!P32</f>
        <v>-1431.07</v>
      </c>
      <c r="L32" s="3">
        <f>Data!T32</f>
        <v>0</v>
      </c>
      <c r="M32" s="3">
        <f>ROUND(Data!AB32*$B$3,2)</f>
        <v>17656.11</v>
      </c>
      <c r="N32" s="3">
        <f>Data!U32</f>
        <v>0</v>
      </c>
      <c r="O32" s="3">
        <f t="shared" si="1"/>
        <v>216851.60000000003</v>
      </c>
      <c r="P32" s="3">
        <f t="shared" si="2"/>
        <v>199195.49000000002</v>
      </c>
      <c r="Q32" s="3">
        <f t="shared" si="3"/>
        <v>17656.11</v>
      </c>
    </row>
    <row r="33" spans="1:17" x14ac:dyDescent="0.2">
      <c r="A33" s="18">
        <v>88</v>
      </c>
      <c r="B33" s="18">
        <v>1</v>
      </c>
      <c r="C33" s="3" t="s">
        <v>29</v>
      </c>
      <c r="D33" s="3">
        <f>ROUND(Data!AA33*$B$3,2)</f>
        <v>582694.5</v>
      </c>
      <c r="E33" s="3">
        <f>MAX(0,Data!AD33-Data!Y33)</f>
        <v>756751.39</v>
      </c>
      <c r="F33" s="3">
        <f>Data!Y33</f>
        <v>135266</v>
      </c>
      <c r="G33" s="3">
        <f>Data!X33</f>
        <v>97377.63</v>
      </c>
      <c r="H33" s="3">
        <f>Data!K33+Data!R33</f>
        <v>61027.17</v>
      </c>
      <c r="I33" s="3">
        <f>Data!I33+Data!L33+Data!M33+Data!N33+Data!O33+Data!S33</f>
        <v>0</v>
      </c>
      <c r="J33" s="3">
        <f>Data!Q33</f>
        <v>0</v>
      </c>
      <c r="K33" s="3">
        <f>Data!J33+Data!P33</f>
        <v>15985.47</v>
      </c>
      <c r="L33" s="3">
        <f>Data!T33</f>
        <v>0</v>
      </c>
      <c r="M33" s="3">
        <f>ROUND(Data!AB33*$B$3,2)</f>
        <v>104662.77</v>
      </c>
      <c r="N33" s="3">
        <f>Data!U33</f>
        <v>0</v>
      </c>
      <c r="O33" s="3">
        <f t="shared" si="1"/>
        <v>1753764.93</v>
      </c>
      <c r="P33" s="3">
        <f t="shared" si="2"/>
        <v>1649102.16</v>
      </c>
      <c r="Q33" s="3">
        <f t="shared" si="3"/>
        <v>104662.77</v>
      </c>
    </row>
    <row r="34" spans="1:17" x14ac:dyDescent="0.2">
      <c r="A34" s="18">
        <v>91</v>
      </c>
      <c r="B34" s="18">
        <v>1</v>
      </c>
      <c r="C34" s="3" t="s">
        <v>30</v>
      </c>
      <c r="D34" s="3">
        <f>ROUND(Data!AA34*$B$3,2)</f>
        <v>118912.75</v>
      </c>
      <c r="E34" s="3">
        <f>MAX(0,Data!AD34-Data!Y34)</f>
        <v>0</v>
      </c>
      <c r="F34" s="3">
        <f>Data!Y34</f>
        <v>19807.54</v>
      </c>
      <c r="G34" s="3">
        <f>Data!X34</f>
        <v>0</v>
      </c>
      <c r="H34" s="3">
        <f>Data!K34+Data!R34</f>
        <v>13606.14</v>
      </c>
      <c r="I34" s="3">
        <f>Data!I34+Data!L34+Data!M34+Data!N34+Data!O34+Data!S34</f>
        <v>0</v>
      </c>
      <c r="J34" s="3">
        <f>Data!Q34</f>
        <v>0</v>
      </c>
      <c r="K34" s="3">
        <f>Data!J34+Data!P34</f>
        <v>2359.5700000000002</v>
      </c>
      <c r="L34" s="3">
        <f>Data!T34</f>
        <v>0</v>
      </c>
      <c r="M34" s="3">
        <f>ROUND(Data!AB34*$B$3,2)</f>
        <v>23991.99</v>
      </c>
      <c r="N34" s="3">
        <f>Data!U34</f>
        <v>0</v>
      </c>
      <c r="O34" s="3">
        <f t="shared" si="1"/>
        <v>178677.99</v>
      </c>
      <c r="P34" s="3">
        <f t="shared" si="2"/>
        <v>154686</v>
      </c>
      <c r="Q34" s="3">
        <f t="shared" si="3"/>
        <v>23991.99</v>
      </c>
    </row>
    <row r="35" spans="1:17" x14ac:dyDescent="0.2">
      <c r="A35" s="18">
        <v>93</v>
      </c>
      <c r="B35" s="18">
        <v>1</v>
      </c>
      <c r="C35" s="3" t="s">
        <v>31</v>
      </c>
      <c r="D35" s="3">
        <f>ROUND(Data!AA35*$B$3,2)</f>
        <v>45380.99</v>
      </c>
      <c r="E35" s="3">
        <f>MAX(0,Data!AD35-Data!Y35)</f>
        <v>346180.37</v>
      </c>
      <c r="F35" s="3">
        <f>Data!Y35</f>
        <v>27479.15</v>
      </c>
      <c r="G35" s="3">
        <f>Data!X35</f>
        <v>0</v>
      </c>
      <c r="H35" s="3">
        <f>Data!K35+Data!R35</f>
        <v>11665.08</v>
      </c>
      <c r="I35" s="3">
        <f>Data!I35+Data!L35+Data!M35+Data!N35+Data!O35+Data!S35</f>
        <v>0</v>
      </c>
      <c r="J35" s="3">
        <f>Data!Q35</f>
        <v>0</v>
      </c>
      <c r="K35" s="3">
        <f>Data!J35+Data!P35</f>
        <v>26122.17</v>
      </c>
      <c r="L35" s="3">
        <f>Data!T35</f>
        <v>0</v>
      </c>
      <c r="M35" s="3">
        <f>ROUND(Data!AB35*$B$3,2)</f>
        <v>16663.73</v>
      </c>
      <c r="N35" s="3">
        <f>Data!U35</f>
        <v>0</v>
      </c>
      <c r="O35" s="3">
        <f t="shared" si="1"/>
        <v>473491.49</v>
      </c>
      <c r="P35" s="3">
        <f t="shared" si="2"/>
        <v>456827.76</v>
      </c>
      <c r="Q35" s="3">
        <f t="shared" si="3"/>
        <v>16663.73</v>
      </c>
    </row>
    <row r="36" spans="1:17" x14ac:dyDescent="0.2">
      <c r="A36" s="18">
        <v>94</v>
      </c>
      <c r="B36" s="18">
        <v>1</v>
      </c>
      <c r="C36" s="3" t="s">
        <v>32</v>
      </c>
      <c r="D36" s="3">
        <f>ROUND(Data!AA36*$B$3,2)</f>
        <v>340251.71</v>
      </c>
      <c r="E36" s="3">
        <f>MAX(0,Data!AD36-Data!Y36)</f>
        <v>0</v>
      </c>
      <c r="F36" s="3">
        <f>Data!Y36</f>
        <v>91861.41</v>
      </c>
      <c r="G36" s="3">
        <f>Data!X36</f>
        <v>0</v>
      </c>
      <c r="H36" s="3">
        <f>Data!K36+Data!R36</f>
        <v>40300.800000000003</v>
      </c>
      <c r="I36" s="3">
        <f>Data!I36+Data!L36+Data!M36+Data!N36+Data!O36+Data!S36</f>
        <v>7836</v>
      </c>
      <c r="J36" s="3">
        <f>Data!Q36</f>
        <v>0</v>
      </c>
      <c r="K36" s="3">
        <f>Data!J36+Data!P36</f>
        <v>58346.5</v>
      </c>
      <c r="L36" s="3">
        <f>Data!T36</f>
        <v>0</v>
      </c>
      <c r="M36" s="3">
        <f>ROUND(Data!AB36*$B$3,2)</f>
        <v>118148.16</v>
      </c>
      <c r="N36" s="3">
        <f>Data!U36</f>
        <v>0</v>
      </c>
      <c r="O36" s="3">
        <f t="shared" si="1"/>
        <v>656744.57999999996</v>
      </c>
      <c r="P36" s="3">
        <f t="shared" si="2"/>
        <v>538596.41999999993</v>
      </c>
      <c r="Q36" s="3">
        <f t="shared" si="3"/>
        <v>118148.16</v>
      </c>
    </row>
    <row r="37" spans="1:17" x14ac:dyDescent="0.2">
      <c r="A37" s="18">
        <v>95</v>
      </c>
      <c r="B37" s="18">
        <v>1</v>
      </c>
      <c r="C37" s="3" t="s">
        <v>33</v>
      </c>
      <c r="D37" s="3">
        <f>ROUND(Data!AA37*$B$3,2)</f>
        <v>58047.53</v>
      </c>
      <c r="E37" s="3">
        <f>MAX(0,Data!AD37-Data!Y37)</f>
        <v>0</v>
      </c>
      <c r="F37" s="3">
        <f>Data!Y37</f>
        <v>0</v>
      </c>
      <c r="G37" s="3">
        <f>Data!X37</f>
        <v>0</v>
      </c>
      <c r="H37" s="3">
        <f>Data!K37+Data!R37</f>
        <v>11665.08</v>
      </c>
      <c r="I37" s="3">
        <f>Data!I37+Data!L37+Data!M37+Data!N37+Data!O37+Data!S37</f>
        <v>0</v>
      </c>
      <c r="J37" s="3">
        <f>Data!Q37</f>
        <v>0</v>
      </c>
      <c r="K37" s="3">
        <f>Data!J37+Data!P37</f>
        <v>26062.25</v>
      </c>
      <c r="L37" s="3">
        <f>Data!T37</f>
        <v>0</v>
      </c>
      <c r="M37" s="3">
        <f>ROUND(Data!AB37*$B$3,2)</f>
        <v>10726.46</v>
      </c>
      <c r="N37" s="3">
        <f>Data!U37</f>
        <v>0</v>
      </c>
      <c r="O37" s="3">
        <f t="shared" si="1"/>
        <v>106501.32</v>
      </c>
      <c r="P37" s="3">
        <f t="shared" si="2"/>
        <v>95774.86</v>
      </c>
      <c r="Q37" s="3">
        <f t="shared" si="3"/>
        <v>10726.46</v>
      </c>
    </row>
    <row r="38" spans="1:17" x14ac:dyDescent="0.2">
      <c r="A38" s="18">
        <v>97</v>
      </c>
      <c r="B38" s="18">
        <v>1</v>
      </c>
      <c r="C38" s="3" t="s">
        <v>34</v>
      </c>
      <c r="D38" s="3">
        <f>ROUND(Data!AA38*$B$3,2)</f>
        <v>142480</v>
      </c>
      <c r="E38" s="3">
        <f>MAX(0,Data!AD38-Data!Y38)</f>
        <v>101871.37000000001</v>
      </c>
      <c r="F38" s="3">
        <f>Data!Y38</f>
        <v>31851.86</v>
      </c>
      <c r="G38" s="3">
        <f>Data!X38</f>
        <v>0</v>
      </c>
      <c r="H38" s="3">
        <f>Data!K38+Data!R38</f>
        <v>8709.69</v>
      </c>
      <c r="I38" s="3">
        <f>Data!I38+Data!L38+Data!M38+Data!N38+Data!O38+Data!S38</f>
        <v>0</v>
      </c>
      <c r="J38" s="3">
        <f>Data!Q38</f>
        <v>0</v>
      </c>
      <c r="K38" s="3">
        <f>Data!J38+Data!P38</f>
        <v>20311.53</v>
      </c>
      <c r="L38" s="3">
        <f>Data!T38</f>
        <v>0</v>
      </c>
      <c r="M38" s="3">
        <f>ROUND(Data!AB38*$B$3,2)</f>
        <v>29856.36</v>
      </c>
      <c r="N38" s="3">
        <f>Data!U38</f>
        <v>0</v>
      </c>
      <c r="O38" s="3">
        <f t="shared" si="1"/>
        <v>335080.80999999994</v>
      </c>
      <c r="P38" s="3">
        <f t="shared" si="2"/>
        <v>305224.44999999995</v>
      </c>
      <c r="Q38" s="3">
        <f t="shared" si="3"/>
        <v>29856.36</v>
      </c>
    </row>
    <row r="39" spans="1:17" x14ac:dyDescent="0.2">
      <c r="A39" s="18">
        <v>99</v>
      </c>
      <c r="B39" s="18">
        <v>1</v>
      </c>
      <c r="C39" s="3" t="s">
        <v>35</v>
      </c>
      <c r="D39" s="3">
        <f>ROUND(Data!AA39*$B$3,2)</f>
        <v>203163.83</v>
      </c>
      <c r="E39" s="3">
        <f>MAX(0,Data!AD39-Data!Y39)</f>
        <v>0</v>
      </c>
      <c r="F39" s="3">
        <f>Data!Y39</f>
        <v>29606.959999999999</v>
      </c>
      <c r="G39" s="3">
        <f>Data!X39</f>
        <v>11758.5</v>
      </c>
      <c r="H39" s="3">
        <f>Data!K39+Data!R39</f>
        <v>25689.61</v>
      </c>
      <c r="I39" s="3">
        <f>Data!I39+Data!L39+Data!M39+Data!N39+Data!O39+Data!S39</f>
        <v>0</v>
      </c>
      <c r="J39" s="3">
        <f>Data!Q39</f>
        <v>0</v>
      </c>
      <c r="K39" s="3">
        <f>Data!J39+Data!P39</f>
        <v>7884.59</v>
      </c>
      <c r="L39" s="3">
        <f>Data!T39</f>
        <v>0</v>
      </c>
      <c r="M39" s="3">
        <f>ROUND(Data!AB39*$B$3,2)</f>
        <v>26277.27</v>
      </c>
      <c r="N39" s="3">
        <f>Data!U39</f>
        <v>0</v>
      </c>
      <c r="O39" s="3">
        <f t="shared" si="1"/>
        <v>304380.76</v>
      </c>
      <c r="P39" s="3">
        <f t="shared" si="2"/>
        <v>278103.49</v>
      </c>
      <c r="Q39" s="3">
        <f t="shared" si="3"/>
        <v>26277.27</v>
      </c>
    </row>
    <row r="40" spans="1:17" x14ac:dyDescent="0.2">
      <c r="A40" s="18">
        <v>100</v>
      </c>
      <c r="B40" s="18">
        <v>1</v>
      </c>
      <c r="C40" s="3" t="s">
        <v>36</v>
      </c>
      <c r="D40" s="3">
        <f>ROUND(Data!AA40*$B$3,2)</f>
        <v>68695.509999999995</v>
      </c>
      <c r="E40" s="3">
        <f>MAX(0,Data!AD40-Data!Y40)</f>
        <v>77753.05</v>
      </c>
      <c r="F40" s="3">
        <f>Data!Y40</f>
        <v>14322.89</v>
      </c>
      <c r="G40" s="3">
        <f>Data!X40</f>
        <v>10979.92</v>
      </c>
      <c r="H40" s="3">
        <f>Data!K40+Data!R40</f>
        <v>11665.08</v>
      </c>
      <c r="I40" s="3">
        <f>Data!I40+Data!L40+Data!M40+Data!N40+Data!O40+Data!S40</f>
        <v>0</v>
      </c>
      <c r="J40" s="3">
        <f>Data!Q40</f>
        <v>0</v>
      </c>
      <c r="K40" s="3">
        <f>Data!J40+Data!P40</f>
        <v>2889.9</v>
      </c>
      <c r="L40" s="3">
        <f>Data!T40</f>
        <v>0</v>
      </c>
      <c r="M40" s="3">
        <f>ROUND(Data!AB40*$B$3,2)</f>
        <v>12061.96</v>
      </c>
      <c r="N40" s="3">
        <f>Data!U40</f>
        <v>0</v>
      </c>
      <c r="O40" s="3">
        <f t="shared" si="1"/>
        <v>198368.31</v>
      </c>
      <c r="P40" s="3">
        <f t="shared" si="2"/>
        <v>186306.35</v>
      </c>
      <c r="Q40" s="3">
        <f t="shared" si="3"/>
        <v>12061.96</v>
      </c>
    </row>
    <row r="41" spans="1:17" x14ac:dyDescent="0.2">
      <c r="A41" s="18">
        <v>108</v>
      </c>
      <c r="B41" s="18">
        <v>1</v>
      </c>
      <c r="C41" s="3" t="s">
        <v>37</v>
      </c>
      <c r="D41" s="3">
        <f>ROUND(Data!AA41*$B$3,2)</f>
        <v>358758.11</v>
      </c>
      <c r="E41" s="3">
        <f>MAX(0,Data!AD41-Data!Y41)</f>
        <v>279631.75</v>
      </c>
      <c r="F41" s="3">
        <f>Data!Y41</f>
        <v>63073.58</v>
      </c>
      <c r="G41" s="3">
        <f>Data!X41</f>
        <v>0</v>
      </c>
      <c r="H41" s="3">
        <f>Data!K41+Data!R41</f>
        <v>27328.81</v>
      </c>
      <c r="I41" s="3">
        <f>Data!I41+Data!L41+Data!M41+Data!N41+Data!O41+Data!S41</f>
        <v>0</v>
      </c>
      <c r="J41" s="3">
        <f>Data!Q41</f>
        <v>0</v>
      </c>
      <c r="K41" s="3">
        <f>Data!J41+Data!P41</f>
        <v>6319.77</v>
      </c>
      <c r="L41" s="3">
        <f>Data!T41</f>
        <v>0</v>
      </c>
      <c r="M41" s="3">
        <f>ROUND(Data!AB41*$B$3,2)</f>
        <v>99178.99</v>
      </c>
      <c r="N41" s="3">
        <f>Data!U41</f>
        <v>0</v>
      </c>
      <c r="O41" s="3">
        <f t="shared" si="1"/>
        <v>834291.01</v>
      </c>
      <c r="P41" s="3">
        <f t="shared" si="2"/>
        <v>735112.02</v>
      </c>
      <c r="Q41" s="3">
        <f t="shared" si="3"/>
        <v>99178.99</v>
      </c>
    </row>
    <row r="42" spans="1:17" x14ac:dyDescent="0.2">
      <c r="A42" s="18">
        <v>110</v>
      </c>
      <c r="B42" s="18">
        <v>1</v>
      </c>
      <c r="C42" s="3" t="s">
        <v>38</v>
      </c>
      <c r="D42" s="3">
        <f>ROUND(Data!AA42*$B$3,2)</f>
        <v>855975.36</v>
      </c>
      <c r="E42" s="3">
        <f>MAX(0,Data!AD42-Data!Y42)</f>
        <v>869820.85999999987</v>
      </c>
      <c r="F42" s="3">
        <f>Data!Y42</f>
        <v>263386.8</v>
      </c>
      <c r="G42" s="3">
        <f>Data!X42</f>
        <v>47580.01</v>
      </c>
      <c r="H42" s="3">
        <f>Data!K42+Data!R42</f>
        <v>59416.65</v>
      </c>
      <c r="I42" s="3">
        <f>Data!I42+Data!L42+Data!M42+Data!N42+Data!O42+Data!S42</f>
        <v>0</v>
      </c>
      <c r="J42" s="3">
        <f>Data!Q42</f>
        <v>0</v>
      </c>
      <c r="K42" s="3">
        <f>Data!J42+Data!P42</f>
        <v>47486.16</v>
      </c>
      <c r="L42" s="3">
        <f>Data!T42</f>
        <v>0</v>
      </c>
      <c r="M42" s="3">
        <f>ROUND(Data!AB42*$B$3,2)</f>
        <v>136670.49</v>
      </c>
      <c r="N42" s="3">
        <f>Data!U42</f>
        <v>0</v>
      </c>
      <c r="O42" s="3">
        <f t="shared" si="1"/>
        <v>2280336.33</v>
      </c>
      <c r="P42" s="3">
        <f t="shared" si="2"/>
        <v>2143665.84</v>
      </c>
      <c r="Q42" s="3">
        <f t="shared" si="3"/>
        <v>136670.49</v>
      </c>
    </row>
    <row r="43" spans="1:17" x14ac:dyDescent="0.2">
      <c r="A43" s="18">
        <v>111</v>
      </c>
      <c r="B43" s="18">
        <v>1</v>
      </c>
      <c r="C43" s="3" t="s">
        <v>39</v>
      </c>
      <c r="D43" s="3">
        <f>ROUND(Data!AA43*$B$3,2)</f>
        <v>351989.63</v>
      </c>
      <c r="E43" s="3">
        <f>MAX(0,Data!AD43-Data!Y43)</f>
        <v>357798.56</v>
      </c>
      <c r="F43" s="3">
        <f>Data!Y43</f>
        <v>53287.46</v>
      </c>
      <c r="G43" s="3">
        <f>Data!X43</f>
        <v>14098.14</v>
      </c>
      <c r="H43" s="3">
        <f>Data!K43+Data!R43</f>
        <v>36445.520000000004</v>
      </c>
      <c r="I43" s="3">
        <f>Data!I43+Data!L43+Data!M43+Data!N43+Data!O43+Data!S43</f>
        <v>0</v>
      </c>
      <c r="J43" s="3">
        <f>Data!Q43</f>
        <v>0</v>
      </c>
      <c r="K43" s="3">
        <f>Data!J43+Data!P43</f>
        <v>15267.84</v>
      </c>
      <c r="L43" s="3">
        <f>Data!T43</f>
        <v>0</v>
      </c>
      <c r="M43" s="3">
        <f>ROUND(Data!AB43*$B$3,2)</f>
        <v>118074.67</v>
      </c>
      <c r="N43" s="3">
        <f>Data!U43</f>
        <v>0</v>
      </c>
      <c r="O43" s="3">
        <f t="shared" si="1"/>
        <v>946961.82</v>
      </c>
      <c r="P43" s="3">
        <f t="shared" si="2"/>
        <v>828887.14999999991</v>
      </c>
      <c r="Q43" s="3">
        <f t="shared" si="3"/>
        <v>118074.67</v>
      </c>
    </row>
    <row r="44" spans="1:17" x14ac:dyDescent="0.2">
      <c r="A44" s="18">
        <v>112</v>
      </c>
      <c r="B44" s="18">
        <v>1</v>
      </c>
      <c r="C44" s="3" t="s">
        <v>40</v>
      </c>
      <c r="D44" s="3">
        <f>ROUND(Data!AA44*$B$3,2)</f>
        <v>2152801.83</v>
      </c>
      <c r="E44" s="3">
        <f>MAX(0,Data!AD44-Data!Y44)</f>
        <v>4141132.6500000004</v>
      </c>
      <c r="F44" s="3">
        <f>Data!Y44</f>
        <v>1809944.64</v>
      </c>
      <c r="G44" s="3">
        <f>Data!X44</f>
        <v>41804.71</v>
      </c>
      <c r="H44" s="3">
        <f>Data!K44+Data!R44</f>
        <v>197322.69</v>
      </c>
      <c r="I44" s="3">
        <f>Data!I44+Data!L44+Data!M44+Data!N44+Data!O44+Data!S44</f>
        <v>0</v>
      </c>
      <c r="J44" s="3">
        <f>Data!Q44</f>
        <v>0</v>
      </c>
      <c r="K44" s="3">
        <f>Data!J44+Data!P44</f>
        <v>313757.2</v>
      </c>
      <c r="L44" s="3">
        <f>Data!T44</f>
        <v>0</v>
      </c>
      <c r="M44" s="3">
        <f>ROUND(Data!AB44*$B$3,2)</f>
        <v>378059.89</v>
      </c>
      <c r="N44" s="3">
        <f>Data!U44</f>
        <v>0</v>
      </c>
      <c r="O44" s="3">
        <f t="shared" si="1"/>
        <v>9034823.6100000013</v>
      </c>
      <c r="P44" s="3">
        <f t="shared" si="2"/>
        <v>8656763.7200000007</v>
      </c>
      <c r="Q44" s="3">
        <f t="shared" si="3"/>
        <v>378059.89</v>
      </c>
    </row>
    <row r="45" spans="1:17" x14ac:dyDescent="0.2">
      <c r="A45" s="18">
        <v>113</v>
      </c>
      <c r="B45" s="18">
        <v>1</v>
      </c>
      <c r="C45" s="3" t="s">
        <v>41</v>
      </c>
      <c r="D45" s="3">
        <f>ROUND(Data!AA45*$B$3,2)</f>
        <v>238448.68</v>
      </c>
      <c r="E45" s="3">
        <f>MAX(0,Data!AD45-Data!Y45)</f>
        <v>0</v>
      </c>
      <c r="F45" s="3">
        <f>Data!Y45</f>
        <v>0</v>
      </c>
      <c r="G45" s="3">
        <f>Data!X45</f>
        <v>0</v>
      </c>
      <c r="H45" s="3">
        <f>Data!K45+Data!R45</f>
        <v>13492.1</v>
      </c>
      <c r="I45" s="3">
        <f>Data!I45+Data!L45+Data!M45+Data!N45+Data!O45+Data!S45</f>
        <v>0</v>
      </c>
      <c r="J45" s="3">
        <f>Data!Q45</f>
        <v>0</v>
      </c>
      <c r="K45" s="3">
        <f>Data!J45+Data!P45</f>
        <v>7540.65</v>
      </c>
      <c r="L45" s="3">
        <f>Data!T45</f>
        <v>0</v>
      </c>
      <c r="M45" s="3">
        <f>ROUND(Data!AB45*$B$3,2)</f>
        <v>54967.47</v>
      </c>
      <c r="N45" s="3">
        <f>Data!U45</f>
        <v>0</v>
      </c>
      <c r="O45" s="3">
        <f t="shared" si="1"/>
        <v>314448.90000000002</v>
      </c>
      <c r="P45" s="3">
        <f t="shared" si="2"/>
        <v>259481.43</v>
      </c>
      <c r="Q45" s="3">
        <f t="shared" si="3"/>
        <v>54967.47</v>
      </c>
    </row>
    <row r="46" spans="1:17" x14ac:dyDescent="0.2">
      <c r="A46" s="18">
        <v>115</v>
      </c>
      <c r="B46" s="18">
        <v>1</v>
      </c>
      <c r="C46" s="3" t="s">
        <v>42</v>
      </c>
      <c r="D46" s="3">
        <f>ROUND(Data!AA46*$B$3,2)</f>
        <v>220757.36</v>
      </c>
      <c r="E46" s="3">
        <f>MAX(0,Data!AD46-Data!Y46)</f>
        <v>0</v>
      </c>
      <c r="F46" s="3">
        <f>Data!Y46</f>
        <v>0</v>
      </c>
      <c r="G46" s="3">
        <f>Data!X46</f>
        <v>0</v>
      </c>
      <c r="H46" s="3">
        <f>Data!K46+Data!R46</f>
        <v>15827.16</v>
      </c>
      <c r="I46" s="3">
        <f>Data!I46+Data!L46+Data!M46+Data!N46+Data!O46+Data!S46</f>
        <v>0</v>
      </c>
      <c r="J46" s="3">
        <f>Data!Q46</f>
        <v>0</v>
      </c>
      <c r="K46" s="3">
        <f>Data!J46+Data!P46</f>
        <v>10962.79</v>
      </c>
      <c r="L46" s="3">
        <f>Data!T46</f>
        <v>0</v>
      </c>
      <c r="M46" s="3">
        <f>ROUND(Data!AB46*$B$3,2)</f>
        <v>25055.21</v>
      </c>
      <c r="N46" s="3">
        <f>Data!U46</f>
        <v>0</v>
      </c>
      <c r="O46" s="3">
        <f t="shared" si="1"/>
        <v>272602.52</v>
      </c>
      <c r="P46" s="3">
        <f t="shared" si="2"/>
        <v>247547.31</v>
      </c>
      <c r="Q46" s="3">
        <f t="shared" si="3"/>
        <v>25055.21</v>
      </c>
    </row>
    <row r="47" spans="1:17" x14ac:dyDescent="0.2">
      <c r="A47" s="18">
        <v>116</v>
      </c>
      <c r="B47" s="18">
        <v>1</v>
      </c>
      <c r="C47" s="3" t="s">
        <v>43</v>
      </c>
      <c r="D47" s="3">
        <f>ROUND(Data!AA47*$B$3,2)</f>
        <v>290022.73</v>
      </c>
      <c r="E47" s="3">
        <f>MAX(0,Data!AD47-Data!Y47)</f>
        <v>0</v>
      </c>
      <c r="F47" s="3">
        <f>Data!Y47</f>
        <v>0</v>
      </c>
      <c r="G47" s="3">
        <f>Data!X47</f>
        <v>0</v>
      </c>
      <c r="H47" s="3">
        <f>Data!K47+Data!R47</f>
        <v>17855.21</v>
      </c>
      <c r="I47" s="3">
        <f>Data!I47+Data!L47+Data!M47+Data!N47+Data!O47+Data!S47</f>
        <v>0</v>
      </c>
      <c r="J47" s="3">
        <f>Data!Q47</f>
        <v>0</v>
      </c>
      <c r="K47" s="3">
        <f>Data!J47+Data!P47</f>
        <v>335.80999999999949</v>
      </c>
      <c r="L47" s="3">
        <f>Data!T47</f>
        <v>0</v>
      </c>
      <c r="M47" s="3">
        <f>ROUND(Data!AB47*$B$3,2)</f>
        <v>55401.7</v>
      </c>
      <c r="N47" s="3">
        <f>Data!U47</f>
        <v>0</v>
      </c>
      <c r="O47" s="3">
        <f t="shared" si="1"/>
        <v>363615.45</v>
      </c>
      <c r="P47" s="3">
        <f t="shared" si="2"/>
        <v>308213.75</v>
      </c>
      <c r="Q47" s="3">
        <f t="shared" si="3"/>
        <v>55401.7</v>
      </c>
    </row>
    <row r="48" spans="1:17" x14ac:dyDescent="0.2">
      <c r="A48" s="18">
        <v>118</v>
      </c>
      <c r="B48" s="18">
        <v>1</v>
      </c>
      <c r="C48" s="3" t="s">
        <v>44</v>
      </c>
      <c r="D48" s="3">
        <f>ROUND(Data!AA48*$B$3,2)</f>
        <v>146019.45000000001</v>
      </c>
      <c r="E48" s="3">
        <f>MAX(0,Data!AD48-Data!Y48)</f>
        <v>59382.630000000005</v>
      </c>
      <c r="F48" s="3">
        <f>Data!Y48</f>
        <v>71477.7</v>
      </c>
      <c r="G48" s="3">
        <f>Data!X48</f>
        <v>0</v>
      </c>
      <c r="H48" s="3">
        <f>Data!K48+Data!R48</f>
        <v>12825</v>
      </c>
      <c r="I48" s="3">
        <f>Data!I48+Data!L48+Data!M48+Data!N48+Data!O48+Data!S48</f>
        <v>0</v>
      </c>
      <c r="J48" s="3">
        <f>Data!Q48</f>
        <v>0</v>
      </c>
      <c r="K48" s="3">
        <f>Data!J48+Data!P48</f>
        <v>37647.440000000002</v>
      </c>
      <c r="L48" s="3">
        <f>Data!T48</f>
        <v>0</v>
      </c>
      <c r="M48" s="3">
        <f>ROUND(Data!AB48*$B$3,2)</f>
        <v>27336.400000000001</v>
      </c>
      <c r="N48" s="3">
        <f>Data!U48</f>
        <v>0</v>
      </c>
      <c r="O48" s="3">
        <f t="shared" si="1"/>
        <v>354688.62000000005</v>
      </c>
      <c r="P48" s="3">
        <f t="shared" si="2"/>
        <v>327352.22000000003</v>
      </c>
      <c r="Q48" s="3">
        <f t="shared" si="3"/>
        <v>27336.400000000001</v>
      </c>
    </row>
    <row r="49" spans="1:17" x14ac:dyDescent="0.2">
      <c r="A49" s="18">
        <v>129</v>
      </c>
      <c r="B49" s="18">
        <v>1</v>
      </c>
      <c r="C49" s="3" t="s">
        <v>45</v>
      </c>
      <c r="D49" s="3">
        <f>ROUND(Data!AA49*$B$3,2)</f>
        <v>151225.78</v>
      </c>
      <c r="E49" s="3">
        <f>MAX(0,Data!AD49-Data!Y49)</f>
        <v>282517.06999999995</v>
      </c>
      <c r="F49" s="3">
        <f>Data!Y49</f>
        <v>76642.47</v>
      </c>
      <c r="G49" s="3">
        <f>Data!X49</f>
        <v>0</v>
      </c>
      <c r="H49" s="3">
        <f>Data!K49+Data!R49</f>
        <v>93307.97</v>
      </c>
      <c r="I49" s="3">
        <f>Data!I49+Data!L49+Data!M49+Data!N49+Data!O49+Data!S49</f>
        <v>0</v>
      </c>
      <c r="J49" s="3">
        <f>Data!Q49</f>
        <v>0</v>
      </c>
      <c r="K49" s="3">
        <f>Data!J49+Data!P49</f>
        <v>21573.43</v>
      </c>
      <c r="L49" s="3">
        <f>Data!T49</f>
        <v>0</v>
      </c>
      <c r="M49" s="3">
        <f>ROUND(Data!AB49*$B$3,2)</f>
        <v>44228.05</v>
      </c>
      <c r="N49" s="3">
        <f>Data!U49</f>
        <v>0</v>
      </c>
      <c r="O49" s="3">
        <f t="shared" si="1"/>
        <v>669494.77</v>
      </c>
      <c r="P49" s="3">
        <f t="shared" si="2"/>
        <v>625266.72</v>
      </c>
      <c r="Q49" s="3">
        <f t="shared" si="3"/>
        <v>44228.05</v>
      </c>
    </row>
    <row r="50" spans="1:17" x14ac:dyDescent="0.2">
      <c r="A50" s="18">
        <v>138</v>
      </c>
      <c r="B50" s="18">
        <v>1</v>
      </c>
      <c r="C50" s="3" t="s">
        <v>46</v>
      </c>
      <c r="D50" s="3">
        <f>ROUND(Data!AA50*$B$3,2)</f>
        <v>768793.91</v>
      </c>
      <c r="E50" s="3">
        <f>MAX(0,Data!AD50-Data!Y50)</f>
        <v>0</v>
      </c>
      <c r="F50" s="3">
        <f>Data!Y50</f>
        <v>124195.25</v>
      </c>
      <c r="G50" s="3">
        <f>Data!X50</f>
        <v>0</v>
      </c>
      <c r="H50" s="3">
        <f>Data!K50+Data!R50</f>
        <v>66077.08</v>
      </c>
      <c r="I50" s="3">
        <f>Data!I50+Data!L50+Data!M50+Data!N50+Data!O50+Data!S50</f>
        <v>0</v>
      </c>
      <c r="J50" s="3">
        <f>Data!Q50</f>
        <v>0</v>
      </c>
      <c r="K50" s="3">
        <f>Data!J50+Data!P50</f>
        <v>85437.89</v>
      </c>
      <c r="L50" s="3">
        <f>Data!T50</f>
        <v>0</v>
      </c>
      <c r="M50" s="3">
        <f>ROUND(Data!AB50*$B$3,2)</f>
        <v>97932.44</v>
      </c>
      <c r="N50" s="3">
        <f>Data!U50</f>
        <v>0</v>
      </c>
      <c r="O50" s="3">
        <f t="shared" si="1"/>
        <v>1142436.57</v>
      </c>
      <c r="P50" s="3">
        <f t="shared" si="2"/>
        <v>1044504.13</v>
      </c>
      <c r="Q50" s="3">
        <f t="shared" si="3"/>
        <v>97932.44</v>
      </c>
    </row>
    <row r="51" spans="1:17" x14ac:dyDescent="0.2">
      <c r="A51" s="18">
        <v>139</v>
      </c>
      <c r="B51" s="18">
        <v>1</v>
      </c>
      <c r="C51" s="3" t="s">
        <v>47</v>
      </c>
      <c r="D51" s="3">
        <f>ROUND(Data!AA51*$B$3,2)</f>
        <v>220526.15</v>
      </c>
      <c r="E51" s="3">
        <f>MAX(0,Data!AD51-Data!Y51)</f>
        <v>0</v>
      </c>
      <c r="F51" s="3">
        <f>Data!Y51</f>
        <v>0</v>
      </c>
      <c r="G51" s="3">
        <f>Data!X51</f>
        <v>0</v>
      </c>
      <c r="H51" s="3">
        <f>Data!K51+Data!R51</f>
        <v>20857.350000000002</v>
      </c>
      <c r="I51" s="3">
        <f>Data!I51+Data!L51+Data!M51+Data!N51+Data!O51+Data!S51</f>
        <v>0</v>
      </c>
      <c r="J51" s="3">
        <f>Data!Q51</f>
        <v>0</v>
      </c>
      <c r="K51" s="3">
        <f>Data!J51+Data!P51</f>
        <v>-2592.5</v>
      </c>
      <c r="L51" s="3">
        <f>Data!T51</f>
        <v>0</v>
      </c>
      <c r="M51" s="3">
        <f>ROUND(Data!AB51*$B$3,2)</f>
        <v>30102.33</v>
      </c>
      <c r="N51" s="3">
        <f>Data!U51</f>
        <v>0</v>
      </c>
      <c r="O51" s="3">
        <f t="shared" si="1"/>
        <v>268893.33</v>
      </c>
      <c r="P51" s="3">
        <f t="shared" si="2"/>
        <v>238791</v>
      </c>
      <c r="Q51" s="3">
        <f t="shared" si="3"/>
        <v>30102.33</v>
      </c>
    </row>
    <row r="52" spans="1:17" x14ac:dyDescent="0.2">
      <c r="A52" s="18">
        <v>146</v>
      </c>
      <c r="B52" s="18">
        <v>1</v>
      </c>
      <c r="C52" s="3" t="s">
        <v>48</v>
      </c>
      <c r="D52" s="3">
        <f>ROUND(Data!AA52*$B$3,2)</f>
        <v>156867.01999999999</v>
      </c>
      <c r="E52" s="3">
        <f>MAX(0,Data!AD52-Data!Y52)</f>
        <v>224317.68</v>
      </c>
      <c r="F52" s="3">
        <f>Data!Y52</f>
        <v>47325.63</v>
      </c>
      <c r="G52" s="3">
        <f>Data!X52</f>
        <v>0</v>
      </c>
      <c r="H52" s="3">
        <f>Data!K52+Data!R52</f>
        <v>16467.63</v>
      </c>
      <c r="I52" s="3">
        <f>Data!I52+Data!L52+Data!M52+Data!N52+Data!O52+Data!S52</f>
        <v>0</v>
      </c>
      <c r="J52" s="3">
        <f>Data!Q52</f>
        <v>0</v>
      </c>
      <c r="K52" s="3">
        <f>Data!J52+Data!P52</f>
        <v>2118.41</v>
      </c>
      <c r="L52" s="3">
        <f>Data!T52</f>
        <v>0</v>
      </c>
      <c r="M52" s="3">
        <f>ROUND(Data!AB52*$B$3,2)</f>
        <v>27839.29</v>
      </c>
      <c r="N52" s="3">
        <f>Data!U52</f>
        <v>0</v>
      </c>
      <c r="O52" s="3">
        <f t="shared" si="1"/>
        <v>474935.65999999992</v>
      </c>
      <c r="P52" s="3">
        <f t="shared" si="2"/>
        <v>447096.36999999994</v>
      </c>
      <c r="Q52" s="3">
        <f t="shared" si="3"/>
        <v>27839.29</v>
      </c>
    </row>
    <row r="53" spans="1:17" x14ac:dyDescent="0.2">
      <c r="A53" s="18">
        <v>150</v>
      </c>
      <c r="B53" s="18">
        <v>1</v>
      </c>
      <c r="C53" s="3" t="s">
        <v>49</v>
      </c>
      <c r="D53" s="3">
        <f>ROUND(Data!AA53*$B$3,2)</f>
        <v>111618.13</v>
      </c>
      <c r="E53" s="3">
        <f>MAX(0,Data!AD53-Data!Y53)</f>
        <v>85745.81</v>
      </c>
      <c r="F53" s="3">
        <f>Data!Y53</f>
        <v>27885.64</v>
      </c>
      <c r="G53" s="3">
        <f>Data!X53</f>
        <v>0</v>
      </c>
      <c r="H53" s="3">
        <f>Data!K53+Data!R53</f>
        <v>19444.77</v>
      </c>
      <c r="I53" s="3">
        <f>Data!I53+Data!L53+Data!M53+Data!N53+Data!O53+Data!S53</f>
        <v>0</v>
      </c>
      <c r="J53" s="3">
        <f>Data!Q53</f>
        <v>0</v>
      </c>
      <c r="K53" s="3">
        <f>Data!J53+Data!P53</f>
        <v>48348.5</v>
      </c>
      <c r="L53" s="3">
        <f>Data!T53</f>
        <v>0</v>
      </c>
      <c r="M53" s="3">
        <f>ROUND(Data!AB53*$B$3,2)</f>
        <v>15234.19</v>
      </c>
      <c r="N53" s="3">
        <f>Data!U53</f>
        <v>0</v>
      </c>
      <c r="O53" s="3">
        <f t="shared" si="1"/>
        <v>308277.03999999998</v>
      </c>
      <c r="P53" s="3">
        <f t="shared" si="2"/>
        <v>293042.84999999998</v>
      </c>
      <c r="Q53" s="3">
        <f t="shared" si="3"/>
        <v>15234.19</v>
      </c>
    </row>
    <row r="54" spans="1:17" x14ac:dyDescent="0.2">
      <c r="A54" s="18">
        <v>152</v>
      </c>
      <c r="B54" s="18">
        <v>1</v>
      </c>
      <c r="C54" s="3" t="s">
        <v>50</v>
      </c>
      <c r="D54" s="3">
        <f>ROUND(Data!AA54*$B$3,2)</f>
        <v>1104759.8</v>
      </c>
      <c r="E54" s="3">
        <f>MAX(0,Data!AD54-Data!Y54)</f>
        <v>1897856.91</v>
      </c>
      <c r="F54" s="3">
        <f>Data!Y54</f>
        <v>260799.18</v>
      </c>
      <c r="G54" s="3">
        <f>Data!X54</f>
        <v>0</v>
      </c>
      <c r="H54" s="3">
        <f>Data!K54+Data!R54</f>
        <v>113719.25</v>
      </c>
      <c r="I54" s="3">
        <f>Data!I54+Data!L54+Data!M54+Data!N54+Data!O54+Data!S54</f>
        <v>0</v>
      </c>
      <c r="J54" s="3">
        <f>Data!Q54</f>
        <v>0</v>
      </c>
      <c r="K54" s="3">
        <f>Data!J54+Data!P54</f>
        <v>131942.88</v>
      </c>
      <c r="L54" s="3">
        <f>Data!T54</f>
        <v>0</v>
      </c>
      <c r="M54" s="3">
        <f>ROUND(Data!AB54*$B$3,2)</f>
        <v>256293.7</v>
      </c>
      <c r="N54" s="3">
        <f>Data!U54</f>
        <v>0</v>
      </c>
      <c r="O54" s="3">
        <f t="shared" si="1"/>
        <v>3765371.72</v>
      </c>
      <c r="P54" s="3">
        <f t="shared" si="2"/>
        <v>3509078.02</v>
      </c>
      <c r="Q54" s="3">
        <f t="shared" si="3"/>
        <v>256293.7</v>
      </c>
    </row>
    <row r="55" spans="1:17" x14ac:dyDescent="0.2">
      <c r="A55" s="18">
        <v>162</v>
      </c>
      <c r="B55" s="18">
        <v>1</v>
      </c>
      <c r="C55" s="3" t="s">
        <v>51</v>
      </c>
      <c r="D55" s="3">
        <f>ROUND(Data!AA55*$B$3,2)</f>
        <v>234976.32</v>
      </c>
      <c r="E55" s="3">
        <f>MAX(0,Data!AD55-Data!Y55)</f>
        <v>0</v>
      </c>
      <c r="F55" s="3">
        <f>Data!Y55</f>
        <v>0</v>
      </c>
      <c r="G55" s="3">
        <f>Data!X55</f>
        <v>0</v>
      </c>
      <c r="H55" s="3">
        <f>Data!K55+Data!R55</f>
        <v>24569.32</v>
      </c>
      <c r="I55" s="3">
        <f>Data!I55+Data!L55+Data!M55+Data!N55+Data!O55+Data!S55</f>
        <v>0</v>
      </c>
      <c r="J55" s="3">
        <f>Data!Q55</f>
        <v>0</v>
      </c>
      <c r="K55" s="3">
        <f>Data!J55+Data!P55</f>
        <v>42147.3</v>
      </c>
      <c r="L55" s="3">
        <f>Data!T55</f>
        <v>0</v>
      </c>
      <c r="M55" s="3">
        <f>ROUND(Data!AB55*$B$3,2)</f>
        <v>28411.07</v>
      </c>
      <c r="N55" s="3">
        <f>Data!U55</f>
        <v>0</v>
      </c>
      <c r="O55" s="3">
        <f t="shared" si="1"/>
        <v>330104.01</v>
      </c>
      <c r="P55" s="3">
        <f t="shared" si="2"/>
        <v>301692.94</v>
      </c>
      <c r="Q55" s="3">
        <f t="shared" si="3"/>
        <v>28411.07</v>
      </c>
    </row>
    <row r="56" spans="1:17" x14ac:dyDescent="0.2">
      <c r="A56" s="18">
        <v>166</v>
      </c>
      <c r="B56" s="18">
        <v>1</v>
      </c>
      <c r="C56" s="3" t="s">
        <v>52</v>
      </c>
      <c r="D56" s="3">
        <f>ROUND(Data!AA56*$B$3,2)</f>
        <v>12455.58</v>
      </c>
      <c r="E56" s="3">
        <f>MAX(0,Data!AD56-Data!Y56)</f>
        <v>194971.62</v>
      </c>
      <c r="F56" s="3">
        <f>Data!Y56</f>
        <v>32084.66</v>
      </c>
      <c r="G56" s="3">
        <f>Data!X56</f>
        <v>0</v>
      </c>
      <c r="H56" s="3">
        <f>Data!K56+Data!R56</f>
        <v>15687.32</v>
      </c>
      <c r="I56" s="3">
        <f>Data!I56+Data!L56+Data!M56+Data!N56+Data!O56+Data!S56</f>
        <v>0</v>
      </c>
      <c r="J56" s="3">
        <f>Data!Q56</f>
        <v>0</v>
      </c>
      <c r="K56" s="3">
        <f>Data!J56+Data!P56</f>
        <v>11233.29</v>
      </c>
      <c r="L56" s="3">
        <f>Data!T56</f>
        <v>0</v>
      </c>
      <c r="M56" s="3">
        <f>ROUND(Data!AB56*$B$3,2)</f>
        <v>0</v>
      </c>
      <c r="N56" s="3">
        <f>Data!U56</f>
        <v>0</v>
      </c>
      <c r="O56" s="3">
        <f t="shared" si="1"/>
        <v>266432.46999999997</v>
      </c>
      <c r="P56" s="3">
        <f t="shared" si="2"/>
        <v>266432.46999999997</v>
      </c>
      <c r="Q56" s="3">
        <f t="shared" si="3"/>
        <v>0</v>
      </c>
    </row>
    <row r="57" spans="1:17" x14ac:dyDescent="0.2">
      <c r="A57" s="18">
        <v>173</v>
      </c>
      <c r="B57" s="18">
        <v>1</v>
      </c>
      <c r="C57" s="3" t="s">
        <v>53</v>
      </c>
      <c r="D57" s="3">
        <f>ROUND(Data!AA57*$B$3,2)</f>
        <v>103379</v>
      </c>
      <c r="E57" s="3">
        <f>MAX(0,Data!AD57-Data!Y57)</f>
        <v>175375.72999999998</v>
      </c>
      <c r="F57" s="3">
        <f>Data!Y57</f>
        <v>90731.14</v>
      </c>
      <c r="G57" s="3">
        <f>Data!X57</f>
        <v>4153.8</v>
      </c>
      <c r="H57" s="3">
        <f>Data!K57+Data!R57</f>
        <v>18731.060000000001</v>
      </c>
      <c r="I57" s="3">
        <f>Data!I57+Data!L57+Data!M57+Data!N57+Data!O57+Data!S57</f>
        <v>0</v>
      </c>
      <c r="J57" s="3">
        <f>Data!Q57</f>
        <v>0</v>
      </c>
      <c r="K57" s="3">
        <f>Data!J57+Data!P57</f>
        <v>2260.15</v>
      </c>
      <c r="L57" s="3">
        <f>Data!T57</f>
        <v>0</v>
      </c>
      <c r="M57" s="3">
        <f>ROUND(Data!AB57*$B$3,2)</f>
        <v>22863.38</v>
      </c>
      <c r="N57" s="3">
        <f>Data!U57</f>
        <v>0</v>
      </c>
      <c r="O57" s="3">
        <f t="shared" si="1"/>
        <v>417494.26</v>
      </c>
      <c r="P57" s="3">
        <f t="shared" si="2"/>
        <v>394630.88</v>
      </c>
      <c r="Q57" s="3">
        <f t="shared" si="3"/>
        <v>22863.38</v>
      </c>
    </row>
    <row r="58" spans="1:17" x14ac:dyDescent="0.2">
      <c r="A58" s="18">
        <v>177</v>
      </c>
      <c r="B58" s="18">
        <v>1</v>
      </c>
      <c r="C58" s="3" t="s">
        <v>54</v>
      </c>
      <c r="D58" s="3">
        <f>ROUND(Data!AA58*$B$3,2)</f>
        <v>242087.4</v>
      </c>
      <c r="E58" s="3">
        <f>MAX(0,Data!AD58-Data!Y58)</f>
        <v>447242.82</v>
      </c>
      <c r="F58" s="3">
        <f>Data!Y58</f>
        <v>79181.69</v>
      </c>
      <c r="G58" s="3">
        <f>Data!X58</f>
        <v>7877.23</v>
      </c>
      <c r="H58" s="3">
        <f>Data!K58+Data!R58</f>
        <v>20351.54</v>
      </c>
      <c r="I58" s="3">
        <f>Data!I58+Data!L58+Data!M58+Data!N58+Data!O58+Data!S58</f>
        <v>0</v>
      </c>
      <c r="J58" s="3">
        <f>Data!Q58</f>
        <v>-12014.26</v>
      </c>
      <c r="K58" s="3">
        <f>Data!J58+Data!P58</f>
        <v>12014.26</v>
      </c>
      <c r="L58" s="3">
        <f>Data!T58</f>
        <v>0</v>
      </c>
      <c r="M58" s="3">
        <f>ROUND(Data!AB58*$B$3,2)</f>
        <v>36991.4</v>
      </c>
      <c r="N58" s="3">
        <f>Data!U58</f>
        <v>0</v>
      </c>
      <c r="O58" s="3">
        <f t="shared" si="1"/>
        <v>833732.08</v>
      </c>
      <c r="P58" s="3">
        <f t="shared" si="2"/>
        <v>796740.67999999993</v>
      </c>
      <c r="Q58" s="3">
        <f t="shared" si="3"/>
        <v>36991.4</v>
      </c>
    </row>
    <row r="59" spans="1:17" x14ac:dyDescent="0.2">
      <c r="A59" s="18">
        <v>181</v>
      </c>
      <c r="B59" s="18">
        <v>1</v>
      </c>
      <c r="C59" s="3" t="s">
        <v>55</v>
      </c>
      <c r="D59" s="3">
        <f>ROUND(Data!AA59*$B$3,2)</f>
        <v>2035035.14</v>
      </c>
      <c r="E59" s="3">
        <f>MAX(0,Data!AD59-Data!Y59)</f>
        <v>1012029.04</v>
      </c>
      <c r="F59" s="3">
        <f>Data!Y59</f>
        <v>381870.54</v>
      </c>
      <c r="G59" s="3">
        <f>Data!X59</f>
        <v>0</v>
      </c>
      <c r="H59" s="3">
        <f>Data!K59+Data!R59</f>
        <v>285310.28999999998</v>
      </c>
      <c r="I59" s="3">
        <f>Data!I59+Data!L59+Data!M59+Data!N59+Data!O59+Data!S59</f>
        <v>0</v>
      </c>
      <c r="J59" s="3">
        <f>Data!Q59</f>
        <v>0</v>
      </c>
      <c r="K59" s="3">
        <f>Data!J59+Data!P59</f>
        <v>35107.259999999995</v>
      </c>
      <c r="L59" s="3">
        <f>Data!T59</f>
        <v>0</v>
      </c>
      <c r="M59" s="3">
        <f>ROUND(Data!AB59*$B$3,2)</f>
        <v>291672.61</v>
      </c>
      <c r="N59" s="3">
        <f>Data!U59</f>
        <v>0</v>
      </c>
      <c r="O59" s="3">
        <f t="shared" si="1"/>
        <v>4041024.8799999994</v>
      </c>
      <c r="P59" s="3">
        <f t="shared" si="2"/>
        <v>3749352.2699999996</v>
      </c>
      <c r="Q59" s="3">
        <f t="shared" si="3"/>
        <v>291672.61</v>
      </c>
    </row>
    <row r="60" spans="1:17" x14ac:dyDescent="0.2">
      <c r="A60" s="18">
        <v>182</v>
      </c>
      <c r="B60" s="18">
        <v>1</v>
      </c>
      <c r="C60" s="3" t="s">
        <v>56</v>
      </c>
      <c r="D60" s="3">
        <f>ROUND(Data!AA60*$B$3,2)</f>
        <v>298125.43</v>
      </c>
      <c r="E60" s="3">
        <f>MAX(0,Data!AD60-Data!Y60)</f>
        <v>272685.52999999997</v>
      </c>
      <c r="F60" s="3">
        <f>Data!Y60</f>
        <v>41830.449999999997</v>
      </c>
      <c r="G60" s="3">
        <f>Data!X60</f>
        <v>0</v>
      </c>
      <c r="H60" s="3">
        <f>Data!K60+Data!R60</f>
        <v>32128.1</v>
      </c>
      <c r="I60" s="3">
        <f>Data!I60+Data!L60+Data!M60+Data!N60+Data!O60+Data!S60</f>
        <v>0</v>
      </c>
      <c r="J60" s="3">
        <f>Data!Q60</f>
        <v>0</v>
      </c>
      <c r="K60" s="3">
        <f>Data!J60+Data!P60</f>
        <v>18430.88</v>
      </c>
      <c r="L60" s="3">
        <f>Data!T60</f>
        <v>0</v>
      </c>
      <c r="M60" s="3">
        <f>ROUND(Data!AB60*$B$3,2)</f>
        <v>1732.96</v>
      </c>
      <c r="N60" s="3">
        <f>Data!U60</f>
        <v>0</v>
      </c>
      <c r="O60" s="3">
        <f t="shared" si="1"/>
        <v>664933.34999999986</v>
      </c>
      <c r="P60" s="3">
        <f t="shared" si="2"/>
        <v>663200.3899999999</v>
      </c>
      <c r="Q60" s="3">
        <f t="shared" si="3"/>
        <v>1732.96</v>
      </c>
    </row>
    <row r="61" spans="1:17" x14ac:dyDescent="0.2">
      <c r="A61" s="18">
        <v>186</v>
      </c>
      <c r="B61" s="18">
        <v>1</v>
      </c>
      <c r="C61" s="3" t="s">
        <v>57</v>
      </c>
      <c r="D61" s="3">
        <f>ROUND(Data!AA61*$B$3,2)</f>
        <v>404791.69</v>
      </c>
      <c r="E61" s="3">
        <f>MAX(0,Data!AD61-Data!Y61)</f>
        <v>9691.35</v>
      </c>
      <c r="F61" s="3">
        <f>Data!Y61</f>
        <v>0</v>
      </c>
      <c r="G61" s="3">
        <f>Data!X61</f>
        <v>0</v>
      </c>
      <c r="H61" s="3">
        <f>Data!K61+Data!R61</f>
        <v>36580.97</v>
      </c>
      <c r="I61" s="3">
        <f>Data!I61+Data!L61+Data!M61+Data!N61+Data!O61+Data!S61</f>
        <v>0</v>
      </c>
      <c r="J61" s="3">
        <f>Data!Q61</f>
        <v>0</v>
      </c>
      <c r="K61" s="3">
        <f>Data!J61+Data!P61</f>
        <v>39556.58</v>
      </c>
      <c r="L61" s="3">
        <f>Data!T61</f>
        <v>0</v>
      </c>
      <c r="M61" s="3">
        <f>ROUND(Data!AB61*$B$3,2)</f>
        <v>87597.22</v>
      </c>
      <c r="N61" s="3">
        <f>Data!U61</f>
        <v>0</v>
      </c>
      <c r="O61" s="3">
        <f t="shared" si="1"/>
        <v>578217.81000000006</v>
      </c>
      <c r="P61" s="3">
        <f t="shared" si="2"/>
        <v>490620.59</v>
      </c>
      <c r="Q61" s="3">
        <f t="shared" si="3"/>
        <v>87597.22</v>
      </c>
    </row>
    <row r="62" spans="1:17" x14ac:dyDescent="0.2">
      <c r="A62" s="18">
        <v>191</v>
      </c>
      <c r="B62" s="18">
        <v>1</v>
      </c>
      <c r="C62" s="3" t="s">
        <v>58</v>
      </c>
      <c r="D62" s="3">
        <f>ROUND(Data!AA62*$B$3,2)</f>
        <v>2104104.34</v>
      </c>
      <c r="E62" s="3">
        <f>MAX(0,Data!AD62-Data!Y62)</f>
        <v>5432063.5199999996</v>
      </c>
      <c r="F62" s="3">
        <f>Data!Y62</f>
        <v>3269341.23</v>
      </c>
      <c r="G62" s="3">
        <f>Data!X62</f>
        <v>0</v>
      </c>
      <c r="H62" s="3">
        <f>Data!K62+Data!R62</f>
        <v>242452.15</v>
      </c>
      <c r="I62" s="3">
        <f>Data!I62+Data!L62+Data!M62+Data!N62+Data!O62+Data!S62</f>
        <v>0</v>
      </c>
      <c r="J62" s="3">
        <f>Data!Q62</f>
        <v>0</v>
      </c>
      <c r="K62" s="3">
        <f>Data!J62+Data!P62</f>
        <v>452004.05</v>
      </c>
      <c r="L62" s="3">
        <f>Data!T62</f>
        <v>0</v>
      </c>
      <c r="M62" s="3">
        <f>ROUND(Data!AB62*$B$3,2)</f>
        <v>488995.22</v>
      </c>
      <c r="N62" s="3">
        <f>Data!U62</f>
        <v>0</v>
      </c>
      <c r="O62" s="3">
        <f t="shared" si="1"/>
        <v>11988960.510000002</v>
      </c>
      <c r="P62" s="3">
        <f t="shared" si="2"/>
        <v>11499965.290000001</v>
      </c>
      <c r="Q62" s="3">
        <f t="shared" si="3"/>
        <v>488995.22</v>
      </c>
    </row>
    <row r="63" spans="1:17" x14ac:dyDescent="0.2">
      <c r="A63" s="18">
        <v>192</v>
      </c>
      <c r="B63" s="18">
        <v>1</v>
      </c>
      <c r="C63" s="3" t="s">
        <v>59</v>
      </c>
      <c r="D63" s="3">
        <f>ROUND(Data!AA63*$B$3,2)</f>
        <v>1204189.25</v>
      </c>
      <c r="E63" s="3">
        <f>MAX(0,Data!AD63-Data!Y63)</f>
        <v>1087620.5899999999</v>
      </c>
      <c r="F63" s="3">
        <f>Data!Y63</f>
        <v>497003.31</v>
      </c>
      <c r="G63" s="3">
        <f>Data!X63</f>
        <v>34108.79</v>
      </c>
      <c r="H63" s="3">
        <f>Data!K63+Data!R63</f>
        <v>119105.01</v>
      </c>
      <c r="I63" s="3">
        <f>Data!I63+Data!L63+Data!M63+Data!N63+Data!O63+Data!S63</f>
        <v>0</v>
      </c>
      <c r="J63" s="3">
        <f>Data!Q63</f>
        <v>0</v>
      </c>
      <c r="K63" s="3">
        <f>Data!J63+Data!P63</f>
        <v>126350.54000000001</v>
      </c>
      <c r="L63" s="3">
        <f>Data!T63</f>
        <v>0</v>
      </c>
      <c r="M63" s="3">
        <f>ROUND(Data!AB63*$B$3,2)</f>
        <v>221441.04</v>
      </c>
      <c r="N63" s="3">
        <f>Data!U63</f>
        <v>0</v>
      </c>
      <c r="O63" s="3">
        <f t="shared" si="1"/>
        <v>3289818.53</v>
      </c>
      <c r="P63" s="3">
        <f t="shared" si="2"/>
        <v>3068377.4899999998</v>
      </c>
      <c r="Q63" s="3">
        <f t="shared" si="3"/>
        <v>221441.04</v>
      </c>
    </row>
    <row r="64" spans="1:17" x14ac:dyDescent="0.2">
      <c r="A64" s="18">
        <v>194</v>
      </c>
      <c r="B64" s="18">
        <v>1</v>
      </c>
      <c r="C64" s="3" t="s">
        <v>60</v>
      </c>
      <c r="D64" s="3">
        <f>ROUND(Data!AA64*$B$3,2)</f>
        <v>1912072.31</v>
      </c>
      <c r="E64" s="3">
        <f>MAX(0,Data!AD64-Data!Y64)</f>
        <v>2868162.2500000005</v>
      </c>
      <c r="F64" s="3">
        <f>Data!Y64</f>
        <v>2328572.5699999998</v>
      </c>
      <c r="G64" s="3">
        <f>Data!X64</f>
        <v>230506.25</v>
      </c>
      <c r="H64" s="3">
        <f>Data!K64+Data!R64</f>
        <v>215157.00999999998</v>
      </c>
      <c r="I64" s="3">
        <f>Data!I64+Data!L64+Data!M64+Data!N64+Data!O64+Data!S64</f>
        <v>0</v>
      </c>
      <c r="J64" s="3">
        <f>Data!Q64</f>
        <v>0</v>
      </c>
      <c r="K64" s="3">
        <f>Data!J64+Data!P64</f>
        <v>209480.58000000002</v>
      </c>
      <c r="L64" s="3">
        <f>Data!T64</f>
        <v>0</v>
      </c>
      <c r="M64" s="3">
        <f>ROUND(Data!AB64*$B$3,2)</f>
        <v>543909.81999999995</v>
      </c>
      <c r="N64" s="3">
        <f>Data!U64</f>
        <v>0</v>
      </c>
      <c r="O64" s="3">
        <f t="shared" si="1"/>
        <v>8307860.790000001</v>
      </c>
      <c r="P64" s="3">
        <f t="shared" si="2"/>
        <v>7763950.9700000007</v>
      </c>
      <c r="Q64" s="3">
        <f t="shared" si="3"/>
        <v>543909.81999999995</v>
      </c>
    </row>
    <row r="65" spans="1:17" x14ac:dyDescent="0.2">
      <c r="A65" s="18">
        <v>195</v>
      </c>
      <c r="B65" s="18">
        <v>1</v>
      </c>
      <c r="C65" s="3" t="s">
        <v>61</v>
      </c>
      <c r="D65" s="3">
        <f>ROUND(Data!AA65*$B$3,2)</f>
        <v>124406.79</v>
      </c>
      <c r="E65" s="3">
        <f>MAX(0,Data!AD65-Data!Y65)</f>
        <v>0</v>
      </c>
      <c r="F65" s="3">
        <f>Data!Y65</f>
        <v>139518.71</v>
      </c>
      <c r="G65" s="3">
        <f>Data!X65</f>
        <v>0</v>
      </c>
      <c r="H65" s="3">
        <f>Data!K65+Data!R65</f>
        <v>12606.49</v>
      </c>
      <c r="I65" s="3">
        <f>Data!I65+Data!L65+Data!M65+Data!N65+Data!O65+Data!S65</f>
        <v>0</v>
      </c>
      <c r="J65" s="3">
        <f>Data!Q65</f>
        <v>0</v>
      </c>
      <c r="K65" s="3">
        <f>Data!J65+Data!P65</f>
        <v>8944.4699999999993</v>
      </c>
      <c r="L65" s="3">
        <f>Data!T65</f>
        <v>0</v>
      </c>
      <c r="M65" s="3">
        <f>ROUND(Data!AB65*$B$3,2)</f>
        <v>16584.259999999998</v>
      </c>
      <c r="N65" s="3">
        <f>Data!U65</f>
        <v>0</v>
      </c>
      <c r="O65" s="3">
        <f t="shared" si="1"/>
        <v>302060.71999999997</v>
      </c>
      <c r="P65" s="3">
        <f t="shared" si="2"/>
        <v>285476.45999999996</v>
      </c>
      <c r="Q65" s="3">
        <f t="shared" si="3"/>
        <v>16584.259999999998</v>
      </c>
    </row>
    <row r="66" spans="1:17" x14ac:dyDescent="0.2">
      <c r="A66" s="18">
        <v>196</v>
      </c>
      <c r="B66" s="18">
        <v>1</v>
      </c>
      <c r="C66" s="3" t="s">
        <v>62</v>
      </c>
      <c r="D66" s="3">
        <f>ROUND(Data!AA66*$B$3,2)</f>
        <v>11151609.6</v>
      </c>
      <c r="E66" s="3">
        <f>MAX(0,Data!AD66-Data!Y66)</f>
        <v>11965174.860000001</v>
      </c>
      <c r="F66" s="3">
        <f>Data!Y66</f>
        <v>2902781.6</v>
      </c>
      <c r="G66" s="3">
        <f>Data!X66</f>
        <v>0</v>
      </c>
      <c r="H66" s="3">
        <f>Data!K66+Data!R66</f>
        <v>533787.12</v>
      </c>
      <c r="I66" s="3">
        <f>Data!I66+Data!L66+Data!M66+Data!N66+Data!O66+Data!S66</f>
        <v>0</v>
      </c>
      <c r="J66" s="3">
        <f>Data!Q66</f>
        <v>0</v>
      </c>
      <c r="K66" s="3">
        <f>Data!J66+Data!P66</f>
        <v>605396.11</v>
      </c>
      <c r="L66" s="3">
        <f>Data!T66</f>
        <v>0</v>
      </c>
      <c r="M66" s="3">
        <f>ROUND(Data!AB66*$B$3,2)</f>
        <v>800975.14</v>
      </c>
      <c r="N66" s="3">
        <f>Data!U66</f>
        <v>0</v>
      </c>
      <c r="O66" s="3">
        <f t="shared" si="1"/>
        <v>27959724.430000003</v>
      </c>
      <c r="P66" s="3">
        <f t="shared" si="2"/>
        <v>27158749.290000003</v>
      </c>
      <c r="Q66" s="3">
        <f t="shared" si="3"/>
        <v>800975.14</v>
      </c>
    </row>
    <row r="67" spans="1:17" x14ac:dyDescent="0.2">
      <c r="A67" s="18">
        <v>197</v>
      </c>
      <c r="B67" s="18">
        <v>1</v>
      </c>
      <c r="C67" s="3" t="s">
        <v>63</v>
      </c>
      <c r="D67" s="3">
        <f>ROUND(Data!AA67*$B$3,2)</f>
        <v>1629223.41</v>
      </c>
      <c r="E67" s="3">
        <f>MAX(0,Data!AD67-Data!Y67)</f>
        <v>2403591.41</v>
      </c>
      <c r="F67" s="3">
        <f>Data!Y67</f>
        <v>1798011.75</v>
      </c>
      <c r="G67" s="3">
        <f>Data!X67</f>
        <v>0</v>
      </c>
      <c r="H67" s="3">
        <f>Data!K67+Data!R67</f>
        <v>85556.04</v>
      </c>
      <c r="I67" s="3">
        <f>Data!I67+Data!L67+Data!M67+Data!N67+Data!O67+Data!S67</f>
        <v>0</v>
      </c>
      <c r="J67" s="3">
        <f>Data!Q67</f>
        <v>0</v>
      </c>
      <c r="K67" s="3">
        <f>Data!J67+Data!P67</f>
        <v>75587.42</v>
      </c>
      <c r="L67" s="3">
        <f>Data!T67</f>
        <v>0</v>
      </c>
      <c r="M67" s="3">
        <f>ROUND(Data!AB67*$B$3,2)</f>
        <v>377858.68</v>
      </c>
      <c r="N67" s="3">
        <f>Data!U67</f>
        <v>0</v>
      </c>
      <c r="O67" s="3">
        <f t="shared" si="1"/>
        <v>6369828.71</v>
      </c>
      <c r="P67" s="3">
        <f t="shared" si="2"/>
        <v>5991970.0300000003</v>
      </c>
      <c r="Q67" s="3">
        <f t="shared" si="3"/>
        <v>377858.68</v>
      </c>
    </row>
    <row r="68" spans="1:17" x14ac:dyDescent="0.2">
      <c r="A68" s="18">
        <v>199</v>
      </c>
      <c r="B68" s="18">
        <v>1</v>
      </c>
      <c r="C68" s="3" t="s">
        <v>64</v>
      </c>
      <c r="D68" s="3">
        <f>ROUND(Data!AA68*$B$3,2)</f>
        <v>1349036.61</v>
      </c>
      <c r="E68" s="3">
        <f>MAX(0,Data!AD68-Data!Y68)</f>
        <v>1042738.15</v>
      </c>
      <c r="F68" s="3">
        <f>Data!Y68</f>
        <v>996898.87</v>
      </c>
      <c r="G68" s="3">
        <f>Data!X68</f>
        <v>29000.73</v>
      </c>
      <c r="H68" s="3">
        <f>Data!K68+Data!R68</f>
        <v>84826</v>
      </c>
      <c r="I68" s="3">
        <f>Data!I68+Data!L68+Data!M68+Data!N68+Data!O68+Data!S68</f>
        <v>0</v>
      </c>
      <c r="J68" s="3">
        <f>Data!Q68</f>
        <v>0</v>
      </c>
      <c r="K68" s="3">
        <f>Data!J68+Data!P68</f>
        <v>130682.78</v>
      </c>
      <c r="L68" s="3">
        <f>Data!T68</f>
        <v>0</v>
      </c>
      <c r="M68" s="3">
        <f>ROUND(Data!AB68*$B$3,2)</f>
        <v>244133.84</v>
      </c>
      <c r="N68" s="3">
        <f>Data!U68</f>
        <v>0</v>
      </c>
      <c r="O68" s="3">
        <f t="shared" si="1"/>
        <v>3877316.98</v>
      </c>
      <c r="P68" s="3">
        <f t="shared" si="2"/>
        <v>3633183.14</v>
      </c>
      <c r="Q68" s="3">
        <f t="shared" si="3"/>
        <v>244133.84</v>
      </c>
    </row>
    <row r="69" spans="1:17" x14ac:dyDescent="0.2">
      <c r="A69" s="18">
        <v>200</v>
      </c>
      <c r="B69" s="18">
        <v>1</v>
      </c>
      <c r="C69" s="3" t="s">
        <v>65</v>
      </c>
      <c r="D69" s="3">
        <f>ROUND(Data!AA69*$B$3,2)</f>
        <v>1245736.52</v>
      </c>
      <c r="E69" s="3">
        <f>MAX(0,Data!AD69-Data!Y69)</f>
        <v>3290238.7399999998</v>
      </c>
      <c r="F69" s="3">
        <f>Data!Y69</f>
        <v>552049.56000000006</v>
      </c>
      <c r="G69" s="3">
        <f>Data!X69</f>
        <v>43073.06</v>
      </c>
      <c r="H69" s="3">
        <f>Data!K69+Data!R69</f>
        <v>52708.68</v>
      </c>
      <c r="I69" s="3">
        <f>Data!I69+Data!L69+Data!M69+Data!N69+Data!O69+Data!S69</f>
        <v>0</v>
      </c>
      <c r="J69" s="3">
        <f>Data!Q69</f>
        <v>0</v>
      </c>
      <c r="K69" s="3">
        <f>Data!J69+Data!P69</f>
        <v>70258.399999999994</v>
      </c>
      <c r="L69" s="3">
        <f>Data!T69</f>
        <v>0</v>
      </c>
      <c r="M69" s="3">
        <f>ROUND(Data!AB69*$B$3,2)</f>
        <v>212193.43</v>
      </c>
      <c r="N69" s="3">
        <f>Data!U69</f>
        <v>0</v>
      </c>
      <c r="O69" s="3">
        <f t="shared" si="1"/>
        <v>5466258.3899999997</v>
      </c>
      <c r="P69" s="3">
        <f t="shared" si="2"/>
        <v>5254064.96</v>
      </c>
      <c r="Q69" s="3">
        <f t="shared" si="3"/>
        <v>212193.43</v>
      </c>
    </row>
    <row r="70" spans="1:17" x14ac:dyDescent="0.2">
      <c r="A70" s="18">
        <v>203</v>
      </c>
      <c r="B70" s="18">
        <v>1</v>
      </c>
      <c r="C70" s="3" t="s">
        <v>66</v>
      </c>
      <c r="D70" s="3">
        <f>ROUND(Data!AA70*$B$3,2)</f>
        <v>181936.86</v>
      </c>
      <c r="E70" s="3">
        <f>MAX(0,Data!AD70-Data!Y70)</f>
        <v>286335.21999999997</v>
      </c>
      <c r="F70" s="3">
        <f>Data!Y70</f>
        <v>0</v>
      </c>
      <c r="G70" s="3">
        <f>Data!X70</f>
        <v>0</v>
      </c>
      <c r="H70" s="3">
        <f>Data!K70+Data!R70</f>
        <v>18654.82</v>
      </c>
      <c r="I70" s="3">
        <f>Data!I70+Data!L70+Data!M70+Data!N70+Data!O70+Data!S70</f>
        <v>0</v>
      </c>
      <c r="J70" s="3">
        <f>Data!Q70</f>
        <v>0</v>
      </c>
      <c r="K70" s="3">
        <f>Data!J70+Data!P70</f>
        <v>14308.26</v>
      </c>
      <c r="L70" s="3">
        <f>Data!T70</f>
        <v>0</v>
      </c>
      <c r="M70" s="3">
        <f>ROUND(Data!AB70*$B$3,2)</f>
        <v>32735.89</v>
      </c>
      <c r="N70" s="3">
        <f>Data!U70</f>
        <v>0</v>
      </c>
      <c r="O70" s="3">
        <f t="shared" si="1"/>
        <v>533971.04999999993</v>
      </c>
      <c r="P70" s="3">
        <f t="shared" si="2"/>
        <v>501235.16</v>
      </c>
      <c r="Q70" s="3">
        <f t="shared" si="3"/>
        <v>32735.89</v>
      </c>
    </row>
    <row r="71" spans="1:17" x14ac:dyDescent="0.2">
      <c r="A71" s="18">
        <v>204</v>
      </c>
      <c r="B71" s="18">
        <v>1</v>
      </c>
      <c r="C71" s="3" t="s">
        <v>67</v>
      </c>
      <c r="D71" s="3">
        <f>ROUND(Data!AA71*$B$3,2)</f>
        <v>125783.2</v>
      </c>
      <c r="E71" s="3">
        <f>MAX(0,Data!AD71-Data!Y71)</f>
        <v>154365.66999999998</v>
      </c>
      <c r="F71" s="3">
        <f>Data!Y71</f>
        <v>66446.850000000006</v>
      </c>
      <c r="G71" s="3">
        <f>Data!X71</f>
        <v>0</v>
      </c>
      <c r="H71" s="3">
        <f>Data!K71+Data!R71</f>
        <v>41970.67</v>
      </c>
      <c r="I71" s="3">
        <f>Data!I71+Data!L71+Data!M71+Data!N71+Data!O71+Data!S71</f>
        <v>0</v>
      </c>
      <c r="J71" s="3">
        <f>Data!Q71</f>
        <v>0</v>
      </c>
      <c r="K71" s="3">
        <f>Data!J71+Data!P71</f>
        <v>48987.08</v>
      </c>
      <c r="L71" s="3">
        <f>Data!T71</f>
        <v>0</v>
      </c>
      <c r="M71" s="3">
        <f>ROUND(Data!AB71*$B$3,2)</f>
        <v>44567.62</v>
      </c>
      <c r="N71" s="3">
        <f>Data!U71</f>
        <v>0</v>
      </c>
      <c r="O71" s="3">
        <f t="shared" si="1"/>
        <v>482121.08999999997</v>
      </c>
      <c r="P71" s="3">
        <f t="shared" si="2"/>
        <v>437553.47</v>
      </c>
      <c r="Q71" s="3">
        <f t="shared" si="3"/>
        <v>44567.62</v>
      </c>
    </row>
    <row r="72" spans="1:17" x14ac:dyDescent="0.2">
      <c r="A72" s="18">
        <v>206</v>
      </c>
      <c r="B72" s="18">
        <v>1</v>
      </c>
      <c r="C72" s="3" t="s">
        <v>68</v>
      </c>
      <c r="D72" s="3">
        <f>ROUND(Data!AA72*$B$3,2)</f>
        <v>896360.85</v>
      </c>
      <c r="E72" s="3">
        <f>MAX(0,Data!AD72-Data!Y72)</f>
        <v>483821.60000000003</v>
      </c>
      <c r="F72" s="3">
        <f>Data!Y72</f>
        <v>365570.81</v>
      </c>
      <c r="G72" s="3">
        <f>Data!X72</f>
        <v>0</v>
      </c>
      <c r="H72" s="3">
        <f>Data!K72+Data!R72</f>
        <v>96829.680000000008</v>
      </c>
      <c r="I72" s="3">
        <f>Data!I72+Data!L72+Data!M72+Data!N72+Data!O72+Data!S72</f>
        <v>0</v>
      </c>
      <c r="J72" s="3">
        <f>Data!Q72</f>
        <v>0</v>
      </c>
      <c r="K72" s="3">
        <f>Data!J72+Data!P72</f>
        <v>9527.44</v>
      </c>
      <c r="L72" s="3">
        <f>Data!T72</f>
        <v>0</v>
      </c>
      <c r="M72" s="3">
        <f>ROUND(Data!AB72*$B$3,2)</f>
        <v>198808.51</v>
      </c>
      <c r="N72" s="3">
        <f>Data!U72</f>
        <v>0</v>
      </c>
      <c r="O72" s="3">
        <f t="shared" ref="O72:O132" si="4">SUM(D72:N72)</f>
        <v>2050918.89</v>
      </c>
      <c r="P72" s="3">
        <f t="shared" ref="P72:P133" si="5">SUM(D72:L72)</f>
        <v>1852110.38</v>
      </c>
      <c r="Q72" s="3">
        <f t="shared" ref="Q72:Q133" si="6">SUM(M72:N72)</f>
        <v>198808.51</v>
      </c>
    </row>
    <row r="73" spans="1:17" x14ac:dyDescent="0.2">
      <c r="A73" s="18">
        <v>207</v>
      </c>
      <c r="B73" s="18">
        <v>1</v>
      </c>
      <c r="C73" s="3" t="s">
        <v>69</v>
      </c>
      <c r="D73" s="3">
        <f>ROUND(Data!AA73*$B$3,2)</f>
        <v>95042.15</v>
      </c>
      <c r="E73" s="3">
        <f>MAX(0,Data!AD73-Data!Y73)</f>
        <v>95941.26</v>
      </c>
      <c r="F73" s="3">
        <f>Data!Y73</f>
        <v>0</v>
      </c>
      <c r="G73" s="3">
        <f>Data!X73</f>
        <v>0</v>
      </c>
      <c r="H73" s="3">
        <f>Data!K73+Data!R73</f>
        <v>11665.08</v>
      </c>
      <c r="I73" s="3">
        <f>Data!I73+Data!L73+Data!M73+Data!N73+Data!O73+Data!S73</f>
        <v>0</v>
      </c>
      <c r="J73" s="3">
        <f>Data!Q73</f>
        <v>-500</v>
      </c>
      <c r="K73" s="3">
        <f>Data!J73+Data!P73</f>
        <v>481.94</v>
      </c>
      <c r="L73" s="3">
        <f>Data!T73</f>
        <v>0</v>
      </c>
      <c r="M73" s="3">
        <f>ROUND(Data!AB73*$B$3,2)</f>
        <v>10952.5</v>
      </c>
      <c r="N73" s="3">
        <f>Data!U73</f>
        <v>0</v>
      </c>
      <c r="O73" s="3">
        <f t="shared" si="4"/>
        <v>213582.92999999996</v>
      </c>
      <c r="P73" s="3">
        <f t="shared" si="5"/>
        <v>202630.42999999996</v>
      </c>
      <c r="Q73" s="3">
        <f t="shared" si="6"/>
        <v>10952.5</v>
      </c>
    </row>
    <row r="74" spans="1:17" x14ac:dyDescent="0.2">
      <c r="A74" s="18">
        <v>208</v>
      </c>
      <c r="B74" s="18">
        <v>1</v>
      </c>
      <c r="C74" s="3" t="s">
        <v>70</v>
      </c>
      <c r="D74" s="3">
        <f>ROUND(Data!AA74*$B$3,2)</f>
        <v>51051</v>
      </c>
      <c r="E74" s="3">
        <f>MAX(0,Data!AD74-Data!Y74)</f>
        <v>142877.20000000001</v>
      </c>
      <c r="F74" s="3">
        <f>Data!Y74</f>
        <v>0</v>
      </c>
      <c r="G74" s="3">
        <f>Data!X74</f>
        <v>0</v>
      </c>
      <c r="H74" s="3">
        <f>Data!K74+Data!R74</f>
        <v>11665.08</v>
      </c>
      <c r="I74" s="3">
        <f>Data!I74+Data!L74+Data!M74+Data!N74+Data!O74+Data!S74</f>
        <v>0</v>
      </c>
      <c r="J74" s="3">
        <f>Data!Q74</f>
        <v>0</v>
      </c>
      <c r="K74" s="3">
        <f>Data!J74+Data!P74</f>
        <v>14057.72</v>
      </c>
      <c r="L74" s="3">
        <f>Data!T74</f>
        <v>0</v>
      </c>
      <c r="M74" s="3">
        <f>ROUND(Data!AB74*$B$3,2)</f>
        <v>8800.49</v>
      </c>
      <c r="N74" s="3">
        <f>Data!U74</f>
        <v>0</v>
      </c>
      <c r="O74" s="3">
        <f t="shared" si="4"/>
        <v>228451.49</v>
      </c>
      <c r="P74" s="3">
        <f t="shared" si="5"/>
        <v>219651</v>
      </c>
      <c r="Q74" s="3">
        <f t="shared" si="6"/>
        <v>8800.49</v>
      </c>
    </row>
    <row r="75" spans="1:17" x14ac:dyDescent="0.2">
      <c r="A75" s="18">
        <v>213</v>
      </c>
      <c r="B75" s="18">
        <v>1</v>
      </c>
      <c r="C75" s="3" t="s">
        <v>71</v>
      </c>
      <c r="D75" s="3">
        <f>ROUND(Data!AA75*$B$3,2)</f>
        <v>150495.46</v>
      </c>
      <c r="E75" s="3">
        <f>MAX(0,Data!AD75-Data!Y75)</f>
        <v>0</v>
      </c>
      <c r="F75" s="3">
        <f>Data!Y75</f>
        <v>28915.37</v>
      </c>
      <c r="G75" s="3">
        <f>Data!X75</f>
        <v>0</v>
      </c>
      <c r="H75" s="3">
        <f>Data!K75+Data!R75</f>
        <v>12393.850000000002</v>
      </c>
      <c r="I75" s="3">
        <f>Data!I75+Data!L75+Data!M75+Data!N75+Data!O75+Data!S75</f>
        <v>0</v>
      </c>
      <c r="J75" s="3">
        <f>Data!Q75</f>
        <v>0</v>
      </c>
      <c r="K75" s="3">
        <f>Data!J75+Data!P75</f>
        <v>10973.7</v>
      </c>
      <c r="L75" s="3">
        <f>Data!T75</f>
        <v>0</v>
      </c>
      <c r="M75" s="3">
        <f>ROUND(Data!AB75*$B$3,2)</f>
        <v>21631.86</v>
      </c>
      <c r="N75" s="3">
        <f>Data!U75</f>
        <v>0</v>
      </c>
      <c r="O75" s="3">
        <f t="shared" si="4"/>
        <v>224410.23999999999</v>
      </c>
      <c r="P75" s="3">
        <f t="shared" si="5"/>
        <v>202778.38</v>
      </c>
      <c r="Q75" s="3">
        <f t="shared" si="6"/>
        <v>21631.86</v>
      </c>
    </row>
    <row r="76" spans="1:17" x14ac:dyDescent="0.2">
      <c r="A76" s="18">
        <v>227</v>
      </c>
      <c r="B76" s="18">
        <v>1</v>
      </c>
      <c r="C76" s="3" t="s">
        <v>72</v>
      </c>
      <c r="D76" s="3">
        <f>ROUND(Data!AA76*$B$3,2)</f>
        <v>150419.9</v>
      </c>
      <c r="E76" s="3">
        <f>MAX(0,Data!AD76-Data!Y76)</f>
        <v>163539.29999999999</v>
      </c>
      <c r="F76" s="3">
        <f>Data!Y76</f>
        <v>44731.14</v>
      </c>
      <c r="G76" s="3">
        <f>Data!X76</f>
        <v>0</v>
      </c>
      <c r="H76" s="3">
        <f>Data!K76+Data!R76</f>
        <v>21026.43</v>
      </c>
      <c r="I76" s="3">
        <f>Data!I76+Data!L76+Data!M76+Data!N76+Data!O76+Data!S76</f>
        <v>0</v>
      </c>
      <c r="J76" s="3">
        <f>Data!Q76</f>
        <v>0</v>
      </c>
      <c r="K76" s="3">
        <f>Data!J76+Data!P76</f>
        <v>9417.61</v>
      </c>
      <c r="L76" s="3">
        <f>Data!T76</f>
        <v>0</v>
      </c>
      <c r="M76" s="3">
        <f>ROUND(Data!AB76*$B$3,2)</f>
        <v>35172.31</v>
      </c>
      <c r="N76" s="3">
        <f>Data!U76</f>
        <v>0</v>
      </c>
      <c r="O76" s="3">
        <f t="shared" si="4"/>
        <v>424306.68999999994</v>
      </c>
      <c r="P76" s="3">
        <f t="shared" si="5"/>
        <v>389134.37999999995</v>
      </c>
      <c r="Q76" s="3">
        <f t="shared" si="6"/>
        <v>35172.31</v>
      </c>
    </row>
    <row r="77" spans="1:17" x14ac:dyDescent="0.2">
      <c r="A77" s="18">
        <v>229</v>
      </c>
      <c r="B77" s="18">
        <v>1</v>
      </c>
      <c r="C77" s="3" t="s">
        <v>73</v>
      </c>
      <c r="D77" s="3">
        <f>ROUND(Data!AA77*$B$3,2)</f>
        <v>75255.009999999995</v>
      </c>
      <c r="E77" s="3">
        <f>MAX(0,Data!AD77-Data!Y77)</f>
        <v>0</v>
      </c>
      <c r="F77" s="3">
        <f>Data!Y77</f>
        <v>15542.06</v>
      </c>
      <c r="G77" s="3">
        <f>Data!X77</f>
        <v>0</v>
      </c>
      <c r="H77" s="3">
        <f>Data!K77+Data!R77</f>
        <v>28703.97</v>
      </c>
      <c r="I77" s="3">
        <f>Data!I77+Data!L77+Data!M77+Data!N77+Data!O77+Data!S77</f>
        <v>0</v>
      </c>
      <c r="J77" s="3">
        <f>Data!Q77</f>
        <v>0</v>
      </c>
      <c r="K77" s="3">
        <f>Data!J77+Data!P77</f>
        <v>4605.68</v>
      </c>
      <c r="L77" s="3">
        <f>Data!T77</f>
        <v>0</v>
      </c>
      <c r="M77" s="3">
        <f>ROUND(Data!AB77*$B$3,2)</f>
        <v>10389.77</v>
      </c>
      <c r="N77" s="3">
        <f>Data!U77</f>
        <v>0</v>
      </c>
      <c r="O77" s="3">
        <f t="shared" si="4"/>
        <v>134496.49</v>
      </c>
      <c r="P77" s="3">
        <f t="shared" si="5"/>
        <v>124106.72</v>
      </c>
      <c r="Q77" s="3">
        <f t="shared" si="6"/>
        <v>10389.77</v>
      </c>
    </row>
    <row r="78" spans="1:17" x14ac:dyDescent="0.2">
      <c r="A78" s="18">
        <v>238</v>
      </c>
      <c r="B78" s="18">
        <v>1</v>
      </c>
      <c r="C78" s="3" t="s">
        <v>74</v>
      </c>
      <c r="D78" s="3">
        <f>ROUND(Data!AA78*$B$3,2)</f>
        <v>72808.03</v>
      </c>
      <c r="E78" s="3">
        <f>MAX(0,Data!AD78-Data!Y78)</f>
        <v>92678.62000000001</v>
      </c>
      <c r="F78" s="3">
        <f>Data!Y78</f>
        <v>54421.05</v>
      </c>
      <c r="G78" s="3">
        <f>Data!X78</f>
        <v>0</v>
      </c>
      <c r="H78" s="3">
        <f>Data!K78+Data!R78</f>
        <v>14270.69</v>
      </c>
      <c r="I78" s="3">
        <f>Data!I78+Data!L78+Data!M78+Data!N78+Data!O78+Data!S78</f>
        <v>0</v>
      </c>
      <c r="J78" s="3">
        <f>Data!Q78</f>
        <v>0</v>
      </c>
      <c r="K78" s="3">
        <f>Data!J78+Data!P78</f>
        <v>6542.74</v>
      </c>
      <c r="L78" s="3">
        <f>Data!T78</f>
        <v>0</v>
      </c>
      <c r="M78" s="3">
        <f>ROUND(Data!AB78*$B$3,2)</f>
        <v>8945.1</v>
      </c>
      <c r="N78" s="3">
        <f>Data!U78</f>
        <v>0</v>
      </c>
      <c r="O78" s="3">
        <f t="shared" si="4"/>
        <v>249666.23</v>
      </c>
      <c r="P78" s="3">
        <f t="shared" si="5"/>
        <v>240721.13</v>
      </c>
      <c r="Q78" s="3">
        <f t="shared" si="6"/>
        <v>8945.1</v>
      </c>
    </row>
    <row r="79" spans="1:17" x14ac:dyDescent="0.2">
      <c r="A79" s="18">
        <v>239</v>
      </c>
      <c r="B79" s="18">
        <v>1</v>
      </c>
      <c r="C79" s="3" t="s">
        <v>75</v>
      </c>
      <c r="D79" s="3">
        <f>ROUND(Data!AA79*$B$3,2)</f>
        <v>166716.59</v>
      </c>
      <c r="E79" s="3">
        <f>MAX(0,Data!AD79-Data!Y79)</f>
        <v>234234.41000000003</v>
      </c>
      <c r="F79" s="3">
        <f>Data!Y79</f>
        <v>35288.620000000003</v>
      </c>
      <c r="G79" s="3">
        <f>Data!X79</f>
        <v>0</v>
      </c>
      <c r="H79" s="3">
        <f>Data!K79+Data!R79</f>
        <v>17417.649999999998</v>
      </c>
      <c r="I79" s="3">
        <f>Data!I79+Data!L79+Data!M79+Data!N79+Data!O79+Data!S79</f>
        <v>0</v>
      </c>
      <c r="J79" s="3">
        <f>Data!Q79</f>
        <v>0</v>
      </c>
      <c r="K79" s="3">
        <f>Data!J79+Data!P79</f>
        <v>12236.46</v>
      </c>
      <c r="L79" s="3">
        <f>Data!T79</f>
        <v>0</v>
      </c>
      <c r="M79" s="3">
        <f>ROUND(Data!AB79*$B$3,2)</f>
        <v>21581.63</v>
      </c>
      <c r="N79" s="3">
        <f>Data!U79</f>
        <v>0</v>
      </c>
      <c r="O79" s="3">
        <f t="shared" si="4"/>
        <v>487475.36000000004</v>
      </c>
      <c r="P79" s="3">
        <f t="shared" si="5"/>
        <v>465893.73000000004</v>
      </c>
      <c r="Q79" s="3">
        <f t="shared" si="6"/>
        <v>21581.63</v>
      </c>
    </row>
    <row r="80" spans="1:17" x14ac:dyDescent="0.2">
      <c r="A80" s="18">
        <v>241</v>
      </c>
      <c r="B80" s="18">
        <v>1</v>
      </c>
      <c r="C80" s="3" t="s">
        <v>76</v>
      </c>
      <c r="D80" s="3">
        <f>ROUND(Data!AA80*$B$3,2)</f>
        <v>657156.48</v>
      </c>
      <c r="E80" s="3">
        <f>MAX(0,Data!AD80-Data!Y80)</f>
        <v>1326064.6199999999</v>
      </c>
      <c r="F80" s="3">
        <f>Data!Y80</f>
        <v>174209.52</v>
      </c>
      <c r="G80" s="3">
        <f>Data!X80</f>
        <v>60901.47</v>
      </c>
      <c r="H80" s="3">
        <f>Data!K80+Data!R80</f>
        <v>85970.84</v>
      </c>
      <c r="I80" s="3">
        <f>Data!I80+Data!L80+Data!M80+Data!N80+Data!O80+Data!S80</f>
        <v>0</v>
      </c>
      <c r="J80" s="3">
        <f>Data!Q80</f>
        <v>0</v>
      </c>
      <c r="K80" s="3">
        <f>Data!J80+Data!P80</f>
        <v>65267.34</v>
      </c>
      <c r="L80" s="3">
        <f>Data!T80</f>
        <v>0</v>
      </c>
      <c r="M80" s="3">
        <f>ROUND(Data!AB80*$B$3,2)</f>
        <v>100855.6</v>
      </c>
      <c r="N80" s="3">
        <f>Data!U80</f>
        <v>0</v>
      </c>
      <c r="O80" s="3">
        <f t="shared" si="4"/>
        <v>2470425.8699999996</v>
      </c>
      <c r="P80" s="3">
        <f t="shared" si="5"/>
        <v>2369570.2699999996</v>
      </c>
      <c r="Q80" s="3">
        <f t="shared" si="6"/>
        <v>100855.6</v>
      </c>
    </row>
    <row r="81" spans="1:17" x14ac:dyDescent="0.2">
      <c r="A81" s="18">
        <v>242</v>
      </c>
      <c r="B81" s="18">
        <v>1</v>
      </c>
      <c r="C81" s="3" t="s">
        <v>77</v>
      </c>
      <c r="D81" s="3">
        <f>ROUND(Data!AA81*$B$3,2)</f>
        <v>103354.5</v>
      </c>
      <c r="E81" s="3">
        <f>MAX(0,Data!AD81-Data!Y81)</f>
        <v>3543.2999999999993</v>
      </c>
      <c r="F81" s="3">
        <f>Data!Y81</f>
        <v>29849.06</v>
      </c>
      <c r="G81" s="3">
        <f>Data!X81</f>
        <v>4788.6099999999997</v>
      </c>
      <c r="H81" s="3">
        <f>Data!K81+Data!R81</f>
        <v>11665.08</v>
      </c>
      <c r="I81" s="3">
        <f>Data!I81+Data!L81+Data!M81+Data!N81+Data!O81+Data!S81</f>
        <v>0</v>
      </c>
      <c r="J81" s="3">
        <f>Data!Q81</f>
        <v>0</v>
      </c>
      <c r="K81" s="3">
        <f>Data!J81+Data!P81</f>
        <v>529.09000000000015</v>
      </c>
      <c r="L81" s="3">
        <f>Data!T81</f>
        <v>0</v>
      </c>
      <c r="M81" s="3">
        <f>ROUND(Data!AB81*$B$3,2)</f>
        <v>8772.7900000000009</v>
      </c>
      <c r="N81" s="3">
        <f>Data!U81</f>
        <v>0</v>
      </c>
      <c r="O81" s="3">
        <f t="shared" si="4"/>
        <v>162502.43</v>
      </c>
      <c r="P81" s="3">
        <f t="shared" si="5"/>
        <v>153729.63999999998</v>
      </c>
      <c r="Q81" s="3">
        <f t="shared" si="6"/>
        <v>8772.7900000000009</v>
      </c>
    </row>
    <row r="82" spans="1:17" x14ac:dyDescent="0.2">
      <c r="A82" s="18">
        <v>252</v>
      </c>
      <c r="B82" s="18">
        <v>1</v>
      </c>
      <c r="C82" s="3" t="s">
        <v>78</v>
      </c>
      <c r="D82" s="3">
        <f>ROUND(Data!AA82*$B$3,2)</f>
        <v>226399.86</v>
      </c>
      <c r="E82" s="3">
        <f>MAX(0,Data!AD82-Data!Y82)</f>
        <v>244680.12</v>
      </c>
      <c r="F82" s="3">
        <f>Data!Y82</f>
        <v>104497.76</v>
      </c>
      <c r="G82" s="3">
        <f>Data!X82</f>
        <v>0</v>
      </c>
      <c r="H82" s="3">
        <f>Data!K82+Data!R82</f>
        <v>29027.54</v>
      </c>
      <c r="I82" s="3">
        <f>Data!I82+Data!L82+Data!M82+Data!N82+Data!O82+Data!S82</f>
        <v>0</v>
      </c>
      <c r="J82" s="3">
        <f>Data!Q82</f>
        <v>0</v>
      </c>
      <c r="K82" s="3">
        <f>Data!J82+Data!P82</f>
        <v>6433.12</v>
      </c>
      <c r="L82" s="3">
        <f>Data!T82</f>
        <v>0</v>
      </c>
      <c r="M82" s="3">
        <f>ROUND(Data!AB82*$B$3,2)</f>
        <v>74228.72</v>
      </c>
      <c r="N82" s="3">
        <f>Data!U82</f>
        <v>0</v>
      </c>
      <c r="O82" s="3">
        <f t="shared" si="4"/>
        <v>685267.12</v>
      </c>
      <c r="P82" s="3">
        <f t="shared" si="5"/>
        <v>611038.4</v>
      </c>
      <c r="Q82" s="3">
        <f t="shared" si="6"/>
        <v>74228.72</v>
      </c>
    </row>
    <row r="83" spans="1:17" x14ac:dyDescent="0.2">
      <c r="A83" s="18">
        <v>253</v>
      </c>
      <c r="B83" s="18">
        <v>1</v>
      </c>
      <c r="C83" s="3" t="s">
        <v>79</v>
      </c>
      <c r="D83" s="3">
        <f>ROUND(Data!AA83*$B$3,2)</f>
        <v>93340.73</v>
      </c>
      <c r="E83" s="3">
        <f>MAX(0,Data!AD83-Data!Y83)</f>
        <v>65746.509999999995</v>
      </c>
      <c r="F83" s="3">
        <f>Data!Y83</f>
        <v>32550.880000000001</v>
      </c>
      <c r="G83" s="3">
        <f>Data!X83</f>
        <v>2374.9299999999998</v>
      </c>
      <c r="H83" s="3">
        <f>Data!K83+Data!R83</f>
        <v>15783.869999999999</v>
      </c>
      <c r="I83" s="3">
        <f>Data!I83+Data!L83+Data!M83+Data!N83+Data!O83+Data!S83</f>
        <v>0</v>
      </c>
      <c r="J83" s="3">
        <f>Data!Q83</f>
        <v>0</v>
      </c>
      <c r="K83" s="3">
        <f>Data!J83+Data!P83</f>
        <v>15537.08</v>
      </c>
      <c r="L83" s="3">
        <f>Data!T83</f>
        <v>0</v>
      </c>
      <c r="M83" s="3">
        <f>ROUND(Data!AB83*$B$3,2)</f>
        <v>18998.71</v>
      </c>
      <c r="N83" s="3">
        <f>Data!U83</f>
        <v>0</v>
      </c>
      <c r="O83" s="3">
        <f t="shared" si="4"/>
        <v>244332.70999999996</v>
      </c>
      <c r="P83" s="3">
        <f t="shared" si="5"/>
        <v>225333.99999999997</v>
      </c>
      <c r="Q83" s="3">
        <f t="shared" si="6"/>
        <v>18998.71</v>
      </c>
    </row>
    <row r="84" spans="1:17" x14ac:dyDescent="0.2">
      <c r="A84" s="18">
        <v>255</v>
      </c>
      <c r="B84" s="18">
        <v>1</v>
      </c>
      <c r="C84" s="3" t="s">
        <v>80</v>
      </c>
      <c r="D84" s="3">
        <f>ROUND(Data!AA84*$B$3,2)</f>
        <v>311439.3</v>
      </c>
      <c r="E84" s="3">
        <f>MAX(0,Data!AD84-Data!Y84)</f>
        <v>282264.09000000003</v>
      </c>
      <c r="F84" s="3">
        <f>Data!Y84</f>
        <v>52187.99</v>
      </c>
      <c r="G84" s="3">
        <f>Data!X84</f>
        <v>0</v>
      </c>
      <c r="H84" s="3">
        <f>Data!K84+Data!R84</f>
        <v>39407.94</v>
      </c>
      <c r="I84" s="3">
        <f>Data!I84+Data!L84+Data!M84+Data!N84+Data!O84+Data!S84</f>
        <v>0</v>
      </c>
      <c r="J84" s="3">
        <f>Data!Q84</f>
        <v>0</v>
      </c>
      <c r="K84" s="3">
        <f>Data!J84+Data!P84</f>
        <v>27849.45</v>
      </c>
      <c r="L84" s="3">
        <f>Data!T84</f>
        <v>0</v>
      </c>
      <c r="M84" s="3">
        <f>ROUND(Data!AB84*$B$3,2)</f>
        <v>73096.83</v>
      </c>
      <c r="N84" s="3">
        <f>Data!U84</f>
        <v>0</v>
      </c>
      <c r="O84" s="3">
        <f t="shared" si="4"/>
        <v>786245.6</v>
      </c>
      <c r="P84" s="3">
        <f t="shared" si="5"/>
        <v>713148.77</v>
      </c>
      <c r="Q84" s="3">
        <f t="shared" si="6"/>
        <v>73096.83</v>
      </c>
    </row>
    <row r="85" spans="1:17" x14ac:dyDescent="0.2">
      <c r="A85" s="18">
        <v>256</v>
      </c>
      <c r="B85" s="18">
        <v>1</v>
      </c>
      <c r="C85" s="3" t="s">
        <v>81</v>
      </c>
      <c r="D85" s="3">
        <f>ROUND(Data!AA85*$B$3,2)</f>
        <v>794679.19</v>
      </c>
      <c r="E85" s="3">
        <f>MAX(0,Data!AD85-Data!Y85)</f>
        <v>1531088.64</v>
      </c>
      <c r="F85" s="3">
        <f>Data!Y85</f>
        <v>431418.24</v>
      </c>
      <c r="G85" s="3">
        <f>Data!X85</f>
        <v>7931.62</v>
      </c>
      <c r="H85" s="3">
        <f>Data!K85+Data!R85</f>
        <v>73406.210000000006</v>
      </c>
      <c r="I85" s="3">
        <f>Data!I85+Data!L85+Data!M85+Data!N85+Data!O85+Data!S85</f>
        <v>0</v>
      </c>
      <c r="J85" s="3">
        <f>Data!Q85</f>
        <v>0</v>
      </c>
      <c r="K85" s="3">
        <f>Data!J85+Data!P85</f>
        <v>29579.809999999998</v>
      </c>
      <c r="L85" s="3">
        <f>Data!T85</f>
        <v>0</v>
      </c>
      <c r="M85" s="3">
        <f>ROUND(Data!AB85*$B$3,2)</f>
        <v>153147.35</v>
      </c>
      <c r="N85" s="3">
        <f>Data!U85</f>
        <v>0</v>
      </c>
      <c r="O85" s="3">
        <f t="shared" si="4"/>
        <v>3021251.0600000005</v>
      </c>
      <c r="P85" s="3">
        <f t="shared" si="5"/>
        <v>2868103.7100000004</v>
      </c>
      <c r="Q85" s="3">
        <f t="shared" si="6"/>
        <v>153147.35</v>
      </c>
    </row>
    <row r="86" spans="1:17" x14ac:dyDescent="0.2">
      <c r="A86" s="18">
        <v>261</v>
      </c>
      <c r="B86" s="18">
        <v>1</v>
      </c>
      <c r="C86" s="3" t="s">
        <v>82</v>
      </c>
      <c r="D86" s="3">
        <f>ROUND(Data!AA86*$B$3,2)</f>
        <v>44791.29</v>
      </c>
      <c r="E86" s="3">
        <f>MAX(0,Data!AD86-Data!Y86)</f>
        <v>122442.35</v>
      </c>
      <c r="F86" s="3">
        <f>Data!Y86</f>
        <v>0</v>
      </c>
      <c r="G86" s="3">
        <f>Data!X86</f>
        <v>0</v>
      </c>
      <c r="H86" s="3">
        <f>Data!K86+Data!R86</f>
        <v>11665.08</v>
      </c>
      <c r="I86" s="3">
        <f>Data!I86+Data!L86+Data!M86+Data!N86+Data!O86+Data!S86</f>
        <v>0</v>
      </c>
      <c r="J86" s="3">
        <f>Data!Q86</f>
        <v>0</v>
      </c>
      <c r="K86" s="3">
        <f>Data!J86+Data!P86</f>
        <v>2879.63</v>
      </c>
      <c r="L86" s="3">
        <f>Data!T86</f>
        <v>0</v>
      </c>
      <c r="M86" s="3">
        <f>ROUND(Data!AB86*$B$3,2)</f>
        <v>8638.0499999999993</v>
      </c>
      <c r="N86" s="3">
        <f>Data!U86</f>
        <v>0</v>
      </c>
      <c r="O86" s="3">
        <f t="shared" si="4"/>
        <v>190416.4</v>
      </c>
      <c r="P86" s="3">
        <f t="shared" si="5"/>
        <v>181778.35</v>
      </c>
      <c r="Q86" s="3">
        <f t="shared" si="6"/>
        <v>8638.0499999999993</v>
      </c>
    </row>
    <row r="87" spans="1:17" x14ac:dyDescent="0.2">
      <c r="A87" s="18">
        <v>264</v>
      </c>
      <c r="B87" s="18">
        <v>1</v>
      </c>
      <c r="C87" s="3" t="s">
        <v>83</v>
      </c>
      <c r="D87" s="3">
        <f>ROUND(Data!AA87*$B$3,2)</f>
        <v>21116.67</v>
      </c>
      <c r="E87" s="3">
        <f>MAX(0,Data!AD87-Data!Y87)</f>
        <v>0</v>
      </c>
      <c r="F87" s="3">
        <f>Data!Y87</f>
        <v>122971.08</v>
      </c>
      <c r="G87" s="3">
        <f>Data!X87</f>
        <v>0</v>
      </c>
      <c r="H87" s="3">
        <f>Data!K87+Data!R87</f>
        <v>10453.049999999999</v>
      </c>
      <c r="I87" s="3">
        <f>Data!I87+Data!L87+Data!M87+Data!N87+Data!O87+Data!S87</f>
        <v>0</v>
      </c>
      <c r="J87" s="3">
        <f>Data!Q87</f>
        <v>0</v>
      </c>
      <c r="K87" s="3">
        <f>Data!J87+Data!P87</f>
        <v>877</v>
      </c>
      <c r="L87" s="3">
        <f>Data!T87</f>
        <v>0</v>
      </c>
      <c r="M87" s="3">
        <f>ROUND(Data!AB87*$B$3,2)</f>
        <v>10294.209999999999</v>
      </c>
      <c r="N87" s="3">
        <f>Data!U87</f>
        <v>0</v>
      </c>
      <c r="O87" s="3">
        <f t="shared" si="4"/>
        <v>165712.00999999998</v>
      </c>
      <c r="P87" s="3">
        <f t="shared" si="5"/>
        <v>155417.79999999999</v>
      </c>
      <c r="Q87" s="3">
        <f t="shared" si="6"/>
        <v>10294.209999999999</v>
      </c>
    </row>
    <row r="88" spans="1:17" x14ac:dyDescent="0.2">
      <c r="A88" s="18">
        <v>270</v>
      </c>
      <c r="B88" s="18">
        <v>1</v>
      </c>
      <c r="C88" s="3" t="s">
        <v>84</v>
      </c>
      <c r="D88" s="3">
        <f>ROUND(Data!AA88*$B$3,2)</f>
        <v>5426101.04</v>
      </c>
      <c r="E88" s="3">
        <f>MAX(0,Data!AD88-Data!Y88)</f>
        <v>2994170.07</v>
      </c>
      <c r="F88" s="3">
        <f>Data!Y88</f>
        <v>4134654.98</v>
      </c>
      <c r="G88" s="3">
        <f>Data!X88</f>
        <v>0</v>
      </c>
      <c r="H88" s="3">
        <f>Data!K88+Data!R88</f>
        <v>172275.82</v>
      </c>
      <c r="I88" s="3">
        <f>Data!I88+Data!L88+Data!M88+Data!N88+Data!O88+Data!S88</f>
        <v>0</v>
      </c>
      <c r="J88" s="3">
        <f>Data!Q88</f>
        <v>0</v>
      </c>
      <c r="K88" s="3">
        <f>Data!J88+Data!P88</f>
        <v>110312.83</v>
      </c>
      <c r="L88" s="3">
        <f>Data!T88</f>
        <v>0</v>
      </c>
      <c r="M88" s="3">
        <f>ROUND(Data!AB88*$B$3,2)</f>
        <v>660383.68000000005</v>
      </c>
      <c r="N88" s="3">
        <f>Data!U88</f>
        <v>0</v>
      </c>
      <c r="O88" s="3">
        <f t="shared" si="4"/>
        <v>13497898.42</v>
      </c>
      <c r="P88" s="3">
        <f t="shared" si="5"/>
        <v>12837514.74</v>
      </c>
      <c r="Q88" s="3">
        <f t="shared" si="6"/>
        <v>660383.68000000005</v>
      </c>
    </row>
    <row r="89" spans="1:17" x14ac:dyDescent="0.2">
      <c r="A89" s="18">
        <v>271</v>
      </c>
      <c r="B89" s="18">
        <v>1</v>
      </c>
      <c r="C89" s="3" t="s">
        <v>85</v>
      </c>
      <c r="D89" s="3">
        <f>ROUND(Data!AA89*$B$3,2)</f>
        <v>5582277.8600000003</v>
      </c>
      <c r="E89" s="3">
        <f>MAX(0,Data!AD89-Data!Y89)</f>
        <v>5722270.8200000003</v>
      </c>
      <c r="F89" s="3">
        <f>Data!Y89</f>
        <v>3892764.24</v>
      </c>
      <c r="G89" s="3">
        <f>Data!X89</f>
        <v>0</v>
      </c>
      <c r="H89" s="3">
        <f>Data!K89+Data!R89</f>
        <v>234101.62</v>
      </c>
      <c r="I89" s="3">
        <f>Data!I89+Data!L89+Data!M89+Data!N89+Data!O89+Data!S89</f>
        <v>0</v>
      </c>
      <c r="J89" s="3">
        <f>Data!Q89</f>
        <v>0</v>
      </c>
      <c r="K89" s="3">
        <f>Data!J89+Data!P89</f>
        <v>229183.2</v>
      </c>
      <c r="L89" s="3">
        <f>Data!T89</f>
        <v>0</v>
      </c>
      <c r="M89" s="3">
        <f>ROUND(Data!AB89*$B$3,2)</f>
        <v>778725.42</v>
      </c>
      <c r="N89" s="3">
        <f>Data!U89</f>
        <v>0</v>
      </c>
      <c r="O89" s="3">
        <f t="shared" si="4"/>
        <v>16439323.159999998</v>
      </c>
      <c r="P89" s="3">
        <f t="shared" si="5"/>
        <v>15660597.739999998</v>
      </c>
      <c r="Q89" s="3">
        <f t="shared" si="6"/>
        <v>778725.42</v>
      </c>
    </row>
    <row r="90" spans="1:17" x14ac:dyDescent="0.2">
      <c r="A90" s="18">
        <v>272</v>
      </c>
      <c r="B90" s="18">
        <v>1</v>
      </c>
      <c r="C90" s="3" t="s">
        <v>86</v>
      </c>
      <c r="D90" s="3">
        <f>ROUND(Data!AA90*$B$3,2)</f>
        <v>6022168.29</v>
      </c>
      <c r="E90" s="3">
        <f>MAX(0,Data!AD90-Data!Y90)</f>
        <v>2893346.6799999997</v>
      </c>
      <c r="F90" s="3">
        <f>Data!Y90</f>
        <v>3383760.71</v>
      </c>
      <c r="G90" s="3">
        <f>Data!X90</f>
        <v>116982.81</v>
      </c>
      <c r="H90" s="3">
        <f>Data!K90+Data!R90</f>
        <v>231654.54</v>
      </c>
      <c r="I90" s="3">
        <f>Data!I90+Data!L90+Data!M90+Data!N90+Data!O90+Data!S90</f>
        <v>0</v>
      </c>
      <c r="J90" s="3">
        <f>Data!Q90</f>
        <v>0</v>
      </c>
      <c r="K90" s="3">
        <f>Data!J90+Data!P90</f>
        <v>319853.06</v>
      </c>
      <c r="L90" s="3">
        <f>Data!T90</f>
        <v>0</v>
      </c>
      <c r="M90" s="3">
        <f>ROUND(Data!AB90*$B$3,2)</f>
        <v>622655.5</v>
      </c>
      <c r="N90" s="3">
        <f>Data!U90</f>
        <v>0</v>
      </c>
      <c r="O90" s="3">
        <f t="shared" si="4"/>
        <v>13590421.59</v>
      </c>
      <c r="P90" s="3">
        <f t="shared" si="5"/>
        <v>12967766.09</v>
      </c>
      <c r="Q90" s="3">
        <f t="shared" si="6"/>
        <v>622655.5</v>
      </c>
    </row>
    <row r="91" spans="1:17" x14ac:dyDescent="0.2">
      <c r="A91" s="18">
        <v>273</v>
      </c>
      <c r="B91" s="18">
        <v>1</v>
      </c>
      <c r="C91" s="3" t="s">
        <v>87</v>
      </c>
      <c r="D91" s="3">
        <f>ROUND(Data!AA91*$B$3,2)</f>
        <v>5793378.2699999996</v>
      </c>
      <c r="E91" s="3">
        <f>MAX(0,Data!AD91-Data!Y91)</f>
        <v>4276069.6999999993</v>
      </c>
      <c r="F91" s="3">
        <f>Data!Y91</f>
        <v>3617532.85</v>
      </c>
      <c r="G91" s="3">
        <f>Data!X91</f>
        <v>0</v>
      </c>
      <c r="H91" s="3">
        <f>Data!K91+Data!R91</f>
        <v>52218.54</v>
      </c>
      <c r="I91" s="3">
        <f>Data!I91+Data!L91+Data!M91+Data!N91+Data!O91+Data!S91</f>
        <v>0</v>
      </c>
      <c r="J91" s="3">
        <f>Data!Q91</f>
        <v>0</v>
      </c>
      <c r="K91" s="3">
        <f>Data!J91+Data!P91</f>
        <v>253733.47999999998</v>
      </c>
      <c r="L91" s="3">
        <f>Data!T91</f>
        <v>0</v>
      </c>
      <c r="M91" s="3">
        <f>ROUND(Data!AB91*$B$3,2)</f>
        <v>511846.49</v>
      </c>
      <c r="N91" s="3">
        <f>Data!U91</f>
        <v>0</v>
      </c>
      <c r="O91" s="3">
        <f t="shared" si="4"/>
        <v>14504779.329999998</v>
      </c>
      <c r="P91" s="3">
        <f t="shared" si="5"/>
        <v>13992932.839999998</v>
      </c>
      <c r="Q91" s="3">
        <f t="shared" si="6"/>
        <v>511846.49</v>
      </c>
    </row>
    <row r="92" spans="1:17" x14ac:dyDescent="0.2">
      <c r="A92" s="18">
        <v>276</v>
      </c>
      <c r="B92" s="18">
        <v>1</v>
      </c>
      <c r="C92" s="3" t="s">
        <v>88</v>
      </c>
      <c r="D92" s="3">
        <f>ROUND(Data!AA92*$B$3,2)</f>
        <v>5013929.72</v>
      </c>
      <c r="E92" s="3">
        <f>MAX(0,Data!AD92-Data!Y92)</f>
        <v>3626618.2700000005</v>
      </c>
      <c r="F92" s="3">
        <f>Data!Y92</f>
        <v>3991123.96</v>
      </c>
      <c r="G92" s="3">
        <f>Data!X92</f>
        <v>0</v>
      </c>
      <c r="H92" s="3">
        <f>Data!K92+Data!R92</f>
        <v>148298.38</v>
      </c>
      <c r="I92" s="3">
        <f>Data!I92+Data!L92+Data!M92+Data!N92+Data!O92+Data!S92</f>
        <v>35674.68</v>
      </c>
      <c r="J92" s="3">
        <f>Data!Q92</f>
        <v>0</v>
      </c>
      <c r="K92" s="3">
        <f>Data!J92+Data!P92</f>
        <v>159722.9</v>
      </c>
      <c r="L92" s="3">
        <f>Data!T92</f>
        <v>0</v>
      </c>
      <c r="M92" s="3">
        <f>ROUND(Data!AB92*$B$3,2)</f>
        <v>474493.32</v>
      </c>
      <c r="N92" s="3">
        <f>Data!U92</f>
        <v>0</v>
      </c>
      <c r="O92" s="3">
        <f t="shared" si="4"/>
        <v>13449861.23</v>
      </c>
      <c r="P92" s="3">
        <f t="shared" si="5"/>
        <v>12975367.91</v>
      </c>
      <c r="Q92" s="3">
        <f t="shared" si="6"/>
        <v>474493.32</v>
      </c>
    </row>
    <row r="93" spans="1:17" x14ac:dyDescent="0.2">
      <c r="A93" s="18">
        <v>277</v>
      </c>
      <c r="B93" s="18">
        <v>1</v>
      </c>
      <c r="C93" s="3" t="s">
        <v>89</v>
      </c>
      <c r="D93" s="3">
        <f>ROUND(Data!AA93*$B$3,2)</f>
        <v>1014325.5</v>
      </c>
      <c r="E93" s="3">
        <f>MAX(0,Data!AD93-Data!Y93)</f>
        <v>1356469.32</v>
      </c>
      <c r="F93" s="3">
        <f>Data!Y93</f>
        <v>856488.26</v>
      </c>
      <c r="G93" s="3">
        <f>Data!X93</f>
        <v>0</v>
      </c>
      <c r="H93" s="3">
        <f>Data!K93+Data!R93</f>
        <v>31703.14</v>
      </c>
      <c r="I93" s="3">
        <f>Data!I93+Data!L93+Data!M93+Data!N93+Data!O93+Data!S93</f>
        <v>0</v>
      </c>
      <c r="J93" s="3">
        <f>Data!Q93</f>
        <v>0</v>
      </c>
      <c r="K93" s="3">
        <f>Data!J93+Data!P93</f>
        <v>24982.01</v>
      </c>
      <c r="L93" s="3">
        <f>Data!T93</f>
        <v>0</v>
      </c>
      <c r="M93" s="3">
        <f>ROUND(Data!AB93*$B$3,2)</f>
        <v>211072.2</v>
      </c>
      <c r="N93" s="3">
        <f>Data!U93</f>
        <v>0</v>
      </c>
      <c r="O93" s="3">
        <f t="shared" si="4"/>
        <v>3495040.43</v>
      </c>
      <c r="P93" s="3">
        <f t="shared" si="5"/>
        <v>3283968.23</v>
      </c>
      <c r="Q93" s="3">
        <f t="shared" si="6"/>
        <v>211072.2</v>
      </c>
    </row>
    <row r="94" spans="1:17" x14ac:dyDescent="0.2">
      <c r="A94" s="18">
        <v>278</v>
      </c>
      <c r="B94" s="18">
        <v>1</v>
      </c>
      <c r="C94" s="3" t="s">
        <v>90</v>
      </c>
      <c r="D94" s="3">
        <f>ROUND(Data!AA94*$B$3,2)</f>
        <v>1304949.94</v>
      </c>
      <c r="E94" s="3">
        <f>MAX(0,Data!AD94-Data!Y94)</f>
        <v>1061542.27</v>
      </c>
      <c r="F94" s="3">
        <f>Data!Y94</f>
        <v>887487.03</v>
      </c>
      <c r="G94" s="3">
        <f>Data!X94</f>
        <v>0</v>
      </c>
      <c r="H94" s="3">
        <f>Data!K94+Data!R94</f>
        <v>53453.4</v>
      </c>
      <c r="I94" s="3">
        <f>Data!I94+Data!L94+Data!M94+Data!N94+Data!O94+Data!S94</f>
        <v>0</v>
      </c>
      <c r="J94" s="3">
        <f>Data!Q94</f>
        <v>0</v>
      </c>
      <c r="K94" s="3">
        <f>Data!J94+Data!P94</f>
        <v>34460.82</v>
      </c>
      <c r="L94" s="3">
        <f>Data!T94</f>
        <v>0</v>
      </c>
      <c r="M94" s="3">
        <f>ROUND(Data!AB94*$B$3,2)</f>
        <v>134303.93</v>
      </c>
      <c r="N94" s="3">
        <f>Data!U94</f>
        <v>0</v>
      </c>
      <c r="O94" s="3">
        <f t="shared" si="4"/>
        <v>3476197.39</v>
      </c>
      <c r="P94" s="3">
        <f t="shared" si="5"/>
        <v>3341893.46</v>
      </c>
      <c r="Q94" s="3">
        <f t="shared" si="6"/>
        <v>134303.93</v>
      </c>
    </row>
    <row r="95" spans="1:17" x14ac:dyDescent="0.2">
      <c r="A95" s="18">
        <v>279</v>
      </c>
      <c r="B95" s="18">
        <v>1</v>
      </c>
      <c r="C95" s="3" t="s">
        <v>91</v>
      </c>
      <c r="D95" s="3">
        <f>ROUND(Data!AA95*$B$3,2)</f>
        <v>6849298.0499999998</v>
      </c>
      <c r="E95" s="3">
        <f>MAX(0,Data!AD95-Data!Y95)</f>
        <v>12685947.300000001</v>
      </c>
      <c r="F95" s="3">
        <f>Data!Y95</f>
        <v>3660705.88</v>
      </c>
      <c r="G95" s="3">
        <f>Data!X95</f>
        <v>0</v>
      </c>
      <c r="H95" s="3">
        <f>Data!K95+Data!R95</f>
        <v>468982.88</v>
      </c>
      <c r="I95" s="3">
        <f>Data!I95+Data!L95+Data!M95+Data!N95+Data!O95+Data!S95</f>
        <v>0</v>
      </c>
      <c r="J95" s="3">
        <f>Data!Q95</f>
        <v>0</v>
      </c>
      <c r="K95" s="3">
        <f>Data!J95+Data!P95</f>
        <v>372605.93</v>
      </c>
      <c r="L95" s="3">
        <f>Data!T95</f>
        <v>0</v>
      </c>
      <c r="M95" s="3">
        <f>ROUND(Data!AB95*$B$3,2)</f>
        <v>866943.8</v>
      </c>
      <c r="N95" s="3">
        <f>Data!U95</f>
        <v>0</v>
      </c>
      <c r="O95" s="3">
        <f t="shared" si="4"/>
        <v>24904483.84</v>
      </c>
      <c r="P95" s="3">
        <f t="shared" si="5"/>
        <v>24037540.039999999</v>
      </c>
      <c r="Q95" s="3">
        <f t="shared" si="6"/>
        <v>866943.8</v>
      </c>
    </row>
    <row r="96" spans="1:17" x14ac:dyDescent="0.2">
      <c r="A96" s="18">
        <v>280</v>
      </c>
      <c r="B96" s="18">
        <v>1</v>
      </c>
      <c r="C96" s="3" t="s">
        <v>92</v>
      </c>
      <c r="D96" s="3">
        <f>ROUND(Data!AA96*$B$3,2)</f>
        <v>2240667.44</v>
      </c>
      <c r="E96" s="3">
        <f>MAX(0,Data!AD96-Data!Y96)</f>
        <v>1621150.16</v>
      </c>
      <c r="F96" s="3">
        <f>Data!Y96</f>
        <v>1308442.53</v>
      </c>
      <c r="G96" s="3">
        <f>Data!X96</f>
        <v>0</v>
      </c>
      <c r="H96" s="3">
        <f>Data!K96+Data!R96</f>
        <v>93996.920000000013</v>
      </c>
      <c r="I96" s="3">
        <f>Data!I96+Data!L96+Data!M96+Data!N96+Data!O96+Data!S96</f>
        <v>66073.77</v>
      </c>
      <c r="J96" s="3">
        <f>Data!Q96</f>
        <v>0</v>
      </c>
      <c r="K96" s="3">
        <f>Data!J96+Data!P96</f>
        <v>94157.2</v>
      </c>
      <c r="L96" s="3">
        <f>Data!T96</f>
        <v>0</v>
      </c>
      <c r="M96" s="3">
        <f>ROUND(Data!AB96*$B$3,2)</f>
        <v>215317.6</v>
      </c>
      <c r="N96" s="3">
        <f>Data!U96</f>
        <v>0</v>
      </c>
      <c r="O96" s="3">
        <f t="shared" si="4"/>
        <v>5639805.6199999992</v>
      </c>
      <c r="P96" s="3">
        <f t="shared" si="5"/>
        <v>5424488.0199999996</v>
      </c>
      <c r="Q96" s="3">
        <f t="shared" si="6"/>
        <v>215317.6</v>
      </c>
    </row>
    <row r="97" spans="1:17" x14ac:dyDescent="0.2">
      <c r="A97" s="18">
        <v>281</v>
      </c>
      <c r="B97" s="18">
        <v>1</v>
      </c>
      <c r="C97" s="3" t="s">
        <v>93</v>
      </c>
      <c r="D97" s="3">
        <f>ROUND(Data!AA97*$B$3,2)</f>
        <v>4634648.41</v>
      </c>
      <c r="E97" s="3">
        <f>MAX(0,Data!AD97-Data!Y97)</f>
        <v>8218166.0199999996</v>
      </c>
      <c r="F97" s="3">
        <f>Data!Y97</f>
        <v>3392196.06</v>
      </c>
      <c r="G97" s="3">
        <f>Data!X97</f>
        <v>0</v>
      </c>
      <c r="H97" s="3">
        <f>Data!K97+Data!R97</f>
        <v>279189.46000000002</v>
      </c>
      <c r="I97" s="3">
        <f>Data!I97+Data!L97+Data!M97+Data!N97+Data!O97+Data!S97</f>
        <v>0</v>
      </c>
      <c r="J97" s="3">
        <f>Data!Q97</f>
        <v>0</v>
      </c>
      <c r="K97" s="3">
        <f>Data!J97+Data!P97</f>
        <v>497343.16000000003</v>
      </c>
      <c r="L97" s="3">
        <f>Data!T97</f>
        <v>0</v>
      </c>
      <c r="M97" s="3">
        <f>ROUND(Data!AB97*$B$3,2)</f>
        <v>878923.29</v>
      </c>
      <c r="N97" s="3">
        <f>Data!U97</f>
        <v>0</v>
      </c>
      <c r="O97" s="3">
        <f t="shared" si="4"/>
        <v>17900466.399999999</v>
      </c>
      <c r="P97" s="3">
        <f t="shared" si="5"/>
        <v>17021543.109999999</v>
      </c>
      <c r="Q97" s="3">
        <f t="shared" si="6"/>
        <v>878923.29</v>
      </c>
    </row>
    <row r="98" spans="1:17" x14ac:dyDescent="0.2">
      <c r="A98" s="18">
        <v>282</v>
      </c>
      <c r="B98" s="18">
        <v>1</v>
      </c>
      <c r="C98" s="3" t="s">
        <v>94</v>
      </c>
      <c r="D98" s="3">
        <f>ROUND(Data!AA98*$B$3,2)</f>
        <v>517439.64</v>
      </c>
      <c r="E98" s="3">
        <f>MAX(0,Data!AD98-Data!Y98)</f>
        <v>653592.35</v>
      </c>
      <c r="F98" s="3">
        <f>Data!Y98</f>
        <v>285410.61</v>
      </c>
      <c r="G98" s="3">
        <f>Data!X98</f>
        <v>0</v>
      </c>
      <c r="H98" s="3">
        <f>Data!K98+Data!R98</f>
        <v>15868.2</v>
      </c>
      <c r="I98" s="3">
        <f>Data!I98+Data!L98+Data!M98+Data!N98+Data!O98+Data!S98</f>
        <v>0</v>
      </c>
      <c r="J98" s="3">
        <f>Data!Q98</f>
        <v>0</v>
      </c>
      <c r="K98" s="3">
        <f>Data!J98+Data!P98</f>
        <v>25050.760000000002</v>
      </c>
      <c r="L98" s="3">
        <f>Data!T98</f>
        <v>0</v>
      </c>
      <c r="M98" s="3">
        <f>ROUND(Data!AB98*$B$3,2)</f>
        <v>84994.72</v>
      </c>
      <c r="N98" s="3">
        <f>Data!U98</f>
        <v>0</v>
      </c>
      <c r="O98" s="3">
        <f t="shared" si="4"/>
        <v>1582356.28</v>
      </c>
      <c r="P98" s="3">
        <f t="shared" si="5"/>
        <v>1497361.56</v>
      </c>
      <c r="Q98" s="3">
        <f t="shared" si="6"/>
        <v>84994.72</v>
      </c>
    </row>
    <row r="99" spans="1:17" x14ac:dyDescent="0.2">
      <c r="A99" s="18">
        <v>283</v>
      </c>
      <c r="B99" s="18">
        <v>1</v>
      </c>
      <c r="C99" s="3" t="s">
        <v>95</v>
      </c>
      <c r="D99" s="3">
        <f>ROUND(Data!AA99*$B$3,2)</f>
        <v>2454099.35</v>
      </c>
      <c r="E99" s="3">
        <f>MAX(0,Data!AD99-Data!Y99)</f>
        <v>2333712.3800000004</v>
      </c>
      <c r="F99" s="3">
        <f>Data!Y99</f>
        <v>2205291.65</v>
      </c>
      <c r="G99" s="3">
        <f>Data!X99</f>
        <v>0</v>
      </c>
      <c r="H99" s="3">
        <f>Data!K99+Data!R99</f>
        <v>89550.55</v>
      </c>
      <c r="I99" s="3">
        <f>Data!I99+Data!L99+Data!M99+Data!N99+Data!O99+Data!S99</f>
        <v>0</v>
      </c>
      <c r="J99" s="3">
        <f>Data!Q99</f>
        <v>0</v>
      </c>
      <c r="K99" s="3">
        <f>Data!J99+Data!P99</f>
        <v>181521.18</v>
      </c>
      <c r="L99" s="3">
        <f>Data!T99</f>
        <v>0</v>
      </c>
      <c r="M99" s="3">
        <f>ROUND(Data!AB99*$B$3,2)</f>
        <v>441075.19</v>
      </c>
      <c r="N99" s="3">
        <f>Data!U99</f>
        <v>0</v>
      </c>
      <c r="O99" s="3">
        <f t="shared" si="4"/>
        <v>7705250.3000000007</v>
      </c>
      <c r="P99" s="3">
        <f t="shared" si="5"/>
        <v>7264175.1100000003</v>
      </c>
      <c r="Q99" s="3">
        <f t="shared" si="6"/>
        <v>441075.19</v>
      </c>
    </row>
    <row r="100" spans="1:17" x14ac:dyDescent="0.2">
      <c r="A100" s="18">
        <v>284</v>
      </c>
      <c r="B100" s="18">
        <v>1</v>
      </c>
      <c r="C100" s="3" t="s">
        <v>96</v>
      </c>
      <c r="D100" s="3">
        <f>ROUND(Data!AA100*$B$3,2)</f>
        <v>7750769.5700000003</v>
      </c>
      <c r="E100" s="3">
        <f>MAX(0,Data!AD100-Data!Y100)</f>
        <v>5666593.7899999991</v>
      </c>
      <c r="F100" s="3">
        <f>Data!Y100</f>
        <v>3560480.14</v>
      </c>
      <c r="G100" s="3">
        <f>Data!X100</f>
        <v>0</v>
      </c>
      <c r="H100" s="3">
        <f>Data!K100+Data!R100</f>
        <v>228847.25</v>
      </c>
      <c r="I100" s="3">
        <f>Data!I100+Data!L100+Data!M100+Data!N100+Data!O100+Data!S100</f>
        <v>0</v>
      </c>
      <c r="J100" s="3">
        <f>Data!Q100</f>
        <v>-67828.14</v>
      </c>
      <c r="K100" s="3">
        <f>Data!J100+Data!P100</f>
        <v>67828.14</v>
      </c>
      <c r="L100" s="3">
        <f>Data!T100</f>
        <v>0</v>
      </c>
      <c r="M100" s="3">
        <f>ROUND(Data!AB100*$B$3,2)</f>
        <v>681372.17</v>
      </c>
      <c r="N100" s="3">
        <f>Data!U100</f>
        <v>0</v>
      </c>
      <c r="O100" s="3">
        <f t="shared" si="4"/>
        <v>17888062.920000002</v>
      </c>
      <c r="P100" s="3">
        <f t="shared" si="5"/>
        <v>17206690.75</v>
      </c>
      <c r="Q100" s="3">
        <f t="shared" si="6"/>
        <v>681372.17</v>
      </c>
    </row>
    <row r="101" spans="1:17" x14ac:dyDescent="0.2">
      <c r="A101" s="18">
        <v>286</v>
      </c>
      <c r="B101" s="18">
        <v>1</v>
      </c>
      <c r="C101" s="3" t="s">
        <v>97</v>
      </c>
      <c r="D101" s="3">
        <f>ROUND(Data!AA101*$B$3,2)</f>
        <v>473855.91</v>
      </c>
      <c r="E101" s="3">
        <f>MAX(0,Data!AD101-Data!Y101)</f>
        <v>0</v>
      </c>
      <c r="F101" s="3">
        <f>Data!Y101</f>
        <v>324009.17</v>
      </c>
      <c r="G101" s="3">
        <f>Data!X101</f>
        <v>53469.46</v>
      </c>
      <c r="H101" s="3">
        <f>Data!K101+Data!R101</f>
        <v>56782.409999999996</v>
      </c>
      <c r="I101" s="3">
        <f>Data!I101+Data!L101+Data!M101+Data!N101+Data!O101+Data!S101</f>
        <v>0</v>
      </c>
      <c r="J101" s="3">
        <f>Data!Q101</f>
        <v>0</v>
      </c>
      <c r="K101" s="3">
        <f>Data!J101+Data!P101</f>
        <v>26464.91</v>
      </c>
      <c r="L101" s="3">
        <f>Data!T101</f>
        <v>0</v>
      </c>
      <c r="M101" s="3">
        <f>ROUND(Data!AB101*$B$3,2)</f>
        <v>68581.960000000006</v>
      </c>
      <c r="N101" s="3">
        <f>Data!U101</f>
        <v>0</v>
      </c>
      <c r="O101" s="3">
        <f t="shared" si="4"/>
        <v>1003163.82</v>
      </c>
      <c r="P101" s="3">
        <f t="shared" si="5"/>
        <v>934581.86</v>
      </c>
      <c r="Q101" s="3">
        <f t="shared" si="6"/>
        <v>68581.960000000006</v>
      </c>
    </row>
    <row r="102" spans="1:17" x14ac:dyDescent="0.2">
      <c r="A102" s="18">
        <v>294</v>
      </c>
      <c r="B102" s="18">
        <v>1</v>
      </c>
      <c r="C102" s="3" t="s">
        <v>98</v>
      </c>
      <c r="D102" s="3">
        <f>ROUND(Data!AA102*$B$3,2)</f>
        <v>216653.45</v>
      </c>
      <c r="E102" s="3">
        <f>MAX(0,Data!AD102-Data!Y102)</f>
        <v>102404.72</v>
      </c>
      <c r="F102" s="3">
        <f>Data!Y102</f>
        <v>100737.93</v>
      </c>
      <c r="G102" s="3">
        <f>Data!X102</f>
        <v>0</v>
      </c>
      <c r="H102" s="3">
        <f>Data!K102+Data!R102</f>
        <v>0</v>
      </c>
      <c r="I102" s="3">
        <f>Data!I102+Data!L102+Data!M102+Data!N102+Data!O102+Data!S102</f>
        <v>0</v>
      </c>
      <c r="J102" s="3">
        <f>Data!Q102</f>
        <v>0</v>
      </c>
      <c r="K102" s="3">
        <f>Data!J102+Data!P102</f>
        <v>0</v>
      </c>
      <c r="L102" s="3">
        <f>Data!T102</f>
        <v>0</v>
      </c>
      <c r="M102" s="3">
        <f>ROUND(Data!AB102*$B$3,2)</f>
        <v>16786.439999999999</v>
      </c>
      <c r="N102" s="3">
        <f>Data!U102</f>
        <v>0</v>
      </c>
      <c r="O102" s="3">
        <f t="shared" si="4"/>
        <v>436582.54000000004</v>
      </c>
      <c r="P102" s="3">
        <f t="shared" si="5"/>
        <v>419796.10000000003</v>
      </c>
      <c r="Q102" s="3">
        <f t="shared" si="6"/>
        <v>16786.439999999999</v>
      </c>
    </row>
    <row r="103" spans="1:17" x14ac:dyDescent="0.2">
      <c r="A103" s="18">
        <v>297</v>
      </c>
      <c r="B103" s="18">
        <v>1</v>
      </c>
      <c r="C103" s="3" t="s">
        <v>99</v>
      </c>
      <c r="D103" s="3">
        <f>ROUND(Data!AA103*$B$3,2)</f>
        <v>63598.93</v>
      </c>
      <c r="E103" s="3">
        <f>MAX(0,Data!AD103-Data!Y103)</f>
        <v>133003.65999999997</v>
      </c>
      <c r="F103" s="3">
        <f>Data!Y103</f>
        <v>58342.8</v>
      </c>
      <c r="G103" s="3">
        <f>Data!X103</f>
        <v>2325.33</v>
      </c>
      <c r="H103" s="3">
        <f>Data!K103+Data!R103</f>
        <v>11665.08</v>
      </c>
      <c r="I103" s="3">
        <f>Data!I103+Data!L103+Data!M103+Data!N103+Data!O103+Data!S103</f>
        <v>0</v>
      </c>
      <c r="J103" s="3">
        <f>Data!Q103</f>
        <v>0</v>
      </c>
      <c r="K103" s="3">
        <f>Data!J103+Data!P103</f>
        <v>21036.59</v>
      </c>
      <c r="L103" s="3">
        <f>Data!T103</f>
        <v>0</v>
      </c>
      <c r="M103" s="3">
        <f>ROUND(Data!AB103*$B$3,2)</f>
        <v>11398.16</v>
      </c>
      <c r="N103" s="3">
        <f>Data!U103</f>
        <v>0</v>
      </c>
      <c r="O103" s="3">
        <f t="shared" si="4"/>
        <v>301370.54999999993</v>
      </c>
      <c r="P103" s="3">
        <f t="shared" si="5"/>
        <v>289972.38999999996</v>
      </c>
      <c r="Q103" s="3">
        <f t="shared" si="6"/>
        <v>11398.16</v>
      </c>
    </row>
    <row r="104" spans="1:17" x14ac:dyDescent="0.2">
      <c r="A104" s="18">
        <v>299</v>
      </c>
      <c r="B104" s="18">
        <v>1</v>
      </c>
      <c r="C104" s="3" t="s">
        <v>100</v>
      </c>
      <c r="D104" s="3">
        <f>ROUND(Data!AA104*$B$3,2)</f>
        <v>195306.15</v>
      </c>
      <c r="E104" s="3">
        <f>MAX(0,Data!AD104-Data!Y104)</f>
        <v>186610.78999999998</v>
      </c>
      <c r="F104" s="3">
        <f>Data!Y104</f>
        <v>48805.67</v>
      </c>
      <c r="G104" s="3">
        <f>Data!X104</f>
        <v>392.08</v>
      </c>
      <c r="H104" s="3">
        <f>Data!K104+Data!R104</f>
        <v>27077.13</v>
      </c>
      <c r="I104" s="3">
        <f>Data!I104+Data!L104+Data!M104+Data!N104+Data!O104+Data!S104</f>
        <v>0</v>
      </c>
      <c r="J104" s="3">
        <f>Data!Q104</f>
        <v>0</v>
      </c>
      <c r="K104" s="3">
        <f>Data!J104+Data!P104</f>
        <v>29026.28</v>
      </c>
      <c r="L104" s="3">
        <f>Data!T104</f>
        <v>0</v>
      </c>
      <c r="M104" s="3">
        <f>ROUND(Data!AB104*$B$3,2)</f>
        <v>34516.69</v>
      </c>
      <c r="N104" s="3">
        <f>Data!U104</f>
        <v>0</v>
      </c>
      <c r="O104" s="3">
        <f t="shared" si="4"/>
        <v>521734.79</v>
      </c>
      <c r="P104" s="3">
        <f t="shared" si="5"/>
        <v>487218.1</v>
      </c>
      <c r="Q104" s="3">
        <f t="shared" si="6"/>
        <v>34516.69</v>
      </c>
    </row>
    <row r="105" spans="1:17" x14ac:dyDescent="0.2">
      <c r="A105" s="18">
        <v>300</v>
      </c>
      <c r="B105" s="18">
        <v>1</v>
      </c>
      <c r="C105" s="3" t="s">
        <v>101</v>
      </c>
      <c r="D105" s="3">
        <f>ROUND(Data!AA105*$B$3,2)</f>
        <v>270410.27</v>
      </c>
      <c r="E105" s="3">
        <f>MAX(0,Data!AD105-Data!Y105)</f>
        <v>325401.79000000004</v>
      </c>
      <c r="F105" s="3">
        <f>Data!Y105</f>
        <v>46368.28</v>
      </c>
      <c r="G105" s="3">
        <f>Data!X105</f>
        <v>0</v>
      </c>
      <c r="H105" s="3">
        <f>Data!K105+Data!R105</f>
        <v>12621.05</v>
      </c>
      <c r="I105" s="3">
        <f>Data!I105+Data!L105+Data!M105+Data!N105+Data!O105+Data!S105</f>
        <v>0</v>
      </c>
      <c r="J105" s="3">
        <f>Data!Q105</f>
        <v>0</v>
      </c>
      <c r="K105" s="3">
        <f>Data!J105+Data!P105</f>
        <v>35780.21</v>
      </c>
      <c r="L105" s="3">
        <f>Data!T105</f>
        <v>0</v>
      </c>
      <c r="M105" s="3">
        <f>ROUND(Data!AB105*$B$3,2)</f>
        <v>72104.42</v>
      </c>
      <c r="N105" s="3">
        <f>Data!U105</f>
        <v>0</v>
      </c>
      <c r="O105" s="3">
        <f t="shared" si="4"/>
        <v>762686.02000000014</v>
      </c>
      <c r="P105" s="3">
        <f t="shared" si="5"/>
        <v>690581.60000000009</v>
      </c>
      <c r="Q105" s="3">
        <f t="shared" si="6"/>
        <v>72104.42</v>
      </c>
    </row>
    <row r="106" spans="1:17" x14ac:dyDescent="0.2">
      <c r="A106" s="18">
        <v>306</v>
      </c>
      <c r="B106" s="18">
        <v>1</v>
      </c>
      <c r="C106" s="3" t="s">
        <v>102</v>
      </c>
      <c r="D106" s="3">
        <f>ROUND(Data!AA106*$B$3,2)</f>
        <v>83871.42</v>
      </c>
      <c r="E106" s="3">
        <f>MAX(0,Data!AD106-Data!Y106)</f>
        <v>0</v>
      </c>
      <c r="F106" s="3">
        <f>Data!Y106</f>
        <v>19117.21</v>
      </c>
      <c r="G106" s="3">
        <f>Data!X106</f>
        <v>566.32000000000005</v>
      </c>
      <c r="H106" s="3">
        <f>Data!K106+Data!R106</f>
        <v>11665.08</v>
      </c>
      <c r="I106" s="3">
        <f>Data!I106+Data!L106+Data!M106+Data!N106+Data!O106+Data!S106</f>
        <v>0</v>
      </c>
      <c r="J106" s="3">
        <f>Data!Q106</f>
        <v>0</v>
      </c>
      <c r="K106" s="3">
        <f>Data!J106+Data!P106</f>
        <v>9701.83</v>
      </c>
      <c r="L106" s="3">
        <f>Data!T106</f>
        <v>0</v>
      </c>
      <c r="M106" s="3">
        <f>ROUND(Data!AB106*$B$3,2)</f>
        <v>10842.77</v>
      </c>
      <c r="N106" s="3">
        <f>Data!U106</f>
        <v>0</v>
      </c>
      <c r="O106" s="3">
        <f t="shared" si="4"/>
        <v>135764.63</v>
      </c>
      <c r="P106" s="3">
        <f t="shared" si="5"/>
        <v>124921.86000000002</v>
      </c>
      <c r="Q106" s="3">
        <f t="shared" si="6"/>
        <v>10842.77</v>
      </c>
    </row>
    <row r="107" spans="1:17" x14ac:dyDescent="0.2">
      <c r="A107" s="18">
        <v>308</v>
      </c>
      <c r="B107" s="18">
        <v>1</v>
      </c>
      <c r="C107" s="3" t="s">
        <v>103</v>
      </c>
      <c r="D107" s="3">
        <f>ROUND(Data!AA107*$B$3,2)</f>
        <v>140854.28</v>
      </c>
      <c r="E107" s="3">
        <f>MAX(0,Data!AD107-Data!Y107)</f>
        <v>904.16000000000349</v>
      </c>
      <c r="F107" s="3">
        <f>Data!Y107</f>
        <v>39387.699999999997</v>
      </c>
      <c r="G107" s="3">
        <f>Data!X107</f>
        <v>6860.73</v>
      </c>
      <c r="H107" s="3">
        <f>Data!K107+Data!R107</f>
        <v>20351.88</v>
      </c>
      <c r="I107" s="3">
        <f>Data!I107+Data!L107+Data!M107+Data!N107+Data!O107+Data!S107</f>
        <v>0</v>
      </c>
      <c r="J107" s="3">
        <f>Data!Q107</f>
        <v>0</v>
      </c>
      <c r="K107" s="3">
        <f>Data!J107+Data!P107</f>
        <v>10773.59</v>
      </c>
      <c r="L107" s="3">
        <f>Data!T107</f>
        <v>0</v>
      </c>
      <c r="M107" s="3">
        <f>ROUND(Data!AB107*$B$3,2)</f>
        <v>20889.330000000002</v>
      </c>
      <c r="N107" s="3">
        <f>Data!U107</f>
        <v>0</v>
      </c>
      <c r="O107" s="3">
        <f t="shared" si="4"/>
        <v>240021.67000000004</v>
      </c>
      <c r="P107" s="3">
        <f t="shared" si="5"/>
        <v>219132.34000000003</v>
      </c>
      <c r="Q107" s="3">
        <f t="shared" si="6"/>
        <v>20889.330000000002</v>
      </c>
    </row>
    <row r="108" spans="1:17" x14ac:dyDescent="0.2">
      <c r="A108" s="18">
        <v>309</v>
      </c>
      <c r="B108" s="18">
        <v>1</v>
      </c>
      <c r="C108" s="3" t="s">
        <v>104</v>
      </c>
      <c r="D108" s="3">
        <f>ROUND(Data!AA108*$B$3,2)</f>
        <v>297548.03999999998</v>
      </c>
      <c r="E108" s="3">
        <f>MAX(0,Data!AD108-Data!Y108)</f>
        <v>348475.89</v>
      </c>
      <c r="F108" s="3">
        <f>Data!Y108</f>
        <v>90003.03</v>
      </c>
      <c r="G108" s="3">
        <f>Data!X108</f>
        <v>0</v>
      </c>
      <c r="H108" s="3">
        <f>Data!K108+Data!R108</f>
        <v>45864.9</v>
      </c>
      <c r="I108" s="3">
        <f>Data!I108+Data!L108+Data!M108+Data!N108+Data!O108+Data!S108</f>
        <v>0</v>
      </c>
      <c r="J108" s="3">
        <f>Data!Q108</f>
        <v>0</v>
      </c>
      <c r="K108" s="3">
        <f>Data!J108+Data!P108</f>
        <v>33324.97</v>
      </c>
      <c r="L108" s="3">
        <f>Data!T108</f>
        <v>0</v>
      </c>
      <c r="M108" s="3">
        <f>ROUND(Data!AB108*$B$3,2)</f>
        <v>92378.61</v>
      </c>
      <c r="N108" s="3">
        <f>Data!U108</f>
        <v>0</v>
      </c>
      <c r="O108" s="3">
        <f t="shared" si="4"/>
        <v>907595.44</v>
      </c>
      <c r="P108" s="3">
        <f t="shared" si="5"/>
        <v>815216.83</v>
      </c>
      <c r="Q108" s="3">
        <f t="shared" si="6"/>
        <v>92378.61</v>
      </c>
    </row>
    <row r="109" spans="1:17" x14ac:dyDescent="0.2">
      <c r="A109" s="18">
        <v>314</v>
      </c>
      <c r="B109" s="18">
        <v>1</v>
      </c>
      <c r="C109" s="3" t="s">
        <v>105</v>
      </c>
      <c r="D109" s="3">
        <f>ROUND(Data!AA109*$B$3,2)</f>
        <v>118734.72</v>
      </c>
      <c r="E109" s="3">
        <f>MAX(0,Data!AD109-Data!Y109)</f>
        <v>124688.25000000001</v>
      </c>
      <c r="F109" s="3">
        <f>Data!Y109</f>
        <v>43340.39</v>
      </c>
      <c r="G109" s="3">
        <f>Data!X109</f>
        <v>0</v>
      </c>
      <c r="H109" s="3">
        <f>Data!K109+Data!R109</f>
        <v>11665.08</v>
      </c>
      <c r="I109" s="3">
        <f>Data!I109+Data!L109+Data!M109+Data!N109+Data!O109+Data!S109</f>
        <v>0</v>
      </c>
      <c r="J109" s="3">
        <f>Data!Q109</f>
        <v>0</v>
      </c>
      <c r="K109" s="3">
        <f>Data!J109+Data!P109</f>
        <v>10351.450000000001</v>
      </c>
      <c r="L109" s="3">
        <f>Data!T109</f>
        <v>0</v>
      </c>
      <c r="M109" s="3">
        <f>ROUND(Data!AB109*$B$3,2)</f>
        <v>22577.65</v>
      </c>
      <c r="N109" s="3">
        <f>Data!U109</f>
        <v>0</v>
      </c>
      <c r="O109" s="3">
        <f t="shared" si="4"/>
        <v>331357.5400000001</v>
      </c>
      <c r="P109" s="3">
        <f t="shared" si="5"/>
        <v>308779.89000000007</v>
      </c>
      <c r="Q109" s="3">
        <f t="shared" si="6"/>
        <v>22577.65</v>
      </c>
    </row>
    <row r="110" spans="1:17" x14ac:dyDescent="0.2">
      <c r="A110" s="18">
        <v>316</v>
      </c>
      <c r="B110" s="18">
        <v>1</v>
      </c>
      <c r="C110" s="3" t="s">
        <v>106</v>
      </c>
      <c r="D110" s="3">
        <f>ROUND(Data!AA110*$B$3,2)</f>
        <v>155427.20000000001</v>
      </c>
      <c r="E110" s="3">
        <f>MAX(0,Data!AD110-Data!Y110)</f>
        <v>0</v>
      </c>
      <c r="F110" s="3">
        <f>Data!Y110</f>
        <v>367402.25</v>
      </c>
      <c r="G110" s="3">
        <f>Data!X110</f>
        <v>27341.23</v>
      </c>
      <c r="H110" s="3">
        <f>Data!K110+Data!R110</f>
        <v>33217.24</v>
      </c>
      <c r="I110" s="3">
        <f>Data!I110+Data!L110+Data!M110+Data!N110+Data!O110+Data!S110</f>
        <v>0</v>
      </c>
      <c r="J110" s="3">
        <f>Data!Q110</f>
        <v>0</v>
      </c>
      <c r="K110" s="3">
        <f>Data!J110+Data!P110</f>
        <v>51157.45</v>
      </c>
      <c r="L110" s="3">
        <f>Data!T110</f>
        <v>0</v>
      </c>
      <c r="M110" s="3">
        <f>ROUND(Data!AB110*$B$3,2)</f>
        <v>0</v>
      </c>
      <c r="N110" s="3">
        <f>Data!U110</f>
        <v>0</v>
      </c>
      <c r="O110" s="3">
        <f t="shared" si="4"/>
        <v>634545.37</v>
      </c>
      <c r="P110" s="3">
        <f t="shared" si="5"/>
        <v>634545.37</v>
      </c>
      <c r="Q110" s="3">
        <f t="shared" si="6"/>
        <v>0</v>
      </c>
    </row>
    <row r="111" spans="1:17" x14ac:dyDescent="0.2">
      <c r="A111" s="18">
        <v>317</v>
      </c>
      <c r="B111" s="18">
        <v>1</v>
      </c>
      <c r="C111" s="3" t="s">
        <v>107</v>
      </c>
      <c r="D111" s="3">
        <f>ROUND(Data!AA111*$B$3,2)</f>
        <v>51778.23</v>
      </c>
      <c r="E111" s="3">
        <f>MAX(0,Data!AD111-Data!Y111)</f>
        <v>0</v>
      </c>
      <c r="F111" s="3">
        <f>Data!Y111</f>
        <v>51234.74</v>
      </c>
      <c r="G111" s="3">
        <f>Data!X111</f>
        <v>0</v>
      </c>
      <c r="H111" s="3">
        <f>Data!K111+Data!R111</f>
        <v>21054.519999999997</v>
      </c>
      <c r="I111" s="3">
        <f>Data!I111+Data!L111+Data!M111+Data!N111+Data!O111+Data!S111</f>
        <v>0</v>
      </c>
      <c r="J111" s="3">
        <f>Data!Q111</f>
        <v>0</v>
      </c>
      <c r="K111" s="3">
        <f>Data!J111+Data!P111</f>
        <v>17533.849999999999</v>
      </c>
      <c r="L111" s="3">
        <f>Data!T111</f>
        <v>0</v>
      </c>
      <c r="M111" s="3">
        <f>ROUND(Data!AB111*$B$3,2)</f>
        <v>0</v>
      </c>
      <c r="N111" s="3">
        <f>Data!U111</f>
        <v>0</v>
      </c>
      <c r="O111" s="3">
        <f t="shared" si="4"/>
        <v>141601.34</v>
      </c>
      <c r="P111" s="3">
        <f t="shared" si="5"/>
        <v>141601.34</v>
      </c>
      <c r="Q111" s="3">
        <f t="shared" si="6"/>
        <v>0</v>
      </c>
    </row>
    <row r="112" spans="1:17" x14ac:dyDescent="0.2">
      <c r="A112" s="18">
        <v>318</v>
      </c>
      <c r="B112" s="18">
        <v>1</v>
      </c>
      <c r="C112" s="3" t="s">
        <v>108</v>
      </c>
      <c r="D112" s="3">
        <f>ROUND(Data!AA112*$B$3,2)</f>
        <v>1243204.1000000001</v>
      </c>
      <c r="E112" s="3">
        <f>MAX(0,Data!AD112-Data!Y112)</f>
        <v>0</v>
      </c>
      <c r="F112" s="3">
        <f>Data!Y112</f>
        <v>181247.22</v>
      </c>
      <c r="G112" s="3">
        <f>Data!X112</f>
        <v>24400.32</v>
      </c>
      <c r="H112" s="3">
        <f>Data!K112+Data!R112</f>
        <v>101651.56</v>
      </c>
      <c r="I112" s="3">
        <f>Data!I112+Data!L112+Data!M112+Data!N112+Data!O112+Data!S112</f>
        <v>272732.64</v>
      </c>
      <c r="J112" s="3">
        <f>Data!Q112</f>
        <v>0</v>
      </c>
      <c r="K112" s="3">
        <f>Data!J112+Data!P112</f>
        <v>57377.69</v>
      </c>
      <c r="L112" s="3">
        <f>Data!T112</f>
        <v>0</v>
      </c>
      <c r="M112" s="3">
        <f>ROUND(Data!AB112*$B$3,2)</f>
        <v>0</v>
      </c>
      <c r="N112" s="3">
        <f>Data!U112</f>
        <v>0</v>
      </c>
      <c r="O112" s="3">
        <f t="shared" si="4"/>
        <v>1880613.5300000003</v>
      </c>
      <c r="P112" s="3">
        <f t="shared" si="5"/>
        <v>1880613.5300000003</v>
      </c>
      <c r="Q112" s="3">
        <f t="shared" si="6"/>
        <v>0</v>
      </c>
    </row>
    <row r="113" spans="1:17" x14ac:dyDescent="0.2">
      <c r="A113" s="18">
        <v>319</v>
      </c>
      <c r="B113" s="18">
        <v>1</v>
      </c>
      <c r="C113" s="3" t="s">
        <v>109</v>
      </c>
      <c r="D113" s="3">
        <f>ROUND(Data!AA113*$B$3,2)</f>
        <v>89630.57</v>
      </c>
      <c r="E113" s="3">
        <f>MAX(0,Data!AD113-Data!Y113)</f>
        <v>120198.13</v>
      </c>
      <c r="F113" s="3">
        <f>Data!Y113</f>
        <v>26397.040000000001</v>
      </c>
      <c r="G113" s="3">
        <f>Data!X113</f>
        <v>10096.66</v>
      </c>
      <c r="H113" s="3">
        <f>Data!K113+Data!R113</f>
        <v>16529.050000000003</v>
      </c>
      <c r="I113" s="3">
        <f>Data!I113+Data!L113+Data!M113+Data!N113+Data!O113+Data!S113</f>
        <v>0</v>
      </c>
      <c r="J113" s="3">
        <f>Data!Q113</f>
        <v>0</v>
      </c>
      <c r="K113" s="3">
        <f>Data!J113+Data!P113</f>
        <v>93066.9</v>
      </c>
      <c r="L113" s="3">
        <f>Data!T113</f>
        <v>0</v>
      </c>
      <c r="M113" s="3">
        <f>ROUND(Data!AB113*$B$3,2)</f>
        <v>0</v>
      </c>
      <c r="N113" s="3">
        <f>Data!U113</f>
        <v>0</v>
      </c>
      <c r="O113" s="3">
        <f t="shared" si="4"/>
        <v>355918.35</v>
      </c>
      <c r="P113" s="3">
        <f t="shared" si="5"/>
        <v>355918.35</v>
      </c>
      <c r="Q113" s="3">
        <f t="shared" si="6"/>
        <v>0</v>
      </c>
    </row>
    <row r="114" spans="1:17" x14ac:dyDescent="0.2">
      <c r="A114" s="18">
        <v>323</v>
      </c>
      <c r="B114" s="18">
        <v>2</v>
      </c>
      <c r="C114" s="3" t="s">
        <v>110</v>
      </c>
      <c r="D114" s="3">
        <f>ROUND(Data!AA114*$B$3,2)</f>
        <v>3309.59</v>
      </c>
      <c r="E114" s="3">
        <f>MAX(0,Data!AD114-Data!Y114)</f>
        <v>23894.560000000001</v>
      </c>
      <c r="F114" s="3">
        <f>Data!Y114</f>
        <v>7317.68</v>
      </c>
      <c r="G114" s="3">
        <f>Data!X114</f>
        <v>0</v>
      </c>
      <c r="H114" s="3">
        <f>Data!K114+Data!R114</f>
        <v>0</v>
      </c>
      <c r="I114" s="3">
        <f>Data!I114+Data!L114+Data!M114+Data!N114+Data!O114+Data!S114</f>
        <v>0</v>
      </c>
      <c r="J114" s="3">
        <f>Data!Q114</f>
        <v>0</v>
      </c>
      <c r="K114" s="3">
        <f>Data!J114+Data!P114</f>
        <v>0</v>
      </c>
      <c r="L114" s="3">
        <f>Data!T114</f>
        <v>0</v>
      </c>
      <c r="M114" s="3">
        <f>ROUND(Data!AB114*$B$3,2)</f>
        <v>1264.02</v>
      </c>
      <c r="N114" s="3">
        <f>Data!U114</f>
        <v>0</v>
      </c>
      <c r="O114" s="3">
        <f t="shared" si="4"/>
        <v>35785.85</v>
      </c>
      <c r="P114" s="3">
        <f t="shared" si="5"/>
        <v>34521.83</v>
      </c>
      <c r="Q114" s="3">
        <f t="shared" si="6"/>
        <v>1264.02</v>
      </c>
    </row>
    <row r="115" spans="1:17" x14ac:dyDescent="0.2">
      <c r="A115" s="18">
        <v>330</v>
      </c>
      <c r="B115" s="18">
        <v>1</v>
      </c>
      <c r="C115" s="3" t="s">
        <v>111</v>
      </c>
      <c r="D115" s="3">
        <f>ROUND(Data!AA115*$B$3,2)</f>
        <v>56795.1</v>
      </c>
      <c r="E115" s="3">
        <f>MAX(0,Data!AD115-Data!Y115)</f>
        <v>157908</v>
      </c>
      <c r="F115" s="3">
        <f>Data!Y115</f>
        <v>74812.61</v>
      </c>
      <c r="G115" s="3">
        <f>Data!X115</f>
        <v>18104.77</v>
      </c>
      <c r="H115" s="3">
        <f>Data!K115+Data!R115</f>
        <v>20351.88</v>
      </c>
      <c r="I115" s="3">
        <f>Data!I115+Data!L115+Data!M115+Data!N115+Data!O115+Data!S115</f>
        <v>0</v>
      </c>
      <c r="J115" s="3">
        <f>Data!Q115</f>
        <v>-1630.39</v>
      </c>
      <c r="K115" s="3">
        <f>Data!J115+Data!P115</f>
        <v>1630.3899999999999</v>
      </c>
      <c r="L115" s="3">
        <f>Data!T115</f>
        <v>0</v>
      </c>
      <c r="M115" s="3">
        <f>ROUND(Data!AB115*$B$3,2)</f>
        <v>13089.44</v>
      </c>
      <c r="N115" s="3">
        <f>Data!U115</f>
        <v>0</v>
      </c>
      <c r="O115" s="3">
        <f t="shared" si="4"/>
        <v>341061.80000000005</v>
      </c>
      <c r="P115" s="3">
        <f t="shared" si="5"/>
        <v>327972.36000000004</v>
      </c>
      <c r="Q115" s="3">
        <f t="shared" si="6"/>
        <v>13089.44</v>
      </c>
    </row>
    <row r="116" spans="1:17" x14ac:dyDescent="0.2">
      <c r="A116" s="18">
        <v>332</v>
      </c>
      <c r="B116" s="18">
        <v>1</v>
      </c>
      <c r="C116" s="3" t="s">
        <v>112</v>
      </c>
      <c r="D116" s="3">
        <f>ROUND(Data!AA116*$B$3,2)</f>
        <v>232367.16</v>
      </c>
      <c r="E116" s="3">
        <f>MAX(0,Data!AD116-Data!Y116)</f>
        <v>78235.44</v>
      </c>
      <c r="F116" s="3">
        <f>Data!Y116</f>
        <v>0</v>
      </c>
      <c r="G116" s="3">
        <f>Data!X116</f>
        <v>0</v>
      </c>
      <c r="H116" s="3">
        <f>Data!K116+Data!R116</f>
        <v>42790.41</v>
      </c>
      <c r="I116" s="3">
        <f>Data!I116+Data!L116+Data!M116+Data!N116+Data!O116+Data!S116</f>
        <v>0</v>
      </c>
      <c r="J116" s="3">
        <f>Data!Q116</f>
        <v>0</v>
      </c>
      <c r="K116" s="3">
        <f>Data!J116+Data!P116</f>
        <v>57073.84</v>
      </c>
      <c r="L116" s="3">
        <f>Data!T116</f>
        <v>0</v>
      </c>
      <c r="M116" s="3">
        <f>ROUND(Data!AB116*$B$3,2)</f>
        <v>49338.34</v>
      </c>
      <c r="N116" s="3">
        <f>Data!U116</f>
        <v>0</v>
      </c>
      <c r="O116" s="3">
        <f t="shared" si="4"/>
        <v>459805.18999999994</v>
      </c>
      <c r="P116" s="3">
        <f t="shared" si="5"/>
        <v>410466.85</v>
      </c>
      <c r="Q116" s="3">
        <f t="shared" si="6"/>
        <v>49338.34</v>
      </c>
    </row>
    <row r="117" spans="1:17" x14ac:dyDescent="0.2">
      <c r="A117" s="18">
        <v>333</v>
      </c>
      <c r="B117" s="18">
        <v>1</v>
      </c>
      <c r="C117" s="3" t="s">
        <v>113</v>
      </c>
      <c r="D117" s="3">
        <f>ROUND(Data!AA117*$B$3,2)</f>
        <v>89116.61</v>
      </c>
      <c r="E117" s="3">
        <f>MAX(0,Data!AD117-Data!Y117)</f>
        <v>0</v>
      </c>
      <c r="F117" s="3">
        <f>Data!Y117</f>
        <v>23206.16</v>
      </c>
      <c r="G117" s="3">
        <f>Data!X117</f>
        <v>0</v>
      </c>
      <c r="H117" s="3">
        <f>Data!K117+Data!R117</f>
        <v>11962.59</v>
      </c>
      <c r="I117" s="3">
        <f>Data!I117+Data!L117+Data!M117+Data!N117+Data!O117+Data!S117</f>
        <v>0</v>
      </c>
      <c r="J117" s="3">
        <f>Data!Q117</f>
        <v>0</v>
      </c>
      <c r="K117" s="3">
        <f>Data!J117+Data!P117</f>
        <v>6754.1</v>
      </c>
      <c r="L117" s="3">
        <f>Data!T117</f>
        <v>0</v>
      </c>
      <c r="M117" s="3">
        <f>ROUND(Data!AB117*$B$3,2)</f>
        <v>14683.69</v>
      </c>
      <c r="N117" s="3">
        <f>Data!U117</f>
        <v>0</v>
      </c>
      <c r="O117" s="3">
        <f t="shared" si="4"/>
        <v>145723.15</v>
      </c>
      <c r="P117" s="3">
        <f t="shared" si="5"/>
        <v>131039.46</v>
      </c>
      <c r="Q117" s="3">
        <f t="shared" si="6"/>
        <v>14683.69</v>
      </c>
    </row>
    <row r="118" spans="1:17" x14ac:dyDescent="0.2">
      <c r="A118" s="18">
        <v>345</v>
      </c>
      <c r="B118" s="18">
        <v>1</v>
      </c>
      <c r="C118" s="3" t="s">
        <v>114</v>
      </c>
      <c r="D118" s="3">
        <f>ROUND(Data!AA118*$B$3,2)</f>
        <v>603164.12</v>
      </c>
      <c r="E118" s="3">
        <f>MAX(0,Data!AD118-Data!Y118)</f>
        <v>375457.99</v>
      </c>
      <c r="F118" s="3">
        <f>Data!Y118</f>
        <v>95479.19</v>
      </c>
      <c r="G118" s="3">
        <f>Data!X118</f>
        <v>0</v>
      </c>
      <c r="H118" s="3">
        <f>Data!K118+Data!R118</f>
        <v>40115.64</v>
      </c>
      <c r="I118" s="3">
        <f>Data!I118+Data!L118+Data!M118+Data!N118+Data!O118+Data!S118</f>
        <v>0</v>
      </c>
      <c r="J118" s="3">
        <f>Data!Q118</f>
        <v>0</v>
      </c>
      <c r="K118" s="3">
        <f>Data!J118+Data!P118</f>
        <v>5449.87</v>
      </c>
      <c r="L118" s="3">
        <f>Data!T118</f>
        <v>0</v>
      </c>
      <c r="M118" s="3">
        <f>ROUND(Data!AB118*$B$3,2)</f>
        <v>72792.86</v>
      </c>
      <c r="N118" s="3">
        <f>Data!U118</f>
        <v>0</v>
      </c>
      <c r="O118" s="3">
        <f t="shared" si="4"/>
        <v>1192459.6700000002</v>
      </c>
      <c r="P118" s="3">
        <f t="shared" si="5"/>
        <v>1119666.81</v>
      </c>
      <c r="Q118" s="3">
        <f t="shared" si="6"/>
        <v>72792.86</v>
      </c>
    </row>
    <row r="119" spans="1:17" x14ac:dyDescent="0.2">
      <c r="A119" s="18">
        <v>347</v>
      </c>
      <c r="B119" s="18">
        <v>1</v>
      </c>
      <c r="C119" s="3" t="s">
        <v>115</v>
      </c>
      <c r="D119" s="3">
        <f>ROUND(Data!AA119*$B$3,2)</f>
        <v>860860.68</v>
      </c>
      <c r="E119" s="3">
        <f>MAX(0,Data!AD119-Data!Y119)</f>
        <v>887469.70000000007</v>
      </c>
      <c r="F119" s="3">
        <f>Data!Y119</f>
        <v>184153.16</v>
      </c>
      <c r="G119" s="3">
        <f>Data!X119</f>
        <v>0</v>
      </c>
      <c r="H119" s="3">
        <f>Data!K119+Data!R119</f>
        <v>92638.19</v>
      </c>
      <c r="I119" s="3">
        <f>Data!I119+Data!L119+Data!M119+Data!N119+Data!O119+Data!S119</f>
        <v>0</v>
      </c>
      <c r="J119" s="3">
        <f>Data!Q119</f>
        <v>0</v>
      </c>
      <c r="K119" s="3">
        <f>Data!J119+Data!P119</f>
        <v>96803.28</v>
      </c>
      <c r="L119" s="3">
        <f>Data!T119</f>
        <v>0</v>
      </c>
      <c r="M119" s="3">
        <f>ROUND(Data!AB119*$B$3,2)</f>
        <v>185363.74</v>
      </c>
      <c r="N119" s="3">
        <f>Data!U119</f>
        <v>0</v>
      </c>
      <c r="O119" s="3">
        <f t="shared" si="4"/>
        <v>2307288.75</v>
      </c>
      <c r="P119" s="3">
        <f t="shared" si="5"/>
        <v>2121925.0099999998</v>
      </c>
      <c r="Q119" s="3">
        <f t="shared" si="6"/>
        <v>185363.74</v>
      </c>
    </row>
    <row r="120" spans="1:17" x14ac:dyDescent="0.2">
      <c r="A120" s="18">
        <v>356</v>
      </c>
      <c r="B120" s="18">
        <v>1</v>
      </c>
      <c r="C120" s="3" t="s">
        <v>116</v>
      </c>
      <c r="D120" s="3">
        <f>ROUND(Data!AA120*$B$3,2)</f>
        <v>12948.67</v>
      </c>
      <c r="E120" s="3">
        <f>MAX(0,Data!AD120-Data!Y120)</f>
        <v>361.98999999999069</v>
      </c>
      <c r="F120" s="3">
        <f>Data!Y120</f>
        <v>77555.070000000007</v>
      </c>
      <c r="G120" s="3">
        <f>Data!X120</f>
        <v>0</v>
      </c>
      <c r="H120" s="3">
        <f>Data!K120+Data!R120</f>
        <v>10000</v>
      </c>
      <c r="I120" s="3">
        <f>Data!I120+Data!L120+Data!M120+Data!N120+Data!O120+Data!S120</f>
        <v>0</v>
      </c>
      <c r="J120" s="3">
        <f>Data!Q120</f>
        <v>0</v>
      </c>
      <c r="K120" s="3">
        <f>Data!J120+Data!P120</f>
        <v>2282.17</v>
      </c>
      <c r="L120" s="3">
        <f>Data!T120</f>
        <v>0</v>
      </c>
      <c r="M120" s="3">
        <f>ROUND(Data!AB120*$B$3,2)</f>
        <v>5262.36</v>
      </c>
      <c r="N120" s="3">
        <f>Data!U120</f>
        <v>0</v>
      </c>
      <c r="O120" s="3">
        <f t="shared" si="4"/>
        <v>108410.26</v>
      </c>
      <c r="P120" s="3">
        <f t="shared" si="5"/>
        <v>103147.9</v>
      </c>
      <c r="Q120" s="3">
        <f t="shared" si="6"/>
        <v>5262.36</v>
      </c>
    </row>
    <row r="121" spans="1:17" x14ac:dyDescent="0.2">
      <c r="A121" s="18">
        <v>361</v>
      </c>
      <c r="B121" s="18">
        <v>1</v>
      </c>
      <c r="C121" s="3" t="s">
        <v>117</v>
      </c>
      <c r="D121" s="3">
        <f>ROUND(Data!AA121*$B$3,2)</f>
        <v>469275.09</v>
      </c>
      <c r="E121" s="3">
        <f>MAX(0,Data!AD121-Data!Y121)</f>
        <v>243314.11</v>
      </c>
      <c r="F121" s="3">
        <f>Data!Y121</f>
        <v>75327.83</v>
      </c>
      <c r="G121" s="3">
        <f>Data!X121</f>
        <v>0</v>
      </c>
      <c r="H121" s="3">
        <f>Data!K121+Data!R121</f>
        <v>16009</v>
      </c>
      <c r="I121" s="3">
        <f>Data!I121+Data!L121+Data!M121+Data!N121+Data!O121+Data!S121</f>
        <v>0</v>
      </c>
      <c r="J121" s="3">
        <f>Data!Q121</f>
        <v>0</v>
      </c>
      <c r="K121" s="3">
        <f>Data!J121+Data!P121</f>
        <v>3357.6900000000005</v>
      </c>
      <c r="L121" s="3">
        <f>Data!T121</f>
        <v>0</v>
      </c>
      <c r="M121" s="3">
        <f>ROUND(Data!AB121*$B$3,2)</f>
        <v>61412.06</v>
      </c>
      <c r="N121" s="3">
        <f>Data!U121</f>
        <v>0</v>
      </c>
      <c r="O121" s="3">
        <f t="shared" si="4"/>
        <v>868695.7799999998</v>
      </c>
      <c r="P121" s="3">
        <f t="shared" si="5"/>
        <v>807283.71999999986</v>
      </c>
      <c r="Q121" s="3">
        <f t="shared" si="6"/>
        <v>61412.06</v>
      </c>
    </row>
    <row r="122" spans="1:17" x14ac:dyDescent="0.2">
      <c r="A122" s="18">
        <v>362</v>
      </c>
      <c r="B122" s="18">
        <v>1</v>
      </c>
      <c r="C122" s="3" t="s">
        <v>118</v>
      </c>
      <c r="D122" s="3">
        <f>ROUND(Data!AA122*$B$3,2)</f>
        <v>53971.93</v>
      </c>
      <c r="E122" s="3">
        <f>MAX(0,Data!AD122-Data!Y122)</f>
        <v>0</v>
      </c>
      <c r="F122" s="3">
        <f>Data!Y122</f>
        <v>0</v>
      </c>
      <c r="G122" s="3">
        <f>Data!X122</f>
        <v>0</v>
      </c>
      <c r="H122" s="3">
        <f>Data!K122+Data!R122</f>
        <v>0</v>
      </c>
      <c r="I122" s="3">
        <f>Data!I122+Data!L122+Data!M122+Data!N122+Data!O122+Data!S122</f>
        <v>0</v>
      </c>
      <c r="J122" s="3">
        <f>Data!Q122</f>
        <v>0</v>
      </c>
      <c r="K122" s="3">
        <f>Data!J122+Data!P122</f>
        <v>71.730000000000018</v>
      </c>
      <c r="L122" s="3">
        <f>Data!T122</f>
        <v>0</v>
      </c>
      <c r="M122" s="3">
        <f>ROUND(Data!AB122*$B$3,2)</f>
        <v>8385.06</v>
      </c>
      <c r="N122" s="3">
        <f>Data!U122</f>
        <v>0</v>
      </c>
      <c r="O122" s="3">
        <f t="shared" si="4"/>
        <v>62428.72</v>
      </c>
      <c r="P122" s="3">
        <f t="shared" si="5"/>
        <v>54043.66</v>
      </c>
      <c r="Q122" s="3">
        <f t="shared" si="6"/>
        <v>8385.06</v>
      </c>
    </row>
    <row r="123" spans="1:17" x14ac:dyDescent="0.2">
      <c r="A123" s="18">
        <v>363</v>
      </c>
      <c r="B123" s="18">
        <v>1</v>
      </c>
      <c r="C123" s="3" t="s">
        <v>119</v>
      </c>
      <c r="D123" s="3">
        <f>ROUND(Data!AA123*$B$3,2)</f>
        <v>159117.81</v>
      </c>
      <c r="E123" s="3">
        <f>MAX(0,Data!AD123-Data!Y123)</f>
        <v>40.54</v>
      </c>
      <c r="F123" s="3">
        <f>Data!Y123</f>
        <v>0</v>
      </c>
      <c r="G123" s="3">
        <f>Data!X123</f>
        <v>0</v>
      </c>
      <c r="H123" s="3">
        <f>Data!K123+Data!R123</f>
        <v>0</v>
      </c>
      <c r="I123" s="3">
        <f>Data!I123+Data!L123+Data!M123+Data!N123+Data!O123+Data!S123</f>
        <v>0</v>
      </c>
      <c r="J123" s="3">
        <f>Data!Q123</f>
        <v>0</v>
      </c>
      <c r="K123" s="3">
        <f>Data!J123+Data!P123</f>
        <v>6116.59</v>
      </c>
      <c r="L123" s="3">
        <f>Data!T123</f>
        <v>0</v>
      </c>
      <c r="M123" s="3">
        <f>ROUND(Data!AB123*$B$3,2)</f>
        <v>8372.2099999999991</v>
      </c>
      <c r="N123" s="3">
        <f>Data!U123</f>
        <v>0</v>
      </c>
      <c r="O123" s="3">
        <f t="shared" si="4"/>
        <v>173647.15</v>
      </c>
      <c r="P123" s="3">
        <f t="shared" si="5"/>
        <v>165274.94</v>
      </c>
      <c r="Q123" s="3">
        <f t="shared" si="6"/>
        <v>8372.2099999999991</v>
      </c>
    </row>
    <row r="124" spans="1:17" x14ac:dyDescent="0.2">
      <c r="A124" s="18">
        <v>378</v>
      </c>
      <c r="B124" s="18">
        <v>1</v>
      </c>
      <c r="C124" s="3" t="s">
        <v>120</v>
      </c>
      <c r="D124" s="3">
        <f>ROUND(Data!AA124*$B$3,2)</f>
        <v>136940.24</v>
      </c>
      <c r="E124" s="3">
        <f>MAX(0,Data!AD124-Data!Y124)</f>
        <v>85199.670000000013</v>
      </c>
      <c r="F124" s="3">
        <f>Data!Y124</f>
        <v>39303.019999999997</v>
      </c>
      <c r="G124" s="3">
        <f>Data!X124</f>
        <v>4537.68</v>
      </c>
      <c r="H124" s="3">
        <f>Data!K124+Data!R124</f>
        <v>13580.53</v>
      </c>
      <c r="I124" s="3">
        <f>Data!I124+Data!L124+Data!M124+Data!N124+Data!O124+Data!S124</f>
        <v>0</v>
      </c>
      <c r="J124" s="3">
        <f>Data!Q124</f>
        <v>-572.47</v>
      </c>
      <c r="K124" s="3">
        <f>Data!J124+Data!P124</f>
        <v>447.74</v>
      </c>
      <c r="L124" s="3">
        <f>Data!T124</f>
        <v>0</v>
      </c>
      <c r="M124" s="3">
        <f>ROUND(Data!AB124*$B$3,2)</f>
        <v>31516.86</v>
      </c>
      <c r="N124" s="3">
        <f>Data!U124</f>
        <v>0</v>
      </c>
      <c r="O124" s="3">
        <f t="shared" si="4"/>
        <v>310953.27</v>
      </c>
      <c r="P124" s="3">
        <f t="shared" si="5"/>
        <v>279436.41000000003</v>
      </c>
      <c r="Q124" s="3">
        <f t="shared" si="6"/>
        <v>31516.86</v>
      </c>
    </row>
    <row r="125" spans="1:17" x14ac:dyDescent="0.2">
      <c r="A125" s="18">
        <v>381</v>
      </c>
      <c r="B125" s="18">
        <v>1</v>
      </c>
      <c r="C125" s="3" t="s">
        <v>121</v>
      </c>
      <c r="D125" s="3">
        <f>ROUND(Data!AA125*$B$3,2)</f>
        <v>253011.24</v>
      </c>
      <c r="E125" s="3">
        <f>MAX(0,Data!AD125-Data!Y125)</f>
        <v>0</v>
      </c>
      <c r="F125" s="3">
        <f>Data!Y125</f>
        <v>121543.27</v>
      </c>
      <c r="G125" s="3">
        <f>Data!X125</f>
        <v>76394.2</v>
      </c>
      <c r="H125" s="3">
        <f>Data!K125+Data!R125</f>
        <v>31646.25</v>
      </c>
      <c r="I125" s="3">
        <f>Data!I125+Data!L125+Data!M125+Data!N125+Data!O125+Data!S125</f>
        <v>0</v>
      </c>
      <c r="J125" s="3">
        <f>Data!Q125</f>
        <v>0</v>
      </c>
      <c r="K125" s="3">
        <f>Data!J125+Data!P125</f>
        <v>7851.87</v>
      </c>
      <c r="L125" s="3">
        <f>Data!T125</f>
        <v>0</v>
      </c>
      <c r="M125" s="3">
        <f>ROUND(Data!AB125*$B$3,2)</f>
        <v>0</v>
      </c>
      <c r="N125" s="3">
        <f>Data!U125</f>
        <v>0</v>
      </c>
      <c r="O125" s="3">
        <f t="shared" si="4"/>
        <v>490446.83</v>
      </c>
      <c r="P125" s="3">
        <f t="shared" si="5"/>
        <v>490446.83</v>
      </c>
      <c r="Q125" s="3">
        <f t="shared" si="6"/>
        <v>0</v>
      </c>
    </row>
    <row r="126" spans="1:17" x14ac:dyDescent="0.2">
      <c r="A126" s="18">
        <v>390</v>
      </c>
      <c r="B126" s="18">
        <v>1</v>
      </c>
      <c r="C126" s="3" t="s">
        <v>122</v>
      </c>
      <c r="D126" s="3">
        <f>ROUND(Data!AA126*$B$3,2)</f>
        <v>198039.86</v>
      </c>
      <c r="E126" s="3">
        <f>MAX(0,Data!AD126-Data!Y126)</f>
        <v>142568.1</v>
      </c>
      <c r="F126" s="3">
        <f>Data!Y126</f>
        <v>0</v>
      </c>
      <c r="G126" s="3">
        <f>Data!X126</f>
        <v>0</v>
      </c>
      <c r="H126" s="3">
        <f>Data!K126+Data!R126</f>
        <v>12007.68</v>
      </c>
      <c r="I126" s="3">
        <f>Data!I126+Data!L126+Data!M126+Data!N126+Data!O126+Data!S126</f>
        <v>0</v>
      </c>
      <c r="J126" s="3">
        <f>Data!Q126</f>
        <v>0</v>
      </c>
      <c r="K126" s="3">
        <f>Data!J126+Data!P126</f>
        <v>9562.89</v>
      </c>
      <c r="L126" s="3">
        <f>Data!T126</f>
        <v>0</v>
      </c>
      <c r="M126" s="3">
        <f>ROUND(Data!AB126*$B$3,2)</f>
        <v>20469.349999999999</v>
      </c>
      <c r="N126" s="3">
        <f>Data!U126</f>
        <v>0</v>
      </c>
      <c r="O126" s="3">
        <f t="shared" si="4"/>
        <v>382647.87999999995</v>
      </c>
      <c r="P126" s="3">
        <f t="shared" si="5"/>
        <v>362178.52999999997</v>
      </c>
      <c r="Q126" s="3">
        <f t="shared" si="6"/>
        <v>20469.349999999999</v>
      </c>
    </row>
    <row r="127" spans="1:17" x14ac:dyDescent="0.2">
      <c r="A127" s="18">
        <v>391</v>
      </c>
      <c r="B127" s="18">
        <v>1</v>
      </c>
      <c r="C127" s="3" t="s">
        <v>123</v>
      </c>
      <c r="D127" s="3">
        <f>ROUND(Data!AA127*$B$3,2)</f>
        <v>159814.74</v>
      </c>
      <c r="E127" s="3">
        <f>MAX(0,Data!AD127-Data!Y127)</f>
        <v>150125.70000000001</v>
      </c>
      <c r="F127" s="3">
        <f>Data!Y127</f>
        <v>42002.25</v>
      </c>
      <c r="G127" s="3">
        <f>Data!X127</f>
        <v>0</v>
      </c>
      <c r="H127" s="3">
        <f>Data!K127+Data!R127</f>
        <v>13959.22</v>
      </c>
      <c r="I127" s="3">
        <f>Data!I127+Data!L127+Data!M127+Data!N127+Data!O127+Data!S127</f>
        <v>0</v>
      </c>
      <c r="J127" s="3">
        <f>Data!Q127</f>
        <v>0</v>
      </c>
      <c r="K127" s="3">
        <f>Data!J127+Data!P127</f>
        <v>299.86</v>
      </c>
      <c r="L127" s="3">
        <f>Data!T127</f>
        <v>0</v>
      </c>
      <c r="M127" s="3">
        <f>ROUND(Data!AB127*$B$3,2)</f>
        <v>16647.439999999999</v>
      </c>
      <c r="N127" s="3">
        <f>Data!U127</f>
        <v>0</v>
      </c>
      <c r="O127" s="3">
        <f t="shared" si="4"/>
        <v>382849.20999999996</v>
      </c>
      <c r="P127" s="3">
        <f t="shared" si="5"/>
        <v>366201.76999999996</v>
      </c>
      <c r="Q127" s="3">
        <f t="shared" si="6"/>
        <v>16647.439999999999</v>
      </c>
    </row>
    <row r="128" spans="1:17" x14ac:dyDescent="0.2">
      <c r="A128" s="18">
        <v>392</v>
      </c>
      <c r="B128" s="18">
        <v>1</v>
      </c>
      <c r="C128" s="3" t="s">
        <v>124</v>
      </c>
      <c r="D128" s="3">
        <f>ROUND(Data!AA128*$B$3,2)</f>
        <v>158867.60999999999</v>
      </c>
      <c r="E128" s="3">
        <f>MAX(0,Data!AD128-Data!Y128)</f>
        <v>142380.53</v>
      </c>
      <c r="F128" s="3">
        <f>Data!Y128</f>
        <v>9608.68</v>
      </c>
      <c r="G128" s="3">
        <f>Data!X128</f>
        <v>0</v>
      </c>
      <c r="H128" s="3">
        <f>Data!K128+Data!R128</f>
        <v>18122.86</v>
      </c>
      <c r="I128" s="3">
        <f>Data!I128+Data!L128+Data!M128+Data!N128+Data!O128+Data!S128</f>
        <v>0</v>
      </c>
      <c r="J128" s="3">
        <f>Data!Q128</f>
        <v>0</v>
      </c>
      <c r="K128" s="3">
        <f>Data!J128+Data!P128</f>
        <v>12708.05</v>
      </c>
      <c r="L128" s="3">
        <f>Data!T128</f>
        <v>0</v>
      </c>
      <c r="M128" s="3">
        <f>ROUND(Data!AB128*$B$3,2)</f>
        <v>14960.05</v>
      </c>
      <c r="N128" s="3">
        <f>Data!U128</f>
        <v>0</v>
      </c>
      <c r="O128" s="3">
        <f t="shared" si="4"/>
        <v>356647.77999999997</v>
      </c>
      <c r="P128" s="3">
        <f t="shared" si="5"/>
        <v>341687.73</v>
      </c>
      <c r="Q128" s="3">
        <f t="shared" si="6"/>
        <v>14960.05</v>
      </c>
    </row>
    <row r="129" spans="1:17" x14ac:dyDescent="0.2">
      <c r="A129" s="18">
        <v>394</v>
      </c>
      <c r="B129" s="18">
        <v>1</v>
      </c>
      <c r="C129" s="3" t="s">
        <v>125</v>
      </c>
      <c r="D129" s="3">
        <f>ROUND(Data!AA129*$B$3,2)</f>
        <v>276935.23</v>
      </c>
      <c r="E129" s="3">
        <f>MAX(0,Data!AD129-Data!Y129)</f>
        <v>249493.97999999998</v>
      </c>
      <c r="F129" s="3">
        <f>Data!Y129</f>
        <v>15161.69</v>
      </c>
      <c r="G129" s="3">
        <f>Data!X129</f>
        <v>0</v>
      </c>
      <c r="H129" s="3">
        <f>Data!K129+Data!R129</f>
        <v>19488.25</v>
      </c>
      <c r="I129" s="3">
        <f>Data!I129+Data!L129+Data!M129+Data!N129+Data!O129+Data!S129</f>
        <v>0</v>
      </c>
      <c r="J129" s="3">
        <f>Data!Q129</f>
        <v>0</v>
      </c>
      <c r="K129" s="3">
        <f>Data!J129+Data!P129</f>
        <v>37220.17</v>
      </c>
      <c r="L129" s="3">
        <f>Data!T129</f>
        <v>0</v>
      </c>
      <c r="M129" s="3">
        <f>ROUND(Data!AB129*$B$3,2)</f>
        <v>50123.12</v>
      </c>
      <c r="N129" s="3">
        <f>Data!U129</f>
        <v>0</v>
      </c>
      <c r="O129" s="3">
        <f t="shared" si="4"/>
        <v>648422.43999999994</v>
      </c>
      <c r="P129" s="3">
        <f t="shared" si="5"/>
        <v>598299.31999999995</v>
      </c>
      <c r="Q129" s="3">
        <f t="shared" si="6"/>
        <v>50123.12</v>
      </c>
    </row>
    <row r="130" spans="1:17" x14ac:dyDescent="0.2">
      <c r="A130" s="18">
        <v>402</v>
      </c>
      <c r="B130" s="18">
        <v>1</v>
      </c>
      <c r="C130" s="3" t="s">
        <v>126</v>
      </c>
      <c r="D130" s="3">
        <f>ROUND(Data!AA130*$B$3,2)</f>
        <v>87941.6</v>
      </c>
      <c r="E130" s="3">
        <f>MAX(0,Data!AD130-Data!Y130)</f>
        <v>71289.350000000006</v>
      </c>
      <c r="F130" s="3">
        <f>Data!Y130</f>
        <v>9929.51</v>
      </c>
      <c r="G130" s="3">
        <f>Data!X130</f>
        <v>4376.54</v>
      </c>
      <c r="H130" s="3">
        <f>Data!K130+Data!R130</f>
        <v>0</v>
      </c>
      <c r="I130" s="3">
        <f>Data!I130+Data!L130+Data!M130+Data!N130+Data!O130+Data!S130</f>
        <v>0</v>
      </c>
      <c r="J130" s="3">
        <f>Data!Q130</f>
        <v>0</v>
      </c>
      <c r="K130" s="3">
        <f>Data!J130+Data!P130</f>
        <v>7087.67</v>
      </c>
      <c r="L130" s="3">
        <f>Data!T130</f>
        <v>0</v>
      </c>
      <c r="M130" s="3">
        <f>ROUND(Data!AB130*$B$3,2)</f>
        <v>11757.31</v>
      </c>
      <c r="N130" s="3">
        <f>Data!U130</f>
        <v>0</v>
      </c>
      <c r="O130" s="3">
        <f t="shared" si="4"/>
        <v>192381.98000000004</v>
      </c>
      <c r="P130" s="3">
        <f t="shared" si="5"/>
        <v>180624.67000000004</v>
      </c>
      <c r="Q130" s="3">
        <f t="shared" si="6"/>
        <v>11757.31</v>
      </c>
    </row>
    <row r="131" spans="1:17" x14ac:dyDescent="0.2">
      <c r="A131" s="18">
        <v>403</v>
      </c>
      <c r="B131" s="18">
        <v>1</v>
      </c>
      <c r="C131" s="3" t="s">
        <v>127</v>
      </c>
      <c r="D131" s="3">
        <f>ROUND(Data!AA131*$B$3,2)</f>
        <v>49163.72</v>
      </c>
      <c r="E131" s="3">
        <f>MAX(0,Data!AD131-Data!Y131)</f>
        <v>60707.06</v>
      </c>
      <c r="F131" s="3">
        <f>Data!Y131</f>
        <v>17191.45</v>
      </c>
      <c r="G131" s="3">
        <f>Data!X131</f>
        <v>0</v>
      </c>
      <c r="H131" s="3">
        <f>Data!K131+Data!R131</f>
        <v>11665.08</v>
      </c>
      <c r="I131" s="3">
        <f>Data!I131+Data!L131+Data!M131+Data!N131+Data!O131+Data!S131</f>
        <v>0</v>
      </c>
      <c r="J131" s="3">
        <f>Data!Q131</f>
        <v>-5053.05</v>
      </c>
      <c r="K131" s="3">
        <f>Data!J131+Data!P131</f>
        <v>5053.05</v>
      </c>
      <c r="L131" s="3">
        <f>Data!T131</f>
        <v>0</v>
      </c>
      <c r="M131" s="3">
        <f>ROUND(Data!AB131*$B$3,2)</f>
        <v>8906.44</v>
      </c>
      <c r="N131" s="3">
        <f>Data!U131</f>
        <v>0</v>
      </c>
      <c r="O131" s="3">
        <f t="shared" si="4"/>
        <v>147633.75</v>
      </c>
      <c r="P131" s="3">
        <f t="shared" si="5"/>
        <v>138727.31</v>
      </c>
      <c r="Q131" s="3">
        <f t="shared" si="6"/>
        <v>8906.44</v>
      </c>
    </row>
    <row r="132" spans="1:17" x14ac:dyDescent="0.2">
      <c r="A132" s="18">
        <v>404</v>
      </c>
      <c r="B132" s="18">
        <v>1</v>
      </c>
      <c r="C132" s="3" t="s">
        <v>128</v>
      </c>
      <c r="D132" s="3">
        <f>ROUND(Data!AA132*$B$3,2)</f>
        <v>35049.29</v>
      </c>
      <c r="E132" s="3">
        <f>MAX(0,Data!AD132-Data!Y132)</f>
        <v>72455.23</v>
      </c>
      <c r="F132" s="3">
        <f>Data!Y132</f>
        <v>70889.98</v>
      </c>
      <c r="G132" s="3">
        <f>Data!X132</f>
        <v>325.19</v>
      </c>
      <c r="H132" s="3">
        <f>Data!K132+Data!R132</f>
        <v>0</v>
      </c>
      <c r="I132" s="3">
        <f>Data!I132+Data!L132+Data!M132+Data!N132+Data!O132+Data!S132</f>
        <v>0</v>
      </c>
      <c r="J132" s="3">
        <f>Data!Q132</f>
        <v>0</v>
      </c>
      <c r="K132" s="3">
        <f>Data!J132+Data!P132</f>
        <v>11480.92</v>
      </c>
      <c r="L132" s="3">
        <f>Data!T132</f>
        <v>0</v>
      </c>
      <c r="M132" s="3">
        <f>ROUND(Data!AB132*$B$3,2)</f>
        <v>3209.54</v>
      </c>
      <c r="N132" s="3">
        <f>Data!U132</f>
        <v>0</v>
      </c>
      <c r="O132" s="3">
        <f t="shared" si="4"/>
        <v>193410.15000000002</v>
      </c>
      <c r="P132" s="3">
        <f t="shared" si="5"/>
        <v>190200.61000000002</v>
      </c>
      <c r="Q132" s="3">
        <f t="shared" si="6"/>
        <v>3209.54</v>
      </c>
    </row>
    <row r="133" spans="1:17" x14ac:dyDescent="0.2">
      <c r="A133" s="18">
        <v>413</v>
      </c>
      <c r="B133" s="18">
        <v>1</v>
      </c>
      <c r="C133" s="3" t="s">
        <v>129</v>
      </c>
      <c r="D133" s="3">
        <f>ROUND(Data!AA133*$B$3,2)</f>
        <v>596463.66</v>
      </c>
      <c r="E133" s="3">
        <f>MAX(0,Data!AD133-Data!Y133)</f>
        <v>468701.1</v>
      </c>
      <c r="F133" s="3">
        <f>Data!Y133</f>
        <v>185634.72</v>
      </c>
      <c r="G133" s="3">
        <f>Data!X133</f>
        <v>0</v>
      </c>
      <c r="H133" s="3">
        <f>Data!K133+Data!R133</f>
        <v>58948.639999999999</v>
      </c>
      <c r="I133" s="3">
        <f>Data!I133+Data!L133+Data!M133+Data!N133+Data!O133+Data!S133</f>
        <v>0</v>
      </c>
      <c r="J133" s="3">
        <f>Data!Q133</f>
        <v>0</v>
      </c>
      <c r="K133" s="3">
        <f>Data!J133+Data!P133</f>
        <v>34128.869999999995</v>
      </c>
      <c r="L133" s="3">
        <f>Data!T133</f>
        <v>0</v>
      </c>
      <c r="M133" s="3">
        <f>ROUND(Data!AB133*$B$3,2)</f>
        <v>83886.03</v>
      </c>
      <c r="N133" s="3">
        <f>Data!U133</f>
        <v>0</v>
      </c>
      <c r="O133" s="3">
        <f t="shared" ref="O133:O193" si="7">SUM(D133:N133)</f>
        <v>1427763.0199999998</v>
      </c>
      <c r="P133" s="3">
        <f t="shared" si="5"/>
        <v>1343876.9899999998</v>
      </c>
      <c r="Q133" s="3">
        <f t="shared" si="6"/>
        <v>83886.03</v>
      </c>
    </row>
    <row r="134" spans="1:17" x14ac:dyDescent="0.2">
      <c r="A134" s="18">
        <v>414</v>
      </c>
      <c r="B134" s="18">
        <v>1</v>
      </c>
      <c r="C134" s="3" t="s">
        <v>130</v>
      </c>
      <c r="D134" s="3">
        <f>ROUND(Data!AA134*$B$3,2)</f>
        <v>108093.41</v>
      </c>
      <c r="E134" s="3">
        <f>MAX(0,Data!AD134-Data!Y134)</f>
        <v>48739.55</v>
      </c>
      <c r="F134" s="3">
        <f>Data!Y134</f>
        <v>28651.58</v>
      </c>
      <c r="G134" s="3">
        <f>Data!X134</f>
        <v>262.36</v>
      </c>
      <c r="H134" s="3">
        <f>Data!K134+Data!R134</f>
        <v>10867.3</v>
      </c>
      <c r="I134" s="3">
        <f>Data!I134+Data!L134+Data!M134+Data!N134+Data!O134+Data!S134</f>
        <v>0</v>
      </c>
      <c r="J134" s="3">
        <f>Data!Q134</f>
        <v>0</v>
      </c>
      <c r="K134" s="3">
        <f>Data!J134+Data!P134</f>
        <v>12444.91</v>
      </c>
      <c r="L134" s="3">
        <f>Data!T134</f>
        <v>0</v>
      </c>
      <c r="M134" s="3">
        <f>ROUND(Data!AB134*$B$3,2)</f>
        <v>15615.67</v>
      </c>
      <c r="N134" s="3">
        <f>Data!U134</f>
        <v>0</v>
      </c>
      <c r="O134" s="3">
        <f t="shared" si="7"/>
        <v>224674.78000000003</v>
      </c>
      <c r="P134" s="3">
        <f t="shared" ref="P134:P196" si="8">SUM(D134:L134)</f>
        <v>209059.11000000002</v>
      </c>
      <c r="Q134" s="3">
        <f t="shared" ref="Q134:Q196" si="9">SUM(M134:N134)</f>
        <v>15615.67</v>
      </c>
    </row>
    <row r="135" spans="1:17" x14ac:dyDescent="0.2">
      <c r="A135" s="18">
        <v>415</v>
      </c>
      <c r="B135" s="18">
        <v>1</v>
      </c>
      <c r="C135" s="3" t="s">
        <v>131</v>
      </c>
      <c r="D135" s="3">
        <f>ROUND(Data!AA135*$B$3,2)</f>
        <v>41584.879999999997</v>
      </c>
      <c r="E135" s="3">
        <f>MAX(0,Data!AD135-Data!Y135)</f>
        <v>108943.15999999999</v>
      </c>
      <c r="F135" s="3">
        <f>Data!Y135</f>
        <v>20886.88</v>
      </c>
      <c r="G135" s="3">
        <f>Data!X135</f>
        <v>4594.3999999999996</v>
      </c>
      <c r="H135" s="3">
        <f>Data!K135+Data!R135</f>
        <v>0</v>
      </c>
      <c r="I135" s="3">
        <f>Data!I135+Data!L135+Data!M135+Data!N135+Data!O135+Data!S135</f>
        <v>0</v>
      </c>
      <c r="J135" s="3">
        <f>Data!Q135</f>
        <v>0</v>
      </c>
      <c r="K135" s="3">
        <f>Data!J135+Data!P135</f>
        <v>0</v>
      </c>
      <c r="L135" s="3">
        <f>Data!T135</f>
        <v>0</v>
      </c>
      <c r="M135" s="3">
        <f>ROUND(Data!AB135*$B$3,2)</f>
        <v>24989.15</v>
      </c>
      <c r="N135" s="3">
        <f>Data!U135</f>
        <v>0</v>
      </c>
      <c r="O135" s="3">
        <f t="shared" si="7"/>
        <v>200998.46999999997</v>
      </c>
      <c r="P135" s="3">
        <f t="shared" si="8"/>
        <v>176009.31999999998</v>
      </c>
      <c r="Q135" s="3">
        <f t="shared" si="9"/>
        <v>24989.15</v>
      </c>
    </row>
    <row r="136" spans="1:17" x14ac:dyDescent="0.2">
      <c r="A136" s="18">
        <v>423</v>
      </c>
      <c r="B136" s="18">
        <v>1</v>
      </c>
      <c r="C136" s="3" t="s">
        <v>132</v>
      </c>
      <c r="D136" s="3">
        <f>ROUND(Data!AA136*$B$3,2)</f>
        <v>620432.19999999995</v>
      </c>
      <c r="E136" s="3">
        <f>MAX(0,Data!AD136-Data!Y136)</f>
        <v>864868.62</v>
      </c>
      <c r="F136" s="3">
        <f>Data!Y136</f>
        <v>159248.91</v>
      </c>
      <c r="G136" s="3">
        <f>Data!X136</f>
        <v>0</v>
      </c>
      <c r="H136" s="3">
        <f>Data!K136+Data!R136</f>
        <v>68285.899999999994</v>
      </c>
      <c r="I136" s="3">
        <f>Data!I136+Data!L136+Data!M136+Data!N136+Data!O136+Data!S136</f>
        <v>0</v>
      </c>
      <c r="J136" s="3">
        <f>Data!Q136</f>
        <v>0</v>
      </c>
      <c r="K136" s="3">
        <f>Data!J136+Data!P136</f>
        <v>40355.370000000003</v>
      </c>
      <c r="L136" s="3">
        <f>Data!T136</f>
        <v>0</v>
      </c>
      <c r="M136" s="3">
        <f>ROUND(Data!AB136*$B$3,2)</f>
        <v>97746.16</v>
      </c>
      <c r="N136" s="3">
        <f>Data!U136</f>
        <v>0</v>
      </c>
      <c r="O136" s="3">
        <f t="shared" si="7"/>
        <v>1850937.1599999997</v>
      </c>
      <c r="P136" s="3">
        <f t="shared" si="8"/>
        <v>1753190.9999999998</v>
      </c>
      <c r="Q136" s="3">
        <f t="shared" si="9"/>
        <v>97746.16</v>
      </c>
    </row>
    <row r="137" spans="1:17" x14ac:dyDescent="0.2">
      <c r="A137" s="18">
        <v>424</v>
      </c>
      <c r="B137" s="18">
        <v>1</v>
      </c>
      <c r="C137" s="3" t="s">
        <v>133</v>
      </c>
      <c r="D137" s="3">
        <f>ROUND(Data!AA137*$B$3,2)</f>
        <v>70633.81</v>
      </c>
      <c r="E137" s="3">
        <f>MAX(0,Data!AD137-Data!Y137)</f>
        <v>180624.83000000002</v>
      </c>
      <c r="F137" s="3">
        <f>Data!Y137</f>
        <v>24228.86</v>
      </c>
      <c r="G137" s="3">
        <f>Data!X137</f>
        <v>0</v>
      </c>
      <c r="H137" s="3">
        <f>Data!K137+Data!R137</f>
        <v>11665.08</v>
      </c>
      <c r="I137" s="3">
        <f>Data!I137+Data!L137+Data!M137+Data!N137+Data!O137+Data!S137</f>
        <v>0</v>
      </c>
      <c r="J137" s="3">
        <f>Data!Q137</f>
        <v>0</v>
      </c>
      <c r="K137" s="3">
        <f>Data!J137+Data!P137</f>
        <v>40637.870000000003</v>
      </c>
      <c r="L137" s="3">
        <f>Data!T137</f>
        <v>0</v>
      </c>
      <c r="M137" s="3">
        <f>ROUND(Data!AB137*$B$3,2)</f>
        <v>13702.73</v>
      </c>
      <c r="N137" s="3">
        <f>Data!U137</f>
        <v>0</v>
      </c>
      <c r="O137" s="3">
        <f t="shared" si="7"/>
        <v>341493.18</v>
      </c>
      <c r="P137" s="3">
        <f t="shared" si="8"/>
        <v>327790.45</v>
      </c>
      <c r="Q137" s="3">
        <f t="shared" si="9"/>
        <v>13702.73</v>
      </c>
    </row>
    <row r="138" spans="1:17" x14ac:dyDescent="0.2">
      <c r="A138" s="18">
        <v>432</v>
      </c>
      <c r="B138" s="18">
        <v>1</v>
      </c>
      <c r="C138" s="3" t="s">
        <v>134</v>
      </c>
      <c r="D138" s="3">
        <f>ROUND(Data!AA138*$B$3,2)</f>
        <v>59596.84</v>
      </c>
      <c r="E138" s="3">
        <f>MAX(0,Data!AD138-Data!Y138)</f>
        <v>0</v>
      </c>
      <c r="F138" s="3">
        <f>Data!Y138</f>
        <v>0</v>
      </c>
      <c r="G138" s="3">
        <f>Data!X138</f>
        <v>0</v>
      </c>
      <c r="H138" s="3">
        <f>Data!K138+Data!R138</f>
        <v>39158.9</v>
      </c>
      <c r="I138" s="3">
        <f>Data!I138+Data!L138+Data!M138+Data!N138+Data!O138+Data!S138</f>
        <v>0</v>
      </c>
      <c r="J138" s="3">
        <f>Data!Q138</f>
        <v>0</v>
      </c>
      <c r="K138" s="3">
        <f>Data!J138+Data!P138</f>
        <v>18925.27</v>
      </c>
      <c r="L138" s="3">
        <f>Data!T138</f>
        <v>0</v>
      </c>
      <c r="M138" s="3">
        <f>ROUND(Data!AB138*$B$3,2)</f>
        <v>14491.41</v>
      </c>
      <c r="N138" s="3">
        <f>Data!U138</f>
        <v>0</v>
      </c>
      <c r="O138" s="3">
        <f t="shared" si="7"/>
        <v>132172.41999999998</v>
      </c>
      <c r="P138" s="3">
        <f t="shared" si="8"/>
        <v>117681.01</v>
      </c>
      <c r="Q138" s="3">
        <f t="shared" si="9"/>
        <v>14491.41</v>
      </c>
    </row>
    <row r="139" spans="1:17" x14ac:dyDescent="0.2">
      <c r="A139" s="18">
        <v>435</v>
      </c>
      <c r="B139" s="18">
        <v>1</v>
      </c>
      <c r="C139" s="3" t="s">
        <v>135</v>
      </c>
      <c r="D139" s="3">
        <f>ROUND(Data!AA139*$B$3,2)</f>
        <v>92620.23</v>
      </c>
      <c r="E139" s="3">
        <f>MAX(0,Data!AD139-Data!Y139)</f>
        <v>0</v>
      </c>
      <c r="F139" s="3">
        <f>Data!Y139</f>
        <v>0</v>
      </c>
      <c r="G139" s="3">
        <f>Data!X139</f>
        <v>0</v>
      </c>
      <c r="H139" s="3">
        <f>Data!K139+Data!R139</f>
        <v>20351.88</v>
      </c>
      <c r="I139" s="3">
        <f>Data!I139+Data!L139+Data!M139+Data!N139+Data!O139+Data!S139</f>
        <v>0</v>
      </c>
      <c r="J139" s="3">
        <f>Data!Q139</f>
        <v>0</v>
      </c>
      <c r="K139" s="3">
        <f>Data!J139+Data!P139</f>
        <v>25944.46</v>
      </c>
      <c r="L139" s="3">
        <f>Data!T139</f>
        <v>0</v>
      </c>
      <c r="M139" s="3">
        <f>ROUND(Data!AB139*$B$3,2)</f>
        <v>14992.04</v>
      </c>
      <c r="N139" s="3">
        <f>Data!U139</f>
        <v>0</v>
      </c>
      <c r="O139" s="3">
        <f t="shared" si="7"/>
        <v>153908.61000000002</v>
      </c>
      <c r="P139" s="3">
        <f t="shared" si="8"/>
        <v>138916.57</v>
      </c>
      <c r="Q139" s="3">
        <f t="shared" si="9"/>
        <v>14992.04</v>
      </c>
    </row>
    <row r="140" spans="1:17" x14ac:dyDescent="0.2">
      <c r="A140" s="18">
        <v>441</v>
      </c>
      <c r="B140" s="18">
        <v>1</v>
      </c>
      <c r="C140" s="3" t="s">
        <v>136</v>
      </c>
      <c r="D140" s="3">
        <f>ROUND(Data!AA140*$B$3,2)</f>
        <v>101201.71</v>
      </c>
      <c r="E140" s="3">
        <f>MAX(0,Data!AD140-Data!Y140)</f>
        <v>247928.66999999998</v>
      </c>
      <c r="F140" s="3">
        <f>Data!Y140</f>
        <v>24919.51</v>
      </c>
      <c r="G140" s="3">
        <f>Data!X140</f>
        <v>10876.31</v>
      </c>
      <c r="H140" s="3">
        <f>Data!K140+Data!R140</f>
        <v>11665.08</v>
      </c>
      <c r="I140" s="3">
        <f>Data!I140+Data!L140+Data!M140+Data!N140+Data!O140+Data!S140</f>
        <v>0</v>
      </c>
      <c r="J140" s="3">
        <f>Data!Q140</f>
        <v>0</v>
      </c>
      <c r="K140" s="3">
        <f>Data!J140+Data!P140</f>
        <v>8467.630000000001</v>
      </c>
      <c r="L140" s="3">
        <f>Data!T140</f>
        <v>0</v>
      </c>
      <c r="M140" s="3">
        <f>ROUND(Data!AB140*$B$3,2)</f>
        <v>13857.32</v>
      </c>
      <c r="N140" s="3">
        <f>Data!U140</f>
        <v>0</v>
      </c>
      <c r="O140" s="3">
        <f t="shared" si="7"/>
        <v>418916.23000000004</v>
      </c>
      <c r="P140" s="3">
        <f t="shared" si="8"/>
        <v>405058.91000000003</v>
      </c>
      <c r="Q140" s="3">
        <f t="shared" si="9"/>
        <v>13857.32</v>
      </c>
    </row>
    <row r="141" spans="1:17" x14ac:dyDescent="0.2">
      <c r="A141" s="18">
        <v>447</v>
      </c>
      <c r="B141" s="18">
        <v>1</v>
      </c>
      <c r="C141" s="3" t="s">
        <v>137</v>
      </c>
      <c r="D141" s="3">
        <f>ROUND(Data!AA141*$B$3,2)</f>
        <v>24279.64</v>
      </c>
      <c r="E141" s="3">
        <f>MAX(0,Data!AD141-Data!Y141)</f>
        <v>29035.77</v>
      </c>
      <c r="F141" s="3">
        <f>Data!Y141</f>
        <v>4943.41</v>
      </c>
      <c r="G141" s="3">
        <f>Data!X141</f>
        <v>0</v>
      </c>
      <c r="H141" s="3">
        <f>Data!K141+Data!R141</f>
        <v>11665.08</v>
      </c>
      <c r="I141" s="3">
        <f>Data!I141+Data!L141+Data!M141+Data!N141+Data!O141+Data!S141</f>
        <v>0</v>
      </c>
      <c r="J141" s="3">
        <f>Data!Q141</f>
        <v>0</v>
      </c>
      <c r="K141" s="3">
        <f>Data!J141+Data!P141</f>
        <v>4229.8099999999995</v>
      </c>
      <c r="L141" s="3">
        <f>Data!T141</f>
        <v>0</v>
      </c>
      <c r="M141" s="3">
        <f>ROUND(Data!AB141*$B$3,2)</f>
        <v>6109.02</v>
      </c>
      <c r="N141" s="3">
        <f>Data!U141</f>
        <v>0</v>
      </c>
      <c r="O141" s="3">
        <f t="shared" si="7"/>
        <v>80262.73000000001</v>
      </c>
      <c r="P141" s="3">
        <f t="shared" si="8"/>
        <v>74153.710000000006</v>
      </c>
      <c r="Q141" s="3">
        <f t="shared" si="9"/>
        <v>6109.02</v>
      </c>
    </row>
    <row r="142" spans="1:17" x14ac:dyDescent="0.2">
      <c r="A142" s="18">
        <v>458</v>
      </c>
      <c r="B142" s="18">
        <v>1</v>
      </c>
      <c r="C142" s="3" t="s">
        <v>138</v>
      </c>
      <c r="D142" s="3">
        <f>ROUND(Data!AA142*$B$3,2)</f>
        <v>71985.279999999999</v>
      </c>
      <c r="E142" s="3">
        <f>MAX(0,Data!AD142-Data!Y142)</f>
        <v>25688.079999999987</v>
      </c>
      <c r="F142" s="3">
        <f>Data!Y142</f>
        <v>138045.48000000001</v>
      </c>
      <c r="G142" s="3">
        <f>Data!X142</f>
        <v>9301.26</v>
      </c>
      <c r="H142" s="3">
        <f>Data!K142+Data!R142</f>
        <v>11665.08</v>
      </c>
      <c r="I142" s="3">
        <f>Data!I142+Data!L142+Data!M142+Data!N142+Data!O142+Data!S142</f>
        <v>0</v>
      </c>
      <c r="J142" s="3">
        <f>Data!Q142</f>
        <v>0</v>
      </c>
      <c r="K142" s="3">
        <f>Data!J142+Data!P142</f>
        <v>24938.73</v>
      </c>
      <c r="L142" s="3">
        <f>Data!T142</f>
        <v>0</v>
      </c>
      <c r="M142" s="3">
        <f>ROUND(Data!AB142*$B$3,2)</f>
        <v>18913.080000000002</v>
      </c>
      <c r="N142" s="3">
        <f>Data!U142</f>
        <v>0</v>
      </c>
      <c r="O142" s="3">
        <f t="shared" si="7"/>
        <v>300536.99</v>
      </c>
      <c r="P142" s="3">
        <f t="shared" si="8"/>
        <v>281623.90999999997</v>
      </c>
      <c r="Q142" s="3">
        <f t="shared" si="9"/>
        <v>18913.080000000002</v>
      </c>
    </row>
    <row r="143" spans="1:17" x14ac:dyDescent="0.2">
      <c r="A143" s="18">
        <v>463</v>
      </c>
      <c r="B143" s="18">
        <v>1</v>
      </c>
      <c r="C143" s="3" t="s">
        <v>139</v>
      </c>
      <c r="D143" s="3">
        <f>ROUND(Data!AA143*$B$3,2)</f>
        <v>81432.45</v>
      </c>
      <c r="E143" s="3">
        <f>MAX(0,Data!AD143-Data!Y143)</f>
        <v>205434.52000000002</v>
      </c>
      <c r="F143" s="3">
        <f>Data!Y143</f>
        <v>32117.919999999998</v>
      </c>
      <c r="G143" s="3">
        <f>Data!X143</f>
        <v>0</v>
      </c>
      <c r="H143" s="3">
        <f>Data!K143+Data!R143</f>
        <v>10000.73</v>
      </c>
      <c r="I143" s="3">
        <f>Data!I143+Data!L143+Data!M143+Data!N143+Data!O143+Data!S143</f>
        <v>0</v>
      </c>
      <c r="J143" s="3">
        <f>Data!Q143</f>
        <v>0</v>
      </c>
      <c r="K143" s="3">
        <f>Data!J143+Data!P143</f>
        <v>9053.7099999999991</v>
      </c>
      <c r="L143" s="3">
        <f>Data!T143</f>
        <v>0</v>
      </c>
      <c r="M143" s="3">
        <f>ROUND(Data!AB143*$B$3,2)</f>
        <v>29620.42</v>
      </c>
      <c r="N143" s="3">
        <f>Data!U143</f>
        <v>0</v>
      </c>
      <c r="O143" s="3">
        <f t="shared" si="7"/>
        <v>367659.75</v>
      </c>
      <c r="P143" s="3">
        <f t="shared" si="8"/>
        <v>338039.33</v>
      </c>
      <c r="Q143" s="3">
        <f t="shared" si="9"/>
        <v>29620.42</v>
      </c>
    </row>
    <row r="144" spans="1:17" x14ac:dyDescent="0.2">
      <c r="A144" s="18">
        <v>465</v>
      </c>
      <c r="B144" s="18">
        <v>1</v>
      </c>
      <c r="C144" s="3" t="s">
        <v>140</v>
      </c>
      <c r="D144" s="3">
        <f>ROUND(Data!AA144*$B$3,2)</f>
        <v>443925.21</v>
      </c>
      <c r="E144" s="3">
        <f>MAX(0,Data!AD144-Data!Y144)</f>
        <v>360595.44</v>
      </c>
      <c r="F144" s="3">
        <f>Data!Y144</f>
        <v>97079.01</v>
      </c>
      <c r="G144" s="3">
        <f>Data!X144</f>
        <v>0</v>
      </c>
      <c r="H144" s="3">
        <f>Data!K144+Data!R144</f>
        <v>41499.22</v>
      </c>
      <c r="I144" s="3">
        <f>Data!I144+Data!L144+Data!M144+Data!N144+Data!O144+Data!S144</f>
        <v>0</v>
      </c>
      <c r="J144" s="3">
        <f>Data!Q144</f>
        <v>0</v>
      </c>
      <c r="K144" s="3">
        <f>Data!J144+Data!P144</f>
        <v>1542.4499999999998</v>
      </c>
      <c r="L144" s="3">
        <f>Data!T144</f>
        <v>0</v>
      </c>
      <c r="M144" s="3">
        <f>ROUND(Data!AB144*$B$3,2)</f>
        <v>67361.94</v>
      </c>
      <c r="N144" s="3">
        <f>Data!U144</f>
        <v>0</v>
      </c>
      <c r="O144" s="3">
        <f t="shared" si="7"/>
        <v>1012003.27</v>
      </c>
      <c r="P144" s="3">
        <f t="shared" si="8"/>
        <v>944641.33</v>
      </c>
      <c r="Q144" s="3">
        <f t="shared" si="9"/>
        <v>67361.94</v>
      </c>
    </row>
    <row r="145" spans="1:17" x14ac:dyDescent="0.2">
      <c r="A145" s="18">
        <v>466</v>
      </c>
      <c r="B145" s="18">
        <v>1</v>
      </c>
      <c r="C145" s="3" t="s">
        <v>141</v>
      </c>
      <c r="D145" s="3">
        <f>ROUND(Data!AA145*$B$3,2)</f>
        <v>320612.12</v>
      </c>
      <c r="E145" s="3">
        <f>MAX(0,Data!AD145-Data!Y145)</f>
        <v>239212.78000000003</v>
      </c>
      <c r="F145" s="3">
        <f>Data!Y145</f>
        <v>84376.93</v>
      </c>
      <c r="G145" s="3">
        <f>Data!X145</f>
        <v>0</v>
      </c>
      <c r="H145" s="3">
        <f>Data!K145+Data!R145</f>
        <v>46482.95</v>
      </c>
      <c r="I145" s="3">
        <f>Data!I145+Data!L145+Data!M145+Data!N145+Data!O145+Data!S145</f>
        <v>0</v>
      </c>
      <c r="J145" s="3">
        <f>Data!Q145</f>
        <v>0</v>
      </c>
      <c r="K145" s="3">
        <f>Data!J145+Data!P145</f>
        <v>29613.370000000003</v>
      </c>
      <c r="L145" s="3">
        <f>Data!T145</f>
        <v>0</v>
      </c>
      <c r="M145" s="3">
        <f>ROUND(Data!AB145*$B$3,2)</f>
        <v>60709.78</v>
      </c>
      <c r="N145" s="3">
        <f>Data!U145</f>
        <v>0</v>
      </c>
      <c r="O145" s="3">
        <f t="shared" si="7"/>
        <v>781007.93</v>
      </c>
      <c r="P145" s="3">
        <f t="shared" si="8"/>
        <v>720298.15</v>
      </c>
      <c r="Q145" s="3">
        <f t="shared" si="9"/>
        <v>60709.78</v>
      </c>
    </row>
    <row r="146" spans="1:17" x14ac:dyDescent="0.2">
      <c r="A146" s="18">
        <v>473</v>
      </c>
      <c r="B146" s="18">
        <v>1</v>
      </c>
      <c r="C146" s="3" t="s">
        <v>142</v>
      </c>
      <c r="D146" s="3">
        <f>ROUND(Data!AA146*$B$3,2)</f>
        <v>134813.17000000001</v>
      </c>
      <c r="E146" s="3">
        <f>MAX(0,Data!AD146-Data!Y146)</f>
        <v>0</v>
      </c>
      <c r="F146" s="3">
        <f>Data!Y146</f>
        <v>22384.46</v>
      </c>
      <c r="G146" s="3">
        <f>Data!X146</f>
        <v>3627.63</v>
      </c>
      <c r="H146" s="3">
        <f>Data!K146+Data!R146</f>
        <v>11679.73</v>
      </c>
      <c r="I146" s="3">
        <f>Data!I146+Data!L146+Data!M146+Data!N146+Data!O146+Data!S146</f>
        <v>0</v>
      </c>
      <c r="J146" s="3">
        <f>Data!Q146</f>
        <v>0</v>
      </c>
      <c r="K146" s="3">
        <f>Data!J146+Data!P146</f>
        <v>7401.6</v>
      </c>
      <c r="L146" s="3">
        <f>Data!T146</f>
        <v>0</v>
      </c>
      <c r="M146" s="3">
        <f>ROUND(Data!AB146*$B$3,2)</f>
        <v>19087.57</v>
      </c>
      <c r="N146" s="3">
        <f>Data!U146</f>
        <v>0</v>
      </c>
      <c r="O146" s="3">
        <f t="shared" si="7"/>
        <v>198994.16000000003</v>
      </c>
      <c r="P146" s="3">
        <f t="shared" si="8"/>
        <v>179906.59000000003</v>
      </c>
      <c r="Q146" s="3">
        <f t="shared" si="9"/>
        <v>19087.57</v>
      </c>
    </row>
    <row r="147" spans="1:17" x14ac:dyDescent="0.2">
      <c r="A147" s="18">
        <v>477</v>
      </c>
      <c r="B147" s="18">
        <v>1</v>
      </c>
      <c r="C147" s="3" t="s">
        <v>143</v>
      </c>
      <c r="D147" s="3">
        <f>ROUND(Data!AA147*$B$3,2)</f>
        <v>599239.76</v>
      </c>
      <c r="E147" s="3">
        <f>MAX(0,Data!AD147-Data!Y147)</f>
        <v>314394.55</v>
      </c>
      <c r="F147" s="3">
        <f>Data!Y147</f>
        <v>117256.13</v>
      </c>
      <c r="G147" s="3">
        <f>Data!X147</f>
        <v>0</v>
      </c>
      <c r="H147" s="3">
        <f>Data!K147+Data!R147</f>
        <v>73309.86</v>
      </c>
      <c r="I147" s="3">
        <f>Data!I147+Data!L147+Data!M147+Data!N147+Data!O147+Data!S147</f>
        <v>0</v>
      </c>
      <c r="J147" s="3">
        <f>Data!Q147</f>
        <v>0</v>
      </c>
      <c r="K147" s="3">
        <f>Data!J147+Data!P147</f>
        <v>93455.42</v>
      </c>
      <c r="L147" s="3">
        <f>Data!T147</f>
        <v>0</v>
      </c>
      <c r="M147" s="3">
        <f>ROUND(Data!AB147*$B$3,2)</f>
        <v>129636.55</v>
      </c>
      <c r="N147" s="3">
        <f>Data!U147</f>
        <v>0</v>
      </c>
      <c r="O147" s="3">
        <f t="shared" si="7"/>
        <v>1327292.27</v>
      </c>
      <c r="P147" s="3">
        <f t="shared" si="8"/>
        <v>1197655.72</v>
      </c>
      <c r="Q147" s="3">
        <f t="shared" si="9"/>
        <v>129636.55</v>
      </c>
    </row>
    <row r="148" spans="1:17" x14ac:dyDescent="0.2">
      <c r="A148" s="18">
        <v>480</v>
      </c>
      <c r="B148" s="18">
        <v>1</v>
      </c>
      <c r="C148" s="3" t="s">
        <v>144</v>
      </c>
      <c r="D148" s="3">
        <f>ROUND(Data!AA148*$B$3,2)</f>
        <v>636333.76</v>
      </c>
      <c r="E148" s="3">
        <f>MAX(0,Data!AD148-Data!Y148)</f>
        <v>223655.87</v>
      </c>
      <c r="F148" s="3">
        <f>Data!Y148</f>
        <v>0</v>
      </c>
      <c r="G148" s="3">
        <f>Data!X148</f>
        <v>0</v>
      </c>
      <c r="H148" s="3">
        <f>Data!K148+Data!R148</f>
        <v>9198.2200000000012</v>
      </c>
      <c r="I148" s="3">
        <f>Data!I148+Data!L148+Data!M148+Data!N148+Data!O148+Data!S148</f>
        <v>0</v>
      </c>
      <c r="J148" s="3">
        <f>Data!Q148</f>
        <v>0</v>
      </c>
      <c r="K148" s="3">
        <f>Data!J148+Data!P148</f>
        <v>23177.21</v>
      </c>
      <c r="L148" s="3">
        <f>Data!T148</f>
        <v>0</v>
      </c>
      <c r="M148" s="3">
        <f>ROUND(Data!AB148*$B$3,2)</f>
        <v>37946.18</v>
      </c>
      <c r="N148" s="3">
        <f>Data!U148</f>
        <v>0</v>
      </c>
      <c r="O148" s="3">
        <f t="shared" si="7"/>
        <v>930311.24</v>
      </c>
      <c r="P148" s="3">
        <f t="shared" si="8"/>
        <v>892365.05999999994</v>
      </c>
      <c r="Q148" s="3">
        <f t="shared" si="9"/>
        <v>37946.18</v>
      </c>
    </row>
    <row r="149" spans="1:17" x14ac:dyDescent="0.2">
      <c r="A149" s="18">
        <v>482</v>
      </c>
      <c r="B149" s="18">
        <v>1</v>
      </c>
      <c r="C149" s="3" t="s">
        <v>145</v>
      </c>
      <c r="D149" s="3">
        <f>ROUND(Data!AA149*$B$3,2)</f>
        <v>461840.5</v>
      </c>
      <c r="E149" s="3">
        <f>MAX(0,Data!AD149-Data!Y149)</f>
        <v>780507.01</v>
      </c>
      <c r="F149" s="3">
        <f>Data!Y149</f>
        <v>98308.58</v>
      </c>
      <c r="G149" s="3">
        <f>Data!X149</f>
        <v>0</v>
      </c>
      <c r="H149" s="3">
        <f>Data!K149+Data!R149</f>
        <v>92215.75</v>
      </c>
      <c r="I149" s="3">
        <f>Data!I149+Data!L149+Data!M149+Data!N149+Data!O149+Data!S149</f>
        <v>0</v>
      </c>
      <c r="J149" s="3">
        <f>Data!Q149</f>
        <v>0</v>
      </c>
      <c r="K149" s="3">
        <f>Data!J149+Data!P149</f>
        <v>42114.57</v>
      </c>
      <c r="L149" s="3">
        <f>Data!T149</f>
        <v>0</v>
      </c>
      <c r="M149" s="3">
        <f>ROUND(Data!AB149*$B$3,2)</f>
        <v>85256.95</v>
      </c>
      <c r="N149" s="3">
        <f>Data!U149</f>
        <v>0</v>
      </c>
      <c r="O149" s="3">
        <f t="shared" si="7"/>
        <v>1560243.36</v>
      </c>
      <c r="P149" s="3">
        <f t="shared" si="8"/>
        <v>1474986.4100000001</v>
      </c>
      <c r="Q149" s="3">
        <f t="shared" si="9"/>
        <v>85256.95</v>
      </c>
    </row>
    <row r="150" spans="1:17" x14ac:dyDescent="0.2">
      <c r="A150" s="18">
        <v>484</v>
      </c>
      <c r="B150" s="18">
        <v>1</v>
      </c>
      <c r="C150" s="3" t="s">
        <v>146</v>
      </c>
      <c r="D150" s="3">
        <f>ROUND(Data!AA150*$B$3,2)</f>
        <v>171141.41</v>
      </c>
      <c r="E150" s="3">
        <f>MAX(0,Data!AD150-Data!Y150)</f>
        <v>158242.78</v>
      </c>
      <c r="F150" s="3">
        <f>Data!Y150</f>
        <v>31118.21</v>
      </c>
      <c r="G150" s="3">
        <f>Data!X150</f>
        <v>0</v>
      </c>
      <c r="H150" s="3">
        <f>Data!K150+Data!R150</f>
        <v>0</v>
      </c>
      <c r="I150" s="3">
        <f>Data!I150+Data!L150+Data!M150+Data!N150+Data!O150+Data!S150</f>
        <v>0</v>
      </c>
      <c r="J150" s="3">
        <f>Data!Q150</f>
        <v>0</v>
      </c>
      <c r="K150" s="3">
        <f>Data!J150+Data!P150</f>
        <v>0</v>
      </c>
      <c r="L150" s="3">
        <f>Data!T150</f>
        <v>0</v>
      </c>
      <c r="M150" s="3">
        <f>ROUND(Data!AB150*$B$3,2)</f>
        <v>27722.36</v>
      </c>
      <c r="N150" s="3">
        <f>Data!U150</f>
        <v>0</v>
      </c>
      <c r="O150" s="3">
        <f t="shared" si="7"/>
        <v>388224.76</v>
      </c>
      <c r="P150" s="3">
        <f t="shared" si="8"/>
        <v>360502.4</v>
      </c>
      <c r="Q150" s="3">
        <f t="shared" si="9"/>
        <v>27722.36</v>
      </c>
    </row>
    <row r="151" spans="1:17" x14ac:dyDescent="0.2">
      <c r="A151" s="18">
        <v>485</v>
      </c>
      <c r="B151" s="18">
        <v>1</v>
      </c>
      <c r="C151" s="3" t="s">
        <v>147</v>
      </c>
      <c r="D151" s="3">
        <f>ROUND(Data!AA151*$B$3,2)</f>
        <v>119463.03</v>
      </c>
      <c r="E151" s="3">
        <f>MAX(0,Data!AD151-Data!Y151)</f>
        <v>0</v>
      </c>
      <c r="F151" s="3">
        <f>Data!Y151</f>
        <v>29270.26</v>
      </c>
      <c r="G151" s="3">
        <f>Data!X151</f>
        <v>0</v>
      </c>
      <c r="H151" s="3">
        <f>Data!K151+Data!R151</f>
        <v>21637.69</v>
      </c>
      <c r="I151" s="3">
        <f>Data!I151+Data!L151+Data!M151+Data!N151+Data!O151+Data!S151</f>
        <v>0</v>
      </c>
      <c r="J151" s="3">
        <f>Data!Q151</f>
        <v>0</v>
      </c>
      <c r="K151" s="3">
        <f>Data!J151+Data!P151</f>
        <v>24313.87</v>
      </c>
      <c r="L151" s="3">
        <f>Data!T151</f>
        <v>0</v>
      </c>
      <c r="M151" s="3">
        <f>ROUND(Data!AB151*$B$3,2)</f>
        <v>18932.98</v>
      </c>
      <c r="N151" s="3">
        <f>Data!U151</f>
        <v>0</v>
      </c>
      <c r="O151" s="3">
        <f t="shared" si="7"/>
        <v>213617.83000000002</v>
      </c>
      <c r="P151" s="3">
        <f t="shared" si="8"/>
        <v>194684.85</v>
      </c>
      <c r="Q151" s="3">
        <f t="shared" si="9"/>
        <v>18932.98</v>
      </c>
    </row>
    <row r="152" spans="1:17" x14ac:dyDescent="0.2">
      <c r="A152" s="18">
        <v>486</v>
      </c>
      <c r="B152" s="18">
        <v>1</v>
      </c>
      <c r="C152" s="3" t="s">
        <v>148</v>
      </c>
      <c r="D152" s="3">
        <f>ROUND(Data!AA152*$B$3,2)</f>
        <v>70864.240000000005</v>
      </c>
      <c r="E152" s="3">
        <f>MAX(0,Data!AD152-Data!Y152)</f>
        <v>81078.63</v>
      </c>
      <c r="F152" s="3">
        <f>Data!Y152</f>
        <v>15148.78</v>
      </c>
      <c r="G152" s="3">
        <f>Data!X152</f>
        <v>0</v>
      </c>
      <c r="H152" s="3">
        <f>Data!K152+Data!R152</f>
        <v>0</v>
      </c>
      <c r="I152" s="3">
        <f>Data!I152+Data!L152+Data!M152+Data!N152+Data!O152+Data!S152</f>
        <v>0</v>
      </c>
      <c r="J152" s="3">
        <f>Data!Q152</f>
        <v>0</v>
      </c>
      <c r="K152" s="3">
        <f>Data!J152+Data!P152</f>
        <v>0</v>
      </c>
      <c r="L152" s="3">
        <f>Data!T152</f>
        <v>0</v>
      </c>
      <c r="M152" s="3">
        <f>ROUND(Data!AB152*$B$3,2)</f>
        <v>10389.33</v>
      </c>
      <c r="N152" s="3">
        <f>Data!U152</f>
        <v>0</v>
      </c>
      <c r="O152" s="3">
        <f t="shared" si="7"/>
        <v>177480.97999999998</v>
      </c>
      <c r="P152" s="3">
        <f t="shared" si="8"/>
        <v>167091.65</v>
      </c>
      <c r="Q152" s="3">
        <f t="shared" si="9"/>
        <v>10389.33</v>
      </c>
    </row>
    <row r="153" spans="1:17" x14ac:dyDescent="0.2">
      <c r="A153" s="18">
        <v>487</v>
      </c>
      <c r="B153" s="18">
        <v>1</v>
      </c>
      <c r="C153" s="3" t="s">
        <v>149</v>
      </c>
      <c r="D153" s="3">
        <f>ROUND(Data!AA153*$B$3,2)</f>
        <v>41887.67</v>
      </c>
      <c r="E153" s="3">
        <f>MAX(0,Data!AD153-Data!Y153)</f>
        <v>79794.8</v>
      </c>
      <c r="F153" s="3">
        <f>Data!Y153</f>
        <v>32084.69</v>
      </c>
      <c r="G153" s="3">
        <f>Data!X153</f>
        <v>0</v>
      </c>
      <c r="H153" s="3">
        <f>Data!K153+Data!R153</f>
        <v>11665.08</v>
      </c>
      <c r="I153" s="3">
        <f>Data!I153+Data!L153+Data!M153+Data!N153+Data!O153+Data!S153</f>
        <v>0</v>
      </c>
      <c r="J153" s="3">
        <f>Data!Q153</f>
        <v>0</v>
      </c>
      <c r="K153" s="3">
        <f>Data!J153+Data!P153</f>
        <v>-1423.73</v>
      </c>
      <c r="L153" s="3">
        <f>Data!T153</f>
        <v>0</v>
      </c>
      <c r="M153" s="3">
        <f>ROUND(Data!AB153*$B$3,2)</f>
        <v>4737.45</v>
      </c>
      <c r="N153" s="3">
        <f>Data!U153</f>
        <v>0</v>
      </c>
      <c r="O153" s="3">
        <f t="shared" si="7"/>
        <v>168745.96</v>
      </c>
      <c r="P153" s="3">
        <f t="shared" si="8"/>
        <v>164008.50999999998</v>
      </c>
      <c r="Q153" s="3">
        <f t="shared" si="9"/>
        <v>4737.45</v>
      </c>
    </row>
    <row r="154" spans="1:17" x14ac:dyDescent="0.2">
      <c r="A154" s="18">
        <v>492</v>
      </c>
      <c r="B154" s="18">
        <v>1</v>
      </c>
      <c r="C154" s="3" t="s">
        <v>150</v>
      </c>
      <c r="D154" s="3">
        <f>ROUND(Data!AA154*$B$3,2)</f>
        <v>861664.87</v>
      </c>
      <c r="E154" s="3">
        <f>MAX(0,Data!AD154-Data!Y154)</f>
        <v>658591.19000000006</v>
      </c>
      <c r="F154" s="3">
        <f>Data!Y154</f>
        <v>295941.48</v>
      </c>
      <c r="G154" s="3">
        <f>Data!X154</f>
        <v>61476.54</v>
      </c>
      <c r="H154" s="3">
        <f>Data!K154+Data!R154</f>
        <v>92609.23000000001</v>
      </c>
      <c r="I154" s="3">
        <f>Data!I154+Data!L154+Data!M154+Data!N154+Data!O154+Data!S154</f>
        <v>0</v>
      </c>
      <c r="J154" s="3">
        <f>Data!Q154</f>
        <v>0</v>
      </c>
      <c r="K154" s="3">
        <f>Data!J154+Data!P154</f>
        <v>70250.25</v>
      </c>
      <c r="L154" s="3">
        <f>Data!T154</f>
        <v>0</v>
      </c>
      <c r="M154" s="3">
        <f>ROUND(Data!AB154*$B$3,2)</f>
        <v>67722.64</v>
      </c>
      <c r="N154" s="3">
        <f>Data!U154</f>
        <v>0</v>
      </c>
      <c r="O154" s="3">
        <f t="shared" si="7"/>
        <v>2108256.2000000002</v>
      </c>
      <c r="P154" s="3">
        <f t="shared" si="8"/>
        <v>2040533.56</v>
      </c>
      <c r="Q154" s="3">
        <f t="shared" si="9"/>
        <v>67722.64</v>
      </c>
    </row>
    <row r="155" spans="1:17" x14ac:dyDescent="0.2">
      <c r="A155" s="18">
        <v>495</v>
      </c>
      <c r="B155" s="18">
        <v>1</v>
      </c>
      <c r="C155" s="3" t="s">
        <v>151</v>
      </c>
      <c r="D155" s="3">
        <f>ROUND(Data!AA155*$B$3,2)</f>
        <v>80845.78</v>
      </c>
      <c r="E155" s="3">
        <f>MAX(0,Data!AD155-Data!Y155)</f>
        <v>116607.42000000001</v>
      </c>
      <c r="F155" s="3">
        <f>Data!Y155</f>
        <v>55032.71</v>
      </c>
      <c r="G155" s="3">
        <f>Data!X155</f>
        <v>7031.72</v>
      </c>
      <c r="H155" s="3">
        <f>Data!K155+Data!R155</f>
        <v>11665.08</v>
      </c>
      <c r="I155" s="3">
        <f>Data!I155+Data!L155+Data!M155+Data!N155+Data!O155+Data!S155</f>
        <v>0</v>
      </c>
      <c r="J155" s="3">
        <f>Data!Q155</f>
        <v>0</v>
      </c>
      <c r="K155" s="3">
        <f>Data!J155+Data!P155</f>
        <v>-6597.1399999999994</v>
      </c>
      <c r="L155" s="3">
        <f>Data!T155</f>
        <v>0</v>
      </c>
      <c r="M155" s="3">
        <f>ROUND(Data!AB155*$B$3,2)</f>
        <v>17044.990000000002</v>
      </c>
      <c r="N155" s="3">
        <f>Data!U155</f>
        <v>0</v>
      </c>
      <c r="O155" s="3">
        <f t="shared" si="7"/>
        <v>281630.56</v>
      </c>
      <c r="P155" s="3">
        <f t="shared" si="8"/>
        <v>264585.57</v>
      </c>
      <c r="Q155" s="3">
        <f t="shared" si="9"/>
        <v>17044.990000000002</v>
      </c>
    </row>
    <row r="156" spans="1:17" x14ac:dyDescent="0.2">
      <c r="A156" s="18">
        <v>497</v>
      </c>
      <c r="B156" s="18">
        <v>1</v>
      </c>
      <c r="C156" s="3" t="s">
        <v>152</v>
      </c>
      <c r="D156" s="3">
        <f>ROUND(Data!AA156*$B$3,2)</f>
        <v>57515.15</v>
      </c>
      <c r="E156" s="3">
        <f>MAX(0,Data!AD156-Data!Y156)</f>
        <v>0</v>
      </c>
      <c r="F156" s="3">
        <f>Data!Y156</f>
        <v>65196.27</v>
      </c>
      <c r="G156" s="3">
        <f>Data!X156</f>
        <v>3172.07</v>
      </c>
      <c r="H156" s="3">
        <f>Data!K156+Data!R156</f>
        <v>0</v>
      </c>
      <c r="I156" s="3">
        <f>Data!I156+Data!L156+Data!M156+Data!N156+Data!O156+Data!S156</f>
        <v>0</v>
      </c>
      <c r="J156" s="3">
        <f>Data!Q156</f>
        <v>0</v>
      </c>
      <c r="K156" s="3">
        <f>Data!J156+Data!P156</f>
        <v>2206</v>
      </c>
      <c r="L156" s="3">
        <f>Data!T156</f>
        <v>0</v>
      </c>
      <c r="M156" s="3">
        <f>ROUND(Data!AB156*$B$3,2)</f>
        <v>8856.86</v>
      </c>
      <c r="N156" s="3">
        <f>Data!U156</f>
        <v>0</v>
      </c>
      <c r="O156" s="3">
        <f t="shared" si="7"/>
        <v>136946.35</v>
      </c>
      <c r="P156" s="3">
        <f t="shared" si="8"/>
        <v>128089.49</v>
      </c>
      <c r="Q156" s="3">
        <f t="shared" si="9"/>
        <v>8856.86</v>
      </c>
    </row>
    <row r="157" spans="1:17" x14ac:dyDescent="0.2">
      <c r="A157" s="18">
        <v>499</v>
      </c>
      <c r="B157" s="18">
        <v>1</v>
      </c>
      <c r="C157" s="3" t="s">
        <v>153</v>
      </c>
      <c r="D157" s="3">
        <f>ROUND(Data!AA157*$B$3,2)</f>
        <v>50090.71</v>
      </c>
      <c r="E157" s="3">
        <f>MAX(0,Data!AD157-Data!Y157)</f>
        <v>83388.56</v>
      </c>
      <c r="F157" s="3">
        <f>Data!Y157</f>
        <v>112134.59</v>
      </c>
      <c r="G157" s="3">
        <f>Data!X157</f>
        <v>0</v>
      </c>
      <c r="H157" s="3">
        <f>Data!K157+Data!R157</f>
        <v>24383.59</v>
      </c>
      <c r="I157" s="3">
        <f>Data!I157+Data!L157+Data!M157+Data!N157+Data!O157+Data!S157</f>
        <v>0</v>
      </c>
      <c r="J157" s="3">
        <f>Data!Q157</f>
        <v>0</v>
      </c>
      <c r="K157" s="3">
        <f>Data!J157+Data!P157</f>
        <v>6999.1100000000006</v>
      </c>
      <c r="L157" s="3">
        <f>Data!T157</f>
        <v>0</v>
      </c>
      <c r="M157" s="3">
        <f>ROUND(Data!AB157*$B$3,2)</f>
        <v>27456.57</v>
      </c>
      <c r="N157" s="3">
        <f>Data!U157</f>
        <v>0</v>
      </c>
      <c r="O157" s="3">
        <f t="shared" si="7"/>
        <v>304453.13</v>
      </c>
      <c r="P157" s="3">
        <f t="shared" si="8"/>
        <v>276996.56</v>
      </c>
      <c r="Q157" s="3">
        <f t="shared" si="9"/>
        <v>27456.57</v>
      </c>
    </row>
    <row r="158" spans="1:17" x14ac:dyDescent="0.2">
      <c r="A158" s="18">
        <v>500</v>
      </c>
      <c r="B158" s="18">
        <v>1</v>
      </c>
      <c r="C158" s="3" t="s">
        <v>154</v>
      </c>
      <c r="D158" s="3">
        <f>ROUND(Data!AA158*$B$3,2)</f>
        <v>158934.59</v>
      </c>
      <c r="E158" s="3">
        <f>MAX(0,Data!AD158-Data!Y158)</f>
        <v>21143.959999999992</v>
      </c>
      <c r="F158" s="3">
        <f>Data!Y158</f>
        <v>97648.05</v>
      </c>
      <c r="G158" s="3">
        <f>Data!X158</f>
        <v>5199.95</v>
      </c>
      <c r="H158" s="3">
        <f>Data!K158+Data!R158</f>
        <v>17723.280000000002</v>
      </c>
      <c r="I158" s="3">
        <f>Data!I158+Data!L158+Data!M158+Data!N158+Data!O158+Data!S158</f>
        <v>0</v>
      </c>
      <c r="J158" s="3">
        <f>Data!Q158</f>
        <v>0</v>
      </c>
      <c r="K158" s="3">
        <f>Data!J158+Data!P158</f>
        <v>2485.87</v>
      </c>
      <c r="L158" s="3">
        <f>Data!T158</f>
        <v>0</v>
      </c>
      <c r="M158" s="3">
        <f>ROUND(Data!AB158*$B$3,2)</f>
        <v>26601.7</v>
      </c>
      <c r="N158" s="3">
        <f>Data!U158</f>
        <v>0</v>
      </c>
      <c r="O158" s="3">
        <f t="shared" si="7"/>
        <v>329737.40000000002</v>
      </c>
      <c r="P158" s="3">
        <f t="shared" si="8"/>
        <v>303135.7</v>
      </c>
      <c r="Q158" s="3">
        <f t="shared" si="9"/>
        <v>26601.7</v>
      </c>
    </row>
    <row r="159" spans="1:17" x14ac:dyDescent="0.2">
      <c r="A159" s="18">
        <v>505</v>
      </c>
      <c r="B159" s="18">
        <v>1</v>
      </c>
      <c r="C159" s="3" t="s">
        <v>155</v>
      </c>
      <c r="D159" s="3">
        <f>ROUND(Data!AA159*$B$3,2)</f>
        <v>75215.38</v>
      </c>
      <c r="E159" s="3">
        <f>MAX(0,Data!AD159-Data!Y159)</f>
        <v>30461.589999999997</v>
      </c>
      <c r="F159" s="3">
        <f>Data!Y159</f>
        <v>77554.06</v>
      </c>
      <c r="G159" s="3">
        <f>Data!X159</f>
        <v>2413.96</v>
      </c>
      <c r="H159" s="3">
        <f>Data!K159+Data!R159</f>
        <v>20351.88</v>
      </c>
      <c r="I159" s="3">
        <f>Data!I159+Data!L159+Data!M159+Data!N159+Data!O159+Data!S159</f>
        <v>0</v>
      </c>
      <c r="J159" s="3">
        <f>Data!Q159</f>
        <v>0</v>
      </c>
      <c r="K159" s="3">
        <f>Data!J159+Data!P159</f>
        <v>0</v>
      </c>
      <c r="L159" s="3">
        <f>Data!T159</f>
        <v>0</v>
      </c>
      <c r="M159" s="3">
        <f>ROUND(Data!AB159*$B$3,2)</f>
        <v>18999.88</v>
      </c>
      <c r="N159" s="3">
        <f>Data!U159</f>
        <v>0</v>
      </c>
      <c r="O159" s="3">
        <f t="shared" si="7"/>
        <v>224996.75</v>
      </c>
      <c r="P159" s="3">
        <f t="shared" si="8"/>
        <v>205996.87</v>
      </c>
      <c r="Q159" s="3">
        <f t="shared" si="9"/>
        <v>18999.88</v>
      </c>
    </row>
    <row r="160" spans="1:17" x14ac:dyDescent="0.2">
      <c r="A160" s="18">
        <v>507</v>
      </c>
      <c r="B160" s="18">
        <v>1</v>
      </c>
      <c r="C160" s="3" t="s">
        <v>156</v>
      </c>
      <c r="D160" s="3">
        <f>ROUND(Data!AA160*$B$3,2)</f>
        <v>74939.45</v>
      </c>
      <c r="E160" s="3">
        <f>MAX(0,Data!AD160-Data!Y160)</f>
        <v>31970.109999999986</v>
      </c>
      <c r="F160" s="3">
        <f>Data!Y160</f>
        <v>124645.82</v>
      </c>
      <c r="G160" s="3">
        <f>Data!X160</f>
        <v>0</v>
      </c>
      <c r="H160" s="3">
        <f>Data!K160+Data!R160</f>
        <v>11665.08</v>
      </c>
      <c r="I160" s="3">
        <f>Data!I160+Data!L160+Data!M160+Data!N160+Data!O160+Data!S160</f>
        <v>0</v>
      </c>
      <c r="J160" s="3">
        <f>Data!Q160</f>
        <v>0</v>
      </c>
      <c r="K160" s="3">
        <f>Data!J160+Data!P160</f>
        <v>21635.52</v>
      </c>
      <c r="L160" s="3">
        <f>Data!T160</f>
        <v>0</v>
      </c>
      <c r="M160" s="3">
        <f>ROUND(Data!AB160*$B$3,2)</f>
        <v>17881.88</v>
      </c>
      <c r="N160" s="3">
        <f>Data!U160</f>
        <v>0</v>
      </c>
      <c r="O160" s="3">
        <f t="shared" si="7"/>
        <v>282737.86</v>
      </c>
      <c r="P160" s="3">
        <f t="shared" si="8"/>
        <v>264855.98</v>
      </c>
      <c r="Q160" s="3">
        <f t="shared" si="9"/>
        <v>17881.88</v>
      </c>
    </row>
    <row r="161" spans="1:17" x14ac:dyDescent="0.2">
      <c r="A161" s="18">
        <v>508</v>
      </c>
      <c r="B161" s="18">
        <v>1</v>
      </c>
      <c r="C161" s="3" t="s">
        <v>157</v>
      </c>
      <c r="D161" s="3">
        <f>ROUND(Data!AA161*$B$3,2)</f>
        <v>729865.94</v>
      </c>
      <c r="E161" s="3">
        <f>MAX(0,Data!AD161-Data!Y161)</f>
        <v>549598.12</v>
      </c>
      <c r="F161" s="3">
        <f>Data!Y161</f>
        <v>172318.92</v>
      </c>
      <c r="G161" s="3">
        <f>Data!X161</f>
        <v>0</v>
      </c>
      <c r="H161" s="3">
        <f>Data!K161+Data!R161</f>
        <v>12232.880000000001</v>
      </c>
      <c r="I161" s="3">
        <f>Data!I161+Data!L161+Data!M161+Data!N161+Data!O161+Data!S161</f>
        <v>0</v>
      </c>
      <c r="J161" s="3">
        <f>Data!Q161</f>
        <v>0</v>
      </c>
      <c r="K161" s="3">
        <f>Data!J161+Data!P161</f>
        <v>-14561.649999999998</v>
      </c>
      <c r="L161" s="3">
        <f>Data!T161</f>
        <v>0</v>
      </c>
      <c r="M161" s="3">
        <f>ROUND(Data!AB161*$B$3,2)</f>
        <v>65791.28</v>
      </c>
      <c r="N161" s="3">
        <f>Data!U161</f>
        <v>0</v>
      </c>
      <c r="O161" s="3">
        <f t="shared" si="7"/>
        <v>1515245.49</v>
      </c>
      <c r="P161" s="3">
        <f t="shared" si="8"/>
        <v>1449454.21</v>
      </c>
      <c r="Q161" s="3">
        <f t="shared" si="9"/>
        <v>65791.28</v>
      </c>
    </row>
    <row r="162" spans="1:17" x14ac:dyDescent="0.2">
      <c r="A162" s="18">
        <v>511</v>
      </c>
      <c r="B162" s="18">
        <v>1</v>
      </c>
      <c r="C162" s="3" t="s">
        <v>158</v>
      </c>
      <c r="D162" s="3">
        <f>ROUND(Data!AA162*$B$3,2)</f>
        <v>92701.11</v>
      </c>
      <c r="E162" s="3">
        <f>MAX(0,Data!AD162-Data!Y162)</f>
        <v>139537.38</v>
      </c>
      <c r="F162" s="3">
        <f>Data!Y162</f>
        <v>21485.18</v>
      </c>
      <c r="G162" s="3">
        <f>Data!X162</f>
        <v>0</v>
      </c>
      <c r="H162" s="3">
        <f>Data!K162+Data!R162</f>
        <v>12245.050000000001</v>
      </c>
      <c r="I162" s="3">
        <f>Data!I162+Data!L162+Data!M162+Data!N162+Data!O162+Data!S162</f>
        <v>0</v>
      </c>
      <c r="J162" s="3">
        <f>Data!Q162</f>
        <v>0</v>
      </c>
      <c r="K162" s="3">
        <f>Data!J162+Data!P162</f>
        <v>9902.6299999999992</v>
      </c>
      <c r="L162" s="3">
        <f>Data!T162</f>
        <v>0</v>
      </c>
      <c r="M162" s="3">
        <f>ROUND(Data!AB162*$B$3,2)</f>
        <v>3511.89</v>
      </c>
      <c r="N162" s="3">
        <f>Data!U162</f>
        <v>0</v>
      </c>
      <c r="O162" s="3">
        <f t="shared" si="7"/>
        <v>279383.24</v>
      </c>
      <c r="P162" s="3">
        <f t="shared" si="8"/>
        <v>275871.34999999998</v>
      </c>
      <c r="Q162" s="3">
        <f t="shared" si="9"/>
        <v>3511.89</v>
      </c>
    </row>
    <row r="163" spans="1:17" x14ac:dyDescent="0.2">
      <c r="A163" s="18">
        <v>513</v>
      </c>
      <c r="B163" s="18">
        <v>1</v>
      </c>
      <c r="C163" s="3" t="s">
        <v>159</v>
      </c>
      <c r="D163" s="3">
        <f>ROUND(Data!AA163*$B$3,2)</f>
        <v>72620</v>
      </c>
      <c r="E163" s="3">
        <f>MAX(0,Data!AD163-Data!Y163)</f>
        <v>65369.39</v>
      </c>
      <c r="F163" s="3">
        <f>Data!Y163</f>
        <v>33457.410000000003</v>
      </c>
      <c r="G163" s="3">
        <f>Data!X163</f>
        <v>3066.79</v>
      </c>
      <c r="H163" s="3">
        <f>Data!K163+Data!R163</f>
        <v>0</v>
      </c>
      <c r="I163" s="3">
        <f>Data!I163+Data!L163+Data!M163+Data!N163+Data!O163+Data!S163</f>
        <v>0</v>
      </c>
      <c r="J163" s="3">
        <f>Data!Q163</f>
        <v>0</v>
      </c>
      <c r="K163" s="3">
        <f>Data!J163+Data!P163</f>
        <v>5255.68</v>
      </c>
      <c r="L163" s="3">
        <f>Data!T163</f>
        <v>0</v>
      </c>
      <c r="M163" s="3">
        <f>ROUND(Data!AB163*$B$3,2)</f>
        <v>8335.15</v>
      </c>
      <c r="N163" s="3">
        <f>Data!U163</f>
        <v>0</v>
      </c>
      <c r="O163" s="3">
        <f t="shared" si="7"/>
        <v>188104.42</v>
      </c>
      <c r="P163" s="3">
        <f t="shared" si="8"/>
        <v>179769.27000000002</v>
      </c>
      <c r="Q163" s="3">
        <f t="shared" si="9"/>
        <v>8335.15</v>
      </c>
    </row>
    <row r="164" spans="1:17" x14ac:dyDescent="0.2">
      <c r="A164" s="18">
        <v>514</v>
      </c>
      <c r="B164" s="18">
        <v>1</v>
      </c>
      <c r="C164" s="3" t="s">
        <v>160</v>
      </c>
      <c r="D164" s="3">
        <f>ROUND(Data!AA164*$B$3,2)</f>
        <v>32223.22</v>
      </c>
      <c r="E164" s="3">
        <f>MAX(0,Data!AD164-Data!Y164)</f>
        <v>0</v>
      </c>
      <c r="F164" s="3">
        <f>Data!Y164</f>
        <v>57410.63</v>
      </c>
      <c r="G164" s="3">
        <f>Data!X164</f>
        <v>0</v>
      </c>
      <c r="H164" s="3">
        <f>Data!K164+Data!R164</f>
        <v>11665.08</v>
      </c>
      <c r="I164" s="3">
        <f>Data!I164+Data!L164+Data!M164+Data!N164+Data!O164+Data!S164</f>
        <v>0</v>
      </c>
      <c r="J164" s="3">
        <f>Data!Q164</f>
        <v>0</v>
      </c>
      <c r="K164" s="3">
        <f>Data!J164+Data!P164</f>
        <v>6649.02</v>
      </c>
      <c r="L164" s="3">
        <f>Data!T164</f>
        <v>0</v>
      </c>
      <c r="M164" s="3">
        <f>ROUND(Data!AB164*$B$3,2)</f>
        <v>5669.35</v>
      </c>
      <c r="N164" s="3">
        <f>Data!U164</f>
        <v>0</v>
      </c>
      <c r="O164" s="3">
        <f t="shared" si="7"/>
        <v>113617.30000000002</v>
      </c>
      <c r="P164" s="3">
        <f t="shared" si="8"/>
        <v>107947.95000000001</v>
      </c>
      <c r="Q164" s="3">
        <f t="shared" si="9"/>
        <v>5669.35</v>
      </c>
    </row>
    <row r="165" spans="1:17" x14ac:dyDescent="0.2">
      <c r="A165" s="18">
        <v>516</v>
      </c>
      <c r="B165" s="18">
        <v>1</v>
      </c>
      <c r="C165" s="3" t="s">
        <v>161</v>
      </c>
      <c r="D165" s="3">
        <f>ROUND(Data!AA165*$B$3,2)</f>
        <v>20091.240000000002</v>
      </c>
      <c r="E165" s="3">
        <f>MAX(0,Data!AD165-Data!Y165)</f>
        <v>7447.57</v>
      </c>
      <c r="F165" s="3">
        <f>Data!Y165</f>
        <v>43750.91</v>
      </c>
      <c r="G165" s="3">
        <f>Data!X165</f>
        <v>4004.15</v>
      </c>
      <c r="H165" s="3">
        <f>Data!K165+Data!R165</f>
        <v>0</v>
      </c>
      <c r="I165" s="3">
        <f>Data!I165+Data!L165+Data!M165+Data!N165+Data!O165+Data!S165</f>
        <v>0</v>
      </c>
      <c r="J165" s="3">
        <f>Data!Q165</f>
        <v>0</v>
      </c>
      <c r="K165" s="3">
        <f>Data!J165+Data!P165</f>
        <v>-3622.6499999999996</v>
      </c>
      <c r="L165" s="3">
        <f>Data!T165</f>
        <v>0</v>
      </c>
      <c r="M165" s="3">
        <f>ROUND(Data!AB165*$B$3,2)</f>
        <v>8851.86</v>
      </c>
      <c r="N165" s="3">
        <f>Data!U165</f>
        <v>0</v>
      </c>
      <c r="O165" s="3">
        <f t="shared" si="7"/>
        <v>80523.08</v>
      </c>
      <c r="P165" s="3">
        <f t="shared" si="8"/>
        <v>71671.22</v>
      </c>
      <c r="Q165" s="3">
        <f t="shared" si="9"/>
        <v>8851.86</v>
      </c>
    </row>
    <row r="166" spans="1:17" x14ac:dyDescent="0.2">
      <c r="A166" s="18">
        <v>518</v>
      </c>
      <c r="B166" s="18">
        <v>1</v>
      </c>
      <c r="C166" s="3" t="s">
        <v>162</v>
      </c>
      <c r="D166" s="3">
        <f>ROUND(Data!AA166*$B$3,2)</f>
        <v>325386.03000000003</v>
      </c>
      <c r="E166" s="3">
        <f>MAX(0,Data!AD166-Data!Y166)</f>
        <v>730070.39</v>
      </c>
      <c r="F166" s="3">
        <f>Data!Y166</f>
        <v>75872.61</v>
      </c>
      <c r="G166" s="3">
        <f>Data!X166</f>
        <v>0</v>
      </c>
      <c r="H166" s="3">
        <f>Data!K166+Data!R166</f>
        <v>56933.04</v>
      </c>
      <c r="I166" s="3">
        <f>Data!I166+Data!L166+Data!M166+Data!N166+Data!O166+Data!S166</f>
        <v>0</v>
      </c>
      <c r="J166" s="3">
        <f>Data!Q166</f>
        <v>0</v>
      </c>
      <c r="K166" s="3">
        <f>Data!J166+Data!P166</f>
        <v>18930.77</v>
      </c>
      <c r="L166" s="3">
        <f>Data!T166</f>
        <v>0</v>
      </c>
      <c r="M166" s="3">
        <f>ROUND(Data!AB166*$B$3,2)</f>
        <v>82380.789999999994</v>
      </c>
      <c r="N166" s="3">
        <f>Data!U166</f>
        <v>0</v>
      </c>
      <c r="O166" s="3">
        <f t="shared" si="7"/>
        <v>1289573.6300000001</v>
      </c>
      <c r="P166" s="3">
        <f t="shared" si="8"/>
        <v>1207192.8400000001</v>
      </c>
      <c r="Q166" s="3">
        <f t="shared" si="9"/>
        <v>82380.789999999994</v>
      </c>
    </row>
    <row r="167" spans="1:17" x14ac:dyDescent="0.2">
      <c r="A167" s="18">
        <v>531</v>
      </c>
      <c r="B167" s="18">
        <v>1</v>
      </c>
      <c r="C167" s="3" t="s">
        <v>163</v>
      </c>
      <c r="D167" s="3">
        <f>ROUND(Data!AA167*$B$3,2)</f>
        <v>270406.65000000002</v>
      </c>
      <c r="E167" s="3">
        <f>MAX(0,Data!AD167-Data!Y167)</f>
        <v>134421.74</v>
      </c>
      <c r="F167" s="3">
        <f>Data!Y167</f>
        <v>45629.11</v>
      </c>
      <c r="G167" s="3">
        <f>Data!X167</f>
        <v>0</v>
      </c>
      <c r="H167" s="3">
        <f>Data!K167+Data!R167</f>
        <v>35272.97</v>
      </c>
      <c r="I167" s="3">
        <f>Data!I167+Data!L167+Data!M167+Data!N167+Data!O167+Data!S167</f>
        <v>0</v>
      </c>
      <c r="J167" s="3">
        <f>Data!Q167</f>
        <v>0</v>
      </c>
      <c r="K167" s="3">
        <f>Data!J167+Data!P167</f>
        <v>14432.74</v>
      </c>
      <c r="L167" s="3">
        <f>Data!T167</f>
        <v>0</v>
      </c>
      <c r="M167" s="3">
        <f>ROUND(Data!AB167*$B$3,2)</f>
        <v>47688.75</v>
      </c>
      <c r="N167" s="3">
        <f>Data!U167</f>
        <v>0</v>
      </c>
      <c r="O167" s="3">
        <f t="shared" si="7"/>
        <v>547851.96</v>
      </c>
      <c r="P167" s="3">
        <f t="shared" si="8"/>
        <v>500163.20999999996</v>
      </c>
      <c r="Q167" s="3">
        <f t="shared" si="9"/>
        <v>47688.75</v>
      </c>
    </row>
    <row r="168" spans="1:17" x14ac:dyDescent="0.2">
      <c r="A168" s="18">
        <v>533</v>
      </c>
      <c r="B168" s="18">
        <v>1</v>
      </c>
      <c r="C168" s="3" t="s">
        <v>164</v>
      </c>
      <c r="D168" s="3">
        <f>ROUND(Data!AA168*$B$3,2)</f>
        <v>205944.82</v>
      </c>
      <c r="E168" s="3">
        <f>MAX(0,Data!AD168-Data!Y168)</f>
        <v>33835.32</v>
      </c>
      <c r="F168" s="3">
        <f>Data!Y168</f>
        <v>0</v>
      </c>
      <c r="G168" s="3">
        <f>Data!X168</f>
        <v>0</v>
      </c>
      <c r="H168" s="3">
        <f>Data!K168+Data!R168</f>
        <v>20189.61</v>
      </c>
      <c r="I168" s="3">
        <f>Data!I168+Data!L168+Data!M168+Data!N168+Data!O168+Data!S168</f>
        <v>0</v>
      </c>
      <c r="J168" s="3">
        <f>Data!Q168</f>
        <v>0</v>
      </c>
      <c r="K168" s="3">
        <f>Data!J168+Data!P168</f>
        <v>20718.61</v>
      </c>
      <c r="L168" s="3">
        <f>Data!T168</f>
        <v>0</v>
      </c>
      <c r="M168" s="3">
        <f>ROUND(Data!AB168*$B$3,2)</f>
        <v>15434.87</v>
      </c>
      <c r="N168" s="3">
        <f>Data!U168</f>
        <v>0</v>
      </c>
      <c r="O168" s="3">
        <f t="shared" si="7"/>
        <v>296123.23</v>
      </c>
      <c r="P168" s="3">
        <f t="shared" si="8"/>
        <v>280688.36</v>
      </c>
      <c r="Q168" s="3">
        <f t="shared" si="9"/>
        <v>15434.87</v>
      </c>
    </row>
    <row r="169" spans="1:17" x14ac:dyDescent="0.2">
      <c r="A169" s="18">
        <v>534</v>
      </c>
      <c r="B169" s="18">
        <v>1</v>
      </c>
      <c r="C169" s="3" t="s">
        <v>165</v>
      </c>
      <c r="D169" s="3">
        <f>ROUND(Data!AA169*$B$3,2)</f>
        <v>328191.84999999998</v>
      </c>
      <c r="E169" s="3">
        <f>MAX(0,Data!AD169-Data!Y169)</f>
        <v>455930.25</v>
      </c>
      <c r="F169" s="3">
        <f>Data!Y169</f>
        <v>67031.990000000005</v>
      </c>
      <c r="G169" s="3">
        <f>Data!X169</f>
        <v>13095.74</v>
      </c>
      <c r="H169" s="3">
        <f>Data!K169+Data!R169</f>
        <v>37477.909999999996</v>
      </c>
      <c r="I169" s="3">
        <f>Data!I169+Data!L169+Data!M169+Data!N169+Data!O169+Data!S169</f>
        <v>0</v>
      </c>
      <c r="J169" s="3">
        <f>Data!Q169</f>
        <v>0</v>
      </c>
      <c r="K169" s="3">
        <f>Data!J169+Data!P169</f>
        <v>22295.48</v>
      </c>
      <c r="L169" s="3">
        <f>Data!T169</f>
        <v>0</v>
      </c>
      <c r="M169" s="3">
        <f>ROUND(Data!AB169*$B$3,2)</f>
        <v>51614.17</v>
      </c>
      <c r="N169" s="3">
        <f>Data!U169</f>
        <v>0</v>
      </c>
      <c r="O169" s="3">
        <f t="shared" si="7"/>
        <v>975637.39</v>
      </c>
      <c r="P169" s="3">
        <f t="shared" si="8"/>
        <v>924023.22</v>
      </c>
      <c r="Q169" s="3">
        <f t="shared" si="9"/>
        <v>51614.17</v>
      </c>
    </row>
    <row r="170" spans="1:17" x14ac:dyDescent="0.2">
      <c r="A170" s="18">
        <v>535</v>
      </c>
      <c r="B170" s="18">
        <v>1</v>
      </c>
      <c r="C170" s="3" t="s">
        <v>166</v>
      </c>
      <c r="D170" s="3">
        <f>ROUND(Data!AA170*$B$3,2)</f>
        <v>7746764.6799999997</v>
      </c>
      <c r="E170" s="3">
        <f>MAX(0,Data!AD170-Data!Y170)</f>
        <v>3153907.1099999994</v>
      </c>
      <c r="F170" s="3">
        <f>Data!Y170</f>
        <v>1455888.91</v>
      </c>
      <c r="G170" s="3">
        <f>Data!X170</f>
        <v>317690.53999999998</v>
      </c>
      <c r="H170" s="3">
        <f>Data!K170+Data!R170</f>
        <v>302069.90000000002</v>
      </c>
      <c r="I170" s="3">
        <f>Data!I170+Data!L170+Data!M170+Data!N170+Data!O170+Data!S170</f>
        <v>-11097</v>
      </c>
      <c r="J170" s="3">
        <f>Data!Q170</f>
        <v>0</v>
      </c>
      <c r="K170" s="3">
        <f>Data!J170+Data!P170</f>
        <v>177065.53</v>
      </c>
      <c r="L170" s="3">
        <f>Data!T170</f>
        <v>0</v>
      </c>
      <c r="M170" s="3">
        <f>ROUND(Data!AB170*$B$3,2)</f>
        <v>844987.79</v>
      </c>
      <c r="N170" s="3">
        <f>Data!U170</f>
        <v>0</v>
      </c>
      <c r="O170" s="3">
        <f t="shared" si="7"/>
        <v>13987277.459999997</v>
      </c>
      <c r="P170" s="3">
        <f t="shared" si="8"/>
        <v>13142289.669999998</v>
      </c>
      <c r="Q170" s="3">
        <f t="shared" si="9"/>
        <v>844987.79</v>
      </c>
    </row>
    <row r="171" spans="1:17" x14ac:dyDescent="0.2">
      <c r="A171" s="18">
        <v>542</v>
      </c>
      <c r="B171" s="18">
        <v>1</v>
      </c>
      <c r="C171" s="3" t="s">
        <v>167</v>
      </c>
      <c r="D171" s="3">
        <f>ROUND(Data!AA171*$B$3,2)</f>
        <v>167173.56</v>
      </c>
      <c r="E171" s="3">
        <f>MAX(0,Data!AD171-Data!Y171)</f>
        <v>0</v>
      </c>
      <c r="F171" s="3">
        <f>Data!Y171</f>
        <v>0</v>
      </c>
      <c r="G171" s="3">
        <f>Data!X171</f>
        <v>0</v>
      </c>
      <c r="H171" s="3">
        <f>Data!K171+Data!R171</f>
        <v>18028.53</v>
      </c>
      <c r="I171" s="3">
        <f>Data!I171+Data!L171+Data!M171+Data!N171+Data!O171+Data!S171</f>
        <v>0</v>
      </c>
      <c r="J171" s="3">
        <f>Data!Q171</f>
        <v>0</v>
      </c>
      <c r="K171" s="3">
        <f>Data!J171+Data!P171</f>
        <v>109.61000000000013</v>
      </c>
      <c r="L171" s="3">
        <f>Data!T171</f>
        <v>0</v>
      </c>
      <c r="M171" s="3">
        <f>ROUND(Data!AB171*$B$3,2)</f>
        <v>24032.12</v>
      </c>
      <c r="N171" s="3">
        <f>Data!U171</f>
        <v>0</v>
      </c>
      <c r="O171" s="3">
        <f t="shared" si="7"/>
        <v>209343.81999999998</v>
      </c>
      <c r="P171" s="3">
        <f t="shared" si="8"/>
        <v>185311.69999999998</v>
      </c>
      <c r="Q171" s="3">
        <f t="shared" si="9"/>
        <v>24032.12</v>
      </c>
    </row>
    <row r="172" spans="1:17" x14ac:dyDescent="0.2">
      <c r="A172" s="18">
        <v>544</v>
      </c>
      <c r="B172" s="18">
        <v>1</v>
      </c>
      <c r="C172" s="3" t="s">
        <v>168</v>
      </c>
      <c r="D172" s="3">
        <f>ROUND(Data!AA172*$B$3,2)</f>
        <v>795977.4</v>
      </c>
      <c r="E172" s="3">
        <f>MAX(0,Data!AD172-Data!Y172)</f>
        <v>300634.90999999997</v>
      </c>
      <c r="F172" s="3">
        <f>Data!Y172</f>
        <v>194521.26</v>
      </c>
      <c r="G172" s="3">
        <f>Data!X172</f>
        <v>0</v>
      </c>
      <c r="H172" s="3">
        <f>Data!K172+Data!R172</f>
        <v>77623.76999999999</v>
      </c>
      <c r="I172" s="3">
        <f>Data!I172+Data!L172+Data!M172+Data!N172+Data!O172+Data!S172</f>
        <v>0</v>
      </c>
      <c r="J172" s="3">
        <f>Data!Q172</f>
        <v>0</v>
      </c>
      <c r="K172" s="3">
        <f>Data!J172+Data!P172</f>
        <v>19206.34</v>
      </c>
      <c r="L172" s="3">
        <f>Data!T172</f>
        <v>0</v>
      </c>
      <c r="M172" s="3">
        <f>ROUND(Data!AB172*$B$3,2)</f>
        <v>127259.54</v>
      </c>
      <c r="N172" s="3">
        <f>Data!U172</f>
        <v>0</v>
      </c>
      <c r="O172" s="3">
        <f t="shared" si="7"/>
        <v>1515223.2200000002</v>
      </c>
      <c r="P172" s="3">
        <f t="shared" si="8"/>
        <v>1387963.6800000002</v>
      </c>
      <c r="Q172" s="3">
        <f t="shared" si="9"/>
        <v>127259.54</v>
      </c>
    </row>
    <row r="173" spans="1:17" x14ac:dyDescent="0.2">
      <c r="A173" s="18">
        <v>545</v>
      </c>
      <c r="B173" s="18">
        <v>1</v>
      </c>
      <c r="C173" s="3" t="s">
        <v>169</v>
      </c>
      <c r="D173" s="3">
        <f>ROUND(Data!AA173*$B$3,2)</f>
        <v>108990.02</v>
      </c>
      <c r="E173" s="3">
        <f>MAX(0,Data!AD173-Data!Y173)</f>
        <v>189708.13999999998</v>
      </c>
      <c r="F173" s="3">
        <f>Data!Y173</f>
        <v>37137.35</v>
      </c>
      <c r="G173" s="3">
        <f>Data!X173</f>
        <v>0</v>
      </c>
      <c r="H173" s="3">
        <f>Data!K173+Data!R173</f>
        <v>9515.08</v>
      </c>
      <c r="I173" s="3">
        <f>Data!I173+Data!L173+Data!M173+Data!N173+Data!O173+Data!S173</f>
        <v>0</v>
      </c>
      <c r="J173" s="3">
        <f>Data!Q173</f>
        <v>0</v>
      </c>
      <c r="K173" s="3">
        <f>Data!J173+Data!P173</f>
        <v>1908.1</v>
      </c>
      <c r="L173" s="3">
        <f>Data!T173</f>
        <v>0</v>
      </c>
      <c r="M173" s="3">
        <f>ROUND(Data!AB173*$B$3,2)</f>
        <v>20637.61</v>
      </c>
      <c r="N173" s="3">
        <f>Data!U173</f>
        <v>0</v>
      </c>
      <c r="O173" s="3">
        <f t="shared" si="7"/>
        <v>367896.29999999993</v>
      </c>
      <c r="P173" s="3">
        <f t="shared" si="8"/>
        <v>347258.68999999994</v>
      </c>
      <c r="Q173" s="3">
        <f t="shared" si="9"/>
        <v>20637.61</v>
      </c>
    </row>
    <row r="174" spans="1:17" x14ac:dyDescent="0.2">
      <c r="A174" s="18">
        <v>547</v>
      </c>
      <c r="B174" s="18">
        <v>1</v>
      </c>
      <c r="C174" s="3" t="s">
        <v>170</v>
      </c>
      <c r="D174" s="3">
        <f>ROUND(Data!AA174*$B$3,2)</f>
        <v>64233.75</v>
      </c>
      <c r="E174" s="3">
        <f>MAX(0,Data!AD174-Data!Y174)</f>
        <v>230171.49000000002</v>
      </c>
      <c r="F174" s="3">
        <f>Data!Y174</f>
        <v>24144.3</v>
      </c>
      <c r="G174" s="3">
        <f>Data!X174</f>
        <v>0</v>
      </c>
      <c r="H174" s="3">
        <f>Data!K174+Data!R174</f>
        <v>21102.05</v>
      </c>
      <c r="I174" s="3">
        <f>Data!I174+Data!L174+Data!M174+Data!N174+Data!O174+Data!S174</f>
        <v>0</v>
      </c>
      <c r="J174" s="3">
        <f>Data!Q174</f>
        <v>0</v>
      </c>
      <c r="K174" s="3">
        <f>Data!J174+Data!P174</f>
        <v>-16604</v>
      </c>
      <c r="L174" s="3">
        <f>Data!T174</f>
        <v>0</v>
      </c>
      <c r="M174" s="3">
        <f>ROUND(Data!AB174*$B$3,2)</f>
        <v>23160.35</v>
      </c>
      <c r="N174" s="3">
        <f>Data!U174</f>
        <v>0</v>
      </c>
      <c r="O174" s="3">
        <f t="shared" si="7"/>
        <v>346207.93999999994</v>
      </c>
      <c r="P174" s="3">
        <f t="shared" si="8"/>
        <v>323047.58999999997</v>
      </c>
      <c r="Q174" s="3">
        <f t="shared" si="9"/>
        <v>23160.35</v>
      </c>
    </row>
    <row r="175" spans="1:17" x14ac:dyDescent="0.2">
      <c r="A175" s="18">
        <v>548</v>
      </c>
      <c r="B175" s="18">
        <v>1</v>
      </c>
      <c r="C175" s="3" t="s">
        <v>171</v>
      </c>
      <c r="D175" s="3">
        <f>ROUND(Data!AA175*$B$3,2)</f>
        <v>231807.06</v>
      </c>
      <c r="E175" s="3">
        <f>MAX(0,Data!AD175-Data!Y175)</f>
        <v>355472.06</v>
      </c>
      <c r="F175" s="3">
        <f>Data!Y175</f>
        <v>0</v>
      </c>
      <c r="G175" s="3">
        <f>Data!X175</f>
        <v>0</v>
      </c>
      <c r="H175" s="3">
        <f>Data!K175+Data!R175</f>
        <v>26756.85</v>
      </c>
      <c r="I175" s="3">
        <f>Data!I175+Data!L175+Data!M175+Data!N175+Data!O175+Data!S175</f>
        <v>0</v>
      </c>
      <c r="J175" s="3">
        <f>Data!Q175</f>
        <v>0</v>
      </c>
      <c r="K175" s="3">
        <f>Data!J175+Data!P175</f>
        <v>3766.25</v>
      </c>
      <c r="L175" s="3">
        <f>Data!T175</f>
        <v>0</v>
      </c>
      <c r="M175" s="3">
        <f>ROUND(Data!AB175*$B$3,2)</f>
        <v>49455.360000000001</v>
      </c>
      <c r="N175" s="3">
        <f>Data!U175</f>
        <v>0</v>
      </c>
      <c r="O175" s="3">
        <f t="shared" si="7"/>
        <v>667257.57999999996</v>
      </c>
      <c r="P175" s="3">
        <f t="shared" si="8"/>
        <v>617802.22</v>
      </c>
      <c r="Q175" s="3">
        <f t="shared" si="9"/>
        <v>49455.360000000001</v>
      </c>
    </row>
    <row r="176" spans="1:17" x14ac:dyDescent="0.2">
      <c r="A176" s="18">
        <v>549</v>
      </c>
      <c r="B176" s="18">
        <v>1</v>
      </c>
      <c r="C176" s="3" t="s">
        <v>172</v>
      </c>
      <c r="D176" s="3">
        <f>ROUND(Data!AA176*$B$3,2)</f>
        <v>422028.88</v>
      </c>
      <c r="E176" s="3">
        <f>MAX(0,Data!AD176-Data!Y176)</f>
        <v>0</v>
      </c>
      <c r="F176" s="3">
        <f>Data!Y176</f>
        <v>134947.70000000001</v>
      </c>
      <c r="G176" s="3">
        <f>Data!X176</f>
        <v>0</v>
      </c>
      <c r="H176" s="3">
        <f>Data!K176+Data!R176</f>
        <v>40611.9</v>
      </c>
      <c r="I176" s="3">
        <f>Data!I176+Data!L176+Data!M176+Data!N176+Data!O176+Data!S176</f>
        <v>0</v>
      </c>
      <c r="J176" s="3">
        <f>Data!Q176</f>
        <v>0</v>
      </c>
      <c r="K176" s="3">
        <f>Data!J176+Data!P176</f>
        <v>27572.73</v>
      </c>
      <c r="L176" s="3">
        <f>Data!T176</f>
        <v>0</v>
      </c>
      <c r="M176" s="3">
        <f>ROUND(Data!AB176*$B$3,2)</f>
        <v>67628.83</v>
      </c>
      <c r="N176" s="3">
        <f>Data!U176</f>
        <v>0</v>
      </c>
      <c r="O176" s="3">
        <f t="shared" si="7"/>
        <v>692790.04</v>
      </c>
      <c r="P176" s="3">
        <f t="shared" si="8"/>
        <v>625161.21000000008</v>
      </c>
      <c r="Q176" s="3">
        <f t="shared" si="9"/>
        <v>67628.83</v>
      </c>
    </row>
    <row r="177" spans="1:17" x14ac:dyDescent="0.2">
      <c r="A177" s="18">
        <v>550</v>
      </c>
      <c r="B177" s="18">
        <v>1</v>
      </c>
      <c r="C177" s="3" t="s">
        <v>173</v>
      </c>
      <c r="D177" s="3">
        <f>ROUND(Data!AA177*$B$3,2)</f>
        <v>55144.23</v>
      </c>
      <c r="E177" s="3">
        <f>MAX(0,Data!AD177-Data!Y177)</f>
        <v>0</v>
      </c>
      <c r="F177" s="3">
        <f>Data!Y177</f>
        <v>11066.56</v>
      </c>
      <c r="G177" s="3">
        <f>Data!X177</f>
        <v>0</v>
      </c>
      <c r="H177" s="3">
        <f>Data!K177+Data!R177</f>
        <v>11715.96</v>
      </c>
      <c r="I177" s="3">
        <f>Data!I177+Data!L177+Data!M177+Data!N177+Data!O177+Data!S177</f>
        <v>0</v>
      </c>
      <c r="J177" s="3">
        <f>Data!Q177</f>
        <v>0</v>
      </c>
      <c r="K177" s="3">
        <f>Data!J177+Data!P177</f>
        <v>5102.5200000000004</v>
      </c>
      <c r="L177" s="3">
        <f>Data!T177</f>
        <v>0</v>
      </c>
      <c r="M177" s="3">
        <f>ROUND(Data!AB177*$B$3,2)</f>
        <v>15528.9</v>
      </c>
      <c r="N177" s="3">
        <f>Data!U177</f>
        <v>0</v>
      </c>
      <c r="O177" s="3">
        <f t="shared" si="7"/>
        <v>98558.17</v>
      </c>
      <c r="P177" s="3">
        <f t="shared" si="8"/>
        <v>83029.27</v>
      </c>
      <c r="Q177" s="3">
        <f t="shared" si="9"/>
        <v>15528.9</v>
      </c>
    </row>
    <row r="178" spans="1:17" x14ac:dyDescent="0.2">
      <c r="A178" s="18">
        <v>553</v>
      </c>
      <c r="B178" s="18">
        <v>1</v>
      </c>
      <c r="C178" s="3" t="s">
        <v>174</v>
      </c>
      <c r="D178" s="3">
        <f>ROUND(Data!AA178*$B$3,2)</f>
        <v>35705.58</v>
      </c>
      <c r="E178" s="3">
        <f>MAX(0,Data!AD178-Data!Y178)</f>
        <v>70790.53</v>
      </c>
      <c r="F178" s="3">
        <f>Data!Y178</f>
        <v>19531.990000000002</v>
      </c>
      <c r="G178" s="3">
        <f>Data!X178</f>
        <v>0</v>
      </c>
      <c r="H178" s="3">
        <f>Data!K178+Data!R178</f>
        <v>27005.77</v>
      </c>
      <c r="I178" s="3">
        <f>Data!I178+Data!L178+Data!M178+Data!N178+Data!O178+Data!S178</f>
        <v>0</v>
      </c>
      <c r="J178" s="3">
        <f>Data!Q178</f>
        <v>0</v>
      </c>
      <c r="K178" s="3">
        <f>Data!J178+Data!P178</f>
        <v>9740.9500000000007</v>
      </c>
      <c r="L178" s="3">
        <f>Data!T178</f>
        <v>0</v>
      </c>
      <c r="M178" s="3">
        <f>ROUND(Data!AB178*$B$3,2)</f>
        <v>19140.16</v>
      </c>
      <c r="N178" s="3">
        <f>Data!U178</f>
        <v>0</v>
      </c>
      <c r="O178" s="3">
        <f t="shared" si="7"/>
        <v>181914.98</v>
      </c>
      <c r="P178" s="3">
        <f t="shared" si="8"/>
        <v>162774.82</v>
      </c>
      <c r="Q178" s="3">
        <f t="shared" si="9"/>
        <v>19140.16</v>
      </c>
    </row>
    <row r="179" spans="1:17" x14ac:dyDescent="0.2">
      <c r="A179" s="18">
        <v>561</v>
      </c>
      <c r="B179" s="18">
        <v>1</v>
      </c>
      <c r="C179" s="3" t="s">
        <v>175</v>
      </c>
      <c r="D179" s="3">
        <f>ROUND(Data!AA179*$B$3,2)</f>
        <v>20874.25</v>
      </c>
      <c r="E179" s="3">
        <f>MAX(0,Data!AD179-Data!Y179)</f>
        <v>46501.869999999995</v>
      </c>
      <c r="F179" s="3">
        <f>Data!Y179</f>
        <v>11548.19</v>
      </c>
      <c r="G179" s="3">
        <f>Data!X179</f>
        <v>0</v>
      </c>
      <c r="H179" s="3">
        <f>Data!K179+Data!R179</f>
        <v>0</v>
      </c>
      <c r="I179" s="3">
        <f>Data!I179+Data!L179+Data!M179+Data!N179+Data!O179+Data!S179</f>
        <v>0</v>
      </c>
      <c r="J179" s="3">
        <f>Data!Q179</f>
        <v>0</v>
      </c>
      <c r="K179" s="3">
        <f>Data!J179+Data!P179</f>
        <v>5911.3</v>
      </c>
      <c r="L179" s="3">
        <f>Data!T179</f>
        <v>0</v>
      </c>
      <c r="M179" s="3">
        <f>ROUND(Data!AB179*$B$3,2)</f>
        <v>6085.46</v>
      </c>
      <c r="N179" s="3">
        <f>Data!U179</f>
        <v>0</v>
      </c>
      <c r="O179" s="3">
        <f t="shared" si="7"/>
        <v>90921.07</v>
      </c>
      <c r="P179" s="3">
        <f t="shared" si="8"/>
        <v>84835.61</v>
      </c>
      <c r="Q179" s="3">
        <f t="shared" si="9"/>
        <v>6085.46</v>
      </c>
    </row>
    <row r="180" spans="1:17" x14ac:dyDescent="0.2">
      <c r="A180" s="18">
        <v>564</v>
      </c>
      <c r="B180" s="18">
        <v>1</v>
      </c>
      <c r="C180" s="3" t="s">
        <v>176</v>
      </c>
      <c r="D180" s="3">
        <f>ROUND(Data!AA180*$B$3,2)</f>
        <v>460354.25</v>
      </c>
      <c r="E180" s="3">
        <f>MAX(0,Data!AD180-Data!Y180)</f>
        <v>402717.35</v>
      </c>
      <c r="F180" s="3">
        <f>Data!Y180</f>
        <v>76655.520000000004</v>
      </c>
      <c r="G180" s="3">
        <f>Data!X180</f>
        <v>0</v>
      </c>
      <c r="H180" s="3">
        <f>Data!K180+Data!R180</f>
        <v>50502.06</v>
      </c>
      <c r="I180" s="3">
        <f>Data!I180+Data!L180+Data!M180+Data!N180+Data!O180+Data!S180</f>
        <v>0</v>
      </c>
      <c r="J180" s="3">
        <f>Data!Q180</f>
        <v>0</v>
      </c>
      <c r="K180" s="3">
        <f>Data!J180+Data!P180</f>
        <v>40004.5</v>
      </c>
      <c r="L180" s="3">
        <f>Data!T180</f>
        <v>0</v>
      </c>
      <c r="M180" s="3">
        <f>ROUND(Data!AB180*$B$3,2)</f>
        <v>62085.73</v>
      </c>
      <c r="N180" s="3">
        <f>Data!U180</f>
        <v>0</v>
      </c>
      <c r="O180" s="3">
        <f t="shared" si="7"/>
        <v>1092319.4099999999</v>
      </c>
      <c r="P180" s="3">
        <f t="shared" si="8"/>
        <v>1030233.6799999999</v>
      </c>
      <c r="Q180" s="3">
        <f t="shared" si="9"/>
        <v>62085.73</v>
      </c>
    </row>
    <row r="181" spans="1:17" x14ac:dyDescent="0.2">
      <c r="A181" s="18">
        <v>577</v>
      </c>
      <c r="B181" s="18">
        <v>1</v>
      </c>
      <c r="C181" s="3" t="s">
        <v>177</v>
      </c>
      <c r="D181" s="3">
        <f>ROUND(Data!AA181*$B$3,2)</f>
        <v>83696.990000000005</v>
      </c>
      <c r="E181" s="3">
        <f>MAX(0,Data!AD181-Data!Y181)</f>
        <v>3534.260000000002</v>
      </c>
      <c r="F181" s="3">
        <f>Data!Y181</f>
        <v>20976.46</v>
      </c>
      <c r="G181" s="3">
        <f>Data!X181</f>
        <v>0</v>
      </c>
      <c r="H181" s="3">
        <f>Data!K181+Data!R181</f>
        <v>11665.08</v>
      </c>
      <c r="I181" s="3">
        <f>Data!I181+Data!L181+Data!M181+Data!N181+Data!O181+Data!S181</f>
        <v>0</v>
      </c>
      <c r="J181" s="3">
        <f>Data!Q181</f>
        <v>0</v>
      </c>
      <c r="K181" s="3">
        <f>Data!J181+Data!P181</f>
        <v>8563.5499999999993</v>
      </c>
      <c r="L181" s="3">
        <f>Data!T181</f>
        <v>0</v>
      </c>
      <c r="M181" s="3">
        <f>ROUND(Data!AB181*$B$3,2)</f>
        <v>20654.89</v>
      </c>
      <c r="N181" s="3">
        <f>Data!U181</f>
        <v>0</v>
      </c>
      <c r="O181" s="3">
        <f t="shared" si="7"/>
        <v>149091.22999999998</v>
      </c>
      <c r="P181" s="3">
        <f t="shared" si="8"/>
        <v>128436.34</v>
      </c>
      <c r="Q181" s="3">
        <f t="shared" si="9"/>
        <v>20654.89</v>
      </c>
    </row>
    <row r="182" spans="1:17" x14ac:dyDescent="0.2">
      <c r="A182" s="18">
        <v>578</v>
      </c>
      <c r="B182" s="18">
        <v>1</v>
      </c>
      <c r="C182" s="3" t="s">
        <v>178</v>
      </c>
      <c r="D182" s="3">
        <f>ROUND(Data!AA182*$B$3,2)</f>
        <v>280181.28999999998</v>
      </c>
      <c r="E182" s="3">
        <f>MAX(0,Data!AD182-Data!Y182)</f>
        <v>527747.59</v>
      </c>
      <c r="F182" s="3">
        <f>Data!Y182</f>
        <v>95310.14</v>
      </c>
      <c r="G182" s="3">
        <f>Data!X182</f>
        <v>0</v>
      </c>
      <c r="H182" s="3">
        <f>Data!K182+Data!R182</f>
        <v>16117.590000000004</v>
      </c>
      <c r="I182" s="3">
        <f>Data!I182+Data!L182+Data!M182+Data!N182+Data!O182+Data!S182</f>
        <v>0</v>
      </c>
      <c r="J182" s="3">
        <f>Data!Q182</f>
        <v>0</v>
      </c>
      <c r="K182" s="3">
        <f>Data!J182+Data!P182</f>
        <v>11120</v>
      </c>
      <c r="L182" s="3">
        <f>Data!T182</f>
        <v>0</v>
      </c>
      <c r="M182" s="3">
        <f>ROUND(Data!AB182*$B$3,2)</f>
        <v>60913.69</v>
      </c>
      <c r="N182" s="3">
        <f>Data!U182</f>
        <v>0</v>
      </c>
      <c r="O182" s="3">
        <f t="shared" si="7"/>
        <v>991390.29999999981</v>
      </c>
      <c r="P182" s="3">
        <f t="shared" si="8"/>
        <v>930476.60999999987</v>
      </c>
      <c r="Q182" s="3">
        <f t="shared" si="9"/>
        <v>60913.69</v>
      </c>
    </row>
    <row r="183" spans="1:17" x14ac:dyDescent="0.2">
      <c r="A183" s="18">
        <v>581</v>
      </c>
      <c r="B183" s="18">
        <v>1</v>
      </c>
      <c r="C183" s="3" t="s">
        <v>179</v>
      </c>
      <c r="D183" s="3">
        <f>ROUND(Data!AA183*$B$3,2)</f>
        <v>69789.320000000007</v>
      </c>
      <c r="E183" s="3">
        <f>MAX(0,Data!AD183-Data!Y183)</f>
        <v>84081.25999999998</v>
      </c>
      <c r="F183" s="3">
        <f>Data!Y183</f>
        <v>52073.1</v>
      </c>
      <c r="G183" s="3">
        <f>Data!X183</f>
        <v>2335.4899999999998</v>
      </c>
      <c r="H183" s="3">
        <f>Data!K183+Data!R183</f>
        <v>11665.08</v>
      </c>
      <c r="I183" s="3">
        <f>Data!I183+Data!L183+Data!M183+Data!N183+Data!O183+Data!S183</f>
        <v>0</v>
      </c>
      <c r="J183" s="3">
        <f>Data!Q183</f>
        <v>0</v>
      </c>
      <c r="K183" s="3">
        <f>Data!J183+Data!P183</f>
        <v>0</v>
      </c>
      <c r="L183" s="3">
        <f>Data!T183</f>
        <v>0</v>
      </c>
      <c r="M183" s="3">
        <f>ROUND(Data!AB183*$B$3,2)</f>
        <v>14109.07</v>
      </c>
      <c r="N183" s="3">
        <f>Data!U183</f>
        <v>0</v>
      </c>
      <c r="O183" s="3">
        <f t="shared" si="7"/>
        <v>234053.31999999998</v>
      </c>
      <c r="P183" s="3">
        <f t="shared" si="8"/>
        <v>219944.24999999997</v>
      </c>
      <c r="Q183" s="3">
        <f t="shared" si="9"/>
        <v>14109.07</v>
      </c>
    </row>
    <row r="184" spans="1:17" x14ac:dyDescent="0.2">
      <c r="A184" s="18">
        <v>592</v>
      </c>
      <c r="B184" s="18">
        <v>1</v>
      </c>
      <c r="C184" s="3" t="s">
        <v>180</v>
      </c>
      <c r="D184" s="3">
        <f>ROUND(Data!AA184*$B$3,2)</f>
        <v>31191.16</v>
      </c>
      <c r="E184" s="3">
        <f>MAX(0,Data!AD184-Data!Y184)</f>
        <v>8129.5699999999924</v>
      </c>
      <c r="F184" s="3">
        <f>Data!Y184</f>
        <v>59852.66</v>
      </c>
      <c r="G184" s="3">
        <f>Data!X184</f>
        <v>0</v>
      </c>
      <c r="H184" s="3">
        <f>Data!K184+Data!R184</f>
        <v>11665.08</v>
      </c>
      <c r="I184" s="3">
        <f>Data!I184+Data!L184+Data!M184+Data!N184+Data!O184+Data!S184</f>
        <v>0</v>
      </c>
      <c r="J184" s="3">
        <f>Data!Q184</f>
        <v>0</v>
      </c>
      <c r="K184" s="3">
        <f>Data!J184+Data!P184</f>
        <v>3348.75</v>
      </c>
      <c r="L184" s="3">
        <f>Data!T184</f>
        <v>0</v>
      </c>
      <c r="M184" s="3">
        <f>ROUND(Data!AB184*$B$3,2)</f>
        <v>6375.15</v>
      </c>
      <c r="N184" s="3">
        <f>Data!U184</f>
        <v>0</v>
      </c>
      <c r="O184" s="3">
        <f t="shared" si="7"/>
        <v>120562.37</v>
      </c>
      <c r="P184" s="3">
        <f t="shared" si="8"/>
        <v>114187.22</v>
      </c>
      <c r="Q184" s="3">
        <f t="shared" si="9"/>
        <v>6375.15</v>
      </c>
    </row>
    <row r="185" spans="1:17" x14ac:dyDescent="0.2">
      <c r="A185" s="18">
        <v>593</v>
      </c>
      <c r="B185" s="18">
        <v>1</v>
      </c>
      <c r="C185" s="3" t="s">
        <v>181</v>
      </c>
      <c r="D185" s="3">
        <f>ROUND(Data!AA185*$B$3,2)</f>
        <v>304113.27</v>
      </c>
      <c r="E185" s="3">
        <f>MAX(0,Data!AD185-Data!Y185)</f>
        <v>674336.66</v>
      </c>
      <c r="F185" s="3">
        <f>Data!Y185</f>
        <v>0</v>
      </c>
      <c r="G185" s="3">
        <f>Data!X185</f>
        <v>0</v>
      </c>
      <c r="H185" s="3">
        <f>Data!K185+Data!R185</f>
        <v>42558.14</v>
      </c>
      <c r="I185" s="3">
        <f>Data!I185+Data!L185+Data!M185+Data!N185+Data!O185+Data!S185</f>
        <v>0</v>
      </c>
      <c r="J185" s="3">
        <f>Data!Q185</f>
        <v>0</v>
      </c>
      <c r="K185" s="3">
        <f>Data!J185+Data!P185</f>
        <v>43973.119999999995</v>
      </c>
      <c r="L185" s="3">
        <f>Data!T185</f>
        <v>0</v>
      </c>
      <c r="M185" s="3">
        <f>ROUND(Data!AB185*$B$3,2)</f>
        <v>52454.36</v>
      </c>
      <c r="N185" s="3">
        <f>Data!U185</f>
        <v>0</v>
      </c>
      <c r="O185" s="3">
        <f t="shared" si="7"/>
        <v>1117435.55</v>
      </c>
      <c r="P185" s="3">
        <f t="shared" si="8"/>
        <v>1064981.19</v>
      </c>
      <c r="Q185" s="3">
        <f t="shared" si="9"/>
        <v>52454.36</v>
      </c>
    </row>
    <row r="186" spans="1:17" x14ac:dyDescent="0.2">
      <c r="A186" s="18">
        <v>595</v>
      </c>
      <c r="B186" s="18">
        <v>1</v>
      </c>
      <c r="C186" s="3" t="s">
        <v>182</v>
      </c>
      <c r="D186" s="3">
        <f>ROUND(Data!AA186*$B$3,2)</f>
        <v>239681.89</v>
      </c>
      <c r="E186" s="3">
        <f>MAX(0,Data!AD186-Data!Y186)</f>
        <v>346384.54</v>
      </c>
      <c r="F186" s="3">
        <f>Data!Y186</f>
        <v>0</v>
      </c>
      <c r="G186" s="3">
        <f>Data!X186</f>
        <v>0</v>
      </c>
      <c r="H186" s="3">
        <f>Data!K186+Data!R186</f>
        <v>54477.120000000003</v>
      </c>
      <c r="I186" s="3">
        <f>Data!I186+Data!L186+Data!M186+Data!N186+Data!O186+Data!S186</f>
        <v>0</v>
      </c>
      <c r="J186" s="3">
        <f>Data!Q186</f>
        <v>0</v>
      </c>
      <c r="K186" s="3">
        <f>Data!J186+Data!P186</f>
        <v>-1740.58</v>
      </c>
      <c r="L186" s="3">
        <f>Data!T186</f>
        <v>0</v>
      </c>
      <c r="M186" s="3">
        <f>ROUND(Data!AB186*$B$3,2)</f>
        <v>56048.56</v>
      </c>
      <c r="N186" s="3">
        <f>Data!U186</f>
        <v>0</v>
      </c>
      <c r="O186" s="3">
        <f t="shared" si="7"/>
        <v>694851.53</v>
      </c>
      <c r="P186" s="3">
        <f t="shared" si="8"/>
        <v>638802.97</v>
      </c>
      <c r="Q186" s="3">
        <f t="shared" si="9"/>
        <v>56048.56</v>
      </c>
    </row>
    <row r="187" spans="1:17" x14ac:dyDescent="0.2">
      <c r="A187" s="18">
        <v>599</v>
      </c>
      <c r="B187" s="18">
        <v>1</v>
      </c>
      <c r="C187" s="3" t="s">
        <v>183</v>
      </c>
      <c r="D187" s="3">
        <f>ROUND(Data!AA187*$B$3,2)</f>
        <v>112811.38</v>
      </c>
      <c r="E187" s="3">
        <f>MAX(0,Data!AD187-Data!Y187)</f>
        <v>176035.14</v>
      </c>
      <c r="F187" s="3">
        <f>Data!Y187</f>
        <v>37537.56</v>
      </c>
      <c r="G187" s="3">
        <f>Data!X187</f>
        <v>0</v>
      </c>
      <c r="H187" s="3">
        <f>Data!K187+Data!R187</f>
        <v>20351.88</v>
      </c>
      <c r="I187" s="3">
        <f>Data!I187+Data!L187+Data!M187+Data!N187+Data!O187+Data!S187</f>
        <v>0</v>
      </c>
      <c r="J187" s="3">
        <f>Data!Q187</f>
        <v>0</v>
      </c>
      <c r="K187" s="3">
        <f>Data!J187+Data!P187</f>
        <v>-10880.64</v>
      </c>
      <c r="L187" s="3">
        <f>Data!T187</f>
        <v>0</v>
      </c>
      <c r="M187" s="3">
        <f>ROUND(Data!AB187*$B$3,2)</f>
        <v>19061.77</v>
      </c>
      <c r="N187" s="3">
        <f>Data!U187</f>
        <v>0</v>
      </c>
      <c r="O187" s="3">
        <f t="shared" si="7"/>
        <v>354917.09</v>
      </c>
      <c r="P187" s="3">
        <f t="shared" si="8"/>
        <v>335855.32</v>
      </c>
      <c r="Q187" s="3">
        <f t="shared" si="9"/>
        <v>19061.77</v>
      </c>
    </row>
    <row r="188" spans="1:17" x14ac:dyDescent="0.2">
      <c r="A188" s="18">
        <v>600</v>
      </c>
      <c r="B188" s="18">
        <v>1</v>
      </c>
      <c r="C188" s="3" t="s">
        <v>184</v>
      </c>
      <c r="D188" s="3">
        <f>ROUND(Data!AA188*$B$3,2)</f>
        <v>51031.82</v>
      </c>
      <c r="E188" s="3">
        <f>MAX(0,Data!AD188-Data!Y188)</f>
        <v>0</v>
      </c>
      <c r="F188" s="3">
        <f>Data!Y188</f>
        <v>75126.47</v>
      </c>
      <c r="G188" s="3">
        <f>Data!X188</f>
        <v>0</v>
      </c>
      <c r="H188" s="3">
        <f>Data!K188+Data!R188</f>
        <v>11665.08</v>
      </c>
      <c r="I188" s="3">
        <f>Data!I188+Data!L188+Data!M188+Data!N188+Data!O188+Data!S188</f>
        <v>0</v>
      </c>
      <c r="J188" s="3">
        <f>Data!Q188</f>
        <v>-13267.66</v>
      </c>
      <c r="K188" s="3">
        <f>Data!J188+Data!P188</f>
        <v>13267.66</v>
      </c>
      <c r="L188" s="3">
        <f>Data!T188</f>
        <v>0</v>
      </c>
      <c r="M188" s="3">
        <f>ROUND(Data!AB188*$B$3,2)</f>
        <v>10633.68</v>
      </c>
      <c r="N188" s="3">
        <f>Data!U188</f>
        <v>0</v>
      </c>
      <c r="O188" s="3">
        <f t="shared" si="7"/>
        <v>148457.04999999999</v>
      </c>
      <c r="P188" s="3">
        <f t="shared" si="8"/>
        <v>137823.37</v>
      </c>
      <c r="Q188" s="3">
        <f t="shared" si="9"/>
        <v>10633.68</v>
      </c>
    </row>
    <row r="189" spans="1:17" x14ac:dyDescent="0.2">
      <c r="A189" s="18">
        <v>601</v>
      </c>
      <c r="B189" s="18">
        <v>1</v>
      </c>
      <c r="C189" s="3" t="s">
        <v>185</v>
      </c>
      <c r="D189" s="3">
        <f>ROUND(Data!AA189*$B$3,2)</f>
        <v>127994.9</v>
      </c>
      <c r="E189" s="3">
        <f>MAX(0,Data!AD189-Data!Y189)</f>
        <v>93215.08</v>
      </c>
      <c r="F189" s="3">
        <f>Data!Y189</f>
        <v>10280.629999999999</v>
      </c>
      <c r="G189" s="3">
        <f>Data!X189</f>
        <v>5949.94</v>
      </c>
      <c r="H189" s="3">
        <f>Data!K189+Data!R189</f>
        <v>20351.88</v>
      </c>
      <c r="I189" s="3">
        <f>Data!I189+Data!L189+Data!M189+Data!N189+Data!O189+Data!S189</f>
        <v>0</v>
      </c>
      <c r="J189" s="3">
        <f>Data!Q189</f>
        <v>0</v>
      </c>
      <c r="K189" s="3">
        <f>Data!J189+Data!P189</f>
        <v>17861.55</v>
      </c>
      <c r="L189" s="3">
        <f>Data!T189</f>
        <v>0</v>
      </c>
      <c r="M189" s="3">
        <f>ROUND(Data!AB189*$B$3,2)</f>
        <v>19067.169999999998</v>
      </c>
      <c r="N189" s="3">
        <f>Data!U189</f>
        <v>0</v>
      </c>
      <c r="O189" s="3">
        <f t="shared" si="7"/>
        <v>294721.14999999997</v>
      </c>
      <c r="P189" s="3">
        <f t="shared" si="8"/>
        <v>275653.98</v>
      </c>
      <c r="Q189" s="3">
        <f t="shared" si="9"/>
        <v>19067.169999999998</v>
      </c>
    </row>
    <row r="190" spans="1:17" x14ac:dyDescent="0.2">
      <c r="A190" s="18">
        <v>611</v>
      </c>
      <c r="B190" s="18">
        <v>1</v>
      </c>
      <c r="C190" s="3" t="s">
        <v>186</v>
      </c>
      <c r="D190" s="3">
        <f>ROUND(Data!AA190*$B$3,2)</f>
        <v>7342.97</v>
      </c>
      <c r="E190" s="3">
        <f>MAX(0,Data!AD190-Data!Y190)</f>
        <v>0</v>
      </c>
      <c r="F190" s="3">
        <f>Data!Y190</f>
        <v>23770.639999999999</v>
      </c>
      <c r="G190" s="3">
        <f>Data!X190</f>
        <v>0</v>
      </c>
      <c r="H190" s="3">
        <f>Data!K190+Data!R190</f>
        <v>0</v>
      </c>
      <c r="I190" s="3">
        <f>Data!I190+Data!L190+Data!M190+Data!N190+Data!O190+Data!S190</f>
        <v>0</v>
      </c>
      <c r="J190" s="3">
        <f>Data!Q190</f>
        <v>0</v>
      </c>
      <c r="K190" s="3">
        <f>Data!J190+Data!P190</f>
        <v>4000</v>
      </c>
      <c r="L190" s="3">
        <f>Data!T190</f>
        <v>0</v>
      </c>
      <c r="M190" s="3">
        <f>ROUND(Data!AB190*$B$3,2)</f>
        <v>7192.8</v>
      </c>
      <c r="N190" s="3">
        <f>Data!U190</f>
        <v>0</v>
      </c>
      <c r="O190" s="3">
        <f t="shared" si="7"/>
        <v>42306.41</v>
      </c>
      <c r="P190" s="3">
        <f t="shared" si="8"/>
        <v>35113.61</v>
      </c>
      <c r="Q190" s="3">
        <f t="shared" si="9"/>
        <v>7192.8</v>
      </c>
    </row>
    <row r="191" spans="1:17" x14ac:dyDescent="0.2">
      <c r="A191" s="18">
        <v>621</v>
      </c>
      <c r="B191" s="18">
        <v>1</v>
      </c>
      <c r="C191" s="3" t="s">
        <v>187</v>
      </c>
      <c r="D191" s="3">
        <f>ROUND(Data!AA191*$B$3,2)</f>
        <v>4130681.89</v>
      </c>
      <c r="E191" s="3">
        <f>MAX(0,Data!AD191-Data!Y191)</f>
        <v>6196357.1500000004</v>
      </c>
      <c r="F191" s="3">
        <f>Data!Y191</f>
        <v>2472890.44</v>
      </c>
      <c r="G191" s="3">
        <f>Data!X191</f>
        <v>212864.42</v>
      </c>
      <c r="H191" s="3">
        <f>Data!K191+Data!R191</f>
        <v>215790.25</v>
      </c>
      <c r="I191" s="3">
        <f>Data!I191+Data!L191+Data!M191+Data!N191+Data!O191+Data!S191</f>
        <v>51094.3</v>
      </c>
      <c r="J191" s="3">
        <f>Data!Q191</f>
        <v>0</v>
      </c>
      <c r="K191" s="3">
        <f>Data!J191+Data!P191</f>
        <v>207541.58000000002</v>
      </c>
      <c r="L191" s="3">
        <f>Data!T191</f>
        <v>0</v>
      </c>
      <c r="M191" s="3">
        <f>ROUND(Data!AB191*$B$3,2)</f>
        <v>484297.54</v>
      </c>
      <c r="N191" s="3">
        <f>Data!U191</f>
        <v>0</v>
      </c>
      <c r="O191" s="3">
        <f t="shared" si="7"/>
        <v>13971517.57</v>
      </c>
      <c r="P191" s="3">
        <f t="shared" si="8"/>
        <v>13487220.030000001</v>
      </c>
      <c r="Q191" s="3">
        <f t="shared" si="9"/>
        <v>484297.54</v>
      </c>
    </row>
    <row r="192" spans="1:17" x14ac:dyDescent="0.2">
      <c r="A192" s="18">
        <v>622</v>
      </c>
      <c r="B192" s="18">
        <v>1</v>
      </c>
      <c r="C192" s="3" t="s">
        <v>188</v>
      </c>
      <c r="D192" s="3">
        <f>ROUND(Data!AA192*$B$3,2)</f>
        <v>3273064.85</v>
      </c>
      <c r="E192" s="3">
        <f>MAX(0,Data!AD192-Data!Y192)</f>
        <v>2434801.1400000006</v>
      </c>
      <c r="F192" s="3">
        <f>Data!Y192</f>
        <v>2611114.7599999998</v>
      </c>
      <c r="G192" s="3">
        <f>Data!X192</f>
        <v>46112.3</v>
      </c>
      <c r="H192" s="3">
        <f>Data!K192+Data!R192</f>
        <v>301693.64</v>
      </c>
      <c r="I192" s="3">
        <f>Data!I192+Data!L192+Data!M192+Data!N192+Data!O192+Data!S192</f>
        <v>0</v>
      </c>
      <c r="J192" s="3">
        <f>Data!Q192</f>
        <v>0</v>
      </c>
      <c r="K192" s="3">
        <f>Data!J192+Data!P192</f>
        <v>336930.73</v>
      </c>
      <c r="L192" s="3">
        <f>Data!T192</f>
        <v>0</v>
      </c>
      <c r="M192" s="3">
        <f>ROUND(Data!AB192*$B$3,2)</f>
        <v>734113.21</v>
      </c>
      <c r="N192" s="3">
        <f>Data!U192</f>
        <v>0</v>
      </c>
      <c r="O192" s="3">
        <f t="shared" si="7"/>
        <v>9737830.629999999</v>
      </c>
      <c r="P192" s="3">
        <f t="shared" si="8"/>
        <v>9003717.4199999999</v>
      </c>
      <c r="Q192" s="3">
        <f t="shared" si="9"/>
        <v>734113.21</v>
      </c>
    </row>
    <row r="193" spans="1:17" x14ac:dyDescent="0.2">
      <c r="A193" s="18">
        <v>623</v>
      </c>
      <c r="B193" s="18">
        <v>1</v>
      </c>
      <c r="C193" s="3" t="s">
        <v>189</v>
      </c>
      <c r="D193" s="3">
        <f>ROUND(Data!AA193*$B$3,2)</f>
        <v>2512638.73</v>
      </c>
      <c r="E193" s="3">
        <f>MAX(0,Data!AD193-Data!Y193)</f>
        <v>2301873.42</v>
      </c>
      <c r="F193" s="3">
        <f>Data!Y193</f>
        <v>2907226.7</v>
      </c>
      <c r="G193" s="3">
        <f>Data!X193</f>
        <v>0</v>
      </c>
      <c r="H193" s="3">
        <f>Data!K193+Data!R193</f>
        <v>154716.03</v>
      </c>
      <c r="I193" s="3">
        <f>Data!I193+Data!L193+Data!M193+Data!N193+Data!O193+Data!S193</f>
        <v>0</v>
      </c>
      <c r="J193" s="3">
        <f>Data!Q193</f>
        <v>0</v>
      </c>
      <c r="K193" s="3">
        <f>Data!J193+Data!P193</f>
        <v>176172.44</v>
      </c>
      <c r="L193" s="3">
        <f>Data!T193</f>
        <v>0</v>
      </c>
      <c r="M193" s="3">
        <f>ROUND(Data!AB193*$B$3,2)</f>
        <v>422798.62</v>
      </c>
      <c r="N193" s="3">
        <f>Data!U193</f>
        <v>0</v>
      </c>
      <c r="O193" s="3">
        <f t="shared" si="7"/>
        <v>8475425.9400000013</v>
      </c>
      <c r="P193" s="3">
        <f t="shared" si="8"/>
        <v>8052627.3200000012</v>
      </c>
      <c r="Q193" s="3">
        <f t="shared" si="9"/>
        <v>422798.62</v>
      </c>
    </row>
    <row r="194" spans="1:17" x14ac:dyDescent="0.2">
      <c r="A194" s="18">
        <v>624</v>
      </c>
      <c r="B194" s="18">
        <v>1</v>
      </c>
      <c r="C194" s="3" t="s">
        <v>190</v>
      </c>
      <c r="D194" s="3">
        <f>ROUND(Data!AA194*$B$3,2)</f>
        <v>2301255.91</v>
      </c>
      <c r="E194" s="3">
        <f>MAX(0,Data!AD194-Data!Y194)</f>
        <v>6535027.3700000001</v>
      </c>
      <c r="F194" s="3">
        <f>Data!Y194</f>
        <v>1582149</v>
      </c>
      <c r="G194" s="3">
        <f>Data!X194</f>
        <v>0</v>
      </c>
      <c r="H194" s="3">
        <f>Data!K194+Data!R194</f>
        <v>199492.75</v>
      </c>
      <c r="I194" s="3">
        <f>Data!I194+Data!L194+Data!M194+Data!N194+Data!O194+Data!S194</f>
        <v>0</v>
      </c>
      <c r="J194" s="3">
        <f>Data!Q194</f>
        <v>0</v>
      </c>
      <c r="K194" s="3">
        <f>Data!J194+Data!P194</f>
        <v>65307.79</v>
      </c>
      <c r="L194" s="3">
        <f>Data!T194</f>
        <v>0</v>
      </c>
      <c r="M194" s="3">
        <f>ROUND(Data!AB194*$B$3,2)</f>
        <v>472167.95</v>
      </c>
      <c r="N194" s="3">
        <f>Data!U194</f>
        <v>0</v>
      </c>
      <c r="O194" s="3">
        <f t="shared" ref="O194:O255" si="10">SUM(D194:N194)</f>
        <v>11155400.77</v>
      </c>
      <c r="P194" s="3">
        <f t="shared" si="8"/>
        <v>10683232.82</v>
      </c>
      <c r="Q194" s="3">
        <f t="shared" si="9"/>
        <v>472167.95</v>
      </c>
    </row>
    <row r="195" spans="1:17" x14ac:dyDescent="0.2">
      <c r="A195" s="18">
        <v>625</v>
      </c>
      <c r="B195" s="18">
        <v>1</v>
      </c>
      <c r="C195" s="3" t="s">
        <v>191</v>
      </c>
      <c r="D195" s="3">
        <f>ROUND(Data!AA195*$B$3,2)</f>
        <v>16830488.59</v>
      </c>
      <c r="E195" s="3">
        <f>MAX(0,Data!AD195-Data!Y195)</f>
        <v>10967350.49</v>
      </c>
      <c r="F195" s="3">
        <f>Data!Y195</f>
        <v>2473342.0699999998</v>
      </c>
      <c r="G195" s="3">
        <f>Data!X195</f>
        <v>0</v>
      </c>
      <c r="H195" s="3">
        <f>Data!K195+Data!R195</f>
        <v>783694.94</v>
      </c>
      <c r="I195" s="3">
        <f>Data!I195+Data!L195+Data!M195+Data!N195+Data!O195+Data!S195</f>
        <v>17084350.830000002</v>
      </c>
      <c r="J195" s="3">
        <f>Data!Q195</f>
        <v>0</v>
      </c>
      <c r="K195" s="3">
        <f>Data!J195+Data!P195</f>
        <v>2972623.2800000003</v>
      </c>
      <c r="L195" s="3">
        <f>Data!T195</f>
        <v>0</v>
      </c>
      <c r="M195" s="3">
        <f>ROUND(Data!AB195*$B$3,2)</f>
        <v>1675467.99</v>
      </c>
      <c r="N195" s="3">
        <f>Data!U195</f>
        <v>0</v>
      </c>
      <c r="O195" s="3">
        <f t="shared" si="10"/>
        <v>52787318.190000005</v>
      </c>
      <c r="P195" s="3">
        <f t="shared" si="8"/>
        <v>51111850.200000003</v>
      </c>
      <c r="Q195" s="3">
        <f t="shared" si="9"/>
        <v>1675467.99</v>
      </c>
    </row>
    <row r="196" spans="1:17" x14ac:dyDescent="0.2">
      <c r="A196" s="18">
        <v>627</v>
      </c>
      <c r="B196" s="18">
        <v>1</v>
      </c>
      <c r="C196" s="3" t="s">
        <v>192</v>
      </c>
      <c r="D196" s="3">
        <f>ROUND(Data!AA196*$B$3,2)</f>
        <v>54953.51</v>
      </c>
      <c r="E196" s="3">
        <f>MAX(0,Data!AD196-Data!Y196)</f>
        <v>0</v>
      </c>
      <c r="F196" s="3">
        <f>Data!Y196</f>
        <v>75830.539999999994</v>
      </c>
      <c r="G196" s="3">
        <f>Data!X196</f>
        <v>0</v>
      </c>
      <c r="H196" s="3">
        <f>Data!K196+Data!R196</f>
        <v>14260.19</v>
      </c>
      <c r="I196" s="3">
        <f>Data!I196+Data!L196+Data!M196+Data!N196+Data!O196+Data!S196</f>
        <v>0</v>
      </c>
      <c r="J196" s="3">
        <f>Data!Q196</f>
        <v>0</v>
      </c>
      <c r="K196" s="3">
        <f>Data!J196+Data!P196</f>
        <v>10382.74</v>
      </c>
      <c r="L196" s="3">
        <f>Data!T196</f>
        <v>0</v>
      </c>
      <c r="M196" s="3">
        <f>ROUND(Data!AB196*$B$3,2)</f>
        <v>10853.84</v>
      </c>
      <c r="N196" s="3">
        <f>Data!U196</f>
        <v>0</v>
      </c>
      <c r="O196" s="3">
        <f t="shared" si="10"/>
        <v>166280.81999999998</v>
      </c>
      <c r="P196" s="3">
        <f t="shared" si="8"/>
        <v>155426.97999999998</v>
      </c>
      <c r="Q196" s="3">
        <f t="shared" si="9"/>
        <v>10853.84</v>
      </c>
    </row>
    <row r="197" spans="1:17" x14ac:dyDescent="0.2">
      <c r="A197" s="18">
        <v>628</v>
      </c>
      <c r="B197" s="18">
        <v>1</v>
      </c>
      <c r="C197" s="3" t="s">
        <v>193</v>
      </c>
      <c r="D197" s="3">
        <f>ROUND(Data!AA197*$B$3,2)</f>
        <v>21129.72</v>
      </c>
      <c r="E197" s="3">
        <f>MAX(0,Data!AD197-Data!Y197)</f>
        <v>82206.94</v>
      </c>
      <c r="F197" s="3">
        <f>Data!Y197</f>
        <v>23405.23</v>
      </c>
      <c r="G197" s="3">
        <f>Data!X197</f>
        <v>5099.47</v>
      </c>
      <c r="H197" s="3">
        <f>Data!K197+Data!R197</f>
        <v>0</v>
      </c>
      <c r="I197" s="3">
        <f>Data!I197+Data!L197+Data!M197+Data!N197+Data!O197+Data!S197</f>
        <v>0</v>
      </c>
      <c r="J197" s="3">
        <f>Data!Q197</f>
        <v>0</v>
      </c>
      <c r="K197" s="3">
        <f>Data!J197+Data!P197</f>
        <v>4100.74</v>
      </c>
      <c r="L197" s="3">
        <f>Data!T197</f>
        <v>0</v>
      </c>
      <c r="M197" s="3">
        <f>ROUND(Data!AB197*$B$3,2)</f>
        <v>15072.8</v>
      </c>
      <c r="N197" s="3">
        <f>Data!U197</f>
        <v>0</v>
      </c>
      <c r="O197" s="3">
        <f t="shared" si="10"/>
        <v>151014.89999999997</v>
      </c>
      <c r="P197" s="3">
        <f t="shared" ref="P197:P260" si="11">SUM(D197:L197)</f>
        <v>135942.09999999998</v>
      </c>
      <c r="Q197" s="3">
        <f t="shared" ref="Q197:Q260" si="12">SUM(M197:N197)</f>
        <v>15072.8</v>
      </c>
    </row>
    <row r="198" spans="1:17" x14ac:dyDescent="0.2">
      <c r="A198" s="18">
        <v>630</v>
      </c>
      <c r="B198" s="18">
        <v>1</v>
      </c>
      <c r="C198" s="3" t="s">
        <v>194</v>
      </c>
      <c r="D198" s="3">
        <f>ROUND(Data!AA198*$B$3,2)</f>
        <v>60296.24</v>
      </c>
      <c r="E198" s="3">
        <f>MAX(0,Data!AD198-Data!Y198)</f>
        <v>134497.67000000001</v>
      </c>
      <c r="F198" s="3">
        <f>Data!Y198</f>
        <v>15914.47</v>
      </c>
      <c r="G198" s="3">
        <f>Data!X198</f>
        <v>0</v>
      </c>
      <c r="H198" s="3">
        <f>Data!K198+Data!R198</f>
        <v>12898.67</v>
      </c>
      <c r="I198" s="3">
        <f>Data!I198+Data!L198+Data!M198+Data!N198+Data!O198+Data!S198</f>
        <v>0</v>
      </c>
      <c r="J198" s="3">
        <f>Data!Q198</f>
        <v>-2420.0100000000002</v>
      </c>
      <c r="K198" s="3">
        <f>Data!J198+Data!P198</f>
        <v>2420.0100000000002</v>
      </c>
      <c r="L198" s="3">
        <f>Data!T198</f>
        <v>0</v>
      </c>
      <c r="M198" s="3">
        <f>ROUND(Data!AB198*$B$3,2)</f>
        <v>9272.8799999999992</v>
      </c>
      <c r="N198" s="3">
        <f>Data!U198</f>
        <v>0</v>
      </c>
      <c r="O198" s="3">
        <f t="shared" si="10"/>
        <v>232879.93000000002</v>
      </c>
      <c r="P198" s="3">
        <f t="shared" si="11"/>
        <v>223607.05000000002</v>
      </c>
      <c r="Q198" s="3">
        <f t="shared" si="12"/>
        <v>9272.8799999999992</v>
      </c>
    </row>
    <row r="199" spans="1:17" x14ac:dyDescent="0.2">
      <c r="A199" s="18">
        <v>635</v>
      </c>
      <c r="B199" s="18">
        <v>1</v>
      </c>
      <c r="C199" s="3" t="s">
        <v>195</v>
      </c>
      <c r="D199" s="3">
        <f>ROUND(Data!AA199*$B$3,2)</f>
        <v>23514.62</v>
      </c>
      <c r="E199" s="3">
        <f>MAX(0,Data!AD199-Data!Y199)</f>
        <v>34603.419999999991</v>
      </c>
      <c r="F199" s="3">
        <f>Data!Y199</f>
        <v>34554.870000000003</v>
      </c>
      <c r="G199" s="3">
        <f>Data!X199</f>
        <v>0</v>
      </c>
      <c r="H199" s="3">
        <f>Data!K199+Data!R199</f>
        <v>0</v>
      </c>
      <c r="I199" s="3">
        <f>Data!I199+Data!L199+Data!M199+Data!N199+Data!O199+Data!S199</f>
        <v>0</v>
      </c>
      <c r="J199" s="3">
        <f>Data!Q199</f>
        <v>0</v>
      </c>
      <c r="K199" s="3">
        <f>Data!J199+Data!P199</f>
        <v>2000</v>
      </c>
      <c r="L199" s="3">
        <f>Data!T199</f>
        <v>0</v>
      </c>
      <c r="M199" s="3">
        <f>ROUND(Data!AB199*$B$3,2)</f>
        <v>6953.2</v>
      </c>
      <c r="N199" s="3">
        <f>Data!U199</f>
        <v>0</v>
      </c>
      <c r="O199" s="3">
        <f t="shared" si="10"/>
        <v>101626.11</v>
      </c>
      <c r="P199" s="3">
        <f t="shared" si="11"/>
        <v>94672.91</v>
      </c>
      <c r="Q199" s="3">
        <f t="shared" si="12"/>
        <v>6953.2</v>
      </c>
    </row>
    <row r="200" spans="1:17" x14ac:dyDescent="0.2">
      <c r="A200" s="18">
        <v>640</v>
      </c>
      <c r="B200" s="18">
        <v>1</v>
      </c>
      <c r="C200" s="3" t="s">
        <v>196</v>
      </c>
      <c r="D200" s="3">
        <f>ROUND(Data!AA200*$B$3,2)</f>
        <v>111933.43</v>
      </c>
      <c r="E200" s="3">
        <f>MAX(0,Data!AD200-Data!Y200)</f>
        <v>84962.849999999991</v>
      </c>
      <c r="F200" s="3">
        <f>Data!Y200</f>
        <v>21257.8</v>
      </c>
      <c r="G200" s="3">
        <f>Data!X200</f>
        <v>3893.65</v>
      </c>
      <c r="H200" s="3">
        <f>Data!K200+Data!R200</f>
        <v>12207.27</v>
      </c>
      <c r="I200" s="3">
        <f>Data!I200+Data!L200+Data!M200+Data!N200+Data!O200+Data!S200</f>
        <v>0</v>
      </c>
      <c r="J200" s="3">
        <f>Data!Q200</f>
        <v>0</v>
      </c>
      <c r="K200" s="3">
        <f>Data!J200+Data!P200</f>
        <v>-2754.6099999999997</v>
      </c>
      <c r="L200" s="3">
        <f>Data!T200</f>
        <v>0</v>
      </c>
      <c r="M200" s="3">
        <f>ROUND(Data!AB200*$B$3,2)</f>
        <v>20122.830000000002</v>
      </c>
      <c r="N200" s="3">
        <f>Data!U200</f>
        <v>0</v>
      </c>
      <c r="O200" s="3">
        <f t="shared" si="10"/>
        <v>251623.21999999997</v>
      </c>
      <c r="P200" s="3">
        <f t="shared" si="11"/>
        <v>231500.38999999996</v>
      </c>
      <c r="Q200" s="3">
        <f t="shared" si="12"/>
        <v>20122.830000000002</v>
      </c>
    </row>
    <row r="201" spans="1:17" x14ac:dyDescent="0.2">
      <c r="A201" s="18">
        <v>656</v>
      </c>
      <c r="B201" s="18">
        <v>1</v>
      </c>
      <c r="C201" s="3" t="s">
        <v>197</v>
      </c>
      <c r="D201" s="3">
        <f>ROUND(Data!AA201*$B$3,2)</f>
        <v>739106.57</v>
      </c>
      <c r="E201" s="3">
        <f>MAX(0,Data!AD201-Data!Y201)</f>
        <v>467390.49000000005</v>
      </c>
      <c r="F201" s="3">
        <f>Data!Y201</f>
        <v>329972.17</v>
      </c>
      <c r="G201" s="3">
        <f>Data!X201</f>
        <v>0</v>
      </c>
      <c r="H201" s="3">
        <f>Data!K201+Data!R201</f>
        <v>62445.19</v>
      </c>
      <c r="I201" s="3">
        <f>Data!I201+Data!L201+Data!M201+Data!N201+Data!O201+Data!S201</f>
        <v>0</v>
      </c>
      <c r="J201" s="3">
        <f>Data!Q201</f>
        <v>0</v>
      </c>
      <c r="K201" s="3">
        <f>Data!J201+Data!P201</f>
        <v>72716.61</v>
      </c>
      <c r="L201" s="3">
        <f>Data!T201</f>
        <v>0</v>
      </c>
      <c r="M201" s="3">
        <f>ROUND(Data!AB201*$B$3,2)</f>
        <v>178740.27</v>
      </c>
      <c r="N201" s="3">
        <f>Data!U201</f>
        <v>0</v>
      </c>
      <c r="O201" s="3">
        <f t="shared" si="10"/>
        <v>1850371.3</v>
      </c>
      <c r="P201" s="3">
        <f t="shared" si="11"/>
        <v>1671631.03</v>
      </c>
      <c r="Q201" s="3">
        <f t="shared" si="12"/>
        <v>178740.27</v>
      </c>
    </row>
    <row r="202" spans="1:17" x14ac:dyDescent="0.2">
      <c r="A202" s="18">
        <v>659</v>
      </c>
      <c r="B202" s="18">
        <v>1</v>
      </c>
      <c r="C202" s="3" t="s">
        <v>198</v>
      </c>
      <c r="D202" s="3">
        <f>ROUND(Data!AA202*$B$3,2)</f>
        <v>998621.21</v>
      </c>
      <c r="E202" s="3">
        <f>MAX(0,Data!AD202-Data!Y202)</f>
        <v>2943277.4699999997</v>
      </c>
      <c r="F202" s="3">
        <f>Data!Y202</f>
        <v>374465.93</v>
      </c>
      <c r="G202" s="3">
        <f>Data!X202</f>
        <v>0</v>
      </c>
      <c r="H202" s="3">
        <f>Data!K202+Data!R202</f>
        <v>27315.52</v>
      </c>
      <c r="I202" s="3">
        <f>Data!I202+Data!L202+Data!M202+Data!N202+Data!O202+Data!S202</f>
        <v>0</v>
      </c>
      <c r="J202" s="3">
        <f>Data!Q202</f>
        <v>0</v>
      </c>
      <c r="K202" s="3">
        <f>Data!J202+Data!P202</f>
        <v>58424.520000000004</v>
      </c>
      <c r="L202" s="3">
        <f>Data!T202</f>
        <v>0</v>
      </c>
      <c r="M202" s="3">
        <f>ROUND(Data!AB202*$B$3,2)</f>
        <v>205543.89</v>
      </c>
      <c r="N202" s="3">
        <f>Data!U202</f>
        <v>0</v>
      </c>
      <c r="O202" s="3">
        <f t="shared" si="10"/>
        <v>4607648.5399999982</v>
      </c>
      <c r="P202" s="3">
        <f t="shared" si="11"/>
        <v>4402104.6499999985</v>
      </c>
      <c r="Q202" s="3">
        <f t="shared" si="12"/>
        <v>205543.89</v>
      </c>
    </row>
    <row r="203" spans="1:17" x14ac:dyDescent="0.2">
      <c r="A203" s="18">
        <v>671</v>
      </c>
      <c r="B203" s="18">
        <v>1</v>
      </c>
      <c r="C203" s="3" t="s">
        <v>199</v>
      </c>
      <c r="D203" s="3">
        <f>ROUND(Data!AA203*$B$3,2)</f>
        <v>86083.55</v>
      </c>
      <c r="E203" s="3">
        <f>MAX(0,Data!AD203-Data!Y203)</f>
        <v>19414.379999999997</v>
      </c>
      <c r="F203" s="3">
        <f>Data!Y203</f>
        <v>64894.85</v>
      </c>
      <c r="G203" s="3">
        <f>Data!X203</f>
        <v>0</v>
      </c>
      <c r="H203" s="3">
        <f>Data!K203+Data!R203</f>
        <v>11689.65</v>
      </c>
      <c r="I203" s="3">
        <f>Data!I203+Data!L203+Data!M203+Data!N203+Data!O203+Data!S203</f>
        <v>0</v>
      </c>
      <c r="J203" s="3">
        <f>Data!Q203</f>
        <v>0</v>
      </c>
      <c r="K203" s="3">
        <f>Data!J203+Data!P203</f>
        <v>0</v>
      </c>
      <c r="L203" s="3">
        <f>Data!T203</f>
        <v>0</v>
      </c>
      <c r="M203" s="3">
        <f>ROUND(Data!AB203*$B$3,2)</f>
        <v>12315.42</v>
      </c>
      <c r="N203" s="3">
        <f>Data!U203</f>
        <v>0</v>
      </c>
      <c r="O203" s="3">
        <f t="shared" si="10"/>
        <v>194397.85</v>
      </c>
      <c r="P203" s="3">
        <f t="shared" si="11"/>
        <v>182082.43</v>
      </c>
      <c r="Q203" s="3">
        <f t="shared" si="12"/>
        <v>12315.42</v>
      </c>
    </row>
    <row r="204" spans="1:17" x14ac:dyDescent="0.2">
      <c r="A204" s="18">
        <v>676</v>
      </c>
      <c r="B204" s="18">
        <v>1</v>
      </c>
      <c r="C204" s="3" t="s">
        <v>200</v>
      </c>
      <c r="D204" s="3">
        <f>ROUND(Data!AA204*$B$3,2)</f>
        <v>38022</v>
      </c>
      <c r="E204" s="3">
        <f>MAX(0,Data!AD204-Data!Y204)</f>
        <v>21281.009999999995</v>
      </c>
      <c r="F204" s="3">
        <f>Data!Y204</f>
        <v>82150</v>
      </c>
      <c r="G204" s="3">
        <f>Data!X204</f>
        <v>0</v>
      </c>
      <c r="H204" s="3">
        <f>Data!K204+Data!R204</f>
        <v>11665.08</v>
      </c>
      <c r="I204" s="3">
        <f>Data!I204+Data!L204+Data!M204+Data!N204+Data!O204+Data!S204</f>
        <v>0</v>
      </c>
      <c r="J204" s="3">
        <f>Data!Q204</f>
        <v>0</v>
      </c>
      <c r="K204" s="3">
        <f>Data!J204+Data!P204</f>
        <v>479.35</v>
      </c>
      <c r="L204" s="3">
        <f>Data!T204</f>
        <v>0</v>
      </c>
      <c r="M204" s="3">
        <f>ROUND(Data!AB204*$B$3,2)</f>
        <v>4401.7</v>
      </c>
      <c r="N204" s="3">
        <f>Data!U204</f>
        <v>0</v>
      </c>
      <c r="O204" s="3">
        <f t="shared" si="10"/>
        <v>157999.14000000001</v>
      </c>
      <c r="P204" s="3">
        <f t="shared" si="11"/>
        <v>153597.44</v>
      </c>
      <c r="Q204" s="3">
        <f t="shared" si="12"/>
        <v>4401.7</v>
      </c>
    </row>
    <row r="205" spans="1:17" x14ac:dyDescent="0.2">
      <c r="A205" s="18">
        <v>682</v>
      </c>
      <c r="B205" s="18">
        <v>1</v>
      </c>
      <c r="C205" s="3" t="s">
        <v>201</v>
      </c>
      <c r="D205" s="3">
        <f>ROUND(Data!AA205*$B$3,2)</f>
        <v>199499.21</v>
      </c>
      <c r="E205" s="3">
        <f>MAX(0,Data!AD205-Data!Y205)</f>
        <v>162267.85</v>
      </c>
      <c r="F205" s="3">
        <f>Data!Y205</f>
        <v>45551.1</v>
      </c>
      <c r="G205" s="3">
        <f>Data!X205</f>
        <v>17470.36</v>
      </c>
      <c r="H205" s="3">
        <f>Data!K205+Data!R205</f>
        <v>29091.17</v>
      </c>
      <c r="I205" s="3">
        <f>Data!I205+Data!L205+Data!M205+Data!N205+Data!O205+Data!S205</f>
        <v>0</v>
      </c>
      <c r="J205" s="3">
        <f>Data!Q205</f>
        <v>0</v>
      </c>
      <c r="K205" s="3">
        <f>Data!J205+Data!P205</f>
        <v>23051.27</v>
      </c>
      <c r="L205" s="3">
        <f>Data!T205</f>
        <v>0</v>
      </c>
      <c r="M205" s="3">
        <f>ROUND(Data!AB205*$B$3,2)</f>
        <v>36725.56</v>
      </c>
      <c r="N205" s="3">
        <f>Data!U205</f>
        <v>0</v>
      </c>
      <c r="O205" s="3">
        <f t="shared" si="10"/>
        <v>513656.51999999996</v>
      </c>
      <c r="P205" s="3">
        <f t="shared" si="11"/>
        <v>476930.95999999996</v>
      </c>
      <c r="Q205" s="3">
        <f t="shared" si="12"/>
        <v>36725.56</v>
      </c>
    </row>
    <row r="206" spans="1:17" x14ac:dyDescent="0.2">
      <c r="A206" s="18">
        <v>690</v>
      </c>
      <c r="B206" s="18">
        <v>1</v>
      </c>
      <c r="C206" s="3" t="s">
        <v>202</v>
      </c>
      <c r="D206" s="3">
        <f>ROUND(Data!AA206*$B$3,2)</f>
        <v>246105.42</v>
      </c>
      <c r="E206" s="3">
        <f>MAX(0,Data!AD206-Data!Y206)</f>
        <v>123027.84999999998</v>
      </c>
      <c r="F206" s="3">
        <f>Data!Y206</f>
        <v>36984.730000000003</v>
      </c>
      <c r="G206" s="3">
        <f>Data!X206</f>
        <v>0</v>
      </c>
      <c r="H206" s="3">
        <f>Data!K206+Data!R206</f>
        <v>28737.210000000003</v>
      </c>
      <c r="I206" s="3">
        <f>Data!I206+Data!L206+Data!M206+Data!N206+Data!O206+Data!S206</f>
        <v>0</v>
      </c>
      <c r="J206" s="3">
        <f>Data!Q206</f>
        <v>0</v>
      </c>
      <c r="K206" s="3">
        <f>Data!J206+Data!P206</f>
        <v>48285.03</v>
      </c>
      <c r="L206" s="3">
        <f>Data!T206</f>
        <v>0</v>
      </c>
      <c r="M206" s="3">
        <f>ROUND(Data!AB206*$B$3,2)</f>
        <v>37722.83</v>
      </c>
      <c r="N206" s="3">
        <f>Data!U206</f>
        <v>0</v>
      </c>
      <c r="O206" s="3">
        <f t="shared" si="10"/>
        <v>520863.07</v>
      </c>
      <c r="P206" s="3">
        <f t="shared" si="11"/>
        <v>483140.24</v>
      </c>
      <c r="Q206" s="3">
        <f t="shared" si="12"/>
        <v>37722.83</v>
      </c>
    </row>
    <row r="207" spans="1:17" x14ac:dyDescent="0.2">
      <c r="A207" s="18">
        <v>695</v>
      </c>
      <c r="B207" s="18">
        <v>1</v>
      </c>
      <c r="C207" s="3" t="s">
        <v>203</v>
      </c>
      <c r="D207" s="3">
        <f>ROUND(Data!AA207*$B$3,2)</f>
        <v>0</v>
      </c>
      <c r="E207" s="3">
        <f>MAX(0,Data!AD207-Data!Y207)</f>
        <v>166489.02000000002</v>
      </c>
      <c r="F207" s="3">
        <f>Data!Y207</f>
        <v>27688.080000000002</v>
      </c>
      <c r="G207" s="3">
        <f>Data!X207</f>
        <v>8880.85</v>
      </c>
      <c r="H207" s="3">
        <f>Data!K207+Data!R207</f>
        <v>14141.890000000001</v>
      </c>
      <c r="I207" s="3">
        <f>Data!I207+Data!L207+Data!M207+Data!N207+Data!O207+Data!S207</f>
        <v>154676.4</v>
      </c>
      <c r="J207" s="3">
        <f>Data!Q207</f>
        <v>0</v>
      </c>
      <c r="K207" s="3">
        <f>Data!J207+Data!P207</f>
        <v>1955.44</v>
      </c>
      <c r="L207" s="3">
        <f>Data!T207</f>
        <v>0</v>
      </c>
      <c r="M207" s="3">
        <f>ROUND(Data!AB207*$B$3,2)</f>
        <v>0</v>
      </c>
      <c r="N207" s="3">
        <f>Data!U207</f>
        <v>0</v>
      </c>
      <c r="O207" s="3">
        <f t="shared" si="10"/>
        <v>373831.68000000005</v>
      </c>
      <c r="P207" s="3">
        <f t="shared" si="11"/>
        <v>373831.68000000005</v>
      </c>
      <c r="Q207" s="3">
        <f t="shared" si="12"/>
        <v>0</v>
      </c>
    </row>
    <row r="208" spans="1:17" x14ac:dyDescent="0.2">
      <c r="A208" s="18">
        <v>696</v>
      </c>
      <c r="B208" s="18">
        <v>1</v>
      </c>
      <c r="C208" s="3" t="s">
        <v>204</v>
      </c>
      <c r="D208" s="3">
        <f>ROUND(Data!AA208*$B$3,2)</f>
        <v>276124.25</v>
      </c>
      <c r="E208" s="3">
        <f>MAX(0,Data!AD208-Data!Y208)</f>
        <v>204052.84</v>
      </c>
      <c r="F208" s="3">
        <f>Data!Y208</f>
        <v>61464.47</v>
      </c>
      <c r="G208" s="3">
        <f>Data!X208</f>
        <v>2504.4899999999998</v>
      </c>
      <c r="H208" s="3">
        <f>Data!K208+Data!R208</f>
        <v>0</v>
      </c>
      <c r="I208" s="3">
        <f>Data!I208+Data!L208+Data!M208+Data!N208+Data!O208+Data!S208</f>
        <v>134114.66</v>
      </c>
      <c r="J208" s="3">
        <f>Data!Q208</f>
        <v>0</v>
      </c>
      <c r="K208" s="3">
        <f>Data!J208+Data!P208</f>
        <v>31662.81</v>
      </c>
      <c r="L208" s="3">
        <f>Data!T208</f>
        <v>0</v>
      </c>
      <c r="M208" s="3">
        <f>ROUND(Data!AB208*$B$3,2)</f>
        <v>4133.6499999999996</v>
      </c>
      <c r="N208" s="3">
        <f>Data!U208</f>
        <v>0</v>
      </c>
      <c r="O208" s="3">
        <f t="shared" si="10"/>
        <v>714057.17</v>
      </c>
      <c r="P208" s="3">
        <f t="shared" si="11"/>
        <v>709923.52</v>
      </c>
      <c r="Q208" s="3">
        <f t="shared" si="12"/>
        <v>4133.6499999999996</v>
      </c>
    </row>
    <row r="209" spans="1:17" x14ac:dyDescent="0.2">
      <c r="A209" s="18">
        <v>698</v>
      </c>
      <c r="B209" s="18">
        <v>1</v>
      </c>
      <c r="C209" s="3" t="s">
        <v>205</v>
      </c>
      <c r="D209" s="3">
        <f>ROUND(Data!AA209*$B$3,2)</f>
        <v>90685.77</v>
      </c>
      <c r="E209" s="3">
        <f>MAX(0,Data!AD209-Data!Y209)</f>
        <v>0</v>
      </c>
      <c r="F209" s="3">
        <f>Data!Y209</f>
        <v>14891.46</v>
      </c>
      <c r="G209" s="3">
        <f>Data!X209</f>
        <v>5557.25</v>
      </c>
      <c r="H209" s="3">
        <f>Data!K209+Data!R209</f>
        <v>11665.08</v>
      </c>
      <c r="I209" s="3">
        <f>Data!I209+Data!L209+Data!M209+Data!N209+Data!O209+Data!S209</f>
        <v>0</v>
      </c>
      <c r="J209" s="3">
        <f>Data!Q209</f>
        <v>0</v>
      </c>
      <c r="K209" s="3">
        <f>Data!J209+Data!P209</f>
        <v>33098.89</v>
      </c>
      <c r="L209" s="3">
        <f>Data!T209</f>
        <v>0</v>
      </c>
      <c r="M209" s="3">
        <f>ROUND(Data!AB209*$B$3,2)</f>
        <v>10743.17</v>
      </c>
      <c r="N209" s="3">
        <f>Data!U209</f>
        <v>0</v>
      </c>
      <c r="O209" s="3">
        <f t="shared" si="10"/>
        <v>166641.62000000002</v>
      </c>
      <c r="P209" s="3">
        <f t="shared" si="11"/>
        <v>155898.45000000001</v>
      </c>
      <c r="Q209" s="3">
        <f t="shared" si="12"/>
        <v>10743.17</v>
      </c>
    </row>
    <row r="210" spans="1:17" x14ac:dyDescent="0.2">
      <c r="A210" s="18">
        <v>700</v>
      </c>
      <c r="B210" s="18">
        <v>1</v>
      </c>
      <c r="C210" s="3" t="s">
        <v>206</v>
      </c>
      <c r="D210" s="3">
        <f>ROUND(Data!AA210*$B$3,2)</f>
        <v>623643.87</v>
      </c>
      <c r="E210" s="3">
        <f>MAX(0,Data!AD210-Data!Y210)</f>
        <v>0</v>
      </c>
      <c r="F210" s="3">
        <f>Data!Y210</f>
        <v>83202.59</v>
      </c>
      <c r="G210" s="3">
        <f>Data!X210</f>
        <v>0</v>
      </c>
      <c r="H210" s="3">
        <f>Data!K210+Data!R210</f>
        <v>11665.08</v>
      </c>
      <c r="I210" s="3">
        <f>Data!I210+Data!L210+Data!M210+Data!N210+Data!O210+Data!S210</f>
        <v>0</v>
      </c>
      <c r="J210" s="3">
        <f>Data!Q210</f>
        <v>0</v>
      </c>
      <c r="K210" s="3">
        <f>Data!J210+Data!P210</f>
        <v>10000</v>
      </c>
      <c r="L210" s="3">
        <f>Data!T210</f>
        <v>0</v>
      </c>
      <c r="M210" s="3">
        <f>ROUND(Data!AB210*$B$3,2)</f>
        <v>77238.58</v>
      </c>
      <c r="N210" s="3">
        <f>Data!U210</f>
        <v>0</v>
      </c>
      <c r="O210" s="3">
        <f t="shared" si="10"/>
        <v>805750.11999999988</v>
      </c>
      <c r="P210" s="3">
        <f t="shared" si="11"/>
        <v>728511.53999999992</v>
      </c>
      <c r="Q210" s="3">
        <f t="shared" si="12"/>
        <v>77238.58</v>
      </c>
    </row>
    <row r="211" spans="1:17" x14ac:dyDescent="0.2">
      <c r="A211" s="18">
        <v>701</v>
      </c>
      <c r="B211" s="18">
        <v>1</v>
      </c>
      <c r="C211" s="3" t="s">
        <v>207</v>
      </c>
      <c r="D211" s="3">
        <f>ROUND(Data!AA211*$B$3,2)</f>
        <v>115902.96</v>
      </c>
      <c r="E211" s="3">
        <f>MAX(0,Data!AD211-Data!Y211)</f>
        <v>497812.08</v>
      </c>
      <c r="F211" s="3">
        <f>Data!Y211</f>
        <v>109071.21</v>
      </c>
      <c r="G211" s="3">
        <f>Data!X211</f>
        <v>59276.87</v>
      </c>
      <c r="H211" s="3">
        <f>Data!K211+Data!R211</f>
        <v>31138.99</v>
      </c>
      <c r="I211" s="3">
        <f>Data!I211+Data!L211+Data!M211+Data!N211+Data!O211+Data!S211</f>
        <v>479711.8</v>
      </c>
      <c r="J211" s="3">
        <f>Data!Q211</f>
        <v>0</v>
      </c>
      <c r="K211" s="3">
        <f>Data!J211+Data!P211</f>
        <v>19971.09</v>
      </c>
      <c r="L211" s="3">
        <f>Data!T211</f>
        <v>0</v>
      </c>
      <c r="M211" s="3">
        <f>ROUND(Data!AB211*$B$3,2)</f>
        <v>0</v>
      </c>
      <c r="N211" s="3">
        <f>Data!U211</f>
        <v>0</v>
      </c>
      <c r="O211" s="3">
        <f t="shared" si="10"/>
        <v>1312885</v>
      </c>
      <c r="P211" s="3">
        <f t="shared" si="11"/>
        <v>1312885</v>
      </c>
      <c r="Q211" s="3">
        <f t="shared" si="12"/>
        <v>0</v>
      </c>
    </row>
    <row r="212" spans="1:17" x14ac:dyDescent="0.2">
      <c r="A212" s="18">
        <v>704</v>
      </c>
      <c r="B212" s="18">
        <v>1</v>
      </c>
      <c r="C212" s="3" t="s">
        <v>208</v>
      </c>
      <c r="D212" s="3">
        <f>ROUND(Data!AA212*$B$3,2)</f>
        <v>639551.94999999995</v>
      </c>
      <c r="E212" s="3">
        <f>MAX(0,Data!AD212-Data!Y212)</f>
        <v>0</v>
      </c>
      <c r="F212" s="3">
        <f>Data!Y212</f>
        <v>96036.52</v>
      </c>
      <c r="G212" s="3">
        <f>Data!X212</f>
        <v>0</v>
      </c>
      <c r="H212" s="3">
        <f>Data!K212+Data!R212</f>
        <v>24827.62</v>
      </c>
      <c r="I212" s="3">
        <f>Data!I212+Data!L212+Data!M212+Data!N212+Data!O212+Data!S212</f>
        <v>0</v>
      </c>
      <c r="J212" s="3">
        <f>Data!Q212</f>
        <v>0</v>
      </c>
      <c r="K212" s="3">
        <f>Data!J212+Data!P212</f>
        <v>17345.63</v>
      </c>
      <c r="L212" s="3">
        <f>Data!T212</f>
        <v>0</v>
      </c>
      <c r="M212" s="3">
        <f>ROUND(Data!AB212*$B$3,2)</f>
        <v>70000.41</v>
      </c>
      <c r="N212" s="3">
        <f>Data!U212</f>
        <v>0</v>
      </c>
      <c r="O212" s="3">
        <f t="shared" si="10"/>
        <v>847762.13</v>
      </c>
      <c r="P212" s="3">
        <f t="shared" si="11"/>
        <v>777761.72</v>
      </c>
      <c r="Q212" s="3">
        <f t="shared" si="12"/>
        <v>70000.41</v>
      </c>
    </row>
    <row r="213" spans="1:17" x14ac:dyDescent="0.2">
      <c r="A213" s="18">
        <v>706</v>
      </c>
      <c r="B213" s="18">
        <v>1</v>
      </c>
      <c r="C213" s="3" t="s">
        <v>209</v>
      </c>
      <c r="D213" s="3">
        <f>ROUND(Data!AA213*$B$3,2)</f>
        <v>14770.98</v>
      </c>
      <c r="E213" s="3">
        <f>MAX(0,Data!AD213-Data!Y213)</f>
        <v>360278.86000000004</v>
      </c>
      <c r="F213" s="3">
        <f>Data!Y213</f>
        <v>66181.42</v>
      </c>
      <c r="G213" s="3">
        <f>Data!X213</f>
        <v>46429.98</v>
      </c>
      <c r="H213" s="3">
        <f>Data!K213+Data!R213</f>
        <v>40759.89</v>
      </c>
      <c r="I213" s="3">
        <f>Data!I213+Data!L213+Data!M213+Data!N213+Data!O213+Data!S213</f>
        <v>523504.6</v>
      </c>
      <c r="J213" s="3">
        <f>Data!Q213</f>
        <v>0</v>
      </c>
      <c r="K213" s="3">
        <f>Data!J213+Data!P213</f>
        <v>14162.130000000001</v>
      </c>
      <c r="L213" s="3">
        <f>Data!T213</f>
        <v>0</v>
      </c>
      <c r="M213" s="3">
        <f>ROUND(Data!AB213*$B$3,2)</f>
        <v>0</v>
      </c>
      <c r="N213" s="3">
        <f>Data!U213</f>
        <v>0</v>
      </c>
      <c r="O213" s="3">
        <f t="shared" si="10"/>
        <v>1066087.8599999999</v>
      </c>
      <c r="P213" s="3">
        <f t="shared" si="11"/>
        <v>1066087.8599999999</v>
      </c>
      <c r="Q213" s="3">
        <f t="shared" si="12"/>
        <v>0</v>
      </c>
    </row>
    <row r="214" spans="1:17" x14ac:dyDescent="0.2">
      <c r="A214" s="18">
        <v>707</v>
      </c>
      <c r="B214" s="18">
        <v>1</v>
      </c>
      <c r="C214" s="3" t="s">
        <v>210</v>
      </c>
      <c r="D214" s="3">
        <f>ROUND(Data!AA214*$B$3,2)</f>
        <v>15395.66</v>
      </c>
      <c r="E214" s="3">
        <f>MAX(0,Data!AD214-Data!Y214)</f>
        <v>205.77</v>
      </c>
      <c r="F214" s="3">
        <f>Data!Y214</f>
        <v>38.729999999999997</v>
      </c>
      <c r="G214" s="3">
        <f>Data!X214</f>
        <v>0</v>
      </c>
      <c r="H214" s="3">
        <f>Data!K214+Data!R214</f>
        <v>0</v>
      </c>
      <c r="I214" s="3">
        <f>Data!I214+Data!L214+Data!M214+Data!N214+Data!O214+Data!S214</f>
        <v>0</v>
      </c>
      <c r="J214" s="3">
        <f>Data!Q214</f>
        <v>0</v>
      </c>
      <c r="K214" s="3">
        <f>Data!J214+Data!P214</f>
        <v>411.44</v>
      </c>
      <c r="L214" s="3">
        <f>Data!T214</f>
        <v>0</v>
      </c>
      <c r="M214" s="3">
        <f>ROUND(Data!AB214*$B$3,2)</f>
        <v>873.46</v>
      </c>
      <c r="N214" s="3">
        <f>Data!U214</f>
        <v>0</v>
      </c>
      <c r="O214" s="3">
        <f t="shared" si="10"/>
        <v>16925.060000000001</v>
      </c>
      <c r="P214" s="3">
        <f t="shared" si="11"/>
        <v>16051.6</v>
      </c>
      <c r="Q214" s="3">
        <f t="shared" si="12"/>
        <v>873.46</v>
      </c>
    </row>
    <row r="215" spans="1:17" x14ac:dyDescent="0.2">
      <c r="A215" s="18">
        <v>709</v>
      </c>
      <c r="B215" s="18">
        <v>1</v>
      </c>
      <c r="C215" s="3" t="s">
        <v>211</v>
      </c>
      <c r="D215" s="3">
        <f>ROUND(Data!AA215*$B$3,2)</f>
        <v>2226711.4900000002</v>
      </c>
      <c r="E215" s="3">
        <f>MAX(0,Data!AD215-Data!Y215)</f>
        <v>1570021.5599999998</v>
      </c>
      <c r="F215" s="3">
        <f>Data!Y215</f>
        <v>563244.99</v>
      </c>
      <c r="G215" s="3">
        <f>Data!X215</f>
        <v>0</v>
      </c>
      <c r="H215" s="3">
        <f>Data!K215+Data!R215</f>
        <v>305841.07</v>
      </c>
      <c r="I215" s="3">
        <f>Data!I215+Data!L215+Data!M215+Data!N215+Data!O215+Data!S215</f>
        <v>601676.15</v>
      </c>
      <c r="J215" s="3">
        <f>Data!Q215</f>
        <v>0</v>
      </c>
      <c r="K215" s="3">
        <f>Data!J215+Data!P215</f>
        <v>935188.5</v>
      </c>
      <c r="L215" s="3">
        <f>Data!T215</f>
        <v>0</v>
      </c>
      <c r="M215" s="3">
        <f>ROUND(Data!AB215*$B$3,2)</f>
        <v>524654.71</v>
      </c>
      <c r="N215" s="3">
        <f>Data!U215</f>
        <v>0</v>
      </c>
      <c r="O215" s="3">
        <f t="shared" si="10"/>
        <v>6727338.4700000007</v>
      </c>
      <c r="P215" s="3">
        <f t="shared" si="11"/>
        <v>6202683.7600000007</v>
      </c>
      <c r="Q215" s="3">
        <f t="shared" si="12"/>
        <v>524654.71</v>
      </c>
    </row>
    <row r="216" spans="1:17" x14ac:dyDescent="0.2">
      <c r="A216" s="18">
        <v>712</v>
      </c>
      <c r="B216" s="18">
        <v>1</v>
      </c>
      <c r="C216" s="3" t="s">
        <v>212</v>
      </c>
      <c r="D216" s="3">
        <f>ROUND(Data!AA216*$B$3,2)</f>
        <v>0</v>
      </c>
      <c r="E216" s="3">
        <f>MAX(0,Data!AD216-Data!Y216)</f>
        <v>111549.42</v>
      </c>
      <c r="F216" s="3">
        <f>Data!Y216</f>
        <v>26674.799999999999</v>
      </c>
      <c r="G216" s="3">
        <f>Data!X216</f>
        <v>21715.31</v>
      </c>
      <c r="H216" s="3">
        <f>Data!K216+Data!R216</f>
        <v>20351.88</v>
      </c>
      <c r="I216" s="3">
        <f>Data!I216+Data!L216+Data!M216+Data!N216+Data!O216+Data!S216</f>
        <v>38280</v>
      </c>
      <c r="J216" s="3">
        <f>Data!Q216</f>
        <v>0</v>
      </c>
      <c r="K216" s="3">
        <f>Data!J216+Data!P216</f>
        <v>32671.07</v>
      </c>
      <c r="L216" s="3">
        <f>Data!T216</f>
        <v>0</v>
      </c>
      <c r="M216" s="3">
        <f>ROUND(Data!AB216*$B$3,2)</f>
        <v>0</v>
      </c>
      <c r="N216" s="3">
        <f>Data!U216</f>
        <v>0</v>
      </c>
      <c r="O216" s="3">
        <f t="shared" si="10"/>
        <v>251242.48</v>
      </c>
      <c r="P216" s="3">
        <f t="shared" si="11"/>
        <v>251242.48</v>
      </c>
      <c r="Q216" s="3">
        <f t="shared" si="12"/>
        <v>0</v>
      </c>
    </row>
    <row r="217" spans="1:17" x14ac:dyDescent="0.2">
      <c r="A217" s="18">
        <v>716</v>
      </c>
      <c r="B217" s="18">
        <v>1</v>
      </c>
      <c r="C217" s="3" t="s">
        <v>213</v>
      </c>
      <c r="D217" s="3">
        <f>ROUND(Data!AA217*$B$3,2)</f>
        <v>288899.68</v>
      </c>
      <c r="E217" s="3">
        <f>MAX(0,Data!AD217-Data!Y217)</f>
        <v>165945.38</v>
      </c>
      <c r="F217" s="3">
        <f>Data!Y217</f>
        <v>63260.97</v>
      </c>
      <c r="G217" s="3">
        <f>Data!X217</f>
        <v>0</v>
      </c>
      <c r="H217" s="3">
        <f>Data!K217+Data!R217</f>
        <v>31594.76</v>
      </c>
      <c r="I217" s="3">
        <f>Data!I217+Data!L217+Data!M217+Data!N217+Data!O217+Data!S217</f>
        <v>0</v>
      </c>
      <c r="J217" s="3">
        <f>Data!Q217</f>
        <v>0</v>
      </c>
      <c r="K217" s="3">
        <f>Data!J217+Data!P217</f>
        <v>1195.4499999999998</v>
      </c>
      <c r="L217" s="3">
        <f>Data!T217</f>
        <v>0</v>
      </c>
      <c r="M217" s="3">
        <f>ROUND(Data!AB217*$B$3,2)</f>
        <v>58363.74</v>
      </c>
      <c r="N217" s="3">
        <f>Data!U217</f>
        <v>0</v>
      </c>
      <c r="O217" s="3">
        <f t="shared" si="10"/>
        <v>609259.98</v>
      </c>
      <c r="P217" s="3">
        <f t="shared" si="11"/>
        <v>550896.24</v>
      </c>
      <c r="Q217" s="3">
        <f t="shared" si="12"/>
        <v>58363.74</v>
      </c>
    </row>
    <row r="218" spans="1:17" x14ac:dyDescent="0.2">
      <c r="A218" s="18">
        <v>717</v>
      </c>
      <c r="B218" s="18">
        <v>1</v>
      </c>
      <c r="C218" s="3" t="s">
        <v>214</v>
      </c>
      <c r="D218" s="3">
        <f>ROUND(Data!AA218*$B$3,2)</f>
        <v>534020.55000000005</v>
      </c>
      <c r="E218" s="3">
        <f>MAX(0,Data!AD218-Data!Y218)</f>
        <v>427254.8</v>
      </c>
      <c r="F218" s="3">
        <f>Data!Y218</f>
        <v>55047.71</v>
      </c>
      <c r="G218" s="3">
        <f>Data!X218</f>
        <v>14022.14</v>
      </c>
      <c r="H218" s="3">
        <f>Data!K218+Data!R218</f>
        <v>33886.58</v>
      </c>
      <c r="I218" s="3">
        <f>Data!I218+Data!L218+Data!M218+Data!N218+Data!O218+Data!S218</f>
        <v>0</v>
      </c>
      <c r="J218" s="3">
        <f>Data!Q218</f>
        <v>0</v>
      </c>
      <c r="K218" s="3">
        <f>Data!J218+Data!P218</f>
        <v>26704.559999999998</v>
      </c>
      <c r="L218" s="3">
        <f>Data!T218</f>
        <v>0</v>
      </c>
      <c r="M218" s="3">
        <f>ROUND(Data!AB218*$B$3,2)</f>
        <v>62086.5</v>
      </c>
      <c r="N218" s="3">
        <f>Data!U218</f>
        <v>0</v>
      </c>
      <c r="O218" s="3">
        <f t="shared" si="10"/>
        <v>1153022.8400000001</v>
      </c>
      <c r="P218" s="3">
        <f t="shared" si="11"/>
        <v>1090936.3400000001</v>
      </c>
      <c r="Q218" s="3">
        <f t="shared" si="12"/>
        <v>62086.5</v>
      </c>
    </row>
    <row r="219" spans="1:17" x14ac:dyDescent="0.2">
      <c r="A219" s="18">
        <v>719</v>
      </c>
      <c r="B219" s="18">
        <v>1</v>
      </c>
      <c r="C219" s="3" t="s">
        <v>342</v>
      </c>
      <c r="D219" s="3">
        <f>ROUND(Data!AA219*$B$3,2)</f>
        <v>1814909.57</v>
      </c>
      <c r="E219" s="3">
        <f>MAX(0,Data!AD219-Data!Y219)</f>
        <v>3222667.9299999997</v>
      </c>
      <c r="F219" s="3">
        <f>Data!Y219</f>
        <v>893301.55</v>
      </c>
      <c r="G219" s="3">
        <f>Data!X219</f>
        <v>0</v>
      </c>
      <c r="H219" s="3">
        <f>Data!K219+Data!R219</f>
        <v>116649.5</v>
      </c>
      <c r="I219" s="3">
        <f>Data!I219+Data!L219+Data!M219+Data!N219+Data!O219+Data!S219</f>
        <v>0</v>
      </c>
      <c r="J219" s="3">
        <f>Data!Q219</f>
        <v>0</v>
      </c>
      <c r="K219" s="3">
        <f>Data!J219+Data!P219</f>
        <v>39222.660000000003</v>
      </c>
      <c r="L219" s="3">
        <f>Data!T219</f>
        <v>0</v>
      </c>
      <c r="M219" s="3">
        <f>ROUND(Data!AB219*$B$3,2)</f>
        <v>291617.01</v>
      </c>
      <c r="N219" s="3">
        <f>Data!U219</f>
        <v>0</v>
      </c>
      <c r="O219" s="3">
        <f t="shared" si="10"/>
        <v>6378368.2199999997</v>
      </c>
      <c r="P219" s="3">
        <f t="shared" si="11"/>
        <v>6086751.21</v>
      </c>
      <c r="Q219" s="3">
        <f t="shared" si="12"/>
        <v>291617.01</v>
      </c>
    </row>
    <row r="220" spans="1:17" x14ac:dyDescent="0.2">
      <c r="A220" s="18">
        <v>720</v>
      </c>
      <c r="B220" s="18">
        <v>1</v>
      </c>
      <c r="C220" s="3" t="s">
        <v>216</v>
      </c>
      <c r="D220" s="3">
        <f>ROUND(Data!AA220*$B$3,2)</f>
        <v>1214085.49</v>
      </c>
      <c r="E220" s="3">
        <f>MAX(0,Data!AD220-Data!Y220)</f>
        <v>1457724.2999999998</v>
      </c>
      <c r="F220" s="3">
        <f>Data!Y220</f>
        <v>747920.6</v>
      </c>
      <c r="G220" s="3">
        <f>Data!X220</f>
        <v>5134.3100000000004</v>
      </c>
      <c r="H220" s="3">
        <f>Data!K220+Data!R220</f>
        <v>92736.17</v>
      </c>
      <c r="I220" s="3">
        <f>Data!I220+Data!L220+Data!M220+Data!N220+Data!O220+Data!S220</f>
        <v>0</v>
      </c>
      <c r="J220" s="3">
        <f>Data!Q220</f>
        <v>0</v>
      </c>
      <c r="K220" s="3">
        <f>Data!J220+Data!P220</f>
        <v>65083.229999999996</v>
      </c>
      <c r="L220" s="3">
        <f>Data!T220</f>
        <v>0</v>
      </c>
      <c r="M220" s="3">
        <f>ROUND(Data!AB220*$B$3,2)</f>
        <v>248195.34</v>
      </c>
      <c r="N220" s="3">
        <f>Data!U220</f>
        <v>0</v>
      </c>
      <c r="O220" s="3">
        <f t="shared" si="10"/>
        <v>3830879.44</v>
      </c>
      <c r="P220" s="3">
        <f t="shared" si="11"/>
        <v>3582684.1</v>
      </c>
      <c r="Q220" s="3">
        <f t="shared" si="12"/>
        <v>248195.34</v>
      </c>
    </row>
    <row r="221" spans="1:17" x14ac:dyDescent="0.2">
      <c r="A221" s="18">
        <v>721</v>
      </c>
      <c r="B221" s="18">
        <v>1</v>
      </c>
      <c r="C221" s="3" t="s">
        <v>217</v>
      </c>
      <c r="D221" s="3">
        <f>ROUND(Data!AA221*$B$3,2)</f>
        <v>564046.30000000005</v>
      </c>
      <c r="E221" s="3">
        <f>MAX(0,Data!AD221-Data!Y221)</f>
        <v>1156856.25</v>
      </c>
      <c r="F221" s="3">
        <f>Data!Y221</f>
        <v>161681.19</v>
      </c>
      <c r="G221" s="3">
        <f>Data!X221</f>
        <v>0</v>
      </c>
      <c r="H221" s="3">
        <f>Data!K221+Data!R221</f>
        <v>77273.75</v>
      </c>
      <c r="I221" s="3">
        <f>Data!I221+Data!L221+Data!M221+Data!N221+Data!O221+Data!S221</f>
        <v>0</v>
      </c>
      <c r="J221" s="3">
        <f>Data!Q221</f>
        <v>0</v>
      </c>
      <c r="K221" s="3">
        <f>Data!J221+Data!P221</f>
        <v>39575.160000000003</v>
      </c>
      <c r="L221" s="3">
        <f>Data!T221</f>
        <v>0</v>
      </c>
      <c r="M221" s="3">
        <f>ROUND(Data!AB221*$B$3,2)</f>
        <v>106298.89</v>
      </c>
      <c r="N221" s="3">
        <f>Data!U221</f>
        <v>0</v>
      </c>
      <c r="O221" s="3">
        <f t="shared" si="10"/>
        <v>2105731.54</v>
      </c>
      <c r="P221" s="3">
        <f t="shared" si="11"/>
        <v>1999432.65</v>
      </c>
      <c r="Q221" s="3">
        <f t="shared" si="12"/>
        <v>106298.89</v>
      </c>
    </row>
    <row r="222" spans="1:17" x14ac:dyDescent="0.2">
      <c r="A222" s="18">
        <v>726</v>
      </c>
      <c r="B222" s="18">
        <v>1</v>
      </c>
      <c r="C222" s="3" t="s">
        <v>218</v>
      </c>
      <c r="D222" s="3">
        <f>ROUND(Data!AA222*$B$3,2)</f>
        <v>754500.59</v>
      </c>
      <c r="E222" s="3">
        <f>MAX(0,Data!AD222-Data!Y222)</f>
        <v>286300.86999999988</v>
      </c>
      <c r="F222" s="3">
        <f>Data!Y222</f>
        <v>783519.3</v>
      </c>
      <c r="G222" s="3">
        <f>Data!X222</f>
        <v>0</v>
      </c>
      <c r="H222" s="3">
        <f>Data!K222+Data!R222</f>
        <v>33654.35</v>
      </c>
      <c r="I222" s="3">
        <f>Data!I222+Data!L222+Data!M222+Data!N222+Data!O222+Data!S222</f>
        <v>0</v>
      </c>
      <c r="J222" s="3">
        <f>Data!Q222</f>
        <v>0</v>
      </c>
      <c r="K222" s="3">
        <f>Data!J222+Data!P222</f>
        <v>78083.820000000007</v>
      </c>
      <c r="L222" s="3">
        <f>Data!T222</f>
        <v>0</v>
      </c>
      <c r="M222" s="3">
        <f>ROUND(Data!AB222*$B$3,2)</f>
        <v>97971.24</v>
      </c>
      <c r="N222" s="3">
        <f>Data!U222</f>
        <v>0</v>
      </c>
      <c r="O222" s="3">
        <f t="shared" si="10"/>
        <v>2034030.17</v>
      </c>
      <c r="P222" s="3">
        <f t="shared" si="11"/>
        <v>1936058.93</v>
      </c>
      <c r="Q222" s="3">
        <f t="shared" si="12"/>
        <v>97971.24</v>
      </c>
    </row>
    <row r="223" spans="1:17" x14ac:dyDescent="0.2">
      <c r="A223" s="18">
        <v>727</v>
      </c>
      <c r="B223" s="18">
        <v>1</v>
      </c>
      <c r="C223" s="3" t="s">
        <v>219</v>
      </c>
      <c r="D223" s="3">
        <f>ROUND(Data!AA223*$B$3,2)</f>
        <v>673212.42</v>
      </c>
      <c r="E223" s="3">
        <f>MAX(0,Data!AD223-Data!Y223)</f>
        <v>537874.79999999993</v>
      </c>
      <c r="F223" s="3">
        <f>Data!Y223</f>
        <v>115044.4</v>
      </c>
      <c r="G223" s="3">
        <f>Data!X223</f>
        <v>0</v>
      </c>
      <c r="H223" s="3">
        <f>Data!K223+Data!R223</f>
        <v>38562.03</v>
      </c>
      <c r="I223" s="3">
        <f>Data!I223+Data!L223+Data!M223+Data!N223+Data!O223+Data!S223</f>
        <v>0</v>
      </c>
      <c r="J223" s="3">
        <f>Data!Q223</f>
        <v>0</v>
      </c>
      <c r="K223" s="3">
        <f>Data!J223+Data!P223</f>
        <v>62528.12</v>
      </c>
      <c r="L223" s="3">
        <f>Data!T223</f>
        <v>0</v>
      </c>
      <c r="M223" s="3">
        <f>ROUND(Data!AB223*$B$3,2)</f>
        <v>116041.5</v>
      </c>
      <c r="N223" s="3">
        <f>Data!U223</f>
        <v>0</v>
      </c>
      <c r="O223" s="3">
        <f t="shared" si="10"/>
        <v>1543263.27</v>
      </c>
      <c r="P223" s="3">
        <f t="shared" si="11"/>
        <v>1427221.77</v>
      </c>
      <c r="Q223" s="3">
        <f t="shared" si="12"/>
        <v>116041.5</v>
      </c>
    </row>
    <row r="224" spans="1:17" x14ac:dyDescent="0.2">
      <c r="A224" s="18">
        <v>728</v>
      </c>
      <c r="B224" s="18">
        <v>1</v>
      </c>
      <c r="C224" s="3" t="s">
        <v>220</v>
      </c>
      <c r="D224" s="3">
        <f>ROUND(Data!AA224*$B$3,2)</f>
        <v>4675541.53</v>
      </c>
      <c r="E224" s="3">
        <f>MAX(0,Data!AD224-Data!Y224)</f>
        <v>2786406.04</v>
      </c>
      <c r="F224" s="3">
        <f>Data!Y224</f>
        <v>1478546.91</v>
      </c>
      <c r="G224" s="3">
        <f>Data!X224</f>
        <v>118407.02</v>
      </c>
      <c r="H224" s="3">
        <f>Data!K224+Data!R224</f>
        <v>174727.67</v>
      </c>
      <c r="I224" s="3">
        <f>Data!I224+Data!L224+Data!M224+Data!N224+Data!O224+Data!S224</f>
        <v>0</v>
      </c>
      <c r="J224" s="3">
        <f>Data!Q224</f>
        <v>0</v>
      </c>
      <c r="K224" s="3">
        <f>Data!J224+Data!P224</f>
        <v>257888.13</v>
      </c>
      <c r="L224" s="3">
        <f>Data!T224</f>
        <v>0</v>
      </c>
      <c r="M224" s="3">
        <f>ROUND(Data!AB224*$B$3,2)</f>
        <v>402185.77</v>
      </c>
      <c r="N224" s="3">
        <f>Data!U224</f>
        <v>0</v>
      </c>
      <c r="O224" s="3">
        <f t="shared" si="10"/>
        <v>9893703.0700000003</v>
      </c>
      <c r="P224" s="3">
        <f t="shared" si="11"/>
        <v>9491517.3000000007</v>
      </c>
      <c r="Q224" s="3">
        <f t="shared" si="12"/>
        <v>402185.77</v>
      </c>
    </row>
    <row r="225" spans="1:17" x14ac:dyDescent="0.2">
      <c r="A225" s="18">
        <v>738</v>
      </c>
      <c r="B225" s="18">
        <v>1</v>
      </c>
      <c r="C225" s="3" t="s">
        <v>221</v>
      </c>
      <c r="D225" s="3">
        <f>ROUND(Data!AA225*$B$3,2)</f>
        <v>136799.51999999999</v>
      </c>
      <c r="E225" s="3">
        <f>MAX(0,Data!AD225-Data!Y225)</f>
        <v>118760.74</v>
      </c>
      <c r="F225" s="3">
        <f>Data!Y225</f>
        <v>34772.33</v>
      </c>
      <c r="G225" s="3">
        <f>Data!X225</f>
        <v>0</v>
      </c>
      <c r="H225" s="3">
        <f>Data!K225+Data!R225</f>
        <v>23240.98</v>
      </c>
      <c r="I225" s="3">
        <f>Data!I225+Data!L225+Data!M225+Data!N225+Data!O225+Data!S225</f>
        <v>0</v>
      </c>
      <c r="J225" s="3">
        <f>Data!Q225</f>
        <v>0</v>
      </c>
      <c r="K225" s="3">
        <f>Data!J225+Data!P225</f>
        <v>3258.7</v>
      </c>
      <c r="L225" s="3">
        <f>Data!T225</f>
        <v>0</v>
      </c>
      <c r="M225" s="3">
        <f>ROUND(Data!AB225*$B$3,2)</f>
        <v>24133.439999999999</v>
      </c>
      <c r="N225" s="3">
        <f>Data!U225</f>
        <v>0</v>
      </c>
      <c r="O225" s="3">
        <f t="shared" si="10"/>
        <v>340965.71</v>
      </c>
      <c r="P225" s="3">
        <f t="shared" si="11"/>
        <v>316832.27</v>
      </c>
      <c r="Q225" s="3">
        <f t="shared" si="12"/>
        <v>24133.439999999999</v>
      </c>
    </row>
    <row r="226" spans="1:17" x14ac:dyDescent="0.2">
      <c r="A226" s="18">
        <v>739</v>
      </c>
      <c r="B226" s="18">
        <v>1</v>
      </c>
      <c r="C226" s="3" t="s">
        <v>222</v>
      </c>
      <c r="D226" s="3">
        <f>ROUND(Data!AA226*$B$3,2)</f>
        <v>145365.81</v>
      </c>
      <c r="E226" s="3">
        <f>MAX(0,Data!AD226-Data!Y226)</f>
        <v>276592.81000000006</v>
      </c>
      <c r="F226" s="3">
        <f>Data!Y226</f>
        <v>43638.03</v>
      </c>
      <c r="G226" s="3">
        <f>Data!X226</f>
        <v>0</v>
      </c>
      <c r="H226" s="3">
        <f>Data!K226+Data!R226</f>
        <v>18617.8</v>
      </c>
      <c r="I226" s="3">
        <f>Data!I226+Data!L226+Data!M226+Data!N226+Data!O226+Data!S226</f>
        <v>0</v>
      </c>
      <c r="J226" s="3">
        <f>Data!Q226</f>
        <v>0</v>
      </c>
      <c r="K226" s="3">
        <f>Data!J226+Data!P226</f>
        <v>3429.55</v>
      </c>
      <c r="L226" s="3">
        <f>Data!T226</f>
        <v>0</v>
      </c>
      <c r="M226" s="3">
        <f>ROUND(Data!AB226*$B$3,2)</f>
        <v>32088.38</v>
      </c>
      <c r="N226" s="3">
        <f>Data!U226</f>
        <v>0</v>
      </c>
      <c r="O226" s="3">
        <f t="shared" si="10"/>
        <v>519732.38</v>
      </c>
      <c r="P226" s="3">
        <f t="shared" si="11"/>
        <v>487644</v>
      </c>
      <c r="Q226" s="3">
        <f t="shared" si="12"/>
        <v>32088.38</v>
      </c>
    </row>
    <row r="227" spans="1:17" x14ac:dyDescent="0.2">
      <c r="A227" s="18">
        <v>740</v>
      </c>
      <c r="B227" s="18">
        <v>1</v>
      </c>
      <c r="C227" s="3" t="s">
        <v>223</v>
      </c>
      <c r="D227" s="3">
        <f>ROUND(Data!AA227*$B$3,2)</f>
        <v>238738.9</v>
      </c>
      <c r="E227" s="3">
        <f>MAX(0,Data!AD227-Data!Y227)</f>
        <v>298126.90000000002</v>
      </c>
      <c r="F227" s="3">
        <f>Data!Y227</f>
        <v>52270.81</v>
      </c>
      <c r="G227" s="3">
        <f>Data!X227</f>
        <v>0</v>
      </c>
      <c r="H227" s="3">
        <f>Data!K227+Data!R227</f>
        <v>34072.399999999994</v>
      </c>
      <c r="I227" s="3">
        <f>Data!I227+Data!L227+Data!M227+Data!N227+Data!O227+Data!S227</f>
        <v>0</v>
      </c>
      <c r="J227" s="3">
        <f>Data!Q227</f>
        <v>0</v>
      </c>
      <c r="K227" s="3">
        <f>Data!J227+Data!P227</f>
        <v>18705.560000000001</v>
      </c>
      <c r="L227" s="3">
        <f>Data!T227</f>
        <v>0</v>
      </c>
      <c r="M227" s="3">
        <f>ROUND(Data!AB227*$B$3,2)</f>
        <v>50177.88</v>
      </c>
      <c r="N227" s="3">
        <f>Data!U227</f>
        <v>0</v>
      </c>
      <c r="O227" s="3">
        <f t="shared" si="10"/>
        <v>692092.45000000019</v>
      </c>
      <c r="P227" s="3">
        <f t="shared" si="11"/>
        <v>641914.57000000018</v>
      </c>
      <c r="Q227" s="3">
        <f t="shared" si="12"/>
        <v>50177.88</v>
      </c>
    </row>
    <row r="228" spans="1:17" x14ac:dyDescent="0.2">
      <c r="A228" s="18">
        <v>741</v>
      </c>
      <c r="B228" s="18">
        <v>1</v>
      </c>
      <c r="C228" s="3" t="s">
        <v>224</v>
      </c>
      <c r="D228" s="3">
        <f>ROUND(Data!AA228*$B$3,2)</f>
        <v>219984.6</v>
      </c>
      <c r="E228" s="3">
        <f>MAX(0,Data!AD228-Data!Y228)</f>
        <v>129216.52</v>
      </c>
      <c r="F228" s="3">
        <f>Data!Y228</f>
        <v>50390.3</v>
      </c>
      <c r="G228" s="3">
        <f>Data!X228</f>
        <v>14724.96</v>
      </c>
      <c r="H228" s="3">
        <f>Data!K228+Data!R228</f>
        <v>27895.96</v>
      </c>
      <c r="I228" s="3">
        <f>Data!I228+Data!L228+Data!M228+Data!N228+Data!O228+Data!S228</f>
        <v>0</v>
      </c>
      <c r="J228" s="3">
        <f>Data!Q228</f>
        <v>0</v>
      </c>
      <c r="K228" s="3">
        <f>Data!J228+Data!P228</f>
        <v>3354.2200000000003</v>
      </c>
      <c r="L228" s="3">
        <f>Data!T228</f>
        <v>0</v>
      </c>
      <c r="M228" s="3">
        <f>ROUND(Data!AB228*$B$3,2)</f>
        <v>37279.85</v>
      </c>
      <c r="N228" s="3">
        <f>Data!U228</f>
        <v>0</v>
      </c>
      <c r="O228" s="3">
        <f t="shared" si="10"/>
        <v>482846.41</v>
      </c>
      <c r="P228" s="3">
        <f t="shared" si="11"/>
        <v>445566.56</v>
      </c>
      <c r="Q228" s="3">
        <f t="shared" si="12"/>
        <v>37279.85</v>
      </c>
    </row>
    <row r="229" spans="1:17" x14ac:dyDescent="0.2">
      <c r="A229" s="18">
        <v>742</v>
      </c>
      <c r="B229" s="18">
        <v>1</v>
      </c>
      <c r="C229" s="3" t="s">
        <v>225</v>
      </c>
      <c r="D229" s="3">
        <f>ROUND(Data!AA229*$B$3,2)</f>
        <v>4430875.8</v>
      </c>
      <c r="E229" s="3">
        <f>MAX(0,Data!AD229-Data!Y229)</f>
        <v>2111323.2800000003</v>
      </c>
      <c r="F229" s="3">
        <f>Data!Y229</f>
        <v>1164341.68</v>
      </c>
      <c r="G229" s="3">
        <f>Data!X229</f>
        <v>0</v>
      </c>
      <c r="H229" s="3">
        <f>Data!K229+Data!R229</f>
        <v>221049.94</v>
      </c>
      <c r="I229" s="3">
        <f>Data!I229+Data!L229+Data!M229+Data!N229+Data!O229+Data!S229</f>
        <v>190.5</v>
      </c>
      <c r="J229" s="3">
        <f>Data!Q229</f>
        <v>0</v>
      </c>
      <c r="K229" s="3">
        <f>Data!J229+Data!P229</f>
        <v>312945.90000000002</v>
      </c>
      <c r="L229" s="3">
        <f>Data!T229</f>
        <v>0</v>
      </c>
      <c r="M229" s="3">
        <f>ROUND(Data!AB229*$B$3,2)</f>
        <v>625765.65</v>
      </c>
      <c r="N229" s="3">
        <f>Data!U229</f>
        <v>0</v>
      </c>
      <c r="O229" s="3">
        <f t="shared" si="10"/>
        <v>8866492.75</v>
      </c>
      <c r="P229" s="3">
        <f t="shared" si="11"/>
        <v>8240727.1000000006</v>
      </c>
      <c r="Q229" s="3">
        <f t="shared" si="12"/>
        <v>625765.65</v>
      </c>
    </row>
    <row r="230" spans="1:17" x14ac:dyDescent="0.2">
      <c r="A230" s="18">
        <v>743</v>
      </c>
      <c r="B230" s="18">
        <v>1</v>
      </c>
      <c r="C230" s="3" t="s">
        <v>226</v>
      </c>
      <c r="D230" s="3">
        <f>ROUND(Data!AA230*$B$3,2)</f>
        <v>104424.9</v>
      </c>
      <c r="E230" s="3">
        <f>MAX(0,Data!AD230-Data!Y230)</f>
        <v>532816.11</v>
      </c>
      <c r="F230" s="3">
        <f>Data!Y230</f>
        <v>35407.78</v>
      </c>
      <c r="G230" s="3">
        <f>Data!X230</f>
        <v>0</v>
      </c>
      <c r="H230" s="3">
        <f>Data!K230+Data!R230</f>
        <v>33167.040000000001</v>
      </c>
      <c r="I230" s="3">
        <f>Data!I230+Data!L230+Data!M230+Data!N230+Data!O230+Data!S230</f>
        <v>0</v>
      </c>
      <c r="J230" s="3">
        <f>Data!Q230</f>
        <v>0</v>
      </c>
      <c r="K230" s="3">
        <f>Data!J230+Data!P230</f>
        <v>-5390</v>
      </c>
      <c r="L230" s="3">
        <f>Data!T230</f>
        <v>0</v>
      </c>
      <c r="M230" s="3">
        <f>ROUND(Data!AB230*$B$3,2)</f>
        <v>44551.33</v>
      </c>
      <c r="N230" s="3">
        <f>Data!U230</f>
        <v>0</v>
      </c>
      <c r="O230" s="3">
        <f t="shared" si="10"/>
        <v>744977.16</v>
      </c>
      <c r="P230" s="3">
        <f t="shared" si="11"/>
        <v>700425.83000000007</v>
      </c>
      <c r="Q230" s="3">
        <f t="shared" si="12"/>
        <v>44551.33</v>
      </c>
    </row>
    <row r="231" spans="1:17" x14ac:dyDescent="0.2">
      <c r="A231" s="18">
        <v>745</v>
      </c>
      <c r="B231" s="18">
        <v>1</v>
      </c>
      <c r="C231" s="3" t="s">
        <v>227</v>
      </c>
      <c r="D231" s="3">
        <f>ROUND(Data!AA231*$B$3,2)</f>
        <v>200014.97</v>
      </c>
      <c r="E231" s="3">
        <f>MAX(0,Data!AD231-Data!Y231)</f>
        <v>193065.27</v>
      </c>
      <c r="F231" s="3">
        <f>Data!Y231</f>
        <v>60324.53</v>
      </c>
      <c r="G231" s="3">
        <f>Data!X231</f>
        <v>0</v>
      </c>
      <c r="H231" s="3">
        <f>Data!K231+Data!R231</f>
        <v>41387.910000000003</v>
      </c>
      <c r="I231" s="3">
        <f>Data!I231+Data!L231+Data!M231+Data!N231+Data!O231+Data!S231</f>
        <v>0</v>
      </c>
      <c r="J231" s="3">
        <f>Data!Q231</f>
        <v>0</v>
      </c>
      <c r="K231" s="3">
        <f>Data!J231+Data!P231</f>
        <v>-4503.1900000000005</v>
      </c>
      <c r="L231" s="3">
        <f>Data!T231</f>
        <v>0</v>
      </c>
      <c r="M231" s="3">
        <f>ROUND(Data!AB231*$B$3,2)</f>
        <v>49647.4</v>
      </c>
      <c r="N231" s="3">
        <f>Data!U231</f>
        <v>0</v>
      </c>
      <c r="O231" s="3">
        <f t="shared" si="10"/>
        <v>539936.89</v>
      </c>
      <c r="P231" s="3">
        <f t="shared" si="11"/>
        <v>490289.49000000005</v>
      </c>
      <c r="Q231" s="3">
        <f t="shared" si="12"/>
        <v>49647.4</v>
      </c>
    </row>
    <row r="232" spans="1:17" x14ac:dyDescent="0.2">
      <c r="A232" s="18">
        <v>748</v>
      </c>
      <c r="B232" s="18">
        <v>1</v>
      </c>
      <c r="C232" s="3" t="s">
        <v>228</v>
      </c>
      <c r="D232" s="3">
        <f>ROUND(Data!AA232*$B$3,2)</f>
        <v>476406.57</v>
      </c>
      <c r="E232" s="3">
        <f>MAX(0,Data!AD232-Data!Y232)</f>
        <v>841548.66</v>
      </c>
      <c r="F232" s="3">
        <f>Data!Y232</f>
        <v>92655.9</v>
      </c>
      <c r="G232" s="3">
        <f>Data!X232</f>
        <v>0</v>
      </c>
      <c r="H232" s="3">
        <f>Data!K232+Data!R232</f>
        <v>-12002.84</v>
      </c>
      <c r="I232" s="3">
        <f>Data!I232+Data!L232+Data!M232+Data!N232+Data!O232+Data!S232</f>
        <v>0</v>
      </c>
      <c r="J232" s="3">
        <f>Data!Q232</f>
        <v>0</v>
      </c>
      <c r="K232" s="3">
        <f>Data!J232+Data!P232</f>
        <v>62196.020000000004</v>
      </c>
      <c r="L232" s="3">
        <f>Data!T232</f>
        <v>0</v>
      </c>
      <c r="M232" s="3">
        <f>ROUND(Data!AB232*$B$3,2)</f>
        <v>91776.36</v>
      </c>
      <c r="N232" s="3">
        <f>Data!U232</f>
        <v>0</v>
      </c>
      <c r="O232" s="3">
        <f t="shared" si="10"/>
        <v>1552580.67</v>
      </c>
      <c r="P232" s="3">
        <f t="shared" si="11"/>
        <v>1460804.3099999998</v>
      </c>
      <c r="Q232" s="3">
        <f t="shared" si="12"/>
        <v>91776.36</v>
      </c>
    </row>
    <row r="233" spans="1:17" x14ac:dyDescent="0.2">
      <c r="A233" s="18">
        <v>750</v>
      </c>
      <c r="B233" s="18">
        <v>1</v>
      </c>
      <c r="C233" s="3" t="s">
        <v>229</v>
      </c>
      <c r="D233" s="3">
        <f>ROUND(Data!AA233*$B$3,2)</f>
        <v>490497.52</v>
      </c>
      <c r="E233" s="3">
        <f>MAX(0,Data!AD233-Data!Y233)</f>
        <v>283121.26999999996</v>
      </c>
      <c r="F233" s="3">
        <f>Data!Y233</f>
        <v>110156.45</v>
      </c>
      <c r="G233" s="3">
        <f>Data!X233</f>
        <v>0</v>
      </c>
      <c r="H233" s="3">
        <f>Data!K233+Data!R233</f>
        <v>26813.66</v>
      </c>
      <c r="I233" s="3">
        <f>Data!I233+Data!L233+Data!M233+Data!N233+Data!O233+Data!S233</f>
        <v>0</v>
      </c>
      <c r="J233" s="3">
        <f>Data!Q233</f>
        <v>0</v>
      </c>
      <c r="K233" s="3">
        <f>Data!J233+Data!P233</f>
        <v>24172.33</v>
      </c>
      <c r="L233" s="3">
        <f>Data!T233</f>
        <v>0</v>
      </c>
      <c r="M233" s="3">
        <f>ROUND(Data!AB233*$B$3,2)</f>
        <v>67653.850000000006</v>
      </c>
      <c r="N233" s="3">
        <f>Data!U233</f>
        <v>0</v>
      </c>
      <c r="O233" s="3">
        <f t="shared" si="10"/>
        <v>1002415.08</v>
      </c>
      <c r="P233" s="3">
        <f t="shared" si="11"/>
        <v>934761.23</v>
      </c>
      <c r="Q233" s="3">
        <f t="shared" si="12"/>
        <v>67653.850000000006</v>
      </c>
    </row>
    <row r="234" spans="1:17" x14ac:dyDescent="0.2">
      <c r="A234" s="18">
        <v>756</v>
      </c>
      <c r="B234" s="18">
        <v>1</v>
      </c>
      <c r="C234" s="3" t="s">
        <v>230</v>
      </c>
      <c r="D234" s="3">
        <f>ROUND(Data!AA234*$B$3,2)</f>
        <v>159662.98000000001</v>
      </c>
      <c r="E234" s="3">
        <f>MAX(0,Data!AD234-Data!Y234)</f>
        <v>120095.31</v>
      </c>
      <c r="F234" s="3">
        <f>Data!Y234</f>
        <v>49372.4</v>
      </c>
      <c r="G234" s="3">
        <f>Data!X234</f>
        <v>0</v>
      </c>
      <c r="H234" s="3">
        <f>Data!K234+Data!R234</f>
        <v>17874.86</v>
      </c>
      <c r="I234" s="3">
        <f>Data!I234+Data!L234+Data!M234+Data!N234+Data!O234+Data!S234</f>
        <v>0</v>
      </c>
      <c r="J234" s="3">
        <f>Data!Q234</f>
        <v>0</v>
      </c>
      <c r="K234" s="3">
        <f>Data!J234+Data!P234</f>
        <v>5129.4799999999996</v>
      </c>
      <c r="L234" s="3">
        <f>Data!T234</f>
        <v>0</v>
      </c>
      <c r="M234" s="3">
        <f>ROUND(Data!AB234*$B$3,2)</f>
        <v>22558.66</v>
      </c>
      <c r="N234" s="3">
        <f>Data!U234</f>
        <v>0</v>
      </c>
      <c r="O234" s="3">
        <f t="shared" si="10"/>
        <v>374693.69</v>
      </c>
      <c r="P234" s="3">
        <f t="shared" si="11"/>
        <v>352135.03</v>
      </c>
      <c r="Q234" s="3">
        <f t="shared" si="12"/>
        <v>22558.66</v>
      </c>
    </row>
    <row r="235" spans="1:17" x14ac:dyDescent="0.2">
      <c r="A235" s="18">
        <v>761</v>
      </c>
      <c r="B235" s="18">
        <v>1</v>
      </c>
      <c r="C235" s="3" t="s">
        <v>231</v>
      </c>
      <c r="D235" s="3">
        <f>ROUND(Data!AA235*$B$3,2)</f>
        <v>976939.21</v>
      </c>
      <c r="E235" s="3">
        <f>MAX(0,Data!AD235-Data!Y235)</f>
        <v>1032074.08</v>
      </c>
      <c r="F235" s="3">
        <f>Data!Y235</f>
        <v>339315.37</v>
      </c>
      <c r="G235" s="3">
        <f>Data!X235</f>
        <v>0</v>
      </c>
      <c r="H235" s="3">
        <f>Data!K235+Data!R235</f>
        <v>115212.87999999999</v>
      </c>
      <c r="I235" s="3">
        <f>Data!I235+Data!L235+Data!M235+Data!N235+Data!O235+Data!S235</f>
        <v>0</v>
      </c>
      <c r="J235" s="3">
        <f>Data!Q235</f>
        <v>0</v>
      </c>
      <c r="K235" s="3">
        <f>Data!J235+Data!P235</f>
        <v>111399.13</v>
      </c>
      <c r="L235" s="3">
        <f>Data!T235</f>
        <v>0</v>
      </c>
      <c r="M235" s="3">
        <f>ROUND(Data!AB235*$B$3,2)</f>
        <v>154311.79999999999</v>
      </c>
      <c r="N235" s="3">
        <f>Data!U235</f>
        <v>0</v>
      </c>
      <c r="O235" s="3">
        <f t="shared" si="10"/>
        <v>2729252.4699999997</v>
      </c>
      <c r="P235" s="3">
        <f t="shared" si="11"/>
        <v>2574940.67</v>
      </c>
      <c r="Q235" s="3">
        <f t="shared" si="12"/>
        <v>154311.79999999999</v>
      </c>
    </row>
    <row r="236" spans="1:17" x14ac:dyDescent="0.2">
      <c r="A236" s="18">
        <v>763</v>
      </c>
      <c r="B236" s="18">
        <v>1</v>
      </c>
      <c r="C236" s="3" t="s">
        <v>232</v>
      </c>
      <c r="D236" s="3">
        <f>ROUND(Data!AA236*$B$3,2)</f>
        <v>95994.4</v>
      </c>
      <c r="E236" s="3">
        <f>MAX(0,Data!AD236-Data!Y236)</f>
        <v>0</v>
      </c>
      <c r="F236" s="3">
        <f>Data!Y236</f>
        <v>82496.66</v>
      </c>
      <c r="G236" s="3">
        <f>Data!X236</f>
        <v>2287.08</v>
      </c>
      <c r="H236" s="3">
        <f>Data!K236+Data!R236</f>
        <v>11665.08</v>
      </c>
      <c r="I236" s="3">
        <f>Data!I236+Data!L236+Data!M236+Data!N236+Data!O236+Data!S236</f>
        <v>0</v>
      </c>
      <c r="J236" s="3">
        <f>Data!Q236</f>
        <v>0</v>
      </c>
      <c r="K236" s="3">
        <f>Data!J236+Data!P236</f>
        <v>38560.5</v>
      </c>
      <c r="L236" s="3">
        <f>Data!T236</f>
        <v>0</v>
      </c>
      <c r="M236" s="3">
        <f>ROUND(Data!AB236*$B$3,2)</f>
        <v>17382.759999999998</v>
      </c>
      <c r="N236" s="3">
        <f>Data!U236</f>
        <v>0</v>
      </c>
      <c r="O236" s="3">
        <f t="shared" si="10"/>
        <v>248386.47999999998</v>
      </c>
      <c r="P236" s="3">
        <f t="shared" si="11"/>
        <v>231003.71999999997</v>
      </c>
      <c r="Q236" s="3">
        <f t="shared" si="12"/>
        <v>17382.759999999998</v>
      </c>
    </row>
    <row r="237" spans="1:17" x14ac:dyDescent="0.2">
      <c r="A237" s="18">
        <v>768</v>
      </c>
      <c r="B237" s="18">
        <v>1</v>
      </c>
      <c r="C237" s="3" t="s">
        <v>233</v>
      </c>
      <c r="D237" s="3">
        <f>ROUND(Data!AA237*$B$3,2)</f>
        <v>41108.370000000003</v>
      </c>
      <c r="E237" s="3">
        <f>MAX(0,Data!AD237-Data!Y237)</f>
        <v>56259.930000000008</v>
      </c>
      <c r="F237" s="3">
        <f>Data!Y237</f>
        <v>16918.64</v>
      </c>
      <c r="G237" s="3">
        <f>Data!X237</f>
        <v>0</v>
      </c>
      <c r="H237" s="3">
        <f>Data!K237+Data!R237</f>
        <v>11665.08</v>
      </c>
      <c r="I237" s="3">
        <f>Data!I237+Data!L237+Data!M237+Data!N237+Data!O237+Data!S237</f>
        <v>0</v>
      </c>
      <c r="J237" s="3">
        <f>Data!Q237</f>
        <v>0</v>
      </c>
      <c r="K237" s="3">
        <f>Data!J237+Data!P237</f>
        <v>8072.36</v>
      </c>
      <c r="L237" s="3">
        <f>Data!T237</f>
        <v>0</v>
      </c>
      <c r="M237" s="3">
        <f>ROUND(Data!AB237*$B$3,2)</f>
        <v>7266.93</v>
      </c>
      <c r="N237" s="3">
        <f>Data!U237</f>
        <v>0</v>
      </c>
      <c r="O237" s="3">
        <f t="shared" si="10"/>
        <v>141291.31</v>
      </c>
      <c r="P237" s="3">
        <f t="shared" si="11"/>
        <v>134024.38</v>
      </c>
      <c r="Q237" s="3">
        <f t="shared" si="12"/>
        <v>7266.93</v>
      </c>
    </row>
    <row r="238" spans="1:17" x14ac:dyDescent="0.2">
      <c r="A238" s="18">
        <v>769</v>
      </c>
      <c r="B238" s="18">
        <v>1</v>
      </c>
      <c r="C238" s="3" t="s">
        <v>234</v>
      </c>
      <c r="D238" s="3">
        <f>ROUND(Data!AA238*$B$3,2)</f>
        <v>157396.66</v>
      </c>
      <c r="E238" s="3">
        <f>MAX(0,Data!AD238-Data!Y238)</f>
        <v>150987.20000000001</v>
      </c>
      <c r="F238" s="3">
        <f>Data!Y238</f>
        <v>161645.93</v>
      </c>
      <c r="G238" s="3">
        <f>Data!X238</f>
        <v>0</v>
      </c>
      <c r="H238" s="3">
        <f>Data!K238+Data!R238</f>
        <v>21997.49</v>
      </c>
      <c r="I238" s="3">
        <f>Data!I238+Data!L238+Data!M238+Data!N238+Data!O238+Data!S238</f>
        <v>0</v>
      </c>
      <c r="J238" s="3">
        <f>Data!Q238</f>
        <v>0</v>
      </c>
      <c r="K238" s="3">
        <f>Data!J238+Data!P238</f>
        <v>7485.7800000000007</v>
      </c>
      <c r="L238" s="3">
        <f>Data!T238</f>
        <v>0</v>
      </c>
      <c r="M238" s="3">
        <f>ROUND(Data!AB238*$B$3,2)</f>
        <v>44897</v>
      </c>
      <c r="N238" s="3">
        <f>Data!U238</f>
        <v>0</v>
      </c>
      <c r="O238" s="3">
        <f t="shared" si="10"/>
        <v>544410.06000000006</v>
      </c>
      <c r="P238" s="3">
        <f t="shared" si="11"/>
        <v>499513.06</v>
      </c>
      <c r="Q238" s="3">
        <f t="shared" si="12"/>
        <v>44897</v>
      </c>
    </row>
    <row r="239" spans="1:17" x14ac:dyDescent="0.2">
      <c r="A239" s="18">
        <v>771</v>
      </c>
      <c r="B239" s="18">
        <v>1</v>
      </c>
      <c r="C239" s="3" t="s">
        <v>235</v>
      </c>
      <c r="D239" s="3">
        <f>ROUND(Data!AA239*$B$3,2)</f>
        <v>35313</v>
      </c>
      <c r="E239" s="3">
        <f>MAX(0,Data!AD239-Data!Y239)</f>
        <v>97704.98000000001</v>
      </c>
      <c r="F239" s="3">
        <f>Data!Y239</f>
        <v>91489.25</v>
      </c>
      <c r="G239" s="3">
        <f>Data!X239</f>
        <v>0</v>
      </c>
      <c r="H239" s="3">
        <f>Data!K239+Data!R239</f>
        <v>11665.08</v>
      </c>
      <c r="I239" s="3">
        <f>Data!I239+Data!L239+Data!M239+Data!N239+Data!O239+Data!S239</f>
        <v>0</v>
      </c>
      <c r="J239" s="3">
        <f>Data!Q239</f>
        <v>0</v>
      </c>
      <c r="K239" s="3">
        <f>Data!J239+Data!P239</f>
        <v>1986.06</v>
      </c>
      <c r="L239" s="3">
        <f>Data!T239</f>
        <v>0</v>
      </c>
      <c r="M239" s="3">
        <f>ROUND(Data!AB239*$B$3,2)</f>
        <v>10924.48</v>
      </c>
      <c r="N239" s="3">
        <f>Data!U239</f>
        <v>0</v>
      </c>
      <c r="O239" s="3">
        <f t="shared" si="10"/>
        <v>249082.85</v>
      </c>
      <c r="P239" s="3">
        <f t="shared" si="11"/>
        <v>238158.37</v>
      </c>
      <c r="Q239" s="3">
        <f t="shared" si="12"/>
        <v>10924.48</v>
      </c>
    </row>
    <row r="240" spans="1:17" x14ac:dyDescent="0.2">
      <c r="A240" s="18">
        <v>775</v>
      </c>
      <c r="B240" s="18">
        <v>1</v>
      </c>
      <c r="C240" s="3" t="s">
        <v>236</v>
      </c>
      <c r="D240" s="3">
        <f>ROUND(Data!AA240*$B$3,2)</f>
        <v>152286.89000000001</v>
      </c>
      <c r="E240" s="3">
        <f>MAX(0,Data!AD240-Data!Y240)</f>
        <v>41941.849999999991</v>
      </c>
      <c r="F240" s="3">
        <f>Data!Y240</f>
        <v>70853.63</v>
      </c>
      <c r="G240" s="3">
        <f>Data!X240</f>
        <v>2763.8</v>
      </c>
      <c r="H240" s="3">
        <f>Data!K240+Data!R240</f>
        <v>14595.25</v>
      </c>
      <c r="I240" s="3">
        <f>Data!I240+Data!L240+Data!M240+Data!N240+Data!O240+Data!S240</f>
        <v>0</v>
      </c>
      <c r="J240" s="3">
        <f>Data!Q240</f>
        <v>0</v>
      </c>
      <c r="K240" s="3">
        <f>Data!J240+Data!P240</f>
        <v>11231.56</v>
      </c>
      <c r="L240" s="3">
        <f>Data!T240</f>
        <v>0</v>
      </c>
      <c r="M240" s="3">
        <f>ROUND(Data!AB240*$B$3,2)</f>
        <v>19127.21</v>
      </c>
      <c r="N240" s="3">
        <f>Data!U240</f>
        <v>0</v>
      </c>
      <c r="O240" s="3">
        <f t="shared" si="10"/>
        <v>312800.19</v>
      </c>
      <c r="P240" s="3">
        <f t="shared" si="11"/>
        <v>293672.98</v>
      </c>
      <c r="Q240" s="3">
        <f t="shared" si="12"/>
        <v>19127.21</v>
      </c>
    </row>
    <row r="241" spans="1:17" x14ac:dyDescent="0.2">
      <c r="A241" s="18">
        <v>777</v>
      </c>
      <c r="B241" s="18">
        <v>1</v>
      </c>
      <c r="C241" s="3" t="s">
        <v>237</v>
      </c>
      <c r="D241" s="3">
        <f>ROUND(Data!AA241*$B$3,2)</f>
        <v>206194.27</v>
      </c>
      <c r="E241" s="3">
        <f>MAX(0,Data!AD241-Data!Y241)</f>
        <v>145044.15</v>
      </c>
      <c r="F241" s="3">
        <f>Data!Y241</f>
        <v>57663.73</v>
      </c>
      <c r="G241" s="3">
        <f>Data!X241</f>
        <v>0</v>
      </c>
      <c r="H241" s="3">
        <f>Data!K241+Data!R241</f>
        <v>32663.4</v>
      </c>
      <c r="I241" s="3">
        <f>Data!I241+Data!L241+Data!M241+Data!N241+Data!O241+Data!S241</f>
        <v>0</v>
      </c>
      <c r="J241" s="3">
        <f>Data!Q241</f>
        <v>0</v>
      </c>
      <c r="K241" s="3">
        <f>Data!J241+Data!P241</f>
        <v>7067.1799999999994</v>
      </c>
      <c r="L241" s="3">
        <f>Data!T241</f>
        <v>0</v>
      </c>
      <c r="M241" s="3">
        <f>ROUND(Data!AB241*$B$3,2)</f>
        <v>31685.119999999999</v>
      </c>
      <c r="N241" s="3">
        <f>Data!U241</f>
        <v>0</v>
      </c>
      <c r="O241" s="3">
        <f t="shared" si="10"/>
        <v>480317.85</v>
      </c>
      <c r="P241" s="3">
        <f t="shared" si="11"/>
        <v>448632.73</v>
      </c>
      <c r="Q241" s="3">
        <f t="shared" si="12"/>
        <v>31685.119999999999</v>
      </c>
    </row>
    <row r="242" spans="1:17" x14ac:dyDescent="0.2">
      <c r="A242" s="18">
        <v>786</v>
      </c>
      <c r="B242" s="18">
        <v>1</v>
      </c>
      <c r="C242" s="3" t="s">
        <v>238</v>
      </c>
      <c r="D242" s="3">
        <f>ROUND(Data!AA242*$B$3,2)</f>
        <v>57664.61</v>
      </c>
      <c r="E242" s="3">
        <f>MAX(0,Data!AD242-Data!Y242)</f>
        <v>45831.76</v>
      </c>
      <c r="F242" s="3">
        <f>Data!Y242</f>
        <v>9085.75</v>
      </c>
      <c r="G242" s="3">
        <f>Data!X242</f>
        <v>0</v>
      </c>
      <c r="H242" s="3">
        <f>Data!K242+Data!R242</f>
        <v>12826.05</v>
      </c>
      <c r="I242" s="3">
        <f>Data!I242+Data!L242+Data!M242+Data!N242+Data!O242+Data!S242</f>
        <v>0</v>
      </c>
      <c r="J242" s="3">
        <f>Data!Q242</f>
        <v>-4721.28</v>
      </c>
      <c r="K242" s="3">
        <f>Data!J242+Data!P242</f>
        <v>13823.76</v>
      </c>
      <c r="L242" s="3">
        <f>Data!T242</f>
        <v>0</v>
      </c>
      <c r="M242" s="3">
        <f>ROUND(Data!AB242*$B$3,2)</f>
        <v>11039.49</v>
      </c>
      <c r="N242" s="3">
        <f>Data!U242</f>
        <v>0</v>
      </c>
      <c r="O242" s="3">
        <f t="shared" si="10"/>
        <v>145550.13999999998</v>
      </c>
      <c r="P242" s="3">
        <f t="shared" si="11"/>
        <v>134510.65</v>
      </c>
      <c r="Q242" s="3">
        <f t="shared" si="12"/>
        <v>11039.49</v>
      </c>
    </row>
    <row r="243" spans="1:17" x14ac:dyDescent="0.2">
      <c r="A243" s="18">
        <v>787</v>
      </c>
      <c r="B243" s="18">
        <v>1</v>
      </c>
      <c r="C243" s="3" t="s">
        <v>239</v>
      </c>
      <c r="D243" s="3">
        <f>ROUND(Data!AA243*$B$3,2)</f>
        <v>68936.759999999995</v>
      </c>
      <c r="E243" s="3">
        <f>MAX(0,Data!AD243-Data!Y243)</f>
        <v>0</v>
      </c>
      <c r="F243" s="3">
        <f>Data!Y243</f>
        <v>16243.15</v>
      </c>
      <c r="G243" s="3">
        <f>Data!X243</f>
        <v>0</v>
      </c>
      <c r="H243" s="3">
        <f>Data!K243+Data!R243</f>
        <v>25153.81</v>
      </c>
      <c r="I243" s="3">
        <f>Data!I243+Data!L243+Data!M243+Data!N243+Data!O243+Data!S243</f>
        <v>0</v>
      </c>
      <c r="J243" s="3">
        <f>Data!Q243</f>
        <v>0</v>
      </c>
      <c r="K243" s="3">
        <f>Data!J243+Data!P243</f>
        <v>0</v>
      </c>
      <c r="L243" s="3">
        <f>Data!T243</f>
        <v>0</v>
      </c>
      <c r="M243" s="3">
        <f>ROUND(Data!AB243*$B$3,2)</f>
        <v>2819.29</v>
      </c>
      <c r="N243" s="3">
        <f>Data!U243</f>
        <v>0</v>
      </c>
      <c r="O243" s="3">
        <f t="shared" si="10"/>
        <v>113153.00999999998</v>
      </c>
      <c r="P243" s="3">
        <f t="shared" si="11"/>
        <v>110333.71999999999</v>
      </c>
      <c r="Q243" s="3">
        <f t="shared" si="12"/>
        <v>2819.29</v>
      </c>
    </row>
    <row r="244" spans="1:17" x14ac:dyDescent="0.2">
      <c r="A244" s="18">
        <v>801</v>
      </c>
      <c r="B244" s="18">
        <v>1</v>
      </c>
      <c r="C244" s="3" t="s">
        <v>240</v>
      </c>
      <c r="D244" s="3">
        <f>ROUND(Data!AA244*$B$3,2)</f>
        <v>24581.26</v>
      </c>
      <c r="E244" s="3">
        <f>MAX(0,Data!AD244-Data!Y244)</f>
        <v>0</v>
      </c>
      <c r="F244" s="3">
        <f>Data!Y244</f>
        <v>38455.82</v>
      </c>
      <c r="G244" s="3">
        <f>Data!X244</f>
        <v>1041.8699999999999</v>
      </c>
      <c r="H244" s="3">
        <f>Data!K244+Data!R244</f>
        <v>0</v>
      </c>
      <c r="I244" s="3">
        <f>Data!I244+Data!L244+Data!M244+Data!N244+Data!O244+Data!S244</f>
        <v>0</v>
      </c>
      <c r="J244" s="3">
        <f>Data!Q244</f>
        <v>-79.56</v>
      </c>
      <c r="K244" s="3">
        <f>Data!J244+Data!P244</f>
        <v>79.56</v>
      </c>
      <c r="L244" s="3">
        <f>Data!T244</f>
        <v>0</v>
      </c>
      <c r="M244" s="3">
        <f>ROUND(Data!AB244*$B$3,2)</f>
        <v>6215.75</v>
      </c>
      <c r="N244" s="3">
        <f>Data!U244</f>
        <v>0</v>
      </c>
      <c r="O244" s="3">
        <f t="shared" si="10"/>
        <v>70294.700000000012</v>
      </c>
      <c r="P244" s="3">
        <f t="shared" si="11"/>
        <v>64078.950000000004</v>
      </c>
      <c r="Q244" s="3">
        <f t="shared" si="12"/>
        <v>6215.75</v>
      </c>
    </row>
    <row r="245" spans="1:17" x14ac:dyDescent="0.2">
      <c r="A245" s="18">
        <v>803</v>
      </c>
      <c r="B245" s="18">
        <v>1</v>
      </c>
      <c r="C245" s="3" t="s">
        <v>241</v>
      </c>
      <c r="D245" s="3">
        <f>ROUND(Data!AA245*$B$3,2)</f>
        <v>98930.44</v>
      </c>
      <c r="E245" s="3">
        <f>MAX(0,Data!AD245-Data!Y245)</f>
        <v>115215.81000000001</v>
      </c>
      <c r="F245" s="3">
        <f>Data!Y245</f>
        <v>87665.33</v>
      </c>
      <c r="G245" s="3">
        <f>Data!X245</f>
        <v>0</v>
      </c>
      <c r="H245" s="3">
        <f>Data!K245+Data!R245</f>
        <v>11665.08</v>
      </c>
      <c r="I245" s="3">
        <f>Data!I245+Data!L245+Data!M245+Data!N245+Data!O245+Data!S245</f>
        <v>0</v>
      </c>
      <c r="J245" s="3">
        <f>Data!Q245</f>
        <v>0</v>
      </c>
      <c r="K245" s="3">
        <f>Data!J245+Data!P245</f>
        <v>2000</v>
      </c>
      <c r="L245" s="3">
        <f>Data!T245</f>
        <v>0</v>
      </c>
      <c r="M245" s="3">
        <f>ROUND(Data!AB245*$B$3,2)</f>
        <v>14542.58</v>
      </c>
      <c r="N245" s="3">
        <f>Data!U245</f>
        <v>0</v>
      </c>
      <c r="O245" s="3">
        <f t="shared" si="10"/>
        <v>330019.24000000005</v>
      </c>
      <c r="P245" s="3">
        <f t="shared" si="11"/>
        <v>315476.66000000003</v>
      </c>
      <c r="Q245" s="3">
        <f t="shared" si="12"/>
        <v>14542.58</v>
      </c>
    </row>
    <row r="246" spans="1:17" x14ac:dyDescent="0.2">
      <c r="A246" s="18">
        <v>811</v>
      </c>
      <c r="B246" s="18">
        <v>1</v>
      </c>
      <c r="C246" s="3" t="s">
        <v>242</v>
      </c>
      <c r="D246" s="3">
        <f>ROUND(Data!AA246*$B$3,2)</f>
        <v>92868.31</v>
      </c>
      <c r="E246" s="3">
        <f>MAX(0,Data!AD246-Data!Y246)</f>
        <v>274557.56</v>
      </c>
      <c r="F246" s="3">
        <f>Data!Y246</f>
        <v>59013.4</v>
      </c>
      <c r="G246" s="3">
        <f>Data!X246</f>
        <v>0</v>
      </c>
      <c r="H246" s="3">
        <f>Data!K246+Data!R246</f>
        <v>19744.14</v>
      </c>
      <c r="I246" s="3">
        <f>Data!I246+Data!L246+Data!M246+Data!N246+Data!O246+Data!S246</f>
        <v>0</v>
      </c>
      <c r="J246" s="3">
        <f>Data!Q246</f>
        <v>0</v>
      </c>
      <c r="K246" s="3">
        <f>Data!J246+Data!P246</f>
        <v>3157.8</v>
      </c>
      <c r="L246" s="3">
        <f>Data!T246</f>
        <v>0</v>
      </c>
      <c r="M246" s="3">
        <f>ROUND(Data!AB246*$B$3,2)</f>
        <v>34578.410000000003</v>
      </c>
      <c r="N246" s="3">
        <f>Data!U246</f>
        <v>0</v>
      </c>
      <c r="O246" s="3">
        <f t="shared" si="10"/>
        <v>483919.62</v>
      </c>
      <c r="P246" s="3">
        <f t="shared" si="11"/>
        <v>449341.21</v>
      </c>
      <c r="Q246" s="3">
        <f t="shared" si="12"/>
        <v>34578.410000000003</v>
      </c>
    </row>
    <row r="247" spans="1:17" x14ac:dyDescent="0.2">
      <c r="A247" s="18">
        <v>813</v>
      </c>
      <c r="B247" s="18">
        <v>1</v>
      </c>
      <c r="C247" s="3" t="s">
        <v>243</v>
      </c>
      <c r="D247" s="3">
        <f>ROUND(Data!AA247*$B$3,2)</f>
        <v>244269.81</v>
      </c>
      <c r="E247" s="3">
        <f>MAX(0,Data!AD247-Data!Y247)</f>
        <v>587630.38</v>
      </c>
      <c r="F247" s="3">
        <f>Data!Y247</f>
        <v>0</v>
      </c>
      <c r="G247" s="3">
        <f>Data!X247</f>
        <v>0</v>
      </c>
      <c r="H247" s="3">
        <f>Data!K247+Data!R247</f>
        <v>30247.439999999999</v>
      </c>
      <c r="I247" s="3">
        <f>Data!I247+Data!L247+Data!M247+Data!N247+Data!O247+Data!S247</f>
        <v>0</v>
      </c>
      <c r="J247" s="3">
        <f>Data!Q247</f>
        <v>0</v>
      </c>
      <c r="K247" s="3">
        <f>Data!J247+Data!P247</f>
        <v>33135.79</v>
      </c>
      <c r="L247" s="3">
        <f>Data!T247</f>
        <v>0</v>
      </c>
      <c r="M247" s="3">
        <f>ROUND(Data!AB247*$B$3,2)</f>
        <v>55490.51</v>
      </c>
      <c r="N247" s="3">
        <f>Data!U247</f>
        <v>0</v>
      </c>
      <c r="O247" s="3">
        <f t="shared" si="10"/>
        <v>950773.92999999993</v>
      </c>
      <c r="P247" s="3">
        <f t="shared" si="11"/>
        <v>895283.41999999993</v>
      </c>
      <c r="Q247" s="3">
        <f t="shared" si="12"/>
        <v>55490.51</v>
      </c>
    </row>
    <row r="248" spans="1:17" x14ac:dyDescent="0.2">
      <c r="A248" s="18">
        <v>815</v>
      </c>
      <c r="B248" s="18">
        <v>2</v>
      </c>
      <c r="C248" s="3" t="s">
        <v>244</v>
      </c>
      <c r="D248" s="3">
        <f>ROUND(Data!AA248*$B$3,2)</f>
        <v>1345.13</v>
      </c>
      <c r="E248" s="3">
        <f>MAX(0,Data!AD248-Data!Y248)</f>
        <v>2132.6799999999998</v>
      </c>
      <c r="F248" s="3">
        <f>Data!Y248</f>
        <v>0</v>
      </c>
      <c r="G248" s="3">
        <f>Data!X248</f>
        <v>0</v>
      </c>
      <c r="H248" s="3">
        <f>Data!K248+Data!R248</f>
        <v>0</v>
      </c>
      <c r="I248" s="3">
        <f>Data!I248+Data!L248+Data!M248+Data!N248+Data!O248+Data!S248</f>
        <v>0</v>
      </c>
      <c r="J248" s="3">
        <f>Data!Q248</f>
        <v>0</v>
      </c>
      <c r="K248" s="3">
        <f>Data!J248+Data!P248</f>
        <v>0</v>
      </c>
      <c r="L248" s="3">
        <f>Data!T248</f>
        <v>0</v>
      </c>
      <c r="M248" s="3">
        <f>ROUND(Data!AB248*$B$3,2)</f>
        <v>0</v>
      </c>
      <c r="N248" s="3">
        <f>Data!U248</f>
        <v>0</v>
      </c>
      <c r="O248" s="3">
        <f t="shared" si="10"/>
        <v>3477.81</v>
      </c>
      <c r="P248" s="3">
        <f t="shared" si="11"/>
        <v>3477.81</v>
      </c>
      <c r="Q248" s="3">
        <f t="shared" si="12"/>
        <v>0</v>
      </c>
    </row>
    <row r="249" spans="1:17" x14ac:dyDescent="0.2">
      <c r="A249" s="18">
        <v>818</v>
      </c>
      <c r="B249" s="18">
        <v>1</v>
      </c>
      <c r="C249" s="3" t="s">
        <v>245</v>
      </c>
      <c r="D249" s="3">
        <f>ROUND(Data!AA249*$B$3,2)</f>
        <v>64579.98</v>
      </c>
      <c r="E249" s="3">
        <f>MAX(0,Data!AD249-Data!Y249)</f>
        <v>0</v>
      </c>
      <c r="F249" s="3">
        <f>Data!Y249</f>
        <v>10032.65</v>
      </c>
      <c r="G249" s="3">
        <f>Data!X249</f>
        <v>0</v>
      </c>
      <c r="H249" s="3">
        <f>Data!K249+Data!R249</f>
        <v>10420.24</v>
      </c>
      <c r="I249" s="3">
        <f>Data!I249+Data!L249+Data!M249+Data!N249+Data!O249+Data!S249</f>
        <v>0</v>
      </c>
      <c r="J249" s="3">
        <f>Data!Q249</f>
        <v>0</v>
      </c>
      <c r="K249" s="3">
        <f>Data!J249+Data!P249</f>
        <v>954.14</v>
      </c>
      <c r="L249" s="3">
        <f>Data!T249</f>
        <v>0</v>
      </c>
      <c r="M249" s="3">
        <f>ROUND(Data!AB249*$B$3,2)</f>
        <v>8284.84</v>
      </c>
      <c r="N249" s="3">
        <f>Data!U249</f>
        <v>0</v>
      </c>
      <c r="O249" s="3">
        <f t="shared" si="10"/>
        <v>94271.85</v>
      </c>
      <c r="P249" s="3">
        <f t="shared" si="11"/>
        <v>85987.010000000009</v>
      </c>
      <c r="Q249" s="3">
        <f t="shared" si="12"/>
        <v>8284.84</v>
      </c>
    </row>
    <row r="250" spans="1:17" x14ac:dyDescent="0.2">
      <c r="A250" s="18">
        <v>820</v>
      </c>
      <c r="B250" s="18">
        <v>1</v>
      </c>
      <c r="C250" s="3" t="s">
        <v>246</v>
      </c>
      <c r="D250" s="3">
        <f>ROUND(Data!AA250*$B$3,2)</f>
        <v>83726.14</v>
      </c>
      <c r="E250" s="3">
        <f>MAX(0,Data!AD250-Data!Y250)</f>
        <v>87122.540000000008</v>
      </c>
      <c r="F250" s="3">
        <f>Data!Y250</f>
        <v>16184.54</v>
      </c>
      <c r="G250" s="3">
        <f>Data!X250</f>
        <v>0</v>
      </c>
      <c r="H250" s="3">
        <f>Data!K250+Data!R250</f>
        <v>24486</v>
      </c>
      <c r="I250" s="3">
        <f>Data!I250+Data!L250+Data!M250+Data!N250+Data!O250+Data!S250</f>
        <v>0</v>
      </c>
      <c r="J250" s="3">
        <f>Data!Q250</f>
        <v>-12027.59</v>
      </c>
      <c r="K250" s="3">
        <f>Data!J250+Data!P250</f>
        <v>12027.59</v>
      </c>
      <c r="L250" s="3">
        <f>Data!T250</f>
        <v>0</v>
      </c>
      <c r="M250" s="3">
        <f>ROUND(Data!AB250*$B$3,2)</f>
        <v>16904.54</v>
      </c>
      <c r="N250" s="3">
        <f>Data!U250</f>
        <v>0</v>
      </c>
      <c r="O250" s="3">
        <f t="shared" si="10"/>
        <v>228423.76</v>
      </c>
      <c r="P250" s="3">
        <f t="shared" si="11"/>
        <v>211519.22</v>
      </c>
      <c r="Q250" s="3">
        <f t="shared" si="12"/>
        <v>16904.54</v>
      </c>
    </row>
    <row r="251" spans="1:17" x14ac:dyDescent="0.2">
      <c r="A251" s="18">
        <v>821</v>
      </c>
      <c r="B251" s="18">
        <v>1</v>
      </c>
      <c r="C251" s="3" t="s">
        <v>247</v>
      </c>
      <c r="D251" s="3">
        <f>ROUND(Data!AA251*$B$3,2)</f>
        <v>145068.78</v>
      </c>
      <c r="E251" s="3">
        <f>MAX(0,Data!AD251-Data!Y251)</f>
        <v>0</v>
      </c>
      <c r="F251" s="3">
        <f>Data!Y251</f>
        <v>0</v>
      </c>
      <c r="G251" s="3">
        <f>Data!X251</f>
        <v>0</v>
      </c>
      <c r="H251" s="3">
        <f>Data!K251+Data!R251</f>
        <v>16749.75</v>
      </c>
      <c r="I251" s="3">
        <f>Data!I251+Data!L251+Data!M251+Data!N251+Data!O251+Data!S251</f>
        <v>0</v>
      </c>
      <c r="J251" s="3">
        <f>Data!Q251</f>
        <v>0</v>
      </c>
      <c r="K251" s="3">
        <f>Data!J251+Data!P251</f>
        <v>13038.81</v>
      </c>
      <c r="L251" s="3">
        <f>Data!T251</f>
        <v>0</v>
      </c>
      <c r="M251" s="3">
        <f>ROUND(Data!AB251*$B$3,2)</f>
        <v>21103.58</v>
      </c>
      <c r="N251" s="3">
        <f>Data!U251</f>
        <v>0</v>
      </c>
      <c r="O251" s="3">
        <f t="shared" si="10"/>
        <v>195960.91999999998</v>
      </c>
      <c r="P251" s="3">
        <f t="shared" si="11"/>
        <v>174857.34</v>
      </c>
      <c r="Q251" s="3">
        <f t="shared" si="12"/>
        <v>21103.58</v>
      </c>
    </row>
    <row r="252" spans="1:17" x14ac:dyDescent="0.2">
      <c r="A252" s="18">
        <v>829</v>
      </c>
      <c r="B252" s="18">
        <v>1</v>
      </c>
      <c r="C252" s="3" t="s">
        <v>248</v>
      </c>
      <c r="D252" s="3">
        <f>ROUND(Data!AA252*$B$3,2)</f>
        <v>330063.84000000003</v>
      </c>
      <c r="E252" s="3">
        <f>MAX(0,Data!AD252-Data!Y252)</f>
        <v>401740.4</v>
      </c>
      <c r="F252" s="3">
        <f>Data!Y252</f>
        <v>96765.35</v>
      </c>
      <c r="G252" s="3">
        <f>Data!X252</f>
        <v>0</v>
      </c>
      <c r="H252" s="3">
        <f>Data!K252+Data!R252</f>
        <v>48061.51</v>
      </c>
      <c r="I252" s="3">
        <f>Data!I252+Data!L252+Data!M252+Data!N252+Data!O252+Data!S252</f>
        <v>0</v>
      </c>
      <c r="J252" s="3">
        <f>Data!Q252</f>
        <v>0</v>
      </c>
      <c r="K252" s="3">
        <f>Data!J252+Data!P252</f>
        <v>37051.78</v>
      </c>
      <c r="L252" s="3">
        <f>Data!T252</f>
        <v>0</v>
      </c>
      <c r="M252" s="3">
        <f>ROUND(Data!AB252*$B$3,2)</f>
        <v>80901.5</v>
      </c>
      <c r="N252" s="3">
        <f>Data!U252</f>
        <v>0</v>
      </c>
      <c r="O252" s="3">
        <f t="shared" si="10"/>
        <v>994584.38</v>
      </c>
      <c r="P252" s="3">
        <f t="shared" si="11"/>
        <v>913682.88</v>
      </c>
      <c r="Q252" s="3">
        <f t="shared" si="12"/>
        <v>80901.5</v>
      </c>
    </row>
    <row r="253" spans="1:17" x14ac:dyDescent="0.2">
      <c r="A253" s="18">
        <v>831</v>
      </c>
      <c r="B253" s="18">
        <v>1</v>
      </c>
      <c r="C253" s="3" t="s">
        <v>249</v>
      </c>
      <c r="D253" s="3">
        <f>ROUND(Data!AA253*$B$3,2)</f>
        <v>1557935.8</v>
      </c>
      <c r="E253" s="3">
        <f>MAX(0,Data!AD253-Data!Y253)</f>
        <v>2686338.6799999997</v>
      </c>
      <c r="F253" s="3">
        <f>Data!Y253</f>
        <v>393408.33</v>
      </c>
      <c r="G253" s="3">
        <f>Data!X253</f>
        <v>0</v>
      </c>
      <c r="H253" s="3">
        <f>Data!K253+Data!R253</f>
        <v>160862.32999999999</v>
      </c>
      <c r="I253" s="3">
        <f>Data!I253+Data!L253+Data!M253+Data!N253+Data!O253+Data!S253</f>
        <v>0</v>
      </c>
      <c r="J253" s="3">
        <f>Data!Q253</f>
        <v>0</v>
      </c>
      <c r="K253" s="3">
        <f>Data!J253+Data!P253</f>
        <v>191756.45</v>
      </c>
      <c r="L253" s="3">
        <f>Data!T253</f>
        <v>0</v>
      </c>
      <c r="M253" s="3">
        <f>ROUND(Data!AB253*$B$3,2)</f>
        <v>439662.82</v>
      </c>
      <c r="N253" s="3">
        <f>Data!U253</f>
        <v>0</v>
      </c>
      <c r="O253" s="3">
        <f t="shared" si="10"/>
        <v>5429964.4100000001</v>
      </c>
      <c r="P253" s="3">
        <f t="shared" si="11"/>
        <v>4990301.59</v>
      </c>
      <c r="Q253" s="3">
        <f t="shared" si="12"/>
        <v>439662.82</v>
      </c>
    </row>
    <row r="254" spans="1:17" x14ac:dyDescent="0.2">
      <c r="A254" s="18">
        <v>832</v>
      </c>
      <c r="B254" s="18">
        <v>1</v>
      </c>
      <c r="C254" s="3" t="s">
        <v>250</v>
      </c>
      <c r="D254" s="3">
        <f>ROUND(Data!AA254*$B$3,2)</f>
        <v>1231591.17</v>
      </c>
      <c r="E254" s="3">
        <f>MAX(0,Data!AD254-Data!Y254)</f>
        <v>975668.02999999991</v>
      </c>
      <c r="F254" s="3">
        <f>Data!Y254</f>
        <v>632970.1</v>
      </c>
      <c r="G254" s="3">
        <f>Data!X254</f>
        <v>20881.96</v>
      </c>
      <c r="H254" s="3">
        <f>Data!K254+Data!R254</f>
        <v>64903.97</v>
      </c>
      <c r="I254" s="3">
        <f>Data!I254+Data!L254+Data!M254+Data!N254+Data!O254+Data!S254</f>
        <v>0</v>
      </c>
      <c r="J254" s="3">
        <f>Data!Q254</f>
        <v>0</v>
      </c>
      <c r="K254" s="3">
        <f>Data!J254+Data!P254</f>
        <v>56718.86</v>
      </c>
      <c r="L254" s="3">
        <f>Data!T254</f>
        <v>0</v>
      </c>
      <c r="M254" s="3">
        <f>ROUND(Data!AB254*$B$3,2)</f>
        <v>128677.73</v>
      </c>
      <c r="N254" s="3">
        <f>Data!U254</f>
        <v>0</v>
      </c>
      <c r="O254" s="3">
        <f t="shared" si="10"/>
        <v>3111411.82</v>
      </c>
      <c r="P254" s="3">
        <f t="shared" si="11"/>
        <v>2982734.09</v>
      </c>
      <c r="Q254" s="3">
        <f t="shared" si="12"/>
        <v>128677.73</v>
      </c>
    </row>
    <row r="255" spans="1:17" x14ac:dyDescent="0.2">
      <c r="A255" s="18">
        <v>833</v>
      </c>
      <c r="B255" s="18">
        <v>1</v>
      </c>
      <c r="C255" s="3" t="s">
        <v>251</v>
      </c>
      <c r="D255" s="3">
        <f>ROUND(Data!AA255*$B$3,2)</f>
        <v>4862554.95</v>
      </c>
      <c r="E255" s="3">
        <f>MAX(0,Data!AD255-Data!Y255)</f>
        <v>5556697.6699999999</v>
      </c>
      <c r="F255" s="3">
        <f>Data!Y255</f>
        <v>2822207.2</v>
      </c>
      <c r="G255" s="3">
        <f>Data!X255</f>
        <v>55969.13</v>
      </c>
      <c r="H255" s="3">
        <f>Data!K255+Data!R255</f>
        <v>345379.78</v>
      </c>
      <c r="I255" s="3">
        <f>Data!I255+Data!L255+Data!M255+Data!N255+Data!O255+Data!S255</f>
        <v>0</v>
      </c>
      <c r="J255" s="3">
        <f>Data!Q255</f>
        <v>0</v>
      </c>
      <c r="K255" s="3">
        <f>Data!J255+Data!P255</f>
        <v>185695</v>
      </c>
      <c r="L255" s="3">
        <f>Data!T255</f>
        <v>0</v>
      </c>
      <c r="M255" s="3">
        <f>ROUND(Data!AB255*$B$3,2)</f>
        <v>638184.1</v>
      </c>
      <c r="N255" s="3">
        <f>Data!U255</f>
        <v>0</v>
      </c>
      <c r="O255" s="3">
        <f t="shared" si="10"/>
        <v>14466687.83</v>
      </c>
      <c r="P255" s="3">
        <f t="shared" si="11"/>
        <v>13828503.73</v>
      </c>
      <c r="Q255" s="3">
        <f t="shared" si="12"/>
        <v>638184.1</v>
      </c>
    </row>
    <row r="256" spans="1:17" x14ac:dyDescent="0.2">
      <c r="A256" s="18">
        <v>834</v>
      </c>
      <c r="B256" s="18">
        <v>1</v>
      </c>
      <c r="C256" s="3" t="s">
        <v>252</v>
      </c>
      <c r="D256" s="3">
        <f>ROUND(Data!AA256*$B$3,2)</f>
        <v>3622457.85</v>
      </c>
      <c r="E256" s="3">
        <f>MAX(0,Data!AD256-Data!Y256)</f>
        <v>4643610.6199999992</v>
      </c>
      <c r="F256" s="3">
        <f>Data!Y256</f>
        <v>1639817.77</v>
      </c>
      <c r="G256" s="3">
        <f>Data!X256</f>
        <v>207626.7</v>
      </c>
      <c r="H256" s="3">
        <f>Data!K256+Data!R256</f>
        <v>180546.46</v>
      </c>
      <c r="I256" s="3">
        <f>Data!I256+Data!L256+Data!M256+Data!N256+Data!O256+Data!S256</f>
        <v>0</v>
      </c>
      <c r="J256" s="3">
        <f>Data!Q256</f>
        <v>0</v>
      </c>
      <c r="K256" s="3">
        <f>Data!J256+Data!P256</f>
        <v>99638.859999999986</v>
      </c>
      <c r="L256" s="3">
        <f>Data!T256</f>
        <v>0</v>
      </c>
      <c r="M256" s="3">
        <f>ROUND(Data!AB256*$B$3,2)</f>
        <v>429342.61</v>
      </c>
      <c r="N256" s="3">
        <f>Data!U256</f>
        <v>0</v>
      </c>
      <c r="O256" s="3">
        <f t="shared" ref="O256:O318" si="13">SUM(D256:N256)</f>
        <v>10823040.869999997</v>
      </c>
      <c r="P256" s="3">
        <f t="shared" si="11"/>
        <v>10393698.259999998</v>
      </c>
      <c r="Q256" s="3">
        <f t="shared" si="12"/>
        <v>429342.61</v>
      </c>
    </row>
    <row r="257" spans="1:17" x14ac:dyDescent="0.2">
      <c r="A257" s="18">
        <v>836</v>
      </c>
      <c r="B257" s="18">
        <v>1</v>
      </c>
      <c r="C257" s="3" t="s">
        <v>253</v>
      </c>
      <c r="D257" s="3">
        <f>ROUND(Data!AA257*$B$3,2)</f>
        <v>77879.63</v>
      </c>
      <c r="E257" s="3">
        <f>MAX(0,Data!AD257-Data!Y257)</f>
        <v>0</v>
      </c>
      <c r="F257" s="3">
        <f>Data!Y257</f>
        <v>69875.679999999993</v>
      </c>
      <c r="G257" s="3">
        <f>Data!X257</f>
        <v>0</v>
      </c>
      <c r="H257" s="3">
        <f>Data!K257+Data!R257</f>
        <v>11665.08</v>
      </c>
      <c r="I257" s="3">
        <f>Data!I257+Data!L257+Data!M257+Data!N257+Data!O257+Data!S257</f>
        <v>0</v>
      </c>
      <c r="J257" s="3">
        <f>Data!Q257</f>
        <v>0</v>
      </c>
      <c r="K257" s="3">
        <f>Data!J257+Data!P257</f>
        <v>17462.760000000002</v>
      </c>
      <c r="L257" s="3">
        <f>Data!T257</f>
        <v>0</v>
      </c>
      <c r="M257" s="3">
        <f>ROUND(Data!AB257*$B$3,2)</f>
        <v>14269.93</v>
      </c>
      <c r="N257" s="3">
        <f>Data!U257</f>
        <v>0</v>
      </c>
      <c r="O257" s="3">
        <f t="shared" si="13"/>
        <v>191153.08</v>
      </c>
      <c r="P257" s="3">
        <f t="shared" si="11"/>
        <v>176883.15</v>
      </c>
      <c r="Q257" s="3">
        <f t="shared" si="12"/>
        <v>14269.93</v>
      </c>
    </row>
    <row r="258" spans="1:17" x14ac:dyDescent="0.2">
      <c r="A258" s="18">
        <v>837</v>
      </c>
      <c r="B258" s="18">
        <v>1</v>
      </c>
      <c r="C258" s="3" t="s">
        <v>254</v>
      </c>
      <c r="D258" s="3">
        <f>ROUND(Data!AA258*$B$3,2)</f>
        <v>122667.85</v>
      </c>
      <c r="E258" s="3">
        <f>MAX(0,Data!AD258-Data!Y258)</f>
        <v>29391.989999999991</v>
      </c>
      <c r="F258" s="3">
        <f>Data!Y258</f>
        <v>78714.820000000007</v>
      </c>
      <c r="G258" s="3">
        <f>Data!X258</f>
        <v>8589.65</v>
      </c>
      <c r="H258" s="3">
        <f>Data!K258+Data!R258</f>
        <v>15439.54</v>
      </c>
      <c r="I258" s="3">
        <f>Data!I258+Data!L258+Data!M258+Data!N258+Data!O258+Data!S258</f>
        <v>0</v>
      </c>
      <c r="J258" s="3">
        <f>Data!Q258</f>
        <v>0</v>
      </c>
      <c r="K258" s="3">
        <f>Data!J258+Data!P258</f>
        <v>7547.83</v>
      </c>
      <c r="L258" s="3">
        <f>Data!T258</f>
        <v>0</v>
      </c>
      <c r="M258" s="3">
        <f>ROUND(Data!AB258*$B$3,2)</f>
        <v>22732.16</v>
      </c>
      <c r="N258" s="3">
        <f>Data!U258</f>
        <v>0</v>
      </c>
      <c r="O258" s="3">
        <f t="shared" si="13"/>
        <v>285083.83999999997</v>
      </c>
      <c r="P258" s="3">
        <f t="shared" si="11"/>
        <v>262351.68</v>
      </c>
      <c r="Q258" s="3">
        <f t="shared" si="12"/>
        <v>22732.16</v>
      </c>
    </row>
    <row r="259" spans="1:17" x14ac:dyDescent="0.2">
      <c r="A259" s="18">
        <v>840</v>
      </c>
      <c r="B259" s="18">
        <v>1</v>
      </c>
      <c r="C259" s="3" t="s">
        <v>255</v>
      </c>
      <c r="D259" s="3">
        <f>ROUND(Data!AA259*$B$3,2)</f>
        <v>269833.09999999998</v>
      </c>
      <c r="E259" s="3">
        <f>MAX(0,Data!AD259-Data!Y259)</f>
        <v>194394.72</v>
      </c>
      <c r="F259" s="3">
        <f>Data!Y259</f>
        <v>66890.06</v>
      </c>
      <c r="G259" s="3">
        <f>Data!X259</f>
        <v>0</v>
      </c>
      <c r="H259" s="3">
        <f>Data!K259+Data!R259</f>
        <v>24762.46</v>
      </c>
      <c r="I259" s="3">
        <f>Data!I259+Data!L259+Data!M259+Data!N259+Data!O259+Data!S259</f>
        <v>0</v>
      </c>
      <c r="J259" s="3">
        <f>Data!Q259</f>
        <v>0</v>
      </c>
      <c r="K259" s="3">
        <f>Data!J259+Data!P259</f>
        <v>23750.400000000001</v>
      </c>
      <c r="L259" s="3">
        <f>Data!T259</f>
        <v>0</v>
      </c>
      <c r="M259" s="3">
        <f>ROUND(Data!AB259*$B$3,2)</f>
        <v>56002.75</v>
      </c>
      <c r="N259" s="3">
        <f>Data!U259</f>
        <v>0</v>
      </c>
      <c r="O259" s="3">
        <f t="shared" si="13"/>
        <v>635633.48999999987</v>
      </c>
      <c r="P259" s="3">
        <f t="shared" si="11"/>
        <v>579630.73999999987</v>
      </c>
      <c r="Q259" s="3">
        <f t="shared" si="12"/>
        <v>56002.75</v>
      </c>
    </row>
    <row r="260" spans="1:17" x14ac:dyDescent="0.2">
      <c r="A260" s="18">
        <v>846</v>
      </c>
      <c r="B260" s="18">
        <v>1</v>
      </c>
      <c r="C260" s="3" t="s">
        <v>256</v>
      </c>
      <c r="D260" s="3">
        <f>ROUND(Data!AA260*$B$3,2)</f>
        <v>148332.42000000001</v>
      </c>
      <c r="E260" s="3">
        <f>MAX(0,Data!AD260-Data!Y260)</f>
        <v>125651.84</v>
      </c>
      <c r="F260" s="3">
        <f>Data!Y260</f>
        <v>18639.04</v>
      </c>
      <c r="G260" s="3">
        <f>Data!X260</f>
        <v>0</v>
      </c>
      <c r="H260" s="3">
        <f>Data!K260+Data!R260</f>
        <v>20253.490000000002</v>
      </c>
      <c r="I260" s="3">
        <f>Data!I260+Data!L260+Data!M260+Data!N260+Data!O260+Data!S260</f>
        <v>0</v>
      </c>
      <c r="J260" s="3">
        <f>Data!Q260</f>
        <v>0</v>
      </c>
      <c r="K260" s="3">
        <f>Data!J260+Data!P260</f>
        <v>11109.82</v>
      </c>
      <c r="L260" s="3">
        <f>Data!T260</f>
        <v>0</v>
      </c>
      <c r="M260" s="3">
        <f>ROUND(Data!AB260*$B$3,2)</f>
        <v>37651.300000000003</v>
      </c>
      <c r="N260" s="3">
        <f>Data!U260</f>
        <v>0</v>
      </c>
      <c r="O260" s="3">
        <f t="shared" si="13"/>
        <v>361637.91</v>
      </c>
      <c r="P260" s="3">
        <f t="shared" si="11"/>
        <v>323986.61</v>
      </c>
      <c r="Q260" s="3">
        <f t="shared" si="12"/>
        <v>37651.300000000003</v>
      </c>
    </row>
    <row r="261" spans="1:17" x14ac:dyDescent="0.2">
      <c r="A261" s="18">
        <v>850</v>
      </c>
      <c r="B261" s="18">
        <v>1</v>
      </c>
      <c r="C261" s="3" t="s">
        <v>257</v>
      </c>
      <c r="D261" s="3">
        <f>ROUND(Data!AA261*$B$3,2)</f>
        <v>38232.230000000003</v>
      </c>
      <c r="E261" s="3">
        <f>MAX(0,Data!AD261-Data!Y261)</f>
        <v>105936.12999999999</v>
      </c>
      <c r="F261" s="3">
        <f>Data!Y261</f>
        <v>70534.77</v>
      </c>
      <c r="G261" s="3">
        <f>Data!X261</f>
        <v>0</v>
      </c>
      <c r="H261" s="3">
        <f>Data!K261+Data!R261</f>
        <v>11665.08</v>
      </c>
      <c r="I261" s="3">
        <f>Data!I261+Data!L261+Data!M261+Data!N261+Data!O261+Data!S261</f>
        <v>0</v>
      </c>
      <c r="J261" s="3">
        <f>Data!Q261</f>
        <v>0</v>
      </c>
      <c r="K261" s="3">
        <f>Data!J261+Data!P261</f>
        <v>-3336.52</v>
      </c>
      <c r="L261" s="3">
        <f>Data!T261</f>
        <v>0</v>
      </c>
      <c r="M261" s="3">
        <f>ROUND(Data!AB261*$B$3,2)</f>
        <v>9354.09</v>
      </c>
      <c r="N261" s="3">
        <f>Data!U261</f>
        <v>0</v>
      </c>
      <c r="O261" s="3">
        <f t="shared" si="13"/>
        <v>232385.78</v>
      </c>
      <c r="P261" s="3">
        <f t="shared" ref="P261:P324" si="14">SUM(D261:L261)</f>
        <v>223031.69</v>
      </c>
      <c r="Q261" s="3">
        <f t="shared" ref="Q261:Q324" si="15">SUM(M261:N261)</f>
        <v>9354.09</v>
      </c>
    </row>
    <row r="262" spans="1:17" x14ac:dyDescent="0.2">
      <c r="A262" s="18">
        <v>852</v>
      </c>
      <c r="B262" s="18">
        <v>1</v>
      </c>
      <c r="C262" s="3" t="s">
        <v>258</v>
      </c>
      <c r="D262" s="3">
        <f>ROUND(Data!AA262*$B$3,2)</f>
        <v>27742.06</v>
      </c>
      <c r="E262" s="3">
        <f>MAX(0,Data!AD262-Data!Y262)</f>
        <v>2452.7799999999988</v>
      </c>
      <c r="F262" s="3">
        <f>Data!Y262</f>
        <v>97310.3</v>
      </c>
      <c r="G262" s="3">
        <f>Data!X262</f>
        <v>0</v>
      </c>
      <c r="H262" s="3">
        <f>Data!K262+Data!R262</f>
        <v>11665.08</v>
      </c>
      <c r="I262" s="3">
        <f>Data!I262+Data!L262+Data!M262+Data!N262+Data!O262+Data!S262</f>
        <v>0</v>
      </c>
      <c r="J262" s="3">
        <f>Data!Q262</f>
        <v>0</v>
      </c>
      <c r="K262" s="3">
        <f>Data!J262+Data!P262</f>
        <v>100.28000000000065</v>
      </c>
      <c r="L262" s="3">
        <f>Data!T262</f>
        <v>0</v>
      </c>
      <c r="M262" s="3">
        <f>ROUND(Data!AB262*$B$3,2)</f>
        <v>12295.33</v>
      </c>
      <c r="N262" s="3">
        <f>Data!U262</f>
        <v>0</v>
      </c>
      <c r="O262" s="3">
        <f t="shared" si="13"/>
        <v>151565.82999999999</v>
      </c>
      <c r="P262" s="3">
        <f t="shared" si="14"/>
        <v>139270.5</v>
      </c>
      <c r="Q262" s="3">
        <f t="shared" si="15"/>
        <v>12295.33</v>
      </c>
    </row>
    <row r="263" spans="1:17" x14ac:dyDescent="0.2">
      <c r="A263" s="18">
        <v>857</v>
      </c>
      <c r="B263" s="18">
        <v>1</v>
      </c>
      <c r="C263" s="3" t="s">
        <v>259</v>
      </c>
      <c r="D263" s="3">
        <f>ROUND(Data!AA263*$B$3,2)</f>
        <v>112457.89</v>
      </c>
      <c r="E263" s="3">
        <f>MAX(0,Data!AD263-Data!Y263)</f>
        <v>203473.13</v>
      </c>
      <c r="F263" s="3">
        <f>Data!Y263</f>
        <v>0</v>
      </c>
      <c r="G263" s="3">
        <f>Data!X263</f>
        <v>0</v>
      </c>
      <c r="H263" s="3">
        <f>Data!K263+Data!R263</f>
        <v>18784.509999999998</v>
      </c>
      <c r="I263" s="3">
        <f>Data!I263+Data!L263+Data!M263+Data!N263+Data!O263+Data!S263</f>
        <v>0</v>
      </c>
      <c r="J263" s="3">
        <f>Data!Q263</f>
        <v>0</v>
      </c>
      <c r="K263" s="3">
        <f>Data!J263+Data!P263</f>
        <v>15444.650000000001</v>
      </c>
      <c r="L263" s="3">
        <f>Data!T263</f>
        <v>0</v>
      </c>
      <c r="M263" s="3">
        <f>ROUND(Data!AB263*$B$3,2)</f>
        <v>24905.07</v>
      </c>
      <c r="N263" s="3">
        <f>Data!U263</f>
        <v>0</v>
      </c>
      <c r="O263" s="3">
        <f t="shared" si="13"/>
        <v>375065.25000000006</v>
      </c>
      <c r="P263" s="3">
        <f t="shared" si="14"/>
        <v>350160.18000000005</v>
      </c>
      <c r="Q263" s="3">
        <f t="shared" si="15"/>
        <v>24905.07</v>
      </c>
    </row>
    <row r="264" spans="1:17" x14ac:dyDescent="0.2">
      <c r="A264" s="18">
        <v>858</v>
      </c>
      <c r="B264" s="18">
        <v>1</v>
      </c>
      <c r="C264" s="3" t="s">
        <v>260</v>
      </c>
      <c r="D264" s="3">
        <f>ROUND(Data!AA264*$B$3,2)</f>
        <v>122532.17</v>
      </c>
      <c r="E264" s="3">
        <f>MAX(0,Data!AD264-Data!Y264)</f>
        <v>107305.88</v>
      </c>
      <c r="F264" s="3">
        <f>Data!Y264</f>
        <v>0</v>
      </c>
      <c r="G264" s="3">
        <f>Data!X264</f>
        <v>0</v>
      </c>
      <c r="H264" s="3">
        <f>Data!K264+Data!R264</f>
        <v>17938.88</v>
      </c>
      <c r="I264" s="3">
        <f>Data!I264+Data!L264+Data!M264+Data!N264+Data!O264+Data!S264</f>
        <v>0</v>
      </c>
      <c r="J264" s="3">
        <f>Data!Q264</f>
        <v>0</v>
      </c>
      <c r="K264" s="3">
        <f>Data!J264+Data!P264</f>
        <v>19174.32</v>
      </c>
      <c r="L264" s="3">
        <f>Data!T264</f>
        <v>0</v>
      </c>
      <c r="M264" s="3">
        <f>ROUND(Data!AB264*$B$3,2)</f>
        <v>28120.45</v>
      </c>
      <c r="N264" s="3">
        <f>Data!U264</f>
        <v>0</v>
      </c>
      <c r="O264" s="3">
        <f t="shared" si="13"/>
        <v>295071.7</v>
      </c>
      <c r="P264" s="3">
        <f t="shared" si="14"/>
        <v>266951.25</v>
      </c>
      <c r="Q264" s="3">
        <f t="shared" si="15"/>
        <v>28120.45</v>
      </c>
    </row>
    <row r="265" spans="1:17" x14ac:dyDescent="0.2">
      <c r="A265" s="18">
        <v>861</v>
      </c>
      <c r="B265" s="18">
        <v>1</v>
      </c>
      <c r="C265" s="3" t="s">
        <v>261</v>
      </c>
      <c r="D265" s="3">
        <f>ROUND(Data!AA265*$B$3,2)</f>
        <v>1026326.51</v>
      </c>
      <c r="E265" s="3">
        <f>MAX(0,Data!AD265-Data!Y265)</f>
        <v>3103177.5300000003</v>
      </c>
      <c r="F265" s="3">
        <f>Data!Y265</f>
        <v>163275.60999999999</v>
      </c>
      <c r="G265" s="3">
        <f>Data!X265</f>
        <v>0</v>
      </c>
      <c r="H265" s="3">
        <f>Data!K265+Data!R265</f>
        <v>48050.030000000006</v>
      </c>
      <c r="I265" s="3">
        <f>Data!I265+Data!L265+Data!M265+Data!N265+Data!O265+Data!S265</f>
        <v>0</v>
      </c>
      <c r="J265" s="3">
        <f>Data!Q265</f>
        <v>0</v>
      </c>
      <c r="K265" s="3">
        <f>Data!J265+Data!P265</f>
        <v>58975.02</v>
      </c>
      <c r="L265" s="3">
        <f>Data!T265</f>
        <v>0</v>
      </c>
      <c r="M265" s="3">
        <f>ROUND(Data!AB265*$B$3,2)</f>
        <v>232286.62</v>
      </c>
      <c r="N265" s="3">
        <f>Data!U265</f>
        <v>0</v>
      </c>
      <c r="O265" s="3">
        <f t="shared" si="13"/>
        <v>4632091.32</v>
      </c>
      <c r="P265" s="3">
        <f t="shared" si="14"/>
        <v>4399804.7</v>
      </c>
      <c r="Q265" s="3">
        <f t="shared" si="15"/>
        <v>232286.62</v>
      </c>
    </row>
    <row r="266" spans="1:17" x14ac:dyDescent="0.2">
      <c r="A266" s="18">
        <v>876</v>
      </c>
      <c r="B266" s="18">
        <v>1</v>
      </c>
      <c r="C266" s="3" t="s">
        <v>262</v>
      </c>
      <c r="D266" s="3">
        <f>ROUND(Data!AA266*$B$3,2)</f>
        <v>434895.52</v>
      </c>
      <c r="E266" s="3">
        <f>MAX(0,Data!AD266-Data!Y266)</f>
        <v>387505.87</v>
      </c>
      <c r="F266" s="3">
        <f>Data!Y266</f>
        <v>207538.92</v>
      </c>
      <c r="G266" s="3">
        <f>Data!X266</f>
        <v>63681.05</v>
      </c>
      <c r="H266" s="3">
        <f>Data!K266+Data!R266</f>
        <v>42810.22</v>
      </c>
      <c r="I266" s="3">
        <f>Data!I266+Data!L266+Data!M266+Data!N266+Data!O266+Data!S266</f>
        <v>0</v>
      </c>
      <c r="J266" s="3">
        <f>Data!Q266</f>
        <v>0</v>
      </c>
      <c r="K266" s="3">
        <f>Data!J266+Data!P266</f>
        <v>44740.99</v>
      </c>
      <c r="L266" s="3">
        <f>Data!T266</f>
        <v>0</v>
      </c>
      <c r="M266" s="3">
        <f>ROUND(Data!AB266*$B$3,2)</f>
        <v>77317.25</v>
      </c>
      <c r="N266" s="3">
        <f>Data!U266</f>
        <v>0</v>
      </c>
      <c r="O266" s="3">
        <f t="shared" si="13"/>
        <v>1258489.82</v>
      </c>
      <c r="P266" s="3">
        <f t="shared" si="14"/>
        <v>1181172.57</v>
      </c>
      <c r="Q266" s="3">
        <f t="shared" si="15"/>
        <v>77317.25</v>
      </c>
    </row>
    <row r="267" spans="1:17" x14ac:dyDescent="0.2">
      <c r="A267" s="18">
        <v>877</v>
      </c>
      <c r="B267" s="18">
        <v>1</v>
      </c>
      <c r="C267" s="3" t="s">
        <v>263</v>
      </c>
      <c r="D267" s="3">
        <f>ROUND(Data!AA267*$B$3,2)</f>
        <v>1214084.92</v>
      </c>
      <c r="E267" s="3">
        <f>MAX(0,Data!AD267-Data!Y267)</f>
        <v>840388.48</v>
      </c>
      <c r="F267" s="3">
        <f>Data!Y267</f>
        <v>442510.09</v>
      </c>
      <c r="G267" s="3">
        <f>Data!X267</f>
        <v>0</v>
      </c>
      <c r="H267" s="3">
        <f>Data!K267+Data!R267</f>
        <v>122351.88</v>
      </c>
      <c r="I267" s="3">
        <f>Data!I267+Data!L267+Data!M267+Data!N267+Data!O267+Data!S267</f>
        <v>0</v>
      </c>
      <c r="J267" s="3">
        <f>Data!Q267</f>
        <v>0</v>
      </c>
      <c r="K267" s="3">
        <f>Data!J267+Data!P267</f>
        <v>146940.01</v>
      </c>
      <c r="L267" s="3">
        <f>Data!T267</f>
        <v>0</v>
      </c>
      <c r="M267" s="3">
        <f>ROUND(Data!AB267*$B$3,2)</f>
        <v>272628.02</v>
      </c>
      <c r="N267" s="3">
        <f>Data!U267</f>
        <v>0</v>
      </c>
      <c r="O267" s="3">
        <f t="shared" si="13"/>
        <v>3038903.4</v>
      </c>
      <c r="P267" s="3">
        <f t="shared" si="14"/>
        <v>2766275.38</v>
      </c>
      <c r="Q267" s="3">
        <f t="shared" si="15"/>
        <v>272628.02</v>
      </c>
    </row>
    <row r="268" spans="1:17" x14ac:dyDescent="0.2">
      <c r="A268" s="18">
        <v>879</v>
      </c>
      <c r="B268" s="18">
        <v>1</v>
      </c>
      <c r="C268" s="3" t="s">
        <v>264</v>
      </c>
      <c r="D268" s="3">
        <f>ROUND(Data!AA268*$B$3,2)</f>
        <v>462543.38</v>
      </c>
      <c r="E268" s="3">
        <f>MAX(0,Data!AD268-Data!Y268)</f>
        <v>392920.92000000004</v>
      </c>
      <c r="F268" s="3">
        <f>Data!Y268</f>
        <v>117957.42</v>
      </c>
      <c r="G268" s="3">
        <f>Data!X268</f>
        <v>0</v>
      </c>
      <c r="H268" s="3">
        <f>Data!K268+Data!R268</f>
        <v>54463.1</v>
      </c>
      <c r="I268" s="3">
        <f>Data!I268+Data!L268+Data!M268+Data!N268+Data!O268+Data!S268</f>
        <v>0</v>
      </c>
      <c r="J268" s="3">
        <f>Data!Q268</f>
        <v>0</v>
      </c>
      <c r="K268" s="3">
        <f>Data!J268+Data!P268</f>
        <v>29297.55</v>
      </c>
      <c r="L268" s="3">
        <f>Data!T268</f>
        <v>0</v>
      </c>
      <c r="M268" s="3">
        <f>ROUND(Data!AB268*$B$3,2)</f>
        <v>101588.09</v>
      </c>
      <c r="N268" s="3">
        <f>Data!U268</f>
        <v>0</v>
      </c>
      <c r="O268" s="3">
        <f t="shared" si="13"/>
        <v>1158770.4600000002</v>
      </c>
      <c r="P268" s="3">
        <f t="shared" si="14"/>
        <v>1057182.3700000001</v>
      </c>
      <c r="Q268" s="3">
        <f t="shared" si="15"/>
        <v>101588.09</v>
      </c>
    </row>
    <row r="269" spans="1:17" x14ac:dyDescent="0.2">
      <c r="A269" s="18">
        <v>881</v>
      </c>
      <c r="B269" s="18">
        <v>1</v>
      </c>
      <c r="C269" s="3" t="s">
        <v>265</v>
      </c>
      <c r="D269" s="3">
        <f>ROUND(Data!AA269*$B$3,2)</f>
        <v>130846.27</v>
      </c>
      <c r="E269" s="3">
        <f>MAX(0,Data!AD269-Data!Y269)</f>
        <v>171156.18000000002</v>
      </c>
      <c r="F269" s="3">
        <f>Data!Y269</f>
        <v>117442.28</v>
      </c>
      <c r="G269" s="3">
        <f>Data!X269</f>
        <v>19558.900000000001</v>
      </c>
      <c r="H269" s="3">
        <f>Data!K269+Data!R269</f>
        <v>20581.98</v>
      </c>
      <c r="I269" s="3">
        <f>Data!I269+Data!L269+Data!M269+Data!N269+Data!O269+Data!S269</f>
        <v>0</v>
      </c>
      <c r="J269" s="3">
        <f>Data!Q269</f>
        <v>0</v>
      </c>
      <c r="K269" s="3">
        <f>Data!J269+Data!P269</f>
        <v>1916.1200000000001</v>
      </c>
      <c r="L269" s="3">
        <f>Data!T269</f>
        <v>0</v>
      </c>
      <c r="M269" s="3">
        <f>ROUND(Data!AB269*$B$3,2)</f>
        <v>33892.67</v>
      </c>
      <c r="N269" s="3">
        <f>Data!U269</f>
        <v>0</v>
      </c>
      <c r="O269" s="3">
        <f t="shared" si="13"/>
        <v>495394.39999999997</v>
      </c>
      <c r="P269" s="3">
        <f t="shared" si="14"/>
        <v>461501.73</v>
      </c>
      <c r="Q269" s="3">
        <f t="shared" si="15"/>
        <v>33892.67</v>
      </c>
    </row>
    <row r="270" spans="1:17" x14ac:dyDescent="0.2">
      <c r="A270" s="18">
        <v>882</v>
      </c>
      <c r="B270" s="18">
        <v>1</v>
      </c>
      <c r="C270" s="3" t="s">
        <v>266</v>
      </c>
      <c r="D270" s="3">
        <f>ROUND(Data!AA270*$B$3,2)</f>
        <v>984584.14</v>
      </c>
      <c r="E270" s="3">
        <f>MAX(0,Data!AD270-Data!Y270)</f>
        <v>1274438.92</v>
      </c>
      <c r="F270" s="3">
        <f>Data!Y270</f>
        <v>480525.55</v>
      </c>
      <c r="G270" s="3">
        <f>Data!X270</f>
        <v>155849.28</v>
      </c>
      <c r="H270" s="3">
        <f>Data!K270+Data!R270</f>
        <v>53561.5</v>
      </c>
      <c r="I270" s="3">
        <f>Data!I270+Data!L270+Data!M270+Data!N270+Data!O270+Data!S270</f>
        <v>0</v>
      </c>
      <c r="J270" s="3">
        <f>Data!Q270</f>
        <v>0</v>
      </c>
      <c r="K270" s="3">
        <f>Data!J270+Data!P270</f>
        <v>54083.92</v>
      </c>
      <c r="L270" s="3">
        <f>Data!T270</f>
        <v>0</v>
      </c>
      <c r="M270" s="3">
        <f>ROUND(Data!AB270*$B$3,2)</f>
        <v>126372.64</v>
      </c>
      <c r="N270" s="3">
        <f>Data!U270</f>
        <v>0</v>
      </c>
      <c r="O270" s="3">
        <f t="shared" si="13"/>
        <v>3129415.9499999997</v>
      </c>
      <c r="P270" s="3">
        <f t="shared" si="14"/>
        <v>3003043.3099999996</v>
      </c>
      <c r="Q270" s="3">
        <f t="shared" si="15"/>
        <v>126372.64</v>
      </c>
    </row>
    <row r="271" spans="1:17" x14ac:dyDescent="0.2">
      <c r="A271" s="18">
        <v>883</v>
      </c>
      <c r="B271" s="18">
        <v>1</v>
      </c>
      <c r="C271" s="3" t="s">
        <v>267</v>
      </c>
      <c r="D271" s="3">
        <f>ROUND(Data!AA271*$B$3,2)</f>
        <v>345667.5</v>
      </c>
      <c r="E271" s="3">
        <f>MAX(0,Data!AD271-Data!Y271)</f>
        <v>265246.21000000002</v>
      </c>
      <c r="F271" s="3">
        <f>Data!Y271</f>
        <v>108595.68</v>
      </c>
      <c r="G271" s="3">
        <f>Data!X271</f>
        <v>0</v>
      </c>
      <c r="H271" s="3">
        <f>Data!K271+Data!R271</f>
        <v>0</v>
      </c>
      <c r="I271" s="3">
        <f>Data!I271+Data!L271+Data!M271+Data!N271+Data!O271+Data!S271</f>
        <v>0</v>
      </c>
      <c r="J271" s="3">
        <f>Data!Q271</f>
        <v>0</v>
      </c>
      <c r="K271" s="3">
        <f>Data!J271+Data!P271</f>
        <v>38000</v>
      </c>
      <c r="L271" s="3">
        <f>Data!T271</f>
        <v>0</v>
      </c>
      <c r="M271" s="3">
        <f>ROUND(Data!AB271*$B$3,2)</f>
        <v>58821.55</v>
      </c>
      <c r="N271" s="3">
        <f>Data!U271</f>
        <v>0</v>
      </c>
      <c r="O271" s="3">
        <f t="shared" si="13"/>
        <v>816330.94</v>
      </c>
      <c r="P271" s="3">
        <f t="shared" si="14"/>
        <v>757509.3899999999</v>
      </c>
      <c r="Q271" s="3">
        <f t="shared" si="15"/>
        <v>58821.55</v>
      </c>
    </row>
    <row r="272" spans="1:17" x14ac:dyDescent="0.2">
      <c r="A272" s="18">
        <v>885</v>
      </c>
      <c r="B272" s="18">
        <v>1</v>
      </c>
      <c r="C272" s="3" t="s">
        <v>268</v>
      </c>
      <c r="D272" s="3">
        <f>ROUND(Data!AA272*$B$3,2)</f>
        <v>558699.06999999995</v>
      </c>
      <c r="E272" s="3">
        <f>MAX(0,Data!AD272-Data!Y272)</f>
        <v>1047271.0700000001</v>
      </c>
      <c r="F272" s="3">
        <f>Data!Y272</f>
        <v>131136.53</v>
      </c>
      <c r="G272" s="3">
        <f>Data!X272</f>
        <v>0</v>
      </c>
      <c r="H272" s="3">
        <f>Data!K272+Data!R272</f>
        <v>100612.84000000001</v>
      </c>
      <c r="I272" s="3">
        <f>Data!I272+Data!L272+Data!M272+Data!N272+Data!O272+Data!S272</f>
        <v>0</v>
      </c>
      <c r="J272" s="3">
        <f>Data!Q272</f>
        <v>0</v>
      </c>
      <c r="K272" s="3">
        <f>Data!J272+Data!P272</f>
        <v>6664.6</v>
      </c>
      <c r="L272" s="3">
        <f>Data!T272</f>
        <v>0</v>
      </c>
      <c r="M272" s="3">
        <f>ROUND(Data!AB272*$B$3,2)</f>
        <v>122223.17</v>
      </c>
      <c r="N272" s="3">
        <f>Data!U272</f>
        <v>0</v>
      </c>
      <c r="O272" s="3">
        <f t="shared" si="13"/>
        <v>1966607.2800000003</v>
      </c>
      <c r="P272" s="3">
        <f t="shared" si="14"/>
        <v>1844384.1100000003</v>
      </c>
      <c r="Q272" s="3">
        <f t="shared" si="15"/>
        <v>122223.17</v>
      </c>
    </row>
    <row r="273" spans="1:17" x14ac:dyDescent="0.2">
      <c r="A273" s="18">
        <v>891</v>
      </c>
      <c r="B273" s="18">
        <v>1</v>
      </c>
      <c r="C273" s="3" t="s">
        <v>269</v>
      </c>
      <c r="D273" s="3">
        <f>ROUND(Data!AA273*$B$3,2)</f>
        <v>142019.23000000001</v>
      </c>
      <c r="E273" s="3">
        <f>MAX(0,Data!AD273-Data!Y273)</f>
        <v>59423.45</v>
      </c>
      <c r="F273" s="3">
        <f>Data!Y273</f>
        <v>32209.42</v>
      </c>
      <c r="G273" s="3">
        <f>Data!X273</f>
        <v>18617.810000000001</v>
      </c>
      <c r="H273" s="3">
        <f>Data!K273+Data!R273</f>
        <v>15674.45</v>
      </c>
      <c r="I273" s="3">
        <f>Data!I273+Data!L273+Data!M273+Data!N273+Data!O273+Data!S273</f>
        <v>0</v>
      </c>
      <c r="J273" s="3">
        <f>Data!Q273</f>
        <v>0</v>
      </c>
      <c r="K273" s="3">
        <f>Data!J273+Data!P273</f>
        <v>-4628.8999999999996</v>
      </c>
      <c r="L273" s="3">
        <f>Data!T273</f>
        <v>0</v>
      </c>
      <c r="M273" s="3">
        <f>ROUND(Data!AB273*$B$3,2)</f>
        <v>25118.42</v>
      </c>
      <c r="N273" s="3">
        <f>Data!U273</f>
        <v>0</v>
      </c>
      <c r="O273" s="3">
        <f t="shared" si="13"/>
        <v>288433.87999999995</v>
      </c>
      <c r="P273" s="3">
        <f t="shared" si="14"/>
        <v>263315.45999999996</v>
      </c>
      <c r="Q273" s="3">
        <f t="shared" si="15"/>
        <v>25118.42</v>
      </c>
    </row>
    <row r="274" spans="1:17" x14ac:dyDescent="0.2">
      <c r="A274" s="18">
        <v>911</v>
      </c>
      <c r="B274" s="18">
        <v>1</v>
      </c>
      <c r="C274" s="3" t="s">
        <v>270</v>
      </c>
      <c r="D274" s="3">
        <f>ROUND(Data!AA274*$B$3,2)</f>
        <v>782612.02</v>
      </c>
      <c r="E274" s="3">
        <f>MAX(0,Data!AD274-Data!Y274)</f>
        <v>0</v>
      </c>
      <c r="F274" s="3">
        <f>Data!Y274</f>
        <v>217668.75</v>
      </c>
      <c r="G274" s="3">
        <f>Data!X274</f>
        <v>0</v>
      </c>
      <c r="H274" s="3">
        <f>Data!K274+Data!R274</f>
        <v>120938.95</v>
      </c>
      <c r="I274" s="3">
        <f>Data!I274+Data!L274+Data!M274+Data!N274+Data!O274+Data!S274</f>
        <v>0</v>
      </c>
      <c r="J274" s="3">
        <f>Data!Q274</f>
        <v>0</v>
      </c>
      <c r="K274" s="3">
        <f>Data!J274+Data!P274</f>
        <v>138764.79</v>
      </c>
      <c r="L274" s="3">
        <f>Data!T274</f>
        <v>0</v>
      </c>
      <c r="M274" s="3">
        <f>ROUND(Data!AB274*$B$3,2)</f>
        <v>168248.11</v>
      </c>
      <c r="N274" s="3">
        <f>Data!U274</f>
        <v>0</v>
      </c>
      <c r="O274" s="3">
        <f t="shared" si="13"/>
        <v>1428232.62</v>
      </c>
      <c r="P274" s="3">
        <f t="shared" si="14"/>
        <v>1259984.51</v>
      </c>
      <c r="Q274" s="3">
        <f t="shared" si="15"/>
        <v>168248.11</v>
      </c>
    </row>
    <row r="275" spans="1:17" x14ac:dyDescent="0.2">
      <c r="A275" s="18">
        <v>912</v>
      </c>
      <c r="B275" s="18">
        <v>1</v>
      </c>
      <c r="C275" s="3" t="s">
        <v>271</v>
      </c>
      <c r="D275" s="3">
        <f>ROUND(Data!AA275*$B$3,2)</f>
        <v>158320.10999999999</v>
      </c>
      <c r="E275" s="3">
        <f>MAX(0,Data!AD275-Data!Y275)</f>
        <v>0</v>
      </c>
      <c r="F275" s="3">
        <f>Data!Y275</f>
        <v>54092.15</v>
      </c>
      <c r="G275" s="3">
        <f>Data!X275</f>
        <v>0</v>
      </c>
      <c r="H275" s="3">
        <f>Data!K275+Data!R275</f>
        <v>41749.729999999996</v>
      </c>
      <c r="I275" s="3">
        <f>Data!I275+Data!L275+Data!M275+Data!N275+Data!O275+Data!S275</f>
        <v>0</v>
      </c>
      <c r="J275" s="3">
        <f>Data!Q275</f>
        <v>0</v>
      </c>
      <c r="K275" s="3">
        <f>Data!J275+Data!P275</f>
        <v>-13814.560000000001</v>
      </c>
      <c r="L275" s="3">
        <f>Data!T275</f>
        <v>0</v>
      </c>
      <c r="M275" s="3">
        <f>ROUND(Data!AB275*$B$3,2)</f>
        <v>38064.870000000003</v>
      </c>
      <c r="N275" s="3">
        <f>Data!U275</f>
        <v>0</v>
      </c>
      <c r="O275" s="3">
        <f t="shared" si="13"/>
        <v>278412.3</v>
      </c>
      <c r="P275" s="3">
        <f t="shared" si="14"/>
        <v>240347.43</v>
      </c>
      <c r="Q275" s="3">
        <f t="shared" si="15"/>
        <v>38064.870000000003</v>
      </c>
    </row>
    <row r="276" spans="1:17" x14ac:dyDescent="0.2">
      <c r="A276" s="18">
        <v>914</v>
      </c>
      <c r="B276" s="18">
        <v>1</v>
      </c>
      <c r="C276" s="3" t="s">
        <v>272</v>
      </c>
      <c r="D276" s="3">
        <f>ROUND(Data!AA276*$B$3,2)</f>
        <v>43517.06</v>
      </c>
      <c r="E276" s="3">
        <f>MAX(0,Data!AD276-Data!Y276)</f>
        <v>88484.13</v>
      </c>
      <c r="F276" s="3">
        <f>Data!Y276</f>
        <v>88350</v>
      </c>
      <c r="G276" s="3">
        <f>Data!X276</f>
        <v>527.82000000000005</v>
      </c>
      <c r="H276" s="3">
        <f>Data!K276+Data!R276</f>
        <v>11665.08</v>
      </c>
      <c r="I276" s="3">
        <f>Data!I276+Data!L276+Data!M276+Data!N276+Data!O276+Data!S276</f>
        <v>0</v>
      </c>
      <c r="J276" s="3">
        <f>Data!Q276</f>
        <v>0</v>
      </c>
      <c r="K276" s="3">
        <f>Data!J276+Data!P276</f>
        <v>-1347</v>
      </c>
      <c r="L276" s="3">
        <f>Data!T276</f>
        <v>0</v>
      </c>
      <c r="M276" s="3">
        <f>ROUND(Data!AB276*$B$3,2)</f>
        <v>8674.51</v>
      </c>
      <c r="N276" s="3">
        <f>Data!U276</f>
        <v>0</v>
      </c>
      <c r="O276" s="3">
        <f t="shared" si="13"/>
        <v>239871.6</v>
      </c>
      <c r="P276" s="3">
        <f t="shared" si="14"/>
        <v>231197.09</v>
      </c>
      <c r="Q276" s="3">
        <f t="shared" si="15"/>
        <v>8674.51</v>
      </c>
    </row>
    <row r="277" spans="1:17" x14ac:dyDescent="0.2">
      <c r="A277" s="18">
        <v>2071</v>
      </c>
      <c r="B277" s="18">
        <v>1</v>
      </c>
      <c r="C277" s="3" t="s">
        <v>273</v>
      </c>
      <c r="D277" s="3">
        <f>ROUND(Data!AA277*$B$3,2)</f>
        <v>224332.36</v>
      </c>
      <c r="E277" s="3">
        <f>MAX(0,Data!AD277-Data!Y277)</f>
        <v>20088.890000000014</v>
      </c>
      <c r="F277" s="3">
        <f>Data!Y277</f>
        <v>216532</v>
      </c>
      <c r="G277" s="3">
        <f>Data!X277</f>
        <v>0</v>
      </c>
      <c r="H277" s="3">
        <f>Data!K277+Data!R277</f>
        <v>17903.82</v>
      </c>
      <c r="I277" s="3">
        <f>Data!I277+Data!L277+Data!M277+Data!N277+Data!O277+Data!S277</f>
        <v>0</v>
      </c>
      <c r="J277" s="3">
        <f>Data!Q277</f>
        <v>0</v>
      </c>
      <c r="K277" s="3">
        <f>Data!J277+Data!P277</f>
        <v>2584.79</v>
      </c>
      <c r="L277" s="3">
        <f>Data!T277</f>
        <v>0</v>
      </c>
      <c r="M277" s="3">
        <f>ROUND(Data!AB277*$B$3,2)</f>
        <v>39137.050000000003</v>
      </c>
      <c r="N277" s="3">
        <f>Data!U277</f>
        <v>0</v>
      </c>
      <c r="O277" s="3">
        <f t="shared" si="13"/>
        <v>520578.91</v>
      </c>
      <c r="P277" s="3">
        <f t="shared" si="14"/>
        <v>481441.86</v>
      </c>
      <c r="Q277" s="3">
        <f t="shared" si="15"/>
        <v>39137.050000000003</v>
      </c>
    </row>
    <row r="278" spans="1:17" x14ac:dyDescent="0.2">
      <c r="A278" s="18">
        <v>2125</v>
      </c>
      <c r="B278" s="18">
        <v>1</v>
      </c>
      <c r="C278" s="3" t="s">
        <v>274</v>
      </c>
      <c r="D278" s="3">
        <f>ROUND(Data!AA278*$B$3,2)</f>
        <v>291882.13</v>
      </c>
      <c r="E278" s="3">
        <f>MAX(0,Data!AD278-Data!Y278)</f>
        <v>140479.40000000002</v>
      </c>
      <c r="F278" s="3">
        <f>Data!Y278</f>
        <v>130834.75</v>
      </c>
      <c r="G278" s="3">
        <f>Data!X278</f>
        <v>0</v>
      </c>
      <c r="H278" s="3">
        <f>Data!K278+Data!R278</f>
        <v>12194.83</v>
      </c>
      <c r="I278" s="3">
        <f>Data!I278+Data!L278+Data!M278+Data!N278+Data!O278+Data!S278</f>
        <v>0</v>
      </c>
      <c r="J278" s="3">
        <f>Data!Q278</f>
        <v>0</v>
      </c>
      <c r="K278" s="3">
        <f>Data!J278+Data!P278</f>
        <v>24809.98</v>
      </c>
      <c r="L278" s="3">
        <f>Data!T278</f>
        <v>0</v>
      </c>
      <c r="M278" s="3">
        <f>ROUND(Data!AB278*$B$3,2)</f>
        <v>53305.85</v>
      </c>
      <c r="N278" s="3">
        <f>Data!U278</f>
        <v>0</v>
      </c>
      <c r="O278" s="3">
        <f t="shared" si="13"/>
        <v>653506.93999999994</v>
      </c>
      <c r="P278" s="3">
        <f t="shared" si="14"/>
        <v>600201.09</v>
      </c>
      <c r="Q278" s="3">
        <f t="shared" si="15"/>
        <v>53305.85</v>
      </c>
    </row>
    <row r="279" spans="1:17" x14ac:dyDescent="0.2">
      <c r="A279" s="18">
        <v>2134</v>
      </c>
      <c r="B279" s="18">
        <v>1</v>
      </c>
      <c r="C279" s="3" t="s">
        <v>275</v>
      </c>
      <c r="D279" s="3">
        <f>ROUND(Data!AA279*$B$3,2)</f>
        <v>193062.22</v>
      </c>
      <c r="E279" s="3">
        <f>MAX(0,Data!AD279-Data!Y279)</f>
        <v>158662.32</v>
      </c>
      <c r="F279" s="3">
        <f>Data!Y279</f>
        <v>243273.5</v>
      </c>
      <c r="G279" s="3">
        <f>Data!X279</f>
        <v>10564.1</v>
      </c>
      <c r="H279" s="3">
        <f>Data!K279+Data!R279</f>
        <v>22862.880000000001</v>
      </c>
      <c r="I279" s="3">
        <f>Data!I279+Data!L279+Data!M279+Data!N279+Data!O279+Data!S279</f>
        <v>0</v>
      </c>
      <c r="J279" s="3">
        <f>Data!Q279</f>
        <v>0</v>
      </c>
      <c r="K279" s="3">
        <f>Data!J279+Data!P279</f>
        <v>14162.43</v>
      </c>
      <c r="L279" s="3">
        <f>Data!T279</f>
        <v>0</v>
      </c>
      <c r="M279" s="3">
        <f>ROUND(Data!AB279*$B$3,2)</f>
        <v>40824.839999999997</v>
      </c>
      <c r="N279" s="3">
        <f>Data!U279</f>
        <v>0</v>
      </c>
      <c r="O279" s="3">
        <f t="shared" si="13"/>
        <v>683412.29</v>
      </c>
      <c r="P279" s="3">
        <f t="shared" si="14"/>
        <v>642587.45000000007</v>
      </c>
      <c r="Q279" s="3">
        <f t="shared" si="15"/>
        <v>40824.839999999997</v>
      </c>
    </row>
    <row r="280" spans="1:17" x14ac:dyDescent="0.2">
      <c r="A280" s="18">
        <v>2135</v>
      </c>
      <c r="B280" s="18">
        <v>1</v>
      </c>
      <c r="C280" s="3" t="s">
        <v>276</v>
      </c>
      <c r="D280" s="3">
        <f>ROUND(Data!AA280*$B$3,2)</f>
        <v>191728.73</v>
      </c>
      <c r="E280" s="3">
        <f>MAX(0,Data!AD280-Data!Y280)</f>
        <v>141659.75</v>
      </c>
      <c r="F280" s="3">
        <f>Data!Y280</f>
        <v>188722.05</v>
      </c>
      <c r="G280" s="3">
        <f>Data!X280</f>
        <v>0</v>
      </c>
      <c r="H280" s="3">
        <f>Data!K280+Data!R280</f>
        <v>27334.09</v>
      </c>
      <c r="I280" s="3">
        <f>Data!I280+Data!L280+Data!M280+Data!N280+Data!O280+Data!S280</f>
        <v>0</v>
      </c>
      <c r="J280" s="3">
        <f>Data!Q280</f>
        <v>0</v>
      </c>
      <c r="K280" s="3">
        <f>Data!J280+Data!P280</f>
        <v>23132.21</v>
      </c>
      <c r="L280" s="3">
        <f>Data!T280</f>
        <v>0</v>
      </c>
      <c r="M280" s="3">
        <f>ROUND(Data!AB280*$B$3,2)</f>
        <v>41441.75</v>
      </c>
      <c r="N280" s="3">
        <f>Data!U280</f>
        <v>0</v>
      </c>
      <c r="O280" s="3">
        <f t="shared" si="13"/>
        <v>614018.57999999996</v>
      </c>
      <c r="P280" s="3">
        <f t="shared" si="14"/>
        <v>572576.82999999996</v>
      </c>
      <c r="Q280" s="3">
        <f t="shared" si="15"/>
        <v>41441.75</v>
      </c>
    </row>
    <row r="281" spans="1:17" x14ac:dyDescent="0.2">
      <c r="A281" s="18">
        <v>2137</v>
      </c>
      <c r="B281" s="18">
        <v>1</v>
      </c>
      <c r="C281" s="3" t="s">
        <v>277</v>
      </c>
      <c r="D281" s="3">
        <f>ROUND(Data!AA281*$B$3,2)</f>
        <v>182233.60000000001</v>
      </c>
      <c r="E281" s="3">
        <f>MAX(0,Data!AD281-Data!Y281)</f>
        <v>141126.56</v>
      </c>
      <c r="F281" s="3">
        <f>Data!Y281</f>
        <v>63102.69</v>
      </c>
      <c r="G281" s="3">
        <f>Data!X281</f>
        <v>0</v>
      </c>
      <c r="H281" s="3">
        <f>Data!K281+Data!R281</f>
        <v>22337.439999999999</v>
      </c>
      <c r="I281" s="3">
        <f>Data!I281+Data!L281+Data!M281+Data!N281+Data!O281+Data!S281</f>
        <v>0</v>
      </c>
      <c r="J281" s="3">
        <f>Data!Q281</f>
        <v>0</v>
      </c>
      <c r="K281" s="3">
        <f>Data!J281+Data!P281</f>
        <v>22076.66</v>
      </c>
      <c r="L281" s="3">
        <f>Data!T281</f>
        <v>0</v>
      </c>
      <c r="M281" s="3">
        <f>ROUND(Data!AB281*$B$3,2)</f>
        <v>35661.660000000003</v>
      </c>
      <c r="N281" s="3">
        <f>Data!U281</f>
        <v>0</v>
      </c>
      <c r="O281" s="3">
        <f t="shared" si="13"/>
        <v>466538.61</v>
      </c>
      <c r="P281" s="3">
        <f t="shared" si="14"/>
        <v>430876.95</v>
      </c>
      <c r="Q281" s="3">
        <f t="shared" si="15"/>
        <v>35661.660000000003</v>
      </c>
    </row>
    <row r="282" spans="1:17" x14ac:dyDescent="0.2">
      <c r="A282" s="18">
        <v>2142</v>
      </c>
      <c r="B282" s="18">
        <v>1</v>
      </c>
      <c r="C282" s="3" t="s">
        <v>278</v>
      </c>
      <c r="D282" s="3">
        <f>ROUND(Data!AA282*$B$3,2)</f>
        <v>670540.25</v>
      </c>
      <c r="E282" s="3">
        <f>MAX(0,Data!AD282-Data!Y282)</f>
        <v>0</v>
      </c>
      <c r="F282" s="3">
        <f>Data!Y282</f>
        <v>171786.65</v>
      </c>
      <c r="G282" s="3">
        <f>Data!X282</f>
        <v>21538.33</v>
      </c>
      <c r="H282" s="3">
        <f>Data!K282+Data!R282</f>
        <v>25423.45</v>
      </c>
      <c r="I282" s="3">
        <f>Data!I282+Data!L282+Data!M282+Data!N282+Data!O282+Data!S282</f>
        <v>351600.37</v>
      </c>
      <c r="J282" s="3">
        <f>Data!Q282</f>
        <v>0</v>
      </c>
      <c r="K282" s="3">
        <f>Data!J282+Data!P282</f>
        <v>96909.93</v>
      </c>
      <c r="L282" s="3">
        <f>Data!T282</f>
        <v>0</v>
      </c>
      <c r="M282" s="3">
        <f>ROUND(Data!AB282*$B$3,2)</f>
        <v>0</v>
      </c>
      <c r="N282" s="3">
        <f>Data!U282</f>
        <v>0</v>
      </c>
      <c r="O282" s="3">
        <f t="shared" si="13"/>
        <v>1337798.9799999997</v>
      </c>
      <c r="P282" s="3">
        <f t="shared" si="14"/>
        <v>1337798.9799999997</v>
      </c>
      <c r="Q282" s="3">
        <f t="shared" si="15"/>
        <v>0</v>
      </c>
    </row>
    <row r="283" spans="1:17" x14ac:dyDescent="0.2">
      <c r="A283" s="18">
        <v>2143</v>
      </c>
      <c r="B283" s="18">
        <v>1</v>
      </c>
      <c r="C283" s="3" t="s">
        <v>279</v>
      </c>
      <c r="D283" s="3">
        <f>ROUND(Data!AA283*$B$3,2)</f>
        <v>177727.11</v>
      </c>
      <c r="E283" s="3">
        <f>MAX(0,Data!AD283-Data!Y283)</f>
        <v>552864.26</v>
      </c>
      <c r="F283" s="3">
        <f>Data!Y283</f>
        <v>72111.33</v>
      </c>
      <c r="G283" s="3">
        <f>Data!X283</f>
        <v>0</v>
      </c>
      <c r="H283" s="3">
        <f>Data!K283+Data!R283</f>
        <v>21460.44</v>
      </c>
      <c r="I283" s="3">
        <f>Data!I283+Data!L283+Data!M283+Data!N283+Data!O283+Data!S283</f>
        <v>0</v>
      </c>
      <c r="J283" s="3">
        <f>Data!Q283</f>
        <v>0</v>
      </c>
      <c r="K283" s="3">
        <f>Data!J283+Data!P283</f>
        <v>17543.91</v>
      </c>
      <c r="L283" s="3">
        <f>Data!T283</f>
        <v>0</v>
      </c>
      <c r="M283" s="3">
        <f>ROUND(Data!AB283*$B$3,2)</f>
        <v>35820.629999999997</v>
      </c>
      <c r="N283" s="3">
        <f>Data!U283</f>
        <v>0</v>
      </c>
      <c r="O283" s="3">
        <f t="shared" si="13"/>
        <v>877527.67999999993</v>
      </c>
      <c r="P283" s="3">
        <f t="shared" si="14"/>
        <v>841707.04999999993</v>
      </c>
      <c r="Q283" s="3">
        <f t="shared" si="15"/>
        <v>35820.629999999997</v>
      </c>
    </row>
    <row r="284" spans="1:17" x14ac:dyDescent="0.2">
      <c r="A284" s="18">
        <v>2144</v>
      </c>
      <c r="B284" s="18">
        <v>1</v>
      </c>
      <c r="C284" s="3" t="s">
        <v>280</v>
      </c>
      <c r="D284" s="3">
        <f>ROUND(Data!AA284*$B$3,2)</f>
        <v>969418.99</v>
      </c>
      <c r="E284" s="3">
        <f>MAX(0,Data!AD284-Data!Y284)</f>
        <v>586564.35</v>
      </c>
      <c r="F284" s="3">
        <f>Data!Y284</f>
        <v>212914.72</v>
      </c>
      <c r="G284" s="3">
        <f>Data!X284</f>
        <v>0</v>
      </c>
      <c r="H284" s="3">
        <f>Data!K284+Data!R284</f>
        <v>80459.100000000006</v>
      </c>
      <c r="I284" s="3">
        <f>Data!I284+Data!L284+Data!M284+Data!N284+Data!O284+Data!S284</f>
        <v>0</v>
      </c>
      <c r="J284" s="3">
        <f>Data!Q284</f>
        <v>0</v>
      </c>
      <c r="K284" s="3">
        <f>Data!J284+Data!P284</f>
        <v>80159.8</v>
      </c>
      <c r="L284" s="3">
        <f>Data!T284</f>
        <v>0</v>
      </c>
      <c r="M284" s="3">
        <f>ROUND(Data!AB284*$B$3,2)</f>
        <v>142167.85999999999</v>
      </c>
      <c r="N284" s="3">
        <f>Data!U284</f>
        <v>0</v>
      </c>
      <c r="O284" s="3">
        <f t="shared" si="13"/>
        <v>2071684.8199999998</v>
      </c>
      <c r="P284" s="3">
        <f t="shared" si="14"/>
        <v>1929516.96</v>
      </c>
      <c r="Q284" s="3">
        <f t="shared" si="15"/>
        <v>142167.85999999999</v>
      </c>
    </row>
    <row r="285" spans="1:17" x14ac:dyDescent="0.2">
      <c r="A285" s="18">
        <v>2149</v>
      </c>
      <c r="B285" s="18">
        <v>1</v>
      </c>
      <c r="C285" s="3" t="s">
        <v>281</v>
      </c>
      <c r="D285" s="3">
        <f>ROUND(Data!AA285*$B$3,2)</f>
        <v>360005.7</v>
      </c>
      <c r="E285" s="3">
        <f>MAX(0,Data!AD285-Data!Y285)</f>
        <v>306427.38999999996</v>
      </c>
      <c r="F285" s="3">
        <f>Data!Y285</f>
        <v>105651.52</v>
      </c>
      <c r="G285" s="3">
        <f>Data!X285</f>
        <v>0</v>
      </c>
      <c r="H285" s="3">
        <f>Data!K285+Data!R285</f>
        <v>40063.57</v>
      </c>
      <c r="I285" s="3">
        <f>Data!I285+Data!L285+Data!M285+Data!N285+Data!O285+Data!S285</f>
        <v>0</v>
      </c>
      <c r="J285" s="3">
        <f>Data!Q285</f>
        <v>0</v>
      </c>
      <c r="K285" s="3">
        <f>Data!J285+Data!P285</f>
        <v>32663.97</v>
      </c>
      <c r="L285" s="3">
        <f>Data!T285</f>
        <v>0</v>
      </c>
      <c r="M285" s="3">
        <f>ROUND(Data!AB285*$B$3,2)</f>
        <v>70077.31</v>
      </c>
      <c r="N285" s="3">
        <f>Data!U285</f>
        <v>0</v>
      </c>
      <c r="O285" s="3">
        <f t="shared" si="13"/>
        <v>914889.46</v>
      </c>
      <c r="P285" s="3">
        <f t="shared" si="14"/>
        <v>844812.14999999991</v>
      </c>
      <c r="Q285" s="3">
        <f t="shared" si="15"/>
        <v>70077.31</v>
      </c>
    </row>
    <row r="286" spans="1:17" x14ac:dyDescent="0.2">
      <c r="A286" s="18">
        <v>2154</v>
      </c>
      <c r="B286" s="18">
        <v>1</v>
      </c>
      <c r="C286" s="3" t="s">
        <v>282</v>
      </c>
      <c r="D286" s="3">
        <f>ROUND(Data!AA286*$B$3,2)</f>
        <v>0</v>
      </c>
      <c r="E286" s="3">
        <f>MAX(0,Data!AD286-Data!Y286)</f>
        <v>220912.73</v>
      </c>
      <c r="F286" s="3">
        <f>Data!Y286</f>
        <v>52276.22</v>
      </c>
      <c r="G286" s="3">
        <f>Data!X286</f>
        <v>22207.47</v>
      </c>
      <c r="H286" s="3">
        <f>Data!K286+Data!R286</f>
        <v>31201.66</v>
      </c>
      <c r="I286" s="3">
        <f>Data!I286+Data!L286+Data!M286+Data!N286+Data!O286+Data!S286</f>
        <v>68379.040000000008</v>
      </c>
      <c r="J286" s="3">
        <f>Data!Q286</f>
        <v>0</v>
      </c>
      <c r="K286" s="3">
        <f>Data!J286+Data!P286</f>
        <v>23339.39</v>
      </c>
      <c r="L286" s="3">
        <f>Data!T286</f>
        <v>0</v>
      </c>
      <c r="M286" s="3">
        <f>ROUND(Data!AB286*$B$3,2)</f>
        <v>0</v>
      </c>
      <c r="N286" s="3">
        <f>Data!U286</f>
        <v>0</v>
      </c>
      <c r="O286" s="3">
        <f t="shared" si="13"/>
        <v>418316.51</v>
      </c>
      <c r="P286" s="3">
        <f t="shared" si="14"/>
        <v>418316.51</v>
      </c>
      <c r="Q286" s="3">
        <f t="shared" si="15"/>
        <v>0</v>
      </c>
    </row>
    <row r="287" spans="1:17" x14ac:dyDescent="0.2">
      <c r="A287" s="18">
        <v>2155</v>
      </c>
      <c r="B287" s="18">
        <v>1</v>
      </c>
      <c r="C287" s="3" t="s">
        <v>283</v>
      </c>
      <c r="D287" s="3">
        <f>ROUND(Data!AA287*$B$3,2)</f>
        <v>126810.8</v>
      </c>
      <c r="E287" s="3">
        <f>MAX(0,Data!AD287-Data!Y287)</f>
        <v>240426.63</v>
      </c>
      <c r="F287" s="3">
        <f>Data!Y287</f>
        <v>38157.32</v>
      </c>
      <c r="G287" s="3">
        <f>Data!X287</f>
        <v>0</v>
      </c>
      <c r="H287" s="3">
        <f>Data!K287+Data!R287</f>
        <v>34784.42</v>
      </c>
      <c r="I287" s="3">
        <f>Data!I287+Data!L287+Data!M287+Data!N287+Data!O287+Data!S287</f>
        <v>0</v>
      </c>
      <c r="J287" s="3">
        <f>Data!Q287</f>
        <v>0</v>
      </c>
      <c r="K287" s="3">
        <f>Data!J287+Data!P287</f>
        <v>18594.009999999998</v>
      </c>
      <c r="L287" s="3">
        <f>Data!T287</f>
        <v>0</v>
      </c>
      <c r="M287" s="3">
        <f>ROUND(Data!AB287*$B$3,2)</f>
        <v>33305.58</v>
      </c>
      <c r="N287" s="3">
        <f>Data!U287</f>
        <v>0</v>
      </c>
      <c r="O287" s="3">
        <f t="shared" si="13"/>
        <v>492078.76</v>
      </c>
      <c r="P287" s="3">
        <f t="shared" si="14"/>
        <v>458773.18</v>
      </c>
      <c r="Q287" s="3">
        <f t="shared" si="15"/>
        <v>33305.58</v>
      </c>
    </row>
    <row r="288" spans="1:17" x14ac:dyDescent="0.2">
      <c r="A288" s="18">
        <v>2159</v>
      </c>
      <c r="B288" s="18">
        <v>1</v>
      </c>
      <c r="C288" s="3" t="s">
        <v>284</v>
      </c>
      <c r="D288" s="3">
        <f>ROUND(Data!AA288*$B$3,2)</f>
        <v>136606.84</v>
      </c>
      <c r="E288" s="3">
        <f>MAX(0,Data!AD288-Data!Y288)</f>
        <v>141025.78000000003</v>
      </c>
      <c r="F288" s="3">
        <f>Data!Y288</f>
        <v>102520.67</v>
      </c>
      <c r="G288" s="3">
        <f>Data!X288</f>
        <v>23853.190000000002</v>
      </c>
      <c r="H288" s="3">
        <f>Data!K288+Data!R288</f>
        <v>13797.57</v>
      </c>
      <c r="I288" s="3">
        <f>Data!I288+Data!L288+Data!M288+Data!N288+Data!O288+Data!S288</f>
        <v>0</v>
      </c>
      <c r="J288" s="3">
        <f>Data!Q288</f>
        <v>0</v>
      </c>
      <c r="K288" s="3">
        <f>Data!J288+Data!P288</f>
        <v>24915.73</v>
      </c>
      <c r="L288" s="3">
        <f>Data!T288</f>
        <v>0</v>
      </c>
      <c r="M288" s="3">
        <f>ROUND(Data!AB288*$B$3,2)</f>
        <v>22173.65</v>
      </c>
      <c r="N288" s="3">
        <f>Data!U288</f>
        <v>0</v>
      </c>
      <c r="O288" s="3">
        <f t="shared" si="13"/>
        <v>464893.43</v>
      </c>
      <c r="P288" s="3">
        <f t="shared" si="14"/>
        <v>442719.77999999997</v>
      </c>
      <c r="Q288" s="3">
        <f t="shared" si="15"/>
        <v>22173.65</v>
      </c>
    </row>
    <row r="289" spans="1:17" x14ac:dyDescent="0.2">
      <c r="A289" s="18">
        <v>2164</v>
      </c>
      <c r="B289" s="18">
        <v>1</v>
      </c>
      <c r="C289" s="3" t="s">
        <v>285</v>
      </c>
      <c r="D289" s="3">
        <f>ROUND(Data!AA289*$B$3,2)</f>
        <v>118822.21</v>
      </c>
      <c r="E289" s="3">
        <f>MAX(0,Data!AD289-Data!Y289)</f>
        <v>100614.15999999999</v>
      </c>
      <c r="F289" s="3">
        <f>Data!Y289</f>
        <v>55510.33</v>
      </c>
      <c r="G289" s="3">
        <f>Data!X289</f>
        <v>0</v>
      </c>
      <c r="H289" s="3">
        <f>Data!K289+Data!R289</f>
        <v>16511.170000000002</v>
      </c>
      <c r="I289" s="3">
        <f>Data!I289+Data!L289+Data!M289+Data!N289+Data!O289+Data!S289</f>
        <v>0</v>
      </c>
      <c r="J289" s="3">
        <f>Data!Q289</f>
        <v>0</v>
      </c>
      <c r="K289" s="3">
        <f>Data!J289+Data!P289</f>
        <v>2161.31</v>
      </c>
      <c r="L289" s="3">
        <f>Data!T289</f>
        <v>0</v>
      </c>
      <c r="M289" s="3">
        <f>ROUND(Data!AB289*$B$3,2)</f>
        <v>36750.65</v>
      </c>
      <c r="N289" s="3">
        <f>Data!U289</f>
        <v>0</v>
      </c>
      <c r="O289" s="3">
        <f t="shared" si="13"/>
        <v>330369.83</v>
      </c>
      <c r="P289" s="3">
        <f t="shared" si="14"/>
        <v>293619.18</v>
      </c>
      <c r="Q289" s="3">
        <f t="shared" si="15"/>
        <v>36750.65</v>
      </c>
    </row>
    <row r="290" spans="1:17" x14ac:dyDescent="0.2">
      <c r="A290" s="18">
        <v>2165</v>
      </c>
      <c r="B290" s="18">
        <v>1</v>
      </c>
      <c r="C290" s="3" t="s">
        <v>286</v>
      </c>
      <c r="D290" s="3">
        <f>ROUND(Data!AA290*$B$3,2)</f>
        <v>188161.8</v>
      </c>
      <c r="E290" s="3">
        <f>MAX(0,Data!AD290-Data!Y290)</f>
        <v>81007.51999999999</v>
      </c>
      <c r="F290" s="3">
        <f>Data!Y290</f>
        <v>51707.97</v>
      </c>
      <c r="G290" s="3">
        <f>Data!X290</f>
        <v>0</v>
      </c>
      <c r="H290" s="3">
        <f>Data!K290+Data!R290</f>
        <v>12853.42</v>
      </c>
      <c r="I290" s="3">
        <f>Data!I290+Data!L290+Data!M290+Data!N290+Data!O290+Data!S290</f>
        <v>0</v>
      </c>
      <c r="J290" s="3">
        <f>Data!Q290</f>
        <v>0</v>
      </c>
      <c r="K290" s="3">
        <f>Data!J290+Data!P290</f>
        <v>6590.96</v>
      </c>
      <c r="L290" s="3">
        <f>Data!T290</f>
        <v>0</v>
      </c>
      <c r="M290" s="3">
        <f>ROUND(Data!AB290*$B$3,2)</f>
        <v>36073.56</v>
      </c>
      <c r="N290" s="3">
        <f>Data!U290</f>
        <v>0</v>
      </c>
      <c r="O290" s="3">
        <f t="shared" si="13"/>
        <v>376395.22999999992</v>
      </c>
      <c r="P290" s="3">
        <f t="shared" si="14"/>
        <v>340321.66999999993</v>
      </c>
      <c r="Q290" s="3">
        <f t="shared" si="15"/>
        <v>36073.56</v>
      </c>
    </row>
    <row r="291" spans="1:17" x14ac:dyDescent="0.2">
      <c r="A291" s="18">
        <v>2167</v>
      </c>
      <c r="B291" s="18">
        <v>1</v>
      </c>
      <c r="C291" s="3" t="s">
        <v>287</v>
      </c>
      <c r="D291" s="3">
        <f>ROUND(Data!AA291*$B$3,2)</f>
        <v>152199.79</v>
      </c>
      <c r="E291" s="3">
        <f>MAX(0,Data!AD291-Data!Y291)</f>
        <v>90758.16</v>
      </c>
      <c r="F291" s="3">
        <f>Data!Y291</f>
        <v>31840.2</v>
      </c>
      <c r="G291" s="3">
        <f>Data!X291</f>
        <v>5689.16</v>
      </c>
      <c r="H291" s="3">
        <f>Data!K291+Data!R291</f>
        <v>12430.08</v>
      </c>
      <c r="I291" s="3">
        <f>Data!I291+Data!L291+Data!M291+Data!N291+Data!O291+Data!S291</f>
        <v>0</v>
      </c>
      <c r="J291" s="3">
        <f>Data!Q291</f>
        <v>0</v>
      </c>
      <c r="K291" s="3">
        <f>Data!J291+Data!P291</f>
        <v>-6055.53</v>
      </c>
      <c r="L291" s="3">
        <f>Data!T291</f>
        <v>0</v>
      </c>
      <c r="M291" s="3">
        <f>ROUND(Data!AB291*$B$3,2)</f>
        <v>18680.38</v>
      </c>
      <c r="N291" s="3">
        <f>Data!U291</f>
        <v>0</v>
      </c>
      <c r="O291" s="3">
        <f t="shared" si="13"/>
        <v>305542.24</v>
      </c>
      <c r="P291" s="3">
        <f t="shared" si="14"/>
        <v>286861.86</v>
      </c>
      <c r="Q291" s="3">
        <f t="shared" si="15"/>
        <v>18680.38</v>
      </c>
    </row>
    <row r="292" spans="1:17" x14ac:dyDescent="0.2">
      <c r="A292" s="18">
        <v>2168</v>
      </c>
      <c r="B292" s="18">
        <v>1</v>
      </c>
      <c r="C292" s="3" t="s">
        <v>288</v>
      </c>
      <c r="D292" s="3">
        <f>ROUND(Data!AA292*$B$3,2)</f>
        <v>193695.28</v>
      </c>
      <c r="E292" s="3">
        <f>MAX(0,Data!AD292-Data!Y292)</f>
        <v>64725.279999999999</v>
      </c>
      <c r="F292" s="3">
        <f>Data!Y292</f>
        <v>77590.100000000006</v>
      </c>
      <c r="G292" s="3">
        <f>Data!X292</f>
        <v>11668.37</v>
      </c>
      <c r="H292" s="3">
        <f>Data!K292+Data!R292</f>
        <v>22273.91</v>
      </c>
      <c r="I292" s="3">
        <f>Data!I292+Data!L292+Data!M292+Data!N292+Data!O292+Data!S292</f>
        <v>0</v>
      </c>
      <c r="J292" s="3">
        <f>Data!Q292</f>
        <v>0</v>
      </c>
      <c r="K292" s="3">
        <f>Data!J292+Data!P292</f>
        <v>35384.759999999995</v>
      </c>
      <c r="L292" s="3">
        <f>Data!T292</f>
        <v>0</v>
      </c>
      <c r="M292" s="3">
        <f>ROUND(Data!AB292*$B$3,2)</f>
        <v>32524.09</v>
      </c>
      <c r="N292" s="3">
        <f>Data!U292</f>
        <v>0</v>
      </c>
      <c r="O292" s="3">
        <f t="shared" si="13"/>
        <v>437861.79000000004</v>
      </c>
      <c r="P292" s="3">
        <f t="shared" si="14"/>
        <v>405337.7</v>
      </c>
      <c r="Q292" s="3">
        <f t="shared" si="15"/>
        <v>32524.09</v>
      </c>
    </row>
    <row r="293" spans="1:17" x14ac:dyDescent="0.2">
      <c r="A293" s="18">
        <v>2169</v>
      </c>
      <c r="B293" s="18">
        <v>1</v>
      </c>
      <c r="C293" s="3" t="s">
        <v>289</v>
      </c>
      <c r="D293" s="3">
        <f>ROUND(Data!AA293*$B$3,2)</f>
        <v>173354.36</v>
      </c>
      <c r="E293" s="3">
        <f>MAX(0,Data!AD293-Data!Y293)</f>
        <v>307916.75</v>
      </c>
      <c r="F293" s="3">
        <f>Data!Y293</f>
        <v>61280.65</v>
      </c>
      <c r="G293" s="3">
        <f>Data!X293</f>
        <v>5478.96</v>
      </c>
      <c r="H293" s="3">
        <f>Data!K293+Data!R293</f>
        <v>17451.14</v>
      </c>
      <c r="I293" s="3">
        <f>Data!I293+Data!L293+Data!M293+Data!N293+Data!O293+Data!S293</f>
        <v>0</v>
      </c>
      <c r="J293" s="3">
        <f>Data!Q293</f>
        <v>0</v>
      </c>
      <c r="K293" s="3">
        <f>Data!J293+Data!P293</f>
        <v>2390.35</v>
      </c>
      <c r="L293" s="3">
        <f>Data!T293</f>
        <v>0</v>
      </c>
      <c r="M293" s="3">
        <f>ROUND(Data!AB293*$B$3,2)</f>
        <v>35433.879999999997</v>
      </c>
      <c r="N293" s="3">
        <f>Data!U293</f>
        <v>0</v>
      </c>
      <c r="O293" s="3">
        <f t="shared" si="13"/>
        <v>603306.09</v>
      </c>
      <c r="P293" s="3">
        <f t="shared" si="14"/>
        <v>567872.21</v>
      </c>
      <c r="Q293" s="3">
        <f t="shared" si="15"/>
        <v>35433.879999999997</v>
      </c>
    </row>
    <row r="294" spans="1:17" x14ac:dyDescent="0.2">
      <c r="A294" s="18">
        <v>2170</v>
      </c>
      <c r="B294" s="18">
        <v>1</v>
      </c>
      <c r="C294" s="3" t="s">
        <v>290</v>
      </c>
      <c r="D294" s="3">
        <f>ROUND(Data!AA294*$B$3,2)</f>
        <v>194261.88</v>
      </c>
      <c r="E294" s="3">
        <f>MAX(0,Data!AD294-Data!Y294)</f>
        <v>176102.38</v>
      </c>
      <c r="F294" s="3">
        <f>Data!Y294</f>
        <v>78553.36</v>
      </c>
      <c r="G294" s="3">
        <f>Data!X294</f>
        <v>0</v>
      </c>
      <c r="H294" s="3">
        <f>Data!K294+Data!R294</f>
        <v>70965.22</v>
      </c>
      <c r="I294" s="3">
        <f>Data!I294+Data!L294+Data!M294+Data!N294+Data!O294+Data!S294</f>
        <v>0</v>
      </c>
      <c r="J294" s="3">
        <f>Data!Q294</f>
        <v>0</v>
      </c>
      <c r="K294" s="3">
        <f>Data!J294+Data!P294</f>
        <v>8374.9699999999993</v>
      </c>
      <c r="L294" s="3">
        <f>Data!T294</f>
        <v>0</v>
      </c>
      <c r="M294" s="3">
        <f>ROUND(Data!AB294*$B$3,2)</f>
        <v>61592.24</v>
      </c>
      <c r="N294" s="3">
        <f>Data!U294</f>
        <v>0</v>
      </c>
      <c r="O294" s="3">
        <f t="shared" si="13"/>
        <v>589850.04999999993</v>
      </c>
      <c r="P294" s="3">
        <f t="shared" si="14"/>
        <v>528257.80999999994</v>
      </c>
      <c r="Q294" s="3">
        <f t="shared" si="15"/>
        <v>61592.24</v>
      </c>
    </row>
    <row r="295" spans="1:17" x14ac:dyDescent="0.2">
      <c r="A295" s="18">
        <v>2171</v>
      </c>
      <c r="B295" s="18">
        <v>1</v>
      </c>
      <c r="C295" s="3" t="s">
        <v>291</v>
      </c>
      <c r="D295" s="3">
        <f>ROUND(Data!AA295*$B$3,2)</f>
        <v>81976.460000000006</v>
      </c>
      <c r="E295" s="3">
        <f>MAX(0,Data!AD295-Data!Y295)</f>
        <v>0</v>
      </c>
      <c r="F295" s="3">
        <f>Data!Y295</f>
        <v>312434.59999999998</v>
      </c>
      <c r="G295" s="3">
        <f>Data!X295</f>
        <v>0</v>
      </c>
      <c r="H295" s="3">
        <f>Data!K295+Data!R295</f>
        <v>11665.08</v>
      </c>
      <c r="I295" s="3">
        <f>Data!I295+Data!L295+Data!M295+Data!N295+Data!O295+Data!S295</f>
        <v>0</v>
      </c>
      <c r="J295" s="3">
        <f>Data!Q295</f>
        <v>0</v>
      </c>
      <c r="K295" s="3">
        <f>Data!J295+Data!P295</f>
        <v>-5000</v>
      </c>
      <c r="L295" s="3">
        <f>Data!T295</f>
        <v>0</v>
      </c>
      <c r="M295" s="3">
        <f>ROUND(Data!AB295*$B$3,2)</f>
        <v>14147.95</v>
      </c>
      <c r="N295" s="3">
        <f>Data!U295</f>
        <v>0</v>
      </c>
      <c r="O295" s="3">
        <f t="shared" si="13"/>
        <v>415224.09</v>
      </c>
      <c r="P295" s="3">
        <f t="shared" si="14"/>
        <v>401076.14</v>
      </c>
      <c r="Q295" s="3">
        <f t="shared" si="15"/>
        <v>14147.95</v>
      </c>
    </row>
    <row r="296" spans="1:17" x14ac:dyDescent="0.2">
      <c r="A296" s="18">
        <v>2172</v>
      </c>
      <c r="B296" s="18">
        <v>1</v>
      </c>
      <c r="C296" s="3" t="s">
        <v>292</v>
      </c>
      <c r="D296" s="3">
        <f>ROUND(Data!AA296*$B$3,2)</f>
        <v>197964.48</v>
      </c>
      <c r="E296" s="3">
        <f>MAX(0,Data!AD296-Data!Y296)</f>
        <v>292511.66000000003</v>
      </c>
      <c r="F296" s="3">
        <f>Data!Y296</f>
        <v>71959.179999999993</v>
      </c>
      <c r="G296" s="3">
        <f>Data!X296</f>
        <v>0</v>
      </c>
      <c r="H296" s="3">
        <f>Data!K296+Data!R296</f>
        <v>20035.61</v>
      </c>
      <c r="I296" s="3">
        <f>Data!I296+Data!L296+Data!M296+Data!N296+Data!O296+Data!S296</f>
        <v>5917.95</v>
      </c>
      <c r="J296" s="3">
        <f>Data!Q296</f>
        <v>0</v>
      </c>
      <c r="K296" s="3">
        <f>Data!J296+Data!P296</f>
        <v>16040.119999999999</v>
      </c>
      <c r="L296" s="3">
        <f>Data!T296</f>
        <v>0</v>
      </c>
      <c r="M296" s="3">
        <f>ROUND(Data!AB296*$B$3,2)</f>
        <v>51235.58</v>
      </c>
      <c r="N296" s="3">
        <f>Data!U296</f>
        <v>0</v>
      </c>
      <c r="O296" s="3">
        <f t="shared" si="13"/>
        <v>655664.57999999996</v>
      </c>
      <c r="P296" s="3">
        <f t="shared" si="14"/>
        <v>604429</v>
      </c>
      <c r="Q296" s="3">
        <f t="shared" si="15"/>
        <v>51235.58</v>
      </c>
    </row>
    <row r="297" spans="1:17" x14ac:dyDescent="0.2">
      <c r="A297" s="18">
        <v>2174</v>
      </c>
      <c r="B297" s="18">
        <v>1</v>
      </c>
      <c r="C297" s="3" t="s">
        <v>293</v>
      </c>
      <c r="D297" s="3">
        <f>ROUND(Data!AA297*$B$3,2)</f>
        <v>152569.60999999999</v>
      </c>
      <c r="E297" s="3">
        <f>MAX(0,Data!AD297-Data!Y297)</f>
        <v>455.33</v>
      </c>
      <c r="F297" s="3">
        <f>Data!Y297</f>
        <v>0</v>
      </c>
      <c r="G297" s="3">
        <f>Data!X297</f>
        <v>0</v>
      </c>
      <c r="H297" s="3">
        <f>Data!K297+Data!R297</f>
        <v>21565.269999999997</v>
      </c>
      <c r="I297" s="3">
        <f>Data!I297+Data!L297+Data!M297+Data!N297+Data!O297+Data!S297</f>
        <v>0</v>
      </c>
      <c r="J297" s="3">
        <f>Data!Q297</f>
        <v>0</v>
      </c>
      <c r="K297" s="3">
        <f>Data!J297+Data!P297</f>
        <v>19509.12</v>
      </c>
      <c r="L297" s="3">
        <f>Data!T297</f>
        <v>0</v>
      </c>
      <c r="M297" s="3">
        <f>ROUND(Data!AB297*$B$3,2)</f>
        <v>59632.81</v>
      </c>
      <c r="N297" s="3">
        <f>Data!U297</f>
        <v>0</v>
      </c>
      <c r="O297" s="3">
        <f t="shared" si="13"/>
        <v>253732.13999999996</v>
      </c>
      <c r="P297" s="3">
        <f t="shared" si="14"/>
        <v>194099.32999999996</v>
      </c>
      <c r="Q297" s="3">
        <f t="shared" si="15"/>
        <v>59632.81</v>
      </c>
    </row>
    <row r="298" spans="1:17" x14ac:dyDescent="0.2">
      <c r="A298" s="18">
        <v>2176</v>
      </c>
      <c r="B298" s="18">
        <v>1</v>
      </c>
      <c r="C298" s="3" t="s">
        <v>294</v>
      </c>
      <c r="D298" s="3">
        <f>ROUND(Data!AA298*$B$3,2)</f>
        <v>155966.26</v>
      </c>
      <c r="E298" s="3">
        <f>MAX(0,Data!AD298-Data!Y298)</f>
        <v>11758.440000000002</v>
      </c>
      <c r="F298" s="3">
        <f>Data!Y298</f>
        <v>228879.6</v>
      </c>
      <c r="G298" s="3">
        <f>Data!X298</f>
        <v>0</v>
      </c>
      <c r="H298" s="3">
        <f>Data!K298+Data!R298</f>
        <v>11665.08</v>
      </c>
      <c r="I298" s="3">
        <f>Data!I298+Data!L298+Data!M298+Data!N298+Data!O298+Data!S298</f>
        <v>0</v>
      </c>
      <c r="J298" s="3">
        <f>Data!Q298</f>
        <v>0</v>
      </c>
      <c r="K298" s="3">
        <f>Data!J298+Data!P298</f>
        <v>10144.68</v>
      </c>
      <c r="L298" s="3">
        <f>Data!T298</f>
        <v>0</v>
      </c>
      <c r="M298" s="3">
        <f>ROUND(Data!AB298*$B$3,2)</f>
        <v>26607.040000000001</v>
      </c>
      <c r="N298" s="3">
        <f>Data!U298</f>
        <v>0</v>
      </c>
      <c r="O298" s="3">
        <f t="shared" si="13"/>
        <v>445021.10000000003</v>
      </c>
      <c r="P298" s="3">
        <f t="shared" si="14"/>
        <v>418414.06000000006</v>
      </c>
      <c r="Q298" s="3">
        <f t="shared" si="15"/>
        <v>26607.040000000001</v>
      </c>
    </row>
    <row r="299" spans="1:17" x14ac:dyDescent="0.2">
      <c r="A299" s="18">
        <v>2180</v>
      </c>
      <c r="B299" s="18">
        <v>1</v>
      </c>
      <c r="C299" s="3" t="s">
        <v>295</v>
      </c>
      <c r="D299" s="3">
        <f>ROUND(Data!AA299*$B$3,2)</f>
        <v>141069.92000000001</v>
      </c>
      <c r="E299" s="3">
        <f>MAX(0,Data!AD299-Data!Y299)</f>
        <v>414010.20999999996</v>
      </c>
      <c r="F299" s="3">
        <f>Data!Y299</f>
        <v>173617.36</v>
      </c>
      <c r="G299" s="3">
        <f>Data!X299</f>
        <v>0</v>
      </c>
      <c r="H299" s="3">
        <f>Data!K299+Data!R299</f>
        <v>11665.08</v>
      </c>
      <c r="I299" s="3">
        <f>Data!I299+Data!L299+Data!M299+Data!N299+Data!O299+Data!S299</f>
        <v>0</v>
      </c>
      <c r="J299" s="3">
        <f>Data!Q299</f>
        <v>0</v>
      </c>
      <c r="K299" s="3">
        <f>Data!J299+Data!P299</f>
        <v>24252.68</v>
      </c>
      <c r="L299" s="3">
        <f>Data!T299</f>
        <v>0</v>
      </c>
      <c r="M299" s="3">
        <f>ROUND(Data!AB299*$B$3,2)</f>
        <v>19260.63</v>
      </c>
      <c r="N299" s="3">
        <f>Data!U299</f>
        <v>0</v>
      </c>
      <c r="O299" s="3">
        <f t="shared" si="13"/>
        <v>783875.88</v>
      </c>
      <c r="P299" s="3">
        <f t="shared" si="14"/>
        <v>764615.25</v>
      </c>
      <c r="Q299" s="3">
        <f t="shared" si="15"/>
        <v>19260.63</v>
      </c>
    </row>
    <row r="300" spans="1:17" x14ac:dyDescent="0.2">
      <c r="A300" s="18">
        <v>2184</v>
      </c>
      <c r="B300" s="18">
        <v>1</v>
      </c>
      <c r="C300" s="3" t="s">
        <v>296</v>
      </c>
      <c r="D300" s="3">
        <f>ROUND(Data!AA300*$B$3,2)</f>
        <v>190837.19</v>
      </c>
      <c r="E300" s="3">
        <f>MAX(0,Data!AD300-Data!Y300)</f>
        <v>405348.22000000003</v>
      </c>
      <c r="F300" s="3">
        <f>Data!Y300</f>
        <v>45058.55</v>
      </c>
      <c r="G300" s="3">
        <f>Data!X300</f>
        <v>2150.0300000000002</v>
      </c>
      <c r="H300" s="3">
        <f>Data!K300+Data!R300</f>
        <v>26479.3</v>
      </c>
      <c r="I300" s="3">
        <f>Data!I300+Data!L300+Data!M300+Data!N300+Data!O300+Data!S300</f>
        <v>0</v>
      </c>
      <c r="J300" s="3">
        <f>Data!Q300</f>
        <v>0</v>
      </c>
      <c r="K300" s="3">
        <f>Data!J300+Data!P300</f>
        <v>-250.05000000000018</v>
      </c>
      <c r="L300" s="3">
        <f>Data!T300</f>
        <v>0</v>
      </c>
      <c r="M300" s="3">
        <f>ROUND(Data!AB300*$B$3,2)</f>
        <v>38971.050000000003</v>
      </c>
      <c r="N300" s="3">
        <f>Data!U300</f>
        <v>0</v>
      </c>
      <c r="O300" s="3">
        <f t="shared" si="13"/>
        <v>708594.29000000015</v>
      </c>
      <c r="P300" s="3">
        <f t="shared" si="14"/>
        <v>669623.24000000011</v>
      </c>
      <c r="Q300" s="3">
        <f t="shared" si="15"/>
        <v>38971.050000000003</v>
      </c>
    </row>
    <row r="301" spans="1:17" x14ac:dyDescent="0.2">
      <c r="A301" s="18">
        <v>2190</v>
      </c>
      <c r="B301" s="18">
        <v>1</v>
      </c>
      <c r="C301" s="3" t="s">
        <v>297</v>
      </c>
      <c r="D301" s="3">
        <f>ROUND(Data!AA301*$B$3,2)</f>
        <v>137902.67000000001</v>
      </c>
      <c r="E301" s="3">
        <f>MAX(0,Data!AD301-Data!Y301)</f>
        <v>296044.89999999997</v>
      </c>
      <c r="F301" s="3">
        <f>Data!Y301</f>
        <v>106127.39</v>
      </c>
      <c r="G301" s="3">
        <f>Data!X301</f>
        <v>3393.38</v>
      </c>
      <c r="H301" s="3">
        <f>Data!K301+Data!R301</f>
        <v>31385.599999999999</v>
      </c>
      <c r="I301" s="3">
        <f>Data!I301+Data!L301+Data!M301+Data!N301+Data!O301+Data!S301</f>
        <v>0</v>
      </c>
      <c r="J301" s="3">
        <f>Data!Q301</f>
        <v>0</v>
      </c>
      <c r="K301" s="3">
        <f>Data!J301+Data!P301</f>
        <v>38640.67</v>
      </c>
      <c r="L301" s="3">
        <f>Data!T301</f>
        <v>0</v>
      </c>
      <c r="M301" s="3">
        <f>ROUND(Data!AB301*$B$3,2)</f>
        <v>76324.84</v>
      </c>
      <c r="N301" s="3">
        <f>Data!U301</f>
        <v>0</v>
      </c>
      <c r="O301" s="3">
        <f t="shared" si="13"/>
        <v>689819.45</v>
      </c>
      <c r="P301" s="3">
        <f t="shared" si="14"/>
        <v>613494.61</v>
      </c>
      <c r="Q301" s="3">
        <f t="shared" si="15"/>
        <v>76324.84</v>
      </c>
    </row>
    <row r="302" spans="1:17" x14ac:dyDescent="0.2">
      <c r="A302" s="18">
        <v>2198</v>
      </c>
      <c r="B302" s="18">
        <v>1</v>
      </c>
      <c r="C302" s="3" t="s">
        <v>298</v>
      </c>
      <c r="D302" s="3">
        <f>ROUND(Data!AA302*$B$3,2)</f>
        <v>152684.45000000001</v>
      </c>
      <c r="E302" s="3">
        <f>MAX(0,Data!AD302-Data!Y302)</f>
        <v>225307.40000000002</v>
      </c>
      <c r="F302" s="3">
        <f>Data!Y302</f>
        <v>54051.81</v>
      </c>
      <c r="G302" s="3">
        <f>Data!X302</f>
        <v>0</v>
      </c>
      <c r="H302" s="3">
        <f>Data!K302+Data!R302</f>
        <v>20524.919999999998</v>
      </c>
      <c r="I302" s="3">
        <f>Data!I302+Data!L302+Data!M302+Data!N302+Data!O302+Data!S302</f>
        <v>0</v>
      </c>
      <c r="J302" s="3">
        <f>Data!Q302</f>
        <v>0</v>
      </c>
      <c r="K302" s="3">
        <f>Data!J302+Data!P302</f>
        <v>19323.75</v>
      </c>
      <c r="L302" s="3">
        <f>Data!T302</f>
        <v>0</v>
      </c>
      <c r="M302" s="3">
        <f>ROUND(Data!AB302*$B$3,2)</f>
        <v>36206.089999999997</v>
      </c>
      <c r="N302" s="3">
        <f>Data!U302</f>
        <v>0</v>
      </c>
      <c r="O302" s="3">
        <f t="shared" si="13"/>
        <v>508098.42000000004</v>
      </c>
      <c r="P302" s="3">
        <f t="shared" si="14"/>
        <v>471892.33</v>
      </c>
      <c r="Q302" s="3">
        <f t="shared" si="15"/>
        <v>36206.089999999997</v>
      </c>
    </row>
    <row r="303" spans="1:17" x14ac:dyDescent="0.2">
      <c r="A303" s="18">
        <v>2215</v>
      </c>
      <c r="B303" s="18">
        <v>1</v>
      </c>
      <c r="C303" s="3" t="s">
        <v>299</v>
      </c>
      <c r="D303" s="3">
        <f>ROUND(Data!AA303*$B$3,2)</f>
        <v>47325.48</v>
      </c>
      <c r="E303" s="3">
        <f>MAX(0,Data!AD303-Data!Y303)</f>
        <v>118734.63999999998</v>
      </c>
      <c r="F303" s="3">
        <f>Data!Y303</f>
        <v>26598.22</v>
      </c>
      <c r="G303" s="3">
        <f>Data!X303</f>
        <v>0</v>
      </c>
      <c r="H303" s="3">
        <f>Data!K303+Data!R303</f>
        <v>23314.26</v>
      </c>
      <c r="I303" s="3">
        <f>Data!I303+Data!L303+Data!M303+Data!N303+Data!O303+Data!S303</f>
        <v>0</v>
      </c>
      <c r="J303" s="3">
        <f>Data!Q303</f>
        <v>0</v>
      </c>
      <c r="K303" s="3">
        <f>Data!J303+Data!P303</f>
        <v>1476.13</v>
      </c>
      <c r="L303" s="3">
        <f>Data!T303</f>
        <v>0</v>
      </c>
      <c r="M303" s="3">
        <f>ROUND(Data!AB303*$B$3,2)</f>
        <v>10171.82</v>
      </c>
      <c r="N303" s="3">
        <f>Data!U303</f>
        <v>0</v>
      </c>
      <c r="O303" s="3">
        <f t="shared" si="13"/>
        <v>227620.55000000002</v>
      </c>
      <c r="P303" s="3">
        <f t="shared" si="14"/>
        <v>217448.73</v>
      </c>
      <c r="Q303" s="3">
        <f t="shared" si="15"/>
        <v>10171.82</v>
      </c>
    </row>
    <row r="304" spans="1:17" x14ac:dyDescent="0.2">
      <c r="A304" s="18">
        <v>2310</v>
      </c>
      <c r="B304" s="18">
        <v>1</v>
      </c>
      <c r="C304" s="3" t="s">
        <v>300</v>
      </c>
      <c r="D304" s="3">
        <f>ROUND(Data!AA304*$B$3,2)</f>
        <v>290732.62</v>
      </c>
      <c r="E304" s="3">
        <f>MAX(0,Data!AD304-Data!Y304)</f>
        <v>181828.53</v>
      </c>
      <c r="F304" s="3">
        <f>Data!Y304</f>
        <v>69650.559999999998</v>
      </c>
      <c r="G304" s="3">
        <f>Data!X304</f>
        <v>0</v>
      </c>
      <c r="H304" s="3">
        <f>Data!K304+Data!R304</f>
        <v>29377.42</v>
      </c>
      <c r="I304" s="3">
        <f>Data!I304+Data!L304+Data!M304+Data!N304+Data!O304+Data!S304</f>
        <v>0</v>
      </c>
      <c r="J304" s="3">
        <f>Data!Q304</f>
        <v>-7623</v>
      </c>
      <c r="K304" s="3">
        <f>Data!J304+Data!P304</f>
        <v>5266.0300000000007</v>
      </c>
      <c r="L304" s="3">
        <f>Data!T304</f>
        <v>0</v>
      </c>
      <c r="M304" s="3">
        <f>ROUND(Data!AB304*$B$3,2)</f>
        <v>48206.52</v>
      </c>
      <c r="N304" s="3">
        <f>Data!U304</f>
        <v>0</v>
      </c>
      <c r="O304" s="3">
        <f t="shared" si="13"/>
        <v>617438.68000000005</v>
      </c>
      <c r="P304" s="3">
        <f t="shared" si="14"/>
        <v>569232.16</v>
      </c>
      <c r="Q304" s="3">
        <f t="shared" si="15"/>
        <v>48206.52</v>
      </c>
    </row>
    <row r="305" spans="1:17" x14ac:dyDescent="0.2">
      <c r="A305" s="18">
        <v>2311</v>
      </c>
      <c r="B305" s="18">
        <v>1</v>
      </c>
      <c r="C305" s="3" t="s">
        <v>301</v>
      </c>
      <c r="D305" s="3">
        <f>ROUND(Data!AA305*$B$3,2)</f>
        <v>116348.67</v>
      </c>
      <c r="E305" s="3">
        <f>MAX(0,Data!AD305-Data!Y305)</f>
        <v>100030.38</v>
      </c>
      <c r="F305" s="3">
        <f>Data!Y305</f>
        <v>57346.63</v>
      </c>
      <c r="G305" s="3">
        <f>Data!X305</f>
        <v>8613.4699999999993</v>
      </c>
      <c r="H305" s="3">
        <f>Data!K305+Data!R305</f>
        <v>11744.869999999999</v>
      </c>
      <c r="I305" s="3">
        <f>Data!I305+Data!L305+Data!M305+Data!N305+Data!O305+Data!S305</f>
        <v>0</v>
      </c>
      <c r="J305" s="3">
        <f>Data!Q305</f>
        <v>0</v>
      </c>
      <c r="K305" s="3">
        <f>Data!J305+Data!P305</f>
        <v>9990.11</v>
      </c>
      <c r="L305" s="3">
        <f>Data!T305</f>
        <v>0</v>
      </c>
      <c r="M305" s="3">
        <f>ROUND(Data!AB305*$B$3,2)</f>
        <v>22573.73</v>
      </c>
      <c r="N305" s="3">
        <f>Data!U305</f>
        <v>0</v>
      </c>
      <c r="O305" s="3">
        <f t="shared" si="13"/>
        <v>326647.85999999993</v>
      </c>
      <c r="P305" s="3">
        <f t="shared" si="14"/>
        <v>304074.12999999995</v>
      </c>
      <c r="Q305" s="3">
        <f t="shared" si="15"/>
        <v>22573.73</v>
      </c>
    </row>
    <row r="306" spans="1:17" x14ac:dyDescent="0.2">
      <c r="A306" s="18">
        <v>2342</v>
      </c>
      <c r="B306" s="18">
        <v>1</v>
      </c>
      <c r="C306" s="3" t="s">
        <v>302</v>
      </c>
      <c r="D306" s="3">
        <f>ROUND(Data!AA306*$B$3,2)</f>
        <v>264608.84000000003</v>
      </c>
      <c r="E306" s="3">
        <f>MAX(0,Data!AD306-Data!Y306)</f>
        <v>369818.57999999996</v>
      </c>
      <c r="F306" s="3">
        <f>Data!Y306</f>
        <v>76124.09</v>
      </c>
      <c r="G306" s="3">
        <f>Data!X306</f>
        <v>0</v>
      </c>
      <c r="H306" s="3">
        <f>Data!K306+Data!R306</f>
        <v>23112.59</v>
      </c>
      <c r="I306" s="3">
        <f>Data!I306+Data!L306+Data!M306+Data!N306+Data!O306+Data!S306</f>
        <v>0</v>
      </c>
      <c r="J306" s="3">
        <f>Data!Q306</f>
        <v>0</v>
      </c>
      <c r="K306" s="3">
        <f>Data!J306+Data!P306</f>
        <v>14430.18</v>
      </c>
      <c r="L306" s="3">
        <f>Data!T306</f>
        <v>0</v>
      </c>
      <c r="M306" s="3">
        <f>ROUND(Data!AB306*$B$3,2)</f>
        <v>36020.870000000003</v>
      </c>
      <c r="N306" s="3">
        <f>Data!U306</f>
        <v>0</v>
      </c>
      <c r="O306" s="3">
        <f t="shared" si="13"/>
        <v>784115.14999999991</v>
      </c>
      <c r="P306" s="3">
        <f t="shared" si="14"/>
        <v>748094.27999999991</v>
      </c>
      <c r="Q306" s="3">
        <f t="shared" si="15"/>
        <v>36020.870000000003</v>
      </c>
    </row>
    <row r="307" spans="1:17" x14ac:dyDescent="0.2">
      <c r="A307" s="18">
        <v>2358</v>
      </c>
      <c r="B307" s="18">
        <v>1</v>
      </c>
      <c r="C307" s="3" t="s">
        <v>303</v>
      </c>
      <c r="D307" s="3">
        <f>ROUND(Data!AA307*$B$3,2)</f>
        <v>90027.61</v>
      </c>
      <c r="E307" s="3">
        <f>MAX(0,Data!AD307-Data!Y307)</f>
        <v>44230.869999999995</v>
      </c>
      <c r="F307" s="3">
        <f>Data!Y307</f>
        <v>36123.39</v>
      </c>
      <c r="G307" s="3">
        <f>Data!X307</f>
        <v>2260.84</v>
      </c>
      <c r="H307" s="3">
        <f>Data!K307+Data!R307</f>
        <v>11593.55</v>
      </c>
      <c r="I307" s="3">
        <f>Data!I307+Data!L307+Data!M307+Data!N307+Data!O307+Data!S307</f>
        <v>0</v>
      </c>
      <c r="J307" s="3">
        <f>Data!Q307</f>
        <v>-2075</v>
      </c>
      <c r="K307" s="3">
        <f>Data!J307+Data!P307</f>
        <v>-425</v>
      </c>
      <c r="L307" s="3">
        <f>Data!T307</f>
        <v>0</v>
      </c>
      <c r="M307" s="3">
        <f>ROUND(Data!AB307*$B$3,2)</f>
        <v>9130.2199999999993</v>
      </c>
      <c r="N307" s="3">
        <f>Data!U307</f>
        <v>0</v>
      </c>
      <c r="O307" s="3">
        <f t="shared" si="13"/>
        <v>190866.47999999998</v>
      </c>
      <c r="P307" s="3">
        <f t="shared" si="14"/>
        <v>181736.25999999998</v>
      </c>
      <c r="Q307" s="3">
        <f t="shared" si="15"/>
        <v>9130.2199999999993</v>
      </c>
    </row>
    <row r="308" spans="1:17" x14ac:dyDescent="0.2">
      <c r="A308" s="18">
        <v>2364</v>
      </c>
      <c r="B308" s="18">
        <v>1</v>
      </c>
      <c r="C308" s="3" t="s">
        <v>304</v>
      </c>
      <c r="D308" s="3">
        <f>ROUND(Data!AA308*$B$3,2)</f>
        <v>49299.79</v>
      </c>
      <c r="E308" s="3">
        <f>MAX(0,Data!AD308-Data!Y308)</f>
        <v>170815.43</v>
      </c>
      <c r="F308" s="3">
        <f>Data!Y308</f>
        <v>33392.53</v>
      </c>
      <c r="G308" s="3">
        <f>Data!X308</f>
        <v>11.77</v>
      </c>
      <c r="H308" s="3">
        <f>Data!K308+Data!R308</f>
        <v>25480.959999999999</v>
      </c>
      <c r="I308" s="3">
        <f>Data!I308+Data!L308+Data!M308+Data!N308+Data!O308+Data!S308</f>
        <v>0</v>
      </c>
      <c r="J308" s="3">
        <f>Data!Q308</f>
        <v>0</v>
      </c>
      <c r="K308" s="3">
        <f>Data!J308+Data!P308</f>
        <v>836.13</v>
      </c>
      <c r="L308" s="3">
        <f>Data!T308</f>
        <v>0</v>
      </c>
      <c r="M308" s="3">
        <f>ROUND(Data!AB308*$B$3,2)</f>
        <v>27735.8</v>
      </c>
      <c r="N308" s="3">
        <f>Data!U308</f>
        <v>0</v>
      </c>
      <c r="O308" s="3">
        <f t="shared" si="13"/>
        <v>307572.40999999997</v>
      </c>
      <c r="P308" s="3">
        <f t="shared" si="14"/>
        <v>279836.61</v>
      </c>
      <c r="Q308" s="3">
        <f t="shared" si="15"/>
        <v>27735.8</v>
      </c>
    </row>
    <row r="309" spans="1:17" x14ac:dyDescent="0.2">
      <c r="A309" s="18">
        <v>2365</v>
      </c>
      <c r="B309" s="18">
        <v>1</v>
      </c>
      <c r="C309" s="3" t="s">
        <v>305</v>
      </c>
      <c r="D309" s="3">
        <f>ROUND(Data!AA309*$B$3,2)</f>
        <v>303730.59999999998</v>
      </c>
      <c r="E309" s="3">
        <f>MAX(0,Data!AD309-Data!Y309)</f>
        <v>167002.96</v>
      </c>
      <c r="F309" s="3">
        <f>Data!Y309</f>
        <v>150758.15</v>
      </c>
      <c r="G309" s="3">
        <f>Data!X309</f>
        <v>1584.22</v>
      </c>
      <c r="H309" s="3">
        <f>Data!K309+Data!R309</f>
        <v>25399.63</v>
      </c>
      <c r="I309" s="3">
        <f>Data!I309+Data!L309+Data!M309+Data!N309+Data!O309+Data!S309</f>
        <v>0</v>
      </c>
      <c r="J309" s="3">
        <f>Data!Q309</f>
        <v>0</v>
      </c>
      <c r="K309" s="3">
        <f>Data!J309+Data!P309</f>
        <v>1225.6800000000003</v>
      </c>
      <c r="L309" s="3">
        <f>Data!T309</f>
        <v>0</v>
      </c>
      <c r="M309" s="3">
        <f>ROUND(Data!AB309*$B$3,2)</f>
        <v>46548.85</v>
      </c>
      <c r="N309" s="3">
        <f>Data!U309</f>
        <v>0</v>
      </c>
      <c r="O309" s="3">
        <f t="shared" si="13"/>
        <v>696250.09</v>
      </c>
      <c r="P309" s="3">
        <f t="shared" si="14"/>
        <v>649701.24</v>
      </c>
      <c r="Q309" s="3">
        <f t="shared" si="15"/>
        <v>46548.85</v>
      </c>
    </row>
    <row r="310" spans="1:17" x14ac:dyDescent="0.2">
      <c r="A310" s="18">
        <v>2396</v>
      </c>
      <c r="B310" s="18">
        <v>1</v>
      </c>
      <c r="C310" s="3" t="s">
        <v>306</v>
      </c>
      <c r="D310" s="3">
        <f>ROUND(Data!AA310*$B$3,2)</f>
        <v>271959.95</v>
      </c>
      <c r="E310" s="3">
        <f>MAX(0,Data!AD310-Data!Y310)</f>
        <v>327512.39</v>
      </c>
      <c r="F310" s="3">
        <f>Data!Y310</f>
        <v>102338.72</v>
      </c>
      <c r="G310" s="3">
        <f>Data!X310</f>
        <v>6520.58</v>
      </c>
      <c r="H310" s="3">
        <f>Data!K310+Data!R310</f>
        <v>18241.259999999998</v>
      </c>
      <c r="I310" s="3">
        <f>Data!I310+Data!L310+Data!M310+Data!N310+Data!O310+Data!S310</f>
        <v>0</v>
      </c>
      <c r="J310" s="3">
        <f>Data!Q310</f>
        <v>0</v>
      </c>
      <c r="K310" s="3">
        <f>Data!J310+Data!P310</f>
        <v>-6370.57</v>
      </c>
      <c r="L310" s="3">
        <f>Data!T310</f>
        <v>0</v>
      </c>
      <c r="M310" s="3">
        <f>ROUND(Data!AB310*$B$3,2)</f>
        <v>59018.28</v>
      </c>
      <c r="N310" s="3">
        <f>Data!U310</f>
        <v>0</v>
      </c>
      <c r="O310" s="3">
        <f t="shared" si="13"/>
        <v>779220.6100000001</v>
      </c>
      <c r="P310" s="3">
        <f t="shared" si="14"/>
        <v>720202.33000000007</v>
      </c>
      <c r="Q310" s="3">
        <f t="shared" si="15"/>
        <v>59018.28</v>
      </c>
    </row>
    <row r="311" spans="1:17" x14ac:dyDescent="0.2">
      <c r="A311" s="18">
        <v>2397</v>
      </c>
      <c r="B311" s="18">
        <v>1</v>
      </c>
      <c r="C311" s="3" t="s">
        <v>307</v>
      </c>
      <c r="D311" s="3">
        <f>ROUND(Data!AA311*$B$3,2)</f>
        <v>291884.33</v>
      </c>
      <c r="E311" s="3">
        <f>MAX(0,Data!AD311-Data!Y311)</f>
        <v>347786.14</v>
      </c>
      <c r="F311" s="3">
        <f>Data!Y311</f>
        <v>75648.160000000003</v>
      </c>
      <c r="G311" s="3">
        <f>Data!X311</f>
        <v>0</v>
      </c>
      <c r="H311" s="3">
        <f>Data!K311+Data!R311</f>
        <v>19574.78</v>
      </c>
      <c r="I311" s="3">
        <f>Data!I311+Data!L311+Data!M311+Data!N311+Data!O311+Data!S311</f>
        <v>0</v>
      </c>
      <c r="J311" s="3">
        <f>Data!Q311</f>
        <v>0</v>
      </c>
      <c r="K311" s="3">
        <f>Data!J311+Data!P311</f>
        <v>17130.18</v>
      </c>
      <c r="L311" s="3">
        <f>Data!T311</f>
        <v>0</v>
      </c>
      <c r="M311" s="3">
        <f>ROUND(Data!AB311*$B$3,2)</f>
        <v>47114.3</v>
      </c>
      <c r="N311" s="3">
        <f>Data!U311</f>
        <v>0</v>
      </c>
      <c r="O311" s="3">
        <f t="shared" si="13"/>
        <v>799137.89000000013</v>
      </c>
      <c r="P311" s="3">
        <f t="shared" si="14"/>
        <v>752023.59000000008</v>
      </c>
      <c r="Q311" s="3">
        <f t="shared" si="15"/>
        <v>47114.3</v>
      </c>
    </row>
    <row r="312" spans="1:17" x14ac:dyDescent="0.2">
      <c r="A312" s="18">
        <v>2448</v>
      </c>
      <c r="B312" s="18">
        <v>1</v>
      </c>
      <c r="C312" s="3" t="s">
        <v>308</v>
      </c>
      <c r="D312" s="3">
        <f>ROUND(Data!AA312*$B$3,2)</f>
        <v>237731.29</v>
      </c>
      <c r="E312" s="3">
        <f>MAX(0,Data!AD312-Data!Y312)</f>
        <v>242100.40999999997</v>
      </c>
      <c r="F312" s="3">
        <f>Data!Y312</f>
        <v>221365</v>
      </c>
      <c r="G312" s="3">
        <f>Data!X312</f>
        <v>0</v>
      </c>
      <c r="H312" s="3">
        <f>Data!K312+Data!R312</f>
        <v>26950.09</v>
      </c>
      <c r="I312" s="3">
        <f>Data!I312+Data!L312+Data!M312+Data!N312+Data!O312+Data!S312</f>
        <v>0</v>
      </c>
      <c r="J312" s="3">
        <f>Data!Q312</f>
        <v>0</v>
      </c>
      <c r="K312" s="3">
        <f>Data!J312+Data!P312</f>
        <v>3667.8900000000003</v>
      </c>
      <c r="L312" s="3">
        <f>Data!T312</f>
        <v>0</v>
      </c>
      <c r="M312" s="3">
        <f>ROUND(Data!AB312*$B$3,2)</f>
        <v>30915.71</v>
      </c>
      <c r="N312" s="3">
        <f>Data!U312</f>
        <v>0</v>
      </c>
      <c r="O312" s="3">
        <f t="shared" si="13"/>
        <v>762730.3899999999</v>
      </c>
      <c r="P312" s="3">
        <f t="shared" si="14"/>
        <v>731814.67999999993</v>
      </c>
      <c r="Q312" s="3">
        <f t="shared" si="15"/>
        <v>30915.71</v>
      </c>
    </row>
    <row r="313" spans="1:17" x14ac:dyDescent="0.2">
      <c r="A313" s="18">
        <v>2527</v>
      </c>
      <c r="B313" s="18">
        <v>1</v>
      </c>
      <c r="C313" s="3" t="s">
        <v>309</v>
      </c>
      <c r="D313" s="3">
        <f>ROUND(Data!AA313*$B$3,2)</f>
        <v>86256.87</v>
      </c>
      <c r="E313" s="3">
        <f>MAX(0,Data!AD313-Data!Y313)</f>
        <v>57880.840000000004</v>
      </c>
      <c r="F313" s="3">
        <f>Data!Y313</f>
        <v>61388.37</v>
      </c>
      <c r="G313" s="3">
        <f>Data!X313</f>
        <v>0</v>
      </c>
      <c r="H313" s="3">
        <f>Data!K313+Data!R313</f>
        <v>11400.849999999999</v>
      </c>
      <c r="I313" s="3">
        <f>Data!I313+Data!L313+Data!M313+Data!N313+Data!O313+Data!S313</f>
        <v>0</v>
      </c>
      <c r="J313" s="3">
        <f>Data!Q313</f>
        <v>0</v>
      </c>
      <c r="K313" s="3">
        <f>Data!J313+Data!P313</f>
        <v>813.94</v>
      </c>
      <c r="L313" s="3">
        <f>Data!T313</f>
        <v>0</v>
      </c>
      <c r="M313" s="3">
        <f>ROUND(Data!AB313*$B$3,2)</f>
        <v>10204.030000000001</v>
      </c>
      <c r="N313" s="3">
        <f>Data!U313</f>
        <v>0</v>
      </c>
      <c r="O313" s="3">
        <f t="shared" si="13"/>
        <v>227944.9</v>
      </c>
      <c r="P313" s="3">
        <f t="shared" si="14"/>
        <v>217740.87</v>
      </c>
      <c r="Q313" s="3">
        <f t="shared" si="15"/>
        <v>10204.030000000001</v>
      </c>
    </row>
    <row r="314" spans="1:17" x14ac:dyDescent="0.2">
      <c r="A314" s="18">
        <v>2534</v>
      </c>
      <c r="B314" s="18">
        <v>1</v>
      </c>
      <c r="C314" s="3" t="s">
        <v>310</v>
      </c>
      <c r="D314" s="3">
        <f>ROUND(Data!AA314*$B$3,2)</f>
        <v>180694.42</v>
      </c>
      <c r="E314" s="3">
        <f>MAX(0,Data!AD314-Data!Y314)</f>
        <v>88790.420000000013</v>
      </c>
      <c r="F314" s="3">
        <f>Data!Y314</f>
        <v>96802.28</v>
      </c>
      <c r="G314" s="3">
        <f>Data!X314</f>
        <v>0</v>
      </c>
      <c r="H314" s="3">
        <f>Data!K314+Data!R314</f>
        <v>24471.01</v>
      </c>
      <c r="I314" s="3">
        <f>Data!I314+Data!L314+Data!M314+Data!N314+Data!O314+Data!S314</f>
        <v>0</v>
      </c>
      <c r="J314" s="3">
        <f>Data!Q314</f>
        <v>0</v>
      </c>
      <c r="K314" s="3">
        <f>Data!J314+Data!P314</f>
        <v>19913.63</v>
      </c>
      <c r="L314" s="3">
        <f>Data!T314</f>
        <v>0</v>
      </c>
      <c r="M314" s="3">
        <f>ROUND(Data!AB314*$B$3,2)</f>
        <v>36206.120000000003</v>
      </c>
      <c r="N314" s="3">
        <f>Data!U314</f>
        <v>0</v>
      </c>
      <c r="O314" s="3">
        <f t="shared" si="13"/>
        <v>446877.88</v>
      </c>
      <c r="P314" s="3">
        <f t="shared" si="14"/>
        <v>410671.76</v>
      </c>
      <c r="Q314" s="3">
        <f t="shared" si="15"/>
        <v>36206.120000000003</v>
      </c>
    </row>
    <row r="315" spans="1:17" x14ac:dyDescent="0.2">
      <c r="A315" s="18">
        <v>2536</v>
      </c>
      <c r="B315" s="18">
        <v>1</v>
      </c>
      <c r="C315" s="3" t="s">
        <v>311</v>
      </c>
      <c r="D315" s="3">
        <f>ROUND(Data!AA315*$B$3,2)</f>
        <v>50046.79</v>
      </c>
      <c r="E315" s="3">
        <f>MAX(0,Data!AD315-Data!Y315)</f>
        <v>214411.72</v>
      </c>
      <c r="F315" s="3">
        <f>Data!Y315</f>
        <v>112538.9</v>
      </c>
      <c r="G315" s="3">
        <f>Data!X315</f>
        <v>0</v>
      </c>
      <c r="H315" s="3">
        <f>Data!K315+Data!R315</f>
        <v>0</v>
      </c>
      <c r="I315" s="3">
        <f>Data!I315+Data!L315+Data!M315+Data!N315+Data!O315+Data!S315</f>
        <v>0</v>
      </c>
      <c r="J315" s="3">
        <f>Data!Q315</f>
        <v>0</v>
      </c>
      <c r="K315" s="3">
        <f>Data!J315+Data!P315</f>
        <v>8158.17</v>
      </c>
      <c r="L315" s="3">
        <f>Data!T315</f>
        <v>0</v>
      </c>
      <c r="M315" s="3">
        <f>ROUND(Data!AB315*$B$3,2)</f>
        <v>17742.02</v>
      </c>
      <c r="N315" s="3">
        <f>Data!U315</f>
        <v>0</v>
      </c>
      <c r="O315" s="3">
        <f t="shared" si="13"/>
        <v>402897.60000000003</v>
      </c>
      <c r="P315" s="3">
        <f t="shared" si="14"/>
        <v>385155.58</v>
      </c>
      <c r="Q315" s="3">
        <f t="shared" si="15"/>
        <v>17742.02</v>
      </c>
    </row>
    <row r="316" spans="1:17" x14ac:dyDescent="0.2">
      <c r="A316" s="18">
        <v>2580</v>
      </c>
      <c r="B316" s="18">
        <v>1</v>
      </c>
      <c r="C316" s="3" t="s">
        <v>312</v>
      </c>
      <c r="D316" s="3">
        <f>ROUND(Data!AA316*$B$3,2)</f>
        <v>161824.98000000001</v>
      </c>
      <c r="E316" s="3">
        <f>MAX(0,Data!AD316-Data!Y316)</f>
        <v>0</v>
      </c>
      <c r="F316" s="3">
        <f>Data!Y316</f>
        <v>47527.08</v>
      </c>
      <c r="G316" s="3">
        <f>Data!X316</f>
        <v>0</v>
      </c>
      <c r="H316" s="3">
        <f>Data!K316+Data!R316</f>
        <v>14406.029999999999</v>
      </c>
      <c r="I316" s="3">
        <f>Data!I316+Data!L316+Data!M316+Data!N316+Data!O316+Data!S316</f>
        <v>0</v>
      </c>
      <c r="J316" s="3">
        <f>Data!Q316</f>
        <v>0</v>
      </c>
      <c r="K316" s="3">
        <f>Data!J316+Data!P316</f>
        <v>13146.15</v>
      </c>
      <c r="L316" s="3">
        <f>Data!T316</f>
        <v>0</v>
      </c>
      <c r="M316" s="3">
        <f>ROUND(Data!AB316*$B$3,2)</f>
        <v>37381.050000000003</v>
      </c>
      <c r="N316" s="3">
        <f>Data!U316</f>
        <v>0</v>
      </c>
      <c r="O316" s="3">
        <f t="shared" si="13"/>
        <v>274285.28999999998</v>
      </c>
      <c r="P316" s="3">
        <f t="shared" si="14"/>
        <v>236904.24</v>
      </c>
      <c r="Q316" s="3">
        <f t="shared" si="15"/>
        <v>37381.050000000003</v>
      </c>
    </row>
    <row r="317" spans="1:17" x14ac:dyDescent="0.2">
      <c r="A317" s="18">
        <v>2609</v>
      </c>
      <c r="B317" s="18">
        <v>1</v>
      </c>
      <c r="C317" s="3" t="s">
        <v>313</v>
      </c>
      <c r="D317" s="3">
        <f>ROUND(Data!AA317*$B$3,2)</f>
        <v>103336.14</v>
      </c>
      <c r="E317" s="3">
        <f>MAX(0,Data!AD317-Data!Y317)</f>
        <v>122292.51999999999</v>
      </c>
      <c r="F317" s="3">
        <f>Data!Y317</f>
        <v>16182.82</v>
      </c>
      <c r="G317" s="3">
        <f>Data!X317</f>
        <v>2194.98</v>
      </c>
      <c r="H317" s="3">
        <f>Data!K317+Data!R317</f>
        <v>12539.05</v>
      </c>
      <c r="I317" s="3">
        <f>Data!I317+Data!L317+Data!M317+Data!N317+Data!O317+Data!S317</f>
        <v>0</v>
      </c>
      <c r="J317" s="3">
        <f>Data!Q317</f>
        <v>0</v>
      </c>
      <c r="K317" s="3">
        <f>Data!J317+Data!P317</f>
        <v>2000</v>
      </c>
      <c r="L317" s="3">
        <f>Data!T317</f>
        <v>0</v>
      </c>
      <c r="M317" s="3">
        <f>ROUND(Data!AB317*$B$3,2)</f>
        <v>3422.73</v>
      </c>
      <c r="N317" s="3">
        <f>Data!U317</f>
        <v>0</v>
      </c>
      <c r="O317" s="3">
        <f t="shared" si="13"/>
        <v>261968.24</v>
      </c>
      <c r="P317" s="3">
        <f t="shared" si="14"/>
        <v>258545.50999999998</v>
      </c>
      <c r="Q317" s="3">
        <f t="shared" si="15"/>
        <v>3422.73</v>
      </c>
    </row>
    <row r="318" spans="1:17" x14ac:dyDescent="0.2">
      <c r="A318" s="18">
        <v>2683</v>
      </c>
      <c r="B318" s="18">
        <v>1</v>
      </c>
      <c r="C318" s="3" t="s">
        <v>314</v>
      </c>
      <c r="D318" s="3">
        <f>ROUND(Data!AA318*$B$3,2)</f>
        <v>48687.51</v>
      </c>
      <c r="E318" s="3">
        <f>MAX(0,Data!AD318-Data!Y318)</f>
        <v>26757.46</v>
      </c>
      <c r="F318" s="3">
        <f>Data!Y318</f>
        <v>57512.51</v>
      </c>
      <c r="G318" s="3">
        <f>Data!X318</f>
        <v>0</v>
      </c>
      <c r="H318" s="3">
        <f>Data!K318+Data!R318</f>
        <v>11505.23</v>
      </c>
      <c r="I318" s="3">
        <f>Data!I318+Data!L318+Data!M318+Data!N318+Data!O318+Data!S318</f>
        <v>0</v>
      </c>
      <c r="J318" s="3">
        <f>Data!Q318</f>
        <v>0</v>
      </c>
      <c r="K318" s="3">
        <f>Data!J318+Data!P318</f>
        <v>503.71</v>
      </c>
      <c r="L318" s="3">
        <f>Data!T318</f>
        <v>0</v>
      </c>
      <c r="M318" s="3">
        <f>ROUND(Data!AB318*$B$3,2)</f>
        <v>10881.54</v>
      </c>
      <c r="N318" s="3">
        <f>Data!U318</f>
        <v>0</v>
      </c>
      <c r="O318" s="3">
        <f t="shared" si="13"/>
        <v>155847.96000000002</v>
      </c>
      <c r="P318" s="3">
        <f t="shared" si="14"/>
        <v>144966.42000000001</v>
      </c>
      <c r="Q318" s="3">
        <f t="shared" si="15"/>
        <v>10881.54</v>
      </c>
    </row>
    <row r="319" spans="1:17" x14ac:dyDescent="0.2">
      <c r="A319" s="18">
        <v>2687</v>
      </c>
      <c r="B319" s="18">
        <v>1</v>
      </c>
      <c r="C319" s="3" t="s">
        <v>315</v>
      </c>
      <c r="D319" s="3">
        <f>ROUND(Data!AA319*$B$3,2)</f>
        <v>298226.62</v>
      </c>
      <c r="E319" s="3">
        <f>MAX(0,Data!AD319-Data!Y319)</f>
        <v>222539.97999999998</v>
      </c>
      <c r="F319" s="3">
        <f>Data!Y319</f>
        <v>128380.69</v>
      </c>
      <c r="G319" s="3">
        <f>Data!X319</f>
        <v>0</v>
      </c>
      <c r="H319" s="3">
        <f>Data!K319+Data!R319</f>
        <v>25162.620000000003</v>
      </c>
      <c r="I319" s="3">
        <f>Data!I319+Data!L319+Data!M319+Data!N319+Data!O319+Data!S319</f>
        <v>0</v>
      </c>
      <c r="J319" s="3">
        <f>Data!Q319</f>
        <v>0</v>
      </c>
      <c r="K319" s="3">
        <f>Data!J319+Data!P319</f>
        <v>-2548.6399999999994</v>
      </c>
      <c r="L319" s="3">
        <f>Data!T319</f>
        <v>0</v>
      </c>
      <c r="M319" s="3">
        <f>ROUND(Data!AB319*$B$3,2)</f>
        <v>51915.49</v>
      </c>
      <c r="N319" s="3">
        <f>Data!U319</f>
        <v>0</v>
      </c>
      <c r="O319" s="3">
        <f t="shared" ref="O319:O340" si="16">SUM(D319:N319)</f>
        <v>723676.76</v>
      </c>
      <c r="P319" s="3">
        <f t="shared" si="14"/>
        <v>671761.27</v>
      </c>
      <c r="Q319" s="3">
        <f t="shared" si="15"/>
        <v>51915.49</v>
      </c>
    </row>
    <row r="320" spans="1:17" x14ac:dyDescent="0.2">
      <c r="A320" s="18">
        <v>2689</v>
      </c>
      <c r="B320" s="18">
        <v>1</v>
      </c>
      <c r="C320" s="3" t="s">
        <v>316</v>
      </c>
      <c r="D320" s="3">
        <f>ROUND(Data!AA320*$B$3,2)</f>
        <v>208204.76</v>
      </c>
      <c r="E320" s="3">
        <f>MAX(0,Data!AD320-Data!Y320)</f>
        <v>347677.55000000005</v>
      </c>
      <c r="F320" s="3">
        <f>Data!Y320</f>
        <v>41180.28</v>
      </c>
      <c r="G320" s="3">
        <f>Data!X320</f>
        <v>0</v>
      </c>
      <c r="H320" s="3">
        <f>Data!K320+Data!R320</f>
        <v>9058.4599999999991</v>
      </c>
      <c r="I320" s="3">
        <f>Data!I320+Data!L320+Data!M320+Data!N320+Data!O320+Data!S320</f>
        <v>0</v>
      </c>
      <c r="J320" s="3">
        <f>Data!Q320</f>
        <v>0</v>
      </c>
      <c r="K320" s="3">
        <f>Data!J320+Data!P320</f>
        <v>3843.68</v>
      </c>
      <c r="L320" s="3">
        <f>Data!T320</f>
        <v>0</v>
      </c>
      <c r="M320" s="3">
        <f>ROUND(Data!AB320*$B$3,2)</f>
        <v>52540.97</v>
      </c>
      <c r="N320" s="3">
        <f>Data!U320</f>
        <v>0</v>
      </c>
      <c r="O320" s="3">
        <f t="shared" si="16"/>
        <v>662505.70000000007</v>
      </c>
      <c r="P320" s="3">
        <f t="shared" si="14"/>
        <v>609964.7300000001</v>
      </c>
      <c r="Q320" s="3">
        <f t="shared" si="15"/>
        <v>52540.97</v>
      </c>
    </row>
    <row r="321" spans="1:17" x14ac:dyDescent="0.2">
      <c r="A321" s="18">
        <v>2711</v>
      </c>
      <c r="B321" s="18">
        <v>1</v>
      </c>
      <c r="C321" s="3" t="s">
        <v>317</v>
      </c>
      <c r="D321" s="3">
        <f>ROUND(Data!AA321*$B$3,2)</f>
        <v>0</v>
      </c>
      <c r="E321" s="3">
        <f>MAX(0,Data!AD321-Data!Y321)</f>
        <v>0</v>
      </c>
      <c r="F321" s="3">
        <f>Data!Y321</f>
        <v>76000.399999999994</v>
      </c>
      <c r="G321" s="3">
        <f>Data!X321</f>
        <v>7178.43</v>
      </c>
      <c r="H321" s="3">
        <f>Data!K321+Data!R321</f>
        <v>22101.82</v>
      </c>
      <c r="I321" s="3">
        <f>Data!I321+Data!L321+Data!M321+Data!N321+Data!O321+Data!S321</f>
        <v>335088.37</v>
      </c>
      <c r="J321" s="3">
        <f>Data!Q321</f>
        <v>0</v>
      </c>
      <c r="K321" s="3">
        <f>Data!J321+Data!P321</f>
        <v>8294.18</v>
      </c>
      <c r="L321" s="3">
        <f>Data!T321</f>
        <v>0</v>
      </c>
      <c r="M321" s="3">
        <f>ROUND(Data!AB321*$B$3,2)</f>
        <v>0</v>
      </c>
      <c r="N321" s="3">
        <f>Data!U321</f>
        <v>0</v>
      </c>
      <c r="O321" s="3">
        <f t="shared" si="16"/>
        <v>448663.2</v>
      </c>
      <c r="P321" s="3">
        <f t="shared" si="14"/>
        <v>448663.2</v>
      </c>
      <c r="Q321" s="3">
        <f t="shared" si="15"/>
        <v>0</v>
      </c>
    </row>
    <row r="322" spans="1:17" x14ac:dyDescent="0.2">
      <c r="A322" s="18">
        <v>2752</v>
      </c>
      <c r="B322" s="18">
        <v>1</v>
      </c>
      <c r="C322" s="3" t="s">
        <v>318</v>
      </c>
      <c r="D322" s="3">
        <f>ROUND(Data!AA322*$B$3,2)</f>
        <v>458466.36</v>
      </c>
      <c r="E322" s="3">
        <f>MAX(0,Data!AD322-Data!Y322)</f>
        <v>297770.18000000005</v>
      </c>
      <c r="F322" s="3">
        <f>Data!Y322</f>
        <v>54445.41</v>
      </c>
      <c r="G322" s="3">
        <f>Data!X322</f>
        <v>0</v>
      </c>
      <c r="H322" s="3">
        <f>Data!K322+Data!R322</f>
        <v>48247.15</v>
      </c>
      <c r="I322" s="3">
        <f>Data!I322+Data!L322+Data!M322+Data!N322+Data!O322+Data!S322</f>
        <v>0</v>
      </c>
      <c r="J322" s="3">
        <f>Data!Q322</f>
        <v>0</v>
      </c>
      <c r="K322" s="3">
        <f>Data!J322+Data!P322</f>
        <v>36629.300000000003</v>
      </c>
      <c r="L322" s="3">
        <f>Data!T322</f>
        <v>0</v>
      </c>
      <c r="M322" s="3">
        <f>ROUND(Data!AB322*$B$3,2)</f>
        <v>66629.73</v>
      </c>
      <c r="N322" s="3">
        <f>Data!U322</f>
        <v>0</v>
      </c>
      <c r="O322" s="3">
        <f t="shared" si="16"/>
        <v>962188.13000000012</v>
      </c>
      <c r="P322" s="3">
        <f t="shared" si="14"/>
        <v>895558.40000000014</v>
      </c>
      <c r="Q322" s="3">
        <f t="shared" si="15"/>
        <v>66629.73</v>
      </c>
    </row>
    <row r="323" spans="1:17" x14ac:dyDescent="0.2">
      <c r="A323" s="18">
        <v>2753</v>
      </c>
      <c r="B323" s="18">
        <v>1</v>
      </c>
      <c r="C323" s="3" t="s">
        <v>319</v>
      </c>
      <c r="D323" s="3">
        <f>ROUND(Data!AA323*$B$3,2)</f>
        <v>245478.82</v>
      </c>
      <c r="E323" s="3">
        <f>MAX(0,Data!AD323-Data!Y323)</f>
        <v>219760.04000000004</v>
      </c>
      <c r="F323" s="3">
        <f>Data!Y323</f>
        <v>61420.61</v>
      </c>
      <c r="G323" s="3">
        <f>Data!X323</f>
        <v>0</v>
      </c>
      <c r="H323" s="3">
        <f>Data!K323+Data!R323</f>
        <v>86413.21</v>
      </c>
      <c r="I323" s="3">
        <f>Data!I323+Data!L323+Data!M323+Data!N323+Data!O323+Data!S323</f>
        <v>0</v>
      </c>
      <c r="J323" s="3">
        <f>Data!Q323</f>
        <v>0</v>
      </c>
      <c r="K323" s="3">
        <f>Data!J323+Data!P323</f>
        <v>-866.65999999999985</v>
      </c>
      <c r="L323" s="3">
        <f>Data!T323</f>
        <v>0</v>
      </c>
      <c r="M323" s="3">
        <f>ROUND(Data!AB323*$B$3,2)</f>
        <v>40434.230000000003</v>
      </c>
      <c r="N323" s="3">
        <f>Data!U323</f>
        <v>0</v>
      </c>
      <c r="O323" s="3">
        <f t="shared" si="16"/>
        <v>652640.25</v>
      </c>
      <c r="P323" s="3">
        <f t="shared" si="14"/>
        <v>612206.02</v>
      </c>
      <c r="Q323" s="3">
        <f t="shared" si="15"/>
        <v>40434.230000000003</v>
      </c>
    </row>
    <row r="324" spans="1:17" x14ac:dyDescent="0.2">
      <c r="A324" s="18">
        <v>2754</v>
      </c>
      <c r="B324" s="18">
        <v>1</v>
      </c>
      <c r="C324" s="3" t="s">
        <v>320</v>
      </c>
      <c r="D324" s="3">
        <f>ROUND(Data!AA324*$B$3,2)</f>
        <v>93877.66</v>
      </c>
      <c r="E324" s="3">
        <f>MAX(0,Data!AD324-Data!Y324)</f>
        <v>0</v>
      </c>
      <c r="F324" s="3">
        <f>Data!Y324</f>
        <v>98018.3</v>
      </c>
      <c r="G324" s="3">
        <f>Data!X324</f>
        <v>8095.57</v>
      </c>
      <c r="H324" s="3">
        <f>Data!K324+Data!R324</f>
        <v>9828.5300000000007</v>
      </c>
      <c r="I324" s="3">
        <f>Data!I324+Data!L324+Data!M324+Data!N324+Data!O324+Data!S324</f>
        <v>0</v>
      </c>
      <c r="J324" s="3">
        <f>Data!Q324</f>
        <v>-725.79</v>
      </c>
      <c r="K324" s="3">
        <f>Data!J324+Data!P324</f>
        <v>725.79</v>
      </c>
      <c r="L324" s="3">
        <f>Data!T324</f>
        <v>0</v>
      </c>
      <c r="M324" s="3">
        <f>ROUND(Data!AB324*$B$3,2)</f>
        <v>22929.97</v>
      </c>
      <c r="N324" s="3">
        <f>Data!U324</f>
        <v>0</v>
      </c>
      <c r="O324" s="3">
        <f t="shared" si="16"/>
        <v>232750.03000000003</v>
      </c>
      <c r="P324" s="3">
        <f t="shared" si="14"/>
        <v>209820.06000000003</v>
      </c>
      <c r="Q324" s="3">
        <f t="shared" si="15"/>
        <v>22929.97</v>
      </c>
    </row>
    <row r="325" spans="1:17" x14ac:dyDescent="0.2">
      <c r="A325" s="18">
        <v>2759</v>
      </c>
      <c r="B325" s="18">
        <v>1</v>
      </c>
      <c r="C325" s="3" t="s">
        <v>321</v>
      </c>
      <c r="D325" s="3">
        <f>ROUND(Data!AA325*$B$3,2)</f>
        <v>41121.47</v>
      </c>
      <c r="E325" s="3">
        <f>MAX(0,Data!AD325-Data!Y325)</f>
        <v>71280.94</v>
      </c>
      <c r="F325" s="3">
        <f>Data!Y325</f>
        <v>12843.72</v>
      </c>
      <c r="G325" s="3">
        <f>Data!X325</f>
        <v>0</v>
      </c>
      <c r="H325" s="3">
        <f>Data!K325+Data!R325</f>
        <v>25573.1</v>
      </c>
      <c r="I325" s="3">
        <f>Data!I325+Data!L325+Data!M325+Data!N325+Data!O325+Data!S325</f>
        <v>0</v>
      </c>
      <c r="J325" s="3">
        <f>Data!Q325</f>
        <v>0</v>
      </c>
      <c r="K325" s="3">
        <f>Data!J325+Data!P325</f>
        <v>3048.83</v>
      </c>
      <c r="L325" s="3">
        <f>Data!T325</f>
        <v>0</v>
      </c>
      <c r="M325" s="3">
        <f>ROUND(Data!AB325*$B$3,2)</f>
        <v>10273.549999999999</v>
      </c>
      <c r="N325" s="3">
        <f>Data!U325</f>
        <v>0</v>
      </c>
      <c r="O325" s="3">
        <f t="shared" si="16"/>
        <v>164141.60999999999</v>
      </c>
      <c r="P325" s="3">
        <f t="shared" ref="P325:P342" si="17">SUM(D325:L325)</f>
        <v>153868.06</v>
      </c>
      <c r="Q325" s="3">
        <f t="shared" ref="Q325:Q342" si="18">SUM(M325:N325)</f>
        <v>10273.549999999999</v>
      </c>
    </row>
    <row r="326" spans="1:17" x14ac:dyDescent="0.2">
      <c r="A326" s="18">
        <v>2805</v>
      </c>
      <c r="B326" s="18">
        <v>1</v>
      </c>
      <c r="C326" s="3" t="s">
        <v>322</v>
      </c>
      <c r="D326" s="3">
        <f>ROUND(Data!AA326*$B$3,2)</f>
        <v>247248.35</v>
      </c>
      <c r="E326" s="3">
        <f>MAX(0,Data!AD326-Data!Y326)</f>
        <v>355815.69000000006</v>
      </c>
      <c r="F326" s="3">
        <f>Data!Y326</f>
        <v>152693.4</v>
      </c>
      <c r="G326" s="3">
        <f>Data!X326</f>
        <v>0</v>
      </c>
      <c r="H326" s="3">
        <f>Data!K326+Data!R326</f>
        <v>27427.68</v>
      </c>
      <c r="I326" s="3">
        <f>Data!I326+Data!L326+Data!M326+Data!N326+Data!O326+Data!S326</f>
        <v>0</v>
      </c>
      <c r="J326" s="3">
        <f>Data!Q326</f>
        <v>0</v>
      </c>
      <c r="K326" s="3">
        <f>Data!J326+Data!P326</f>
        <v>33884.86</v>
      </c>
      <c r="L326" s="3">
        <f>Data!T326</f>
        <v>0</v>
      </c>
      <c r="M326" s="3">
        <f>ROUND(Data!AB326*$B$3,2)</f>
        <v>79405.11</v>
      </c>
      <c r="N326" s="3">
        <f>Data!U326</f>
        <v>0</v>
      </c>
      <c r="O326" s="3">
        <f t="shared" si="16"/>
        <v>896475.09000000008</v>
      </c>
      <c r="P326" s="3">
        <f t="shared" si="17"/>
        <v>817069.9800000001</v>
      </c>
      <c r="Q326" s="3">
        <f t="shared" si="18"/>
        <v>79405.11</v>
      </c>
    </row>
    <row r="327" spans="1:17" x14ac:dyDescent="0.2">
      <c r="A327" s="18">
        <v>2835</v>
      </c>
      <c r="B327" s="18">
        <v>1</v>
      </c>
      <c r="C327" s="3" t="s">
        <v>323</v>
      </c>
      <c r="D327" s="3">
        <f>ROUND(Data!AA327*$B$3,2)</f>
        <v>108684.73</v>
      </c>
      <c r="E327" s="3">
        <f>MAX(0,Data!AD327-Data!Y327)</f>
        <v>394414.16000000003</v>
      </c>
      <c r="F327" s="3">
        <f>Data!Y327</f>
        <v>161255.4</v>
      </c>
      <c r="G327" s="3">
        <f>Data!X327</f>
        <v>0</v>
      </c>
      <c r="H327" s="3">
        <f>Data!K327+Data!R327</f>
        <v>21781.45</v>
      </c>
      <c r="I327" s="3">
        <f>Data!I327+Data!L327+Data!M327+Data!N327+Data!O327+Data!S327</f>
        <v>0</v>
      </c>
      <c r="J327" s="3">
        <f>Data!Q327</f>
        <v>0</v>
      </c>
      <c r="K327" s="3">
        <f>Data!J327+Data!P327</f>
        <v>-3433.58</v>
      </c>
      <c r="L327" s="3">
        <f>Data!T327</f>
        <v>0</v>
      </c>
      <c r="M327" s="3">
        <f>ROUND(Data!AB327*$B$3,2)</f>
        <v>27009.94</v>
      </c>
      <c r="N327" s="3">
        <f>Data!U327</f>
        <v>0</v>
      </c>
      <c r="O327" s="3">
        <f t="shared" si="16"/>
        <v>709712.1</v>
      </c>
      <c r="P327" s="3">
        <f t="shared" si="17"/>
        <v>682702.16</v>
      </c>
      <c r="Q327" s="3">
        <f t="shared" si="18"/>
        <v>27009.94</v>
      </c>
    </row>
    <row r="328" spans="1:17" x14ac:dyDescent="0.2">
      <c r="A328" s="18">
        <v>2853</v>
      </c>
      <c r="B328" s="18">
        <v>1</v>
      </c>
      <c r="C328" s="3" t="s">
        <v>324</v>
      </c>
      <c r="D328" s="3">
        <f>ROUND(Data!AA328*$B$3,2)</f>
        <v>293193.59000000003</v>
      </c>
      <c r="E328" s="3">
        <f>MAX(0,Data!AD328-Data!Y328)</f>
        <v>253824.34999999998</v>
      </c>
      <c r="F328" s="3">
        <f>Data!Y328</f>
        <v>88378.21</v>
      </c>
      <c r="G328" s="3">
        <f>Data!X328</f>
        <v>642.47</v>
      </c>
      <c r="H328" s="3">
        <f>Data!K328+Data!R328</f>
        <v>35050.15</v>
      </c>
      <c r="I328" s="3">
        <f>Data!I328+Data!L328+Data!M328+Data!N328+Data!O328+Data!S328</f>
        <v>0</v>
      </c>
      <c r="J328" s="3">
        <f>Data!Q328</f>
        <v>0</v>
      </c>
      <c r="K328" s="3">
        <f>Data!J328+Data!P328</f>
        <v>458.46</v>
      </c>
      <c r="L328" s="3">
        <f>Data!T328</f>
        <v>0</v>
      </c>
      <c r="M328" s="3">
        <f>ROUND(Data!AB328*$B$3,2)</f>
        <v>50487.76</v>
      </c>
      <c r="N328" s="3">
        <f>Data!U328</f>
        <v>0</v>
      </c>
      <c r="O328" s="3">
        <f t="shared" si="16"/>
        <v>722034.98999999987</v>
      </c>
      <c r="P328" s="3">
        <f t="shared" si="17"/>
        <v>671547.22999999986</v>
      </c>
      <c r="Q328" s="3">
        <f t="shared" si="18"/>
        <v>50487.76</v>
      </c>
    </row>
    <row r="329" spans="1:17" x14ac:dyDescent="0.2">
      <c r="A329" s="18">
        <v>2854</v>
      </c>
      <c r="B329" s="18">
        <v>1</v>
      </c>
      <c r="C329" s="3" t="s">
        <v>325</v>
      </c>
      <c r="D329" s="3">
        <f>ROUND(Data!AA329*$B$3,2)</f>
        <v>87608.46</v>
      </c>
      <c r="E329" s="3">
        <f>MAX(0,Data!AD329-Data!Y329)</f>
        <v>43174.19</v>
      </c>
      <c r="F329" s="3">
        <f>Data!Y329</f>
        <v>40913.339999999997</v>
      </c>
      <c r="G329" s="3">
        <f>Data!X329</f>
        <v>0</v>
      </c>
      <c r="H329" s="3">
        <f>Data!K329+Data!R329</f>
        <v>0</v>
      </c>
      <c r="I329" s="3">
        <f>Data!I329+Data!L329+Data!M329+Data!N329+Data!O329+Data!S329</f>
        <v>0</v>
      </c>
      <c r="J329" s="3">
        <f>Data!Q329</f>
        <v>-1265.1300000000001</v>
      </c>
      <c r="K329" s="3">
        <f>Data!J329+Data!P329</f>
        <v>4382.5300000000007</v>
      </c>
      <c r="L329" s="3">
        <f>Data!T329</f>
        <v>0</v>
      </c>
      <c r="M329" s="3">
        <f>ROUND(Data!AB329*$B$3,2)</f>
        <v>18258.02</v>
      </c>
      <c r="N329" s="3">
        <f>Data!U329</f>
        <v>0</v>
      </c>
      <c r="O329" s="3">
        <f t="shared" si="16"/>
        <v>193071.40999999997</v>
      </c>
      <c r="P329" s="3">
        <f t="shared" si="17"/>
        <v>174813.38999999998</v>
      </c>
      <c r="Q329" s="3">
        <f t="shared" si="18"/>
        <v>18258.02</v>
      </c>
    </row>
    <row r="330" spans="1:17" x14ac:dyDescent="0.2">
      <c r="A330" s="18">
        <v>2856</v>
      </c>
      <c r="B330" s="18">
        <v>1</v>
      </c>
      <c r="C330" s="3" t="s">
        <v>326</v>
      </c>
      <c r="D330" s="3">
        <f>ROUND(Data!AA330*$B$3,2)</f>
        <v>100760.88</v>
      </c>
      <c r="E330" s="3">
        <f>MAX(0,Data!AD330-Data!Y330)</f>
        <v>0</v>
      </c>
      <c r="F330" s="3">
        <f>Data!Y330</f>
        <v>122060.62</v>
      </c>
      <c r="G330" s="3">
        <f>Data!X330</f>
        <v>2021.24</v>
      </c>
      <c r="H330" s="3">
        <f>Data!K330+Data!R330</f>
        <v>11665.08</v>
      </c>
      <c r="I330" s="3">
        <f>Data!I330+Data!L330+Data!M330+Data!N330+Data!O330+Data!S330</f>
        <v>0</v>
      </c>
      <c r="J330" s="3">
        <f>Data!Q330</f>
        <v>0</v>
      </c>
      <c r="K330" s="3">
        <f>Data!J330+Data!P330</f>
        <v>-8259.24</v>
      </c>
      <c r="L330" s="3">
        <f>Data!T330</f>
        <v>0</v>
      </c>
      <c r="M330" s="3">
        <f>ROUND(Data!AB330*$B$3,2)</f>
        <v>28969.97</v>
      </c>
      <c r="N330" s="3">
        <f>Data!U330</f>
        <v>0</v>
      </c>
      <c r="O330" s="3">
        <f t="shared" si="16"/>
        <v>257218.55</v>
      </c>
      <c r="P330" s="3">
        <f t="shared" si="17"/>
        <v>228248.58</v>
      </c>
      <c r="Q330" s="3">
        <f t="shared" si="18"/>
        <v>28969.97</v>
      </c>
    </row>
    <row r="331" spans="1:17" x14ac:dyDescent="0.2">
      <c r="A331" s="18">
        <v>2859</v>
      </c>
      <c r="B331" s="18">
        <v>1</v>
      </c>
      <c r="C331" s="3" t="s">
        <v>327</v>
      </c>
      <c r="D331" s="3">
        <f>ROUND(Data!AA331*$B$3,2)</f>
        <v>306090.83</v>
      </c>
      <c r="E331" s="3">
        <f>MAX(0,Data!AD331-Data!Y331)</f>
        <v>477359.48</v>
      </c>
      <c r="F331" s="3">
        <f>Data!Y331</f>
        <v>168353.22</v>
      </c>
      <c r="G331" s="3">
        <f>Data!X331</f>
        <v>3949.77</v>
      </c>
      <c r="H331" s="3">
        <f>Data!K331+Data!R331</f>
        <v>35603.96</v>
      </c>
      <c r="I331" s="3">
        <f>Data!I331+Data!L331+Data!M331+Data!N331+Data!O331+Data!S331</f>
        <v>0</v>
      </c>
      <c r="J331" s="3">
        <f>Data!Q331</f>
        <v>0</v>
      </c>
      <c r="K331" s="3">
        <f>Data!J331+Data!P331</f>
        <v>40596.199999999997</v>
      </c>
      <c r="L331" s="3">
        <f>Data!T331</f>
        <v>0</v>
      </c>
      <c r="M331" s="3">
        <f>ROUND(Data!AB331*$B$3,2)</f>
        <v>78115.899999999994</v>
      </c>
      <c r="N331" s="3">
        <f>Data!U331</f>
        <v>0</v>
      </c>
      <c r="O331" s="3">
        <f t="shared" si="16"/>
        <v>1110069.3599999999</v>
      </c>
      <c r="P331" s="3">
        <f t="shared" si="17"/>
        <v>1031953.46</v>
      </c>
      <c r="Q331" s="3">
        <f t="shared" si="18"/>
        <v>78115.899999999994</v>
      </c>
    </row>
    <row r="332" spans="1:17" x14ac:dyDescent="0.2">
      <c r="A332" s="18">
        <v>2860</v>
      </c>
      <c r="B332" s="18">
        <v>1</v>
      </c>
      <c r="C332" s="3" t="s">
        <v>328</v>
      </c>
      <c r="D332" s="3">
        <f>ROUND(Data!AA332*$B$3,2)</f>
        <v>263104.21999999997</v>
      </c>
      <c r="E332" s="3">
        <f>MAX(0,Data!AD332-Data!Y332)</f>
        <v>69399.600000000006</v>
      </c>
      <c r="F332" s="3">
        <f>Data!Y332</f>
        <v>161661.34</v>
      </c>
      <c r="G332" s="3">
        <f>Data!X332</f>
        <v>0</v>
      </c>
      <c r="H332" s="3">
        <f>Data!K332+Data!R332</f>
        <v>0</v>
      </c>
      <c r="I332" s="3">
        <f>Data!I332+Data!L332+Data!M332+Data!N332+Data!O332+Data!S332</f>
        <v>0</v>
      </c>
      <c r="J332" s="3">
        <f>Data!Q332</f>
        <v>-8102.85</v>
      </c>
      <c r="K332" s="3">
        <f>Data!J332+Data!P332</f>
        <v>8102.85</v>
      </c>
      <c r="L332" s="3">
        <f>Data!T332</f>
        <v>0</v>
      </c>
      <c r="M332" s="3">
        <f>ROUND(Data!AB332*$B$3,2)</f>
        <v>61991.16</v>
      </c>
      <c r="N332" s="3">
        <f>Data!U332</f>
        <v>0</v>
      </c>
      <c r="O332" s="3">
        <f t="shared" si="16"/>
        <v>556156.31999999995</v>
      </c>
      <c r="P332" s="3">
        <f t="shared" si="17"/>
        <v>494165.15999999992</v>
      </c>
      <c r="Q332" s="3">
        <f t="shared" si="18"/>
        <v>61991.16</v>
      </c>
    </row>
    <row r="333" spans="1:17" x14ac:dyDescent="0.2">
      <c r="A333" s="18">
        <v>2884</v>
      </c>
      <c r="B333" s="18">
        <v>1</v>
      </c>
      <c r="C333" s="3" t="s">
        <v>329</v>
      </c>
      <c r="D333" s="3">
        <f>ROUND(Data!AA333*$B$3,2)</f>
        <v>125529.04</v>
      </c>
      <c r="E333" s="3">
        <f>MAX(0,Data!AD333-Data!Y333)</f>
        <v>214585.19</v>
      </c>
      <c r="F333" s="3">
        <f>Data!Y333</f>
        <v>56094.94</v>
      </c>
      <c r="G333" s="3">
        <f>Data!X333</f>
        <v>16313.15</v>
      </c>
      <c r="H333" s="3">
        <f>Data!K333+Data!R333</f>
        <v>0</v>
      </c>
      <c r="I333" s="3">
        <f>Data!I333+Data!L333+Data!M333+Data!N333+Data!O333+Data!S333</f>
        <v>0</v>
      </c>
      <c r="J333" s="3">
        <f>Data!Q333</f>
        <v>0</v>
      </c>
      <c r="K333" s="3">
        <f>Data!J333+Data!P333</f>
        <v>250.64</v>
      </c>
      <c r="L333" s="3">
        <f>Data!T333</f>
        <v>0</v>
      </c>
      <c r="M333" s="3">
        <f>ROUND(Data!AB333*$B$3,2)</f>
        <v>15860.61</v>
      </c>
      <c r="N333" s="3">
        <f>Data!U333</f>
        <v>0</v>
      </c>
      <c r="O333" s="3">
        <f t="shared" si="16"/>
        <v>428633.57</v>
      </c>
      <c r="P333" s="3">
        <f t="shared" si="17"/>
        <v>412772.96</v>
      </c>
      <c r="Q333" s="3">
        <f t="shared" si="18"/>
        <v>15860.61</v>
      </c>
    </row>
    <row r="334" spans="1:17" x14ac:dyDescent="0.2">
      <c r="A334" s="18">
        <v>2886</v>
      </c>
      <c r="B334" s="18">
        <v>1</v>
      </c>
      <c r="C334" s="3" t="s">
        <v>330</v>
      </c>
      <c r="D334" s="3">
        <f>ROUND(Data!AA334*$B$3,2)</f>
        <v>75944.3</v>
      </c>
      <c r="E334" s="3">
        <f>MAX(0,Data!AD334-Data!Y334)</f>
        <v>0</v>
      </c>
      <c r="F334" s="3">
        <f>Data!Y334</f>
        <v>122081.61</v>
      </c>
      <c r="G334" s="3">
        <f>Data!X334</f>
        <v>519.49</v>
      </c>
      <c r="H334" s="3">
        <f>Data!K334+Data!R334</f>
        <v>11629.89</v>
      </c>
      <c r="I334" s="3">
        <f>Data!I334+Data!L334+Data!M334+Data!N334+Data!O334+Data!S334</f>
        <v>0</v>
      </c>
      <c r="J334" s="3">
        <f>Data!Q334</f>
        <v>0</v>
      </c>
      <c r="K334" s="3">
        <f>Data!J334+Data!P334</f>
        <v>14085.73</v>
      </c>
      <c r="L334" s="3">
        <f>Data!T334</f>
        <v>0</v>
      </c>
      <c r="M334" s="3">
        <f>ROUND(Data!AB334*$B$3,2)</f>
        <v>9769.58</v>
      </c>
      <c r="N334" s="3">
        <f>Data!U334</f>
        <v>0</v>
      </c>
      <c r="O334" s="3">
        <f t="shared" si="16"/>
        <v>234030.59999999998</v>
      </c>
      <c r="P334" s="3">
        <f t="shared" si="17"/>
        <v>224261.02</v>
      </c>
      <c r="Q334" s="3">
        <f t="shared" si="18"/>
        <v>9769.58</v>
      </c>
    </row>
    <row r="335" spans="1:17" x14ac:dyDescent="0.2">
      <c r="A335" s="18">
        <v>2888</v>
      </c>
      <c r="B335" s="18">
        <v>1</v>
      </c>
      <c r="C335" s="3" t="s">
        <v>331</v>
      </c>
      <c r="D335" s="3">
        <f>ROUND(Data!AA335*$B$3,2)</f>
        <v>83539.14</v>
      </c>
      <c r="E335" s="3">
        <f>MAX(0,Data!AD335-Data!Y335)</f>
        <v>58466.3</v>
      </c>
      <c r="F335" s="3">
        <f>Data!Y335</f>
        <v>38564.47</v>
      </c>
      <c r="G335" s="3">
        <f>Data!X335</f>
        <v>5805.07</v>
      </c>
      <c r="H335" s="3">
        <f>Data!K335+Data!R335</f>
        <v>11919.95</v>
      </c>
      <c r="I335" s="3">
        <f>Data!I335+Data!L335+Data!M335+Data!N335+Data!O335+Data!S335</f>
        <v>0</v>
      </c>
      <c r="J335" s="3">
        <f>Data!Q335</f>
        <v>0</v>
      </c>
      <c r="K335" s="3">
        <f>Data!J335+Data!P335</f>
        <v>227.98999999999978</v>
      </c>
      <c r="L335" s="3">
        <f>Data!T335</f>
        <v>0</v>
      </c>
      <c r="M335" s="3">
        <f>ROUND(Data!AB335*$B$3,2)</f>
        <v>13532.01</v>
      </c>
      <c r="N335" s="3">
        <f>Data!U335</f>
        <v>0</v>
      </c>
      <c r="O335" s="3">
        <f t="shared" si="16"/>
        <v>212054.93000000002</v>
      </c>
      <c r="P335" s="3">
        <f t="shared" si="17"/>
        <v>198522.92</v>
      </c>
      <c r="Q335" s="3">
        <f t="shared" si="18"/>
        <v>13532.01</v>
      </c>
    </row>
    <row r="336" spans="1:17" x14ac:dyDescent="0.2">
      <c r="A336" s="18">
        <v>2889</v>
      </c>
      <c r="B336" s="18">
        <v>1</v>
      </c>
      <c r="C336" s="3" t="s">
        <v>332</v>
      </c>
      <c r="D336" s="3">
        <f>ROUND(Data!AA336*$B$3,2)</f>
        <v>143038.49</v>
      </c>
      <c r="E336" s="3">
        <f>MAX(0,Data!AD336-Data!Y336)</f>
        <v>226775.56</v>
      </c>
      <c r="F336" s="3">
        <f>Data!Y336</f>
        <v>70465.440000000002</v>
      </c>
      <c r="G336" s="3">
        <f>Data!X336</f>
        <v>11121.56</v>
      </c>
      <c r="H336" s="3">
        <f>Data!K336+Data!R336</f>
        <v>15740.99</v>
      </c>
      <c r="I336" s="3">
        <f>Data!I336+Data!L336+Data!M336+Data!N336+Data!O336+Data!S336</f>
        <v>0</v>
      </c>
      <c r="J336" s="3">
        <f>Data!Q336</f>
        <v>0</v>
      </c>
      <c r="K336" s="3">
        <f>Data!J336+Data!P336</f>
        <v>-107.43000000000029</v>
      </c>
      <c r="L336" s="3">
        <f>Data!T336</f>
        <v>0</v>
      </c>
      <c r="M336" s="3">
        <f>ROUND(Data!AB336*$B$3,2)</f>
        <v>37799.620000000003</v>
      </c>
      <c r="N336" s="3">
        <f>Data!U336</f>
        <v>0</v>
      </c>
      <c r="O336" s="3">
        <f t="shared" si="16"/>
        <v>504834.23</v>
      </c>
      <c r="P336" s="3">
        <f t="shared" si="17"/>
        <v>467034.61</v>
      </c>
      <c r="Q336" s="3">
        <f t="shared" si="18"/>
        <v>37799.620000000003</v>
      </c>
    </row>
    <row r="337" spans="1:17" x14ac:dyDescent="0.2">
      <c r="A337" s="18">
        <v>2890</v>
      </c>
      <c r="B337" s="18">
        <v>1</v>
      </c>
      <c r="C337" s="3" t="s">
        <v>333</v>
      </c>
      <c r="D337" s="3">
        <f>ROUND(Data!AA337*$B$3,2)</f>
        <v>202382.45</v>
      </c>
      <c r="E337" s="3">
        <f>MAX(0,Data!AD337-Data!Y337)</f>
        <v>280339.18</v>
      </c>
      <c r="F337" s="3">
        <f>Data!Y337</f>
        <v>202355.05</v>
      </c>
      <c r="G337" s="3">
        <f>Data!X337</f>
        <v>0</v>
      </c>
      <c r="H337" s="3">
        <f>Data!K337+Data!R337</f>
        <v>15208.2</v>
      </c>
      <c r="I337" s="3">
        <f>Data!I337+Data!L337+Data!M337+Data!N337+Data!O337+Data!S337</f>
        <v>0</v>
      </c>
      <c r="J337" s="3">
        <f>Data!Q337</f>
        <v>0</v>
      </c>
      <c r="K337" s="3">
        <f>Data!J337+Data!P337</f>
        <v>-2414.4499999999998</v>
      </c>
      <c r="L337" s="3">
        <f>Data!T337</f>
        <v>0</v>
      </c>
      <c r="M337" s="3">
        <f>ROUND(Data!AB337*$B$3,2)</f>
        <v>30424.98</v>
      </c>
      <c r="N337" s="3">
        <f>Data!U337</f>
        <v>0</v>
      </c>
      <c r="O337" s="3">
        <f t="shared" si="16"/>
        <v>728295.40999999992</v>
      </c>
      <c r="P337" s="3">
        <f t="shared" si="17"/>
        <v>697870.42999999993</v>
      </c>
      <c r="Q337" s="3">
        <f t="shared" si="18"/>
        <v>30424.98</v>
      </c>
    </row>
    <row r="338" spans="1:17" x14ac:dyDescent="0.2">
      <c r="A338" s="18">
        <v>2895</v>
      </c>
      <c r="B338" s="18">
        <v>1</v>
      </c>
      <c r="C338" s="3" t="s">
        <v>334</v>
      </c>
      <c r="D338" s="3">
        <f>ROUND(Data!AA338*$B$3,2)</f>
        <v>376184.66</v>
      </c>
      <c r="E338" s="3">
        <f>MAX(0,Data!AD338-Data!Y338)</f>
        <v>394596.37</v>
      </c>
      <c r="F338" s="3">
        <f>Data!Y338</f>
        <v>40827.550000000003</v>
      </c>
      <c r="G338" s="3">
        <f>Data!X338</f>
        <v>13469.21</v>
      </c>
      <c r="H338" s="3">
        <f>Data!K338+Data!R338</f>
        <v>24857.79</v>
      </c>
      <c r="I338" s="3">
        <f>Data!I338+Data!L338+Data!M338+Data!N338+Data!O338+Data!S338</f>
        <v>0</v>
      </c>
      <c r="J338" s="3">
        <f>Data!Q338</f>
        <v>0</v>
      </c>
      <c r="K338" s="3">
        <f>Data!J338+Data!P338</f>
        <v>42840.49</v>
      </c>
      <c r="L338" s="3">
        <f>Data!T338</f>
        <v>0</v>
      </c>
      <c r="M338" s="3">
        <f>ROUND(Data!AB338*$B$3,2)</f>
        <v>55074.01</v>
      </c>
      <c r="N338" s="3">
        <f>Data!U338</f>
        <v>0</v>
      </c>
      <c r="O338" s="3">
        <f t="shared" si="16"/>
        <v>947850.08000000007</v>
      </c>
      <c r="P338" s="3">
        <f t="shared" si="17"/>
        <v>892776.07000000007</v>
      </c>
      <c r="Q338" s="3">
        <f t="shared" si="18"/>
        <v>55074.01</v>
      </c>
    </row>
    <row r="339" spans="1:17" x14ac:dyDescent="0.2">
      <c r="A339" s="18">
        <v>2897</v>
      </c>
      <c r="B339" s="18">
        <v>1</v>
      </c>
      <c r="C339" s="3" t="s">
        <v>335</v>
      </c>
      <c r="D339" s="3">
        <f>ROUND(Data!AA339*$B$3,2)</f>
        <v>226153.35</v>
      </c>
      <c r="E339" s="3">
        <f>MAX(0,Data!AD339-Data!Y339)</f>
        <v>387371.65</v>
      </c>
      <c r="F339" s="3">
        <f>Data!Y339</f>
        <v>0</v>
      </c>
      <c r="G339" s="3">
        <f>Data!X339</f>
        <v>0</v>
      </c>
      <c r="H339" s="3">
        <f>Data!K339+Data!R339</f>
        <v>0</v>
      </c>
      <c r="I339" s="3">
        <f>Data!I339+Data!L339+Data!M339+Data!N339+Data!O339+Data!S339</f>
        <v>0</v>
      </c>
      <c r="J339" s="3">
        <f>Data!Q339</f>
        <v>0</v>
      </c>
      <c r="K339" s="3">
        <f>Data!J339+Data!P339</f>
        <v>13938.89</v>
      </c>
      <c r="L339" s="3">
        <f>Data!T339</f>
        <v>0</v>
      </c>
      <c r="M339" s="3">
        <f>ROUND(Data!AB339*$B$3,2)</f>
        <v>51297.3</v>
      </c>
      <c r="N339" s="3">
        <f>Data!U339</f>
        <v>0</v>
      </c>
      <c r="O339" s="3">
        <f t="shared" si="16"/>
        <v>678761.19000000006</v>
      </c>
      <c r="P339" s="3">
        <f t="shared" si="17"/>
        <v>627463.89</v>
      </c>
      <c r="Q339" s="3">
        <f t="shared" si="18"/>
        <v>51297.3</v>
      </c>
    </row>
    <row r="340" spans="1:17" x14ac:dyDescent="0.2">
      <c r="A340" s="18">
        <v>2898</v>
      </c>
      <c r="B340" s="18">
        <v>1</v>
      </c>
      <c r="C340" s="3" t="s">
        <v>336</v>
      </c>
      <c r="D340" s="3">
        <f>ROUND(Data!AA340*$B$3,2)</f>
        <v>134142.98000000001</v>
      </c>
      <c r="E340" s="3">
        <f>MAX(0,Data!AD340-Data!Y340)</f>
        <v>0</v>
      </c>
      <c r="F340" s="3">
        <f>Data!Y340</f>
        <v>115844.14</v>
      </c>
      <c r="G340" s="3">
        <f>Data!X340</f>
        <v>0</v>
      </c>
      <c r="H340" s="3">
        <f>Data!K340+Data!R340</f>
        <v>488</v>
      </c>
      <c r="I340" s="3">
        <f>Data!I340+Data!L340+Data!M340+Data!N340+Data!O340+Data!S340</f>
        <v>0</v>
      </c>
      <c r="J340" s="3">
        <f>Data!Q340</f>
        <v>0</v>
      </c>
      <c r="K340" s="3">
        <f>Data!J340+Data!P340</f>
        <v>-3146.37</v>
      </c>
      <c r="L340" s="3">
        <f>Data!T340</f>
        <v>0</v>
      </c>
      <c r="M340" s="3">
        <f>ROUND(Data!AB340*$B$3,2)</f>
        <v>16547.810000000001</v>
      </c>
      <c r="N340" s="3">
        <f>Data!U340</f>
        <v>0</v>
      </c>
      <c r="O340" s="3">
        <f t="shared" si="16"/>
        <v>263876.56</v>
      </c>
      <c r="P340" s="3">
        <f t="shared" si="17"/>
        <v>247328.75</v>
      </c>
      <c r="Q340" s="3">
        <f t="shared" si="18"/>
        <v>16547.810000000001</v>
      </c>
    </row>
    <row r="341" spans="1:17" x14ac:dyDescent="0.2">
      <c r="A341" s="18">
        <v>2899</v>
      </c>
      <c r="B341" s="18">
        <v>1</v>
      </c>
      <c r="C341" s="3" t="s">
        <v>498</v>
      </c>
      <c r="D341" s="3">
        <f>ROUND(Data!AA341*$B$3,2)</f>
        <v>260134.96</v>
      </c>
      <c r="E341" s="3">
        <f>MAX(0,Data!AD341-Data!Y341)</f>
        <v>124843.03999999998</v>
      </c>
      <c r="F341" s="3">
        <f>Data!Y341</f>
        <v>24224.82</v>
      </c>
      <c r="G341" s="3">
        <f>Data!X341</f>
        <v>0</v>
      </c>
      <c r="H341" s="3">
        <f>Data!K341+Data!R341</f>
        <v>37383.82</v>
      </c>
      <c r="I341" s="3">
        <f>Data!I341+Data!L341+Data!M341+Data!N341+Data!O341+Data!S341</f>
        <v>0</v>
      </c>
      <c r="J341" s="3">
        <f>Data!Q341</f>
        <v>0</v>
      </c>
      <c r="K341" s="3">
        <f>Data!J341+Data!P341</f>
        <v>56494.06</v>
      </c>
      <c r="L341" s="3">
        <f>Data!T341</f>
        <v>0</v>
      </c>
      <c r="M341" s="3">
        <f>ROUND(Data!AB341*$B$3,2)</f>
        <v>41673.53</v>
      </c>
      <c r="N341" s="3">
        <f>Data!U341</f>
        <v>0</v>
      </c>
      <c r="O341" s="3">
        <f>SUM(D341:N341)</f>
        <v>544754.23</v>
      </c>
      <c r="P341" s="3">
        <f t="shared" si="17"/>
        <v>503080.7</v>
      </c>
      <c r="Q341" s="3">
        <f t="shared" si="18"/>
        <v>41673.53</v>
      </c>
    </row>
    <row r="342" spans="1:17" x14ac:dyDescent="0.2">
      <c r="A342" s="18">
        <v>2902</v>
      </c>
      <c r="B342" s="18">
        <v>1</v>
      </c>
      <c r="C342" s="3" t="s">
        <v>497</v>
      </c>
      <c r="D342" s="3">
        <f>ROUND(Data!AA342*$B$3,2)</f>
        <v>210532.02</v>
      </c>
      <c r="E342" s="3">
        <f>MAX(0,Data!AD342-Data!Y342)</f>
        <v>54911.42</v>
      </c>
      <c r="F342" s="3">
        <f>Data!Y342</f>
        <v>56182.83</v>
      </c>
      <c r="G342" s="3">
        <f>Data!X342</f>
        <v>479.17</v>
      </c>
      <c r="H342" s="3">
        <f>Data!K342+Data!R342</f>
        <v>14171.34</v>
      </c>
      <c r="I342" s="3">
        <f>Data!I342+Data!L342+Data!M342+Data!N342+Data!O342+Data!S342</f>
        <v>0</v>
      </c>
      <c r="J342" s="3">
        <f>Data!Q342</f>
        <v>0</v>
      </c>
      <c r="K342" s="3">
        <f>Data!J342+Data!P342</f>
        <v>19708.04</v>
      </c>
      <c r="L342" s="3">
        <f>Data!T342</f>
        <v>0</v>
      </c>
      <c r="M342" s="3">
        <f>ROUND(Data!AB342*$B$3,2)</f>
        <v>17300.63</v>
      </c>
      <c r="N342" s="3">
        <f>Data!U342</f>
        <v>0</v>
      </c>
      <c r="O342" s="3">
        <f>SUM(D342:N342)</f>
        <v>373285.45</v>
      </c>
      <c r="P342" s="3">
        <f t="shared" si="17"/>
        <v>355984.82</v>
      </c>
      <c r="Q342" s="3">
        <f t="shared" si="18"/>
        <v>17300.63</v>
      </c>
    </row>
    <row r="343" spans="1:17" x14ac:dyDescent="0.2">
      <c r="A343" s="18">
        <v>2903</v>
      </c>
      <c r="B343" s="18">
        <v>1</v>
      </c>
      <c r="C343" s="3" t="s">
        <v>640</v>
      </c>
      <c r="D343" s="3">
        <f>ROUND(Data!AA343*$B$3,2)</f>
        <v>115236.68</v>
      </c>
      <c r="E343" s="3">
        <f>MAX(0,Data!AD343-Data!Y343)</f>
        <v>103242.65000000001</v>
      </c>
      <c r="F343" s="3">
        <f>Data!Y343</f>
        <v>78903.95</v>
      </c>
      <c r="G343" s="3">
        <f>Data!X343</f>
        <v>0</v>
      </c>
      <c r="H343" s="3">
        <f>Data!K343+Data!R343</f>
        <v>12905.03</v>
      </c>
      <c r="I343" s="3">
        <f>Data!I343+Data!L343+Data!M343+Data!N343+Data!O343+Data!S343</f>
        <v>0</v>
      </c>
      <c r="J343" s="3">
        <f>Data!Q343</f>
        <v>0</v>
      </c>
      <c r="K343" s="3">
        <f>Data!J343+Data!P343</f>
        <v>0</v>
      </c>
      <c r="L343" s="3">
        <f>Data!T343</f>
        <v>0</v>
      </c>
      <c r="M343" s="3">
        <f>ROUND(Data!AB343*$B$3,2)</f>
        <v>22984.17</v>
      </c>
      <c r="N343" s="3">
        <f>Data!U343</f>
        <v>0</v>
      </c>
      <c r="O343" s="3">
        <f>SUM(D343:N343)</f>
        <v>333272.48000000004</v>
      </c>
      <c r="P343" s="3">
        <f>SUM(D343:L343)</f>
        <v>310288.31000000006</v>
      </c>
      <c r="Q343" s="3">
        <f>SUM(M343:N343)</f>
        <v>22984.17</v>
      </c>
    </row>
    <row r="344" spans="1:17" x14ac:dyDescent="0.2">
      <c r="A344" s="18">
        <v>2904</v>
      </c>
      <c r="B344" s="18">
        <v>1</v>
      </c>
      <c r="C344" s="3" t="s">
        <v>641</v>
      </c>
      <c r="D344" s="3">
        <f>ROUND(Data!AA344*$B$3,2)</f>
        <v>180455</v>
      </c>
      <c r="E344" s="3">
        <f>MAX(0,Data!AD344-Data!Y344)</f>
        <v>173663.18</v>
      </c>
      <c r="F344" s="3">
        <f>Data!Y344</f>
        <v>99195.199999999997</v>
      </c>
      <c r="G344" s="3">
        <f>Data!X344</f>
        <v>4004.21</v>
      </c>
      <c r="H344" s="3">
        <f>Data!K344+Data!R344</f>
        <v>20309.009999999998</v>
      </c>
      <c r="I344" s="3">
        <f>Data!I344+Data!L344+Data!M344+Data!N344+Data!O344+Data!S344</f>
        <v>0</v>
      </c>
      <c r="J344" s="3">
        <f>Data!Q344</f>
        <v>0</v>
      </c>
      <c r="K344" s="3">
        <f>Data!J344+Data!P344</f>
        <v>-6973.7999999999993</v>
      </c>
      <c r="L344" s="3">
        <f>Data!T344</f>
        <v>0</v>
      </c>
      <c r="M344" s="3">
        <f>ROUND(Data!AB344*$B$3,2)</f>
        <v>34228.49</v>
      </c>
      <c r="N344" s="3">
        <f>Data!U344</f>
        <v>0</v>
      </c>
      <c r="O344" s="3">
        <f>SUM(D344:N344)</f>
        <v>504881.29000000004</v>
      </c>
      <c r="P344" s="3">
        <f>SUM(D344:L344)</f>
        <v>470652.80000000005</v>
      </c>
      <c r="Q344" s="3">
        <f>SUM(M344:N344)</f>
        <v>34228.49</v>
      </c>
    </row>
  </sheetData>
  <phoneticPr fontId="0" type="noConversion"/>
  <pageMargins left="0.75" right="0.75" top="1" bottom="1" header="0.5" footer="0.5"/>
  <pageSetup scale="65" fitToHeight="7" orientation="landscape" r:id="rId1"/>
  <headerFooter alignWithMargins="0">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347"/>
  <sheetViews>
    <sheetView workbookViewId="0">
      <pane xSplit="3" ySplit="7" topLeftCell="D8" activePane="bottomRight" state="frozen"/>
      <selection pane="topRight" activeCell="D1" sqref="D1"/>
      <selection pane="bottomLeft" activeCell="A8" sqref="A8"/>
      <selection pane="bottomRight" activeCell="A4" sqref="A4"/>
    </sheetView>
  </sheetViews>
  <sheetFormatPr defaultColWidth="13.83203125" defaultRowHeight="11.25" x14ac:dyDescent="0.2"/>
  <cols>
    <col min="1" max="1" width="7" style="18" customWidth="1"/>
    <col min="2" max="2" width="6.83203125" style="18" customWidth="1"/>
    <col min="3" max="3" width="18.33203125" style="3" customWidth="1"/>
    <col min="4" max="7" width="15.1640625" style="3" customWidth="1"/>
    <col min="8" max="8" width="16.6640625" style="3" customWidth="1"/>
    <col min="9" max="9" width="14.1640625" style="152" customWidth="1"/>
    <col min="10" max="10" width="14.1640625" style="3" customWidth="1"/>
    <col min="11" max="11" width="13.83203125" style="3" customWidth="1"/>
    <col min="12" max="12" width="13" style="3" customWidth="1"/>
    <col min="13" max="13" width="13.83203125" style="3" customWidth="1"/>
    <col min="14" max="15" width="13" style="3" customWidth="1"/>
    <col min="16" max="18" width="13.83203125" style="3" customWidth="1"/>
    <col min="19" max="24" width="13" style="3" customWidth="1"/>
    <col min="25" max="26" width="14.83203125" style="3" customWidth="1"/>
    <col min="27" max="27" width="16.5" style="3" customWidth="1"/>
    <col min="28" max="29" width="14.83203125" style="3" customWidth="1"/>
    <col min="30" max="30" width="16" style="3" customWidth="1"/>
    <col min="31" max="16384" width="13.83203125" style="3"/>
  </cols>
  <sheetData>
    <row r="1" spans="1:30" x14ac:dyDescent="0.2">
      <c r="A1" s="22" t="str">
        <f>Levy!A3</f>
        <v>Pay 2012 Levy</v>
      </c>
      <c r="Y1" s="161"/>
      <c r="AD1" s="147">
        <f>Report!I1</f>
        <v>41115</v>
      </c>
    </row>
    <row r="2" spans="1:30" x14ac:dyDescent="0.2">
      <c r="Y2" s="161"/>
    </row>
    <row r="3" spans="1:30" x14ac:dyDescent="0.2">
      <c r="H3" s="164"/>
      <c r="I3" s="187" t="s">
        <v>712</v>
      </c>
      <c r="J3" s="188"/>
      <c r="K3" s="188"/>
      <c r="L3" s="188"/>
      <c r="M3" s="188"/>
      <c r="N3" s="188"/>
      <c r="O3" s="188"/>
      <c r="P3" s="188"/>
      <c r="Q3" s="188"/>
      <c r="R3" s="188"/>
      <c r="S3" s="188"/>
      <c r="T3" s="188"/>
      <c r="U3" s="188"/>
      <c r="V3" s="188"/>
      <c r="W3" s="188"/>
      <c r="Y3" s="161"/>
    </row>
    <row r="4" spans="1:30" s="9" customFormat="1" ht="33.75" x14ac:dyDescent="0.2">
      <c r="A4" s="154"/>
      <c r="B4" s="154"/>
      <c r="D4" s="9" t="s">
        <v>620</v>
      </c>
      <c r="E4" s="9" t="s">
        <v>346</v>
      </c>
      <c r="F4" s="9" t="s">
        <v>347</v>
      </c>
      <c r="G4" s="9" t="s">
        <v>348</v>
      </c>
      <c r="H4" s="9" t="s">
        <v>337</v>
      </c>
      <c r="I4" s="153" t="s">
        <v>349</v>
      </c>
      <c r="J4" s="9" t="s">
        <v>338</v>
      </c>
      <c r="K4" s="9" t="s">
        <v>461</v>
      </c>
      <c r="L4" s="9" t="s">
        <v>339</v>
      </c>
      <c r="M4" s="9" t="s">
        <v>364</v>
      </c>
      <c r="N4" s="9" t="s">
        <v>351</v>
      </c>
      <c r="O4" s="9" t="s">
        <v>352</v>
      </c>
      <c r="P4" s="9" t="s">
        <v>483</v>
      </c>
      <c r="Q4" s="9" t="s">
        <v>482</v>
      </c>
      <c r="R4" s="9" t="s">
        <v>653</v>
      </c>
      <c r="S4" s="9" t="s">
        <v>350</v>
      </c>
      <c r="T4" s="9" t="s">
        <v>491</v>
      </c>
      <c r="U4" s="9" t="s">
        <v>492</v>
      </c>
      <c r="V4" s="17" t="s">
        <v>480</v>
      </c>
      <c r="W4" s="17" t="s">
        <v>479</v>
      </c>
      <c r="X4" s="9" t="s">
        <v>341</v>
      </c>
      <c r="Y4" s="169" t="s">
        <v>636</v>
      </c>
      <c r="Z4" s="9" t="s">
        <v>340</v>
      </c>
      <c r="AA4" s="9" t="s">
        <v>503</v>
      </c>
      <c r="AB4" s="9" t="s">
        <v>504</v>
      </c>
      <c r="AC4" s="9" t="str">
        <f>Instructions!P1&amp;" Refer at Shift Percent"</f>
        <v>Pay 2012 Refer at Shift Percent</v>
      </c>
      <c r="AD4" s="9" t="str">
        <f>"Refer (GTR of "&amp;Instructions!P1&amp;" or Pay 2001)"</f>
        <v>Refer (GTR of Pay 2012 or Pay 2001)</v>
      </c>
    </row>
    <row r="5" spans="1:30" x14ac:dyDescent="0.2">
      <c r="V5" s="21"/>
      <c r="W5" s="21"/>
      <c r="Y5" s="161"/>
      <c r="AA5" s="3">
        <v>508946528.53000039</v>
      </c>
      <c r="AB5" s="3">
        <v>73254627.609999985</v>
      </c>
    </row>
    <row r="6" spans="1:30" x14ac:dyDescent="0.2">
      <c r="C6" s="3" t="s">
        <v>344</v>
      </c>
      <c r="D6" s="3">
        <f>SUM(D8:D344)</f>
        <v>763545642.33000052</v>
      </c>
      <c r="E6" s="3">
        <f t="shared" ref="E6:AD6" si="0">SUM(E8:E344)</f>
        <v>91927343.999999955</v>
      </c>
      <c r="F6" s="3">
        <f t="shared" si="0"/>
        <v>47134874</v>
      </c>
      <c r="G6" s="3">
        <f t="shared" si="0"/>
        <v>427054764.34000009</v>
      </c>
      <c r="H6" s="3">
        <f t="shared" si="0"/>
        <v>73674514.700000033</v>
      </c>
      <c r="I6" s="152">
        <f t="shared" si="0"/>
        <v>12677368.690000001</v>
      </c>
      <c r="J6" s="3">
        <f t="shared" si="0"/>
        <v>12942173.020000005</v>
      </c>
      <c r="K6" s="3">
        <f t="shared" si="0"/>
        <v>17615396.360000003</v>
      </c>
      <c r="L6" s="3">
        <f t="shared" si="0"/>
        <v>2661098.54</v>
      </c>
      <c r="M6" s="3">
        <f t="shared" si="0"/>
        <v>12716738.199999999</v>
      </c>
      <c r="N6" s="3">
        <f t="shared" si="0"/>
        <v>289915.41000000003</v>
      </c>
      <c r="O6" s="3">
        <f t="shared" si="0"/>
        <v>59783.329999999994</v>
      </c>
      <c r="P6" s="3">
        <f t="shared" si="0"/>
        <v>6146202.179999996</v>
      </c>
      <c r="Q6" s="3">
        <f t="shared" si="0"/>
        <v>-139906.18</v>
      </c>
      <c r="R6" s="3">
        <f t="shared" si="0"/>
        <v>-467820.24999999988</v>
      </c>
      <c r="S6" s="3">
        <f t="shared" si="0"/>
        <v>452679.54</v>
      </c>
      <c r="T6" s="3">
        <f t="shared" si="0"/>
        <v>0</v>
      </c>
      <c r="U6" s="3">
        <f t="shared" si="0"/>
        <v>0</v>
      </c>
      <c r="V6" s="3">
        <f t="shared" si="0"/>
        <v>15000</v>
      </c>
      <c r="W6" s="3">
        <f t="shared" si="0"/>
        <v>35000</v>
      </c>
      <c r="X6" s="3">
        <f t="shared" si="0"/>
        <v>4282529.1899999995</v>
      </c>
      <c r="Y6" s="161">
        <f t="shared" si="0"/>
        <v>114228540.45999998</v>
      </c>
      <c r="Z6" s="3">
        <f t="shared" si="0"/>
        <v>64953628.839999996</v>
      </c>
      <c r="AA6" s="3">
        <f t="shared" si="0"/>
        <v>497230960.62999982</v>
      </c>
      <c r="AB6" s="3">
        <f t="shared" si="0"/>
        <v>73674514.700000033</v>
      </c>
      <c r="AC6" s="3">
        <f t="shared" si="0"/>
        <v>371075892.20999968</v>
      </c>
      <c r="AD6" s="3">
        <f t="shared" si="0"/>
        <v>374036577.2299996</v>
      </c>
    </row>
    <row r="7" spans="1:30" x14ac:dyDescent="0.2">
      <c r="V7" s="21"/>
      <c r="W7" s="21"/>
      <c r="Y7" s="161"/>
    </row>
    <row r="8" spans="1:30" x14ac:dyDescent="0.2">
      <c r="A8" s="18">
        <v>1</v>
      </c>
      <c r="B8" s="18">
        <v>1</v>
      </c>
      <c r="C8" s="3" t="s">
        <v>5</v>
      </c>
      <c r="D8" s="3">
        <f>Levy!F8</f>
        <v>81.540000000000006</v>
      </c>
      <c r="E8" s="3">
        <f>Levy!G8</f>
        <v>352047.5</v>
      </c>
      <c r="F8" s="3">
        <f>Levy!H8</f>
        <v>0</v>
      </c>
      <c r="G8" s="3">
        <f>Levy!I8</f>
        <v>503404.39</v>
      </c>
      <c r="H8" s="3">
        <f>Levy!J8</f>
        <v>1846.04</v>
      </c>
      <c r="I8" s="176">
        <v>0</v>
      </c>
      <c r="J8" s="177">
        <v>5964</v>
      </c>
      <c r="K8" s="177">
        <v>30312.400000000001</v>
      </c>
      <c r="L8" s="177">
        <v>0</v>
      </c>
      <c r="M8" s="175">
        <v>0</v>
      </c>
      <c r="N8" s="175">
        <v>0</v>
      </c>
      <c r="O8" s="175">
        <v>0</v>
      </c>
      <c r="P8" s="177">
        <v>-4081.19</v>
      </c>
      <c r="Q8" s="177">
        <v>0</v>
      </c>
      <c r="R8" s="177">
        <v>-350.77</v>
      </c>
      <c r="S8" s="177">
        <v>0</v>
      </c>
      <c r="T8" s="175">
        <v>0</v>
      </c>
      <c r="U8" s="175">
        <v>0</v>
      </c>
      <c r="V8" s="178">
        <v>0</v>
      </c>
      <c r="W8" s="178">
        <v>0</v>
      </c>
      <c r="X8" s="3">
        <v>0</v>
      </c>
      <c r="Y8" s="161">
        <v>141143.88</v>
      </c>
      <c r="Z8" s="3">
        <f t="shared" ref="Z8:Z71" si="1">SUM(I8:T8)</f>
        <v>31844.440000000002</v>
      </c>
      <c r="AA8" s="3">
        <f t="shared" ref="AA8:AA71" si="2">ROUND(MAX(E8+F8+G8-W8-X8-Z8,0),2)</f>
        <v>823607.45</v>
      </c>
      <c r="AB8" s="3">
        <f>ROUND(MAX(H8-U8,0),2)</f>
        <v>1846.04</v>
      </c>
      <c r="AC8" s="3">
        <f>ROUND(MAX(0,(D8-V8)*Shift11!$B$3),2)</f>
        <v>39.630000000000003</v>
      </c>
      <c r="AD8" s="3">
        <f t="shared" ref="AD8:AD71" si="3">MAX(AC8,Y8)</f>
        <v>141143.88</v>
      </c>
    </row>
    <row r="9" spans="1:30" x14ac:dyDescent="0.2">
      <c r="A9" s="18">
        <v>1.2</v>
      </c>
      <c r="B9" s="18">
        <v>3</v>
      </c>
      <c r="C9" s="3" t="s">
        <v>6</v>
      </c>
      <c r="D9" s="3">
        <f>Levy!F9</f>
        <v>67448173.700000003</v>
      </c>
      <c r="E9" s="3">
        <f>Levy!G9</f>
        <v>8500163.8399999999</v>
      </c>
      <c r="F9" s="3">
        <f>Levy!H9</f>
        <v>0</v>
      </c>
      <c r="G9" s="3">
        <f>Levy!I9</f>
        <v>27494722.199999999</v>
      </c>
      <c r="H9" s="3">
        <f>Levy!J9</f>
        <v>4928399.1399999997</v>
      </c>
      <c r="I9" s="176">
        <v>6300349.7999999998</v>
      </c>
      <c r="J9" s="177">
        <v>1428745</v>
      </c>
      <c r="K9" s="177">
        <v>553068.43999999994</v>
      </c>
      <c r="L9" s="177">
        <v>0</v>
      </c>
      <c r="M9" s="175">
        <v>2250000</v>
      </c>
      <c r="N9" s="175">
        <v>70370.649999999994</v>
      </c>
      <c r="O9" s="175">
        <v>37058.199999999997</v>
      </c>
      <c r="P9" s="177">
        <v>345958.81</v>
      </c>
      <c r="Q9" s="177">
        <v>0</v>
      </c>
      <c r="R9" s="177">
        <v>-1854.3</v>
      </c>
      <c r="S9" s="177">
        <v>0</v>
      </c>
      <c r="T9" s="175">
        <v>0</v>
      </c>
      <c r="U9" s="175">
        <v>0</v>
      </c>
      <c r="V9" s="178">
        <v>0</v>
      </c>
      <c r="W9" s="178">
        <v>0</v>
      </c>
      <c r="X9" s="3">
        <v>1205612.71</v>
      </c>
      <c r="Y9" s="161">
        <v>10049626.5</v>
      </c>
      <c r="Z9" s="3">
        <f t="shared" si="1"/>
        <v>10983696.6</v>
      </c>
      <c r="AA9" s="3">
        <f t="shared" si="2"/>
        <v>23805576.73</v>
      </c>
      <c r="AB9" s="3">
        <f t="shared" ref="AB9:AB72" si="4">ROUND(MAX(H9-U9,0),2)</f>
        <v>4928399.1399999997</v>
      </c>
      <c r="AC9" s="3">
        <f>ROUND(MAX(0,(D9-V9)*Shift11!$B$3),2)</f>
        <v>32779812.420000002</v>
      </c>
      <c r="AD9" s="3">
        <f t="shared" si="3"/>
        <v>32779812.420000002</v>
      </c>
    </row>
    <row r="10" spans="1:30" x14ac:dyDescent="0.2">
      <c r="A10" s="18">
        <v>2</v>
      </c>
      <c r="B10" s="18">
        <v>1</v>
      </c>
      <c r="C10" s="3" t="s">
        <v>7</v>
      </c>
      <c r="D10" s="3">
        <f>Levy!F10</f>
        <v>0</v>
      </c>
      <c r="E10" s="3">
        <f>Levy!G10</f>
        <v>33615</v>
      </c>
      <c r="F10" s="3">
        <f>Levy!H10</f>
        <v>0</v>
      </c>
      <c r="G10" s="3">
        <f>Levy!I10</f>
        <v>117325</v>
      </c>
      <c r="H10" s="3">
        <f>Levy!J10</f>
        <v>19970</v>
      </c>
      <c r="I10" s="176">
        <v>0</v>
      </c>
      <c r="J10" s="177">
        <v>15688.59</v>
      </c>
      <c r="K10" s="177">
        <v>10000</v>
      </c>
      <c r="L10" s="177">
        <v>0</v>
      </c>
      <c r="M10" s="175">
        <v>0</v>
      </c>
      <c r="N10" s="175">
        <v>0</v>
      </c>
      <c r="O10" s="175">
        <v>0</v>
      </c>
      <c r="P10" s="177">
        <v>343.07</v>
      </c>
      <c r="Q10" s="177">
        <v>0</v>
      </c>
      <c r="R10" s="177">
        <v>0</v>
      </c>
      <c r="S10" s="177">
        <v>0</v>
      </c>
      <c r="T10" s="175">
        <v>0</v>
      </c>
      <c r="U10" s="175">
        <v>0</v>
      </c>
      <c r="V10" s="178">
        <v>0</v>
      </c>
      <c r="W10" s="178">
        <v>0</v>
      </c>
      <c r="X10" s="3">
        <v>0</v>
      </c>
      <c r="Y10" s="161">
        <v>0</v>
      </c>
      <c r="Z10" s="3">
        <f t="shared" si="1"/>
        <v>26031.66</v>
      </c>
      <c r="AA10" s="3">
        <f t="shared" si="2"/>
        <v>124908.34</v>
      </c>
      <c r="AB10" s="3">
        <f t="shared" si="4"/>
        <v>19970</v>
      </c>
      <c r="AC10" s="3">
        <f>ROUND(MAX(0,(D10-V10)*Shift11!$B$3),2)</f>
        <v>0</v>
      </c>
      <c r="AD10" s="3">
        <f t="shared" si="3"/>
        <v>0</v>
      </c>
    </row>
    <row r="11" spans="1:30" x14ac:dyDescent="0.2">
      <c r="A11" s="18">
        <v>4</v>
      </c>
      <c r="B11" s="18">
        <v>1</v>
      </c>
      <c r="C11" s="3" t="s">
        <v>8</v>
      </c>
      <c r="D11" s="3">
        <f>Levy!F11</f>
        <v>0</v>
      </c>
      <c r="E11" s="3">
        <f>Levy!G11</f>
        <v>66483</v>
      </c>
      <c r="F11" s="3">
        <f>Levy!H11</f>
        <v>0</v>
      </c>
      <c r="G11" s="3">
        <f>Levy!I11</f>
        <v>106528</v>
      </c>
      <c r="H11" s="3">
        <f>Levy!J11</f>
        <v>56743</v>
      </c>
      <c r="I11" s="176">
        <v>0</v>
      </c>
      <c r="J11" s="177">
        <v>247.02</v>
      </c>
      <c r="K11" s="177">
        <v>11665.08</v>
      </c>
      <c r="L11" s="177">
        <v>0</v>
      </c>
      <c r="M11" s="175">
        <v>0</v>
      </c>
      <c r="N11" s="175">
        <v>0</v>
      </c>
      <c r="O11" s="175">
        <v>0</v>
      </c>
      <c r="P11" s="177">
        <v>-13228.31</v>
      </c>
      <c r="Q11" s="177">
        <v>0</v>
      </c>
      <c r="R11" s="177">
        <v>0</v>
      </c>
      <c r="S11" s="177">
        <v>0</v>
      </c>
      <c r="T11" s="175">
        <v>0</v>
      </c>
      <c r="U11" s="175">
        <v>0</v>
      </c>
      <c r="V11" s="178">
        <v>0</v>
      </c>
      <c r="W11" s="178">
        <v>0</v>
      </c>
      <c r="X11" s="3">
        <v>0</v>
      </c>
      <c r="Y11" s="161">
        <v>51784.65</v>
      </c>
      <c r="Z11" s="3">
        <f t="shared" si="1"/>
        <v>-1316.2099999999991</v>
      </c>
      <c r="AA11" s="3">
        <f t="shared" si="2"/>
        <v>174327.21</v>
      </c>
      <c r="AB11" s="3">
        <f t="shared" si="4"/>
        <v>56743</v>
      </c>
      <c r="AC11" s="3">
        <f>ROUND(MAX(0,(D11-V11)*Shift11!$B$3),2)</f>
        <v>0</v>
      </c>
      <c r="AD11" s="3">
        <f t="shared" si="3"/>
        <v>51784.65</v>
      </c>
    </row>
    <row r="12" spans="1:30" x14ac:dyDescent="0.2">
      <c r="A12" s="18">
        <v>6</v>
      </c>
      <c r="B12" s="18">
        <v>3</v>
      </c>
      <c r="C12" s="3" t="s">
        <v>9</v>
      </c>
      <c r="D12" s="3">
        <f>Levy!F12</f>
        <v>2989995</v>
      </c>
      <c r="E12" s="3">
        <f>Levy!G12</f>
        <v>380899</v>
      </c>
      <c r="F12" s="3">
        <f>Levy!H12</f>
        <v>591403</v>
      </c>
      <c r="G12" s="3">
        <f>Levy!I12</f>
        <v>1921364</v>
      </c>
      <c r="H12" s="3">
        <f>Levy!J12</f>
        <v>300195</v>
      </c>
      <c r="I12" s="176">
        <v>0</v>
      </c>
      <c r="J12" s="177">
        <v>40000</v>
      </c>
      <c r="K12" s="177">
        <v>72643.56</v>
      </c>
      <c r="L12" s="177">
        <v>0</v>
      </c>
      <c r="M12" s="175">
        <v>0</v>
      </c>
      <c r="N12" s="175">
        <v>0</v>
      </c>
      <c r="O12" s="175">
        <v>0</v>
      </c>
      <c r="P12" s="177">
        <v>20297.28</v>
      </c>
      <c r="Q12" s="177">
        <v>0</v>
      </c>
      <c r="R12" s="177">
        <v>-1894.4</v>
      </c>
      <c r="S12" s="177">
        <v>0</v>
      </c>
      <c r="T12" s="175">
        <v>0</v>
      </c>
      <c r="U12" s="175">
        <v>0</v>
      </c>
      <c r="V12" s="178">
        <v>0</v>
      </c>
      <c r="W12" s="178">
        <v>0</v>
      </c>
      <c r="X12" s="3">
        <v>0</v>
      </c>
      <c r="Y12" s="161">
        <v>360711.07</v>
      </c>
      <c r="Z12" s="3">
        <f t="shared" si="1"/>
        <v>131046.44</v>
      </c>
      <c r="AA12" s="3">
        <f t="shared" si="2"/>
        <v>2762619.56</v>
      </c>
      <c r="AB12" s="3">
        <f t="shared" si="4"/>
        <v>300195</v>
      </c>
      <c r="AC12" s="3">
        <f>ROUND(MAX(0,(D12-V12)*Shift11!$B$3),2)</f>
        <v>1453137.57</v>
      </c>
      <c r="AD12" s="3">
        <f t="shared" si="3"/>
        <v>1453137.57</v>
      </c>
    </row>
    <row r="13" spans="1:30" x14ac:dyDescent="0.2">
      <c r="A13" s="18">
        <v>11</v>
      </c>
      <c r="B13" s="18">
        <v>1</v>
      </c>
      <c r="C13" s="3" t="s">
        <v>10</v>
      </c>
      <c r="D13" s="3">
        <f>Levy!F13</f>
        <v>51090199.200000003</v>
      </c>
      <c r="E13" s="3">
        <f>Levy!G13</f>
        <v>3820592.37</v>
      </c>
      <c r="F13" s="3">
        <f>Levy!H13</f>
        <v>3000000</v>
      </c>
      <c r="G13" s="3">
        <f>Levy!I13</f>
        <v>15067012.560000001</v>
      </c>
      <c r="H13" s="3">
        <f>Levy!J13</f>
        <v>3106720.35</v>
      </c>
      <c r="I13" s="176">
        <v>0</v>
      </c>
      <c r="J13" s="177">
        <v>500000</v>
      </c>
      <c r="K13" s="177">
        <v>953759.94</v>
      </c>
      <c r="L13" s="177">
        <v>0</v>
      </c>
      <c r="M13" s="175">
        <v>0</v>
      </c>
      <c r="N13" s="175">
        <v>0</v>
      </c>
      <c r="O13" s="175">
        <v>0</v>
      </c>
      <c r="P13" s="177">
        <v>305350.90000000002</v>
      </c>
      <c r="Q13" s="177">
        <v>0</v>
      </c>
      <c r="R13" s="177">
        <v>-13829.6</v>
      </c>
      <c r="S13" s="177">
        <v>0</v>
      </c>
      <c r="T13" s="175">
        <v>0</v>
      </c>
      <c r="U13" s="175">
        <v>0</v>
      </c>
      <c r="V13" s="178">
        <v>0</v>
      </c>
      <c r="W13" s="178">
        <v>0</v>
      </c>
      <c r="X13" s="3">
        <v>197692.1</v>
      </c>
      <c r="Y13" s="161">
        <v>3515884.7</v>
      </c>
      <c r="Z13" s="3">
        <f t="shared" si="1"/>
        <v>1745281.2399999998</v>
      </c>
      <c r="AA13" s="3">
        <f t="shared" si="2"/>
        <v>19944631.59</v>
      </c>
      <c r="AB13" s="3">
        <f t="shared" si="4"/>
        <v>3106720.35</v>
      </c>
      <c r="AC13" s="3">
        <f>ROUND(MAX(0,(D13-V13)*Shift11!$B$3),2)</f>
        <v>24829836.809999999</v>
      </c>
      <c r="AD13" s="3">
        <f t="shared" si="3"/>
        <v>24829836.809999999</v>
      </c>
    </row>
    <row r="14" spans="1:30" x14ac:dyDescent="0.2">
      <c r="A14" s="18">
        <v>12</v>
      </c>
      <c r="B14" s="18">
        <v>1</v>
      </c>
      <c r="C14" s="3" t="s">
        <v>11</v>
      </c>
      <c r="D14" s="3">
        <f>Levy!F14</f>
        <v>5650661.7000000002</v>
      </c>
      <c r="E14" s="3">
        <f>Levy!G14</f>
        <v>764942.25</v>
      </c>
      <c r="F14" s="3">
        <f>Levy!H14</f>
        <v>0</v>
      </c>
      <c r="G14" s="3">
        <f>Levy!I14</f>
        <v>2840359.92</v>
      </c>
      <c r="H14" s="3">
        <f>Levy!J14</f>
        <v>435691.6</v>
      </c>
      <c r="I14" s="176">
        <v>0</v>
      </c>
      <c r="J14" s="177">
        <v>75000</v>
      </c>
      <c r="K14" s="177">
        <v>115112.6</v>
      </c>
      <c r="L14" s="177">
        <v>0</v>
      </c>
      <c r="M14" s="175">
        <v>0</v>
      </c>
      <c r="N14" s="175">
        <v>0</v>
      </c>
      <c r="O14" s="175">
        <v>0</v>
      </c>
      <c r="P14" s="177">
        <v>46208.84</v>
      </c>
      <c r="Q14" s="177">
        <v>0</v>
      </c>
      <c r="R14" s="177">
        <v>0</v>
      </c>
      <c r="S14" s="177">
        <v>0</v>
      </c>
      <c r="T14" s="175">
        <v>0</v>
      </c>
      <c r="U14" s="175">
        <v>0</v>
      </c>
      <c r="V14" s="178">
        <v>0</v>
      </c>
      <c r="W14" s="178">
        <v>0</v>
      </c>
      <c r="X14" s="3">
        <v>16533.75</v>
      </c>
      <c r="Y14" s="161">
        <v>320094.52</v>
      </c>
      <c r="Z14" s="3">
        <f t="shared" si="1"/>
        <v>236321.44</v>
      </c>
      <c r="AA14" s="3">
        <f t="shared" si="2"/>
        <v>3352446.98</v>
      </c>
      <c r="AB14" s="3">
        <f t="shared" si="4"/>
        <v>435691.6</v>
      </c>
      <c r="AC14" s="3">
        <f>ROUND(MAX(0,(D14-V14)*Shift11!$B$3),2)</f>
        <v>2746221.59</v>
      </c>
      <c r="AD14" s="3">
        <f t="shared" si="3"/>
        <v>2746221.59</v>
      </c>
    </row>
    <row r="15" spans="1:30" x14ac:dyDescent="0.2">
      <c r="A15" s="18">
        <v>13</v>
      </c>
      <c r="B15" s="18">
        <v>1</v>
      </c>
      <c r="C15" s="3" t="s">
        <v>12</v>
      </c>
      <c r="D15" s="3">
        <f>Levy!F15</f>
        <v>3415330.24</v>
      </c>
      <c r="E15" s="3">
        <f>Levy!G15</f>
        <v>399163.32</v>
      </c>
      <c r="F15" s="3">
        <f>Levy!H15</f>
        <v>0</v>
      </c>
      <c r="G15" s="3">
        <f>Levy!I15</f>
        <v>1829369.14</v>
      </c>
      <c r="H15" s="3">
        <f>Levy!J15</f>
        <v>318080.81</v>
      </c>
      <c r="I15" s="176">
        <v>0</v>
      </c>
      <c r="J15" s="177">
        <v>20000</v>
      </c>
      <c r="K15" s="177">
        <v>62336.3</v>
      </c>
      <c r="L15" s="177">
        <v>0</v>
      </c>
      <c r="M15" s="175">
        <v>0</v>
      </c>
      <c r="N15" s="175">
        <v>0</v>
      </c>
      <c r="O15" s="175">
        <v>0</v>
      </c>
      <c r="P15" s="177">
        <v>12224.07</v>
      </c>
      <c r="Q15" s="177">
        <v>0</v>
      </c>
      <c r="R15" s="177">
        <v>1136.8</v>
      </c>
      <c r="S15" s="177">
        <v>0</v>
      </c>
      <c r="T15" s="175">
        <v>0</v>
      </c>
      <c r="U15" s="175">
        <v>0</v>
      </c>
      <c r="V15" s="178">
        <v>0</v>
      </c>
      <c r="W15" s="178">
        <v>0</v>
      </c>
      <c r="X15" s="3">
        <v>0</v>
      </c>
      <c r="Y15" s="161">
        <v>848958.71</v>
      </c>
      <c r="Z15" s="3">
        <f t="shared" si="1"/>
        <v>95697.17</v>
      </c>
      <c r="AA15" s="3">
        <f t="shared" si="2"/>
        <v>2132835.29</v>
      </c>
      <c r="AB15" s="3">
        <f t="shared" si="4"/>
        <v>318080.81</v>
      </c>
      <c r="AC15" s="3">
        <f>ROUND(MAX(0,(D15-V15)*Shift11!$B$3),2)</f>
        <v>1659850.5</v>
      </c>
      <c r="AD15" s="3">
        <f t="shared" si="3"/>
        <v>1659850.5</v>
      </c>
    </row>
    <row r="16" spans="1:30" x14ac:dyDescent="0.2">
      <c r="A16" s="18">
        <v>14</v>
      </c>
      <c r="B16" s="18">
        <v>1</v>
      </c>
      <c r="C16" s="3" t="s">
        <v>13</v>
      </c>
      <c r="D16" s="3">
        <f>Levy!F16</f>
        <v>2512103.52</v>
      </c>
      <c r="E16" s="3">
        <f>Levy!G16</f>
        <v>336673.52</v>
      </c>
      <c r="F16" s="3">
        <f>Levy!H16</f>
        <v>741000</v>
      </c>
      <c r="G16" s="3">
        <f>Levy!I16</f>
        <v>1361099.29</v>
      </c>
      <c r="H16" s="3">
        <f>Levy!J16</f>
        <v>466173.16</v>
      </c>
      <c r="I16" s="176">
        <v>0</v>
      </c>
      <c r="J16" s="177">
        <v>94000</v>
      </c>
      <c r="K16" s="177">
        <v>68582.559999999998</v>
      </c>
      <c r="L16" s="177">
        <v>0</v>
      </c>
      <c r="M16" s="175">
        <v>0</v>
      </c>
      <c r="N16" s="175">
        <v>0</v>
      </c>
      <c r="O16" s="175">
        <v>0</v>
      </c>
      <c r="P16" s="177">
        <v>12303.92</v>
      </c>
      <c r="Q16" s="177">
        <v>0</v>
      </c>
      <c r="R16" s="177">
        <v>0</v>
      </c>
      <c r="S16" s="177">
        <v>0</v>
      </c>
      <c r="T16" s="175">
        <v>0</v>
      </c>
      <c r="U16" s="175">
        <v>0</v>
      </c>
      <c r="V16" s="178">
        <v>0</v>
      </c>
      <c r="W16" s="178">
        <v>0</v>
      </c>
      <c r="X16" s="3">
        <v>0</v>
      </c>
      <c r="Y16" s="161">
        <v>468605.33</v>
      </c>
      <c r="Z16" s="3">
        <f t="shared" si="1"/>
        <v>174886.48</v>
      </c>
      <c r="AA16" s="3">
        <f t="shared" si="2"/>
        <v>2263886.33</v>
      </c>
      <c r="AB16" s="3">
        <f t="shared" si="4"/>
        <v>466173.16</v>
      </c>
      <c r="AC16" s="3">
        <f>ROUND(MAX(0,(D16-V16)*Shift11!$B$3),2)</f>
        <v>1220882.31</v>
      </c>
      <c r="AD16" s="3">
        <f t="shared" si="3"/>
        <v>1220882.31</v>
      </c>
    </row>
    <row r="17" spans="1:30" x14ac:dyDescent="0.2">
      <c r="A17" s="18">
        <v>15</v>
      </c>
      <c r="B17" s="18">
        <v>1</v>
      </c>
      <c r="C17" s="3" t="s">
        <v>14</v>
      </c>
      <c r="D17" s="3">
        <f>Levy!F17</f>
        <v>1821523.96</v>
      </c>
      <c r="E17" s="3">
        <f>Levy!G17</f>
        <v>578387.61</v>
      </c>
      <c r="F17" s="3">
        <f>Levy!H17</f>
        <v>0</v>
      </c>
      <c r="G17" s="3">
        <f>Levy!I17</f>
        <v>2111555.8199999998</v>
      </c>
      <c r="H17" s="3">
        <f>Levy!J17</f>
        <v>349966.46</v>
      </c>
      <c r="I17" s="176">
        <v>0</v>
      </c>
      <c r="J17" s="177">
        <v>150000</v>
      </c>
      <c r="K17" s="177">
        <v>136178.1</v>
      </c>
      <c r="L17" s="177">
        <v>0</v>
      </c>
      <c r="M17" s="175">
        <v>0</v>
      </c>
      <c r="N17" s="175">
        <v>0</v>
      </c>
      <c r="O17" s="175">
        <v>0</v>
      </c>
      <c r="P17" s="177">
        <v>173183.08</v>
      </c>
      <c r="Q17" s="177">
        <v>0</v>
      </c>
      <c r="R17" s="177">
        <v>-10364</v>
      </c>
      <c r="S17" s="177">
        <v>0</v>
      </c>
      <c r="T17" s="175">
        <v>0</v>
      </c>
      <c r="U17" s="175">
        <v>0</v>
      </c>
      <c r="V17" s="178">
        <v>0</v>
      </c>
      <c r="W17" s="178">
        <v>0</v>
      </c>
      <c r="X17" s="3">
        <v>0</v>
      </c>
      <c r="Y17" s="161">
        <v>288492.78999999998</v>
      </c>
      <c r="Z17" s="3">
        <f t="shared" si="1"/>
        <v>448997.17999999993</v>
      </c>
      <c r="AA17" s="3">
        <f t="shared" si="2"/>
        <v>2240946.25</v>
      </c>
      <c r="AB17" s="3">
        <f t="shared" si="4"/>
        <v>349966.46</v>
      </c>
      <c r="AC17" s="3">
        <f>ROUND(MAX(0,(D17-V17)*Shift11!$B$3),2)</f>
        <v>885260.64</v>
      </c>
      <c r="AD17" s="3">
        <f t="shared" si="3"/>
        <v>885260.64</v>
      </c>
    </row>
    <row r="18" spans="1:30" x14ac:dyDescent="0.2">
      <c r="A18" s="18">
        <v>16</v>
      </c>
      <c r="B18" s="18">
        <v>1</v>
      </c>
      <c r="C18" s="3" t="s">
        <v>15</v>
      </c>
      <c r="D18" s="3">
        <f>Levy!F18</f>
        <v>5117489.88</v>
      </c>
      <c r="E18" s="3">
        <f>Levy!G18</f>
        <v>876015</v>
      </c>
      <c r="F18" s="3">
        <f>Levy!H18</f>
        <v>1065985</v>
      </c>
      <c r="G18" s="3">
        <f>Levy!I18</f>
        <v>2535402.92</v>
      </c>
      <c r="H18" s="3">
        <f>Levy!J18</f>
        <v>463634.17</v>
      </c>
      <c r="I18" s="176">
        <v>0</v>
      </c>
      <c r="J18" s="177">
        <v>75000</v>
      </c>
      <c r="K18" s="177">
        <v>90781.02</v>
      </c>
      <c r="L18" s="177">
        <v>0</v>
      </c>
      <c r="M18" s="175">
        <v>0</v>
      </c>
      <c r="N18" s="175">
        <v>0</v>
      </c>
      <c r="O18" s="175">
        <v>0</v>
      </c>
      <c r="P18" s="177">
        <v>8924.1299999999992</v>
      </c>
      <c r="Q18" s="177">
        <v>0</v>
      </c>
      <c r="R18" s="177">
        <v>-9347.4500000000007</v>
      </c>
      <c r="S18" s="177">
        <v>0</v>
      </c>
      <c r="T18" s="175">
        <v>0</v>
      </c>
      <c r="U18" s="175">
        <v>0</v>
      </c>
      <c r="V18" s="178">
        <v>0</v>
      </c>
      <c r="W18" s="178">
        <v>0</v>
      </c>
      <c r="X18" s="3">
        <v>73286.44</v>
      </c>
      <c r="Y18" s="161">
        <v>804793.86</v>
      </c>
      <c r="Z18" s="3">
        <f t="shared" si="1"/>
        <v>165357.70000000001</v>
      </c>
      <c r="AA18" s="3">
        <f t="shared" si="2"/>
        <v>4238758.78</v>
      </c>
      <c r="AB18" s="3">
        <f t="shared" si="4"/>
        <v>463634.17</v>
      </c>
      <c r="AC18" s="3">
        <f>ROUND(MAX(0,(D18-V18)*Shift11!$B$3),2)</f>
        <v>2487100.08</v>
      </c>
      <c r="AD18" s="3">
        <f t="shared" si="3"/>
        <v>2487100.08</v>
      </c>
    </row>
    <row r="19" spans="1:30" x14ac:dyDescent="0.2">
      <c r="A19" s="18">
        <v>22</v>
      </c>
      <c r="B19" s="18">
        <v>1</v>
      </c>
      <c r="C19" s="3" t="s">
        <v>16</v>
      </c>
      <c r="D19" s="3">
        <f>Levy!F19</f>
        <v>1336103</v>
      </c>
      <c r="E19" s="3">
        <f>Levy!G19</f>
        <v>382290</v>
      </c>
      <c r="F19" s="3">
        <f>Levy!H19</f>
        <v>0</v>
      </c>
      <c r="G19" s="3">
        <f>Levy!I19</f>
        <v>1149384</v>
      </c>
      <c r="H19" s="3">
        <f>Levy!J19</f>
        <v>210886</v>
      </c>
      <c r="I19" s="176">
        <v>0</v>
      </c>
      <c r="J19" s="177">
        <v>15000</v>
      </c>
      <c r="K19" s="177">
        <v>56261.09</v>
      </c>
      <c r="L19" s="177">
        <v>0</v>
      </c>
      <c r="M19" s="175">
        <v>0</v>
      </c>
      <c r="N19" s="175">
        <v>0</v>
      </c>
      <c r="O19" s="175">
        <v>0</v>
      </c>
      <c r="P19" s="177">
        <v>25886.23</v>
      </c>
      <c r="Q19" s="177">
        <v>0</v>
      </c>
      <c r="R19" s="177">
        <v>0</v>
      </c>
      <c r="S19" s="177">
        <v>0</v>
      </c>
      <c r="T19" s="175">
        <v>0</v>
      </c>
      <c r="U19" s="175">
        <v>0</v>
      </c>
      <c r="V19" s="178">
        <v>0</v>
      </c>
      <c r="W19" s="178">
        <v>0</v>
      </c>
      <c r="X19" s="3">
        <v>0</v>
      </c>
      <c r="Y19" s="161">
        <v>133298.49</v>
      </c>
      <c r="Z19" s="3">
        <f t="shared" si="1"/>
        <v>97147.319999999992</v>
      </c>
      <c r="AA19" s="3">
        <f t="shared" si="2"/>
        <v>1434526.68</v>
      </c>
      <c r="AB19" s="3">
        <f t="shared" si="4"/>
        <v>210886</v>
      </c>
      <c r="AC19" s="3">
        <f>ROUND(MAX(0,(D19-V19)*Shift11!$B$3),2)</f>
        <v>649346.06000000006</v>
      </c>
      <c r="AD19" s="3">
        <f t="shared" si="3"/>
        <v>649346.06000000006</v>
      </c>
    </row>
    <row r="20" spans="1:30" x14ac:dyDescent="0.2">
      <c r="A20" s="18">
        <v>23</v>
      </c>
      <c r="B20" s="18">
        <v>1</v>
      </c>
      <c r="C20" s="3" t="s">
        <v>17</v>
      </c>
      <c r="D20" s="3">
        <f>Levy!F20</f>
        <v>976998</v>
      </c>
      <c r="E20" s="3">
        <f>Levy!G20</f>
        <v>89699</v>
      </c>
      <c r="F20" s="3">
        <f>Levy!H20</f>
        <v>0</v>
      </c>
      <c r="G20" s="3">
        <f>Levy!I20</f>
        <v>319130</v>
      </c>
      <c r="H20" s="3">
        <f>Levy!J20</f>
        <v>85928</v>
      </c>
      <c r="I20" s="176">
        <v>0</v>
      </c>
      <c r="J20" s="177">
        <v>10913</v>
      </c>
      <c r="K20" s="177">
        <v>28255.59</v>
      </c>
      <c r="L20" s="177">
        <v>0</v>
      </c>
      <c r="M20" s="175">
        <v>0</v>
      </c>
      <c r="N20" s="175">
        <v>0</v>
      </c>
      <c r="O20" s="175">
        <v>0</v>
      </c>
      <c r="P20" s="177">
        <v>1775.98</v>
      </c>
      <c r="Q20" s="177">
        <v>0</v>
      </c>
      <c r="R20" s="177">
        <v>0</v>
      </c>
      <c r="S20" s="177">
        <v>0</v>
      </c>
      <c r="T20" s="175">
        <v>0</v>
      </c>
      <c r="U20" s="175">
        <v>0</v>
      </c>
      <c r="V20" s="178">
        <v>0</v>
      </c>
      <c r="W20" s="178">
        <v>0</v>
      </c>
      <c r="X20" s="3">
        <v>0</v>
      </c>
      <c r="Y20" s="161">
        <v>0</v>
      </c>
      <c r="Z20" s="3">
        <f t="shared" si="1"/>
        <v>40944.57</v>
      </c>
      <c r="AA20" s="3">
        <f t="shared" si="2"/>
        <v>367884.43</v>
      </c>
      <c r="AB20" s="3">
        <f t="shared" si="4"/>
        <v>85928</v>
      </c>
      <c r="AC20" s="3">
        <f>ROUND(MAX(0,(D20-V20)*Shift11!$B$3),2)</f>
        <v>474821.03</v>
      </c>
      <c r="AD20" s="3">
        <f t="shared" si="3"/>
        <v>474821.03</v>
      </c>
    </row>
    <row r="21" spans="1:30" x14ac:dyDescent="0.2">
      <c r="A21" s="18">
        <v>25</v>
      </c>
      <c r="B21" s="18">
        <v>1</v>
      </c>
      <c r="C21" s="3" t="s">
        <v>345</v>
      </c>
      <c r="D21" s="3">
        <f>Levy!F21</f>
        <v>0</v>
      </c>
      <c r="E21" s="3">
        <f>Levy!G21</f>
        <v>0</v>
      </c>
      <c r="F21" s="3">
        <f>Levy!H21</f>
        <v>0</v>
      </c>
      <c r="G21" s="3">
        <f>Levy!I21</f>
        <v>0</v>
      </c>
      <c r="H21" s="3">
        <f>Levy!J21</f>
        <v>0</v>
      </c>
      <c r="I21" s="176">
        <v>0</v>
      </c>
      <c r="J21" s="177">
        <v>0</v>
      </c>
      <c r="K21" s="177">
        <v>0</v>
      </c>
      <c r="L21" s="177">
        <v>0</v>
      </c>
      <c r="M21" s="175">
        <v>0</v>
      </c>
      <c r="N21" s="175">
        <v>0</v>
      </c>
      <c r="O21" s="175">
        <v>0</v>
      </c>
      <c r="P21" s="177">
        <v>0</v>
      </c>
      <c r="Q21" s="177">
        <v>0</v>
      </c>
      <c r="R21" s="177">
        <v>0</v>
      </c>
      <c r="S21" s="177">
        <v>0</v>
      </c>
      <c r="T21" s="175">
        <v>0</v>
      </c>
      <c r="U21" s="175">
        <v>0</v>
      </c>
      <c r="V21" s="178">
        <v>0</v>
      </c>
      <c r="W21" s="178">
        <v>0</v>
      </c>
      <c r="X21" s="3">
        <v>0</v>
      </c>
      <c r="Y21" s="161">
        <v>0</v>
      </c>
      <c r="Z21" s="3">
        <f t="shared" si="1"/>
        <v>0</v>
      </c>
      <c r="AA21" s="3">
        <f t="shared" si="2"/>
        <v>0</v>
      </c>
      <c r="AB21" s="3">
        <f t="shared" si="4"/>
        <v>0</v>
      </c>
      <c r="AC21" s="3">
        <f>ROUND(MAX(0,(D21-V21)*Shift11!$B$3),2)</f>
        <v>0</v>
      </c>
      <c r="AD21" s="3">
        <f t="shared" si="3"/>
        <v>0</v>
      </c>
    </row>
    <row r="22" spans="1:30" x14ac:dyDescent="0.2">
      <c r="A22" s="18">
        <v>31</v>
      </c>
      <c r="B22" s="18">
        <v>1</v>
      </c>
      <c r="C22" s="3" t="s">
        <v>18</v>
      </c>
      <c r="D22" s="3">
        <f>Levy!F22</f>
        <v>2250862.9</v>
      </c>
      <c r="E22" s="3">
        <f>Levy!G22</f>
        <v>502797.47</v>
      </c>
      <c r="F22" s="3">
        <f>Levy!H22</f>
        <v>0</v>
      </c>
      <c r="G22" s="3">
        <f>Levy!I22</f>
        <v>1656014.74</v>
      </c>
      <c r="H22" s="3">
        <f>Levy!J22</f>
        <v>388158.98</v>
      </c>
      <c r="I22" s="176">
        <v>0</v>
      </c>
      <c r="J22" s="177">
        <v>30000</v>
      </c>
      <c r="K22" s="177">
        <v>111434.97</v>
      </c>
      <c r="L22" s="177">
        <v>0</v>
      </c>
      <c r="M22" s="175">
        <v>0</v>
      </c>
      <c r="N22" s="175">
        <v>0</v>
      </c>
      <c r="O22" s="175">
        <v>0</v>
      </c>
      <c r="P22" s="177">
        <v>16856.66</v>
      </c>
      <c r="Q22" s="177">
        <v>0</v>
      </c>
      <c r="R22" s="177">
        <v>0</v>
      </c>
      <c r="S22" s="177">
        <v>0</v>
      </c>
      <c r="T22" s="175">
        <v>0</v>
      </c>
      <c r="U22" s="175">
        <v>0</v>
      </c>
      <c r="V22" s="178">
        <v>0</v>
      </c>
      <c r="W22" s="178">
        <v>0</v>
      </c>
      <c r="X22" s="3">
        <v>0</v>
      </c>
      <c r="Y22" s="161">
        <v>195530.98</v>
      </c>
      <c r="Z22" s="3">
        <f t="shared" si="1"/>
        <v>158291.63</v>
      </c>
      <c r="AA22" s="3">
        <f t="shared" si="2"/>
        <v>2000520.58</v>
      </c>
      <c r="AB22" s="3">
        <f t="shared" si="4"/>
        <v>388158.98</v>
      </c>
      <c r="AC22" s="3">
        <f>ROUND(MAX(0,(D22-V22)*Shift11!$B$3),2)</f>
        <v>1093919.3700000001</v>
      </c>
      <c r="AD22" s="3">
        <f t="shared" si="3"/>
        <v>1093919.3700000001</v>
      </c>
    </row>
    <row r="23" spans="1:30" x14ac:dyDescent="0.2">
      <c r="A23" s="18">
        <v>32</v>
      </c>
      <c r="B23" s="18">
        <v>1</v>
      </c>
      <c r="C23" s="3" t="s">
        <v>19</v>
      </c>
      <c r="D23" s="3">
        <f>Levy!F23</f>
        <v>0</v>
      </c>
      <c r="E23" s="3">
        <f>Levy!G23</f>
        <v>67603.210000000006</v>
      </c>
      <c r="F23" s="3">
        <f>Levy!H23</f>
        <v>0</v>
      </c>
      <c r="G23" s="3">
        <f>Levy!I23</f>
        <v>240039.16</v>
      </c>
      <c r="H23" s="3">
        <f>Levy!J23</f>
        <v>34588.18</v>
      </c>
      <c r="I23" s="176">
        <v>0</v>
      </c>
      <c r="J23" s="177">
        <v>82</v>
      </c>
      <c r="K23" s="177">
        <v>21400.19</v>
      </c>
      <c r="L23" s="177">
        <v>0</v>
      </c>
      <c r="M23" s="175">
        <v>0</v>
      </c>
      <c r="N23" s="175">
        <v>0</v>
      </c>
      <c r="O23" s="175">
        <v>0</v>
      </c>
      <c r="P23" s="177">
        <v>855.45</v>
      </c>
      <c r="Q23" s="177">
        <v>0</v>
      </c>
      <c r="R23" s="177">
        <v>0</v>
      </c>
      <c r="S23" s="177">
        <v>0</v>
      </c>
      <c r="T23" s="175">
        <v>0</v>
      </c>
      <c r="U23" s="175">
        <v>0</v>
      </c>
      <c r="V23" s="178">
        <v>0</v>
      </c>
      <c r="W23" s="178">
        <v>0</v>
      </c>
      <c r="X23" s="3">
        <v>0</v>
      </c>
      <c r="Y23" s="161">
        <v>0</v>
      </c>
      <c r="Z23" s="3">
        <f t="shared" si="1"/>
        <v>22337.64</v>
      </c>
      <c r="AA23" s="3">
        <f t="shared" si="2"/>
        <v>285304.73</v>
      </c>
      <c r="AB23" s="3">
        <f t="shared" si="4"/>
        <v>34588.18</v>
      </c>
      <c r="AC23" s="3">
        <f>ROUND(MAX(0,(D23-V23)*Shift11!$B$3),2)</f>
        <v>0</v>
      </c>
      <c r="AD23" s="3">
        <f t="shared" si="3"/>
        <v>0</v>
      </c>
    </row>
    <row r="24" spans="1:30" x14ac:dyDescent="0.2">
      <c r="A24" s="18">
        <v>36</v>
      </c>
      <c r="B24" s="18">
        <v>1</v>
      </c>
      <c r="C24" s="3" t="s">
        <v>20</v>
      </c>
      <c r="D24" s="3">
        <f>Levy!F24</f>
        <v>0</v>
      </c>
      <c r="E24" s="3">
        <f>Levy!G24</f>
        <v>35704.230000000003</v>
      </c>
      <c r="F24" s="3">
        <f>Levy!H24</f>
        <v>0</v>
      </c>
      <c r="G24" s="3">
        <f>Levy!I24</f>
        <v>20791.669999999998</v>
      </c>
      <c r="H24" s="3">
        <f>Levy!J24</f>
        <v>11657.23</v>
      </c>
      <c r="I24" s="176">
        <v>0</v>
      </c>
      <c r="J24" s="177">
        <v>0</v>
      </c>
      <c r="K24" s="177">
        <v>0</v>
      </c>
      <c r="L24" s="177">
        <v>0</v>
      </c>
      <c r="M24" s="175">
        <v>0</v>
      </c>
      <c r="N24" s="175">
        <v>0</v>
      </c>
      <c r="O24" s="175">
        <v>0</v>
      </c>
      <c r="P24" s="177">
        <v>0</v>
      </c>
      <c r="Q24" s="177">
        <v>0</v>
      </c>
      <c r="R24" s="177">
        <v>0</v>
      </c>
      <c r="S24" s="177">
        <v>0</v>
      </c>
      <c r="T24" s="175">
        <v>0</v>
      </c>
      <c r="U24" s="175">
        <v>0</v>
      </c>
      <c r="V24" s="178">
        <v>0</v>
      </c>
      <c r="W24" s="178">
        <v>0</v>
      </c>
      <c r="X24" s="3">
        <v>0</v>
      </c>
      <c r="Y24" s="161">
        <v>0</v>
      </c>
      <c r="Z24" s="3">
        <f t="shared" si="1"/>
        <v>0</v>
      </c>
      <c r="AA24" s="3">
        <f t="shared" si="2"/>
        <v>56495.9</v>
      </c>
      <c r="AB24" s="3">
        <f t="shared" si="4"/>
        <v>11657.23</v>
      </c>
      <c r="AC24" s="3">
        <f>ROUND(MAX(0,(D24-V24)*Shift11!$B$3),2)</f>
        <v>0</v>
      </c>
      <c r="AD24" s="3">
        <f t="shared" si="3"/>
        <v>0</v>
      </c>
    </row>
    <row r="25" spans="1:30" x14ac:dyDescent="0.2">
      <c r="A25" s="18">
        <v>38</v>
      </c>
      <c r="B25" s="18">
        <v>1</v>
      </c>
      <c r="C25" s="3" t="s">
        <v>21</v>
      </c>
      <c r="D25" s="3">
        <f>Levy!F25</f>
        <v>2555.38</v>
      </c>
      <c r="E25" s="3">
        <f>Levy!G25</f>
        <v>306.68</v>
      </c>
      <c r="F25" s="3">
        <f>Levy!H25</f>
        <v>0</v>
      </c>
      <c r="G25" s="3">
        <f>Levy!I25</f>
        <v>569.15</v>
      </c>
      <c r="H25" s="3">
        <f>Levy!J25</f>
        <v>147.75</v>
      </c>
      <c r="I25" s="176">
        <v>0</v>
      </c>
      <c r="J25" s="177">
        <v>0</v>
      </c>
      <c r="K25" s="177">
        <v>0</v>
      </c>
      <c r="L25" s="177">
        <v>0</v>
      </c>
      <c r="M25" s="175">
        <v>0</v>
      </c>
      <c r="N25" s="175">
        <v>0</v>
      </c>
      <c r="O25" s="175">
        <v>0</v>
      </c>
      <c r="P25" s="177">
        <v>0</v>
      </c>
      <c r="Q25" s="177">
        <v>0</v>
      </c>
      <c r="R25" s="177">
        <v>0</v>
      </c>
      <c r="S25" s="177">
        <v>0</v>
      </c>
      <c r="T25" s="175">
        <v>0</v>
      </c>
      <c r="U25" s="175">
        <v>0</v>
      </c>
      <c r="V25" s="178">
        <v>0</v>
      </c>
      <c r="W25" s="178">
        <v>0</v>
      </c>
      <c r="X25" s="3">
        <v>0</v>
      </c>
      <c r="Y25" s="161">
        <v>149.12</v>
      </c>
      <c r="Z25" s="3">
        <f t="shared" si="1"/>
        <v>0</v>
      </c>
      <c r="AA25" s="3">
        <f t="shared" si="2"/>
        <v>875.83</v>
      </c>
      <c r="AB25" s="3">
        <f t="shared" si="4"/>
        <v>147.75</v>
      </c>
      <c r="AC25" s="3">
        <f>ROUND(MAX(0,(D25-V25)*Shift11!$B$3),2)</f>
        <v>1241.9100000000001</v>
      </c>
      <c r="AD25" s="3">
        <f t="shared" si="3"/>
        <v>1241.9100000000001</v>
      </c>
    </row>
    <row r="26" spans="1:30" x14ac:dyDescent="0.2">
      <c r="A26" s="18">
        <v>47</v>
      </c>
      <c r="B26" s="18">
        <v>1</v>
      </c>
      <c r="C26" s="3" t="s">
        <v>22</v>
      </c>
      <c r="D26" s="3">
        <f>Levy!F26</f>
        <v>0</v>
      </c>
      <c r="E26" s="3">
        <f>Levy!G26</f>
        <v>284489</v>
      </c>
      <c r="F26" s="3">
        <f>Levy!H26</f>
        <v>0</v>
      </c>
      <c r="G26" s="3">
        <f>Levy!I26</f>
        <v>1278390</v>
      </c>
      <c r="H26" s="3">
        <f>Levy!J26</f>
        <v>245568</v>
      </c>
      <c r="I26" s="176">
        <v>0</v>
      </c>
      <c r="J26" s="177">
        <v>25000</v>
      </c>
      <c r="K26" s="177">
        <v>81352.240000000005</v>
      </c>
      <c r="L26" s="177">
        <v>0</v>
      </c>
      <c r="M26" s="175">
        <v>0</v>
      </c>
      <c r="N26" s="175">
        <v>0</v>
      </c>
      <c r="O26" s="175">
        <v>0</v>
      </c>
      <c r="P26" s="177">
        <v>-18608.5</v>
      </c>
      <c r="Q26" s="177">
        <v>0</v>
      </c>
      <c r="R26" s="177">
        <v>-683.2</v>
      </c>
      <c r="S26" s="177">
        <v>0</v>
      </c>
      <c r="T26" s="175">
        <v>0</v>
      </c>
      <c r="U26" s="175">
        <v>0</v>
      </c>
      <c r="V26" s="178">
        <v>0</v>
      </c>
      <c r="W26" s="178">
        <v>0</v>
      </c>
      <c r="X26" s="3">
        <v>0</v>
      </c>
      <c r="Y26" s="161">
        <v>133802</v>
      </c>
      <c r="Z26" s="3">
        <f t="shared" si="1"/>
        <v>87060.540000000008</v>
      </c>
      <c r="AA26" s="3">
        <f t="shared" si="2"/>
        <v>1475818.46</v>
      </c>
      <c r="AB26" s="3">
        <f t="shared" si="4"/>
        <v>245568</v>
      </c>
      <c r="AC26" s="3">
        <f>ROUND(MAX(0,(D26-V26)*Shift11!$B$3),2)</f>
        <v>0</v>
      </c>
      <c r="AD26" s="3">
        <f t="shared" si="3"/>
        <v>133802</v>
      </c>
    </row>
    <row r="27" spans="1:30" x14ac:dyDescent="0.2">
      <c r="A27" s="18">
        <v>51</v>
      </c>
      <c r="B27" s="18">
        <v>1</v>
      </c>
      <c r="C27" s="3" t="s">
        <v>23</v>
      </c>
      <c r="D27" s="3">
        <f>Levy!F27</f>
        <v>292372</v>
      </c>
      <c r="E27" s="3">
        <f>Levy!G27</f>
        <v>149066</v>
      </c>
      <c r="F27" s="3">
        <f>Levy!H27</f>
        <v>0</v>
      </c>
      <c r="G27" s="3">
        <f>Levy!I27</f>
        <v>388066</v>
      </c>
      <c r="H27" s="3">
        <f>Levy!J27</f>
        <v>91171</v>
      </c>
      <c r="I27" s="176">
        <v>0</v>
      </c>
      <c r="J27" s="177">
        <v>0</v>
      </c>
      <c r="K27" s="177">
        <v>36488.36</v>
      </c>
      <c r="L27" s="177">
        <v>0</v>
      </c>
      <c r="M27" s="175">
        <v>0</v>
      </c>
      <c r="N27" s="175">
        <v>0</v>
      </c>
      <c r="O27" s="175">
        <v>0</v>
      </c>
      <c r="P27" s="177">
        <v>36234.58</v>
      </c>
      <c r="Q27" s="177">
        <v>0</v>
      </c>
      <c r="R27" s="177">
        <v>-936</v>
      </c>
      <c r="S27" s="177">
        <v>0</v>
      </c>
      <c r="T27" s="175">
        <v>0</v>
      </c>
      <c r="U27" s="175">
        <v>0</v>
      </c>
      <c r="V27" s="178">
        <v>0</v>
      </c>
      <c r="W27" s="178">
        <v>0</v>
      </c>
      <c r="X27" s="3">
        <v>0</v>
      </c>
      <c r="Y27" s="161">
        <v>32144.54</v>
      </c>
      <c r="Z27" s="3">
        <f t="shared" si="1"/>
        <v>71786.94</v>
      </c>
      <c r="AA27" s="3">
        <f t="shared" si="2"/>
        <v>465345.06</v>
      </c>
      <c r="AB27" s="3">
        <f t="shared" si="4"/>
        <v>91171</v>
      </c>
      <c r="AC27" s="3">
        <f>ROUND(MAX(0,(D27-V27)*Shift11!$B$3),2)</f>
        <v>142092.79</v>
      </c>
      <c r="AD27" s="3">
        <f t="shared" si="3"/>
        <v>142092.79</v>
      </c>
    </row>
    <row r="28" spans="1:30" x14ac:dyDescent="0.2">
      <c r="A28" s="18">
        <v>75</v>
      </c>
      <c r="B28" s="18">
        <v>1</v>
      </c>
      <c r="C28" s="3" t="s">
        <v>24</v>
      </c>
      <c r="D28" s="3">
        <f>Levy!F28</f>
        <v>245487.94</v>
      </c>
      <c r="E28" s="3">
        <f>Levy!G28</f>
        <v>58248.09</v>
      </c>
      <c r="F28" s="3">
        <f>Levy!H28</f>
        <v>0</v>
      </c>
      <c r="G28" s="3">
        <f>Levy!I28</f>
        <v>181977.04</v>
      </c>
      <c r="H28" s="3">
        <f>Levy!J28</f>
        <v>31575.74</v>
      </c>
      <c r="I28" s="176">
        <v>0</v>
      </c>
      <c r="J28" s="177">
        <v>0</v>
      </c>
      <c r="K28" s="177">
        <v>13587.48</v>
      </c>
      <c r="L28" s="177">
        <v>0</v>
      </c>
      <c r="M28" s="175">
        <v>0</v>
      </c>
      <c r="N28" s="175">
        <v>0</v>
      </c>
      <c r="O28" s="175">
        <v>0</v>
      </c>
      <c r="P28" s="177">
        <v>-15.13</v>
      </c>
      <c r="Q28" s="177">
        <v>0</v>
      </c>
      <c r="R28" s="177">
        <v>256</v>
      </c>
      <c r="S28" s="177">
        <v>0</v>
      </c>
      <c r="T28" s="175">
        <v>0</v>
      </c>
      <c r="U28" s="175">
        <v>0</v>
      </c>
      <c r="V28" s="178">
        <v>0</v>
      </c>
      <c r="W28" s="178">
        <v>0</v>
      </c>
      <c r="X28" s="3">
        <v>0</v>
      </c>
      <c r="Y28" s="161">
        <v>59511.62</v>
      </c>
      <c r="Z28" s="3">
        <f t="shared" si="1"/>
        <v>13828.35</v>
      </c>
      <c r="AA28" s="3">
        <f t="shared" si="2"/>
        <v>226396.78</v>
      </c>
      <c r="AB28" s="3">
        <f t="shared" si="4"/>
        <v>31575.74</v>
      </c>
      <c r="AC28" s="3">
        <f>ROUND(MAX(0,(D28-V28)*Shift11!$B$3),2)</f>
        <v>119307.14</v>
      </c>
      <c r="AD28" s="3">
        <f t="shared" si="3"/>
        <v>119307.14</v>
      </c>
    </row>
    <row r="29" spans="1:30" x14ac:dyDescent="0.2">
      <c r="A29" s="18">
        <v>77</v>
      </c>
      <c r="B29" s="18">
        <v>1</v>
      </c>
      <c r="C29" s="3" t="s">
        <v>25</v>
      </c>
      <c r="D29" s="3">
        <f>Levy!F29</f>
        <v>5403055.21</v>
      </c>
      <c r="E29" s="3">
        <f>Levy!G29</f>
        <v>1100661.98</v>
      </c>
      <c r="F29" s="3">
        <f>Levy!H29</f>
        <v>500000</v>
      </c>
      <c r="G29" s="3">
        <f>Levy!I29</f>
        <v>3420636.49</v>
      </c>
      <c r="H29" s="3">
        <f>Levy!J29</f>
        <v>790185.61</v>
      </c>
      <c r="I29" s="176">
        <v>0</v>
      </c>
      <c r="J29" s="177">
        <v>60000</v>
      </c>
      <c r="K29" s="177">
        <v>153525.46</v>
      </c>
      <c r="L29" s="177">
        <v>0</v>
      </c>
      <c r="M29" s="175">
        <v>0</v>
      </c>
      <c r="N29" s="175">
        <v>0</v>
      </c>
      <c r="O29" s="175">
        <v>0</v>
      </c>
      <c r="P29" s="177">
        <v>119658.03</v>
      </c>
      <c r="Q29" s="177">
        <v>0</v>
      </c>
      <c r="R29" s="177">
        <v>202.67</v>
      </c>
      <c r="S29" s="177">
        <v>0</v>
      </c>
      <c r="T29" s="175">
        <v>0</v>
      </c>
      <c r="U29" s="175">
        <v>0</v>
      </c>
      <c r="V29" s="178">
        <v>0</v>
      </c>
      <c r="W29" s="178">
        <v>0</v>
      </c>
      <c r="X29" s="3">
        <v>0</v>
      </c>
      <c r="Y29" s="161">
        <v>751973.08</v>
      </c>
      <c r="Z29" s="3">
        <f t="shared" si="1"/>
        <v>333386.15999999997</v>
      </c>
      <c r="AA29" s="3">
        <f t="shared" si="2"/>
        <v>4687912.3099999996</v>
      </c>
      <c r="AB29" s="3">
        <f t="shared" si="4"/>
        <v>790185.61</v>
      </c>
      <c r="AC29" s="3">
        <f>ROUND(MAX(0,(D29-V29)*Shift11!$B$3),2)</f>
        <v>2625884.83</v>
      </c>
      <c r="AD29" s="3">
        <f t="shared" si="3"/>
        <v>2625884.83</v>
      </c>
    </row>
    <row r="30" spans="1:30" x14ac:dyDescent="0.2">
      <c r="A30" s="18">
        <v>81</v>
      </c>
      <c r="B30" s="18">
        <v>1</v>
      </c>
      <c r="C30" s="3" t="s">
        <v>26</v>
      </c>
      <c r="D30" s="3">
        <f>Levy!F30</f>
        <v>168955.93</v>
      </c>
      <c r="E30" s="3">
        <f>Levy!G30</f>
        <v>14151.58</v>
      </c>
      <c r="F30" s="3">
        <f>Levy!H30</f>
        <v>0</v>
      </c>
      <c r="G30" s="3">
        <f>Levy!I30</f>
        <v>160658.5</v>
      </c>
      <c r="H30" s="3">
        <f>Levy!J30</f>
        <v>24405.22</v>
      </c>
      <c r="I30" s="176">
        <v>0</v>
      </c>
      <c r="J30" s="177">
        <v>4731.8599999999997</v>
      </c>
      <c r="K30" s="177">
        <v>11665.08</v>
      </c>
      <c r="L30" s="177">
        <v>0</v>
      </c>
      <c r="M30" s="175">
        <v>0</v>
      </c>
      <c r="N30" s="175">
        <v>0</v>
      </c>
      <c r="O30" s="175">
        <v>0</v>
      </c>
      <c r="P30" s="177">
        <v>-634.04999999999995</v>
      </c>
      <c r="Q30" s="177">
        <v>0</v>
      </c>
      <c r="R30" s="177">
        <v>0</v>
      </c>
      <c r="S30" s="177">
        <v>0</v>
      </c>
      <c r="T30" s="175">
        <v>0</v>
      </c>
      <c r="U30" s="175">
        <v>0</v>
      </c>
      <c r="V30" s="178">
        <v>0</v>
      </c>
      <c r="W30" s="178">
        <v>0</v>
      </c>
      <c r="X30" s="3">
        <v>0</v>
      </c>
      <c r="Y30" s="161">
        <v>65568.179999999993</v>
      </c>
      <c r="Z30" s="3">
        <f t="shared" si="1"/>
        <v>15762.89</v>
      </c>
      <c r="AA30" s="3">
        <f t="shared" si="2"/>
        <v>159047.19</v>
      </c>
      <c r="AB30" s="3">
        <f t="shared" si="4"/>
        <v>24405.22</v>
      </c>
      <c r="AC30" s="3">
        <f>ROUND(MAX(0,(D30-V30)*Shift11!$B$3),2)</f>
        <v>82112.58</v>
      </c>
      <c r="AD30" s="3">
        <f t="shared" si="3"/>
        <v>82112.58</v>
      </c>
    </row>
    <row r="31" spans="1:30" x14ac:dyDescent="0.2">
      <c r="A31" s="18">
        <v>84</v>
      </c>
      <c r="B31" s="18">
        <v>1</v>
      </c>
      <c r="C31" s="3" t="s">
        <v>27</v>
      </c>
      <c r="D31" s="3">
        <f>Levy!F31</f>
        <v>0</v>
      </c>
      <c r="E31" s="3">
        <f>Levy!G31</f>
        <v>75733.149999999994</v>
      </c>
      <c r="F31" s="3">
        <f>Levy!H31</f>
        <v>0</v>
      </c>
      <c r="G31" s="3">
        <f>Levy!I31</f>
        <v>261022.38</v>
      </c>
      <c r="H31" s="3">
        <f>Levy!J31</f>
        <v>74557.64</v>
      </c>
      <c r="I31" s="176">
        <v>0</v>
      </c>
      <c r="J31" s="177">
        <v>4000</v>
      </c>
      <c r="K31" s="177">
        <v>18523.740000000002</v>
      </c>
      <c r="L31" s="177">
        <v>0</v>
      </c>
      <c r="M31" s="175">
        <v>0</v>
      </c>
      <c r="N31" s="175">
        <v>0</v>
      </c>
      <c r="O31" s="175">
        <v>0</v>
      </c>
      <c r="P31" s="177">
        <v>25705.8</v>
      </c>
      <c r="Q31" s="177">
        <v>0</v>
      </c>
      <c r="R31" s="177">
        <v>0</v>
      </c>
      <c r="S31" s="177">
        <v>0</v>
      </c>
      <c r="T31" s="175">
        <v>0</v>
      </c>
      <c r="U31" s="175">
        <v>0</v>
      </c>
      <c r="V31" s="178">
        <v>0</v>
      </c>
      <c r="W31" s="178">
        <v>0</v>
      </c>
      <c r="X31" s="3">
        <v>0</v>
      </c>
      <c r="Y31" s="161">
        <v>64890.080000000002</v>
      </c>
      <c r="Z31" s="3">
        <f t="shared" si="1"/>
        <v>48229.54</v>
      </c>
      <c r="AA31" s="3">
        <f t="shared" si="2"/>
        <v>288525.99</v>
      </c>
      <c r="AB31" s="3">
        <f t="shared" si="4"/>
        <v>74557.64</v>
      </c>
      <c r="AC31" s="3">
        <f>ROUND(MAX(0,(D31-V31)*Shift11!$B$3),2)</f>
        <v>0</v>
      </c>
      <c r="AD31" s="3">
        <f t="shared" si="3"/>
        <v>64890.080000000002</v>
      </c>
    </row>
    <row r="32" spans="1:30" x14ac:dyDescent="0.2">
      <c r="A32" s="18">
        <v>85</v>
      </c>
      <c r="B32" s="18">
        <v>1</v>
      </c>
      <c r="C32" s="3" t="s">
        <v>28</v>
      </c>
      <c r="D32" s="3">
        <f>Levy!F32</f>
        <v>158297.38</v>
      </c>
      <c r="E32" s="3">
        <f>Levy!G32</f>
        <v>35907.19</v>
      </c>
      <c r="F32" s="3">
        <f>Levy!H32</f>
        <v>0</v>
      </c>
      <c r="G32" s="3">
        <f>Levy!I32</f>
        <v>191542.26</v>
      </c>
      <c r="H32" s="3">
        <f>Levy!J32</f>
        <v>36329.440000000002</v>
      </c>
      <c r="I32" s="176">
        <v>0</v>
      </c>
      <c r="J32" s="177">
        <v>100</v>
      </c>
      <c r="K32" s="177">
        <v>24237.54</v>
      </c>
      <c r="L32" s="177">
        <v>0</v>
      </c>
      <c r="M32" s="175">
        <v>0</v>
      </c>
      <c r="N32" s="175">
        <v>0</v>
      </c>
      <c r="O32" s="175">
        <v>0</v>
      </c>
      <c r="P32" s="177">
        <v>-1531.07</v>
      </c>
      <c r="Q32" s="177">
        <v>0</v>
      </c>
      <c r="R32" s="177">
        <v>0</v>
      </c>
      <c r="S32" s="177">
        <v>0</v>
      </c>
      <c r="T32" s="175">
        <v>0</v>
      </c>
      <c r="U32" s="175">
        <v>0</v>
      </c>
      <c r="V32" s="178">
        <v>0</v>
      </c>
      <c r="W32" s="178">
        <v>0</v>
      </c>
      <c r="X32" s="3">
        <v>0</v>
      </c>
      <c r="Y32" s="161">
        <v>0</v>
      </c>
      <c r="Z32" s="3">
        <f t="shared" si="1"/>
        <v>22806.47</v>
      </c>
      <c r="AA32" s="3">
        <f t="shared" si="2"/>
        <v>204642.98</v>
      </c>
      <c r="AB32" s="3">
        <f t="shared" si="4"/>
        <v>36329.440000000002</v>
      </c>
      <c r="AC32" s="3">
        <f>ROUND(MAX(0,(D32-V32)*Shift11!$B$3),2)</f>
        <v>76932.53</v>
      </c>
      <c r="AD32" s="3">
        <f t="shared" si="3"/>
        <v>76932.53</v>
      </c>
    </row>
    <row r="33" spans="1:30" x14ac:dyDescent="0.2">
      <c r="A33" s="18">
        <v>88</v>
      </c>
      <c r="B33" s="18">
        <v>1</v>
      </c>
      <c r="C33" s="3" t="s">
        <v>29</v>
      </c>
      <c r="D33" s="3">
        <f>Levy!F33</f>
        <v>1835426.72</v>
      </c>
      <c r="E33" s="3">
        <f>Levy!G33</f>
        <v>236391.86</v>
      </c>
      <c r="F33" s="3">
        <f>Levy!H33</f>
        <v>0</v>
      </c>
      <c r="G33" s="3">
        <f>Levy!I33</f>
        <v>1136958.28</v>
      </c>
      <c r="H33" s="3">
        <f>Levy!J33</f>
        <v>215355.49</v>
      </c>
      <c r="I33" s="176">
        <v>0</v>
      </c>
      <c r="J33" s="177">
        <v>25000</v>
      </c>
      <c r="K33" s="177">
        <v>61027.17</v>
      </c>
      <c r="L33" s="177">
        <v>0</v>
      </c>
      <c r="M33" s="175">
        <v>0</v>
      </c>
      <c r="N33" s="175">
        <v>0</v>
      </c>
      <c r="O33" s="175">
        <v>0</v>
      </c>
      <c r="P33" s="177">
        <v>-9014.5300000000007</v>
      </c>
      <c r="Q33" s="177">
        <v>0</v>
      </c>
      <c r="R33" s="177">
        <v>0</v>
      </c>
      <c r="S33" s="177">
        <v>0</v>
      </c>
      <c r="T33" s="175">
        <v>0</v>
      </c>
      <c r="U33" s="175">
        <v>0</v>
      </c>
      <c r="V33" s="178">
        <v>0</v>
      </c>
      <c r="W33" s="178">
        <v>0</v>
      </c>
      <c r="X33" s="3">
        <v>97377.63</v>
      </c>
      <c r="Y33" s="161">
        <v>135266</v>
      </c>
      <c r="Z33" s="3">
        <f t="shared" si="1"/>
        <v>77012.639999999999</v>
      </c>
      <c r="AA33" s="3">
        <f t="shared" si="2"/>
        <v>1198959.8700000001</v>
      </c>
      <c r="AB33" s="3">
        <f t="shared" si="4"/>
        <v>215355.49</v>
      </c>
      <c r="AC33" s="3">
        <f>ROUND(MAX(0,(D33-V33)*Shift11!$B$3),2)</f>
        <v>892017.39</v>
      </c>
      <c r="AD33" s="3">
        <f t="shared" si="3"/>
        <v>892017.39</v>
      </c>
    </row>
    <row r="34" spans="1:30" x14ac:dyDescent="0.2">
      <c r="A34" s="18">
        <v>91</v>
      </c>
      <c r="B34" s="18">
        <v>1</v>
      </c>
      <c r="C34" s="3" t="s">
        <v>30</v>
      </c>
      <c r="D34" s="3">
        <f>Levy!F34</f>
        <v>0</v>
      </c>
      <c r="E34" s="3">
        <f>Levy!G34</f>
        <v>82874.990000000005</v>
      </c>
      <c r="F34" s="3">
        <f>Levy!H34</f>
        <v>0</v>
      </c>
      <c r="G34" s="3">
        <f>Levy!I34</f>
        <v>177767.16</v>
      </c>
      <c r="H34" s="3">
        <f>Levy!J34</f>
        <v>49366.23</v>
      </c>
      <c r="I34" s="176">
        <v>0</v>
      </c>
      <c r="J34" s="177">
        <v>5000</v>
      </c>
      <c r="K34" s="177">
        <v>13606.14</v>
      </c>
      <c r="L34" s="177">
        <v>0</v>
      </c>
      <c r="M34" s="175">
        <v>0</v>
      </c>
      <c r="N34" s="175">
        <v>0</v>
      </c>
      <c r="O34" s="175">
        <v>0</v>
      </c>
      <c r="P34" s="177">
        <v>-2640.43</v>
      </c>
      <c r="Q34" s="177">
        <v>0</v>
      </c>
      <c r="R34" s="177">
        <v>0</v>
      </c>
      <c r="S34" s="177">
        <v>0</v>
      </c>
      <c r="T34" s="175">
        <v>0</v>
      </c>
      <c r="U34" s="175">
        <v>0</v>
      </c>
      <c r="V34" s="178">
        <v>0</v>
      </c>
      <c r="W34" s="178">
        <v>0</v>
      </c>
      <c r="X34" s="3">
        <v>0</v>
      </c>
      <c r="Y34" s="161">
        <v>19807.54</v>
      </c>
      <c r="Z34" s="3">
        <f t="shared" si="1"/>
        <v>15965.71</v>
      </c>
      <c r="AA34" s="3">
        <f t="shared" si="2"/>
        <v>244676.44</v>
      </c>
      <c r="AB34" s="3">
        <f t="shared" si="4"/>
        <v>49366.23</v>
      </c>
      <c r="AC34" s="3">
        <f>ROUND(MAX(0,(D34-V34)*Shift11!$B$3),2)</f>
        <v>0</v>
      </c>
      <c r="AD34" s="3">
        <f t="shared" si="3"/>
        <v>19807.54</v>
      </c>
    </row>
    <row r="35" spans="1:30" x14ac:dyDescent="0.2">
      <c r="A35" s="18">
        <v>93</v>
      </c>
      <c r="B35" s="18">
        <v>1</v>
      </c>
      <c r="C35" s="3" t="s">
        <v>31</v>
      </c>
      <c r="D35" s="3">
        <f>Levy!F35</f>
        <v>768846.75</v>
      </c>
      <c r="E35" s="3">
        <f>Levy!G35</f>
        <v>27570.84</v>
      </c>
      <c r="F35" s="3">
        <f>Levy!H35</f>
        <v>0</v>
      </c>
      <c r="G35" s="3">
        <f>Levy!I35</f>
        <v>103592.93</v>
      </c>
      <c r="H35" s="3">
        <f>Levy!J35</f>
        <v>34287.5</v>
      </c>
      <c r="I35" s="176">
        <v>0</v>
      </c>
      <c r="J35" s="177">
        <v>17500</v>
      </c>
      <c r="K35" s="177">
        <v>11665.08</v>
      </c>
      <c r="L35" s="177">
        <v>0</v>
      </c>
      <c r="M35" s="175">
        <v>0</v>
      </c>
      <c r="N35" s="175">
        <v>0</v>
      </c>
      <c r="O35" s="175">
        <v>0</v>
      </c>
      <c r="P35" s="177">
        <v>8622.17</v>
      </c>
      <c r="Q35" s="177">
        <v>0</v>
      </c>
      <c r="R35" s="177">
        <v>0</v>
      </c>
      <c r="S35" s="177">
        <v>0</v>
      </c>
      <c r="T35" s="175">
        <v>0</v>
      </c>
      <c r="U35" s="175">
        <v>0</v>
      </c>
      <c r="V35" s="178">
        <v>0</v>
      </c>
      <c r="W35" s="178">
        <v>0</v>
      </c>
      <c r="X35" s="3">
        <v>0</v>
      </c>
      <c r="Y35" s="161">
        <v>27479.15</v>
      </c>
      <c r="Z35" s="3">
        <f t="shared" si="1"/>
        <v>37787.25</v>
      </c>
      <c r="AA35" s="3">
        <f t="shared" si="2"/>
        <v>93376.52</v>
      </c>
      <c r="AB35" s="3">
        <f t="shared" si="4"/>
        <v>34287.5</v>
      </c>
      <c r="AC35" s="3">
        <f>ROUND(MAX(0,(D35-V35)*Shift11!$B$3),2)</f>
        <v>373659.52</v>
      </c>
      <c r="AD35" s="3">
        <f t="shared" si="3"/>
        <v>373659.52</v>
      </c>
    </row>
    <row r="36" spans="1:30" x14ac:dyDescent="0.2">
      <c r="A36" s="18">
        <v>94</v>
      </c>
      <c r="B36" s="18">
        <v>1</v>
      </c>
      <c r="C36" s="3" t="s">
        <v>32</v>
      </c>
      <c r="D36" s="3">
        <f>Levy!F36</f>
        <v>169761.15</v>
      </c>
      <c r="E36" s="3">
        <f>Levy!G36</f>
        <v>249156.74</v>
      </c>
      <c r="F36" s="3">
        <f>Levy!H36</f>
        <v>0</v>
      </c>
      <c r="G36" s="3">
        <f>Levy!I36</f>
        <v>557432.96</v>
      </c>
      <c r="H36" s="3">
        <f>Levy!J36</f>
        <v>243103.21</v>
      </c>
      <c r="I36" s="176">
        <v>0</v>
      </c>
      <c r="J36" s="177">
        <v>50000</v>
      </c>
      <c r="K36" s="177">
        <v>40300.800000000003</v>
      </c>
      <c r="L36" s="177">
        <v>7836</v>
      </c>
      <c r="M36" s="175">
        <v>0</v>
      </c>
      <c r="N36" s="175">
        <v>0</v>
      </c>
      <c r="O36" s="175">
        <v>0</v>
      </c>
      <c r="P36" s="177">
        <v>8346.5</v>
      </c>
      <c r="Q36" s="177">
        <v>0</v>
      </c>
      <c r="R36" s="177">
        <v>0</v>
      </c>
      <c r="S36" s="177">
        <v>0</v>
      </c>
      <c r="T36" s="175">
        <v>0</v>
      </c>
      <c r="U36" s="175">
        <v>0</v>
      </c>
      <c r="V36" s="178">
        <v>0</v>
      </c>
      <c r="W36" s="178">
        <v>0</v>
      </c>
      <c r="X36" s="3">
        <v>0</v>
      </c>
      <c r="Y36" s="161">
        <v>91861.41</v>
      </c>
      <c r="Z36" s="3">
        <f t="shared" si="1"/>
        <v>106483.3</v>
      </c>
      <c r="AA36" s="3">
        <f t="shared" si="2"/>
        <v>700106.4</v>
      </c>
      <c r="AB36" s="3">
        <f t="shared" si="4"/>
        <v>243103.21</v>
      </c>
      <c r="AC36" s="3">
        <f>ROUND(MAX(0,(D36-V36)*Shift11!$B$3),2)</f>
        <v>82503.92</v>
      </c>
      <c r="AD36" s="3">
        <f t="shared" si="3"/>
        <v>91861.41</v>
      </c>
    </row>
    <row r="37" spans="1:30" x14ac:dyDescent="0.2">
      <c r="A37" s="18">
        <v>95</v>
      </c>
      <c r="B37" s="18">
        <v>1</v>
      </c>
      <c r="C37" s="3" t="s">
        <v>33</v>
      </c>
      <c r="D37" s="3">
        <f>Levy!F37</f>
        <v>0</v>
      </c>
      <c r="E37" s="3">
        <f>Levy!G37</f>
        <v>44703.81</v>
      </c>
      <c r="F37" s="3">
        <f>Levy!H37</f>
        <v>0</v>
      </c>
      <c r="G37" s="3">
        <f>Levy!I37</f>
        <v>112462.89</v>
      </c>
      <c r="H37" s="3">
        <f>Levy!J37</f>
        <v>22070.91</v>
      </c>
      <c r="I37" s="176">
        <v>0</v>
      </c>
      <c r="J37" s="177">
        <v>0</v>
      </c>
      <c r="K37" s="177">
        <v>11665.08</v>
      </c>
      <c r="L37" s="177">
        <v>0</v>
      </c>
      <c r="M37" s="175">
        <v>0</v>
      </c>
      <c r="N37" s="175">
        <v>0</v>
      </c>
      <c r="O37" s="175">
        <v>0</v>
      </c>
      <c r="P37" s="177">
        <v>26062.25</v>
      </c>
      <c r="Q37" s="177">
        <v>0</v>
      </c>
      <c r="R37" s="177">
        <v>0</v>
      </c>
      <c r="S37" s="177">
        <v>0</v>
      </c>
      <c r="T37" s="175">
        <v>0</v>
      </c>
      <c r="U37" s="175">
        <v>0</v>
      </c>
      <c r="V37" s="178">
        <v>0</v>
      </c>
      <c r="W37" s="178">
        <v>0</v>
      </c>
      <c r="X37" s="3">
        <v>0</v>
      </c>
      <c r="Y37" s="161">
        <v>0</v>
      </c>
      <c r="Z37" s="3">
        <f t="shared" si="1"/>
        <v>37727.33</v>
      </c>
      <c r="AA37" s="3">
        <f t="shared" si="2"/>
        <v>119439.37</v>
      </c>
      <c r="AB37" s="3">
        <f t="shared" si="4"/>
        <v>22070.91</v>
      </c>
      <c r="AC37" s="3">
        <f>ROUND(MAX(0,(D37-V37)*Shift11!$B$3),2)</f>
        <v>0</v>
      </c>
      <c r="AD37" s="3">
        <f t="shared" si="3"/>
        <v>0</v>
      </c>
    </row>
    <row r="38" spans="1:30" x14ac:dyDescent="0.2">
      <c r="A38" s="18">
        <v>97</v>
      </c>
      <c r="B38" s="18">
        <v>1</v>
      </c>
      <c r="C38" s="3" t="s">
        <v>34</v>
      </c>
      <c r="D38" s="3">
        <f>Levy!F38</f>
        <v>275150.68</v>
      </c>
      <c r="E38" s="3">
        <f>Levy!G38</f>
        <v>72075.710000000006</v>
      </c>
      <c r="F38" s="3">
        <f>Levy!H38</f>
        <v>0</v>
      </c>
      <c r="G38" s="3">
        <f>Levy!I38</f>
        <v>250114.23</v>
      </c>
      <c r="H38" s="3">
        <f>Levy!J38</f>
        <v>61432.83</v>
      </c>
      <c r="I38" s="176">
        <v>0</v>
      </c>
      <c r="J38" s="177">
        <v>13000</v>
      </c>
      <c r="K38" s="177">
        <v>8709.69</v>
      </c>
      <c r="L38" s="177">
        <v>0</v>
      </c>
      <c r="M38" s="175">
        <v>0</v>
      </c>
      <c r="N38" s="175">
        <v>0</v>
      </c>
      <c r="O38" s="175">
        <v>0</v>
      </c>
      <c r="P38" s="177">
        <v>7311.53</v>
      </c>
      <c r="Q38" s="177">
        <v>0</v>
      </c>
      <c r="R38" s="177">
        <v>0</v>
      </c>
      <c r="S38" s="177">
        <v>0</v>
      </c>
      <c r="T38" s="175">
        <v>0</v>
      </c>
      <c r="U38" s="175">
        <v>0</v>
      </c>
      <c r="V38" s="178">
        <v>0</v>
      </c>
      <c r="W38" s="178">
        <v>0</v>
      </c>
      <c r="X38" s="3">
        <v>0</v>
      </c>
      <c r="Y38" s="161">
        <v>31851.86</v>
      </c>
      <c r="Z38" s="3">
        <f t="shared" si="1"/>
        <v>29021.22</v>
      </c>
      <c r="AA38" s="3">
        <f t="shared" si="2"/>
        <v>293168.71999999997</v>
      </c>
      <c r="AB38" s="3">
        <f t="shared" si="4"/>
        <v>61432.83</v>
      </c>
      <c r="AC38" s="3">
        <f>ROUND(MAX(0,(D38-V38)*Shift11!$B$3),2)</f>
        <v>133723.23000000001</v>
      </c>
      <c r="AD38" s="3">
        <f t="shared" si="3"/>
        <v>133723.23000000001</v>
      </c>
    </row>
    <row r="39" spans="1:30" x14ac:dyDescent="0.2">
      <c r="A39" s="18">
        <v>99</v>
      </c>
      <c r="B39" s="18">
        <v>1</v>
      </c>
      <c r="C39" s="3" t="s">
        <v>35</v>
      </c>
      <c r="D39" s="3">
        <f>Levy!F39</f>
        <v>0</v>
      </c>
      <c r="E39" s="3">
        <f>Levy!G39</f>
        <v>127917.13</v>
      </c>
      <c r="F39" s="3">
        <f>Levy!H39</f>
        <v>0</v>
      </c>
      <c r="G39" s="3">
        <f>Levy!I39</f>
        <v>335448.14</v>
      </c>
      <c r="H39" s="3">
        <f>Levy!J39</f>
        <v>54068.45</v>
      </c>
      <c r="I39" s="176">
        <v>0</v>
      </c>
      <c r="J39" s="177">
        <v>9000</v>
      </c>
      <c r="K39" s="177">
        <v>26330.41</v>
      </c>
      <c r="L39" s="177">
        <v>0</v>
      </c>
      <c r="M39" s="175">
        <v>0</v>
      </c>
      <c r="N39" s="175">
        <v>0</v>
      </c>
      <c r="O39" s="175">
        <v>0</v>
      </c>
      <c r="P39" s="177">
        <v>-1115.4100000000001</v>
      </c>
      <c r="Q39" s="177">
        <v>0</v>
      </c>
      <c r="R39" s="177">
        <v>-640.79999999999995</v>
      </c>
      <c r="S39" s="177">
        <v>0</v>
      </c>
      <c r="T39" s="175">
        <v>0</v>
      </c>
      <c r="U39" s="175">
        <v>0</v>
      </c>
      <c r="V39" s="178">
        <v>0</v>
      </c>
      <c r="W39" s="178">
        <v>0</v>
      </c>
      <c r="X39" s="3">
        <v>11758.5</v>
      </c>
      <c r="Y39" s="161">
        <v>29606.959999999999</v>
      </c>
      <c r="Z39" s="3">
        <f t="shared" si="1"/>
        <v>33574.199999999997</v>
      </c>
      <c r="AA39" s="3">
        <f t="shared" si="2"/>
        <v>418032.57</v>
      </c>
      <c r="AB39" s="3">
        <f t="shared" si="4"/>
        <v>54068.45</v>
      </c>
      <c r="AC39" s="3">
        <f>ROUND(MAX(0,(D39-V39)*Shift11!$B$3),2)</f>
        <v>0</v>
      </c>
      <c r="AD39" s="3">
        <f t="shared" si="3"/>
        <v>29606.959999999999</v>
      </c>
    </row>
    <row r="40" spans="1:30" x14ac:dyDescent="0.2">
      <c r="A40" s="18">
        <v>100</v>
      </c>
      <c r="B40" s="18">
        <v>1</v>
      </c>
      <c r="C40" s="3" t="s">
        <v>36</v>
      </c>
      <c r="D40" s="3">
        <f>Levy!F40</f>
        <v>189456.66</v>
      </c>
      <c r="E40" s="3">
        <f>Levy!G40</f>
        <v>58430.25</v>
      </c>
      <c r="F40" s="3">
        <f>Levy!H40</f>
        <v>0</v>
      </c>
      <c r="G40" s="3">
        <f>Levy!I40</f>
        <v>108453.44</v>
      </c>
      <c r="H40" s="3">
        <f>Levy!J40</f>
        <v>24818.84</v>
      </c>
      <c r="I40" s="176">
        <v>0</v>
      </c>
      <c r="J40" s="177">
        <v>5000</v>
      </c>
      <c r="K40" s="177">
        <v>11665.08</v>
      </c>
      <c r="L40" s="177">
        <v>0</v>
      </c>
      <c r="M40" s="175">
        <v>0</v>
      </c>
      <c r="N40" s="175">
        <v>0</v>
      </c>
      <c r="O40" s="175">
        <v>0</v>
      </c>
      <c r="P40" s="177">
        <v>-2110.1</v>
      </c>
      <c r="Q40" s="177">
        <v>0</v>
      </c>
      <c r="R40" s="177">
        <v>0</v>
      </c>
      <c r="S40" s="177">
        <v>0</v>
      </c>
      <c r="T40" s="175">
        <v>0</v>
      </c>
      <c r="U40" s="175">
        <v>0</v>
      </c>
      <c r="V40" s="178">
        <v>0</v>
      </c>
      <c r="W40" s="178">
        <v>0</v>
      </c>
      <c r="X40" s="3">
        <v>10979.92</v>
      </c>
      <c r="Y40" s="161">
        <v>14322.89</v>
      </c>
      <c r="Z40" s="3">
        <f t="shared" si="1"/>
        <v>14554.980000000001</v>
      </c>
      <c r="AA40" s="3">
        <f t="shared" si="2"/>
        <v>141348.79</v>
      </c>
      <c r="AB40" s="3">
        <f t="shared" si="4"/>
        <v>24818.84</v>
      </c>
      <c r="AC40" s="3">
        <f>ROUND(MAX(0,(D40-V40)*Shift11!$B$3),2)</f>
        <v>92075.94</v>
      </c>
      <c r="AD40" s="3">
        <f t="shared" si="3"/>
        <v>92075.94</v>
      </c>
    </row>
    <row r="41" spans="1:30" x14ac:dyDescent="0.2">
      <c r="A41" s="18">
        <v>108</v>
      </c>
      <c r="B41" s="18">
        <v>1</v>
      </c>
      <c r="C41" s="3" t="s">
        <v>37</v>
      </c>
      <c r="D41" s="3">
        <f>Levy!F41</f>
        <v>705155</v>
      </c>
      <c r="E41" s="3">
        <f>Levy!G41</f>
        <v>118196</v>
      </c>
      <c r="F41" s="3">
        <f>Levy!H41</f>
        <v>0</v>
      </c>
      <c r="G41" s="3">
        <f>Levy!I41</f>
        <v>653638</v>
      </c>
      <c r="H41" s="3">
        <f>Levy!J41</f>
        <v>204072</v>
      </c>
      <c r="I41" s="176">
        <v>0</v>
      </c>
      <c r="J41" s="177">
        <v>15000</v>
      </c>
      <c r="K41" s="177">
        <v>27328.81</v>
      </c>
      <c r="L41" s="177">
        <v>0</v>
      </c>
      <c r="M41" s="175">
        <v>0</v>
      </c>
      <c r="N41" s="175">
        <v>0</v>
      </c>
      <c r="O41" s="175">
        <v>0</v>
      </c>
      <c r="P41" s="177">
        <v>-8680.23</v>
      </c>
      <c r="Q41" s="177">
        <v>0</v>
      </c>
      <c r="R41" s="177">
        <v>0</v>
      </c>
      <c r="S41" s="177">
        <v>0</v>
      </c>
      <c r="T41" s="175">
        <v>0</v>
      </c>
      <c r="U41" s="175">
        <v>0</v>
      </c>
      <c r="V41" s="178">
        <v>0</v>
      </c>
      <c r="W41" s="178">
        <v>0</v>
      </c>
      <c r="X41" s="3">
        <v>0</v>
      </c>
      <c r="Y41" s="161">
        <v>63073.58</v>
      </c>
      <c r="Z41" s="3">
        <f t="shared" si="1"/>
        <v>33648.58</v>
      </c>
      <c r="AA41" s="3">
        <f t="shared" si="2"/>
        <v>738185.42</v>
      </c>
      <c r="AB41" s="3">
        <f t="shared" si="4"/>
        <v>204072</v>
      </c>
      <c r="AC41" s="3">
        <f>ROUND(MAX(0,(D41-V41)*Shift11!$B$3),2)</f>
        <v>342705.33</v>
      </c>
      <c r="AD41" s="3">
        <f t="shared" si="3"/>
        <v>342705.33</v>
      </c>
    </row>
    <row r="42" spans="1:30" x14ac:dyDescent="0.2">
      <c r="A42" s="18">
        <v>110</v>
      </c>
      <c r="B42" s="18">
        <v>1</v>
      </c>
      <c r="C42" s="3" t="s">
        <v>38</v>
      </c>
      <c r="D42" s="3">
        <f>Levy!F42</f>
        <v>2331703</v>
      </c>
      <c r="E42" s="3">
        <f>Levy!G42</f>
        <v>461602</v>
      </c>
      <c r="F42" s="3">
        <f>Levy!H42</f>
        <v>0</v>
      </c>
      <c r="G42" s="3">
        <f>Levy!I42</f>
        <v>1454147</v>
      </c>
      <c r="H42" s="3">
        <f>Levy!J42</f>
        <v>281215</v>
      </c>
      <c r="I42" s="176">
        <v>0</v>
      </c>
      <c r="J42" s="177">
        <v>17500</v>
      </c>
      <c r="K42" s="177">
        <v>61858.73</v>
      </c>
      <c r="L42" s="177">
        <v>0</v>
      </c>
      <c r="M42" s="175">
        <v>0</v>
      </c>
      <c r="N42" s="175">
        <v>0</v>
      </c>
      <c r="O42" s="175">
        <v>0</v>
      </c>
      <c r="P42" s="177">
        <v>29986.16</v>
      </c>
      <c r="Q42" s="177">
        <v>0</v>
      </c>
      <c r="R42" s="177">
        <v>-2442.08</v>
      </c>
      <c r="S42" s="177">
        <v>0</v>
      </c>
      <c r="T42" s="175">
        <v>0</v>
      </c>
      <c r="U42" s="175">
        <v>0</v>
      </c>
      <c r="V42" s="178">
        <v>0</v>
      </c>
      <c r="W42" s="178">
        <v>0</v>
      </c>
      <c r="X42" s="3">
        <v>47580.01</v>
      </c>
      <c r="Y42" s="161">
        <v>263386.8</v>
      </c>
      <c r="Z42" s="3">
        <f t="shared" si="1"/>
        <v>106902.81000000001</v>
      </c>
      <c r="AA42" s="3">
        <f t="shared" si="2"/>
        <v>1761266.18</v>
      </c>
      <c r="AB42" s="3">
        <f t="shared" si="4"/>
        <v>281215</v>
      </c>
      <c r="AC42" s="3">
        <f>ROUND(MAX(0,(D42-V42)*Shift11!$B$3),2)</f>
        <v>1133207.6599999999</v>
      </c>
      <c r="AD42" s="3">
        <f t="shared" si="3"/>
        <v>1133207.6599999999</v>
      </c>
    </row>
    <row r="43" spans="1:30" x14ac:dyDescent="0.2">
      <c r="A43" s="18">
        <v>111</v>
      </c>
      <c r="B43" s="18">
        <v>1</v>
      </c>
      <c r="C43" s="3" t="s">
        <v>39</v>
      </c>
      <c r="D43" s="3">
        <f>Levy!F43</f>
        <v>845856</v>
      </c>
      <c r="E43" s="3">
        <f>Levy!G43</f>
        <v>221548</v>
      </c>
      <c r="F43" s="3">
        <f>Levy!H43</f>
        <v>0</v>
      </c>
      <c r="G43" s="3">
        <f>Levy!I43</f>
        <v>568522</v>
      </c>
      <c r="H43" s="3">
        <f>Levy!J43</f>
        <v>242952</v>
      </c>
      <c r="I43" s="176">
        <v>0</v>
      </c>
      <c r="J43" s="177">
        <v>15000</v>
      </c>
      <c r="K43" s="177">
        <v>39724.720000000001</v>
      </c>
      <c r="L43" s="177">
        <v>0</v>
      </c>
      <c r="M43" s="175">
        <v>0</v>
      </c>
      <c r="N43" s="175">
        <v>0</v>
      </c>
      <c r="O43" s="175">
        <v>0</v>
      </c>
      <c r="P43" s="177">
        <v>267.83999999999997</v>
      </c>
      <c r="Q43" s="177">
        <v>0</v>
      </c>
      <c r="R43" s="177">
        <v>-3279.2</v>
      </c>
      <c r="S43" s="177">
        <v>0</v>
      </c>
      <c r="T43" s="175">
        <v>0</v>
      </c>
      <c r="U43" s="175">
        <v>0</v>
      </c>
      <c r="V43" s="178">
        <v>0</v>
      </c>
      <c r="W43" s="178">
        <v>0</v>
      </c>
      <c r="X43" s="3">
        <v>14098.14</v>
      </c>
      <c r="Y43" s="161">
        <v>53287.46</v>
      </c>
      <c r="Z43" s="3">
        <f t="shared" si="1"/>
        <v>51713.36</v>
      </c>
      <c r="AA43" s="3">
        <f t="shared" si="2"/>
        <v>724258.5</v>
      </c>
      <c r="AB43" s="3">
        <f t="shared" si="4"/>
        <v>242952</v>
      </c>
      <c r="AC43" s="3">
        <f>ROUND(MAX(0,(D43-V43)*Shift11!$B$3),2)</f>
        <v>411086.02</v>
      </c>
      <c r="AD43" s="3">
        <f t="shared" si="3"/>
        <v>411086.02</v>
      </c>
    </row>
    <row r="44" spans="1:30" x14ac:dyDescent="0.2">
      <c r="A44" s="18">
        <v>112</v>
      </c>
      <c r="B44" s="18">
        <v>1</v>
      </c>
      <c r="C44" s="3" t="s">
        <v>40</v>
      </c>
      <c r="D44" s="3">
        <f>Levy!F44</f>
        <v>12245015</v>
      </c>
      <c r="E44" s="3">
        <f>Levy!G44</f>
        <v>1024083</v>
      </c>
      <c r="F44" s="3">
        <f>Levy!H44</f>
        <v>0</v>
      </c>
      <c r="G44" s="3">
        <f>Levy!I44</f>
        <v>3958435</v>
      </c>
      <c r="H44" s="3">
        <f>Levy!J44</f>
        <v>777901</v>
      </c>
      <c r="I44" s="176">
        <v>0</v>
      </c>
      <c r="J44" s="177">
        <v>180000</v>
      </c>
      <c r="K44" s="177">
        <v>197322.69</v>
      </c>
      <c r="L44" s="177">
        <v>0</v>
      </c>
      <c r="M44" s="175">
        <v>0</v>
      </c>
      <c r="N44" s="175">
        <v>0</v>
      </c>
      <c r="O44" s="175">
        <v>0</v>
      </c>
      <c r="P44" s="177">
        <v>133757.20000000001</v>
      </c>
      <c r="Q44" s="177">
        <v>0</v>
      </c>
      <c r="R44" s="177">
        <v>0</v>
      </c>
      <c r="S44" s="177">
        <v>0</v>
      </c>
      <c r="T44" s="175">
        <v>0</v>
      </c>
      <c r="U44" s="175">
        <v>0</v>
      </c>
      <c r="V44" s="178">
        <v>0</v>
      </c>
      <c r="W44" s="178">
        <v>0</v>
      </c>
      <c r="X44" s="3">
        <v>41804.71</v>
      </c>
      <c r="Y44" s="161">
        <v>1809944.64</v>
      </c>
      <c r="Z44" s="3">
        <f t="shared" si="1"/>
        <v>511079.89</v>
      </c>
      <c r="AA44" s="3">
        <f t="shared" si="2"/>
        <v>4429633.4000000004</v>
      </c>
      <c r="AB44" s="3">
        <f t="shared" si="4"/>
        <v>777901</v>
      </c>
      <c r="AC44" s="3">
        <f>ROUND(MAX(0,(D44-V44)*Shift11!$B$3),2)</f>
        <v>5951077.29</v>
      </c>
      <c r="AD44" s="3">
        <f t="shared" si="3"/>
        <v>5951077.29</v>
      </c>
    </row>
    <row r="45" spans="1:30" x14ac:dyDescent="0.2">
      <c r="A45" s="18">
        <v>113</v>
      </c>
      <c r="B45" s="18">
        <v>1</v>
      </c>
      <c r="C45" s="3" t="s">
        <v>41</v>
      </c>
      <c r="D45" s="3">
        <f>Levy!F45</f>
        <v>0</v>
      </c>
      <c r="E45" s="3">
        <f>Levy!G45</f>
        <v>119606.68</v>
      </c>
      <c r="F45" s="3">
        <f>Levy!H45</f>
        <v>0</v>
      </c>
      <c r="G45" s="3">
        <f>Levy!I45</f>
        <v>392061.22</v>
      </c>
      <c r="H45" s="3">
        <f>Levy!J45</f>
        <v>113101.8</v>
      </c>
      <c r="I45" s="176">
        <v>0</v>
      </c>
      <c r="J45" s="177">
        <v>20000</v>
      </c>
      <c r="K45" s="177">
        <v>24464.720000000001</v>
      </c>
      <c r="L45" s="177">
        <v>0</v>
      </c>
      <c r="M45" s="175">
        <v>0</v>
      </c>
      <c r="N45" s="175">
        <v>0</v>
      </c>
      <c r="O45" s="175">
        <v>0</v>
      </c>
      <c r="P45" s="177">
        <v>-12459.35</v>
      </c>
      <c r="Q45" s="177">
        <v>0</v>
      </c>
      <c r="R45" s="177">
        <v>-10972.62</v>
      </c>
      <c r="S45" s="177">
        <v>0</v>
      </c>
      <c r="T45" s="175">
        <v>0</v>
      </c>
      <c r="U45" s="175">
        <v>0</v>
      </c>
      <c r="V45" s="178">
        <v>0</v>
      </c>
      <c r="W45" s="178">
        <v>0</v>
      </c>
      <c r="X45" s="3">
        <v>0</v>
      </c>
      <c r="Y45" s="161">
        <v>0</v>
      </c>
      <c r="Z45" s="3">
        <f t="shared" si="1"/>
        <v>21032.75</v>
      </c>
      <c r="AA45" s="3">
        <f t="shared" si="2"/>
        <v>490635.15</v>
      </c>
      <c r="AB45" s="3">
        <f t="shared" si="4"/>
        <v>113101.8</v>
      </c>
      <c r="AC45" s="3">
        <f>ROUND(MAX(0,(D45-V45)*Shift11!$B$3),2)</f>
        <v>0</v>
      </c>
      <c r="AD45" s="3">
        <f t="shared" si="3"/>
        <v>0</v>
      </c>
    </row>
    <row r="46" spans="1:30" x14ac:dyDescent="0.2">
      <c r="A46" s="18">
        <v>115</v>
      </c>
      <c r="B46" s="18">
        <v>1</v>
      </c>
      <c r="C46" s="3" t="s">
        <v>42</v>
      </c>
      <c r="D46" s="3">
        <f>Levy!F46</f>
        <v>0</v>
      </c>
      <c r="E46" s="3">
        <f>Levy!G46</f>
        <v>266451.3</v>
      </c>
      <c r="F46" s="3">
        <f>Levy!H46</f>
        <v>0</v>
      </c>
      <c r="G46" s="3">
        <f>Levy!I46</f>
        <v>214571.9</v>
      </c>
      <c r="H46" s="3">
        <f>Levy!J46</f>
        <v>51553.94</v>
      </c>
      <c r="I46" s="176">
        <v>0</v>
      </c>
      <c r="J46" s="177">
        <v>0</v>
      </c>
      <c r="K46" s="177">
        <v>21508.53</v>
      </c>
      <c r="L46" s="177">
        <v>0</v>
      </c>
      <c r="M46" s="175">
        <v>0</v>
      </c>
      <c r="N46" s="175">
        <v>0</v>
      </c>
      <c r="O46" s="175">
        <v>0</v>
      </c>
      <c r="P46" s="177">
        <v>10962.79</v>
      </c>
      <c r="Q46" s="177">
        <v>0</v>
      </c>
      <c r="R46" s="177">
        <v>-5681.37</v>
      </c>
      <c r="S46" s="177">
        <v>0</v>
      </c>
      <c r="T46" s="175">
        <v>0</v>
      </c>
      <c r="U46" s="175">
        <v>0</v>
      </c>
      <c r="V46" s="178">
        <v>0</v>
      </c>
      <c r="W46" s="178">
        <v>0</v>
      </c>
      <c r="X46" s="3">
        <v>0</v>
      </c>
      <c r="Y46" s="161">
        <v>0</v>
      </c>
      <c r="Z46" s="3">
        <f t="shared" si="1"/>
        <v>26789.95</v>
      </c>
      <c r="AA46" s="3">
        <f t="shared" si="2"/>
        <v>454233.25</v>
      </c>
      <c r="AB46" s="3">
        <f t="shared" si="4"/>
        <v>51553.94</v>
      </c>
      <c r="AC46" s="3">
        <f>ROUND(MAX(0,(D46-V46)*Shift11!$B$3),2)</f>
        <v>0</v>
      </c>
      <c r="AD46" s="3">
        <f t="shared" si="3"/>
        <v>0</v>
      </c>
    </row>
    <row r="47" spans="1:30" x14ac:dyDescent="0.2">
      <c r="A47" s="18">
        <v>116</v>
      </c>
      <c r="B47" s="18">
        <v>1</v>
      </c>
      <c r="C47" s="3" t="s">
        <v>43</v>
      </c>
      <c r="D47" s="3">
        <f>Levy!F47</f>
        <v>0</v>
      </c>
      <c r="E47" s="3">
        <f>Levy!G47</f>
        <v>182392.51</v>
      </c>
      <c r="F47" s="3">
        <f>Levy!H47</f>
        <v>0</v>
      </c>
      <c r="G47" s="3">
        <f>Levy!I47</f>
        <v>432553.1</v>
      </c>
      <c r="H47" s="3">
        <f>Levy!J47</f>
        <v>113995.27</v>
      </c>
      <c r="I47" s="176">
        <v>0</v>
      </c>
      <c r="J47" s="177">
        <v>12000</v>
      </c>
      <c r="K47" s="177">
        <v>17525.61</v>
      </c>
      <c r="L47" s="177">
        <v>0</v>
      </c>
      <c r="M47" s="175">
        <v>0</v>
      </c>
      <c r="N47" s="175">
        <v>0</v>
      </c>
      <c r="O47" s="175">
        <v>0</v>
      </c>
      <c r="P47" s="177">
        <v>-11664.19</v>
      </c>
      <c r="Q47" s="177">
        <v>0</v>
      </c>
      <c r="R47" s="177">
        <v>329.6</v>
      </c>
      <c r="S47" s="177">
        <v>0</v>
      </c>
      <c r="T47" s="175">
        <v>0</v>
      </c>
      <c r="U47" s="175">
        <v>0</v>
      </c>
      <c r="V47" s="178">
        <v>0</v>
      </c>
      <c r="W47" s="178">
        <v>0</v>
      </c>
      <c r="X47" s="3">
        <v>0</v>
      </c>
      <c r="Y47" s="161">
        <v>0</v>
      </c>
      <c r="Z47" s="3">
        <f t="shared" si="1"/>
        <v>18191.019999999997</v>
      </c>
      <c r="AA47" s="3">
        <f t="shared" si="2"/>
        <v>596754.59</v>
      </c>
      <c r="AB47" s="3">
        <f t="shared" si="4"/>
        <v>113995.27</v>
      </c>
      <c r="AC47" s="3">
        <f>ROUND(MAX(0,(D47-V47)*Shift11!$B$3),2)</f>
        <v>0</v>
      </c>
      <c r="AD47" s="3">
        <f t="shared" si="3"/>
        <v>0</v>
      </c>
    </row>
    <row r="48" spans="1:30" x14ac:dyDescent="0.2">
      <c r="A48" s="18">
        <v>118</v>
      </c>
      <c r="B48" s="18">
        <v>1</v>
      </c>
      <c r="C48" s="3" t="s">
        <v>44</v>
      </c>
      <c r="D48" s="3">
        <f>Levy!F48</f>
        <v>269259.93</v>
      </c>
      <c r="E48" s="3">
        <f>Levy!G48</f>
        <v>47183.65</v>
      </c>
      <c r="F48" s="3">
        <f>Levy!H48</f>
        <v>0</v>
      </c>
      <c r="G48" s="3">
        <f>Levy!I48</f>
        <v>303740.33</v>
      </c>
      <c r="H48" s="3">
        <f>Levy!J48</f>
        <v>56247.73</v>
      </c>
      <c r="I48" s="176">
        <v>0</v>
      </c>
      <c r="J48" s="177">
        <v>30000</v>
      </c>
      <c r="K48" s="177">
        <v>12825</v>
      </c>
      <c r="L48" s="177">
        <v>0</v>
      </c>
      <c r="M48" s="175">
        <v>0</v>
      </c>
      <c r="N48" s="175">
        <v>0</v>
      </c>
      <c r="O48" s="175">
        <v>0</v>
      </c>
      <c r="P48" s="177">
        <v>7647.44</v>
      </c>
      <c r="Q48" s="177">
        <v>0</v>
      </c>
      <c r="R48" s="177">
        <v>0</v>
      </c>
      <c r="S48" s="177">
        <v>0</v>
      </c>
      <c r="T48" s="175">
        <v>0</v>
      </c>
      <c r="U48" s="175">
        <v>0</v>
      </c>
      <c r="V48" s="178">
        <v>0</v>
      </c>
      <c r="W48" s="178">
        <v>0</v>
      </c>
      <c r="X48" s="3">
        <v>0</v>
      </c>
      <c r="Y48" s="161">
        <v>71477.7</v>
      </c>
      <c r="Z48" s="3">
        <f t="shared" si="1"/>
        <v>50472.44</v>
      </c>
      <c r="AA48" s="3">
        <f t="shared" si="2"/>
        <v>300451.53999999998</v>
      </c>
      <c r="AB48" s="3">
        <f t="shared" si="4"/>
        <v>56247.73</v>
      </c>
      <c r="AC48" s="3">
        <f>ROUND(MAX(0,(D48-V48)*Shift11!$B$3),2)</f>
        <v>130860.33</v>
      </c>
      <c r="AD48" s="3">
        <f t="shared" si="3"/>
        <v>130860.33</v>
      </c>
    </row>
    <row r="49" spans="1:30" x14ac:dyDescent="0.2">
      <c r="A49" s="18">
        <v>129</v>
      </c>
      <c r="B49" s="18">
        <v>1</v>
      </c>
      <c r="C49" s="3" t="s">
        <v>45</v>
      </c>
      <c r="D49" s="3">
        <f>Levy!F49</f>
        <v>739011.39</v>
      </c>
      <c r="E49" s="3">
        <f>Levy!G49</f>
        <v>97603.01</v>
      </c>
      <c r="F49" s="3">
        <f>Levy!H49</f>
        <v>0</v>
      </c>
      <c r="G49" s="3">
        <f>Levy!I49</f>
        <v>328442.55</v>
      </c>
      <c r="H49" s="3">
        <f>Levy!J49</f>
        <v>91004.21</v>
      </c>
      <c r="I49" s="176">
        <v>0</v>
      </c>
      <c r="J49" s="177">
        <v>25000</v>
      </c>
      <c r="K49" s="177">
        <v>93307.97</v>
      </c>
      <c r="L49" s="177">
        <v>0</v>
      </c>
      <c r="M49" s="175">
        <v>0</v>
      </c>
      <c r="N49" s="175">
        <v>0</v>
      </c>
      <c r="O49" s="175">
        <v>0</v>
      </c>
      <c r="P49" s="177">
        <v>-3426.57</v>
      </c>
      <c r="Q49" s="177">
        <v>0</v>
      </c>
      <c r="R49" s="177">
        <v>0</v>
      </c>
      <c r="S49" s="177">
        <v>0</v>
      </c>
      <c r="T49" s="175">
        <v>0</v>
      </c>
      <c r="U49" s="175">
        <v>0</v>
      </c>
      <c r="V49" s="178">
        <v>0</v>
      </c>
      <c r="W49" s="178">
        <v>0</v>
      </c>
      <c r="X49" s="3">
        <v>0</v>
      </c>
      <c r="Y49" s="161">
        <v>76642.47</v>
      </c>
      <c r="Z49" s="3">
        <f t="shared" si="1"/>
        <v>114881.4</v>
      </c>
      <c r="AA49" s="3">
        <f t="shared" si="2"/>
        <v>311164.15999999997</v>
      </c>
      <c r="AB49" s="3">
        <f t="shared" si="4"/>
        <v>91004.21</v>
      </c>
      <c r="AC49" s="3">
        <f>ROUND(MAX(0,(D49-V49)*Shift11!$B$3),2)</f>
        <v>359159.54</v>
      </c>
      <c r="AD49" s="3">
        <f t="shared" si="3"/>
        <v>359159.54</v>
      </c>
    </row>
    <row r="50" spans="1:30" x14ac:dyDescent="0.2">
      <c r="A50" s="18">
        <v>138</v>
      </c>
      <c r="B50" s="18">
        <v>1</v>
      </c>
      <c r="C50" s="3" t="s">
        <v>46</v>
      </c>
      <c r="D50" s="3">
        <f>Levy!F50</f>
        <v>0</v>
      </c>
      <c r="E50" s="3">
        <f>Levy!G50</f>
        <v>280565.59000000003</v>
      </c>
      <c r="F50" s="3">
        <f>Levy!H50</f>
        <v>0</v>
      </c>
      <c r="G50" s="3">
        <f>Levy!I50</f>
        <v>1452829.86</v>
      </c>
      <c r="H50" s="3">
        <f>Levy!J50</f>
        <v>201507.08</v>
      </c>
      <c r="I50" s="176">
        <v>0</v>
      </c>
      <c r="J50" s="177">
        <v>60000</v>
      </c>
      <c r="K50" s="177">
        <v>70389.350000000006</v>
      </c>
      <c r="L50" s="177">
        <v>0</v>
      </c>
      <c r="M50" s="175">
        <v>0</v>
      </c>
      <c r="N50" s="175">
        <v>0</v>
      </c>
      <c r="O50" s="175">
        <v>0</v>
      </c>
      <c r="P50" s="177">
        <v>25437.89</v>
      </c>
      <c r="Q50" s="177">
        <v>0</v>
      </c>
      <c r="R50" s="177">
        <v>-4312.2700000000004</v>
      </c>
      <c r="S50" s="177">
        <v>0</v>
      </c>
      <c r="T50" s="175">
        <v>0</v>
      </c>
      <c r="U50" s="175">
        <v>0</v>
      </c>
      <c r="V50" s="178">
        <v>0</v>
      </c>
      <c r="W50" s="178">
        <v>0</v>
      </c>
      <c r="X50" s="3">
        <v>0</v>
      </c>
      <c r="Y50" s="161">
        <v>124195.25</v>
      </c>
      <c r="Z50" s="3">
        <f t="shared" si="1"/>
        <v>151514.97</v>
      </c>
      <c r="AA50" s="3">
        <f t="shared" si="2"/>
        <v>1581880.48</v>
      </c>
      <c r="AB50" s="3">
        <f t="shared" si="4"/>
        <v>201507.08</v>
      </c>
      <c r="AC50" s="3">
        <f>ROUND(MAX(0,(D50-V50)*Shift11!$B$3),2)</f>
        <v>0</v>
      </c>
      <c r="AD50" s="3">
        <f t="shared" si="3"/>
        <v>124195.25</v>
      </c>
    </row>
    <row r="51" spans="1:30" x14ac:dyDescent="0.2">
      <c r="A51" s="18">
        <v>139</v>
      </c>
      <c r="B51" s="18">
        <v>1</v>
      </c>
      <c r="C51" s="3" t="s">
        <v>47</v>
      </c>
      <c r="D51" s="3">
        <f>Levy!F51</f>
        <v>0</v>
      </c>
      <c r="E51" s="3">
        <f>Levy!G51</f>
        <v>113920.89</v>
      </c>
      <c r="F51" s="3">
        <f>Levy!H51</f>
        <v>0</v>
      </c>
      <c r="G51" s="3">
        <f>Levy!I51</f>
        <v>358101.46</v>
      </c>
      <c r="H51" s="3">
        <f>Levy!J51</f>
        <v>61938.95</v>
      </c>
      <c r="I51" s="176">
        <v>0</v>
      </c>
      <c r="J51" s="177">
        <v>8000</v>
      </c>
      <c r="K51" s="177">
        <v>21418.95</v>
      </c>
      <c r="L51" s="177">
        <v>0</v>
      </c>
      <c r="M51" s="175">
        <v>0</v>
      </c>
      <c r="N51" s="175">
        <v>0</v>
      </c>
      <c r="O51" s="175">
        <v>0</v>
      </c>
      <c r="P51" s="177">
        <v>-10592.5</v>
      </c>
      <c r="Q51" s="177">
        <v>0</v>
      </c>
      <c r="R51" s="177">
        <v>-561.6</v>
      </c>
      <c r="S51" s="177">
        <v>0</v>
      </c>
      <c r="T51" s="175">
        <v>0</v>
      </c>
      <c r="U51" s="175">
        <v>0</v>
      </c>
      <c r="V51" s="178">
        <v>0</v>
      </c>
      <c r="W51" s="178">
        <v>0</v>
      </c>
      <c r="X51" s="3">
        <v>0</v>
      </c>
      <c r="Y51" s="161">
        <v>0</v>
      </c>
      <c r="Z51" s="3">
        <f t="shared" si="1"/>
        <v>18264.850000000002</v>
      </c>
      <c r="AA51" s="3">
        <f t="shared" si="2"/>
        <v>453757.5</v>
      </c>
      <c r="AB51" s="3">
        <f t="shared" si="4"/>
        <v>61938.95</v>
      </c>
      <c r="AC51" s="3">
        <f>ROUND(MAX(0,(D51-V51)*Shift11!$B$3),2)</f>
        <v>0</v>
      </c>
      <c r="AD51" s="3">
        <f t="shared" si="3"/>
        <v>0</v>
      </c>
    </row>
    <row r="52" spans="1:30" x14ac:dyDescent="0.2">
      <c r="A52" s="18">
        <v>146</v>
      </c>
      <c r="B52" s="18">
        <v>1</v>
      </c>
      <c r="C52" s="3" t="s">
        <v>48</v>
      </c>
      <c r="D52" s="3">
        <f>Levy!F52</f>
        <v>558936.85</v>
      </c>
      <c r="E52" s="3">
        <f>Levy!G52</f>
        <v>47167.53</v>
      </c>
      <c r="F52" s="3">
        <f>Levy!H52</f>
        <v>0</v>
      </c>
      <c r="G52" s="3">
        <f>Levy!I52</f>
        <v>294190.15999999997</v>
      </c>
      <c r="H52" s="3">
        <f>Levy!J52</f>
        <v>57282.49</v>
      </c>
      <c r="I52" s="176">
        <v>0</v>
      </c>
      <c r="J52" s="177">
        <v>2000</v>
      </c>
      <c r="K52" s="177">
        <v>17525.61</v>
      </c>
      <c r="L52" s="177">
        <v>0</v>
      </c>
      <c r="M52" s="175">
        <v>0</v>
      </c>
      <c r="N52" s="175">
        <v>0</v>
      </c>
      <c r="O52" s="175">
        <v>0</v>
      </c>
      <c r="P52" s="177">
        <v>118.41</v>
      </c>
      <c r="Q52" s="177">
        <v>0</v>
      </c>
      <c r="R52" s="177">
        <v>-1057.98</v>
      </c>
      <c r="S52" s="177">
        <v>0</v>
      </c>
      <c r="T52" s="175">
        <v>0</v>
      </c>
      <c r="U52" s="175">
        <v>0</v>
      </c>
      <c r="V52" s="178">
        <v>0</v>
      </c>
      <c r="W52" s="178">
        <v>0</v>
      </c>
      <c r="X52" s="3">
        <v>0</v>
      </c>
      <c r="Y52" s="161">
        <v>47325.63</v>
      </c>
      <c r="Z52" s="3">
        <f t="shared" si="1"/>
        <v>18586.04</v>
      </c>
      <c r="AA52" s="3">
        <f t="shared" si="2"/>
        <v>322771.65000000002</v>
      </c>
      <c r="AB52" s="3">
        <f t="shared" si="4"/>
        <v>57282.49</v>
      </c>
      <c r="AC52" s="3">
        <f>ROUND(MAX(0,(D52-V52)*Shift11!$B$3),2)</f>
        <v>271643.31</v>
      </c>
      <c r="AD52" s="3">
        <f t="shared" si="3"/>
        <v>271643.31</v>
      </c>
    </row>
    <row r="53" spans="1:30" x14ac:dyDescent="0.2">
      <c r="A53" s="18">
        <v>150</v>
      </c>
      <c r="B53" s="18">
        <v>1</v>
      </c>
      <c r="C53" s="3" t="s">
        <v>49</v>
      </c>
      <c r="D53" s="3">
        <f>Levy!F53</f>
        <v>233809.56</v>
      </c>
      <c r="E53" s="3">
        <f>Levy!G53</f>
        <v>70197.17</v>
      </c>
      <c r="F53" s="3">
        <f>Levy!H53</f>
        <v>0</v>
      </c>
      <c r="G53" s="3">
        <f>Levy!I53</f>
        <v>227263.03</v>
      </c>
      <c r="H53" s="3">
        <f>Levy!J53</f>
        <v>31346.080000000002</v>
      </c>
      <c r="I53" s="176">
        <v>0</v>
      </c>
      <c r="J53" s="177">
        <v>15000</v>
      </c>
      <c r="K53" s="177">
        <v>19772.77</v>
      </c>
      <c r="L53" s="177">
        <v>0</v>
      </c>
      <c r="M53" s="175">
        <v>0</v>
      </c>
      <c r="N53" s="175">
        <v>0</v>
      </c>
      <c r="O53" s="175">
        <v>0</v>
      </c>
      <c r="P53" s="177">
        <v>33348.5</v>
      </c>
      <c r="Q53" s="177">
        <v>0</v>
      </c>
      <c r="R53" s="177">
        <v>-328</v>
      </c>
      <c r="S53" s="177">
        <v>0</v>
      </c>
      <c r="T53" s="175">
        <v>0</v>
      </c>
      <c r="U53" s="175">
        <v>0</v>
      </c>
      <c r="V53" s="178">
        <v>0</v>
      </c>
      <c r="W53" s="178">
        <v>0</v>
      </c>
      <c r="X53" s="3">
        <v>0</v>
      </c>
      <c r="Y53" s="161">
        <v>27885.64</v>
      </c>
      <c r="Z53" s="3">
        <f t="shared" si="1"/>
        <v>67793.27</v>
      </c>
      <c r="AA53" s="3">
        <f t="shared" si="2"/>
        <v>229666.93</v>
      </c>
      <c r="AB53" s="3">
        <f t="shared" si="4"/>
        <v>31346.080000000002</v>
      </c>
      <c r="AC53" s="3">
        <f>ROUND(MAX(0,(D53-V53)*Shift11!$B$3),2)</f>
        <v>113631.45</v>
      </c>
      <c r="AD53" s="3">
        <f t="shared" si="3"/>
        <v>113631.45</v>
      </c>
    </row>
    <row r="54" spans="1:30" x14ac:dyDescent="0.2">
      <c r="A54" s="18">
        <v>152</v>
      </c>
      <c r="B54" s="18">
        <v>1</v>
      </c>
      <c r="C54" s="3" t="s">
        <v>50</v>
      </c>
      <c r="D54" s="3">
        <f>Levy!F54</f>
        <v>4441679.2</v>
      </c>
      <c r="E54" s="3">
        <f>Levy!G54</f>
        <v>665660.11</v>
      </c>
      <c r="F54" s="3">
        <f>Levy!H54</f>
        <v>0</v>
      </c>
      <c r="G54" s="3">
        <f>Levy!I54</f>
        <v>1853170.33</v>
      </c>
      <c r="H54" s="3">
        <f>Levy!J54</f>
        <v>527353.30000000005</v>
      </c>
      <c r="I54" s="176">
        <v>0</v>
      </c>
      <c r="J54" s="177">
        <v>62466.75</v>
      </c>
      <c r="K54" s="177">
        <v>117157.49</v>
      </c>
      <c r="L54" s="177">
        <v>0</v>
      </c>
      <c r="M54" s="175">
        <v>0</v>
      </c>
      <c r="N54" s="175">
        <v>0</v>
      </c>
      <c r="O54" s="175">
        <v>0</v>
      </c>
      <c r="P54" s="177">
        <v>69476.13</v>
      </c>
      <c r="Q54" s="177">
        <v>0</v>
      </c>
      <c r="R54" s="177">
        <v>-3438.24</v>
      </c>
      <c r="S54" s="177">
        <v>0</v>
      </c>
      <c r="T54" s="175">
        <v>0</v>
      </c>
      <c r="U54" s="175">
        <v>0</v>
      </c>
      <c r="V54" s="178">
        <v>0</v>
      </c>
      <c r="W54" s="178">
        <v>0</v>
      </c>
      <c r="X54" s="3">
        <v>0</v>
      </c>
      <c r="Y54" s="161">
        <v>260799.18</v>
      </c>
      <c r="Z54" s="3">
        <f t="shared" si="1"/>
        <v>245662.13</v>
      </c>
      <c r="AA54" s="3">
        <f t="shared" si="2"/>
        <v>2273168.31</v>
      </c>
      <c r="AB54" s="3">
        <f t="shared" si="4"/>
        <v>527353.30000000005</v>
      </c>
      <c r="AC54" s="3">
        <f>ROUND(MAX(0,(D54-V54)*Shift11!$B$3),2)</f>
        <v>2158656.09</v>
      </c>
      <c r="AD54" s="3">
        <f t="shared" si="3"/>
        <v>2158656.09</v>
      </c>
    </row>
    <row r="55" spans="1:30" x14ac:dyDescent="0.2">
      <c r="A55" s="18">
        <v>162</v>
      </c>
      <c r="B55" s="18">
        <v>1</v>
      </c>
      <c r="C55" s="3" t="s">
        <v>51</v>
      </c>
      <c r="D55" s="3">
        <f>Levy!F55</f>
        <v>0</v>
      </c>
      <c r="E55" s="3">
        <f>Levy!G55</f>
        <v>102666</v>
      </c>
      <c r="F55" s="3">
        <f>Levy!H55</f>
        <v>0</v>
      </c>
      <c r="G55" s="3">
        <f>Levy!I55</f>
        <v>447541</v>
      </c>
      <c r="H55" s="3">
        <f>Levy!J55</f>
        <v>58459</v>
      </c>
      <c r="I55" s="176">
        <v>0</v>
      </c>
      <c r="J55" s="177">
        <v>30000</v>
      </c>
      <c r="K55" s="177">
        <v>24569.32</v>
      </c>
      <c r="L55" s="177">
        <v>0</v>
      </c>
      <c r="M55" s="175">
        <v>0</v>
      </c>
      <c r="N55" s="175">
        <v>0</v>
      </c>
      <c r="O55" s="175">
        <v>0</v>
      </c>
      <c r="P55" s="177">
        <v>12147.3</v>
      </c>
      <c r="Q55" s="177">
        <v>0</v>
      </c>
      <c r="R55" s="177">
        <v>0</v>
      </c>
      <c r="S55" s="177">
        <v>0</v>
      </c>
      <c r="T55" s="175">
        <v>0</v>
      </c>
      <c r="U55" s="175">
        <v>0</v>
      </c>
      <c r="V55" s="178">
        <v>0</v>
      </c>
      <c r="W55" s="178">
        <v>0</v>
      </c>
      <c r="X55" s="3">
        <v>0</v>
      </c>
      <c r="Y55" s="161">
        <v>0</v>
      </c>
      <c r="Z55" s="3">
        <f t="shared" si="1"/>
        <v>66716.62</v>
      </c>
      <c r="AA55" s="3">
        <f t="shared" si="2"/>
        <v>483490.38</v>
      </c>
      <c r="AB55" s="3">
        <f t="shared" si="4"/>
        <v>58459</v>
      </c>
      <c r="AC55" s="3">
        <f>ROUND(MAX(0,(D55-V55)*Shift11!$B$3),2)</f>
        <v>0</v>
      </c>
      <c r="AD55" s="3">
        <f t="shared" si="3"/>
        <v>0</v>
      </c>
    </row>
    <row r="56" spans="1:30" x14ac:dyDescent="0.2">
      <c r="A56" s="18">
        <v>166</v>
      </c>
      <c r="B56" s="18">
        <v>1</v>
      </c>
      <c r="C56" s="3" t="s">
        <v>52</v>
      </c>
      <c r="D56" s="3">
        <f>Levy!F56</f>
        <v>467194</v>
      </c>
      <c r="E56" s="3">
        <f>Levy!G56</f>
        <v>52549.37</v>
      </c>
      <c r="F56" s="3">
        <f>Levy!H56</f>
        <v>0</v>
      </c>
      <c r="G56" s="3">
        <f>Levy!I56</f>
        <v>0</v>
      </c>
      <c r="H56" s="3">
        <f>Levy!J56</f>
        <v>0</v>
      </c>
      <c r="I56" s="176">
        <v>0</v>
      </c>
      <c r="J56" s="177">
        <v>13000</v>
      </c>
      <c r="K56" s="177">
        <v>16458.02</v>
      </c>
      <c r="L56" s="177">
        <v>0</v>
      </c>
      <c r="M56" s="175">
        <v>0</v>
      </c>
      <c r="N56" s="175">
        <v>0</v>
      </c>
      <c r="O56" s="175">
        <v>0</v>
      </c>
      <c r="P56" s="177">
        <v>-1766.71</v>
      </c>
      <c r="Q56" s="177">
        <v>0</v>
      </c>
      <c r="R56" s="177">
        <v>-770.7</v>
      </c>
      <c r="S56" s="177">
        <v>0</v>
      </c>
      <c r="T56" s="175">
        <v>0</v>
      </c>
      <c r="U56" s="175">
        <v>0</v>
      </c>
      <c r="V56" s="178">
        <v>0</v>
      </c>
      <c r="W56" s="178">
        <v>0</v>
      </c>
      <c r="X56" s="3">
        <v>0</v>
      </c>
      <c r="Y56" s="161">
        <v>32084.66</v>
      </c>
      <c r="Z56" s="3">
        <f t="shared" si="1"/>
        <v>26920.61</v>
      </c>
      <c r="AA56" s="3">
        <f t="shared" si="2"/>
        <v>25628.76</v>
      </c>
      <c r="AB56" s="3">
        <f t="shared" si="4"/>
        <v>0</v>
      </c>
      <c r="AC56" s="3">
        <f>ROUND(MAX(0,(D56-V56)*Shift11!$B$3),2)</f>
        <v>227056.28</v>
      </c>
      <c r="AD56" s="3">
        <f t="shared" si="3"/>
        <v>227056.28</v>
      </c>
    </row>
    <row r="57" spans="1:30" x14ac:dyDescent="0.2">
      <c r="A57" s="18">
        <v>173</v>
      </c>
      <c r="B57" s="18">
        <v>1</v>
      </c>
      <c r="C57" s="3" t="s">
        <v>53</v>
      </c>
      <c r="D57" s="3">
        <f>Levy!F57</f>
        <v>547545</v>
      </c>
      <c r="E57" s="3">
        <f>Levy!G57</f>
        <v>12502</v>
      </c>
      <c r="F57" s="3">
        <f>Levy!H57</f>
        <v>0</v>
      </c>
      <c r="G57" s="3">
        <f>Levy!I57</f>
        <v>225357</v>
      </c>
      <c r="H57" s="3">
        <f>Levy!J57</f>
        <v>47044</v>
      </c>
      <c r="I57" s="176">
        <v>0</v>
      </c>
      <c r="J57" s="177">
        <v>1000</v>
      </c>
      <c r="K57" s="177">
        <v>18731.060000000001</v>
      </c>
      <c r="L57" s="177">
        <v>0</v>
      </c>
      <c r="M57" s="175">
        <v>0</v>
      </c>
      <c r="N57" s="175">
        <v>0</v>
      </c>
      <c r="O57" s="175">
        <v>0</v>
      </c>
      <c r="P57" s="177">
        <v>1260.1500000000001</v>
      </c>
      <c r="Q57" s="177">
        <v>0</v>
      </c>
      <c r="R57" s="177">
        <v>0</v>
      </c>
      <c r="S57" s="177">
        <v>0</v>
      </c>
      <c r="T57" s="175">
        <v>0</v>
      </c>
      <c r="U57" s="175">
        <v>0</v>
      </c>
      <c r="V57" s="178">
        <v>0</v>
      </c>
      <c r="W57" s="178">
        <v>0</v>
      </c>
      <c r="X57" s="3">
        <v>4153.8</v>
      </c>
      <c r="Y57" s="161">
        <v>90731.14</v>
      </c>
      <c r="Z57" s="3">
        <f t="shared" si="1"/>
        <v>20991.210000000003</v>
      </c>
      <c r="AA57" s="3">
        <f t="shared" si="2"/>
        <v>212713.99</v>
      </c>
      <c r="AB57" s="3">
        <f t="shared" si="4"/>
        <v>47044</v>
      </c>
      <c r="AC57" s="3">
        <f>ROUND(MAX(0,(D57-V57)*Shift11!$B$3),2)</f>
        <v>266106.87</v>
      </c>
      <c r="AD57" s="3">
        <f t="shared" si="3"/>
        <v>266106.87</v>
      </c>
    </row>
    <row r="58" spans="1:30" x14ac:dyDescent="0.2">
      <c r="A58" s="18">
        <v>177</v>
      </c>
      <c r="B58" s="18">
        <v>1</v>
      </c>
      <c r="C58" s="3" t="s">
        <v>54</v>
      </c>
      <c r="D58" s="3">
        <f>Levy!F58</f>
        <v>1083178</v>
      </c>
      <c r="E58" s="3">
        <f>Levy!G58</f>
        <v>41732</v>
      </c>
      <c r="F58" s="3">
        <f>Levy!H58</f>
        <v>0</v>
      </c>
      <c r="G58" s="3">
        <f>Levy!I58</f>
        <v>484619</v>
      </c>
      <c r="H58" s="3">
        <f>Levy!J58</f>
        <v>76114</v>
      </c>
      <c r="I58" s="176">
        <v>0</v>
      </c>
      <c r="J58" s="177">
        <v>4000</v>
      </c>
      <c r="K58" s="177">
        <v>24441.18</v>
      </c>
      <c r="L58" s="177">
        <v>0</v>
      </c>
      <c r="M58" s="175">
        <v>0</v>
      </c>
      <c r="N58" s="175">
        <v>0</v>
      </c>
      <c r="O58" s="175">
        <v>0</v>
      </c>
      <c r="P58" s="177">
        <v>8014.26</v>
      </c>
      <c r="Q58" s="177">
        <v>-12014.26</v>
      </c>
      <c r="R58" s="177">
        <v>-4089.64</v>
      </c>
      <c r="S58" s="177">
        <v>0</v>
      </c>
      <c r="T58" s="175">
        <v>0</v>
      </c>
      <c r="U58" s="175">
        <v>0</v>
      </c>
      <c r="V58" s="178">
        <v>0</v>
      </c>
      <c r="W58" s="178">
        <v>0</v>
      </c>
      <c r="X58" s="3">
        <v>7877.23</v>
      </c>
      <c r="Y58" s="161">
        <v>79181.69</v>
      </c>
      <c r="Z58" s="3">
        <f t="shared" si="1"/>
        <v>20351.54</v>
      </c>
      <c r="AA58" s="3">
        <f t="shared" si="2"/>
        <v>498122.23</v>
      </c>
      <c r="AB58" s="3">
        <f t="shared" si="4"/>
        <v>76114</v>
      </c>
      <c r="AC58" s="3">
        <f>ROUND(MAX(0,(D58-V58)*Shift11!$B$3),2)</f>
        <v>526424.51</v>
      </c>
      <c r="AD58" s="3">
        <f t="shared" si="3"/>
        <v>526424.51</v>
      </c>
    </row>
    <row r="59" spans="1:30" x14ac:dyDescent="0.2">
      <c r="A59" s="18">
        <v>181</v>
      </c>
      <c r="B59" s="18">
        <v>1</v>
      </c>
      <c r="C59" s="3" t="s">
        <v>55</v>
      </c>
      <c r="D59" s="3">
        <f>Levy!F59</f>
        <v>2868106.13</v>
      </c>
      <c r="E59" s="3">
        <f>Levy!G59</f>
        <v>882213.05</v>
      </c>
      <c r="F59" s="3">
        <f>Levy!H59</f>
        <v>0</v>
      </c>
      <c r="G59" s="3">
        <f>Levy!I59</f>
        <v>3625519.6</v>
      </c>
      <c r="H59" s="3">
        <f>Levy!J59</f>
        <v>600149.41</v>
      </c>
      <c r="I59" s="176">
        <v>0</v>
      </c>
      <c r="J59" s="177">
        <v>60000</v>
      </c>
      <c r="K59" s="177">
        <v>285310.28999999998</v>
      </c>
      <c r="L59" s="177">
        <v>0</v>
      </c>
      <c r="M59" s="175">
        <v>0</v>
      </c>
      <c r="N59" s="175">
        <v>0</v>
      </c>
      <c r="O59" s="175">
        <v>0</v>
      </c>
      <c r="P59" s="177">
        <v>-24892.74</v>
      </c>
      <c r="Q59" s="177">
        <v>0</v>
      </c>
      <c r="R59" s="177">
        <v>0</v>
      </c>
      <c r="S59" s="177">
        <v>0</v>
      </c>
      <c r="T59" s="175">
        <v>0</v>
      </c>
      <c r="U59" s="175">
        <v>0</v>
      </c>
      <c r="V59" s="178">
        <v>0</v>
      </c>
      <c r="W59" s="178">
        <v>0</v>
      </c>
      <c r="X59" s="3">
        <v>0</v>
      </c>
      <c r="Y59" s="161">
        <v>381870.54</v>
      </c>
      <c r="Z59" s="3">
        <f t="shared" si="1"/>
        <v>320417.55</v>
      </c>
      <c r="AA59" s="3">
        <f t="shared" si="2"/>
        <v>4187315.1</v>
      </c>
      <c r="AB59" s="3">
        <f t="shared" si="4"/>
        <v>600149.41</v>
      </c>
      <c r="AC59" s="3">
        <f>ROUND(MAX(0,(D59-V59)*Shift11!$B$3),2)</f>
        <v>1393899.58</v>
      </c>
      <c r="AD59" s="3">
        <f t="shared" si="3"/>
        <v>1393899.58</v>
      </c>
    </row>
    <row r="60" spans="1:30" x14ac:dyDescent="0.2">
      <c r="A60" s="18">
        <v>182</v>
      </c>
      <c r="B60" s="18">
        <v>1</v>
      </c>
      <c r="C60" s="3" t="s">
        <v>56</v>
      </c>
      <c r="D60" s="3">
        <f>Levy!F60</f>
        <v>647152.22</v>
      </c>
      <c r="E60" s="3">
        <f>Levy!G60</f>
        <v>161778.38</v>
      </c>
      <c r="F60" s="3">
        <f>Levy!H60</f>
        <v>0</v>
      </c>
      <c r="G60" s="3">
        <f>Levy!I60</f>
        <v>502207.41</v>
      </c>
      <c r="H60" s="3">
        <f>Levy!J60</f>
        <v>3565.76</v>
      </c>
      <c r="I60" s="176">
        <v>0</v>
      </c>
      <c r="J60" s="177">
        <v>20000</v>
      </c>
      <c r="K60" s="177">
        <v>32128.1</v>
      </c>
      <c r="L60" s="177">
        <v>0</v>
      </c>
      <c r="M60" s="175">
        <v>0</v>
      </c>
      <c r="N60" s="175">
        <v>0</v>
      </c>
      <c r="O60" s="175">
        <v>0</v>
      </c>
      <c r="P60" s="177">
        <v>-1569.12</v>
      </c>
      <c r="Q60" s="177">
        <v>0</v>
      </c>
      <c r="R60" s="177">
        <v>0</v>
      </c>
      <c r="S60" s="177">
        <v>0</v>
      </c>
      <c r="T60" s="175">
        <v>0</v>
      </c>
      <c r="U60" s="175">
        <v>0</v>
      </c>
      <c r="V60" s="178">
        <v>0</v>
      </c>
      <c r="W60" s="178">
        <v>0</v>
      </c>
      <c r="X60" s="3">
        <v>0</v>
      </c>
      <c r="Y60" s="161">
        <v>41830.449999999997</v>
      </c>
      <c r="Z60" s="3">
        <f t="shared" si="1"/>
        <v>50558.979999999996</v>
      </c>
      <c r="AA60" s="3">
        <f t="shared" si="2"/>
        <v>613426.81000000006</v>
      </c>
      <c r="AB60" s="3">
        <f t="shared" si="4"/>
        <v>3565.76</v>
      </c>
      <c r="AC60" s="3">
        <f>ROUND(MAX(0,(D60-V60)*Shift11!$B$3),2)</f>
        <v>314515.98</v>
      </c>
      <c r="AD60" s="3">
        <f t="shared" si="3"/>
        <v>314515.98</v>
      </c>
    </row>
    <row r="61" spans="1:30" x14ac:dyDescent="0.2">
      <c r="A61" s="18">
        <v>186</v>
      </c>
      <c r="B61" s="18">
        <v>1</v>
      </c>
      <c r="C61" s="3" t="s">
        <v>57</v>
      </c>
      <c r="D61" s="3">
        <f>Levy!F61</f>
        <v>19941.05</v>
      </c>
      <c r="E61" s="3">
        <f>Levy!G61</f>
        <v>350942.09</v>
      </c>
      <c r="F61" s="3">
        <f>Levy!H61</f>
        <v>0</v>
      </c>
      <c r="G61" s="3">
        <f>Levy!I61</f>
        <v>558100.18000000005</v>
      </c>
      <c r="H61" s="3">
        <f>Levy!J61</f>
        <v>180241.19</v>
      </c>
      <c r="I61" s="176">
        <v>0</v>
      </c>
      <c r="J61" s="177">
        <v>30000</v>
      </c>
      <c r="K61" s="177">
        <v>38824.17</v>
      </c>
      <c r="L61" s="177">
        <v>0</v>
      </c>
      <c r="M61" s="175">
        <v>0</v>
      </c>
      <c r="N61" s="175">
        <v>0</v>
      </c>
      <c r="O61" s="175">
        <v>0</v>
      </c>
      <c r="P61" s="177">
        <v>9556.58</v>
      </c>
      <c r="Q61" s="177">
        <v>0</v>
      </c>
      <c r="R61" s="177">
        <v>-2243.1999999999998</v>
      </c>
      <c r="S61" s="177">
        <v>0</v>
      </c>
      <c r="T61" s="175">
        <v>0</v>
      </c>
      <c r="U61" s="175">
        <v>0</v>
      </c>
      <c r="V61" s="178">
        <v>0</v>
      </c>
      <c r="W61" s="178">
        <v>0</v>
      </c>
      <c r="X61" s="3">
        <v>0</v>
      </c>
      <c r="Y61" s="161">
        <v>0</v>
      </c>
      <c r="Z61" s="3">
        <f t="shared" si="1"/>
        <v>76137.55</v>
      </c>
      <c r="AA61" s="3">
        <f t="shared" si="2"/>
        <v>832904.72</v>
      </c>
      <c r="AB61" s="3">
        <f t="shared" si="4"/>
        <v>180241.19</v>
      </c>
      <c r="AC61" s="3">
        <f>ROUND(MAX(0,(D61-V61)*Shift11!$B$3),2)</f>
        <v>9691.35</v>
      </c>
      <c r="AD61" s="3">
        <f t="shared" si="3"/>
        <v>9691.35</v>
      </c>
    </row>
    <row r="62" spans="1:30" x14ac:dyDescent="0.2">
      <c r="A62" s="18">
        <v>191</v>
      </c>
      <c r="B62" s="18">
        <v>1</v>
      </c>
      <c r="C62" s="3" t="s">
        <v>58</v>
      </c>
      <c r="D62" s="3">
        <f>Levy!F62</f>
        <v>17904125</v>
      </c>
      <c r="E62" s="3">
        <f>Levy!G62</f>
        <v>1042726</v>
      </c>
      <c r="F62" s="3">
        <f>Levy!H62</f>
        <v>0</v>
      </c>
      <c r="G62" s="3">
        <f>Levy!I62</f>
        <v>3981163</v>
      </c>
      <c r="H62" s="3">
        <f>Levy!J62</f>
        <v>1006163</v>
      </c>
      <c r="I62" s="176">
        <v>0</v>
      </c>
      <c r="J62" s="177">
        <v>300000</v>
      </c>
      <c r="K62" s="177">
        <v>242452.15</v>
      </c>
      <c r="L62" s="177">
        <v>0</v>
      </c>
      <c r="M62" s="175">
        <v>0</v>
      </c>
      <c r="N62" s="175">
        <v>0</v>
      </c>
      <c r="O62" s="175">
        <v>0</v>
      </c>
      <c r="P62" s="177">
        <v>152004.04999999999</v>
      </c>
      <c r="Q62" s="177">
        <v>0</v>
      </c>
      <c r="R62" s="177">
        <v>0</v>
      </c>
      <c r="S62" s="177">
        <v>0</v>
      </c>
      <c r="T62" s="175">
        <v>0</v>
      </c>
      <c r="U62" s="175">
        <v>0</v>
      </c>
      <c r="V62" s="178">
        <v>0</v>
      </c>
      <c r="W62" s="178">
        <v>0</v>
      </c>
      <c r="X62" s="3">
        <v>0</v>
      </c>
      <c r="Y62" s="161">
        <v>3269341.23</v>
      </c>
      <c r="Z62" s="3">
        <f t="shared" si="1"/>
        <v>694456.2</v>
      </c>
      <c r="AA62" s="3">
        <f t="shared" si="2"/>
        <v>4329432.8</v>
      </c>
      <c r="AB62" s="3">
        <f t="shared" si="4"/>
        <v>1006163</v>
      </c>
      <c r="AC62" s="3">
        <f>ROUND(MAX(0,(D62-V62)*Shift11!$B$3),2)</f>
        <v>8701404.75</v>
      </c>
      <c r="AD62" s="3">
        <f t="shared" si="3"/>
        <v>8701404.75</v>
      </c>
    </row>
    <row r="63" spans="1:30" x14ac:dyDescent="0.2">
      <c r="A63" s="18">
        <v>192</v>
      </c>
      <c r="B63" s="18">
        <v>1</v>
      </c>
      <c r="C63" s="3" t="s">
        <v>59</v>
      </c>
      <c r="D63" s="3">
        <f>Levy!F63</f>
        <v>3260543</v>
      </c>
      <c r="E63" s="3">
        <f>Levy!G63</f>
        <v>592123</v>
      </c>
      <c r="F63" s="3">
        <f>Levy!H63</f>
        <v>0</v>
      </c>
      <c r="G63" s="3">
        <f>Levy!I63</f>
        <v>2165197</v>
      </c>
      <c r="H63" s="3">
        <f>Levy!J63</f>
        <v>455640</v>
      </c>
      <c r="I63" s="176">
        <v>0</v>
      </c>
      <c r="J63" s="177">
        <v>95000</v>
      </c>
      <c r="K63" s="177">
        <v>124585.81</v>
      </c>
      <c r="L63" s="177">
        <v>0</v>
      </c>
      <c r="M63" s="175">
        <v>0</v>
      </c>
      <c r="N63" s="175">
        <v>0</v>
      </c>
      <c r="O63" s="175">
        <v>0</v>
      </c>
      <c r="P63" s="177">
        <v>31350.54</v>
      </c>
      <c r="Q63" s="177">
        <v>0</v>
      </c>
      <c r="R63" s="177">
        <v>-5480.8</v>
      </c>
      <c r="S63" s="177">
        <v>0</v>
      </c>
      <c r="T63" s="175">
        <v>0</v>
      </c>
      <c r="U63" s="175">
        <v>0</v>
      </c>
      <c r="V63" s="178">
        <v>0</v>
      </c>
      <c r="W63" s="178">
        <v>0</v>
      </c>
      <c r="X63" s="3">
        <v>34108.79</v>
      </c>
      <c r="Y63" s="161">
        <v>497003.31</v>
      </c>
      <c r="Z63" s="3">
        <f t="shared" si="1"/>
        <v>245455.55000000002</v>
      </c>
      <c r="AA63" s="3">
        <f t="shared" si="2"/>
        <v>2477755.66</v>
      </c>
      <c r="AB63" s="3">
        <f t="shared" si="4"/>
        <v>455640</v>
      </c>
      <c r="AC63" s="3">
        <f>ROUND(MAX(0,(D63-V63)*Shift11!$B$3),2)</f>
        <v>1584623.9</v>
      </c>
      <c r="AD63" s="3">
        <f t="shared" si="3"/>
        <v>1584623.9</v>
      </c>
    </row>
    <row r="64" spans="1:30" x14ac:dyDescent="0.2">
      <c r="A64" s="18">
        <v>194</v>
      </c>
      <c r="B64" s="18">
        <v>1</v>
      </c>
      <c r="C64" s="3" t="s">
        <v>60</v>
      </c>
      <c r="D64" s="3">
        <f>Levy!F64</f>
        <v>10692870</v>
      </c>
      <c r="E64" s="3">
        <f>Levy!G64</f>
        <v>1194953</v>
      </c>
      <c r="F64" s="3">
        <f>Levy!H64</f>
        <v>0</v>
      </c>
      <c r="G64" s="3">
        <f>Levy!I64</f>
        <v>3394496</v>
      </c>
      <c r="H64" s="3">
        <f>Levy!J64</f>
        <v>1119156</v>
      </c>
      <c r="I64" s="176">
        <v>0</v>
      </c>
      <c r="J64" s="177">
        <v>150000</v>
      </c>
      <c r="K64" s="177">
        <v>214459.9</v>
      </c>
      <c r="L64" s="177">
        <v>0</v>
      </c>
      <c r="M64" s="175">
        <v>0</v>
      </c>
      <c r="N64" s="175">
        <v>0</v>
      </c>
      <c r="O64" s="175">
        <v>0</v>
      </c>
      <c r="P64" s="177">
        <v>59480.58</v>
      </c>
      <c r="Q64" s="177">
        <v>0</v>
      </c>
      <c r="R64" s="177">
        <v>697.11</v>
      </c>
      <c r="S64" s="177">
        <v>0</v>
      </c>
      <c r="T64" s="175">
        <v>0</v>
      </c>
      <c r="U64" s="175">
        <v>0</v>
      </c>
      <c r="V64" s="178">
        <v>0</v>
      </c>
      <c r="W64" s="178">
        <v>0</v>
      </c>
      <c r="X64" s="3">
        <v>230506.25</v>
      </c>
      <c r="Y64" s="161">
        <v>2328572.5699999998</v>
      </c>
      <c r="Z64" s="3">
        <f t="shared" si="1"/>
        <v>424637.59</v>
      </c>
      <c r="AA64" s="3">
        <f t="shared" si="2"/>
        <v>3934305.16</v>
      </c>
      <c r="AB64" s="3">
        <f t="shared" si="4"/>
        <v>1119156</v>
      </c>
      <c r="AC64" s="3">
        <f>ROUND(MAX(0,(D64-V64)*Shift11!$B$3),2)</f>
        <v>5196734.82</v>
      </c>
      <c r="AD64" s="3">
        <f t="shared" si="3"/>
        <v>5196734.82</v>
      </c>
    </row>
    <row r="65" spans="1:30" x14ac:dyDescent="0.2">
      <c r="A65" s="18">
        <v>195</v>
      </c>
      <c r="B65" s="18">
        <v>1</v>
      </c>
      <c r="C65" s="3" t="s">
        <v>61</v>
      </c>
      <c r="D65" s="3">
        <f>Levy!F65</f>
        <v>172498</v>
      </c>
      <c r="E65" s="3">
        <f>Levy!G65</f>
        <v>92614</v>
      </c>
      <c r="F65" s="3">
        <f>Levy!H65</f>
        <v>0</v>
      </c>
      <c r="G65" s="3">
        <f>Levy!I65</f>
        <v>184918</v>
      </c>
      <c r="H65" s="3">
        <f>Levy!J65</f>
        <v>34124</v>
      </c>
      <c r="I65" s="176">
        <v>0</v>
      </c>
      <c r="J65" s="177">
        <v>5000</v>
      </c>
      <c r="K65" s="177">
        <v>13020.09</v>
      </c>
      <c r="L65" s="177">
        <v>0</v>
      </c>
      <c r="M65" s="175">
        <v>0</v>
      </c>
      <c r="N65" s="175">
        <v>0</v>
      </c>
      <c r="O65" s="175">
        <v>0</v>
      </c>
      <c r="P65" s="177">
        <v>3944.47</v>
      </c>
      <c r="Q65" s="177">
        <v>0</v>
      </c>
      <c r="R65" s="177">
        <v>-413.6</v>
      </c>
      <c r="S65" s="177">
        <v>0</v>
      </c>
      <c r="T65" s="175">
        <v>0</v>
      </c>
      <c r="U65" s="175">
        <v>0</v>
      </c>
      <c r="V65" s="178">
        <v>0</v>
      </c>
      <c r="W65" s="178">
        <v>0</v>
      </c>
      <c r="X65" s="3">
        <v>0</v>
      </c>
      <c r="Y65" s="161">
        <v>139518.71</v>
      </c>
      <c r="Z65" s="3">
        <f t="shared" si="1"/>
        <v>21550.960000000003</v>
      </c>
      <c r="AA65" s="3">
        <f t="shared" si="2"/>
        <v>255981.04</v>
      </c>
      <c r="AB65" s="3">
        <f t="shared" si="4"/>
        <v>34124</v>
      </c>
      <c r="AC65" s="3">
        <f>ROUND(MAX(0,(D65-V65)*Shift11!$B$3),2)</f>
        <v>83834.03</v>
      </c>
      <c r="AD65" s="3">
        <f t="shared" si="3"/>
        <v>139518.71</v>
      </c>
    </row>
    <row r="66" spans="1:30" x14ac:dyDescent="0.2">
      <c r="A66" s="18">
        <v>196</v>
      </c>
      <c r="B66" s="18">
        <v>1</v>
      </c>
      <c r="C66" s="3" t="s">
        <v>62</v>
      </c>
      <c r="D66" s="3">
        <f>Levy!F66</f>
        <v>30592503</v>
      </c>
      <c r="E66" s="3">
        <f>Levy!G66</f>
        <v>3261441</v>
      </c>
      <c r="F66" s="3">
        <f>Levy!H66</f>
        <v>1350616</v>
      </c>
      <c r="G66" s="3">
        <f>Levy!I66</f>
        <v>19472825</v>
      </c>
      <c r="H66" s="3">
        <f>Levy!J66</f>
        <v>1648097</v>
      </c>
      <c r="I66" s="176">
        <v>0</v>
      </c>
      <c r="J66" s="177">
        <v>450000</v>
      </c>
      <c r="K66" s="177">
        <v>620681.89</v>
      </c>
      <c r="L66" s="177">
        <v>0</v>
      </c>
      <c r="M66" s="175">
        <v>0</v>
      </c>
      <c r="N66" s="175">
        <v>0</v>
      </c>
      <c r="O66" s="175">
        <v>0</v>
      </c>
      <c r="P66" s="177">
        <v>155396.10999999999</v>
      </c>
      <c r="Q66" s="177">
        <v>0</v>
      </c>
      <c r="R66" s="177">
        <v>-86894.77</v>
      </c>
      <c r="S66" s="177">
        <v>0</v>
      </c>
      <c r="T66" s="175">
        <v>0</v>
      </c>
      <c r="U66" s="175">
        <v>0</v>
      </c>
      <c r="V66" s="178">
        <v>0</v>
      </c>
      <c r="W66" s="178">
        <v>0</v>
      </c>
      <c r="X66" s="3">
        <v>0</v>
      </c>
      <c r="Y66" s="161">
        <v>2902781.6</v>
      </c>
      <c r="Z66" s="3">
        <f t="shared" si="1"/>
        <v>1139183.23</v>
      </c>
      <c r="AA66" s="3">
        <f t="shared" si="2"/>
        <v>22945698.77</v>
      </c>
      <c r="AB66" s="3">
        <f t="shared" si="4"/>
        <v>1648097</v>
      </c>
      <c r="AC66" s="3">
        <f>ROUND(MAX(0,(D66-V66)*Shift11!$B$3),2)</f>
        <v>14867956.460000001</v>
      </c>
      <c r="AD66" s="3">
        <f t="shared" si="3"/>
        <v>14867956.460000001</v>
      </c>
    </row>
    <row r="67" spans="1:30" x14ac:dyDescent="0.2">
      <c r="A67" s="18">
        <v>197</v>
      </c>
      <c r="B67" s="18">
        <v>1</v>
      </c>
      <c r="C67" s="3" t="s">
        <v>63</v>
      </c>
      <c r="D67" s="3">
        <f>Levy!F67</f>
        <v>8645274</v>
      </c>
      <c r="E67" s="3">
        <f>Levy!G67</f>
        <v>317844</v>
      </c>
      <c r="F67" s="3">
        <f>Levy!H67</f>
        <v>490000</v>
      </c>
      <c r="G67" s="3">
        <f>Levy!I67</f>
        <v>2705611</v>
      </c>
      <c r="H67" s="3">
        <f>Levy!J67</f>
        <v>777487</v>
      </c>
      <c r="I67" s="176">
        <v>0</v>
      </c>
      <c r="J67" s="177">
        <v>75000</v>
      </c>
      <c r="K67" s="177">
        <v>85556.04</v>
      </c>
      <c r="L67" s="177">
        <v>0</v>
      </c>
      <c r="M67" s="175">
        <v>0</v>
      </c>
      <c r="N67" s="175">
        <v>0</v>
      </c>
      <c r="O67" s="175">
        <v>0</v>
      </c>
      <c r="P67" s="177">
        <v>587.41999999999996</v>
      </c>
      <c r="Q67" s="177">
        <v>0</v>
      </c>
      <c r="R67" s="177">
        <v>0</v>
      </c>
      <c r="S67" s="177">
        <v>0</v>
      </c>
      <c r="T67" s="175">
        <v>0</v>
      </c>
      <c r="U67" s="175">
        <v>0</v>
      </c>
      <c r="V67" s="178">
        <v>0</v>
      </c>
      <c r="W67" s="178">
        <v>0</v>
      </c>
      <c r="X67" s="3">
        <v>0</v>
      </c>
      <c r="Y67" s="161">
        <v>1798011.75</v>
      </c>
      <c r="Z67" s="3">
        <f t="shared" si="1"/>
        <v>161143.46</v>
      </c>
      <c r="AA67" s="3">
        <f t="shared" si="2"/>
        <v>3352311.54</v>
      </c>
      <c r="AB67" s="3">
        <f t="shared" si="4"/>
        <v>777487</v>
      </c>
      <c r="AC67" s="3">
        <f>ROUND(MAX(0,(D67-V67)*Shift11!$B$3),2)</f>
        <v>4201603.16</v>
      </c>
      <c r="AD67" s="3">
        <f t="shared" si="3"/>
        <v>4201603.16</v>
      </c>
    </row>
    <row r="68" spans="1:30" x14ac:dyDescent="0.2">
      <c r="A68" s="18">
        <v>199</v>
      </c>
      <c r="B68" s="18">
        <v>1</v>
      </c>
      <c r="C68" s="3" t="s">
        <v>64</v>
      </c>
      <c r="D68" s="3">
        <f>Levy!F68</f>
        <v>4196784</v>
      </c>
      <c r="E68" s="3">
        <f>Levy!G68</f>
        <v>452060</v>
      </c>
      <c r="F68" s="3">
        <f>Levy!H68</f>
        <v>0</v>
      </c>
      <c r="G68" s="3">
        <f>Levy!I68</f>
        <v>2568245</v>
      </c>
      <c r="H68" s="3">
        <f>Levy!J68</f>
        <v>502333</v>
      </c>
      <c r="I68" s="176">
        <v>0</v>
      </c>
      <c r="J68" s="177">
        <v>89850</v>
      </c>
      <c r="K68" s="177">
        <v>87019.6</v>
      </c>
      <c r="L68" s="177">
        <v>0</v>
      </c>
      <c r="M68" s="175">
        <v>0</v>
      </c>
      <c r="N68" s="175">
        <v>0</v>
      </c>
      <c r="O68" s="175">
        <v>0</v>
      </c>
      <c r="P68" s="177">
        <v>40832.78</v>
      </c>
      <c r="Q68" s="177">
        <v>0</v>
      </c>
      <c r="R68" s="177">
        <v>-2193.6</v>
      </c>
      <c r="S68" s="177">
        <v>0</v>
      </c>
      <c r="T68" s="175">
        <v>0</v>
      </c>
      <c r="U68" s="175">
        <v>0</v>
      </c>
      <c r="V68" s="178">
        <v>0</v>
      </c>
      <c r="W68" s="178">
        <v>0</v>
      </c>
      <c r="X68" s="3">
        <v>29000.73</v>
      </c>
      <c r="Y68" s="161">
        <v>996898.87</v>
      </c>
      <c r="Z68" s="3">
        <f t="shared" si="1"/>
        <v>215508.78</v>
      </c>
      <c r="AA68" s="3">
        <f t="shared" si="2"/>
        <v>2775795.49</v>
      </c>
      <c r="AB68" s="3">
        <f t="shared" si="4"/>
        <v>502333</v>
      </c>
      <c r="AC68" s="3">
        <f>ROUND(MAX(0,(D68-V68)*Shift11!$B$3),2)</f>
        <v>2039637.02</v>
      </c>
      <c r="AD68" s="3">
        <f t="shared" si="3"/>
        <v>2039637.02</v>
      </c>
    </row>
    <row r="69" spans="1:30" x14ac:dyDescent="0.2">
      <c r="A69" s="18">
        <v>200</v>
      </c>
      <c r="B69" s="18">
        <v>1</v>
      </c>
      <c r="C69" s="3" t="s">
        <v>65</v>
      </c>
      <c r="D69" s="3">
        <f>Levy!F69</f>
        <v>7905943</v>
      </c>
      <c r="E69" s="3">
        <f>Levy!G69</f>
        <v>415708</v>
      </c>
      <c r="F69" s="3">
        <f>Levy!H69</f>
        <v>0</v>
      </c>
      <c r="G69" s="3">
        <f>Levy!I69</f>
        <v>2313576</v>
      </c>
      <c r="H69" s="3">
        <f>Levy!J69</f>
        <v>436612</v>
      </c>
      <c r="I69" s="176">
        <v>0</v>
      </c>
      <c r="J69" s="177">
        <v>54544</v>
      </c>
      <c r="K69" s="177">
        <v>58855.63</v>
      </c>
      <c r="L69" s="177">
        <v>0</v>
      </c>
      <c r="M69" s="175">
        <v>0</v>
      </c>
      <c r="N69" s="175">
        <v>0</v>
      </c>
      <c r="O69" s="175">
        <v>0</v>
      </c>
      <c r="P69" s="177">
        <v>15714.4</v>
      </c>
      <c r="Q69" s="177">
        <v>0</v>
      </c>
      <c r="R69" s="177">
        <v>-6146.95</v>
      </c>
      <c r="S69" s="177">
        <v>0</v>
      </c>
      <c r="T69" s="175">
        <v>0</v>
      </c>
      <c r="U69" s="175">
        <v>0</v>
      </c>
      <c r="V69" s="178">
        <v>0</v>
      </c>
      <c r="W69" s="178">
        <v>0</v>
      </c>
      <c r="X69" s="3">
        <v>43073.06</v>
      </c>
      <c r="Y69" s="161">
        <v>552049.56000000006</v>
      </c>
      <c r="Z69" s="3">
        <f t="shared" si="1"/>
        <v>122967.08</v>
      </c>
      <c r="AA69" s="3">
        <f t="shared" si="2"/>
        <v>2563243.86</v>
      </c>
      <c r="AB69" s="3">
        <f t="shared" si="4"/>
        <v>436612</v>
      </c>
      <c r="AC69" s="3">
        <f>ROUND(MAX(0,(D69-V69)*Shift11!$B$3),2)</f>
        <v>3842288.3</v>
      </c>
      <c r="AD69" s="3">
        <f t="shared" si="3"/>
        <v>3842288.3</v>
      </c>
    </row>
    <row r="70" spans="1:30" x14ac:dyDescent="0.2">
      <c r="A70" s="18">
        <v>203</v>
      </c>
      <c r="B70" s="18">
        <v>1</v>
      </c>
      <c r="C70" s="3" t="s">
        <v>66</v>
      </c>
      <c r="D70" s="3">
        <f>Levy!F70</f>
        <v>589167.11</v>
      </c>
      <c r="E70" s="3">
        <f>Levy!G70</f>
        <v>47917.55</v>
      </c>
      <c r="F70" s="3">
        <f>Levy!H70</f>
        <v>0</v>
      </c>
      <c r="G70" s="3">
        <f>Levy!I70</f>
        <v>359401.2</v>
      </c>
      <c r="H70" s="3">
        <f>Levy!J70</f>
        <v>67357.8</v>
      </c>
      <c r="I70" s="176">
        <v>0</v>
      </c>
      <c r="J70" s="177">
        <v>8000</v>
      </c>
      <c r="K70" s="177">
        <v>18453.22</v>
      </c>
      <c r="L70" s="177">
        <v>0</v>
      </c>
      <c r="M70" s="175">
        <v>0</v>
      </c>
      <c r="N70" s="175">
        <v>0</v>
      </c>
      <c r="O70" s="175">
        <v>0</v>
      </c>
      <c r="P70" s="177">
        <v>6308.26</v>
      </c>
      <c r="Q70" s="177">
        <v>0</v>
      </c>
      <c r="R70" s="177">
        <v>201.6</v>
      </c>
      <c r="S70" s="177">
        <v>0</v>
      </c>
      <c r="T70" s="175">
        <v>0</v>
      </c>
      <c r="U70" s="175">
        <v>0</v>
      </c>
      <c r="V70" s="178">
        <v>0</v>
      </c>
      <c r="W70" s="178">
        <v>0</v>
      </c>
      <c r="X70" s="3">
        <v>0</v>
      </c>
      <c r="Y70" s="161">
        <v>0</v>
      </c>
      <c r="Z70" s="3">
        <f t="shared" si="1"/>
        <v>32963.08</v>
      </c>
      <c r="AA70" s="3">
        <f t="shared" si="2"/>
        <v>374355.67</v>
      </c>
      <c r="AB70" s="3">
        <f t="shared" si="4"/>
        <v>67357.8</v>
      </c>
      <c r="AC70" s="3">
        <f>ROUND(MAX(0,(D70-V70)*Shift11!$B$3),2)</f>
        <v>286335.21999999997</v>
      </c>
      <c r="AD70" s="3">
        <f t="shared" si="3"/>
        <v>286335.21999999997</v>
      </c>
    </row>
    <row r="71" spans="1:30" x14ac:dyDescent="0.2">
      <c r="A71" s="18">
        <v>204</v>
      </c>
      <c r="B71" s="18">
        <v>1</v>
      </c>
      <c r="C71" s="3" t="s">
        <v>67</v>
      </c>
      <c r="D71" s="3">
        <f>Levy!F71</f>
        <v>454346.74</v>
      </c>
      <c r="E71" s="3">
        <f>Levy!G71</f>
        <v>148421.25</v>
      </c>
      <c r="F71" s="3">
        <f>Levy!H71</f>
        <v>0</v>
      </c>
      <c r="G71" s="3">
        <f>Levy!I71</f>
        <v>201349.67</v>
      </c>
      <c r="H71" s="3">
        <f>Levy!J71</f>
        <v>91702.93</v>
      </c>
      <c r="I71" s="176">
        <v>0</v>
      </c>
      <c r="J71" s="177">
        <v>6000</v>
      </c>
      <c r="K71" s="177">
        <v>41027.47</v>
      </c>
      <c r="L71" s="177">
        <v>0</v>
      </c>
      <c r="M71" s="175">
        <v>0</v>
      </c>
      <c r="N71" s="175">
        <v>0</v>
      </c>
      <c r="O71" s="175">
        <v>0</v>
      </c>
      <c r="P71" s="177">
        <v>42987.08</v>
      </c>
      <c r="Q71" s="177">
        <v>0</v>
      </c>
      <c r="R71" s="177">
        <v>943.2</v>
      </c>
      <c r="S71" s="177">
        <v>0</v>
      </c>
      <c r="T71" s="175">
        <v>0</v>
      </c>
      <c r="U71" s="175">
        <v>0</v>
      </c>
      <c r="V71" s="178">
        <v>0</v>
      </c>
      <c r="W71" s="178">
        <v>0</v>
      </c>
      <c r="X71" s="3">
        <v>0</v>
      </c>
      <c r="Y71" s="161">
        <v>66446.850000000006</v>
      </c>
      <c r="Z71" s="3">
        <f t="shared" si="1"/>
        <v>90957.75</v>
      </c>
      <c r="AA71" s="3">
        <f t="shared" si="2"/>
        <v>258813.17</v>
      </c>
      <c r="AB71" s="3">
        <f t="shared" si="4"/>
        <v>91702.93</v>
      </c>
      <c r="AC71" s="3">
        <f>ROUND(MAX(0,(D71-V71)*Shift11!$B$3),2)</f>
        <v>220812.52</v>
      </c>
      <c r="AD71" s="3">
        <f t="shared" si="3"/>
        <v>220812.52</v>
      </c>
    </row>
    <row r="72" spans="1:30" x14ac:dyDescent="0.2">
      <c r="A72" s="18">
        <v>206</v>
      </c>
      <c r="B72" s="18">
        <v>1</v>
      </c>
      <c r="C72" s="3" t="s">
        <v>68</v>
      </c>
      <c r="D72" s="3">
        <f>Levy!F72</f>
        <v>1747721</v>
      </c>
      <c r="E72" s="3">
        <f>Levy!G72</f>
        <v>599449</v>
      </c>
      <c r="F72" s="3">
        <f>Levy!H72</f>
        <v>0</v>
      </c>
      <c r="G72" s="3">
        <f>Levy!I72</f>
        <v>1351272</v>
      </c>
      <c r="H72" s="3">
        <f>Levy!J72</f>
        <v>409071</v>
      </c>
      <c r="I72" s="176">
        <v>0</v>
      </c>
      <c r="J72" s="177">
        <v>10000</v>
      </c>
      <c r="K72" s="177">
        <v>101084.88</v>
      </c>
      <c r="L72" s="177">
        <v>0</v>
      </c>
      <c r="M72" s="175">
        <v>0</v>
      </c>
      <c r="N72" s="175">
        <v>0</v>
      </c>
      <c r="O72" s="175">
        <v>0</v>
      </c>
      <c r="P72" s="177">
        <v>-472.56</v>
      </c>
      <c r="Q72" s="177">
        <v>0</v>
      </c>
      <c r="R72" s="177">
        <v>-4255.2</v>
      </c>
      <c r="S72" s="177">
        <v>0</v>
      </c>
      <c r="T72" s="175">
        <v>0</v>
      </c>
      <c r="U72" s="175">
        <v>0</v>
      </c>
      <c r="V72" s="178">
        <v>0</v>
      </c>
      <c r="W72" s="178">
        <v>0</v>
      </c>
      <c r="X72" s="3">
        <v>0</v>
      </c>
      <c r="Y72" s="161">
        <v>365570.81</v>
      </c>
      <c r="Z72" s="3">
        <f t="shared" ref="Z72:Z135" si="5">SUM(I72:T72)</f>
        <v>106357.12000000001</v>
      </c>
      <c r="AA72" s="3">
        <f t="shared" ref="AA72:AA135" si="6">ROUND(MAX(E72+F72+G72-W72-X72-Z72,0),2)</f>
        <v>1844363.88</v>
      </c>
      <c r="AB72" s="3">
        <f t="shared" si="4"/>
        <v>409071</v>
      </c>
      <c r="AC72" s="3">
        <f>ROUND(MAX(0,(D72-V72)*Shift11!$B$3),2)</f>
        <v>849392.41</v>
      </c>
      <c r="AD72" s="3">
        <f t="shared" ref="AD72:AD135" si="7">MAX(AC72,Y72)</f>
        <v>849392.41</v>
      </c>
    </row>
    <row r="73" spans="1:30" x14ac:dyDescent="0.2">
      <c r="A73" s="18">
        <v>207</v>
      </c>
      <c r="B73" s="18">
        <v>1</v>
      </c>
      <c r="C73" s="3" t="s">
        <v>69</v>
      </c>
      <c r="D73" s="3">
        <f>Levy!F73</f>
        <v>197410</v>
      </c>
      <c r="E73" s="3">
        <f>Levy!G73</f>
        <v>33748</v>
      </c>
      <c r="F73" s="3">
        <f>Levy!H73</f>
        <v>0</v>
      </c>
      <c r="G73" s="3">
        <f>Levy!I73</f>
        <v>173459</v>
      </c>
      <c r="H73" s="3">
        <f>Levy!J73</f>
        <v>22536</v>
      </c>
      <c r="I73" s="176">
        <v>0</v>
      </c>
      <c r="J73" s="177">
        <v>500</v>
      </c>
      <c r="K73" s="177">
        <v>11665.08</v>
      </c>
      <c r="L73" s="177">
        <v>0</v>
      </c>
      <c r="M73" s="175">
        <v>0</v>
      </c>
      <c r="N73" s="175">
        <v>0</v>
      </c>
      <c r="O73" s="175">
        <v>0</v>
      </c>
      <c r="P73" s="177">
        <v>-18.059999999999999</v>
      </c>
      <c r="Q73" s="177">
        <v>-500</v>
      </c>
      <c r="R73" s="177">
        <v>0</v>
      </c>
      <c r="S73" s="177">
        <v>0</v>
      </c>
      <c r="T73" s="175">
        <v>0</v>
      </c>
      <c r="U73" s="175">
        <v>0</v>
      </c>
      <c r="V73" s="178">
        <v>0</v>
      </c>
      <c r="W73" s="178">
        <v>0</v>
      </c>
      <c r="X73" s="3">
        <v>0</v>
      </c>
      <c r="Y73" s="161">
        <v>0</v>
      </c>
      <c r="Z73" s="3">
        <f t="shared" si="5"/>
        <v>11647.02</v>
      </c>
      <c r="AA73" s="3">
        <f t="shared" si="6"/>
        <v>195559.98</v>
      </c>
      <c r="AB73" s="3">
        <f t="shared" ref="AB73:AB136" si="8">ROUND(MAX(H73-U73,0),2)</f>
        <v>22536</v>
      </c>
      <c r="AC73" s="3">
        <f>ROUND(MAX(0,(D73-V73)*Shift11!$B$3),2)</f>
        <v>95941.26</v>
      </c>
      <c r="AD73" s="3">
        <f t="shared" si="7"/>
        <v>95941.26</v>
      </c>
    </row>
    <row r="74" spans="1:30" x14ac:dyDescent="0.2">
      <c r="A74" s="18">
        <v>208</v>
      </c>
      <c r="B74" s="18">
        <v>1</v>
      </c>
      <c r="C74" s="3" t="s">
        <v>70</v>
      </c>
      <c r="D74" s="3">
        <f>Levy!F74</f>
        <v>293986</v>
      </c>
      <c r="E74" s="3">
        <f>Levy!G74</f>
        <v>5086</v>
      </c>
      <c r="F74" s="3">
        <f>Levy!H74</f>
        <v>0</v>
      </c>
      <c r="G74" s="3">
        <f>Levy!I74</f>
        <v>125680</v>
      </c>
      <c r="H74" s="3">
        <f>Levy!J74</f>
        <v>18108</v>
      </c>
      <c r="I74" s="176">
        <v>0</v>
      </c>
      <c r="J74" s="177">
        <v>15000</v>
      </c>
      <c r="K74" s="177">
        <v>11665.08</v>
      </c>
      <c r="L74" s="177">
        <v>0</v>
      </c>
      <c r="M74" s="175">
        <v>0</v>
      </c>
      <c r="N74" s="175">
        <v>0</v>
      </c>
      <c r="O74" s="175">
        <v>0</v>
      </c>
      <c r="P74" s="177">
        <v>-942.28</v>
      </c>
      <c r="Q74" s="177">
        <v>0</v>
      </c>
      <c r="R74" s="177">
        <v>0</v>
      </c>
      <c r="S74" s="177">
        <v>0</v>
      </c>
      <c r="T74" s="175">
        <v>0</v>
      </c>
      <c r="U74" s="175">
        <v>0</v>
      </c>
      <c r="V74" s="178">
        <v>0</v>
      </c>
      <c r="W74" s="178">
        <v>0</v>
      </c>
      <c r="X74" s="3">
        <v>0</v>
      </c>
      <c r="Y74" s="161">
        <v>0</v>
      </c>
      <c r="Z74" s="3">
        <f t="shared" si="5"/>
        <v>25722.800000000003</v>
      </c>
      <c r="AA74" s="3">
        <f t="shared" si="6"/>
        <v>105043.2</v>
      </c>
      <c r="AB74" s="3">
        <f t="shared" si="8"/>
        <v>18108</v>
      </c>
      <c r="AC74" s="3">
        <f>ROUND(MAX(0,(D74-V74)*Shift11!$B$3),2)</f>
        <v>142877.20000000001</v>
      </c>
      <c r="AD74" s="3">
        <f t="shared" si="7"/>
        <v>142877.20000000001</v>
      </c>
    </row>
    <row r="75" spans="1:30" x14ac:dyDescent="0.2">
      <c r="A75" s="18">
        <v>213</v>
      </c>
      <c r="B75" s="18">
        <v>1</v>
      </c>
      <c r="C75" s="3" t="s">
        <v>71</v>
      </c>
      <c r="D75" s="3">
        <f>Levy!F75</f>
        <v>0</v>
      </c>
      <c r="E75" s="3">
        <f>Levy!G75</f>
        <v>75581</v>
      </c>
      <c r="F75" s="3">
        <f>Levy!H75</f>
        <v>0</v>
      </c>
      <c r="G75" s="3">
        <f>Levy!I75</f>
        <v>257448</v>
      </c>
      <c r="H75" s="3">
        <f>Levy!J75</f>
        <v>44510</v>
      </c>
      <c r="I75" s="176">
        <v>0</v>
      </c>
      <c r="J75" s="177">
        <v>10000</v>
      </c>
      <c r="K75" s="177">
        <v>16770.650000000001</v>
      </c>
      <c r="L75" s="177">
        <v>0</v>
      </c>
      <c r="M75" s="175">
        <v>0</v>
      </c>
      <c r="N75" s="175">
        <v>0</v>
      </c>
      <c r="O75" s="175">
        <v>0</v>
      </c>
      <c r="P75" s="177">
        <v>973.7</v>
      </c>
      <c r="Q75" s="177">
        <v>0</v>
      </c>
      <c r="R75" s="177">
        <v>-4376.8</v>
      </c>
      <c r="S75" s="177">
        <v>0</v>
      </c>
      <c r="T75" s="175">
        <v>0</v>
      </c>
      <c r="U75" s="175">
        <v>0</v>
      </c>
      <c r="V75" s="178">
        <v>0</v>
      </c>
      <c r="W75" s="178">
        <v>0</v>
      </c>
      <c r="X75" s="3">
        <v>0</v>
      </c>
      <c r="Y75" s="161">
        <v>28915.37</v>
      </c>
      <c r="Z75" s="3">
        <f t="shared" si="5"/>
        <v>23367.550000000003</v>
      </c>
      <c r="AA75" s="3">
        <f t="shared" si="6"/>
        <v>309661.45</v>
      </c>
      <c r="AB75" s="3">
        <f t="shared" si="8"/>
        <v>44510</v>
      </c>
      <c r="AC75" s="3">
        <f>ROUND(MAX(0,(D75-V75)*Shift11!$B$3),2)</f>
        <v>0</v>
      </c>
      <c r="AD75" s="3">
        <f t="shared" si="7"/>
        <v>28915.37</v>
      </c>
    </row>
    <row r="76" spans="1:30" x14ac:dyDescent="0.2">
      <c r="A76" s="18">
        <v>227</v>
      </c>
      <c r="B76" s="18">
        <v>1</v>
      </c>
      <c r="C76" s="3" t="s">
        <v>72</v>
      </c>
      <c r="D76" s="3">
        <f>Levy!F76</f>
        <v>428540</v>
      </c>
      <c r="E76" s="3">
        <f>Levy!G76</f>
        <v>94859</v>
      </c>
      <c r="F76" s="3">
        <f>Levy!H76</f>
        <v>0</v>
      </c>
      <c r="G76" s="3">
        <f>Levy!I76</f>
        <v>245091</v>
      </c>
      <c r="H76" s="3">
        <f>Levy!J76</f>
        <v>72371</v>
      </c>
      <c r="I76" s="176">
        <v>0</v>
      </c>
      <c r="J76" s="177">
        <v>10000</v>
      </c>
      <c r="K76" s="177">
        <v>21269.63</v>
      </c>
      <c r="L76" s="177">
        <v>0</v>
      </c>
      <c r="M76" s="175">
        <v>0</v>
      </c>
      <c r="N76" s="175">
        <v>0</v>
      </c>
      <c r="O76" s="175">
        <v>0</v>
      </c>
      <c r="P76" s="177">
        <v>-582.39</v>
      </c>
      <c r="Q76" s="177">
        <v>0</v>
      </c>
      <c r="R76" s="177">
        <v>-243.2</v>
      </c>
      <c r="S76" s="177">
        <v>0</v>
      </c>
      <c r="T76" s="175">
        <v>0</v>
      </c>
      <c r="U76" s="175">
        <v>0</v>
      </c>
      <c r="V76" s="178">
        <v>0</v>
      </c>
      <c r="W76" s="178">
        <v>0</v>
      </c>
      <c r="X76" s="3">
        <v>0</v>
      </c>
      <c r="Y76" s="161">
        <v>44731.14</v>
      </c>
      <c r="Z76" s="3">
        <f t="shared" si="5"/>
        <v>30444.04</v>
      </c>
      <c r="AA76" s="3">
        <f t="shared" si="6"/>
        <v>309505.96000000002</v>
      </c>
      <c r="AB76" s="3">
        <f t="shared" si="8"/>
        <v>72371</v>
      </c>
      <c r="AC76" s="3">
        <f>ROUND(MAX(0,(D76-V76)*Shift11!$B$3),2)</f>
        <v>208270.44</v>
      </c>
      <c r="AD76" s="3">
        <f t="shared" si="7"/>
        <v>208270.44</v>
      </c>
    </row>
    <row r="77" spans="1:30" x14ac:dyDescent="0.2">
      <c r="A77" s="18">
        <v>229</v>
      </c>
      <c r="B77" s="18">
        <v>1</v>
      </c>
      <c r="C77" s="3" t="s">
        <v>73</v>
      </c>
      <c r="D77" s="3">
        <f>Levy!F77</f>
        <v>0</v>
      </c>
      <c r="E77" s="3">
        <f>Levy!G77</f>
        <v>50686</v>
      </c>
      <c r="F77" s="3">
        <f>Levy!H77</f>
        <v>0</v>
      </c>
      <c r="G77" s="3">
        <f>Levy!I77</f>
        <v>137469.35</v>
      </c>
      <c r="H77" s="3">
        <f>Levy!J77</f>
        <v>21378.13</v>
      </c>
      <c r="I77" s="176">
        <v>0</v>
      </c>
      <c r="J77" s="177">
        <v>6350.96</v>
      </c>
      <c r="K77" s="177">
        <v>28703.97</v>
      </c>
      <c r="L77" s="177">
        <v>0</v>
      </c>
      <c r="M77" s="175">
        <v>0</v>
      </c>
      <c r="N77" s="175">
        <v>0</v>
      </c>
      <c r="O77" s="175">
        <v>0</v>
      </c>
      <c r="P77" s="177">
        <v>-1745.28</v>
      </c>
      <c r="Q77" s="177">
        <v>0</v>
      </c>
      <c r="R77" s="177">
        <v>0</v>
      </c>
      <c r="S77" s="177">
        <v>0</v>
      </c>
      <c r="T77" s="175">
        <v>0</v>
      </c>
      <c r="U77" s="175">
        <v>0</v>
      </c>
      <c r="V77" s="178">
        <v>0</v>
      </c>
      <c r="W77" s="178">
        <v>0</v>
      </c>
      <c r="X77" s="3">
        <v>0</v>
      </c>
      <c r="Y77" s="161">
        <v>15542.06</v>
      </c>
      <c r="Z77" s="3">
        <f t="shared" si="5"/>
        <v>33309.65</v>
      </c>
      <c r="AA77" s="3">
        <f t="shared" si="6"/>
        <v>154845.70000000001</v>
      </c>
      <c r="AB77" s="3">
        <f t="shared" si="8"/>
        <v>21378.13</v>
      </c>
      <c r="AC77" s="3">
        <f>ROUND(MAX(0,(D77-V77)*Shift11!$B$3),2)</f>
        <v>0</v>
      </c>
      <c r="AD77" s="3">
        <f t="shared" si="7"/>
        <v>15542.06</v>
      </c>
    </row>
    <row r="78" spans="1:30" x14ac:dyDescent="0.2">
      <c r="A78" s="18">
        <v>238</v>
      </c>
      <c r="B78" s="18">
        <v>1</v>
      </c>
      <c r="C78" s="3" t="s">
        <v>74</v>
      </c>
      <c r="D78" s="3">
        <f>Levy!F78</f>
        <v>302674.21999999997</v>
      </c>
      <c r="E78" s="3">
        <f>Levy!G78</f>
        <v>15767.46</v>
      </c>
      <c r="F78" s="3">
        <f>Levy!H78</f>
        <v>0</v>
      </c>
      <c r="G78" s="3">
        <f>Levy!I78</f>
        <v>154856.74</v>
      </c>
      <c r="H78" s="3">
        <f>Levy!J78</f>
        <v>18405.560000000001</v>
      </c>
      <c r="I78" s="176">
        <v>0</v>
      </c>
      <c r="J78" s="177">
        <v>10000</v>
      </c>
      <c r="K78" s="177">
        <v>14270.69</v>
      </c>
      <c r="L78" s="177">
        <v>0</v>
      </c>
      <c r="M78" s="175">
        <v>0</v>
      </c>
      <c r="N78" s="175">
        <v>0</v>
      </c>
      <c r="O78" s="175">
        <v>0</v>
      </c>
      <c r="P78" s="177">
        <v>-3457.26</v>
      </c>
      <c r="Q78" s="177">
        <v>0</v>
      </c>
      <c r="R78" s="177">
        <v>0</v>
      </c>
      <c r="S78" s="177">
        <v>0</v>
      </c>
      <c r="T78" s="175">
        <v>0</v>
      </c>
      <c r="U78" s="175">
        <v>0</v>
      </c>
      <c r="V78" s="178">
        <v>0</v>
      </c>
      <c r="W78" s="178">
        <v>0</v>
      </c>
      <c r="X78" s="3">
        <v>0</v>
      </c>
      <c r="Y78" s="161">
        <v>54421.05</v>
      </c>
      <c r="Z78" s="3">
        <f t="shared" si="5"/>
        <v>20813.43</v>
      </c>
      <c r="AA78" s="3">
        <f t="shared" si="6"/>
        <v>149810.76999999999</v>
      </c>
      <c r="AB78" s="3">
        <f t="shared" si="8"/>
        <v>18405.560000000001</v>
      </c>
      <c r="AC78" s="3">
        <f>ROUND(MAX(0,(D78-V78)*Shift11!$B$3),2)</f>
        <v>147099.67000000001</v>
      </c>
      <c r="AD78" s="3">
        <f t="shared" si="7"/>
        <v>147099.67000000001</v>
      </c>
    </row>
    <row r="79" spans="1:30" x14ac:dyDescent="0.2">
      <c r="A79" s="18">
        <v>239</v>
      </c>
      <c r="B79" s="18">
        <v>1</v>
      </c>
      <c r="C79" s="3" t="s">
        <v>75</v>
      </c>
      <c r="D79" s="3">
        <f>Levy!F79</f>
        <v>554574.13</v>
      </c>
      <c r="E79" s="3">
        <f>Levy!G79</f>
        <v>55702.57</v>
      </c>
      <c r="F79" s="3">
        <f>Levy!H79</f>
        <v>0</v>
      </c>
      <c r="G79" s="3">
        <f>Levy!I79</f>
        <v>316989.78999999998</v>
      </c>
      <c r="H79" s="3">
        <f>Levy!J79</f>
        <v>44406.64</v>
      </c>
      <c r="I79" s="176">
        <v>0</v>
      </c>
      <c r="J79" s="177">
        <v>20300</v>
      </c>
      <c r="K79" s="177">
        <v>19885.05</v>
      </c>
      <c r="L79" s="177">
        <v>0</v>
      </c>
      <c r="M79" s="175">
        <v>0</v>
      </c>
      <c r="N79" s="175">
        <v>0</v>
      </c>
      <c r="O79" s="175">
        <v>0</v>
      </c>
      <c r="P79" s="177">
        <v>-8063.54</v>
      </c>
      <c r="Q79" s="177">
        <v>0</v>
      </c>
      <c r="R79" s="177">
        <v>-2467.4</v>
      </c>
      <c r="S79" s="177">
        <v>0</v>
      </c>
      <c r="T79" s="175">
        <v>0</v>
      </c>
      <c r="U79" s="175">
        <v>0</v>
      </c>
      <c r="V79" s="178">
        <v>0</v>
      </c>
      <c r="W79" s="178">
        <v>0</v>
      </c>
      <c r="X79" s="3">
        <v>0</v>
      </c>
      <c r="Y79" s="161">
        <v>35288.620000000003</v>
      </c>
      <c r="Z79" s="3">
        <f t="shared" si="5"/>
        <v>29654.11</v>
      </c>
      <c r="AA79" s="3">
        <f t="shared" si="6"/>
        <v>343038.25</v>
      </c>
      <c r="AB79" s="3">
        <f t="shared" si="8"/>
        <v>44406.64</v>
      </c>
      <c r="AC79" s="3">
        <f>ROUND(MAX(0,(D79-V79)*Shift11!$B$3),2)</f>
        <v>269523.03000000003</v>
      </c>
      <c r="AD79" s="3">
        <f t="shared" si="7"/>
        <v>269523.03000000003</v>
      </c>
    </row>
    <row r="80" spans="1:30" x14ac:dyDescent="0.2">
      <c r="A80" s="18">
        <v>241</v>
      </c>
      <c r="B80" s="18">
        <v>1</v>
      </c>
      <c r="C80" s="3" t="s">
        <v>76</v>
      </c>
      <c r="D80" s="3">
        <f>Levy!F80</f>
        <v>3086983.83</v>
      </c>
      <c r="E80" s="3">
        <f>Levy!G80</f>
        <v>320424.94</v>
      </c>
      <c r="F80" s="3">
        <f>Levy!H80</f>
        <v>0</v>
      </c>
      <c r="G80" s="3">
        <f>Levy!I80</f>
        <v>1243888.53</v>
      </c>
      <c r="H80" s="3">
        <f>Levy!J80</f>
        <v>207521.81</v>
      </c>
      <c r="I80" s="176">
        <v>0</v>
      </c>
      <c r="J80" s="177">
        <v>24375</v>
      </c>
      <c r="K80" s="177">
        <v>85970.84</v>
      </c>
      <c r="L80" s="177">
        <v>0</v>
      </c>
      <c r="M80" s="175">
        <v>0</v>
      </c>
      <c r="N80" s="175">
        <v>0</v>
      </c>
      <c r="O80" s="175">
        <v>0</v>
      </c>
      <c r="P80" s="177">
        <v>40892.339999999997</v>
      </c>
      <c r="Q80" s="177">
        <v>0</v>
      </c>
      <c r="R80" s="177">
        <v>0</v>
      </c>
      <c r="S80" s="177">
        <v>0</v>
      </c>
      <c r="T80" s="175">
        <v>0</v>
      </c>
      <c r="U80" s="175">
        <v>0</v>
      </c>
      <c r="V80" s="178">
        <v>0</v>
      </c>
      <c r="W80" s="178">
        <v>0</v>
      </c>
      <c r="X80" s="3">
        <v>60901.47</v>
      </c>
      <c r="Y80" s="161">
        <v>174209.52</v>
      </c>
      <c r="Z80" s="3">
        <f t="shared" si="5"/>
        <v>151238.18</v>
      </c>
      <c r="AA80" s="3">
        <f t="shared" si="6"/>
        <v>1352173.82</v>
      </c>
      <c r="AB80" s="3">
        <f t="shared" si="8"/>
        <v>207521.81</v>
      </c>
      <c r="AC80" s="3">
        <f>ROUND(MAX(0,(D80-V80)*Shift11!$B$3),2)</f>
        <v>1500274.14</v>
      </c>
      <c r="AD80" s="3">
        <f t="shared" si="7"/>
        <v>1500274.14</v>
      </c>
    </row>
    <row r="81" spans="1:30" x14ac:dyDescent="0.2">
      <c r="A81" s="18">
        <v>242</v>
      </c>
      <c r="B81" s="18">
        <v>1</v>
      </c>
      <c r="C81" s="3" t="s">
        <v>77</v>
      </c>
      <c r="D81" s="3">
        <f>Levy!F81</f>
        <v>68708.55</v>
      </c>
      <c r="E81" s="3">
        <f>Levy!G81</f>
        <v>37665.97</v>
      </c>
      <c r="F81" s="3">
        <f>Levy!H81</f>
        <v>0</v>
      </c>
      <c r="G81" s="3">
        <f>Levy!I81</f>
        <v>191980.4</v>
      </c>
      <c r="H81" s="3">
        <f>Levy!J81</f>
        <v>18051</v>
      </c>
      <c r="I81" s="176">
        <v>0</v>
      </c>
      <c r="J81" s="177">
        <v>2900</v>
      </c>
      <c r="K81" s="177">
        <v>11665.08</v>
      </c>
      <c r="L81" s="177">
        <v>0</v>
      </c>
      <c r="M81" s="175">
        <v>0</v>
      </c>
      <c r="N81" s="175">
        <v>0</v>
      </c>
      <c r="O81" s="175">
        <v>0</v>
      </c>
      <c r="P81" s="177">
        <v>-2370.91</v>
      </c>
      <c r="Q81" s="177">
        <v>0</v>
      </c>
      <c r="R81" s="177">
        <v>0</v>
      </c>
      <c r="S81" s="177">
        <v>0</v>
      </c>
      <c r="T81" s="175">
        <v>0</v>
      </c>
      <c r="U81" s="175">
        <v>0</v>
      </c>
      <c r="V81" s="178">
        <v>0</v>
      </c>
      <c r="W81" s="178">
        <v>0</v>
      </c>
      <c r="X81" s="3">
        <v>4788.6099999999997</v>
      </c>
      <c r="Y81" s="161">
        <v>29849.06</v>
      </c>
      <c r="Z81" s="3">
        <f t="shared" si="5"/>
        <v>12194.17</v>
      </c>
      <c r="AA81" s="3">
        <f t="shared" si="6"/>
        <v>212663.59</v>
      </c>
      <c r="AB81" s="3">
        <f t="shared" si="8"/>
        <v>18051</v>
      </c>
      <c r="AC81" s="3">
        <f>ROUND(MAX(0,(D81-V81)*Shift11!$B$3),2)</f>
        <v>33392.36</v>
      </c>
      <c r="AD81" s="3">
        <f t="shared" si="7"/>
        <v>33392.36</v>
      </c>
    </row>
    <row r="82" spans="1:30" x14ac:dyDescent="0.2">
      <c r="A82" s="18">
        <v>252</v>
      </c>
      <c r="B82" s="18">
        <v>1</v>
      </c>
      <c r="C82" s="3" t="s">
        <v>78</v>
      </c>
      <c r="D82" s="3">
        <f>Levy!F82</f>
        <v>718473</v>
      </c>
      <c r="E82" s="3">
        <f>Levy!G82</f>
        <v>152930</v>
      </c>
      <c r="F82" s="3">
        <f>Levy!H82</f>
        <v>0</v>
      </c>
      <c r="G82" s="3">
        <f>Levy!I82</f>
        <v>348374</v>
      </c>
      <c r="H82" s="3">
        <f>Levy!J82</f>
        <v>152734</v>
      </c>
      <c r="I82" s="176">
        <v>0</v>
      </c>
      <c r="J82" s="177">
        <v>0</v>
      </c>
      <c r="K82" s="177">
        <v>28765.14</v>
      </c>
      <c r="L82" s="177">
        <v>0</v>
      </c>
      <c r="M82" s="175">
        <v>0</v>
      </c>
      <c r="N82" s="175">
        <v>0</v>
      </c>
      <c r="O82" s="175">
        <v>0</v>
      </c>
      <c r="P82" s="177">
        <v>6433.12</v>
      </c>
      <c r="Q82" s="177">
        <v>0</v>
      </c>
      <c r="R82" s="177">
        <v>262.39999999999998</v>
      </c>
      <c r="S82" s="177">
        <v>0</v>
      </c>
      <c r="T82" s="175">
        <v>0</v>
      </c>
      <c r="U82" s="175">
        <v>0</v>
      </c>
      <c r="V82" s="178">
        <v>0</v>
      </c>
      <c r="W82" s="178">
        <v>0</v>
      </c>
      <c r="X82" s="3">
        <v>0</v>
      </c>
      <c r="Y82" s="161">
        <v>104497.76</v>
      </c>
      <c r="Z82" s="3">
        <f t="shared" si="5"/>
        <v>35460.660000000003</v>
      </c>
      <c r="AA82" s="3">
        <f t="shared" si="6"/>
        <v>465843.34</v>
      </c>
      <c r="AB82" s="3">
        <f t="shared" si="8"/>
        <v>152734</v>
      </c>
      <c r="AC82" s="3">
        <f>ROUND(MAX(0,(D82-V82)*Shift11!$B$3),2)</f>
        <v>349177.88</v>
      </c>
      <c r="AD82" s="3">
        <f t="shared" si="7"/>
        <v>349177.88</v>
      </c>
    </row>
    <row r="83" spans="1:30" x14ac:dyDescent="0.2">
      <c r="A83" s="18">
        <v>253</v>
      </c>
      <c r="B83" s="18">
        <v>1</v>
      </c>
      <c r="C83" s="3" t="s">
        <v>79</v>
      </c>
      <c r="D83" s="3">
        <f>Levy!F83</f>
        <v>202258</v>
      </c>
      <c r="E83" s="3">
        <f>Levy!G83</f>
        <v>47053</v>
      </c>
      <c r="F83" s="3">
        <f>Levy!H83</f>
        <v>0</v>
      </c>
      <c r="G83" s="3">
        <f>Levy!I83</f>
        <v>178702</v>
      </c>
      <c r="H83" s="3">
        <f>Levy!J83</f>
        <v>39092</v>
      </c>
      <c r="I83" s="176">
        <v>0</v>
      </c>
      <c r="J83" s="177">
        <v>5556</v>
      </c>
      <c r="K83" s="177">
        <v>15619.07</v>
      </c>
      <c r="L83" s="177">
        <v>0</v>
      </c>
      <c r="M83" s="175">
        <v>0</v>
      </c>
      <c r="N83" s="175">
        <v>0</v>
      </c>
      <c r="O83" s="175">
        <v>0</v>
      </c>
      <c r="P83" s="177">
        <v>9981.08</v>
      </c>
      <c r="Q83" s="177">
        <v>0</v>
      </c>
      <c r="R83" s="177">
        <v>164.8</v>
      </c>
      <c r="S83" s="177">
        <v>0</v>
      </c>
      <c r="T83" s="175">
        <v>0</v>
      </c>
      <c r="U83" s="175">
        <v>0</v>
      </c>
      <c r="V83" s="178">
        <v>0</v>
      </c>
      <c r="W83" s="178">
        <v>0</v>
      </c>
      <c r="X83" s="3">
        <v>2374.9299999999998</v>
      </c>
      <c r="Y83" s="161">
        <v>32550.880000000001</v>
      </c>
      <c r="Z83" s="3">
        <f t="shared" si="5"/>
        <v>31320.95</v>
      </c>
      <c r="AA83" s="3">
        <f t="shared" si="6"/>
        <v>192059.12</v>
      </c>
      <c r="AB83" s="3">
        <f t="shared" si="8"/>
        <v>39092</v>
      </c>
      <c r="AC83" s="3">
        <f>ROUND(MAX(0,(D83-V83)*Shift11!$B$3),2)</f>
        <v>98297.39</v>
      </c>
      <c r="AD83" s="3">
        <f t="shared" si="7"/>
        <v>98297.39</v>
      </c>
    </row>
    <row r="84" spans="1:30" x14ac:dyDescent="0.2">
      <c r="A84" s="18">
        <v>255</v>
      </c>
      <c r="B84" s="18">
        <v>1</v>
      </c>
      <c r="C84" s="3" t="s">
        <v>80</v>
      </c>
      <c r="D84" s="3">
        <f>Levy!F84</f>
        <v>688173</v>
      </c>
      <c r="E84" s="3">
        <f>Levy!G84</f>
        <v>113050</v>
      </c>
      <c r="F84" s="3">
        <f>Levy!H84</f>
        <v>0</v>
      </c>
      <c r="G84" s="3">
        <f>Levy!I84</f>
        <v>595029</v>
      </c>
      <c r="H84" s="3">
        <f>Levy!J84</f>
        <v>150405</v>
      </c>
      <c r="I84" s="176">
        <v>0</v>
      </c>
      <c r="J84" s="177">
        <v>30000</v>
      </c>
      <c r="K84" s="177">
        <v>39407.94</v>
      </c>
      <c r="L84" s="177">
        <v>0</v>
      </c>
      <c r="M84" s="175">
        <v>0</v>
      </c>
      <c r="N84" s="175">
        <v>0</v>
      </c>
      <c r="O84" s="175">
        <v>0</v>
      </c>
      <c r="P84" s="177">
        <v>-2150.5500000000002</v>
      </c>
      <c r="Q84" s="177">
        <v>0</v>
      </c>
      <c r="R84" s="177">
        <v>0</v>
      </c>
      <c r="S84" s="177">
        <v>0</v>
      </c>
      <c r="T84" s="175">
        <v>0</v>
      </c>
      <c r="U84" s="175">
        <v>0</v>
      </c>
      <c r="V84" s="178">
        <v>0</v>
      </c>
      <c r="W84" s="178">
        <v>0</v>
      </c>
      <c r="X84" s="3">
        <v>0</v>
      </c>
      <c r="Y84" s="161">
        <v>52187.99</v>
      </c>
      <c r="Z84" s="3">
        <f t="shared" si="5"/>
        <v>67257.39</v>
      </c>
      <c r="AA84" s="3">
        <f t="shared" si="6"/>
        <v>640821.61</v>
      </c>
      <c r="AB84" s="3">
        <f t="shared" si="8"/>
        <v>150405</v>
      </c>
      <c r="AC84" s="3">
        <f>ROUND(MAX(0,(D84-V84)*Shift11!$B$3),2)</f>
        <v>334452.08</v>
      </c>
      <c r="AD84" s="3">
        <f t="shared" si="7"/>
        <v>334452.08</v>
      </c>
    </row>
    <row r="85" spans="1:30" x14ac:dyDescent="0.2">
      <c r="A85" s="18">
        <v>256</v>
      </c>
      <c r="B85" s="18">
        <v>1</v>
      </c>
      <c r="C85" s="3" t="s">
        <v>81</v>
      </c>
      <c r="D85" s="3">
        <f>Levy!F85</f>
        <v>4038080</v>
      </c>
      <c r="E85" s="3">
        <f>Levy!G85</f>
        <v>280214</v>
      </c>
      <c r="F85" s="3">
        <f>Levy!H85</f>
        <v>0</v>
      </c>
      <c r="G85" s="3">
        <f>Levy!I85</f>
        <v>1465846</v>
      </c>
      <c r="H85" s="3">
        <f>Levy!J85</f>
        <v>315118</v>
      </c>
      <c r="I85" s="176">
        <v>0</v>
      </c>
      <c r="J85" s="177">
        <v>15000</v>
      </c>
      <c r="K85" s="177">
        <v>73406.210000000006</v>
      </c>
      <c r="L85" s="177">
        <v>0</v>
      </c>
      <c r="M85" s="175">
        <v>0</v>
      </c>
      <c r="N85" s="175">
        <v>0</v>
      </c>
      <c r="O85" s="175">
        <v>0</v>
      </c>
      <c r="P85" s="177">
        <v>14579.81</v>
      </c>
      <c r="Q85" s="177">
        <v>0</v>
      </c>
      <c r="R85" s="177">
        <v>0</v>
      </c>
      <c r="S85" s="177">
        <v>0</v>
      </c>
      <c r="T85" s="175">
        <v>0</v>
      </c>
      <c r="U85" s="175">
        <v>0</v>
      </c>
      <c r="V85" s="178">
        <v>0</v>
      </c>
      <c r="W85" s="178">
        <v>0</v>
      </c>
      <c r="X85" s="3">
        <v>7931.62</v>
      </c>
      <c r="Y85" s="161">
        <v>431418.24</v>
      </c>
      <c r="Z85" s="3">
        <f t="shared" si="5"/>
        <v>102986.02</v>
      </c>
      <c r="AA85" s="3">
        <f t="shared" si="6"/>
        <v>1635142.36</v>
      </c>
      <c r="AB85" s="3">
        <f t="shared" si="8"/>
        <v>315118</v>
      </c>
      <c r="AC85" s="3">
        <f>ROUND(MAX(0,(D85-V85)*Shift11!$B$3),2)</f>
        <v>1962506.88</v>
      </c>
      <c r="AD85" s="3">
        <f t="shared" si="7"/>
        <v>1962506.88</v>
      </c>
    </row>
    <row r="86" spans="1:30" x14ac:dyDescent="0.2">
      <c r="A86" s="18">
        <v>261</v>
      </c>
      <c r="B86" s="18">
        <v>1</v>
      </c>
      <c r="C86" s="3" t="s">
        <v>82</v>
      </c>
      <c r="D86" s="3">
        <f>Levy!F86</f>
        <v>251939</v>
      </c>
      <c r="E86" s="3">
        <f>Levy!G86</f>
        <v>17140.41</v>
      </c>
      <c r="F86" s="3">
        <f>Levy!H86</f>
        <v>0</v>
      </c>
      <c r="G86" s="3">
        <f>Levy!I86</f>
        <v>89567.45</v>
      </c>
      <c r="H86" s="3">
        <f>Levy!J86</f>
        <v>17773.77</v>
      </c>
      <c r="I86" s="176">
        <v>0</v>
      </c>
      <c r="J86" s="177">
        <v>5000</v>
      </c>
      <c r="K86" s="177">
        <v>11665.08</v>
      </c>
      <c r="L86" s="177">
        <v>0</v>
      </c>
      <c r="M86" s="175">
        <v>0</v>
      </c>
      <c r="N86" s="175">
        <v>0</v>
      </c>
      <c r="O86" s="175">
        <v>0</v>
      </c>
      <c r="P86" s="177">
        <v>-2120.37</v>
      </c>
      <c r="Q86" s="177">
        <v>0</v>
      </c>
      <c r="R86" s="177">
        <v>0</v>
      </c>
      <c r="S86" s="177">
        <v>0</v>
      </c>
      <c r="T86" s="175">
        <v>0</v>
      </c>
      <c r="U86" s="175">
        <v>0</v>
      </c>
      <c r="V86" s="178">
        <v>0</v>
      </c>
      <c r="W86" s="178">
        <v>0</v>
      </c>
      <c r="X86" s="3">
        <v>0</v>
      </c>
      <c r="Y86" s="161">
        <v>0</v>
      </c>
      <c r="Z86" s="3">
        <f t="shared" si="5"/>
        <v>14544.710000000003</v>
      </c>
      <c r="AA86" s="3">
        <f t="shared" si="6"/>
        <v>92163.15</v>
      </c>
      <c r="AB86" s="3">
        <f t="shared" si="8"/>
        <v>17773.77</v>
      </c>
      <c r="AC86" s="3">
        <f>ROUND(MAX(0,(D86-V86)*Shift11!$B$3),2)</f>
        <v>122442.35</v>
      </c>
      <c r="AD86" s="3">
        <f t="shared" si="7"/>
        <v>122442.35</v>
      </c>
    </row>
    <row r="87" spans="1:30" x14ac:dyDescent="0.2">
      <c r="A87" s="18">
        <v>264</v>
      </c>
      <c r="B87" s="18">
        <v>1</v>
      </c>
      <c r="C87" s="3" t="s">
        <v>83</v>
      </c>
      <c r="D87" s="3">
        <f>Levy!F87</f>
        <v>163054.12</v>
      </c>
      <c r="E87" s="3">
        <f>Levy!G87</f>
        <v>3783.23</v>
      </c>
      <c r="F87" s="3">
        <f>Levy!H87</f>
        <v>0</v>
      </c>
      <c r="G87" s="3">
        <f>Levy!I87</f>
        <v>50996.75</v>
      </c>
      <c r="H87" s="3">
        <f>Levy!J87</f>
        <v>21181.5</v>
      </c>
      <c r="I87" s="176">
        <v>0</v>
      </c>
      <c r="J87" s="177">
        <v>12000</v>
      </c>
      <c r="K87" s="177">
        <v>2053.0500000000002</v>
      </c>
      <c r="L87" s="177">
        <v>0</v>
      </c>
      <c r="M87" s="175">
        <v>0</v>
      </c>
      <c r="N87" s="175">
        <v>0</v>
      </c>
      <c r="O87" s="175">
        <v>0</v>
      </c>
      <c r="P87" s="177">
        <v>-11123</v>
      </c>
      <c r="Q87" s="177">
        <v>0</v>
      </c>
      <c r="R87" s="177">
        <v>8400</v>
      </c>
      <c r="S87" s="177">
        <v>0</v>
      </c>
      <c r="T87" s="175">
        <v>0</v>
      </c>
      <c r="U87" s="175">
        <v>0</v>
      </c>
      <c r="V87" s="178">
        <v>0</v>
      </c>
      <c r="W87" s="178">
        <v>0</v>
      </c>
      <c r="X87" s="3">
        <v>0</v>
      </c>
      <c r="Y87" s="161">
        <v>122971.08</v>
      </c>
      <c r="Z87" s="3">
        <f t="shared" si="5"/>
        <v>11330.05</v>
      </c>
      <c r="AA87" s="3">
        <f t="shared" si="6"/>
        <v>43449.93</v>
      </c>
      <c r="AB87" s="3">
        <f t="shared" si="8"/>
        <v>21181.5</v>
      </c>
      <c r="AC87" s="3">
        <f>ROUND(MAX(0,(D87-V87)*Shift11!$B$3),2)</f>
        <v>79244.3</v>
      </c>
      <c r="AD87" s="3">
        <f t="shared" si="7"/>
        <v>122971.08</v>
      </c>
    </row>
    <row r="88" spans="1:30" x14ac:dyDescent="0.2">
      <c r="A88" s="18">
        <v>270</v>
      </c>
      <c r="B88" s="18">
        <v>1</v>
      </c>
      <c r="C88" s="3" t="s">
        <v>84</v>
      </c>
      <c r="D88" s="3">
        <f>Levy!F88</f>
        <v>14668364.310000001</v>
      </c>
      <c r="E88" s="3">
        <f>Levy!G88</f>
        <v>345573.6</v>
      </c>
      <c r="F88" s="3">
        <f>Levy!H88</f>
        <v>6164119</v>
      </c>
      <c r="G88" s="3">
        <f>Levy!I88</f>
        <v>4937713.01</v>
      </c>
      <c r="H88" s="3">
        <f>Levy!J88</f>
        <v>1358814.15</v>
      </c>
      <c r="I88" s="176">
        <v>0</v>
      </c>
      <c r="J88" s="177">
        <v>75000</v>
      </c>
      <c r="K88" s="177">
        <v>181245.42</v>
      </c>
      <c r="L88" s="177">
        <v>0</v>
      </c>
      <c r="M88" s="175">
        <v>0</v>
      </c>
      <c r="N88" s="175">
        <v>0</v>
      </c>
      <c r="O88" s="175">
        <v>0</v>
      </c>
      <c r="P88" s="177">
        <v>35312.83</v>
      </c>
      <c r="Q88" s="177">
        <v>0</v>
      </c>
      <c r="R88" s="177">
        <v>-8969.6</v>
      </c>
      <c r="S88" s="177">
        <v>0</v>
      </c>
      <c r="T88" s="175">
        <v>0</v>
      </c>
      <c r="U88" s="175">
        <v>0</v>
      </c>
      <c r="V88" s="178">
        <v>0</v>
      </c>
      <c r="W88" s="178">
        <v>0</v>
      </c>
      <c r="X88" s="3">
        <v>0</v>
      </c>
      <c r="Y88" s="161">
        <v>4134654.98</v>
      </c>
      <c r="Z88" s="3">
        <f t="shared" si="5"/>
        <v>282588.65000000002</v>
      </c>
      <c r="AA88" s="3">
        <f t="shared" si="6"/>
        <v>11164816.960000001</v>
      </c>
      <c r="AB88" s="3">
        <f t="shared" si="8"/>
        <v>1358814.15</v>
      </c>
      <c r="AC88" s="3">
        <f>ROUND(MAX(0,(D88-V88)*Shift11!$B$3),2)</f>
        <v>7128825.0499999998</v>
      </c>
      <c r="AD88" s="3">
        <f t="shared" si="7"/>
        <v>7128825.0499999998</v>
      </c>
    </row>
    <row r="89" spans="1:30" x14ac:dyDescent="0.2">
      <c r="A89" s="18">
        <v>271</v>
      </c>
      <c r="B89" s="18">
        <v>1</v>
      </c>
      <c r="C89" s="3" t="s">
        <v>85</v>
      </c>
      <c r="D89" s="3">
        <f>Levy!F89</f>
        <v>19784022.75</v>
      </c>
      <c r="E89" s="3">
        <f>Levy!G89</f>
        <v>757663.29</v>
      </c>
      <c r="F89" s="3">
        <f>Levy!H89</f>
        <v>2699503</v>
      </c>
      <c r="G89" s="3">
        <f>Levy!I89</f>
        <v>8492286.9700000007</v>
      </c>
      <c r="H89" s="3">
        <f>Levy!J89</f>
        <v>1602315.68</v>
      </c>
      <c r="I89" s="176">
        <v>0</v>
      </c>
      <c r="J89" s="177">
        <v>100000</v>
      </c>
      <c r="K89" s="177">
        <v>243340.02</v>
      </c>
      <c r="L89" s="177">
        <v>0</v>
      </c>
      <c r="M89" s="175">
        <v>0</v>
      </c>
      <c r="N89" s="175">
        <v>0</v>
      </c>
      <c r="O89" s="175">
        <v>0</v>
      </c>
      <c r="P89" s="177">
        <v>129183.2</v>
      </c>
      <c r="Q89" s="177">
        <v>0</v>
      </c>
      <c r="R89" s="177">
        <v>-9238.4</v>
      </c>
      <c r="S89" s="177">
        <v>0</v>
      </c>
      <c r="T89" s="175">
        <v>0</v>
      </c>
      <c r="U89" s="175">
        <v>0</v>
      </c>
      <c r="V89" s="178">
        <v>0</v>
      </c>
      <c r="W89" s="178">
        <v>0</v>
      </c>
      <c r="X89" s="3">
        <v>0</v>
      </c>
      <c r="Y89" s="161">
        <v>3892764.24</v>
      </c>
      <c r="Z89" s="3">
        <f t="shared" si="5"/>
        <v>463284.82</v>
      </c>
      <c r="AA89" s="3">
        <f t="shared" si="6"/>
        <v>11486168.439999999</v>
      </c>
      <c r="AB89" s="3">
        <f t="shared" si="8"/>
        <v>1602315.68</v>
      </c>
      <c r="AC89" s="3">
        <f>ROUND(MAX(0,(D89-V89)*Shift11!$B$3),2)</f>
        <v>9615035.0600000005</v>
      </c>
      <c r="AD89" s="3">
        <f t="shared" si="7"/>
        <v>9615035.0600000005</v>
      </c>
    </row>
    <row r="90" spans="1:30" x14ac:dyDescent="0.2">
      <c r="A90" s="18">
        <v>272</v>
      </c>
      <c r="B90" s="18">
        <v>1</v>
      </c>
      <c r="C90" s="3" t="s">
        <v>86</v>
      </c>
      <c r="D90" s="3">
        <f>Levy!F90</f>
        <v>12915858.82</v>
      </c>
      <c r="E90" s="3">
        <f>Levy!G90</f>
        <v>1020698.87</v>
      </c>
      <c r="F90" s="3">
        <f>Levy!H90</f>
        <v>6017305</v>
      </c>
      <c r="G90" s="3">
        <f>Levy!I90</f>
        <v>6021779.3200000003</v>
      </c>
      <c r="H90" s="3">
        <f>Levy!J90</f>
        <v>1281184.1499999999</v>
      </c>
      <c r="I90" s="176">
        <v>0</v>
      </c>
      <c r="J90" s="177">
        <v>250000</v>
      </c>
      <c r="K90" s="177">
        <v>234642.54</v>
      </c>
      <c r="L90" s="177">
        <v>0</v>
      </c>
      <c r="M90" s="175">
        <v>0</v>
      </c>
      <c r="N90" s="175">
        <v>0</v>
      </c>
      <c r="O90" s="175">
        <v>0</v>
      </c>
      <c r="P90" s="177">
        <v>69853.06</v>
      </c>
      <c r="Q90" s="177">
        <v>0</v>
      </c>
      <c r="R90" s="177">
        <v>-2988</v>
      </c>
      <c r="S90" s="177">
        <v>0</v>
      </c>
      <c r="T90" s="175">
        <v>0</v>
      </c>
      <c r="U90" s="175">
        <v>0</v>
      </c>
      <c r="V90" s="178">
        <v>0</v>
      </c>
      <c r="W90" s="178">
        <v>0</v>
      </c>
      <c r="X90" s="3">
        <v>116982.81</v>
      </c>
      <c r="Y90" s="161">
        <v>3383760.71</v>
      </c>
      <c r="Z90" s="3">
        <f t="shared" si="5"/>
        <v>551507.60000000009</v>
      </c>
      <c r="AA90" s="3">
        <f t="shared" si="6"/>
        <v>12391292.779999999</v>
      </c>
      <c r="AB90" s="3">
        <f t="shared" si="8"/>
        <v>1281184.1499999999</v>
      </c>
      <c r="AC90" s="3">
        <f>ROUND(MAX(0,(D90-V90)*Shift11!$B$3),2)</f>
        <v>6277107.3899999997</v>
      </c>
      <c r="AD90" s="3">
        <f t="shared" si="7"/>
        <v>6277107.3899999997</v>
      </c>
    </row>
    <row r="91" spans="1:30" x14ac:dyDescent="0.2">
      <c r="A91" s="18">
        <v>273</v>
      </c>
      <c r="B91" s="18">
        <v>1</v>
      </c>
      <c r="C91" s="3" t="s">
        <v>87</v>
      </c>
      <c r="D91" s="3">
        <f>Levy!F91</f>
        <v>16241980.560000001</v>
      </c>
      <c r="E91" s="3">
        <f>Levy!G91</f>
        <v>631613.25</v>
      </c>
      <c r="F91" s="3">
        <f>Levy!H91</f>
        <v>4500000</v>
      </c>
      <c r="G91" s="3">
        <f>Levy!I91</f>
        <v>7094870.1900000004</v>
      </c>
      <c r="H91" s="3">
        <f>Levy!J91</f>
        <v>1053182.07</v>
      </c>
      <c r="I91" s="176">
        <v>0</v>
      </c>
      <c r="J91" s="177">
        <v>125000</v>
      </c>
      <c r="K91" s="177">
        <v>52218.54</v>
      </c>
      <c r="L91" s="177">
        <v>0</v>
      </c>
      <c r="M91" s="175">
        <v>0</v>
      </c>
      <c r="N91" s="175">
        <v>0</v>
      </c>
      <c r="O91" s="175">
        <v>0</v>
      </c>
      <c r="P91" s="177">
        <v>128733.48</v>
      </c>
      <c r="Q91" s="177">
        <v>0</v>
      </c>
      <c r="R91" s="177">
        <v>0</v>
      </c>
      <c r="S91" s="177">
        <v>0</v>
      </c>
      <c r="T91" s="175">
        <v>0</v>
      </c>
      <c r="U91" s="175">
        <v>0</v>
      </c>
      <c r="V91" s="178">
        <v>0</v>
      </c>
      <c r="W91" s="178">
        <v>0</v>
      </c>
      <c r="X91" s="3">
        <v>0</v>
      </c>
      <c r="Y91" s="161">
        <v>3617532.85</v>
      </c>
      <c r="Z91" s="3">
        <f t="shared" si="5"/>
        <v>305952.02</v>
      </c>
      <c r="AA91" s="3">
        <f t="shared" si="6"/>
        <v>11920531.42</v>
      </c>
      <c r="AB91" s="3">
        <f t="shared" si="8"/>
        <v>1053182.07</v>
      </c>
      <c r="AC91" s="3">
        <f>ROUND(MAX(0,(D91-V91)*Shift11!$B$3),2)</f>
        <v>7893602.5499999998</v>
      </c>
      <c r="AD91" s="3">
        <f t="shared" si="7"/>
        <v>7893602.5499999998</v>
      </c>
    </row>
    <row r="92" spans="1:30" x14ac:dyDescent="0.2">
      <c r="A92" s="18">
        <v>276</v>
      </c>
      <c r="B92" s="18">
        <v>1</v>
      </c>
      <c r="C92" s="3" t="s">
        <v>88</v>
      </c>
      <c r="D92" s="3">
        <f>Levy!F92</f>
        <v>15674366.720000001</v>
      </c>
      <c r="E92" s="3">
        <f>Levy!G92</f>
        <v>714146.47</v>
      </c>
      <c r="F92" s="3">
        <f>Levy!H92</f>
        <v>5260850</v>
      </c>
      <c r="G92" s="3">
        <f>Levy!I92</f>
        <v>4685427.3</v>
      </c>
      <c r="H92" s="3">
        <f>Levy!J92</f>
        <v>976323.7</v>
      </c>
      <c r="I92" s="176">
        <v>0</v>
      </c>
      <c r="J92" s="177">
        <v>37235.379999999997</v>
      </c>
      <c r="K92" s="177">
        <v>148298.38</v>
      </c>
      <c r="L92" s="177">
        <v>30984.240000000002</v>
      </c>
      <c r="M92" s="175">
        <v>0</v>
      </c>
      <c r="N92" s="175">
        <v>0</v>
      </c>
      <c r="O92" s="175">
        <v>0</v>
      </c>
      <c r="P92" s="177">
        <v>122487.52</v>
      </c>
      <c r="Q92" s="177">
        <v>0</v>
      </c>
      <c r="R92" s="177">
        <v>0</v>
      </c>
      <c r="S92" s="177">
        <v>4690.4399999999996</v>
      </c>
      <c r="T92" s="175">
        <v>0</v>
      </c>
      <c r="U92" s="175">
        <v>0</v>
      </c>
      <c r="V92" s="178">
        <v>0</v>
      </c>
      <c r="W92" s="178">
        <v>0</v>
      </c>
      <c r="X92" s="3">
        <v>0</v>
      </c>
      <c r="Y92" s="161">
        <v>3991123.96</v>
      </c>
      <c r="Z92" s="3">
        <f t="shared" si="5"/>
        <v>343695.96</v>
      </c>
      <c r="AA92" s="3">
        <f t="shared" si="6"/>
        <v>10316727.810000001</v>
      </c>
      <c r="AB92" s="3">
        <f t="shared" si="8"/>
        <v>976323.7</v>
      </c>
      <c r="AC92" s="3">
        <f>ROUND(MAX(0,(D92-V92)*Shift11!$B$3),2)</f>
        <v>7617742.2300000004</v>
      </c>
      <c r="AD92" s="3">
        <f t="shared" si="7"/>
        <v>7617742.2300000004</v>
      </c>
    </row>
    <row r="93" spans="1:30" x14ac:dyDescent="0.2">
      <c r="A93" s="18">
        <v>277</v>
      </c>
      <c r="B93" s="18">
        <v>1</v>
      </c>
      <c r="C93" s="3" t="s">
        <v>89</v>
      </c>
      <c r="D93" s="3">
        <f>Levy!F93</f>
        <v>4553410.66</v>
      </c>
      <c r="E93" s="3">
        <f>Levy!G93</f>
        <v>116059.1</v>
      </c>
      <c r="F93" s="3">
        <f>Levy!H93</f>
        <v>750000</v>
      </c>
      <c r="G93" s="3">
        <f>Levy!I93</f>
        <v>1277715.55</v>
      </c>
      <c r="H93" s="3">
        <f>Levy!J93</f>
        <v>434304.93</v>
      </c>
      <c r="I93" s="176">
        <v>0</v>
      </c>
      <c r="J93" s="177">
        <v>7973</v>
      </c>
      <c r="K93" s="177">
        <v>54518.82</v>
      </c>
      <c r="L93" s="177">
        <v>0</v>
      </c>
      <c r="M93" s="175">
        <v>0</v>
      </c>
      <c r="N93" s="175">
        <v>0</v>
      </c>
      <c r="O93" s="175">
        <v>0</v>
      </c>
      <c r="P93" s="177">
        <v>17009.009999999998</v>
      </c>
      <c r="Q93" s="177">
        <v>0</v>
      </c>
      <c r="R93" s="177">
        <v>-22815.68</v>
      </c>
      <c r="S93" s="177">
        <v>0</v>
      </c>
      <c r="T93" s="175">
        <v>0</v>
      </c>
      <c r="U93" s="175">
        <v>0</v>
      </c>
      <c r="V93" s="178">
        <v>0</v>
      </c>
      <c r="W93" s="178">
        <v>0</v>
      </c>
      <c r="X93" s="3">
        <v>0</v>
      </c>
      <c r="Y93" s="161">
        <v>856488.26</v>
      </c>
      <c r="Z93" s="3">
        <f t="shared" si="5"/>
        <v>56685.15</v>
      </c>
      <c r="AA93" s="3">
        <f t="shared" si="6"/>
        <v>2087089.5</v>
      </c>
      <c r="AB93" s="3">
        <f t="shared" si="8"/>
        <v>434304.93</v>
      </c>
      <c r="AC93" s="3">
        <f>ROUND(MAX(0,(D93-V93)*Shift11!$B$3),2)</f>
        <v>2212957.58</v>
      </c>
      <c r="AD93" s="3">
        <f t="shared" si="7"/>
        <v>2212957.58</v>
      </c>
    </row>
    <row r="94" spans="1:30" x14ac:dyDescent="0.2">
      <c r="A94" s="18">
        <v>278</v>
      </c>
      <c r="B94" s="18">
        <v>1</v>
      </c>
      <c r="C94" s="3" t="s">
        <v>90</v>
      </c>
      <c r="D94" s="3">
        <f>Levy!F94</f>
        <v>4010348.36</v>
      </c>
      <c r="E94" s="3">
        <f>Levy!G94</f>
        <v>265763.78000000003</v>
      </c>
      <c r="F94" s="3">
        <f>Levy!H94</f>
        <v>960263</v>
      </c>
      <c r="G94" s="3">
        <f>Levy!I94</f>
        <v>1546969.62</v>
      </c>
      <c r="H94" s="3">
        <f>Levy!J94</f>
        <v>276345.53999999998</v>
      </c>
      <c r="I94" s="176">
        <v>0</v>
      </c>
      <c r="J94" s="177">
        <v>13674</v>
      </c>
      <c r="K94" s="177">
        <v>53453.4</v>
      </c>
      <c r="L94" s="177">
        <v>0</v>
      </c>
      <c r="M94" s="175">
        <v>0</v>
      </c>
      <c r="N94" s="175">
        <v>0</v>
      </c>
      <c r="O94" s="175">
        <v>0</v>
      </c>
      <c r="P94" s="177">
        <v>20786.82</v>
      </c>
      <c r="Q94" s="177">
        <v>0</v>
      </c>
      <c r="R94" s="177">
        <v>0</v>
      </c>
      <c r="S94" s="177">
        <v>0</v>
      </c>
      <c r="T94" s="175">
        <v>0</v>
      </c>
      <c r="U94" s="175">
        <v>0</v>
      </c>
      <c r="V94" s="178">
        <v>0</v>
      </c>
      <c r="W94" s="178">
        <v>0</v>
      </c>
      <c r="X94" s="3">
        <v>0</v>
      </c>
      <c r="Y94" s="161">
        <v>887487.03</v>
      </c>
      <c r="Z94" s="3">
        <f t="shared" si="5"/>
        <v>87914.22</v>
      </c>
      <c r="AA94" s="3">
        <f t="shared" si="6"/>
        <v>2685082.18</v>
      </c>
      <c r="AB94" s="3">
        <f t="shared" si="8"/>
        <v>276345.53999999998</v>
      </c>
      <c r="AC94" s="3">
        <f>ROUND(MAX(0,(D94-V94)*Shift11!$B$3),2)</f>
        <v>1949029.3</v>
      </c>
      <c r="AD94" s="3">
        <f t="shared" si="7"/>
        <v>1949029.3</v>
      </c>
    </row>
    <row r="95" spans="1:30" x14ac:dyDescent="0.2">
      <c r="A95" s="18">
        <v>279</v>
      </c>
      <c r="B95" s="18">
        <v>1</v>
      </c>
      <c r="C95" s="3" t="s">
        <v>91</v>
      </c>
      <c r="D95" s="3">
        <f>Levy!F95</f>
        <v>33635088.840000004</v>
      </c>
      <c r="E95" s="3">
        <f>Levy!G95</f>
        <v>2634197.9900000002</v>
      </c>
      <c r="F95" s="3">
        <f>Levy!H95</f>
        <v>0</v>
      </c>
      <c r="G95" s="3">
        <f>Levy!I95</f>
        <v>12300596.689999999</v>
      </c>
      <c r="H95" s="3">
        <f>Levy!J95</f>
        <v>1783834.98</v>
      </c>
      <c r="I95" s="176">
        <v>0</v>
      </c>
      <c r="J95" s="177">
        <v>200000</v>
      </c>
      <c r="K95" s="177">
        <v>478466.88</v>
      </c>
      <c r="L95" s="177">
        <v>0</v>
      </c>
      <c r="M95" s="175">
        <v>0</v>
      </c>
      <c r="N95" s="175">
        <v>0</v>
      </c>
      <c r="O95" s="175">
        <v>0</v>
      </c>
      <c r="P95" s="177">
        <v>172605.93</v>
      </c>
      <c r="Q95" s="177">
        <v>0</v>
      </c>
      <c r="R95" s="177">
        <v>-9484</v>
      </c>
      <c r="S95" s="177">
        <v>0</v>
      </c>
      <c r="T95" s="175">
        <v>0</v>
      </c>
      <c r="U95" s="175">
        <v>0</v>
      </c>
      <c r="V95" s="178">
        <v>0</v>
      </c>
      <c r="W95" s="178">
        <v>0</v>
      </c>
      <c r="X95" s="3">
        <v>0</v>
      </c>
      <c r="Y95" s="161">
        <v>3660705.88</v>
      </c>
      <c r="Z95" s="3">
        <f t="shared" si="5"/>
        <v>841588.81</v>
      </c>
      <c r="AA95" s="3">
        <f t="shared" si="6"/>
        <v>14093205.869999999</v>
      </c>
      <c r="AB95" s="3">
        <f t="shared" si="8"/>
        <v>1783834.98</v>
      </c>
      <c r="AC95" s="3">
        <f>ROUND(MAX(0,(D95-V95)*Shift11!$B$3),2)</f>
        <v>16346653.18</v>
      </c>
      <c r="AD95" s="3">
        <f t="shared" si="7"/>
        <v>16346653.18</v>
      </c>
    </row>
    <row r="96" spans="1:30" x14ac:dyDescent="0.2">
      <c r="A96" s="18">
        <v>280</v>
      </c>
      <c r="B96" s="18">
        <v>1</v>
      </c>
      <c r="C96" s="3" t="s">
        <v>92</v>
      </c>
      <c r="D96" s="3">
        <f>Levy!F96</f>
        <v>6027968.4900000002</v>
      </c>
      <c r="E96" s="3">
        <f>Levy!G96</f>
        <v>448456.45</v>
      </c>
      <c r="F96" s="3">
        <f>Levy!H96</f>
        <v>1372538</v>
      </c>
      <c r="G96" s="3">
        <f>Levy!I96</f>
        <v>3043660.28</v>
      </c>
      <c r="H96" s="3">
        <f>Levy!J96</f>
        <v>443040.32</v>
      </c>
      <c r="I96" s="176">
        <v>0</v>
      </c>
      <c r="J96" s="177">
        <v>80000</v>
      </c>
      <c r="K96" s="177">
        <v>96887.32</v>
      </c>
      <c r="L96" s="177">
        <v>33583</v>
      </c>
      <c r="M96" s="175">
        <v>0</v>
      </c>
      <c r="N96" s="175">
        <v>0</v>
      </c>
      <c r="O96" s="175">
        <v>0</v>
      </c>
      <c r="P96" s="177">
        <v>14157.2</v>
      </c>
      <c r="Q96" s="177">
        <v>0</v>
      </c>
      <c r="R96" s="177">
        <v>-2890.4</v>
      </c>
      <c r="S96" s="177">
        <v>32490.77</v>
      </c>
      <c r="T96" s="175">
        <v>0</v>
      </c>
      <c r="U96" s="175">
        <v>0</v>
      </c>
      <c r="V96" s="178">
        <v>0</v>
      </c>
      <c r="W96" s="178">
        <v>0</v>
      </c>
      <c r="X96" s="3">
        <v>0</v>
      </c>
      <c r="Y96" s="161">
        <v>1308442.53</v>
      </c>
      <c r="Z96" s="3">
        <f t="shared" si="5"/>
        <v>254227.89</v>
      </c>
      <c r="AA96" s="3">
        <f t="shared" si="6"/>
        <v>4610426.84</v>
      </c>
      <c r="AB96" s="3">
        <f t="shared" si="8"/>
        <v>443040.32</v>
      </c>
      <c r="AC96" s="3">
        <f>ROUND(MAX(0,(D96-V96)*Shift11!$B$3),2)</f>
        <v>2929592.69</v>
      </c>
      <c r="AD96" s="3">
        <f t="shared" si="7"/>
        <v>2929592.69</v>
      </c>
    </row>
    <row r="97" spans="1:30" x14ac:dyDescent="0.2">
      <c r="A97" s="18">
        <v>281</v>
      </c>
      <c r="B97" s="18">
        <v>1</v>
      </c>
      <c r="C97" s="3" t="s">
        <v>93</v>
      </c>
      <c r="D97" s="3">
        <f>Levy!F97</f>
        <v>23889633.899999999</v>
      </c>
      <c r="E97" s="3">
        <f>Levy!G97</f>
        <v>1374774.66</v>
      </c>
      <c r="F97" s="3">
        <f>Levy!H97</f>
        <v>0</v>
      </c>
      <c r="G97" s="3">
        <f>Levy!I97</f>
        <v>8938071.5700000003</v>
      </c>
      <c r="H97" s="3">
        <f>Levy!J97</f>
        <v>1808484.14</v>
      </c>
      <c r="I97" s="176">
        <v>0</v>
      </c>
      <c r="J97" s="177">
        <v>426063</v>
      </c>
      <c r="K97" s="177">
        <v>280259.51</v>
      </c>
      <c r="L97" s="177">
        <v>0</v>
      </c>
      <c r="M97" s="175">
        <v>0</v>
      </c>
      <c r="N97" s="175">
        <v>0</v>
      </c>
      <c r="O97" s="175">
        <v>0</v>
      </c>
      <c r="P97" s="177">
        <v>71280.160000000003</v>
      </c>
      <c r="Q97" s="177">
        <v>0</v>
      </c>
      <c r="R97" s="177">
        <v>-1070.05</v>
      </c>
      <c r="S97" s="177">
        <v>0</v>
      </c>
      <c r="T97" s="175">
        <v>0</v>
      </c>
      <c r="U97" s="175">
        <v>0</v>
      </c>
      <c r="V97" s="178">
        <v>0</v>
      </c>
      <c r="W97" s="178">
        <v>0</v>
      </c>
      <c r="X97" s="3">
        <v>0</v>
      </c>
      <c r="Y97" s="161">
        <v>3392196.06</v>
      </c>
      <c r="Z97" s="3">
        <f t="shared" si="5"/>
        <v>776532.62</v>
      </c>
      <c r="AA97" s="3">
        <f t="shared" si="6"/>
        <v>9536313.6099999994</v>
      </c>
      <c r="AB97" s="3">
        <f t="shared" si="8"/>
        <v>1808484.14</v>
      </c>
      <c r="AC97" s="3">
        <f>ROUND(MAX(0,(D97-V97)*Shift11!$B$3),2)</f>
        <v>11610362.08</v>
      </c>
      <c r="AD97" s="3">
        <f t="shared" si="7"/>
        <v>11610362.08</v>
      </c>
    </row>
    <row r="98" spans="1:30" x14ac:dyDescent="0.2">
      <c r="A98" s="18">
        <v>282</v>
      </c>
      <c r="B98" s="18">
        <v>1</v>
      </c>
      <c r="C98" s="3" t="s">
        <v>94</v>
      </c>
      <c r="D98" s="3">
        <f>Levy!F98</f>
        <v>1932104.86</v>
      </c>
      <c r="E98" s="3">
        <f>Levy!G98</f>
        <v>238478.8</v>
      </c>
      <c r="F98" s="3">
        <f>Levy!H98</f>
        <v>0</v>
      </c>
      <c r="G98" s="3">
        <f>Levy!I98</f>
        <v>867130.77</v>
      </c>
      <c r="H98" s="3">
        <f>Levy!J98</f>
        <v>174886.26</v>
      </c>
      <c r="I98" s="176">
        <v>0</v>
      </c>
      <c r="J98" s="177">
        <v>13800</v>
      </c>
      <c r="K98" s="177">
        <v>15868.2</v>
      </c>
      <c r="L98" s="177">
        <v>0</v>
      </c>
      <c r="M98" s="175">
        <v>0</v>
      </c>
      <c r="N98" s="175">
        <v>0</v>
      </c>
      <c r="O98" s="175">
        <v>0</v>
      </c>
      <c r="P98" s="177">
        <v>11250.76</v>
      </c>
      <c r="Q98" s="177">
        <v>0</v>
      </c>
      <c r="R98" s="177">
        <v>0</v>
      </c>
      <c r="S98" s="177">
        <v>0</v>
      </c>
      <c r="T98" s="175">
        <v>0</v>
      </c>
      <c r="U98" s="175">
        <v>0</v>
      </c>
      <c r="V98" s="178">
        <v>0</v>
      </c>
      <c r="W98" s="178">
        <v>0</v>
      </c>
      <c r="X98" s="3">
        <v>0</v>
      </c>
      <c r="Y98" s="161">
        <v>285410.61</v>
      </c>
      <c r="Z98" s="3">
        <f t="shared" si="5"/>
        <v>40918.959999999999</v>
      </c>
      <c r="AA98" s="3">
        <f t="shared" si="6"/>
        <v>1064690.6100000001</v>
      </c>
      <c r="AB98" s="3">
        <f t="shared" si="8"/>
        <v>174886.26</v>
      </c>
      <c r="AC98" s="3">
        <f>ROUND(MAX(0,(D98-V98)*Shift11!$B$3),2)</f>
        <v>939002.96</v>
      </c>
      <c r="AD98" s="3">
        <f t="shared" si="7"/>
        <v>939002.96</v>
      </c>
    </row>
    <row r="99" spans="1:30" x14ac:dyDescent="0.2">
      <c r="A99" s="18">
        <v>283</v>
      </c>
      <c r="B99" s="18">
        <v>1</v>
      </c>
      <c r="C99" s="3" t="s">
        <v>95</v>
      </c>
      <c r="D99" s="3">
        <f>Levy!F99</f>
        <v>9339514.4600000009</v>
      </c>
      <c r="E99" s="3">
        <f>Levy!G99</f>
        <v>351933.35</v>
      </c>
      <c r="F99" s="3">
        <f>Levy!H99</f>
        <v>1404117</v>
      </c>
      <c r="G99" s="3">
        <f>Levy!I99</f>
        <v>3564608.53</v>
      </c>
      <c r="H99" s="3">
        <f>Levy!J99</f>
        <v>907562.11</v>
      </c>
      <c r="I99" s="176">
        <v>0</v>
      </c>
      <c r="J99" s="177">
        <v>105000</v>
      </c>
      <c r="K99" s="177">
        <v>93726.55</v>
      </c>
      <c r="L99" s="177">
        <v>0</v>
      </c>
      <c r="M99" s="175">
        <v>0</v>
      </c>
      <c r="N99" s="175">
        <v>0</v>
      </c>
      <c r="O99" s="175">
        <v>0</v>
      </c>
      <c r="P99" s="177">
        <v>76521.179999999993</v>
      </c>
      <c r="Q99" s="177">
        <v>0</v>
      </c>
      <c r="R99" s="177">
        <v>-4176</v>
      </c>
      <c r="S99" s="177">
        <v>0</v>
      </c>
      <c r="T99" s="175">
        <v>0</v>
      </c>
      <c r="U99" s="175">
        <v>0</v>
      </c>
      <c r="V99" s="178">
        <v>0</v>
      </c>
      <c r="W99" s="178">
        <v>0</v>
      </c>
      <c r="X99" s="3">
        <v>0</v>
      </c>
      <c r="Y99" s="161">
        <v>2205291.65</v>
      </c>
      <c r="Z99" s="3">
        <f t="shared" si="5"/>
        <v>271071.73</v>
      </c>
      <c r="AA99" s="3">
        <f t="shared" si="6"/>
        <v>5049587.1500000004</v>
      </c>
      <c r="AB99" s="3">
        <f t="shared" si="8"/>
        <v>907562.11</v>
      </c>
      <c r="AC99" s="3">
        <f>ROUND(MAX(0,(D99-V99)*Shift11!$B$3),2)</f>
        <v>4539004.03</v>
      </c>
      <c r="AD99" s="3">
        <f t="shared" si="7"/>
        <v>4539004.03</v>
      </c>
    </row>
    <row r="100" spans="1:30" x14ac:dyDescent="0.2">
      <c r="A100" s="18">
        <v>284</v>
      </c>
      <c r="B100" s="18">
        <v>1</v>
      </c>
      <c r="C100" s="3" t="s">
        <v>96</v>
      </c>
      <c r="D100" s="3">
        <f>Levy!F100</f>
        <v>18985748.829999998</v>
      </c>
      <c r="E100" s="3">
        <f>Levy!G100</f>
        <v>948553.59</v>
      </c>
      <c r="F100" s="3">
        <f>Levy!H100</f>
        <v>5582408</v>
      </c>
      <c r="G100" s="3">
        <f>Levy!I100</f>
        <v>9645971.1999999993</v>
      </c>
      <c r="H100" s="3">
        <f>Levy!J100</f>
        <v>1402000.35</v>
      </c>
      <c r="I100" s="176">
        <v>0</v>
      </c>
      <c r="J100" s="177">
        <v>57100</v>
      </c>
      <c r="K100" s="177">
        <v>225500.85</v>
      </c>
      <c r="L100" s="177">
        <v>0</v>
      </c>
      <c r="M100" s="175">
        <v>0</v>
      </c>
      <c r="N100" s="175">
        <v>0</v>
      </c>
      <c r="O100" s="175">
        <v>0</v>
      </c>
      <c r="P100" s="177">
        <v>10728.14</v>
      </c>
      <c r="Q100" s="177">
        <v>-67828.14</v>
      </c>
      <c r="R100" s="177">
        <v>3346.4</v>
      </c>
      <c r="S100" s="177">
        <v>0</v>
      </c>
      <c r="T100" s="175">
        <v>0</v>
      </c>
      <c r="U100" s="175">
        <v>0</v>
      </c>
      <c r="V100" s="178">
        <v>0</v>
      </c>
      <c r="W100" s="178">
        <v>0</v>
      </c>
      <c r="X100" s="3">
        <v>0</v>
      </c>
      <c r="Y100" s="161">
        <v>3560480.14</v>
      </c>
      <c r="Z100" s="3">
        <f t="shared" si="5"/>
        <v>228847.24999999997</v>
      </c>
      <c r="AA100" s="3">
        <f t="shared" si="6"/>
        <v>15948085.539999999</v>
      </c>
      <c r="AB100" s="3">
        <f t="shared" si="8"/>
        <v>1402000.35</v>
      </c>
      <c r="AC100" s="3">
        <f>ROUND(MAX(0,(D100-V100)*Shift11!$B$3),2)</f>
        <v>9227073.9299999997</v>
      </c>
      <c r="AD100" s="3">
        <f t="shared" si="7"/>
        <v>9227073.9299999997</v>
      </c>
    </row>
    <row r="101" spans="1:30" x14ac:dyDescent="0.2">
      <c r="A101" s="18">
        <v>286</v>
      </c>
      <c r="B101" s="18">
        <v>1</v>
      </c>
      <c r="C101" s="3" t="s">
        <v>97</v>
      </c>
      <c r="D101" s="3">
        <f>Levy!F101</f>
        <v>412750.67</v>
      </c>
      <c r="E101" s="3">
        <f>Levy!G101</f>
        <v>300195.49</v>
      </c>
      <c r="F101" s="3">
        <f>Levy!H101</f>
        <v>0</v>
      </c>
      <c r="G101" s="3">
        <f>Levy!I101</f>
        <v>811533.45</v>
      </c>
      <c r="H101" s="3">
        <f>Levy!J101</f>
        <v>141115.15</v>
      </c>
      <c r="I101" s="176">
        <v>0</v>
      </c>
      <c r="J101" s="177">
        <v>41790</v>
      </c>
      <c r="K101" s="177">
        <v>52695.35</v>
      </c>
      <c r="L101" s="177">
        <v>0</v>
      </c>
      <c r="M101" s="175">
        <v>0</v>
      </c>
      <c r="N101" s="175">
        <v>0</v>
      </c>
      <c r="O101" s="175">
        <v>0</v>
      </c>
      <c r="P101" s="177">
        <v>-15325.09</v>
      </c>
      <c r="Q101" s="177">
        <v>0</v>
      </c>
      <c r="R101" s="177">
        <v>4087.06</v>
      </c>
      <c r="S101" s="177">
        <v>0</v>
      </c>
      <c r="T101" s="175">
        <v>0</v>
      </c>
      <c r="U101" s="175">
        <v>0</v>
      </c>
      <c r="V101" s="178">
        <v>0</v>
      </c>
      <c r="W101" s="178">
        <v>0</v>
      </c>
      <c r="X101" s="3">
        <v>53469.46</v>
      </c>
      <c r="Y101" s="161">
        <v>324009.17</v>
      </c>
      <c r="Z101" s="3">
        <f t="shared" si="5"/>
        <v>83247.320000000007</v>
      </c>
      <c r="AA101" s="3">
        <f t="shared" si="6"/>
        <v>975012.16</v>
      </c>
      <c r="AB101" s="3">
        <f t="shared" si="8"/>
        <v>141115.15</v>
      </c>
      <c r="AC101" s="3">
        <f>ROUND(MAX(0,(D101-V101)*Shift11!$B$3),2)</f>
        <v>200596.83</v>
      </c>
      <c r="AD101" s="3">
        <f t="shared" si="7"/>
        <v>324009.17</v>
      </c>
    </row>
    <row r="102" spans="1:30" x14ac:dyDescent="0.2">
      <c r="A102" s="18">
        <v>294</v>
      </c>
      <c r="B102" s="18">
        <v>1</v>
      </c>
      <c r="C102" s="3" t="s">
        <v>98</v>
      </c>
      <c r="D102" s="3">
        <f>Levy!F102</f>
        <v>417989</v>
      </c>
      <c r="E102" s="3">
        <f>Levy!G102</f>
        <v>332683</v>
      </c>
      <c r="F102" s="3">
        <f>Levy!H102</f>
        <v>0</v>
      </c>
      <c r="G102" s="3">
        <f>Levy!I102</f>
        <v>113106</v>
      </c>
      <c r="H102" s="3">
        <f>Levy!J102</f>
        <v>34540</v>
      </c>
      <c r="I102" s="176">
        <v>0</v>
      </c>
      <c r="J102" s="177">
        <v>0</v>
      </c>
      <c r="K102" s="177">
        <v>0</v>
      </c>
      <c r="L102" s="177">
        <v>0</v>
      </c>
      <c r="M102" s="175">
        <v>0</v>
      </c>
      <c r="N102" s="175">
        <v>0</v>
      </c>
      <c r="O102" s="175">
        <v>0</v>
      </c>
      <c r="P102" s="177">
        <v>0</v>
      </c>
      <c r="Q102" s="177">
        <v>0</v>
      </c>
      <c r="R102" s="177">
        <v>0</v>
      </c>
      <c r="S102" s="177">
        <v>0</v>
      </c>
      <c r="T102" s="175">
        <v>0</v>
      </c>
      <c r="U102" s="175">
        <v>0</v>
      </c>
      <c r="V102" s="178">
        <v>0</v>
      </c>
      <c r="W102" s="178">
        <v>0</v>
      </c>
      <c r="X102" s="3">
        <v>0</v>
      </c>
      <c r="Y102" s="161">
        <v>100737.93</v>
      </c>
      <c r="Z102" s="3">
        <f t="shared" si="5"/>
        <v>0</v>
      </c>
      <c r="AA102" s="3">
        <f t="shared" si="6"/>
        <v>445789</v>
      </c>
      <c r="AB102" s="3">
        <f t="shared" si="8"/>
        <v>34540</v>
      </c>
      <c r="AC102" s="3">
        <f>ROUND(MAX(0,(D102-V102)*Shift11!$B$3),2)</f>
        <v>203142.65</v>
      </c>
      <c r="AD102" s="3">
        <f t="shared" si="7"/>
        <v>203142.65</v>
      </c>
    </row>
    <row r="103" spans="1:30" x14ac:dyDescent="0.2">
      <c r="A103" s="18">
        <v>297</v>
      </c>
      <c r="B103" s="18">
        <v>1</v>
      </c>
      <c r="C103" s="3" t="s">
        <v>99</v>
      </c>
      <c r="D103" s="3">
        <f>Levy!F103</f>
        <v>393717</v>
      </c>
      <c r="E103" s="3">
        <f>Levy!G103</f>
        <v>15406</v>
      </c>
      <c r="F103" s="3">
        <f>Levy!H103</f>
        <v>0</v>
      </c>
      <c r="G103" s="3">
        <f>Levy!I103</f>
        <v>150483</v>
      </c>
      <c r="H103" s="3">
        <f>Levy!J103</f>
        <v>23453</v>
      </c>
      <c r="I103" s="176">
        <v>0</v>
      </c>
      <c r="J103" s="177">
        <v>12150</v>
      </c>
      <c r="K103" s="177">
        <v>11665.08</v>
      </c>
      <c r="L103" s="177">
        <v>0</v>
      </c>
      <c r="M103" s="175">
        <v>0</v>
      </c>
      <c r="N103" s="175">
        <v>0</v>
      </c>
      <c r="O103" s="175">
        <v>0</v>
      </c>
      <c r="P103" s="177">
        <v>8886.59</v>
      </c>
      <c r="Q103" s="177">
        <v>0</v>
      </c>
      <c r="R103" s="177">
        <v>0</v>
      </c>
      <c r="S103" s="177">
        <v>0</v>
      </c>
      <c r="T103" s="175">
        <v>0</v>
      </c>
      <c r="U103" s="175">
        <v>0</v>
      </c>
      <c r="V103" s="178">
        <v>0</v>
      </c>
      <c r="W103" s="178">
        <v>0</v>
      </c>
      <c r="X103" s="3">
        <v>2325.33</v>
      </c>
      <c r="Y103" s="161">
        <v>58342.8</v>
      </c>
      <c r="Z103" s="3">
        <f t="shared" si="5"/>
        <v>32701.670000000002</v>
      </c>
      <c r="AA103" s="3">
        <f t="shared" si="6"/>
        <v>130862</v>
      </c>
      <c r="AB103" s="3">
        <f t="shared" si="8"/>
        <v>23453</v>
      </c>
      <c r="AC103" s="3">
        <f>ROUND(MAX(0,(D103-V103)*Shift11!$B$3),2)</f>
        <v>191346.46</v>
      </c>
      <c r="AD103" s="3">
        <f t="shared" si="7"/>
        <v>191346.46</v>
      </c>
    </row>
    <row r="104" spans="1:30" x14ac:dyDescent="0.2">
      <c r="A104" s="18">
        <v>299</v>
      </c>
      <c r="B104" s="18">
        <v>1</v>
      </c>
      <c r="C104" s="3" t="s">
        <v>100</v>
      </c>
      <c r="D104" s="3">
        <f>Levy!F104</f>
        <v>484396</v>
      </c>
      <c r="E104" s="3">
        <f>Levy!G104</f>
        <v>68302</v>
      </c>
      <c r="F104" s="3">
        <f>Levy!H104</f>
        <v>0</v>
      </c>
      <c r="G104" s="3">
        <f>Levy!I104</f>
        <v>390058</v>
      </c>
      <c r="H104" s="3">
        <f>Levy!J104</f>
        <v>71022</v>
      </c>
      <c r="I104" s="176">
        <v>0</v>
      </c>
      <c r="J104" s="177">
        <v>20000</v>
      </c>
      <c r="K104" s="177">
        <v>27077.13</v>
      </c>
      <c r="L104" s="177">
        <v>0</v>
      </c>
      <c r="M104" s="175">
        <v>0</v>
      </c>
      <c r="N104" s="175">
        <v>0</v>
      </c>
      <c r="O104" s="175">
        <v>0</v>
      </c>
      <c r="P104" s="177">
        <v>9026.2800000000007</v>
      </c>
      <c r="Q104" s="177">
        <v>0</v>
      </c>
      <c r="R104" s="177">
        <v>0</v>
      </c>
      <c r="S104" s="177">
        <v>0</v>
      </c>
      <c r="T104" s="175">
        <v>0</v>
      </c>
      <c r="U104" s="175">
        <v>0</v>
      </c>
      <c r="V104" s="178">
        <v>0</v>
      </c>
      <c r="W104" s="178">
        <v>0</v>
      </c>
      <c r="X104" s="3">
        <v>392.08</v>
      </c>
      <c r="Y104" s="161">
        <v>48805.67</v>
      </c>
      <c r="Z104" s="3">
        <f t="shared" si="5"/>
        <v>56103.41</v>
      </c>
      <c r="AA104" s="3">
        <f t="shared" si="6"/>
        <v>401864.51</v>
      </c>
      <c r="AB104" s="3">
        <f t="shared" si="8"/>
        <v>71022</v>
      </c>
      <c r="AC104" s="3">
        <f>ROUND(MAX(0,(D104-V104)*Shift11!$B$3),2)</f>
        <v>235416.46</v>
      </c>
      <c r="AD104" s="3">
        <f t="shared" si="7"/>
        <v>235416.46</v>
      </c>
    </row>
    <row r="105" spans="1:30" x14ac:dyDescent="0.2">
      <c r="A105" s="18">
        <v>300</v>
      </c>
      <c r="B105" s="18">
        <v>1</v>
      </c>
      <c r="C105" s="3" t="s">
        <v>101</v>
      </c>
      <c r="D105" s="3">
        <f>Levy!F105</f>
        <v>764959</v>
      </c>
      <c r="E105" s="3">
        <f>Levy!G105</f>
        <v>157770</v>
      </c>
      <c r="F105" s="3">
        <f>Levy!H105</f>
        <v>0</v>
      </c>
      <c r="G105" s="3">
        <f>Levy!I105</f>
        <v>447031</v>
      </c>
      <c r="H105" s="3">
        <f>Levy!J105</f>
        <v>148363</v>
      </c>
      <c r="I105" s="176">
        <v>0</v>
      </c>
      <c r="J105" s="177">
        <v>17078.849999999999</v>
      </c>
      <c r="K105" s="177">
        <v>17466.12</v>
      </c>
      <c r="L105" s="177">
        <v>0</v>
      </c>
      <c r="M105" s="175">
        <v>0</v>
      </c>
      <c r="N105" s="175">
        <v>0</v>
      </c>
      <c r="O105" s="175">
        <v>0</v>
      </c>
      <c r="P105" s="177">
        <v>18701.36</v>
      </c>
      <c r="Q105" s="177">
        <v>0</v>
      </c>
      <c r="R105" s="177">
        <v>-4845.07</v>
      </c>
      <c r="S105" s="177">
        <v>0</v>
      </c>
      <c r="T105" s="175">
        <v>0</v>
      </c>
      <c r="U105" s="175">
        <v>0</v>
      </c>
      <c r="V105" s="178">
        <v>0</v>
      </c>
      <c r="W105" s="178">
        <v>0</v>
      </c>
      <c r="X105" s="3">
        <v>0</v>
      </c>
      <c r="Y105" s="161">
        <v>46368.28</v>
      </c>
      <c r="Z105" s="3">
        <f t="shared" si="5"/>
        <v>48401.26</v>
      </c>
      <c r="AA105" s="3">
        <f t="shared" si="6"/>
        <v>556399.74</v>
      </c>
      <c r="AB105" s="3">
        <f t="shared" si="8"/>
        <v>148363</v>
      </c>
      <c r="AC105" s="3">
        <f>ROUND(MAX(0,(D105-V105)*Shift11!$B$3),2)</f>
        <v>371770.07</v>
      </c>
      <c r="AD105" s="3">
        <f t="shared" si="7"/>
        <v>371770.07</v>
      </c>
    </row>
    <row r="106" spans="1:30" x14ac:dyDescent="0.2">
      <c r="A106" s="18">
        <v>306</v>
      </c>
      <c r="B106" s="18">
        <v>1</v>
      </c>
      <c r="C106" s="3" t="s">
        <v>102</v>
      </c>
      <c r="D106" s="3">
        <f>Levy!F106</f>
        <v>0</v>
      </c>
      <c r="E106" s="3">
        <f>Levy!G106</f>
        <v>54100.66</v>
      </c>
      <c r="F106" s="3">
        <f>Levy!H106</f>
        <v>0</v>
      </c>
      <c r="G106" s="3">
        <f>Levy!I106</f>
        <v>140407.51</v>
      </c>
      <c r="H106" s="3">
        <f>Levy!J106</f>
        <v>22310.23</v>
      </c>
      <c r="I106" s="176">
        <v>0</v>
      </c>
      <c r="J106" s="177">
        <v>7935</v>
      </c>
      <c r="K106" s="177">
        <v>11665.08</v>
      </c>
      <c r="L106" s="177">
        <v>0</v>
      </c>
      <c r="M106" s="175">
        <v>0</v>
      </c>
      <c r="N106" s="175">
        <v>0</v>
      </c>
      <c r="O106" s="175">
        <v>0</v>
      </c>
      <c r="P106" s="177">
        <v>1766.83</v>
      </c>
      <c r="Q106" s="177">
        <v>0</v>
      </c>
      <c r="R106" s="177">
        <v>0</v>
      </c>
      <c r="S106" s="177">
        <v>0</v>
      </c>
      <c r="T106" s="175">
        <v>0</v>
      </c>
      <c r="U106" s="175">
        <v>0</v>
      </c>
      <c r="V106" s="178">
        <v>0</v>
      </c>
      <c r="W106" s="178">
        <v>0</v>
      </c>
      <c r="X106" s="3">
        <v>566.32000000000005</v>
      </c>
      <c r="Y106" s="161">
        <v>19117.21</v>
      </c>
      <c r="Z106" s="3">
        <f t="shared" si="5"/>
        <v>21366.910000000003</v>
      </c>
      <c r="AA106" s="3">
        <f t="shared" si="6"/>
        <v>172574.94</v>
      </c>
      <c r="AB106" s="3">
        <f t="shared" si="8"/>
        <v>22310.23</v>
      </c>
      <c r="AC106" s="3">
        <f>ROUND(MAX(0,(D106-V106)*Shift11!$B$3),2)</f>
        <v>0</v>
      </c>
      <c r="AD106" s="3">
        <f t="shared" si="7"/>
        <v>19117.21</v>
      </c>
    </row>
    <row r="107" spans="1:30" x14ac:dyDescent="0.2">
      <c r="A107" s="18">
        <v>308</v>
      </c>
      <c r="B107" s="18">
        <v>1</v>
      </c>
      <c r="C107" s="3" t="s">
        <v>103</v>
      </c>
      <c r="D107" s="3">
        <f>Levy!F107</f>
        <v>82905.070000000007</v>
      </c>
      <c r="E107" s="3">
        <f>Levy!G107</f>
        <v>109042.63</v>
      </c>
      <c r="F107" s="3">
        <f>Levy!H107</f>
        <v>0</v>
      </c>
      <c r="G107" s="3">
        <f>Levy!I107</f>
        <v>218767.19</v>
      </c>
      <c r="H107" s="3">
        <f>Levy!J107</f>
        <v>42982.16</v>
      </c>
      <c r="I107" s="176">
        <v>0</v>
      </c>
      <c r="J107" s="177">
        <v>12875</v>
      </c>
      <c r="K107" s="177">
        <v>20351.88</v>
      </c>
      <c r="L107" s="177">
        <v>0</v>
      </c>
      <c r="M107" s="175">
        <v>0</v>
      </c>
      <c r="N107" s="175">
        <v>0</v>
      </c>
      <c r="O107" s="175">
        <v>0</v>
      </c>
      <c r="P107" s="177">
        <v>-2101.41</v>
      </c>
      <c r="Q107" s="177">
        <v>0</v>
      </c>
      <c r="R107" s="177">
        <v>0</v>
      </c>
      <c r="S107" s="177">
        <v>0</v>
      </c>
      <c r="T107" s="175">
        <v>0</v>
      </c>
      <c r="U107" s="175">
        <v>0</v>
      </c>
      <c r="V107" s="178">
        <v>0</v>
      </c>
      <c r="W107" s="178">
        <v>0</v>
      </c>
      <c r="X107" s="3">
        <v>6860.73</v>
      </c>
      <c r="Y107" s="161">
        <v>39387.699999999997</v>
      </c>
      <c r="Z107" s="3">
        <f t="shared" si="5"/>
        <v>31125.470000000005</v>
      </c>
      <c r="AA107" s="3">
        <f t="shared" si="6"/>
        <v>289823.62</v>
      </c>
      <c r="AB107" s="3">
        <f t="shared" si="8"/>
        <v>42982.16</v>
      </c>
      <c r="AC107" s="3">
        <f>ROUND(MAX(0,(D107-V107)*Shift11!$B$3),2)</f>
        <v>40291.86</v>
      </c>
      <c r="AD107" s="3">
        <f t="shared" si="7"/>
        <v>40291.86</v>
      </c>
    </row>
    <row r="108" spans="1:30" x14ac:dyDescent="0.2">
      <c r="A108" s="18">
        <v>309</v>
      </c>
      <c r="B108" s="18">
        <v>1</v>
      </c>
      <c r="C108" s="3" t="s">
        <v>104</v>
      </c>
      <c r="D108" s="3">
        <f>Levy!F108</f>
        <v>902220</v>
      </c>
      <c r="E108" s="3">
        <f>Levy!G108</f>
        <v>200484.4</v>
      </c>
      <c r="F108" s="3">
        <f>Levy!H108</f>
        <v>0</v>
      </c>
      <c r="G108" s="3">
        <f>Levy!I108</f>
        <v>490944.23</v>
      </c>
      <c r="H108" s="3">
        <f>Levy!J108</f>
        <v>190079.44</v>
      </c>
      <c r="I108" s="176">
        <v>0</v>
      </c>
      <c r="J108" s="177">
        <v>20000</v>
      </c>
      <c r="K108" s="177">
        <v>45864.9</v>
      </c>
      <c r="L108" s="177">
        <v>0</v>
      </c>
      <c r="M108" s="175">
        <v>0</v>
      </c>
      <c r="N108" s="175">
        <v>0</v>
      </c>
      <c r="O108" s="175">
        <v>0</v>
      </c>
      <c r="P108" s="177">
        <v>13324.97</v>
      </c>
      <c r="Q108" s="177">
        <v>0</v>
      </c>
      <c r="R108" s="177">
        <v>0</v>
      </c>
      <c r="S108" s="177">
        <v>0</v>
      </c>
      <c r="T108" s="175">
        <v>0</v>
      </c>
      <c r="U108" s="175">
        <v>0</v>
      </c>
      <c r="V108" s="178">
        <v>0</v>
      </c>
      <c r="W108" s="178">
        <v>0</v>
      </c>
      <c r="X108" s="3">
        <v>0</v>
      </c>
      <c r="Y108" s="161">
        <v>90003.03</v>
      </c>
      <c r="Z108" s="3">
        <f t="shared" si="5"/>
        <v>79189.87</v>
      </c>
      <c r="AA108" s="3">
        <f t="shared" si="6"/>
        <v>612238.76</v>
      </c>
      <c r="AB108" s="3">
        <f t="shared" si="8"/>
        <v>190079.44</v>
      </c>
      <c r="AC108" s="3">
        <f>ROUND(MAX(0,(D108-V108)*Shift11!$B$3),2)</f>
        <v>438478.92</v>
      </c>
      <c r="AD108" s="3">
        <f t="shared" si="7"/>
        <v>438478.92</v>
      </c>
    </row>
    <row r="109" spans="1:30" x14ac:dyDescent="0.2">
      <c r="A109" s="18">
        <v>314</v>
      </c>
      <c r="B109" s="18">
        <v>1</v>
      </c>
      <c r="C109" s="3" t="s">
        <v>105</v>
      </c>
      <c r="D109" s="3">
        <f>Levy!F109</f>
        <v>345737.95</v>
      </c>
      <c r="E109" s="3">
        <f>Levy!G109</f>
        <v>56266.23</v>
      </c>
      <c r="F109" s="3">
        <f>Levy!H109</f>
        <v>0</v>
      </c>
      <c r="G109" s="3">
        <f>Levy!I109</f>
        <v>210060.43</v>
      </c>
      <c r="H109" s="3">
        <f>Levy!J109</f>
        <v>46456.06</v>
      </c>
      <c r="I109" s="176">
        <v>0</v>
      </c>
      <c r="J109" s="177">
        <v>10650</v>
      </c>
      <c r="K109" s="177">
        <v>11665.08</v>
      </c>
      <c r="L109" s="177">
        <v>0</v>
      </c>
      <c r="M109" s="175">
        <v>0</v>
      </c>
      <c r="N109" s="175">
        <v>0</v>
      </c>
      <c r="O109" s="175">
        <v>0</v>
      </c>
      <c r="P109" s="177">
        <v>-298.55</v>
      </c>
      <c r="Q109" s="177">
        <v>0</v>
      </c>
      <c r="R109" s="177">
        <v>0</v>
      </c>
      <c r="S109" s="177">
        <v>0</v>
      </c>
      <c r="T109" s="175">
        <v>0</v>
      </c>
      <c r="U109" s="175">
        <v>0</v>
      </c>
      <c r="V109" s="178">
        <v>0</v>
      </c>
      <c r="W109" s="178">
        <v>0</v>
      </c>
      <c r="X109" s="3">
        <v>0</v>
      </c>
      <c r="Y109" s="161">
        <v>43340.39</v>
      </c>
      <c r="Z109" s="3">
        <f t="shared" si="5"/>
        <v>22016.530000000002</v>
      </c>
      <c r="AA109" s="3">
        <f t="shared" si="6"/>
        <v>244310.13</v>
      </c>
      <c r="AB109" s="3">
        <f t="shared" si="8"/>
        <v>46456.06</v>
      </c>
      <c r="AC109" s="3">
        <f>ROUND(MAX(0,(D109-V109)*Shift11!$B$3),2)</f>
        <v>168028.64</v>
      </c>
      <c r="AD109" s="3">
        <f t="shared" si="7"/>
        <v>168028.64</v>
      </c>
    </row>
    <row r="110" spans="1:30" x14ac:dyDescent="0.2">
      <c r="A110" s="18">
        <v>316</v>
      </c>
      <c r="B110" s="18">
        <v>1</v>
      </c>
      <c r="C110" s="3" t="s">
        <v>106</v>
      </c>
      <c r="D110" s="3">
        <f>Levy!F110</f>
        <v>109.96</v>
      </c>
      <c r="E110" s="3">
        <f>Levy!G110</f>
        <v>175448.73</v>
      </c>
      <c r="F110" s="3">
        <f>Levy!H110</f>
        <v>0</v>
      </c>
      <c r="G110" s="3">
        <f>Levy!I110</f>
        <v>256076.24</v>
      </c>
      <c r="H110" s="3">
        <f>Levy!J110</f>
        <v>0</v>
      </c>
      <c r="I110" s="176">
        <v>0</v>
      </c>
      <c r="J110" s="177">
        <v>5000</v>
      </c>
      <c r="K110" s="177">
        <v>33217.24</v>
      </c>
      <c r="L110" s="177">
        <v>0</v>
      </c>
      <c r="M110" s="175">
        <v>0</v>
      </c>
      <c r="N110" s="175">
        <v>0</v>
      </c>
      <c r="O110" s="175">
        <v>0</v>
      </c>
      <c r="P110" s="177">
        <v>46157.45</v>
      </c>
      <c r="Q110" s="177">
        <v>0</v>
      </c>
      <c r="R110" s="177">
        <v>0</v>
      </c>
      <c r="S110" s="177">
        <v>0</v>
      </c>
      <c r="T110" s="175">
        <v>0</v>
      </c>
      <c r="U110" s="175">
        <v>0</v>
      </c>
      <c r="V110" s="178">
        <v>0</v>
      </c>
      <c r="W110" s="178">
        <v>0</v>
      </c>
      <c r="X110" s="3">
        <v>27341.23</v>
      </c>
      <c r="Y110" s="161">
        <v>367402.25</v>
      </c>
      <c r="Z110" s="3">
        <f t="shared" si="5"/>
        <v>84374.69</v>
      </c>
      <c r="AA110" s="3">
        <f t="shared" si="6"/>
        <v>319809.05</v>
      </c>
      <c r="AB110" s="3">
        <f t="shared" si="8"/>
        <v>0</v>
      </c>
      <c r="AC110" s="3">
        <f>ROUND(MAX(0,(D110-V110)*Shift11!$B$3),2)</f>
        <v>53.44</v>
      </c>
      <c r="AD110" s="3">
        <f t="shared" si="7"/>
        <v>367402.25</v>
      </c>
    </row>
    <row r="111" spans="1:30" x14ac:dyDescent="0.2">
      <c r="A111" s="18">
        <v>317</v>
      </c>
      <c r="B111" s="18">
        <v>1</v>
      </c>
      <c r="C111" s="3" t="s">
        <v>107</v>
      </c>
      <c r="D111" s="3">
        <f>Levy!F111</f>
        <v>0</v>
      </c>
      <c r="E111" s="3">
        <f>Levy!G111</f>
        <v>145127.93</v>
      </c>
      <c r="F111" s="3">
        <f>Levy!H111</f>
        <v>0</v>
      </c>
      <c r="G111" s="3">
        <f>Levy!I111</f>
        <v>0</v>
      </c>
      <c r="H111" s="3">
        <f>Levy!J111</f>
        <v>0</v>
      </c>
      <c r="I111" s="176">
        <v>0</v>
      </c>
      <c r="J111" s="177">
        <v>15125.49</v>
      </c>
      <c r="K111" s="177">
        <v>21628.92</v>
      </c>
      <c r="L111" s="177">
        <v>0</v>
      </c>
      <c r="M111" s="175">
        <v>0</v>
      </c>
      <c r="N111" s="175">
        <v>0</v>
      </c>
      <c r="O111" s="175">
        <v>0</v>
      </c>
      <c r="P111" s="177">
        <v>2408.36</v>
      </c>
      <c r="Q111" s="177">
        <v>0</v>
      </c>
      <c r="R111" s="177">
        <v>-574.4</v>
      </c>
      <c r="S111" s="177">
        <v>0</v>
      </c>
      <c r="T111" s="175">
        <v>0</v>
      </c>
      <c r="U111" s="175">
        <v>0</v>
      </c>
      <c r="V111" s="178">
        <v>0</v>
      </c>
      <c r="W111" s="178">
        <v>0</v>
      </c>
      <c r="X111" s="3">
        <v>0</v>
      </c>
      <c r="Y111" s="161">
        <v>51234.74</v>
      </c>
      <c r="Z111" s="3">
        <f t="shared" si="5"/>
        <v>38588.369999999995</v>
      </c>
      <c r="AA111" s="3">
        <f t="shared" si="6"/>
        <v>106539.56</v>
      </c>
      <c r="AB111" s="3">
        <f t="shared" si="8"/>
        <v>0</v>
      </c>
      <c r="AC111" s="3">
        <f>ROUND(MAX(0,(D111-V111)*Shift11!$B$3),2)</f>
        <v>0</v>
      </c>
      <c r="AD111" s="3">
        <f t="shared" si="7"/>
        <v>51234.74</v>
      </c>
    </row>
    <row r="112" spans="1:30" x14ac:dyDescent="0.2">
      <c r="A112" s="18">
        <v>318</v>
      </c>
      <c r="B112" s="18">
        <v>1</v>
      </c>
      <c r="C112" s="3" t="s">
        <v>108</v>
      </c>
      <c r="D112" s="3">
        <f>Levy!F112</f>
        <v>0</v>
      </c>
      <c r="E112" s="3">
        <f>Levy!G112</f>
        <v>506600.41</v>
      </c>
      <c r="F112" s="3">
        <f>Levy!H112</f>
        <v>0</v>
      </c>
      <c r="G112" s="3">
        <f>Levy!I112</f>
        <v>2507594.9300000002</v>
      </c>
      <c r="H112" s="3">
        <f>Levy!J112</f>
        <v>0</v>
      </c>
      <c r="I112" s="176">
        <v>0</v>
      </c>
      <c r="J112" s="177">
        <v>18946.189999999999</v>
      </c>
      <c r="K112" s="177">
        <v>101651.56</v>
      </c>
      <c r="L112" s="177">
        <v>0</v>
      </c>
      <c r="M112" s="175">
        <v>0</v>
      </c>
      <c r="N112" s="175">
        <v>0</v>
      </c>
      <c r="O112" s="175">
        <v>0</v>
      </c>
      <c r="P112" s="177">
        <v>38431.5</v>
      </c>
      <c r="Q112" s="177">
        <v>0</v>
      </c>
      <c r="R112" s="177">
        <v>0</v>
      </c>
      <c r="S112" s="177">
        <v>272732.64</v>
      </c>
      <c r="T112" s="175">
        <v>0</v>
      </c>
      <c r="U112" s="175">
        <v>0</v>
      </c>
      <c r="V112" s="178">
        <v>0</v>
      </c>
      <c r="W112" s="178">
        <v>0</v>
      </c>
      <c r="X112" s="3">
        <v>24400.32</v>
      </c>
      <c r="Y112" s="161">
        <v>181247.22</v>
      </c>
      <c r="Z112" s="3">
        <f t="shared" si="5"/>
        <v>431761.89</v>
      </c>
      <c r="AA112" s="3">
        <f t="shared" si="6"/>
        <v>2558033.13</v>
      </c>
      <c r="AB112" s="3">
        <f t="shared" si="8"/>
        <v>0</v>
      </c>
      <c r="AC112" s="3">
        <f>ROUND(MAX(0,(D112-V112)*Shift11!$B$3),2)</f>
        <v>0</v>
      </c>
      <c r="AD112" s="3">
        <f t="shared" si="7"/>
        <v>181247.22</v>
      </c>
    </row>
    <row r="113" spans="1:30" x14ac:dyDescent="0.2">
      <c r="A113" s="18">
        <v>319</v>
      </c>
      <c r="B113" s="18">
        <v>1</v>
      </c>
      <c r="C113" s="3" t="s">
        <v>109</v>
      </c>
      <c r="D113" s="3">
        <f>Levy!F113</f>
        <v>301636.15999999997</v>
      </c>
      <c r="E113" s="3">
        <f>Levy!G113</f>
        <v>51560.95</v>
      </c>
      <c r="F113" s="3">
        <f>Levy!H113</f>
        <v>0</v>
      </c>
      <c r="G113" s="3">
        <f>Levy!I113</f>
        <v>252556.71</v>
      </c>
      <c r="H113" s="3">
        <f>Levy!J113</f>
        <v>0</v>
      </c>
      <c r="I113" s="176">
        <v>0</v>
      </c>
      <c r="J113" s="177">
        <v>15000</v>
      </c>
      <c r="K113" s="177">
        <v>17048.740000000002</v>
      </c>
      <c r="L113" s="177">
        <v>0</v>
      </c>
      <c r="M113" s="175">
        <v>0</v>
      </c>
      <c r="N113" s="175">
        <v>0</v>
      </c>
      <c r="O113" s="175">
        <v>0</v>
      </c>
      <c r="P113" s="177">
        <v>78066.899999999994</v>
      </c>
      <c r="Q113" s="177">
        <v>0</v>
      </c>
      <c r="R113" s="177">
        <v>-519.69000000000005</v>
      </c>
      <c r="S113" s="177">
        <v>0</v>
      </c>
      <c r="T113" s="175">
        <v>0</v>
      </c>
      <c r="U113" s="175">
        <v>0</v>
      </c>
      <c r="V113" s="178">
        <v>0</v>
      </c>
      <c r="W113" s="178">
        <v>0</v>
      </c>
      <c r="X113" s="3">
        <v>10096.66</v>
      </c>
      <c r="Y113" s="161">
        <v>26397.040000000001</v>
      </c>
      <c r="Z113" s="3">
        <f t="shared" si="5"/>
        <v>109595.95</v>
      </c>
      <c r="AA113" s="3">
        <f t="shared" si="6"/>
        <v>184425.05</v>
      </c>
      <c r="AB113" s="3">
        <f t="shared" si="8"/>
        <v>0</v>
      </c>
      <c r="AC113" s="3">
        <f>ROUND(MAX(0,(D113-V113)*Shift11!$B$3),2)</f>
        <v>146595.17000000001</v>
      </c>
      <c r="AD113" s="3">
        <f t="shared" si="7"/>
        <v>146595.17000000001</v>
      </c>
    </row>
    <row r="114" spans="1:30" x14ac:dyDescent="0.2">
      <c r="A114" s="18">
        <v>323</v>
      </c>
      <c r="B114" s="18">
        <v>2</v>
      </c>
      <c r="C114" s="3" t="s">
        <v>110</v>
      </c>
      <c r="D114" s="3">
        <f>Levy!F114</f>
        <v>64222.720000000001</v>
      </c>
      <c r="E114" s="3">
        <f>Levy!G114</f>
        <v>2565.7800000000002</v>
      </c>
      <c r="F114" s="3">
        <f>Levy!H114</f>
        <v>0</v>
      </c>
      <c r="G114" s="3">
        <f>Levy!I114</f>
        <v>4244.07</v>
      </c>
      <c r="H114" s="3">
        <f>Levy!J114</f>
        <v>2600.86</v>
      </c>
      <c r="I114" s="176">
        <v>0</v>
      </c>
      <c r="J114" s="177">
        <v>0</v>
      </c>
      <c r="K114" s="177">
        <v>0</v>
      </c>
      <c r="L114" s="177">
        <v>0</v>
      </c>
      <c r="M114" s="175">
        <v>0</v>
      </c>
      <c r="N114" s="175">
        <v>0</v>
      </c>
      <c r="O114" s="175">
        <v>0</v>
      </c>
      <c r="P114" s="177">
        <v>0</v>
      </c>
      <c r="Q114" s="177">
        <v>0</v>
      </c>
      <c r="R114" s="177">
        <v>0</v>
      </c>
      <c r="S114" s="177">
        <v>0</v>
      </c>
      <c r="T114" s="175">
        <v>0</v>
      </c>
      <c r="U114" s="175">
        <v>0</v>
      </c>
      <c r="V114" s="178">
        <v>0</v>
      </c>
      <c r="W114" s="178">
        <v>0</v>
      </c>
      <c r="X114" s="3">
        <v>0</v>
      </c>
      <c r="Y114" s="161">
        <v>7317.68</v>
      </c>
      <c r="Z114" s="3">
        <f t="shared" si="5"/>
        <v>0</v>
      </c>
      <c r="AA114" s="3">
        <f t="shared" si="6"/>
        <v>6809.85</v>
      </c>
      <c r="AB114" s="3">
        <f t="shared" si="8"/>
        <v>2600.86</v>
      </c>
      <c r="AC114" s="3">
        <f>ROUND(MAX(0,(D114-V114)*Shift11!$B$3),2)</f>
        <v>31212.240000000002</v>
      </c>
      <c r="AD114" s="3">
        <f t="shared" si="7"/>
        <v>31212.240000000002</v>
      </c>
    </row>
    <row r="115" spans="1:30" x14ac:dyDescent="0.2">
      <c r="A115" s="18">
        <v>330</v>
      </c>
      <c r="B115" s="18">
        <v>1</v>
      </c>
      <c r="C115" s="3" t="s">
        <v>111</v>
      </c>
      <c r="D115" s="3">
        <f>Levy!F115</f>
        <v>478849</v>
      </c>
      <c r="E115" s="3">
        <f>Levy!G115</f>
        <v>13684</v>
      </c>
      <c r="F115" s="3">
        <f>Levy!H115</f>
        <v>0</v>
      </c>
      <c r="G115" s="3">
        <f>Levy!I115</f>
        <v>141635</v>
      </c>
      <c r="H115" s="3">
        <f>Levy!J115</f>
        <v>26933</v>
      </c>
      <c r="I115" s="176">
        <v>0</v>
      </c>
      <c r="J115" s="177">
        <v>750</v>
      </c>
      <c r="K115" s="177">
        <v>20351.88</v>
      </c>
      <c r="L115" s="177">
        <v>0</v>
      </c>
      <c r="M115" s="175">
        <v>0</v>
      </c>
      <c r="N115" s="175">
        <v>0</v>
      </c>
      <c r="O115" s="175">
        <v>0</v>
      </c>
      <c r="P115" s="177">
        <v>880.39</v>
      </c>
      <c r="Q115" s="177">
        <v>-1630.39</v>
      </c>
      <c r="R115" s="177">
        <v>0</v>
      </c>
      <c r="S115" s="177">
        <v>0</v>
      </c>
      <c r="T115" s="175">
        <v>0</v>
      </c>
      <c r="U115" s="175">
        <v>0</v>
      </c>
      <c r="V115" s="178">
        <v>0</v>
      </c>
      <c r="W115" s="178">
        <v>0</v>
      </c>
      <c r="X115" s="3">
        <v>18104.77</v>
      </c>
      <c r="Y115" s="161">
        <v>74812.61</v>
      </c>
      <c r="Z115" s="3">
        <f t="shared" si="5"/>
        <v>20351.88</v>
      </c>
      <c r="AA115" s="3">
        <f t="shared" si="6"/>
        <v>116862.35</v>
      </c>
      <c r="AB115" s="3">
        <f t="shared" si="8"/>
        <v>26933</v>
      </c>
      <c r="AC115" s="3">
        <f>ROUND(MAX(0,(D115-V115)*Shift11!$B$3),2)</f>
        <v>232720.61</v>
      </c>
      <c r="AD115" s="3">
        <f t="shared" si="7"/>
        <v>232720.61</v>
      </c>
    </row>
    <row r="116" spans="1:30" x14ac:dyDescent="0.2">
      <c r="A116" s="18">
        <v>332</v>
      </c>
      <c r="B116" s="18">
        <v>1</v>
      </c>
      <c r="C116" s="3" t="s">
        <v>112</v>
      </c>
      <c r="D116" s="3">
        <f>Levy!F116</f>
        <v>160978.26999999999</v>
      </c>
      <c r="E116" s="3">
        <f>Levy!G116</f>
        <v>174562.83</v>
      </c>
      <c r="F116" s="3">
        <f>Levy!H116</f>
        <v>0</v>
      </c>
      <c r="G116" s="3">
        <f>Levy!I116</f>
        <v>403423.14</v>
      </c>
      <c r="H116" s="3">
        <f>Levy!J116</f>
        <v>101519.21</v>
      </c>
      <c r="I116" s="176">
        <v>0</v>
      </c>
      <c r="J116" s="177">
        <v>50000</v>
      </c>
      <c r="K116" s="177">
        <v>42790.41</v>
      </c>
      <c r="L116" s="177">
        <v>0</v>
      </c>
      <c r="M116" s="175">
        <v>0</v>
      </c>
      <c r="N116" s="175">
        <v>0</v>
      </c>
      <c r="O116" s="175">
        <v>0</v>
      </c>
      <c r="P116" s="177">
        <v>7073.84</v>
      </c>
      <c r="Q116" s="177">
        <v>0</v>
      </c>
      <c r="R116" s="177">
        <v>0</v>
      </c>
      <c r="S116" s="177">
        <v>0</v>
      </c>
      <c r="T116" s="175">
        <v>0</v>
      </c>
      <c r="U116" s="175">
        <v>0</v>
      </c>
      <c r="V116" s="178">
        <v>0</v>
      </c>
      <c r="W116" s="178">
        <v>0</v>
      </c>
      <c r="X116" s="3">
        <v>0</v>
      </c>
      <c r="Y116" s="161">
        <v>0</v>
      </c>
      <c r="Z116" s="3">
        <f t="shared" si="5"/>
        <v>99864.25</v>
      </c>
      <c r="AA116" s="3">
        <f t="shared" si="6"/>
        <v>478121.72</v>
      </c>
      <c r="AB116" s="3">
        <f t="shared" si="8"/>
        <v>101519.21</v>
      </c>
      <c r="AC116" s="3">
        <f>ROUND(MAX(0,(D116-V116)*Shift11!$B$3),2)</f>
        <v>78235.44</v>
      </c>
      <c r="AD116" s="3">
        <f t="shared" si="7"/>
        <v>78235.44</v>
      </c>
    </row>
    <row r="117" spans="1:30" x14ac:dyDescent="0.2">
      <c r="A117" s="18">
        <v>333</v>
      </c>
      <c r="B117" s="18">
        <v>1</v>
      </c>
      <c r="C117" s="3" t="s">
        <v>113</v>
      </c>
      <c r="D117" s="3">
        <f>Levy!F117</f>
        <v>0</v>
      </c>
      <c r="E117" s="3">
        <f>Levy!G117</f>
        <v>62028.05</v>
      </c>
      <c r="F117" s="3">
        <f>Levy!H117</f>
        <v>0</v>
      </c>
      <c r="G117" s="3">
        <f>Levy!I117</f>
        <v>140056.14000000001</v>
      </c>
      <c r="H117" s="3">
        <f>Levy!J117</f>
        <v>30213.360000000001</v>
      </c>
      <c r="I117" s="176">
        <v>0</v>
      </c>
      <c r="J117" s="177">
        <v>15000</v>
      </c>
      <c r="K117" s="177">
        <v>13749.4</v>
      </c>
      <c r="L117" s="177">
        <v>0</v>
      </c>
      <c r="M117" s="175">
        <v>0</v>
      </c>
      <c r="N117" s="175">
        <v>0</v>
      </c>
      <c r="O117" s="175">
        <v>0</v>
      </c>
      <c r="P117" s="177">
        <v>-8245.9</v>
      </c>
      <c r="Q117" s="177">
        <v>0</v>
      </c>
      <c r="R117" s="177">
        <v>-1786.81</v>
      </c>
      <c r="S117" s="177">
        <v>0</v>
      </c>
      <c r="T117" s="175">
        <v>0</v>
      </c>
      <c r="U117" s="175">
        <v>0</v>
      </c>
      <c r="V117" s="178">
        <v>0</v>
      </c>
      <c r="W117" s="178">
        <v>0</v>
      </c>
      <c r="X117" s="3">
        <v>0</v>
      </c>
      <c r="Y117" s="161">
        <v>23206.16</v>
      </c>
      <c r="Z117" s="3">
        <f t="shared" si="5"/>
        <v>18716.689999999999</v>
      </c>
      <c r="AA117" s="3">
        <f t="shared" si="6"/>
        <v>183367.5</v>
      </c>
      <c r="AB117" s="3">
        <f t="shared" si="8"/>
        <v>30213.360000000001</v>
      </c>
      <c r="AC117" s="3">
        <f>ROUND(MAX(0,(D117-V117)*Shift11!$B$3),2)</f>
        <v>0</v>
      </c>
      <c r="AD117" s="3">
        <f t="shared" si="7"/>
        <v>23206.16</v>
      </c>
    </row>
    <row r="118" spans="1:30" x14ac:dyDescent="0.2">
      <c r="A118" s="18">
        <v>345</v>
      </c>
      <c r="B118" s="18">
        <v>1</v>
      </c>
      <c r="C118" s="3" t="s">
        <v>114</v>
      </c>
      <c r="D118" s="3">
        <f>Levy!F118</f>
        <v>969006.54</v>
      </c>
      <c r="E118" s="3">
        <f>Levy!G118</f>
        <v>177724.44</v>
      </c>
      <c r="F118" s="3">
        <f>Levy!H118</f>
        <v>500000</v>
      </c>
      <c r="G118" s="3">
        <f>Levy!I118</f>
        <v>608919.51</v>
      </c>
      <c r="H118" s="3">
        <f>Levy!J118</f>
        <v>149779.54</v>
      </c>
      <c r="I118" s="176">
        <v>0</v>
      </c>
      <c r="J118" s="177">
        <v>1500</v>
      </c>
      <c r="K118" s="177">
        <v>41155.32</v>
      </c>
      <c r="L118" s="177">
        <v>0</v>
      </c>
      <c r="M118" s="175">
        <v>0</v>
      </c>
      <c r="N118" s="175">
        <v>0</v>
      </c>
      <c r="O118" s="175">
        <v>0</v>
      </c>
      <c r="P118" s="177">
        <v>3949.87</v>
      </c>
      <c r="Q118" s="177">
        <v>0</v>
      </c>
      <c r="R118" s="177">
        <v>-1039.68</v>
      </c>
      <c r="S118" s="177">
        <v>0</v>
      </c>
      <c r="T118" s="175">
        <v>0</v>
      </c>
      <c r="U118" s="175">
        <v>0</v>
      </c>
      <c r="V118" s="178">
        <v>0</v>
      </c>
      <c r="W118" s="178">
        <v>0</v>
      </c>
      <c r="X118" s="3">
        <v>0</v>
      </c>
      <c r="Y118" s="161">
        <v>95479.19</v>
      </c>
      <c r="Z118" s="3">
        <f t="shared" si="5"/>
        <v>45565.51</v>
      </c>
      <c r="AA118" s="3">
        <f t="shared" si="6"/>
        <v>1241078.44</v>
      </c>
      <c r="AB118" s="3">
        <f t="shared" si="8"/>
        <v>149779.54</v>
      </c>
      <c r="AC118" s="3">
        <f>ROUND(MAX(0,(D118-V118)*Shift11!$B$3),2)</f>
        <v>470937.18</v>
      </c>
      <c r="AD118" s="3">
        <f t="shared" si="7"/>
        <v>470937.18</v>
      </c>
    </row>
    <row r="119" spans="1:30" x14ac:dyDescent="0.2">
      <c r="A119" s="18">
        <v>347</v>
      </c>
      <c r="B119" s="18">
        <v>1</v>
      </c>
      <c r="C119" s="3" t="s">
        <v>115</v>
      </c>
      <c r="D119" s="3">
        <f>Levy!F119</f>
        <v>2204985.2999999998</v>
      </c>
      <c r="E119" s="3">
        <f>Levy!G119</f>
        <v>409708.62</v>
      </c>
      <c r="F119" s="3">
        <f>Levy!H119</f>
        <v>0</v>
      </c>
      <c r="G119" s="3">
        <f>Levy!I119</f>
        <v>1551051.13</v>
      </c>
      <c r="H119" s="3">
        <f>Levy!J119</f>
        <v>381406.88</v>
      </c>
      <c r="I119" s="176">
        <v>0</v>
      </c>
      <c r="J119" s="177">
        <v>80000</v>
      </c>
      <c r="K119" s="177">
        <v>93421.39</v>
      </c>
      <c r="L119" s="177">
        <v>0</v>
      </c>
      <c r="M119" s="175">
        <v>0</v>
      </c>
      <c r="N119" s="175">
        <v>0</v>
      </c>
      <c r="O119" s="175">
        <v>0</v>
      </c>
      <c r="P119" s="177">
        <v>16803.28</v>
      </c>
      <c r="Q119" s="177">
        <v>0</v>
      </c>
      <c r="R119" s="177">
        <v>-783.2</v>
      </c>
      <c r="S119" s="177">
        <v>0</v>
      </c>
      <c r="T119" s="175">
        <v>0</v>
      </c>
      <c r="U119" s="175">
        <v>0</v>
      </c>
      <c r="V119" s="178">
        <v>0</v>
      </c>
      <c r="W119" s="178">
        <v>0</v>
      </c>
      <c r="X119" s="3">
        <v>0</v>
      </c>
      <c r="Y119" s="161">
        <v>184153.16</v>
      </c>
      <c r="Z119" s="3">
        <f t="shared" si="5"/>
        <v>189441.47</v>
      </c>
      <c r="AA119" s="3">
        <f t="shared" si="6"/>
        <v>1771318.28</v>
      </c>
      <c r="AB119" s="3">
        <f t="shared" si="8"/>
        <v>381406.88</v>
      </c>
      <c r="AC119" s="3">
        <f>ROUND(MAX(0,(D119-V119)*Shift11!$B$3),2)</f>
        <v>1071622.8600000001</v>
      </c>
      <c r="AD119" s="3">
        <f t="shared" si="7"/>
        <v>1071622.8600000001</v>
      </c>
    </row>
    <row r="120" spans="1:30" x14ac:dyDescent="0.2">
      <c r="A120" s="18">
        <v>356</v>
      </c>
      <c r="B120" s="18">
        <v>1</v>
      </c>
      <c r="C120" s="3" t="s">
        <v>116</v>
      </c>
      <c r="D120" s="3">
        <f>Levy!F120</f>
        <v>160323.16</v>
      </c>
      <c r="E120" s="3">
        <f>Levy!G120</f>
        <v>2663.08</v>
      </c>
      <c r="F120" s="3">
        <f>Levy!H120</f>
        <v>0</v>
      </c>
      <c r="G120" s="3">
        <f>Levy!I120</f>
        <v>36262.44</v>
      </c>
      <c r="H120" s="3">
        <f>Levy!J120</f>
        <v>10827.91</v>
      </c>
      <c r="I120" s="176">
        <v>0</v>
      </c>
      <c r="J120" s="177">
        <v>500</v>
      </c>
      <c r="K120" s="177">
        <v>10000</v>
      </c>
      <c r="L120" s="177">
        <v>0</v>
      </c>
      <c r="M120" s="175">
        <v>0</v>
      </c>
      <c r="N120" s="175">
        <v>0</v>
      </c>
      <c r="O120" s="175">
        <v>0</v>
      </c>
      <c r="P120" s="177">
        <v>1782.17</v>
      </c>
      <c r="Q120" s="177">
        <v>0</v>
      </c>
      <c r="R120" s="177">
        <v>0</v>
      </c>
      <c r="S120" s="177">
        <v>0</v>
      </c>
      <c r="T120" s="175">
        <v>0</v>
      </c>
      <c r="U120" s="175">
        <v>0</v>
      </c>
      <c r="V120" s="178">
        <v>0</v>
      </c>
      <c r="W120" s="178">
        <v>0</v>
      </c>
      <c r="X120" s="3">
        <v>0</v>
      </c>
      <c r="Y120" s="161">
        <v>77555.070000000007</v>
      </c>
      <c r="Z120" s="3">
        <f t="shared" si="5"/>
        <v>12282.17</v>
      </c>
      <c r="AA120" s="3">
        <f t="shared" si="6"/>
        <v>26643.35</v>
      </c>
      <c r="AB120" s="3">
        <f t="shared" si="8"/>
        <v>10827.91</v>
      </c>
      <c r="AC120" s="3">
        <f>ROUND(MAX(0,(D120-V120)*Shift11!$B$3),2)</f>
        <v>77917.06</v>
      </c>
      <c r="AD120" s="3">
        <f t="shared" si="7"/>
        <v>77917.06</v>
      </c>
    </row>
    <row r="121" spans="1:30" x14ac:dyDescent="0.2">
      <c r="A121" s="18">
        <v>361</v>
      </c>
      <c r="B121" s="18">
        <v>1</v>
      </c>
      <c r="C121" s="3" t="s">
        <v>117</v>
      </c>
      <c r="D121" s="3">
        <f>Levy!F121</f>
        <v>655641.85</v>
      </c>
      <c r="E121" s="3">
        <f>Levy!G121</f>
        <v>91519.93</v>
      </c>
      <c r="F121" s="3">
        <f>Levy!H121</f>
        <v>0</v>
      </c>
      <c r="G121" s="3">
        <f>Levy!I121</f>
        <v>893433.37</v>
      </c>
      <c r="H121" s="3">
        <f>Levy!J121</f>
        <v>126362.26</v>
      </c>
      <c r="I121" s="176">
        <v>0</v>
      </c>
      <c r="J121" s="177">
        <v>16383</v>
      </c>
      <c r="K121" s="177">
        <v>16009</v>
      </c>
      <c r="L121" s="177">
        <v>0</v>
      </c>
      <c r="M121" s="175">
        <v>0</v>
      </c>
      <c r="N121" s="175">
        <v>0</v>
      </c>
      <c r="O121" s="175">
        <v>0</v>
      </c>
      <c r="P121" s="177">
        <v>-13025.31</v>
      </c>
      <c r="Q121" s="177">
        <v>0</v>
      </c>
      <c r="R121" s="177">
        <v>0</v>
      </c>
      <c r="S121" s="177">
        <v>0</v>
      </c>
      <c r="T121" s="175">
        <v>0</v>
      </c>
      <c r="U121" s="175">
        <v>0</v>
      </c>
      <c r="V121" s="178">
        <v>0</v>
      </c>
      <c r="W121" s="178">
        <v>0</v>
      </c>
      <c r="X121" s="3">
        <v>0</v>
      </c>
      <c r="Y121" s="161">
        <v>75327.83</v>
      </c>
      <c r="Z121" s="3">
        <f t="shared" si="5"/>
        <v>19366.690000000002</v>
      </c>
      <c r="AA121" s="3">
        <f t="shared" si="6"/>
        <v>965586.61</v>
      </c>
      <c r="AB121" s="3">
        <f t="shared" si="8"/>
        <v>126362.26</v>
      </c>
      <c r="AC121" s="3">
        <f>ROUND(MAX(0,(D121-V121)*Shift11!$B$3),2)</f>
        <v>318641.94</v>
      </c>
      <c r="AD121" s="3">
        <f t="shared" si="7"/>
        <v>318641.94</v>
      </c>
    </row>
    <row r="122" spans="1:30" x14ac:dyDescent="0.2">
      <c r="A122" s="18">
        <v>362</v>
      </c>
      <c r="B122" s="18">
        <v>1</v>
      </c>
      <c r="C122" s="3" t="s">
        <v>118</v>
      </c>
      <c r="D122" s="3">
        <f>Levy!F122</f>
        <v>0</v>
      </c>
      <c r="E122" s="3">
        <f>Levy!G122</f>
        <v>18620.71</v>
      </c>
      <c r="F122" s="3">
        <f>Levy!H122</f>
        <v>0</v>
      </c>
      <c r="G122" s="3">
        <f>Levy!I122</f>
        <v>92504.37</v>
      </c>
      <c r="H122" s="3">
        <f>Levy!J122</f>
        <v>17253.21</v>
      </c>
      <c r="I122" s="176">
        <v>0</v>
      </c>
      <c r="J122" s="177">
        <v>1000</v>
      </c>
      <c r="K122" s="177">
        <v>0</v>
      </c>
      <c r="L122" s="177">
        <v>0</v>
      </c>
      <c r="M122" s="175">
        <v>0</v>
      </c>
      <c r="N122" s="175">
        <v>0</v>
      </c>
      <c r="O122" s="175">
        <v>0</v>
      </c>
      <c r="P122" s="177">
        <v>-928.27</v>
      </c>
      <c r="Q122" s="177">
        <v>0</v>
      </c>
      <c r="R122" s="177">
        <v>0</v>
      </c>
      <c r="S122" s="177">
        <v>0</v>
      </c>
      <c r="T122" s="175">
        <v>0</v>
      </c>
      <c r="U122" s="175">
        <v>0</v>
      </c>
      <c r="V122" s="178">
        <v>0</v>
      </c>
      <c r="W122" s="178">
        <v>0</v>
      </c>
      <c r="X122" s="3">
        <v>0</v>
      </c>
      <c r="Y122" s="161">
        <v>0</v>
      </c>
      <c r="Z122" s="3">
        <f t="shared" si="5"/>
        <v>71.730000000000018</v>
      </c>
      <c r="AA122" s="3">
        <f t="shared" si="6"/>
        <v>111053.35</v>
      </c>
      <c r="AB122" s="3">
        <f t="shared" si="8"/>
        <v>17253.21</v>
      </c>
      <c r="AC122" s="3">
        <f>ROUND(MAX(0,(D122-V122)*Shift11!$B$3),2)</f>
        <v>0</v>
      </c>
      <c r="AD122" s="3">
        <f t="shared" si="7"/>
        <v>0</v>
      </c>
    </row>
    <row r="123" spans="1:30" x14ac:dyDescent="0.2">
      <c r="A123" s="18">
        <v>363</v>
      </c>
      <c r="B123" s="18">
        <v>1</v>
      </c>
      <c r="C123" s="3" t="s">
        <v>119</v>
      </c>
      <c r="D123" s="3">
        <f>Levy!F123</f>
        <v>83.41</v>
      </c>
      <c r="E123" s="3">
        <f>Levy!G123</f>
        <v>31399.63</v>
      </c>
      <c r="F123" s="3">
        <f>Levy!H123</f>
        <v>0</v>
      </c>
      <c r="G123" s="3">
        <f>Levy!I123</f>
        <v>302119.86</v>
      </c>
      <c r="H123" s="3">
        <f>Levy!J123</f>
        <v>17226.759999999998</v>
      </c>
      <c r="I123" s="176">
        <v>0</v>
      </c>
      <c r="J123" s="177">
        <v>5000</v>
      </c>
      <c r="K123" s="177">
        <v>0</v>
      </c>
      <c r="L123" s="177">
        <v>0</v>
      </c>
      <c r="M123" s="175">
        <v>0</v>
      </c>
      <c r="N123" s="175">
        <v>0</v>
      </c>
      <c r="O123" s="175">
        <v>0</v>
      </c>
      <c r="P123" s="177">
        <v>1116.5899999999999</v>
      </c>
      <c r="Q123" s="177">
        <v>0</v>
      </c>
      <c r="R123" s="177">
        <v>0</v>
      </c>
      <c r="S123" s="177">
        <v>0</v>
      </c>
      <c r="T123" s="175">
        <v>0</v>
      </c>
      <c r="U123" s="175">
        <v>0</v>
      </c>
      <c r="V123" s="178">
        <v>0</v>
      </c>
      <c r="W123" s="178">
        <v>0</v>
      </c>
      <c r="X123" s="3">
        <v>0</v>
      </c>
      <c r="Y123" s="161">
        <v>0</v>
      </c>
      <c r="Z123" s="3">
        <f t="shared" si="5"/>
        <v>6116.59</v>
      </c>
      <c r="AA123" s="3">
        <f t="shared" si="6"/>
        <v>327402.90000000002</v>
      </c>
      <c r="AB123" s="3">
        <f t="shared" si="8"/>
        <v>17226.759999999998</v>
      </c>
      <c r="AC123" s="3">
        <f>ROUND(MAX(0,(D123-V123)*Shift11!$B$3),2)</f>
        <v>40.54</v>
      </c>
      <c r="AD123" s="3">
        <f t="shared" si="7"/>
        <v>40.54</v>
      </c>
    </row>
    <row r="124" spans="1:30" x14ac:dyDescent="0.2">
      <c r="A124" s="18">
        <v>378</v>
      </c>
      <c r="B124" s="18">
        <v>1</v>
      </c>
      <c r="C124" s="3" t="s">
        <v>120</v>
      </c>
      <c r="D124" s="3">
        <f>Levy!F124</f>
        <v>256178.38</v>
      </c>
      <c r="E124" s="3">
        <f>Levy!G124</f>
        <v>27438.51</v>
      </c>
      <c r="F124" s="3">
        <f>Levy!H124</f>
        <v>0</v>
      </c>
      <c r="G124" s="3">
        <f>Levy!I124</f>
        <v>272325.02</v>
      </c>
      <c r="H124" s="3">
        <f>Levy!J124</f>
        <v>64849.5</v>
      </c>
      <c r="I124" s="176">
        <v>0</v>
      </c>
      <c r="J124" s="177">
        <v>572.47</v>
      </c>
      <c r="K124" s="177">
        <v>13580.53</v>
      </c>
      <c r="L124" s="177">
        <v>0</v>
      </c>
      <c r="M124" s="175">
        <v>0</v>
      </c>
      <c r="N124" s="175">
        <v>0</v>
      </c>
      <c r="O124" s="175">
        <v>0</v>
      </c>
      <c r="P124" s="177">
        <v>-124.73</v>
      </c>
      <c r="Q124" s="177">
        <v>-572.47</v>
      </c>
      <c r="R124" s="177">
        <v>0</v>
      </c>
      <c r="S124" s="177">
        <v>0</v>
      </c>
      <c r="T124" s="175">
        <v>0</v>
      </c>
      <c r="U124" s="175">
        <v>0</v>
      </c>
      <c r="V124" s="178">
        <v>0</v>
      </c>
      <c r="W124" s="178">
        <v>0</v>
      </c>
      <c r="X124" s="3">
        <v>4537.68</v>
      </c>
      <c r="Y124" s="161">
        <v>39303.019999999997</v>
      </c>
      <c r="Z124" s="3">
        <f t="shared" si="5"/>
        <v>13455.800000000001</v>
      </c>
      <c r="AA124" s="3">
        <f t="shared" si="6"/>
        <v>281770.05</v>
      </c>
      <c r="AB124" s="3">
        <f t="shared" si="8"/>
        <v>64849.5</v>
      </c>
      <c r="AC124" s="3">
        <f>ROUND(MAX(0,(D124-V124)*Shift11!$B$3),2)</f>
        <v>124502.69</v>
      </c>
      <c r="AD124" s="3">
        <f t="shared" si="7"/>
        <v>124502.69</v>
      </c>
    </row>
    <row r="125" spans="1:30" x14ac:dyDescent="0.2">
      <c r="A125" s="18">
        <v>381</v>
      </c>
      <c r="B125" s="18">
        <v>1</v>
      </c>
      <c r="C125" s="3" t="s">
        <v>121</v>
      </c>
      <c r="D125" s="3">
        <f>Levy!F125</f>
        <v>0</v>
      </c>
      <c r="E125" s="3">
        <f>Levy!G125</f>
        <v>213001.93</v>
      </c>
      <c r="F125" s="3">
        <f>Levy!H125</f>
        <v>0</v>
      </c>
      <c r="G125" s="3">
        <f>Levy!I125</f>
        <v>423489.65</v>
      </c>
      <c r="H125" s="3">
        <f>Levy!J125</f>
        <v>0</v>
      </c>
      <c r="I125" s="176">
        <v>0</v>
      </c>
      <c r="J125" s="177">
        <v>8500</v>
      </c>
      <c r="K125" s="177">
        <v>34654.61</v>
      </c>
      <c r="L125" s="177">
        <v>0</v>
      </c>
      <c r="M125" s="175">
        <v>0</v>
      </c>
      <c r="N125" s="175">
        <v>0</v>
      </c>
      <c r="O125" s="175">
        <v>0</v>
      </c>
      <c r="P125" s="177">
        <v>-648.13</v>
      </c>
      <c r="Q125" s="177">
        <v>0</v>
      </c>
      <c r="R125" s="177">
        <v>-3008.36</v>
      </c>
      <c r="S125" s="177">
        <v>0</v>
      </c>
      <c r="T125" s="175">
        <v>0</v>
      </c>
      <c r="U125" s="175">
        <v>0</v>
      </c>
      <c r="V125" s="178">
        <v>0</v>
      </c>
      <c r="W125" s="178">
        <v>0</v>
      </c>
      <c r="X125" s="3">
        <v>76394.2</v>
      </c>
      <c r="Y125" s="161">
        <v>121543.27</v>
      </c>
      <c r="Z125" s="3">
        <f t="shared" si="5"/>
        <v>39498.120000000003</v>
      </c>
      <c r="AA125" s="3">
        <f t="shared" si="6"/>
        <v>520599.26</v>
      </c>
      <c r="AB125" s="3">
        <f t="shared" si="8"/>
        <v>0</v>
      </c>
      <c r="AC125" s="3">
        <f>ROUND(MAX(0,(D125-V125)*Shift11!$B$3),2)</f>
        <v>0</v>
      </c>
      <c r="AD125" s="3">
        <f t="shared" si="7"/>
        <v>121543.27</v>
      </c>
    </row>
    <row r="126" spans="1:30" x14ac:dyDescent="0.2">
      <c r="A126" s="18">
        <v>390</v>
      </c>
      <c r="B126" s="18">
        <v>1</v>
      </c>
      <c r="C126" s="3" t="s">
        <v>122</v>
      </c>
      <c r="D126" s="3">
        <f>Levy!F126</f>
        <v>293350</v>
      </c>
      <c r="E126" s="3">
        <f>Levy!G126</f>
        <v>47401</v>
      </c>
      <c r="F126" s="3">
        <f>Levy!H126</f>
        <v>0</v>
      </c>
      <c r="G126" s="3">
        <f>Levy!I126</f>
        <v>381659</v>
      </c>
      <c r="H126" s="3">
        <f>Levy!J126</f>
        <v>42118</v>
      </c>
      <c r="I126" s="176">
        <v>0</v>
      </c>
      <c r="J126" s="177">
        <v>8724.73</v>
      </c>
      <c r="K126" s="177">
        <v>14065.28</v>
      </c>
      <c r="L126" s="177">
        <v>0</v>
      </c>
      <c r="M126" s="175">
        <v>0</v>
      </c>
      <c r="N126" s="175">
        <v>0</v>
      </c>
      <c r="O126" s="175">
        <v>0</v>
      </c>
      <c r="P126" s="177">
        <v>838.16</v>
      </c>
      <c r="Q126" s="177">
        <v>0</v>
      </c>
      <c r="R126" s="177">
        <v>-2057.6</v>
      </c>
      <c r="S126" s="177">
        <v>0</v>
      </c>
      <c r="T126" s="175">
        <v>0</v>
      </c>
      <c r="U126" s="175">
        <v>0</v>
      </c>
      <c r="V126" s="178">
        <v>0</v>
      </c>
      <c r="W126" s="178">
        <v>0</v>
      </c>
      <c r="X126" s="3">
        <v>0</v>
      </c>
      <c r="Y126" s="161">
        <v>0</v>
      </c>
      <c r="Z126" s="3">
        <f t="shared" si="5"/>
        <v>21570.570000000003</v>
      </c>
      <c r="AA126" s="3">
        <f t="shared" si="6"/>
        <v>407489.43</v>
      </c>
      <c r="AB126" s="3">
        <f t="shared" si="8"/>
        <v>42118</v>
      </c>
      <c r="AC126" s="3">
        <f>ROUND(MAX(0,(D126-V126)*Shift11!$B$3),2)</f>
        <v>142568.1</v>
      </c>
      <c r="AD126" s="3">
        <f t="shared" si="7"/>
        <v>142568.1</v>
      </c>
    </row>
    <row r="127" spans="1:30" x14ac:dyDescent="0.2">
      <c r="A127" s="18">
        <v>391</v>
      </c>
      <c r="B127" s="18">
        <v>1</v>
      </c>
      <c r="C127" s="3" t="s">
        <v>123</v>
      </c>
      <c r="D127" s="3">
        <f>Levy!F127</f>
        <v>395325</v>
      </c>
      <c r="E127" s="3">
        <f>Levy!G127</f>
        <v>47608</v>
      </c>
      <c r="F127" s="3">
        <f>Levy!H127</f>
        <v>0</v>
      </c>
      <c r="G127" s="3">
        <f>Levy!I127</f>
        <v>295488</v>
      </c>
      <c r="H127" s="3">
        <f>Levy!J127</f>
        <v>34254</v>
      </c>
      <c r="I127" s="176">
        <v>0</v>
      </c>
      <c r="J127" s="177">
        <v>0</v>
      </c>
      <c r="K127" s="177">
        <v>13959.22</v>
      </c>
      <c r="L127" s="177">
        <v>0</v>
      </c>
      <c r="M127" s="175">
        <v>0</v>
      </c>
      <c r="N127" s="175">
        <v>0</v>
      </c>
      <c r="O127" s="175">
        <v>0</v>
      </c>
      <c r="P127" s="177">
        <v>299.86</v>
      </c>
      <c r="Q127" s="177">
        <v>0</v>
      </c>
      <c r="R127" s="177">
        <v>0</v>
      </c>
      <c r="S127" s="177">
        <v>0</v>
      </c>
      <c r="T127" s="175">
        <v>0</v>
      </c>
      <c r="U127" s="175">
        <v>0</v>
      </c>
      <c r="V127" s="178">
        <v>0</v>
      </c>
      <c r="W127" s="178">
        <v>0</v>
      </c>
      <c r="X127" s="3">
        <v>0</v>
      </c>
      <c r="Y127" s="161">
        <v>42002.25</v>
      </c>
      <c r="Z127" s="3">
        <f t="shared" si="5"/>
        <v>14259.08</v>
      </c>
      <c r="AA127" s="3">
        <f t="shared" si="6"/>
        <v>328836.92</v>
      </c>
      <c r="AB127" s="3">
        <f t="shared" si="8"/>
        <v>34254</v>
      </c>
      <c r="AC127" s="3">
        <f>ROUND(MAX(0,(D127-V127)*Shift11!$B$3),2)</f>
        <v>192127.95</v>
      </c>
      <c r="AD127" s="3">
        <f t="shared" si="7"/>
        <v>192127.95</v>
      </c>
    </row>
    <row r="128" spans="1:30" x14ac:dyDescent="0.2">
      <c r="A128" s="18">
        <v>392</v>
      </c>
      <c r="B128" s="18">
        <v>1</v>
      </c>
      <c r="C128" s="3" t="s">
        <v>124</v>
      </c>
      <c r="D128" s="3">
        <f>Levy!F128</f>
        <v>312735</v>
      </c>
      <c r="E128" s="3">
        <f>Levy!G128</f>
        <v>57313</v>
      </c>
      <c r="F128" s="3">
        <f>Levy!H128</f>
        <v>0</v>
      </c>
      <c r="G128" s="3">
        <f>Levy!I128</f>
        <v>300406</v>
      </c>
      <c r="H128" s="3">
        <f>Levy!J128</f>
        <v>30782</v>
      </c>
      <c r="I128" s="176">
        <v>0</v>
      </c>
      <c r="J128" s="177">
        <v>5600</v>
      </c>
      <c r="K128" s="177">
        <v>18122.86</v>
      </c>
      <c r="L128" s="177">
        <v>0</v>
      </c>
      <c r="M128" s="175">
        <v>0</v>
      </c>
      <c r="N128" s="175">
        <v>0</v>
      </c>
      <c r="O128" s="175">
        <v>0</v>
      </c>
      <c r="P128" s="177">
        <v>7108.05</v>
      </c>
      <c r="Q128" s="177">
        <v>0</v>
      </c>
      <c r="R128" s="177">
        <v>0</v>
      </c>
      <c r="S128" s="177">
        <v>0</v>
      </c>
      <c r="T128" s="175">
        <v>0</v>
      </c>
      <c r="U128" s="175">
        <v>0</v>
      </c>
      <c r="V128" s="178">
        <v>0</v>
      </c>
      <c r="W128" s="178">
        <v>0</v>
      </c>
      <c r="X128" s="3">
        <v>0</v>
      </c>
      <c r="Y128" s="161">
        <v>9608.68</v>
      </c>
      <c r="Z128" s="3">
        <f t="shared" si="5"/>
        <v>30830.91</v>
      </c>
      <c r="AA128" s="3">
        <f t="shared" si="6"/>
        <v>326888.09000000003</v>
      </c>
      <c r="AB128" s="3">
        <f t="shared" si="8"/>
        <v>30782</v>
      </c>
      <c r="AC128" s="3">
        <f>ROUND(MAX(0,(D128-V128)*Shift11!$B$3),2)</f>
        <v>151989.21</v>
      </c>
      <c r="AD128" s="3">
        <f t="shared" si="7"/>
        <v>151989.21</v>
      </c>
    </row>
    <row r="129" spans="1:30" x14ac:dyDescent="0.2">
      <c r="A129" s="18">
        <v>394</v>
      </c>
      <c r="B129" s="18">
        <v>1</v>
      </c>
      <c r="C129" s="3" t="s">
        <v>125</v>
      </c>
      <c r="D129" s="3">
        <f>Levy!F129</f>
        <v>544559</v>
      </c>
      <c r="E129" s="3">
        <f>Levy!G129</f>
        <v>88290</v>
      </c>
      <c r="F129" s="3">
        <f>Levy!H129</f>
        <v>0</v>
      </c>
      <c r="G129" s="3">
        <f>Levy!I129</f>
        <v>538244</v>
      </c>
      <c r="H129" s="3">
        <f>Levy!J129</f>
        <v>103134</v>
      </c>
      <c r="I129" s="176">
        <v>0</v>
      </c>
      <c r="J129" s="177">
        <v>31495</v>
      </c>
      <c r="K129" s="177">
        <v>21646.65</v>
      </c>
      <c r="L129" s="177">
        <v>0</v>
      </c>
      <c r="M129" s="175">
        <v>0</v>
      </c>
      <c r="N129" s="175">
        <v>0</v>
      </c>
      <c r="O129" s="175">
        <v>0</v>
      </c>
      <c r="P129" s="177">
        <v>5725.17</v>
      </c>
      <c r="Q129" s="177">
        <v>0</v>
      </c>
      <c r="R129" s="177">
        <v>-2158.4</v>
      </c>
      <c r="S129" s="177">
        <v>0</v>
      </c>
      <c r="T129" s="175">
        <v>0</v>
      </c>
      <c r="U129" s="175">
        <v>0</v>
      </c>
      <c r="V129" s="178">
        <v>0</v>
      </c>
      <c r="W129" s="178">
        <v>0</v>
      </c>
      <c r="X129" s="3">
        <v>0</v>
      </c>
      <c r="Y129" s="161">
        <v>15161.69</v>
      </c>
      <c r="Z129" s="3">
        <f t="shared" si="5"/>
        <v>56708.42</v>
      </c>
      <c r="AA129" s="3">
        <f t="shared" si="6"/>
        <v>569825.57999999996</v>
      </c>
      <c r="AB129" s="3">
        <f t="shared" si="8"/>
        <v>103134</v>
      </c>
      <c r="AC129" s="3">
        <f>ROUND(MAX(0,(D129-V129)*Shift11!$B$3),2)</f>
        <v>264655.67</v>
      </c>
      <c r="AD129" s="3">
        <f t="shared" si="7"/>
        <v>264655.67</v>
      </c>
    </row>
    <row r="130" spans="1:30" x14ac:dyDescent="0.2">
      <c r="A130" s="18">
        <v>402</v>
      </c>
      <c r="B130" s="18">
        <v>1</v>
      </c>
      <c r="C130" s="3" t="s">
        <v>126</v>
      </c>
      <c r="D130" s="3">
        <f>Levy!F130</f>
        <v>167117</v>
      </c>
      <c r="E130" s="3">
        <f>Levy!G130</f>
        <v>5288</v>
      </c>
      <c r="F130" s="3">
        <f>Levy!H130</f>
        <v>0</v>
      </c>
      <c r="G130" s="3">
        <f>Levy!I130</f>
        <v>187126</v>
      </c>
      <c r="H130" s="3">
        <f>Levy!J130</f>
        <v>24192</v>
      </c>
      <c r="I130" s="176">
        <v>0</v>
      </c>
      <c r="J130" s="177">
        <v>6410</v>
      </c>
      <c r="K130" s="177">
        <v>0</v>
      </c>
      <c r="L130" s="177">
        <v>0</v>
      </c>
      <c r="M130" s="175">
        <v>0</v>
      </c>
      <c r="N130" s="175">
        <v>0</v>
      </c>
      <c r="O130" s="175">
        <v>0</v>
      </c>
      <c r="P130" s="177">
        <v>677.67</v>
      </c>
      <c r="Q130" s="177">
        <v>0</v>
      </c>
      <c r="R130" s="177">
        <v>0</v>
      </c>
      <c r="S130" s="177">
        <v>0</v>
      </c>
      <c r="T130" s="175">
        <v>0</v>
      </c>
      <c r="U130" s="175">
        <v>0</v>
      </c>
      <c r="V130" s="178">
        <v>0</v>
      </c>
      <c r="W130" s="178">
        <v>0</v>
      </c>
      <c r="X130" s="3">
        <v>4376.54</v>
      </c>
      <c r="Y130" s="161">
        <v>9929.51</v>
      </c>
      <c r="Z130" s="3">
        <f t="shared" si="5"/>
        <v>7087.67</v>
      </c>
      <c r="AA130" s="3">
        <f t="shared" si="6"/>
        <v>180949.79</v>
      </c>
      <c r="AB130" s="3">
        <f t="shared" si="8"/>
        <v>24192</v>
      </c>
      <c r="AC130" s="3">
        <f>ROUND(MAX(0,(D130-V130)*Shift11!$B$3),2)</f>
        <v>81218.86</v>
      </c>
      <c r="AD130" s="3">
        <f t="shared" si="7"/>
        <v>81218.86</v>
      </c>
    </row>
    <row r="131" spans="1:30" x14ac:dyDescent="0.2">
      <c r="A131" s="18">
        <v>403</v>
      </c>
      <c r="B131" s="18">
        <v>1</v>
      </c>
      <c r="C131" s="3" t="s">
        <v>127</v>
      </c>
      <c r="D131" s="3">
        <f>Levy!F131</f>
        <v>160285</v>
      </c>
      <c r="E131" s="3">
        <f>Levy!G131</f>
        <v>8673</v>
      </c>
      <c r="F131" s="3">
        <f>Levy!H131</f>
        <v>0</v>
      </c>
      <c r="G131" s="3">
        <f>Levy!I131</f>
        <v>104152</v>
      </c>
      <c r="H131" s="3">
        <f>Levy!J131</f>
        <v>18326</v>
      </c>
      <c r="I131" s="176">
        <v>0</v>
      </c>
      <c r="J131" s="177">
        <v>5000</v>
      </c>
      <c r="K131" s="177">
        <v>11665.08</v>
      </c>
      <c r="L131" s="177">
        <v>0</v>
      </c>
      <c r="M131" s="175">
        <v>0</v>
      </c>
      <c r="N131" s="175">
        <v>0</v>
      </c>
      <c r="O131" s="175">
        <v>0</v>
      </c>
      <c r="P131" s="177">
        <v>53.05</v>
      </c>
      <c r="Q131" s="177">
        <v>-5053.05</v>
      </c>
      <c r="R131" s="177">
        <v>0</v>
      </c>
      <c r="S131" s="177">
        <v>0</v>
      </c>
      <c r="T131" s="175">
        <v>0</v>
      </c>
      <c r="U131" s="175">
        <v>0</v>
      </c>
      <c r="V131" s="178">
        <v>0</v>
      </c>
      <c r="W131" s="178">
        <v>0</v>
      </c>
      <c r="X131" s="3">
        <v>0</v>
      </c>
      <c r="Y131" s="161">
        <v>17191.45</v>
      </c>
      <c r="Z131" s="3">
        <f t="shared" si="5"/>
        <v>11665.080000000002</v>
      </c>
      <c r="AA131" s="3">
        <f t="shared" si="6"/>
        <v>101159.92</v>
      </c>
      <c r="AB131" s="3">
        <f t="shared" si="8"/>
        <v>18326</v>
      </c>
      <c r="AC131" s="3">
        <f>ROUND(MAX(0,(D131-V131)*Shift11!$B$3),2)</f>
        <v>77898.509999999995</v>
      </c>
      <c r="AD131" s="3">
        <f t="shared" si="7"/>
        <v>77898.509999999995</v>
      </c>
    </row>
    <row r="132" spans="1:30" x14ac:dyDescent="0.2">
      <c r="A132" s="18">
        <v>404</v>
      </c>
      <c r="B132" s="18">
        <v>1</v>
      </c>
      <c r="C132" s="3" t="s">
        <v>128</v>
      </c>
      <c r="D132" s="3">
        <f>Levy!F132</f>
        <v>294949</v>
      </c>
      <c r="E132" s="3">
        <f>Levy!G132</f>
        <v>5215</v>
      </c>
      <c r="F132" s="3">
        <f>Levy!H132</f>
        <v>0</v>
      </c>
      <c r="G132" s="3">
        <f>Levy!I132</f>
        <v>78709</v>
      </c>
      <c r="H132" s="3">
        <f>Levy!J132</f>
        <v>6604</v>
      </c>
      <c r="I132" s="176">
        <v>0</v>
      </c>
      <c r="J132" s="177">
        <v>5657.97</v>
      </c>
      <c r="K132" s="177">
        <v>0</v>
      </c>
      <c r="L132" s="177">
        <v>0</v>
      </c>
      <c r="M132" s="175">
        <v>0</v>
      </c>
      <c r="N132" s="175">
        <v>0</v>
      </c>
      <c r="O132" s="175">
        <v>0</v>
      </c>
      <c r="P132" s="177">
        <v>5822.95</v>
      </c>
      <c r="Q132" s="177">
        <v>0</v>
      </c>
      <c r="R132" s="177">
        <v>0</v>
      </c>
      <c r="S132" s="177">
        <v>0</v>
      </c>
      <c r="T132" s="175">
        <v>0</v>
      </c>
      <c r="U132" s="175">
        <v>0</v>
      </c>
      <c r="V132" s="178">
        <v>0</v>
      </c>
      <c r="W132" s="178">
        <v>0</v>
      </c>
      <c r="X132" s="3">
        <v>325.19</v>
      </c>
      <c r="Y132" s="161">
        <v>70889.98</v>
      </c>
      <c r="Z132" s="3">
        <f t="shared" si="5"/>
        <v>11480.92</v>
      </c>
      <c r="AA132" s="3">
        <f t="shared" si="6"/>
        <v>72117.89</v>
      </c>
      <c r="AB132" s="3">
        <f t="shared" si="8"/>
        <v>6604</v>
      </c>
      <c r="AC132" s="3">
        <f>ROUND(MAX(0,(D132-V132)*Shift11!$B$3),2)</f>
        <v>143345.21</v>
      </c>
      <c r="AD132" s="3">
        <f t="shared" si="7"/>
        <v>143345.21</v>
      </c>
    </row>
    <row r="133" spans="1:30" x14ac:dyDescent="0.2">
      <c r="A133" s="18">
        <v>413</v>
      </c>
      <c r="B133" s="18">
        <v>1</v>
      </c>
      <c r="C133" s="3" t="s">
        <v>129</v>
      </c>
      <c r="D133" s="3">
        <f>Levy!F133</f>
        <v>1346370</v>
      </c>
      <c r="E133" s="3">
        <f>Levy!G133</f>
        <v>231814</v>
      </c>
      <c r="F133" s="3">
        <f>Levy!H133</f>
        <v>0</v>
      </c>
      <c r="G133" s="3">
        <f>Levy!I133</f>
        <v>1088555</v>
      </c>
      <c r="H133" s="3">
        <f>Levy!J133</f>
        <v>172605</v>
      </c>
      <c r="I133" s="176">
        <v>0</v>
      </c>
      <c r="J133" s="177">
        <v>15000</v>
      </c>
      <c r="K133" s="177">
        <v>59822.239999999998</v>
      </c>
      <c r="L133" s="177">
        <v>0</v>
      </c>
      <c r="M133" s="175">
        <v>0</v>
      </c>
      <c r="N133" s="175">
        <v>0</v>
      </c>
      <c r="O133" s="175">
        <v>0</v>
      </c>
      <c r="P133" s="177">
        <v>19128.87</v>
      </c>
      <c r="Q133" s="177">
        <v>0</v>
      </c>
      <c r="R133" s="177">
        <v>-873.6</v>
      </c>
      <c r="S133" s="177">
        <v>0</v>
      </c>
      <c r="T133" s="175">
        <v>0</v>
      </c>
      <c r="U133" s="175">
        <v>0</v>
      </c>
      <c r="V133" s="178">
        <v>0</v>
      </c>
      <c r="W133" s="178">
        <v>0</v>
      </c>
      <c r="X133" s="3">
        <v>0</v>
      </c>
      <c r="Y133" s="161">
        <v>185634.72</v>
      </c>
      <c r="Z133" s="3">
        <f t="shared" si="5"/>
        <v>93077.50999999998</v>
      </c>
      <c r="AA133" s="3">
        <f t="shared" si="6"/>
        <v>1227291.49</v>
      </c>
      <c r="AB133" s="3">
        <f t="shared" si="8"/>
        <v>172605</v>
      </c>
      <c r="AC133" s="3">
        <f>ROUND(MAX(0,(D133-V133)*Shift11!$B$3),2)</f>
        <v>654335.81999999995</v>
      </c>
      <c r="AD133" s="3">
        <f t="shared" si="7"/>
        <v>654335.81999999995</v>
      </c>
    </row>
    <row r="134" spans="1:30" x14ac:dyDescent="0.2">
      <c r="A134" s="18">
        <v>414</v>
      </c>
      <c r="B134" s="18">
        <v>1</v>
      </c>
      <c r="C134" s="3" t="s">
        <v>130</v>
      </c>
      <c r="D134" s="3">
        <f>Levy!F134</f>
        <v>159241</v>
      </c>
      <c r="E134" s="3">
        <f>Levy!G134</f>
        <v>35377</v>
      </c>
      <c r="F134" s="3">
        <f>Levy!H134</f>
        <v>0</v>
      </c>
      <c r="G134" s="3">
        <f>Levy!I134</f>
        <v>210612</v>
      </c>
      <c r="H134" s="3">
        <f>Levy!J134</f>
        <v>32131</v>
      </c>
      <c r="I134" s="176">
        <v>0</v>
      </c>
      <c r="J134" s="177">
        <v>8000</v>
      </c>
      <c r="K134" s="177">
        <v>12116.75</v>
      </c>
      <c r="L134" s="177">
        <v>0</v>
      </c>
      <c r="M134" s="175">
        <v>0</v>
      </c>
      <c r="N134" s="175">
        <v>0</v>
      </c>
      <c r="O134" s="175">
        <v>0</v>
      </c>
      <c r="P134" s="177">
        <v>4444.91</v>
      </c>
      <c r="Q134" s="177">
        <v>0</v>
      </c>
      <c r="R134" s="177">
        <v>-1249.45</v>
      </c>
      <c r="S134" s="177">
        <v>0</v>
      </c>
      <c r="T134" s="175">
        <v>0</v>
      </c>
      <c r="U134" s="175">
        <v>0</v>
      </c>
      <c r="V134" s="178">
        <v>0</v>
      </c>
      <c r="W134" s="178">
        <v>0</v>
      </c>
      <c r="X134" s="3">
        <v>262.36</v>
      </c>
      <c r="Y134" s="161">
        <v>28651.58</v>
      </c>
      <c r="Z134" s="3">
        <f t="shared" si="5"/>
        <v>23312.21</v>
      </c>
      <c r="AA134" s="3">
        <f t="shared" si="6"/>
        <v>222414.43</v>
      </c>
      <c r="AB134" s="3">
        <f t="shared" si="8"/>
        <v>32131</v>
      </c>
      <c r="AC134" s="3">
        <f>ROUND(MAX(0,(D134-V134)*Shift11!$B$3),2)</f>
        <v>77391.13</v>
      </c>
      <c r="AD134" s="3">
        <f t="shared" si="7"/>
        <v>77391.13</v>
      </c>
    </row>
    <row r="135" spans="1:30" x14ac:dyDescent="0.2">
      <c r="A135" s="18">
        <v>415</v>
      </c>
      <c r="B135" s="18">
        <v>1</v>
      </c>
      <c r="C135" s="3" t="s">
        <v>131</v>
      </c>
      <c r="D135" s="3">
        <f>Levy!F135</f>
        <v>267140</v>
      </c>
      <c r="E135" s="3">
        <f>Levy!G135</f>
        <v>20897</v>
      </c>
      <c r="F135" s="3">
        <f>Levy!H135</f>
        <v>0</v>
      </c>
      <c r="G135" s="3">
        <f>Levy!I135</f>
        <v>69263</v>
      </c>
      <c r="H135" s="3">
        <f>Levy!J135</f>
        <v>51418</v>
      </c>
      <c r="I135" s="176">
        <v>0</v>
      </c>
      <c r="J135" s="177">
        <v>5000</v>
      </c>
      <c r="K135" s="177">
        <v>0</v>
      </c>
      <c r="L135" s="177">
        <v>0</v>
      </c>
      <c r="M135" s="175">
        <v>0</v>
      </c>
      <c r="N135" s="175">
        <v>0</v>
      </c>
      <c r="O135" s="175">
        <v>0</v>
      </c>
      <c r="P135" s="177">
        <v>-5000</v>
      </c>
      <c r="Q135" s="177">
        <v>0</v>
      </c>
      <c r="R135" s="177">
        <v>0</v>
      </c>
      <c r="S135" s="177">
        <v>0</v>
      </c>
      <c r="T135" s="175">
        <v>0</v>
      </c>
      <c r="U135" s="175">
        <v>0</v>
      </c>
      <c r="V135" s="178">
        <v>0</v>
      </c>
      <c r="W135" s="178">
        <v>0</v>
      </c>
      <c r="X135" s="3">
        <v>4594.3999999999996</v>
      </c>
      <c r="Y135" s="161">
        <v>20886.88</v>
      </c>
      <c r="Z135" s="3">
        <f t="shared" si="5"/>
        <v>0</v>
      </c>
      <c r="AA135" s="3">
        <f t="shared" si="6"/>
        <v>85565.6</v>
      </c>
      <c r="AB135" s="3">
        <f t="shared" si="8"/>
        <v>51418</v>
      </c>
      <c r="AC135" s="3">
        <f>ROUND(MAX(0,(D135-V135)*Shift11!$B$3),2)</f>
        <v>129830.04</v>
      </c>
      <c r="AD135" s="3">
        <f t="shared" si="7"/>
        <v>129830.04</v>
      </c>
    </row>
    <row r="136" spans="1:30" x14ac:dyDescent="0.2">
      <c r="A136" s="18">
        <v>423</v>
      </c>
      <c r="B136" s="18">
        <v>1</v>
      </c>
      <c r="C136" s="3" t="s">
        <v>132</v>
      </c>
      <c r="D136" s="3">
        <f>Levy!F136</f>
        <v>2107237.71</v>
      </c>
      <c r="E136" s="3">
        <f>Levy!G136</f>
        <v>270235.33</v>
      </c>
      <c r="F136" s="3">
        <f>Levy!H136</f>
        <v>0</v>
      </c>
      <c r="G136" s="3">
        <f>Levy!I136</f>
        <v>1115015.4099999999</v>
      </c>
      <c r="H136" s="3">
        <f>Levy!J136</f>
        <v>201123.78</v>
      </c>
      <c r="I136" s="176">
        <v>0</v>
      </c>
      <c r="J136" s="177">
        <v>38283</v>
      </c>
      <c r="K136" s="177">
        <v>65267.5</v>
      </c>
      <c r="L136" s="177">
        <v>0</v>
      </c>
      <c r="M136" s="175">
        <v>0</v>
      </c>
      <c r="N136" s="175">
        <v>0</v>
      </c>
      <c r="O136" s="175">
        <v>0</v>
      </c>
      <c r="P136" s="177">
        <v>2072.37</v>
      </c>
      <c r="Q136" s="177">
        <v>0</v>
      </c>
      <c r="R136" s="177">
        <v>3018.4</v>
      </c>
      <c r="S136" s="177">
        <v>0</v>
      </c>
      <c r="T136" s="175">
        <v>0</v>
      </c>
      <c r="U136" s="175">
        <v>0</v>
      </c>
      <c r="V136" s="178">
        <v>0</v>
      </c>
      <c r="W136" s="178">
        <v>0</v>
      </c>
      <c r="X136" s="3">
        <v>0</v>
      </c>
      <c r="Y136" s="161">
        <v>159248.91</v>
      </c>
      <c r="Z136" s="3">
        <f t="shared" ref="Z136:Z199" si="9">SUM(I136:T136)</f>
        <v>108641.26999999999</v>
      </c>
      <c r="AA136" s="3">
        <f t="shared" ref="AA136:AA199" si="10">ROUND(MAX(E136+F136+G136-W136-X136-Z136,0),2)</f>
        <v>1276609.47</v>
      </c>
      <c r="AB136" s="3">
        <f t="shared" si="8"/>
        <v>201123.78</v>
      </c>
      <c r="AC136" s="3">
        <f>ROUND(MAX(0,(D136-V136)*Shift11!$B$3),2)</f>
        <v>1024117.53</v>
      </c>
      <c r="AD136" s="3">
        <f t="shared" ref="AD136:AD199" si="11">MAX(AC136,Y136)</f>
        <v>1024117.53</v>
      </c>
    </row>
    <row r="137" spans="1:30" x14ac:dyDescent="0.2">
      <c r="A137" s="18">
        <v>424</v>
      </c>
      <c r="B137" s="18">
        <v>1</v>
      </c>
      <c r="C137" s="3" t="s">
        <v>133</v>
      </c>
      <c r="D137" s="3">
        <f>Levy!F137</f>
        <v>421509.66</v>
      </c>
      <c r="E137" s="3">
        <f>Levy!G137</f>
        <v>32092.16</v>
      </c>
      <c r="F137" s="3">
        <f>Levy!H137</f>
        <v>0</v>
      </c>
      <c r="G137" s="3">
        <f>Levy!I137</f>
        <v>165547.85</v>
      </c>
      <c r="H137" s="3">
        <f>Levy!J137</f>
        <v>28194.91</v>
      </c>
      <c r="I137" s="176">
        <v>0</v>
      </c>
      <c r="J137" s="177">
        <v>25200</v>
      </c>
      <c r="K137" s="177">
        <v>11665.08</v>
      </c>
      <c r="L137" s="177">
        <v>0</v>
      </c>
      <c r="M137" s="175">
        <v>0</v>
      </c>
      <c r="N137" s="175">
        <v>0</v>
      </c>
      <c r="O137" s="175">
        <v>0</v>
      </c>
      <c r="P137" s="177">
        <v>15437.87</v>
      </c>
      <c r="Q137" s="177">
        <v>0</v>
      </c>
      <c r="R137" s="177">
        <v>0</v>
      </c>
      <c r="S137" s="177">
        <v>0</v>
      </c>
      <c r="T137" s="175">
        <v>0</v>
      </c>
      <c r="U137" s="175">
        <v>0</v>
      </c>
      <c r="V137" s="178">
        <v>0</v>
      </c>
      <c r="W137" s="178">
        <v>0</v>
      </c>
      <c r="X137" s="3">
        <v>0</v>
      </c>
      <c r="Y137" s="161">
        <v>24228.86</v>
      </c>
      <c r="Z137" s="3">
        <f t="shared" si="9"/>
        <v>52302.950000000004</v>
      </c>
      <c r="AA137" s="3">
        <f t="shared" si="10"/>
        <v>145337.06</v>
      </c>
      <c r="AB137" s="3">
        <f t="shared" ref="AB137:AB200" si="12">ROUND(MAX(H137-U137,0),2)</f>
        <v>28194.91</v>
      </c>
      <c r="AC137" s="3">
        <f>ROUND(MAX(0,(D137-V137)*Shift11!$B$3),2)</f>
        <v>204853.69</v>
      </c>
      <c r="AD137" s="3">
        <f t="shared" si="11"/>
        <v>204853.69</v>
      </c>
    </row>
    <row r="138" spans="1:30" x14ac:dyDescent="0.2">
      <c r="A138" s="18">
        <v>432</v>
      </c>
      <c r="B138" s="18">
        <v>1</v>
      </c>
      <c r="C138" s="3" t="s">
        <v>134</v>
      </c>
      <c r="D138" s="3">
        <f>Levy!F138</f>
        <v>0</v>
      </c>
      <c r="E138" s="3">
        <f>Levy!G138</f>
        <v>43657.39</v>
      </c>
      <c r="F138" s="3">
        <f>Levy!H138</f>
        <v>0</v>
      </c>
      <c r="G138" s="3">
        <f>Levy!I138</f>
        <v>137054.01999999999</v>
      </c>
      <c r="H138" s="3">
        <f>Levy!J138</f>
        <v>29817.72</v>
      </c>
      <c r="I138" s="176">
        <v>0</v>
      </c>
      <c r="J138" s="177">
        <v>10000</v>
      </c>
      <c r="K138" s="177">
        <v>39158.9</v>
      </c>
      <c r="L138" s="177">
        <v>0</v>
      </c>
      <c r="M138" s="175">
        <v>0</v>
      </c>
      <c r="N138" s="175">
        <v>0</v>
      </c>
      <c r="O138" s="175">
        <v>0</v>
      </c>
      <c r="P138" s="177">
        <v>8925.27</v>
      </c>
      <c r="Q138" s="177">
        <v>0</v>
      </c>
      <c r="R138" s="177">
        <v>0</v>
      </c>
      <c r="S138" s="177">
        <v>0</v>
      </c>
      <c r="T138" s="175">
        <v>0</v>
      </c>
      <c r="U138" s="175">
        <v>0</v>
      </c>
      <c r="V138" s="178">
        <v>0</v>
      </c>
      <c r="W138" s="178">
        <v>0</v>
      </c>
      <c r="X138" s="3">
        <v>0</v>
      </c>
      <c r="Y138" s="161">
        <v>0</v>
      </c>
      <c r="Z138" s="3">
        <f t="shared" si="9"/>
        <v>58084.17</v>
      </c>
      <c r="AA138" s="3">
        <f t="shared" si="10"/>
        <v>122627.24</v>
      </c>
      <c r="AB138" s="3">
        <f t="shared" si="12"/>
        <v>29817.72</v>
      </c>
      <c r="AC138" s="3">
        <f>ROUND(MAX(0,(D138-V138)*Shift11!$B$3),2)</f>
        <v>0</v>
      </c>
      <c r="AD138" s="3">
        <f t="shared" si="11"/>
        <v>0</v>
      </c>
    </row>
    <row r="139" spans="1:30" x14ac:dyDescent="0.2">
      <c r="A139" s="18">
        <v>435</v>
      </c>
      <c r="B139" s="18">
        <v>1</v>
      </c>
      <c r="C139" s="3" t="s">
        <v>135</v>
      </c>
      <c r="D139" s="3">
        <f>Levy!F139</f>
        <v>0</v>
      </c>
      <c r="E139" s="3">
        <f>Levy!G139</f>
        <v>66455.92</v>
      </c>
      <c r="F139" s="3">
        <f>Levy!H139</f>
        <v>0</v>
      </c>
      <c r="G139" s="3">
        <f>Levy!I139</f>
        <v>170417.03</v>
      </c>
      <c r="H139" s="3">
        <f>Levy!J139</f>
        <v>30847.82</v>
      </c>
      <c r="I139" s="176">
        <v>0</v>
      </c>
      <c r="J139" s="177">
        <v>7500</v>
      </c>
      <c r="K139" s="177">
        <v>20351.88</v>
      </c>
      <c r="L139" s="177">
        <v>0</v>
      </c>
      <c r="M139" s="175">
        <v>0</v>
      </c>
      <c r="N139" s="175">
        <v>0</v>
      </c>
      <c r="O139" s="175">
        <v>0</v>
      </c>
      <c r="P139" s="177">
        <v>18444.46</v>
      </c>
      <c r="Q139" s="177">
        <v>0</v>
      </c>
      <c r="R139" s="177">
        <v>0</v>
      </c>
      <c r="S139" s="177">
        <v>0</v>
      </c>
      <c r="T139" s="175">
        <v>0</v>
      </c>
      <c r="U139" s="175">
        <v>0</v>
      </c>
      <c r="V139" s="178">
        <v>0</v>
      </c>
      <c r="W139" s="178">
        <v>0</v>
      </c>
      <c r="X139" s="3">
        <v>0</v>
      </c>
      <c r="Y139" s="161">
        <v>0</v>
      </c>
      <c r="Z139" s="3">
        <f t="shared" si="9"/>
        <v>46296.34</v>
      </c>
      <c r="AA139" s="3">
        <f t="shared" si="10"/>
        <v>190576.61</v>
      </c>
      <c r="AB139" s="3">
        <f t="shared" si="12"/>
        <v>30847.82</v>
      </c>
      <c r="AC139" s="3">
        <f>ROUND(MAX(0,(D139-V139)*Shift11!$B$3),2)</f>
        <v>0</v>
      </c>
      <c r="AD139" s="3">
        <f t="shared" si="11"/>
        <v>0</v>
      </c>
    </row>
    <row r="140" spans="1:30" x14ac:dyDescent="0.2">
      <c r="A140" s="18">
        <v>441</v>
      </c>
      <c r="B140" s="18">
        <v>1</v>
      </c>
      <c r="C140" s="3" t="s">
        <v>136</v>
      </c>
      <c r="D140" s="3">
        <f>Levy!F140</f>
        <v>561416</v>
      </c>
      <c r="E140" s="3">
        <f>Levy!G140</f>
        <v>33270</v>
      </c>
      <c r="F140" s="3">
        <f>Levy!H140</f>
        <v>0</v>
      </c>
      <c r="G140" s="3">
        <f>Levy!I140</f>
        <v>205973</v>
      </c>
      <c r="H140" s="3">
        <f>Levy!J140</f>
        <v>28513</v>
      </c>
      <c r="I140" s="176">
        <v>0</v>
      </c>
      <c r="J140" s="177">
        <v>10000</v>
      </c>
      <c r="K140" s="177">
        <v>11665.08</v>
      </c>
      <c r="L140" s="177">
        <v>0</v>
      </c>
      <c r="M140" s="175">
        <v>0</v>
      </c>
      <c r="N140" s="175">
        <v>0</v>
      </c>
      <c r="O140" s="175">
        <v>0</v>
      </c>
      <c r="P140" s="177">
        <v>-1532.37</v>
      </c>
      <c r="Q140" s="177">
        <v>0</v>
      </c>
      <c r="R140" s="177">
        <v>0</v>
      </c>
      <c r="S140" s="177">
        <v>0</v>
      </c>
      <c r="T140" s="175">
        <v>0</v>
      </c>
      <c r="U140" s="175">
        <v>0</v>
      </c>
      <c r="V140" s="178">
        <v>0</v>
      </c>
      <c r="W140" s="178">
        <v>0</v>
      </c>
      <c r="X140" s="3">
        <v>10876.31</v>
      </c>
      <c r="Y140" s="161">
        <v>24919.51</v>
      </c>
      <c r="Z140" s="3">
        <f t="shared" si="9"/>
        <v>20132.710000000003</v>
      </c>
      <c r="AA140" s="3">
        <f t="shared" si="10"/>
        <v>208233.98</v>
      </c>
      <c r="AB140" s="3">
        <f t="shared" si="12"/>
        <v>28513</v>
      </c>
      <c r="AC140" s="3">
        <f>ROUND(MAX(0,(D140-V140)*Shift11!$B$3),2)</f>
        <v>272848.18</v>
      </c>
      <c r="AD140" s="3">
        <f t="shared" si="11"/>
        <v>272848.18</v>
      </c>
    </row>
    <row r="141" spans="1:30" x14ac:dyDescent="0.2">
      <c r="A141" s="18">
        <v>447</v>
      </c>
      <c r="B141" s="18">
        <v>1</v>
      </c>
      <c r="C141" s="3" t="s">
        <v>137</v>
      </c>
      <c r="D141" s="3">
        <f>Levy!F141</f>
        <v>69916</v>
      </c>
      <c r="E141" s="3">
        <f>Levy!G141</f>
        <v>8421</v>
      </c>
      <c r="F141" s="3">
        <f>Levy!H141</f>
        <v>0</v>
      </c>
      <c r="G141" s="3">
        <f>Levy!I141</f>
        <v>57432</v>
      </c>
      <c r="H141" s="3">
        <f>Levy!J141</f>
        <v>12570</v>
      </c>
      <c r="I141" s="176">
        <v>0</v>
      </c>
      <c r="J141" s="177">
        <v>5000</v>
      </c>
      <c r="K141" s="177">
        <v>11665.08</v>
      </c>
      <c r="L141" s="177">
        <v>0</v>
      </c>
      <c r="M141" s="175">
        <v>0</v>
      </c>
      <c r="N141" s="175">
        <v>0</v>
      </c>
      <c r="O141" s="175">
        <v>0</v>
      </c>
      <c r="P141" s="177">
        <v>-770.19</v>
      </c>
      <c r="Q141" s="177">
        <v>0</v>
      </c>
      <c r="R141" s="177">
        <v>0</v>
      </c>
      <c r="S141" s="177">
        <v>0</v>
      </c>
      <c r="T141" s="175">
        <v>0</v>
      </c>
      <c r="U141" s="175">
        <v>0</v>
      </c>
      <c r="V141" s="178">
        <v>0</v>
      </c>
      <c r="W141" s="178">
        <v>0</v>
      </c>
      <c r="X141" s="3">
        <v>0</v>
      </c>
      <c r="Y141" s="161">
        <v>4943.41</v>
      </c>
      <c r="Z141" s="3">
        <f t="shared" si="9"/>
        <v>15894.890000000001</v>
      </c>
      <c r="AA141" s="3">
        <f t="shared" si="10"/>
        <v>49958.11</v>
      </c>
      <c r="AB141" s="3">
        <f t="shared" si="12"/>
        <v>12570</v>
      </c>
      <c r="AC141" s="3">
        <f>ROUND(MAX(0,(D141-V141)*Shift11!$B$3),2)</f>
        <v>33979.18</v>
      </c>
      <c r="AD141" s="3">
        <f t="shared" si="11"/>
        <v>33979.18</v>
      </c>
    </row>
    <row r="142" spans="1:30" x14ac:dyDescent="0.2">
      <c r="A142" s="18">
        <v>458</v>
      </c>
      <c r="B142" s="18">
        <v>1</v>
      </c>
      <c r="C142" s="3" t="s">
        <v>138</v>
      </c>
      <c r="D142" s="3">
        <f>Levy!F142</f>
        <v>336900.33</v>
      </c>
      <c r="E142" s="3">
        <f>Levy!G142</f>
        <v>11149.44</v>
      </c>
      <c r="F142" s="3">
        <f>Levy!H142</f>
        <v>0</v>
      </c>
      <c r="G142" s="3">
        <f>Levy!I142</f>
        <v>182873.49</v>
      </c>
      <c r="H142" s="3">
        <f>Levy!J142</f>
        <v>38915.800000000003</v>
      </c>
      <c r="I142" s="176">
        <v>0</v>
      </c>
      <c r="J142" s="177">
        <v>20000</v>
      </c>
      <c r="K142" s="177">
        <v>11665.08</v>
      </c>
      <c r="L142" s="177">
        <v>0</v>
      </c>
      <c r="M142" s="175">
        <v>0</v>
      </c>
      <c r="N142" s="175">
        <v>0</v>
      </c>
      <c r="O142" s="175">
        <v>0</v>
      </c>
      <c r="P142" s="177">
        <v>4938.7299999999996</v>
      </c>
      <c r="Q142" s="177">
        <v>0</v>
      </c>
      <c r="R142" s="177">
        <v>0</v>
      </c>
      <c r="S142" s="177">
        <v>0</v>
      </c>
      <c r="T142" s="175">
        <v>0</v>
      </c>
      <c r="U142" s="175">
        <v>0</v>
      </c>
      <c r="V142" s="178">
        <v>0</v>
      </c>
      <c r="W142" s="178">
        <v>0</v>
      </c>
      <c r="X142" s="3">
        <v>9301.26</v>
      </c>
      <c r="Y142" s="161">
        <v>138045.48000000001</v>
      </c>
      <c r="Z142" s="3">
        <f t="shared" si="9"/>
        <v>36603.81</v>
      </c>
      <c r="AA142" s="3">
        <f t="shared" si="10"/>
        <v>148117.85999999999</v>
      </c>
      <c r="AB142" s="3">
        <f t="shared" si="12"/>
        <v>38915.800000000003</v>
      </c>
      <c r="AC142" s="3">
        <f>ROUND(MAX(0,(D142-V142)*Shift11!$B$3),2)</f>
        <v>163733.56</v>
      </c>
      <c r="AD142" s="3">
        <f t="shared" si="11"/>
        <v>163733.56</v>
      </c>
    </row>
    <row r="143" spans="1:30" x14ac:dyDescent="0.2">
      <c r="A143" s="18">
        <v>463</v>
      </c>
      <c r="B143" s="18">
        <v>1</v>
      </c>
      <c r="C143" s="3" t="s">
        <v>139</v>
      </c>
      <c r="D143" s="3">
        <f>Levy!F143</f>
        <v>488791.03</v>
      </c>
      <c r="E143" s="3">
        <f>Levy!G143</f>
        <v>51730.98</v>
      </c>
      <c r="F143" s="3">
        <f>Levy!H143</f>
        <v>0</v>
      </c>
      <c r="G143" s="3">
        <f>Levy!I143</f>
        <v>134879.95000000001</v>
      </c>
      <c r="H143" s="3">
        <f>Levy!J143</f>
        <v>60947.37</v>
      </c>
      <c r="I143" s="176">
        <v>0</v>
      </c>
      <c r="J143" s="177">
        <v>6000</v>
      </c>
      <c r="K143" s="177">
        <v>10000</v>
      </c>
      <c r="L143" s="177">
        <v>0</v>
      </c>
      <c r="M143" s="175">
        <v>0</v>
      </c>
      <c r="N143" s="175">
        <v>0</v>
      </c>
      <c r="O143" s="175">
        <v>0</v>
      </c>
      <c r="P143" s="177">
        <v>3053.71</v>
      </c>
      <c r="Q143" s="177">
        <v>0</v>
      </c>
      <c r="R143" s="177">
        <v>0.73</v>
      </c>
      <c r="S143" s="177">
        <v>0</v>
      </c>
      <c r="T143" s="175">
        <v>0</v>
      </c>
      <c r="U143" s="175">
        <v>0</v>
      </c>
      <c r="V143" s="178">
        <v>0</v>
      </c>
      <c r="W143" s="178">
        <v>0</v>
      </c>
      <c r="X143" s="3">
        <v>0</v>
      </c>
      <c r="Y143" s="161">
        <v>32117.919999999998</v>
      </c>
      <c r="Z143" s="3">
        <f t="shared" si="9"/>
        <v>19054.439999999999</v>
      </c>
      <c r="AA143" s="3">
        <f t="shared" si="10"/>
        <v>167556.49</v>
      </c>
      <c r="AB143" s="3">
        <f t="shared" si="12"/>
        <v>60947.37</v>
      </c>
      <c r="AC143" s="3">
        <f>ROUND(MAX(0,(D143-V143)*Shift11!$B$3),2)</f>
        <v>237552.44</v>
      </c>
      <c r="AD143" s="3">
        <f t="shared" si="11"/>
        <v>237552.44</v>
      </c>
    </row>
    <row r="144" spans="1:30" x14ac:dyDescent="0.2">
      <c r="A144" s="18">
        <v>465</v>
      </c>
      <c r="B144" s="18">
        <v>1</v>
      </c>
      <c r="C144" s="3" t="s">
        <v>140</v>
      </c>
      <c r="D144" s="3">
        <f>Levy!F144</f>
        <v>941716.97</v>
      </c>
      <c r="E144" s="3">
        <f>Levy!G144</f>
        <v>151969.69</v>
      </c>
      <c r="F144" s="3">
        <f>Levy!H144</f>
        <v>0</v>
      </c>
      <c r="G144" s="3">
        <f>Levy!I144</f>
        <v>804498.33</v>
      </c>
      <c r="H144" s="3">
        <f>Levy!J144</f>
        <v>138604.81</v>
      </c>
      <c r="I144" s="176">
        <v>0</v>
      </c>
      <c r="J144" s="177">
        <v>7000</v>
      </c>
      <c r="K144" s="177">
        <v>41499.22</v>
      </c>
      <c r="L144" s="177">
        <v>0</v>
      </c>
      <c r="M144" s="175">
        <v>0</v>
      </c>
      <c r="N144" s="175">
        <v>0</v>
      </c>
      <c r="O144" s="175">
        <v>0</v>
      </c>
      <c r="P144" s="177">
        <v>-5457.55</v>
      </c>
      <c r="Q144" s="177">
        <v>0</v>
      </c>
      <c r="R144" s="177">
        <v>0</v>
      </c>
      <c r="S144" s="177">
        <v>0</v>
      </c>
      <c r="T144" s="175">
        <v>0</v>
      </c>
      <c r="U144" s="175">
        <v>0</v>
      </c>
      <c r="V144" s="178">
        <v>0</v>
      </c>
      <c r="W144" s="178">
        <v>0</v>
      </c>
      <c r="X144" s="3">
        <v>0</v>
      </c>
      <c r="Y144" s="161">
        <v>97079.01</v>
      </c>
      <c r="Z144" s="3">
        <f t="shared" si="9"/>
        <v>43041.67</v>
      </c>
      <c r="AA144" s="3">
        <f t="shared" si="10"/>
        <v>913426.35</v>
      </c>
      <c r="AB144" s="3">
        <f t="shared" si="12"/>
        <v>138604.81</v>
      </c>
      <c r="AC144" s="3">
        <f>ROUND(MAX(0,(D144-V144)*Shift11!$B$3),2)</f>
        <v>457674.45</v>
      </c>
      <c r="AD144" s="3">
        <f t="shared" si="11"/>
        <v>457674.45</v>
      </c>
    </row>
    <row r="145" spans="1:30" x14ac:dyDescent="0.2">
      <c r="A145" s="18">
        <v>466</v>
      </c>
      <c r="B145" s="18">
        <v>1</v>
      </c>
      <c r="C145" s="3" t="s">
        <v>141</v>
      </c>
      <c r="D145" s="3">
        <f>Levy!F145</f>
        <v>665822.44999999995</v>
      </c>
      <c r="E145" s="3">
        <f>Levy!G145</f>
        <v>203576.65</v>
      </c>
      <c r="F145" s="3">
        <f>Levy!H145</f>
        <v>0</v>
      </c>
      <c r="G145" s="3">
        <f>Levy!I145</f>
        <v>532215.4</v>
      </c>
      <c r="H145" s="3">
        <f>Levy!J145</f>
        <v>124917.25</v>
      </c>
      <c r="I145" s="176">
        <v>0</v>
      </c>
      <c r="J145" s="177">
        <v>15000</v>
      </c>
      <c r="K145" s="177">
        <v>45466.03</v>
      </c>
      <c r="L145" s="177">
        <v>0</v>
      </c>
      <c r="M145" s="175">
        <v>0</v>
      </c>
      <c r="N145" s="175">
        <v>0</v>
      </c>
      <c r="O145" s="175">
        <v>0</v>
      </c>
      <c r="P145" s="177">
        <v>14613.37</v>
      </c>
      <c r="Q145" s="177">
        <v>0</v>
      </c>
      <c r="R145" s="177">
        <v>1016.92</v>
      </c>
      <c r="S145" s="177">
        <v>0</v>
      </c>
      <c r="T145" s="175">
        <v>0</v>
      </c>
      <c r="U145" s="175">
        <v>0</v>
      </c>
      <c r="V145" s="178">
        <v>0</v>
      </c>
      <c r="W145" s="178">
        <v>0</v>
      </c>
      <c r="X145" s="3">
        <v>0</v>
      </c>
      <c r="Y145" s="161">
        <v>84376.93</v>
      </c>
      <c r="Z145" s="3">
        <f t="shared" si="9"/>
        <v>76096.319999999992</v>
      </c>
      <c r="AA145" s="3">
        <f t="shared" si="10"/>
        <v>659695.73</v>
      </c>
      <c r="AB145" s="3">
        <f t="shared" si="12"/>
        <v>124917.25</v>
      </c>
      <c r="AC145" s="3">
        <f>ROUND(MAX(0,(D145-V145)*Shift11!$B$3),2)</f>
        <v>323589.71000000002</v>
      </c>
      <c r="AD145" s="3">
        <f t="shared" si="11"/>
        <v>323589.71000000002</v>
      </c>
    </row>
    <row r="146" spans="1:30" x14ac:dyDescent="0.2">
      <c r="A146" s="18">
        <v>473</v>
      </c>
      <c r="B146" s="18">
        <v>1</v>
      </c>
      <c r="C146" s="3" t="s">
        <v>142</v>
      </c>
      <c r="D146" s="3">
        <f>Levy!F146</f>
        <v>0</v>
      </c>
      <c r="E146" s="3">
        <f>Levy!G146</f>
        <v>97067.01</v>
      </c>
      <c r="F146" s="3">
        <f>Levy!H146</f>
        <v>0</v>
      </c>
      <c r="G146" s="3">
        <f>Levy!I146</f>
        <v>203035.3</v>
      </c>
      <c r="H146" s="3">
        <f>Levy!J146</f>
        <v>39274.839999999997</v>
      </c>
      <c r="I146" s="176">
        <v>0</v>
      </c>
      <c r="J146" s="177">
        <v>10000</v>
      </c>
      <c r="K146" s="177">
        <v>11767.76</v>
      </c>
      <c r="L146" s="177">
        <v>0</v>
      </c>
      <c r="M146" s="175">
        <v>0</v>
      </c>
      <c r="N146" s="175">
        <v>0</v>
      </c>
      <c r="O146" s="175">
        <v>0</v>
      </c>
      <c r="P146" s="177">
        <v>-2598.4</v>
      </c>
      <c r="Q146" s="177">
        <v>0</v>
      </c>
      <c r="R146" s="177">
        <v>-88.03</v>
      </c>
      <c r="S146" s="177">
        <v>0</v>
      </c>
      <c r="T146" s="175">
        <v>0</v>
      </c>
      <c r="U146" s="175">
        <v>0</v>
      </c>
      <c r="V146" s="178">
        <v>0</v>
      </c>
      <c r="W146" s="178">
        <v>0</v>
      </c>
      <c r="X146" s="3">
        <v>3627.63</v>
      </c>
      <c r="Y146" s="161">
        <v>22384.46</v>
      </c>
      <c r="Z146" s="3">
        <f t="shared" si="9"/>
        <v>19081.330000000002</v>
      </c>
      <c r="AA146" s="3">
        <f t="shared" si="10"/>
        <v>277393.34999999998</v>
      </c>
      <c r="AB146" s="3">
        <f t="shared" si="12"/>
        <v>39274.839999999997</v>
      </c>
      <c r="AC146" s="3">
        <f>ROUND(MAX(0,(D146-V146)*Shift11!$B$3),2)</f>
        <v>0</v>
      </c>
      <c r="AD146" s="3">
        <f t="shared" si="11"/>
        <v>22384.46</v>
      </c>
    </row>
    <row r="147" spans="1:30" x14ac:dyDescent="0.2">
      <c r="A147" s="18">
        <v>477</v>
      </c>
      <c r="B147" s="18">
        <v>1</v>
      </c>
      <c r="C147" s="3" t="s">
        <v>143</v>
      </c>
      <c r="D147" s="3">
        <f>Levy!F147</f>
        <v>888170.13</v>
      </c>
      <c r="E147" s="3">
        <f>Levy!G147</f>
        <v>322878.38</v>
      </c>
      <c r="F147" s="3">
        <f>Levy!H147</f>
        <v>0</v>
      </c>
      <c r="G147" s="3">
        <f>Levy!I147</f>
        <v>1076890.53</v>
      </c>
      <c r="H147" s="3">
        <f>Levy!J147</f>
        <v>266741.88</v>
      </c>
      <c r="I147" s="176">
        <v>0</v>
      </c>
      <c r="J147" s="177">
        <v>75000</v>
      </c>
      <c r="K147" s="177">
        <v>77255.460000000006</v>
      </c>
      <c r="L147" s="177">
        <v>0</v>
      </c>
      <c r="M147" s="175">
        <v>0</v>
      </c>
      <c r="N147" s="175">
        <v>0</v>
      </c>
      <c r="O147" s="175">
        <v>0</v>
      </c>
      <c r="P147" s="177">
        <v>18455.419999999998</v>
      </c>
      <c r="Q147" s="177">
        <v>0</v>
      </c>
      <c r="R147" s="177">
        <v>-3945.6</v>
      </c>
      <c r="S147" s="177">
        <v>0</v>
      </c>
      <c r="T147" s="175">
        <v>0</v>
      </c>
      <c r="U147" s="175">
        <v>0</v>
      </c>
      <c r="V147" s="178">
        <v>0</v>
      </c>
      <c r="W147" s="178">
        <v>0</v>
      </c>
      <c r="X147" s="3">
        <v>0</v>
      </c>
      <c r="Y147" s="161">
        <v>117256.13</v>
      </c>
      <c r="Z147" s="3">
        <f t="shared" si="9"/>
        <v>166765.28</v>
      </c>
      <c r="AA147" s="3">
        <f t="shared" si="10"/>
        <v>1233003.6299999999</v>
      </c>
      <c r="AB147" s="3">
        <f t="shared" si="12"/>
        <v>266741.88</v>
      </c>
      <c r="AC147" s="3">
        <f>ROUND(MAX(0,(D147-V147)*Shift11!$B$3),2)</f>
        <v>431650.68</v>
      </c>
      <c r="AD147" s="3">
        <f t="shared" si="11"/>
        <v>431650.68</v>
      </c>
    </row>
    <row r="148" spans="1:30" x14ac:dyDescent="0.2">
      <c r="A148" s="18">
        <v>480</v>
      </c>
      <c r="B148" s="18">
        <v>1</v>
      </c>
      <c r="C148" s="3" t="s">
        <v>144</v>
      </c>
      <c r="D148" s="3">
        <f>Levy!F148</f>
        <v>460197.27</v>
      </c>
      <c r="E148" s="3">
        <f>Levy!G148</f>
        <v>82393.53</v>
      </c>
      <c r="F148" s="3">
        <f>Levy!H148</f>
        <v>0</v>
      </c>
      <c r="G148" s="3">
        <f>Levy!I148</f>
        <v>1259310.6200000001</v>
      </c>
      <c r="H148" s="3">
        <f>Levy!J148</f>
        <v>78078.55</v>
      </c>
      <c r="I148" s="176">
        <v>0</v>
      </c>
      <c r="J148" s="177">
        <v>20595.98</v>
      </c>
      <c r="K148" s="177">
        <v>14290.16</v>
      </c>
      <c r="L148" s="177">
        <v>0</v>
      </c>
      <c r="M148" s="175">
        <v>0</v>
      </c>
      <c r="N148" s="175">
        <v>0</v>
      </c>
      <c r="O148" s="175">
        <v>0</v>
      </c>
      <c r="P148" s="177">
        <v>2581.23</v>
      </c>
      <c r="Q148" s="177">
        <v>0</v>
      </c>
      <c r="R148" s="177">
        <v>-5091.9399999999996</v>
      </c>
      <c r="S148" s="177">
        <v>0</v>
      </c>
      <c r="T148" s="175">
        <v>0</v>
      </c>
      <c r="U148" s="175">
        <v>0</v>
      </c>
      <c r="V148" s="178">
        <v>0</v>
      </c>
      <c r="W148" s="178">
        <v>0</v>
      </c>
      <c r="X148" s="3">
        <v>0</v>
      </c>
      <c r="Y148" s="161">
        <v>0</v>
      </c>
      <c r="Z148" s="3">
        <f t="shared" si="9"/>
        <v>32375.430000000004</v>
      </c>
      <c r="AA148" s="3">
        <f t="shared" si="10"/>
        <v>1309328.72</v>
      </c>
      <c r="AB148" s="3">
        <f t="shared" si="12"/>
        <v>78078.55</v>
      </c>
      <c r="AC148" s="3">
        <f>ROUND(MAX(0,(D148-V148)*Shift11!$B$3),2)</f>
        <v>223655.87</v>
      </c>
      <c r="AD148" s="3">
        <f t="shared" si="11"/>
        <v>223655.87</v>
      </c>
    </row>
    <row r="149" spans="1:30" x14ac:dyDescent="0.2">
      <c r="A149" s="18">
        <v>482</v>
      </c>
      <c r="B149" s="18">
        <v>1</v>
      </c>
      <c r="C149" s="3" t="s">
        <v>145</v>
      </c>
      <c r="D149" s="3">
        <f>Levy!F149</f>
        <v>1808262.54</v>
      </c>
      <c r="E149" s="3">
        <f>Levy!G149</f>
        <v>238639.89</v>
      </c>
      <c r="F149" s="3">
        <f>Levy!H149</f>
        <v>0</v>
      </c>
      <c r="G149" s="3">
        <f>Levy!I149</f>
        <v>845979.52</v>
      </c>
      <c r="H149" s="3">
        <f>Levy!J149</f>
        <v>175425.83</v>
      </c>
      <c r="I149" s="176">
        <v>0</v>
      </c>
      <c r="J149" s="177">
        <v>35570.25</v>
      </c>
      <c r="K149" s="177">
        <v>108000</v>
      </c>
      <c r="L149" s="177">
        <v>0</v>
      </c>
      <c r="M149" s="175">
        <v>0</v>
      </c>
      <c r="N149" s="175">
        <v>0</v>
      </c>
      <c r="O149" s="175">
        <v>0</v>
      </c>
      <c r="P149" s="177">
        <v>6544.32</v>
      </c>
      <c r="Q149" s="177">
        <v>0</v>
      </c>
      <c r="R149" s="177">
        <v>-15784.25</v>
      </c>
      <c r="S149" s="177">
        <v>0</v>
      </c>
      <c r="T149" s="175">
        <v>0</v>
      </c>
      <c r="U149" s="175">
        <v>0</v>
      </c>
      <c r="V149" s="178">
        <v>0</v>
      </c>
      <c r="W149" s="178">
        <v>0</v>
      </c>
      <c r="X149" s="3">
        <v>0</v>
      </c>
      <c r="Y149" s="161">
        <v>98308.58</v>
      </c>
      <c r="Z149" s="3">
        <f t="shared" si="9"/>
        <v>134330.32</v>
      </c>
      <c r="AA149" s="3">
        <f t="shared" si="10"/>
        <v>950289.09</v>
      </c>
      <c r="AB149" s="3">
        <f t="shared" si="12"/>
        <v>175425.83</v>
      </c>
      <c r="AC149" s="3">
        <f>ROUND(MAX(0,(D149-V149)*Shift11!$B$3),2)</f>
        <v>878815.59</v>
      </c>
      <c r="AD149" s="3">
        <f t="shared" si="11"/>
        <v>878815.59</v>
      </c>
    </row>
    <row r="150" spans="1:30" x14ac:dyDescent="0.2">
      <c r="A150" s="18">
        <v>484</v>
      </c>
      <c r="B150" s="18">
        <v>1</v>
      </c>
      <c r="C150" s="3" t="s">
        <v>146</v>
      </c>
      <c r="D150" s="3">
        <f>Levy!F150</f>
        <v>389631.66</v>
      </c>
      <c r="E150" s="3">
        <f>Levy!G150</f>
        <v>81452.179999999993</v>
      </c>
      <c r="F150" s="3">
        <f>Levy!H150</f>
        <v>0</v>
      </c>
      <c r="G150" s="3">
        <f>Levy!I150</f>
        <v>270690.63</v>
      </c>
      <c r="H150" s="3">
        <f>Levy!J150</f>
        <v>57041.89</v>
      </c>
      <c r="I150" s="176">
        <v>0</v>
      </c>
      <c r="J150" s="177">
        <v>0</v>
      </c>
      <c r="K150" s="177">
        <v>0</v>
      </c>
      <c r="L150" s="177">
        <v>0</v>
      </c>
      <c r="M150" s="175">
        <v>0</v>
      </c>
      <c r="N150" s="175">
        <v>0</v>
      </c>
      <c r="O150" s="175">
        <v>0</v>
      </c>
      <c r="P150" s="177">
        <v>0</v>
      </c>
      <c r="Q150" s="177">
        <v>0</v>
      </c>
      <c r="R150" s="177">
        <v>0</v>
      </c>
      <c r="S150" s="177">
        <v>0</v>
      </c>
      <c r="T150" s="175">
        <v>0</v>
      </c>
      <c r="U150" s="175">
        <v>0</v>
      </c>
      <c r="V150" s="178">
        <v>0</v>
      </c>
      <c r="W150" s="178">
        <v>0</v>
      </c>
      <c r="X150" s="3">
        <v>0</v>
      </c>
      <c r="Y150" s="161">
        <v>31118.21</v>
      </c>
      <c r="Z150" s="3">
        <f t="shared" si="9"/>
        <v>0</v>
      </c>
      <c r="AA150" s="3">
        <f t="shared" si="10"/>
        <v>352142.81</v>
      </c>
      <c r="AB150" s="3">
        <f t="shared" si="12"/>
        <v>57041.89</v>
      </c>
      <c r="AC150" s="3">
        <f>ROUND(MAX(0,(D150-V150)*Shift11!$B$3),2)</f>
        <v>189360.99</v>
      </c>
      <c r="AD150" s="3">
        <f t="shared" si="11"/>
        <v>189360.99</v>
      </c>
    </row>
    <row r="151" spans="1:30" x14ac:dyDescent="0.2">
      <c r="A151" s="18">
        <v>485</v>
      </c>
      <c r="B151" s="18">
        <v>1</v>
      </c>
      <c r="C151" s="3" t="s">
        <v>147</v>
      </c>
      <c r="D151" s="3">
        <f>Levy!F151</f>
        <v>0</v>
      </c>
      <c r="E151" s="3">
        <f>Levy!G151</f>
        <v>98167.58</v>
      </c>
      <c r="F151" s="3">
        <f>Levy!H151</f>
        <v>0</v>
      </c>
      <c r="G151" s="3">
        <f>Levy!I151</f>
        <v>193592.68</v>
      </c>
      <c r="H151" s="3">
        <f>Levy!J151</f>
        <v>38956.75</v>
      </c>
      <c r="I151" s="176">
        <v>0</v>
      </c>
      <c r="J151" s="177">
        <v>22065</v>
      </c>
      <c r="K151" s="177">
        <v>21637.69</v>
      </c>
      <c r="L151" s="177">
        <v>0</v>
      </c>
      <c r="M151" s="175">
        <v>0</v>
      </c>
      <c r="N151" s="175">
        <v>0</v>
      </c>
      <c r="O151" s="175">
        <v>0</v>
      </c>
      <c r="P151" s="177">
        <v>2248.87</v>
      </c>
      <c r="Q151" s="177">
        <v>0</v>
      </c>
      <c r="R151" s="177">
        <v>0</v>
      </c>
      <c r="S151" s="177">
        <v>0</v>
      </c>
      <c r="T151" s="175">
        <v>0</v>
      </c>
      <c r="U151" s="175">
        <v>0</v>
      </c>
      <c r="V151" s="178">
        <v>0</v>
      </c>
      <c r="W151" s="178">
        <v>0</v>
      </c>
      <c r="X151" s="3">
        <v>0</v>
      </c>
      <c r="Y151" s="161">
        <v>29270.26</v>
      </c>
      <c r="Z151" s="3">
        <f t="shared" si="9"/>
        <v>45951.560000000005</v>
      </c>
      <c r="AA151" s="3">
        <f t="shared" si="10"/>
        <v>245808.7</v>
      </c>
      <c r="AB151" s="3">
        <f t="shared" si="12"/>
        <v>38956.75</v>
      </c>
      <c r="AC151" s="3">
        <f>ROUND(MAX(0,(D151-V151)*Shift11!$B$3),2)</f>
        <v>0</v>
      </c>
      <c r="AD151" s="3">
        <f t="shared" si="11"/>
        <v>29270.26</v>
      </c>
    </row>
    <row r="152" spans="1:30" x14ac:dyDescent="0.2">
      <c r="A152" s="18">
        <v>486</v>
      </c>
      <c r="B152" s="18">
        <v>1</v>
      </c>
      <c r="C152" s="3" t="s">
        <v>148</v>
      </c>
      <c r="D152" s="3">
        <f>Levy!F152</f>
        <v>197998.79</v>
      </c>
      <c r="E152" s="3">
        <f>Levy!G152</f>
        <v>26102.19</v>
      </c>
      <c r="F152" s="3">
        <f>Levy!H152</f>
        <v>0</v>
      </c>
      <c r="G152" s="3">
        <f>Levy!I152</f>
        <v>119709</v>
      </c>
      <c r="H152" s="3">
        <f>Levy!J152</f>
        <v>21377.23</v>
      </c>
      <c r="I152" s="176">
        <v>0</v>
      </c>
      <c r="J152" s="177">
        <v>0</v>
      </c>
      <c r="K152" s="177">
        <v>0</v>
      </c>
      <c r="L152" s="177">
        <v>0</v>
      </c>
      <c r="M152" s="175">
        <v>0</v>
      </c>
      <c r="N152" s="175">
        <v>0</v>
      </c>
      <c r="O152" s="175">
        <v>0</v>
      </c>
      <c r="P152" s="177">
        <v>0</v>
      </c>
      <c r="Q152" s="177">
        <v>0</v>
      </c>
      <c r="R152" s="177">
        <v>0</v>
      </c>
      <c r="S152" s="177">
        <v>0</v>
      </c>
      <c r="T152" s="175">
        <v>0</v>
      </c>
      <c r="U152" s="175">
        <v>0</v>
      </c>
      <c r="V152" s="178">
        <v>0</v>
      </c>
      <c r="W152" s="178">
        <v>0</v>
      </c>
      <c r="X152" s="3">
        <v>0</v>
      </c>
      <c r="Y152" s="161">
        <v>15148.78</v>
      </c>
      <c r="Z152" s="3">
        <f t="shared" si="9"/>
        <v>0</v>
      </c>
      <c r="AA152" s="3">
        <f t="shared" si="10"/>
        <v>145811.19</v>
      </c>
      <c r="AB152" s="3">
        <f t="shared" si="12"/>
        <v>21377.23</v>
      </c>
      <c r="AC152" s="3">
        <f>ROUND(MAX(0,(D152-V152)*Shift11!$B$3),2)</f>
        <v>96227.41</v>
      </c>
      <c r="AD152" s="3">
        <f t="shared" si="11"/>
        <v>96227.41</v>
      </c>
    </row>
    <row r="153" spans="1:30" x14ac:dyDescent="0.2">
      <c r="A153" s="18">
        <v>487</v>
      </c>
      <c r="B153" s="18">
        <v>1</v>
      </c>
      <c r="C153" s="3" t="s">
        <v>149</v>
      </c>
      <c r="D153" s="3">
        <f>Levy!F153</f>
        <v>230204.71</v>
      </c>
      <c r="E153" s="3">
        <f>Levy!G153</f>
        <v>24757.83</v>
      </c>
      <c r="F153" s="3">
        <f>Levy!H153</f>
        <v>0</v>
      </c>
      <c r="G153" s="3">
        <f>Levy!I153</f>
        <v>71672.14</v>
      </c>
      <c r="H153" s="3">
        <f>Levy!J153</f>
        <v>9747.84</v>
      </c>
      <c r="I153" s="176">
        <v>0</v>
      </c>
      <c r="J153" s="177">
        <v>0</v>
      </c>
      <c r="K153" s="177">
        <v>11665.08</v>
      </c>
      <c r="L153" s="177">
        <v>0</v>
      </c>
      <c r="M153" s="175">
        <v>0</v>
      </c>
      <c r="N153" s="175">
        <v>0</v>
      </c>
      <c r="O153" s="175">
        <v>0</v>
      </c>
      <c r="P153" s="177">
        <v>-1423.73</v>
      </c>
      <c r="Q153" s="177">
        <v>0</v>
      </c>
      <c r="R153" s="177">
        <v>0</v>
      </c>
      <c r="S153" s="177">
        <v>0</v>
      </c>
      <c r="T153" s="175">
        <v>0</v>
      </c>
      <c r="U153" s="175">
        <v>0</v>
      </c>
      <c r="V153" s="178">
        <v>0</v>
      </c>
      <c r="W153" s="178">
        <v>0</v>
      </c>
      <c r="X153" s="3">
        <v>0</v>
      </c>
      <c r="Y153" s="161">
        <v>32084.69</v>
      </c>
      <c r="Z153" s="3">
        <f t="shared" si="9"/>
        <v>10241.35</v>
      </c>
      <c r="AA153" s="3">
        <f t="shared" si="10"/>
        <v>86188.62</v>
      </c>
      <c r="AB153" s="3">
        <f t="shared" si="12"/>
        <v>9747.84</v>
      </c>
      <c r="AC153" s="3">
        <f>ROUND(MAX(0,(D153-V153)*Shift11!$B$3),2)</f>
        <v>111879.49</v>
      </c>
      <c r="AD153" s="3">
        <f t="shared" si="11"/>
        <v>111879.49</v>
      </c>
    </row>
    <row r="154" spans="1:30" x14ac:dyDescent="0.2">
      <c r="A154" s="18">
        <v>492</v>
      </c>
      <c r="B154" s="18">
        <v>1</v>
      </c>
      <c r="C154" s="3" t="s">
        <v>150</v>
      </c>
      <c r="D154" s="3">
        <f>Levy!F154</f>
        <v>1964059</v>
      </c>
      <c r="E154" s="3">
        <f>Levy!G154</f>
        <v>372468</v>
      </c>
      <c r="F154" s="3">
        <f>Levy!H154</f>
        <v>0</v>
      </c>
      <c r="G154" s="3">
        <f>Levy!I154</f>
        <v>1624841</v>
      </c>
      <c r="H154" s="3">
        <f>Levy!J154</f>
        <v>139347</v>
      </c>
      <c r="I154" s="176">
        <v>0</v>
      </c>
      <c r="J154" s="177">
        <v>50000</v>
      </c>
      <c r="K154" s="177">
        <v>90679.63</v>
      </c>
      <c r="L154" s="177">
        <v>0</v>
      </c>
      <c r="M154" s="175">
        <v>0</v>
      </c>
      <c r="N154" s="175">
        <v>0</v>
      </c>
      <c r="O154" s="175">
        <v>0</v>
      </c>
      <c r="P154" s="177">
        <v>20250.25</v>
      </c>
      <c r="Q154" s="177">
        <v>0</v>
      </c>
      <c r="R154" s="177">
        <v>1929.6</v>
      </c>
      <c r="S154" s="177">
        <v>0</v>
      </c>
      <c r="T154" s="175">
        <v>0</v>
      </c>
      <c r="U154" s="175">
        <v>0</v>
      </c>
      <c r="V154" s="178">
        <v>0</v>
      </c>
      <c r="W154" s="178">
        <v>0</v>
      </c>
      <c r="X154" s="3">
        <v>61476.54</v>
      </c>
      <c r="Y154" s="161">
        <v>295941.48</v>
      </c>
      <c r="Z154" s="3">
        <f t="shared" si="9"/>
        <v>162859.48000000001</v>
      </c>
      <c r="AA154" s="3">
        <f t="shared" si="10"/>
        <v>1772972.98</v>
      </c>
      <c r="AB154" s="3">
        <f t="shared" si="12"/>
        <v>139347</v>
      </c>
      <c r="AC154" s="3">
        <f>ROUND(MAX(0,(D154-V154)*Shift11!$B$3),2)</f>
        <v>954532.67</v>
      </c>
      <c r="AD154" s="3">
        <f t="shared" si="11"/>
        <v>954532.67</v>
      </c>
    </row>
    <row r="155" spans="1:30" x14ac:dyDescent="0.2">
      <c r="A155" s="18">
        <v>495</v>
      </c>
      <c r="B155" s="18">
        <v>1</v>
      </c>
      <c r="C155" s="3" t="s">
        <v>151</v>
      </c>
      <c r="D155" s="3">
        <f>Levy!F155</f>
        <v>353169</v>
      </c>
      <c r="E155" s="3">
        <f>Levy!G155</f>
        <v>17558</v>
      </c>
      <c r="F155" s="3">
        <f>Levy!H155</f>
        <v>0</v>
      </c>
      <c r="G155" s="3">
        <f>Levy!I155</f>
        <v>160891</v>
      </c>
      <c r="H155" s="3">
        <f>Levy!J155</f>
        <v>35072</v>
      </c>
      <c r="I155" s="176">
        <v>0</v>
      </c>
      <c r="J155" s="177">
        <v>3000</v>
      </c>
      <c r="K155" s="177">
        <v>11665.08</v>
      </c>
      <c r="L155" s="177">
        <v>0</v>
      </c>
      <c r="M155" s="175">
        <v>0</v>
      </c>
      <c r="N155" s="175">
        <v>0</v>
      </c>
      <c r="O155" s="175">
        <v>0</v>
      </c>
      <c r="P155" s="177">
        <v>-9597.14</v>
      </c>
      <c r="Q155" s="177">
        <v>0</v>
      </c>
      <c r="R155" s="177">
        <v>0</v>
      </c>
      <c r="S155" s="177">
        <v>0</v>
      </c>
      <c r="T155" s="175">
        <v>0</v>
      </c>
      <c r="U155" s="175">
        <v>0</v>
      </c>
      <c r="V155" s="178">
        <v>0</v>
      </c>
      <c r="W155" s="178">
        <v>0</v>
      </c>
      <c r="X155" s="3">
        <v>7031.72</v>
      </c>
      <c r="Y155" s="161">
        <v>55032.71</v>
      </c>
      <c r="Z155" s="3">
        <f t="shared" si="9"/>
        <v>5067.9400000000005</v>
      </c>
      <c r="AA155" s="3">
        <f t="shared" si="10"/>
        <v>166349.34</v>
      </c>
      <c r="AB155" s="3">
        <f t="shared" si="12"/>
        <v>35072</v>
      </c>
      <c r="AC155" s="3">
        <f>ROUND(MAX(0,(D155-V155)*Shift11!$B$3),2)</f>
        <v>171640.13</v>
      </c>
      <c r="AD155" s="3">
        <f t="shared" si="11"/>
        <v>171640.13</v>
      </c>
    </row>
    <row r="156" spans="1:30" x14ac:dyDescent="0.2">
      <c r="A156" s="18">
        <v>497</v>
      </c>
      <c r="B156" s="18">
        <v>1</v>
      </c>
      <c r="C156" s="3" t="s">
        <v>152</v>
      </c>
      <c r="D156" s="3">
        <f>Levy!F156</f>
        <v>131960</v>
      </c>
      <c r="E156" s="3">
        <f>Levy!G156</f>
        <v>11182</v>
      </c>
      <c r="F156" s="3">
        <f>Levy!H156</f>
        <v>0</v>
      </c>
      <c r="G156" s="3">
        <f>Levy!I156</f>
        <v>112540</v>
      </c>
      <c r="H156" s="3">
        <f>Levy!J156</f>
        <v>18224</v>
      </c>
      <c r="I156" s="176">
        <v>0</v>
      </c>
      <c r="J156" s="177">
        <v>0</v>
      </c>
      <c r="K156" s="177">
        <v>0</v>
      </c>
      <c r="L156" s="177">
        <v>0</v>
      </c>
      <c r="M156" s="175">
        <v>0</v>
      </c>
      <c r="N156" s="175">
        <v>0</v>
      </c>
      <c r="O156" s="175">
        <v>0</v>
      </c>
      <c r="P156" s="177">
        <v>2206</v>
      </c>
      <c r="Q156" s="177">
        <v>0</v>
      </c>
      <c r="R156" s="177">
        <v>0</v>
      </c>
      <c r="S156" s="177">
        <v>0</v>
      </c>
      <c r="T156" s="175">
        <v>0</v>
      </c>
      <c r="U156" s="175">
        <v>0</v>
      </c>
      <c r="V156" s="178">
        <v>0</v>
      </c>
      <c r="W156" s="178">
        <v>0</v>
      </c>
      <c r="X156" s="3">
        <v>3172.07</v>
      </c>
      <c r="Y156" s="161">
        <v>65196.27</v>
      </c>
      <c r="Z156" s="3">
        <f t="shared" si="9"/>
        <v>2206</v>
      </c>
      <c r="AA156" s="3">
        <f t="shared" si="10"/>
        <v>118343.93</v>
      </c>
      <c r="AB156" s="3">
        <f t="shared" si="12"/>
        <v>18224</v>
      </c>
      <c r="AC156" s="3">
        <f>ROUND(MAX(0,(D156-V156)*Shift11!$B$3),2)</f>
        <v>64132.56</v>
      </c>
      <c r="AD156" s="3">
        <f t="shared" si="11"/>
        <v>65196.27</v>
      </c>
    </row>
    <row r="157" spans="1:30" x14ac:dyDescent="0.2">
      <c r="A157" s="18">
        <v>499</v>
      </c>
      <c r="B157" s="18">
        <v>1</v>
      </c>
      <c r="C157" s="3" t="s">
        <v>153</v>
      </c>
      <c r="D157" s="3">
        <f>Levy!F157</f>
        <v>402311</v>
      </c>
      <c r="E157" s="3">
        <f>Levy!G157</f>
        <v>12568</v>
      </c>
      <c r="F157" s="3">
        <f>Levy!H157</f>
        <v>0</v>
      </c>
      <c r="G157" s="3">
        <f>Levy!I157</f>
        <v>121882</v>
      </c>
      <c r="H157" s="3">
        <f>Levy!J157</f>
        <v>56495</v>
      </c>
      <c r="I157" s="176">
        <v>0</v>
      </c>
      <c r="J157" s="177">
        <v>10000</v>
      </c>
      <c r="K157" s="177">
        <v>24383.59</v>
      </c>
      <c r="L157" s="177">
        <v>0</v>
      </c>
      <c r="M157" s="175">
        <v>0</v>
      </c>
      <c r="N157" s="175">
        <v>0</v>
      </c>
      <c r="O157" s="175">
        <v>0</v>
      </c>
      <c r="P157" s="177">
        <v>-3000.89</v>
      </c>
      <c r="Q157" s="177">
        <v>0</v>
      </c>
      <c r="R157" s="177">
        <v>0</v>
      </c>
      <c r="S157" s="177">
        <v>0</v>
      </c>
      <c r="T157" s="175">
        <v>0</v>
      </c>
      <c r="U157" s="175">
        <v>0</v>
      </c>
      <c r="V157" s="178">
        <v>0</v>
      </c>
      <c r="W157" s="178">
        <v>0</v>
      </c>
      <c r="X157" s="3">
        <v>0</v>
      </c>
      <c r="Y157" s="161">
        <v>112134.59</v>
      </c>
      <c r="Z157" s="3">
        <f t="shared" si="9"/>
        <v>31382.699999999997</v>
      </c>
      <c r="AA157" s="3">
        <f t="shared" si="10"/>
        <v>103067.3</v>
      </c>
      <c r="AB157" s="3">
        <f t="shared" si="12"/>
        <v>56495</v>
      </c>
      <c r="AC157" s="3">
        <f>ROUND(MAX(0,(D157-V157)*Shift11!$B$3),2)</f>
        <v>195523.15</v>
      </c>
      <c r="AD157" s="3">
        <f t="shared" si="11"/>
        <v>195523.15</v>
      </c>
    </row>
    <row r="158" spans="1:30" x14ac:dyDescent="0.2">
      <c r="A158" s="18">
        <v>500</v>
      </c>
      <c r="B158" s="18">
        <v>1</v>
      </c>
      <c r="C158" s="3" t="s">
        <v>154</v>
      </c>
      <c r="D158" s="3">
        <f>Levy!F158</f>
        <v>244428</v>
      </c>
      <c r="E158" s="3">
        <f>Levy!G158</f>
        <v>37352</v>
      </c>
      <c r="F158" s="3">
        <f>Levy!H158</f>
        <v>0</v>
      </c>
      <c r="G158" s="3">
        <f>Levy!I158</f>
        <v>315083</v>
      </c>
      <c r="H158" s="3">
        <f>Levy!J158</f>
        <v>54736</v>
      </c>
      <c r="I158" s="176">
        <v>0</v>
      </c>
      <c r="J158" s="177">
        <v>3000</v>
      </c>
      <c r="K158" s="177">
        <v>18944.080000000002</v>
      </c>
      <c r="L158" s="177">
        <v>0</v>
      </c>
      <c r="M158" s="175">
        <v>0</v>
      </c>
      <c r="N158" s="175">
        <v>0</v>
      </c>
      <c r="O158" s="175">
        <v>0</v>
      </c>
      <c r="P158" s="177">
        <v>-514.13</v>
      </c>
      <c r="Q158" s="177">
        <v>0</v>
      </c>
      <c r="R158" s="177">
        <v>-1220.8</v>
      </c>
      <c r="S158" s="177">
        <v>0</v>
      </c>
      <c r="T158" s="175">
        <v>0</v>
      </c>
      <c r="U158" s="175">
        <v>0</v>
      </c>
      <c r="V158" s="178">
        <v>0</v>
      </c>
      <c r="W158" s="178">
        <v>0</v>
      </c>
      <c r="X158" s="3">
        <v>5199.95</v>
      </c>
      <c r="Y158" s="161">
        <v>97648.05</v>
      </c>
      <c r="Z158" s="3">
        <f t="shared" si="9"/>
        <v>20209.150000000001</v>
      </c>
      <c r="AA158" s="3">
        <f t="shared" si="10"/>
        <v>327025.90000000002</v>
      </c>
      <c r="AB158" s="3">
        <f t="shared" si="12"/>
        <v>54736</v>
      </c>
      <c r="AC158" s="3">
        <f>ROUND(MAX(0,(D158-V158)*Shift11!$B$3),2)</f>
        <v>118792.01</v>
      </c>
      <c r="AD158" s="3">
        <f t="shared" si="11"/>
        <v>118792.01</v>
      </c>
    </row>
    <row r="159" spans="1:30" x14ac:dyDescent="0.2">
      <c r="A159" s="18">
        <v>505</v>
      </c>
      <c r="B159" s="18">
        <v>1</v>
      </c>
      <c r="C159" s="3" t="s">
        <v>155</v>
      </c>
      <c r="D159" s="3">
        <f>Levy!F159</f>
        <v>222254.42</v>
      </c>
      <c r="E159" s="3">
        <f>Levy!G159</f>
        <v>15982.84</v>
      </c>
      <c r="F159" s="3">
        <f>Levy!H159</f>
        <v>0</v>
      </c>
      <c r="G159" s="3">
        <f>Levy!I159</f>
        <v>161547.16</v>
      </c>
      <c r="H159" s="3">
        <f>Levy!J159</f>
        <v>39094.410000000003</v>
      </c>
      <c r="I159" s="176">
        <v>0</v>
      </c>
      <c r="J159" s="177">
        <v>0</v>
      </c>
      <c r="K159" s="177">
        <v>20351.88</v>
      </c>
      <c r="L159" s="177">
        <v>0</v>
      </c>
      <c r="M159" s="175">
        <v>0</v>
      </c>
      <c r="N159" s="175">
        <v>0</v>
      </c>
      <c r="O159" s="175">
        <v>0</v>
      </c>
      <c r="P159" s="177">
        <v>0</v>
      </c>
      <c r="Q159" s="177">
        <v>0</v>
      </c>
      <c r="R159" s="177">
        <v>0</v>
      </c>
      <c r="S159" s="177">
        <v>0</v>
      </c>
      <c r="T159" s="175">
        <v>0</v>
      </c>
      <c r="U159" s="175">
        <v>0</v>
      </c>
      <c r="V159" s="178">
        <v>0</v>
      </c>
      <c r="W159" s="178">
        <v>0</v>
      </c>
      <c r="X159" s="3">
        <v>2413.96</v>
      </c>
      <c r="Y159" s="161">
        <v>77554.06</v>
      </c>
      <c r="Z159" s="3">
        <f t="shared" si="9"/>
        <v>20351.88</v>
      </c>
      <c r="AA159" s="3">
        <f t="shared" si="10"/>
        <v>154764.16</v>
      </c>
      <c r="AB159" s="3">
        <f t="shared" si="12"/>
        <v>39094.410000000003</v>
      </c>
      <c r="AC159" s="3">
        <f>ROUND(MAX(0,(D159-V159)*Shift11!$B$3),2)</f>
        <v>108015.65</v>
      </c>
      <c r="AD159" s="3">
        <f t="shared" si="11"/>
        <v>108015.65</v>
      </c>
    </row>
    <row r="160" spans="1:30" x14ac:dyDescent="0.2">
      <c r="A160" s="18">
        <v>507</v>
      </c>
      <c r="B160" s="18">
        <v>1</v>
      </c>
      <c r="C160" s="3" t="s">
        <v>156</v>
      </c>
      <c r="D160" s="3">
        <f>Levy!F160</f>
        <v>322255</v>
      </c>
      <c r="E160" s="3">
        <f>Levy!G160</f>
        <v>30627</v>
      </c>
      <c r="F160" s="3">
        <f>Levy!H160</f>
        <v>0</v>
      </c>
      <c r="G160" s="3">
        <f>Levy!I160</f>
        <v>156870</v>
      </c>
      <c r="H160" s="3">
        <f>Levy!J160</f>
        <v>36794</v>
      </c>
      <c r="I160" s="176">
        <v>0</v>
      </c>
      <c r="J160" s="177">
        <v>10000</v>
      </c>
      <c r="K160" s="177">
        <v>11665.08</v>
      </c>
      <c r="L160" s="177">
        <v>0</v>
      </c>
      <c r="M160" s="175">
        <v>0</v>
      </c>
      <c r="N160" s="175">
        <v>0</v>
      </c>
      <c r="O160" s="175">
        <v>0</v>
      </c>
      <c r="P160" s="177">
        <v>11635.52</v>
      </c>
      <c r="Q160" s="177">
        <v>0</v>
      </c>
      <c r="R160" s="177">
        <v>0</v>
      </c>
      <c r="S160" s="177">
        <v>0</v>
      </c>
      <c r="T160" s="175">
        <v>0</v>
      </c>
      <c r="U160" s="175">
        <v>0</v>
      </c>
      <c r="V160" s="178">
        <v>0</v>
      </c>
      <c r="W160" s="178">
        <v>0</v>
      </c>
      <c r="X160" s="3">
        <v>0</v>
      </c>
      <c r="Y160" s="161">
        <v>124645.82</v>
      </c>
      <c r="Z160" s="3">
        <f t="shared" si="9"/>
        <v>33300.600000000006</v>
      </c>
      <c r="AA160" s="3">
        <f t="shared" si="10"/>
        <v>154196.4</v>
      </c>
      <c r="AB160" s="3">
        <f t="shared" si="12"/>
        <v>36794</v>
      </c>
      <c r="AC160" s="3">
        <f>ROUND(MAX(0,(D160-V160)*Shift11!$B$3),2)</f>
        <v>156615.93</v>
      </c>
      <c r="AD160" s="3">
        <f t="shared" si="11"/>
        <v>156615.93</v>
      </c>
    </row>
    <row r="161" spans="1:30" x14ac:dyDescent="0.2">
      <c r="A161" s="18">
        <v>508</v>
      </c>
      <c r="B161" s="18">
        <v>1</v>
      </c>
      <c r="C161" s="3" t="s">
        <v>157</v>
      </c>
      <c r="D161" s="3">
        <f>Levy!F161</f>
        <v>1485426</v>
      </c>
      <c r="E161" s="3">
        <f>Levy!G161</f>
        <v>187712</v>
      </c>
      <c r="F161" s="3">
        <f>Levy!H161</f>
        <v>428000</v>
      </c>
      <c r="G161" s="3">
        <f>Levy!I161</f>
        <v>883741</v>
      </c>
      <c r="H161" s="3">
        <f>Levy!J161</f>
        <v>135373</v>
      </c>
      <c r="I161" s="176">
        <v>0</v>
      </c>
      <c r="J161" s="177">
        <v>4965.97</v>
      </c>
      <c r="K161" s="177">
        <v>15642.95</v>
      </c>
      <c r="L161" s="177">
        <v>0</v>
      </c>
      <c r="M161" s="175">
        <v>0</v>
      </c>
      <c r="N161" s="175">
        <v>0</v>
      </c>
      <c r="O161" s="175">
        <v>0</v>
      </c>
      <c r="P161" s="177">
        <v>-19527.62</v>
      </c>
      <c r="Q161" s="177">
        <v>0</v>
      </c>
      <c r="R161" s="177">
        <v>-3410.07</v>
      </c>
      <c r="S161" s="177">
        <v>0</v>
      </c>
      <c r="T161" s="175">
        <v>0</v>
      </c>
      <c r="U161" s="175">
        <v>0</v>
      </c>
      <c r="V161" s="178">
        <v>0</v>
      </c>
      <c r="W161" s="178">
        <v>0</v>
      </c>
      <c r="X161" s="3">
        <v>0</v>
      </c>
      <c r="Y161" s="161">
        <v>172318.92</v>
      </c>
      <c r="Z161" s="3">
        <f t="shared" si="9"/>
        <v>-2328.7699999999973</v>
      </c>
      <c r="AA161" s="3">
        <f t="shared" si="10"/>
        <v>1501781.77</v>
      </c>
      <c r="AB161" s="3">
        <f t="shared" si="12"/>
        <v>135373</v>
      </c>
      <c r="AC161" s="3">
        <f>ROUND(MAX(0,(D161-V161)*Shift11!$B$3),2)</f>
        <v>721917.04</v>
      </c>
      <c r="AD161" s="3">
        <f t="shared" si="11"/>
        <v>721917.04</v>
      </c>
    </row>
    <row r="162" spans="1:30" x14ac:dyDescent="0.2">
      <c r="A162" s="18">
        <v>511</v>
      </c>
      <c r="B162" s="18">
        <v>1</v>
      </c>
      <c r="C162" s="3" t="s">
        <v>158</v>
      </c>
      <c r="D162" s="3">
        <f>Levy!F162</f>
        <v>331322.15000000002</v>
      </c>
      <c r="E162" s="3">
        <f>Levy!G162</f>
        <v>23484.31</v>
      </c>
      <c r="F162" s="3">
        <f>Levy!H162</f>
        <v>0</v>
      </c>
      <c r="G162" s="3">
        <f>Levy!I162</f>
        <v>189406.39</v>
      </c>
      <c r="H162" s="3">
        <f>Levy!J162</f>
        <v>7226.11</v>
      </c>
      <c r="I162" s="176">
        <v>0</v>
      </c>
      <c r="J162" s="177">
        <v>0</v>
      </c>
      <c r="K162" s="177">
        <v>15728.2</v>
      </c>
      <c r="L162" s="177">
        <v>0</v>
      </c>
      <c r="M162" s="175">
        <v>0</v>
      </c>
      <c r="N162" s="175">
        <v>0</v>
      </c>
      <c r="O162" s="175">
        <v>0</v>
      </c>
      <c r="P162" s="177">
        <v>9902.6299999999992</v>
      </c>
      <c r="Q162" s="177">
        <v>0</v>
      </c>
      <c r="R162" s="177">
        <v>-3483.15</v>
      </c>
      <c r="S162" s="177">
        <v>0</v>
      </c>
      <c r="T162" s="175">
        <v>0</v>
      </c>
      <c r="U162" s="175">
        <v>0</v>
      </c>
      <c r="V162" s="178">
        <v>0</v>
      </c>
      <c r="W162" s="178">
        <v>0</v>
      </c>
      <c r="X162" s="3">
        <v>0</v>
      </c>
      <c r="Y162" s="161">
        <v>21485.18</v>
      </c>
      <c r="Z162" s="3">
        <f t="shared" si="9"/>
        <v>22147.68</v>
      </c>
      <c r="AA162" s="3">
        <f t="shared" si="10"/>
        <v>190743.02</v>
      </c>
      <c r="AB162" s="3">
        <f t="shared" si="12"/>
        <v>7226.11</v>
      </c>
      <c r="AC162" s="3">
        <f>ROUND(MAX(0,(D162-V162)*Shift11!$B$3),2)</f>
        <v>161022.56</v>
      </c>
      <c r="AD162" s="3">
        <f t="shared" si="11"/>
        <v>161022.56</v>
      </c>
    </row>
    <row r="163" spans="1:30" x14ac:dyDescent="0.2">
      <c r="A163" s="18">
        <v>513</v>
      </c>
      <c r="B163" s="18">
        <v>1</v>
      </c>
      <c r="C163" s="3" t="s">
        <v>159</v>
      </c>
      <c r="D163" s="3">
        <f>Levy!F163</f>
        <v>203347.32</v>
      </c>
      <c r="E163" s="3">
        <f>Levy!G163</f>
        <v>8071.51</v>
      </c>
      <c r="F163" s="3">
        <f>Levy!H163</f>
        <v>0</v>
      </c>
      <c r="G163" s="3">
        <f>Levy!I163</f>
        <v>149674.82999999999</v>
      </c>
      <c r="H163" s="3">
        <f>Levy!J163</f>
        <v>17150.509999999998</v>
      </c>
      <c r="I163" s="176">
        <v>0</v>
      </c>
      <c r="J163" s="177">
        <v>8400</v>
      </c>
      <c r="K163" s="177">
        <v>0</v>
      </c>
      <c r="L163" s="177">
        <v>0</v>
      </c>
      <c r="M163" s="175">
        <v>0</v>
      </c>
      <c r="N163" s="175">
        <v>0</v>
      </c>
      <c r="O163" s="175">
        <v>0</v>
      </c>
      <c r="P163" s="177">
        <v>-3144.32</v>
      </c>
      <c r="Q163" s="177">
        <v>0</v>
      </c>
      <c r="R163" s="177">
        <v>0</v>
      </c>
      <c r="S163" s="177">
        <v>0</v>
      </c>
      <c r="T163" s="175">
        <v>0</v>
      </c>
      <c r="U163" s="175">
        <v>0</v>
      </c>
      <c r="V163" s="178">
        <v>0</v>
      </c>
      <c r="W163" s="178">
        <v>0</v>
      </c>
      <c r="X163" s="3">
        <v>3066.79</v>
      </c>
      <c r="Y163" s="161">
        <v>33457.410000000003</v>
      </c>
      <c r="Z163" s="3">
        <f t="shared" si="9"/>
        <v>5255.68</v>
      </c>
      <c r="AA163" s="3">
        <f t="shared" si="10"/>
        <v>149423.87</v>
      </c>
      <c r="AB163" s="3">
        <f t="shared" si="12"/>
        <v>17150.509999999998</v>
      </c>
      <c r="AC163" s="3">
        <f>ROUND(MAX(0,(D163-V163)*Shift11!$B$3),2)</f>
        <v>98826.8</v>
      </c>
      <c r="AD163" s="3">
        <f t="shared" si="11"/>
        <v>98826.8</v>
      </c>
    </row>
    <row r="164" spans="1:30" x14ac:dyDescent="0.2">
      <c r="A164" s="18">
        <v>514</v>
      </c>
      <c r="B164" s="18">
        <v>1</v>
      </c>
      <c r="C164" s="3" t="s">
        <v>160</v>
      </c>
      <c r="D164" s="3">
        <f>Levy!F164</f>
        <v>105981.52</v>
      </c>
      <c r="E164" s="3">
        <f>Levy!G164</f>
        <v>9354.3799999999992</v>
      </c>
      <c r="F164" s="3">
        <f>Levy!H164</f>
        <v>0</v>
      </c>
      <c r="G164" s="3">
        <f>Levy!I164</f>
        <v>75262.649999999994</v>
      </c>
      <c r="H164" s="3">
        <f>Levy!J164</f>
        <v>11665.32</v>
      </c>
      <c r="I164" s="176">
        <v>0</v>
      </c>
      <c r="J164" s="177">
        <v>0</v>
      </c>
      <c r="K164" s="177">
        <v>11665.08</v>
      </c>
      <c r="L164" s="177">
        <v>0</v>
      </c>
      <c r="M164" s="175">
        <v>0</v>
      </c>
      <c r="N164" s="175">
        <v>0</v>
      </c>
      <c r="O164" s="175">
        <v>0</v>
      </c>
      <c r="P164" s="177">
        <v>6649.02</v>
      </c>
      <c r="Q164" s="177">
        <v>0</v>
      </c>
      <c r="R164" s="177">
        <v>0</v>
      </c>
      <c r="S164" s="177">
        <v>0</v>
      </c>
      <c r="T164" s="175">
        <v>0</v>
      </c>
      <c r="U164" s="175">
        <v>0</v>
      </c>
      <c r="V164" s="178">
        <v>0</v>
      </c>
      <c r="W164" s="178">
        <v>0</v>
      </c>
      <c r="X164" s="3">
        <v>0</v>
      </c>
      <c r="Y164" s="161">
        <v>57410.63</v>
      </c>
      <c r="Z164" s="3">
        <f t="shared" si="9"/>
        <v>18314.099999999999</v>
      </c>
      <c r="AA164" s="3">
        <f t="shared" si="10"/>
        <v>66302.929999999993</v>
      </c>
      <c r="AB164" s="3">
        <f t="shared" si="12"/>
        <v>11665.32</v>
      </c>
      <c r="AC164" s="3">
        <f>ROUND(MAX(0,(D164-V164)*Shift11!$B$3),2)</f>
        <v>51507.02</v>
      </c>
      <c r="AD164" s="3">
        <f t="shared" si="11"/>
        <v>57410.63</v>
      </c>
    </row>
    <row r="165" spans="1:30" x14ac:dyDescent="0.2">
      <c r="A165" s="18">
        <v>516</v>
      </c>
      <c r="B165" s="18">
        <v>1</v>
      </c>
      <c r="C165" s="3" t="s">
        <v>161</v>
      </c>
      <c r="D165" s="3">
        <f>Levy!F165</f>
        <v>105346.66</v>
      </c>
      <c r="E165" s="3">
        <f>Levy!G165</f>
        <v>0</v>
      </c>
      <c r="F165" s="3">
        <f>Levy!H165</f>
        <v>0</v>
      </c>
      <c r="G165" s="3">
        <f>Levy!I165</f>
        <v>41721.49</v>
      </c>
      <c r="H165" s="3">
        <f>Levy!J165</f>
        <v>18213.7</v>
      </c>
      <c r="I165" s="176">
        <v>0</v>
      </c>
      <c r="J165" s="177">
        <v>2700</v>
      </c>
      <c r="K165" s="177">
        <v>0</v>
      </c>
      <c r="L165" s="177">
        <v>0</v>
      </c>
      <c r="M165" s="175">
        <v>0</v>
      </c>
      <c r="N165" s="175">
        <v>0</v>
      </c>
      <c r="O165" s="175">
        <v>0</v>
      </c>
      <c r="P165" s="177">
        <v>-6322.65</v>
      </c>
      <c r="Q165" s="177">
        <v>0</v>
      </c>
      <c r="R165" s="177">
        <v>0</v>
      </c>
      <c r="S165" s="177">
        <v>0</v>
      </c>
      <c r="T165" s="175">
        <v>0</v>
      </c>
      <c r="U165" s="175">
        <v>0</v>
      </c>
      <c r="V165" s="178">
        <v>0</v>
      </c>
      <c r="W165" s="178">
        <v>0</v>
      </c>
      <c r="X165" s="3">
        <v>4004.15</v>
      </c>
      <c r="Y165" s="161">
        <v>43750.91</v>
      </c>
      <c r="Z165" s="3">
        <f t="shared" si="9"/>
        <v>-3622.6499999999996</v>
      </c>
      <c r="AA165" s="3">
        <f t="shared" si="10"/>
        <v>41339.99</v>
      </c>
      <c r="AB165" s="3">
        <f t="shared" si="12"/>
        <v>18213.7</v>
      </c>
      <c r="AC165" s="3">
        <f>ROUND(MAX(0,(D165-V165)*Shift11!$B$3),2)</f>
        <v>51198.48</v>
      </c>
      <c r="AD165" s="3">
        <f t="shared" si="11"/>
        <v>51198.48</v>
      </c>
    </row>
    <row r="166" spans="1:30" x14ac:dyDescent="0.2">
      <c r="A166" s="18">
        <v>518</v>
      </c>
      <c r="B166" s="18">
        <v>1</v>
      </c>
      <c r="C166" s="3" t="s">
        <v>162</v>
      </c>
      <c r="D166" s="3">
        <f>Levy!F166</f>
        <v>1658318.92</v>
      </c>
      <c r="E166" s="3">
        <f>Levy!G166</f>
        <v>145075.15</v>
      </c>
      <c r="F166" s="3">
        <f>Levy!H166</f>
        <v>0</v>
      </c>
      <c r="G166" s="3">
        <f>Levy!I166</f>
        <v>600307.25</v>
      </c>
      <c r="H166" s="3">
        <f>Levy!J166</f>
        <v>169507.79</v>
      </c>
      <c r="I166" s="176">
        <v>0</v>
      </c>
      <c r="J166" s="177">
        <v>24500</v>
      </c>
      <c r="K166" s="177">
        <v>56933.04</v>
      </c>
      <c r="L166" s="177">
        <v>0</v>
      </c>
      <c r="M166" s="175">
        <v>0</v>
      </c>
      <c r="N166" s="175">
        <v>0</v>
      </c>
      <c r="O166" s="175">
        <v>0</v>
      </c>
      <c r="P166" s="177">
        <v>-5569.23</v>
      </c>
      <c r="Q166" s="177">
        <v>0</v>
      </c>
      <c r="R166" s="177">
        <v>0</v>
      </c>
      <c r="S166" s="177">
        <v>0</v>
      </c>
      <c r="T166" s="175">
        <v>0</v>
      </c>
      <c r="U166" s="175">
        <v>0</v>
      </c>
      <c r="V166" s="178">
        <v>0</v>
      </c>
      <c r="W166" s="178">
        <v>0</v>
      </c>
      <c r="X166" s="3">
        <v>0</v>
      </c>
      <c r="Y166" s="161">
        <v>75872.61</v>
      </c>
      <c r="Z166" s="3">
        <f t="shared" si="9"/>
        <v>75863.810000000012</v>
      </c>
      <c r="AA166" s="3">
        <f t="shared" si="10"/>
        <v>669518.59</v>
      </c>
      <c r="AB166" s="3">
        <f t="shared" si="12"/>
        <v>169507.79</v>
      </c>
      <c r="AC166" s="3">
        <f>ROUND(MAX(0,(D166-V166)*Shift11!$B$3),2)</f>
        <v>805943</v>
      </c>
      <c r="AD166" s="3">
        <f t="shared" si="11"/>
        <v>805943</v>
      </c>
    </row>
    <row r="167" spans="1:30" x14ac:dyDescent="0.2">
      <c r="A167" s="18">
        <v>531</v>
      </c>
      <c r="B167" s="18">
        <v>1</v>
      </c>
      <c r="C167" s="3" t="s">
        <v>163</v>
      </c>
      <c r="D167" s="3">
        <f>Levy!F167</f>
        <v>370475</v>
      </c>
      <c r="E167" s="3">
        <f>Levy!G167</f>
        <v>199703</v>
      </c>
      <c r="F167" s="3">
        <f>Levy!H167</f>
        <v>0</v>
      </c>
      <c r="G167" s="3">
        <f>Levy!I167</f>
        <v>406395</v>
      </c>
      <c r="H167" s="3">
        <f>Levy!J167</f>
        <v>98125</v>
      </c>
      <c r="I167" s="176">
        <v>0</v>
      </c>
      <c r="J167" s="177">
        <v>5000</v>
      </c>
      <c r="K167" s="177">
        <v>36879.370000000003</v>
      </c>
      <c r="L167" s="177">
        <v>0</v>
      </c>
      <c r="M167" s="175">
        <v>0</v>
      </c>
      <c r="N167" s="175">
        <v>0</v>
      </c>
      <c r="O167" s="175">
        <v>0</v>
      </c>
      <c r="P167" s="177">
        <v>9432.74</v>
      </c>
      <c r="Q167" s="177">
        <v>0</v>
      </c>
      <c r="R167" s="177">
        <v>-1606.4</v>
      </c>
      <c r="S167" s="177">
        <v>0</v>
      </c>
      <c r="T167" s="175">
        <v>0</v>
      </c>
      <c r="U167" s="175">
        <v>0</v>
      </c>
      <c r="V167" s="178">
        <v>0</v>
      </c>
      <c r="W167" s="178">
        <v>0</v>
      </c>
      <c r="X167" s="3">
        <v>0</v>
      </c>
      <c r="Y167" s="161">
        <v>45629.11</v>
      </c>
      <c r="Z167" s="3">
        <f t="shared" si="9"/>
        <v>49705.71</v>
      </c>
      <c r="AA167" s="3">
        <f t="shared" si="10"/>
        <v>556392.29</v>
      </c>
      <c r="AB167" s="3">
        <f t="shared" si="12"/>
        <v>98125</v>
      </c>
      <c r="AC167" s="3">
        <f>ROUND(MAX(0,(D167-V167)*Shift11!$B$3),2)</f>
        <v>180050.85</v>
      </c>
      <c r="AD167" s="3">
        <f t="shared" si="11"/>
        <v>180050.85</v>
      </c>
    </row>
    <row r="168" spans="1:30" x14ac:dyDescent="0.2">
      <c r="A168" s="18">
        <v>533</v>
      </c>
      <c r="B168" s="18">
        <v>1</v>
      </c>
      <c r="C168" s="3" t="s">
        <v>164</v>
      </c>
      <c r="D168" s="3">
        <f>Levy!F168</f>
        <v>69620</v>
      </c>
      <c r="E168" s="3">
        <f>Levy!G168</f>
        <v>107284</v>
      </c>
      <c r="F168" s="3">
        <f>Levy!H168</f>
        <v>0</v>
      </c>
      <c r="G168" s="3">
        <f>Levy!I168</f>
        <v>357379</v>
      </c>
      <c r="H168" s="3">
        <f>Levy!J168</f>
        <v>31759</v>
      </c>
      <c r="I168" s="176">
        <v>0</v>
      </c>
      <c r="J168" s="177">
        <v>15000</v>
      </c>
      <c r="K168" s="177">
        <v>20910.43</v>
      </c>
      <c r="L168" s="177">
        <v>0</v>
      </c>
      <c r="M168" s="175">
        <v>0</v>
      </c>
      <c r="N168" s="175">
        <v>0</v>
      </c>
      <c r="O168" s="175">
        <v>0</v>
      </c>
      <c r="P168" s="177">
        <v>5718.61</v>
      </c>
      <c r="Q168" s="177">
        <v>0</v>
      </c>
      <c r="R168" s="177">
        <v>-720.82</v>
      </c>
      <c r="S168" s="177">
        <v>0</v>
      </c>
      <c r="T168" s="175">
        <v>0</v>
      </c>
      <c r="U168" s="175">
        <v>0</v>
      </c>
      <c r="V168" s="178">
        <v>0</v>
      </c>
      <c r="W168" s="178">
        <v>0</v>
      </c>
      <c r="X168" s="3">
        <v>0</v>
      </c>
      <c r="Y168" s="161">
        <v>0</v>
      </c>
      <c r="Z168" s="3">
        <f t="shared" si="9"/>
        <v>40908.22</v>
      </c>
      <c r="AA168" s="3">
        <f t="shared" si="10"/>
        <v>423754.78</v>
      </c>
      <c r="AB168" s="3">
        <f t="shared" si="12"/>
        <v>31759</v>
      </c>
      <c r="AC168" s="3">
        <f>ROUND(MAX(0,(D168-V168)*Shift11!$B$3),2)</f>
        <v>33835.32</v>
      </c>
      <c r="AD168" s="3">
        <f t="shared" si="11"/>
        <v>33835.32</v>
      </c>
    </row>
    <row r="169" spans="1:30" x14ac:dyDescent="0.2">
      <c r="A169" s="18">
        <v>534</v>
      </c>
      <c r="B169" s="18">
        <v>1</v>
      </c>
      <c r="C169" s="3" t="s">
        <v>165</v>
      </c>
      <c r="D169" s="3">
        <f>Levy!F169</f>
        <v>1076054</v>
      </c>
      <c r="E169" s="3">
        <f>Levy!G169</f>
        <v>174413</v>
      </c>
      <c r="F169" s="3">
        <f>Levy!H169</f>
        <v>0</v>
      </c>
      <c r="G169" s="3">
        <f>Levy!I169</f>
        <v>573748</v>
      </c>
      <c r="H169" s="3">
        <f>Levy!J169</f>
        <v>106202</v>
      </c>
      <c r="I169" s="176">
        <v>0</v>
      </c>
      <c r="J169" s="177">
        <v>16299</v>
      </c>
      <c r="K169" s="177">
        <v>37844.31</v>
      </c>
      <c r="L169" s="177">
        <v>0</v>
      </c>
      <c r="M169" s="175">
        <v>0</v>
      </c>
      <c r="N169" s="175">
        <v>0</v>
      </c>
      <c r="O169" s="175">
        <v>0</v>
      </c>
      <c r="P169" s="177">
        <v>5996.48</v>
      </c>
      <c r="Q169" s="177">
        <v>0</v>
      </c>
      <c r="R169" s="177">
        <v>-366.4</v>
      </c>
      <c r="S169" s="177">
        <v>0</v>
      </c>
      <c r="T169" s="175">
        <v>0</v>
      </c>
      <c r="U169" s="175">
        <v>0</v>
      </c>
      <c r="V169" s="178">
        <v>0</v>
      </c>
      <c r="W169" s="178">
        <v>0</v>
      </c>
      <c r="X169" s="3">
        <v>13095.74</v>
      </c>
      <c r="Y169" s="161">
        <v>67031.990000000005</v>
      </c>
      <c r="Z169" s="3">
        <f t="shared" si="9"/>
        <v>59773.389999999992</v>
      </c>
      <c r="AA169" s="3">
        <f t="shared" si="10"/>
        <v>675291.87</v>
      </c>
      <c r="AB169" s="3">
        <f t="shared" si="12"/>
        <v>106202</v>
      </c>
      <c r="AC169" s="3">
        <f>ROUND(MAX(0,(D169-V169)*Shift11!$B$3),2)</f>
        <v>522962.24</v>
      </c>
      <c r="AD169" s="3">
        <f t="shared" si="11"/>
        <v>522962.24</v>
      </c>
    </row>
    <row r="170" spans="1:30" x14ac:dyDescent="0.2">
      <c r="A170" s="18">
        <v>535</v>
      </c>
      <c r="B170" s="18">
        <v>1</v>
      </c>
      <c r="C170" s="3" t="s">
        <v>166</v>
      </c>
      <c r="D170" s="3">
        <f>Levy!F170</f>
        <v>9485177</v>
      </c>
      <c r="E170" s="3">
        <f>Levy!G170</f>
        <v>2446912</v>
      </c>
      <c r="F170" s="3">
        <f>Levy!H170</f>
        <v>0</v>
      </c>
      <c r="G170" s="3">
        <f>Levy!I170</f>
        <v>14278662</v>
      </c>
      <c r="H170" s="3">
        <f>Levy!J170</f>
        <v>1738658</v>
      </c>
      <c r="I170" s="176">
        <v>0</v>
      </c>
      <c r="J170" s="177">
        <v>170214</v>
      </c>
      <c r="K170" s="177">
        <v>306047.14</v>
      </c>
      <c r="L170" s="177">
        <v>0</v>
      </c>
      <c r="M170" s="175">
        <v>0</v>
      </c>
      <c r="N170" s="175">
        <v>0</v>
      </c>
      <c r="O170" s="175">
        <v>0</v>
      </c>
      <c r="P170" s="177">
        <v>6851.53</v>
      </c>
      <c r="Q170" s="177">
        <v>0</v>
      </c>
      <c r="R170" s="177">
        <v>-3977.24</v>
      </c>
      <c r="S170" s="177">
        <v>-11097</v>
      </c>
      <c r="T170" s="175">
        <v>0</v>
      </c>
      <c r="U170" s="175">
        <v>0</v>
      </c>
      <c r="V170" s="178">
        <v>0</v>
      </c>
      <c r="W170" s="178">
        <v>0</v>
      </c>
      <c r="X170" s="3">
        <v>317690.53999999998</v>
      </c>
      <c r="Y170" s="161">
        <v>1455888.91</v>
      </c>
      <c r="Z170" s="3">
        <f t="shared" si="9"/>
        <v>468038.43000000005</v>
      </c>
      <c r="AA170" s="3">
        <f t="shared" si="10"/>
        <v>15939845.029999999</v>
      </c>
      <c r="AB170" s="3">
        <f t="shared" si="12"/>
        <v>1738658</v>
      </c>
      <c r="AC170" s="3">
        <f>ROUND(MAX(0,(D170-V170)*Shift11!$B$3),2)</f>
        <v>4609796.0199999996</v>
      </c>
      <c r="AD170" s="3">
        <f t="shared" si="11"/>
        <v>4609796.0199999996</v>
      </c>
    </row>
    <row r="171" spans="1:30" x14ac:dyDescent="0.2">
      <c r="A171" s="18">
        <v>542</v>
      </c>
      <c r="B171" s="18">
        <v>1</v>
      </c>
      <c r="C171" s="3" t="s">
        <v>167</v>
      </c>
      <c r="D171" s="3">
        <f>Levy!F171</f>
        <v>0</v>
      </c>
      <c r="E171" s="3">
        <f>Levy!G171</f>
        <v>98714.22</v>
      </c>
      <c r="F171" s="3">
        <f>Levy!H171</f>
        <v>0</v>
      </c>
      <c r="G171" s="3">
        <f>Levy!I171</f>
        <v>263402.44</v>
      </c>
      <c r="H171" s="3">
        <f>Levy!J171</f>
        <v>49448.81</v>
      </c>
      <c r="I171" s="176">
        <v>0</v>
      </c>
      <c r="J171" s="177">
        <v>3000</v>
      </c>
      <c r="K171" s="177">
        <v>18028.53</v>
      </c>
      <c r="L171" s="177">
        <v>0</v>
      </c>
      <c r="M171" s="175">
        <v>0</v>
      </c>
      <c r="N171" s="175">
        <v>0</v>
      </c>
      <c r="O171" s="175">
        <v>0</v>
      </c>
      <c r="P171" s="177">
        <v>-2890.39</v>
      </c>
      <c r="Q171" s="177">
        <v>0</v>
      </c>
      <c r="R171" s="177">
        <v>0</v>
      </c>
      <c r="S171" s="177">
        <v>0</v>
      </c>
      <c r="T171" s="175">
        <v>0</v>
      </c>
      <c r="U171" s="175">
        <v>0</v>
      </c>
      <c r="V171" s="178">
        <v>0</v>
      </c>
      <c r="W171" s="178">
        <v>0</v>
      </c>
      <c r="X171" s="3">
        <v>0</v>
      </c>
      <c r="Y171" s="161">
        <v>0</v>
      </c>
      <c r="Z171" s="3">
        <f t="shared" si="9"/>
        <v>18138.14</v>
      </c>
      <c r="AA171" s="3">
        <f t="shared" si="10"/>
        <v>343978.52</v>
      </c>
      <c r="AB171" s="3">
        <f t="shared" si="12"/>
        <v>49448.81</v>
      </c>
      <c r="AC171" s="3">
        <f>ROUND(MAX(0,(D171-V171)*Shift11!$B$3),2)</f>
        <v>0</v>
      </c>
      <c r="AD171" s="3">
        <f t="shared" si="11"/>
        <v>0</v>
      </c>
    </row>
    <row r="172" spans="1:30" x14ac:dyDescent="0.2">
      <c r="A172" s="18">
        <v>544</v>
      </c>
      <c r="B172" s="18">
        <v>1</v>
      </c>
      <c r="C172" s="3" t="s">
        <v>168</v>
      </c>
      <c r="D172" s="3">
        <f>Levy!F172</f>
        <v>1018839.86</v>
      </c>
      <c r="E172" s="3">
        <f>Levy!G172</f>
        <v>405917.15</v>
      </c>
      <c r="F172" s="3">
        <f>Levy!H172</f>
        <v>0</v>
      </c>
      <c r="G172" s="3">
        <f>Levy!I172</f>
        <v>1328726.55</v>
      </c>
      <c r="H172" s="3">
        <f>Levy!J172</f>
        <v>261850.91</v>
      </c>
      <c r="I172" s="176">
        <v>0</v>
      </c>
      <c r="J172" s="177">
        <v>35919.83</v>
      </c>
      <c r="K172" s="177">
        <v>71907.259999999995</v>
      </c>
      <c r="L172" s="177">
        <v>0</v>
      </c>
      <c r="M172" s="175">
        <v>0</v>
      </c>
      <c r="N172" s="175">
        <v>0</v>
      </c>
      <c r="O172" s="175">
        <v>0</v>
      </c>
      <c r="P172" s="177">
        <v>-16713.490000000002</v>
      </c>
      <c r="Q172" s="177">
        <v>0</v>
      </c>
      <c r="R172" s="177">
        <v>5716.51</v>
      </c>
      <c r="S172" s="177">
        <v>0</v>
      </c>
      <c r="T172" s="175">
        <v>0</v>
      </c>
      <c r="U172" s="175">
        <v>0</v>
      </c>
      <c r="V172" s="178">
        <v>0</v>
      </c>
      <c r="W172" s="178">
        <v>0</v>
      </c>
      <c r="X172" s="3">
        <v>0</v>
      </c>
      <c r="Y172" s="161">
        <v>194521.26</v>
      </c>
      <c r="Z172" s="3">
        <f t="shared" si="9"/>
        <v>96830.109999999986</v>
      </c>
      <c r="AA172" s="3">
        <f t="shared" si="10"/>
        <v>1637813.59</v>
      </c>
      <c r="AB172" s="3">
        <f t="shared" si="12"/>
        <v>261850.91</v>
      </c>
      <c r="AC172" s="3">
        <f>ROUND(MAX(0,(D172-V172)*Shift11!$B$3),2)</f>
        <v>495156.17</v>
      </c>
      <c r="AD172" s="3">
        <f t="shared" si="11"/>
        <v>495156.17</v>
      </c>
    </row>
    <row r="173" spans="1:30" x14ac:dyDescent="0.2">
      <c r="A173" s="18">
        <v>545</v>
      </c>
      <c r="B173" s="18">
        <v>1</v>
      </c>
      <c r="C173" s="3" t="s">
        <v>169</v>
      </c>
      <c r="D173" s="3">
        <f>Levy!F173</f>
        <v>466760.26</v>
      </c>
      <c r="E173" s="3">
        <f>Levy!G173</f>
        <v>30067.78</v>
      </c>
      <c r="F173" s="3">
        <f>Levy!H173</f>
        <v>0</v>
      </c>
      <c r="G173" s="3">
        <f>Levy!I173</f>
        <v>205614.7</v>
      </c>
      <c r="H173" s="3">
        <f>Levy!J173</f>
        <v>42464.22</v>
      </c>
      <c r="I173" s="176">
        <v>0</v>
      </c>
      <c r="J173" s="177">
        <v>3000</v>
      </c>
      <c r="K173" s="177">
        <v>11665.08</v>
      </c>
      <c r="L173" s="177">
        <v>0</v>
      </c>
      <c r="M173" s="175">
        <v>0</v>
      </c>
      <c r="N173" s="175">
        <v>0</v>
      </c>
      <c r="O173" s="175">
        <v>0</v>
      </c>
      <c r="P173" s="177">
        <v>-1091.9000000000001</v>
      </c>
      <c r="Q173" s="177">
        <v>0</v>
      </c>
      <c r="R173" s="177">
        <v>-2150</v>
      </c>
      <c r="S173" s="177">
        <v>0</v>
      </c>
      <c r="T173" s="175">
        <v>0</v>
      </c>
      <c r="U173" s="175">
        <v>0</v>
      </c>
      <c r="V173" s="178">
        <v>0</v>
      </c>
      <c r="W173" s="178">
        <v>0</v>
      </c>
      <c r="X173" s="3">
        <v>0</v>
      </c>
      <c r="Y173" s="161">
        <v>37137.35</v>
      </c>
      <c r="Z173" s="3">
        <f t="shared" si="9"/>
        <v>11423.18</v>
      </c>
      <c r="AA173" s="3">
        <f t="shared" si="10"/>
        <v>224259.3</v>
      </c>
      <c r="AB173" s="3">
        <f t="shared" si="12"/>
        <v>42464.22</v>
      </c>
      <c r="AC173" s="3">
        <f>ROUND(MAX(0,(D173-V173)*Shift11!$B$3),2)</f>
        <v>226845.49</v>
      </c>
      <c r="AD173" s="3">
        <f t="shared" si="11"/>
        <v>226845.49</v>
      </c>
    </row>
    <row r="174" spans="1:30" x14ac:dyDescent="0.2">
      <c r="A174" s="18">
        <v>547</v>
      </c>
      <c r="B174" s="18">
        <v>1</v>
      </c>
      <c r="C174" s="3" t="s">
        <v>170</v>
      </c>
      <c r="D174" s="3">
        <f>Levy!F174</f>
        <v>523283.51</v>
      </c>
      <c r="E174" s="3">
        <f>Levy!G174</f>
        <v>42982.38</v>
      </c>
      <c r="F174" s="3">
        <f>Levy!H174</f>
        <v>0</v>
      </c>
      <c r="G174" s="3">
        <f>Levy!I174</f>
        <v>93683.87</v>
      </c>
      <c r="H174" s="3">
        <f>Levy!J174</f>
        <v>47655.05</v>
      </c>
      <c r="I174" s="176">
        <v>0</v>
      </c>
      <c r="J174" s="177">
        <v>3000</v>
      </c>
      <c r="K174" s="177">
        <v>21102.05</v>
      </c>
      <c r="L174" s="177">
        <v>0</v>
      </c>
      <c r="M174" s="175">
        <v>0</v>
      </c>
      <c r="N174" s="175">
        <v>0</v>
      </c>
      <c r="O174" s="175">
        <v>0</v>
      </c>
      <c r="P174" s="177">
        <v>-19604</v>
      </c>
      <c r="Q174" s="177">
        <v>0</v>
      </c>
      <c r="R174" s="177">
        <v>0</v>
      </c>
      <c r="S174" s="177">
        <v>0</v>
      </c>
      <c r="T174" s="175">
        <v>0</v>
      </c>
      <c r="U174" s="175">
        <v>0</v>
      </c>
      <c r="V174" s="178">
        <v>0</v>
      </c>
      <c r="W174" s="178">
        <v>0</v>
      </c>
      <c r="X174" s="3">
        <v>0</v>
      </c>
      <c r="Y174" s="161">
        <v>24144.3</v>
      </c>
      <c r="Z174" s="3">
        <f t="shared" si="9"/>
        <v>4498.0499999999993</v>
      </c>
      <c r="AA174" s="3">
        <f t="shared" si="10"/>
        <v>132168.20000000001</v>
      </c>
      <c r="AB174" s="3">
        <f t="shared" si="12"/>
        <v>47655.05</v>
      </c>
      <c r="AC174" s="3">
        <f>ROUND(MAX(0,(D174-V174)*Shift11!$B$3),2)</f>
        <v>254315.79</v>
      </c>
      <c r="AD174" s="3">
        <f t="shared" si="11"/>
        <v>254315.79</v>
      </c>
    </row>
    <row r="175" spans="1:30" x14ac:dyDescent="0.2">
      <c r="A175" s="18">
        <v>548</v>
      </c>
      <c r="B175" s="18">
        <v>1</v>
      </c>
      <c r="C175" s="3" t="s">
        <v>171</v>
      </c>
      <c r="D175" s="3">
        <f>Levy!F175</f>
        <v>731424</v>
      </c>
      <c r="E175" s="3">
        <f>Levy!G175</f>
        <v>136319.9</v>
      </c>
      <c r="F175" s="3">
        <f>Levy!H175</f>
        <v>0</v>
      </c>
      <c r="G175" s="3">
        <f>Levy!I175</f>
        <v>371172.46</v>
      </c>
      <c r="H175" s="3">
        <f>Levy!J175</f>
        <v>101760.01</v>
      </c>
      <c r="I175" s="176">
        <v>0</v>
      </c>
      <c r="J175" s="177">
        <v>0</v>
      </c>
      <c r="K175" s="177">
        <v>26756.85</v>
      </c>
      <c r="L175" s="177">
        <v>0</v>
      </c>
      <c r="M175" s="175">
        <v>0</v>
      </c>
      <c r="N175" s="175">
        <v>0</v>
      </c>
      <c r="O175" s="175">
        <v>0</v>
      </c>
      <c r="P175" s="177">
        <v>3766.25</v>
      </c>
      <c r="Q175" s="177">
        <v>0</v>
      </c>
      <c r="R175" s="177">
        <v>0</v>
      </c>
      <c r="S175" s="177">
        <v>0</v>
      </c>
      <c r="T175" s="175">
        <v>0</v>
      </c>
      <c r="U175" s="175">
        <v>0</v>
      </c>
      <c r="V175" s="178">
        <v>0</v>
      </c>
      <c r="W175" s="178">
        <v>0</v>
      </c>
      <c r="X175" s="3">
        <v>0</v>
      </c>
      <c r="Y175" s="161">
        <v>0</v>
      </c>
      <c r="Z175" s="3">
        <f t="shared" si="9"/>
        <v>30523.1</v>
      </c>
      <c r="AA175" s="3">
        <f t="shared" si="10"/>
        <v>476969.26</v>
      </c>
      <c r="AB175" s="3">
        <f t="shared" si="12"/>
        <v>101760.01</v>
      </c>
      <c r="AC175" s="3">
        <f>ROUND(MAX(0,(D175-V175)*Shift11!$B$3),2)</f>
        <v>355472.06</v>
      </c>
      <c r="AD175" s="3">
        <f t="shared" si="11"/>
        <v>355472.06</v>
      </c>
    </row>
    <row r="176" spans="1:30" x14ac:dyDescent="0.2">
      <c r="A176" s="18">
        <v>549</v>
      </c>
      <c r="B176" s="18">
        <v>1</v>
      </c>
      <c r="C176" s="3" t="s">
        <v>172</v>
      </c>
      <c r="D176" s="3">
        <f>Levy!F176</f>
        <v>0</v>
      </c>
      <c r="E176" s="3">
        <f>Levy!G176</f>
        <v>248712.59</v>
      </c>
      <c r="F176" s="3">
        <f>Levy!H176</f>
        <v>0</v>
      </c>
      <c r="G176" s="3">
        <f>Levy!I176</f>
        <v>687844.23</v>
      </c>
      <c r="H176" s="3">
        <f>Levy!J176</f>
        <v>139153.98000000001</v>
      </c>
      <c r="I176" s="176">
        <v>0</v>
      </c>
      <c r="J176" s="177">
        <v>50000</v>
      </c>
      <c r="K176" s="177">
        <v>39393.93</v>
      </c>
      <c r="L176" s="177">
        <v>0</v>
      </c>
      <c r="M176" s="175">
        <v>0</v>
      </c>
      <c r="N176" s="175">
        <v>0</v>
      </c>
      <c r="O176" s="175">
        <v>0</v>
      </c>
      <c r="P176" s="177">
        <v>-22427.27</v>
      </c>
      <c r="Q176" s="177">
        <v>0</v>
      </c>
      <c r="R176" s="177">
        <v>1217.97</v>
      </c>
      <c r="S176" s="177">
        <v>0</v>
      </c>
      <c r="T176" s="175">
        <v>0</v>
      </c>
      <c r="U176" s="175">
        <v>0</v>
      </c>
      <c r="V176" s="178">
        <v>0</v>
      </c>
      <c r="W176" s="178">
        <v>0</v>
      </c>
      <c r="X176" s="3">
        <v>0</v>
      </c>
      <c r="Y176" s="161">
        <v>134947.70000000001</v>
      </c>
      <c r="Z176" s="3">
        <f t="shared" si="9"/>
        <v>68184.62999999999</v>
      </c>
      <c r="AA176" s="3">
        <f t="shared" si="10"/>
        <v>868372.19</v>
      </c>
      <c r="AB176" s="3">
        <f t="shared" si="12"/>
        <v>139153.98000000001</v>
      </c>
      <c r="AC176" s="3">
        <f>ROUND(MAX(0,(D176-V176)*Shift11!$B$3),2)</f>
        <v>0</v>
      </c>
      <c r="AD176" s="3">
        <f t="shared" si="11"/>
        <v>134947.70000000001</v>
      </c>
    </row>
    <row r="177" spans="1:30" x14ac:dyDescent="0.2">
      <c r="A177" s="18">
        <v>550</v>
      </c>
      <c r="B177" s="18">
        <v>1</v>
      </c>
      <c r="C177" s="3" t="s">
        <v>173</v>
      </c>
      <c r="D177" s="3">
        <f>Levy!F177</f>
        <v>0</v>
      </c>
      <c r="E177" s="3">
        <f>Levy!G177</f>
        <v>62534.34</v>
      </c>
      <c r="F177" s="3">
        <f>Levy!H177</f>
        <v>0</v>
      </c>
      <c r="G177" s="3">
        <f>Levy!I177</f>
        <v>67749.64</v>
      </c>
      <c r="H177" s="3">
        <f>Levy!J177</f>
        <v>31952.47</v>
      </c>
      <c r="I177" s="176">
        <v>0</v>
      </c>
      <c r="J177" s="177">
        <v>1500</v>
      </c>
      <c r="K177" s="177">
        <v>12021.56</v>
      </c>
      <c r="L177" s="177">
        <v>0</v>
      </c>
      <c r="M177" s="175">
        <v>0</v>
      </c>
      <c r="N177" s="175">
        <v>0</v>
      </c>
      <c r="O177" s="175">
        <v>0</v>
      </c>
      <c r="P177" s="177">
        <v>3602.52</v>
      </c>
      <c r="Q177" s="177">
        <v>0</v>
      </c>
      <c r="R177" s="177">
        <v>-305.60000000000002</v>
      </c>
      <c r="S177" s="177">
        <v>0</v>
      </c>
      <c r="T177" s="175">
        <v>0</v>
      </c>
      <c r="U177" s="175">
        <v>0</v>
      </c>
      <c r="V177" s="178">
        <v>0</v>
      </c>
      <c r="W177" s="178">
        <v>0</v>
      </c>
      <c r="X177" s="3">
        <v>0</v>
      </c>
      <c r="Y177" s="161">
        <v>11066.56</v>
      </c>
      <c r="Z177" s="3">
        <f t="shared" si="9"/>
        <v>16818.48</v>
      </c>
      <c r="AA177" s="3">
        <f t="shared" si="10"/>
        <v>113465.5</v>
      </c>
      <c r="AB177" s="3">
        <f t="shared" si="12"/>
        <v>31952.47</v>
      </c>
      <c r="AC177" s="3">
        <f>ROUND(MAX(0,(D177-V177)*Shift11!$B$3),2)</f>
        <v>0</v>
      </c>
      <c r="AD177" s="3">
        <f t="shared" si="11"/>
        <v>11066.56</v>
      </c>
    </row>
    <row r="178" spans="1:30" x14ac:dyDescent="0.2">
      <c r="A178" s="18">
        <v>553</v>
      </c>
      <c r="B178" s="18">
        <v>1</v>
      </c>
      <c r="C178" s="3" t="s">
        <v>174</v>
      </c>
      <c r="D178" s="3">
        <f>Levy!F178</f>
        <v>185848.8</v>
      </c>
      <c r="E178" s="3">
        <f>Levy!G178</f>
        <v>54569.56</v>
      </c>
      <c r="F178" s="3">
        <f>Levy!H178</f>
        <v>0</v>
      </c>
      <c r="G178" s="3">
        <f>Levy!I178</f>
        <v>55645.440000000002</v>
      </c>
      <c r="H178" s="3">
        <f>Levy!J178</f>
        <v>39383.050000000003</v>
      </c>
      <c r="I178" s="176">
        <v>0</v>
      </c>
      <c r="J178" s="177">
        <v>3000</v>
      </c>
      <c r="K178" s="177">
        <v>27005.77</v>
      </c>
      <c r="L178" s="177">
        <v>0</v>
      </c>
      <c r="M178" s="175">
        <v>0</v>
      </c>
      <c r="N178" s="175">
        <v>0</v>
      </c>
      <c r="O178" s="175">
        <v>0</v>
      </c>
      <c r="P178" s="177">
        <v>6740.95</v>
      </c>
      <c r="Q178" s="177">
        <v>0</v>
      </c>
      <c r="R178" s="177">
        <v>0</v>
      </c>
      <c r="S178" s="177">
        <v>0</v>
      </c>
      <c r="T178" s="175">
        <v>0</v>
      </c>
      <c r="U178" s="175">
        <v>0</v>
      </c>
      <c r="V178" s="178">
        <v>0</v>
      </c>
      <c r="W178" s="178">
        <v>0</v>
      </c>
      <c r="X178" s="3">
        <v>0</v>
      </c>
      <c r="Y178" s="161">
        <v>19531.990000000002</v>
      </c>
      <c r="Z178" s="3">
        <f t="shared" si="9"/>
        <v>36746.720000000001</v>
      </c>
      <c r="AA178" s="3">
        <f t="shared" si="10"/>
        <v>73468.28</v>
      </c>
      <c r="AB178" s="3">
        <f t="shared" si="12"/>
        <v>39383.050000000003</v>
      </c>
      <c r="AC178" s="3">
        <f>ROUND(MAX(0,(D178-V178)*Shift11!$B$3),2)</f>
        <v>90322.52</v>
      </c>
      <c r="AD178" s="3">
        <f t="shared" si="11"/>
        <v>90322.52</v>
      </c>
    </row>
    <row r="179" spans="1:30" x14ac:dyDescent="0.2">
      <c r="A179" s="18">
        <v>561</v>
      </c>
      <c r="B179" s="18">
        <v>1</v>
      </c>
      <c r="C179" s="3" t="s">
        <v>175</v>
      </c>
      <c r="D179" s="3">
        <f>Levy!F179</f>
        <v>119444.56</v>
      </c>
      <c r="E179" s="3">
        <f>Levy!G179</f>
        <v>4426.67</v>
      </c>
      <c r="F179" s="3">
        <f>Levy!H179</f>
        <v>0</v>
      </c>
      <c r="G179" s="3">
        <f>Levy!I179</f>
        <v>44435.77</v>
      </c>
      <c r="H179" s="3">
        <f>Levy!J179</f>
        <v>12521.52</v>
      </c>
      <c r="I179" s="176">
        <v>0</v>
      </c>
      <c r="J179" s="177">
        <v>4000</v>
      </c>
      <c r="K179" s="177">
        <v>0</v>
      </c>
      <c r="L179" s="177">
        <v>0</v>
      </c>
      <c r="M179" s="175">
        <v>0</v>
      </c>
      <c r="N179" s="175">
        <v>0</v>
      </c>
      <c r="O179" s="175">
        <v>0</v>
      </c>
      <c r="P179" s="177">
        <v>1911.3</v>
      </c>
      <c r="Q179" s="177">
        <v>0</v>
      </c>
      <c r="R179" s="177">
        <v>0</v>
      </c>
      <c r="S179" s="177">
        <v>0</v>
      </c>
      <c r="T179" s="175">
        <v>0</v>
      </c>
      <c r="U179" s="175">
        <v>0</v>
      </c>
      <c r="V179" s="178">
        <v>0</v>
      </c>
      <c r="W179" s="178">
        <v>0</v>
      </c>
      <c r="X179" s="3">
        <v>0</v>
      </c>
      <c r="Y179" s="161">
        <v>11548.19</v>
      </c>
      <c r="Z179" s="3">
        <f t="shared" si="9"/>
        <v>5911.3</v>
      </c>
      <c r="AA179" s="3">
        <f t="shared" si="10"/>
        <v>42951.14</v>
      </c>
      <c r="AB179" s="3">
        <f t="shared" si="12"/>
        <v>12521.52</v>
      </c>
      <c r="AC179" s="3">
        <f>ROUND(MAX(0,(D179-V179)*Shift11!$B$3),2)</f>
        <v>58050.06</v>
      </c>
      <c r="AD179" s="3">
        <f t="shared" si="11"/>
        <v>58050.06</v>
      </c>
    </row>
    <row r="180" spans="1:30" x14ac:dyDescent="0.2">
      <c r="A180" s="18">
        <v>564</v>
      </c>
      <c r="B180" s="18">
        <v>1</v>
      </c>
      <c r="C180" s="3" t="s">
        <v>176</v>
      </c>
      <c r="D180" s="3">
        <f>Levy!F180</f>
        <v>986363.94</v>
      </c>
      <c r="E180" s="3">
        <f>Levy!G180</f>
        <v>158211.94</v>
      </c>
      <c r="F180" s="3">
        <f>Levy!H180</f>
        <v>0</v>
      </c>
      <c r="G180" s="3">
        <f>Levy!I180</f>
        <v>879525.58</v>
      </c>
      <c r="H180" s="3">
        <f>Levy!J180</f>
        <v>127748.41</v>
      </c>
      <c r="I180" s="176">
        <v>0</v>
      </c>
      <c r="J180" s="177">
        <v>20000</v>
      </c>
      <c r="K180" s="177">
        <v>50502.06</v>
      </c>
      <c r="L180" s="177">
        <v>0</v>
      </c>
      <c r="M180" s="175">
        <v>0</v>
      </c>
      <c r="N180" s="175">
        <v>0</v>
      </c>
      <c r="O180" s="175">
        <v>0</v>
      </c>
      <c r="P180" s="177">
        <v>20004.5</v>
      </c>
      <c r="Q180" s="177">
        <v>0</v>
      </c>
      <c r="R180" s="177">
        <v>0</v>
      </c>
      <c r="S180" s="177">
        <v>0</v>
      </c>
      <c r="T180" s="175">
        <v>0</v>
      </c>
      <c r="U180" s="175">
        <v>0</v>
      </c>
      <c r="V180" s="178">
        <v>0</v>
      </c>
      <c r="W180" s="178">
        <v>0</v>
      </c>
      <c r="X180" s="3">
        <v>0</v>
      </c>
      <c r="Y180" s="161">
        <v>76655.520000000004</v>
      </c>
      <c r="Z180" s="3">
        <f t="shared" si="9"/>
        <v>90506.559999999998</v>
      </c>
      <c r="AA180" s="3">
        <f t="shared" si="10"/>
        <v>947230.96</v>
      </c>
      <c r="AB180" s="3">
        <f t="shared" si="12"/>
        <v>127748.41</v>
      </c>
      <c r="AC180" s="3">
        <f>ROUND(MAX(0,(D180-V180)*Shift11!$B$3),2)</f>
        <v>479372.87</v>
      </c>
      <c r="AD180" s="3">
        <f t="shared" si="11"/>
        <v>479372.87</v>
      </c>
    </row>
    <row r="181" spans="1:30" x14ac:dyDescent="0.2">
      <c r="A181" s="18">
        <v>577</v>
      </c>
      <c r="B181" s="18">
        <v>1</v>
      </c>
      <c r="C181" s="3" t="s">
        <v>177</v>
      </c>
      <c r="D181" s="3">
        <f>Levy!F181</f>
        <v>50433.57</v>
      </c>
      <c r="E181" s="3">
        <f>Levy!G181</f>
        <v>59804.62</v>
      </c>
      <c r="F181" s="3">
        <f>Levy!H181</f>
        <v>0</v>
      </c>
      <c r="G181" s="3">
        <f>Levy!I181</f>
        <v>132640.04</v>
      </c>
      <c r="H181" s="3">
        <f>Levy!J181</f>
        <v>42499.77</v>
      </c>
      <c r="I181" s="176">
        <v>0</v>
      </c>
      <c r="J181" s="177">
        <v>10000</v>
      </c>
      <c r="K181" s="177">
        <v>11665.08</v>
      </c>
      <c r="L181" s="177">
        <v>0</v>
      </c>
      <c r="M181" s="175">
        <v>0</v>
      </c>
      <c r="N181" s="175">
        <v>0</v>
      </c>
      <c r="O181" s="175">
        <v>0</v>
      </c>
      <c r="P181" s="177">
        <v>-1436.45</v>
      </c>
      <c r="Q181" s="177">
        <v>0</v>
      </c>
      <c r="R181" s="177">
        <v>0</v>
      </c>
      <c r="S181" s="177">
        <v>0</v>
      </c>
      <c r="T181" s="175">
        <v>0</v>
      </c>
      <c r="U181" s="175">
        <v>0</v>
      </c>
      <c r="V181" s="178">
        <v>0</v>
      </c>
      <c r="W181" s="178">
        <v>0</v>
      </c>
      <c r="X181" s="3">
        <v>0</v>
      </c>
      <c r="Y181" s="161">
        <v>20976.46</v>
      </c>
      <c r="Z181" s="3">
        <f t="shared" si="9"/>
        <v>20228.63</v>
      </c>
      <c r="AA181" s="3">
        <f t="shared" si="10"/>
        <v>172216.03</v>
      </c>
      <c r="AB181" s="3">
        <f t="shared" si="12"/>
        <v>42499.77</v>
      </c>
      <c r="AC181" s="3">
        <f>ROUND(MAX(0,(D181-V181)*Shift11!$B$3),2)</f>
        <v>24510.720000000001</v>
      </c>
      <c r="AD181" s="3">
        <f t="shared" si="11"/>
        <v>24510.720000000001</v>
      </c>
    </row>
    <row r="182" spans="1:30" x14ac:dyDescent="0.2">
      <c r="A182" s="18">
        <v>578</v>
      </c>
      <c r="B182" s="18">
        <v>1</v>
      </c>
      <c r="C182" s="3" t="s">
        <v>178</v>
      </c>
      <c r="D182" s="3">
        <f>Levy!F182</f>
        <v>1282011.79</v>
      </c>
      <c r="E182" s="3">
        <f>Levy!G182</f>
        <v>141525.89000000001</v>
      </c>
      <c r="F182" s="3">
        <f>Levy!H182</f>
        <v>0</v>
      </c>
      <c r="G182" s="3">
        <f>Levy!I182</f>
        <v>462216.42</v>
      </c>
      <c r="H182" s="3">
        <f>Levy!J182</f>
        <v>125336.81</v>
      </c>
      <c r="I182" s="176">
        <v>0</v>
      </c>
      <c r="J182" s="177">
        <v>0</v>
      </c>
      <c r="K182" s="177">
        <v>36253.19</v>
      </c>
      <c r="L182" s="177">
        <v>0</v>
      </c>
      <c r="M182" s="175">
        <v>0</v>
      </c>
      <c r="N182" s="175">
        <v>0</v>
      </c>
      <c r="O182" s="175">
        <v>0</v>
      </c>
      <c r="P182" s="177">
        <v>11120</v>
      </c>
      <c r="Q182" s="177">
        <v>0</v>
      </c>
      <c r="R182" s="177">
        <v>-20135.599999999999</v>
      </c>
      <c r="S182" s="177">
        <v>0</v>
      </c>
      <c r="T182" s="175">
        <v>0</v>
      </c>
      <c r="U182" s="175">
        <v>0</v>
      </c>
      <c r="V182" s="178">
        <v>0</v>
      </c>
      <c r="W182" s="178">
        <v>0</v>
      </c>
      <c r="X182" s="3">
        <v>0</v>
      </c>
      <c r="Y182" s="161">
        <v>95310.14</v>
      </c>
      <c r="Z182" s="3">
        <f t="shared" si="9"/>
        <v>27237.590000000004</v>
      </c>
      <c r="AA182" s="3">
        <f t="shared" si="10"/>
        <v>576504.72</v>
      </c>
      <c r="AB182" s="3">
        <f t="shared" si="12"/>
        <v>125336.81</v>
      </c>
      <c r="AC182" s="3">
        <f>ROUND(MAX(0,(D182-V182)*Shift11!$B$3),2)</f>
        <v>623057.73</v>
      </c>
      <c r="AD182" s="3">
        <f t="shared" si="11"/>
        <v>623057.73</v>
      </c>
    </row>
    <row r="183" spans="1:30" x14ac:dyDescent="0.2">
      <c r="A183" s="18">
        <v>581</v>
      </c>
      <c r="B183" s="18">
        <v>1</v>
      </c>
      <c r="C183" s="3" t="s">
        <v>179</v>
      </c>
      <c r="D183" s="3">
        <f>Levy!F183</f>
        <v>280153</v>
      </c>
      <c r="E183" s="3">
        <f>Levy!G183</f>
        <v>28646</v>
      </c>
      <c r="F183" s="3">
        <f>Levy!H183</f>
        <v>0</v>
      </c>
      <c r="G183" s="3">
        <f>Levy!I183</f>
        <v>128954</v>
      </c>
      <c r="H183" s="3">
        <f>Levy!J183</f>
        <v>29031</v>
      </c>
      <c r="I183" s="176">
        <v>0</v>
      </c>
      <c r="J183" s="177">
        <v>0</v>
      </c>
      <c r="K183" s="177">
        <v>11665.08</v>
      </c>
      <c r="L183" s="177">
        <v>0</v>
      </c>
      <c r="M183" s="175">
        <v>0</v>
      </c>
      <c r="N183" s="175">
        <v>0</v>
      </c>
      <c r="O183" s="175">
        <v>0</v>
      </c>
      <c r="P183" s="177">
        <v>0</v>
      </c>
      <c r="Q183" s="177">
        <v>0</v>
      </c>
      <c r="R183" s="177">
        <v>0</v>
      </c>
      <c r="S183" s="177">
        <v>0</v>
      </c>
      <c r="T183" s="175">
        <v>0</v>
      </c>
      <c r="U183" s="175">
        <v>0</v>
      </c>
      <c r="V183" s="178">
        <v>0</v>
      </c>
      <c r="W183" s="178">
        <v>0</v>
      </c>
      <c r="X183" s="3">
        <v>2335.4899999999998</v>
      </c>
      <c r="Y183" s="161">
        <v>52073.1</v>
      </c>
      <c r="Z183" s="3">
        <f t="shared" si="9"/>
        <v>11665.08</v>
      </c>
      <c r="AA183" s="3">
        <f t="shared" si="10"/>
        <v>143599.43</v>
      </c>
      <c r="AB183" s="3">
        <f t="shared" si="12"/>
        <v>29031</v>
      </c>
      <c r="AC183" s="3">
        <f>ROUND(MAX(0,(D183-V183)*Shift11!$B$3),2)</f>
        <v>136154.35999999999</v>
      </c>
      <c r="AD183" s="3">
        <f t="shared" si="11"/>
        <v>136154.35999999999</v>
      </c>
    </row>
    <row r="184" spans="1:30" x14ac:dyDescent="0.2">
      <c r="A184" s="18">
        <v>592</v>
      </c>
      <c r="B184" s="18">
        <v>1</v>
      </c>
      <c r="C184" s="3" t="s">
        <v>180</v>
      </c>
      <c r="D184" s="3">
        <f>Levy!F184</f>
        <v>139881.14000000001</v>
      </c>
      <c r="E184" s="3">
        <f>Levy!G184</f>
        <v>5884.53</v>
      </c>
      <c r="F184" s="3">
        <f>Levy!H184</f>
        <v>0</v>
      </c>
      <c r="G184" s="3">
        <f>Levy!I184</f>
        <v>73308.639999999999</v>
      </c>
      <c r="H184" s="3">
        <f>Levy!J184</f>
        <v>13117.6</v>
      </c>
      <c r="I184" s="176">
        <v>0</v>
      </c>
      <c r="J184" s="177">
        <v>0</v>
      </c>
      <c r="K184" s="177">
        <v>11665.08</v>
      </c>
      <c r="L184" s="177">
        <v>0</v>
      </c>
      <c r="M184" s="175">
        <v>0</v>
      </c>
      <c r="N184" s="175">
        <v>0</v>
      </c>
      <c r="O184" s="175">
        <v>0</v>
      </c>
      <c r="P184" s="177">
        <v>3348.75</v>
      </c>
      <c r="Q184" s="177">
        <v>0</v>
      </c>
      <c r="R184" s="177">
        <v>0</v>
      </c>
      <c r="S184" s="177">
        <v>0</v>
      </c>
      <c r="T184" s="175">
        <v>0</v>
      </c>
      <c r="U184" s="175">
        <v>0</v>
      </c>
      <c r="V184" s="178">
        <v>0</v>
      </c>
      <c r="W184" s="178">
        <v>0</v>
      </c>
      <c r="X184" s="3">
        <v>0</v>
      </c>
      <c r="Y184" s="161">
        <v>59852.66</v>
      </c>
      <c r="Z184" s="3">
        <f t="shared" si="9"/>
        <v>15013.83</v>
      </c>
      <c r="AA184" s="3">
        <f t="shared" si="10"/>
        <v>64179.34</v>
      </c>
      <c r="AB184" s="3">
        <f t="shared" si="12"/>
        <v>13117.6</v>
      </c>
      <c r="AC184" s="3">
        <f>ROUND(MAX(0,(D184-V184)*Shift11!$B$3),2)</f>
        <v>67982.23</v>
      </c>
      <c r="AD184" s="3">
        <f t="shared" si="11"/>
        <v>67982.23</v>
      </c>
    </row>
    <row r="185" spans="1:30" x14ac:dyDescent="0.2">
      <c r="A185" s="18">
        <v>593</v>
      </c>
      <c r="B185" s="18">
        <v>1</v>
      </c>
      <c r="C185" s="3" t="s">
        <v>181</v>
      </c>
      <c r="D185" s="3">
        <f>Levy!F185</f>
        <v>1387523.99</v>
      </c>
      <c r="E185" s="3">
        <f>Levy!G185</f>
        <v>89762.66</v>
      </c>
      <c r="F185" s="3">
        <f>Levy!H185</f>
        <v>0</v>
      </c>
      <c r="G185" s="3">
        <f>Levy!I185</f>
        <v>622516.06000000006</v>
      </c>
      <c r="H185" s="3">
        <f>Levy!J185</f>
        <v>107930.78</v>
      </c>
      <c r="I185" s="176">
        <v>0</v>
      </c>
      <c r="J185" s="177">
        <v>28059.1</v>
      </c>
      <c r="K185" s="177">
        <v>42558.14</v>
      </c>
      <c r="L185" s="177">
        <v>0</v>
      </c>
      <c r="M185" s="175">
        <v>0</v>
      </c>
      <c r="N185" s="175">
        <v>0</v>
      </c>
      <c r="O185" s="175">
        <v>0</v>
      </c>
      <c r="P185" s="177">
        <v>15914.02</v>
      </c>
      <c r="Q185" s="177">
        <v>0</v>
      </c>
      <c r="R185" s="177">
        <v>0</v>
      </c>
      <c r="S185" s="177">
        <v>0</v>
      </c>
      <c r="T185" s="175">
        <v>0</v>
      </c>
      <c r="U185" s="175">
        <v>0</v>
      </c>
      <c r="V185" s="178">
        <v>0</v>
      </c>
      <c r="W185" s="178">
        <v>0</v>
      </c>
      <c r="X185" s="3">
        <v>0</v>
      </c>
      <c r="Y185" s="161">
        <v>0</v>
      </c>
      <c r="Z185" s="3">
        <f t="shared" si="9"/>
        <v>86531.26</v>
      </c>
      <c r="AA185" s="3">
        <f t="shared" si="10"/>
        <v>625747.46</v>
      </c>
      <c r="AB185" s="3">
        <f t="shared" si="12"/>
        <v>107930.78</v>
      </c>
      <c r="AC185" s="3">
        <f>ROUND(MAX(0,(D185-V185)*Shift11!$B$3),2)</f>
        <v>674336.66</v>
      </c>
      <c r="AD185" s="3">
        <f t="shared" si="11"/>
        <v>674336.66</v>
      </c>
    </row>
    <row r="186" spans="1:30" x14ac:dyDescent="0.2">
      <c r="A186" s="18">
        <v>595</v>
      </c>
      <c r="B186" s="18">
        <v>1</v>
      </c>
      <c r="C186" s="3" t="s">
        <v>182</v>
      </c>
      <c r="D186" s="3">
        <f>Levy!F186</f>
        <v>712725.39</v>
      </c>
      <c r="E186" s="3">
        <f>Levy!G186</f>
        <v>131344.15</v>
      </c>
      <c r="F186" s="3">
        <f>Levy!H186</f>
        <v>0</v>
      </c>
      <c r="G186" s="3">
        <f>Levy!I186</f>
        <v>414565</v>
      </c>
      <c r="H186" s="3">
        <f>Levy!J186</f>
        <v>115326.25</v>
      </c>
      <c r="I186" s="176">
        <v>0</v>
      </c>
      <c r="J186" s="177">
        <v>5000</v>
      </c>
      <c r="K186" s="177">
        <v>54477.120000000003</v>
      </c>
      <c r="L186" s="177">
        <v>0</v>
      </c>
      <c r="M186" s="175">
        <v>0</v>
      </c>
      <c r="N186" s="175">
        <v>0</v>
      </c>
      <c r="O186" s="175">
        <v>0</v>
      </c>
      <c r="P186" s="177">
        <v>-6740.58</v>
      </c>
      <c r="Q186" s="177">
        <v>0</v>
      </c>
      <c r="R186" s="177">
        <v>0</v>
      </c>
      <c r="S186" s="177">
        <v>0</v>
      </c>
      <c r="T186" s="175">
        <v>0</v>
      </c>
      <c r="U186" s="175">
        <v>0</v>
      </c>
      <c r="V186" s="178">
        <v>0</v>
      </c>
      <c r="W186" s="178">
        <v>0</v>
      </c>
      <c r="X186" s="3">
        <v>0</v>
      </c>
      <c r="Y186" s="161">
        <v>0</v>
      </c>
      <c r="Z186" s="3">
        <f t="shared" si="9"/>
        <v>52736.54</v>
      </c>
      <c r="AA186" s="3">
        <f t="shared" si="10"/>
        <v>493172.61</v>
      </c>
      <c r="AB186" s="3">
        <f t="shared" si="12"/>
        <v>115326.25</v>
      </c>
      <c r="AC186" s="3">
        <f>ROUND(MAX(0,(D186-V186)*Shift11!$B$3),2)</f>
        <v>346384.54</v>
      </c>
      <c r="AD186" s="3">
        <f t="shared" si="11"/>
        <v>346384.54</v>
      </c>
    </row>
    <row r="187" spans="1:30" x14ac:dyDescent="0.2">
      <c r="A187" s="18">
        <v>599</v>
      </c>
      <c r="B187" s="18">
        <v>1</v>
      </c>
      <c r="C187" s="3" t="s">
        <v>183</v>
      </c>
      <c r="D187" s="3">
        <f>Levy!F187</f>
        <v>439450.01</v>
      </c>
      <c r="E187" s="3">
        <f>Levy!G187</f>
        <v>36066.74</v>
      </c>
      <c r="F187" s="3">
        <f>Levy!H187</f>
        <v>0</v>
      </c>
      <c r="G187" s="3">
        <f>Levy!I187</f>
        <v>205526.69</v>
      </c>
      <c r="H187" s="3">
        <f>Levy!J187</f>
        <v>39221.74</v>
      </c>
      <c r="I187" s="176">
        <v>0</v>
      </c>
      <c r="J187" s="177">
        <v>2000</v>
      </c>
      <c r="K187" s="177">
        <v>20351.88</v>
      </c>
      <c r="L187" s="177">
        <v>0</v>
      </c>
      <c r="M187" s="175">
        <v>0</v>
      </c>
      <c r="N187" s="175">
        <v>0</v>
      </c>
      <c r="O187" s="175">
        <v>0</v>
      </c>
      <c r="P187" s="177">
        <v>-12880.64</v>
      </c>
      <c r="Q187" s="177">
        <v>0</v>
      </c>
      <c r="R187" s="177">
        <v>0</v>
      </c>
      <c r="S187" s="177">
        <v>0</v>
      </c>
      <c r="T187" s="175">
        <v>0</v>
      </c>
      <c r="U187" s="175">
        <v>0</v>
      </c>
      <c r="V187" s="178">
        <v>0</v>
      </c>
      <c r="W187" s="178">
        <v>0</v>
      </c>
      <c r="X187" s="3">
        <v>0</v>
      </c>
      <c r="Y187" s="161">
        <v>37537.56</v>
      </c>
      <c r="Z187" s="3">
        <f t="shared" si="9"/>
        <v>9471.2400000000016</v>
      </c>
      <c r="AA187" s="3">
        <f t="shared" si="10"/>
        <v>232122.19</v>
      </c>
      <c r="AB187" s="3">
        <f t="shared" si="12"/>
        <v>39221.74</v>
      </c>
      <c r="AC187" s="3">
        <f>ROUND(MAX(0,(D187-V187)*Shift11!$B$3),2)</f>
        <v>213572.7</v>
      </c>
      <c r="AD187" s="3">
        <f t="shared" si="11"/>
        <v>213572.7</v>
      </c>
    </row>
    <row r="188" spans="1:30" x14ac:dyDescent="0.2">
      <c r="A188" s="18">
        <v>600</v>
      </c>
      <c r="B188" s="18">
        <v>1</v>
      </c>
      <c r="C188" s="3" t="s">
        <v>184</v>
      </c>
      <c r="D188" s="3">
        <f>Levy!F188</f>
        <v>0</v>
      </c>
      <c r="E188" s="3">
        <f>Levy!G188</f>
        <v>6020.58</v>
      </c>
      <c r="F188" s="3">
        <f>Levy!H188</f>
        <v>0</v>
      </c>
      <c r="G188" s="3">
        <f>Levy!I188</f>
        <v>110648.25</v>
      </c>
      <c r="H188" s="3">
        <f>Levy!J188</f>
        <v>21880.01</v>
      </c>
      <c r="I188" s="176">
        <v>0</v>
      </c>
      <c r="J188" s="177">
        <v>5000</v>
      </c>
      <c r="K188" s="177">
        <v>11665.08</v>
      </c>
      <c r="L188" s="177">
        <v>0</v>
      </c>
      <c r="M188" s="175">
        <v>0</v>
      </c>
      <c r="N188" s="175">
        <v>0</v>
      </c>
      <c r="O188" s="175">
        <v>0</v>
      </c>
      <c r="P188" s="177">
        <v>8267.66</v>
      </c>
      <c r="Q188" s="177">
        <v>-13267.66</v>
      </c>
      <c r="R188" s="177">
        <v>0</v>
      </c>
      <c r="S188" s="177">
        <v>0</v>
      </c>
      <c r="T188" s="175">
        <v>0</v>
      </c>
      <c r="U188" s="175">
        <v>0</v>
      </c>
      <c r="V188" s="178">
        <v>0</v>
      </c>
      <c r="W188" s="178">
        <v>0</v>
      </c>
      <c r="X188" s="3">
        <v>0</v>
      </c>
      <c r="Y188" s="161">
        <v>75126.47</v>
      </c>
      <c r="Z188" s="3">
        <f t="shared" si="9"/>
        <v>11665.080000000002</v>
      </c>
      <c r="AA188" s="3">
        <f t="shared" si="10"/>
        <v>105003.75</v>
      </c>
      <c r="AB188" s="3">
        <f t="shared" si="12"/>
        <v>21880.01</v>
      </c>
      <c r="AC188" s="3">
        <f>ROUND(MAX(0,(D188-V188)*Shift11!$B$3),2)</f>
        <v>0</v>
      </c>
      <c r="AD188" s="3">
        <f t="shared" si="11"/>
        <v>75126.47</v>
      </c>
    </row>
    <row r="189" spans="1:30" x14ac:dyDescent="0.2">
      <c r="A189" s="18">
        <v>601</v>
      </c>
      <c r="B189" s="18">
        <v>1</v>
      </c>
      <c r="C189" s="3" t="s">
        <v>185</v>
      </c>
      <c r="D189" s="3">
        <f>Levy!F189</f>
        <v>212954.13</v>
      </c>
      <c r="E189" s="3">
        <f>Levy!G189</f>
        <v>34471.71</v>
      </c>
      <c r="F189" s="3">
        <f>Levy!H189</f>
        <v>0</v>
      </c>
      <c r="G189" s="3">
        <f>Levy!I189</f>
        <v>273055.65000000002</v>
      </c>
      <c r="H189" s="3">
        <f>Levy!J189</f>
        <v>39232.85</v>
      </c>
      <c r="I189" s="176">
        <v>0</v>
      </c>
      <c r="J189" s="177">
        <v>0</v>
      </c>
      <c r="K189" s="177">
        <v>20351.88</v>
      </c>
      <c r="L189" s="177">
        <v>0</v>
      </c>
      <c r="M189" s="175">
        <v>0</v>
      </c>
      <c r="N189" s="175">
        <v>0</v>
      </c>
      <c r="O189" s="175">
        <v>0</v>
      </c>
      <c r="P189" s="177">
        <v>17861.55</v>
      </c>
      <c r="Q189" s="177">
        <v>0</v>
      </c>
      <c r="R189" s="177">
        <v>0</v>
      </c>
      <c r="S189" s="177">
        <v>0</v>
      </c>
      <c r="T189" s="175">
        <v>0</v>
      </c>
      <c r="U189" s="175">
        <v>0</v>
      </c>
      <c r="V189" s="178">
        <v>0</v>
      </c>
      <c r="W189" s="178">
        <v>0</v>
      </c>
      <c r="X189" s="3">
        <v>5949.94</v>
      </c>
      <c r="Y189" s="161">
        <v>10280.629999999999</v>
      </c>
      <c r="Z189" s="3">
        <f t="shared" si="9"/>
        <v>38213.43</v>
      </c>
      <c r="AA189" s="3">
        <f t="shared" si="10"/>
        <v>263363.99</v>
      </c>
      <c r="AB189" s="3">
        <f t="shared" si="12"/>
        <v>39232.85</v>
      </c>
      <c r="AC189" s="3">
        <f>ROUND(MAX(0,(D189-V189)*Shift11!$B$3),2)</f>
        <v>103495.71</v>
      </c>
      <c r="AD189" s="3">
        <f t="shared" si="11"/>
        <v>103495.71</v>
      </c>
    </row>
    <row r="190" spans="1:30" x14ac:dyDescent="0.2">
      <c r="A190" s="18">
        <v>611</v>
      </c>
      <c r="B190" s="18">
        <v>1</v>
      </c>
      <c r="C190" s="3" t="s">
        <v>186</v>
      </c>
      <c r="D190" s="3">
        <f>Levy!F190</f>
        <v>20288</v>
      </c>
      <c r="E190" s="3">
        <f>Levy!G190</f>
        <v>2905</v>
      </c>
      <c r="F190" s="3">
        <f>Levy!H190</f>
        <v>0</v>
      </c>
      <c r="G190" s="3">
        <f>Levy!I190</f>
        <v>16204</v>
      </c>
      <c r="H190" s="3">
        <f>Levy!J190</f>
        <v>14800</v>
      </c>
      <c r="I190" s="176">
        <v>0</v>
      </c>
      <c r="J190" s="177">
        <v>19000</v>
      </c>
      <c r="K190" s="177">
        <v>0</v>
      </c>
      <c r="L190" s="177">
        <v>0</v>
      </c>
      <c r="M190" s="175">
        <v>0</v>
      </c>
      <c r="N190" s="175">
        <v>0</v>
      </c>
      <c r="O190" s="175">
        <v>0</v>
      </c>
      <c r="P190" s="177">
        <v>-15000</v>
      </c>
      <c r="Q190" s="177">
        <v>0</v>
      </c>
      <c r="R190" s="177">
        <v>0</v>
      </c>
      <c r="S190" s="177">
        <v>0</v>
      </c>
      <c r="T190" s="175">
        <v>0</v>
      </c>
      <c r="U190" s="175">
        <v>0</v>
      </c>
      <c r="V190" s="178">
        <v>0</v>
      </c>
      <c r="W190" s="178">
        <v>0</v>
      </c>
      <c r="X190" s="3">
        <v>0</v>
      </c>
      <c r="Y190" s="161">
        <v>23770.639999999999</v>
      </c>
      <c r="Z190" s="3">
        <f t="shared" si="9"/>
        <v>4000</v>
      </c>
      <c r="AA190" s="3">
        <f t="shared" si="10"/>
        <v>15109</v>
      </c>
      <c r="AB190" s="3">
        <f t="shared" si="12"/>
        <v>14800</v>
      </c>
      <c r="AC190" s="3">
        <f>ROUND(MAX(0,(D190-V190)*Shift11!$B$3),2)</f>
        <v>9859.9699999999993</v>
      </c>
      <c r="AD190" s="3">
        <f t="shared" si="11"/>
        <v>23770.639999999999</v>
      </c>
    </row>
    <row r="191" spans="1:30" x14ac:dyDescent="0.2">
      <c r="A191" s="18">
        <v>621</v>
      </c>
      <c r="B191" s="18">
        <v>1</v>
      </c>
      <c r="C191" s="3" t="s">
        <v>187</v>
      </c>
      <c r="D191" s="3">
        <f>Levy!F191</f>
        <v>17837958</v>
      </c>
      <c r="E191" s="3">
        <f>Levy!G191</f>
        <v>903505</v>
      </c>
      <c r="F191" s="3">
        <f>Levy!H191</f>
        <v>0</v>
      </c>
      <c r="G191" s="3">
        <f>Levy!I191</f>
        <v>8283131</v>
      </c>
      <c r="H191" s="3">
        <f>Levy!J191</f>
        <v>996497</v>
      </c>
      <c r="I191" s="176">
        <v>0</v>
      </c>
      <c r="J191" s="177">
        <v>121565</v>
      </c>
      <c r="K191" s="177">
        <v>223336.74</v>
      </c>
      <c r="L191" s="177">
        <v>51076</v>
      </c>
      <c r="M191" s="175">
        <v>0</v>
      </c>
      <c r="N191" s="175">
        <v>0</v>
      </c>
      <c r="O191" s="175">
        <v>0</v>
      </c>
      <c r="P191" s="177">
        <v>85976.58</v>
      </c>
      <c r="Q191" s="177">
        <v>0</v>
      </c>
      <c r="R191" s="177">
        <v>-7546.49</v>
      </c>
      <c r="S191" s="177">
        <v>18.3</v>
      </c>
      <c r="T191" s="175">
        <v>0</v>
      </c>
      <c r="U191" s="175">
        <v>0</v>
      </c>
      <c r="V191" s="178">
        <v>0</v>
      </c>
      <c r="W191" s="178">
        <v>0</v>
      </c>
      <c r="X191" s="3">
        <v>212864.42</v>
      </c>
      <c r="Y191" s="161">
        <v>2472890.44</v>
      </c>
      <c r="Z191" s="3">
        <f t="shared" si="9"/>
        <v>474426.13</v>
      </c>
      <c r="AA191" s="3">
        <f t="shared" si="10"/>
        <v>8499345.4499999993</v>
      </c>
      <c r="AB191" s="3">
        <f t="shared" si="12"/>
        <v>996497</v>
      </c>
      <c r="AC191" s="3">
        <f>ROUND(MAX(0,(D191-V191)*Shift11!$B$3),2)</f>
        <v>8669247.5899999999</v>
      </c>
      <c r="AD191" s="3">
        <f t="shared" si="11"/>
        <v>8669247.5899999999</v>
      </c>
    </row>
    <row r="192" spans="1:30" x14ac:dyDescent="0.2">
      <c r="A192" s="18">
        <v>622</v>
      </c>
      <c r="B192" s="18">
        <v>1</v>
      </c>
      <c r="C192" s="3" t="s">
        <v>188</v>
      </c>
      <c r="D192" s="3">
        <f>Levy!F192</f>
        <v>10382543</v>
      </c>
      <c r="E192" s="3">
        <f>Levy!G192</f>
        <v>1458568</v>
      </c>
      <c r="F192" s="3">
        <f>Levy!H192</f>
        <v>0</v>
      </c>
      <c r="G192" s="3">
        <f>Levy!I192</f>
        <v>5960870</v>
      </c>
      <c r="H192" s="3">
        <f>Levy!J192</f>
        <v>1510521</v>
      </c>
      <c r="I192" s="176">
        <v>0</v>
      </c>
      <c r="J192" s="177">
        <v>229072</v>
      </c>
      <c r="K192" s="177">
        <v>294975.24</v>
      </c>
      <c r="L192" s="177">
        <v>0</v>
      </c>
      <c r="M192" s="175">
        <v>0</v>
      </c>
      <c r="N192" s="175">
        <v>0</v>
      </c>
      <c r="O192" s="175">
        <v>0</v>
      </c>
      <c r="P192" s="177">
        <v>107858.73</v>
      </c>
      <c r="Q192" s="177">
        <v>0</v>
      </c>
      <c r="R192" s="177">
        <v>6718.4</v>
      </c>
      <c r="S192" s="177">
        <v>0</v>
      </c>
      <c r="T192" s="175">
        <v>0</v>
      </c>
      <c r="U192" s="175">
        <v>0</v>
      </c>
      <c r="V192" s="178">
        <v>0</v>
      </c>
      <c r="W192" s="178">
        <v>0</v>
      </c>
      <c r="X192" s="3">
        <v>46112.3</v>
      </c>
      <c r="Y192" s="161">
        <v>2611114.7599999998</v>
      </c>
      <c r="Z192" s="3">
        <f t="shared" si="9"/>
        <v>638624.37</v>
      </c>
      <c r="AA192" s="3">
        <f t="shared" si="10"/>
        <v>6734701.3300000001</v>
      </c>
      <c r="AB192" s="3">
        <f t="shared" si="12"/>
        <v>1510521</v>
      </c>
      <c r="AC192" s="3">
        <f>ROUND(MAX(0,(D192-V192)*Shift11!$B$3),2)</f>
        <v>5045915.9000000004</v>
      </c>
      <c r="AD192" s="3">
        <f t="shared" si="11"/>
        <v>5045915.9000000004</v>
      </c>
    </row>
    <row r="193" spans="1:30" x14ac:dyDescent="0.2">
      <c r="A193" s="18">
        <v>623</v>
      </c>
      <c r="B193" s="18">
        <v>1</v>
      </c>
      <c r="C193" s="3" t="s">
        <v>189</v>
      </c>
      <c r="D193" s="3">
        <f>Levy!F193</f>
        <v>10718313</v>
      </c>
      <c r="E193" s="3">
        <f>Levy!G193</f>
        <v>832687</v>
      </c>
      <c r="F193" s="3">
        <f>Levy!H193</f>
        <v>0</v>
      </c>
      <c r="G193" s="3">
        <f>Levy!I193</f>
        <v>4668240</v>
      </c>
      <c r="H193" s="3">
        <f>Levy!J193</f>
        <v>869956</v>
      </c>
      <c r="I193" s="176">
        <v>0</v>
      </c>
      <c r="J193" s="177">
        <v>150000</v>
      </c>
      <c r="K193" s="177">
        <v>159125.63</v>
      </c>
      <c r="L193" s="177">
        <v>0</v>
      </c>
      <c r="M193" s="175">
        <v>0</v>
      </c>
      <c r="N193" s="175">
        <v>0</v>
      </c>
      <c r="O193" s="175">
        <v>0</v>
      </c>
      <c r="P193" s="177">
        <v>26172.44</v>
      </c>
      <c r="Q193" s="177">
        <v>0</v>
      </c>
      <c r="R193" s="177">
        <v>-4409.6000000000004</v>
      </c>
      <c r="S193" s="177">
        <v>0</v>
      </c>
      <c r="T193" s="175">
        <v>0</v>
      </c>
      <c r="U193" s="175">
        <v>0</v>
      </c>
      <c r="V193" s="178">
        <v>0</v>
      </c>
      <c r="W193" s="178">
        <v>0</v>
      </c>
      <c r="X193" s="3">
        <v>0</v>
      </c>
      <c r="Y193" s="161">
        <v>2907226.7</v>
      </c>
      <c r="Z193" s="3">
        <f t="shared" si="9"/>
        <v>330888.47000000003</v>
      </c>
      <c r="AA193" s="3">
        <f t="shared" si="10"/>
        <v>5170038.53</v>
      </c>
      <c r="AB193" s="3">
        <f t="shared" si="12"/>
        <v>869956</v>
      </c>
      <c r="AC193" s="3">
        <f>ROUND(MAX(0,(D193-V193)*Shift11!$B$3),2)</f>
        <v>5209100.12</v>
      </c>
      <c r="AD193" s="3">
        <f t="shared" si="11"/>
        <v>5209100.12</v>
      </c>
    </row>
    <row r="194" spans="1:30" x14ac:dyDescent="0.2">
      <c r="A194" s="18">
        <v>624</v>
      </c>
      <c r="B194" s="18">
        <v>1</v>
      </c>
      <c r="C194" s="3" t="s">
        <v>190</v>
      </c>
      <c r="D194" s="3">
        <f>Levy!F194</f>
        <v>16702009</v>
      </c>
      <c r="E194" s="3">
        <f>Levy!G194</f>
        <v>578210</v>
      </c>
      <c r="F194" s="3">
        <f>Levy!H194</f>
        <v>825398</v>
      </c>
      <c r="G194" s="3">
        <f>Levy!I194</f>
        <v>3596287</v>
      </c>
      <c r="H194" s="3">
        <f>Levy!J194</f>
        <v>971539</v>
      </c>
      <c r="I194" s="176">
        <v>0</v>
      </c>
      <c r="J194" s="177">
        <v>25000</v>
      </c>
      <c r="K194" s="177">
        <v>199492.75</v>
      </c>
      <c r="L194" s="177">
        <v>0</v>
      </c>
      <c r="M194" s="175">
        <v>0</v>
      </c>
      <c r="N194" s="175">
        <v>0</v>
      </c>
      <c r="O194" s="175">
        <v>0</v>
      </c>
      <c r="P194" s="177">
        <v>40307.79</v>
      </c>
      <c r="Q194" s="177">
        <v>0</v>
      </c>
      <c r="R194" s="177">
        <v>0</v>
      </c>
      <c r="S194" s="177">
        <v>0</v>
      </c>
      <c r="T194" s="175">
        <v>0</v>
      </c>
      <c r="U194" s="175">
        <v>0</v>
      </c>
      <c r="V194" s="178">
        <v>0</v>
      </c>
      <c r="W194" s="178">
        <v>0</v>
      </c>
      <c r="X194" s="3">
        <v>0</v>
      </c>
      <c r="Y194" s="161">
        <v>1582149</v>
      </c>
      <c r="Z194" s="3">
        <f t="shared" si="9"/>
        <v>264800.53999999998</v>
      </c>
      <c r="AA194" s="3">
        <f t="shared" si="10"/>
        <v>4735094.46</v>
      </c>
      <c r="AB194" s="3">
        <f t="shared" si="12"/>
        <v>971539</v>
      </c>
      <c r="AC194" s="3">
        <f>ROUND(MAX(0,(D194-V194)*Shift11!$B$3),2)</f>
        <v>8117176.3700000001</v>
      </c>
      <c r="AD194" s="3">
        <f t="shared" si="11"/>
        <v>8117176.3700000001</v>
      </c>
    </row>
    <row r="195" spans="1:30" x14ac:dyDescent="0.2">
      <c r="A195" s="18">
        <v>625</v>
      </c>
      <c r="B195" s="18">
        <v>1</v>
      </c>
      <c r="C195" s="3" t="s">
        <v>191</v>
      </c>
      <c r="D195" s="3">
        <f>Levy!F195</f>
        <v>27655746</v>
      </c>
      <c r="E195" s="3">
        <f>Levy!G195</f>
        <v>8730361</v>
      </c>
      <c r="F195" s="3">
        <f>Levy!H195</f>
        <v>0</v>
      </c>
      <c r="G195" s="3">
        <f>Levy!I195</f>
        <v>46740943</v>
      </c>
      <c r="H195" s="3">
        <f>Levy!J195</f>
        <v>3447465</v>
      </c>
      <c r="I195" s="176">
        <v>5762532.8399999999</v>
      </c>
      <c r="J195" s="177">
        <v>1843000</v>
      </c>
      <c r="K195" s="177">
        <v>783131.6</v>
      </c>
      <c r="L195" s="177">
        <v>600000</v>
      </c>
      <c r="M195" s="175">
        <v>10466738.199999999</v>
      </c>
      <c r="N195" s="175">
        <v>219544.76</v>
      </c>
      <c r="O195" s="175">
        <v>35535.03</v>
      </c>
      <c r="P195" s="177">
        <v>1129623.28</v>
      </c>
      <c r="Q195" s="177">
        <v>0</v>
      </c>
      <c r="R195" s="177">
        <v>563.34</v>
      </c>
      <c r="S195" s="177">
        <v>0</v>
      </c>
      <c r="T195" s="175">
        <v>0</v>
      </c>
      <c r="U195" s="175">
        <v>0</v>
      </c>
      <c r="V195" s="178">
        <v>0</v>
      </c>
      <c r="W195" s="178">
        <v>0</v>
      </c>
      <c r="X195" s="3">
        <v>0</v>
      </c>
      <c r="Y195" s="161">
        <v>2473342.0699999998</v>
      </c>
      <c r="Z195" s="3">
        <f t="shared" si="9"/>
        <v>20840669.050000004</v>
      </c>
      <c r="AA195" s="3">
        <f t="shared" si="10"/>
        <v>34630634.950000003</v>
      </c>
      <c r="AB195" s="3">
        <f t="shared" si="12"/>
        <v>3447465</v>
      </c>
      <c r="AC195" s="3">
        <f>ROUND(MAX(0,(D195-V195)*Shift11!$B$3),2)</f>
        <v>13440692.560000001</v>
      </c>
      <c r="AD195" s="3">
        <f t="shared" si="11"/>
        <v>13440692.560000001</v>
      </c>
    </row>
    <row r="196" spans="1:30" x14ac:dyDescent="0.2">
      <c r="A196" s="18">
        <v>627</v>
      </c>
      <c r="B196" s="18">
        <v>1</v>
      </c>
      <c r="C196" s="3" t="s">
        <v>192</v>
      </c>
      <c r="D196" s="3">
        <f>Levy!F196</f>
        <v>137372</v>
      </c>
      <c r="E196" s="3">
        <f>Levy!G196</f>
        <v>18804</v>
      </c>
      <c r="F196" s="3">
        <f>Levy!H196</f>
        <v>0</v>
      </c>
      <c r="G196" s="3">
        <f>Levy!I196</f>
        <v>118912</v>
      </c>
      <c r="H196" s="3">
        <f>Levy!J196</f>
        <v>22333</v>
      </c>
      <c r="I196" s="176">
        <v>0</v>
      </c>
      <c r="J196" s="177">
        <v>5000</v>
      </c>
      <c r="K196" s="177">
        <v>14260.19</v>
      </c>
      <c r="L196" s="177">
        <v>0</v>
      </c>
      <c r="M196" s="175">
        <v>0</v>
      </c>
      <c r="N196" s="175">
        <v>0</v>
      </c>
      <c r="O196" s="175">
        <v>0</v>
      </c>
      <c r="P196" s="177">
        <v>5382.74</v>
      </c>
      <c r="Q196" s="177">
        <v>0</v>
      </c>
      <c r="R196" s="177">
        <v>0</v>
      </c>
      <c r="S196" s="177">
        <v>0</v>
      </c>
      <c r="T196" s="175">
        <v>0</v>
      </c>
      <c r="U196" s="175">
        <v>0</v>
      </c>
      <c r="V196" s="178">
        <v>0</v>
      </c>
      <c r="W196" s="178">
        <v>0</v>
      </c>
      <c r="X196" s="3">
        <v>0</v>
      </c>
      <c r="Y196" s="161">
        <v>75830.539999999994</v>
      </c>
      <c r="Z196" s="3">
        <f t="shared" si="9"/>
        <v>24642.93</v>
      </c>
      <c r="AA196" s="3">
        <f t="shared" si="10"/>
        <v>113073.07</v>
      </c>
      <c r="AB196" s="3">
        <f t="shared" si="12"/>
        <v>22333</v>
      </c>
      <c r="AC196" s="3">
        <f>ROUND(MAX(0,(D196-V196)*Shift11!$B$3),2)</f>
        <v>66762.789999999994</v>
      </c>
      <c r="AD196" s="3">
        <f t="shared" si="11"/>
        <v>75830.539999999994</v>
      </c>
    </row>
    <row r="197" spans="1:30" x14ac:dyDescent="0.2">
      <c r="A197" s="18">
        <v>628</v>
      </c>
      <c r="B197" s="18">
        <v>1</v>
      </c>
      <c r="C197" s="3" t="s">
        <v>193</v>
      </c>
      <c r="D197" s="3">
        <f>Levy!F197</f>
        <v>217309</v>
      </c>
      <c r="E197" s="3">
        <f>Levy!G197</f>
        <v>12194</v>
      </c>
      <c r="F197" s="3">
        <f>Levy!H197</f>
        <v>0</v>
      </c>
      <c r="G197" s="3">
        <f>Levy!I197</f>
        <v>40483</v>
      </c>
      <c r="H197" s="3">
        <f>Levy!J197</f>
        <v>31014</v>
      </c>
      <c r="I197" s="176">
        <v>0</v>
      </c>
      <c r="J197" s="177">
        <v>5000</v>
      </c>
      <c r="K197" s="177">
        <v>0</v>
      </c>
      <c r="L197" s="177">
        <v>0</v>
      </c>
      <c r="M197" s="175">
        <v>0</v>
      </c>
      <c r="N197" s="175">
        <v>0</v>
      </c>
      <c r="O197" s="175">
        <v>0</v>
      </c>
      <c r="P197" s="177">
        <v>-899.26</v>
      </c>
      <c r="Q197" s="177">
        <v>0</v>
      </c>
      <c r="R197" s="177">
        <v>0</v>
      </c>
      <c r="S197" s="177">
        <v>0</v>
      </c>
      <c r="T197" s="175">
        <v>0</v>
      </c>
      <c r="U197" s="175">
        <v>0</v>
      </c>
      <c r="V197" s="178">
        <v>0</v>
      </c>
      <c r="W197" s="178">
        <v>0</v>
      </c>
      <c r="X197" s="3">
        <v>5099.47</v>
      </c>
      <c r="Y197" s="161">
        <v>23405.23</v>
      </c>
      <c r="Z197" s="3">
        <f t="shared" si="9"/>
        <v>4100.74</v>
      </c>
      <c r="AA197" s="3">
        <f t="shared" si="10"/>
        <v>43476.79</v>
      </c>
      <c r="AB197" s="3">
        <f t="shared" si="12"/>
        <v>31014</v>
      </c>
      <c r="AC197" s="3">
        <f>ROUND(MAX(0,(D197-V197)*Shift11!$B$3),2)</f>
        <v>105612.17</v>
      </c>
      <c r="AD197" s="3">
        <f t="shared" si="11"/>
        <v>105612.17</v>
      </c>
    </row>
    <row r="198" spans="1:30" x14ac:dyDescent="0.2">
      <c r="A198" s="18">
        <v>630</v>
      </c>
      <c r="B198" s="18">
        <v>1</v>
      </c>
      <c r="C198" s="3" t="s">
        <v>194</v>
      </c>
      <c r="D198" s="3">
        <f>Levy!F198</f>
        <v>309490</v>
      </c>
      <c r="E198" s="3">
        <f>Levy!G198</f>
        <v>8904</v>
      </c>
      <c r="F198" s="3">
        <f>Levy!H198</f>
        <v>0</v>
      </c>
      <c r="G198" s="3">
        <f>Levy!I198</f>
        <v>128061</v>
      </c>
      <c r="H198" s="3">
        <f>Levy!J198</f>
        <v>19080</v>
      </c>
      <c r="I198" s="176">
        <v>0</v>
      </c>
      <c r="J198" s="177">
        <v>2000</v>
      </c>
      <c r="K198" s="177">
        <v>12898.67</v>
      </c>
      <c r="L198" s="177">
        <v>0</v>
      </c>
      <c r="M198" s="175">
        <v>0</v>
      </c>
      <c r="N198" s="175">
        <v>0</v>
      </c>
      <c r="O198" s="175">
        <v>0</v>
      </c>
      <c r="P198" s="177">
        <v>420.01</v>
      </c>
      <c r="Q198" s="177">
        <v>-2420.0100000000002</v>
      </c>
      <c r="R198" s="177">
        <v>0</v>
      </c>
      <c r="S198" s="177">
        <v>0</v>
      </c>
      <c r="T198" s="175">
        <v>0</v>
      </c>
      <c r="U198" s="175">
        <v>0</v>
      </c>
      <c r="V198" s="178">
        <v>0</v>
      </c>
      <c r="W198" s="178">
        <v>0</v>
      </c>
      <c r="X198" s="3">
        <v>0</v>
      </c>
      <c r="Y198" s="161">
        <v>15914.47</v>
      </c>
      <c r="Z198" s="3">
        <f t="shared" si="9"/>
        <v>12898.67</v>
      </c>
      <c r="AA198" s="3">
        <f t="shared" si="10"/>
        <v>124066.33</v>
      </c>
      <c r="AB198" s="3">
        <f t="shared" si="12"/>
        <v>19080</v>
      </c>
      <c r="AC198" s="3">
        <f>ROUND(MAX(0,(D198-V198)*Shift11!$B$3),2)</f>
        <v>150412.14000000001</v>
      </c>
      <c r="AD198" s="3">
        <f t="shared" si="11"/>
        <v>150412.14000000001</v>
      </c>
    </row>
    <row r="199" spans="1:30" x14ac:dyDescent="0.2">
      <c r="A199" s="18">
        <v>635</v>
      </c>
      <c r="B199" s="18">
        <v>1</v>
      </c>
      <c r="C199" s="3" t="s">
        <v>195</v>
      </c>
      <c r="D199" s="3">
        <f>Levy!F199</f>
        <v>142301</v>
      </c>
      <c r="E199" s="3">
        <f>Levy!G199</f>
        <v>4724</v>
      </c>
      <c r="F199" s="3">
        <f>Levy!H199</f>
        <v>0</v>
      </c>
      <c r="G199" s="3">
        <f>Levy!I199</f>
        <v>45660</v>
      </c>
      <c r="H199" s="3">
        <f>Levy!J199</f>
        <v>14307</v>
      </c>
      <c r="I199" s="176">
        <v>0</v>
      </c>
      <c r="J199" s="177">
        <v>2000</v>
      </c>
      <c r="K199" s="177">
        <v>0</v>
      </c>
      <c r="L199" s="177">
        <v>0</v>
      </c>
      <c r="M199" s="175">
        <v>0</v>
      </c>
      <c r="N199" s="175">
        <v>0</v>
      </c>
      <c r="O199" s="175">
        <v>0</v>
      </c>
      <c r="P199" s="177">
        <v>0</v>
      </c>
      <c r="Q199" s="177">
        <v>0</v>
      </c>
      <c r="R199" s="177">
        <v>0</v>
      </c>
      <c r="S199" s="177">
        <v>0</v>
      </c>
      <c r="T199" s="175">
        <v>0</v>
      </c>
      <c r="U199" s="175">
        <v>0</v>
      </c>
      <c r="V199" s="178">
        <v>0</v>
      </c>
      <c r="W199" s="178">
        <v>0</v>
      </c>
      <c r="X199" s="3">
        <v>0</v>
      </c>
      <c r="Y199" s="161">
        <v>34554.870000000003</v>
      </c>
      <c r="Z199" s="3">
        <f t="shared" si="9"/>
        <v>2000</v>
      </c>
      <c r="AA199" s="3">
        <f t="shared" si="10"/>
        <v>48384</v>
      </c>
      <c r="AB199" s="3">
        <f t="shared" si="12"/>
        <v>14307</v>
      </c>
      <c r="AC199" s="3">
        <f>ROUND(MAX(0,(D199-V199)*Shift11!$B$3),2)</f>
        <v>69158.289999999994</v>
      </c>
      <c r="AD199" s="3">
        <f t="shared" si="11"/>
        <v>69158.289999999994</v>
      </c>
    </row>
    <row r="200" spans="1:30" x14ac:dyDescent="0.2">
      <c r="A200" s="18">
        <v>640</v>
      </c>
      <c r="B200" s="18">
        <v>1</v>
      </c>
      <c r="C200" s="3" t="s">
        <v>196</v>
      </c>
      <c r="D200" s="3">
        <f>Levy!F200</f>
        <v>218561</v>
      </c>
      <c r="E200" s="3">
        <f>Levy!G200</f>
        <v>23277</v>
      </c>
      <c r="F200" s="3">
        <f>Levy!H200</f>
        <v>0</v>
      </c>
      <c r="G200" s="3">
        <f>Levy!I200</f>
        <v>220385</v>
      </c>
      <c r="H200" s="3">
        <f>Levy!J200</f>
        <v>41405</v>
      </c>
      <c r="I200" s="176">
        <v>0</v>
      </c>
      <c r="J200" s="177">
        <v>2000</v>
      </c>
      <c r="K200" s="177">
        <v>12207.27</v>
      </c>
      <c r="L200" s="177">
        <v>0</v>
      </c>
      <c r="M200" s="175">
        <v>0</v>
      </c>
      <c r="N200" s="175">
        <v>0</v>
      </c>
      <c r="O200" s="175">
        <v>0</v>
      </c>
      <c r="P200" s="177">
        <v>-4754.6099999999997</v>
      </c>
      <c r="Q200" s="177">
        <v>0</v>
      </c>
      <c r="R200" s="177">
        <v>0</v>
      </c>
      <c r="S200" s="177">
        <v>0</v>
      </c>
      <c r="T200" s="175">
        <v>0</v>
      </c>
      <c r="U200" s="175">
        <v>0</v>
      </c>
      <c r="V200" s="178">
        <v>0</v>
      </c>
      <c r="W200" s="178">
        <v>0</v>
      </c>
      <c r="X200" s="3">
        <v>3893.65</v>
      </c>
      <c r="Y200" s="161">
        <v>21257.8</v>
      </c>
      <c r="Z200" s="3">
        <f t="shared" ref="Z200:Z263" si="13">SUM(I200:T200)</f>
        <v>9452.66</v>
      </c>
      <c r="AA200" s="3">
        <f t="shared" ref="AA200:AA263" si="14">ROUND(MAX(E200+F200+G200-W200-X200-Z200,0),2)</f>
        <v>230315.69</v>
      </c>
      <c r="AB200" s="3">
        <f t="shared" si="12"/>
        <v>41405</v>
      </c>
      <c r="AC200" s="3">
        <f>ROUND(MAX(0,(D200-V200)*Shift11!$B$3),2)</f>
        <v>106220.65</v>
      </c>
      <c r="AD200" s="3">
        <f t="shared" ref="AD200:AD263" si="15">MAX(AC200,Y200)</f>
        <v>106220.65</v>
      </c>
    </row>
    <row r="201" spans="1:30" x14ac:dyDescent="0.2">
      <c r="A201" s="18">
        <v>656</v>
      </c>
      <c r="B201" s="18">
        <v>1</v>
      </c>
      <c r="C201" s="3" t="s">
        <v>197</v>
      </c>
      <c r="D201" s="3">
        <f>Levy!F201</f>
        <v>1640663.91</v>
      </c>
      <c r="E201" s="3">
        <f>Levy!G201</f>
        <v>396011.63</v>
      </c>
      <c r="F201" s="3">
        <f>Levy!H201</f>
        <v>0</v>
      </c>
      <c r="G201" s="3">
        <f>Levy!I201</f>
        <v>1259945.5900000001</v>
      </c>
      <c r="H201" s="3">
        <f>Levy!J201</f>
        <v>367778.34</v>
      </c>
      <c r="I201" s="176">
        <v>0</v>
      </c>
      <c r="J201" s="177">
        <v>50000</v>
      </c>
      <c r="K201" s="177">
        <v>62445.19</v>
      </c>
      <c r="L201" s="177">
        <v>0</v>
      </c>
      <c r="M201" s="175">
        <v>0</v>
      </c>
      <c r="N201" s="175">
        <v>0</v>
      </c>
      <c r="O201" s="175">
        <v>0</v>
      </c>
      <c r="P201" s="177">
        <v>22716.61</v>
      </c>
      <c r="Q201" s="177">
        <v>0</v>
      </c>
      <c r="R201" s="177">
        <v>0</v>
      </c>
      <c r="S201" s="177">
        <v>0</v>
      </c>
      <c r="T201" s="175">
        <v>0</v>
      </c>
      <c r="U201" s="175">
        <v>0</v>
      </c>
      <c r="V201" s="178">
        <v>0</v>
      </c>
      <c r="W201" s="178">
        <v>0</v>
      </c>
      <c r="X201" s="3">
        <v>0</v>
      </c>
      <c r="Y201" s="161">
        <v>329972.17</v>
      </c>
      <c r="Z201" s="3">
        <f t="shared" si="13"/>
        <v>135161.79999999999</v>
      </c>
      <c r="AA201" s="3">
        <f t="shared" si="14"/>
        <v>1520795.42</v>
      </c>
      <c r="AB201" s="3">
        <f t="shared" ref="AB201:AB264" si="16">ROUND(MAX(H201-U201,0),2)</f>
        <v>367778.34</v>
      </c>
      <c r="AC201" s="3">
        <f>ROUND(MAX(0,(D201-V201)*Shift11!$B$3),2)</f>
        <v>797362.66</v>
      </c>
      <c r="AD201" s="3">
        <f t="shared" si="15"/>
        <v>797362.66</v>
      </c>
    </row>
    <row r="202" spans="1:30" x14ac:dyDescent="0.2">
      <c r="A202" s="18">
        <v>659</v>
      </c>
      <c r="B202" s="18">
        <v>1</v>
      </c>
      <c r="C202" s="3" t="s">
        <v>198</v>
      </c>
      <c r="D202" s="3">
        <f>Levy!F202</f>
        <v>6826632.5</v>
      </c>
      <c r="E202" s="3">
        <f>Levy!G202</f>
        <v>294547.33</v>
      </c>
      <c r="F202" s="3">
        <f>Levy!H202</f>
        <v>750000</v>
      </c>
      <c r="G202" s="3">
        <f>Levy!I202</f>
        <v>1095968.8700000001</v>
      </c>
      <c r="H202" s="3">
        <f>Levy!J202</f>
        <v>422929.82</v>
      </c>
      <c r="I202" s="176">
        <v>0</v>
      </c>
      <c r="J202" s="177">
        <v>26899</v>
      </c>
      <c r="K202" s="177">
        <v>27032.22</v>
      </c>
      <c r="L202" s="177">
        <v>0</v>
      </c>
      <c r="M202" s="175">
        <v>0</v>
      </c>
      <c r="N202" s="175">
        <v>0</v>
      </c>
      <c r="O202" s="175">
        <v>0</v>
      </c>
      <c r="P202" s="177">
        <v>31525.52</v>
      </c>
      <c r="Q202" s="177">
        <v>0</v>
      </c>
      <c r="R202" s="177">
        <v>283.3</v>
      </c>
      <c r="S202" s="177">
        <v>0</v>
      </c>
      <c r="T202" s="175">
        <v>0</v>
      </c>
      <c r="U202" s="175">
        <v>0</v>
      </c>
      <c r="V202" s="178">
        <v>0</v>
      </c>
      <c r="W202" s="178">
        <v>0</v>
      </c>
      <c r="X202" s="3">
        <v>0</v>
      </c>
      <c r="Y202" s="161">
        <v>374465.93</v>
      </c>
      <c r="Z202" s="3">
        <f t="shared" si="13"/>
        <v>85740.040000000008</v>
      </c>
      <c r="AA202" s="3">
        <f t="shared" si="14"/>
        <v>2054776.16</v>
      </c>
      <c r="AB202" s="3">
        <f t="shared" si="16"/>
        <v>422929.82</v>
      </c>
      <c r="AC202" s="3">
        <f>ROUND(MAX(0,(D202-V202)*Shift11!$B$3),2)</f>
        <v>3317743.4</v>
      </c>
      <c r="AD202" s="3">
        <f t="shared" si="15"/>
        <v>3317743.4</v>
      </c>
    </row>
    <row r="203" spans="1:30" x14ac:dyDescent="0.2">
      <c r="A203" s="18">
        <v>671</v>
      </c>
      <c r="B203" s="18">
        <v>1</v>
      </c>
      <c r="C203" s="3" t="s">
        <v>199</v>
      </c>
      <c r="D203" s="3">
        <f>Levy!F203</f>
        <v>173475.78</v>
      </c>
      <c r="E203" s="3">
        <f>Levy!G203</f>
        <v>13339.62</v>
      </c>
      <c r="F203" s="3">
        <f>Levy!H203</f>
        <v>0</v>
      </c>
      <c r="G203" s="3">
        <f>Levy!I203</f>
        <v>175476.67</v>
      </c>
      <c r="H203" s="3">
        <f>Levy!J203</f>
        <v>25340.38</v>
      </c>
      <c r="I203" s="176">
        <v>0</v>
      </c>
      <c r="J203" s="177">
        <v>0</v>
      </c>
      <c r="K203" s="177">
        <v>11837.24</v>
      </c>
      <c r="L203" s="177">
        <v>0</v>
      </c>
      <c r="M203" s="175">
        <v>0</v>
      </c>
      <c r="N203" s="175">
        <v>0</v>
      </c>
      <c r="O203" s="175">
        <v>0</v>
      </c>
      <c r="P203" s="177">
        <v>0</v>
      </c>
      <c r="Q203" s="177">
        <v>0</v>
      </c>
      <c r="R203" s="177">
        <v>-147.59</v>
      </c>
      <c r="S203" s="177">
        <v>0</v>
      </c>
      <c r="T203" s="175">
        <v>0</v>
      </c>
      <c r="U203" s="175">
        <v>0</v>
      </c>
      <c r="V203" s="178">
        <v>0</v>
      </c>
      <c r="W203" s="178">
        <v>0</v>
      </c>
      <c r="X203" s="3">
        <v>0</v>
      </c>
      <c r="Y203" s="161">
        <v>64894.85</v>
      </c>
      <c r="Z203" s="3">
        <f t="shared" si="13"/>
        <v>11689.65</v>
      </c>
      <c r="AA203" s="3">
        <f t="shared" si="14"/>
        <v>177126.64</v>
      </c>
      <c r="AB203" s="3">
        <f t="shared" si="16"/>
        <v>25340.38</v>
      </c>
      <c r="AC203" s="3">
        <f>ROUND(MAX(0,(D203-V203)*Shift11!$B$3),2)</f>
        <v>84309.23</v>
      </c>
      <c r="AD203" s="3">
        <f t="shared" si="15"/>
        <v>84309.23</v>
      </c>
    </row>
    <row r="204" spans="1:30" x14ac:dyDescent="0.2">
      <c r="A204" s="18">
        <v>676</v>
      </c>
      <c r="B204" s="18">
        <v>1</v>
      </c>
      <c r="C204" s="3" t="s">
        <v>200</v>
      </c>
      <c r="D204" s="3">
        <f>Levy!F204</f>
        <v>212821</v>
      </c>
      <c r="E204" s="3">
        <f>Levy!G204</f>
        <v>6050</v>
      </c>
      <c r="F204" s="3">
        <f>Levy!H204</f>
        <v>36057</v>
      </c>
      <c r="G204" s="3">
        <f>Levy!I204</f>
        <v>48272</v>
      </c>
      <c r="H204" s="3">
        <f>Levy!J204</f>
        <v>9057</v>
      </c>
      <c r="I204" s="176">
        <v>0</v>
      </c>
      <c r="J204" s="177">
        <v>142</v>
      </c>
      <c r="K204" s="177">
        <v>11665.08</v>
      </c>
      <c r="L204" s="177">
        <v>0</v>
      </c>
      <c r="M204" s="175">
        <v>0</v>
      </c>
      <c r="N204" s="175">
        <v>0</v>
      </c>
      <c r="O204" s="175">
        <v>0</v>
      </c>
      <c r="P204" s="177">
        <v>337.35</v>
      </c>
      <c r="Q204" s="177">
        <v>0</v>
      </c>
      <c r="R204" s="177">
        <v>0</v>
      </c>
      <c r="S204" s="177">
        <v>0</v>
      </c>
      <c r="T204" s="175">
        <v>0</v>
      </c>
      <c r="U204" s="175">
        <v>0</v>
      </c>
      <c r="V204" s="178">
        <v>0</v>
      </c>
      <c r="W204" s="178">
        <v>0</v>
      </c>
      <c r="X204" s="3">
        <v>0</v>
      </c>
      <c r="Y204" s="161">
        <v>82150</v>
      </c>
      <c r="Z204" s="3">
        <f t="shared" si="13"/>
        <v>12144.43</v>
      </c>
      <c r="AA204" s="3">
        <f t="shared" si="14"/>
        <v>78234.570000000007</v>
      </c>
      <c r="AB204" s="3">
        <f t="shared" si="16"/>
        <v>9057</v>
      </c>
      <c r="AC204" s="3">
        <f>ROUND(MAX(0,(D204-V204)*Shift11!$B$3),2)</f>
        <v>103431.01</v>
      </c>
      <c r="AD204" s="3">
        <f t="shared" si="15"/>
        <v>103431.01</v>
      </c>
    </row>
    <row r="205" spans="1:30" x14ac:dyDescent="0.2">
      <c r="A205" s="18">
        <v>682</v>
      </c>
      <c r="B205" s="18">
        <v>1</v>
      </c>
      <c r="C205" s="3" t="s">
        <v>201</v>
      </c>
      <c r="D205" s="3">
        <f>Levy!F205</f>
        <v>427611</v>
      </c>
      <c r="E205" s="3">
        <f>Levy!G205</f>
        <v>60617</v>
      </c>
      <c r="F205" s="3">
        <f>Levy!H205</f>
        <v>0</v>
      </c>
      <c r="G205" s="3">
        <f>Levy!I205</f>
        <v>419488</v>
      </c>
      <c r="H205" s="3">
        <f>Levy!J205</f>
        <v>75567</v>
      </c>
      <c r="I205" s="176">
        <v>0</v>
      </c>
      <c r="J205" s="177">
        <v>13500</v>
      </c>
      <c r="K205" s="177">
        <v>29586.37</v>
      </c>
      <c r="L205" s="177">
        <v>0</v>
      </c>
      <c r="M205" s="175">
        <v>0</v>
      </c>
      <c r="N205" s="175">
        <v>0</v>
      </c>
      <c r="O205" s="175">
        <v>0</v>
      </c>
      <c r="P205" s="177">
        <v>9551.27</v>
      </c>
      <c r="Q205" s="177">
        <v>0</v>
      </c>
      <c r="R205" s="177">
        <v>-495.2</v>
      </c>
      <c r="S205" s="177">
        <v>0</v>
      </c>
      <c r="T205" s="175">
        <v>0</v>
      </c>
      <c r="U205" s="175">
        <v>0</v>
      </c>
      <c r="V205" s="178">
        <v>0</v>
      </c>
      <c r="W205" s="178">
        <v>0</v>
      </c>
      <c r="X205" s="3">
        <v>17470.36</v>
      </c>
      <c r="Y205" s="161">
        <v>45551.1</v>
      </c>
      <c r="Z205" s="3">
        <f t="shared" si="13"/>
        <v>52142.44</v>
      </c>
      <c r="AA205" s="3">
        <f t="shared" si="14"/>
        <v>410492.2</v>
      </c>
      <c r="AB205" s="3">
        <f t="shared" si="16"/>
        <v>75567</v>
      </c>
      <c r="AC205" s="3">
        <f>ROUND(MAX(0,(D205-V205)*Shift11!$B$3),2)</f>
        <v>207818.95</v>
      </c>
      <c r="AD205" s="3">
        <f t="shared" si="15"/>
        <v>207818.95</v>
      </c>
    </row>
    <row r="206" spans="1:30" x14ac:dyDescent="0.2">
      <c r="A206" s="18">
        <v>690</v>
      </c>
      <c r="B206" s="18">
        <v>1</v>
      </c>
      <c r="C206" s="3" t="s">
        <v>202</v>
      </c>
      <c r="D206" s="3">
        <f>Levy!F206</f>
        <v>329244</v>
      </c>
      <c r="E206" s="3">
        <f>Levy!G206</f>
        <v>61219</v>
      </c>
      <c r="F206" s="3">
        <f>Levy!H206</f>
        <v>0</v>
      </c>
      <c r="G206" s="3">
        <f>Levy!I206</f>
        <v>522193</v>
      </c>
      <c r="H206" s="3">
        <f>Levy!J206</f>
        <v>77619</v>
      </c>
      <c r="I206" s="176">
        <v>0</v>
      </c>
      <c r="J206" s="177">
        <v>10000</v>
      </c>
      <c r="K206" s="177">
        <v>28294.81</v>
      </c>
      <c r="L206" s="177">
        <v>0</v>
      </c>
      <c r="M206" s="175">
        <v>0</v>
      </c>
      <c r="N206" s="175">
        <v>0</v>
      </c>
      <c r="O206" s="175">
        <v>0</v>
      </c>
      <c r="P206" s="177">
        <v>38285.03</v>
      </c>
      <c r="Q206" s="177">
        <v>0</v>
      </c>
      <c r="R206" s="177">
        <v>442.4</v>
      </c>
      <c r="S206" s="177">
        <v>0</v>
      </c>
      <c r="T206" s="175">
        <v>0</v>
      </c>
      <c r="U206" s="175">
        <v>0</v>
      </c>
      <c r="V206" s="178">
        <v>0</v>
      </c>
      <c r="W206" s="178">
        <v>0</v>
      </c>
      <c r="X206" s="3">
        <v>0</v>
      </c>
      <c r="Y206" s="161">
        <v>36984.730000000003</v>
      </c>
      <c r="Z206" s="3">
        <f t="shared" si="13"/>
        <v>77022.239999999991</v>
      </c>
      <c r="AA206" s="3">
        <f t="shared" si="14"/>
        <v>506389.76000000001</v>
      </c>
      <c r="AB206" s="3">
        <f t="shared" si="16"/>
        <v>77619</v>
      </c>
      <c r="AC206" s="3">
        <f>ROUND(MAX(0,(D206-V206)*Shift11!$B$3),2)</f>
        <v>160012.57999999999</v>
      </c>
      <c r="AD206" s="3">
        <f t="shared" si="15"/>
        <v>160012.57999999999</v>
      </c>
    </row>
    <row r="207" spans="1:30" x14ac:dyDescent="0.2">
      <c r="A207" s="18">
        <v>695</v>
      </c>
      <c r="B207" s="18">
        <v>1</v>
      </c>
      <c r="C207" s="3" t="s">
        <v>203</v>
      </c>
      <c r="D207" s="3">
        <f>Levy!F207</f>
        <v>399541.36</v>
      </c>
      <c r="E207" s="3">
        <f>Levy!G207</f>
        <v>32766.86</v>
      </c>
      <c r="F207" s="3">
        <f>Levy!H207</f>
        <v>0</v>
      </c>
      <c r="G207" s="3">
        <f>Levy!I207</f>
        <v>103292.78</v>
      </c>
      <c r="H207" s="3">
        <f>Levy!J207</f>
        <v>0</v>
      </c>
      <c r="I207" s="176">
        <v>0</v>
      </c>
      <c r="J207" s="177">
        <v>5000</v>
      </c>
      <c r="K207" s="177">
        <v>14484.29</v>
      </c>
      <c r="L207" s="177">
        <v>146777</v>
      </c>
      <c r="M207" s="175">
        <v>0</v>
      </c>
      <c r="N207" s="175">
        <v>0</v>
      </c>
      <c r="O207" s="175">
        <v>0</v>
      </c>
      <c r="P207" s="177">
        <v>-3044.56</v>
      </c>
      <c r="Q207" s="177">
        <v>0</v>
      </c>
      <c r="R207" s="177">
        <v>-342.4</v>
      </c>
      <c r="S207" s="177">
        <v>7899.4</v>
      </c>
      <c r="T207" s="175">
        <v>0</v>
      </c>
      <c r="U207" s="175">
        <v>0</v>
      </c>
      <c r="V207" s="178">
        <v>0</v>
      </c>
      <c r="W207" s="178">
        <v>0</v>
      </c>
      <c r="X207" s="3">
        <v>8880.85</v>
      </c>
      <c r="Y207" s="161">
        <v>27688.080000000002</v>
      </c>
      <c r="Z207" s="3">
        <f t="shared" si="13"/>
        <v>170773.73</v>
      </c>
      <c r="AA207" s="3">
        <f t="shared" si="14"/>
        <v>0</v>
      </c>
      <c r="AB207" s="3">
        <f t="shared" si="16"/>
        <v>0</v>
      </c>
      <c r="AC207" s="3">
        <f>ROUND(MAX(0,(D207-V207)*Shift11!$B$3),2)</f>
        <v>194177.1</v>
      </c>
      <c r="AD207" s="3">
        <f t="shared" si="15"/>
        <v>194177.1</v>
      </c>
    </row>
    <row r="208" spans="1:30" x14ac:dyDescent="0.2">
      <c r="A208" s="18">
        <v>696</v>
      </c>
      <c r="B208" s="18">
        <v>1</v>
      </c>
      <c r="C208" s="3" t="s">
        <v>204</v>
      </c>
      <c r="D208" s="3">
        <f>Levy!F208</f>
        <v>546331.91</v>
      </c>
      <c r="E208" s="3">
        <f>Levy!G208</f>
        <v>64572.72</v>
      </c>
      <c r="F208" s="3">
        <f>Levy!H208</f>
        <v>0</v>
      </c>
      <c r="G208" s="3">
        <f>Levy!I208</f>
        <v>671866.14</v>
      </c>
      <c r="H208" s="3">
        <f>Levy!J208</f>
        <v>8505.4599999999991</v>
      </c>
      <c r="I208" s="176">
        <v>0</v>
      </c>
      <c r="J208" s="177">
        <v>25134.13</v>
      </c>
      <c r="K208" s="177">
        <v>0</v>
      </c>
      <c r="L208" s="177">
        <v>156000</v>
      </c>
      <c r="M208" s="175">
        <v>0</v>
      </c>
      <c r="N208" s="175">
        <v>0</v>
      </c>
      <c r="O208" s="175">
        <v>0</v>
      </c>
      <c r="P208" s="177">
        <v>6528.68</v>
      </c>
      <c r="Q208" s="177">
        <v>0</v>
      </c>
      <c r="R208" s="177">
        <v>0</v>
      </c>
      <c r="S208" s="177">
        <v>-21885.34</v>
      </c>
      <c r="T208" s="175">
        <v>0</v>
      </c>
      <c r="U208" s="175">
        <v>0</v>
      </c>
      <c r="V208" s="178">
        <v>0</v>
      </c>
      <c r="W208" s="178">
        <v>0</v>
      </c>
      <c r="X208" s="3">
        <v>2504.4899999999998</v>
      </c>
      <c r="Y208" s="161">
        <v>61464.47</v>
      </c>
      <c r="Z208" s="3">
        <f t="shared" si="13"/>
        <v>165777.47</v>
      </c>
      <c r="AA208" s="3">
        <f t="shared" si="14"/>
        <v>568156.9</v>
      </c>
      <c r="AB208" s="3">
        <f t="shared" si="16"/>
        <v>8505.4599999999991</v>
      </c>
      <c r="AC208" s="3">
        <f>ROUND(MAX(0,(D208-V208)*Shift11!$B$3),2)</f>
        <v>265517.31</v>
      </c>
      <c r="AD208" s="3">
        <f t="shared" si="15"/>
        <v>265517.31</v>
      </c>
    </row>
    <row r="209" spans="1:30" x14ac:dyDescent="0.2">
      <c r="A209" s="18">
        <v>698</v>
      </c>
      <c r="B209" s="18">
        <v>1</v>
      </c>
      <c r="C209" s="3" t="s">
        <v>205</v>
      </c>
      <c r="D209" s="3">
        <f>Levy!F209</f>
        <v>0</v>
      </c>
      <c r="E209" s="3">
        <f>Levy!G209</f>
        <v>46645.81</v>
      </c>
      <c r="F209" s="3">
        <f>Levy!H209</f>
        <v>0</v>
      </c>
      <c r="G209" s="3">
        <f>Levy!I209</f>
        <v>190271.64</v>
      </c>
      <c r="H209" s="3">
        <f>Levy!J209</f>
        <v>22105.279999999999</v>
      </c>
      <c r="I209" s="176">
        <v>0</v>
      </c>
      <c r="J209" s="177">
        <v>20000</v>
      </c>
      <c r="K209" s="177">
        <v>11665.08</v>
      </c>
      <c r="L209" s="177">
        <v>0</v>
      </c>
      <c r="M209" s="175">
        <v>0</v>
      </c>
      <c r="N209" s="175">
        <v>0</v>
      </c>
      <c r="O209" s="175">
        <v>0</v>
      </c>
      <c r="P209" s="177">
        <v>13098.89</v>
      </c>
      <c r="Q209" s="177">
        <v>0</v>
      </c>
      <c r="R209" s="177">
        <v>0</v>
      </c>
      <c r="S209" s="177">
        <v>0</v>
      </c>
      <c r="T209" s="175">
        <v>0</v>
      </c>
      <c r="U209" s="175">
        <v>0</v>
      </c>
      <c r="V209" s="178">
        <v>0</v>
      </c>
      <c r="W209" s="178">
        <v>0</v>
      </c>
      <c r="X209" s="3">
        <v>5557.25</v>
      </c>
      <c r="Y209" s="161">
        <v>14891.46</v>
      </c>
      <c r="Z209" s="3">
        <f t="shared" si="13"/>
        <v>44763.97</v>
      </c>
      <c r="AA209" s="3">
        <f t="shared" si="14"/>
        <v>186596.23</v>
      </c>
      <c r="AB209" s="3">
        <f t="shared" si="16"/>
        <v>22105.279999999999</v>
      </c>
      <c r="AC209" s="3">
        <f>ROUND(MAX(0,(D209-V209)*Shift11!$B$3),2)</f>
        <v>0</v>
      </c>
      <c r="AD209" s="3">
        <f t="shared" si="15"/>
        <v>14891.46</v>
      </c>
    </row>
    <row r="210" spans="1:30" x14ac:dyDescent="0.2">
      <c r="A210" s="18">
        <v>700</v>
      </c>
      <c r="B210" s="18">
        <v>1</v>
      </c>
      <c r="C210" s="3" t="s">
        <v>206</v>
      </c>
      <c r="D210" s="3">
        <f>Levy!F210</f>
        <v>2053.77</v>
      </c>
      <c r="E210" s="3">
        <f>Levy!G210</f>
        <v>424142.21</v>
      </c>
      <c r="F210" s="3">
        <f>Levy!H210</f>
        <v>0</v>
      </c>
      <c r="G210" s="3">
        <f>Levy!I210</f>
        <v>880740.71</v>
      </c>
      <c r="H210" s="3">
        <f>Levy!J210</f>
        <v>158927.12</v>
      </c>
      <c r="I210" s="176">
        <v>0</v>
      </c>
      <c r="J210" s="177">
        <v>25000</v>
      </c>
      <c r="K210" s="177">
        <v>11665.08</v>
      </c>
      <c r="L210" s="177">
        <v>0</v>
      </c>
      <c r="M210" s="175">
        <v>0</v>
      </c>
      <c r="N210" s="175">
        <v>0</v>
      </c>
      <c r="O210" s="175">
        <v>0</v>
      </c>
      <c r="P210" s="177">
        <v>-15000</v>
      </c>
      <c r="Q210" s="177">
        <v>0</v>
      </c>
      <c r="R210" s="177">
        <v>0</v>
      </c>
      <c r="S210" s="177">
        <v>0</v>
      </c>
      <c r="T210" s="175">
        <v>0</v>
      </c>
      <c r="U210" s="175">
        <v>0</v>
      </c>
      <c r="V210" s="178">
        <v>0</v>
      </c>
      <c r="W210" s="178">
        <v>0</v>
      </c>
      <c r="X210" s="3">
        <v>0</v>
      </c>
      <c r="Y210" s="161">
        <v>83202.59</v>
      </c>
      <c r="Z210" s="3">
        <f t="shared" si="13"/>
        <v>21665.08</v>
      </c>
      <c r="AA210" s="3">
        <f t="shared" si="14"/>
        <v>1283217.8400000001</v>
      </c>
      <c r="AB210" s="3">
        <f t="shared" si="16"/>
        <v>158927.12</v>
      </c>
      <c r="AC210" s="3">
        <f>ROUND(MAX(0,(D210-V210)*Shift11!$B$3),2)</f>
        <v>998.13</v>
      </c>
      <c r="AD210" s="3">
        <f t="shared" si="15"/>
        <v>83202.59</v>
      </c>
    </row>
    <row r="211" spans="1:30" x14ac:dyDescent="0.2">
      <c r="A211" s="18">
        <v>701</v>
      </c>
      <c r="B211" s="18">
        <v>1</v>
      </c>
      <c r="C211" s="3" t="s">
        <v>207</v>
      </c>
      <c r="D211" s="3">
        <f>Levy!F211</f>
        <v>1248731.05</v>
      </c>
      <c r="E211" s="3">
        <f>Levy!G211</f>
        <v>195706.36</v>
      </c>
      <c r="F211" s="3">
        <f>Levy!H211</f>
        <v>0</v>
      </c>
      <c r="G211" s="3">
        <f>Levy!I211</f>
        <v>632875.85</v>
      </c>
      <c r="H211" s="3">
        <f>Levy!J211</f>
        <v>0</v>
      </c>
      <c r="I211" s="176">
        <v>0</v>
      </c>
      <c r="J211" s="177">
        <v>15000</v>
      </c>
      <c r="K211" s="177">
        <v>31138.99</v>
      </c>
      <c r="L211" s="177">
        <v>479711.8</v>
      </c>
      <c r="M211" s="175">
        <v>0</v>
      </c>
      <c r="N211" s="175">
        <v>0</v>
      </c>
      <c r="O211" s="175">
        <v>0</v>
      </c>
      <c r="P211" s="177">
        <v>4971.09</v>
      </c>
      <c r="Q211" s="177">
        <v>0</v>
      </c>
      <c r="R211" s="177">
        <v>0</v>
      </c>
      <c r="S211" s="177">
        <v>0</v>
      </c>
      <c r="T211" s="175">
        <v>0</v>
      </c>
      <c r="U211" s="175">
        <v>0</v>
      </c>
      <c r="V211" s="178">
        <v>0</v>
      </c>
      <c r="W211" s="178">
        <v>0</v>
      </c>
      <c r="X211" s="3">
        <v>59276.87</v>
      </c>
      <c r="Y211" s="161">
        <v>109071.21</v>
      </c>
      <c r="Z211" s="3">
        <f t="shared" si="13"/>
        <v>530821.88</v>
      </c>
      <c r="AA211" s="3">
        <f t="shared" si="14"/>
        <v>238483.46</v>
      </c>
      <c r="AB211" s="3">
        <f t="shared" si="16"/>
        <v>0</v>
      </c>
      <c r="AC211" s="3">
        <f>ROUND(MAX(0,(D211-V211)*Shift11!$B$3),2)</f>
        <v>606883.29</v>
      </c>
      <c r="AD211" s="3">
        <f t="shared" si="15"/>
        <v>606883.29</v>
      </c>
    </row>
    <row r="212" spans="1:30" x14ac:dyDescent="0.2">
      <c r="A212" s="18">
        <v>704</v>
      </c>
      <c r="B212" s="18">
        <v>1</v>
      </c>
      <c r="C212" s="3" t="s">
        <v>208</v>
      </c>
      <c r="D212" s="3">
        <f>Levy!F212</f>
        <v>1901.08</v>
      </c>
      <c r="E212" s="3">
        <f>Levy!G212</f>
        <v>359210.57</v>
      </c>
      <c r="F212" s="3">
        <f>Levy!H212</f>
        <v>0</v>
      </c>
      <c r="G212" s="3">
        <f>Levy!I212</f>
        <v>998913.19</v>
      </c>
      <c r="H212" s="3">
        <f>Levy!J212</f>
        <v>144033.76999999999</v>
      </c>
      <c r="I212" s="176">
        <v>0</v>
      </c>
      <c r="J212" s="177">
        <v>10000</v>
      </c>
      <c r="K212" s="177">
        <v>24827.62</v>
      </c>
      <c r="L212" s="177">
        <v>0</v>
      </c>
      <c r="M212" s="175">
        <v>0</v>
      </c>
      <c r="N212" s="175">
        <v>0</v>
      </c>
      <c r="O212" s="175">
        <v>0</v>
      </c>
      <c r="P212" s="177">
        <v>7345.63</v>
      </c>
      <c r="Q212" s="177">
        <v>0</v>
      </c>
      <c r="R212" s="177">
        <v>0</v>
      </c>
      <c r="S212" s="177">
        <v>0</v>
      </c>
      <c r="T212" s="175">
        <v>0</v>
      </c>
      <c r="U212" s="175">
        <v>0</v>
      </c>
      <c r="V212" s="178">
        <v>0</v>
      </c>
      <c r="W212" s="178">
        <v>0</v>
      </c>
      <c r="X212" s="3">
        <v>0</v>
      </c>
      <c r="Y212" s="161">
        <v>96036.52</v>
      </c>
      <c r="Z212" s="3">
        <f t="shared" si="13"/>
        <v>42173.249999999993</v>
      </c>
      <c r="AA212" s="3">
        <f t="shared" si="14"/>
        <v>1315950.51</v>
      </c>
      <c r="AB212" s="3">
        <f t="shared" si="16"/>
        <v>144033.76999999999</v>
      </c>
      <c r="AC212" s="3">
        <f>ROUND(MAX(0,(D212-V212)*Shift11!$B$3),2)</f>
        <v>923.92</v>
      </c>
      <c r="AD212" s="3">
        <f t="shared" si="15"/>
        <v>96036.52</v>
      </c>
    </row>
    <row r="213" spans="1:30" x14ac:dyDescent="0.2">
      <c r="A213" s="18">
        <v>706</v>
      </c>
      <c r="B213" s="18">
        <v>1</v>
      </c>
      <c r="C213" s="3" t="s">
        <v>209</v>
      </c>
      <c r="D213" s="3">
        <f>Levy!F213</f>
        <v>877490.28</v>
      </c>
      <c r="E213" s="3">
        <f>Levy!G213</f>
        <v>135037.94</v>
      </c>
      <c r="F213" s="3">
        <f>Levy!H213</f>
        <v>0</v>
      </c>
      <c r="G213" s="3">
        <f>Levy!I213</f>
        <v>520211.62</v>
      </c>
      <c r="H213" s="3">
        <f>Levy!J213</f>
        <v>0</v>
      </c>
      <c r="I213" s="176">
        <v>0</v>
      </c>
      <c r="J213" s="177">
        <v>10000</v>
      </c>
      <c r="K213" s="177">
        <v>40759.89</v>
      </c>
      <c r="L213" s="177">
        <v>537044</v>
      </c>
      <c r="M213" s="175">
        <v>0</v>
      </c>
      <c r="N213" s="175">
        <v>0</v>
      </c>
      <c r="O213" s="175">
        <v>0</v>
      </c>
      <c r="P213" s="177">
        <v>4162.13</v>
      </c>
      <c r="Q213" s="177">
        <v>0</v>
      </c>
      <c r="R213" s="177">
        <v>0</v>
      </c>
      <c r="S213" s="177">
        <v>-13539.4</v>
      </c>
      <c r="T213" s="175">
        <v>0</v>
      </c>
      <c r="U213" s="175">
        <v>0</v>
      </c>
      <c r="V213" s="178">
        <v>0</v>
      </c>
      <c r="W213" s="178">
        <v>0</v>
      </c>
      <c r="X213" s="3">
        <v>46429.98</v>
      </c>
      <c r="Y213" s="161">
        <v>66181.42</v>
      </c>
      <c r="Z213" s="3">
        <f t="shared" si="13"/>
        <v>578426.62</v>
      </c>
      <c r="AA213" s="3">
        <f t="shared" si="14"/>
        <v>30392.959999999999</v>
      </c>
      <c r="AB213" s="3">
        <f t="shared" si="16"/>
        <v>0</v>
      </c>
      <c r="AC213" s="3">
        <f>ROUND(MAX(0,(D213-V213)*Shift11!$B$3),2)</f>
        <v>426460.28</v>
      </c>
      <c r="AD213" s="3">
        <f t="shared" si="15"/>
        <v>426460.28</v>
      </c>
    </row>
    <row r="214" spans="1:30" x14ac:dyDescent="0.2">
      <c r="A214" s="18">
        <v>707</v>
      </c>
      <c r="B214" s="18">
        <v>1</v>
      </c>
      <c r="C214" s="3" t="s">
        <v>210</v>
      </c>
      <c r="D214" s="3">
        <f>Levy!F214</f>
        <v>503.09</v>
      </c>
      <c r="E214" s="3">
        <f>Levy!G214</f>
        <v>188.01</v>
      </c>
      <c r="F214" s="3">
        <f>Levy!H214</f>
        <v>0</v>
      </c>
      <c r="G214" s="3">
        <f>Levy!I214</f>
        <v>31901.75</v>
      </c>
      <c r="H214" s="3">
        <f>Levy!J214</f>
        <v>1797.24</v>
      </c>
      <c r="I214" s="176">
        <v>0</v>
      </c>
      <c r="J214" s="177">
        <v>0</v>
      </c>
      <c r="K214" s="177">
        <v>0</v>
      </c>
      <c r="L214" s="177">
        <v>0</v>
      </c>
      <c r="M214" s="175">
        <v>0</v>
      </c>
      <c r="N214" s="175">
        <v>0</v>
      </c>
      <c r="O214" s="175">
        <v>0</v>
      </c>
      <c r="P214" s="177">
        <v>411.44</v>
      </c>
      <c r="Q214" s="177">
        <v>0</v>
      </c>
      <c r="R214" s="177">
        <v>0</v>
      </c>
      <c r="S214" s="177">
        <v>0</v>
      </c>
      <c r="T214" s="175">
        <v>0</v>
      </c>
      <c r="U214" s="175">
        <v>0</v>
      </c>
      <c r="V214" s="178">
        <v>0</v>
      </c>
      <c r="W214" s="178">
        <v>0</v>
      </c>
      <c r="X214" s="3">
        <v>0</v>
      </c>
      <c r="Y214" s="161">
        <v>38.729999999999997</v>
      </c>
      <c r="Z214" s="3">
        <f t="shared" si="13"/>
        <v>411.44</v>
      </c>
      <c r="AA214" s="3">
        <f t="shared" si="14"/>
        <v>31678.32</v>
      </c>
      <c r="AB214" s="3">
        <f t="shared" si="16"/>
        <v>1797.24</v>
      </c>
      <c r="AC214" s="3">
        <f>ROUND(MAX(0,(D214-V214)*Shift11!$B$3),2)</f>
        <v>244.5</v>
      </c>
      <c r="AD214" s="3">
        <f t="shared" si="15"/>
        <v>244.5</v>
      </c>
    </row>
    <row r="215" spans="1:30" x14ac:dyDescent="0.2">
      <c r="A215" s="18">
        <v>709</v>
      </c>
      <c r="B215" s="18">
        <v>1</v>
      </c>
      <c r="C215" s="3" t="s">
        <v>211</v>
      </c>
      <c r="D215" s="3">
        <f>Levy!F215</f>
        <v>4389437.34</v>
      </c>
      <c r="E215" s="3">
        <f>Levy!G215</f>
        <v>901702.12</v>
      </c>
      <c r="F215" s="3">
        <f>Levy!H215</f>
        <v>0</v>
      </c>
      <c r="G215" s="3">
        <f>Levy!I215</f>
        <v>5522714.4900000002</v>
      </c>
      <c r="H215" s="3">
        <f>Levy!J215</f>
        <v>1079536.44</v>
      </c>
      <c r="I215" s="176">
        <v>614486.05000000005</v>
      </c>
      <c r="J215" s="177">
        <v>505596.47</v>
      </c>
      <c r="K215" s="177">
        <v>305841.07</v>
      </c>
      <c r="L215" s="177">
        <v>0</v>
      </c>
      <c r="M215" s="175">
        <v>0</v>
      </c>
      <c r="N215" s="175">
        <v>0</v>
      </c>
      <c r="O215" s="175">
        <v>-12809.9</v>
      </c>
      <c r="P215" s="177">
        <v>429592.03</v>
      </c>
      <c r="Q215" s="177">
        <v>0</v>
      </c>
      <c r="R215" s="177">
        <v>0</v>
      </c>
      <c r="S215" s="177">
        <v>0</v>
      </c>
      <c r="T215" s="175">
        <v>0</v>
      </c>
      <c r="U215" s="175">
        <v>0</v>
      </c>
      <c r="V215" s="178">
        <v>0</v>
      </c>
      <c r="W215" s="178">
        <v>0</v>
      </c>
      <c r="X215" s="3">
        <v>0</v>
      </c>
      <c r="Y215" s="161">
        <v>563244.99</v>
      </c>
      <c r="Z215" s="3">
        <f t="shared" si="13"/>
        <v>1842705.7200000002</v>
      </c>
      <c r="AA215" s="3">
        <f t="shared" si="14"/>
        <v>4581710.8899999997</v>
      </c>
      <c r="AB215" s="3">
        <f t="shared" si="16"/>
        <v>1079536.44</v>
      </c>
      <c r="AC215" s="3">
        <f>ROUND(MAX(0,(D215-V215)*Shift11!$B$3),2)</f>
        <v>2133266.5499999998</v>
      </c>
      <c r="AD215" s="3">
        <f t="shared" si="15"/>
        <v>2133266.5499999998</v>
      </c>
    </row>
    <row r="216" spans="1:30" x14ac:dyDescent="0.2">
      <c r="A216" s="18">
        <v>712</v>
      </c>
      <c r="B216" s="18">
        <v>1</v>
      </c>
      <c r="C216" s="3" t="s">
        <v>212</v>
      </c>
      <c r="D216" s="3">
        <f>Levy!F216</f>
        <v>284411.96999999997</v>
      </c>
      <c r="E216" s="3">
        <f>Levy!G216</f>
        <v>0</v>
      </c>
      <c r="F216" s="3">
        <f>Levy!H216</f>
        <v>0</v>
      </c>
      <c r="G216" s="3">
        <f>Levy!I216</f>
        <v>0</v>
      </c>
      <c r="H216" s="3">
        <f>Levy!J216</f>
        <v>0</v>
      </c>
      <c r="I216" s="176">
        <v>0</v>
      </c>
      <c r="J216" s="177">
        <v>10000</v>
      </c>
      <c r="K216" s="177">
        <v>20351.88</v>
      </c>
      <c r="L216" s="177">
        <v>37458</v>
      </c>
      <c r="M216" s="175">
        <v>0</v>
      </c>
      <c r="N216" s="175">
        <v>0</v>
      </c>
      <c r="O216" s="175">
        <v>0</v>
      </c>
      <c r="P216" s="177">
        <v>22671.07</v>
      </c>
      <c r="Q216" s="177">
        <v>0</v>
      </c>
      <c r="R216" s="177">
        <v>0</v>
      </c>
      <c r="S216" s="177">
        <v>822</v>
      </c>
      <c r="T216" s="175">
        <v>0</v>
      </c>
      <c r="U216" s="175">
        <v>0</v>
      </c>
      <c r="V216" s="178">
        <v>0</v>
      </c>
      <c r="W216" s="178">
        <v>0</v>
      </c>
      <c r="X216" s="3">
        <v>21715.31</v>
      </c>
      <c r="Y216" s="161">
        <v>26674.799999999999</v>
      </c>
      <c r="Z216" s="3">
        <f t="shared" si="13"/>
        <v>91302.950000000012</v>
      </c>
      <c r="AA216" s="3">
        <f t="shared" si="14"/>
        <v>0</v>
      </c>
      <c r="AB216" s="3">
        <f t="shared" si="16"/>
        <v>0</v>
      </c>
      <c r="AC216" s="3">
        <f>ROUND(MAX(0,(D216-V216)*Shift11!$B$3),2)</f>
        <v>138224.22</v>
      </c>
      <c r="AD216" s="3">
        <f t="shared" si="15"/>
        <v>138224.22</v>
      </c>
    </row>
    <row r="217" spans="1:30" x14ac:dyDescent="0.2">
      <c r="A217" s="18">
        <v>716</v>
      </c>
      <c r="B217" s="18">
        <v>1</v>
      </c>
      <c r="C217" s="3" t="s">
        <v>213</v>
      </c>
      <c r="D217" s="3">
        <f>Levy!F217</f>
        <v>471618</v>
      </c>
      <c r="E217" s="3">
        <f>Levy!G217</f>
        <v>218704</v>
      </c>
      <c r="F217" s="3">
        <f>Levy!H217</f>
        <v>0</v>
      </c>
      <c r="G217" s="3">
        <f>Levy!I217</f>
        <v>408530</v>
      </c>
      <c r="H217" s="3">
        <f>Levy!J217</f>
        <v>120090</v>
      </c>
      <c r="I217" s="176">
        <v>0</v>
      </c>
      <c r="J217" s="177">
        <v>5000</v>
      </c>
      <c r="K217" s="177">
        <v>33545.96</v>
      </c>
      <c r="L217" s="177">
        <v>0</v>
      </c>
      <c r="M217" s="175">
        <v>0</v>
      </c>
      <c r="N217" s="175">
        <v>0</v>
      </c>
      <c r="O217" s="175">
        <v>0</v>
      </c>
      <c r="P217" s="177">
        <v>-3804.55</v>
      </c>
      <c r="Q217" s="177">
        <v>0</v>
      </c>
      <c r="R217" s="177">
        <v>-1951.2</v>
      </c>
      <c r="S217" s="177">
        <v>0</v>
      </c>
      <c r="T217" s="175">
        <v>0</v>
      </c>
      <c r="U217" s="175">
        <v>0</v>
      </c>
      <c r="V217" s="178">
        <v>0</v>
      </c>
      <c r="W217" s="178">
        <v>0</v>
      </c>
      <c r="X217" s="3">
        <v>0</v>
      </c>
      <c r="Y217" s="161">
        <v>63260.97</v>
      </c>
      <c r="Z217" s="3">
        <f t="shared" si="13"/>
        <v>32790.21</v>
      </c>
      <c r="AA217" s="3">
        <f t="shared" si="14"/>
        <v>594443.79</v>
      </c>
      <c r="AB217" s="3">
        <f t="shared" si="16"/>
        <v>120090</v>
      </c>
      <c r="AC217" s="3">
        <f>ROUND(MAX(0,(D217-V217)*Shift11!$B$3),2)</f>
        <v>229206.35</v>
      </c>
      <c r="AD217" s="3">
        <f t="shared" si="15"/>
        <v>229206.35</v>
      </c>
    </row>
    <row r="218" spans="1:30" x14ac:dyDescent="0.2">
      <c r="A218" s="18">
        <v>717</v>
      </c>
      <c r="B218" s="18">
        <v>1</v>
      </c>
      <c r="C218" s="3" t="s">
        <v>214</v>
      </c>
      <c r="D218" s="3">
        <f>Levy!F218</f>
        <v>992392</v>
      </c>
      <c r="E218" s="3">
        <f>Levy!G218</f>
        <v>217142</v>
      </c>
      <c r="F218" s="3">
        <f>Levy!H218</f>
        <v>0</v>
      </c>
      <c r="G218" s="3">
        <f>Levy!I218</f>
        <v>956279</v>
      </c>
      <c r="H218" s="3">
        <f>Levy!J218</f>
        <v>127750</v>
      </c>
      <c r="I218" s="176">
        <v>0</v>
      </c>
      <c r="J218" s="177">
        <v>11000</v>
      </c>
      <c r="K218" s="177">
        <v>33886.58</v>
      </c>
      <c r="L218" s="177">
        <v>0</v>
      </c>
      <c r="M218" s="175">
        <v>0</v>
      </c>
      <c r="N218" s="175">
        <v>0</v>
      </c>
      <c r="O218" s="175">
        <v>0</v>
      </c>
      <c r="P218" s="177">
        <v>15704.56</v>
      </c>
      <c r="Q218" s="177">
        <v>0</v>
      </c>
      <c r="R218" s="177">
        <v>0</v>
      </c>
      <c r="S218" s="177">
        <v>0</v>
      </c>
      <c r="T218" s="175">
        <v>0</v>
      </c>
      <c r="U218" s="175">
        <v>0</v>
      </c>
      <c r="V218" s="178">
        <v>0</v>
      </c>
      <c r="W218" s="178">
        <v>0</v>
      </c>
      <c r="X218" s="3">
        <v>14022.14</v>
      </c>
      <c r="Y218" s="161">
        <v>55047.71</v>
      </c>
      <c r="Z218" s="3">
        <f t="shared" si="13"/>
        <v>60591.14</v>
      </c>
      <c r="AA218" s="3">
        <f t="shared" si="14"/>
        <v>1098807.72</v>
      </c>
      <c r="AB218" s="3">
        <f t="shared" si="16"/>
        <v>127750</v>
      </c>
      <c r="AC218" s="3">
        <f>ROUND(MAX(0,(D218-V218)*Shift11!$B$3),2)</f>
        <v>482302.51</v>
      </c>
      <c r="AD218" s="3">
        <f t="shared" si="15"/>
        <v>482302.51</v>
      </c>
    </row>
    <row r="219" spans="1:30" x14ac:dyDescent="0.2">
      <c r="A219" s="18">
        <v>719</v>
      </c>
      <c r="B219" s="18">
        <v>1</v>
      </c>
      <c r="C219" s="3" t="s">
        <v>215</v>
      </c>
      <c r="D219" s="3">
        <f>Levy!F219</f>
        <v>8469073</v>
      </c>
      <c r="E219" s="3">
        <f>Levy!G219</f>
        <v>803851</v>
      </c>
      <c r="F219" s="3">
        <f>Levy!H219</f>
        <v>0</v>
      </c>
      <c r="G219" s="3">
        <f>Levy!I219</f>
        <v>3086403</v>
      </c>
      <c r="H219" s="3">
        <f>Levy!J219</f>
        <v>600035</v>
      </c>
      <c r="I219" s="176">
        <v>0</v>
      </c>
      <c r="J219" s="177">
        <v>30000</v>
      </c>
      <c r="K219" s="177">
        <v>121904.98</v>
      </c>
      <c r="L219" s="177">
        <v>0</v>
      </c>
      <c r="M219" s="175">
        <v>0</v>
      </c>
      <c r="N219" s="175">
        <v>0</v>
      </c>
      <c r="O219" s="175">
        <v>0</v>
      </c>
      <c r="P219" s="177">
        <v>9222.66</v>
      </c>
      <c r="Q219" s="177">
        <v>0</v>
      </c>
      <c r="R219" s="177">
        <v>-5255.48</v>
      </c>
      <c r="S219" s="177">
        <v>0</v>
      </c>
      <c r="T219" s="175">
        <v>0</v>
      </c>
      <c r="U219" s="175">
        <v>0</v>
      </c>
      <c r="V219" s="178">
        <v>0</v>
      </c>
      <c r="W219" s="178">
        <v>0</v>
      </c>
      <c r="X219" s="3">
        <v>0</v>
      </c>
      <c r="Y219" s="161">
        <v>893301.55</v>
      </c>
      <c r="Z219" s="3">
        <f t="shared" si="13"/>
        <v>155872.15999999997</v>
      </c>
      <c r="AA219" s="3">
        <f t="shared" si="14"/>
        <v>3734381.84</v>
      </c>
      <c r="AB219" s="3">
        <f t="shared" si="16"/>
        <v>600035</v>
      </c>
      <c r="AC219" s="3">
        <f>ROUND(MAX(0,(D219-V219)*Shift11!$B$3),2)</f>
        <v>4115969.48</v>
      </c>
      <c r="AD219" s="3">
        <f t="shared" si="15"/>
        <v>4115969.48</v>
      </c>
    </row>
    <row r="220" spans="1:30" x14ac:dyDescent="0.2">
      <c r="A220" s="18">
        <v>720</v>
      </c>
      <c r="B220" s="18">
        <v>1</v>
      </c>
      <c r="C220" s="3" t="s">
        <v>216</v>
      </c>
      <c r="D220" s="3">
        <f>Levy!F220</f>
        <v>4538364</v>
      </c>
      <c r="E220" s="3">
        <f>Levy!G220</f>
        <v>1119477</v>
      </c>
      <c r="F220" s="3">
        <f>Levy!H220</f>
        <v>0</v>
      </c>
      <c r="G220" s="3">
        <f>Levy!I220</f>
        <v>1541595</v>
      </c>
      <c r="H220" s="3">
        <f>Levy!J220</f>
        <v>510690</v>
      </c>
      <c r="I220" s="176">
        <v>0</v>
      </c>
      <c r="J220" s="177">
        <v>42955</v>
      </c>
      <c r="K220" s="177">
        <v>94019.63</v>
      </c>
      <c r="L220" s="177">
        <v>0</v>
      </c>
      <c r="M220" s="175">
        <v>0</v>
      </c>
      <c r="N220" s="175">
        <v>0</v>
      </c>
      <c r="O220" s="175">
        <v>0</v>
      </c>
      <c r="P220" s="177">
        <v>22128.23</v>
      </c>
      <c r="Q220" s="177">
        <v>0</v>
      </c>
      <c r="R220" s="177">
        <v>-1283.46</v>
      </c>
      <c r="S220" s="177">
        <v>0</v>
      </c>
      <c r="T220" s="175">
        <v>0</v>
      </c>
      <c r="U220" s="175">
        <v>0</v>
      </c>
      <c r="V220" s="178">
        <v>0</v>
      </c>
      <c r="W220" s="178">
        <v>0</v>
      </c>
      <c r="X220" s="3">
        <v>5134.3100000000004</v>
      </c>
      <c r="Y220" s="161">
        <v>747920.6</v>
      </c>
      <c r="Z220" s="3">
        <f t="shared" si="13"/>
        <v>157819.40000000002</v>
      </c>
      <c r="AA220" s="3">
        <f t="shared" si="14"/>
        <v>2498118.29</v>
      </c>
      <c r="AB220" s="3">
        <f t="shared" si="16"/>
        <v>510690</v>
      </c>
      <c r="AC220" s="3">
        <f>ROUND(MAX(0,(D220-V220)*Shift11!$B$3),2)</f>
        <v>2205644.9</v>
      </c>
      <c r="AD220" s="3">
        <f t="shared" si="15"/>
        <v>2205644.9</v>
      </c>
    </row>
    <row r="221" spans="1:30" x14ac:dyDescent="0.2">
      <c r="A221" s="18">
        <v>721</v>
      </c>
      <c r="B221" s="18">
        <v>1</v>
      </c>
      <c r="C221" s="3" t="s">
        <v>217</v>
      </c>
      <c r="D221" s="3">
        <f>Levy!F221</f>
        <v>2713040</v>
      </c>
      <c r="E221" s="3">
        <f>Levy!G221</f>
        <v>481803</v>
      </c>
      <c r="F221" s="3">
        <f>Levy!H221</f>
        <v>0</v>
      </c>
      <c r="G221" s="3">
        <f>Levy!I221</f>
        <v>795635</v>
      </c>
      <c r="H221" s="3">
        <f>Levy!J221</f>
        <v>218722</v>
      </c>
      <c r="I221" s="176">
        <v>0</v>
      </c>
      <c r="J221" s="177">
        <v>15000</v>
      </c>
      <c r="K221" s="177">
        <v>75949.34</v>
      </c>
      <c r="L221" s="177">
        <v>0</v>
      </c>
      <c r="M221" s="175">
        <v>0</v>
      </c>
      <c r="N221" s="175">
        <v>0</v>
      </c>
      <c r="O221" s="175">
        <v>0</v>
      </c>
      <c r="P221" s="177">
        <v>24575.16</v>
      </c>
      <c r="Q221" s="177">
        <v>0</v>
      </c>
      <c r="R221" s="177">
        <v>1324.41</v>
      </c>
      <c r="S221" s="177">
        <v>0</v>
      </c>
      <c r="T221" s="175">
        <v>0</v>
      </c>
      <c r="U221" s="175">
        <v>0</v>
      </c>
      <c r="V221" s="178">
        <v>0</v>
      </c>
      <c r="W221" s="178">
        <v>0</v>
      </c>
      <c r="X221" s="3">
        <v>0</v>
      </c>
      <c r="Y221" s="161">
        <v>161681.19</v>
      </c>
      <c r="Z221" s="3">
        <f t="shared" si="13"/>
        <v>116848.91</v>
      </c>
      <c r="AA221" s="3">
        <f t="shared" si="14"/>
        <v>1160589.0900000001</v>
      </c>
      <c r="AB221" s="3">
        <f t="shared" si="16"/>
        <v>218722</v>
      </c>
      <c r="AC221" s="3">
        <f>ROUND(MAX(0,(D221-V221)*Shift11!$B$3),2)</f>
        <v>1318537.44</v>
      </c>
      <c r="AD221" s="3">
        <f t="shared" si="15"/>
        <v>1318537.44</v>
      </c>
    </row>
    <row r="222" spans="1:30" x14ac:dyDescent="0.2">
      <c r="A222" s="18">
        <v>726</v>
      </c>
      <c r="B222" s="18">
        <v>1</v>
      </c>
      <c r="C222" s="3" t="s">
        <v>218</v>
      </c>
      <c r="D222" s="3">
        <f>Levy!F222</f>
        <v>2201276.0699999998</v>
      </c>
      <c r="E222" s="3">
        <f>Levy!G222</f>
        <v>303486.40999999997</v>
      </c>
      <c r="F222" s="3">
        <f>Levy!H222</f>
        <v>408260</v>
      </c>
      <c r="G222" s="3">
        <f>Levy!I222</f>
        <v>952462.11</v>
      </c>
      <c r="H222" s="3">
        <f>Levy!J222</f>
        <v>201586.92</v>
      </c>
      <c r="I222" s="176">
        <v>0</v>
      </c>
      <c r="J222" s="177">
        <v>45000</v>
      </c>
      <c r="K222" s="177">
        <v>33654.35</v>
      </c>
      <c r="L222" s="177">
        <v>0</v>
      </c>
      <c r="M222" s="175">
        <v>0</v>
      </c>
      <c r="N222" s="175">
        <v>0</v>
      </c>
      <c r="O222" s="175">
        <v>0</v>
      </c>
      <c r="P222" s="177">
        <v>33083.82</v>
      </c>
      <c r="Q222" s="177">
        <v>0</v>
      </c>
      <c r="R222" s="177">
        <v>0</v>
      </c>
      <c r="S222" s="177">
        <v>0</v>
      </c>
      <c r="T222" s="175">
        <v>0</v>
      </c>
      <c r="U222" s="175">
        <v>0</v>
      </c>
      <c r="V222" s="178">
        <v>0</v>
      </c>
      <c r="W222" s="178">
        <v>0</v>
      </c>
      <c r="X222" s="3">
        <v>0</v>
      </c>
      <c r="Y222" s="161">
        <v>783519.3</v>
      </c>
      <c r="Z222" s="3">
        <f t="shared" si="13"/>
        <v>111738.17000000001</v>
      </c>
      <c r="AA222" s="3">
        <f t="shared" si="14"/>
        <v>1552470.35</v>
      </c>
      <c r="AB222" s="3">
        <f t="shared" si="16"/>
        <v>201586.92</v>
      </c>
      <c r="AC222" s="3">
        <f>ROUND(MAX(0,(D222-V222)*Shift11!$B$3),2)</f>
        <v>1069820.17</v>
      </c>
      <c r="AD222" s="3">
        <f t="shared" si="15"/>
        <v>1069820.17</v>
      </c>
    </row>
    <row r="223" spans="1:30" x14ac:dyDescent="0.2">
      <c r="A223" s="18">
        <v>727</v>
      </c>
      <c r="B223" s="18">
        <v>1</v>
      </c>
      <c r="C223" s="3" t="s">
        <v>219</v>
      </c>
      <c r="D223" s="3">
        <f>Levy!F223</f>
        <v>1343455.15</v>
      </c>
      <c r="E223" s="3">
        <f>Levy!G223</f>
        <v>292774.03999999998</v>
      </c>
      <c r="F223" s="3">
        <f>Levy!H223</f>
        <v>0</v>
      </c>
      <c r="G223" s="3">
        <f>Levy!I223</f>
        <v>1193526.8500000001</v>
      </c>
      <c r="H223" s="3">
        <f>Levy!J223</f>
        <v>238768.51</v>
      </c>
      <c r="I223" s="176">
        <v>0</v>
      </c>
      <c r="J223" s="177">
        <v>50000</v>
      </c>
      <c r="K223" s="177">
        <v>39431.75</v>
      </c>
      <c r="L223" s="177">
        <v>0</v>
      </c>
      <c r="M223" s="175">
        <v>0</v>
      </c>
      <c r="N223" s="175">
        <v>0</v>
      </c>
      <c r="O223" s="175">
        <v>0</v>
      </c>
      <c r="P223" s="177">
        <v>12528.12</v>
      </c>
      <c r="Q223" s="177">
        <v>0</v>
      </c>
      <c r="R223" s="177">
        <v>-869.72</v>
      </c>
      <c r="S223" s="177">
        <v>0</v>
      </c>
      <c r="T223" s="175">
        <v>0</v>
      </c>
      <c r="U223" s="175">
        <v>0</v>
      </c>
      <c r="V223" s="178">
        <v>0</v>
      </c>
      <c r="W223" s="178">
        <v>0</v>
      </c>
      <c r="X223" s="3">
        <v>0</v>
      </c>
      <c r="Y223" s="161">
        <v>115044.4</v>
      </c>
      <c r="Z223" s="3">
        <f t="shared" si="13"/>
        <v>101090.15</v>
      </c>
      <c r="AA223" s="3">
        <f t="shared" si="14"/>
        <v>1385210.74</v>
      </c>
      <c r="AB223" s="3">
        <f t="shared" si="16"/>
        <v>238768.51</v>
      </c>
      <c r="AC223" s="3">
        <f>ROUND(MAX(0,(D223-V223)*Shift11!$B$3),2)</f>
        <v>652919.19999999995</v>
      </c>
      <c r="AD223" s="3">
        <f t="shared" si="15"/>
        <v>652919.19999999995</v>
      </c>
    </row>
    <row r="224" spans="1:30" x14ac:dyDescent="0.2">
      <c r="A224" s="18">
        <v>728</v>
      </c>
      <c r="B224" s="18">
        <v>1</v>
      </c>
      <c r="C224" s="3" t="s">
        <v>220</v>
      </c>
      <c r="D224" s="3">
        <f>Levy!F224</f>
        <v>8775623.3499999996</v>
      </c>
      <c r="E224" s="3">
        <f>Levy!G224</f>
        <v>1307212.04</v>
      </c>
      <c r="F224" s="3">
        <f>Levy!H224</f>
        <v>0</v>
      </c>
      <c r="G224" s="3">
        <f>Levy!I224</f>
        <v>8864266.5999999996</v>
      </c>
      <c r="H224" s="3">
        <f>Levy!J224</f>
        <v>827542.74</v>
      </c>
      <c r="I224" s="176">
        <v>0</v>
      </c>
      <c r="J224" s="177">
        <v>120000</v>
      </c>
      <c r="K224" s="177">
        <v>174727.67</v>
      </c>
      <c r="L224" s="177">
        <v>0</v>
      </c>
      <c r="M224" s="175">
        <v>0</v>
      </c>
      <c r="N224" s="175">
        <v>0</v>
      </c>
      <c r="O224" s="175">
        <v>0</v>
      </c>
      <c r="P224" s="177">
        <v>137888.13</v>
      </c>
      <c r="Q224" s="177">
        <v>0</v>
      </c>
      <c r="R224" s="177">
        <v>0</v>
      </c>
      <c r="S224" s="177">
        <v>0</v>
      </c>
      <c r="T224" s="175">
        <v>0</v>
      </c>
      <c r="U224" s="175">
        <v>0</v>
      </c>
      <c r="V224" s="178">
        <v>0</v>
      </c>
      <c r="W224" s="178">
        <v>0</v>
      </c>
      <c r="X224" s="3">
        <v>118407.02</v>
      </c>
      <c r="Y224" s="161">
        <v>1478546.91</v>
      </c>
      <c r="Z224" s="3">
        <f t="shared" si="13"/>
        <v>432615.80000000005</v>
      </c>
      <c r="AA224" s="3">
        <f t="shared" si="14"/>
        <v>9620455.8200000003</v>
      </c>
      <c r="AB224" s="3">
        <f t="shared" si="16"/>
        <v>827542.74</v>
      </c>
      <c r="AC224" s="3">
        <f>ROUND(MAX(0,(D224-V224)*Shift11!$B$3),2)</f>
        <v>4264952.95</v>
      </c>
      <c r="AD224" s="3">
        <f t="shared" si="15"/>
        <v>4264952.95</v>
      </c>
    </row>
    <row r="225" spans="1:30" x14ac:dyDescent="0.2">
      <c r="A225" s="18">
        <v>738</v>
      </c>
      <c r="B225" s="18">
        <v>1</v>
      </c>
      <c r="C225" s="3" t="s">
        <v>221</v>
      </c>
      <c r="D225" s="3">
        <f>Levy!F225</f>
        <v>315911.65999999997</v>
      </c>
      <c r="E225" s="3">
        <f>Levy!G225</f>
        <v>78277.2</v>
      </c>
      <c r="F225" s="3">
        <f>Levy!H225</f>
        <v>0</v>
      </c>
      <c r="G225" s="3">
        <f>Levy!I225</f>
        <v>229702.97</v>
      </c>
      <c r="H225" s="3">
        <f>Levy!J225</f>
        <v>49657.29</v>
      </c>
      <c r="I225" s="176">
        <v>0</v>
      </c>
      <c r="J225" s="177">
        <v>5000</v>
      </c>
      <c r="K225" s="177">
        <v>23240.98</v>
      </c>
      <c r="L225" s="177">
        <v>0</v>
      </c>
      <c r="M225" s="175">
        <v>0</v>
      </c>
      <c r="N225" s="175">
        <v>0</v>
      </c>
      <c r="O225" s="175">
        <v>0</v>
      </c>
      <c r="P225" s="177">
        <v>-1741.3</v>
      </c>
      <c r="Q225" s="177">
        <v>0</v>
      </c>
      <c r="R225" s="177">
        <v>0</v>
      </c>
      <c r="S225" s="177">
        <v>0</v>
      </c>
      <c r="T225" s="175">
        <v>0</v>
      </c>
      <c r="U225" s="175">
        <v>0</v>
      </c>
      <c r="V225" s="178">
        <v>0</v>
      </c>
      <c r="W225" s="178">
        <v>0</v>
      </c>
      <c r="X225" s="3">
        <v>0</v>
      </c>
      <c r="Y225" s="161">
        <v>34772.33</v>
      </c>
      <c r="Z225" s="3">
        <f t="shared" si="13"/>
        <v>26499.68</v>
      </c>
      <c r="AA225" s="3">
        <f t="shared" si="14"/>
        <v>281480.49</v>
      </c>
      <c r="AB225" s="3">
        <f t="shared" si="16"/>
        <v>49657.29</v>
      </c>
      <c r="AC225" s="3">
        <f>ROUND(MAX(0,(D225-V225)*Shift11!$B$3),2)</f>
        <v>153533.07</v>
      </c>
      <c r="AD225" s="3">
        <f t="shared" si="15"/>
        <v>153533.07</v>
      </c>
    </row>
    <row r="226" spans="1:30" x14ac:dyDescent="0.2">
      <c r="A226" s="18">
        <v>739</v>
      </c>
      <c r="B226" s="18">
        <v>1</v>
      </c>
      <c r="C226" s="3" t="s">
        <v>222</v>
      </c>
      <c r="D226" s="3">
        <f>Levy!F226</f>
        <v>658911.18999999994</v>
      </c>
      <c r="E226" s="3">
        <f>Levy!G226</f>
        <v>60791.4</v>
      </c>
      <c r="F226" s="3">
        <f>Levy!H226</f>
        <v>0</v>
      </c>
      <c r="G226" s="3">
        <f>Levy!I226</f>
        <v>260362.56</v>
      </c>
      <c r="H226" s="3">
        <f>Levy!J226</f>
        <v>66025.48</v>
      </c>
      <c r="I226" s="176">
        <v>0</v>
      </c>
      <c r="J226" s="177">
        <v>10000</v>
      </c>
      <c r="K226" s="177">
        <v>18081.8</v>
      </c>
      <c r="L226" s="177">
        <v>0</v>
      </c>
      <c r="M226" s="175">
        <v>0</v>
      </c>
      <c r="N226" s="175">
        <v>0</v>
      </c>
      <c r="O226" s="175">
        <v>0</v>
      </c>
      <c r="P226" s="177">
        <v>-6570.45</v>
      </c>
      <c r="Q226" s="177">
        <v>0</v>
      </c>
      <c r="R226" s="177">
        <v>536</v>
      </c>
      <c r="S226" s="177">
        <v>0</v>
      </c>
      <c r="T226" s="175">
        <v>0</v>
      </c>
      <c r="U226" s="175">
        <v>0</v>
      </c>
      <c r="V226" s="178">
        <v>0</v>
      </c>
      <c r="W226" s="178">
        <v>0</v>
      </c>
      <c r="X226" s="3">
        <v>0</v>
      </c>
      <c r="Y226" s="161">
        <v>43638.03</v>
      </c>
      <c r="Z226" s="3">
        <f t="shared" si="13"/>
        <v>22047.35</v>
      </c>
      <c r="AA226" s="3">
        <f t="shared" si="14"/>
        <v>299106.61</v>
      </c>
      <c r="AB226" s="3">
        <f t="shared" si="16"/>
        <v>66025.48</v>
      </c>
      <c r="AC226" s="3">
        <f>ROUND(MAX(0,(D226-V226)*Shift11!$B$3),2)</f>
        <v>320230.84000000003</v>
      </c>
      <c r="AD226" s="3">
        <f t="shared" si="15"/>
        <v>320230.84000000003</v>
      </c>
    </row>
    <row r="227" spans="1:30" x14ac:dyDescent="0.2">
      <c r="A227" s="18">
        <v>740</v>
      </c>
      <c r="B227" s="18">
        <v>1</v>
      </c>
      <c r="C227" s="3" t="s">
        <v>223</v>
      </c>
      <c r="D227" s="3">
        <f>Levy!F227</f>
        <v>720982.94</v>
      </c>
      <c r="E227" s="3">
        <f>Levy!G227</f>
        <v>107756.55</v>
      </c>
      <c r="F227" s="3">
        <f>Levy!H227</f>
        <v>0</v>
      </c>
      <c r="G227" s="3">
        <f>Levy!I227</f>
        <v>436253.71</v>
      </c>
      <c r="H227" s="3">
        <f>Levy!J227</f>
        <v>103246.67</v>
      </c>
      <c r="I227" s="176">
        <v>0</v>
      </c>
      <c r="J227" s="177">
        <v>15000</v>
      </c>
      <c r="K227" s="177">
        <v>35177.199999999997</v>
      </c>
      <c r="L227" s="177">
        <v>0</v>
      </c>
      <c r="M227" s="175">
        <v>0</v>
      </c>
      <c r="N227" s="175">
        <v>0</v>
      </c>
      <c r="O227" s="175">
        <v>0</v>
      </c>
      <c r="P227" s="177">
        <v>3705.56</v>
      </c>
      <c r="Q227" s="177">
        <v>0</v>
      </c>
      <c r="R227" s="177">
        <v>-1104.8</v>
      </c>
      <c r="S227" s="177">
        <v>0</v>
      </c>
      <c r="T227" s="175">
        <v>0</v>
      </c>
      <c r="U227" s="175">
        <v>0</v>
      </c>
      <c r="V227" s="178">
        <v>0</v>
      </c>
      <c r="W227" s="178">
        <v>0</v>
      </c>
      <c r="X227" s="3">
        <v>0</v>
      </c>
      <c r="Y227" s="161">
        <v>52270.81</v>
      </c>
      <c r="Z227" s="3">
        <f t="shared" si="13"/>
        <v>52777.959999999992</v>
      </c>
      <c r="AA227" s="3">
        <f t="shared" si="14"/>
        <v>491232.3</v>
      </c>
      <c r="AB227" s="3">
        <f t="shared" si="16"/>
        <v>103246.67</v>
      </c>
      <c r="AC227" s="3">
        <f>ROUND(MAX(0,(D227-V227)*Shift11!$B$3),2)</f>
        <v>350397.71</v>
      </c>
      <c r="AD227" s="3">
        <f t="shared" si="15"/>
        <v>350397.71</v>
      </c>
    </row>
    <row r="228" spans="1:30" x14ac:dyDescent="0.2">
      <c r="A228" s="18">
        <v>741</v>
      </c>
      <c r="B228" s="18">
        <v>1</v>
      </c>
      <c r="C228" s="3" t="s">
        <v>224</v>
      </c>
      <c r="D228" s="3">
        <f>Levy!F228</f>
        <v>369561.35</v>
      </c>
      <c r="E228" s="3">
        <f>Levy!G228</f>
        <v>106126.13</v>
      </c>
      <c r="F228" s="3">
        <f>Levy!H228</f>
        <v>0</v>
      </c>
      <c r="G228" s="3">
        <f>Levy!I228</f>
        <v>392492.21</v>
      </c>
      <c r="H228" s="3">
        <f>Levy!J228</f>
        <v>76707.509999999995</v>
      </c>
      <c r="I228" s="176">
        <v>0</v>
      </c>
      <c r="J228" s="177">
        <v>10000</v>
      </c>
      <c r="K228" s="177">
        <v>27895.96</v>
      </c>
      <c r="L228" s="177">
        <v>0</v>
      </c>
      <c r="M228" s="175">
        <v>0</v>
      </c>
      <c r="N228" s="175">
        <v>0</v>
      </c>
      <c r="O228" s="175">
        <v>0</v>
      </c>
      <c r="P228" s="177">
        <v>-6645.78</v>
      </c>
      <c r="Q228" s="177">
        <v>0</v>
      </c>
      <c r="R228" s="177">
        <v>0</v>
      </c>
      <c r="S228" s="177">
        <v>0</v>
      </c>
      <c r="T228" s="175">
        <v>0</v>
      </c>
      <c r="U228" s="175">
        <v>0</v>
      </c>
      <c r="V228" s="178">
        <v>0</v>
      </c>
      <c r="W228" s="178">
        <v>0</v>
      </c>
      <c r="X228" s="3">
        <v>14724.96</v>
      </c>
      <c r="Y228" s="161">
        <v>50390.3</v>
      </c>
      <c r="Z228" s="3">
        <f t="shared" si="13"/>
        <v>31250.18</v>
      </c>
      <c r="AA228" s="3">
        <f t="shared" si="14"/>
        <v>452643.2</v>
      </c>
      <c r="AB228" s="3">
        <f t="shared" si="16"/>
        <v>76707.509999999995</v>
      </c>
      <c r="AC228" s="3">
        <f>ROUND(MAX(0,(D228-V228)*Shift11!$B$3),2)</f>
        <v>179606.82</v>
      </c>
      <c r="AD228" s="3">
        <f t="shared" si="15"/>
        <v>179606.82</v>
      </c>
    </row>
    <row r="229" spans="1:30" x14ac:dyDescent="0.2">
      <c r="A229" s="18">
        <v>742</v>
      </c>
      <c r="B229" s="18">
        <v>1</v>
      </c>
      <c r="C229" s="3" t="s">
        <v>225</v>
      </c>
      <c r="D229" s="3">
        <f>Levy!F229</f>
        <v>6740051.3600000003</v>
      </c>
      <c r="E229" s="3">
        <f>Levy!G229</f>
        <v>1177418.19</v>
      </c>
      <c r="F229" s="3">
        <f>Levy!H229</f>
        <v>0</v>
      </c>
      <c r="G229" s="3">
        <f>Levy!I229</f>
        <v>8473796.5399999991</v>
      </c>
      <c r="H229" s="3">
        <f>Levy!J229</f>
        <v>1287583.6499999999</v>
      </c>
      <c r="I229" s="176">
        <v>0</v>
      </c>
      <c r="J229" s="177">
        <v>250000</v>
      </c>
      <c r="K229" s="177">
        <v>227091.96</v>
      </c>
      <c r="L229" s="177">
        <v>0</v>
      </c>
      <c r="M229" s="175">
        <v>0</v>
      </c>
      <c r="N229" s="175">
        <v>0</v>
      </c>
      <c r="O229" s="175">
        <v>0</v>
      </c>
      <c r="P229" s="177">
        <v>62945.9</v>
      </c>
      <c r="Q229" s="177">
        <v>0</v>
      </c>
      <c r="R229" s="177">
        <v>-6042.02</v>
      </c>
      <c r="S229" s="177">
        <v>190.5</v>
      </c>
      <c r="T229" s="175">
        <v>0</v>
      </c>
      <c r="U229" s="175">
        <v>0</v>
      </c>
      <c r="V229" s="178">
        <v>0</v>
      </c>
      <c r="W229" s="178">
        <v>0</v>
      </c>
      <c r="X229" s="3">
        <v>0</v>
      </c>
      <c r="Y229" s="161">
        <v>1164341.68</v>
      </c>
      <c r="Z229" s="3">
        <f t="shared" si="13"/>
        <v>534186.34</v>
      </c>
      <c r="AA229" s="3">
        <f t="shared" si="14"/>
        <v>9117028.3900000006</v>
      </c>
      <c r="AB229" s="3">
        <f t="shared" si="16"/>
        <v>1287583.6499999999</v>
      </c>
      <c r="AC229" s="3">
        <f>ROUND(MAX(0,(D229-V229)*Shift11!$B$3),2)</f>
        <v>3275664.96</v>
      </c>
      <c r="AD229" s="3">
        <f t="shared" si="15"/>
        <v>3275664.96</v>
      </c>
    </row>
    <row r="230" spans="1:30" x14ac:dyDescent="0.2">
      <c r="A230" s="18">
        <v>743</v>
      </c>
      <c r="B230" s="18">
        <v>1</v>
      </c>
      <c r="C230" s="3" t="s">
        <v>226</v>
      </c>
      <c r="D230" s="3">
        <f>Levy!F230</f>
        <v>1169184.96</v>
      </c>
      <c r="E230" s="3">
        <f>Levy!G230</f>
        <v>77889.3</v>
      </c>
      <c r="F230" s="3">
        <f>Levy!H230</f>
        <v>0</v>
      </c>
      <c r="G230" s="3">
        <f>Levy!I230</f>
        <v>164753.79</v>
      </c>
      <c r="H230" s="3">
        <f>Levy!J230</f>
        <v>91669.4</v>
      </c>
      <c r="I230" s="176">
        <v>0</v>
      </c>
      <c r="J230" s="177">
        <v>6000</v>
      </c>
      <c r="K230" s="177">
        <v>33167.040000000001</v>
      </c>
      <c r="L230" s="177">
        <v>0</v>
      </c>
      <c r="M230" s="175">
        <v>0</v>
      </c>
      <c r="N230" s="175">
        <v>0</v>
      </c>
      <c r="O230" s="175">
        <v>0</v>
      </c>
      <c r="P230" s="177">
        <v>-11390</v>
      </c>
      <c r="Q230" s="177">
        <v>0</v>
      </c>
      <c r="R230" s="177">
        <v>0</v>
      </c>
      <c r="S230" s="177">
        <v>0</v>
      </c>
      <c r="T230" s="175">
        <v>0</v>
      </c>
      <c r="U230" s="175">
        <v>0</v>
      </c>
      <c r="V230" s="178">
        <v>0</v>
      </c>
      <c r="W230" s="178">
        <v>0</v>
      </c>
      <c r="X230" s="3">
        <v>0</v>
      </c>
      <c r="Y230" s="161">
        <v>35407.78</v>
      </c>
      <c r="Z230" s="3">
        <f t="shared" si="13"/>
        <v>27777.040000000001</v>
      </c>
      <c r="AA230" s="3">
        <f t="shared" si="14"/>
        <v>214866.05</v>
      </c>
      <c r="AB230" s="3">
        <f t="shared" si="16"/>
        <v>91669.4</v>
      </c>
      <c r="AC230" s="3">
        <f>ROUND(MAX(0,(D230-V230)*Shift11!$B$3),2)</f>
        <v>568223.89</v>
      </c>
      <c r="AD230" s="3">
        <f t="shared" si="15"/>
        <v>568223.89</v>
      </c>
    </row>
    <row r="231" spans="1:30" x14ac:dyDescent="0.2">
      <c r="A231" s="18">
        <v>745</v>
      </c>
      <c r="B231" s="18">
        <v>1</v>
      </c>
      <c r="C231" s="3" t="s">
        <v>227</v>
      </c>
      <c r="D231" s="3">
        <f>Levy!F231</f>
        <v>521378.19</v>
      </c>
      <c r="E231" s="3">
        <f>Levy!G231</f>
        <v>168618.88</v>
      </c>
      <c r="F231" s="3">
        <f>Levy!H231</f>
        <v>0</v>
      </c>
      <c r="G231" s="3">
        <f>Levy!I231</f>
        <v>279819.27</v>
      </c>
      <c r="H231" s="3">
        <f>Levy!J231</f>
        <v>102155.15</v>
      </c>
      <c r="I231" s="176">
        <v>0</v>
      </c>
      <c r="J231" s="177">
        <v>1442.15</v>
      </c>
      <c r="K231" s="177">
        <v>41387.910000000003</v>
      </c>
      <c r="L231" s="177">
        <v>0</v>
      </c>
      <c r="M231" s="175">
        <v>0</v>
      </c>
      <c r="N231" s="175">
        <v>0</v>
      </c>
      <c r="O231" s="175">
        <v>0</v>
      </c>
      <c r="P231" s="177">
        <v>-5945.34</v>
      </c>
      <c r="Q231" s="177">
        <v>0</v>
      </c>
      <c r="R231" s="177">
        <v>0</v>
      </c>
      <c r="S231" s="177">
        <v>0</v>
      </c>
      <c r="T231" s="175">
        <v>0</v>
      </c>
      <c r="U231" s="175">
        <v>0</v>
      </c>
      <c r="V231" s="178">
        <v>0</v>
      </c>
      <c r="W231" s="178">
        <v>0</v>
      </c>
      <c r="X231" s="3">
        <v>0</v>
      </c>
      <c r="Y231" s="161">
        <v>60324.53</v>
      </c>
      <c r="Z231" s="3">
        <f t="shared" si="13"/>
        <v>36884.720000000001</v>
      </c>
      <c r="AA231" s="3">
        <f t="shared" si="14"/>
        <v>411553.43</v>
      </c>
      <c r="AB231" s="3">
        <f t="shared" si="16"/>
        <v>102155.15</v>
      </c>
      <c r="AC231" s="3">
        <f>ROUND(MAX(0,(D231-V231)*Shift11!$B$3),2)</f>
        <v>253389.8</v>
      </c>
      <c r="AD231" s="3">
        <f t="shared" si="15"/>
        <v>253389.8</v>
      </c>
    </row>
    <row r="232" spans="1:30" x14ac:dyDescent="0.2">
      <c r="A232" s="18">
        <v>748</v>
      </c>
      <c r="B232" s="18">
        <v>1</v>
      </c>
      <c r="C232" s="3" t="s">
        <v>228</v>
      </c>
      <c r="D232" s="3">
        <f>Levy!F232</f>
        <v>1922231.61</v>
      </c>
      <c r="E232" s="3">
        <f>Levy!G232</f>
        <v>279215.53999999998</v>
      </c>
      <c r="F232" s="3">
        <f>Levy!H232</f>
        <v>0</v>
      </c>
      <c r="G232" s="3">
        <f>Levy!I232</f>
        <v>751238.07</v>
      </c>
      <c r="H232" s="3">
        <f>Levy!J232</f>
        <v>188840.25</v>
      </c>
      <c r="I232" s="176">
        <v>0</v>
      </c>
      <c r="J232" s="177">
        <v>50000</v>
      </c>
      <c r="K232" s="177">
        <v>0</v>
      </c>
      <c r="L232" s="177">
        <v>0</v>
      </c>
      <c r="M232" s="175">
        <v>0</v>
      </c>
      <c r="N232" s="175">
        <v>0</v>
      </c>
      <c r="O232" s="175">
        <v>0</v>
      </c>
      <c r="P232" s="177">
        <v>12196.02</v>
      </c>
      <c r="Q232" s="177">
        <v>0</v>
      </c>
      <c r="R232" s="177">
        <v>-12002.84</v>
      </c>
      <c r="S232" s="177">
        <v>0</v>
      </c>
      <c r="T232" s="175">
        <v>0</v>
      </c>
      <c r="U232" s="175">
        <v>0</v>
      </c>
      <c r="V232" s="178">
        <v>0</v>
      </c>
      <c r="W232" s="178">
        <v>0</v>
      </c>
      <c r="X232" s="3">
        <v>0</v>
      </c>
      <c r="Y232" s="161">
        <v>92655.9</v>
      </c>
      <c r="Z232" s="3">
        <f t="shared" si="13"/>
        <v>50193.180000000008</v>
      </c>
      <c r="AA232" s="3">
        <f t="shared" si="14"/>
        <v>980260.43</v>
      </c>
      <c r="AB232" s="3">
        <f t="shared" si="16"/>
        <v>188840.25</v>
      </c>
      <c r="AC232" s="3">
        <f>ROUND(MAX(0,(D232-V232)*Shift11!$B$3),2)</f>
        <v>934204.56</v>
      </c>
      <c r="AD232" s="3">
        <f t="shared" si="15"/>
        <v>934204.56</v>
      </c>
    </row>
    <row r="233" spans="1:30" x14ac:dyDescent="0.2">
      <c r="A233" s="18">
        <v>750</v>
      </c>
      <c r="B233" s="18">
        <v>1</v>
      </c>
      <c r="C233" s="3" t="s">
        <v>229</v>
      </c>
      <c r="D233" s="3">
        <f>Levy!F233</f>
        <v>809213.42</v>
      </c>
      <c r="E233" s="3">
        <f>Levy!G233</f>
        <v>255585.54</v>
      </c>
      <c r="F233" s="3">
        <f>Levy!H233</f>
        <v>0</v>
      </c>
      <c r="G233" s="3">
        <f>Levy!I233</f>
        <v>804654.6</v>
      </c>
      <c r="H233" s="3">
        <f>Levy!J233</f>
        <v>139205.45000000001</v>
      </c>
      <c r="I233" s="176">
        <v>0</v>
      </c>
      <c r="J233" s="177">
        <v>25000</v>
      </c>
      <c r="K233" s="177">
        <v>26836.880000000001</v>
      </c>
      <c r="L233" s="177">
        <v>0</v>
      </c>
      <c r="M233" s="175">
        <v>0</v>
      </c>
      <c r="N233" s="175">
        <v>0</v>
      </c>
      <c r="O233" s="175">
        <v>0</v>
      </c>
      <c r="P233" s="177">
        <v>-827.67</v>
      </c>
      <c r="Q233" s="177">
        <v>0</v>
      </c>
      <c r="R233" s="177">
        <v>-23.22</v>
      </c>
      <c r="S233" s="177">
        <v>0</v>
      </c>
      <c r="T233" s="175">
        <v>0</v>
      </c>
      <c r="U233" s="175">
        <v>0</v>
      </c>
      <c r="V233" s="178">
        <v>0</v>
      </c>
      <c r="W233" s="178">
        <v>0</v>
      </c>
      <c r="X233" s="3">
        <v>0</v>
      </c>
      <c r="Y233" s="161">
        <v>110156.45</v>
      </c>
      <c r="Z233" s="3">
        <f t="shared" si="13"/>
        <v>50985.990000000005</v>
      </c>
      <c r="AA233" s="3">
        <f t="shared" si="14"/>
        <v>1009254.15</v>
      </c>
      <c r="AB233" s="3">
        <f t="shared" si="16"/>
        <v>139205.45000000001</v>
      </c>
      <c r="AC233" s="3">
        <f>ROUND(MAX(0,(D233-V233)*Shift11!$B$3),2)</f>
        <v>393277.72</v>
      </c>
      <c r="AD233" s="3">
        <f t="shared" si="15"/>
        <v>393277.72</v>
      </c>
    </row>
    <row r="234" spans="1:30" x14ac:dyDescent="0.2">
      <c r="A234" s="18">
        <v>756</v>
      </c>
      <c r="B234" s="18">
        <v>1</v>
      </c>
      <c r="C234" s="3" t="s">
        <v>230</v>
      </c>
      <c r="D234" s="3">
        <f>Levy!F234</f>
        <v>348699</v>
      </c>
      <c r="E234" s="3">
        <f>Levy!G234</f>
        <v>44727</v>
      </c>
      <c r="F234" s="3">
        <f>Levy!H234</f>
        <v>0</v>
      </c>
      <c r="G234" s="3">
        <f>Levy!I234</f>
        <v>306802</v>
      </c>
      <c r="H234" s="3">
        <f>Levy!J234</f>
        <v>46417</v>
      </c>
      <c r="I234" s="176">
        <v>0</v>
      </c>
      <c r="J234" s="177">
        <v>10000</v>
      </c>
      <c r="K234" s="177">
        <v>17874.86</v>
      </c>
      <c r="L234" s="177">
        <v>0</v>
      </c>
      <c r="M234" s="175">
        <v>0</v>
      </c>
      <c r="N234" s="175">
        <v>0</v>
      </c>
      <c r="O234" s="175">
        <v>0</v>
      </c>
      <c r="P234" s="177">
        <v>-4870.5200000000004</v>
      </c>
      <c r="Q234" s="177">
        <v>0</v>
      </c>
      <c r="R234" s="177">
        <v>0</v>
      </c>
      <c r="S234" s="177">
        <v>0</v>
      </c>
      <c r="T234" s="175">
        <v>0</v>
      </c>
      <c r="U234" s="175">
        <v>0</v>
      </c>
      <c r="V234" s="178">
        <v>0</v>
      </c>
      <c r="W234" s="178">
        <v>0</v>
      </c>
      <c r="X234" s="3">
        <v>0</v>
      </c>
      <c r="Y234" s="161">
        <v>49372.4</v>
      </c>
      <c r="Z234" s="3">
        <f t="shared" si="13"/>
        <v>23004.34</v>
      </c>
      <c r="AA234" s="3">
        <f t="shared" si="14"/>
        <v>328524.65999999997</v>
      </c>
      <c r="AB234" s="3">
        <f t="shared" si="16"/>
        <v>46417</v>
      </c>
      <c r="AC234" s="3">
        <f>ROUND(MAX(0,(D234-V234)*Shift11!$B$3),2)</f>
        <v>169467.71</v>
      </c>
      <c r="AD234" s="3">
        <f t="shared" si="15"/>
        <v>169467.71</v>
      </c>
    </row>
    <row r="235" spans="1:30" x14ac:dyDescent="0.2">
      <c r="A235" s="18">
        <v>761</v>
      </c>
      <c r="B235" s="18">
        <v>1</v>
      </c>
      <c r="C235" s="3" t="s">
        <v>231</v>
      </c>
      <c r="D235" s="3">
        <f>Levy!F235</f>
        <v>2821789</v>
      </c>
      <c r="E235" s="3">
        <f>Levy!G235</f>
        <v>565565</v>
      </c>
      <c r="F235" s="3">
        <f>Levy!H235</f>
        <v>0</v>
      </c>
      <c r="G235" s="3">
        <f>Levy!I235</f>
        <v>1671210</v>
      </c>
      <c r="H235" s="3">
        <f>Levy!J235</f>
        <v>317514</v>
      </c>
      <c r="I235" s="176">
        <v>0</v>
      </c>
      <c r="J235" s="177">
        <v>59194</v>
      </c>
      <c r="K235" s="177">
        <v>115594.37</v>
      </c>
      <c r="L235" s="177">
        <v>0</v>
      </c>
      <c r="M235" s="175">
        <v>0</v>
      </c>
      <c r="N235" s="175">
        <v>0</v>
      </c>
      <c r="O235" s="175">
        <v>0</v>
      </c>
      <c r="P235" s="177">
        <v>52205.13</v>
      </c>
      <c r="Q235" s="177">
        <v>0</v>
      </c>
      <c r="R235" s="177">
        <v>-381.49</v>
      </c>
      <c r="S235" s="177">
        <v>0</v>
      </c>
      <c r="T235" s="175">
        <v>0</v>
      </c>
      <c r="U235" s="175">
        <v>0</v>
      </c>
      <c r="V235" s="178">
        <v>0</v>
      </c>
      <c r="W235" s="178">
        <v>0</v>
      </c>
      <c r="X235" s="3">
        <v>0</v>
      </c>
      <c r="Y235" s="161">
        <v>339315.37</v>
      </c>
      <c r="Z235" s="3">
        <f t="shared" si="13"/>
        <v>226612.01</v>
      </c>
      <c r="AA235" s="3">
        <f t="shared" si="14"/>
        <v>2010162.99</v>
      </c>
      <c r="AB235" s="3">
        <f t="shared" si="16"/>
        <v>317514</v>
      </c>
      <c r="AC235" s="3">
        <f>ROUND(MAX(0,(D235-V235)*Shift11!$B$3),2)</f>
        <v>1371389.45</v>
      </c>
      <c r="AD235" s="3">
        <f t="shared" si="15"/>
        <v>1371389.45</v>
      </c>
    </row>
    <row r="236" spans="1:30" x14ac:dyDescent="0.2">
      <c r="A236" s="18">
        <v>763</v>
      </c>
      <c r="B236" s="18">
        <v>1</v>
      </c>
      <c r="C236" s="3" t="s">
        <v>232</v>
      </c>
      <c r="D236" s="3">
        <f>Levy!F236</f>
        <v>0</v>
      </c>
      <c r="E236" s="3">
        <f>Levy!G236</f>
        <v>78863</v>
      </c>
      <c r="F236" s="3">
        <f>Levy!H236</f>
        <v>0</v>
      </c>
      <c r="G236" s="3">
        <f>Levy!I236</f>
        <v>171169</v>
      </c>
      <c r="H236" s="3">
        <f>Levy!J236</f>
        <v>35767</v>
      </c>
      <c r="I236" s="176">
        <v>0</v>
      </c>
      <c r="J236" s="177">
        <v>16000</v>
      </c>
      <c r="K236" s="177">
        <v>11665.08</v>
      </c>
      <c r="L236" s="177">
        <v>0</v>
      </c>
      <c r="M236" s="175">
        <v>0</v>
      </c>
      <c r="N236" s="175">
        <v>0</v>
      </c>
      <c r="O236" s="175">
        <v>0</v>
      </c>
      <c r="P236" s="177">
        <v>22560.5</v>
      </c>
      <c r="Q236" s="177">
        <v>0</v>
      </c>
      <c r="R236" s="177">
        <v>0</v>
      </c>
      <c r="S236" s="177">
        <v>0</v>
      </c>
      <c r="T236" s="175">
        <v>0</v>
      </c>
      <c r="U236" s="175">
        <v>0</v>
      </c>
      <c r="V236" s="178">
        <v>0</v>
      </c>
      <c r="W236" s="178">
        <v>0</v>
      </c>
      <c r="X236" s="3">
        <v>2287.08</v>
      </c>
      <c r="Y236" s="161">
        <v>82496.66</v>
      </c>
      <c r="Z236" s="3">
        <f t="shared" si="13"/>
        <v>50225.58</v>
      </c>
      <c r="AA236" s="3">
        <f t="shared" si="14"/>
        <v>197519.34</v>
      </c>
      <c r="AB236" s="3">
        <f t="shared" si="16"/>
        <v>35767</v>
      </c>
      <c r="AC236" s="3">
        <f>ROUND(MAX(0,(D236-V236)*Shift11!$B$3),2)</f>
        <v>0</v>
      </c>
      <c r="AD236" s="3">
        <f t="shared" si="15"/>
        <v>82496.66</v>
      </c>
    </row>
    <row r="237" spans="1:30" x14ac:dyDescent="0.2">
      <c r="A237" s="18">
        <v>768</v>
      </c>
      <c r="B237" s="18">
        <v>1</v>
      </c>
      <c r="C237" s="3" t="s">
        <v>233</v>
      </c>
      <c r="D237" s="3">
        <f>Levy!F237</f>
        <v>150573.19</v>
      </c>
      <c r="E237" s="3">
        <f>Levy!G237</f>
        <v>18293.93</v>
      </c>
      <c r="F237" s="3">
        <f>Levy!H237</f>
        <v>0</v>
      </c>
      <c r="G237" s="3">
        <f>Levy!I237</f>
        <v>86028.63</v>
      </c>
      <c r="H237" s="3">
        <f>Levy!J237</f>
        <v>14952.54</v>
      </c>
      <c r="I237" s="176">
        <v>0</v>
      </c>
      <c r="J237" s="177">
        <v>7000</v>
      </c>
      <c r="K237" s="177">
        <v>11665.08</v>
      </c>
      <c r="L237" s="177">
        <v>0</v>
      </c>
      <c r="M237" s="175">
        <v>0</v>
      </c>
      <c r="N237" s="175">
        <v>0</v>
      </c>
      <c r="O237" s="175">
        <v>0</v>
      </c>
      <c r="P237" s="177">
        <v>1072.3599999999999</v>
      </c>
      <c r="Q237" s="177">
        <v>0</v>
      </c>
      <c r="R237" s="177">
        <v>0</v>
      </c>
      <c r="S237" s="177">
        <v>0</v>
      </c>
      <c r="T237" s="175">
        <v>0</v>
      </c>
      <c r="U237" s="175">
        <v>0</v>
      </c>
      <c r="V237" s="178">
        <v>0</v>
      </c>
      <c r="W237" s="178">
        <v>0</v>
      </c>
      <c r="X237" s="3">
        <v>0</v>
      </c>
      <c r="Y237" s="161">
        <v>16918.64</v>
      </c>
      <c r="Z237" s="3">
        <f t="shared" si="13"/>
        <v>19737.440000000002</v>
      </c>
      <c r="AA237" s="3">
        <f t="shared" si="14"/>
        <v>84585.12</v>
      </c>
      <c r="AB237" s="3">
        <f t="shared" si="16"/>
        <v>14952.54</v>
      </c>
      <c r="AC237" s="3">
        <f>ROUND(MAX(0,(D237-V237)*Shift11!$B$3),2)</f>
        <v>73178.570000000007</v>
      </c>
      <c r="AD237" s="3">
        <f t="shared" si="15"/>
        <v>73178.570000000007</v>
      </c>
    </row>
    <row r="238" spans="1:30" x14ac:dyDescent="0.2">
      <c r="A238" s="18">
        <v>769</v>
      </c>
      <c r="B238" s="18">
        <v>1</v>
      </c>
      <c r="C238" s="3" t="s">
        <v>234</v>
      </c>
      <c r="D238" s="3">
        <f>Levy!F238</f>
        <v>643278.04</v>
      </c>
      <c r="E238" s="3">
        <f>Levy!G238</f>
        <v>77584</v>
      </c>
      <c r="F238" s="3">
        <f>Levy!H238</f>
        <v>0</v>
      </c>
      <c r="G238" s="3">
        <f>Levy!I238</f>
        <v>275760.71000000002</v>
      </c>
      <c r="H238" s="3">
        <f>Levy!J238</f>
        <v>92380.66</v>
      </c>
      <c r="I238" s="176">
        <v>0</v>
      </c>
      <c r="J238" s="177">
        <v>5000</v>
      </c>
      <c r="K238" s="177">
        <v>22311.09</v>
      </c>
      <c r="L238" s="177">
        <v>0</v>
      </c>
      <c r="M238" s="175">
        <v>0</v>
      </c>
      <c r="N238" s="175">
        <v>0</v>
      </c>
      <c r="O238" s="175">
        <v>0</v>
      </c>
      <c r="P238" s="177">
        <v>2485.7800000000002</v>
      </c>
      <c r="Q238" s="177">
        <v>0</v>
      </c>
      <c r="R238" s="177">
        <v>-313.60000000000002</v>
      </c>
      <c r="S238" s="177">
        <v>0</v>
      </c>
      <c r="T238" s="175">
        <v>0</v>
      </c>
      <c r="U238" s="175">
        <v>0</v>
      </c>
      <c r="V238" s="178">
        <v>0</v>
      </c>
      <c r="W238" s="178">
        <v>0</v>
      </c>
      <c r="X238" s="3">
        <v>0</v>
      </c>
      <c r="Y238" s="161">
        <v>161645.93</v>
      </c>
      <c r="Z238" s="3">
        <f t="shared" si="13"/>
        <v>29483.27</v>
      </c>
      <c r="AA238" s="3">
        <f t="shared" si="14"/>
        <v>323861.44</v>
      </c>
      <c r="AB238" s="3">
        <f t="shared" si="16"/>
        <v>92380.66</v>
      </c>
      <c r="AC238" s="3">
        <f>ROUND(MAX(0,(D238-V238)*Shift11!$B$3),2)</f>
        <v>312633.13</v>
      </c>
      <c r="AD238" s="3">
        <f t="shared" si="15"/>
        <v>312633.13</v>
      </c>
    </row>
    <row r="239" spans="1:30" x14ac:dyDescent="0.2">
      <c r="A239" s="18">
        <v>771</v>
      </c>
      <c r="B239" s="18">
        <v>1</v>
      </c>
      <c r="C239" s="3" t="s">
        <v>235</v>
      </c>
      <c r="D239" s="3">
        <f>Levy!F239</f>
        <v>389288.53</v>
      </c>
      <c r="E239" s="3">
        <f>Levy!G239</f>
        <v>4207.7299999999996</v>
      </c>
      <c r="F239" s="3">
        <f>Levy!H239</f>
        <v>0</v>
      </c>
      <c r="G239" s="3">
        <f>Levy!I239</f>
        <v>82103.899999999994</v>
      </c>
      <c r="H239" s="3">
        <f>Levy!J239</f>
        <v>22478.35</v>
      </c>
      <c r="I239" s="176">
        <v>0</v>
      </c>
      <c r="J239" s="177">
        <v>5000</v>
      </c>
      <c r="K239" s="177">
        <v>11665.08</v>
      </c>
      <c r="L239" s="177">
        <v>0</v>
      </c>
      <c r="M239" s="175">
        <v>0</v>
      </c>
      <c r="N239" s="175">
        <v>0</v>
      </c>
      <c r="O239" s="175">
        <v>0</v>
      </c>
      <c r="P239" s="177">
        <v>-3013.94</v>
      </c>
      <c r="Q239" s="177">
        <v>0</v>
      </c>
      <c r="R239" s="177">
        <v>0</v>
      </c>
      <c r="S239" s="177">
        <v>0</v>
      </c>
      <c r="T239" s="175">
        <v>0</v>
      </c>
      <c r="U239" s="175">
        <v>0</v>
      </c>
      <c r="V239" s="178">
        <v>0</v>
      </c>
      <c r="W239" s="178">
        <v>0</v>
      </c>
      <c r="X239" s="3">
        <v>0</v>
      </c>
      <c r="Y239" s="161">
        <v>91489.25</v>
      </c>
      <c r="Z239" s="3">
        <f t="shared" si="13"/>
        <v>13651.140000000001</v>
      </c>
      <c r="AA239" s="3">
        <f t="shared" si="14"/>
        <v>72660.490000000005</v>
      </c>
      <c r="AB239" s="3">
        <f t="shared" si="16"/>
        <v>22478.35</v>
      </c>
      <c r="AC239" s="3">
        <f>ROUND(MAX(0,(D239-V239)*Shift11!$B$3),2)</f>
        <v>189194.23</v>
      </c>
      <c r="AD239" s="3">
        <f t="shared" si="15"/>
        <v>189194.23</v>
      </c>
    </row>
    <row r="240" spans="1:30" x14ac:dyDescent="0.2">
      <c r="A240" s="18">
        <v>775</v>
      </c>
      <c r="B240" s="18">
        <v>1</v>
      </c>
      <c r="C240" s="3" t="s">
        <v>236</v>
      </c>
      <c r="D240" s="3">
        <f>Levy!F240</f>
        <v>232089.46</v>
      </c>
      <c r="E240" s="3">
        <f>Levy!G240</f>
        <v>38355.68</v>
      </c>
      <c r="F240" s="3">
        <f>Levy!H240</f>
        <v>0</v>
      </c>
      <c r="G240" s="3">
        <f>Levy!I240</f>
        <v>303582.45</v>
      </c>
      <c r="H240" s="3">
        <f>Levy!J240</f>
        <v>39356.400000000001</v>
      </c>
      <c r="I240" s="176">
        <v>0</v>
      </c>
      <c r="J240" s="177">
        <v>11420</v>
      </c>
      <c r="K240" s="177">
        <v>14308.85</v>
      </c>
      <c r="L240" s="177">
        <v>0</v>
      </c>
      <c r="M240" s="175">
        <v>0</v>
      </c>
      <c r="N240" s="175">
        <v>0</v>
      </c>
      <c r="O240" s="175">
        <v>0</v>
      </c>
      <c r="P240" s="177">
        <v>-188.44</v>
      </c>
      <c r="Q240" s="177">
        <v>0</v>
      </c>
      <c r="R240" s="177">
        <v>286.39999999999998</v>
      </c>
      <c r="S240" s="177">
        <v>0</v>
      </c>
      <c r="T240" s="175">
        <v>0</v>
      </c>
      <c r="U240" s="175">
        <v>0</v>
      </c>
      <c r="V240" s="178">
        <v>0</v>
      </c>
      <c r="W240" s="178">
        <v>0</v>
      </c>
      <c r="X240" s="3">
        <v>2763.8</v>
      </c>
      <c r="Y240" s="161">
        <v>70853.63</v>
      </c>
      <c r="Z240" s="3">
        <f t="shared" si="13"/>
        <v>25826.81</v>
      </c>
      <c r="AA240" s="3">
        <f t="shared" si="14"/>
        <v>313347.52</v>
      </c>
      <c r="AB240" s="3">
        <f t="shared" si="16"/>
        <v>39356.400000000001</v>
      </c>
      <c r="AC240" s="3">
        <f>ROUND(MAX(0,(D240-V240)*Shift11!$B$3),2)</f>
        <v>112795.48</v>
      </c>
      <c r="AD240" s="3">
        <f t="shared" si="15"/>
        <v>112795.48</v>
      </c>
    </row>
    <row r="241" spans="1:30" x14ac:dyDescent="0.2">
      <c r="A241" s="18">
        <v>777</v>
      </c>
      <c r="B241" s="18">
        <v>1</v>
      </c>
      <c r="C241" s="3" t="s">
        <v>237</v>
      </c>
      <c r="D241" s="3">
        <f>Levy!F241</f>
        <v>417094.41</v>
      </c>
      <c r="E241" s="3">
        <f>Levy!G241</f>
        <v>63965.32</v>
      </c>
      <c r="F241" s="3">
        <f>Levy!H241</f>
        <v>0</v>
      </c>
      <c r="G241" s="3">
        <f>Levy!I241</f>
        <v>400033.3</v>
      </c>
      <c r="H241" s="3">
        <f>Levy!J241</f>
        <v>65195.72</v>
      </c>
      <c r="I241" s="176">
        <v>0</v>
      </c>
      <c r="J241" s="177">
        <v>4804.2299999999996</v>
      </c>
      <c r="K241" s="177">
        <v>32663.4</v>
      </c>
      <c r="L241" s="177">
        <v>0</v>
      </c>
      <c r="M241" s="175">
        <v>0</v>
      </c>
      <c r="N241" s="175">
        <v>0</v>
      </c>
      <c r="O241" s="175">
        <v>0</v>
      </c>
      <c r="P241" s="177">
        <v>2262.9499999999998</v>
      </c>
      <c r="Q241" s="177">
        <v>0</v>
      </c>
      <c r="R241" s="177">
        <v>0</v>
      </c>
      <c r="S241" s="177">
        <v>0</v>
      </c>
      <c r="T241" s="175">
        <v>0</v>
      </c>
      <c r="U241" s="175">
        <v>0</v>
      </c>
      <c r="V241" s="178">
        <v>0</v>
      </c>
      <c r="W241" s="178">
        <v>0</v>
      </c>
      <c r="X241" s="3">
        <v>0</v>
      </c>
      <c r="Y241" s="161">
        <v>57663.73</v>
      </c>
      <c r="Z241" s="3">
        <f t="shared" si="13"/>
        <v>39730.58</v>
      </c>
      <c r="AA241" s="3">
        <f t="shared" si="14"/>
        <v>424268.04</v>
      </c>
      <c r="AB241" s="3">
        <f t="shared" si="16"/>
        <v>65195.72</v>
      </c>
      <c r="AC241" s="3">
        <f>ROUND(MAX(0,(D241-V241)*Shift11!$B$3),2)</f>
        <v>202707.88</v>
      </c>
      <c r="AD241" s="3">
        <f t="shared" si="15"/>
        <v>202707.88</v>
      </c>
    </row>
    <row r="242" spans="1:30" x14ac:dyDescent="0.2">
      <c r="A242" s="18">
        <v>786</v>
      </c>
      <c r="B242" s="18">
        <v>1</v>
      </c>
      <c r="C242" s="3" t="s">
        <v>238</v>
      </c>
      <c r="D242" s="3">
        <f>Levy!F242</f>
        <v>112999</v>
      </c>
      <c r="E242" s="3">
        <f>Levy!G242</f>
        <v>19125</v>
      </c>
      <c r="F242" s="3">
        <f>Levy!H242</f>
        <v>0</v>
      </c>
      <c r="G242" s="3">
        <f>Levy!I242</f>
        <v>121455</v>
      </c>
      <c r="H242" s="3">
        <f>Levy!J242</f>
        <v>22715</v>
      </c>
      <c r="I242" s="176">
        <v>0</v>
      </c>
      <c r="J242" s="177">
        <v>13000</v>
      </c>
      <c r="K242" s="177">
        <v>12826.05</v>
      </c>
      <c r="L242" s="177">
        <v>0</v>
      </c>
      <c r="M242" s="175">
        <v>0</v>
      </c>
      <c r="N242" s="175">
        <v>0</v>
      </c>
      <c r="O242" s="175">
        <v>0</v>
      </c>
      <c r="P242" s="177">
        <v>823.76</v>
      </c>
      <c r="Q242" s="177">
        <v>-4721.28</v>
      </c>
      <c r="R242" s="177">
        <v>0</v>
      </c>
      <c r="S242" s="177">
        <v>0</v>
      </c>
      <c r="T242" s="175">
        <v>0</v>
      </c>
      <c r="U242" s="175">
        <v>0</v>
      </c>
      <c r="V242" s="178">
        <v>0</v>
      </c>
      <c r="W242" s="178">
        <v>0</v>
      </c>
      <c r="X242" s="3">
        <v>0</v>
      </c>
      <c r="Y242" s="161">
        <v>9085.75</v>
      </c>
      <c r="Z242" s="3">
        <f t="shared" si="13"/>
        <v>21928.53</v>
      </c>
      <c r="AA242" s="3">
        <f t="shared" si="14"/>
        <v>118651.47</v>
      </c>
      <c r="AB242" s="3">
        <f t="shared" si="16"/>
        <v>22715</v>
      </c>
      <c r="AC242" s="3">
        <f>ROUND(MAX(0,(D242-V242)*Shift11!$B$3),2)</f>
        <v>54917.51</v>
      </c>
      <c r="AD242" s="3">
        <f t="shared" si="15"/>
        <v>54917.51</v>
      </c>
    </row>
    <row r="243" spans="1:30" x14ac:dyDescent="0.2">
      <c r="A243" s="18">
        <v>787</v>
      </c>
      <c r="B243" s="18">
        <v>1</v>
      </c>
      <c r="C243" s="3" t="s">
        <v>239</v>
      </c>
      <c r="D243" s="3">
        <f>Levy!F243</f>
        <v>26700</v>
      </c>
      <c r="E243" s="3">
        <f>Levy!G243</f>
        <v>47330</v>
      </c>
      <c r="F243" s="3">
        <f>Levy!H243</f>
        <v>0</v>
      </c>
      <c r="G243" s="3">
        <f>Levy!I243</f>
        <v>119669</v>
      </c>
      <c r="H243" s="3">
        <f>Levy!J243</f>
        <v>5801</v>
      </c>
      <c r="I243" s="176">
        <v>0</v>
      </c>
      <c r="J243" s="177">
        <v>0</v>
      </c>
      <c r="K243" s="177">
        <v>25153.81</v>
      </c>
      <c r="L243" s="177">
        <v>0</v>
      </c>
      <c r="M243" s="175">
        <v>0</v>
      </c>
      <c r="N243" s="175">
        <v>0</v>
      </c>
      <c r="O243" s="175">
        <v>0</v>
      </c>
      <c r="P243" s="177">
        <v>0</v>
      </c>
      <c r="Q243" s="177">
        <v>0</v>
      </c>
      <c r="R243" s="177">
        <v>0</v>
      </c>
      <c r="S243" s="177">
        <v>0</v>
      </c>
      <c r="T243" s="175">
        <v>0</v>
      </c>
      <c r="U243" s="175">
        <v>0</v>
      </c>
      <c r="V243" s="178">
        <v>0</v>
      </c>
      <c r="W243" s="178">
        <v>0</v>
      </c>
      <c r="X243" s="3">
        <v>0</v>
      </c>
      <c r="Y243" s="161">
        <v>16243.15</v>
      </c>
      <c r="Z243" s="3">
        <f t="shared" si="13"/>
        <v>25153.81</v>
      </c>
      <c r="AA243" s="3">
        <f t="shared" si="14"/>
        <v>141845.19</v>
      </c>
      <c r="AB243" s="3">
        <f t="shared" si="16"/>
        <v>5801</v>
      </c>
      <c r="AC243" s="3">
        <f>ROUND(MAX(0,(D243-V243)*Shift11!$B$3),2)</f>
        <v>12976.2</v>
      </c>
      <c r="AD243" s="3">
        <f t="shared" si="15"/>
        <v>16243.15</v>
      </c>
    </row>
    <row r="244" spans="1:30" x14ac:dyDescent="0.2">
      <c r="A244" s="18">
        <v>801</v>
      </c>
      <c r="B244" s="18">
        <v>1</v>
      </c>
      <c r="C244" s="3" t="s">
        <v>240</v>
      </c>
      <c r="D244" s="3">
        <f>Levy!F244</f>
        <v>78218.11</v>
      </c>
      <c r="E244" s="3">
        <f>Levy!G244</f>
        <v>2939.84</v>
      </c>
      <c r="F244" s="3">
        <f>Levy!H244</f>
        <v>0</v>
      </c>
      <c r="G244" s="3">
        <f>Levy!I244</f>
        <v>48680.76</v>
      </c>
      <c r="H244" s="3">
        <f>Levy!J244</f>
        <v>12789.61</v>
      </c>
      <c r="I244" s="176">
        <v>0</v>
      </c>
      <c r="J244" s="177">
        <v>0</v>
      </c>
      <c r="K244" s="177">
        <v>0</v>
      </c>
      <c r="L244" s="177">
        <v>0</v>
      </c>
      <c r="M244" s="175">
        <v>0</v>
      </c>
      <c r="N244" s="175">
        <v>0</v>
      </c>
      <c r="O244" s="175">
        <v>0</v>
      </c>
      <c r="P244" s="177">
        <v>79.56</v>
      </c>
      <c r="Q244" s="177">
        <v>-79.56</v>
      </c>
      <c r="R244" s="177">
        <v>0</v>
      </c>
      <c r="S244" s="177">
        <v>0</v>
      </c>
      <c r="T244" s="175">
        <v>0</v>
      </c>
      <c r="U244" s="175">
        <v>0</v>
      </c>
      <c r="V244" s="178">
        <v>0</v>
      </c>
      <c r="W244" s="178">
        <v>0</v>
      </c>
      <c r="X244" s="3">
        <v>1041.8699999999999</v>
      </c>
      <c r="Y244" s="161">
        <v>38455.82</v>
      </c>
      <c r="Z244" s="3">
        <f t="shared" si="13"/>
        <v>0</v>
      </c>
      <c r="AA244" s="3">
        <f t="shared" si="14"/>
        <v>50578.73</v>
      </c>
      <c r="AB244" s="3">
        <f t="shared" si="16"/>
        <v>12789.61</v>
      </c>
      <c r="AC244" s="3">
        <f>ROUND(MAX(0,(D244-V244)*Shift11!$B$3),2)</f>
        <v>38014</v>
      </c>
      <c r="AD244" s="3">
        <f t="shared" si="15"/>
        <v>38455.82</v>
      </c>
    </row>
    <row r="245" spans="1:30" x14ac:dyDescent="0.2">
      <c r="A245" s="18">
        <v>803</v>
      </c>
      <c r="B245" s="18">
        <v>1</v>
      </c>
      <c r="C245" s="3" t="s">
        <v>241</v>
      </c>
      <c r="D245" s="3">
        <f>Levy!F245</f>
        <v>417450.9</v>
      </c>
      <c r="E245" s="3">
        <f>Levy!G245</f>
        <v>17346.990000000002</v>
      </c>
      <c r="F245" s="3">
        <f>Levy!H245</f>
        <v>0</v>
      </c>
      <c r="G245" s="3">
        <f>Levy!I245</f>
        <v>199878.66</v>
      </c>
      <c r="H245" s="3">
        <f>Levy!J245</f>
        <v>29923.01</v>
      </c>
      <c r="I245" s="176">
        <v>0</v>
      </c>
      <c r="J245" s="177">
        <v>3000</v>
      </c>
      <c r="K245" s="177">
        <v>11665.08</v>
      </c>
      <c r="L245" s="177">
        <v>0</v>
      </c>
      <c r="M245" s="175">
        <v>0</v>
      </c>
      <c r="N245" s="175">
        <v>0</v>
      </c>
      <c r="O245" s="175">
        <v>0</v>
      </c>
      <c r="P245" s="177">
        <v>-1000</v>
      </c>
      <c r="Q245" s="177">
        <v>0</v>
      </c>
      <c r="R245" s="177">
        <v>0</v>
      </c>
      <c r="S245" s="177">
        <v>0</v>
      </c>
      <c r="T245" s="175">
        <v>0</v>
      </c>
      <c r="U245" s="175">
        <v>0</v>
      </c>
      <c r="V245" s="178">
        <v>0</v>
      </c>
      <c r="W245" s="178">
        <v>0</v>
      </c>
      <c r="X245" s="3">
        <v>0</v>
      </c>
      <c r="Y245" s="161">
        <v>87665.33</v>
      </c>
      <c r="Z245" s="3">
        <f t="shared" si="13"/>
        <v>13665.08</v>
      </c>
      <c r="AA245" s="3">
        <f t="shared" si="14"/>
        <v>203560.57</v>
      </c>
      <c r="AB245" s="3">
        <f t="shared" si="16"/>
        <v>29923.01</v>
      </c>
      <c r="AC245" s="3">
        <f>ROUND(MAX(0,(D245-V245)*Shift11!$B$3),2)</f>
        <v>202881.14</v>
      </c>
      <c r="AD245" s="3">
        <f t="shared" si="15"/>
        <v>202881.14</v>
      </c>
    </row>
    <row r="246" spans="1:30" x14ac:dyDescent="0.2">
      <c r="A246" s="18">
        <v>811</v>
      </c>
      <c r="B246" s="18">
        <v>1</v>
      </c>
      <c r="C246" s="3" t="s">
        <v>242</v>
      </c>
      <c r="D246" s="3">
        <f>Levy!F246</f>
        <v>686360</v>
      </c>
      <c r="E246" s="3">
        <f>Levy!G246</f>
        <v>61654</v>
      </c>
      <c r="F246" s="3">
        <f>Levy!H246</f>
        <v>0</v>
      </c>
      <c r="G246" s="3">
        <f>Levy!I246</f>
        <v>152335</v>
      </c>
      <c r="H246" s="3">
        <f>Levy!J246</f>
        <v>71149</v>
      </c>
      <c r="I246" s="176">
        <v>0</v>
      </c>
      <c r="J246" s="177">
        <v>3287</v>
      </c>
      <c r="K246" s="177">
        <v>19744.14</v>
      </c>
      <c r="L246" s="177">
        <v>0</v>
      </c>
      <c r="M246" s="175">
        <v>0</v>
      </c>
      <c r="N246" s="175">
        <v>0</v>
      </c>
      <c r="O246" s="175">
        <v>0</v>
      </c>
      <c r="P246" s="177">
        <v>-129.19999999999999</v>
      </c>
      <c r="Q246" s="177">
        <v>0</v>
      </c>
      <c r="R246" s="177">
        <v>0</v>
      </c>
      <c r="S246" s="177">
        <v>0</v>
      </c>
      <c r="T246" s="175">
        <v>0</v>
      </c>
      <c r="U246" s="175">
        <v>0</v>
      </c>
      <c r="V246" s="178">
        <v>0</v>
      </c>
      <c r="W246" s="178">
        <v>0</v>
      </c>
      <c r="X246" s="3">
        <v>0</v>
      </c>
      <c r="Y246" s="161">
        <v>59013.4</v>
      </c>
      <c r="Z246" s="3">
        <f t="shared" si="13"/>
        <v>22901.94</v>
      </c>
      <c r="AA246" s="3">
        <f t="shared" si="14"/>
        <v>191087.06</v>
      </c>
      <c r="AB246" s="3">
        <f t="shared" si="16"/>
        <v>71149</v>
      </c>
      <c r="AC246" s="3">
        <f>ROUND(MAX(0,(D246-V246)*Shift11!$B$3),2)</f>
        <v>333570.96000000002</v>
      </c>
      <c r="AD246" s="3">
        <f t="shared" si="15"/>
        <v>333570.96000000002</v>
      </c>
    </row>
    <row r="247" spans="1:30" x14ac:dyDescent="0.2">
      <c r="A247" s="18">
        <v>813</v>
      </c>
      <c r="B247" s="18">
        <v>1</v>
      </c>
      <c r="C247" s="3" t="s">
        <v>243</v>
      </c>
      <c r="D247" s="3">
        <f>Levy!F247</f>
        <v>1209116</v>
      </c>
      <c r="E247" s="3">
        <f>Levy!G247</f>
        <v>140193</v>
      </c>
      <c r="F247" s="3">
        <f>Levy!H247</f>
        <v>0</v>
      </c>
      <c r="G247" s="3">
        <f>Levy!I247</f>
        <v>425803</v>
      </c>
      <c r="H247" s="3">
        <f>Levy!J247</f>
        <v>114178</v>
      </c>
      <c r="I247" s="176">
        <v>0</v>
      </c>
      <c r="J247" s="177">
        <v>18260</v>
      </c>
      <c r="K247" s="177">
        <v>30247.439999999999</v>
      </c>
      <c r="L247" s="177">
        <v>0</v>
      </c>
      <c r="M247" s="175">
        <v>0</v>
      </c>
      <c r="N247" s="175">
        <v>0</v>
      </c>
      <c r="O247" s="175">
        <v>0</v>
      </c>
      <c r="P247" s="177">
        <v>14875.79</v>
      </c>
      <c r="Q247" s="177">
        <v>0</v>
      </c>
      <c r="R247" s="177">
        <v>0</v>
      </c>
      <c r="S247" s="177">
        <v>0</v>
      </c>
      <c r="T247" s="175">
        <v>0</v>
      </c>
      <c r="U247" s="175">
        <v>0</v>
      </c>
      <c r="V247" s="178">
        <v>0</v>
      </c>
      <c r="W247" s="178">
        <v>0</v>
      </c>
      <c r="X247" s="3">
        <v>0</v>
      </c>
      <c r="Y247" s="161">
        <v>0</v>
      </c>
      <c r="Z247" s="3">
        <f t="shared" si="13"/>
        <v>63383.23</v>
      </c>
      <c r="AA247" s="3">
        <f t="shared" si="14"/>
        <v>502612.77</v>
      </c>
      <c r="AB247" s="3">
        <f t="shared" si="16"/>
        <v>114178</v>
      </c>
      <c r="AC247" s="3">
        <f>ROUND(MAX(0,(D247-V247)*Shift11!$B$3),2)</f>
        <v>587630.38</v>
      </c>
      <c r="AD247" s="3">
        <f t="shared" si="15"/>
        <v>587630.38</v>
      </c>
    </row>
    <row r="248" spans="1:30" x14ac:dyDescent="0.2">
      <c r="A248" s="18">
        <v>815</v>
      </c>
      <c r="B248" s="18">
        <v>2</v>
      </c>
      <c r="C248" s="3" t="s">
        <v>244</v>
      </c>
      <c r="D248" s="3">
        <f>Levy!F248</f>
        <v>19388.240000000002</v>
      </c>
      <c r="E248" s="3">
        <f>Levy!G248</f>
        <v>2767.75</v>
      </c>
      <c r="F248" s="3">
        <f>Levy!H248</f>
        <v>35000</v>
      </c>
      <c r="G248" s="3">
        <f>Levy!I248</f>
        <v>0</v>
      </c>
      <c r="H248" s="3">
        <f>Levy!J248</f>
        <v>0</v>
      </c>
      <c r="I248" s="176">
        <v>0</v>
      </c>
      <c r="J248" s="177">
        <v>0</v>
      </c>
      <c r="K248" s="177">
        <v>0</v>
      </c>
      <c r="L248" s="177">
        <v>0</v>
      </c>
      <c r="M248" s="175">
        <v>0</v>
      </c>
      <c r="N248" s="175">
        <v>0</v>
      </c>
      <c r="O248" s="175">
        <v>0</v>
      </c>
      <c r="P248" s="177">
        <v>0</v>
      </c>
      <c r="Q248" s="177">
        <v>0</v>
      </c>
      <c r="R248" s="177">
        <v>0</v>
      </c>
      <c r="S248" s="177">
        <v>0</v>
      </c>
      <c r="T248" s="175">
        <v>0</v>
      </c>
      <c r="U248" s="175">
        <v>0</v>
      </c>
      <c r="V248" s="178">
        <v>15000</v>
      </c>
      <c r="W248" s="178">
        <v>35000</v>
      </c>
      <c r="X248" s="3">
        <v>0</v>
      </c>
      <c r="Y248" s="161">
        <v>0</v>
      </c>
      <c r="Z248" s="3">
        <f t="shared" si="13"/>
        <v>0</v>
      </c>
      <c r="AA248" s="3">
        <f t="shared" si="14"/>
        <v>2767.75</v>
      </c>
      <c r="AB248" s="3">
        <f t="shared" si="16"/>
        <v>0</v>
      </c>
      <c r="AC248" s="3">
        <f>ROUND(MAX(0,(D248-V248)*Shift11!$B$3),2)</f>
        <v>2132.6799999999998</v>
      </c>
      <c r="AD248" s="3">
        <f t="shared" si="15"/>
        <v>2132.6799999999998</v>
      </c>
    </row>
    <row r="249" spans="1:30" x14ac:dyDescent="0.2">
      <c r="A249" s="18">
        <v>818</v>
      </c>
      <c r="B249" s="18">
        <v>1</v>
      </c>
      <c r="C249" s="3" t="s">
        <v>245</v>
      </c>
      <c r="D249" s="3">
        <f>Levy!F249</f>
        <v>0</v>
      </c>
      <c r="E249" s="3">
        <f>Levy!G249</f>
        <v>22592</v>
      </c>
      <c r="F249" s="3">
        <f>Levy!H249</f>
        <v>0</v>
      </c>
      <c r="G249" s="3">
        <f>Levy!I249</f>
        <v>121663</v>
      </c>
      <c r="H249" s="3">
        <f>Levy!J249</f>
        <v>17047</v>
      </c>
      <c r="I249" s="176">
        <v>0</v>
      </c>
      <c r="J249" s="177">
        <v>684</v>
      </c>
      <c r="K249" s="177">
        <v>11665.08</v>
      </c>
      <c r="L249" s="177">
        <v>0</v>
      </c>
      <c r="M249" s="175">
        <v>0</v>
      </c>
      <c r="N249" s="175">
        <v>0</v>
      </c>
      <c r="O249" s="175">
        <v>0</v>
      </c>
      <c r="P249" s="177">
        <v>270.14</v>
      </c>
      <c r="Q249" s="177">
        <v>0</v>
      </c>
      <c r="R249" s="177">
        <v>-1244.8399999999999</v>
      </c>
      <c r="S249" s="177">
        <v>0</v>
      </c>
      <c r="T249" s="175">
        <v>0</v>
      </c>
      <c r="U249" s="175">
        <v>0</v>
      </c>
      <c r="V249" s="178">
        <v>0</v>
      </c>
      <c r="W249" s="178">
        <v>0</v>
      </c>
      <c r="X249" s="3">
        <v>0</v>
      </c>
      <c r="Y249" s="161">
        <v>10032.65</v>
      </c>
      <c r="Z249" s="3">
        <f t="shared" si="13"/>
        <v>11374.38</v>
      </c>
      <c r="AA249" s="3">
        <f t="shared" si="14"/>
        <v>132880.62</v>
      </c>
      <c r="AB249" s="3">
        <f t="shared" si="16"/>
        <v>17047</v>
      </c>
      <c r="AC249" s="3">
        <f>ROUND(MAX(0,(D249-V249)*Shift11!$B$3),2)</f>
        <v>0</v>
      </c>
      <c r="AD249" s="3">
        <f t="shared" si="15"/>
        <v>10032.65</v>
      </c>
    </row>
    <row r="250" spans="1:30" x14ac:dyDescent="0.2">
      <c r="A250" s="18">
        <v>820</v>
      </c>
      <c r="B250" s="18">
        <v>1</v>
      </c>
      <c r="C250" s="3" t="s">
        <v>246</v>
      </c>
      <c r="D250" s="3">
        <f>Levy!F250</f>
        <v>212566</v>
      </c>
      <c r="E250" s="3">
        <f>Levy!G250</f>
        <v>29361</v>
      </c>
      <c r="F250" s="3">
        <f>Levy!H250</f>
        <v>0</v>
      </c>
      <c r="G250" s="3">
        <f>Levy!I250</f>
        <v>167401</v>
      </c>
      <c r="H250" s="3">
        <f>Levy!J250</f>
        <v>34783</v>
      </c>
      <c r="I250" s="176">
        <v>0</v>
      </c>
      <c r="J250" s="177">
        <v>11160</v>
      </c>
      <c r="K250" s="177">
        <v>24486</v>
      </c>
      <c r="L250" s="177">
        <v>0</v>
      </c>
      <c r="M250" s="175">
        <v>0</v>
      </c>
      <c r="N250" s="175">
        <v>0</v>
      </c>
      <c r="O250" s="175">
        <v>0</v>
      </c>
      <c r="P250" s="177">
        <v>867.59</v>
      </c>
      <c r="Q250" s="177">
        <v>-12027.59</v>
      </c>
      <c r="R250" s="177">
        <v>0</v>
      </c>
      <c r="S250" s="177">
        <v>0</v>
      </c>
      <c r="T250" s="175">
        <v>0</v>
      </c>
      <c r="U250" s="175">
        <v>0</v>
      </c>
      <c r="V250" s="178">
        <v>0</v>
      </c>
      <c r="W250" s="178">
        <v>0</v>
      </c>
      <c r="X250" s="3">
        <v>0</v>
      </c>
      <c r="Y250" s="161">
        <v>16184.54</v>
      </c>
      <c r="Z250" s="3">
        <f t="shared" si="13"/>
        <v>24485.999999999996</v>
      </c>
      <c r="AA250" s="3">
        <f t="shared" si="14"/>
        <v>172276</v>
      </c>
      <c r="AB250" s="3">
        <f t="shared" si="16"/>
        <v>34783</v>
      </c>
      <c r="AC250" s="3">
        <f>ROUND(MAX(0,(D250-V250)*Shift11!$B$3),2)</f>
        <v>103307.08</v>
      </c>
      <c r="AD250" s="3">
        <f t="shared" si="15"/>
        <v>103307.08</v>
      </c>
    </row>
    <row r="251" spans="1:30" x14ac:dyDescent="0.2">
      <c r="A251" s="18">
        <v>821</v>
      </c>
      <c r="B251" s="18">
        <v>1</v>
      </c>
      <c r="C251" s="3" t="s">
        <v>247</v>
      </c>
      <c r="D251" s="3">
        <f>Levy!F251</f>
        <v>0</v>
      </c>
      <c r="E251" s="3">
        <f>Levy!G251</f>
        <v>66632</v>
      </c>
      <c r="F251" s="3">
        <f>Levy!H251</f>
        <v>0</v>
      </c>
      <c r="G251" s="3">
        <f>Levy!I251</f>
        <v>261652</v>
      </c>
      <c r="H251" s="3">
        <f>Levy!J251</f>
        <v>43423</v>
      </c>
      <c r="I251" s="176">
        <v>0</v>
      </c>
      <c r="J251" s="177">
        <v>12309.89</v>
      </c>
      <c r="K251" s="177">
        <v>16749.75</v>
      </c>
      <c r="L251" s="177">
        <v>0</v>
      </c>
      <c r="M251" s="175">
        <v>0</v>
      </c>
      <c r="N251" s="175">
        <v>0</v>
      </c>
      <c r="O251" s="175">
        <v>0</v>
      </c>
      <c r="P251" s="177">
        <v>728.92</v>
      </c>
      <c r="Q251" s="177">
        <v>0</v>
      </c>
      <c r="R251" s="177">
        <v>0</v>
      </c>
      <c r="S251" s="177">
        <v>0</v>
      </c>
      <c r="T251" s="175">
        <v>0</v>
      </c>
      <c r="U251" s="175">
        <v>0</v>
      </c>
      <c r="V251" s="178">
        <v>0</v>
      </c>
      <c r="W251" s="178">
        <v>0</v>
      </c>
      <c r="X251" s="3">
        <v>0</v>
      </c>
      <c r="Y251" s="161">
        <v>0</v>
      </c>
      <c r="Z251" s="3">
        <f t="shared" si="13"/>
        <v>29788.559999999998</v>
      </c>
      <c r="AA251" s="3">
        <f t="shared" si="14"/>
        <v>298495.44</v>
      </c>
      <c r="AB251" s="3">
        <f t="shared" si="16"/>
        <v>43423</v>
      </c>
      <c r="AC251" s="3">
        <f>ROUND(MAX(0,(D251-V251)*Shift11!$B$3),2)</f>
        <v>0</v>
      </c>
      <c r="AD251" s="3">
        <f t="shared" si="15"/>
        <v>0</v>
      </c>
    </row>
    <row r="252" spans="1:30" x14ac:dyDescent="0.2">
      <c r="A252" s="18">
        <v>829</v>
      </c>
      <c r="B252" s="18">
        <v>1</v>
      </c>
      <c r="C252" s="3" t="s">
        <v>248</v>
      </c>
      <c r="D252" s="3">
        <f>Levy!F252</f>
        <v>1025732</v>
      </c>
      <c r="E252" s="3">
        <f>Levy!G252</f>
        <v>147302</v>
      </c>
      <c r="F252" s="3">
        <f>Levy!H252</f>
        <v>0</v>
      </c>
      <c r="G252" s="3">
        <f>Levy!I252</f>
        <v>616955</v>
      </c>
      <c r="H252" s="3">
        <f>Levy!J252</f>
        <v>166464</v>
      </c>
      <c r="I252" s="176">
        <v>0</v>
      </c>
      <c r="J252" s="177">
        <v>30000</v>
      </c>
      <c r="K252" s="177">
        <v>48061.51</v>
      </c>
      <c r="L252" s="177">
        <v>0</v>
      </c>
      <c r="M252" s="175">
        <v>0</v>
      </c>
      <c r="N252" s="175">
        <v>0</v>
      </c>
      <c r="O252" s="175">
        <v>0</v>
      </c>
      <c r="P252" s="177">
        <v>7051.78</v>
      </c>
      <c r="Q252" s="177">
        <v>0</v>
      </c>
      <c r="R252" s="177">
        <v>0</v>
      </c>
      <c r="S252" s="177">
        <v>0</v>
      </c>
      <c r="T252" s="175">
        <v>0</v>
      </c>
      <c r="U252" s="175">
        <v>0</v>
      </c>
      <c r="V252" s="178">
        <v>0</v>
      </c>
      <c r="W252" s="178">
        <v>0</v>
      </c>
      <c r="X252" s="3">
        <v>0</v>
      </c>
      <c r="Y252" s="161">
        <v>96765.35</v>
      </c>
      <c r="Z252" s="3">
        <f t="shared" si="13"/>
        <v>85113.290000000008</v>
      </c>
      <c r="AA252" s="3">
        <f t="shared" si="14"/>
        <v>679143.71</v>
      </c>
      <c r="AB252" s="3">
        <f t="shared" si="16"/>
        <v>166464</v>
      </c>
      <c r="AC252" s="3">
        <f>ROUND(MAX(0,(D252-V252)*Shift11!$B$3),2)</f>
        <v>498505.75</v>
      </c>
      <c r="AD252" s="3">
        <f t="shared" si="15"/>
        <v>498505.75</v>
      </c>
    </row>
    <row r="253" spans="1:30" x14ac:dyDescent="0.2">
      <c r="A253" s="18">
        <v>831</v>
      </c>
      <c r="B253" s="18">
        <v>1</v>
      </c>
      <c r="C253" s="3" t="s">
        <v>249</v>
      </c>
      <c r="D253" s="3">
        <f>Levy!F253</f>
        <v>6336928</v>
      </c>
      <c r="E253" s="3">
        <f>Levy!G253</f>
        <v>960160</v>
      </c>
      <c r="F253" s="3">
        <f>Levy!H253</f>
        <v>0</v>
      </c>
      <c r="G253" s="3">
        <f>Levy!I253</f>
        <v>2598088</v>
      </c>
      <c r="H253" s="3">
        <f>Levy!J253</f>
        <v>904656</v>
      </c>
      <c r="I253" s="176">
        <v>0</v>
      </c>
      <c r="J253" s="177">
        <v>120000</v>
      </c>
      <c r="K253" s="177">
        <v>160862.32999999999</v>
      </c>
      <c r="L253" s="177">
        <v>0</v>
      </c>
      <c r="M253" s="175">
        <v>0</v>
      </c>
      <c r="N253" s="175">
        <v>0</v>
      </c>
      <c r="O253" s="175">
        <v>0</v>
      </c>
      <c r="P253" s="177">
        <v>71756.45</v>
      </c>
      <c r="Q253" s="177">
        <v>0</v>
      </c>
      <c r="R253" s="177">
        <v>0</v>
      </c>
      <c r="S253" s="177">
        <v>0</v>
      </c>
      <c r="T253" s="175">
        <v>0</v>
      </c>
      <c r="U253" s="175">
        <v>0</v>
      </c>
      <c r="V253" s="178">
        <v>0</v>
      </c>
      <c r="W253" s="178">
        <v>0</v>
      </c>
      <c r="X253" s="3">
        <v>0</v>
      </c>
      <c r="Y253" s="161">
        <v>393408.33</v>
      </c>
      <c r="Z253" s="3">
        <f t="shared" si="13"/>
        <v>352618.77999999997</v>
      </c>
      <c r="AA253" s="3">
        <f t="shared" si="14"/>
        <v>3205629.22</v>
      </c>
      <c r="AB253" s="3">
        <f t="shared" si="16"/>
        <v>904656</v>
      </c>
      <c r="AC253" s="3">
        <f>ROUND(MAX(0,(D253-V253)*Shift11!$B$3),2)</f>
        <v>3079747.01</v>
      </c>
      <c r="AD253" s="3">
        <f t="shared" si="15"/>
        <v>3079747.01</v>
      </c>
    </row>
    <row r="254" spans="1:30" x14ac:dyDescent="0.2">
      <c r="A254" s="18">
        <v>832</v>
      </c>
      <c r="B254" s="18">
        <v>1</v>
      </c>
      <c r="C254" s="3" t="s">
        <v>250</v>
      </c>
      <c r="D254" s="3">
        <f>Levy!F254</f>
        <v>3309955</v>
      </c>
      <c r="E254" s="3">
        <f>Levy!G254</f>
        <v>439765</v>
      </c>
      <c r="F254" s="3">
        <f>Levy!H254</f>
        <v>614409</v>
      </c>
      <c r="G254" s="3">
        <f>Levy!I254</f>
        <v>1622469</v>
      </c>
      <c r="H254" s="3">
        <f>Levy!J254</f>
        <v>264769</v>
      </c>
      <c r="I254" s="176">
        <v>0</v>
      </c>
      <c r="J254" s="177">
        <v>65000</v>
      </c>
      <c r="K254" s="177">
        <v>71285.13</v>
      </c>
      <c r="L254" s="177">
        <v>0</v>
      </c>
      <c r="M254" s="175">
        <v>0</v>
      </c>
      <c r="N254" s="175">
        <v>0</v>
      </c>
      <c r="O254" s="175">
        <v>0</v>
      </c>
      <c r="P254" s="177">
        <v>-8281.14</v>
      </c>
      <c r="Q254" s="177">
        <v>0</v>
      </c>
      <c r="R254" s="177">
        <v>-6381.16</v>
      </c>
      <c r="S254" s="177">
        <v>0</v>
      </c>
      <c r="T254" s="175">
        <v>0</v>
      </c>
      <c r="U254" s="175">
        <v>0</v>
      </c>
      <c r="V254" s="178">
        <v>0</v>
      </c>
      <c r="W254" s="178">
        <v>0</v>
      </c>
      <c r="X254" s="3">
        <v>20881.96</v>
      </c>
      <c r="Y254" s="161">
        <v>632970.1</v>
      </c>
      <c r="Z254" s="3">
        <f t="shared" si="13"/>
        <v>121622.83</v>
      </c>
      <c r="AA254" s="3">
        <f t="shared" si="14"/>
        <v>2534138.21</v>
      </c>
      <c r="AB254" s="3">
        <f t="shared" si="16"/>
        <v>264769</v>
      </c>
      <c r="AC254" s="3">
        <f>ROUND(MAX(0,(D254-V254)*Shift11!$B$3),2)</f>
        <v>1608638.13</v>
      </c>
      <c r="AD254" s="3">
        <f t="shared" si="15"/>
        <v>1608638.13</v>
      </c>
    </row>
    <row r="255" spans="1:30" x14ac:dyDescent="0.2">
      <c r="A255" s="18">
        <v>833</v>
      </c>
      <c r="B255" s="18">
        <v>1</v>
      </c>
      <c r="C255" s="3" t="s">
        <v>251</v>
      </c>
      <c r="D255" s="3">
        <f>Levy!F255</f>
        <v>17240545</v>
      </c>
      <c r="E255" s="3">
        <f>Levy!G255</f>
        <v>1559198</v>
      </c>
      <c r="F255" s="3">
        <f>Levy!H255</f>
        <v>1087643</v>
      </c>
      <c r="G255" s="3">
        <f>Levy!I255</f>
        <v>7945460</v>
      </c>
      <c r="H255" s="3">
        <f>Levy!J255</f>
        <v>1313136</v>
      </c>
      <c r="I255" s="176">
        <v>0</v>
      </c>
      <c r="J255" s="177">
        <v>85000</v>
      </c>
      <c r="K255" s="177">
        <v>354600.58</v>
      </c>
      <c r="L255" s="177">
        <v>0</v>
      </c>
      <c r="M255" s="175">
        <v>0</v>
      </c>
      <c r="N255" s="175">
        <v>0</v>
      </c>
      <c r="O255" s="175">
        <v>0</v>
      </c>
      <c r="P255" s="177">
        <v>100695</v>
      </c>
      <c r="Q255" s="177">
        <v>0</v>
      </c>
      <c r="R255" s="177">
        <v>-9220.7999999999993</v>
      </c>
      <c r="S255" s="177">
        <v>0</v>
      </c>
      <c r="T255" s="175">
        <v>0</v>
      </c>
      <c r="U255" s="175">
        <v>0</v>
      </c>
      <c r="V255" s="178">
        <v>0</v>
      </c>
      <c r="W255" s="178">
        <v>0</v>
      </c>
      <c r="X255" s="3">
        <v>55969.13</v>
      </c>
      <c r="Y255" s="161">
        <v>2822207.2</v>
      </c>
      <c r="Z255" s="3">
        <f t="shared" si="13"/>
        <v>531074.78</v>
      </c>
      <c r="AA255" s="3">
        <f t="shared" si="14"/>
        <v>10005257.09</v>
      </c>
      <c r="AB255" s="3">
        <f t="shared" si="16"/>
        <v>1313136</v>
      </c>
      <c r="AC255" s="3">
        <f>ROUND(MAX(0,(D255-V255)*Shift11!$B$3),2)</f>
        <v>8378904.8700000001</v>
      </c>
      <c r="AD255" s="3">
        <f t="shared" si="15"/>
        <v>8378904.8700000001</v>
      </c>
    </row>
    <row r="256" spans="1:30" x14ac:dyDescent="0.2">
      <c r="A256" s="18">
        <v>834</v>
      </c>
      <c r="B256" s="18">
        <v>1</v>
      </c>
      <c r="C256" s="3" t="s">
        <v>252</v>
      </c>
      <c r="D256" s="3">
        <f>Levy!F256</f>
        <v>12928865</v>
      </c>
      <c r="E256" s="3">
        <f>Levy!G256</f>
        <v>874402</v>
      </c>
      <c r="F256" s="3">
        <f>Levy!H256</f>
        <v>0</v>
      </c>
      <c r="G256" s="3">
        <f>Levy!I256</f>
        <v>7067027</v>
      </c>
      <c r="H256" s="3">
        <f>Levy!J256</f>
        <v>883421</v>
      </c>
      <c r="I256" s="176">
        <v>0</v>
      </c>
      <c r="J256" s="177">
        <v>43301.77</v>
      </c>
      <c r="K256" s="177">
        <v>180546.46</v>
      </c>
      <c r="L256" s="177">
        <v>0</v>
      </c>
      <c r="M256" s="175">
        <v>0</v>
      </c>
      <c r="N256" s="175">
        <v>0</v>
      </c>
      <c r="O256" s="175">
        <v>0</v>
      </c>
      <c r="P256" s="177">
        <v>56337.09</v>
      </c>
      <c r="Q256" s="177">
        <v>0</v>
      </c>
      <c r="R256" s="177">
        <v>0</v>
      </c>
      <c r="S256" s="177">
        <v>0</v>
      </c>
      <c r="T256" s="175">
        <v>0</v>
      </c>
      <c r="U256" s="175">
        <v>0</v>
      </c>
      <c r="V256" s="178">
        <v>0</v>
      </c>
      <c r="W256" s="178">
        <v>0</v>
      </c>
      <c r="X256" s="3">
        <v>207626.7</v>
      </c>
      <c r="Y256" s="161">
        <v>1639817.77</v>
      </c>
      <c r="Z256" s="3">
        <f t="shared" si="13"/>
        <v>280185.31999999995</v>
      </c>
      <c r="AA256" s="3">
        <f t="shared" si="14"/>
        <v>7453616.9800000004</v>
      </c>
      <c r="AB256" s="3">
        <f t="shared" si="16"/>
        <v>883421</v>
      </c>
      <c r="AC256" s="3">
        <f>ROUND(MAX(0,(D256-V256)*Shift11!$B$3),2)</f>
        <v>6283428.3899999997</v>
      </c>
      <c r="AD256" s="3">
        <f t="shared" si="15"/>
        <v>6283428.3899999997</v>
      </c>
    </row>
    <row r="257" spans="1:30" x14ac:dyDescent="0.2">
      <c r="A257" s="18">
        <v>836</v>
      </c>
      <c r="B257" s="18">
        <v>1</v>
      </c>
      <c r="C257" s="3" t="s">
        <v>253</v>
      </c>
      <c r="D257" s="3">
        <f>Levy!F257</f>
        <v>135824</v>
      </c>
      <c r="E257" s="3">
        <f>Levy!G257</f>
        <v>9911</v>
      </c>
      <c r="F257" s="3">
        <f>Levy!H257</f>
        <v>0</v>
      </c>
      <c r="G257" s="3">
        <f>Levy!I257</f>
        <v>179463</v>
      </c>
      <c r="H257" s="3">
        <f>Levy!J257</f>
        <v>29362</v>
      </c>
      <c r="I257" s="176">
        <v>0</v>
      </c>
      <c r="J257" s="177">
        <v>7500</v>
      </c>
      <c r="K257" s="177">
        <v>11665.08</v>
      </c>
      <c r="L257" s="177">
        <v>0</v>
      </c>
      <c r="M257" s="175">
        <v>0</v>
      </c>
      <c r="N257" s="175">
        <v>0</v>
      </c>
      <c r="O257" s="175">
        <v>0</v>
      </c>
      <c r="P257" s="177">
        <v>9962.76</v>
      </c>
      <c r="Q257" s="177">
        <v>0</v>
      </c>
      <c r="R257" s="177">
        <v>0</v>
      </c>
      <c r="S257" s="177">
        <v>0</v>
      </c>
      <c r="T257" s="175">
        <v>0</v>
      </c>
      <c r="U257" s="175">
        <v>0</v>
      </c>
      <c r="V257" s="178">
        <v>0</v>
      </c>
      <c r="W257" s="178">
        <v>0</v>
      </c>
      <c r="X257" s="3">
        <v>0</v>
      </c>
      <c r="Y257" s="161">
        <v>69875.679999999993</v>
      </c>
      <c r="Z257" s="3">
        <f t="shared" si="13"/>
        <v>29127.840000000004</v>
      </c>
      <c r="AA257" s="3">
        <f t="shared" si="14"/>
        <v>160246.16</v>
      </c>
      <c r="AB257" s="3">
        <f t="shared" si="16"/>
        <v>29362</v>
      </c>
      <c r="AC257" s="3">
        <f>ROUND(MAX(0,(D257-V257)*Shift11!$B$3),2)</f>
        <v>66010.460000000006</v>
      </c>
      <c r="AD257" s="3">
        <f t="shared" si="15"/>
        <v>69875.679999999993</v>
      </c>
    </row>
    <row r="258" spans="1:30" x14ac:dyDescent="0.2">
      <c r="A258" s="18">
        <v>837</v>
      </c>
      <c r="B258" s="18">
        <v>1</v>
      </c>
      <c r="C258" s="3" t="s">
        <v>254</v>
      </c>
      <c r="D258" s="3">
        <f>Levy!F258</f>
        <v>222442</v>
      </c>
      <c r="E258" s="3">
        <f>Levy!G258</f>
        <v>42780</v>
      </c>
      <c r="F258" s="3">
        <f>Levy!H258</f>
        <v>0</v>
      </c>
      <c r="G258" s="3">
        <f>Levy!I258</f>
        <v>241200</v>
      </c>
      <c r="H258" s="3">
        <f>Levy!J258</f>
        <v>46774</v>
      </c>
      <c r="I258" s="176">
        <v>0</v>
      </c>
      <c r="J258" s="177">
        <v>7500</v>
      </c>
      <c r="K258" s="177">
        <v>15439.54</v>
      </c>
      <c r="L258" s="177">
        <v>0</v>
      </c>
      <c r="M258" s="175">
        <v>0</v>
      </c>
      <c r="N258" s="175">
        <v>0</v>
      </c>
      <c r="O258" s="175">
        <v>0</v>
      </c>
      <c r="P258" s="177">
        <v>47.83</v>
      </c>
      <c r="Q258" s="177">
        <v>0</v>
      </c>
      <c r="R258" s="177">
        <v>0</v>
      </c>
      <c r="S258" s="177">
        <v>0</v>
      </c>
      <c r="T258" s="175">
        <v>0</v>
      </c>
      <c r="U258" s="175">
        <v>0</v>
      </c>
      <c r="V258" s="178">
        <v>0</v>
      </c>
      <c r="W258" s="178">
        <v>0</v>
      </c>
      <c r="X258" s="3">
        <v>8589.65</v>
      </c>
      <c r="Y258" s="161">
        <v>78714.820000000007</v>
      </c>
      <c r="Z258" s="3">
        <f t="shared" si="13"/>
        <v>22987.370000000003</v>
      </c>
      <c r="AA258" s="3">
        <f t="shared" si="14"/>
        <v>252402.98</v>
      </c>
      <c r="AB258" s="3">
        <f t="shared" si="16"/>
        <v>46774</v>
      </c>
      <c r="AC258" s="3">
        <f>ROUND(MAX(0,(D258-V258)*Shift11!$B$3),2)</f>
        <v>108106.81</v>
      </c>
      <c r="AD258" s="3">
        <f t="shared" si="15"/>
        <v>108106.81</v>
      </c>
    </row>
    <row r="259" spans="1:30" x14ac:dyDescent="0.2">
      <c r="A259" s="18">
        <v>840</v>
      </c>
      <c r="B259" s="18">
        <v>1</v>
      </c>
      <c r="C259" s="3" t="s">
        <v>255</v>
      </c>
      <c r="D259" s="3">
        <f>Levy!F259</f>
        <v>537623</v>
      </c>
      <c r="E259" s="3">
        <f>Levy!G259</f>
        <v>49302</v>
      </c>
      <c r="F259" s="3">
        <f>Levy!H259</f>
        <v>0</v>
      </c>
      <c r="G259" s="3">
        <f>Levy!I259</f>
        <v>554423</v>
      </c>
      <c r="H259" s="3">
        <f>Levy!J259</f>
        <v>115232</v>
      </c>
      <c r="I259" s="176">
        <v>0</v>
      </c>
      <c r="J259" s="177">
        <v>15000</v>
      </c>
      <c r="K259" s="177">
        <v>10483.4</v>
      </c>
      <c r="L259" s="177">
        <v>0</v>
      </c>
      <c r="M259" s="175">
        <v>0</v>
      </c>
      <c r="N259" s="175">
        <v>0</v>
      </c>
      <c r="O259" s="175">
        <v>0</v>
      </c>
      <c r="P259" s="177">
        <v>8750.4</v>
      </c>
      <c r="Q259" s="177">
        <v>0</v>
      </c>
      <c r="R259" s="177">
        <v>14279.06</v>
      </c>
      <c r="S259" s="177">
        <v>0</v>
      </c>
      <c r="T259" s="175">
        <v>0</v>
      </c>
      <c r="U259" s="175">
        <v>0</v>
      </c>
      <c r="V259" s="178">
        <v>0</v>
      </c>
      <c r="W259" s="178">
        <v>0</v>
      </c>
      <c r="X259" s="3">
        <v>0</v>
      </c>
      <c r="Y259" s="161">
        <v>66890.06</v>
      </c>
      <c r="Z259" s="3">
        <f t="shared" si="13"/>
        <v>48512.86</v>
      </c>
      <c r="AA259" s="3">
        <f t="shared" si="14"/>
        <v>555212.14</v>
      </c>
      <c r="AB259" s="3">
        <f t="shared" si="16"/>
        <v>115232</v>
      </c>
      <c r="AC259" s="3">
        <f>ROUND(MAX(0,(D259-V259)*Shift11!$B$3),2)</f>
        <v>261284.78</v>
      </c>
      <c r="AD259" s="3">
        <f t="shared" si="15"/>
        <v>261284.78</v>
      </c>
    </row>
    <row r="260" spans="1:30" x14ac:dyDescent="0.2">
      <c r="A260" s="18">
        <v>846</v>
      </c>
      <c r="B260" s="18">
        <v>1</v>
      </c>
      <c r="C260" s="3" t="s">
        <v>256</v>
      </c>
      <c r="D260" s="3">
        <f>Levy!F260</f>
        <v>296894.82</v>
      </c>
      <c r="E260" s="3">
        <f>Levy!G260</f>
        <v>40787.47</v>
      </c>
      <c r="F260" s="3">
        <f>Levy!H260</f>
        <v>0</v>
      </c>
      <c r="G260" s="3">
        <f>Levy!I260</f>
        <v>295786.59000000003</v>
      </c>
      <c r="H260" s="3">
        <f>Levy!J260</f>
        <v>77471.81</v>
      </c>
      <c r="I260" s="176">
        <v>0</v>
      </c>
      <c r="J260" s="177">
        <v>10000</v>
      </c>
      <c r="K260" s="177">
        <v>20253.490000000002</v>
      </c>
      <c r="L260" s="177">
        <v>0</v>
      </c>
      <c r="M260" s="175">
        <v>0</v>
      </c>
      <c r="N260" s="175">
        <v>0</v>
      </c>
      <c r="O260" s="175">
        <v>0</v>
      </c>
      <c r="P260" s="177">
        <v>1109.82</v>
      </c>
      <c r="Q260" s="177">
        <v>0</v>
      </c>
      <c r="R260" s="177">
        <v>0</v>
      </c>
      <c r="S260" s="177">
        <v>0</v>
      </c>
      <c r="T260" s="175">
        <v>0</v>
      </c>
      <c r="U260" s="175">
        <v>0</v>
      </c>
      <c r="V260" s="178">
        <v>0</v>
      </c>
      <c r="W260" s="178">
        <v>0</v>
      </c>
      <c r="X260" s="3">
        <v>0</v>
      </c>
      <c r="Y260" s="161">
        <v>18639.04</v>
      </c>
      <c r="Z260" s="3">
        <f t="shared" si="13"/>
        <v>31363.31</v>
      </c>
      <c r="AA260" s="3">
        <f t="shared" si="14"/>
        <v>305210.75</v>
      </c>
      <c r="AB260" s="3">
        <f t="shared" si="16"/>
        <v>77471.81</v>
      </c>
      <c r="AC260" s="3">
        <f>ROUND(MAX(0,(D260-V260)*Shift11!$B$3),2)</f>
        <v>144290.88</v>
      </c>
      <c r="AD260" s="3">
        <f t="shared" si="15"/>
        <v>144290.88</v>
      </c>
    </row>
    <row r="261" spans="1:30" x14ac:dyDescent="0.2">
      <c r="A261" s="18">
        <v>850</v>
      </c>
      <c r="B261" s="18">
        <v>1</v>
      </c>
      <c r="C261" s="3" t="s">
        <v>257</v>
      </c>
      <c r="D261" s="3">
        <f>Levy!F261</f>
        <v>363108.84</v>
      </c>
      <c r="E261" s="3">
        <f>Levy!G261</f>
        <v>4310.45</v>
      </c>
      <c r="F261" s="3">
        <f>Levy!H261</f>
        <v>0</v>
      </c>
      <c r="G261" s="3">
        <f>Levy!I261</f>
        <v>82685.259999999995</v>
      </c>
      <c r="H261" s="3">
        <f>Levy!J261</f>
        <v>19247.09</v>
      </c>
      <c r="I261" s="176">
        <v>0</v>
      </c>
      <c r="J261" s="177">
        <v>0</v>
      </c>
      <c r="K261" s="177">
        <v>11665.08</v>
      </c>
      <c r="L261" s="177">
        <v>0</v>
      </c>
      <c r="M261" s="175">
        <v>0</v>
      </c>
      <c r="N261" s="175">
        <v>0</v>
      </c>
      <c r="O261" s="175">
        <v>0</v>
      </c>
      <c r="P261" s="177">
        <v>-3336.52</v>
      </c>
      <c r="Q261" s="177">
        <v>0</v>
      </c>
      <c r="R261" s="177">
        <v>0</v>
      </c>
      <c r="S261" s="177">
        <v>0</v>
      </c>
      <c r="T261" s="175">
        <v>0</v>
      </c>
      <c r="U261" s="175">
        <v>0</v>
      </c>
      <c r="V261" s="178">
        <v>0</v>
      </c>
      <c r="W261" s="178">
        <v>0</v>
      </c>
      <c r="X261" s="3">
        <v>0</v>
      </c>
      <c r="Y261" s="161">
        <v>70534.77</v>
      </c>
      <c r="Z261" s="3">
        <f t="shared" si="13"/>
        <v>8328.56</v>
      </c>
      <c r="AA261" s="3">
        <f t="shared" si="14"/>
        <v>78667.149999999994</v>
      </c>
      <c r="AB261" s="3">
        <f t="shared" si="16"/>
        <v>19247.09</v>
      </c>
      <c r="AC261" s="3">
        <f>ROUND(MAX(0,(D261-V261)*Shift11!$B$3),2)</f>
        <v>176470.9</v>
      </c>
      <c r="AD261" s="3">
        <f t="shared" si="15"/>
        <v>176470.9</v>
      </c>
    </row>
    <row r="262" spans="1:30" x14ac:dyDescent="0.2">
      <c r="A262" s="18">
        <v>852</v>
      </c>
      <c r="B262" s="18">
        <v>1</v>
      </c>
      <c r="C262" s="3" t="s">
        <v>258</v>
      </c>
      <c r="D262" s="3">
        <f>Levy!F262</f>
        <v>205273.83</v>
      </c>
      <c r="E262" s="3">
        <f>Levy!G262</f>
        <v>3466.58</v>
      </c>
      <c r="F262" s="3">
        <f>Levy!H262</f>
        <v>0</v>
      </c>
      <c r="G262" s="3">
        <f>Levy!I262</f>
        <v>65381.2</v>
      </c>
      <c r="H262" s="3">
        <f>Levy!J262</f>
        <v>25299.03</v>
      </c>
      <c r="I262" s="176">
        <v>0</v>
      </c>
      <c r="J262" s="177">
        <v>10000</v>
      </c>
      <c r="K262" s="177">
        <v>11665.08</v>
      </c>
      <c r="L262" s="177">
        <v>0</v>
      </c>
      <c r="M262" s="175">
        <v>0</v>
      </c>
      <c r="N262" s="175">
        <v>0</v>
      </c>
      <c r="O262" s="175">
        <v>0</v>
      </c>
      <c r="P262" s="177">
        <v>-9899.7199999999993</v>
      </c>
      <c r="Q262" s="177">
        <v>0</v>
      </c>
      <c r="R262" s="177">
        <v>0</v>
      </c>
      <c r="S262" s="177">
        <v>0</v>
      </c>
      <c r="T262" s="175">
        <v>0</v>
      </c>
      <c r="U262" s="175">
        <v>0</v>
      </c>
      <c r="V262" s="178">
        <v>0</v>
      </c>
      <c r="W262" s="178">
        <v>0</v>
      </c>
      <c r="X262" s="3">
        <v>0</v>
      </c>
      <c r="Y262" s="161">
        <v>97310.3</v>
      </c>
      <c r="Z262" s="3">
        <f t="shared" si="13"/>
        <v>11765.360000000002</v>
      </c>
      <c r="AA262" s="3">
        <f t="shared" si="14"/>
        <v>57082.42</v>
      </c>
      <c r="AB262" s="3">
        <f t="shared" si="16"/>
        <v>25299.03</v>
      </c>
      <c r="AC262" s="3">
        <f>ROUND(MAX(0,(D262-V262)*Shift11!$B$3),2)</f>
        <v>99763.08</v>
      </c>
      <c r="AD262" s="3">
        <f t="shared" si="15"/>
        <v>99763.08</v>
      </c>
    </row>
    <row r="263" spans="1:30" x14ac:dyDescent="0.2">
      <c r="A263" s="18">
        <v>857</v>
      </c>
      <c r="B263" s="18">
        <v>1</v>
      </c>
      <c r="C263" s="3" t="s">
        <v>259</v>
      </c>
      <c r="D263" s="3">
        <f>Levy!F263</f>
        <v>418669</v>
      </c>
      <c r="E263" s="3">
        <f>Levy!G263</f>
        <v>71265</v>
      </c>
      <c r="F263" s="3">
        <f>Levy!H263</f>
        <v>0</v>
      </c>
      <c r="G263" s="3">
        <f>Levy!I263</f>
        <v>194359</v>
      </c>
      <c r="H263" s="3">
        <f>Levy!J263</f>
        <v>51245</v>
      </c>
      <c r="I263" s="176">
        <v>0</v>
      </c>
      <c r="J263" s="177">
        <v>10210.27</v>
      </c>
      <c r="K263" s="177">
        <v>18784.509999999998</v>
      </c>
      <c r="L263" s="177">
        <v>0</v>
      </c>
      <c r="M263" s="175">
        <v>0</v>
      </c>
      <c r="N263" s="175">
        <v>0</v>
      </c>
      <c r="O263" s="175">
        <v>0</v>
      </c>
      <c r="P263" s="177">
        <v>5234.38</v>
      </c>
      <c r="Q263" s="177">
        <v>0</v>
      </c>
      <c r="R263" s="177">
        <v>0</v>
      </c>
      <c r="S263" s="177">
        <v>0</v>
      </c>
      <c r="T263" s="175">
        <v>0</v>
      </c>
      <c r="U263" s="175">
        <v>0</v>
      </c>
      <c r="V263" s="178">
        <v>0</v>
      </c>
      <c r="W263" s="178">
        <v>0</v>
      </c>
      <c r="X263" s="3">
        <v>0</v>
      </c>
      <c r="Y263" s="161">
        <v>0</v>
      </c>
      <c r="Z263" s="3">
        <f t="shared" si="13"/>
        <v>34229.159999999996</v>
      </c>
      <c r="AA263" s="3">
        <f t="shared" si="14"/>
        <v>231394.84</v>
      </c>
      <c r="AB263" s="3">
        <f t="shared" si="16"/>
        <v>51245</v>
      </c>
      <c r="AC263" s="3">
        <f>ROUND(MAX(0,(D263-V263)*Shift11!$B$3),2)</f>
        <v>203473.13</v>
      </c>
      <c r="AD263" s="3">
        <f t="shared" si="15"/>
        <v>203473.13</v>
      </c>
    </row>
    <row r="264" spans="1:30" x14ac:dyDescent="0.2">
      <c r="A264" s="18">
        <v>858</v>
      </c>
      <c r="B264" s="18">
        <v>1</v>
      </c>
      <c r="C264" s="3" t="s">
        <v>260</v>
      </c>
      <c r="D264" s="3">
        <f>Levy!F264</f>
        <v>220794</v>
      </c>
      <c r="E264" s="3">
        <f>Levy!G264</f>
        <v>83777</v>
      </c>
      <c r="F264" s="3">
        <f>Levy!H264</f>
        <v>0</v>
      </c>
      <c r="G264" s="3">
        <f>Levy!I264</f>
        <v>205460</v>
      </c>
      <c r="H264" s="3">
        <f>Levy!J264</f>
        <v>57861</v>
      </c>
      <c r="I264" s="176">
        <v>0</v>
      </c>
      <c r="J264" s="177">
        <v>13000</v>
      </c>
      <c r="K264" s="177">
        <v>17938.88</v>
      </c>
      <c r="L264" s="177">
        <v>0</v>
      </c>
      <c r="M264" s="175">
        <v>0</v>
      </c>
      <c r="N264" s="175">
        <v>0</v>
      </c>
      <c r="O264" s="175">
        <v>0</v>
      </c>
      <c r="P264" s="177">
        <v>6174.32</v>
      </c>
      <c r="Q264" s="177">
        <v>0</v>
      </c>
      <c r="R264" s="177">
        <v>0</v>
      </c>
      <c r="S264" s="177">
        <v>0</v>
      </c>
      <c r="T264" s="175">
        <v>0</v>
      </c>
      <c r="U264" s="175">
        <v>0</v>
      </c>
      <c r="V264" s="178">
        <v>0</v>
      </c>
      <c r="W264" s="178">
        <v>0</v>
      </c>
      <c r="X264" s="3">
        <v>0</v>
      </c>
      <c r="Y264" s="161">
        <v>0</v>
      </c>
      <c r="Z264" s="3">
        <f t="shared" ref="Z264:Z327" si="17">SUM(I264:T264)</f>
        <v>37113.199999999997</v>
      </c>
      <c r="AA264" s="3">
        <f t="shared" ref="AA264:AA327" si="18">ROUND(MAX(E264+F264+G264-W264-X264-Z264,0),2)</f>
        <v>252123.8</v>
      </c>
      <c r="AB264" s="3">
        <f t="shared" si="16"/>
        <v>57861</v>
      </c>
      <c r="AC264" s="3">
        <f>ROUND(MAX(0,(D264-V264)*Shift11!$B$3),2)</f>
        <v>107305.88</v>
      </c>
      <c r="AD264" s="3">
        <f t="shared" ref="AD264:AD327" si="19">MAX(AC264,Y264)</f>
        <v>107305.88</v>
      </c>
    </row>
    <row r="265" spans="1:30" x14ac:dyDescent="0.2">
      <c r="A265" s="18">
        <v>861</v>
      </c>
      <c r="B265" s="18">
        <v>1</v>
      </c>
      <c r="C265" s="3" t="s">
        <v>261</v>
      </c>
      <c r="D265" s="3">
        <f>Levy!F265</f>
        <v>6721097</v>
      </c>
      <c r="E265" s="3">
        <f>Levy!G265</f>
        <v>192617</v>
      </c>
      <c r="F265" s="3">
        <f>Levy!H265</f>
        <v>0</v>
      </c>
      <c r="G265" s="3">
        <f>Levy!I265</f>
        <v>2026191</v>
      </c>
      <c r="H265" s="3">
        <f>Levy!J265</f>
        <v>477956</v>
      </c>
      <c r="I265" s="176">
        <v>0</v>
      </c>
      <c r="J265" s="177">
        <v>23899.42</v>
      </c>
      <c r="K265" s="177">
        <v>97348.32</v>
      </c>
      <c r="L265" s="177">
        <v>0</v>
      </c>
      <c r="M265" s="175">
        <v>0</v>
      </c>
      <c r="N265" s="175">
        <v>0</v>
      </c>
      <c r="O265" s="175">
        <v>0</v>
      </c>
      <c r="P265" s="177">
        <v>35075.599999999999</v>
      </c>
      <c r="Q265" s="177">
        <v>0</v>
      </c>
      <c r="R265" s="177">
        <v>-49298.29</v>
      </c>
      <c r="S265" s="177">
        <v>0</v>
      </c>
      <c r="T265" s="175">
        <v>0</v>
      </c>
      <c r="U265" s="175">
        <v>0</v>
      </c>
      <c r="V265" s="178">
        <v>0</v>
      </c>
      <c r="W265" s="178">
        <v>0</v>
      </c>
      <c r="X265" s="3">
        <v>0</v>
      </c>
      <c r="Y265" s="161">
        <v>163275.60999999999</v>
      </c>
      <c r="Z265" s="3">
        <f t="shared" si="17"/>
        <v>107025.04999999999</v>
      </c>
      <c r="AA265" s="3">
        <f t="shared" si="18"/>
        <v>2111782.9500000002</v>
      </c>
      <c r="AB265" s="3">
        <f t="shared" ref="AB265:AB328" si="20">ROUND(MAX(H265-U265,0),2)</f>
        <v>477956</v>
      </c>
      <c r="AC265" s="3">
        <f>ROUND(MAX(0,(D265-V265)*Shift11!$B$3),2)</f>
        <v>3266453.14</v>
      </c>
      <c r="AD265" s="3">
        <f t="shared" si="19"/>
        <v>3266453.14</v>
      </c>
    </row>
    <row r="266" spans="1:30" x14ac:dyDescent="0.2">
      <c r="A266" s="18">
        <v>876</v>
      </c>
      <c r="B266" s="18">
        <v>1</v>
      </c>
      <c r="C266" s="3" t="s">
        <v>262</v>
      </c>
      <c r="D266" s="3">
        <f>Levy!F266</f>
        <v>1224372</v>
      </c>
      <c r="E266" s="3">
        <f>Levy!G266</f>
        <v>222892</v>
      </c>
      <c r="F266" s="3">
        <f>Levy!H266</f>
        <v>0</v>
      </c>
      <c r="G266" s="3">
        <f>Levy!I266</f>
        <v>823187</v>
      </c>
      <c r="H266" s="3">
        <f>Levy!J266</f>
        <v>159089</v>
      </c>
      <c r="I266" s="176">
        <v>0</v>
      </c>
      <c r="J266" s="177">
        <v>10000</v>
      </c>
      <c r="K266" s="177">
        <v>44342.22</v>
      </c>
      <c r="L266" s="177">
        <v>0</v>
      </c>
      <c r="M266" s="175">
        <v>0</v>
      </c>
      <c r="N266" s="175">
        <v>0</v>
      </c>
      <c r="O266" s="175">
        <v>0</v>
      </c>
      <c r="P266" s="177">
        <v>34740.99</v>
      </c>
      <c r="Q266" s="177">
        <v>0</v>
      </c>
      <c r="R266" s="177">
        <v>-1532</v>
      </c>
      <c r="S266" s="177">
        <v>0</v>
      </c>
      <c r="T266" s="175">
        <v>0</v>
      </c>
      <c r="U266" s="175">
        <v>0</v>
      </c>
      <c r="V266" s="178">
        <v>0</v>
      </c>
      <c r="W266" s="178">
        <v>0</v>
      </c>
      <c r="X266" s="3">
        <v>63681.05</v>
      </c>
      <c r="Y266" s="161">
        <v>207538.92</v>
      </c>
      <c r="Z266" s="3">
        <f t="shared" si="17"/>
        <v>87551.209999999992</v>
      </c>
      <c r="AA266" s="3">
        <f t="shared" si="18"/>
        <v>894846.74</v>
      </c>
      <c r="AB266" s="3">
        <f t="shared" si="20"/>
        <v>159089</v>
      </c>
      <c r="AC266" s="3">
        <f>ROUND(MAX(0,(D266-V266)*Shift11!$B$3),2)</f>
        <v>595044.79</v>
      </c>
      <c r="AD266" s="3">
        <f t="shared" si="19"/>
        <v>595044.79</v>
      </c>
    </row>
    <row r="267" spans="1:30" x14ac:dyDescent="0.2">
      <c r="A267" s="18">
        <v>877</v>
      </c>
      <c r="B267" s="18">
        <v>1</v>
      </c>
      <c r="C267" s="3" t="s">
        <v>263</v>
      </c>
      <c r="D267" s="3">
        <f>Levy!F267</f>
        <v>2639709</v>
      </c>
      <c r="E267" s="3">
        <f>Levy!G267</f>
        <v>656073</v>
      </c>
      <c r="F267" s="3">
        <f>Levy!H267</f>
        <v>0</v>
      </c>
      <c r="G267" s="3">
        <f>Levy!I267</f>
        <v>2111336</v>
      </c>
      <c r="H267" s="3">
        <f>Levy!J267</f>
        <v>560963</v>
      </c>
      <c r="I267" s="176">
        <v>0</v>
      </c>
      <c r="J267" s="177">
        <v>100000</v>
      </c>
      <c r="K267" s="177">
        <v>123773.92</v>
      </c>
      <c r="L267" s="177">
        <v>0</v>
      </c>
      <c r="M267" s="175">
        <v>0</v>
      </c>
      <c r="N267" s="175">
        <v>0</v>
      </c>
      <c r="O267" s="175">
        <v>0</v>
      </c>
      <c r="P267" s="177">
        <v>46940.01</v>
      </c>
      <c r="Q267" s="177">
        <v>0</v>
      </c>
      <c r="R267" s="177">
        <v>-1422.04</v>
      </c>
      <c r="S267" s="177">
        <v>0</v>
      </c>
      <c r="T267" s="175">
        <v>0</v>
      </c>
      <c r="U267" s="175">
        <v>0</v>
      </c>
      <c r="V267" s="178">
        <v>0</v>
      </c>
      <c r="W267" s="178">
        <v>0</v>
      </c>
      <c r="X267" s="3">
        <v>0</v>
      </c>
      <c r="Y267" s="161">
        <v>442510.09</v>
      </c>
      <c r="Z267" s="3">
        <f t="shared" si="17"/>
        <v>269291.89</v>
      </c>
      <c r="AA267" s="3">
        <f t="shared" si="18"/>
        <v>2498117.11</v>
      </c>
      <c r="AB267" s="3">
        <f t="shared" si="20"/>
        <v>560963</v>
      </c>
      <c r="AC267" s="3">
        <f>ROUND(MAX(0,(D267-V267)*Shift11!$B$3),2)</f>
        <v>1282898.57</v>
      </c>
      <c r="AD267" s="3">
        <f t="shared" si="19"/>
        <v>1282898.57</v>
      </c>
    </row>
    <row r="268" spans="1:30" x14ac:dyDescent="0.2">
      <c r="A268" s="18">
        <v>879</v>
      </c>
      <c r="B268" s="18">
        <v>1</v>
      </c>
      <c r="C268" s="3" t="s">
        <v>264</v>
      </c>
      <c r="D268" s="3">
        <f>Levy!F268</f>
        <v>1051190</v>
      </c>
      <c r="E268" s="3">
        <f>Levy!G268</f>
        <v>278748</v>
      </c>
      <c r="F268" s="3">
        <f>Levy!H268</f>
        <v>0</v>
      </c>
      <c r="G268" s="3">
        <f>Levy!I268</f>
        <v>756748</v>
      </c>
      <c r="H268" s="3">
        <f>Levy!J268</f>
        <v>209029</v>
      </c>
      <c r="I268" s="176">
        <v>0</v>
      </c>
      <c r="J268" s="177">
        <v>25000</v>
      </c>
      <c r="K268" s="177">
        <v>54033.11</v>
      </c>
      <c r="L268" s="177">
        <v>0</v>
      </c>
      <c r="M268" s="175">
        <v>0</v>
      </c>
      <c r="N268" s="175">
        <v>0</v>
      </c>
      <c r="O268" s="175">
        <v>0</v>
      </c>
      <c r="P268" s="177">
        <v>4297.55</v>
      </c>
      <c r="Q268" s="177">
        <v>0</v>
      </c>
      <c r="R268" s="177">
        <v>429.99</v>
      </c>
      <c r="S268" s="177">
        <v>0</v>
      </c>
      <c r="T268" s="175">
        <v>0</v>
      </c>
      <c r="U268" s="175">
        <v>0</v>
      </c>
      <c r="V268" s="178">
        <v>0</v>
      </c>
      <c r="W268" s="178">
        <v>0</v>
      </c>
      <c r="X268" s="3">
        <v>0</v>
      </c>
      <c r="Y268" s="161">
        <v>117957.42</v>
      </c>
      <c r="Z268" s="3">
        <f t="shared" si="17"/>
        <v>83760.650000000009</v>
      </c>
      <c r="AA268" s="3">
        <f t="shared" si="18"/>
        <v>951735.35</v>
      </c>
      <c r="AB268" s="3">
        <f t="shared" si="20"/>
        <v>209029</v>
      </c>
      <c r="AC268" s="3">
        <f>ROUND(MAX(0,(D268-V268)*Shift11!$B$3),2)</f>
        <v>510878.34</v>
      </c>
      <c r="AD268" s="3">
        <f t="shared" si="19"/>
        <v>510878.34</v>
      </c>
    </row>
    <row r="269" spans="1:30" x14ac:dyDescent="0.2">
      <c r="A269" s="18">
        <v>881</v>
      </c>
      <c r="B269" s="18">
        <v>1</v>
      </c>
      <c r="C269" s="3" t="s">
        <v>265</v>
      </c>
      <c r="D269" s="3">
        <f>Levy!F269</f>
        <v>593824</v>
      </c>
      <c r="E269" s="3">
        <f>Levy!G269</f>
        <v>104230</v>
      </c>
      <c r="F269" s="3">
        <f>Levy!H269</f>
        <v>0</v>
      </c>
      <c r="G269" s="3">
        <f>Levy!I269</f>
        <v>207058</v>
      </c>
      <c r="H269" s="3">
        <f>Levy!J269</f>
        <v>69738</v>
      </c>
      <c r="I269" s="176">
        <v>0</v>
      </c>
      <c r="J269" s="177">
        <v>3042.53</v>
      </c>
      <c r="K269" s="177">
        <v>20581.98</v>
      </c>
      <c r="L269" s="177">
        <v>0</v>
      </c>
      <c r="M269" s="175">
        <v>0</v>
      </c>
      <c r="N269" s="175">
        <v>0</v>
      </c>
      <c r="O269" s="175">
        <v>0</v>
      </c>
      <c r="P269" s="177">
        <v>-1126.4100000000001</v>
      </c>
      <c r="Q269" s="177">
        <v>0</v>
      </c>
      <c r="R269" s="177">
        <v>0</v>
      </c>
      <c r="S269" s="177">
        <v>0</v>
      </c>
      <c r="T269" s="175">
        <v>0</v>
      </c>
      <c r="U269" s="175">
        <v>0</v>
      </c>
      <c r="V269" s="178">
        <v>0</v>
      </c>
      <c r="W269" s="178">
        <v>0</v>
      </c>
      <c r="X269" s="3">
        <v>19558.900000000001</v>
      </c>
      <c r="Y269" s="161">
        <v>117442.28</v>
      </c>
      <c r="Z269" s="3">
        <f t="shared" si="17"/>
        <v>22498.1</v>
      </c>
      <c r="AA269" s="3">
        <f t="shared" si="18"/>
        <v>269231</v>
      </c>
      <c r="AB269" s="3">
        <f t="shared" si="20"/>
        <v>69738</v>
      </c>
      <c r="AC269" s="3">
        <f>ROUND(MAX(0,(D269-V269)*Shift11!$B$3),2)</f>
        <v>288598.46000000002</v>
      </c>
      <c r="AD269" s="3">
        <f t="shared" si="19"/>
        <v>288598.46000000002</v>
      </c>
    </row>
    <row r="270" spans="1:30" x14ac:dyDescent="0.2">
      <c r="A270" s="18">
        <v>882</v>
      </c>
      <c r="B270" s="18">
        <v>1</v>
      </c>
      <c r="C270" s="3" t="s">
        <v>266</v>
      </c>
      <c r="D270" s="3">
        <f>Levy!F270</f>
        <v>3611038</v>
      </c>
      <c r="E270" s="3">
        <f>Levy!G270</f>
        <v>400446</v>
      </c>
      <c r="F270" s="3">
        <f>Levy!H270</f>
        <v>0</v>
      </c>
      <c r="G270" s="3">
        <f>Levy!I270</f>
        <v>1888942</v>
      </c>
      <c r="H270" s="3">
        <f>Levy!J270</f>
        <v>260026</v>
      </c>
      <c r="I270" s="176">
        <v>0</v>
      </c>
      <c r="J270" s="177">
        <v>51180</v>
      </c>
      <c r="K270" s="177">
        <v>53561.5</v>
      </c>
      <c r="L270" s="177">
        <v>0</v>
      </c>
      <c r="M270" s="175">
        <v>0</v>
      </c>
      <c r="N270" s="175">
        <v>0</v>
      </c>
      <c r="O270" s="175">
        <v>0</v>
      </c>
      <c r="P270" s="177">
        <v>2903.92</v>
      </c>
      <c r="Q270" s="177">
        <v>0</v>
      </c>
      <c r="R270" s="177">
        <v>0</v>
      </c>
      <c r="S270" s="177">
        <v>0</v>
      </c>
      <c r="T270" s="175">
        <v>0</v>
      </c>
      <c r="U270" s="175">
        <v>0</v>
      </c>
      <c r="V270" s="178">
        <v>0</v>
      </c>
      <c r="W270" s="178">
        <v>0</v>
      </c>
      <c r="X270" s="3">
        <v>155849.28</v>
      </c>
      <c r="Y270" s="161">
        <v>480525.55</v>
      </c>
      <c r="Z270" s="3">
        <f t="shared" si="17"/>
        <v>107645.42</v>
      </c>
      <c r="AA270" s="3">
        <f t="shared" si="18"/>
        <v>2025893.3</v>
      </c>
      <c r="AB270" s="3">
        <f t="shared" si="20"/>
        <v>260026</v>
      </c>
      <c r="AC270" s="3">
        <f>ROUND(MAX(0,(D270-V270)*Shift11!$B$3),2)</f>
        <v>1754964.47</v>
      </c>
      <c r="AD270" s="3">
        <f t="shared" si="19"/>
        <v>1754964.47</v>
      </c>
    </row>
    <row r="271" spans="1:30" x14ac:dyDescent="0.2">
      <c r="A271" s="18">
        <v>883</v>
      </c>
      <c r="B271" s="18">
        <v>1</v>
      </c>
      <c r="C271" s="3" t="s">
        <v>267</v>
      </c>
      <c r="D271" s="3">
        <f>Levy!F271</f>
        <v>769222</v>
      </c>
      <c r="E271" s="3">
        <f>Levy!G271</f>
        <v>265812</v>
      </c>
      <c r="F271" s="3">
        <f>Levy!H271</f>
        <v>0</v>
      </c>
      <c r="G271" s="3">
        <f>Levy!I271</f>
        <v>483438</v>
      </c>
      <c r="H271" s="3">
        <f>Levy!J271</f>
        <v>121032</v>
      </c>
      <c r="I271" s="176">
        <v>0</v>
      </c>
      <c r="J271" s="177">
        <v>38000</v>
      </c>
      <c r="K271" s="177">
        <v>0</v>
      </c>
      <c r="L271" s="177">
        <v>0</v>
      </c>
      <c r="M271" s="175">
        <v>0</v>
      </c>
      <c r="N271" s="175">
        <v>0</v>
      </c>
      <c r="O271" s="175">
        <v>0</v>
      </c>
      <c r="P271" s="177">
        <v>0</v>
      </c>
      <c r="Q271" s="177">
        <v>0</v>
      </c>
      <c r="R271" s="177">
        <v>0</v>
      </c>
      <c r="S271" s="177">
        <v>0</v>
      </c>
      <c r="T271" s="175">
        <v>0</v>
      </c>
      <c r="U271" s="175">
        <v>0</v>
      </c>
      <c r="V271" s="178">
        <v>0</v>
      </c>
      <c r="W271" s="178">
        <v>0</v>
      </c>
      <c r="X271" s="3">
        <v>0</v>
      </c>
      <c r="Y271" s="161">
        <v>108595.68</v>
      </c>
      <c r="Z271" s="3">
        <f t="shared" si="17"/>
        <v>38000</v>
      </c>
      <c r="AA271" s="3">
        <f t="shared" si="18"/>
        <v>711250</v>
      </c>
      <c r="AB271" s="3">
        <f t="shared" si="20"/>
        <v>121032</v>
      </c>
      <c r="AC271" s="3">
        <f>ROUND(MAX(0,(D271-V271)*Shift11!$B$3),2)</f>
        <v>373841.89</v>
      </c>
      <c r="AD271" s="3">
        <f t="shared" si="19"/>
        <v>373841.89</v>
      </c>
    </row>
    <row r="272" spans="1:30" x14ac:dyDescent="0.2">
      <c r="A272" s="18">
        <v>885</v>
      </c>
      <c r="B272" s="18">
        <v>1</v>
      </c>
      <c r="C272" s="3" t="s">
        <v>268</v>
      </c>
      <c r="D272" s="3">
        <f>Levy!F272</f>
        <v>2424707</v>
      </c>
      <c r="E272" s="3">
        <f>Levy!G272</f>
        <v>402867</v>
      </c>
      <c r="F272" s="3">
        <f>Levy!H272</f>
        <v>0</v>
      </c>
      <c r="G272" s="3">
        <f>Levy!I272</f>
        <v>853997</v>
      </c>
      <c r="H272" s="3">
        <f>Levy!J272</f>
        <v>251488</v>
      </c>
      <c r="I272" s="176">
        <v>0</v>
      </c>
      <c r="J272" s="177">
        <v>5000</v>
      </c>
      <c r="K272" s="177">
        <v>101495.49</v>
      </c>
      <c r="L272" s="177">
        <v>0</v>
      </c>
      <c r="M272" s="175">
        <v>0</v>
      </c>
      <c r="N272" s="175">
        <v>0</v>
      </c>
      <c r="O272" s="175">
        <v>0</v>
      </c>
      <c r="P272" s="177">
        <v>1664.6</v>
      </c>
      <c r="Q272" s="177">
        <v>0</v>
      </c>
      <c r="R272" s="177">
        <v>-882.65</v>
      </c>
      <c r="S272" s="177">
        <v>0</v>
      </c>
      <c r="T272" s="175">
        <v>0</v>
      </c>
      <c r="U272" s="175">
        <v>0</v>
      </c>
      <c r="V272" s="178">
        <v>0</v>
      </c>
      <c r="W272" s="178">
        <v>0</v>
      </c>
      <c r="X272" s="3">
        <v>0</v>
      </c>
      <c r="Y272" s="161">
        <v>131136.53</v>
      </c>
      <c r="Z272" s="3">
        <f t="shared" si="17"/>
        <v>107277.44000000002</v>
      </c>
      <c r="AA272" s="3">
        <f t="shared" si="18"/>
        <v>1149586.56</v>
      </c>
      <c r="AB272" s="3">
        <f t="shared" si="20"/>
        <v>251488</v>
      </c>
      <c r="AC272" s="3">
        <f>ROUND(MAX(0,(D272-V272)*Shift11!$B$3),2)</f>
        <v>1178407.6000000001</v>
      </c>
      <c r="AD272" s="3">
        <f t="shared" si="19"/>
        <v>1178407.6000000001</v>
      </c>
    </row>
    <row r="273" spans="1:30" x14ac:dyDescent="0.2">
      <c r="A273" s="18">
        <v>891</v>
      </c>
      <c r="B273" s="18">
        <v>1</v>
      </c>
      <c r="C273" s="3" t="s">
        <v>269</v>
      </c>
      <c r="D273" s="3">
        <f>Levy!F273</f>
        <v>188545</v>
      </c>
      <c r="E273" s="3">
        <f>Levy!G273</f>
        <v>28834</v>
      </c>
      <c r="F273" s="3">
        <f>Levy!H273</f>
        <v>0</v>
      </c>
      <c r="G273" s="3">
        <f>Levy!I273</f>
        <v>293050</v>
      </c>
      <c r="H273" s="3">
        <f>Levy!J273</f>
        <v>51684</v>
      </c>
      <c r="I273" s="176">
        <v>0</v>
      </c>
      <c r="J273" s="177">
        <v>1000</v>
      </c>
      <c r="K273" s="177">
        <v>15250.45</v>
      </c>
      <c r="L273" s="177">
        <v>0</v>
      </c>
      <c r="M273" s="175">
        <v>0</v>
      </c>
      <c r="N273" s="175">
        <v>0</v>
      </c>
      <c r="O273" s="175">
        <v>0</v>
      </c>
      <c r="P273" s="177">
        <v>-5628.9</v>
      </c>
      <c r="Q273" s="177">
        <v>0</v>
      </c>
      <c r="R273" s="177">
        <v>424</v>
      </c>
      <c r="S273" s="177">
        <v>0</v>
      </c>
      <c r="T273" s="175">
        <v>0</v>
      </c>
      <c r="U273" s="175">
        <v>0</v>
      </c>
      <c r="V273" s="178">
        <v>0</v>
      </c>
      <c r="W273" s="178">
        <v>0</v>
      </c>
      <c r="X273" s="3">
        <v>18617.810000000001</v>
      </c>
      <c r="Y273" s="161">
        <v>32209.42</v>
      </c>
      <c r="Z273" s="3">
        <f t="shared" si="17"/>
        <v>11045.550000000001</v>
      </c>
      <c r="AA273" s="3">
        <f t="shared" si="18"/>
        <v>292220.64</v>
      </c>
      <c r="AB273" s="3">
        <f t="shared" si="20"/>
        <v>51684</v>
      </c>
      <c r="AC273" s="3">
        <f>ROUND(MAX(0,(D273-V273)*Shift11!$B$3),2)</f>
        <v>91632.87</v>
      </c>
      <c r="AD273" s="3">
        <f t="shared" si="19"/>
        <v>91632.87</v>
      </c>
    </row>
    <row r="274" spans="1:30" x14ac:dyDescent="0.2">
      <c r="A274" s="18">
        <v>911</v>
      </c>
      <c r="B274" s="18">
        <v>1</v>
      </c>
      <c r="C274" s="3" t="s">
        <v>270</v>
      </c>
      <c r="D274" s="3">
        <f>Levy!F274</f>
        <v>0</v>
      </c>
      <c r="E274" s="3">
        <f>Levy!G274</f>
        <v>349001.06</v>
      </c>
      <c r="F274" s="3">
        <f>Levy!H274</f>
        <v>0</v>
      </c>
      <c r="G274" s="3">
        <f>Levy!I274</f>
        <v>1521015.47</v>
      </c>
      <c r="H274" s="3">
        <f>Levy!J274</f>
        <v>346189.52</v>
      </c>
      <c r="I274" s="176">
        <v>0</v>
      </c>
      <c r="J274" s="177">
        <v>100000</v>
      </c>
      <c r="K274" s="177">
        <v>120054.06</v>
      </c>
      <c r="L274" s="177">
        <v>0</v>
      </c>
      <c r="M274" s="175">
        <v>0</v>
      </c>
      <c r="N274" s="175">
        <v>0</v>
      </c>
      <c r="O274" s="175">
        <v>0</v>
      </c>
      <c r="P274" s="177">
        <v>38764.79</v>
      </c>
      <c r="Q274" s="177">
        <v>0</v>
      </c>
      <c r="R274" s="177">
        <v>884.89</v>
      </c>
      <c r="S274" s="177">
        <v>0</v>
      </c>
      <c r="T274" s="175">
        <v>0</v>
      </c>
      <c r="U274" s="175">
        <v>0</v>
      </c>
      <c r="V274" s="178">
        <v>0</v>
      </c>
      <c r="W274" s="178">
        <v>0</v>
      </c>
      <c r="X274" s="3">
        <v>0</v>
      </c>
      <c r="Y274" s="161">
        <v>217668.75</v>
      </c>
      <c r="Z274" s="3">
        <f t="shared" si="17"/>
        <v>259703.74000000002</v>
      </c>
      <c r="AA274" s="3">
        <f t="shared" si="18"/>
        <v>1610312.79</v>
      </c>
      <c r="AB274" s="3">
        <f t="shared" si="20"/>
        <v>346189.52</v>
      </c>
      <c r="AC274" s="3">
        <f>ROUND(MAX(0,(D274-V274)*Shift11!$B$3),2)</f>
        <v>0</v>
      </c>
      <c r="AD274" s="3">
        <f t="shared" si="19"/>
        <v>217668.75</v>
      </c>
    </row>
    <row r="275" spans="1:30" x14ac:dyDescent="0.2">
      <c r="A275" s="18">
        <v>912</v>
      </c>
      <c r="B275" s="18">
        <v>1</v>
      </c>
      <c r="C275" s="3" t="s">
        <v>271</v>
      </c>
      <c r="D275" s="3">
        <f>Levy!F275</f>
        <v>1237.82</v>
      </c>
      <c r="E275" s="3">
        <f>Levy!G275</f>
        <v>201789.23</v>
      </c>
      <c r="F275" s="3">
        <f>Levy!H275</f>
        <v>0</v>
      </c>
      <c r="G275" s="3">
        <f>Levy!I275</f>
        <v>151907.48000000001</v>
      </c>
      <c r="H275" s="3">
        <f>Levy!J275</f>
        <v>78322.78</v>
      </c>
      <c r="I275" s="176">
        <v>0</v>
      </c>
      <c r="J275" s="177">
        <v>7000</v>
      </c>
      <c r="K275" s="177">
        <v>42035.28</v>
      </c>
      <c r="L275" s="177">
        <v>0</v>
      </c>
      <c r="M275" s="175">
        <v>0</v>
      </c>
      <c r="N275" s="175">
        <v>0</v>
      </c>
      <c r="O275" s="175">
        <v>0</v>
      </c>
      <c r="P275" s="177">
        <v>-20814.560000000001</v>
      </c>
      <c r="Q275" s="177">
        <v>0</v>
      </c>
      <c r="R275" s="177">
        <v>-285.55</v>
      </c>
      <c r="S275" s="177">
        <v>0</v>
      </c>
      <c r="T275" s="175">
        <v>0</v>
      </c>
      <c r="U275" s="175">
        <v>0</v>
      </c>
      <c r="V275" s="178">
        <v>0</v>
      </c>
      <c r="W275" s="178">
        <v>0</v>
      </c>
      <c r="X275" s="3">
        <v>0</v>
      </c>
      <c r="Y275" s="161">
        <v>54092.15</v>
      </c>
      <c r="Z275" s="3">
        <f t="shared" si="17"/>
        <v>27935.17</v>
      </c>
      <c r="AA275" s="3">
        <f t="shared" si="18"/>
        <v>325761.53999999998</v>
      </c>
      <c r="AB275" s="3">
        <f t="shared" si="20"/>
        <v>78322.78</v>
      </c>
      <c r="AC275" s="3">
        <f>ROUND(MAX(0,(D275-V275)*Shift11!$B$3),2)</f>
        <v>601.58000000000004</v>
      </c>
      <c r="AD275" s="3">
        <f t="shared" si="19"/>
        <v>54092.15</v>
      </c>
    </row>
    <row r="276" spans="1:30" x14ac:dyDescent="0.2">
      <c r="A276" s="18">
        <v>914</v>
      </c>
      <c r="B276" s="18">
        <v>1</v>
      </c>
      <c r="C276" s="3" t="s">
        <v>272</v>
      </c>
      <c r="D276" s="3">
        <f>Levy!F276</f>
        <v>363856.23</v>
      </c>
      <c r="E276" s="3">
        <f>Levy!G276</f>
        <v>10243</v>
      </c>
      <c r="F276" s="3">
        <f>Levy!H276</f>
        <v>0</v>
      </c>
      <c r="G276" s="3">
        <f>Levy!I276</f>
        <v>90144.17</v>
      </c>
      <c r="H276" s="3">
        <f>Levy!J276</f>
        <v>17848.78</v>
      </c>
      <c r="I276" s="176">
        <v>0</v>
      </c>
      <c r="J276" s="177">
        <v>2600</v>
      </c>
      <c r="K276" s="177">
        <v>11665.08</v>
      </c>
      <c r="L276" s="177">
        <v>0</v>
      </c>
      <c r="M276" s="175">
        <v>0</v>
      </c>
      <c r="N276" s="175">
        <v>0</v>
      </c>
      <c r="O276" s="175">
        <v>0</v>
      </c>
      <c r="P276" s="177">
        <v>-3947</v>
      </c>
      <c r="Q276" s="177">
        <v>0</v>
      </c>
      <c r="R276" s="177">
        <v>0</v>
      </c>
      <c r="S276" s="177">
        <v>0</v>
      </c>
      <c r="T276" s="175">
        <v>0</v>
      </c>
      <c r="U276" s="175">
        <v>0</v>
      </c>
      <c r="V276" s="178">
        <v>0</v>
      </c>
      <c r="W276" s="178">
        <v>0</v>
      </c>
      <c r="X276" s="3">
        <v>527.82000000000005</v>
      </c>
      <c r="Y276" s="161">
        <v>88350</v>
      </c>
      <c r="Z276" s="3">
        <f t="shared" si="17"/>
        <v>10318.08</v>
      </c>
      <c r="AA276" s="3">
        <f t="shared" si="18"/>
        <v>89541.27</v>
      </c>
      <c r="AB276" s="3">
        <f t="shared" si="20"/>
        <v>17848.78</v>
      </c>
      <c r="AC276" s="3">
        <f>ROUND(MAX(0,(D276-V276)*Shift11!$B$3),2)</f>
        <v>176834.13</v>
      </c>
      <c r="AD276" s="3">
        <f t="shared" si="19"/>
        <v>176834.13</v>
      </c>
    </row>
    <row r="277" spans="1:30" x14ac:dyDescent="0.2">
      <c r="A277" s="18">
        <v>2071</v>
      </c>
      <c r="B277" s="18">
        <v>1</v>
      </c>
      <c r="C277" s="3" t="s">
        <v>273</v>
      </c>
      <c r="D277" s="3">
        <f>Levy!F277</f>
        <v>486874.25</v>
      </c>
      <c r="E277" s="3">
        <f>Levy!G277</f>
        <v>81855.47</v>
      </c>
      <c r="F277" s="3">
        <f>Levy!H277</f>
        <v>0</v>
      </c>
      <c r="G277" s="3">
        <f>Levy!I277</f>
        <v>400222.35</v>
      </c>
      <c r="H277" s="3">
        <f>Levy!J277</f>
        <v>80528.899999999994</v>
      </c>
      <c r="I277" s="176">
        <v>0</v>
      </c>
      <c r="J277" s="177">
        <v>1794.46</v>
      </c>
      <c r="K277" s="177">
        <v>16952.62</v>
      </c>
      <c r="L277" s="177">
        <v>0</v>
      </c>
      <c r="M277" s="175">
        <v>0</v>
      </c>
      <c r="N277" s="175">
        <v>0</v>
      </c>
      <c r="O277" s="175">
        <v>0</v>
      </c>
      <c r="P277" s="177">
        <v>790.33</v>
      </c>
      <c r="Q277" s="177">
        <v>0</v>
      </c>
      <c r="R277" s="177">
        <v>951.2</v>
      </c>
      <c r="S277" s="177">
        <v>0</v>
      </c>
      <c r="T277" s="175">
        <v>0</v>
      </c>
      <c r="U277" s="175">
        <v>0</v>
      </c>
      <c r="V277" s="178">
        <v>0</v>
      </c>
      <c r="W277" s="178">
        <v>0</v>
      </c>
      <c r="X277" s="3">
        <v>0</v>
      </c>
      <c r="Y277" s="161">
        <v>216532</v>
      </c>
      <c r="Z277" s="3">
        <f t="shared" si="17"/>
        <v>20488.61</v>
      </c>
      <c r="AA277" s="3">
        <f t="shared" si="18"/>
        <v>461589.21</v>
      </c>
      <c r="AB277" s="3">
        <f t="shared" si="20"/>
        <v>80528.899999999994</v>
      </c>
      <c r="AC277" s="3">
        <f>ROUND(MAX(0,(D277-V277)*Shift11!$B$3),2)</f>
        <v>236620.89</v>
      </c>
      <c r="AD277" s="3">
        <f t="shared" si="19"/>
        <v>236620.89</v>
      </c>
    </row>
    <row r="278" spans="1:30" x14ac:dyDescent="0.2">
      <c r="A278" s="18">
        <v>2125</v>
      </c>
      <c r="B278" s="18">
        <v>1</v>
      </c>
      <c r="C278" s="3" t="s">
        <v>274</v>
      </c>
      <c r="D278" s="3">
        <f>Levy!F278</f>
        <v>558259.56000000006</v>
      </c>
      <c r="E278" s="3">
        <f>Levy!G278</f>
        <v>82122.14</v>
      </c>
      <c r="F278" s="3">
        <f>Levy!H278</f>
        <v>0</v>
      </c>
      <c r="G278" s="3">
        <f>Levy!I278</f>
        <v>555463.18999999994</v>
      </c>
      <c r="H278" s="3">
        <f>Levy!J278</f>
        <v>109682.81</v>
      </c>
      <c r="I278" s="176">
        <v>0</v>
      </c>
      <c r="J278" s="177">
        <v>20000</v>
      </c>
      <c r="K278" s="177">
        <v>12882.33</v>
      </c>
      <c r="L278" s="177">
        <v>0</v>
      </c>
      <c r="M278" s="175">
        <v>0</v>
      </c>
      <c r="N278" s="175">
        <v>0</v>
      </c>
      <c r="O278" s="175">
        <v>0</v>
      </c>
      <c r="P278" s="177">
        <v>4809.9799999999996</v>
      </c>
      <c r="Q278" s="177">
        <v>0</v>
      </c>
      <c r="R278" s="177">
        <v>-687.5</v>
      </c>
      <c r="S278" s="177">
        <v>0</v>
      </c>
      <c r="T278" s="175">
        <v>0</v>
      </c>
      <c r="U278" s="175">
        <v>0</v>
      </c>
      <c r="V278" s="178">
        <v>0</v>
      </c>
      <c r="W278" s="178">
        <v>0</v>
      </c>
      <c r="X278" s="3">
        <v>0</v>
      </c>
      <c r="Y278" s="161">
        <v>130834.75</v>
      </c>
      <c r="Z278" s="3">
        <f t="shared" si="17"/>
        <v>37004.81</v>
      </c>
      <c r="AA278" s="3">
        <f t="shared" si="18"/>
        <v>600580.52</v>
      </c>
      <c r="AB278" s="3">
        <f t="shared" si="20"/>
        <v>109682.81</v>
      </c>
      <c r="AC278" s="3">
        <f>ROUND(MAX(0,(D278-V278)*Shift11!$B$3),2)</f>
        <v>271314.15000000002</v>
      </c>
      <c r="AD278" s="3">
        <f t="shared" si="19"/>
        <v>271314.15000000002</v>
      </c>
    </row>
    <row r="279" spans="1:30" x14ac:dyDescent="0.2">
      <c r="A279" s="18">
        <v>2134</v>
      </c>
      <c r="B279" s="18">
        <v>1</v>
      </c>
      <c r="C279" s="3" t="s">
        <v>275</v>
      </c>
      <c r="D279" s="3">
        <f>Levy!F279</f>
        <v>827028.44</v>
      </c>
      <c r="E279" s="3">
        <f>Levy!G279</f>
        <v>16598.13</v>
      </c>
      <c r="F279" s="3">
        <f>Levy!H279</f>
        <v>0</v>
      </c>
      <c r="G279" s="3">
        <f>Levy!I279</f>
        <v>428238.64</v>
      </c>
      <c r="H279" s="3">
        <f>Levy!J279</f>
        <v>84001.72</v>
      </c>
      <c r="I279" s="176">
        <v>0</v>
      </c>
      <c r="J279" s="177">
        <v>20000</v>
      </c>
      <c r="K279" s="177">
        <v>23828.48</v>
      </c>
      <c r="L279" s="177">
        <v>0</v>
      </c>
      <c r="M279" s="175">
        <v>0</v>
      </c>
      <c r="N279" s="175">
        <v>0</v>
      </c>
      <c r="O279" s="175">
        <v>0</v>
      </c>
      <c r="P279" s="177">
        <v>-5837.57</v>
      </c>
      <c r="Q279" s="177">
        <v>0</v>
      </c>
      <c r="R279" s="177">
        <v>-965.6</v>
      </c>
      <c r="S279" s="177">
        <v>0</v>
      </c>
      <c r="T279" s="175">
        <v>0</v>
      </c>
      <c r="U279" s="175">
        <v>0</v>
      </c>
      <c r="V279" s="178">
        <v>0</v>
      </c>
      <c r="W279" s="178">
        <v>0</v>
      </c>
      <c r="X279" s="3">
        <v>10564.1</v>
      </c>
      <c r="Y279" s="161">
        <v>243273.5</v>
      </c>
      <c r="Z279" s="3">
        <f t="shared" si="17"/>
        <v>37025.31</v>
      </c>
      <c r="AA279" s="3">
        <f t="shared" si="18"/>
        <v>397247.36</v>
      </c>
      <c r="AB279" s="3">
        <f t="shared" si="20"/>
        <v>84001.72</v>
      </c>
      <c r="AC279" s="3">
        <f>ROUND(MAX(0,(D279-V279)*Shift11!$B$3),2)</f>
        <v>401935.82</v>
      </c>
      <c r="AD279" s="3">
        <f t="shared" si="19"/>
        <v>401935.82</v>
      </c>
    </row>
    <row r="280" spans="1:30" x14ac:dyDescent="0.2">
      <c r="A280" s="18">
        <v>2135</v>
      </c>
      <c r="B280" s="18">
        <v>1</v>
      </c>
      <c r="C280" s="3" t="s">
        <v>276</v>
      </c>
      <c r="D280" s="3">
        <f>Levy!F280</f>
        <v>679797.95</v>
      </c>
      <c r="E280" s="3">
        <f>Levy!G280</f>
        <v>70705.69</v>
      </c>
      <c r="F280" s="3">
        <f>Levy!H280</f>
        <v>0</v>
      </c>
      <c r="G280" s="3">
        <f>Levy!I280</f>
        <v>374264.16</v>
      </c>
      <c r="H280" s="3">
        <f>Levy!J280</f>
        <v>85271.09</v>
      </c>
      <c r="I280" s="176">
        <v>0</v>
      </c>
      <c r="J280" s="177">
        <v>0</v>
      </c>
      <c r="K280" s="177">
        <v>27718.09</v>
      </c>
      <c r="L280" s="177">
        <v>0</v>
      </c>
      <c r="M280" s="175">
        <v>0</v>
      </c>
      <c r="N280" s="175">
        <v>0</v>
      </c>
      <c r="O280" s="175">
        <v>0</v>
      </c>
      <c r="P280" s="177">
        <v>23132.21</v>
      </c>
      <c r="Q280" s="177">
        <v>0</v>
      </c>
      <c r="R280" s="177">
        <v>-384</v>
      </c>
      <c r="S280" s="177">
        <v>0</v>
      </c>
      <c r="T280" s="175">
        <v>0</v>
      </c>
      <c r="U280" s="175">
        <v>0</v>
      </c>
      <c r="V280" s="178">
        <v>0</v>
      </c>
      <c r="W280" s="178">
        <v>0</v>
      </c>
      <c r="X280" s="3">
        <v>0</v>
      </c>
      <c r="Y280" s="161">
        <v>188722.05</v>
      </c>
      <c r="Z280" s="3">
        <f t="shared" si="17"/>
        <v>50466.3</v>
      </c>
      <c r="AA280" s="3">
        <f t="shared" si="18"/>
        <v>394503.55</v>
      </c>
      <c r="AB280" s="3">
        <f t="shared" si="20"/>
        <v>85271.09</v>
      </c>
      <c r="AC280" s="3">
        <f>ROUND(MAX(0,(D280-V280)*Shift11!$B$3),2)</f>
        <v>330381.8</v>
      </c>
      <c r="AD280" s="3">
        <f t="shared" si="19"/>
        <v>330381.8</v>
      </c>
    </row>
    <row r="281" spans="1:30" x14ac:dyDescent="0.2">
      <c r="A281" s="18">
        <v>2137</v>
      </c>
      <c r="B281" s="18">
        <v>1</v>
      </c>
      <c r="C281" s="3" t="s">
        <v>277</v>
      </c>
      <c r="D281" s="3">
        <f>Levy!F281</f>
        <v>420224.79</v>
      </c>
      <c r="E281" s="3">
        <f>Levy!G281</f>
        <v>55170</v>
      </c>
      <c r="F281" s="3">
        <f>Levy!H281</f>
        <v>0</v>
      </c>
      <c r="G281" s="3">
        <f>Levy!I281</f>
        <v>364210.36</v>
      </c>
      <c r="H281" s="3">
        <f>Levy!J281</f>
        <v>73377.91</v>
      </c>
      <c r="I281" s="176">
        <v>0</v>
      </c>
      <c r="J281" s="177">
        <v>15000</v>
      </c>
      <c r="K281" s="177">
        <v>22337.439999999999</v>
      </c>
      <c r="L281" s="177">
        <v>0</v>
      </c>
      <c r="M281" s="175">
        <v>0</v>
      </c>
      <c r="N281" s="175">
        <v>0</v>
      </c>
      <c r="O281" s="175">
        <v>0</v>
      </c>
      <c r="P281" s="177">
        <v>7076.66</v>
      </c>
      <c r="Q281" s="177">
        <v>0</v>
      </c>
      <c r="R281" s="177">
        <v>0</v>
      </c>
      <c r="S281" s="177">
        <v>0</v>
      </c>
      <c r="T281" s="175">
        <v>0</v>
      </c>
      <c r="U281" s="175">
        <v>0</v>
      </c>
      <c r="V281" s="178">
        <v>0</v>
      </c>
      <c r="W281" s="178">
        <v>0</v>
      </c>
      <c r="X281" s="3">
        <v>0</v>
      </c>
      <c r="Y281" s="161">
        <v>63102.69</v>
      </c>
      <c r="Z281" s="3">
        <f t="shared" si="17"/>
        <v>44414.100000000006</v>
      </c>
      <c r="AA281" s="3">
        <f t="shared" si="18"/>
        <v>374966.26</v>
      </c>
      <c r="AB281" s="3">
        <f t="shared" si="20"/>
        <v>73377.91</v>
      </c>
      <c r="AC281" s="3">
        <f>ROUND(MAX(0,(D281-V281)*Shift11!$B$3),2)</f>
        <v>204229.25</v>
      </c>
      <c r="AD281" s="3">
        <f t="shared" si="19"/>
        <v>204229.25</v>
      </c>
    </row>
    <row r="282" spans="1:30" x14ac:dyDescent="0.2">
      <c r="A282" s="18">
        <v>2142</v>
      </c>
      <c r="B282" s="18">
        <v>1</v>
      </c>
      <c r="C282" s="3" t="s">
        <v>278</v>
      </c>
      <c r="D282" s="3">
        <f>Levy!F282</f>
        <v>8047.96</v>
      </c>
      <c r="E282" s="3">
        <f>Levy!G282</f>
        <v>217440.32</v>
      </c>
      <c r="F282" s="3">
        <f>Levy!H282</f>
        <v>0</v>
      </c>
      <c r="G282" s="3">
        <f>Levy!I282</f>
        <v>1657744.2</v>
      </c>
      <c r="H282" s="3">
        <f>Levy!J282</f>
        <v>0</v>
      </c>
      <c r="I282" s="176">
        <v>0</v>
      </c>
      <c r="J282" s="177">
        <v>58000</v>
      </c>
      <c r="K282" s="177">
        <v>25474.52</v>
      </c>
      <c r="L282" s="177">
        <v>150000</v>
      </c>
      <c r="M282" s="175">
        <v>0</v>
      </c>
      <c r="N282" s="175">
        <v>0</v>
      </c>
      <c r="O282" s="175">
        <v>0</v>
      </c>
      <c r="P282" s="177">
        <v>38909.93</v>
      </c>
      <c r="Q282" s="177">
        <v>0</v>
      </c>
      <c r="R282" s="177">
        <v>-51.07</v>
      </c>
      <c r="S282" s="177">
        <v>201600.37</v>
      </c>
      <c r="T282" s="175">
        <v>0</v>
      </c>
      <c r="U282" s="175">
        <v>0</v>
      </c>
      <c r="V282" s="178">
        <v>0</v>
      </c>
      <c r="W282" s="178">
        <v>0</v>
      </c>
      <c r="X282" s="3">
        <v>21538.33</v>
      </c>
      <c r="Y282" s="161">
        <v>171786.65</v>
      </c>
      <c r="Z282" s="3">
        <f t="shared" si="17"/>
        <v>473933.75</v>
      </c>
      <c r="AA282" s="3">
        <f t="shared" si="18"/>
        <v>1379712.44</v>
      </c>
      <c r="AB282" s="3">
        <f t="shared" si="20"/>
        <v>0</v>
      </c>
      <c r="AC282" s="3">
        <f>ROUND(MAX(0,(D282-V282)*Shift11!$B$3),2)</f>
        <v>3911.31</v>
      </c>
      <c r="AD282" s="3">
        <f t="shared" si="19"/>
        <v>171786.65</v>
      </c>
    </row>
    <row r="283" spans="1:30" x14ac:dyDescent="0.2">
      <c r="A283" s="18">
        <v>2143</v>
      </c>
      <c r="B283" s="18">
        <v>1</v>
      </c>
      <c r="C283" s="3" t="s">
        <v>279</v>
      </c>
      <c r="D283" s="3">
        <f>Levy!F283</f>
        <v>1285958</v>
      </c>
      <c r="E283" s="3">
        <f>Levy!G283</f>
        <v>83506</v>
      </c>
      <c r="F283" s="3">
        <f>Levy!H283</f>
        <v>0</v>
      </c>
      <c r="G283" s="3">
        <f>Levy!I283</f>
        <v>321192</v>
      </c>
      <c r="H283" s="3">
        <f>Levy!J283</f>
        <v>73705</v>
      </c>
      <c r="I283" s="176">
        <v>0</v>
      </c>
      <c r="J283" s="177">
        <v>9250</v>
      </c>
      <c r="K283" s="177">
        <v>21460.44</v>
      </c>
      <c r="L283" s="177">
        <v>0</v>
      </c>
      <c r="M283" s="175">
        <v>0</v>
      </c>
      <c r="N283" s="175">
        <v>0</v>
      </c>
      <c r="O283" s="175">
        <v>0</v>
      </c>
      <c r="P283" s="177">
        <v>8293.91</v>
      </c>
      <c r="Q283" s="177">
        <v>0</v>
      </c>
      <c r="R283" s="177">
        <v>0</v>
      </c>
      <c r="S283" s="177">
        <v>0</v>
      </c>
      <c r="T283" s="175">
        <v>0</v>
      </c>
      <c r="U283" s="175">
        <v>0</v>
      </c>
      <c r="V283" s="178">
        <v>0</v>
      </c>
      <c r="W283" s="178">
        <v>0</v>
      </c>
      <c r="X283" s="3">
        <v>0</v>
      </c>
      <c r="Y283" s="161">
        <v>72111.33</v>
      </c>
      <c r="Z283" s="3">
        <f t="shared" si="17"/>
        <v>39004.35</v>
      </c>
      <c r="AA283" s="3">
        <f t="shared" si="18"/>
        <v>365693.65</v>
      </c>
      <c r="AB283" s="3">
        <f t="shared" si="20"/>
        <v>73705</v>
      </c>
      <c r="AC283" s="3">
        <f>ROUND(MAX(0,(D283-V283)*Shift11!$B$3),2)</f>
        <v>624975.59</v>
      </c>
      <c r="AD283" s="3">
        <f t="shared" si="19"/>
        <v>624975.59</v>
      </c>
    </row>
    <row r="284" spans="1:30" x14ac:dyDescent="0.2">
      <c r="A284" s="18">
        <v>2144</v>
      </c>
      <c r="B284" s="18">
        <v>1</v>
      </c>
      <c r="C284" s="3" t="s">
        <v>280</v>
      </c>
      <c r="D284" s="3">
        <f>Levy!F284</f>
        <v>1645018.67</v>
      </c>
      <c r="E284" s="3">
        <f>Levy!G284</f>
        <v>452764.33</v>
      </c>
      <c r="F284" s="3">
        <f>Levy!H284</f>
        <v>0</v>
      </c>
      <c r="G284" s="3">
        <f>Levy!I284</f>
        <v>1702543.85</v>
      </c>
      <c r="H284" s="3">
        <f>Levy!J284</f>
        <v>292526.46999999997</v>
      </c>
      <c r="I284" s="176">
        <v>0</v>
      </c>
      <c r="J284" s="177">
        <v>55000</v>
      </c>
      <c r="K284" s="177">
        <v>83827.100000000006</v>
      </c>
      <c r="L284" s="177">
        <v>0</v>
      </c>
      <c r="M284" s="175">
        <v>0</v>
      </c>
      <c r="N284" s="175">
        <v>0</v>
      </c>
      <c r="O284" s="175">
        <v>0</v>
      </c>
      <c r="P284" s="177">
        <v>25159.8</v>
      </c>
      <c r="Q284" s="177">
        <v>0</v>
      </c>
      <c r="R284" s="177">
        <v>-3368</v>
      </c>
      <c r="S284" s="177">
        <v>0</v>
      </c>
      <c r="T284" s="175">
        <v>0</v>
      </c>
      <c r="U284" s="175">
        <v>0</v>
      </c>
      <c r="V284" s="178">
        <v>0</v>
      </c>
      <c r="W284" s="178">
        <v>0</v>
      </c>
      <c r="X284" s="3">
        <v>0</v>
      </c>
      <c r="Y284" s="161">
        <v>212914.72</v>
      </c>
      <c r="Z284" s="3">
        <f t="shared" si="17"/>
        <v>160618.9</v>
      </c>
      <c r="AA284" s="3">
        <f t="shared" si="18"/>
        <v>1994689.28</v>
      </c>
      <c r="AB284" s="3">
        <f t="shared" si="20"/>
        <v>292526.46999999997</v>
      </c>
      <c r="AC284" s="3">
        <f>ROUND(MAX(0,(D284-V284)*Shift11!$B$3),2)</f>
        <v>799479.07</v>
      </c>
      <c r="AD284" s="3">
        <f t="shared" si="19"/>
        <v>799479.07</v>
      </c>
    </row>
    <row r="285" spans="1:30" x14ac:dyDescent="0.2">
      <c r="A285" s="18">
        <v>2149</v>
      </c>
      <c r="B285" s="18">
        <v>1</v>
      </c>
      <c r="C285" s="3" t="s">
        <v>281</v>
      </c>
      <c r="D285" s="3">
        <f>Levy!F285</f>
        <v>847899</v>
      </c>
      <c r="E285" s="3">
        <f>Levy!G285</f>
        <v>131830</v>
      </c>
      <c r="F285" s="3">
        <f>Levy!H285</f>
        <v>0</v>
      </c>
      <c r="G285" s="3">
        <f>Levy!I285</f>
        <v>681650</v>
      </c>
      <c r="H285" s="3">
        <f>Levy!J285</f>
        <v>144192</v>
      </c>
      <c r="I285" s="176">
        <v>0</v>
      </c>
      <c r="J285" s="177">
        <v>25000</v>
      </c>
      <c r="K285" s="177">
        <v>40063.57</v>
      </c>
      <c r="L285" s="177">
        <v>0</v>
      </c>
      <c r="M285" s="175">
        <v>0</v>
      </c>
      <c r="N285" s="175">
        <v>0</v>
      </c>
      <c r="O285" s="175">
        <v>0</v>
      </c>
      <c r="P285" s="177">
        <v>7663.97</v>
      </c>
      <c r="Q285" s="177">
        <v>0</v>
      </c>
      <c r="R285" s="177">
        <v>0</v>
      </c>
      <c r="S285" s="177">
        <v>0</v>
      </c>
      <c r="T285" s="175">
        <v>0</v>
      </c>
      <c r="U285" s="175">
        <v>0</v>
      </c>
      <c r="V285" s="178">
        <v>0</v>
      </c>
      <c r="W285" s="178">
        <v>0</v>
      </c>
      <c r="X285" s="3">
        <v>0</v>
      </c>
      <c r="Y285" s="161">
        <v>105651.52</v>
      </c>
      <c r="Z285" s="3">
        <f t="shared" si="17"/>
        <v>72727.539999999994</v>
      </c>
      <c r="AA285" s="3">
        <f t="shared" si="18"/>
        <v>740752.46</v>
      </c>
      <c r="AB285" s="3">
        <f t="shared" si="20"/>
        <v>144192</v>
      </c>
      <c r="AC285" s="3">
        <f>ROUND(MAX(0,(D285-V285)*Shift11!$B$3),2)</f>
        <v>412078.91</v>
      </c>
      <c r="AD285" s="3">
        <f t="shared" si="19"/>
        <v>412078.91</v>
      </c>
    </row>
    <row r="286" spans="1:30" x14ac:dyDescent="0.2">
      <c r="A286" s="18">
        <v>2154</v>
      </c>
      <c r="B286" s="18">
        <v>1</v>
      </c>
      <c r="C286" s="3" t="s">
        <v>282</v>
      </c>
      <c r="D286" s="3">
        <f>Levy!F286</f>
        <v>562117.18000000005</v>
      </c>
      <c r="E286" s="3">
        <f>Levy!G286</f>
        <v>80257.36</v>
      </c>
      <c r="F286" s="3">
        <f>Levy!H286</f>
        <v>0</v>
      </c>
      <c r="G286" s="3">
        <f>Levy!I286</f>
        <v>0</v>
      </c>
      <c r="H286" s="3">
        <f>Levy!J286</f>
        <v>0</v>
      </c>
      <c r="I286" s="176">
        <v>0</v>
      </c>
      <c r="J286" s="177">
        <v>25000</v>
      </c>
      <c r="K286" s="177">
        <v>31201.66</v>
      </c>
      <c r="L286" s="177">
        <v>86195</v>
      </c>
      <c r="M286" s="175">
        <v>0</v>
      </c>
      <c r="N286" s="175">
        <v>0</v>
      </c>
      <c r="O286" s="175">
        <v>0</v>
      </c>
      <c r="P286" s="177">
        <v>-1660.61</v>
      </c>
      <c r="Q286" s="177">
        <v>0</v>
      </c>
      <c r="R286" s="177">
        <v>0</v>
      </c>
      <c r="S286" s="177">
        <v>-17815.96</v>
      </c>
      <c r="T286" s="175">
        <v>0</v>
      </c>
      <c r="U286" s="175">
        <v>0</v>
      </c>
      <c r="V286" s="178">
        <v>0</v>
      </c>
      <c r="W286" s="178">
        <v>0</v>
      </c>
      <c r="X286" s="3">
        <v>22207.47</v>
      </c>
      <c r="Y286" s="161">
        <v>52276.22</v>
      </c>
      <c r="Z286" s="3">
        <f t="shared" si="17"/>
        <v>122920.09000000003</v>
      </c>
      <c r="AA286" s="3">
        <f t="shared" si="18"/>
        <v>0</v>
      </c>
      <c r="AB286" s="3">
        <f t="shared" si="20"/>
        <v>0</v>
      </c>
      <c r="AC286" s="3">
        <f>ROUND(MAX(0,(D286-V286)*Shift11!$B$3),2)</f>
        <v>273188.95</v>
      </c>
      <c r="AD286" s="3">
        <f t="shared" si="19"/>
        <v>273188.95</v>
      </c>
    </row>
    <row r="287" spans="1:30" x14ac:dyDescent="0.2">
      <c r="A287" s="18">
        <v>2155</v>
      </c>
      <c r="B287" s="18">
        <v>1</v>
      </c>
      <c r="C287" s="3" t="s">
        <v>283</v>
      </c>
      <c r="D287" s="3">
        <f>Levy!F287</f>
        <v>573218</v>
      </c>
      <c r="E287" s="3">
        <f>Levy!G287</f>
        <v>64669</v>
      </c>
      <c r="F287" s="3">
        <f>Levy!H287</f>
        <v>0</v>
      </c>
      <c r="G287" s="3">
        <f>Levy!I287</f>
        <v>249637</v>
      </c>
      <c r="H287" s="3">
        <f>Levy!J287</f>
        <v>68530</v>
      </c>
      <c r="I287" s="176">
        <v>0</v>
      </c>
      <c r="J287" s="177">
        <v>20000</v>
      </c>
      <c r="K287" s="177">
        <v>34784.42</v>
      </c>
      <c r="L287" s="177">
        <v>0</v>
      </c>
      <c r="M287" s="175">
        <v>0</v>
      </c>
      <c r="N287" s="175">
        <v>0</v>
      </c>
      <c r="O287" s="175">
        <v>0</v>
      </c>
      <c r="P287" s="177">
        <v>-1405.99</v>
      </c>
      <c r="Q287" s="177">
        <v>0</v>
      </c>
      <c r="R287" s="177">
        <v>0</v>
      </c>
      <c r="S287" s="177">
        <v>0</v>
      </c>
      <c r="T287" s="175">
        <v>0</v>
      </c>
      <c r="U287" s="175">
        <v>0</v>
      </c>
      <c r="V287" s="178">
        <v>0</v>
      </c>
      <c r="W287" s="178">
        <v>0</v>
      </c>
      <c r="X287" s="3">
        <v>0</v>
      </c>
      <c r="Y287" s="161">
        <v>38157.32</v>
      </c>
      <c r="Z287" s="3">
        <f t="shared" si="17"/>
        <v>53378.43</v>
      </c>
      <c r="AA287" s="3">
        <f t="shared" si="18"/>
        <v>260927.57</v>
      </c>
      <c r="AB287" s="3">
        <f t="shared" si="20"/>
        <v>68530</v>
      </c>
      <c r="AC287" s="3">
        <f>ROUND(MAX(0,(D287-V287)*Shift11!$B$3),2)</f>
        <v>278583.95</v>
      </c>
      <c r="AD287" s="3">
        <f t="shared" si="19"/>
        <v>278583.95</v>
      </c>
    </row>
    <row r="288" spans="1:30" x14ac:dyDescent="0.2">
      <c r="A288" s="18">
        <v>2159</v>
      </c>
      <c r="B288" s="18">
        <v>1</v>
      </c>
      <c r="C288" s="3" t="s">
        <v>284</v>
      </c>
      <c r="D288" s="3">
        <f>Levy!F288</f>
        <v>501124.39</v>
      </c>
      <c r="E288" s="3">
        <f>Levy!G288</f>
        <v>53588.49</v>
      </c>
      <c r="F288" s="3">
        <f>Levy!H288</f>
        <v>0</v>
      </c>
      <c r="G288" s="3">
        <f>Levy!I288</f>
        <v>290062.03999999998</v>
      </c>
      <c r="H288" s="3">
        <f>Levy!J288</f>
        <v>45624.79</v>
      </c>
      <c r="I288" s="176">
        <v>0</v>
      </c>
      <c r="J288" s="177">
        <v>15000</v>
      </c>
      <c r="K288" s="177">
        <v>13904.77</v>
      </c>
      <c r="L288" s="177">
        <v>0</v>
      </c>
      <c r="M288" s="175">
        <v>0</v>
      </c>
      <c r="N288" s="175">
        <v>0</v>
      </c>
      <c r="O288" s="175">
        <v>0</v>
      </c>
      <c r="P288" s="177">
        <v>9915.73</v>
      </c>
      <c r="Q288" s="177">
        <v>0</v>
      </c>
      <c r="R288" s="177">
        <v>-107.2</v>
      </c>
      <c r="S288" s="177">
        <v>0</v>
      </c>
      <c r="T288" s="175">
        <v>0</v>
      </c>
      <c r="U288" s="175">
        <v>0</v>
      </c>
      <c r="V288" s="178">
        <v>0</v>
      </c>
      <c r="W288" s="178">
        <v>0</v>
      </c>
      <c r="X288" s="3">
        <f>22933.81+919.38</f>
        <v>23853.190000000002</v>
      </c>
      <c r="Y288" s="161">
        <f>98779.38+3741.29</f>
        <v>102520.67</v>
      </c>
      <c r="Z288" s="3">
        <f t="shared" si="17"/>
        <v>38713.300000000003</v>
      </c>
      <c r="AA288" s="3">
        <f t="shared" si="18"/>
        <v>281084.03999999998</v>
      </c>
      <c r="AB288" s="3">
        <f t="shared" si="20"/>
        <v>45624.79</v>
      </c>
      <c r="AC288" s="3">
        <f>ROUND(MAX(0,(D288-V288)*Shift11!$B$3),2)</f>
        <v>243546.45</v>
      </c>
      <c r="AD288" s="3">
        <f t="shared" si="19"/>
        <v>243546.45</v>
      </c>
    </row>
    <row r="289" spans="1:30" x14ac:dyDescent="0.2">
      <c r="A289" s="18">
        <v>2164</v>
      </c>
      <c r="B289" s="18">
        <v>1</v>
      </c>
      <c r="C289" s="3" t="s">
        <v>285</v>
      </c>
      <c r="D289" s="3">
        <f>Levy!F289</f>
        <v>321243.8</v>
      </c>
      <c r="E289" s="3">
        <f>Levy!G289</f>
        <v>114871.4</v>
      </c>
      <c r="F289" s="3">
        <f>Levy!H289</f>
        <v>0</v>
      </c>
      <c r="G289" s="3">
        <f>Levy!I289</f>
        <v>148291.22</v>
      </c>
      <c r="H289" s="3">
        <f>Levy!J289</f>
        <v>75618.63</v>
      </c>
      <c r="I289" s="176">
        <v>0</v>
      </c>
      <c r="J289" s="177">
        <v>3700</v>
      </c>
      <c r="K289" s="177">
        <v>22306.11</v>
      </c>
      <c r="L289" s="177">
        <v>0</v>
      </c>
      <c r="M289" s="175">
        <v>0</v>
      </c>
      <c r="N289" s="175">
        <v>0</v>
      </c>
      <c r="O289" s="175">
        <v>0</v>
      </c>
      <c r="P289" s="177">
        <v>-1538.69</v>
      </c>
      <c r="Q289" s="177">
        <v>0</v>
      </c>
      <c r="R289" s="177">
        <v>-5794.94</v>
      </c>
      <c r="S289" s="177">
        <v>0</v>
      </c>
      <c r="T289" s="175">
        <v>0</v>
      </c>
      <c r="U289" s="175">
        <v>0</v>
      </c>
      <c r="V289" s="178">
        <v>0</v>
      </c>
      <c r="W289" s="178">
        <v>0</v>
      </c>
      <c r="X289" s="3">
        <v>0</v>
      </c>
      <c r="Y289" s="161">
        <v>55510.33</v>
      </c>
      <c r="Z289" s="3">
        <f t="shared" si="17"/>
        <v>18672.480000000003</v>
      </c>
      <c r="AA289" s="3">
        <f t="shared" si="18"/>
        <v>244490.14</v>
      </c>
      <c r="AB289" s="3">
        <f t="shared" si="20"/>
        <v>75618.63</v>
      </c>
      <c r="AC289" s="3">
        <f>ROUND(MAX(0,(D289-V289)*Shift11!$B$3),2)</f>
        <v>156124.49</v>
      </c>
      <c r="AD289" s="3">
        <f t="shared" si="19"/>
        <v>156124.49</v>
      </c>
    </row>
    <row r="290" spans="1:30" x14ac:dyDescent="0.2">
      <c r="A290" s="18">
        <v>2165</v>
      </c>
      <c r="B290" s="18">
        <v>1</v>
      </c>
      <c r="C290" s="3" t="s">
        <v>286</v>
      </c>
      <c r="D290" s="3">
        <f>Levy!F290</f>
        <v>273077.14</v>
      </c>
      <c r="E290" s="3">
        <f>Levy!G290</f>
        <v>102425.44</v>
      </c>
      <c r="F290" s="3">
        <f>Levy!H290</f>
        <v>0</v>
      </c>
      <c r="G290" s="3">
        <f>Levy!I290</f>
        <v>304183.13</v>
      </c>
      <c r="H290" s="3">
        <f>Levy!J290</f>
        <v>74225.440000000002</v>
      </c>
      <c r="I290" s="176">
        <v>0</v>
      </c>
      <c r="J290" s="177">
        <v>6590.96</v>
      </c>
      <c r="K290" s="177">
        <v>7886.34</v>
      </c>
      <c r="L290" s="177">
        <v>0</v>
      </c>
      <c r="M290" s="175">
        <v>0</v>
      </c>
      <c r="N290" s="175">
        <v>0</v>
      </c>
      <c r="O290" s="175">
        <v>0</v>
      </c>
      <c r="P290" s="177">
        <v>0</v>
      </c>
      <c r="Q290" s="177">
        <v>0</v>
      </c>
      <c r="R290" s="177">
        <v>4967.08</v>
      </c>
      <c r="S290" s="177">
        <v>0</v>
      </c>
      <c r="T290" s="175">
        <v>0</v>
      </c>
      <c r="U290" s="175">
        <v>0</v>
      </c>
      <c r="V290" s="178">
        <v>0</v>
      </c>
      <c r="W290" s="178">
        <v>0</v>
      </c>
      <c r="X290" s="3">
        <v>0</v>
      </c>
      <c r="Y290" s="161">
        <v>51707.97</v>
      </c>
      <c r="Z290" s="3">
        <f t="shared" si="17"/>
        <v>19444.379999999997</v>
      </c>
      <c r="AA290" s="3">
        <f t="shared" si="18"/>
        <v>387164.19</v>
      </c>
      <c r="AB290" s="3">
        <f t="shared" si="20"/>
        <v>74225.440000000002</v>
      </c>
      <c r="AC290" s="3">
        <f>ROUND(MAX(0,(D290-V290)*Shift11!$B$3),2)</f>
        <v>132715.49</v>
      </c>
      <c r="AD290" s="3">
        <f t="shared" si="19"/>
        <v>132715.49</v>
      </c>
    </row>
    <row r="291" spans="1:30" x14ac:dyDescent="0.2">
      <c r="A291" s="18">
        <v>2167</v>
      </c>
      <c r="B291" s="18">
        <v>1</v>
      </c>
      <c r="C291" s="3" t="s">
        <v>287</v>
      </c>
      <c r="D291" s="3">
        <f>Levy!F291</f>
        <v>252260</v>
      </c>
      <c r="E291" s="3">
        <f>Levy!G291</f>
        <v>38001</v>
      </c>
      <c r="F291" s="3">
        <f>Levy!H291</f>
        <v>0</v>
      </c>
      <c r="G291" s="3">
        <f>Levy!I291</f>
        <v>287231</v>
      </c>
      <c r="H291" s="3">
        <f>Levy!J291</f>
        <v>38437</v>
      </c>
      <c r="I291" s="176">
        <v>0</v>
      </c>
      <c r="J291" s="177">
        <v>0</v>
      </c>
      <c r="K291" s="177">
        <v>12430.08</v>
      </c>
      <c r="L291" s="177">
        <v>0</v>
      </c>
      <c r="M291" s="175">
        <v>0</v>
      </c>
      <c r="N291" s="175">
        <v>0</v>
      </c>
      <c r="O291" s="175">
        <v>0</v>
      </c>
      <c r="P291" s="177">
        <v>-6055.53</v>
      </c>
      <c r="Q291" s="177">
        <v>0</v>
      </c>
      <c r="R291" s="177">
        <v>0</v>
      </c>
      <c r="S291" s="177">
        <v>0</v>
      </c>
      <c r="T291" s="175">
        <v>0</v>
      </c>
      <c r="U291" s="175">
        <v>0</v>
      </c>
      <c r="V291" s="178">
        <v>0</v>
      </c>
      <c r="W291" s="178">
        <v>0</v>
      </c>
      <c r="X291" s="3">
        <v>5689.16</v>
      </c>
      <c r="Y291" s="161">
        <v>31840.2</v>
      </c>
      <c r="Z291" s="3">
        <f t="shared" si="17"/>
        <v>6374.55</v>
      </c>
      <c r="AA291" s="3">
        <f t="shared" si="18"/>
        <v>313168.28999999998</v>
      </c>
      <c r="AB291" s="3">
        <f t="shared" si="20"/>
        <v>38437</v>
      </c>
      <c r="AC291" s="3">
        <f>ROUND(MAX(0,(D291-V291)*Shift11!$B$3),2)</f>
        <v>122598.36</v>
      </c>
      <c r="AD291" s="3">
        <f t="shared" si="19"/>
        <v>122598.36</v>
      </c>
    </row>
    <row r="292" spans="1:30" x14ac:dyDescent="0.2">
      <c r="A292" s="18">
        <v>2168</v>
      </c>
      <c r="B292" s="18">
        <v>1</v>
      </c>
      <c r="C292" s="3" t="s">
        <v>288</v>
      </c>
      <c r="D292" s="3">
        <f>Levy!F292</f>
        <v>292830</v>
      </c>
      <c r="E292" s="3">
        <f>Levy!G292</f>
        <v>84905</v>
      </c>
      <c r="F292" s="3">
        <f>Levy!H292</f>
        <v>0</v>
      </c>
      <c r="G292" s="3">
        <f>Levy!I292</f>
        <v>382972</v>
      </c>
      <c r="H292" s="3">
        <f>Levy!J292</f>
        <v>66922</v>
      </c>
      <c r="I292" s="176">
        <v>0</v>
      </c>
      <c r="J292" s="177">
        <v>23052.71</v>
      </c>
      <c r="K292" s="177">
        <v>24113.11</v>
      </c>
      <c r="L292" s="177">
        <v>0</v>
      </c>
      <c r="M292" s="175">
        <v>0</v>
      </c>
      <c r="N292" s="175">
        <v>0</v>
      </c>
      <c r="O292" s="175">
        <v>0</v>
      </c>
      <c r="P292" s="177">
        <v>12332.05</v>
      </c>
      <c r="Q292" s="177">
        <v>0</v>
      </c>
      <c r="R292" s="177">
        <v>-1839.2</v>
      </c>
      <c r="S292" s="177">
        <v>0</v>
      </c>
      <c r="T292" s="175">
        <v>0</v>
      </c>
      <c r="U292" s="175">
        <v>0</v>
      </c>
      <c r="V292" s="178">
        <v>0</v>
      </c>
      <c r="W292" s="178">
        <v>0</v>
      </c>
      <c r="X292" s="3">
        <v>11668.37</v>
      </c>
      <c r="Y292" s="161">
        <v>77590.100000000006</v>
      </c>
      <c r="Z292" s="3">
        <f t="shared" si="17"/>
        <v>57658.67</v>
      </c>
      <c r="AA292" s="3">
        <f t="shared" si="18"/>
        <v>398549.96</v>
      </c>
      <c r="AB292" s="3">
        <f t="shared" si="20"/>
        <v>66922</v>
      </c>
      <c r="AC292" s="3">
        <f>ROUND(MAX(0,(D292-V292)*Shift11!$B$3),2)</f>
        <v>142315.38</v>
      </c>
      <c r="AD292" s="3">
        <f t="shared" si="19"/>
        <v>142315.38</v>
      </c>
    </row>
    <row r="293" spans="1:30" x14ac:dyDescent="0.2">
      <c r="A293" s="18">
        <v>2169</v>
      </c>
      <c r="B293" s="18">
        <v>1</v>
      </c>
      <c r="C293" s="3" t="s">
        <v>289</v>
      </c>
      <c r="D293" s="3">
        <f>Levy!F293</f>
        <v>759665.44</v>
      </c>
      <c r="E293" s="3">
        <f>Levy!G293</f>
        <v>39880.019999999997</v>
      </c>
      <c r="F293" s="3">
        <f>Levy!H293</f>
        <v>0</v>
      </c>
      <c r="G293" s="3">
        <f>Levy!I293</f>
        <v>342136.64</v>
      </c>
      <c r="H293" s="3">
        <f>Levy!J293</f>
        <v>72909.22</v>
      </c>
      <c r="I293" s="176">
        <v>0</v>
      </c>
      <c r="J293" s="177">
        <v>6000</v>
      </c>
      <c r="K293" s="177">
        <v>17451.14</v>
      </c>
      <c r="L293" s="177">
        <v>0</v>
      </c>
      <c r="M293" s="175">
        <v>0</v>
      </c>
      <c r="N293" s="175">
        <v>0</v>
      </c>
      <c r="O293" s="175">
        <v>0</v>
      </c>
      <c r="P293" s="177">
        <v>-3609.65</v>
      </c>
      <c r="Q293" s="177">
        <v>0</v>
      </c>
      <c r="R293" s="177">
        <v>0</v>
      </c>
      <c r="S293" s="177">
        <v>0</v>
      </c>
      <c r="T293" s="175">
        <v>0</v>
      </c>
      <c r="U293" s="175">
        <v>0</v>
      </c>
      <c r="V293" s="178">
        <v>0</v>
      </c>
      <c r="W293" s="178">
        <v>0</v>
      </c>
      <c r="X293" s="3">
        <v>5478.96</v>
      </c>
      <c r="Y293" s="161">
        <v>61280.65</v>
      </c>
      <c r="Z293" s="3">
        <f t="shared" si="17"/>
        <v>19841.489999999998</v>
      </c>
      <c r="AA293" s="3">
        <f t="shared" si="18"/>
        <v>356696.21</v>
      </c>
      <c r="AB293" s="3">
        <f t="shared" si="20"/>
        <v>72909.22</v>
      </c>
      <c r="AC293" s="3">
        <f>ROUND(MAX(0,(D293-V293)*Shift11!$B$3),2)</f>
        <v>369197.4</v>
      </c>
      <c r="AD293" s="3">
        <f t="shared" si="19"/>
        <v>369197.4</v>
      </c>
    </row>
    <row r="294" spans="1:30" x14ac:dyDescent="0.2">
      <c r="A294" s="18">
        <v>2170</v>
      </c>
      <c r="B294" s="18">
        <v>1</v>
      </c>
      <c r="C294" s="3" t="s">
        <v>290</v>
      </c>
      <c r="D294" s="3">
        <f>Levy!F294</f>
        <v>523983</v>
      </c>
      <c r="E294" s="3">
        <f>Levy!G294</f>
        <v>143122</v>
      </c>
      <c r="F294" s="3">
        <f>Levy!H294</f>
        <v>0</v>
      </c>
      <c r="G294" s="3">
        <f>Levy!I294</f>
        <v>335934</v>
      </c>
      <c r="H294" s="3">
        <f>Levy!J294</f>
        <v>126733</v>
      </c>
      <c r="I294" s="176">
        <v>0</v>
      </c>
      <c r="J294" s="177">
        <v>20000</v>
      </c>
      <c r="K294" s="177">
        <v>70965.22</v>
      </c>
      <c r="L294" s="177">
        <v>0</v>
      </c>
      <c r="M294" s="175">
        <v>0</v>
      </c>
      <c r="N294" s="175">
        <v>0</v>
      </c>
      <c r="O294" s="175">
        <v>0</v>
      </c>
      <c r="P294" s="177">
        <v>-11625.03</v>
      </c>
      <c r="Q294" s="177">
        <v>0</v>
      </c>
      <c r="R294" s="177">
        <v>0</v>
      </c>
      <c r="S294" s="177">
        <v>0</v>
      </c>
      <c r="T294" s="175">
        <v>0</v>
      </c>
      <c r="U294" s="175">
        <v>0</v>
      </c>
      <c r="V294" s="178">
        <v>0</v>
      </c>
      <c r="W294" s="178">
        <v>0</v>
      </c>
      <c r="X294" s="3">
        <v>0</v>
      </c>
      <c r="Y294" s="161">
        <v>78553.36</v>
      </c>
      <c r="Z294" s="3">
        <f t="shared" si="17"/>
        <v>79340.19</v>
      </c>
      <c r="AA294" s="3">
        <f t="shared" si="18"/>
        <v>399715.81</v>
      </c>
      <c r="AB294" s="3">
        <f t="shared" si="20"/>
        <v>126733</v>
      </c>
      <c r="AC294" s="3">
        <f>ROUND(MAX(0,(D294-V294)*Shift11!$B$3),2)</f>
        <v>254655.74</v>
      </c>
      <c r="AD294" s="3">
        <f t="shared" si="19"/>
        <v>254655.74</v>
      </c>
    </row>
    <row r="295" spans="1:30" x14ac:dyDescent="0.2">
      <c r="A295" s="18">
        <v>2171</v>
      </c>
      <c r="B295" s="18">
        <v>1</v>
      </c>
      <c r="C295" s="3" t="s">
        <v>291</v>
      </c>
      <c r="D295" s="3">
        <f>Levy!F295</f>
        <v>348763.83</v>
      </c>
      <c r="E295" s="3">
        <f>Levy!G295</f>
        <v>15157.84</v>
      </c>
      <c r="F295" s="3">
        <f>Levy!H295</f>
        <v>0</v>
      </c>
      <c r="G295" s="3">
        <f>Levy!I295</f>
        <v>160183.07999999999</v>
      </c>
      <c r="H295" s="3">
        <f>Levy!J295</f>
        <v>29111</v>
      </c>
      <c r="I295" s="176">
        <v>0</v>
      </c>
      <c r="J295" s="177">
        <v>0</v>
      </c>
      <c r="K295" s="177">
        <v>11665.08</v>
      </c>
      <c r="L295" s="177">
        <v>0</v>
      </c>
      <c r="M295" s="175">
        <v>0</v>
      </c>
      <c r="N295" s="175">
        <v>0</v>
      </c>
      <c r="O295" s="175">
        <v>0</v>
      </c>
      <c r="P295" s="177">
        <v>-5000</v>
      </c>
      <c r="Q295" s="177">
        <v>0</v>
      </c>
      <c r="R295" s="177">
        <v>0</v>
      </c>
      <c r="S295" s="177">
        <v>0</v>
      </c>
      <c r="T295" s="175">
        <v>0</v>
      </c>
      <c r="U295" s="175">
        <v>0</v>
      </c>
      <c r="V295" s="178">
        <v>0</v>
      </c>
      <c r="W295" s="178">
        <v>0</v>
      </c>
      <c r="X295" s="3">
        <v>0</v>
      </c>
      <c r="Y295" s="161">
        <v>312434.59999999998</v>
      </c>
      <c r="Z295" s="3">
        <f t="shared" si="17"/>
        <v>6665.08</v>
      </c>
      <c r="AA295" s="3">
        <f t="shared" si="18"/>
        <v>168675.84</v>
      </c>
      <c r="AB295" s="3">
        <f t="shared" si="20"/>
        <v>29111</v>
      </c>
      <c r="AC295" s="3">
        <f>ROUND(MAX(0,(D295-V295)*Shift11!$B$3),2)</f>
        <v>169499.22</v>
      </c>
      <c r="AD295" s="3">
        <f t="shared" si="19"/>
        <v>312434.59999999998</v>
      </c>
    </row>
    <row r="296" spans="1:30" x14ac:dyDescent="0.2">
      <c r="A296" s="18">
        <v>2172</v>
      </c>
      <c r="B296" s="18">
        <v>1</v>
      </c>
      <c r="C296" s="3" t="s">
        <v>292</v>
      </c>
      <c r="D296" s="3">
        <f>Levy!F296</f>
        <v>749940</v>
      </c>
      <c r="E296" s="3">
        <f>Levy!G296</f>
        <v>78377</v>
      </c>
      <c r="F296" s="3">
        <f>Levy!H296</f>
        <v>0</v>
      </c>
      <c r="G296" s="3">
        <f>Levy!I296</f>
        <v>370951</v>
      </c>
      <c r="H296" s="3">
        <f>Levy!J296</f>
        <v>105423</v>
      </c>
      <c r="I296" s="176">
        <v>0</v>
      </c>
      <c r="J296" s="177">
        <v>8409.23</v>
      </c>
      <c r="K296" s="177">
        <v>20035.61</v>
      </c>
      <c r="L296" s="177">
        <v>0</v>
      </c>
      <c r="M296" s="175">
        <v>0</v>
      </c>
      <c r="N296" s="175">
        <v>0</v>
      </c>
      <c r="O296" s="175">
        <v>0</v>
      </c>
      <c r="P296" s="177">
        <v>7630.89</v>
      </c>
      <c r="Q296" s="177">
        <v>0</v>
      </c>
      <c r="R296" s="177">
        <v>0</v>
      </c>
      <c r="S296" s="177">
        <v>5917.95</v>
      </c>
      <c r="T296" s="175">
        <v>0</v>
      </c>
      <c r="U296" s="175">
        <v>0</v>
      </c>
      <c r="V296" s="178">
        <v>0</v>
      </c>
      <c r="W296" s="178">
        <v>0</v>
      </c>
      <c r="X296" s="3">
        <v>0</v>
      </c>
      <c r="Y296" s="161">
        <v>71959.179999999993</v>
      </c>
      <c r="Z296" s="3">
        <f t="shared" si="17"/>
        <v>41993.68</v>
      </c>
      <c r="AA296" s="3">
        <f t="shared" si="18"/>
        <v>407334.32</v>
      </c>
      <c r="AB296" s="3">
        <f t="shared" si="20"/>
        <v>105423</v>
      </c>
      <c r="AC296" s="3">
        <f>ROUND(MAX(0,(D296-V296)*Shift11!$B$3),2)</f>
        <v>364470.84</v>
      </c>
      <c r="AD296" s="3">
        <f t="shared" si="19"/>
        <v>364470.84</v>
      </c>
    </row>
    <row r="297" spans="1:30" x14ac:dyDescent="0.2">
      <c r="A297" s="18">
        <v>2174</v>
      </c>
      <c r="B297" s="18">
        <v>1</v>
      </c>
      <c r="C297" s="3" t="s">
        <v>293</v>
      </c>
      <c r="D297" s="3">
        <f>Levy!F297</f>
        <v>936.89</v>
      </c>
      <c r="E297" s="3">
        <f>Levy!G297</f>
        <v>211794.68</v>
      </c>
      <c r="F297" s="3">
        <f>Levy!H297</f>
        <v>0</v>
      </c>
      <c r="G297" s="3">
        <f>Levy!I297</f>
        <v>143208.95000000001</v>
      </c>
      <c r="H297" s="3">
        <f>Levy!J297</f>
        <v>122701.25</v>
      </c>
      <c r="I297" s="176">
        <v>0</v>
      </c>
      <c r="J297" s="177">
        <v>0</v>
      </c>
      <c r="K297" s="177">
        <v>23143.51</v>
      </c>
      <c r="L297" s="177">
        <v>0</v>
      </c>
      <c r="M297" s="175">
        <v>0</v>
      </c>
      <c r="N297" s="175">
        <v>0</v>
      </c>
      <c r="O297" s="175">
        <v>0</v>
      </c>
      <c r="P297" s="177">
        <v>19509.12</v>
      </c>
      <c r="Q297" s="177">
        <v>0</v>
      </c>
      <c r="R297" s="177">
        <v>-1578.24</v>
      </c>
      <c r="S297" s="177">
        <v>0</v>
      </c>
      <c r="T297" s="175">
        <v>0</v>
      </c>
      <c r="U297" s="175">
        <v>0</v>
      </c>
      <c r="V297" s="178">
        <v>0</v>
      </c>
      <c r="W297" s="178">
        <v>0</v>
      </c>
      <c r="X297" s="3">
        <v>0</v>
      </c>
      <c r="Y297" s="161">
        <v>0</v>
      </c>
      <c r="Z297" s="3">
        <f t="shared" si="17"/>
        <v>41074.39</v>
      </c>
      <c r="AA297" s="3">
        <f t="shared" si="18"/>
        <v>313929.24</v>
      </c>
      <c r="AB297" s="3">
        <f t="shared" si="20"/>
        <v>122701.25</v>
      </c>
      <c r="AC297" s="3">
        <f>ROUND(MAX(0,(D297-V297)*Shift11!$B$3),2)</f>
        <v>455.33</v>
      </c>
      <c r="AD297" s="3">
        <f t="shared" si="19"/>
        <v>455.33</v>
      </c>
    </row>
    <row r="298" spans="1:30" x14ac:dyDescent="0.2">
      <c r="A298" s="18">
        <v>2176</v>
      </c>
      <c r="B298" s="18">
        <v>1</v>
      </c>
      <c r="C298" s="3" t="s">
        <v>294</v>
      </c>
      <c r="D298" s="3">
        <f>Levy!F298</f>
        <v>495140</v>
      </c>
      <c r="E298" s="3">
        <f>Levy!G298</f>
        <v>13282</v>
      </c>
      <c r="F298" s="3">
        <f>Levy!H298</f>
        <v>0</v>
      </c>
      <c r="G298" s="3">
        <f>Levy!I298</f>
        <v>329446</v>
      </c>
      <c r="H298" s="3">
        <f>Levy!J298</f>
        <v>54747</v>
      </c>
      <c r="I298" s="176">
        <v>0</v>
      </c>
      <c r="J298" s="177">
        <v>4111</v>
      </c>
      <c r="K298" s="177">
        <v>11665.08</v>
      </c>
      <c r="L298" s="177">
        <v>0</v>
      </c>
      <c r="M298" s="175">
        <v>0</v>
      </c>
      <c r="N298" s="175">
        <v>0</v>
      </c>
      <c r="O298" s="175">
        <v>0</v>
      </c>
      <c r="P298" s="177">
        <v>6033.68</v>
      </c>
      <c r="Q298" s="177">
        <v>0</v>
      </c>
      <c r="R298" s="177">
        <v>0</v>
      </c>
      <c r="S298" s="177">
        <v>0</v>
      </c>
      <c r="T298" s="175">
        <v>0</v>
      </c>
      <c r="U298" s="175">
        <v>0</v>
      </c>
      <c r="V298" s="178">
        <v>0</v>
      </c>
      <c r="W298" s="178">
        <v>0</v>
      </c>
      <c r="X298" s="3">
        <v>0</v>
      </c>
      <c r="Y298" s="161">
        <v>228879.6</v>
      </c>
      <c r="Z298" s="3">
        <f t="shared" si="17"/>
        <v>21809.760000000002</v>
      </c>
      <c r="AA298" s="3">
        <f t="shared" si="18"/>
        <v>320918.24</v>
      </c>
      <c r="AB298" s="3">
        <f t="shared" si="20"/>
        <v>54747</v>
      </c>
      <c r="AC298" s="3">
        <f>ROUND(MAX(0,(D298-V298)*Shift11!$B$3),2)</f>
        <v>240638.04</v>
      </c>
      <c r="AD298" s="3">
        <f t="shared" si="19"/>
        <v>240638.04</v>
      </c>
    </row>
    <row r="299" spans="1:30" x14ac:dyDescent="0.2">
      <c r="A299" s="18">
        <v>2180</v>
      </c>
      <c r="B299" s="18">
        <v>1</v>
      </c>
      <c r="C299" s="3" t="s">
        <v>295</v>
      </c>
      <c r="D299" s="3">
        <f>Levy!F299</f>
        <v>1209110.23</v>
      </c>
      <c r="E299" s="3">
        <f>Levy!G299</f>
        <v>12169.67</v>
      </c>
      <c r="F299" s="3">
        <f>Levy!H299</f>
        <v>0</v>
      </c>
      <c r="G299" s="3">
        <f>Levy!I299</f>
        <v>314015.40999999997</v>
      </c>
      <c r="H299" s="3">
        <f>Levy!J299</f>
        <v>39630.93</v>
      </c>
      <c r="I299" s="176">
        <v>0</v>
      </c>
      <c r="J299" s="177">
        <v>3000</v>
      </c>
      <c r="K299" s="177">
        <v>11665.08</v>
      </c>
      <c r="L299" s="177">
        <v>0</v>
      </c>
      <c r="M299" s="175">
        <v>0</v>
      </c>
      <c r="N299" s="175">
        <v>0</v>
      </c>
      <c r="O299" s="175">
        <v>0</v>
      </c>
      <c r="P299" s="177">
        <v>21252.68</v>
      </c>
      <c r="Q299" s="177">
        <v>0</v>
      </c>
      <c r="R299" s="177">
        <v>0</v>
      </c>
      <c r="S299" s="177">
        <v>0</v>
      </c>
      <c r="T299" s="175">
        <v>0</v>
      </c>
      <c r="U299" s="175">
        <v>0</v>
      </c>
      <c r="V299" s="178">
        <v>0</v>
      </c>
      <c r="W299" s="178">
        <v>0</v>
      </c>
      <c r="X299" s="3">
        <v>0</v>
      </c>
      <c r="Y299" s="161">
        <v>173617.36</v>
      </c>
      <c r="Z299" s="3">
        <f t="shared" si="17"/>
        <v>35917.760000000002</v>
      </c>
      <c r="AA299" s="3">
        <f t="shared" si="18"/>
        <v>290267.32</v>
      </c>
      <c r="AB299" s="3">
        <f t="shared" si="20"/>
        <v>39630.93</v>
      </c>
      <c r="AC299" s="3">
        <f>ROUND(MAX(0,(D299-V299)*Shift11!$B$3),2)</f>
        <v>587627.56999999995</v>
      </c>
      <c r="AD299" s="3">
        <f t="shared" si="19"/>
        <v>587627.56999999995</v>
      </c>
    </row>
    <row r="300" spans="1:30" x14ac:dyDescent="0.2">
      <c r="A300" s="18">
        <v>2184</v>
      </c>
      <c r="B300" s="18">
        <v>1</v>
      </c>
      <c r="C300" s="3" t="s">
        <v>296</v>
      </c>
      <c r="D300" s="3">
        <f>Levy!F300</f>
        <v>926762.9</v>
      </c>
      <c r="E300" s="3">
        <f>Levy!G300</f>
        <v>55183.28</v>
      </c>
      <c r="F300" s="3">
        <f>Levy!H300</f>
        <v>0</v>
      </c>
      <c r="G300" s="3">
        <f>Levy!I300</f>
        <v>365865.12</v>
      </c>
      <c r="H300" s="3">
        <f>Levy!J300</f>
        <v>80187.34</v>
      </c>
      <c r="I300" s="176">
        <v>0</v>
      </c>
      <c r="J300" s="177">
        <v>2000</v>
      </c>
      <c r="K300" s="177">
        <v>26479.3</v>
      </c>
      <c r="L300" s="177">
        <v>0</v>
      </c>
      <c r="M300" s="175">
        <v>0</v>
      </c>
      <c r="N300" s="175">
        <v>0</v>
      </c>
      <c r="O300" s="175">
        <v>0</v>
      </c>
      <c r="P300" s="177">
        <v>-2250.0500000000002</v>
      </c>
      <c r="Q300" s="177">
        <v>0</v>
      </c>
      <c r="R300" s="177">
        <v>0</v>
      </c>
      <c r="S300" s="177">
        <v>0</v>
      </c>
      <c r="T300" s="175">
        <v>0</v>
      </c>
      <c r="U300" s="175">
        <v>0</v>
      </c>
      <c r="V300" s="178">
        <v>0</v>
      </c>
      <c r="W300" s="178">
        <v>0</v>
      </c>
      <c r="X300" s="3">
        <v>2150.0300000000002</v>
      </c>
      <c r="Y300" s="161">
        <v>45058.55</v>
      </c>
      <c r="Z300" s="3">
        <f t="shared" si="17"/>
        <v>26229.25</v>
      </c>
      <c r="AA300" s="3">
        <f t="shared" si="18"/>
        <v>392669.12</v>
      </c>
      <c r="AB300" s="3">
        <f t="shared" si="20"/>
        <v>80187.34</v>
      </c>
      <c r="AC300" s="3">
        <f>ROUND(MAX(0,(D300-V300)*Shift11!$B$3),2)</f>
        <v>450406.77</v>
      </c>
      <c r="AD300" s="3">
        <f t="shared" si="19"/>
        <v>450406.77</v>
      </c>
    </row>
    <row r="301" spans="1:30" x14ac:dyDescent="0.2">
      <c r="A301" s="18">
        <v>2190</v>
      </c>
      <c r="B301" s="18">
        <v>1</v>
      </c>
      <c r="C301" s="3" t="s">
        <v>297</v>
      </c>
      <c r="D301" s="3">
        <f>Levy!F301</f>
        <v>827515</v>
      </c>
      <c r="E301" s="3">
        <f>Levy!G301</f>
        <v>39348</v>
      </c>
      <c r="F301" s="3">
        <f>Levy!H301</f>
        <v>0</v>
      </c>
      <c r="G301" s="3">
        <f>Levy!I301</f>
        <v>317822</v>
      </c>
      <c r="H301" s="3">
        <f>Levy!J301</f>
        <v>157047</v>
      </c>
      <c r="I301" s="176">
        <v>0</v>
      </c>
      <c r="J301" s="177">
        <v>36000</v>
      </c>
      <c r="K301" s="177">
        <v>31385.599999999999</v>
      </c>
      <c r="L301" s="177">
        <v>0</v>
      </c>
      <c r="M301" s="175">
        <v>0</v>
      </c>
      <c r="N301" s="175">
        <v>0</v>
      </c>
      <c r="O301" s="175">
        <v>0</v>
      </c>
      <c r="P301" s="177">
        <v>2640.67</v>
      </c>
      <c r="Q301" s="177">
        <v>0</v>
      </c>
      <c r="R301" s="177">
        <v>0</v>
      </c>
      <c r="S301" s="177">
        <v>0</v>
      </c>
      <c r="T301" s="175">
        <v>0</v>
      </c>
      <c r="U301" s="175">
        <v>0</v>
      </c>
      <c r="V301" s="178">
        <v>0</v>
      </c>
      <c r="W301" s="178">
        <v>0</v>
      </c>
      <c r="X301" s="3">
        <v>3393.38</v>
      </c>
      <c r="Y301" s="161">
        <v>106127.39</v>
      </c>
      <c r="Z301" s="3">
        <f t="shared" si="17"/>
        <v>70026.27</v>
      </c>
      <c r="AA301" s="3">
        <f t="shared" si="18"/>
        <v>283750.34999999998</v>
      </c>
      <c r="AB301" s="3">
        <f t="shared" si="20"/>
        <v>157047</v>
      </c>
      <c r="AC301" s="3">
        <f>ROUND(MAX(0,(D301-V301)*Shift11!$B$3),2)</f>
        <v>402172.29</v>
      </c>
      <c r="AD301" s="3">
        <f t="shared" si="19"/>
        <v>402172.29</v>
      </c>
    </row>
    <row r="302" spans="1:30" x14ac:dyDescent="0.2">
      <c r="A302" s="18">
        <v>2198</v>
      </c>
      <c r="B302" s="18">
        <v>1</v>
      </c>
      <c r="C302" s="3" t="s">
        <v>298</v>
      </c>
      <c r="D302" s="3">
        <f>Levy!F302</f>
        <v>574813.18000000005</v>
      </c>
      <c r="E302" s="3">
        <f>Levy!G302</f>
        <v>44969.49</v>
      </c>
      <c r="F302" s="3">
        <f>Levy!H302</f>
        <v>0</v>
      </c>
      <c r="G302" s="3">
        <f>Levy!I302</f>
        <v>309044.71999999997</v>
      </c>
      <c r="H302" s="3">
        <f>Levy!J302</f>
        <v>74498.13</v>
      </c>
      <c r="I302" s="176">
        <v>0</v>
      </c>
      <c r="J302" s="177">
        <v>22412</v>
      </c>
      <c r="K302" s="177">
        <v>20524.919999999998</v>
      </c>
      <c r="L302" s="177">
        <v>0</v>
      </c>
      <c r="M302" s="175">
        <v>0</v>
      </c>
      <c r="N302" s="175">
        <v>0</v>
      </c>
      <c r="O302" s="175">
        <v>0</v>
      </c>
      <c r="P302" s="177">
        <v>-3088.25</v>
      </c>
      <c r="Q302" s="177">
        <v>0</v>
      </c>
      <c r="R302" s="177">
        <v>0</v>
      </c>
      <c r="S302" s="177">
        <v>0</v>
      </c>
      <c r="T302" s="175">
        <v>0</v>
      </c>
      <c r="U302" s="175">
        <v>0</v>
      </c>
      <c r="V302" s="178">
        <v>0</v>
      </c>
      <c r="W302" s="178">
        <v>0</v>
      </c>
      <c r="X302" s="3">
        <v>0</v>
      </c>
      <c r="Y302" s="161">
        <v>54051.81</v>
      </c>
      <c r="Z302" s="3">
        <f t="shared" si="17"/>
        <v>39848.67</v>
      </c>
      <c r="AA302" s="3">
        <f t="shared" si="18"/>
        <v>314165.53999999998</v>
      </c>
      <c r="AB302" s="3">
        <f t="shared" si="20"/>
        <v>74498.13</v>
      </c>
      <c r="AC302" s="3">
        <f>ROUND(MAX(0,(D302-V302)*Shift11!$B$3),2)</f>
        <v>279359.21000000002</v>
      </c>
      <c r="AD302" s="3">
        <f t="shared" si="19"/>
        <v>279359.21000000002</v>
      </c>
    </row>
    <row r="303" spans="1:30" x14ac:dyDescent="0.2">
      <c r="A303" s="18">
        <v>2215</v>
      </c>
      <c r="B303" s="18">
        <v>1</v>
      </c>
      <c r="C303" s="3" t="s">
        <v>299</v>
      </c>
      <c r="D303" s="3">
        <f>Levy!F303</f>
        <v>299038.81</v>
      </c>
      <c r="E303" s="3">
        <f>Levy!G303</f>
        <v>4640.91</v>
      </c>
      <c r="F303" s="3">
        <f>Levy!H303</f>
        <v>0</v>
      </c>
      <c r="G303" s="3">
        <f>Levy!I303</f>
        <v>117527.01</v>
      </c>
      <c r="H303" s="3">
        <f>Levy!J303</f>
        <v>20929.669999999998</v>
      </c>
      <c r="I303" s="176">
        <v>0</v>
      </c>
      <c r="J303" s="177">
        <v>0</v>
      </c>
      <c r="K303" s="177">
        <v>23314.26</v>
      </c>
      <c r="L303" s="177">
        <v>0</v>
      </c>
      <c r="M303" s="175">
        <v>0</v>
      </c>
      <c r="N303" s="175">
        <v>0</v>
      </c>
      <c r="O303" s="175">
        <v>0</v>
      </c>
      <c r="P303" s="177">
        <v>1476.13</v>
      </c>
      <c r="Q303" s="177">
        <v>0</v>
      </c>
      <c r="R303" s="177">
        <v>0</v>
      </c>
      <c r="S303" s="177">
        <v>0</v>
      </c>
      <c r="T303" s="175">
        <v>0</v>
      </c>
      <c r="U303" s="175">
        <v>0</v>
      </c>
      <c r="V303" s="178">
        <v>0</v>
      </c>
      <c r="W303" s="178">
        <v>0</v>
      </c>
      <c r="X303" s="3">
        <v>0</v>
      </c>
      <c r="Y303" s="161">
        <v>26598.22</v>
      </c>
      <c r="Z303" s="3">
        <f t="shared" si="17"/>
        <v>24790.39</v>
      </c>
      <c r="AA303" s="3">
        <f t="shared" si="18"/>
        <v>97377.53</v>
      </c>
      <c r="AB303" s="3">
        <f t="shared" si="20"/>
        <v>20929.669999999998</v>
      </c>
      <c r="AC303" s="3">
        <f>ROUND(MAX(0,(D303-V303)*Shift11!$B$3),2)</f>
        <v>145332.85999999999</v>
      </c>
      <c r="AD303" s="3">
        <f t="shared" si="19"/>
        <v>145332.85999999999</v>
      </c>
    </row>
    <row r="304" spans="1:30" x14ac:dyDescent="0.2">
      <c r="A304" s="18">
        <v>2310</v>
      </c>
      <c r="B304" s="18">
        <v>1</v>
      </c>
      <c r="C304" s="3" t="s">
        <v>300</v>
      </c>
      <c r="D304" s="3">
        <f>Levy!F304</f>
        <v>517446.69</v>
      </c>
      <c r="E304" s="3">
        <f>Levy!G304</f>
        <v>81823.62</v>
      </c>
      <c r="F304" s="3">
        <f>Levy!H304</f>
        <v>0</v>
      </c>
      <c r="G304" s="3">
        <f>Levy!I304</f>
        <v>543412.1</v>
      </c>
      <c r="H304" s="3">
        <f>Levy!J304</f>
        <v>99190.38</v>
      </c>
      <c r="I304" s="176">
        <v>0</v>
      </c>
      <c r="J304" s="177">
        <v>7623</v>
      </c>
      <c r="K304" s="177">
        <v>29377.42</v>
      </c>
      <c r="L304" s="177">
        <v>0</v>
      </c>
      <c r="M304" s="175">
        <v>0</v>
      </c>
      <c r="N304" s="175">
        <v>0</v>
      </c>
      <c r="O304" s="175">
        <v>0</v>
      </c>
      <c r="P304" s="177">
        <v>-2356.9699999999998</v>
      </c>
      <c r="Q304" s="177">
        <v>-7623</v>
      </c>
      <c r="R304" s="177">
        <v>0</v>
      </c>
      <c r="S304" s="177">
        <v>0</v>
      </c>
      <c r="T304" s="175">
        <v>0</v>
      </c>
      <c r="U304" s="175">
        <v>0</v>
      </c>
      <c r="V304" s="178">
        <v>0</v>
      </c>
      <c r="W304" s="178">
        <v>0</v>
      </c>
      <c r="X304" s="3">
        <v>0</v>
      </c>
      <c r="Y304" s="161">
        <v>69650.559999999998</v>
      </c>
      <c r="Z304" s="3">
        <f t="shared" si="17"/>
        <v>27020.449999999997</v>
      </c>
      <c r="AA304" s="3">
        <f t="shared" si="18"/>
        <v>598215.27</v>
      </c>
      <c r="AB304" s="3">
        <f t="shared" si="20"/>
        <v>99190.38</v>
      </c>
      <c r="AC304" s="3">
        <f>ROUND(MAX(0,(D304-V304)*Shift11!$B$3),2)</f>
        <v>251479.09</v>
      </c>
      <c r="AD304" s="3">
        <f t="shared" si="19"/>
        <v>251479.09</v>
      </c>
    </row>
    <row r="305" spans="1:30" x14ac:dyDescent="0.2">
      <c r="A305" s="18">
        <v>2311</v>
      </c>
      <c r="B305" s="18">
        <v>1</v>
      </c>
      <c r="C305" s="3" t="s">
        <v>301</v>
      </c>
      <c r="D305" s="3">
        <f>Levy!F305</f>
        <v>323821</v>
      </c>
      <c r="E305" s="3">
        <f>Levy!G305</f>
        <v>67109</v>
      </c>
      <c r="F305" s="3">
        <f>Levy!H305</f>
        <v>0</v>
      </c>
      <c r="G305" s="3">
        <f>Levy!I305</f>
        <v>202640</v>
      </c>
      <c r="H305" s="3">
        <f>Levy!J305</f>
        <v>46448</v>
      </c>
      <c r="I305" s="176">
        <v>0</v>
      </c>
      <c r="J305" s="177">
        <v>0</v>
      </c>
      <c r="K305" s="177">
        <v>12224.07</v>
      </c>
      <c r="L305" s="177">
        <v>0</v>
      </c>
      <c r="M305" s="175">
        <v>0</v>
      </c>
      <c r="N305" s="175">
        <v>0</v>
      </c>
      <c r="O305" s="175">
        <v>0</v>
      </c>
      <c r="P305" s="177">
        <v>9990.11</v>
      </c>
      <c r="Q305" s="177">
        <v>0</v>
      </c>
      <c r="R305" s="177">
        <v>-479.2</v>
      </c>
      <c r="S305" s="177">
        <v>0</v>
      </c>
      <c r="T305" s="175">
        <v>0</v>
      </c>
      <c r="U305" s="175">
        <v>0</v>
      </c>
      <c r="V305" s="178">
        <v>0</v>
      </c>
      <c r="W305" s="178">
        <v>0</v>
      </c>
      <c r="X305" s="3">
        <v>8613.4699999999993</v>
      </c>
      <c r="Y305" s="161">
        <v>57346.63</v>
      </c>
      <c r="Z305" s="3">
        <f t="shared" si="17"/>
        <v>21734.98</v>
      </c>
      <c r="AA305" s="3">
        <f t="shared" si="18"/>
        <v>239400.55</v>
      </c>
      <c r="AB305" s="3">
        <f t="shared" si="20"/>
        <v>46448</v>
      </c>
      <c r="AC305" s="3">
        <f>ROUND(MAX(0,(D305-V305)*Shift11!$B$3),2)</f>
        <v>157377.01</v>
      </c>
      <c r="AD305" s="3">
        <f t="shared" si="19"/>
        <v>157377.01</v>
      </c>
    </row>
    <row r="306" spans="1:30" x14ac:dyDescent="0.2">
      <c r="A306" s="18">
        <v>2342</v>
      </c>
      <c r="B306" s="18">
        <v>1</v>
      </c>
      <c r="C306" s="3" t="s">
        <v>302</v>
      </c>
      <c r="D306" s="3">
        <f>Levy!F306</f>
        <v>917577.51</v>
      </c>
      <c r="E306" s="3">
        <f>Levy!G306</f>
        <v>45114.52</v>
      </c>
      <c r="F306" s="3">
        <f>Levy!H306</f>
        <v>0</v>
      </c>
      <c r="G306" s="3">
        <f>Levy!I306</f>
        <v>536890.89</v>
      </c>
      <c r="H306" s="3">
        <f>Levy!J306</f>
        <v>74117.009999999995</v>
      </c>
      <c r="I306" s="176">
        <v>0</v>
      </c>
      <c r="J306" s="177">
        <v>10000</v>
      </c>
      <c r="K306" s="177">
        <v>23112.59</v>
      </c>
      <c r="L306" s="177">
        <v>0</v>
      </c>
      <c r="M306" s="175">
        <v>0</v>
      </c>
      <c r="N306" s="175">
        <v>0</v>
      </c>
      <c r="O306" s="175">
        <v>0</v>
      </c>
      <c r="P306" s="177">
        <v>4430.18</v>
      </c>
      <c r="Q306" s="177">
        <v>0</v>
      </c>
      <c r="R306" s="177">
        <v>0</v>
      </c>
      <c r="S306" s="177">
        <v>0</v>
      </c>
      <c r="T306" s="175">
        <v>0</v>
      </c>
      <c r="U306" s="175">
        <v>0</v>
      </c>
      <c r="V306" s="178">
        <v>0</v>
      </c>
      <c r="W306" s="178">
        <v>0</v>
      </c>
      <c r="X306" s="3">
        <v>0</v>
      </c>
      <c r="Y306" s="161">
        <v>76124.09</v>
      </c>
      <c r="Z306" s="3">
        <f t="shared" si="17"/>
        <v>37542.769999999997</v>
      </c>
      <c r="AA306" s="3">
        <f t="shared" si="18"/>
        <v>544462.64</v>
      </c>
      <c r="AB306" s="3">
        <f t="shared" si="20"/>
        <v>74117.009999999995</v>
      </c>
      <c r="AC306" s="3">
        <f>ROUND(MAX(0,(D306-V306)*Shift11!$B$3),2)</f>
        <v>445942.67</v>
      </c>
      <c r="AD306" s="3">
        <f t="shared" si="19"/>
        <v>445942.67</v>
      </c>
    </row>
    <row r="307" spans="1:30" x14ac:dyDescent="0.2">
      <c r="A307" s="18">
        <v>2358</v>
      </c>
      <c r="B307" s="18">
        <v>1</v>
      </c>
      <c r="C307" s="3" t="s">
        <v>303</v>
      </c>
      <c r="D307" s="3">
        <f>Levy!F307</f>
        <v>165337.98000000001</v>
      </c>
      <c r="E307" s="3">
        <f>Levy!G307</f>
        <v>7989.92</v>
      </c>
      <c r="F307" s="3">
        <f>Levy!H307</f>
        <v>0</v>
      </c>
      <c r="G307" s="3">
        <f>Levy!I307</f>
        <v>188606.46</v>
      </c>
      <c r="H307" s="3">
        <f>Levy!J307</f>
        <v>18786.47</v>
      </c>
      <c r="I307" s="176">
        <v>0</v>
      </c>
      <c r="J307" s="177">
        <v>2075</v>
      </c>
      <c r="K307" s="177">
        <v>11163.96</v>
      </c>
      <c r="L307" s="177">
        <v>0</v>
      </c>
      <c r="M307" s="175">
        <v>0</v>
      </c>
      <c r="N307" s="175">
        <v>0</v>
      </c>
      <c r="O307" s="175">
        <v>0</v>
      </c>
      <c r="P307" s="177">
        <v>-2500</v>
      </c>
      <c r="Q307" s="177">
        <v>-2075</v>
      </c>
      <c r="R307" s="177">
        <v>429.59</v>
      </c>
      <c r="S307" s="177">
        <v>0</v>
      </c>
      <c r="T307" s="175">
        <v>0</v>
      </c>
      <c r="U307" s="175">
        <v>0</v>
      </c>
      <c r="V307" s="178">
        <v>0</v>
      </c>
      <c r="W307" s="178">
        <v>0</v>
      </c>
      <c r="X307" s="3">
        <v>2260.84</v>
      </c>
      <c r="Y307" s="161">
        <v>36123.39</v>
      </c>
      <c r="Z307" s="3">
        <f t="shared" si="17"/>
        <v>9093.5499999999993</v>
      </c>
      <c r="AA307" s="3">
        <f t="shared" si="18"/>
        <v>185241.99</v>
      </c>
      <c r="AB307" s="3">
        <f t="shared" si="20"/>
        <v>18786.47</v>
      </c>
      <c r="AC307" s="3">
        <f>ROUND(MAX(0,(D307-V307)*Shift11!$B$3),2)</f>
        <v>80354.259999999995</v>
      </c>
      <c r="AD307" s="3">
        <f t="shared" si="19"/>
        <v>80354.259999999995</v>
      </c>
    </row>
    <row r="308" spans="1:30" x14ac:dyDescent="0.2">
      <c r="A308" s="18">
        <v>2364</v>
      </c>
      <c r="B308" s="18">
        <v>1</v>
      </c>
      <c r="C308" s="3" t="s">
        <v>304</v>
      </c>
      <c r="D308" s="3">
        <f>Levy!F308</f>
        <v>420180.98</v>
      </c>
      <c r="E308" s="3">
        <f>Levy!G308</f>
        <v>53520.3</v>
      </c>
      <c r="F308" s="3">
        <f>Levy!H308</f>
        <v>0</v>
      </c>
      <c r="G308" s="3">
        <f>Levy!I308</f>
        <v>74248.460000000006</v>
      </c>
      <c r="H308" s="3">
        <f>Levy!J308</f>
        <v>57069.54</v>
      </c>
      <c r="I308" s="176">
        <v>0</v>
      </c>
      <c r="J308" s="177">
        <v>1000</v>
      </c>
      <c r="K308" s="177">
        <v>25480.959999999999</v>
      </c>
      <c r="L308" s="177">
        <v>0</v>
      </c>
      <c r="M308" s="175">
        <v>0</v>
      </c>
      <c r="N308" s="175">
        <v>0</v>
      </c>
      <c r="O308" s="175">
        <v>0</v>
      </c>
      <c r="P308" s="177">
        <v>-163.87</v>
      </c>
      <c r="Q308" s="177">
        <v>0</v>
      </c>
      <c r="R308" s="177">
        <v>0</v>
      </c>
      <c r="S308" s="177">
        <v>0</v>
      </c>
      <c r="T308" s="175">
        <v>0</v>
      </c>
      <c r="U308" s="175">
        <v>0</v>
      </c>
      <c r="V308" s="178">
        <v>0</v>
      </c>
      <c r="W308" s="178">
        <v>0</v>
      </c>
      <c r="X308" s="3">
        <v>11.77</v>
      </c>
      <c r="Y308" s="161">
        <v>33392.53</v>
      </c>
      <c r="Z308" s="3">
        <f t="shared" si="17"/>
        <v>26317.09</v>
      </c>
      <c r="AA308" s="3">
        <f t="shared" si="18"/>
        <v>101439.9</v>
      </c>
      <c r="AB308" s="3">
        <f t="shared" si="20"/>
        <v>57069.54</v>
      </c>
      <c r="AC308" s="3">
        <f>ROUND(MAX(0,(D308-V308)*Shift11!$B$3),2)</f>
        <v>204207.96</v>
      </c>
      <c r="AD308" s="3">
        <f t="shared" si="19"/>
        <v>204207.96</v>
      </c>
    </row>
    <row r="309" spans="1:30" x14ac:dyDescent="0.2">
      <c r="A309" s="18">
        <v>2365</v>
      </c>
      <c r="B309" s="18">
        <v>1</v>
      </c>
      <c r="C309" s="3" t="s">
        <v>305</v>
      </c>
      <c r="D309" s="3">
        <f>Levy!F309</f>
        <v>653829.43999999994</v>
      </c>
      <c r="E309" s="3">
        <f>Levy!G309</f>
        <v>65299.1</v>
      </c>
      <c r="F309" s="3">
        <f>Levy!H309</f>
        <v>0</v>
      </c>
      <c r="G309" s="3">
        <f>Levy!I309</f>
        <v>587870.51</v>
      </c>
      <c r="H309" s="3">
        <f>Levy!J309</f>
        <v>95779.53</v>
      </c>
      <c r="I309" s="176">
        <v>0</v>
      </c>
      <c r="J309" s="177">
        <v>6000</v>
      </c>
      <c r="K309" s="177">
        <v>25399.63</v>
      </c>
      <c r="L309" s="177">
        <v>0</v>
      </c>
      <c r="M309" s="175">
        <v>0</v>
      </c>
      <c r="N309" s="175">
        <v>0</v>
      </c>
      <c r="O309" s="175">
        <v>0</v>
      </c>
      <c r="P309" s="177">
        <v>-4774.32</v>
      </c>
      <c r="Q309" s="177">
        <v>0</v>
      </c>
      <c r="R309" s="177">
        <v>0</v>
      </c>
      <c r="S309" s="177">
        <v>0</v>
      </c>
      <c r="T309" s="175">
        <v>0</v>
      </c>
      <c r="U309" s="175">
        <v>0</v>
      </c>
      <c r="V309" s="178">
        <v>0</v>
      </c>
      <c r="W309" s="178">
        <v>0</v>
      </c>
      <c r="X309" s="3">
        <f>0+1584.22</f>
        <v>1584.22</v>
      </c>
      <c r="Y309" s="161">
        <f>144311.37+6446.78</f>
        <v>150758.15</v>
      </c>
      <c r="Z309" s="3">
        <f t="shared" si="17"/>
        <v>26625.31</v>
      </c>
      <c r="AA309" s="3">
        <f t="shared" si="18"/>
        <v>624960.07999999996</v>
      </c>
      <c r="AB309" s="3">
        <f t="shared" si="20"/>
        <v>95779.53</v>
      </c>
      <c r="AC309" s="3">
        <f>ROUND(MAX(0,(D309-V309)*Shift11!$B$3),2)</f>
        <v>317761.11</v>
      </c>
      <c r="AD309" s="3">
        <f t="shared" si="19"/>
        <v>317761.11</v>
      </c>
    </row>
    <row r="310" spans="1:30" x14ac:dyDescent="0.2">
      <c r="A310" s="18">
        <v>2396</v>
      </c>
      <c r="B310" s="18">
        <v>1</v>
      </c>
      <c r="C310" s="3" t="s">
        <v>306</v>
      </c>
      <c r="D310" s="3">
        <f>Levy!F310</f>
        <v>884467.31</v>
      </c>
      <c r="E310" s="3">
        <f>Levy!G310</f>
        <v>60710.16</v>
      </c>
      <c r="F310" s="3">
        <f>Levy!H310</f>
        <v>0</v>
      </c>
      <c r="G310" s="3">
        <f>Levy!I310</f>
        <v>517269.49</v>
      </c>
      <c r="H310" s="3">
        <f>Levy!J310</f>
        <v>121436.78</v>
      </c>
      <c r="I310" s="176">
        <v>0</v>
      </c>
      <c r="J310" s="177">
        <v>1589</v>
      </c>
      <c r="K310" s="177">
        <v>18241.259999999998</v>
      </c>
      <c r="L310" s="177">
        <v>0</v>
      </c>
      <c r="M310" s="175">
        <v>0</v>
      </c>
      <c r="N310" s="175">
        <v>0</v>
      </c>
      <c r="O310" s="175">
        <v>0</v>
      </c>
      <c r="P310" s="177">
        <v>-7959.57</v>
      </c>
      <c r="Q310" s="177">
        <v>0</v>
      </c>
      <c r="R310" s="177">
        <v>0</v>
      </c>
      <c r="S310" s="177">
        <v>0</v>
      </c>
      <c r="T310" s="175">
        <v>0</v>
      </c>
      <c r="U310" s="175">
        <v>0</v>
      </c>
      <c r="V310" s="178">
        <v>0</v>
      </c>
      <c r="W310" s="178">
        <v>0</v>
      </c>
      <c r="X310" s="3">
        <v>6520.58</v>
      </c>
      <c r="Y310" s="161">
        <v>102338.72</v>
      </c>
      <c r="Z310" s="3">
        <f t="shared" si="17"/>
        <v>11870.689999999999</v>
      </c>
      <c r="AA310" s="3">
        <f t="shared" si="18"/>
        <v>559588.38</v>
      </c>
      <c r="AB310" s="3">
        <f t="shared" si="20"/>
        <v>121436.78</v>
      </c>
      <c r="AC310" s="3">
        <f>ROUND(MAX(0,(D310-V310)*Shift11!$B$3),2)</f>
        <v>429851.11</v>
      </c>
      <c r="AD310" s="3">
        <f t="shared" si="19"/>
        <v>429851.11</v>
      </c>
    </row>
    <row r="311" spans="1:30" x14ac:dyDescent="0.2">
      <c r="A311" s="18">
        <v>2397</v>
      </c>
      <c r="B311" s="18">
        <v>1</v>
      </c>
      <c r="C311" s="3" t="s">
        <v>307</v>
      </c>
      <c r="D311" s="3">
        <f>Levy!F311</f>
        <v>871264</v>
      </c>
      <c r="E311" s="3">
        <f>Levy!G311</f>
        <v>112217</v>
      </c>
      <c r="F311" s="3">
        <f>Levy!H311</f>
        <v>0</v>
      </c>
      <c r="G311" s="3">
        <f>Levy!I311</f>
        <v>525073</v>
      </c>
      <c r="H311" s="3">
        <f>Levy!J311</f>
        <v>96943</v>
      </c>
      <c r="I311" s="176">
        <v>0</v>
      </c>
      <c r="J311" s="177">
        <v>15000</v>
      </c>
      <c r="K311" s="177">
        <v>30065.1</v>
      </c>
      <c r="L311" s="177">
        <v>0</v>
      </c>
      <c r="M311" s="175">
        <v>0</v>
      </c>
      <c r="N311" s="175">
        <v>0</v>
      </c>
      <c r="O311" s="175">
        <v>0</v>
      </c>
      <c r="P311" s="177">
        <v>2130.1799999999998</v>
      </c>
      <c r="Q311" s="177">
        <v>0</v>
      </c>
      <c r="R311" s="177">
        <v>-10490.32</v>
      </c>
      <c r="S311" s="177">
        <v>0</v>
      </c>
      <c r="T311" s="175">
        <v>0</v>
      </c>
      <c r="U311" s="175">
        <v>0</v>
      </c>
      <c r="V311" s="178">
        <v>0</v>
      </c>
      <c r="W311" s="178">
        <v>0</v>
      </c>
      <c r="X311" s="3">
        <v>0</v>
      </c>
      <c r="Y311" s="161">
        <v>75648.160000000003</v>
      </c>
      <c r="Z311" s="3">
        <f t="shared" si="17"/>
        <v>36704.959999999999</v>
      </c>
      <c r="AA311" s="3">
        <f t="shared" si="18"/>
        <v>600585.04</v>
      </c>
      <c r="AB311" s="3">
        <f t="shared" si="20"/>
        <v>96943</v>
      </c>
      <c r="AC311" s="3">
        <f>ROUND(MAX(0,(D311-V311)*Shift11!$B$3),2)</f>
        <v>423434.3</v>
      </c>
      <c r="AD311" s="3">
        <f t="shared" si="19"/>
        <v>423434.3</v>
      </c>
    </row>
    <row r="312" spans="1:30" x14ac:dyDescent="0.2">
      <c r="A312" s="18">
        <v>2448</v>
      </c>
      <c r="B312" s="18">
        <v>1</v>
      </c>
      <c r="C312" s="3" t="s">
        <v>308</v>
      </c>
      <c r="D312" s="3">
        <f>Levy!F312</f>
        <v>953632.53</v>
      </c>
      <c r="E312" s="3">
        <f>Levy!G312</f>
        <v>47882.3</v>
      </c>
      <c r="F312" s="3">
        <f>Levy!H312</f>
        <v>0</v>
      </c>
      <c r="G312" s="3">
        <f>Levy!I312</f>
        <v>471894.72</v>
      </c>
      <c r="H312" s="3">
        <f>Levy!J312</f>
        <v>63612.58</v>
      </c>
      <c r="I312" s="176">
        <v>0</v>
      </c>
      <c r="J312" s="177">
        <v>10000</v>
      </c>
      <c r="K312" s="177">
        <v>26950.09</v>
      </c>
      <c r="L312" s="177">
        <v>0</v>
      </c>
      <c r="M312" s="175">
        <v>0</v>
      </c>
      <c r="N312" s="175">
        <v>0</v>
      </c>
      <c r="O312" s="175">
        <v>0</v>
      </c>
      <c r="P312" s="177">
        <v>-6332.11</v>
      </c>
      <c r="Q312" s="177">
        <v>0</v>
      </c>
      <c r="R312" s="177">
        <v>0</v>
      </c>
      <c r="S312" s="177">
        <v>0</v>
      </c>
      <c r="T312" s="175">
        <v>0</v>
      </c>
      <c r="U312" s="175">
        <v>0</v>
      </c>
      <c r="V312" s="178">
        <v>0</v>
      </c>
      <c r="W312" s="178">
        <v>0</v>
      </c>
      <c r="X312" s="3">
        <v>0</v>
      </c>
      <c r="Y312" s="161">
        <v>221365</v>
      </c>
      <c r="Z312" s="3">
        <f t="shared" si="17"/>
        <v>30617.979999999996</v>
      </c>
      <c r="AA312" s="3">
        <f t="shared" si="18"/>
        <v>489159.04</v>
      </c>
      <c r="AB312" s="3">
        <f t="shared" si="20"/>
        <v>63612.58</v>
      </c>
      <c r="AC312" s="3">
        <f>ROUND(MAX(0,(D312-V312)*Shift11!$B$3),2)</f>
        <v>463465.41</v>
      </c>
      <c r="AD312" s="3">
        <f t="shared" si="19"/>
        <v>463465.41</v>
      </c>
    </row>
    <row r="313" spans="1:30" x14ac:dyDescent="0.2">
      <c r="A313" s="18">
        <v>2527</v>
      </c>
      <c r="B313" s="18">
        <v>1</v>
      </c>
      <c r="C313" s="3" t="s">
        <v>309</v>
      </c>
      <c r="D313" s="3">
        <f>Levy!F313</f>
        <v>245409.89</v>
      </c>
      <c r="E313" s="3">
        <f>Levy!G313</f>
        <v>12966.71</v>
      </c>
      <c r="F313" s="3">
        <f>Levy!H313</f>
        <v>0</v>
      </c>
      <c r="G313" s="3">
        <f>Levy!I313</f>
        <v>176731.36</v>
      </c>
      <c r="H313" s="3">
        <f>Levy!J313</f>
        <v>20995.94</v>
      </c>
      <c r="I313" s="176">
        <v>0</v>
      </c>
      <c r="J313" s="177">
        <v>140</v>
      </c>
      <c r="K313" s="177">
        <v>34000</v>
      </c>
      <c r="L313" s="177">
        <v>0</v>
      </c>
      <c r="M313" s="175">
        <v>0</v>
      </c>
      <c r="N313" s="175">
        <v>0</v>
      </c>
      <c r="O313" s="175">
        <v>0</v>
      </c>
      <c r="P313" s="177">
        <v>673.94</v>
      </c>
      <c r="Q313" s="177">
        <v>0</v>
      </c>
      <c r="R313" s="177">
        <v>-22599.15</v>
      </c>
      <c r="S313" s="177">
        <v>0</v>
      </c>
      <c r="T313" s="175">
        <v>0</v>
      </c>
      <c r="U313" s="175">
        <v>0</v>
      </c>
      <c r="V313" s="178">
        <v>0</v>
      </c>
      <c r="W313" s="178">
        <v>0</v>
      </c>
      <c r="X313" s="3">
        <v>0</v>
      </c>
      <c r="Y313" s="161">
        <v>61388.37</v>
      </c>
      <c r="Z313" s="3">
        <f t="shared" si="17"/>
        <v>12214.79</v>
      </c>
      <c r="AA313" s="3">
        <f t="shared" si="18"/>
        <v>177483.28</v>
      </c>
      <c r="AB313" s="3">
        <f t="shared" si="20"/>
        <v>20995.94</v>
      </c>
      <c r="AC313" s="3">
        <f>ROUND(MAX(0,(D313-V313)*Shift11!$B$3),2)</f>
        <v>119269.21</v>
      </c>
      <c r="AD313" s="3">
        <f t="shared" si="19"/>
        <v>119269.21</v>
      </c>
    </row>
    <row r="314" spans="1:30" x14ac:dyDescent="0.2">
      <c r="A314" s="18">
        <v>2534</v>
      </c>
      <c r="B314" s="18">
        <v>1</v>
      </c>
      <c r="C314" s="3" t="s">
        <v>310</v>
      </c>
      <c r="D314" s="3">
        <f>Levy!F314</f>
        <v>381877.99</v>
      </c>
      <c r="E314" s="3">
        <f>Levy!G314</f>
        <v>51039.87</v>
      </c>
      <c r="F314" s="3">
        <f>Levy!H314</f>
        <v>0</v>
      </c>
      <c r="G314" s="3">
        <f>Levy!I314</f>
        <v>365143.98</v>
      </c>
      <c r="H314" s="3">
        <f>Levy!J314</f>
        <v>74498.179999999993</v>
      </c>
      <c r="I314" s="176">
        <v>0</v>
      </c>
      <c r="J314" s="177">
        <v>12757.18</v>
      </c>
      <c r="K314" s="177">
        <v>24471.01</v>
      </c>
      <c r="L314" s="177">
        <v>0</v>
      </c>
      <c r="M314" s="175">
        <v>0</v>
      </c>
      <c r="N314" s="175">
        <v>0</v>
      </c>
      <c r="O314" s="175">
        <v>0</v>
      </c>
      <c r="P314" s="177">
        <v>7156.45</v>
      </c>
      <c r="Q314" s="177">
        <v>0</v>
      </c>
      <c r="R314" s="177">
        <v>0</v>
      </c>
      <c r="S314" s="177">
        <v>0</v>
      </c>
      <c r="T314" s="175">
        <v>0</v>
      </c>
      <c r="U314" s="175">
        <v>0</v>
      </c>
      <c r="V314" s="178">
        <v>0</v>
      </c>
      <c r="W314" s="178">
        <v>0</v>
      </c>
      <c r="X314" s="3">
        <v>0</v>
      </c>
      <c r="Y314" s="161">
        <v>96802.28</v>
      </c>
      <c r="Z314" s="3">
        <f t="shared" si="17"/>
        <v>44384.639999999999</v>
      </c>
      <c r="AA314" s="3">
        <f t="shared" si="18"/>
        <v>371799.21</v>
      </c>
      <c r="AB314" s="3">
        <f t="shared" si="20"/>
        <v>74498.179999999993</v>
      </c>
      <c r="AC314" s="3">
        <f>ROUND(MAX(0,(D314-V314)*Shift11!$B$3),2)</f>
        <v>185592.7</v>
      </c>
      <c r="AD314" s="3">
        <f t="shared" si="19"/>
        <v>185592.7</v>
      </c>
    </row>
    <row r="315" spans="1:30" x14ac:dyDescent="0.2">
      <c r="A315" s="18">
        <v>2536</v>
      </c>
      <c r="B315" s="18">
        <v>1</v>
      </c>
      <c r="C315" s="3" t="s">
        <v>311</v>
      </c>
      <c r="D315" s="3">
        <f>Levy!F315</f>
        <v>672737.91</v>
      </c>
      <c r="E315" s="3">
        <f>Levy!G315</f>
        <v>9425.7099999999991</v>
      </c>
      <c r="F315" s="3">
        <f>Levy!H315</f>
        <v>0</v>
      </c>
      <c r="G315" s="3">
        <f>Levy!I315</f>
        <v>101709.4</v>
      </c>
      <c r="H315" s="3">
        <f>Levy!J315</f>
        <v>36506.22</v>
      </c>
      <c r="I315" s="176">
        <v>0</v>
      </c>
      <c r="J315" s="177">
        <v>10000</v>
      </c>
      <c r="K315" s="177">
        <v>0</v>
      </c>
      <c r="L315" s="177">
        <v>0</v>
      </c>
      <c r="M315" s="175">
        <v>0</v>
      </c>
      <c r="N315" s="175">
        <v>0</v>
      </c>
      <c r="O315" s="175">
        <v>0</v>
      </c>
      <c r="P315" s="177">
        <v>-1841.83</v>
      </c>
      <c r="Q315" s="177">
        <v>0</v>
      </c>
      <c r="R315" s="177">
        <v>0</v>
      </c>
      <c r="S315" s="177">
        <v>0</v>
      </c>
      <c r="T315" s="175">
        <v>0</v>
      </c>
      <c r="U315" s="175">
        <v>0</v>
      </c>
      <c r="V315" s="178">
        <v>0</v>
      </c>
      <c r="W315" s="178">
        <v>0</v>
      </c>
      <c r="X315" s="3">
        <v>0</v>
      </c>
      <c r="Y315" s="161">
        <v>112538.9</v>
      </c>
      <c r="Z315" s="3">
        <f t="shared" si="17"/>
        <v>8158.17</v>
      </c>
      <c r="AA315" s="3">
        <f t="shared" si="18"/>
        <v>102976.94</v>
      </c>
      <c r="AB315" s="3">
        <f t="shared" si="20"/>
        <v>36506.22</v>
      </c>
      <c r="AC315" s="3">
        <f>ROUND(MAX(0,(D315-V315)*Shift11!$B$3),2)</f>
        <v>326950.62</v>
      </c>
      <c r="AD315" s="3">
        <f t="shared" si="19"/>
        <v>326950.62</v>
      </c>
    </row>
    <row r="316" spans="1:30" x14ac:dyDescent="0.2">
      <c r="A316" s="18">
        <v>2580</v>
      </c>
      <c r="B316" s="18">
        <v>1</v>
      </c>
      <c r="C316" s="3" t="s">
        <v>312</v>
      </c>
      <c r="D316" s="3">
        <f>Levy!F316</f>
        <v>73162.2</v>
      </c>
      <c r="E316" s="3">
        <f>Levy!G316</f>
        <v>117246.51</v>
      </c>
      <c r="F316" s="3">
        <f>Levy!H316</f>
        <v>0</v>
      </c>
      <c r="G316" s="3">
        <f>Levy!I316</f>
        <v>243278.87</v>
      </c>
      <c r="H316" s="3">
        <f>Levy!J316</f>
        <v>76915.75</v>
      </c>
      <c r="I316" s="176">
        <v>0</v>
      </c>
      <c r="J316" s="177">
        <v>25000</v>
      </c>
      <c r="K316" s="177">
        <v>20271.73</v>
      </c>
      <c r="L316" s="177">
        <v>0</v>
      </c>
      <c r="M316" s="175">
        <v>0</v>
      </c>
      <c r="N316" s="175">
        <v>0</v>
      </c>
      <c r="O316" s="175">
        <v>0</v>
      </c>
      <c r="P316" s="177">
        <v>-11853.85</v>
      </c>
      <c r="Q316" s="177">
        <v>0</v>
      </c>
      <c r="R316" s="177">
        <v>-5865.7</v>
      </c>
      <c r="S316" s="177">
        <v>0</v>
      </c>
      <c r="T316" s="175">
        <v>0</v>
      </c>
      <c r="U316" s="175">
        <v>0</v>
      </c>
      <c r="V316" s="178">
        <v>0</v>
      </c>
      <c r="W316" s="178">
        <v>0</v>
      </c>
      <c r="X316" s="3">
        <v>0</v>
      </c>
      <c r="Y316" s="161">
        <v>47527.08</v>
      </c>
      <c r="Z316" s="3">
        <f t="shared" si="17"/>
        <v>27552.179999999997</v>
      </c>
      <c r="AA316" s="3">
        <f t="shared" si="18"/>
        <v>332973.2</v>
      </c>
      <c r="AB316" s="3">
        <f t="shared" si="20"/>
        <v>76915.75</v>
      </c>
      <c r="AC316" s="3">
        <f>ROUND(MAX(0,(D316-V316)*Shift11!$B$3),2)</f>
        <v>35556.83</v>
      </c>
      <c r="AD316" s="3">
        <f t="shared" si="19"/>
        <v>47527.08</v>
      </c>
    </row>
    <row r="317" spans="1:30" x14ac:dyDescent="0.2">
      <c r="A317" s="18">
        <v>2609</v>
      </c>
      <c r="B317" s="18">
        <v>1</v>
      </c>
      <c r="C317" s="3" t="s">
        <v>313</v>
      </c>
      <c r="D317" s="3">
        <f>Levy!F317</f>
        <v>284928.68</v>
      </c>
      <c r="E317" s="3">
        <f>Levy!G317</f>
        <v>22622.67</v>
      </c>
      <c r="F317" s="3">
        <f>Levy!H317</f>
        <v>0</v>
      </c>
      <c r="G317" s="3">
        <f>Levy!I317</f>
        <v>206737.16</v>
      </c>
      <c r="H317" s="3">
        <f>Levy!J317</f>
        <v>7042.65</v>
      </c>
      <c r="I317" s="176">
        <v>0</v>
      </c>
      <c r="J317" s="177">
        <v>2000</v>
      </c>
      <c r="K317" s="177">
        <v>12844.65</v>
      </c>
      <c r="L317" s="177">
        <v>0</v>
      </c>
      <c r="M317" s="175">
        <v>0</v>
      </c>
      <c r="N317" s="175">
        <v>0</v>
      </c>
      <c r="O317" s="175">
        <v>0</v>
      </c>
      <c r="P317" s="177">
        <v>0</v>
      </c>
      <c r="Q317" s="177">
        <v>0</v>
      </c>
      <c r="R317" s="177">
        <v>-305.60000000000002</v>
      </c>
      <c r="S317" s="177">
        <v>0</v>
      </c>
      <c r="T317" s="175">
        <v>0</v>
      </c>
      <c r="U317" s="175">
        <v>0</v>
      </c>
      <c r="V317" s="178">
        <v>0</v>
      </c>
      <c r="W317" s="178">
        <v>0</v>
      </c>
      <c r="X317" s="3">
        <v>2194.98</v>
      </c>
      <c r="Y317" s="161">
        <v>16182.82</v>
      </c>
      <c r="Z317" s="3">
        <f t="shared" si="17"/>
        <v>14539.05</v>
      </c>
      <c r="AA317" s="3">
        <f t="shared" si="18"/>
        <v>212625.8</v>
      </c>
      <c r="AB317" s="3">
        <f t="shared" si="20"/>
        <v>7042.65</v>
      </c>
      <c r="AC317" s="3">
        <f>ROUND(MAX(0,(D317-V317)*Shift11!$B$3),2)</f>
        <v>138475.34</v>
      </c>
      <c r="AD317" s="3">
        <f t="shared" si="19"/>
        <v>138475.34</v>
      </c>
    </row>
    <row r="318" spans="1:30" x14ac:dyDescent="0.2">
      <c r="A318" s="18">
        <v>2683</v>
      </c>
      <c r="B318" s="18">
        <v>1</v>
      </c>
      <c r="C318" s="3" t="s">
        <v>314</v>
      </c>
      <c r="D318" s="3">
        <f>Levy!F318</f>
        <v>173395</v>
      </c>
      <c r="E318" s="3">
        <f>Levy!G318</f>
        <v>14218</v>
      </c>
      <c r="F318" s="3">
        <f>Levy!H318</f>
        <v>0</v>
      </c>
      <c r="G318" s="3">
        <f>Levy!I318</f>
        <v>97971</v>
      </c>
      <c r="H318" s="3">
        <f>Levy!J318</f>
        <v>22390</v>
      </c>
      <c r="I318" s="176">
        <v>0</v>
      </c>
      <c r="J318" s="177">
        <v>54</v>
      </c>
      <c r="K318" s="177">
        <v>10545.23</v>
      </c>
      <c r="L318" s="177">
        <v>0</v>
      </c>
      <c r="M318" s="175">
        <v>0</v>
      </c>
      <c r="N318" s="175">
        <v>0</v>
      </c>
      <c r="O318" s="175">
        <v>0</v>
      </c>
      <c r="P318" s="177">
        <v>449.71</v>
      </c>
      <c r="Q318" s="177">
        <v>0</v>
      </c>
      <c r="R318" s="177">
        <v>960</v>
      </c>
      <c r="S318" s="177">
        <v>0</v>
      </c>
      <c r="T318" s="175">
        <v>0</v>
      </c>
      <c r="U318" s="175">
        <v>0</v>
      </c>
      <c r="V318" s="178">
        <v>0</v>
      </c>
      <c r="W318" s="178">
        <v>0</v>
      </c>
      <c r="X318" s="3">
        <v>0</v>
      </c>
      <c r="Y318" s="161">
        <v>57512.51</v>
      </c>
      <c r="Z318" s="3">
        <f t="shared" si="17"/>
        <v>12008.939999999999</v>
      </c>
      <c r="AA318" s="3">
        <f t="shared" si="18"/>
        <v>100180.06</v>
      </c>
      <c r="AB318" s="3">
        <f t="shared" si="20"/>
        <v>22390</v>
      </c>
      <c r="AC318" s="3">
        <f>ROUND(MAX(0,(D318-V318)*Shift11!$B$3),2)</f>
        <v>84269.97</v>
      </c>
      <c r="AD318" s="3">
        <f t="shared" si="19"/>
        <v>84269.97</v>
      </c>
    </row>
    <row r="319" spans="1:30" x14ac:dyDescent="0.2">
      <c r="A319" s="18">
        <v>2687</v>
      </c>
      <c r="B319" s="18">
        <v>1</v>
      </c>
      <c r="C319" s="3" t="s">
        <v>315</v>
      </c>
      <c r="D319" s="3">
        <f>Levy!F319</f>
        <v>722059</v>
      </c>
      <c r="E319" s="3">
        <f>Levy!G319</f>
        <v>124985</v>
      </c>
      <c r="F319" s="3">
        <f>Levy!H319</f>
        <v>0</v>
      </c>
      <c r="G319" s="3">
        <f>Levy!I319</f>
        <v>511264</v>
      </c>
      <c r="H319" s="3">
        <f>Levy!J319</f>
        <v>106822</v>
      </c>
      <c r="I319" s="176">
        <v>0</v>
      </c>
      <c r="J319" s="177">
        <v>7000</v>
      </c>
      <c r="K319" s="177">
        <v>25760.22</v>
      </c>
      <c r="L319" s="177">
        <v>0</v>
      </c>
      <c r="M319" s="175">
        <v>0</v>
      </c>
      <c r="N319" s="175">
        <v>0</v>
      </c>
      <c r="O319" s="175">
        <v>0</v>
      </c>
      <c r="P319" s="177">
        <v>-9548.64</v>
      </c>
      <c r="Q319" s="177">
        <v>0</v>
      </c>
      <c r="R319" s="177">
        <v>-597.6</v>
      </c>
      <c r="S319" s="177">
        <v>0</v>
      </c>
      <c r="T319" s="175">
        <v>0</v>
      </c>
      <c r="U319" s="175">
        <v>0</v>
      </c>
      <c r="V319" s="178">
        <v>0</v>
      </c>
      <c r="W319" s="178">
        <v>0</v>
      </c>
      <c r="X319" s="3">
        <v>0</v>
      </c>
      <c r="Y319" s="161">
        <v>128380.69</v>
      </c>
      <c r="Z319" s="3">
        <f t="shared" si="17"/>
        <v>22613.980000000003</v>
      </c>
      <c r="AA319" s="3">
        <f t="shared" si="18"/>
        <v>613635.02</v>
      </c>
      <c r="AB319" s="3">
        <f t="shared" si="20"/>
        <v>106822</v>
      </c>
      <c r="AC319" s="3">
        <f>ROUND(MAX(0,(D319-V319)*Shift11!$B$3),2)</f>
        <v>350920.67</v>
      </c>
      <c r="AD319" s="3">
        <f t="shared" si="19"/>
        <v>350920.67</v>
      </c>
    </row>
    <row r="320" spans="1:30" x14ac:dyDescent="0.2">
      <c r="A320" s="18">
        <v>2689</v>
      </c>
      <c r="B320" s="18">
        <v>1</v>
      </c>
      <c r="C320" s="3" t="s">
        <v>316</v>
      </c>
      <c r="D320" s="3">
        <f>Levy!F320</f>
        <v>800119</v>
      </c>
      <c r="E320" s="3">
        <f>Levy!G320</f>
        <v>55266</v>
      </c>
      <c r="F320" s="3">
        <f>Levy!H320</f>
        <v>0</v>
      </c>
      <c r="G320" s="3">
        <f>Levy!I320</f>
        <v>386041</v>
      </c>
      <c r="H320" s="3">
        <f>Levy!J320</f>
        <v>108109</v>
      </c>
      <c r="I320" s="176">
        <v>0</v>
      </c>
      <c r="J320" s="177">
        <v>6000</v>
      </c>
      <c r="K320" s="177">
        <v>27707.82</v>
      </c>
      <c r="L320" s="177">
        <v>0</v>
      </c>
      <c r="M320" s="175">
        <v>0</v>
      </c>
      <c r="N320" s="175">
        <v>0</v>
      </c>
      <c r="O320" s="175">
        <v>0</v>
      </c>
      <c r="P320" s="177">
        <v>-2156.3200000000002</v>
      </c>
      <c r="Q320" s="177">
        <v>0</v>
      </c>
      <c r="R320" s="177">
        <v>-18649.36</v>
      </c>
      <c r="S320" s="177">
        <v>0</v>
      </c>
      <c r="T320" s="175">
        <v>0</v>
      </c>
      <c r="U320" s="175">
        <v>0</v>
      </c>
      <c r="V320" s="178">
        <v>0</v>
      </c>
      <c r="W320" s="178">
        <v>0</v>
      </c>
      <c r="X320" s="3">
        <v>0</v>
      </c>
      <c r="Y320" s="161">
        <v>41180.28</v>
      </c>
      <c r="Z320" s="3">
        <f t="shared" si="17"/>
        <v>12902.14</v>
      </c>
      <c r="AA320" s="3">
        <f t="shared" si="18"/>
        <v>428404.86</v>
      </c>
      <c r="AB320" s="3">
        <f t="shared" si="20"/>
        <v>108109</v>
      </c>
      <c r="AC320" s="3">
        <f>ROUND(MAX(0,(D320-V320)*Shift11!$B$3),2)</f>
        <v>388857.83</v>
      </c>
      <c r="AD320" s="3">
        <f t="shared" si="19"/>
        <v>388857.83</v>
      </c>
    </row>
    <row r="321" spans="1:30" x14ac:dyDescent="0.2">
      <c r="A321" s="18">
        <v>2711</v>
      </c>
      <c r="B321" s="18">
        <v>1</v>
      </c>
      <c r="C321" s="3" t="s">
        <v>317</v>
      </c>
      <c r="D321" s="3">
        <f>Levy!F321</f>
        <v>0</v>
      </c>
      <c r="E321" s="3">
        <f>Levy!G321</f>
        <v>112712.94</v>
      </c>
      <c r="F321" s="3">
        <f>Levy!H321</f>
        <v>0</v>
      </c>
      <c r="G321" s="3">
        <f>Levy!I321</f>
        <v>96296.94</v>
      </c>
      <c r="H321" s="3">
        <f>Levy!J321</f>
        <v>0</v>
      </c>
      <c r="I321" s="176">
        <v>0</v>
      </c>
      <c r="J321" s="177">
        <v>0</v>
      </c>
      <c r="K321" s="177">
        <v>22101.82</v>
      </c>
      <c r="L321" s="177">
        <v>344433.5</v>
      </c>
      <c r="M321" s="175">
        <v>0</v>
      </c>
      <c r="N321" s="175">
        <v>0</v>
      </c>
      <c r="O321" s="175">
        <v>0</v>
      </c>
      <c r="P321" s="177">
        <v>8294.18</v>
      </c>
      <c r="Q321" s="177">
        <v>0</v>
      </c>
      <c r="R321" s="177">
        <v>0</v>
      </c>
      <c r="S321" s="177">
        <v>-9345.1299999999992</v>
      </c>
      <c r="T321" s="175">
        <v>0</v>
      </c>
      <c r="U321" s="175">
        <v>0</v>
      </c>
      <c r="V321" s="178">
        <v>0</v>
      </c>
      <c r="W321" s="178">
        <v>0</v>
      </c>
      <c r="X321" s="21">
        <v>7178.43</v>
      </c>
      <c r="Y321" s="161">
        <v>76000.399999999994</v>
      </c>
      <c r="Z321" s="3">
        <f t="shared" si="17"/>
        <v>365484.37</v>
      </c>
      <c r="AA321" s="3">
        <f t="shared" si="18"/>
        <v>0</v>
      </c>
      <c r="AB321" s="3">
        <f t="shared" si="20"/>
        <v>0</v>
      </c>
      <c r="AC321" s="3">
        <f>ROUND(MAX(0,(D321-V321)*Shift11!$B$3),2)</f>
        <v>0</v>
      </c>
      <c r="AD321" s="3">
        <f t="shared" si="19"/>
        <v>76000.399999999994</v>
      </c>
    </row>
    <row r="322" spans="1:30" x14ac:dyDescent="0.2">
      <c r="A322" s="18">
        <v>2752</v>
      </c>
      <c r="B322" s="18">
        <v>1</v>
      </c>
      <c r="C322" s="3" t="s">
        <v>318</v>
      </c>
      <c r="D322" s="3">
        <f>Levy!F322</f>
        <v>724723.44</v>
      </c>
      <c r="E322" s="3">
        <f>Levy!G322</f>
        <v>198369.75</v>
      </c>
      <c r="F322" s="3">
        <f>Levy!H322</f>
        <v>0</v>
      </c>
      <c r="G322" s="3">
        <f>Levy!I322</f>
        <v>829853.11</v>
      </c>
      <c r="H322" s="3">
        <f>Levy!J322</f>
        <v>137098.20000000001</v>
      </c>
      <c r="I322" s="176">
        <v>0</v>
      </c>
      <c r="J322" s="177">
        <v>31130</v>
      </c>
      <c r="K322" s="177">
        <v>48247.15</v>
      </c>
      <c r="L322" s="177">
        <v>0</v>
      </c>
      <c r="M322" s="175">
        <v>0</v>
      </c>
      <c r="N322" s="175">
        <v>0</v>
      </c>
      <c r="O322" s="175">
        <v>0</v>
      </c>
      <c r="P322" s="177">
        <v>5499.3</v>
      </c>
      <c r="Q322" s="177">
        <v>0</v>
      </c>
      <c r="R322" s="177">
        <v>0</v>
      </c>
      <c r="S322" s="177">
        <v>0</v>
      </c>
      <c r="T322" s="175">
        <v>0</v>
      </c>
      <c r="U322" s="175">
        <v>0</v>
      </c>
      <c r="V322" s="178">
        <v>0</v>
      </c>
      <c r="W322" s="178">
        <v>0</v>
      </c>
      <c r="X322" s="3">
        <v>0</v>
      </c>
      <c r="Y322" s="161">
        <v>54445.41</v>
      </c>
      <c r="Z322" s="3">
        <f t="shared" si="17"/>
        <v>84876.45</v>
      </c>
      <c r="AA322" s="3">
        <f t="shared" si="18"/>
        <v>943346.41</v>
      </c>
      <c r="AB322" s="3">
        <f t="shared" si="20"/>
        <v>137098.20000000001</v>
      </c>
      <c r="AC322" s="3">
        <f>ROUND(MAX(0,(D322-V322)*Shift11!$B$3),2)</f>
        <v>352215.59</v>
      </c>
      <c r="AD322" s="3">
        <f t="shared" si="19"/>
        <v>352215.59</v>
      </c>
    </row>
    <row r="323" spans="1:30" x14ac:dyDescent="0.2">
      <c r="A323" s="18">
        <v>2753</v>
      </c>
      <c r="B323" s="18">
        <v>1</v>
      </c>
      <c r="C323" s="3" t="s">
        <v>319</v>
      </c>
      <c r="D323" s="3">
        <f>Levy!F323</f>
        <v>578561</v>
      </c>
      <c r="E323" s="3">
        <f>Levy!G323</f>
        <v>58878</v>
      </c>
      <c r="F323" s="3">
        <f>Levy!H323</f>
        <v>0</v>
      </c>
      <c r="G323" s="3">
        <f>Levy!I323</f>
        <v>531769</v>
      </c>
      <c r="H323" s="3">
        <f>Levy!J323</f>
        <v>83198</v>
      </c>
      <c r="I323" s="176">
        <v>0</v>
      </c>
      <c r="J323" s="177">
        <v>25000</v>
      </c>
      <c r="K323" s="177">
        <v>86413.21</v>
      </c>
      <c r="L323" s="177">
        <v>0</v>
      </c>
      <c r="M323" s="175">
        <v>0</v>
      </c>
      <c r="N323" s="175">
        <v>0</v>
      </c>
      <c r="O323" s="175">
        <v>0</v>
      </c>
      <c r="P323" s="177">
        <v>-25866.66</v>
      </c>
      <c r="Q323" s="177">
        <v>0</v>
      </c>
      <c r="R323" s="177">
        <v>0</v>
      </c>
      <c r="S323" s="177">
        <v>0</v>
      </c>
      <c r="T323" s="175">
        <v>0</v>
      </c>
      <c r="U323" s="175">
        <v>0</v>
      </c>
      <c r="V323" s="178">
        <v>0</v>
      </c>
      <c r="W323" s="178">
        <v>0</v>
      </c>
      <c r="X323" s="3">
        <v>0</v>
      </c>
      <c r="Y323" s="161">
        <v>61420.61</v>
      </c>
      <c r="Z323" s="3">
        <f t="shared" si="17"/>
        <v>85546.55</v>
      </c>
      <c r="AA323" s="3">
        <f t="shared" si="18"/>
        <v>505100.45</v>
      </c>
      <c r="AB323" s="3">
        <f t="shared" si="20"/>
        <v>83198</v>
      </c>
      <c r="AC323" s="3">
        <f>ROUND(MAX(0,(D323-V323)*Shift11!$B$3),2)</f>
        <v>281180.65000000002</v>
      </c>
      <c r="AD323" s="3">
        <f t="shared" si="19"/>
        <v>281180.65000000002</v>
      </c>
    </row>
    <row r="324" spans="1:30" x14ac:dyDescent="0.2">
      <c r="A324" s="18">
        <v>2754</v>
      </c>
      <c r="B324" s="18">
        <v>1</v>
      </c>
      <c r="C324" s="3" t="s">
        <v>320</v>
      </c>
      <c r="D324" s="3">
        <f>Levy!F324</f>
        <v>126740</v>
      </c>
      <c r="E324" s="3">
        <f>Levy!G324</f>
        <v>24808</v>
      </c>
      <c r="F324" s="3">
        <f>Levy!H324</f>
        <v>0</v>
      </c>
      <c r="G324" s="3">
        <f>Levy!I324</f>
        <v>186280</v>
      </c>
      <c r="H324" s="3">
        <f>Levy!J324</f>
        <v>47181</v>
      </c>
      <c r="I324" s="176">
        <v>0</v>
      </c>
      <c r="J324" s="177">
        <v>0</v>
      </c>
      <c r="K324" s="177">
        <v>9828.5300000000007</v>
      </c>
      <c r="L324" s="177">
        <v>0</v>
      </c>
      <c r="M324" s="175">
        <v>0</v>
      </c>
      <c r="N324" s="175">
        <v>0</v>
      </c>
      <c r="O324" s="175">
        <v>0</v>
      </c>
      <c r="P324" s="177">
        <v>725.79</v>
      </c>
      <c r="Q324" s="177">
        <v>-725.79</v>
      </c>
      <c r="R324" s="177">
        <v>0</v>
      </c>
      <c r="S324" s="177">
        <v>0</v>
      </c>
      <c r="T324" s="175">
        <v>0</v>
      </c>
      <c r="U324" s="175">
        <v>0</v>
      </c>
      <c r="V324" s="178">
        <v>0</v>
      </c>
      <c r="W324" s="178">
        <v>0</v>
      </c>
      <c r="X324" s="3">
        <v>8095.57</v>
      </c>
      <c r="Y324" s="161">
        <v>98018.3</v>
      </c>
      <c r="Z324" s="3">
        <f t="shared" si="17"/>
        <v>9828.5299999999988</v>
      </c>
      <c r="AA324" s="3">
        <f t="shared" si="18"/>
        <v>193163.9</v>
      </c>
      <c r="AB324" s="3">
        <f t="shared" si="20"/>
        <v>47181</v>
      </c>
      <c r="AC324" s="3">
        <f>ROUND(MAX(0,(D324-V324)*Shift11!$B$3),2)</f>
        <v>61595.64</v>
      </c>
      <c r="AD324" s="3">
        <f t="shared" si="19"/>
        <v>98018.3</v>
      </c>
    </row>
    <row r="325" spans="1:30" x14ac:dyDescent="0.2">
      <c r="A325" s="18">
        <v>2759</v>
      </c>
      <c r="B325" s="18">
        <v>1</v>
      </c>
      <c r="C325" s="3" t="s">
        <v>321</v>
      </c>
      <c r="D325" s="3">
        <f>Levy!F325</f>
        <v>173096</v>
      </c>
      <c r="E325" s="3">
        <f>Levy!G325</f>
        <v>10968</v>
      </c>
      <c r="F325" s="3">
        <f>Levy!H325</f>
        <v>0</v>
      </c>
      <c r="G325" s="3">
        <f>Levy!I325</f>
        <v>102266</v>
      </c>
      <c r="H325" s="3">
        <f>Levy!J325</f>
        <v>21139</v>
      </c>
      <c r="I325" s="176">
        <v>0</v>
      </c>
      <c r="J325" s="177">
        <v>0</v>
      </c>
      <c r="K325" s="177">
        <v>25573.1</v>
      </c>
      <c r="L325" s="177">
        <v>0</v>
      </c>
      <c r="M325" s="175">
        <v>0</v>
      </c>
      <c r="N325" s="175">
        <v>0</v>
      </c>
      <c r="O325" s="175">
        <v>0</v>
      </c>
      <c r="P325" s="177">
        <v>3048.83</v>
      </c>
      <c r="Q325" s="177">
        <v>0</v>
      </c>
      <c r="R325" s="177">
        <v>0</v>
      </c>
      <c r="S325" s="177">
        <v>0</v>
      </c>
      <c r="T325" s="175">
        <v>0</v>
      </c>
      <c r="U325" s="175">
        <v>0</v>
      </c>
      <c r="V325" s="178">
        <v>0</v>
      </c>
      <c r="W325" s="178">
        <v>0</v>
      </c>
      <c r="X325" s="3">
        <v>0</v>
      </c>
      <c r="Y325" s="161">
        <v>12843.72</v>
      </c>
      <c r="Z325" s="3">
        <f t="shared" si="17"/>
        <v>28621.93</v>
      </c>
      <c r="AA325" s="3">
        <f t="shared" si="18"/>
        <v>84612.07</v>
      </c>
      <c r="AB325" s="3">
        <f t="shared" si="20"/>
        <v>21139</v>
      </c>
      <c r="AC325" s="3">
        <f>ROUND(MAX(0,(D325-V325)*Shift11!$B$3),2)</f>
        <v>84124.66</v>
      </c>
      <c r="AD325" s="3">
        <f t="shared" si="19"/>
        <v>84124.66</v>
      </c>
    </row>
    <row r="326" spans="1:30" x14ac:dyDescent="0.2">
      <c r="A326" s="18">
        <v>2805</v>
      </c>
      <c r="B326" s="18">
        <v>1</v>
      </c>
      <c r="C326" s="3" t="s">
        <v>322</v>
      </c>
      <c r="D326" s="3">
        <f>Levy!F326</f>
        <v>1046315</v>
      </c>
      <c r="E326" s="3">
        <f>Levy!G326</f>
        <v>96402</v>
      </c>
      <c r="F326" s="3">
        <f>Levy!H326</f>
        <v>0</v>
      </c>
      <c r="G326" s="3">
        <f>Levy!I326</f>
        <v>473652</v>
      </c>
      <c r="H326" s="3">
        <f>Levy!J326</f>
        <v>163385</v>
      </c>
      <c r="I326" s="176">
        <v>0</v>
      </c>
      <c r="J326" s="177">
        <v>9500</v>
      </c>
      <c r="K326" s="177">
        <v>27427.68</v>
      </c>
      <c r="L326" s="177">
        <v>0</v>
      </c>
      <c r="M326" s="175">
        <v>0</v>
      </c>
      <c r="N326" s="175">
        <v>0</v>
      </c>
      <c r="O326" s="175">
        <v>0</v>
      </c>
      <c r="P326" s="177">
        <v>24384.86</v>
      </c>
      <c r="Q326" s="177">
        <v>0</v>
      </c>
      <c r="R326" s="177">
        <v>0</v>
      </c>
      <c r="S326" s="177">
        <v>0</v>
      </c>
      <c r="T326" s="175">
        <v>0</v>
      </c>
      <c r="U326" s="175">
        <v>0</v>
      </c>
      <c r="V326" s="178">
        <v>0</v>
      </c>
      <c r="W326" s="178">
        <v>0</v>
      </c>
      <c r="X326" s="3">
        <v>0</v>
      </c>
      <c r="Y326" s="161">
        <v>152693.4</v>
      </c>
      <c r="Z326" s="3">
        <f t="shared" si="17"/>
        <v>61312.54</v>
      </c>
      <c r="AA326" s="3">
        <f t="shared" si="18"/>
        <v>508741.46</v>
      </c>
      <c r="AB326" s="3">
        <f t="shared" si="20"/>
        <v>163385</v>
      </c>
      <c r="AC326" s="3">
        <f>ROUND(MAX(0,(D326-V326)*Shift11!$B$3),2)</f>
        <v>508509.09</v>
      </c>
      <c r="AD326" s="3">
        <f t="shared" si="19"/>
        <v>508509.09</v>
      </c>
    </row>
    <row r="327" spans="1:30" x14ac:dyDescent="0.2">
      <c r="A327" s="18">
        <v>2835</v>
      </c>
      <c r="B327" s="18">
        <v>1</v>
      </c>
      <c r="C327" s="3" t="s">
        <v>323</v>
      </c>
      <c r="D327" s="3">
        <f>Levy!F327</f>
        <v>1143353</v>
      </c>
      <c r="E327" s="3">
        <f>Levy!G327</f>
        <v>25707</v>
      </c>
      <c r="F327" s="3">
        <f>Levy!H327</f>
        <v>0</v>
      </c>
      <c r="G327" s="3">
        <f>Levy!I327</f>
        <v>216272</v>
      </c>
      <c r="H327" s="3">
        <f>Levy!J327</f>
        <v>55576</v>
      </c>
      <c r="I327" s="176">
        <v>0</v>
      </c>
      <c r="J327" s="177">
        <v>0</v>
      </c>
      <c r="K327" s="177">
        <v>21781.45</v>
      </c>
      <c r="L327" s="177">
        <v>0</v>
      </c>
      <c r="M327" s="175">
        <v>0</v>
      </c>
      <c r="N327" s="175">
        <v>0</v>
      </c>
      <c r="O327" s="175">
        <v>0</v>
      </c>
      <c r="P327" s="177">
        <v>-3433.58</v>
      </c>
      <c r="Q327" s="177">
        <v>0</v>
      </c>
      <c r="R327" s="177">
        <v>0</v>
      </c>
      <c r="S327" s="177">
        <v>0</v>
      </c>
      <c r="T327" s="175">
        <v>0</v>
      </c>
      <c r="U327" s="175">
        <v>0</v>
      </c>
      <c r="V327" s="178">
        <v>0</v>
      </c>
      <c r="W327" s="178">
        <v>0</v>
      </c>
      <c r="X327" s="3">
        <v>0</v>
      </c>
      <c r="Y327" s="161">
        <v>161255.4</v>
      </c>
      <c r="Z327" s="3">
        <f t="shared" si="17"/>
        <v>18347.870000000003</v>
      </c>
      <c r="AA327" s="3">
        <f t="shared" si="18"/>
        <v>223631.13</v>
      </c>
      <c r="AB327" s="3">
        <f t="shared" si="20"/>
        <v>55576</v>
      </c>
      <c r="AC327" s="3">
        <f>ROUND(MAX(0,(D327-V327)*Shift11!$B$3),2)</f>
        <v>555669.56000000006</v>
      </c>
      <c r="AD327" s="3">
        <f t="shared" si="19"/>
        <v>555669.56000000006</v>
      </c>
    </row>
    <row r="328" spans="1:30" x14ac:dyDescent="0.2">
      <c r="A328" s="18">
        <v>2853</v>
      </c>
      <c r="B328" s="18">
        <v>1</v>
      </c>
      <c r="C328" s="3" t="s">
        <v>324</v>
      </c>
      <c r="D328" s="3">
        <f>Levy!F328</f>
        <v>704120.5</v>
      </c>
      <c r="E328" s="3">
        <f>Levy!G328</f>
        <v>38243.61</v>
      </c>
      <c r="F328" s="3">
        <f>Levy!H328</f>
        <v>0</v>
      </c>
      <c r="G328" s="3">
        <f>Levy!I328</f>
        <v>601186.47</v>
      </c>
      <c r="H328" s="3">
        <f>Levy!J328</f>
        <v>103884.29</v>
      </c>
      <c r="I328" s="176">
        <v>0</v>
      </c>
      <c r="J328" s="177">
        <v>0</v>
      </c>
      <c r="K328" s="177">
        <v>35050.15</v>
      </c>
      <c r="L328" s="177">
        <v>0</v>
      </c>
      <c r="M328" s="175">
        <v>0</v>
      </c>
      <c r="N328" s="175">
        <v>0</v>
      </c>
      <c r="O328" s="175">
        <v>0</v>
      </c>
      <c r="P328" s="177">
        <v>458.46</v>
      </c>
      <c r="Q328" s="177">
        <v>0</v>
      </c>
      <c r="R328" s="177">
        <v>0</v>
      </c>
      <c r="S328" s="177">
        <v>0</v>
      </c>
      <c r="T328" s="175">
        <v>0</v>
      </c>
      <c r="U328" s="175">
        <v>0</v>
      </c>
      <c r="V328" s="178">
        <v>0</v>
      </c>
      <c r="W328" s="178">
        <v>0</v>
      </c>
      <c r="X328" s="3">
        <v>642.47</v>
      </c>
      <c r="Y328" s="161">
        <v>88378.21</v>
      </c>
      <c r="Z328" s="3">
        <f t="shared" ref="Z328:Z344" si="21">SUM(I328:T328)</f>
        <v>35508.61</v>
      </c>
      <c r="AA328" s="3">
        <f t="shared" ref="AA328:AA344" si="22">ROUND(MAX(E328+F328+G328-W328-X328-Z328,0),2)</f>
        <v>603279</v>
      </c>
      <c r="AB328" s="3">
        <f t="shared" si="20"/>
        <v>103884.29</v>
      </c>
      <c r="AC328" s="3">
        <f>ROUND(MAX(0,(D328-V328)*Shift11!$B$3),2)</f>
        <v>342202.56</v>
      </c>
      <c r="AD328" s="3">
        <f t="shared" ref="AD328:AD344" si="23">MAX(AC328,Y328)</f>
        <v>342202.56</v>
      </c>
    </row>
    <row r="329" spans="1:30" x14ac:dyDescent="0.2">
      <c r="A329" s="18">
        <v>2854</v>
      </c>
      <c r="B329" s="18">
        <v>1</v>
      </c>
      <c r="C329" s="3" t="s">
        <v>325</v>
      </c>
      <c r="D329" s="3">
        <f>Levy!F329</f>
        <v>173019.61</v>
      </c>
      <c r="E329" s="3">
        <f>Levy!G329</f>
        <v>23943.27</v>
      </c>
      <c r="F329" s="3">
        <f>Levy!H329</f>
        <v>0</v>
      </c>
      <c r="G329" s="3">
        <f>Levy!I329</f>
        <v>159438.46</v>
      </c>
      <c r="H329" s="3">
        <f>Levy!J329</f>
        <v>37567.949999999997</v>
      </c>
      <c r="I329" s="176">
        <v>0</v>
      </c>
      <c r="J329" s="177">
        <v>2000</v>
      </c>
      <c r="K329" s="177">
        <v>0</v>
      </c>
      <c r="L329" s="177">
        <v>0</v>
      </c>
      <c r="M329" s="175">
        <v>0</v>
      </c>
      <c r="N329" s="175">
        <v>0</v>
      </c>
      <c r="O329" s="175">
        <v>0</v>
      </c>
      <c r="P329" s="177">
        <v>2382.5300000000002</v>
      </c>
      <c r="Q329" s="177">
        <v>-1265.1300000000001</v>
      </c>
      <c r="R329" s="177">
        <v>0</v>
      </c>
      <c r="S329" s="177">
        <v>0</v>
      </c>
      <c r="T329" s="175">
        <v>0</v>
      </c>
      <c r="U329" s="175">
        <v>0</v>
      </c>
      <c r="V329" s="178">
        <v>0</v>
      </c>
      <c r="W329" s="178">
        <v>0</v>
      </c>
      <c r="X329" s="3">
        <v>0</v>
      </c>
      <c r="Y329" s="161">
        <v>40913.339999999997</v>
      </c>
      <c r="Z329" s="3">
        <f t="shared" si="21"/>
        <v>3117.4000000000005</v>
      </c>
      <c r="AA329" s="3">
        <f t="shared" si="22"/>
        <v>180264.33</v>
      </c>
      <c r="AB329" s="3">
        <f t="shared" ref="AB329:AB344" si="24">ROUND(MAX(H329-U329,0),2)</f>
        <v>37567.949999999997</v>
      </c>
      <c r="AC329" s="3">
        <f>ROUND(MAX(0,(D329-V329)*Shift11!$B$3),2)</f>
        <v>84087.53</v>
      </c>
      <c r="AD329" s="3">
        <f t="shared" si="23"/>
        <v>84087.53</v>
      </c>
    </row>
    <row r="330" spans="1:30" x14ac:dyDescent="0.2">
      <c r="A330" s="18">
        <v>2856</v>
      </c>
      <c r="B330" s="18">
        <v>1</v>
      </c>
      <c r="C330" s="3" t="s">
        <v>326</v>
      </c>
      <c r="D330" s="3">
        <f>Levy!F330</f>
        <v>242780</v>
      </c>
      <c r="E330" s="3">
        <f>Levy!G330</f>
        <v>22302</v>
      </c>
      <c r="F330" s="3">
        <f>Levy!H330</f>
        <v>0</v>
      </c>
      <c r="G330" s="3">
        <f>Levy!I330</f>
        <v>190452</v>
      </c>
      <c r="H330" s="3">
        <f>Levy!J330</f>
        <v>59609</v>
      </c>
      <c r="I330" s="176">
        <v>0</v>
      </c>
      <c r="J330" s="177">
        <v>0</v>
      </c>
      <c r="K330" s="177">
        <v>11665.08</v>
      </c>
      <c r="L330" s="177">
        <v>0</v>
      </c>
      <c r="M330" s="175">
        <v>0</v>
      </c>
      <c r="N330" s="175">
        <v>0</v>
      </c>
      <c r="O330" s="175">
        <v>0</v>
      </c>
      <c r="P330" s="177">
        <v>-8259.24</v>
      </c>
      <c r="Q330" s="177">
        <v>0</v>
      </c>
      <c r="R330" s="177">
        <v>0</v>
      </c>
      <c r="S330" s="177">
        <v>0</v>
      </c>
      <c r="T330" s="175">
        <v>0</v>
      </c>
      <c r="U330" s="175">
        <v>0</v>
      </c>
      <c r="V330" s="178">
        <v>0</v>
      </c>
      <c r="W330" s="178">
        <v>0</v>
      </c>
      <c r="X330" s="3">
        <v>2021.24</v>
      </c>
      <c r="Y330" s="161">
        <v>122060.62</v>
      </c>
      <c r="Z330" s="3">
        <f t="shared" si="21"/>
        <v>3405.84</v>
      </c>
      <c r="AA330" s="3">
        <f t="shared" si="22"/>
        <v>207326.92</v>
      </c>
      <c r="AB330" s="3">
        <f t="shared" si="24"/>
        <v>59609</v>
      </c>
      <c r="AC330" s="3">
        <f>ROUND(MAX(0,(D330-V330)*Shift11!$B$3),2)</f>
        <v>117991.08</v>
      </c>
      <c r="AD330" s="3">
        <f t="shared" si="23"/>
        <v>122060.62</v>
      </c>
    </row>
    <row r="331" spans="1:30" x14ac:dyDescent="0.2">
      <c r="A331" s="18">
        <v>2859</v>
      </c>
      <c r="B331" s="18">
        <v>1</v>
      </c>
      <c r="C331" s="3" t="s">
        <v>327</v>
      </c>
      <c r="D331" s="3">
        <f>Levy!F331</f>
        <v>1328626.96</v>
      </c>
      <c r="E331" s="3">
        <f>Levy!G331</f>
        <v>173434.93</v>
      </c>
      <c r="F331" s="3">
        <f>Levy!H331</f>
        <v>0</v>
      </c>
      <c r="G331" s="3">
        <f>Levy!I331</f>
        <v>536531.52</v>
      </c>
      <c r="H331" s="3">
        <f>Levy!J331</f>
        <v>160732.31</v>
      </c>
      <c r="I331" s="176">
        <v>0</v>
      </c>
      <c r="J331" s="177">
        <v>0</v>
      </c>
      <c r="K331" s="177">
        <v>40643.9</v>
      </c>
      <c r="L331" s="177">
        <v>0</v>
      </c>
      <c r="M331" s="175">
        <v>0</v>
      </c>
      <c r="N331" s="175">
        <v>0</v>
      </c>
      <c r="O331" s="175">
        <v>0</v>
      </c>
      <c r="P331" s="177">
        <v>40596.199999999997</v>
      </c>
      <c r="Q331" s="177">
        <v>0</v>
      </c>
      <c r="R331" s="177">
        <v>-5039.9399999999996</v>
      </c>
      <c r="S331" s="177">
        <v>0</v>
      </c>
      <c r="T331" s="175">
        <v>0</v>
      </c>
      <c r="U331" s="175">
        <v>0</v>
      </c>
      <c r="V331" s="178">
        <v>0</v>
      </c>
      <c r="W331" s="178">
        <v>0</v>
      </c>
      <c r="X331" s="3">
        <f>0+3949.77</f>
        <v>3949.77</v>
      </c>
      <c r="Y331" s="161">
        <f>152280.16+16073.06</f>
        <v>168353.22</v>
      </c>
      <c r="Z331" s="3">
        <f t="shared" si="21"/>
        <v>76200.160000000003</v>
      </c>
      <c r="AA331" s="3">
        <f t="shared" si="22"/>
        <v>629816.52</v>
      </c>
      <c r="AB331" s="3">
        <f t="shared" si="24"/>
        <v>160732.31</v>
      </c>
      <c r="AC331" s="3">
        <f>ROUND(MAX(0,(D331-V331)*Shift11!$B$3),2)</f>
        <v>645712.69999999995</v>
      </c>
      <c r="AD331" s="3">
        <f t="shared" si="23"/>
        <v>645712.69999999995</v>
      </c>
    </row>
    <row r="332" spans="1:30" x14ac:dyDescent="0.2">
      <c r="A332" s="18">
        <v>2860</v>
      </c>
      <c r="B332" s="18">
        <v>1</v>
      </c>
      <c r="C332" s="3" t="s">
        <v>328</v>
      </c>
      <c r="D332" s="3">
        <f>Levy!F332</f>
        <v>475434.03</v>
      </c>
      <c r="E332" s="3">
        <f>Levy!G332</f>
        <v>75725.14</v>
      </c>
      <c r="F332" s="3">
        <f>Levy!H332</f>
        <v>0</v>
      </c>
      <c r="G332" s="3">
        <f>Levy!I332</f>
        <v>465641.57</v>
      </c>
      <c r="H332" s="3">
        <f>Levy!J332</f>
        <v>127553.83</v>
      </c>
      <c r="I332" s="176">
        <v>0</v>
      </c>
      <c r="J332" s="177">
        <v>0</v>
      </c>
      <c r="K332" s="177">
        <v>0</v>
      </c>
      <c r="L332" s="177">
        <v>0</v>
      </c>
      <c r="M332" s="175">
        <v>0</v>
      </c>
      <c r="N332" s="175">
        <v>0</v>
      </c>
      <c r="O332" s="175">
        <v>0</v>
      </c>
      <c r="P332" s="177">
        <v>8102.85</v>
      </c>
      <c r="Q332" s="177">
        <v>-8102.85</v>
      </c>
      <c r="R332" s="177">
        <v>0</v>
      </c>
      <c r="S332" s="177">
        <v>0</v>
      </c>
      <c r="T332" s="175">
        <v>0</v>
      </c>
      <c r="U332" s="175">
        <v>0</v>
      </c>
      <c r="V332" s="178">
        <v>0</v>
      </c>
      <c r="W332" s="178">
        <v>0</v>
      </c>
      <c r="X332" s="3">
        <v>0</v>
      </c>
      <c r="Y332" s="161">
        <v>161661.34</v>
      </c>
      <c r="Z332" s="3">
        <f t="shared" si="21"/>
        <v>0</v>
      </c>
      <c r="AA332" s="3">
        <f t="shared" si="22"/>
        <v>541366.71</v>
      </c>
      <c r="AB332" s="3">
        <f t="shared" si="24"/>
        <v>127553.83</v>
      </c>
      <c r="AC332" s="3">
        <f>ROUND(MAX(0,(D332-V332)*Shift11!$B$3),2)</f>
        <v>231060.94</v>
      </c>
      <c r="AD332" s="3">
        <f t="shared" si="23"/>
        <v>231060.94</v>
      </c>
    </row>
    <row r="333" spans="1:30" x14ac:dyDescent="0.2">
      <c r="A333" s="18">
        <v>2884</v>
      </c>
      <c r="B333" s="18">
        <v>1</v>
      </c>
      <c r="C333" s="3" t="s">
        <v>329</v>
      </c>
      <c r="D333" s="3">
        <f>Levy!F333</f>
        <v>556955</v>
      </c>
      <c r="E333" s="3">
        <f>Levy!G333</f>
        <v>14878</v>
      </c>
      <c r="F333" s="3">
        <f>Levy!H333</f>
        <v>0</v>
      </c>
      <c r="G333" s="3">
        <f>Levy!I333</f>
        <v>259976</v>
      </c>
      <c r="H333" s="3">
        <f>Levy!J333</f>
        <v>32635</v>
      </c>
      <c r="I333" s="176">
        <v>0</v>
      </c>
      <c r="J333" s="177">
        <v>0</v>
      </c>
      <c r="K333" s="177">
        <v>0</v>
      </c>
      <c r="L333" s="177">
        <v>0</v>
      </c>
      <c r="M333" s="175">
        <v>0</v>
      </c>
      <c r="N333" s="175">
        <v>0</v>
      </c>
      <c r="O333" s="175">
        <v>0</v>
      </c>
      <c r="P333" s="177">
        <v>250.64</v>
      </c>
      <c r="Q333" s="177">
        <v>0</v>
      </c>
      <c r="R333" s="177">
        <v>0</v>
      </c>
      <c r="S333" s="177">
        <v>0</v>
      </c>
      <c r="T333" s="175">
        <v>0</v>
      </c>
      <c r="U333" s="175">
        <v>0</v>
      </c>
      <c r="V333" s="178">
        <v>0</v>
      </c>
      <c r="W333" s="178">
        <v>0</v>
      </c>
      <c r="X333" s="3">
        <v>16313.15</v>
      </c>
      <c r="Y333" s="161">
        <v>56094.94</v>
      </c>
      <c r="Z333" s="3">
        <f t="shared" si="21"/>
        <v>250.64</v>
      </c>
      <c r="AA333" s="3">
        <f t="shared" si="22"/>
        <v>258290.21</v>
      </c>
      <c r="AB333" s="3">
        <f t="shared" si="24"/>
        <v>32635</v>
      </c>
      <c r="AC333" s="3">
        <f>ROUND(MAX(0,(D333-V333)*Shift11!$B$3),2)</f>
        <v>270680.13</v>
      </c>
      <c r="AD333" s="3">
        <f t="shared" si="23"/>
        <v>270680.13</v>
      </c>
    </row>
    <row r="334" spans="1:30" x14ac:dyDescent="0.2">
      <c r="A334" s="18">
        <v>2886</v>
      </c>
      <c r="B334" s="18">
        <v>1</v>
      </c>
      <c r="C334" s="3" t="s">
        <v>330</v>
      </c>
      <c r="D334" s="3">
        <f>Levy!F334</f>
        <v>245077.85</v>
      </c>
      <c r="E334" s="3">
        <f>Levy!G334</f>
        <v>25637</v>
      </c>
      <c r="F334" s="3">
        <f>Levy!H334</f>
        <v>0</v>
      </c>
      <c r="G334" s="3">
        <f>Levy!I334</f>
        <v>156862.10999999999</v>
      </c>
      <c r="H334" s="3">
        <f>Levy!J334</f>
        <v>20102.009999999998</v>
      </c>
      <c r="I334" s="176">
        <v>0</v>
      </c>
      <c r="J334" s="177">
        <v>15000</v>
      </c>
      <c r="K334" s="177">
        <v>8661.09</v>
      </c>
      <c r="L334" s="177">
        <v>0</v>
      </c>
      <c r="M334" s="175">
        <v>0</v>
      </c>
      <c r="N334" s="175">
        <v>0</v>
      </c>
      <c r="O334" s="175">
        <v>0</v>
      </c>
      <c r="P334" s="177">
        <v>-914.27</v>
      </c>
      <c r="Q334" s="177">
        <v>0</v>
      </c>
      <c r="R334" s="177">
        <v>2968.8</v>
      </c>
      <c r="S334" s="177">
        <v>0</v>
      </c>
      <c r="T334" s="175">
        <v>0</v>
      </c>
      <c r="U334" s="175">
        <v>0</v>
      </c>
      <c r="V334" s="178">
        <v>0</v>
      </c>
      <c r="W334" s="178">
        <v>0</v>
      </c>
      <c r="X334" s="3">
        <v>519.49</v>
      </c>
      <c r="Y334" s="161">
        <v>122081.61</v>
      </c>
      <c r="Z334" s="3">
        <f t="shared" si="21"/>
        <v>25715.62</v>
      </c>
      <c r="AA334" s="3">
        <f t="shared" si="22"/>
        <v>156264</v>
      </c>
      <c r="AB334" s="3">
        <f t="shared" si="24"/>
        <v>20102.009999999998</v>
      </c>
      <c r="AC334" s="3">
        <f>ROUND(MAX(0,(D334-V334)*Shift11!$B$3),2)</f>
        <v>119107.84</v>
      </c>
      <c r="AD334" s="3">
        <f t="shared" si="23"/>
        <v>122081.61</v>
      </c>
    </row>
    <row r="335" spans="1:30" x14ac:dyDescent="0.2">
      <c r="A335" s="18">
        <v>2888</v>
      </c>
      <c r="B335" s="18">
        <v>1</v>
      </c>
      <c r="C335" s="3" t="s">
        <v>331</v>
      </c>
      <c r="D335" s="3">
        <f>Levy!F335</f>
        <v>199651.8</v>
      </c>
      <c r="E335" s="3">
        <f>Levy!G335</f>
        <v>12511.42</v>
      </c>
      <c r="F335" s="3">
        <f>Levy!H335</f>
        <v>0</v>
      </c>
      <c r="G335" s="3">
        <f>Levy!I335</f>
        <v>177332.82</v>
      </c>
      <c r="H335" s="3">
        <f>Levy!J335</f>
        <v>27843.65</v>
      </c>
      <c r="I335" s="176">
        <v>0</v>
      </c>
      <c r="J335" s="177">
        <v>6850</v>
      </c>
      <c r="K335" s="177">
        <v>11919.95</v>
      </c>
      <c r="L335" s="177">
        <v>0</v>
      </c>
      <c r="M335" s="175">
        <v>0</v>
      </c>
      <c r="N335" s="175">
        <v>0</v>
      </c>
      <c r="O335" s="175">
        <v>0</v>
      </c>
      <c r="P335" s="177">
        <v>-6622.01</v>
      </c>
      <c r="Q335" s="177">
        <v>0</v>
      </c>
      <c r="R335" s="177">
        <v>0</v>
      </c>
      <c r="S335" s="177">
        <v>0</v>
      </c>
      <c r="T335" s="175">
        <v>0</v>
      </c>
      <c r="U335" s="175">
        <v>0</v>
      </c>
      <c r="V335" s="178">
        <v>0</v>
      </c>
      <c r="W335" s="178">
        <v>0</v>
      </c>
      <c r="X335" s="3">
        <v>5805.07</v>
      </c>
      <c r="Y335" s="161">
        <v>38564.47</v>
      </c>
      <c r="Z335" s="3">
        <f t="shared" si="21"/>
        <v>12147.94</v>
      </c>
      <c r="AA335" s="3">
        <f t="shared" si="22"/>
        <v>171891.23</v>
      </c>
      <c r="AB335" s="3">
        <f t="shared" si="24"/>
        <v>27843.65</v>
      </c>
      <c r="AC335" s="3">
        <f>ROUND(MAX(0,(D335-V335)*Shift11!$B$3),2)</f>
        <v>97030.77</v>
      </c>
      <c r="AD335" s="3">
        <f t="shared" si="23"/>
        <v>97030.77</v>
      </c>
    </row>
    <row r="336" spans="1:30" x14ac:dyDescent="0.2">
      <c r="A336" s="18">
        <v>2889</v>
      </c>
      <c r="B336" s="18">
        <v>1</v>
      </c>
      <c r="C336" s="3" t="s">
        <v>332</v>
      </c>
      <c r="D336" s="3">
        <f>Levy!F336</f>
        <v>611607</v>
      </c>
      <c r="E336" s="3">
        <f>Levy!G336</f>
        <v>62406</v>
      </c>
      <c r="F336" s="3">
        <f>Levy!H336</f>
        <v>0</v>
      </c>
      <c r="G336" s="3">
        <f>Levy!I336</f>
        <v>258667</v>
      </c>
      <c r="H336" s="3">
        <f>Levy!J336</f>
        <v>77777</v>
      </c>
      <c r="I336" s="176">
        <v>0</v>
      </c>
      <c r="J336" s="177">
        <v>5534.23</v>
      </c>
      <c r="K336" s="177">
        <v>15740.99</v>
      </c>
      <c r="L336" s="177">
        <v>0</v>
      </c>
      <c r="M336" s="175">
        <v>0</v>
      </c>
      <c r="N336" s="175">
        <v>0</v>
      </c>
      <c r="O336" s="175">
        <v>0</v>
      </c>
      <c r="P336" s="177">
        <v>-5641.66</v>
      </c>
      <c r="Q336" s="177">
        <v>0</v>
      </c>
      <c r="R336" s="177">
        <v>0</v>
      </c>
      <c r="S336" s="177">
        <v>0</v>
      </c>
      <c r="T336" s="175">
        <v>0</v>
      </c>
      <c r="U336" s="175">
        <v>0</v>
      </c>
      <c r="V336" s="178">
        <v>0</v>
      </c>
      <c r="W336" s="178">
        <v>0</v>
      </c>
      <c r="X336" s="3">
        <v>11121.56</v>
      </c>
      <c r="Y336" s="161">
        <v>70465.440000000002</v>
      </c>
      <c r="Z336" s="3">
        <f t="shared" si="21"/>
        <v>15633.560000000001</v>
      </c>
      <c r="AA336" s="3">
        <f t="shared" si="22"/>
        <v>294317.88</v>
      </c>
      <c r="AB336" s="3">
        <f t="shared" si="24"/>
        <v>77777</v>
      </c>
      <c r="AC336" s="3">
        <f>ROUND(MAX(0,(D336-V336)*Shift11!$B$3),2)</f>
        <v>297241</v>
      </c>
      <c r="AD336" s="3">
        <f t="shared" si="23"/>
        <v>297241</v>
      </c>
    </row>
    <row r="337" spans="1:30" x14ac:dyDescent="0.2">
      <c r="A337" s="18">
        <v>2890</v>
      </c>
      <c r="B337" s="18">
        <v>1</v>
      </c>
      <c r="C337" s="3" t="s">
        <v>333</v>
      </c>
      <c r="D337" s="3">
        <f>Levy!F337</f>
        <v>993198.01</v>
      </c>
      <c r="E337" s="3">
        <f>Levy!G337</f>
        <v>18588.64</v>
      </c>
      <c r="F337" s="3">
        <f>Levy!H337</f>
        <v>0</v>
      </c>
      <c r="G337" s="3">
        <f>Levy!I337</f>
        <v>410629.9</v>
      </c>
      <c r="H337" s="3">
        <f>Levy!J337</f>
        <v>62602.83</v>
      </c>
      <c r="I337" s="176">
        <v>0</v>
      </c>
      <c r="J337" s="177">
        <v>0</v>
      </c>
      <c r="K337" s="177">
        <v>15208.2</v>
      </c>
      <c r="L337" s="177">
        <v>0</v>
      </c>
      <c r="M337" s="175">
        <v>0</v>
      </c>
      <c r="N337" s="175">
        <v>0</v>
      </c>
      <c r="O337" s="175">
        <v>0</v>
      </c>
      <c r="P337" s="177">
        <v>-2414.4499999999998</v>
      </c>
      <c r="Q337" s="177">
        <v>0</v>
      </c>
      <c r="R337" s="177">
        <v>0</v>
      </c>
      <c r="S337" s="177">
        <v>0</v>
      </c>
      <c r="T337" s="175">
        <v>0</v>
      </c>
      <c r="U337" s="175">
        <v>0</v>
      </c>
      <c r="V337" s="178">
        <v>0</v>
      </c>
      <c r="W337" s="178">
        <v>0</v>
      </c>
      <c r="X337" s="3">
        <v>0</v>
      </c>
      <c r="Y337" s="161">
        <v>202355.05</v>
      </c>
      <c r="Z337" s="3">
        <f t="shared" si="21"/>
        <v>12793.75</v>
      </c>
      <c r="AA337" s="3">
        <f t="shared" si="22"/>
        <v>416424.79</v>
      </c>
      <c r="AB337" s="3">
        <f t="shared" si="24"/>
        <v>62602.83</v>
      </c>
      <c r="AC337" s="3">
        <f>ROUND(MAX(0,(D337-V337)*Shift11!$B$3),2)</f>
        <v>482694.23</v>
      </c>
      <c r="AD337" s="3">
        <f t="shared" si="23"/>
        <v>482694.23</v>
      </c>
    </row>
    <row r="338" spans="1:30" x14ac:dyDescent="0.2">
      <c r="A338" s="18">
        <v>2895</v>
      </c>
      <c r="B338" s="18">
        <v>1</v>
      </c>
      <c r="C338" s="3" t="s">
        <v>334</v>
      </c>
      <c r="D338" s="3">
        <f>Levy!F338</f>
        <v>895934</v>
      </c>
      <c r="E338" s="3">
        <f>Levy!G338</f>
        <v>74409</v>
      </c>
      <c r="F338" s="3">
        <f>Levy!H338</f>
        <v>0</v>
      </c>
      <c r="G338" s="3">
        <f>Levy!I338</f>
        <v>780801</v>
      </c>
      <c r="H338" s="3">
        <f>Levy!J338</f>
        <v>113321</v>
      </c>
      <c r="I338" s="176">
        <v>0</v>
      </c>
      <c r="J338" s="177">
        <v>30000</v>
      </c>
      <c r="K338" s="177">
        <v>26809.14</v>
      </c>
      <c r="L338" s="177">
        <v>0</v>
      </c>
      <c r="M338" s="175">
        <v>0</v>
      </c>
      <c r="N338" s="175">
        <v>0</v>
      </c>
      <c r="O338" s="175">
        <v>0</v>
      </c>
      <c r="P338" s="177">
        <v>12840.49</v>
      </c>
      <c r="Q338" s="177">
        <v>0</v>
      </c>
      <c r="R338" s="177">
        <v>-1951.35</v>
      </c>
      <c r="S338" s="177">
        <v>0</v>
      </c>
      <c r="T338" s="175">
        <v>0</v>
      </c>
      <c r="U338" s="175">
        <v>0</v>
      </c>
      <c r="V338" s="178">
        <v>0</v>
      </c>
      <c r="W338" s="178">
        <v>0</v>
      </c>
      <c r="X338" s="3">
        <v>13469.21</v>
      </c>
      <c r="Y338" s="161">
        <v>40827.550000000003</v>
      </c>
      <c r="Z338" s="3">
        <f t="shared" si="21"/>
        <v>67698.28</v>
      </c>
      <c r="AA338" s="3">
        <f t="shared" si="22"/>
        <v>774042.51</v>
      </c>
      <c r="AB338" s="3">
        <f t="shared" si="24"/>
        <v>113321</v>
      </c>
      <c r="AC338" s="3">
        <f>ROUND(MAX(0,(D338-V338)*Shift11!$B$3),2)</f>
        <v>435423.92</v>
      </c>
      <c r="AD338" s="3">
        <f t="shared" si="23"/>
        <v>435423.92</v>
      </c>
    </row>
    <row r="339" spans="1:30" x14ac:dyDescent="0.2">
      <c r="A339" s="18">
        <v>2897</v>
      </c>
      <c r="B339" s="18">
        <v>1</v>
      </c>
      <c r="C339" s="3" t="s">
        <v>335</v>
      </c>
      <c r="D339" s="3">
        <f>Levy!F339</f>
        <v>797061</v>
      </c>
      <c r="E339" s="3">
        <f>Levy!G339</f>
        <v>77650</v>
      </c>
      <c r="F339" s="3">
        <f>Levy!H339</f>
        <v>0</v>
      </c>
      <c r="G339" s="3">
        <f>Levy!I339</f>
        <v>401625</v>
      </c>
      <c r="H339" s="3">
        <f>Levy!J339</f>
        <v>105550</v>
      </c>
      <c r="I339" s="176">
        <v>0</v>
      </c>
      <c r="J339" s="177">
        <v>15000</v>
      </c>
      <c r="K339" s="177">
        <v>0</v>
      </c>
      <c r="L339" s="177">
        <v>0</v>
      </c>
      <c r="M339" s="175">
        <v>0</v>
      </c>
      <c r="N339" s="175">
        <v>0</v>
      </c>
      <c r="O339" s="175">
        <v>0</v>
      </c>
      <c r="P339" s="177">
        <v>-1061.1099999999999</v>
      </c>
      <c r="Q339" s="177">
        <v>0</v>
      </c>
      <c r="R339" s="177">
        <v>0</v>
      </c>
      <c r="S339" s="177">
        <v>0</v>
      </c>
      <c r="T339" s="175">
        <v>0</v>
      </c>
      <c r="U339" s="175">
        <v>0</v>
      </c>
      <c r="V339" s="178">
        <v>0</v>
      </c>
      <c r="W339" s="178">
        <v>0</v>
      </c>
      <c r="X339" s="3">
        <v>0</v>
      </c>
      <c r="Y339" s="161">
        <v>0</v>
      </c>
      <c r="Z339" s="3">
        <f t="shared" si="21"/>
        <v>13938.89</v>
      </c>
      <c r="AA339" s="3">
        <f t="shared" si="22"/>
        <v>465336.11</v>
      </c>
      <c r="AB339" s="3">
        <f t="shared" si="24"/>
        <v>105550</v>
      </c>
      <c r="AC339" s="3">
        <f>ROUND(MAX(0,(D339-V339)*Shift11!$B$3),2)</f>
        <v>387371.65</v>
      </c>
      <c r="AD339" s="3">
        <f t="shared" si="23"/>
        <v>387371.65</v>
      </c>
    </row>
    <row r="340" spans="1:30" x14ac:dyDescent="0.2">
      <c r="A340" s="18">
        <v>2898</v>
      </c>
      <c r="B340" s="18">
        <v>1</v>
      </c>
      <c r="C340" s="3" t="s">
        <v>336</v>
      </c>
      <c r="D340" s="3">
        <f>Levy!F340</f>
        <v>142275</v>
      </c>
      <c r="E340" s="3">
        <f>Levy!G340</f>
        <v>42285</v>
      </c>
      <c r="F340" s="3">
        <f>Levy!H340</f>
        <v>0</v>
      </c>
      <c r="G340" s="3">
        <f>Levy!I340</f>
        <v>231071</v>
      </c>
      <c r="H340" s="3">
        <f>Levy!J340</f>
        <v>34049</v>
      </c>
      <c r="I340" s="176">
        <v>0</v>
      </c>
      <c r="J340" s="177">
        <v>0</v>
      </c>
      <c r="K340" s="177">
        <v>0</v>
      </c>
      <c r="L340" s="177">
        <v>0</v>
      </c>
      <c r="M340" s="175">
        <v>0</v>
      </c>
      <c r="N340" s="175">
        <v>0</v>
      </c>
      <c r="O340" s="175">
        <v>0</v>
      </c>
      <c r="P340" s="177">
        <v>-3146.37</v>
      </c>
      <c r="Q340" s="177">
        <v>0</v>
      </c>
      <c r="R340" s="177">
        <v>488</v>
      </c>
      <c r="S340" s="177">
        <v>0</v>
      </c>
      <c r="T340" s="175">
        <v>0</v>
      </c>
      <c r="U340" s="175">
        <v>0</v>
      </c>
      <c r="V340" s="178">
        <v>0</v>
      </c>
      <c r="W340" s="178">
        <v>0</v>
      </c>
      <c r="X340" s="3">
        <v>0</v>
      </c>
      <c r="Y340" s="161">
        <v>115844.14</v>
      </c>
      <c r="Z340" s="3">
        <f t="shared" si="21"/>
        <v>-2658.37</v>
      </c>
      <c r="AA340" s="3">
        <f t="shared" si="22"/>
        <v>276014.37</v>
      </c>
      <c r="AB340" s="3">
        <f t="shared" si="24"/>
        <v>34049</v>
      </c>
      <c r="AC340" s="3">
        <f>ROUND(MAX(0,(D340-V340)*Shift11!$B$3),2)</f>
        <v>69145.649999999994</v>
      </c>
      <c r="AD340" s="3">
        <f t="shared" si="23"/>
        <v>115844.14</v>
      </c>
    </row>
    <row r="341" spans="1:30" x14ac:dyDescent="0.2">
      <c r="A341" s="18">
        <v>2899</v>
      </c>
      <c r="B341" s="18">
        <v>1</v>
      </c>
      <c r="C341" s="3" t="s">
        <v>498</v>
      </c>
      <c r="D341" s="3">
        <f>Levy!F341</f>
        <v>306724</v>
      </c>
      <c r="E341" s="3">
        <f>Levy!G341</f>
        <v>133785</v>
      </c>
      <c r="F341" s="3">
        <f>Levy!H341</f>
        <v>0</v>
      </c>
      <c r="G341" s="3">
        <f>Levy!I341</f>
        <v>495350</v>
      </c>
      <c r="H341" s="3">
        <f>Levy!J341</f>
        <v>85748</v>
      </c>
      <c r="I341" s="176">
        <v>0</v>
      </c>
      <c r="J341" s="177">
        <v>7500</v>
      </c>
      <c r="K341" s="177">
        <v>38491.019999999997</v>
      </c>
      <c r="L341" s="177">
        <v>0</v>
      </c>
      <c r="M341" s="175">
        <v>0</v>
      </c>
      <c r="N341" s="175">
        <v>0</v>
      </c>
      <c r="O341" s="175">
        <v>0</v>
      </c>
      <c r="P341" s="177">
        <v>48994.06</v>
      </c>
      <c r="Q341" s="177">
        <v>0</v>
      </c>
      <c r="R341" s="177">
        <v>-1107.2</v>
      </c>
      <c r="S341" s="177">
        <v>0</v>
      </c>
      <c r="T341" s="175">
        <v>0</v>
      </c>
      <c r="U341" s="175">
        <v>0</v>
      </c>
      <c r="V341" s="178">
        <v>0</v>
      </c>
      <c r="W341" s="178">
        <v>0</v>
      </c>
      <c r="X341" s="3">
        <v>0</v>
      </c>
      <c r="Y341" s="161">
        <v>24224.82</v>
      </c>
      <c r="Z341" s="3">
        <f t="shared" si="21"/>
        <v>93877.87999999999</v>
      </c>
      <c r="AA341" s="3">
        <f t="shared" si="22"/>
        <v>535257.12</v>
      </c>
      <c r="AB341" s="3">
        <f t="shared" si="24"/>
        <v>85748</v>
      </c>
      <c r="AC341" s="3">
        <f>ROUND(MAX(0,(D341-V341)*Shift11!$B$3),2)</f>
        <v>149067.85999999999</v>
      </c>
      <c r="AD341" s="3">
        <f t="shared" si="23"/>
        <v>149067.85999999999</v>
      </c>
    </row>
    <row r="342" spans="1:30" x14ac:dyDescent="0.2">
      <c r="A342" s="18">
        <v>2902</v>
      </c>
      <c r="B342" s="18">
        <v>1</v>
      </c>
      <c r="C342" s="3" t="s">
        <v>497</v>
      </c>
      <c r="D342" s="3">
        <f>Levy!F342</f>
        <v>228589</v>
      </c>
      <c r="E342" s="3">
        <f>Levy!G342</f>
        <v>36179</v>
      </c>
      <c r="F342" s="3">
        <f>Levy!H342</f>
        <v>0</v>
      </c>
      <c r="G342" s="3">
        <f>Levy!I342</f>
        <v>431373</v>
      </c>
      <c r="H342" s="3">
        <f>Levy!J342</f>
        <v>35598</v>
      </c>
      <c r="I342" s="176">
        <v>0</v>
      </c>
      <c r="J342" s="177">
        <v>13866</v>
      </c>
      <c r="K342" s="177">
        <v>14617.74</v>
      </c>
      <c r="L342" s="177">
        <v>0</v>
      </c>
      <c r="M342" s="175">
        <v>0</v>
      </c>
      <c r="N342" s="175">
        <v>0</v>
      </c>
      <c r="O342" s="175">
        <v>0</v>
      </c>
      <c r="P342" s="177">
        <v>5842.04</v>
      </c>
      <c r="Q342" s="177">
        <v>0</v>
      </c>
      <c r="R342" s="177">
        <v>-446.4</v>
      </c>
      <c r="S342" s="177">
        <v>0</v>
      </c>
      <c r="T342" s="175">
        <v>0</v>
      </c>
      <c r="U342" s="175">
        <v>0</v>
      </c>
      <c r="V342" s="178">
        <v>0</v>
      </c>
      <c r="W342" s="178">
        <v>0</v>
      </c>
      <c r="X342" s="3">
        <v>479.17</v>
      </c>
      <c r="Y342" s="161">
        <v>56182.83</v>
      </c>
      <c r="Z342" s="3">
        <f t="shared" si="21"/>
        <v>33879.379999999997</v>
      </c>
      <c r="AA342" s="3">
        <f t="shared" si="22"/>
        <v>433193.45</v>
      </c>
      <c r="AB342" s="3">
        <f t="shared" si="24"/>
        <v>35598</v>
      </c>
      <c r="AC342" s="3">
        <f>ROUND(MAX(0,(D342-V342)*Shift11!$B$3),2)</f>
        <v>111094.25</v>
      </c>
      <c r="AD342" s="3">
        <f t="shared" si="23"/>
        <v>111094.25</v>
      </c>
    </row>
    <row r="343" spans="1:30" x14ac:dyDescent="0.2">
      <c r="A343" s="18">
        <v>2903</v>
      </c>
      <c r="B343" s="18">
        <v>1</v>
      </c>
      <c r="C343" s="3" t="s">
        <v>640</v>
      </c>
      <c r="D343" s="3">
        <f>Levy!F343</f>
        <v>374787.24</v>
      </c>
      <c r="E343" s="3">
        <f>Levy!G343</f>
        <v>26195.9</v>
      </c>
      <c r="F343" s="3">
        <f>Levy!H343</f>
        <v>0</v>
      </c>
      <c r="G343" s="3">
        <f>Levy!I343</f>
        <v>223821.65</v>
      </c>
      <c r="H343" s="3">
        <f>Levy!J343</f>
        <v>47292.54</v>
      </c>
      <c r="I343" s="176">
        <v>0</v>
      </c>
      <c r="J343" s="177">
        <v>0</v>
      </c>
      <c r="K343" s="177">
        <v>20351.88</v>
      </c>
      <c r="L343" s="177">
        <v>0</v>
      </c>
      <c r="M343" s="175">
        <v>0</v>
      </c>
      <c r="N343" s="175">
        <v>0</v>
      </c>
      <c r="O343" s="175">
        <v>0</v>
      </c>
      <c r="P343" s="177">
        <v>0</v>
      </c>
      <c r="Q343" s="177">
        <v>0</v>
      </c>
      <c r="R343" s="177">
        <v>-7446.85</v>
      </c>
      <c r="S343" s="177">
        <v>0</v>
      </c>
      <c r="T343" s="175">
        <v>0</v>
      </c>
      <c r="U343" s="175">
        <v>0</v>
      </c>
      <c r="V343" s="175">
        <v>0</v>
      </c>
      <c r="W343" s="175">
        <v>0</v>
      </c>
      <c r="X343" s="3">
        <v>0</v>
      </c>
      <c r="Y343" s="161">
        <v>78903.95</v>
      </c>
      <c r="Z343" s="3">
        <f t="shared" si="21"/>
        <v>12905.03</v>
      </c>
      <c r="AA343" s="3">
        <f t="shared" si="22"/>
        <v>237112.52</v>
      </c>
      <c r="AB343" s="3">
        <f t="shared" si="24"/>
        <v>47292.54</v>
      </c>
      <c r="AC343" s="3">
        <f>ROUND(MAX(0,(D343-V343)*Shift11!$B$3),2)</f>
        <v>182146.6</v>
      </c>
      <c r="AD343" s="3">
        <f t="shared" si="23"/>
        <v>182146.6</v>
      </c>
    </row>
    <row r="344" spans="1:30" x14ac:dyDescent="0.2">
      <c r="A344" s="18">
        <v>2904</v>
      </c>
      <c r="B344" s="18">
        <v>1</v>
      </c>
      <c r="C344" s="3" t="s">
        <v>641</v>
      </c>
      <c r="D344" s="3">
        <f>Levy!F344</f>
        <v>561437</v>
      </c>
      <c r="E344" s="3">
        <f>Levy!G344</f>
        <v>72034</v>
      </c>
      <c r="F344" s="3">
        <f>Levy!H344</f>
        <v>0</v>
      </c>
      <c r="G344" s="3">
        <f>Levy!I344</f>
        <v>316612</v>
      </c>
      <c r="H344" s="3">
        <f>Levy!J344</f>
        <v>70429</v>
      </c>
      <c r="I344" s="176">
        <v>0</v>
      </c>
      <c r="J344" s="177">
        <v>10000</v>
      </c>
      <c r="K344" s="177">
        <v>21439</v>
      </c>
      <c r="L344" s="177">
        <v>0</v>
      </c>
      <c r="M344" s="175">
        <v>0</v>
      </c>
      <c r="N344" s="175">
        <v>0</v>
      </c>
      <c r="O344" s="175">
        <v>0</v>
      </c>
      <c r="P344" s="177">
        <v>-16973.8</v>
      </c>
      <c r="Q344" s="177">
        <v>0</v>
      </c>
      <c r="R344" s="177">
        <v>-1129.99</v>
      </c>
      <c r="S344" s="177">
        <v>0</v>
      </c>
      <c r="T344" s="175">
        <v>0</v>
      </c>
      <c r="U344" s="175">
        <v>0</v>
      </c>
      <c r="V344" s="175">
        <v>0</v>
      </c>
      <c r="W344" s="175">
        <v>0</v>
      </c>
      <c r="X344" s="3">
        <v>4004.21</v>
      </c>
      <c r="Y344" s="161">
        <v>99195.199999999997</v>
      </c>
      <c r="Z344" s="3">
        <f t="shared" si="21"/>
        <v>13335.210000000001</v>
      </c>
      <c r="AA344" s="3">
        <f t="shared" si="22"/>
        <v>371306.58</v>
      </c>
      <c r="AB344" s="3">
        <f t="shared" si="24"/>
        <v>70429</v>
      </c>
      <c r="AC344" s="3">
        <f>ROUND(MAX(0,(D344-V344)*Shift11!$B$3),2)</f>
        <v>272858.38</v>
      </c>
      <c r="AD344" s="3">
        <f t="shared" si="23"/>
        <v>272858.38</v>
      </c>
    </row>
    <row r="346" spans="1:30" x14ac:dyDescent="0.2">
      <c r="A346" s="166" t="s">
        <v>688</v>
      </c>
    </row>
    <row r="347" spans="1:30" x14ac:dyDescent="0.2">
      <c r="Y347" s="21"/>
    </row>
  </sheetData>
  <mergeCells count="1">
    <mergeCell ref="I3:W3"/>
  </mergeCells>
  <phoneticPr fontId="0" type="noConversion"/>
  <pageMargins left="0.5" right="0.5" top="1" bottom="1" header="0.5" footer="0.5"/>
  <pageSetup scale="66" fitToWidth="2" fitToHeight="0" pageOrder="overThenDown" orientation="landscape" horizontalDpi="300" verticalDpi="300" r:id="rId1"/>
  <headerFooter alignWithMargins="0">
    <oddFooter>&amp;C&amp;P of &amp;N</oddFooter>
  </headerFooter>
  <ignoredErrors>
    <ignoredError sqref="Z18:Z344 Z11:Z16"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44"/>
  <sheetViews>
    <sheetView workbookViewId="0">
      <pane xSplit="3" ySplit="7" topLeftCell="D8" activePane="bottomRight" state="frozen"/>
      <selection pane="topRight" activeCell="D1" sqref="D1"/>
      <selection pane="bottomLeft" activeCell="A8" sqref="A8"/>
      <selection pane="bottomRight" activeCell="D15" sqref="D15"/>
    </sheetView>
  </sheetViews>
  <sheetFormatPr defaultRowHeight="11.25" x14ac:dyDescent="0.2"/>
  <cols>
    <col min="1" max="2" width="6.83203125" style="5" customWidth="1"/>
    <col min="3" max="3" width="20.83203125" style="2" customWidth="1"/>
    <col min="4" max="4" width="14.83203125" style="2" customWidth="1"/>
    <col min="5" max="5" width="15.1640625" style="2" bestFit="1" customWidth="1"/>
    <col min="6" max="6" width="14.83203125" style="2" customWidth="1"/>
    <col min="7" max="14" width="13.83203125" style="2" customWidth="1"/>
    <col min="15" max="15" width="14.83203125" style="3" customWidth="1"/>
    <col min="16" max="16384" width="9.33203125" style="2"/>
  </cols>
  <sheetData>
    <row r="1" spans="1:15" x14ac:dyDescent="0.2">
      <c r="A1" s="11" t="str">
        <f>"Actual Pay "&amp;Instructions!P2&amp;" Gross Shift"</f>
        <v>Actual Pay Pay 2011 Gross Shift</v>
      </c>
      <c r="O1" s="144">
        <f>Report!I1</f>
        <v>41115</v>
      </c>
    </row>
    <row r="2" spans="1:15" x14ac:dyDescent="0.2">
      <c r="G2" s="3"/>
    </row>
    <row r="3" spans="1:15" x14ac:dyDescent="0.2">
      <c r="A3" s="172" t="s">
        <v>703</v>
      </c>
    </row>
    <row r="4" spans="1:15" s="8" customFormat="1" ht="22.5" x14ac:dyDescent="0.2">
      <c r="A4" s="6"/>
      <c r="B4" s="6"/>
      <c r="D4" s="9" t="s">
        <v>358</v>
      </c>
      <c r="E4" s="8" t="s">
        <v>359</v>
      </c>
      <c r="F4" s="8" t="s">
        <v>360</v>
      </c>
      <c r="G4" s="8" t="s">
        <v>357</v>
      </c>
      <c r="H4" s="8" t="s">
        <v>461</v>
      </c>
      <c r="I4" s="150" t="s">
        <v>361</v>
      </c>
      <c r="J4" s="8" t="s">
        <v>362</v>
      </c>
      <c r="K4" s="8" t="s">
        <v>363</v>
      </c>
      <c r="L4" s="8" t="s">
        <v>493</v>
      </c>
      <c r="M4" s="9" t="s">
        <v>355</v>
      </c>
      <c r="N4" s="9" t="s">
        <v>494</v>
      </c>
      <c r="O4" s="9" t="s">
        <v>495</v>
      </c>
    </row>
    <row r="6" spans="1:15" x14ac:dyDescent="0.2">
      <c r="C6" s="2" t="s">
        <v>344</v>
      </c>
      <c r="D6" s="3">
        <f>SUM(D8:D344)</f>
        <v>247348012.89999998</v>
      </c>
      <c r="E6" s="3">
        <f t="shared" ref="E6:O6" si="0">SUM(E8:E344)</f>
        <v>245503404.36999995</v>
      </c>
      <c r="F6" s="3">
        <f t="shared" si="0"/>
        <v>114228540.45999998</v>
      </c>
      <c r="G6" s="3">
        <f t="shared" si="0"/>
        <v>4282529.1899999995</v>
      </c>
      <c r="H6" s="3">
        <f t="shared" si="0"/>
        <v>14684640.439999999</v>
      </c>
      <c r="I6" s="3">
        <f t="shared" si="0"/>
        <v>28020390.760000002</v>
      </c>
      <c r="J6" s="3">
        <f t="shared" si="0"/>
        <v>-172020.46</v>
      </c>
      <c r="K6" s="3">
        <f t="shared" si="0"/>
        <v>14230410.400000008</v>
      </c>
      <c r="L6" s="3">
        <f t="shared" si="0"/>
        <v>0</v>
      </c>
      <c r="M6" s="3">
        <f t="shared" si="0"/>
        <v>35601748.930000007</v>
      </c>
      <c r="N6" s="3">
        <f t="shared" si="0"/>
        <v>0</v>
      </c>
      <c r="O6" s="3">
        <f t="shared" si="0"/>
        <v>703727656.99000037</v>
      </c>
    </row>
    <row r="8" spans="1:15" x14ac:dyDescent="0.2">
      <c r="A8" s="5">
        <v>1</v>
      </c>
      <c r="B8" s="5">
        <v>1</v>
      </c>
      <c r="C8" s="2" t="s">
        <v>5</v>
      </c>
      <c r="D8" s="2">
        <v>416627.8</v>
      </c>
      <c r="E8" s="2">
        <v>0</v>
      </c>
      <c r="F8" s="2">
        <v>141143.88</v>
      </c>
      <c r="G8" s="2">
        <v>0</v>
      </c>
      <c r="H8" s="2">
        <v>25634.829999999998</v>
      </c>
      <c r="I8" s="2">
        <v>0</v>
      </c>
      <c r="J8" s="2">
        <v>0</v>
      </c>
      <c r="K8" s="2">
        <v>3404.09</v>
      </c>
      <c r="L8" s="2">
        <v>0</v>
      </c>
      <c r="M8" s="2">
        <v>2504.5700000000002</v>
      </c>
      <c r="N8" s="2">
        <v>0</v>
      </c>
      <c r="O8" s="3">
        <f>SUM(D8:N8)</f>
        <v>589315.16999999981</v>
      </c>
    </row>
    <row r="9" spans="1:15" x14ac:dyDescent="0.2">
      <c r="A9" s="5">
        <v>1.2</v>
      </c>
      <c r="B9" s="5">
        <v>3</v>
      </c>
      <c r="C9" s="2" t="s">
        <v>6</v>
      </c>
      <c r="D9" s="2">
        <v>14582222.49</v>
      </c>
      <c r="E9" s="2">
        <v>21821401.640000001</v>
      </c>
      <c r="F9" s="2">
        <v>10049626.5</v>
      </c>
      <c r="G9" s="2">
        <v>1205612.71</v>
      </c>
      <c r="H9" s="2">
        <v>529738.02</v>
      </c>
      <c r="I9" s="2">
        <v>8867688.2599999998</v>
      </c>
      <c r="J9" s="2">
        <v>0</v>
      </c>
      <c r="K9" s="2">
        <v>1757181.65</v>
      </c>
      <c r="L9" s="2">
        <v>0</v>
      </c>
      <c r="M9" s="2">
        <v>1994567.95</v>
      </c>
      <c r="N9" s="2">
        <v>0</v>
      </c>
      <c r="O9" s="3">
        <f t="shared" ref="O9:O71" si="1">SUM(D9:N9)</f>
        <v>60808039.220000006</v>
      </c>
    </row>
    <row r="10" spans="1:15" x14ac:dyDescent="0.2">
      <c r="A10" s="5">
        <v>2</v>
      </c>
      <c r="B10" s="5">
        <v>1</v>
      </c>
      <c r="C10" s="2" t="s">
        <v>7</v>
      </c>
      <c r="D10" s="2">
        <v>47119.75</v>
      </c>
      <c r="E10" s="2">
        <v>0</v>
      </c>
      <c r="F10" s="2">
        <v>0</v>
      </c>
      <c r="G10" s="2">
        <v>0</v>
      </c>
      <c r="H10" s="2">
        <v>10000</v>
      </c>
      <c r="I10" s="2">
        <v>0</v>
      </c>
      <c r="J10" s="2">
        <v>0</v>
      </c>
      <c r="K10" s="2">
        <v>4391.84</v>
      </c>
      <c r="L10" s="2">
        <v>0</v>
      </c>
      <c r="M10" s="2">
        <v>9191.86</v>
      </c>
      <c r="N10" s="2">
        <v>0</v>
      </c>
      <c r="O10" s="3">
        <f t="shared" si="1"/>
        <v>70703.45</v>
      </c>
    </row>
    <row r="11" spans="1:15" x14ac:dyDescent="0.2">
      <c r="A11" s="5">
        <v>4</v>
      </c>
      <c r="B11" s="5">
        <v>1</v>
      </c>
      <c r="C11" s="2" t="s">
        <v>8</v>
      </c>
      <c r="D11" s="2">
        <v>172561.5</v>
      </c>
      <c r="E11" s="2">
        <v>0</v>
      </c>
      <c r="F11" s="2">
        <v>51784.65</v>
      </c>
      <c r="G11" s="2">
        <v>0</v>
      </c>
      <c r="H11" s="2">
        <v>10000</v>
      </c>
      <c r="I11" s="2">
        <v>0</v>
      </c>
      <c r="J11" s="2">
        <v>0</v>
      </c>
      <c r="K11" s="2">
        <v>20099.8</v>
      </c>
      <c r="L11" s="2">
        <v>0</v>
      </c>
      <c r="M11" s="2">
        <v>25328.41</v>
      </c>
      <c r="N11" s="2">
        <v>0</v>
      </c>
      <c r="O11" s="3">
        <f t="shared" si="1"/>
        <v>279774.36</v>
      </c>
    </row>
    <row r="12" spans="1:15" x14ac:dyDescent="0.2">
      <c r="A12" s="5">
        <v>6</v>
      </c>
      <c r="B12" s="5">
        <v>3</v>
      </c>
      <c r="C12" s="2" t="s">
        <v>9</v>
      </c>
      <c r="D12" s="2">
        <v>1300935.33</v>
      </c>
      <c r="E12" s="2">
        <v>1196068.43</v>
      </c>
      <c r="F12" s="2">
        <v>360711.07</v>
      </c>
      <c r="G12" s="2">
        <v>0</v>
      </c>
      <c r="H12" s="2">
        <v>60380</v>
      </c>
      <c r="I12" s="2">
        <v>0</v>
      </c>
      <c r="J12" s="2">
        <v>0</v>
      </c>
      <c r="K12" s="2">
        <v>31382.34</v>
      </c>
      <c r="L12" s="2">
        <v>0</v>
      </c>
      <c r="M12" s="2">
        <v>146893.99</v>
      </c>
      <c r="N12" s="2">
        <v>0</v>
      </c>
      <c r="O12" s="3">
        <f t="shared" si="1"/>
        <v>3096371.1599999992</v>
      </c>
    </row>
    <row r="13" spans="1:15" x14ac:dyDescent="0.2">
      <c r="A13" s="5">
        <v>11</v>
      </c>
      <c r="B13" s="5">
        <v>1</v>
      </c>
      <c r="C13" s="2" t="s">
        <v>10</v>
      </c>
      <c r="D13" s="2">
        <v>11892198.52</v>
      </c>
      <c r="E13" s="2">
        <v>21005183.710000001</v>
      </c>
      <c r="F13" s="2">
        <v>3515884.7</v>
      </c>
      <c r="G13" s="2">
        <v>197692.1</v>
      </c>
      <c r="H13" s="2">
        <v>803790.4</v>
      </c>
      <c r="I13" s="2">
        <v>0</v>
      </c>
      <c r="J13" s="2">
        <v>0</v>
      </c>
      <c r="K13" s="2">
        <v>635663.96</v>
      </c>
      <c r="L13" s="2">
        <v>0</v>
      </c>
      <c r="M13" s="2">
        <v>1584570.55</v>
      </c>
      <c r="N13" s="2">
        <v>0</v>
      </c>
      <c r="O13" s="3">
        <f t="shared" si="1"/>
        <v>39634983.939999998</v>
      </c>
    </row>
    <row r="14" spans="1:15" x14ac:dyDescent="0.2">
      <c r="A14" s="5">
        <v>12</v>
      </c>
      <c r="B14" s="5">
        <v>1</v>
      </c>
      <c r="C14" s="2" t="s">
        <v>11</v>
      </c>
      <c r="D14" s="2">
        <v>1569454.14</v>
      </c>
      <c r="E14" s="2">
        <v>1744179.29</v>
      </c>
      <c r="F14" s="2">
        <v>320094.52</v>
      </c>
      <c r="G14" s="2">
        <v>16533.75</v>
      </c>
      <c r="H14" s="2">
        <v>98681.4</v>
      </c>
      <c r="I14" s="2">
        <v>0</v>
      </c>
      <c r="J14" s="2">
        <v>0</v>
      </c>
      <c r="K14" s="2">
        <v>131350.46</v>
      </c>
      <c r="L14" s="2">
        <v>0</v>
      </c>
      <c r="M14" s="2">
        <v>225346.88</v>
      </c>
      <c r="N14" s="2">
        <v>0</v>
      </c>
      <c r="O14" s="3">
        <f t="shared" si="1"/>
        <v>4105640.4399999995</v>
      </c>
    </row>
    <row r="15" spans="1:15" x14ac:dyDescent="0.2">
      <c r="A15" s="5">
        <v>13</v>
      </c>
      <c r="B15" s="5">
        <v>1</v>
      </c>
      <c r="C15" s="2" t="s">
        <v>12</v>
      </c>
      <c r="D15" s="2">
        <v>956603.97</v>
      </c>
      <c r="E15" s="2">
        <v>749319.29</v>
      </c>
      <c r="F15" s="2">
        <v>848958.71</v>
      </c>
      <c r="G15" s="2">
        <v>0</v>
      </c>
      <c r="H15" s="2">
        <v>52152</v>
      </c>
      <c r="I15" s="2">
        <v>0</v>
      </c>
      <c r="J15" s="2">
        <v>0</v>
      </c>
      <c r="K15" s="2">
        <v>39764.67</v>
      </c>
      <c r="L15" s="2">
        <v>0</v>
      </c>
      <c r="M15" s="2">
        <v>139529.13</v>
      </c>
      <c r="N15" s="2">
        <v>0</v>
      </c>
      <c r="O15" s="3">
        <f t="shared" si="1"/>
        <v>2786327.7699999996</v>
      </c>
    </row>
    <row r="16" spans="1:15" x14ac:dyDescent="0.2">
      <c r="A16" s="5">
        <v>14</v>
      </c>
      <c r="B16" s="5">
        <v>1</v>
      </c>
      <c r="C16" s="2" t="s">
        <v>13</v>
      </c>
      <c r="D16" s="2">
        <v>1232060.3700000001</v>
      </c>
      <c r="E16" s="2">
        <v>917735.14999999991</v>
      </c>
      <c r="F16" s="2">
        <v>468605.33</v>
      </c>
      <c r="G16" s="2">
        <v>0</v>
      </c>
      <c r="H16" s="2">
        <v>58793.07</v>
      </c>
      <c r="I16" s="2">
        <v>0</v>
      </c>
      <c r="J16" s="2">
        <v>0</v>
      </c>
      <c r="K16" s="2">
        <v>81860.44</v>
      </c>
      <c r="L16" s="2">
        <v>0</v>
      </c>
      <c r="M16" s="2">
        <v>219361.65</v>
      </c>
      <c r="N16" s="2">
        <v>0</v>
      </c>
      <c r="O16" s="3">
        <f t="shared" si="1"/>
        <v>2978416.01</v>
      </c>
    </row>
    <row r="17" spans="1:15" x14ac:dyDescent="0.2">
      <c r="A17" s="5">
        <v>15</v>
      </c>
      <c r="B17" s="5">
        <v>1</v>
      </c>
      <c r="C17" s="2" t="s">
        <v>14</v>
      </c>
      <c r="D17" s="2">
        <v>1408196.89</v>
      </c>
      <c r="E17" s="2">
        <v>718737.90999999992</v>
      </c>
      <c r="F17" s="2">
        <v>288492.78999999998</v>
      </c>
      <c r="G17" s="2">
        <v>0</v>
      </c>
      <c r="H17" s="2">
        <v>106376</v>
      </c>
      <c r="I17" s="2">
        <v>0</v>
      </c>
      <c r="J17" s="2">
        <v>0</v>
      </c>
      <c r="K17" s="2">
        <v>113910.39999999999</v>
      </c>
      <c r="L17" s="2">
        <v>0</v>
      </c>
      <c r="M17" s="2">
        <v>194944.64000000001</v>
      </c>
      <c r="N17" s="2">
        <v>0</v>
      </c>
      <c r="O17" s="3">
        <f t="shared" si="1"/>
        <v>2830658.63</v>
      </c>
    </row>
    <row r="18" spans="1:15" x14ac:dyDescent="0.2">
      <c r="A18" s="5">
        <v>16</v>
      </c>
      <c r="B18" s="5">
        <v>1</v>
      </c>
      <c r="C18" s="2" t="s">
        <v>15</v>
      </c>
      <c r="D18" s="2">
        <v>1924985.47</v>
      </c>
      <c r="E18" s="2">
        <v>1416754.79</v>
      </c>
      <c r="F18" s="2">
        <v>804793.86</v>
      </c>
      <c r="G18" s="2">
        <v>73286.44</v>
      </c>
      <c r="H18" s="2">
        <v>68475.460000000006</v>
      </c>
      <c r="I18" s="2">
        <v>0</v>
      </c>
      <c r="J18" s="2">
        <v>0</v>
      </c>
      <c r="K18" s="2">
        <v>50745.490000000005</v>
      </c>
      <c r="L18" s="2">
        <v>0</v>
      </c>
      <c r="M18" s="2">
        <v>206222.85</v>
      </c>
      <c r="N18" s="2">
        <v>0</v>
      </c>
      <c r="O18" s="3">
        <f t="shared" si="1"/>
        <v>4545264.3599999994</v>
      </c>
    </row>
    <row r="19" spans="1:15" x14ac:dyDescent="0.2">
      <c r="A19" s="5">
        <v>22</v>
      </c>
      <c r="B19" s="5">
        <v>1</v>
      </c>
      <c r="C19" s="2" t="s">
        <v>16</v>
      </c>
      <c r="D19" s="2">
        <v>699396.81</v>
      </c>
      <c r="E19" s="2">
        <v>523861.91000000003</v>
      </c>
      <c r="F19" s="2">
        <v>133298.49</v>
      </c>
      <c r="G19" s="2">
        <v>0</v>
      </c>
      <c r="H19" s="2">
        <v>48230.37</v>
      </c>
      <c r="I19" s="2">
        <v>0</v>
      </c>
      <c r="J19" s="2">
        <v>0</v>
      </c>
      <c r="K19" s="2">
        <v>16233.03</v>
      </c>
      <c r="L19" s="2">
        <v>0</v>
      </c>
      <c r="M19" s="2">
        <v>96544.98</v>
      </c>
      <c r="N19" s="2">
        <v>0</v>
      </c>
      <c r="O19" s="3">
        <f t="shared" si="1"/>
        <v>1517565.5900000003</v>
      </c>
    </row>
    <row r="20" spans="1:15" x14ac:dyDescent="0.2">
      <c r="A20" s="5">
        <v>23</v>
      </c>
      <c r="B20" s="5">
        <v>1</v>
      </c>
      <c r="C20" s="2" t="s">
        <v>17</v>
      </c>
      <c r="D20" s="2">
        <v>181276.24</v>
      </c>
      <c r="E20" s="2">
        <v>473991.82</v>
      </c>
      <c r="F20" s="2">
        <v>0</v>
      </c>
      <c r="G20" s="2">
        <v>0</v>
      </c>
      <c r="H20" s="2">
        <v>24222.38</v>
      </c>
      <c r="I20" s="2">
        <v>0</v>
      </c>
      <c r="J20" s="2">
        <v>0</v>
      </c>
      <c r="K20" s="2">
        <v>10000</v>
      </c>
      <c r="L20" s="2">
        <v>0</v>
      </c>
      <c r="M20" s="2">
        <v>40453.61</v>
      </c>
      <c r="N20" s="2">
        <v>0</v>
      </c>
      <c r="O20" s="3">
        <f t="shared" si="1"/>
        <v>729944.05</v>
      </c>
    </row>
    <row r="21" spans="1:15" x14ac:dyDescent="0.2">
      <c r="A21" s="5">
        <v>25</v>
      </c>
      <c r="B21" s="5">
        <v>1</v>
      </c>
      <c r="C21" s="2" t="s">
        <v>345</v>
      </c>
      <c r="D21" s="2">
        <v>0</v>
      </c>
      <c r="E21" s="2">
        <v>0</v>
      </c>
      <c r="F21" s="2">
        <v>0</v>
      </c>
      <c r="G21" s="2">
        <v>0</v>
      </c>
      <c r="H21" s="2">
        <v>0</v>
      </c>
      <c r="I21" s="2">
        <v>0</v>
      </c>
      <c r="J21" s="2">
        <v>0</v>
      </c>
      <c r="K21" s="2">
        <v>0</v>
      </c>
      <c r="L21" s="2">
        <v>0</v>
      </c>
      <c r="M21" s="2">
        <v>0</v>
      </c>
      <c r="N21" s="2">
        <v>0</v>
      </c>
      <c r="O21" s="3">
        <f t="shared" si="1"/>
        <v>0</v>
      </c>
    </row>
    <row r="22" spans="1:15" x14ac:dyDescent="0.2">
      <c r="A22" s="5">
        <v>31</v>
      </c>
      <c r="B22" s="5">
        <v>1</v>
      </c>
      <c r="C22" s="2" t="s">
        <v>18</v>
      </c>
      <c r="D22" s="2">
        <v>963051.19</v>
      </c>
      <c r="E22" s="2">
        <v>897943.40999999992</v>
      </c>
      <c r="F22" s="2">
        <v>195530.98</v>
      </c>
      <c r="G22" s="2">
        <v>0</v>
      </c>
      <c r="H22" s="2">
        <v>95528.71</v>
      </c>
      <c r="I22" s="2">
        <v>0</v>
      </c>
      <c r="J22" s="2">
        <v>0</v>
      </c>
      <c r="K22" s="2">
        <v>34695.910000000003</v>
      </c>
      <c r="L22" s="2">
        <v>0</v>
      </c>
      <c r="M22" s="2">
        <v>175146.08</v>
      </c>
      <c r="N22" s="2">
        <v>0</v>
      </c>
      <c r="O22" s="3">
        <f t="shared" si="1"/>
        <v>2361896.2800000003</v>
      </c>
    </row>
    <row r="23" spans="1:15" x14ac:dyDescent="0.2">
      <c r="A23" s="5">
        <v>32</v>
      </c>
      <c r="B23" s="5">
        <v>1</v>
      </c>
      <c r="C23" s="2" t="s">
        <v>19</v>
      </c>
      <c r="D23" s="2">
        <v>141069.07999999999</v>
      </c>
      <c r="E23" s="2">
        <v>185.76</v>
      </c>
      <c r="F23" s="2">
        <v>0</v>
      </c>
      <c r="G23" s="2">
        <v>0</v>
      </c>
      <c r="H23" s="2">
        <v>18345.52</v>
      </c>
      <c r="I23" s="2">
        <v>0</v>
      </c>
      <c r="J23" s="2">
        <v>0</v>
      </c>
      <c r="K23" s="2">
        <v>-1405.9</v>
      </c>
      <c r="L23" s="2">
        <v>0</v>
      </c>
      <c r="M23" s="2">
        <v>17072.07</v>
      </c>
      <c r="N23" s="2">
        <v>0</v>
      </c>
      <c r="O23" s="3">
        <f t="shared" si="1"/>
        <v>175266.53</v>
      </c>
    </row>
    <row r="24" spans="1:15" x14ac:dyDescent="0.2">
      <c r="A24" s="5">
        <v>36</v>
      </c>
      <c r="B24" s="5">
        <v>1</v>
      </c>
      <c r="C24" s="2" t="s">
        <v>20</v>
      </c>
      <c r="D24" s="2">
        <v>14617.32</v>
      </c>
      <c r="E24" s="2">
        <v>0</v>
      </c>
      <c r="F24" s="2">
        <v>0</v>
      </c>
      <c r="G24" s="2">
        <v>0</v>
      </c>
      <c r="H24" s="2">
        <v>0</v>
      </c>
      <c r="I24" s="2">
        <v>0</v>
      </c>
      <c r="J24" s="2">
        <v>0</v>
      </c>
      <c r="K24" s="2">
        <v>0</v>
      </c>
      <c r="L24" s="2">
        <v>0</v>
      </c>
      <c r="M24" s="2">
        <v>6083.69</v>
      </c>
      <c r="N24" s="2">
        <v>0</v>
      </c>
      <c r="O24" s="3">
        <f t="shared" si="1"/>
        <v>20701.009999999998</v>
      </c>
    </row>
    <row r="25" spans="1:15" x14ac:dyDescent="0.2">
      <c r="A25" s="5">
        <v>38</v>
      </c>
      <c r="B25" s="5">
        <v>1</v>
      </c>
      <c r="C25" s="2" t="s">
        <v>21</v>
      </c>
      <c r="D25" s="2">
        <v>1608.58</v>
      </c>
      <c r="E25" s="2">
        <v>852.56</v>
      </c>
      <c r="F25" s="2">
        <v>149.12</v>
      </c>
      <c r="G25" s="2">
        <v>0</v>
      </c>
      <c r="H25" s="2">
        <v>-428.58</v>
      </c>
      <c r="I25" s="2">
        <v>0</v>
      </c>
      <c r="J25" s="2">
        <v>0</v>
      </c>
      <c r="K25" s="2">
        <v>0</v>
      </c>
      <c r="L25" s="2">
        <v>0</v>
      </c>
      <c r="M25" s="2">
        <v>58.28</v>
      </c>
      <c r="N25" s="2">
        <v>0</v>
      </c>
      <c r="O25" s="3">
        <f t="shared" si="1"/>
        <v>2239.96</v>
      </c>
    </row>
    <row r="26" spans="1:15" x14ac:dyDescent="0.2">
      <c r="A26" s="5">
        <v>47</v>
      </c>
      <c r="B26" s="5">
        <v>1</v>
      </c>
      <c r="C26" s="2" t="s">
        <v>22</v>
      </c>
      <c r="D26" s="2">
        <v>617889.24</v>
      </c>
      <c r="E26" s="2">
        <v>0</v>
      </c>
      <c r="F26" s="2">
        <v>133802</v>
      </c>
      <c r="G26" s="2">
        <v>0</v>
      </c>
      <c r="H26" s="2">
        <v>70901.600000000006</v>
      </c>
      <c r="I26" s="2">
        <v>0</v>
      </c>
      <c r="J26" s="2">
        <v>0</v>
      </c>
      <c r="K26" s="2">
        <v>39344.68</v>
      </c>
      <c r="L26" s="2">
        <v>0</v>
      </c>
      <c r="M26" s="2">
        <v>127806.94</v>
      </c>
      <c r="N26" s="2">
        <v>0</v>
      </c>
      <c r="O26" s="3">
        <f t="shared" si="1"/>
        <v>989744.46</v>
      </c>
    </row>
    <row r="27" spans="1:15" x14ac:dyDescent="0.2">
      <c r="A27" s="5">
        <v>51</v>
      </c>
      <c r="B27" s="5">
        <v>1</v>
      </c>
      <c r="C27" s="2" t="s">
        <v>23</v>
      </c>
      <c r="D27" s="2">
        <v>243183.75</v>
      </c>
      <c r="E27" s="2">
        <v>92224.540000000008</v>
      </c>
      <c r="F27" s="2">
        <v>32144.54</v>
      </c>
      <c r="G27" s="2">
        <v>0</v>
      </c>
      <c r="H27" s="2">
        <v>30344</v>
      </c>
      <c r="I27" s="2">
        <v>0</v>
      </c>
      <c r="J27" s="2">
        <v>0</v>
      </c>
      <c r="K27" s="2">
        <v>20349.97</v>
      </c>
      <c r="L27" s="2">
        <v>0</v>
      </c>
      <c r="M27" s="2">
        <v>47834.29</v>
      </c>
      <c r="N27" s="2">
        <v>0</v>
      </c>
      <c r="O27" s="3">
        <f t="shared" si="1"/>
        <v>466081.09</v>
      </c>
    </row>
    <row r="28" spans="1:15" x14ac:dyDescent="0.2">
      <c r="A28" s="5">
        <v>75</v>
      </c>
      <c r="B28" s="5">
        <v>1</v>
      </c>
      <c r="C28" s="2" t="s">
        <v>24</v>
      </c>
      <c r="D28" s="2">
        <v>130976.09</v>
      </c>
      <c r="E28" s="2">
        <v>45883.96</v>
      </c>
      <c r="F28" s="2">
        <v>59511.62</v>
      </c>
      <c r="G28" s="2">
        <v>0</v>
      </c>
      <c r="H28" s="2">
        <v>11904</v>
      </c>
      <c r="I28" s="2">
        <v>0</v>
      </c>
      <c r="J28" s="2">
        <v>0</v>
      </c>
      <c r="K28" s="2">
        <v>5032.7</v>
      </c>
      <c r="L28" s="2">
        <v>0</v>
      </c>
      <c r="M28" s="2">
        <v>14942.9</v>
      </c>
      <c r="N28" s="2">
        <v>0</v>
      </c>
      <c r="O28" s="3">
        <f t="shared" si="1"/>
        <v>268251.27</v>
      </c>
    </row>
    <row r="29" spans="1:15" x14ac:dyDescent="0.2">
      <c r="A29" s="5">
        <v>77</v>
      </c>
      <c r="B29" s="5">
        <v>1</v>
      </c>
      <c r="C29" s="2" t="s">
        <v>25</v>
      </c>
      <c r="D29" s="2">
        <v>2212651.62</v>
      </c>
      <c r="E29" s="2">
        <v>1900291.06</v>
      </c>
      <c r="F29" s="2">
        <v>751973.08</v>
      </c>
      <c r="G29" s="2">
        <v>0</v>
      </c>
      <c r="H29" s="2">
        <v>131813.87000000002</v>
      </c>
      <c r="I29" s="2">
        <v>0</v>
      </c>
      <c r="J29" s="2">
        <v>0</v>
      </c>
      <c r="K29" s="2">
        <v>58592.41</v>
      </c>
      <c r="L29" s="2">
        <v>0</v>
      </c>
      <c r="M29" s="2">
        <v>325186.45</v>
      </c>
      <c r="N29" s="2">
        <v>0</v>
      </c>
      <c r="O29" s="3">
        <f t="shared" si="1"/>
        <v>5380508.4900000002</v>
      </c>
    </row>
    <row r="30" spans="1:15" x14ac:dyDescent="0.2">
      <c r="A30" s="5">
        <v>81</v>
      </c>
      <c r="B30" s="5">
        <v>1</v>
      </c>
      <c r="C30" s="2" t="s">
        <v>26</v>
      </c>
      <c r="D30" s="2">
        <v>68174.759999999995</v>
      </c>
      <c r="E30" s="2">
        <v>9560.8000000000029</v>
      </c>
      <c r="F30" s="2">
        <v>65568.179999999993</v>
      </c>
      <c r="G30" s="2">
        <v>0</v>
      </c>
      <c r="H30" s="2">
        <v>10000</v>
      </c>
      <c r="I30" s="2">
        <v>0</v>
      </c>
      <c r="J30" s="2">
        <v>0</v>
      </c>
      <c r="K30" s="2">
        <v>2150.0500000000002</v>
      </c>
      <c r="L30" s="2">
        <v>0</v>
      </c>
      <c r="M30" s="2">
        <v>11990.73</v>
      </c>
      <c r="N30" s="2">
        <v>0</v>
      </c>
      <c r="O30" s="3">
        <f t="shared" si="1"/>
        <v>167444.51999999999</v>
      </c>
    </row>
    <row r="31" spans="1:15" x14ac:dyDescent="0.2">
      <c r="A31" s="5">
        <v>84</v>
      </c>
      <c r="B31" s="5">
        <v>1</v>
      </c>
      <c r="C31" s="2" t="s">
        <v>27</v>
      </c>
      <c r="D31" s="2">
        <v>150671.51999999999</v>
      </c>
      <c r="E31" s="2">
        <v>0</v>
      </c>
      <c r="F31" s="2">
        <v>64890.080000000002</v>
      </c>
      <c r="G31" s="2">
        <v>0</v>
      </c>
      <c r="H31" s="2">
        <v>15879.66</v>
      </c>
      <c r="I31" s="2">
        <v>0</v>
      </c>
      <c r="J31" s="2">
        <v>0</v>
      </c>
      <c r="K31" s="2">
        <v>5970.18</v>
      </c>
      <c r="L31" s="2">
        <v>0</v>
      </c>
      <c r="M31" s="2">
        <v>35011.9</v>
      </c>
      <c r="N31" s="2">
        <v>0</v>
      </c>
      <c r="O31" s="3">
        <f t="shared" si="1"/>
        <v>272423.33999999997</v>
      </c>
    </row>
    <row r="32" spans="1:15" x14ac:dyDescent="0.2">
      <c r="A32" s="5">
        <v>85</v>
      </c>
      <c r="B32" s="5">
        <v>1</v>
      </c>
      <c r="C32" s="2" t="s">
        <v>28</v>
      </c>
      <c r="D32" s="2">
        <v>108435.61</v>
      </c>
      <c r="E32" s="2">
        <v>76581.679999999993</v>
      </c>
      <c r="F32" s="2">
        <v>0</v>
      </c>
      <c r="G32" s="2">
        <v>0</v>
      </c>
      <c r="H32" s="2">
        <v>20777.87</v>
      </c>
      <c r="I32" s="2">
        <v>0</v>
      </c>
      <c r="J32" s="2">
        <v>0</v>
      </c>
      <c r="K32" s="2">
        <v>4774.54</v>
      </c>
      <c r="L32" s="2">
        <v>0</v>
      </c>
      <c r="M32" s="2">
        <v>16413.759999999998</v>
      </c>
      <c r="N32" s="2">
        <v>0</v>
      </c>
      <c r="O32" s="3">
        <f t="shared" si="1"/>
        <v>226983.46</v>
      </c>
    </row>
    <row r="33" spans="1:15" x14ac:dyDescent="0.2">
      <c r="A33" s="5">
        <v>88</v>
      </c>
      <c r="B33" s="5">
        <v>1</v>
      </c>
      <c r="C33" s="2" t="s">
        <v>29</v>
      </c>
      <c r="D33" s="2">
        <v>621965.79</v>
      </c>
      <c r="E33" s="2">
        <v>728788.7</v>
      </c>
      <c r="F33" s="2">
        <v>135266</v>
      </c>
      <c r="G33" s="2">
        <v>97377.63</v>
      </c>
      <c r="H33" s="2">
        <v>52316.14</v>
      </c>
      <c r="I33" s="2">
        <v>0</v>
      </c>
      <c r="J33" s="2">
        <v>0</v>
      </c>
      <c r="K33" s="2">
        <v>11412.06</v>
      </c>
      <c r="L33" s="2">
        <v>0</v>
      </c>
      <c r="M33" s="2">
        <v>99158.68</v>
      </c>
      <c r="N33" s="2">
        <v>0</v>
      </c>
      <c r="O33" s="3">
        <f t="shared" si="1"/>
        <v>1746285</v>
      </c>
    </row>
    <row r="34" spans="1:15" x14ac:dyDescent="0.2">
      <c r="A34" s="5">
        <v>91</v>
      </c>
      <c r="B34" s="5">
        <v>1</v>
      </c>
      <c r="C34" s="2" t="s">
        <v>30</v>
      </c>
      <c r="D34" s="2">
        <v>120337.2</v>
      </c>
      <c r="E34" s="2">
        <v>25498.71</v>
      </c>
      <c r="F34" s="2">
        <v>19807.54</v>
      </c>
      <c r="G34" s="2">
        <v>0</v>
      </c>
      <c r="H34" s="2">
        <v>11178.4</v>
      </c>
      <c r="I34" s="2">
        <v>0</v>
      </c>
      <c r="J34" s="2">
        <v>0</v>
      </c>
      <c r="K34" s="2">
        <v>15482.43</v>
      </c>
      <c r="L34" s="2">
        <v>0</v>
      </c>
      <c r="M34" s="2">
        <v>24432.86</v>
      </c>
      <c r="N34" s="2">
        <v>0</v>
      </c>
      <c r="O34" s="3">
        <f t="shared" si="1"/>
        <v>216737.14</v>
      </c>
    </row>
    <row r="35" spans="1:15" x14ac:dyDescent="0.2">
      <c r="A35" s="5">
        <v>93</v>
      </c>
      <c r="B35" s="5">
        <v>1</v>
      </c>
      <c r="C35" s="2" t="s">
        <v>31</v>
      </c>
      <c r="D35" s="2">
        <v>93134.57</v>
      </c>
      <c r="E35" s="2">
        <v>340850.52999999997</v>
      </c>
      <c r="F35" s="2">
        <v>27479.15</v>
      </c>
      <c r="G35" s="2">
        <v>0</v>
      </c>
      <c r="H35" s="2">
        <v>10000</v>
      </c>
      <c r="I35" s="2">
        <v>0</v>
      </c>
      <c r="J35" s="2">
        <v>0</v>
      </c>
      <c r="K35" s="2">
        <v>4403.2299999999996</v>
      </c>
      <c r="L35" s="2">
        <v>0</v>
      </c>
      <c r="M35" s="2">
        <v>19006.11</v>
      </c>
      <c r="N35" s="2">
        <v>0</v>
      </c>
      <c r="O35" s="3">
        <f t="shared" si="1"/>
        <v>494873.58999999997</v>
      </c>
    </row>
    <row r="36" spans="1:15" x14ac:dyDescent="0.2">
      <c r="A36" s="5">
        <v>94</v>
      </c>
      <c r="B36" s="5">
        <v>1</v>
      </c>
      <c r="C36" s="2" t="s">
        <v>32</v>
      </c>
      <c r="D36" s="2">
        <v>315664.90000000002</v>
      </c>
      <c r="E36" s="2">
        <v>0</v>
      </c>
      <c r="F36" s="2">
        <v>91861.41</v>
      </c>
      <c r="G36" s="2">
        <v>0</v>
      </c>
      <c r="H36" s="2">
        <v>34548.25</v>
      </c>
      <c r="I36" s="2">
        <v>22044</v>
      </c>
      <c r="J36" s="2">
        <v>0</v>
      </c>
      <c r="K36" s="2">
        <v>17497.939999999999</v>
      </c>
      <c r="L36" s="2">
        <v>0</v>
      </c>
      <c r="M36" s="2">
        <v>119697.56</v>
      </c>
      <c r="N36" s="2">
        <v>0</v>
      </c>
      <c r="O36" s="3">
        <f t="shared" si="1"/>
        <v>601314.06000000006</v>
      </c>
    </row>
    <row r="37" spans="1:15" x14ac:dyDescent="0.2">
      <c r="A37" s="5">
        <v>95</v>
      </c>
      <c r="B37" s="5">
        <v>1</v>
      </c>
      <c r="C37" s="2" t="s">
        <v>33</v>
      </c>
      <c r="D37" s="2">
        <v>51425.97</v>
      </c>
      <c r="E37" s="2">
        <v>0</v>
      </c>
      <c r="F37" s="2">
        <v>0</v>
      </c>
      <c r="G37" s="2">
        <v>0</v>
      </c>
      <c r="H37" s="2">
        <v>10000</v>
      </c>
      <c r="I37" s="2">
        <v>0</v>
      </c>
      <c r="J37" s="2">
        <v>0</v>
      </c>
      <c r="K37" s="2">
        <v>3170.54</v>
      </c>
      <c r="L37" s="2">
        <v>0</v>
      </c>
      <c r="M37" s="2">
        <v>10289.59</v>
      </c>
      <c r="N37" s="2">
        <v>0</v>
      </c>
      <c r="O37" s="3">
        <f t="shared" si="1"/>
        <v>74886.100000000006</v>
      </c>
    </row>
    <row r="38" spans="1:15" x14ac:dyDescent="0.2">
      <c r="A38" s="5">
        <v>97</v>
      </c>
      <c r="B38" s="5">
        <v>1</v>
      </c>
      <c r="C38" s="2" t="s">
        <v>34</v>
      </c>
      <c r="D38" s="2">
        <v>176665.08</v>
      </c>
      <c r="E38" s="2">
        <v>44174.3</v>
      </c>
      <c r="F38" s="2">
        <v>31851.86</v>
      </c>
      <c r="G38" s="2">
        <v>0</v>
      </c>
      <c r="H38" s="2">
        <v>5792</v>
      </c>
      <c r="I38" s="2">
        <v>0</v>
      </c>
      <c r="J38" s="2">
        <v>0</v>
      </c>
      <c r="K38" s="2">
        <v>18527.7</v>
      </c>
      <c r="L38" s="2">
        <v>0</v>
      </c>
      <c r="M38" s="2">
        <v>29268.74</v>
      </c>
      <c r="N38" s="2">
        <v>0</v>
      </c>
      <c r="O38" s="3">
        <f t="shared" si="1"/>
        <v>306279.67999999999</v>
      </c>
    </row>
    <row r="39" spans="1:15" x14ac:dyDescent="0.2">
      <c r="A39" s="5">
        <v>99</v>
      </c>
      <c r="B39" s="5">
        <v>1</v>
      </c>
      <c r="C39" s="2" t="s">
        <v>35</v>
      </c>
      <c r="D39" s="2">
        <v>199793.29</v>
      </c>
      <c r="E39" s="2">
        <v>0</v>
      </c>
      <c r="F39" s="2">
        <v>29606.959999999999</v>
      </c>
      <c r="G39" s="2">
        <v>11758.5</v>
      </c>
      <c r="H39" s="2">
        <v>21931.200000000001</v>
      </c>
      <c r="I39" s="2">
        <v>0</v>
      </c>
      <c r="J39" s="2">
        <v>0</v>
      </c>
      <c r="K39" s="2">
        <v>-261.98999999999978</v>
      </c>
      <c r="L39" s="2">
        <v>0</v>
      </c>
      <c r="M39" s="2">
        <v>27121.93</v>
      </c>
      <c r="N39" s="2">
        <v>0</v>
      </c>
      <c r="O39" s="3">
        <f t="shared" si="1"/>
        <v>289949.89</v>
      </c>
    </row>
    <row r="40" spans="1:15" x14ac:dyDescent="0.2">
      <c r="A40" s="5">
        <v>100</v>
      </c>
      <c r="B40" s="5">
        <v>1</v>
      </c>
      <c r="C40" s="2" t="s">
        <v>36</v>
      </c>
      <c r="D40" s="2">
        <v>68850.039999999994</v>
      </c>
      <c r="E40" s="2">
        <v>77315.88</v>
      </c>
      <c r="F40" s="2">
        <v>14322.89</v>
      </c>
      <c r="G40" s="2">
        <v>10979.92</v>
      </c>
      <c r="H40" s="2">
        <v>10000</v>
      </c>
      <c r="I40" s="2">
        <v>0</v>
      </c>
      <c r="J40" s="2">
        <v>0</v>
      </c>
      <c r="K40" s="2">
        <v>16799.739999999998</v>
      </c>
      <c r="L40" s="2">
        <v>0</v>
      </c>
      <c r="M40" s="2">
        <v>10808.41</v>
      </c>
      <c r="N40" s="2">
        <v>0</v>
      </c>
      <c r="O40" s="3">
        <f t="shared" si="1"/>
        <v>209076.88</v>
      </c>
    </row>
    <row r="41" spans="1:15" x14ac:dyDescent="0.2">
      <c r="A41" s="5">
        <v>108</v>
      </c>
      <c r="B41" s="5">
        <v>1</v>
      </c>
      <c r="C41" s="2" t="s">
        <v>37</v>
      </c>
      <c r="D41" s="2">
        <v>311899.44</v>
      </c>
      <c r="E41" s="2">
        <v>245677.36</v>
      </c>
      <c r="F41" s="2">
        <v>63073.58</v>
      </c>
      <c r="G41" s="2">
        <v>0</v>
      </c>
      <c r="H41" s="2">
        <v>23427.89</v>
      </c>
      <c r="I41" s="2">
        <v>0</v>
      </c>
      <c r="J41" s="2">
        <v>0</v>
      </c>
      <c r="K41" s="2">
        <v>1928.33</v>
      </c>
      <c r="L41" s="2">
        <v>0</v>
      </c>
      <c r="M41" s="2">
        <v>91543.96</v>
      </c>
      <c r="N41" s="2">
        <v>0</v>
      </c>
      <c r="O41" s="3">
        <f t="shared" si="1"/>
        <v>737550.55999999994</v>
      </c>
    </row>
    <row r="42" spans="1:15" x14ac:dyDescent="0.2">
      <c r="A42" s="5">
        <v>110</v>
      </c>
      <c r="B42" s="5">
        <v>1</v>
      </c>
      <c r="C42" s="2" t="s">
        <v>38</v>
      </c>
      <c r="D42" s="2">
        <v>911585.76</v>
      </c>
      <c r="E42" s="2">
        <v>1135011.05</v>
      </c>
      <c r="F42" s="2">
        <v>263386.8</v>
      </c>
      <c r="G42" s="2">
        <v>47580.01</v>
      </c>
      <c r="H42" s="2">
        <v>48941.130000000005</v>
      </c>
      <c r="I42" s="2">
        <v>0</v>
      </c>
      <c r="J42" s="2">
        <v>0</v>
      </c>
      <c r="K42" s="2">
        <v>28146.98</v>
      </c>
      <c r="L42" s="2">
        <v>0</v>
      </c>
      <c r="M42" s="2">
        <v>145364.23000000001</v>
      </c>
      <c r="N42" s="2">
        <v>0</v>
      </c>
      <c r="O42" s="3">
        <f t="shared" si="1"/>
        <v>2580015.9599999995</v>
      </c>
    </row>
    <row r="43" spans="1:15" x14ac:dyDescent="0.2">
      <c r="A43" s="5">
        <v>111</v>
      </c>
      <c r="B43" s="5">
        <v>1</v>
      </c>
      <c r="C43" s="2" t="s">
        <v>39</v>
      </c>
      <c r="D43" s="2">
        <v>403891.43</v>
      </c>
      <c r="E43" s="2">
        <v>167425.21000000002</v>
      </c>
      <c r="F43" s="2">
        <v>53287.46</v>
      </c>
      <c r="G43" s="2">
        <v>14098.14</v>
      </c>
      <c r="H43" s="2">
        <v>30775.200000000001</v>
      </c>
      <c r="I43" s="2">
        <v>0</v>
      </c>
      <c r="J43" s="2">
        <v>0</v>
      </c>
      <c r="K43" s="2">
        <v>31835.67</v>
      </c>
      <c r="L43" s="2">
        <v>0</v>
      </c>
      <c r="M43" s="2">
        <v>102405.88</v>
      </c>
      <c r="N43" s="2">
        <v>0</v>
      </c>
      <c r="O43" s="3">
        <f t="shared" si="1"/>
        <v>803718.99</v>
      </c>
    </row>
    <row r="44" spans="1:15" x14ac:dyDescent="0.2">
      <c r="A44" s="5">
        <v>112</v>
      </c>
      <c r="B44" s="5">
        <v>1</v>
      </c>
      <c r="C44" s="2" t="s">
        <v>40</v>
      </c>
      <c r="D44" s="2">
        <v>2586601.1800000002</v>
      </c>
      <c r="E44" s="2">
        <v>4041867.5700000003</v>
      </c>
      <c r="F44" s="2">
        <v>1809944.64</v>
      </c>
      <c r="G44" s="2">
        <v>41804.71</v>
      </c>
      <c r="H44" s="2">
        <v>142423.28</v>
      </c>
      <c r="I44" s="2">
        <v>0</v>
      </c>
      <c r="J44" s="2">
        <v>0</v>
      </c>
      <c r="K44" s="2">
        <v>77910.73</v>
      </c>
      <c r="L44" s="2">
        <v>0</v>
      </c>
      <c r="M44" s="2">
        <v>405714.51</v>
      </c>
      <c r="N44" s="2">
        <v>0</v>
      </c>
      <c r="O44" s="3">
        <f t="shared" si="1"/>
        <v>9106266.620000001</v>
      </c>
    </row>
    <row r="45" spans="1:15" x14ac:dyDescent="0.2">
      <c r="A45" s="5">
        <v>113</v>
      </c>
      <c r="B45" s="5">
        <v>1</v>
      </c>
      <c r="C45" s="2" t="s">
        <v>41</v>
      </c>
      <c r="D45" s="2">
        <v>270343.69</v>
      </c>
      <c r="E45" s="2">
        <v>0</v>
      </c>
      <c r="F45" s="2">
        <v>0</v>
      </c>
      <c r="G45" s="2">
        <v>0</v>
      </c>
      <c r="H45" s="2">
        <v>4840.7899999999991</v>
      </c>
      <c r="I45" s="2">
        <v>0</v>
      </c>
      <c r="J45" s="2">
        <v>0</v>
      </c>
      <c r="K45" s="2">
        <v>16601.96</v>
      </c>
      <c r="L45" s="2">
        <v>0</v>
      </c>
      <c r="M45" s="2">
        <v>41737.14</v>
      </c>
      <c r="N45" s="2">
        <v>0</v>
      </c>
      <c r="O45" s="3">
        <f t="shared" si="1"/>
        <v>333523.58</v>
      </c>
    </row>
    <row r="46" spans="1:15" x14ac:dyDescent="0.2">
      <c r="A46" s="5">
        <v>115</v>
      </c>
      <c r="B46" s="5">
        <v>1</v>
      </c>
      <c r="C46" s="2" t="s">
        <v>42</v>
      </c>
      <c r="D46" s="2">
        <v>202854.86</v>
      </c>
      <c r="E46" s="2">
        <v>0</v>
      </c>
      <c r="F46" s="2">
        <v>0</v>
      </c>
      <c r="G46" s="2">
        <v>0</v>
      </c>
      <c r="H46" s="2">
        <v>12757.030000000002</v>
      </c>
      <c r="I46" s="2">
        <v>0</v>
      </c>
      <c r="J46" s="2">
        <v>0</v>
      </c>
      <c r="K46" s="2">
        <v>2350</v>
      </c>
      <c r="L46" s="2">
        <v>0</v>
      </c>
      <c r="M46" s="2">
        <v>22163.4</v>
      </c>
      <c r="N46" s="2">
        <v>0</v>
      </c>
      <c r="O46" s="3">
        <f t="shared" si="1"/>
        <v>240125.28999999998</v>
      </c>
    </row>
    <row r="47" spans="1:15" x14ac:dyDescent="0.2">
      <c r="A47" s="5">
        <v>116</v>
      </c>
      <c r="B47" s="5">
        <v>1</v>
      </c>
      <c r="C47" s="2" t="s">
        <v>43</v>
      </c>
      <c r="D47" s="2">
        <v>311278.58</v>
      </c>
      <c r="E47" s="2">
        <v>0</v>
      </c>
      <c r="F47" s="2">
        <v>0</v>
      </c>
      <c r="G47" s="2">
        <v>0</v>
      </c>
      <c r="H47" s="2">
        <v>15353.6</v>
      </c>
      <c r="I47" s="2">
        <v>0</v>
      </c>
      <c r="J47" s="2">
        <v>0</v>
      </c>
      <c r="K47" s="2">
        <v>8592.91</v>
      </c>
      <c r="L47" s="2">
        <v>0</v>
      </c>
      <c r="M47" s="2">
        <v>54711.15</v>
      </c>
      <c r="N47" s="2">
        <v>0</v>
      </c>
      <c r="O47" s="3">
        <f t="shared" si="1"/>
        <v>389936.24</v>
      </c>
    </row>
    <row r="48" spans="1:15" x14ac:dyDescent="0.2">
      <c r="A48" s="5">
        <v>118</v>
      </c>
      <c r="B48" s="5">
        <v>1</v>
      </c>
      <c r="C48" s="2" t="s">
        <v>44</v>
      </c>
      <c r="D48" s="2">
        <v>137063.67000000001</v>
      </c>
      <c r="E48" s="2">
        <v>42155.270000000004</v>
      </c>
      <c r="F48" s="2">
        <v>71477.7</v>
      </c>
      <c r="G48" s="2">
        <v>0</v>
      </c>
      <c r="H48" s="2">
        <v>11326.05</v>
      </c>
      <c r="I48" s="2">
        <v>0</v>
      </c>
      <c r="J48" s="2">
        <v>0</v>
      </c>
      <c r="K48" s="2">
        <v>38969.83</v>
      </c>
      <c r="L48" s="2">
        <v>0</v>
      </c>
      <c r="M48" s="2">
        <v>32310.73</v>
      </c>
      <c r="N48" s="2">
        <v>0</v>
      </c>
      <c r="O48" s="3">
        <f t="shared" si="1"/>
        <v>333303.25</v>
      </c>
    </row>
    <row r="49" spans="1:15" x14ac:dyDescent="0.2">
      <c r="A49" s="5">
        <v>129</v>
      </c>
      <c r="B49" s="5">
        <v>1</v>
      </c>
      <c r="C49" s="2" t="s">
        <v>45</v>
      </c>
      <c r="D49" s="2">
        <v>187146.05</v>
      </c>
      <c r="E49" s="2">
        <v>90913.97</v>
      </c>
      <c r="F49" s="2">
        <v>76642.47</v>
      </c>
      <c r="G49" s="2">
        <v>0</v>
      </c>
      <c r="H49" s="2">
        <v>79989.17</v>
      </c>
      <c r="I49" s="2">
        <v>0</v>
      </c>
      <c r="J49" s="2">
        <v>0</v>
      </c>
      <c r="K49" s="2">
        <v>18324.419999999998</v>
      </c>
      <c r="L49" s="2">
        <v>0</v>
      </c>
      <c r="M49" s="2">
        <v>49125.46</v>
      </c>
      <c r="N49" s="2">
        <v>0</v>
      </c>
      <c r="O49" s="3">
        <f t="shared" si="1"/>
        <v>502141.54</v>
      </c>
    </row>
    <row r="50" spans="1:15" x14ac:dyDescent="0.2">
      <c r="A50" s="5">
        <v>138</v>
      </c>
      <c r="B50" s="5">
        <v>1</v>
      </c>
      <c r="C50" s="2" t="s">
        <v>46</v>
      </c>
      <c r="D50" s="2">
        <v>681413.29</v>
      </c>
      <c r="E50" s="2">
        <v>0</v>
      </c>
      <c r="F50" s="2">
        <v>124195.25</v>
      </c>
      <c r="G50" s="2">
        <v>0</v>
      </c>
      <c r="H50" s="2">
        <v>55916.67</v>
      </c>
      <c r="I50" s="2">
        <v>0</v>
      </c>
      <c r="J50" s="2">
        <v>0</v>
      </c>
      <c r="K50" s="2">
        <v>52469.46</v>
      </c>
      <c r="L50" s="2">
        <v>0</v>
      </c>
      <c r="M50" s="2">
        <v>108511.6</v>
      </c>
      <c r="N50" s="2">
        <v>0</v>
      </c>
      <c r="O50" s="3">
        <f t="shared" si="1"/>
        <v>1022506.27</v>
      </c>
    </row>
    <row r="51" spans="1:15" x14ac:dyDescent="0.2">
      <c r="A51" s="5">
        <v>139</v>
      </c>
      <c r="B51" s="5">
        <v>1</v>
      </c>
      <c r="C51" s="2" t="s">
        <v>47</v>
      </c>
      <c r="D51" s="2">
        <v>251467.26</v>
      </c>
      <c r="E51" s="2">
        <v>0</v>
      </c>
      <c r="F51" s="2">
        <v>0</v>
      </c>
      <c r="G51" s="2">
        <v>0</v>
      </c>
      <c r="H51" s="2">
        <v>17800</v>
      </c>
      <c r="I51" s="2">
        <v>0</v>
      </c>
      <c r="J51" s="2">
        <v>0</v>
      </c>
      <c r="K51" s="2">
        <v>11645.869999999999</v>
      </c>
      <c r="L51" s="2">
        <v>0</v>
      </c>
      <c r="M51" s="2">
        <v>25852.720000000001</v>
      </c>
      <c r="N51" s="2">
        <v>0</v>
      </c>
      <c r="O51" s="3">
        <f t="shared" si="1"/>
        <v>306765.84999999998</v>
      </c>
    </row>
    <row r="52" spans="1:15" x14ac:dyDescent="0.2">
      <c r="A52" s="5">
        <v>146</v>
      </c>
      <c r="B52" s="5">
        <v>1</v>
      </c>
      <c r="C52" s="2" t="s">
        <v>48</v>
      </c>
      <c r="D52" s="2">
        <v>140960.57</v>
      </c>
      <c r="E52" s="2">
        <v>219136.83999999997</v>
      </c>
      <c r="F52" s="2">
        <v>47325.63</v>
      </c>
      <c r="G52" s="2">
        <v>0</v>
      </c>
      <c r="H52" s="2">
        <v>13725.220000000001</v>
      </c>
      <c r="I52" s="2">
        <v>0</v>
      </c>
      <c r="J52" s="2">
        <v>0</v>
      </c>
      <c r="K52" s="2">
        <v>6513.55</v>
      </c>
      <c r="L52" s="2">
        <v>0</v>
      </c>
      <c r="M52" s="2">
        <v>25691.64</v>
      </c>
      <c r="N52" s="2">
        <v>0</v>
      </c>
      <c r="O52" s="3">
        <f t="shared" si="1"/>
        <v>453353.45</v>
      </c>
    </row>
    <row r="53" spans="1:15" x14ac:dyDescent="0.2">
      <c r="A53" s="5">
        <v>150</v>
      </c>
      <c r="B53" s="5">
        <v>1</v>
      </c>
      <c r="C53" s="2" t="s">
        <v>49</v>
      </c>
      <c r="D53" s="2">
        <v>112384.88</v>
      </c>
      <c r="E53" s="2">
        <v>84188.19</v>
      </c>
      <c r="F53" s="2">
        <v>27885.64</v>
      </c>
      <c r="G53" s="2">
        <v>0</v>
      </c>
      <c r="H53" s="2">
        <v>16473.600000000002</v>
      </c>
      <c r="I53" s="2">
        <v>0</v>
      </c>
      <c r="J53" s="2">
        <v>0</v>
      </c>
      <c r="K53" s="2">
        <v>16324.39</v>
      </c>
      <c r="L53" s="2">
        <v>0</v>
      </c>
      <c r="M53" s="2">
        <v>16685.88</v>
      </c>
      <c r="N53" s="2">
        <v>0</v>
      </c>
      <c r="O53" s="3">
        <f t="shared" si="1"/>
        <v>273942.58</v>
      </c>
    </row>
    <row r="54" spans="1:15" x14ac:dyDescent="0.2">
      <c r="A54" s="5">
        <v>152</v>
      </c>
      <c r="B54" s="5">
        <v>1</v>
      </c>
      <c r="C54" s="2" t="s">
        <v>50</v>
      </c>
      <c r="D54" s="2">
        <v>923084.98</v>
      </c>
      <c r="E54" s="2">
        <v>1810134.4300000002</v>
      </c>
      <c r="F54" s="2">
        <v>260799.18</v>
      </c>
      <c r="G54" s="2">
        <v>0</v>
      </c>
      <c r="H54" s="2">
        <v>96996.159999999989</v>
      </c>
      <c r="I54" s="2">
        <v>0</v>
      </c>
      <c r="J54" s="2">
        <v>0</v>
      </c>
      <c r="K54" s="2">
        <v>123221.84</v>
      </c>
      <c r="L54" s="2">
        <v>0</v>
      </c>
      <c r="M54" s="2">
        <v>223008.98</v>
      </c>
      <c r="N54" s="2">
        <v>0</v>
      </c>
      <c r="O54" s="3">
        <f t="shared" si="1"/>
        <v>3437245.5700000003</v>
      </c>
    </row>
    <row r="55" spans="1:15" x14ac:dyDescent="0.2">
      <c r="A55" s="5">
        <v>162</v>
      </c>
      <c r="B55" s="5">
        <v>1</v>
      </c>
      <c r="C55" s="2" t="s">
        <v>51</v>
      </c>
      <c r="D55" s="2">
        <v>204186.41</v>
      </c>
      <c r="E55" s="2">
        <v>0</v>
      </c>
      <c r="F55" s="2">
        <v>0</v>
      </c>
      <c r="G55" s="2">
        <v>0</v>
      </c>
      <c r="H55" s="2">
        <v>21062.29</v>
      </c>
      <c r="I55" s="2">
        <v>0</v>
      </c>
      <c r="J55" s="2">
        <v>0</v>
      </c>
      <c r="K55" s="2">
        <v>15268.07</v>
      </c>
      <c r="L55" s="2">
        <v>0</v>
      </c>
      <c r="M55" s="2">
        <v>31487.94</v>
      </c>
      <c r="N55" s="2">
        <v>0</v>
      </c>
      <c r="O55" s="3">
        <f t="shared" si="1"/>
        <v>272004.71000000002</v>
      </c>
    </row>
    <row r="56" spans="1:15" x14ac:dyDescent="0.2">
      <c r="A56" s="5">
        <v>166</v>
      </c>
      <c r="B56" s="5">
        <v>1</v>
      </c>
      <c r="C56" s="2" t="s">
        <v>52</v>
      </c>
      <c r="D56" s="2">
        <v>6944.7</v>
      </c>
      <c r="E56" s="2">
        <v>181125.73</v>
      </c>
      <c r="F56" s="2">
        <v>32084.66</v>
      </c>
      <c r="G56" s="2">
        <v>0</v>
      </c>
      <c r="H56" s="2">
        <v>13338.099999999999</v>
      </c>
      <c r="I56" s="2">
        <v>0</v>
      </c>
      <c r="J56" s="2">
        <v>0</v>
      </c>
      <c r="K56" s="2">
        <v>17904.900000000001</v>
      </c>
      <c r="L56" s="2">
        <v>0</v>
      </c>
      <c r="M56" s="2">
        <v>0</v>
      </c>
      <c r="N56" s="2">
        <v>0</v>
      </c>
      <c r="O56" s="3">
        <f t="shared" si="1"/>
        <v>251398.09000000003</v>
      </c>
    </row>
    <row r="57" spans="1:15" x14ac:dyDescent="0.2">
      <c r="A57" s="5">
        <v>173</v>
      </c>
      <c r="B57" s="5">
        <v>1</v>
      </c>
      <c r="C57" s="2" t="s">
        <v>53</v>
      </c>
      <c r="D57" s="2">
        <v>97444.31</v>
      </c>
      <c r="E57" s="2">
        <v>151775.57</v>
      </c>
      <c r="F57" s="2">
        <v>90731.14</v>
      </c>
      <c r="G57" s="2">
        <v>4153.8</v>
      </c>
      <c r="H57" s="2">
        <v>16057.38</v>
      </c>
      <c r="I57" s="2">
        <v>0</v>
      </c>
      <c r="J57" s="2">
        <v>0</v>
      </c>
      <c r="K57" s="2">
        <v>6890.12</v>
      </c>
      <c r="L57" s="2">
        <v>0</v>
      </c>
      <c r="M57" s="2">
        <v>23455.33</v>
      </c>
      <c r="N57" s="2">
        <v>0</v>
      </c>
      <c r="O57" s="3">
        <f t="shared" si="1"/>
        <v>390507.65</v>
      </c>
    </row>
    <row r="58" spans="1:15" x14ac:dyDescent="0.2">
      <c r="A58" s="5">
        <v>177</v>
      </c>
      <c r="B58" s="5">
        <v>1</v>
      </c>
      <c r="C58" s="2" t="s">
        <v>54</v>
      </c>
      <c r="D58" s="2">
        <v>179361.27</v>
      </c>
      <c r="E58" s="2">
        <v>406395.49</v>
      </c>
      <c r="F58" s="2">
        <v>79181.69</v>
      </c>
      <c r="G58" s="2">
        <v>7877.23</v>
      </c>
      <c r="H58" s="2">
        <v>16862.8</v>
      </c>
      <c r="I58" s="2">
        <v>0</v>
      </c>
      <c r="J58" s="2">
        <v>-4000</v>
      </c>
      <c r="K58" s="2">
        <v>2437.85</v>
      </c>
      <c r="L58" s="2">
        <v>0</v>
      </c>
      <c r="M58" s="2">
        <v>38511.129999999997</v>
      </c>
      <c r="N58" s="2">
        <v>0</v>
      </c>
      <c r="O58" s="3">
        <f t="shared" si="1"/>
        <v>726627.46</v>
      </c>
    </row>
    <row r="59" spans="1:15" x14ac:dyDescent="0.2">
      <c r="A59" s="5">
        <v>181</v>
      </c>
      <c r="B59" s="5">
        <v>1</v>
      </c>
      <c r="C59" s="2" t="s">
        <v>55</v>
      </c>
      <c r="D59" s="2">
        <v>2163155.64</v>
      </c>
      <c r="E59" s="2">
        <v>336420.10000000003</v>
      </c>
      <c r="F59" s="2">
        <v>381870.54</v>
      </c>
      <c r="G59" s="2">
        <v>0</v>
      </c>
      <c r="H59" s="2">
        <v>244585.03</v>
      </c>
      <c r="I59" s="2">
        <v>0</v>
      </c>
      <c r="J59" s="2">
        <v>0</v>
      </c>
      <c r="K59" s="2">
        <v>-50195.89</v>
      </c>
      <c r="L59" s="2">
        <v>0</v>
      </c>
      <c r="M59" s="2">
        <v>290052.36</v>
      </c>
      <c r="N59" s="2">
        <v>0</v>
      </c>
      <c r="O59" s="3">
        <f t="shared" si="1"/>
        <v>3365887.78</v>
      </c>
    </row>
    <row r="60" spans="1:15" x14ac:dyDescent="0.2">
      <c r="A60" s="5">
        <v>182</v>
      </c>
      <c r="B60" s="5">
        <v>1</v>
      </c>
      <c r="C60" s="2" t="s">
        <v>56</v>
      </c>
      <c r="D60" s="2">
        <v>286809.07</v>
      </c>
      <c r="E60" s="2">
        <v>273188.08999999997</v>
      </c>
      <c r="F60" s="2">
        <v>41830.449999999997</v>
      </c>
      <c r="G60" s="2">
        <v>0</v>
      </c>
      <c r="H60" s="2">
        <v>27542.13</v>
      </c>
      <c r="I60" s="2">
        <v>0</v>
      </c>
      <c r="J60" s="2">
        <v>0</v>
      </c>
      <c r="K60" s="2">
        <v>9850.84</v>
      </c>
      <c r="L60" s="2">
        <v>0</v>
      </c>
      <c r="M60" s="2">
        <v>2701.97</v>
      </c>
      <c r="N60" s="2">
        <v>0</v>
      </c>
      <c r="O60" s="3">
        <f t="shared" si="1"/>
        <v>641922.54999999981</v>
      </c>
    </row>
    <row r="61" spans="1:15" x14ac:dyDescent="0.2">
      <c r="A61" s="5">
        <v>186</v>
      </c>
      <c r="B61" s="5">
        <v>1</v>
      </c>
      <c r="C61" s="2" t="s">
        <v>57</v>
      </c>
      <c r="D61" s="2">
        <v>568650.34</v>
      </c>
      <c r="E61" s="2">
        <v>913.56</v>
      </c>
      <c r="F61" s="2">
        <v>0</v>
      </c>
      <c r="G61" s="2">
        <v>0</v>
      </c>
      <c r="H61" s="2">
        <v>31827.200000000001</v>
      </c>
      <c r="I61" s="2">
        <v>0</v>
      </c>
      <c r="J61" s="2">
        <v>0</v>
      </c>
      <c r="K61" s="2">
        <v>39598.379999999997</v>
      </c>
      <c r="L61" s="2">
        <v>0</v>
      </c>
      <c r="M61" s="2">
        <v>84372.91</v>
      </c>
      <c r="N61" s="2">
        <v>0</v>
      </c>
      <c r="O61" s="3">
        <f t="shared" si="1"/>
        <v>725362.39</v>
      </c>
    </row>
    <row r="62" spans="1:15" x14ac:dyDescent="0.2">
      <c r="A62" s="5">
        <v>191</v>
      </c>
      <c r="B62" s="5">
        <v>1</v>
      </c>
      <c r="C62" s="2" t="s">
        <v>58</v>
      </c>
      <c r="D62" s="2">
        <v>2697059.37</v>
      </c>
      <c r="E62" s="2">
        <v>5435808.6399999987</v>
      </c>
      <c r="F62" s="2">
        <v>3269341.23</v>
      </c>
      <c r="G62" s="2">
        <v>0</v>
      </c>
      <c r="H62" s="2">
        <v>207844.47</v>
      </c>
      <c r="I62" s="2">
        <v>0</v>
      </c>
      <c r="J62" s="2">
        <v>0</v>
      </c>
      <c r="K62" s="2">
        <v>284740.66000000003</v>
      </c>
      <c r="L62" s="2">
        <v>0</v>
      </c>
      <c r="M62" s="2">
        <v>474436.6</v>
      </c>
      <c r="N62" s="2">
        <v>0</v>
      </c>
      <c r="O62" s="3">
        <f t="shared" si="1"/>
        <v>12369230.969999999</v>
      </c>
    </row>
    <row r="63" spans="1:15" x14ac:dyDescent="0.2">
      <c r="A63" s="5">
        <v>192</v>
      </c>
      <c r="B63" s="5">
        <v>1</v>
      </c>
      <c r="C63" s="2" t="s">
        <v>59</v>
      </c>
      <c r="D63" s="2">
        <v>1284713.1200000001</v>
      </c>
      <c r="E63" s="2">
        <v>1116501.6199999999</v>
      </c>
      <c r="F63" s="2">
        <v>497003.31</v>
      </c>
      <c r="G63" s="2">
        <v>34108.79</v>
      </c>
      <c r="H63" s="2">
        <v>94067</v>
      </c>
      <c r="I63" s="2">
        <v>0</v>
      </c>
      <c r="J63" s="2">
        <v>0</v>
      </c>
      <c r="K63" s="2">
        <v>121196.57</v>
      </c>
      <c r="L63" s="2">
        <v>0</v>
      </c>
      <c r="M63" s="2">
        <v>201206.43</v>
      </c>
      <c r="N63" s="2">
        <v>0</v>
      </c>
      <c r="O63" s="3">
        <f t="shared" si="1"/>
        <v>3348796.8400000003</v>
      </c>
    </row>
    <row r="64" spans="1:15" x14ac:dyDescent="0.2">
      <c r="A64" s="5">
        <v>194</v>
      </c>
      <c r="B64" s="5">
        <v>1</v>
      </c>
      <c r="C64" s="2" t="s">
        <v>60</v>
      </c>
      <c r="D64" s="2">
        <v>2374735.2999999998</v>
      </c>
      <c r="E64" s="2">
        <v>2905006.4</v>
      </c>
      <c r="F64" s="2">
        <v>2328572.5699999998</v>
      </c>
      <c r="G64" s="2">
        <v>230506.25</v>
      </c>
      <c r="H64" s="2">
        <v>184544.94999999998</v>
      </c>
      <c r="I64" s="2">
        <v>0</v>
      </c>
      <c r="J64" s="2">
        <v>0</v>
      </c>
      <c r="K64" s="2">
        <v>90511.18</v>
      </c>
      <c r="L64" s="2">
        <v>0</v>
      </c>
      <c r="M64" s="2">
        <v>573906.71</v>
      </c>
      <c r="N64" s="2">
        <v>0</v>
      </c>
      <c r="O64" s="3">
        <f t="shared" si="1"/>
        <v>8687783.3599999994</v>
      </c>
    </row>
    <row r="65" spans="1:15" x14ac:dyDescent="0.2">
      <c r="A65" s="5">
        <v>195</v>
      </c>
      <c r="B65" s="5">
        <v>1</v>
      </c>
      <c r="C65" s="2" t="s">
        <v>61</v>
      </c>
      <c r="D65" s="2">
        <v>121592.62</v>
      </c>
      <c r="E65" s="2">
        <v>0</v>
      </c>
      <c r="F65" s="2">
        <v>139518.71</v>
      </c>
      <c r="G65" s="2">
        <v>0</v>
      </c>
      <c r="H65" s="2">
        <v>10520.800000000001</v>
      </c>
      <c r="I65" s="2">
        <v>0</v>
      </c>
      <c r="J65" s="2">
        <v>0</v>
      </c>
      <c r="K65" s="2">
        <v>13700.619999999999</v>
      </c>
      <c r="L65" s="2">
        <v>0</v>
      </c>
      <c r="M65" s="2">
        <v>15323.58</v>
      </c>
      <c r="N65" s="2">
        <v>0</v>
      </c>
      <c r="O65" s="3">
        <f t="shared" si="1"/>
        <v>300656.33</v>
      </c>
    </row>
    <row r="66" spans="1:15" x14ac:dyDescent="0.2">
      <c r="A66" s="5">
        <v>196</v>
      </c>
      <c r="B66" s="5">
        <v>1</v>
      </c>
      <c r="C66" s="2" t="s">
        <v>62</v>
      </c>
      <c r="D66" s="2">
        <v>12059835.67</v>
      </c>
      <c r="E66" s="2">
        <v>12451122.370000001</v>
      </c>
      <c r="F66" s="2">
        <v>2902781.6</v>
      </c>
      <c r="G66" s="2">
        <v>0</v>
      </c>
      <c r="H66" s="2">
        <v>485261.01999999996</v>
      </c>
      <c r="I66" s="2">
        <v>0</v>
      </c>
      <c r="J66" s="2">
        <v>0</v>
      </c>
      <c r="K66" s="2">
        <v>469368.3</v>
      </c>
      <c r="L66" s="2">
        <v>0</v>
      </c>
      <c r="M66" s="2">
        <v>820124.51</v>
      </c>
      <c r="N66" s="2">
        <v>0</v>
      </c>
      <c r="O66" s="3">
        <f t="shared" si="1"/>
        <v>29188493.470000003</v>
      </c>
    </row>
    <row r="67" spans="1:15" x14ac:dyDescent="0.2">
      <c r="A67" s="5">
        <v>197</v>
      </c>
      <c r="B67" s="5">
        <v>1</v>
      </c>
      <c r="C67" s="2" t="s">
        <v>63</v>
      </c>
      <c r="D67" s="2">
        <v>1711102.49</v>
      </c>
      <c r="E67" s="2">
        <v>1111921.5099999998</v>
      </c>
      <c r="F67" s="2">
        <v>1798011.75</v>
      </c>
      <c r="G67" s="2">
        <v>0</v>
      </c>
      <c r="H67" s="2">
        <v>73343.75</v>
      </c>
      <c r="I67" s="2">
        <v>0</v>
      </c>
      <c r="J67" s="2">
        <v>0</v>
      </c>
      <c r="K67" s="2">
        <v>60155.240000000005</v>
      </c>
      <c r="L67" s="2">
        <v>0</v>
      </c>
      <c r="M67" s="2">
        <v>338134.01</v>
      </c>
      <c r="N67" s="2">
        <v>0</v>
      </c>
      <c r="O67" s="3">
        <f t="shared" si="1"/>
        <v>5092668.75</v>
      </c>
    </row>
    <row r="68" spans="1:15" x14ac:dyDescent="0.2">
      <c r="A68" s="5">
        <v>199</v>
      </c>
      <c r="B68" s="5">
        <v>1</v>
      </c>
      <c r="C68" s="2" t="s">
        <v>64</v>
      </c>
      <c r="D68" s="2">
        <v>1341536.8999999999</v>
      </c>
      <c r="E68" s="2">
        <v>965608.00999999989</v>
      </c>
      <c r="F68" s="2">
        <v>996898.87</v>
      </c>
      <c r="G68" s="2">
        <v>29000.73</v>
      </c>
      <c r="H68" s="2">
        <v>72404.799999999988</v>
      </c>
      <c r="I68" s="2">
        <v>0</v>
      </c>
      <c r="J68" s="2">
        <v>0</v>
      </c>
      <c r="K68" s="2">
        <v>44644.47</v>
      </c>
      <c r="L68" s="2">
        <v>0</v>
      </c>
      <c r="M68" s="2">
        <v>208540.17</v>
      </c>
      <c r="N68" s="2">
        <v>0</v>
      </c>
      <c r="O68" s="3">
        <f t="shared" si="1"/>
        <v>3658633.9499999997</v>
      </c>
    </row>
    <row r="69" spans="1:15" x14ac:dyDescent="0.2">
      <c r="A69" s="5">
        <v>200</v>
      </c>
      <c r="B69" s="5">
        <v>1</v>
      </c>
      <c r="C69" s="2" t="s">
        <v>65</v>
      </c>
      <c r="D69" s="2">
        <v>1137585.78</v>
      </c>
      <c r="E69" s="2">
        <v>3216802.19</v>
      </c>
      <c r="F69" s="2">
        <v>552049.56000000006</v>
      </c>
      <c r="G69" s="2">
        <v>43073.06</v>
      </c>
      <c r="H69" s="2">
        <v>44307.61</v>
      </c>
      <c r="I69" s="2">
        <v>0</v>
      </c>
      <c r="J69" s="2">
        <v>0</v>
      </c>
      <c r="K69" s="2">
        <v>15628.85</v>
      </c>
      <c r="L69" s="2">
        <v>0</v>
      </c>
      <c r="M69" s="2">
        <v>221687.44</v>
      </c>
      <c r="N69" s="2">
        <v>0</v>
      </c>
      <c r="O69" s="3">
        <f t="shared" si="1"/>
        <v>5231134.4899999993</v>
      </c>
    </row>
    <row r="70" spans="1:15" x14ac:dyDescent="0.2">
      <c r="A70" s="5">
        <v>203</v>
      </c>
      <c r="B70" s="5">
        <v>1</v>
      </c>
      <c r="C70" s="2" t="s">
        <v>66</v>
      </c>
      <c r="D70" s="2">
        <v>197356.54</v>
      </c>
      <c r="E70" s="2">
        <v>165281.04999999999</v>
      </c>
      <c r="F70" s="2">
        <v>0</v>
      </c>
      <c r="G70" s="2">
        <v>0</v>
      </c>
      <c r="H70" s="2">
        <v>16020.800000000001</v>
      </c>
      <c r="I70" s="2">
        <v>0</v>
      </c>
      <c r="J70" s="2">
        <v>0</v>
      </c>
      <c r="K70" s="2">
        <v>634.26000000000022</v>
      </c>
      <c r="L70" s="2">
        <v>0</v>
      </c>
      <c r="M70" s="2">
        <v>32340.81</v>
      </c>
      <c r="N70" s="2">
        <v>0</v>
      </c>
      <c r="O70" s="3">
        <f t="shared" si="1"/>
        <v>411633.45999999996</v>
      </c>
    </row>
    <row r="71" spans="1:15" x14ac:dyDescent="0.2">
      <c r="A71" s="5">
        <v>204</v>
      </c>
      <c r="B71" s="5">
        <v>1</v>
      </c>
      <c r="C71" s="2" t="s">
        <v>67</v>
      </c>
      <c r="D71" s="2">
        <v>328479.53999999998</v>
      </c>
      <c r="E71" s="2">
        <v>153401.93</v>
      </c>
      <c r="F71" s="2">
        <v>66446.850000000006</v>
      </c>
      <c r="G71" s="2">
        <v>0</v>
      </c>
      <c r="H71" s="2">
        <v>35610.399999999994</v>
      </c>
      <c r="I71" s="2">
        <v>0</v>
      </c>
      <c r="J71" s="2">
        <v>0</v>
      </c>
      <c r="K71" s="2">
        <v>1500</v>
      </c>
      <c r="L71" s="2">
        <v>0</v>
      </c>
      <c r="M71" s="2">
        <v>22203.21</v>
      </c>
      <c r="N71" s="2">
        <v>0</v>
      </c>
      <c r="O71" s="3">
        <f t="shared" si="1"/>
        <v>607641.92999999993</v>
      </c>
    </row>
    <row r="72" spans="1:15" x14ac:dyDescent="0.2">
      <c r="A72" s="5">
        <v>206</v>
      </c>
      <c r="B72" s="5">
        <v>1</v>
      </c>
      <c r="C72" s="2" t="s">
        <v>68</v>
      </c>
      <c r="D72" s="2">
        <v>977788.03</v>
      </c>
      <c r="E72" s="2">
        <v>503981.36000000004</v>
      </c>
      <c r="F72" s="2">
        <v>365570.81</v>
      </c>
      <c r="G72" s="2">
        <v>0</v>
      </c>
      <c r="H72" s="2">
        <v>82400.800000000003</v>
      </c>
      <c r="I72" s="2">
        <v>0</v>
      </c>
      <c r="J72" s="2">
        <v>0</v>
      </c>
      <c r="K72" s="2">
        <v>9753.68</v>
      </c>
      <c r="L72" s="2">
        <v>0</v>
      </c>
      <c r="M72" s="2">
        <v>200034.68</v>
      </c>
      <c r="N72" s="2">
        <v>0</v>
      </c>
      <c r="O72" s="3">
        <f t="shared" ref="O72:O132" si="2">SUM(D72:N72)</f>
        <v>2139529.3600000003</v>
      </c>
    </row>
    <row r="73" spans="1:15" x14ac:dyDescent="0.2">
      <c r="A73" s="5">
        <v>207</v>
      </c>
      <c r="B73" s="5">
        <v>1</v>
      </c>
      <c r="C73" s="2" t="s">
        <v>69</v>
      </c>
      <c r="D73" s="2">
        <v>87486.8</v>
      </c>
      <c r="E73" s="2">
        <v>98303.22</v>
      </c>
      <c r="F73" s="2">
        <v>0</v>
      </c>
      <c r="G73" s="2">
        <v>0</v>
      </c>
      <c r="H73" s="2">
        <v>10000</v>
      </c>
      <c r="I73" s="2">
        <v>0</v>
      </c>
      <c r="J73" s="2">
        <v>-8726.7999999999993</v>
      </c>
      <c r="K73" s="2">
        <v>8726.7999999999993</v>
      </c>
      <c r="L73" s="2">
        <v>0</v>
      </c>
      <c r="M73" s="2">
        <v>10790.66</v>
      </c>
      <c r="N73" s="2">
        <v>0</v>
      </c>
      <c r="O73" s="3">
        <f t="shared" si="2"/>
        <v>206580.68000000002</v>
      </c>
    </row>
    <row r="74" spans="1:15" x14ac:dyDescent="0.2">
      <c r="A74" s="5">
        <v>208</v>
      </c>
      <c r="B74" s="5">
        <v>1</v>
      </c>
      <c r="C74" s="2" t="s">
        <v>70</v>
      </c>
      <c r="D74" s="2">
        <v>53685.01</v>
      </c>
      <c r="E74" s="2">
        <v>138918.73000000001</v>
      </c>
      <c r="F74" s="2">
        <v>0</v>
      </c>
      <c r="G74" s="2">
        <v>0</v>
      </c>
      <c r="H74" s="2">
        <v>10000</v>
      </c>
      <c r="I74" s="2">
        <v>0</v>
      </c>
      <c r="J74" s="2">
        <v>0</v>
      </c>
      <c r="K74" s="2">
        <v>-864.98999999999978</v>
      </c>
      <c r="L74" s="2">
        <v>0</v>
      </c>
      <c r="M74" s="2">
        <v>8509.86</v>
      </c>
      <c r="N74" s="2">
        <v>0</v>
      </c>
      <c r="O74" s="3">
        <f t="shared" si="2"/>
        <v>210248.61000000004</v>
      </c>
    </row>
    <row r="75" spans="1:15" x14ac:dyDescent="0.2">
      <c r="A75" s="5">
        <v>213</v>
      </c>
      <c r="B75" s="5">
        <v>1</v>
      </c>
      <c r="C75" s="2" t="s">
        <v>71</v>
      </c>
      <c r="D75" s="2">
        <v>169350.95</v>
      </c>
      <c r="E75" s="2">
        <v>0</v>
      </c>
      <c r="F75" s="2">
        <v>28915.37</v>
      </c>
      <c r="G75" s="2">
        <v>0</v>
      </c>
      <c r="H75" s="2">
        <v>0</v>
      </c>
      <c r="I75" s="2">
        <v>0</v>
      </c>
      <c r="J75" s="2">
        <v>0</v>
      </c>
      <c r="K75" s="2">
        <v>-2405.7399999999998</v>
      </c>
      <c r="L75" s="2">
        <v>0</v>
      </c>
      <c r="M75" s="2">
        <v>20514.060000000001</v>
      </c>
      <c r="N75" s="2">
        <v>0</v>
      </c>
      <c r="O75" s="3">
        <f t="shared" si="2"/>
        <v>216374.64</v>
      </c>
    </row>
    <row r="76" spans="1:15" x14ac:dyDescent="0.2">
      <c r="A76" s="5">
        <v>227</v>
      </c>
      <c r="B76" s="5">
        <v>1</v>
      </c>
      <c r="C76" s="2" t="s">
        <v>72</v>
      </c>
      <c r="D76" s="2">
        <v>162038.49</v>
      </c>
      <c r="E76" s="2">
        <v>76278</v>
      </c>
      <c r="F76" s="2">
        <v>44731.14</v>
      </c>
      <c r="G76" s="2">
        <v>0</v>
      </c>
      <c r="H76" s="2">
        <v>17990.399999999998</v>
      </c>
      <c r="I76" s="2">
        <v>0</v>
      </c>
      <c r="J76" s="2">
        <v>0</v>
      </c>
      <c r="K76" s="2">
        <v>-4435.9400000000005</v>
      </c>
      <c r="L76" s="2">
        <v>0</v>
      </c>
      <c r="M76" s="2">
        <v>32205.759999999998</v>
      </c>
      <c r="N76" s="2">
        <v>0</v>
      </c>
      <c r="O76" s="3">
        <f t="shared" si="2"/>
        <v>328807.85000000003</v>
      </c>
    </row>
    <row r="77" spans="1:15" x14ac:dyDescent="0.2">
      <c r="A77" s="5">
        <v>229</v>
      </c>
      <c r="B77" s="5">
        <v>1</v>
      </c>
      <c r="C77" s="2" t="s">
        <v>73</v>
      </c>
      <c r="D77" s="2">
        <v>79593.17</v>
      </c>
      <c r="E77" s="2">
        <v>18416.760000000002</v>
      </c>
      <c r="F77" s="2">
        <v>15542.06</v>
      </c>
      <c r="G77" s="2">
        <v>0</v>
      </c>
      <c r="H77" s="2">
        <v>24606.76</v>
      </c>
      <c r="I77" s="2">
        <v>0</v>
      </c>
      <c r="J77" s="2">
        <v>0</v>
      </c>
      <c r="K77" s="2">
        <v>1275.6199999999999</v>
      </c>
      <c r="L77" s="2">
        <v>0</v>
      </c>
      <c r="M77" s="2">
        <v>10249.65</v>
      </c>
      <c r="N77" s="2">
        <v>0</v>
      </c>
      <c r="O77" s="3">
        <f t="shared" si="2"/>
        <v>149684.01999999999</v>
      </c>
    </row>
    <row r="78" spans="1:15" x14ac:dyDescent="0.2">
      <c r="A78" s="5">
        <v>238</v>
      </c>
      <c r="B78" s="5">
        <v>1</v>
      </c>
      <c r="C78" s="2" t="s">
        <v>74</v>
      </c>
      <c r="D78" s="2">
        <v>67139.23</v>
      </c>
      <c r="E78" s="2">
        <v>90149.599999999991</v>
      </c>
      <c r="F78" s="2">
        <v>54421.05</v>
      </c>
      <c r="G78" s="2">
        <v>0</v>
      </c>
      <c r="H78" s="2">
        <v>12233.69</v>
      </c>
      <c r="I78" s="2">
        <v>0</v>
      </c>
      <c r="J78" s="2">
        <v>0</v>
      </c>
      <c r="K78" s="2">
        <v>1000</v>
      </c>
      <c r="L78" s="2">
        <v>0</v>
      </c>
      <c r="M78" s="2">
        <v>3035.02</v>
      </c>
      <c r="N78" s="2">
        <v>0</v>
      </c>
      <c r="O78" s="3">
        <f t="shared" si="2"/>
        <v>227978.59</v>
      </c>
    </row>
    <row r="79" spans="1:15" x14ac:dyDescent="0.2">
      <c r="A79" s="5">
        <v>239</v>
      </c>
      <c r="B79" s="5">
        <v>1</v>
      </c>
      <c r="C79" s="2" t="s">
        <v>75</v>
      </c>
      <c r="D79" s="2">
        <v>166937.28</v>
      </c>
      <c r="E79" s="2">
        <v>214473.9</v>
      </c>
      <c r="F79" s="2">
        <v>35288.620000000003</v>
      </c>
      <c r="G79" s="2">
        <v>0</v>
      </c>
      <c r="H79" s="2">
        <v>14579.250000000002</v>
      </c>
      <c r="I79" s="2">
        <v>0</v>
      </c>
      <c r="J79" s="2">
        <v>0</v>
      </c>
      <c r="K79" s="2">
        <v>-9322.6</v>
      </c>
      <c r="L79" s="2">
        <v>0</v>
      </c>
      <c r="M79" s="2">
        <v>25070.31</v>
      </c>
      <c r="N79" s="2">
        <v>0</v>
      </c>
      <c r="O79" s="3">
        <f t="shared" si="2"/>
        <v>447026.76</v>
      </c>
    </row>
    <row r="80" spans="1:15" x14ac:dyDescent="0.2">
      <c r="A80" s="5">
        <v>241</v>
      </c>
      <c r="B80" s="5">
        <v>1</v>
      </c>
      <c r="C80" s="2" t="s">
        <v>76</v>
      </c>
      <c r="D80" s="2">
        <v>798865.56</v>
      </c>
      <c r="E80" s="2">
        <v>1275072.1399999999</v>
      </c>
      <c r="F80" s="2">
        <v>174209.52</v>
      </c>
      <c r="G80" s="2">
        <v>60901.47</v>
      </c>
      <c r="H80" s="2">
        <v>73699.34</v>
      </c>
      <c r="I80" s="2">
        <v>0</v>
      </c>
      <c r="J80" s="2">
        <v>0</v>
      </c>
      <c r="K80" s="2">
        <v>19070.79</v>
      </c>
      <c r="L80" s="2">
        <v>0</v>
      </c>
      <c r="M80" s="2">
        <v>125016.98</v>
      </c>
      <c r="N80" s="2">
        <v>0</v>
      </c>
      <c r="O80" s="3">
        <f t="shared" si="2"/>
        <v>2526835.7999999998</v>
      </c>
    </row>
    <row r="81" spans="1:15" x14ac:dyDescent="0.2">
      <c r="A81" s="5">
        <v>242</v>
      </c>
      <c r="B81" s="5">
        <v>1</v>
      </c>
      <c r="C81" s="2" t="s">
        <v>77</v>
      </c>
      <c r="D81" s="2">
        <v>73445.960000000006</v>
      </c>
      <c r="E81" s="2">
        <v>3717.9999999999964</v>
      </c>
      <c r="F81" s="2">
        <v>29849.06</v>
      </c>
      <c r="G81" s="2">
        <v>4788.6099999999997</v>
      </c>
      <c r="H81" s="2">
        <v>10000</v>
      </c>
      <c r="I81" s="2">
        <v>0</v>
      </c>
      <c r="J81" s="2">
        <v>0</v>
      </c>
      <c r="K81" s="2">
        <v>2877.69</v>
      </c>
      <c r="L81" s="2">
        <v>0</v>
      </c>
      <c r="M81" s="2">
        <v>10529.03</v>
      </c>
      <c r="N81" s="2">
        <v>0</v>
      </c>
      <c r="O81" s="3">
        <f t="shared" si="2"/>
        <v>135208.35</v>
      </c>
    </row>
    <row r="82" spans="1:15" x14ac:dyDescent="0.2">
      <c r="A82" s="5">
        <v>252</v>
      </c>
      <c r="B82" s="5">
        <v>1</v>
      </c>
      <c r="C82" s="2" t="s">
        <v>78</v>
      </c>
      <c r="D82" s="2">
        <v>290730.48</v>
      </c>
      <c r="E82" s="2">
        <v>234868.75</v>
      </c>
      <c r="F82" s="2">
        <v>104497.76</v>
      </c>
      <c r="G82" s="2">
        <v>0</v>
      </c>
      <c r="H82" s="2">
        <v>25627.200000000001</v>
      </c>
      <c r="I82" s="2">
        <v>0</v>
      </c>
      <c r="J82" s="2">
        <v>0</v>
      </c>
      <c r="K82" s="2">
        <v>23874.93</v>
      </c>
      <c r="L82" s="2">
        <v>0</v>
      </c>
      <c r="M82" s="2">
        <v>67005.789999999994</v>
      </c>
      <c r="N82" s="2">
        <v>0</v>
      </c>
      <c r="O82" s="3">
        <f t="shared" si="2"/>
        <v>746604.91</v>
      </c>
    </row>
    <row r="83" spans="1:15" x14ac:dyDescent="0.2">
      <c r="A83" s="5">
        <v>253</v>
      </c>
      <c r="B83" s="5">
        <v>1</v>
      </c>
      <c r="C83" s="2" t="s">
        <v>79</v>
      </c>
      <c r="D83" s="2">
        <v>117093.35</v>
      </c>
      <c r="E83" s="2">
        <v>0</v>
      </c>
      <c r="F83" s="2">
        <v>32550.880000000001</v>
      </c>
      <c r="G83" s="2">
        <v>2374.9299999999998</v>
      </c>
      <c r="H83" s="2">
        <v>13816</v>
      </c>
      <c r="I83" s="2">
        <v>0</v>
      </c>
      <c r="J83" s="2">
        <v>-4677.2700000000004</v>
      </c>
      <c r="K83" s="2">
        <v>7598.53</v>
      </c>
      <c r="L83" s="2">
        <v>0</v>
      </c>
      <c r="M83" s="2">
        <v>18325.599999999999</v>
      </c>
      <c r="N83" s="2">
        <v>0</v>
      </c>
      <c r="O83" s="3">
        <f t="shared" si="2"/>
        <v>187082.02000000002</v>
      </c>
    </row>
    <row r="84" spans="1:15" x14ac:dyDescent="0.2">
      <c r="A84" s="5">
        <v>255</v>
      </c>
      <c r="B84" s="5">
        <v>1</v>
      </c>
      <c r="C84" s="2" t="s">
        <v>80</v>
      </c>
      <c r="D84" s="2">
        <v>361199.61</v>
      </c>
      <c r="E84" s="2">
        <v>188979.79</v>
      </c>
      <c r="F84" s="2">
        <v>52187.99</v>
      </c>
      <c r="G84" s="2">
        <v>0</v>
      </c>
      <c r="H84" s="2">
        <v>33782.839999999997</v>
      </c>
      <c r="I84" s="2">
        <v>0</v>
      </c>
      <c r="J84" s="2">
        <v>0</v>
      </c>
      <c r="K84" s="2">
        <v>33000.089999999997</v>
      </c>
      <c r="L84" s="2">
        <v>0</v>
      </c>
      <c r="M84" s="2">
        <v>66330.740000000005</v>
      </c>
      <c r="N84" s="2">
        <v>0</v>
      </c>
      <c r="O84" s="3">
        <f t="shared" si="2"/>
        <v>735481.05999999994</v>
      </c>
    </row>
    <row r="85" spans="1:15" x14ac:dyDescent="0.2">
      <c r="A85" s="5">
        <v>256</v>
      </c>
      <c r="B85" s="5">
        <v>1</v>
      </c>
      <c r="C85" s="2" t="s">
        <v>81</v>
      </c>
      <c r="D85" s="2">
        <v>614182.98</v>
      </c>
      <c r="E85" s="2">
        <v>1336711.97</v>
      </c>
      <c r="F85" s="2">
        <v>431418.24</v>
      </c>
      <c r="G85" s="2">
        <v>7931.62</v>
      </c>
      <c r="H85" s="2">
        <v>62928.19</v>
      </c>
      <c r="I85" s="2">
        <v>0</v>
      </c>
      <c r="J85" s="2">
        <v>0</v>
      </c>
      <c r="K85" s="2">
        <v>6071.2099999999991</v>
      </c>
      <c r="L85" s="2">
        <v>0</v>
      </c>
      <c r="M85" s="2">
        <v>141239.85999999999</v>
      </c>
      <c r="N85" s="2">
        <v>0</v>
      </c>
      <c r="O85" s="3">
        <f t="shared" si="2"/>
        <v>2600484.0699999998</v>
      </c>
    </row>
    <row r="86" spans="1:15" x14ac:dyDescent="0.2">
      <c r="A86" s="5">
        <v>261</v>
      </c>
      <c r="B86" s="5">
        <v>1</v>
      </c>
      <c r="C86" s="2" t="s">
        <v>82</v>
      </c>
      <c r="D86" s="2">
        <v>47087.11</v>
      </c>
      <c r="E86" s="2">
        <v>122442.35</v>
      </c>
      <c r="F86" s="2">
        <v>0</v>
      </c>
      <c r="G86" s="2">
        <v>0</v>
      </c>
      <c r="H86" s="2">
        <v>10000</v>
      </c>
      <c r="I86" s="2">
        <v>0</v>
      </c>
      <c r="J86" s="2">
        <v>0</v>
      </c>
      <c r="K86" s="2">
        <v>-167.0600000000004</v>
      </c>
      <c r="L86" s="2">
        <v>0</v>
      </c>
      <c r="M86" s="2">
        <v>8529.2999999999993</v>
      </c>
      <c r="N86" s="2">
        <v>0</v>
      </c>
      <c r="O86" s="3">
        <f t="shared" si="2"/>
        <v>187891.7</v>
      </c>
    </row>
    <row r="87" spans="1:15" x14ac:dyDescent="0.2">
      <c r="A87" s="5">
        <v>264</v>
      </c>
      <c r="B87" s="5">
        <v>1</v>
      </c>
      <c r="C87" s="2" t="s">
        <v>83</v>
      </c>
      <c r="D87" s="2">
        <v>935.55</v>
      </c>
      <c r="E87" s="2">
        <v>0</v>
      </c>
      <c r="F87" s="2">
        <v>122971.08</v>
      </c>
      <c r="G87" s="2">
        <v>0</v>
      </c>
      <c r="H87" s="2">
        <v>1760</v>
      </c>
      <c r="I87" s="2">
        <v>0</v>
      </c>
      <c r="J87" s="2">
        <v>0</v>
      </c>
      <c r="K87" s="2">
        <v>-1000</v>
      </c>
      <c r="L87" s="2">
        <v>0</v>
      </c>
      <c r="M87" s="2">
        <v>10110.26</v>
      </c>
      <c r="N87" s="2">
        <v>0</v>
      </c>
      <c r="O87" s="3">
        <f t="shared" si="2"/>
        <v>134776.89000000001</v>
      </c>
    </row>
    <row r="88" spans="1:15" x14ac:dyDescent="0.2">
      <c r="A88" s="5">
        <v>270</v>
      </c>
      <c r="B88" s="5">
        <v>1</v>
      </c>
      <c r="C88" s="2" t="s">
        <v>84</v>
      </c>
      <c r="D88" s="2">
        <v>5469705.4299999997</v>
      </c>
      <c r="E88" s="2">
        <v>2705773.7600000002</v>
      </c>
      <c r="F88" s="2">
        <v>4134654.98</v>
      </c>
      <c r="G88" s="2">
        <v>0</v>
      </c>
      <c r="H88" s="2">
        <v>146404.79999999999</v>
      </c>
      <c r="I88" s="2">
        <v>0</v>
      </c>
      <c r="J88" s="2">
        <v>0</v>
      </c>
      <c r="K88" s="2">
        <v>112993.31</v>
      </c>
      <c r="L88" s="2">
        <v>0</v>
      </c>
      <c r="M88" s="2">
        <v>658800.01</v>
      </c>
      <c r="N88" s="2">
        <v>0</v>
      </c>
      <c r="O88" s="3">
        <f t="shared" si="2"/>
        <v>13228332.290000001</v>
      </c>
    </row>
    <row r="89" spans="1:15" x14ac:dyDescent="0.2">
      <c r="A89" s="5">
        <v>271</v>
      </c>
      <c r="B89" s="5">
        <v>1</v>
      </c>
      <c r="C89" s="2" t="s">
        <v>85</v>
      </c>
      <c r="D89" s="2">
        <v>6023024.3499999996</v>
      </c>
      <c r="E89" s="2">
        <v>4993135.5</v>
      </c>
      <c r="F89" s="2">
        <v>3892764.24</v>
      </c>
      <c r="G89" s="2">
        <v>0</v>
      </c>
      <c r="H89" s="2">
        <v>199367.2</v>
      </c>
      <c r="I89" s="2">
        <v>0</v>
      </c>
      <c r="J89" s="2">
        <v>0</v>
      </c>
      <c r="K89" s="2">
        <v>62101.57</v>
      </c>
      <c r="L89" s="2">
        <v>0</v>
      </c>
      <c r="M89" s="2">
        <v>781445.29</v>
      </c>
      <c r="N89" s="2">
        <v>0</v>
      </c>
      <c r="O89" s="3">
        <f t="shared" si="2"/>
        <v>15951838.149999999</v>
      </c>
    </row>
    <row r="90" spans="1:15" x14ac:dyDescent="0.2">
      <c r="A90" s="5">
        <v>272</v>
      </c>
      <c r="B90" s="5">
        <v>1</v>
      </c>
      <c r="C90" s="2" t="s">
        <v>86</v>
      </c>
      <c r="D90" s="2">
        <v>6080201.5499999998</v>
      </c>
      <c r="E90" s="2">
        <v>3241435.4299999997</v>
      </c>
      <c r="F90" s="2">
        <v>3383760.71</v>
      </c>
      <c r="G90" s="2">
        <v>116982.81</v>
      </c>
      <c r="H90" s="2">
        <v>193216</v>
      </c>
      <c r="I90" s="2">
        <v>0</v>
      </c>
      <c r="J90" s="2">
        <v>0</v>
      </c>
      <c r="K90" s="2">
        <v>149507.44</v>
      </c>
      <c r="L90" s="2">
        <v>0</v>
      </c>
      <c r="M90" s="2">
        <v>568039.53</v>
      </c>
      <c r="N90" s="2">
        <v>0</v>
      </c>
      <c r="O90" s="3">
        <f t="shared" si="2"/>
        <v>13733143.470000001</v>
      </c>
    </row>
    <row r="91" spans="1:15" x14ac:dyDescent="0.2">
      <c r="A91" s="5">
        <v>273</v>
      </c>
      <c r="B91" s="5">
        <v>1</v>
      </c>
      <c r="C91" s="2" t="s">
        <v>87</v>
      </c>
      <c r="D91" s="2">
        <v>3721116.44</v>
      </c>
      <c r="E91" s="2">
        <v>3857132.7099999995</v>
      </c>
      <c r="F91" s="2">
        <v>3617532.85</v>
      </c>
      <c r="G91" s="2">
        <v>0</v>
      </c>
      <c r="H91" s="2">
        <v>31497.01</v>
      </c>
      <c r="I91" s="2">
        <v>0</v>
      </c>
      <c r="J91" s="2">
        <v>0</v>
      </c>
      <c r="K91" s="2">
        <v>92927.72</v>
      </c>
      <c r="L91" s="2">
        <v>0</v>
      </c>
      <c r="M91" s="2">
        <v>477358.06</v>
      </c>
      <c r="N91" s="2">
        <v>0</v>
      </c>
      <c r="O91" s="3">
        <f t="shared" si="2"/>
        <v>11797564.790000001</v>
      </c>
    </row>
    <row r="92" spans="1:15" x14ac:dyDescent="0.2">
      <c r="A92" s="5">
        <v>276</v>
      </c>
      <c r="B92" s="5">
        <v>1</v>
      </c>
      <c r="C92" s="2" t="s">
        <v>88</v>
      </c>
      <c r="D92" s="2">
        <v>5004794.9800000004</v>
      </c>
      <c r="E92" s="2">
        <v>3952964.5599999996</v>
      </c>
      <c r="F92" s="2">
        <v>3991123.96</v>
      </c>
      <c r="G92" s="2">
        <v>0</v>
      </c>
      <c r="H92" s="2">
        <v>127130.23</v>
      </c>
      <c r="I92" s="2">
        <v>-20037</v>
      </c>
      <c r="J92" s="2">
        <v>0</v>
      </c>
      <c r="K92" s="2">
        <v>13461.87</v>
      </c>
      <c r="L92" s="2">
        <v>0</v>
      </c>
      <c r="M92" s="2">
        <v>472093.06</v>
      </c>
      <c r="N92" s="2">
        <v>0</v>
      </c>
      <c r="O92" s="3">
        <f t="shared" si="2"/>
        <v>13541531.66</v>
      </c>
    </row>
    <row r="93" spans="1:15" x14ac:dyDescent="0.2">
      <c r="A93" s="5">
        <v>277</v>
      </c>
      <c r="B93" s="5">
        <v>1</v>
      </c>
      <c r="C93" s="2" t="s">
        <v>89</v>
      </c>
      <c r="D93" s="2">
        <v>1041079.63</v>
      </c>
      <c r="E93" s="2">
        <v>1260060.0399999998</v>
      </c>
      <c r="F93" s="2">
        <v>856488.26</v>
      </c>
      <c r="G93" s="2">
        <v>0</v>
      </c>
      <c r="H93" s="2">
        <v>31371.160000000003</v>
      </c>
      <c r="I93" s="2">
        <v>0</v>
      </c>
      <c r="J93" s="2">
        <v>0</v>
      </c>
      <c r="K93" s="2">
        <v>28574.3</v>
      </c>
      <c r="L93" s="2">
        <v>0</v>
      </c>
      <c r="M93" s="2">
        <v>218798.59</v>
      </c>
      <c r="N93" s="2">
        <v>0</v>
      </c>
      <c r="O93" s="3">
        <f t="shared" si="2"/>
        <v>3436371.9799999995</v>
      </c>
    </row>
    <row r="94" spans="1:15" x14ac:dyDescent="0.2">
      <c r="A94" s="5">
        <v>278</v>
      </c>
      <c r="B94" s="5">
        <v>1</v>
      </c>
      <c r="C94" s="2" t="s">
        <v>90</v>
      </c>
      <c r="D94" s="2">
        <v>1548591.24</v>
      </c>
      <c r="E94" s="2">
        <v>848368.94</v>
      </c>
      <c r="F94" s="2">
        <v>887487.03</v>
      </c>
      <c r="G94" s="2">
        <v>0</v>
      </c>
      <c r="H94" s="2">
        <v>45823.45</v>
      </c>
      <c r="I94" s="2">
        <v>0</v>
      </c>
      <c r="J94" s="2">
        <v>0</v>
      </c>
      <c r="K94" s="2">
        <v>25755.67</v>
      </c>
      <c r="L94" s="2">
        <v>0</v>
      </c>
      <c r="M94" s="2">
        <v>126505.74</v>
      </c>
      <c r="N94" s="2">
        <v>0</v>
      </c>
      <c r="O94" s="3">
        <f t="shared" si="2"/>
        <v>3482532.0700000003</v>
      </c>
    </row>
    <row r="95" spans="1:15" x14ac:dyDescent="0.2">
      <c r="A95" s="5">
        <v>279</v>
      </c>
      <c r="B95" s="5">
        <v>1</v>
      </c>
      <c r="C95" s="2" t="s">
        <v>91</v>
      </c>
      <c r="D95" s="2">
        <v>7360820.4000000004</v>
      </c>
      <c r="E95" s="2">
        <v>11728963.91</v>
      </c>
      <c r="F95" s="2">
        <v>3660705.88</v>
      </c>
      <c r="G95" s="2">
        <v>0</v>
      </c>
      <c r="H95" s="2">
        <v>400686.4</v>
      </c>
      <c r="I95" s="2">
        <v>0</v>
      </c>
      <c r="J95" s="2">
        <v>0</v>
      </c>
      <c r="K95" s="2">
        <v>606143.93999999994</v>
      </c>
      <c r="L95" s="2">
        <v>0</v>
      </c>
      <c r="M95" s="2">
        <v>910892.18</v>
      </c>
      <c r="N95" s="2">
        <v>0</v>
      </c>
      <c r="O95" s="3">
        <f t="shared" si="2"/>
        <v>24668212.710000001</v>
      </c>
    </row>
    <row r="96" spans="1:15" x14ac:dyDescent="0.2">
      <c r="A96" s="5">
        <v>280</v>
      </c>
      <c r="B96" s="5">
        <v>1</v>
      </c>
      <c r="C96" s="2" t="s">
        <v>92</v>
      </c>
      <c r="D96" s="2">
        <v>2274416.5099999998</v>
      </c>
      <c r="E96" s="2">
        <v>1584355.6500000001</v>
      </c>
      <c r="F96" s="2">
        <v>1308442.53</v>
      </c>
      <c r="G96" s="2">
        <v>0</v>
      </c>
      <c r="H96" s="2">
        <v>80167.200000000012</v>
      </c>
      <c r="I96" s="2">
        <v>84107.8</v>
      </c>
      <c r="J96" s="2">
        <v>0</v>
      </c>
      <c r="K96" s="2">
        <v>116661.81</v>
      </c>
      <c r="L96" s="2">
        <v>0</v>
      </c>
      <c r="M96" s="2">
        <v>212548.52</v>
      </c>
      <c r="N96" s="2">
        <v>0</v>
      </c>
      <c r="O96" s="3">
        <f t="shared" si="2"/>
        <v>5660700.0199999996</v>
      </c>
    </row>
    <row r="97" spans="1:15" x14ac:dyDescent="0.2">
      <c r="A97" s="5">
        <v>281</v>
      </c>
      <c r="B97" s="5">
        <v>1</v>
      </c>
      <c r="C97" s="2" t="s">
        <v>93</v>
      </c>
      <c r="D97" s="2">
        <v>6435960.75</v>
      </c>
      <c r="E97" s="2">
        <v>6317977.6600000001</v>
      </c>
      <c r="F97" s="2">
        <v>3392196.06</v>
      </c>
      <c r="G97" s="2">
        <v>0</v>
      </c>
      <c r="H97" s="2">
        <v>239185.15000000002</v>
      </c>
      <c r="I97" s="2">
        <v>0</v>
      </c>
      <c r="J97" s="2">
        <v>0</v>
      </c>
      <c r="K97" s="2">
        <v>713923.42999999993</v>
      </c>
      <c r="L97" s="2">
        <v>0</v>
      </c>
      <c r="M97" s="2">
        <v>877047.66</v>
      </c>
      <c r="N97" s="2">
        <v>0</v>
      </c>
      <c r="O97" s="3">
        <f t="shared" si="2"/>
        <v>17976290.710000001</v>
      </c>
    </row>
    <row r="98" spans="1:15" x14ac:dyDescent="0.2">
      <c r="A98" s="5">
        <v>282</v>
      </c>
      <c r="B98" s="5">
        <v>1</v>
      </c>
      <c r="C98" s="2" t="s">
        <v>94</v>
      </c>
      <c r="D98" s="2">
        <v>590655.66</v>
      </c>
      <c r="E98" s="2">
        <v>749378.38</v>
      </c>
      <c r="F98" s="2">
        <v>285410.61</v>
      </c>
      <c r="G98" s="2">
        <v>0</v>
      </c>
      <c r="H98" s="2">
        <v>10000</v>
      </c>
      <c r="I98" s="2">
        <v>0</v>
      </c>
      <c r="J98" s="2">
        <v>0</v>
      </c>
      <c r="K98" s="2">
        <v>23021.620000000003</v>
      </c>
      <c r="L98" s="2">
        <v>0</v>
      </c>
      <c r="M98" s="2">
        <v>88540.18</v>
      </c>
      <c r="N98" s="2">
        <v>0</v>
      </c>
      <c r="O98" s="3">
        <f t="shared" si="2"/>
        <v>1747006.45</v>
      </c>
    </row>
    <row r="99" spans="1:15" x14ac:dyDescent="0.2">
      <c r="A99" s="5">
        <v>283</v>
      </c>
      <c r="B99" s="5">
        <v>1</v>
      </c>
      <c r="C99" s="2" t="s">
        <v>95</v>
      </c>
      <c r="D99" s="2">
        <v>1858933.88</v>
      </c>
      <c r="E99" s="2">
        <v>2192655.85</v>
      </c>
      <c r="F99" s="2">
        <v>2205291.65</v>
      </c>
      <c r="G99" s="2">
        <v>0</v>
      </c>
      <c r="H99" s="2">
        <v>76172</v>
      </c>
      <c r="I99" s="2">
        <v>0</v>
      </c>
      <c r="J99" s="2">
        <v>0</v>
      </c>
      <c r="K99" s="2">
        <v>155573.70000000001</v>
      </c>
      <c r="L99" s="2">
        <v>0</v>
      </c>
      <c r="M99" s="2">
        <v>476023.97</v>
      </c>
      <c r="N99" s="2">
        <v>0</v>
      </c>
      <c r="O99" s="3">
        <f t="shared" si="2"/>
        <v>6964651.0499999998</v>
      </c>
    </row>
    <row r="100" spans="1:15" x14ac:dyDescent="0.2">
      <c r="A100" s="5">
        <v>284</v>
      </c>
      <c r="B100" s="5">
        <v>1</v>
      </c>
      <c r="C100" s="2" t="s">
        <v>96</v>
      </c>
      <c r="D100" s="2">
        <v>7651549.1900000004</v>
      </c>
      <c r="E100" s="2">
        <v>5173908.0399999991</v>
      </c>
      <c r="F100" s="2">
        <v>3560480.14</v>
      </c>
      <c r="G100" s="2">
        <v>0</v>
      </c>
      <c r="H100" s="2">
        <v>195992.80000000002</v>
      </c>
      <c r="I100" s="2">
        <v>0</v>
      </c>
      <c r="J100" s="2">
        <v>-50000</v>
      </c>
      <c r="K100" s="2">
        <v>12920.21</v>
      </c>
      <c r="L100" s="2">
        <v>0</v>
      </c>
      <c r="M100" s="2">
        <v>723364.98</v>
      </c>
      <c r="N100" s="2">
        <v>0</v>
      </c>
      <c r="O100" s="3">
        <f t="shared" si="2"/>
        <v>17268215.360000003</v>
      </c>
    </row>
    <row r="101" spans="1:15" x14ac:dyDescent="0.2">
      <c r="A101" s="5">
        <v>286</v>
      </c>
      <c r="B101" s="5">
        <v>1</v>
      </c>
      <c r="C101" s="2" t="s">
        <v>97</v>
      </c>
      <c r="D101" s="2">
        <v>517742.8</v>
      </c>
      <c r="E101" s="2">
        <v>0</v>
      </c>
      <c r="F101" s="2">
        <v>324009.17</v>
      </c>
      <c r="G101" s="2">
        <v>53469.46</v>
      </c>
      <c r="H101" s="2">
        <v>33669.46</v>
      </c>
      <c r="I101" s="2">
        <v>0</v>
      </c>
      <c r="J101" s="2">
        <v>0</v>
      </c>
      <c r="K101" s="2">
        <v>128376.25</v>
      </c>
      <c r="L101" s="2">
        <v>0</v>
      </c>
      <c r="M101" s="2">
        <v>70751.17</v>
      </c>
      <c r="N101" s="2">
        <v>0</v>
      </c>
      <c r="O101" s="3">
        <f t="shared" si="2"/>
        <v>1128018.3099999998</v>
      </c>
    </row>
    <row r="102" spans="1:15" x14ac:dyDescent="0.2">
      <c r="A102" s="5">
        <v>294</v>
      </c>
      <c r="B102" s="5">
        <v>1</v>
      </c>
      <c r="C102" s="2" t="s">
        <v>98</v>
      </c>
      <c r="D102" s="2">
        <v>135721.82</v>
      </c>
      <c r="E102" s="2">
        <v>112872.19</v>
      </c>
      <c r="F102" s="2">
        <v>100737.93</v>
      </c>
      <c r="G102" s="2">
        <v>0</v>
      </c>
      <c r="H102" s="2">
        <v>0</v>
      </c>
      <c r="I102" s="2">
        <v>0</v>
      </c>
      <c r="J102" s="2">
        <v>0</v>
      </c>
      <c r="K102" s="2">
        <v>0</v>
      </c>
      <c r="L102" s="2">
        <v>0</v>
      </c>
      <c r="M102" s="2">
        <v>18710.509999999998</v>
      </c>
      <c r="N102" s="2">
        <v>0</v>
      </c>
      <c r="O102" s="3">
        <f t="shared" si="2"/>
        <v>368042.45</v>
      </c>
    </row>
    <row r="103" spans="1:15" x14ac:dyDescent="0.2">
      <c r="A103" s="5">
        <v>297</v>
      </c>
      <c r="B103" s="5">
        <v>1</v>
      </c>
      <c r="C103" s="2" t="s">
        <v>99</v>
      </c>
      <c r="D103" s="2">
        <v>70620.34</v>
      </c>
      <c r="E103" s="2">
        <v>130111.48</v>
      </c>
      <c r="F103" s="2">
        <v>58342.8</v>
      </c>
      <c r="G103" s="2">
        <v>2325.33</v>
      </c>
      <c r="H103" s="2">
        <v>10000</v>
      </c>
      <c r="I103" s="2">
        <v>0</v>
      </c>
      <c r="J103" s="2">
        <v>-17552.18</v>
      </c>
      <c r="K103" s="2">
        <v>27031.51</v>
      </c>
      <c r="L103" s="2">
        <v>0</v>
      </c>
      <c r="M103" s="2">
        <v>11056.5</v>
      </c>
      <c r="N103" s="2">
        <v>0</v>
      </c>
      <c r="O103" s="3">
        <f t="shared" si="2"/>
        <v>291935.77999999997</v>
      </c>
    </row>
    <row r="104" spans="1:15" x14ac:dyDescent="0.2">
      <c r="A104" s="5">
        <v>299</v>
      </c>
      <c r="B104" s="5">
        <v>1</v>
      </c>
      <c r="C104" s="2" t="s">
        <v>100</v>
      </c>
      <c r="D104" s="2">
        <v>169036.34</v>
      </c>
      <c r="E104" s="2">
        <v>184743.57</v>
      </c>
      <c r="F104" s="2">
        <v>48805.67</v>
      </c>
      <c r="G104" s="2">
        <v>392.08</v>
      </c>
      <c r="H104" s="2">
        <v>23212.13</v>
      </c>
      <c r="I104" s="2">
        <v>0</v>
      </c>
      <c r="J104" s="2">
        <v>0</v>
      </c>
      <c r="K104" s="2">
        <v>-843.59999999999854</v>
      </c>
      <c r="L104" s="2">
        <v>0</v>
      </c>
      <c r="M104" s="2">
        <v>36585.11</v>
      </c>
      <c r="N104" s="2">
        <v>0</v>
      </c>
      <c r="O104" s="3">
        <f t="shared" si="2"/>
        <v>461931.30000000005</v>
      </c>
    </row>
    <row r="105" spans="1:15" x14ac:dyDescent="0.2">
      <c r="A105" s="5">
        <v>300</v>
      </c>
      <c r="B105" s="5">
        <v>1</v>
      </c>
      <c r="C105" s="2" t="s">
        <v>101</v>
      </c>
      <c r="D105" s="2">
        <v>273800.89</v>
      </c>
      <c r="E105" s="2">
        <v>303168.27</v>
      </c>
      <c r="F105" s="2">
        <v>46368.28</v>
      </c>
      <c r="G105" s="2">
        <v>0</v>
      </c>
      <c r="H105" s="2">
        <v>10127.93</v>
      </c>
      <c r="I105" s="2">
        <v>0</v>
      </c>
      <c r="J105" s="2">
        <v>0</v>
      </c>
      <c r="K105" s="2">
        <v>19505.759999999998</v>
      </c>
      <c r="L105" s="2">
        <v>0</v>
      </c>
      <c r="M105" s="2">
        <v>75260.990000000005</v>
      </c>
      <c r="N105" s="2">
        <v>0</v>
      </c>
      <c r="O105" s="3">
        <f t="shared" si="2"/>
        <v>728232.12000000011</v>
      </c>
    </row>
    <row r="106" spans="1:15" x14ac:dyDescent="0.2">
      <c r="A106" s="5">
        <v>306</v>
      </c>
      <c r="B106" s="5">
        <v>1</v>
      </c>
      <c r="C106" s="2" t="s">
        <v>102</v>
      </c>
      <c r="D106" s="2">
        <v>79369.570000000007</v>
      </c>
      <c r="E106" s="2">
        <v>0</v>
      </c>
      <c r="F106" s="2">
        <v>19117.21</v>
      </c>
      <c r="G106" s="2">
        <v>566.32000000000005</v>
      </c>
      <c r="H106" s="2">
        <v>10000</v>
      </c>
      <c r="I106" s="2">
        <v>0</v>
      </c>
      <c r="J106" s="2">
        <v>0</v>
      </c>
      <c r="K106" s="2">
        <v>3395.24</v>
      </c>
      <c r="L106" s="2">
        <v>0</v>
      </c>
      <c r="M106" s="2">
        <v>10339.16</v>
      </c>
      <c r="N106" s="2">
        <v>0</v>
      </c>
      <c r="O106" s="3">
        <f t="shared" si="2"/>
        <v>122787.50000000001</v>
      </c>
    </row>
    <row r="107" spans="1:15" x14ac:dyDescent="0.2">
      <c r="A107" s="5">
        <v>308</v>
      </c>
      <c r="B107" s="5">
        <v>1</v>
      </c>
      <c r="C107" s="2" t="s">
        <v>103</v>
      </c>
      <c r="D107" s="2">
        <v>139293.23000000001</v>
      </c>
      <c r="E107" s="2">
        <v>0</v>
      </c>
      <c r="F107" s="2">
        <v>39387.699999999997</v>
      </c>
      <c r="G107" s="2">
        <v>6860.73</v>
      </c>
      <c r="H107" s="2">
        <v>17446.849999999999</v>
      </c>
      <c r="I107" s="2">
        <v>0</v>
      </c>
      <c r="J107" s="2">
        <v>0</v>
      </c>
      <c r="K107" s="2">
        <v>-2315.13</v>
      </c>
      <c r="L107" s="2">
        <v>0</v>
      </c>
      <c r="M107" s="2">
        <v>23077.22</v>
      </c>
      <c r="N107" s="2">
        <v>0</v>
      </c>
      <c r="O107" s="3">
        <f t="shared" si="2"/>
        <v>223750.6</v>
      </c>
    </row>
    <row r="108" spans="1:15" x14ac:dyDescent="0.2">
      <c r="A108" s="5">
        <v>309</v>
      </c>
      <c r="B108" s="5">
        <v>1</v>
      </c>
      <c r="C108" s="2" t="s">
        <v>104</v>
      </c>
      <c r="D108" s="2">
        <v>224222.24</v>
      </c>
      <c r="E108" s="2">
        <v>460161.61</v>
      </c>
      <c r="F108" s="2">
        <v>90003.03</v>
      </c>
      <c r="G108" s="2">
        <v>0</v>
      </c>
      <c r="H108" s="2">
        <v>39318.129999999997</v>
      </c>
      <c r="I108" s="2">
        <v>0</v>
      </c>
      <c r="J108" s="2">
        <v>0</v>
      </c>
      <c r="K108" s="2">
        <v>17854.849999999999</v>
      </c>
      <c r="L108" s="2">
        <v>0</v>
      </c>
      <c r="M108" s="2">
        <v>95528.16</v>
      </c>
      <c r="N108" s="2">
        <v>0</v>
      </c>
      <c r="O108" s="3">
        <f t="shared" si="2"/>
        <v>927088.02</v>
      </c>
    </row>
    <row r="109" spans="1:15" x14ac:dyDescent="0.2">
      <c r="A109" s="5">
        <v>314</v>
      </c>
      <c r="B109" s="5">
        <v>1</v>
      </c>
      <c r="C109" s="2" t="s">
        <v>105</v>
      </c>
      <c r="D109" s="2">
        <v>135796.16</v>
      </c>
      <c r="E109" s="2">
        <v>145992.89000000001</v>
      </c>
      <c r="F109" s="2">
        <v>43340.39</v>
      </c>
      <c r="G109" s="2">
        <v>0</v>
      </c>
      <c r="H109" s="2">
        <v>10000</v>
      </c>
      <c r="I109" s="2">
        <v>0</v>
      </c>
      <c r="J109" s="2">
        <v>0</v>
      </c>
      <c r="K109" s="2">
        <v>8793.0299999999988</v>
      </c>
      <c r="L109" s="2">
        <v>0</v>
      </c>
      <c r="M109" s="2">
        <v>27521.19</v>
      </c>
      <c r="N109" s="2">
        <v>0</v>
      </c>
      <c r="O109" s="3">
        <f t="shared" si="2"/>
        <v>371443.66000000009</v>
      </c>
    </row>
    <row r="110" spans="1:15" x14ac:dyDescent="0.2">
      <c r="A110" s="5">
        <v>316</v>
      </c>
      <c r="B110" s="5">
        <v>1</v>
      </c>
      <c r="C110" s="2" t="s">
        <v>106</v>
      </c>
      <c r="D110" s="2">
        <v>123323.52</v>
      </c>
      <c r="E110" s="2">
        <v>0</v>
      </c>
      <c r="F110" s="2">
        <v>367402.25</v>
      </c>
      <c r="G110" s="2">
        <v>27341.23</v>
      </c>
      <c r="H110" s="2">
        <v>28475.8</v>
      </c>
      <c r="I110" s="2">
        <v>0</v>
      </c>
      <c r="J110" s="2">
        <v>0</v>
      </c>
      <c r="K110" s="2">
        <v>19911.28</v>
      </c>
      <c r="L110" s="2">
        <v>0</v>
      </c>
      <c r="M110" s="2">
        <v>0</v>
      </c>
      <c r="N110" s="2">
        <v>0</v>
      </c>
      <c r="O110" s="3">
        <f t="shared" si="2"/>
        <v>566454.08000000007</v>
      </c>
    </row>
    <row r="111" spans="1:15" x14ac:dyDescent="0.2">
      <c r="A111" s="5">
        <v>317</v>
      </c>
      <c r="B111" s="5">
        <v>1</v>
      </c>
      <c r="C111" s="2" t="s">
        <v>107</v>
      </c>
      <c r="D111" s="2">
        <v>51162.67</v>
      </c>
      <c r="E111" s="2">
        <v>0</v>
      </c>
      <c r="F111" s="2">
        <v>51234.74</v>
      </c>
      <c r="G111" s="2">
        <v>0</v>
      </c>
      <c r="H111" s="2">
        <v>17967.199999999997</v>
      </c>
      <c r="I111" s="2">
        <v>0</v>
      </c>
      <c r="J111" s="2">
        <v>0</v>
      </c>
      <c r="K111" s="2">
        <v>11787.64</v>
      </c>
      <c r="L111" s="2">
        <v>0</v>
      </c>
      <c r="M111" s="2">
        <v>0</v>
      </c>
      <c r="N111" s="2">
        <v>0</v>
      </c>
      <c r="O111" s="3">
        <f t="shared" si="2"/>
        <v>132152.25</v>
      </c>
    </row>
    <row r="112" spans="1:15" x14ac:dyDescent="0.2">
      <c r="A112" s="5">
        <v>318</v>
      </c>
      <c r="B112" s="5">
        <v>1</v>
      </c>
      <c r="C112" s="2" t="s">
        <v>108</v>
      </c>
      <c r="D112" s="2">
        <v>1122226</v>
      </c>
      <c r="E112" s="2">
        <v>0</v>
      </c>
      <c r="F112" s="2">
        <v>181247.22</v>
      </c>
      <c r="G112" s="2">
        <v>24400.32</v>
      </c>
      <c r="H112" s="2">
        <v>87141.79</v>
      </c>
      <c r="I112" s="2">
        <v>-2.0000000018626451E-2</v>
      </c>
      <c r="J112" s="2">
        <v>0</v>
      </c>
      <c r="K112" s="2">
        <v>13828.06</v>
      </c>
      <c r="L112" s="2">
        <v>0</v>
      </c>
      <c r="M112" s="2">
        <v>0</v>
      </c>
      <c r="N112" s="2">
        <v>0</v>
      </c>
      <c r="O112" s="3">
        <f t="shared" si="2"/>
        <v>1428843.37</v>
      </c>
    </row>
    <row r="113" spans="1:15" x14ac:dyDescent="0.2">
      <c r="A113" s="5">
        <v>319</v>
      </c>
      <c r="B113" s="5">
        <v>1</v>
      </c>
      <c r="C113" s="2" t="s">
        <v>109</v>
      </c>
      <c r="D113" s="2">
        <v>195242.83</v>
      </c>
      <c r="E113" s="2">
        <v>120489.34</v>
      </c>
      <c r="F113" s="2">
        <v>26397.040000000001</v>
      </c>
      <c r="G113" s="2">
        <v>10096.66</v>
      </c>
      <c r="H113" s="2">
        <v>14095.51</v>
      </c>
      <c r="I113" s="2">
        <v>0</v>
      </c>
      <c r="J113" s="2">
        <v>0</v>
      </c>
      <c r="K113" s="2">
        <v>5910.8799999999992</v>
      </c>
      <c r="L113" s="2">
        <v>0</v>
      </c>
      <c r="M113" s="2">
        <v>0</v>
      </c>
      <c r="N113" s="2">
        <v>0</v>
      </c>
      <c r="O113" s="3">
        <f t="shared" si="2"/>
        <v>372232.25999999995</v>
      </c>
    </row>
    <row r="114" spans="1:15" x14ac:dyDescent="0.2">
      <c r="A114" s="5">
        <v>323</v>
      </c>
      <c r="B114" s="5">
        <v>2</v>
      </c>
      <c r="C114" s="2" t="s">
        <v>110</v>
      </c>
      <c r="D114" s="2">
        <v>4643.1499999999996</v>
      </c>
      <c r="E114" s="2">
        <v>22672.34</v>
      </c>
      <c r="F114" s="2">
        <v>7317.68</v>
      </c>
      <c r="G114" s="2">
        <v>0</v>
      </c>
      <c r="H114" s="2">
        <v>0</v>
      </c>
      <c r="I114" s="2">
        <v>0</v>
      </c>
      <c r="J114" s="2">
        <v>0</v>
      </c>
      <c r="K114" s="2">
        <v>0</v>
      </c>
      <c r="L114" s="2">
        <v>0</v>
      </c>
      <c r="M114" s="2">
        <v>0</v>
      </c>
      <c r="N114" s="2">
        <v>0</v>
      </c>
      <c r="O114" s="3">
        <f t="shared" si="2"/>
        <v>34633.17</v>
      </c>
    </row>
    <row r="115" spans="1:15" x14ac:dyDescent="0.2">
      <c r="A115" s="5">
        <v>330</v>
      </c>
      <c r="B115" s="5">
        <v>1</v>
      </c>
      <c r="C115" s="2" t="s">
        <v>111</v>
      </c>
      <c r="D115" s="2">
        <v>68394.259999999995</v>
      </c>
      <c r="E115" s="2">
        <v>145644.28000000003</v>
      </c>
      <c r="F115" s="2">
        <v>74812.61</v>
      </c>
      <c r="G115" s="2">
        <v>18104.77</v>
      </c>
      <c r="H115" s="2">
        <v>17446.849999999999</v>
      </c>
      <c r="I115" s="2">
        <v>0</v>
      </c>
      <c r="J115" s="2">
        <v>-750</v>
      </c>
      <c r="K115" s="2">
        <v>-2436.5500000000002</v>
      </c>
      <c r="L115" s="2">
        <v>0</v>
      </c>
      <c r="M115" s="2">
        <v>11513.83</v>
      </c>
      <c r="N115" s="2">
        <v>0</v>
      </c>
      <c r="O115" s="3">
        <f t="shared" si="2"/>
        <v>332730.05000000005</v>
      </c>
    </row>
    <row r="116" spans="1:15" x14ac:dyDescent="0.2">
      <c r="A116" s="5">
        <v>332</v>
      </c>
      <c r="B116" s="5">
        <v>1</v>
      </c>
      <c r="C116" s="2" t="s">
        <v>112</v>
      </c>
      <c r="D116" s="2">
        <v>366962.49</v>
      </c>
      <c r="E116" s="2">
        <v>86306.52</v>
      </c>
      <c r="F116" s="2">
        <v>0</v>
      </c>
      <c r="G116" s="2">
        <v>0</v>
      </c>
      <c r="H116" s="2">
        <v>36682.5</v>
      </c>
      <c r="I116" s="2">
        <v>0</v>
      </c>
      <c r="J116" s="2">
        <v>0</v>
      </c>
      <c r="K116" s="2">
        <v>62056.57</v>
      </c>
      <c r="L116" s="2">
        <v>0</v>
      </c>
      <c r="M116" s="2">
        <v>60022.46</v>
      </c>
      <c r="N116" s="2">
        <v>0</v>
      </c>
      <c r="O116" s="3">
        <f t="shared" si="2"/>
        <v>612030.53999999992</v>
      </c>
    </row>
    <row r="117" spans="1:15" x14ac:dyDescent="0.2">
      <c r="A117" s="5">
        <v>333</v>
      </c>
      <c r="B117" s="5">
        <v>1</v>
      </c>
      <c r="C117" s="2" t="s">
        <v>113</v>
      </c>
      <c r="D117" s="2">
        <v>111184.12</v>
      </c>
      <c r="E117" s="2">
        <v>0</v>
      </c>
      <c r="F117" s="2">
        <v>23206.16</v>
      </c>
      <c r="G117" s="2">
        <v>0</v>
      </c>
      <c r="H117" s="2">
        <v>10000</v>
      </c>
      <c r="I117" s="2">
        <v>0</v>
      </c>
      <c r="J117" s="2">
        <v>0</v>
      </c>
      <c r="K117" s="2">
        <v>261.2400000000016</v>
      </c>
      <c r="L117" s="2">
        <v>0</v>
      </c>
      <c r="M117" s="2">
        <v>17224.009999999998</v>
      </c>
      <c r="N117" s="2">
        <v>0</v>
      </c>
      <c r="O117" s="3">
        <f t="shared" si="2"/>
        <v>161875.53</v>
      </c>
    </row>
    <row r="118" spans="1:15" x14ac:dyDescent="0.2">
      <c r="A118" s="5">
        <v>345</v>
      </c>
      <c r="B118" s="5">
        <v>1</v>
      </c>
      <c r="C118" s="2" t="s">
        <v>114</v>
      </c>
      <c r="D118" s="2">
        <v>325965.56</v>
      </c>
      <c r="E118" s="2">
        <v>381418.63</v>
      </c>
      <c r="F118" s="2">
        <v>95479.19</v>
      </c>
      <c r="G118" s="2">
        <v>0</v>
      </c>
      <c r="H118" s="2">
        <v>34241.120000000003</v>
      </c>
      <c r="I118" s="2">
        <v>0</v>
      </c>
      <c r="J118" s="2">
        <v>0</v>
      </c>
      <c r="K118" s="2">
        <v>4135.21</v>
      </c>
      <c r="L118" s="2">
        <v>0</v>
      </c>
      <c r="M118" s="2">
        <v>74079.839999999997</v>
      </c>
      <c r="N118" s="2">
        <v>0</v>
      </c>
      <c r="O118" s="3">
        <f t="shared" si="2"/>
        <v>915319.54999999981</v>
      </c>
    </row>
    <row r="119" spans="1:15" x14ac:dyDescent="0.2">
      <c r="A119" s="5">
        <v>347</v>
      </c>
      <c r="B119" s="5">
        <v>1</v>
      </c>
      <c r="C119" s="2" t="s">
        <v>115</v>
      </c>
      <c r="D119" s="2">
        <v>771406.29</v>
      </c>
      <c r="E119" s="2">
        <v>877104.22999999986</v>
      </c>
      <c r="F119" s="2">
        <v>184153.16</v>
      </c>
      <c r="G119" s="2">
        <v>0</v>
      </c>
      <c r="H119" s="2">
        <v>78320</v>
      </c>
      <c r="I119" s="2">
        <v>0</v>
      </c>
      <c r="J119" s="2">
        <v>0</v>
      </c>
      <c r="K119" s="2">
        <v>103693.37</v>
      </c>
      <c r="L119" s="2">
        <v>0</v>
      </c>
      <c r="M119" s="2">
        <v>186726.23</v>
      </c>
      <c r="N119" s="2">
        <v>0</v>
      </c>
      <c r="O119" s="3">
        <f t="shared" si="2"/>
        <v>2201403.2799999998</v>
      </c>
    </row>
    <row r="120" spans="1:15" x14ac:dyDescent="0.2">
      <c r="A120" s="5">
        <v>356</v>
      </c>
      <c r="B120" s="5">
        <v>1</v>
      </c>
      <c r="C120" s="2" t="s">
        <v>116</v>
      </c>
      <c r="D120" s="2">
        <v>25289.84</v>
      </c>
      <c r="E120" s="2">
        <v>21806.309999999998</v>
      </c>
      <c r="F120" s="2">
        <v>77555.070000000007</v>
      </c>
      <c r="G120" s="2">
        <v>0</v>
      </c>
      <c r="H120" s="2">
        <v>10000</v>
      </c>
      <c r="I120" s="2">
        <v>0</v>
      </c>
      <c r="J120" s="2">
        <v>0</v>
      </c>
      <c r="K120" s="2">
        <v>219.79999999999995</v>
      </c>
      <c r="L120" s="2">
        <v>0</v>
      </c>
      <c r="M120" s="2">
        <v>5262.25</v>
      </c>
      <c r="N120" s="2">
        <v>0</v>
      </c>
      <c r="O120" s="3">
        <f t="shared" si="2"/>
        <v>140133.26999999999</v>
      </c>
    </row>
    <row r="121" spans="1:15" x14ac:dyDescent="0.2">
      <c r="A121" s="5">
        <v>361</v>
      </c>
      <c r="B121" s="5">
        <v>1</v>
      </c>
      <c r="C121" s="2" t="s">
        <v>117</v>
      </c>
      <c r="D121" s="2">
        <v>579427.04</v>
      </c>
      <c r="E121" s="2">
        <v>245859.19</v>
      </c>
      <c r="F121" s="2">
        <v>75327.83</v>
      </c>
      <c r="G121" s="2">
        <v>0</v>
      </c>
      <c r="H121" s="2">
        <v>25391.42</v>
      </c>
      <c r="I121" s="2">
        <v>0</v>
      </c>
      <c r="J121" s="2">
        <v>0</v>
      </c>
      <c r="K121" s="2">
        <v>25909.759999999998</v>
      </c>
      <c r="L121" s="2">
        <v>0</v>
      </c>
      <c r="M121" s="2">
        <v>62464.46</v>
      </c>
      <c r="N121" s="2">
        <v>0</v>
      </c>
      <c r="O121" s="3">
        <f t="shared" si="2"/>
        <v>1014379.7</v>
      </c>
    </row>
    <row r="122" spans="1:15" x14ac:dyDescent="0.2">
      <c r="A122" s="5">
        <v>362</v>
      </c>
      <c r="B122" s="5">
        <v>1</v>
      </c>
      <c r="C122" s="2" t="s">
        <v>118</v>
      </c>
      <c r="D122" s="2">
        <v>74932.009999999995</v>
      </c>
      <c r="E122" s="2">
        <v>54.45</v>
      </c>
      <c r="F122" s="2">
        <v>0</v>
      </c>
      <c r="G122" s="2">
        <v>0</v>
      </c>
      <c r="H122" s="2">
        <v>0</v>
      </c>
      <c r="I122" s="2">
        <v>0</v>
      </c>
      <c r="J122" s="2">
        <v>0</v>
      </c>
      <c r="K122" s="2">
        <v>89.889999999999986</v>
      </c>
      <c r="L122" s="2">
        <v>0</v>
      </c>
      <c r="M122" s="2">
        <v>9358.74</v>
      </c>
      <c r="N122" s="2">
        <v>0</v>
      </c>
      <c r="O122" s="3">
        <f t="shared" si="2"/>
        <v>84435.09</v>
      </c>
    </row>
    <row r="123" spans="1:15" x14ac:dyDescent="0.2">
      <c r="A123" s="5">
        <v>363</v>
      </c>
      <c r="B123" s="5">
        <v>1</v>
      </c>
      <c r="C123" s="2" t="s">
        <v>119</v>
      </c>
      <c r="D123" s="2">
        <v>39344.879999999997</v>
      </c>
      <c r="E123" s="2">
        <v>41.84</v>
      </c>
      <c r="F123" s="2">
        <v>0</v>
      </c>
      <c r="G123" s="2">
        <v>0</v>
      </c>
      <c r="H123" s="2">
        <v>0</v>
      </c>
      <c r="I123" s="2">
        <v>0</v>
      </c>
      <c r="J123" s="2">
        <v>0</v>
      </c>
      <c r="K123" s="2">
        <v>0</v>
      </c>
      <c r="L123" s="2">
        <v>0</v>
      </c>
      <c r="M123" s="2">
        <v>9225.35</v>
      </c>
      <c r="N123" s="2">
        <v>0</v>
      </c>
      <c r="O123" s="3">
        <f t="shared" si="2"/>
        <v>48612.069999999992</v>
      </c>
    </row>
    <row r="124" spans="1:15" x14ac:dyDescent="0.2">
      <c r="A124" s="5">
        <v>378</v>
      </c>
      <c r="B124" s="5">
        <v>1</v>
      </c>
      <c r="C124" s="2" t="s">
        <v>120</v>
      </c>
      <c r="D124" s="2">
        <v>192135.34</v>
      </c>
      <c r="E124" s="2">
        <v>43877.970000000008</v>
      </c>
      <c r="F124" s="2">
        <v>39303.019999999997</v>
      </c>
      <c r="G124" s="2">
        <v>4537.68</v>
      </c>
      <c r="H124" s="2">
        <v>11642.04</v>
      </c>
      <c r="I124" s="2">
        <v>0</v>
      </c>
      <c r="J124" s="2">
        <v>-150</v>
      </c>
      <c r="K124" s="2">
        <v>-245.23000000000002</v>
      </c>
      <c r="L124" s="2">
        <v>0</v>
      </c>
      <c r="M124" s="2">
        <v>32058.55</v>
      </c>
      <c r="N124" s="2">
        <v>0</v>
      </c>
      <c r="O124" s="3">
        <f t="shared" si="2"/>
        <v>323159.37</v>
      </c>
    </row>
    <row r="125" spans="1:15" x14ac:dyDescent="0.2">
      <c r="A125" s="5">
        <v>381</v>
      </c>
      <c r="B125" s="5">
        <v>1</v>
      </c>
      <c r="C125" s="2" t="s">
        <v>121</v>
      </c>
      <c r="D125" s="2">
        <v>161021.35</v>
      </c>
      <c r="E125" s="2">
        <v>0</v>
      </c>
      <c r="F125" s="2">
        <v>121543.27</v>
      </c>
      <c r="G125" s="2">
        <v>76394.2</v>
      </c>
      <c r="H125" s="2">
        <v>24635.05</v>
      </c>
      <c r="I125" s="2">
        <v>0</v>
      </c>
      <c r="J125" s="2">
        <v>0</v>
      </c>
      <c r="K125" s="2">
        <v>-18331.93</v>
      </c>
      <c r="L125" s="2">
        <v>0</v>
      </c>
      <c r="M125" s="2">
        <v>0</v>
      </c>
      <c r="N125" s="2">
        <v>0</v>
      </c>
      <c r="O125" s="3">
        <f t="shared" si="2"/>
        <v>365261.94</v>
      </c>
    </row>
    <row r="126" spans="1:15" x14ac:dyDescent="0.2">
      <c r="A126" s="5">
        <v>390</v>
      </c>
      <c r="B126" s="5">
        <v>1</v>
      </c>
      <c r="C126" s="2" t="s">
        <v>122</v>
      </c>
      <c r="D126" s="2">
        <v>207920.69</v>
      </c>
      <c r="E126" s="2">
        <v>146350.54</v>
      </c>
      <c r="F126" s="2">
        <v>0</v>
      </c>
      <c r="G126" s="2">
        <v>0</v>
      </c>
      <c r="H126" s="2">
        <v>10060</v>
      </c>
      <c r="I126" s="2">
        <v>0</v>
      </c>
      <c r="J126" s="2">
        <v>0</v>
      </c>
      <c r="K126" s="2">
        <v>-983.39000000000033</v>
      </c>
      <c r="L126" s="2">
        <v>0</v>
      </c>
      <c r="M126" s="2">
        <v>24479.03</v>
      </c>
      <c r="N126" s="2">
        <v>0</v>
      </c>
      <c r="O126" s="3">
        <f t="shared" si="2"/>
        <v>387826.87</v>
      </c>
    </row>
    <row r="127" spans="1:15" x14ac:dyDescent="0.2">
      <c r="A127" s="5">
        <v>391</v>
      </c>
      <c r="B127" s="5">
        <v>1</v>
      </c>
      <c r="C127" s="2" t="s">
        <v>123</v>
      </c>
      <c r="D127" s="2">
        <v>221481.66</v>
      </c>
      <c r="E127" s="2">
        <v>90123.97</v>
      </c>
      <c r="F127" s="2">
        <v>42002.25</v>
      </c>
      <c r="G127" s="2">
        <v>0</v>
      </c>
      <c r="H127" s="2">
        <v>11966.68</v>
      </c>
      <c r="I127" s="2">
        <v>0</v>
      </c>
      <c r="J127" s="2">
        <v>0</v>
      </c>
      <c r="K127" s="2">
        <v>11557.69</v>
      </c>
      <c r="L127" s="2">
        <v>0</v>
      </c>
      <c r="M127" s="2">
        <v>15768.94</v>
      </c>
      <c r="N127" s="2">
        <v>0</v>
      </c>
      <c r="O127" s="3">
        <f t="shared" si="2"/>
        <v>392901.19</v>
      </c>
    </row>
    <row r="128" spans="1:15" x14ac:dyDescent="0.2">
      <c r="A128" s="5">
        <v>392</v>
      </c>
      <c r="B128" s="5">
        <v>1</v>
      </c>
      <c r="C128" s="2" t="s">
        <v>124</v>
      </c>
      <c r="D128" s="2">
        <v>198533.3</v>
      </c>
      <c r="E128" s="2">
        <v>148921.60000000001</v>
      </c>
      <c r="F128" s="2">
        <v>9608.68</v>
      </c>
      <c r="G128" s="2">
        <v>0</v>
      </c>
      <c r="H128" s="2">
        <v>15536</v>
      </c>
      <c r="I128" s="2">
        <v>0</v>
      </c>
      <c r="J128" s="2">
        <v>0</v>
      </c>
      <c r="K128" s="2">
        <v>18193.79</v>
      </c>
      <c r="L128" s="2">
        <v>0</v>
      </c>
      <c r="M128" s="2">
        <v>24614.7</v>
      </c>
      <c r="N128" s="2">
        <v>0</v>
      </c>
      <c r="O128" s="3">
        <f t="shared" si="2"/>
        <v>415408.07</v>
      </c>
    </row>
    <row r="129" spans="1:15" x14ac:dyDescent="0.2">
      <c r="A129" s="5">
        <v>394</v>
      </c>
      <c r="B129" s="5">
        <v>1</v>
      </c>
      <c r="C129" s="2" t="s">
        <v>125</v>
      </c>
      <c r="D129" s="2">
        <v>298865.03000000003</v>
      </c>
      <c r="E129" s="2">
        <v>252675.59000000003</v>
      </c>
      <c r="F129" s="2">
        <v>15161.69</v>
      </c>
      <c r="G129" s="2">
        <v>0</v>
      </c>
      <c r="H129" s="2">
        <v>17982.239999999998</v>
      </c>
      <c r="I129" s="2">
        <v>0</v>
      </c>
      <c r="J129" s="2">
        <v>0</v>
      </c>
      <c r="K129" s="2">
        <v>39675.9</v>
      </c>
      <c r="L129" s="2">
        <v>0</v>
      </c>
      <c r="M129" s="2">
        <v>47606.5</v>
      </c>
      <c r="N129" s="2">
        <v>0</v>
      </c>
      <c r="O129" s="3">
        <f t="shared" si="2"/>
        <v>671966.95000000007</v>
      </c>
    </row>
    <row r="130" spans="1:15" x14ac:dyDescent="0.2">
      <c r="A130" s="5">
        <v>402</v>
      </c>
      <c r="B130" s="5">
        <v>1</v>
      </c>
      <c r="C130" s="2" t="s">
        <v>126</v>
      </c>
      <c r="D130" s="2">
        <v>25974.69</v>
      </c>
      <c r="E130" s="2">
        <v>70502.180000000008</v>
      </c>
      <c r="F130" s="2">
        <v>9929.51</v>
      </c>
      <c r="G130" s="2">
        <v>4376.54</v>
      </c>
      <c r="H130" s="2">
        <v>0</v>
      </c>
      <c r="I130" s="2">
        <v>0</v>
      </c>
      <c r="J130" s="2">
        <v>0</v>
      </c>
      <c r="K130" s="2">
        <v>3.569999999999709</v>
      </c>
      <c r="L130" s="2">
        <v>0</v>
      </c>
      <c r="M130" s="2">
        <v>14656.8</v>
      </c>
      <c r="N130" s="2">
        <v>0</v>
      </c>
      <c r="O130" s="3">
        <f t="shared" si="2"/>
        <v>125443.29</v>
      </c>
    </row>
    <row r="131" spans="1:15" x14ac:dyDescent="0.2">
      <c r="A131" s="5">
        <v>403</v>
      </c>
      <c r="B131" s="5">
        <v>1</v>
      </c>
      <c r="C131" s="2" t="s">
        <v>127</v>
      </c>
      <c r="D131" s="2">
        <v>116416.9</v>
      </c>
      <c r="E131" s="2">
        <v>58696.84</v>
      </c>
      <c r="F131" s="2">
        <v>17191.45</v>
      </c>
      <c r="G131" s="2">
        <v>0</v>
      </c>
      <c r="H131" s="2">
        <v>10000</v>
      </c>
      <c r="I131" s="2">
        <v>0</v>
      </c>
      <c r="J131" s="2">
        <v>-6390</v>
      </c>
      <c r="K131" s="2">
        <v>6390</v>
      </c>
      <c r="L131" s="2">
        <v>0</v>
      </c>
      <c r="M131" s="2">
        <v>9561.52</v>
      </c>
      <c r="N131" s="2">
        <v>0</v>
      </c>
      <c r="O131" s="3">
        <f t="shared" si="2"/>
        <v>211866.71</v>
      </c>
    </row>
    <row r="132" spans="1:15" x14ac:dyDescent="0.2">
      <c r="A132" s="5">
        <v>404</v>
      </c>
      <c r="B132" s="5">
        <v>1</v>
      </c>
      <c r="C132" s="2" t="s">
        <v>128</v>
      </c>
      <c r="D132" s="2">
        <v>33960.080000000002</v>
      </c>
      <c r="E132" s="2">
        <v>70510.77</v>
      </c>
      <c r="F132" s="2">
        <v>70889.98</v>
      </c>
      <c r="G132" s="2">
        <v>325.19</v>
      </c>
      <c r="H132" s="2">
        <v>0</v>
      </c>
      <c r="I132" s="2">
        <v>0</v>
      </c>
      <c r="J132" s="2">
        <v>0</v>
      </c>
      <c r="K132" s="2">
        <v>9505.17</v>
      </c>
      <c r="L132" s="2">
        <v>0</v>
      </c>
      <c r="M132" s="2">
        <v>4109.96</v>
      </c>
      <c r="N132" s="2">
        <v>0</v>
      </c>
      <c r="O132" s="3">
        <f t="shared" si="2"/>
        <v>189301.15000000002</v>
      </c>
    </row>
    <row r="133" spans="1:15" x14ac:dyDescent="0.2">
      <c r="A133" s="5">
        <v>413</v>
      </c>
      <c r="B133" s="5">
        <v>1</v>
      </c>
      <c r="C133" s="2" t="s">
        <v>129</v>
      </c>
      <c r="D133" s="2">
        <v>575543.1</v>
      </c>
      <c r="E133" s="2">
        <v>472563.83000000007</v>
      </c>
      <c r="F133" s="2">
        <v>185634.72</v>
      </c>
      <c r="G133" s="2">
        <v>0</v>
      </c>
      <c r="H133" s="2">
        <v>50409.599999999999</v>
      </c>
      <c r="I133" s="2">
        <v>0</v>
      </c>
      <c r="J133" s="2">
        <v>0</v>
      </c>
      <c r="K133" s="2">
        <v>13006.34</v>
      </c>
      <c r="L133" s="2">
        <v>0</v>
      </c>
      <c r="M133" s="2">
        <v>74768.179999999993</v>
      </c>
      <c r="N133" s="2">
        <v>0</v>
      </c>
      <c r="O133" s="3">
        <f t="shared" ref="O133:O193" si="3">SUM(D133:N133)</f>
        <v>1371925.7700000003</v>
      </c>
    </row>
    <row r="134" spans="1:15" x14ac:dyDescent="0.2">
      <c r="A134" s="5">
        <v>414</v>
      </c>
      <c r="B134" s="5">
        <v>1</v>
      </c>
      <c r="C134" s="2" t="s">
        <v>130</v>
      </c>
      <c r="D134" s="2">
        <v>161844.42000000001</v>
      </c>
      <c r="E134" s="2">
        <v>48611.729999999996</v>
      </c>
      <c r="F134" s="2">
        <v>28651.58</v>
      </c>
      <c r="G134" s="2">
        <v>262.36</v>
      </c>
      <c r="H134" s="2">
        <v>9000.2000000000007</v>
      </c>
      <c r="I134" s="2">
        <v>0</v>
      </c>
      <c r="J134" s="2">
        <v>0</v>
      </c>
      <c r="K134" s="2">
        <v>13110.24</v>
      </c>
      <c r="L134" s="2">
        <v>0</v>
      </c>
      <c r="M134" s="2">
        <v>13259.54</v>
      </c>
      <c r="N134" s="2">
        <v>0</v>
      </c>
      <c r="O134" s="3">
        <f t="shared" si="3"/>
        <v>274740.07</v>
      </c>
    </row>
    <row r="135" spans="1:15" x14ac:dyDescent="0.2">
      <c r="A135" s="5">
        <v>415</v>
      </c>
      <c r="B135" s="5">
        <v>1</v>
      </c>
      <c r="C135" s="2" t="s">
        <v>131</v>
      </c>
      <c r="D135" s="2">
        <v>29575.82</v>
      </c>
      <c r="E135" s="2">
        <v>89944.45</v>
      </c>
      <c r="F135" s="2">
        <v>20886.88</v>
      </c>
      <c r="G135" s="2">
        <v>4594.3999999999996</v>
      </c>
      <c r="H135" s="2">
        <v>0</v>
      </c>
      <c r="I135" s="2">
        <v>0</v>
      </c>
      <c r="J135" s="2">
        <v>0</v>
      </c>
      <c r="K135" s="2">
        <v>0</v>
      </c>
      <c r="L135" s="2">
        <v>0</v>
      </c>
      <c r="M135" s="2">
        <v>18939.91</v>
      </c>
      <c r="N135" s="2">
        <v>0</v>
      </c>
      <c r="O135" s="3">
        <f t="shared" si="3"/>
        <v>163941.46</v>
      </c>
    </row>
    <row r="136" spans="1:15" x14ac:dyDescent="0.2">
      <c r="A136" s="5">
        <v>423</v>
      </c>
      <c r="B136" s="5">
        <v>1</v>
      </c>
      <c r="C136" s="2" t="s">
        <v>132</v>
      </c>
      <c r="D136" s="2">
        <v>679501.11</v>
      </c>
      <c r="E136" s="2">
        <v>927885.13</v>
      </c>
      <c r="F136" s="2">
        <v>159248.91</v>
      </c>
      <c r="G136" s="2">
        <v>0</v>
      </c>
      <c r="H136" s="2">
        <v>59015.199999999997</v>
      </c>
      <c r="I136" s="2">
        <v>0</v>
      </c>
      <c r="J136" s="2">
        <v>0</v>
      </c>
      <c r="K136" s="2">
        <v>35369.440000000002</v>
      </c>
      <c r="L136" s="2">
        <v>0</v>
      </c>
      <c r="M136" s="2">
        <v>99297.59</v>
      </c>
      <c r="N136" s="2">
        <v>0</v>
      </c>
      <c r="O136" s="3">
        <f t="shared" si="3"/>
        <v>1960317.38</v>
      </c>
    </row>
    <row r="137" spans="1:15" x14ac:dyDescent="0.2">
      <c r="A137" s="5">
        <v>424</v>
      </c>
      <c r="B137" s="5">
        <v>1</v>
      </c>
      <c r="C137" s="2" t="s">
        <v>133</v>
      </c>
      <c r="D137" s="2">
        <v>70262.039999999994</v>
      </c>
      <c r="E137" s="2">
        <v>199609.59000000003</v>
      </c>
      <c r="F137" s="2">
        <v>24228.86</v>
      </c>
      <c r="G137" s="2">
        <v>0</v>
      </c>
      <c r="H137" s="2">
        <v>10000</v>
      </c>
      <c r="I137" s="2">
        <v>0</v>
      </c>
      <c r="J137" s="2">
        <v>0</v>
      </c>
      <c r="K137" s="2">
        <v>23258.6</v>
      </c>
      <c r="L137" s="2">
        <v>0</v>
      </c>
      <c r="M137" s="2">
        <v>13639.03</v>
      </c>
      <c r="N137" s="2">
        <v>0</v>
      </c>
      <c r="O137" s="3">
        <f t="shared" si="3"/>
        <v>340998.12</v>
      </c>
    </row>
    <row r="138" spans="1:15" x14ac:dyDescent="0.2">
      <c r="A138" s="5">
        <v>432</v>
      </c>
      <c r="B138" s="5">
        <v>1</v>
      </c>
      <c r="C138" s="2" t="s">
        <v>134</v>
      </c>
      <c r="D138" s="2">
        <v>53666.89</v>
      </c>
      <c r="E138" s="2">
        <v>0</v>
      </c>
      <c r="F138" s="2">
        <v>0</v>
      </c>
      <c r="G138" s="2">
        <v>0</v>
      </c>
      <c r="H138" s="2">
        <v>33569.35</v>
      </c>
      <c r="I138" s="2">
        <v>0</v>
      </c>
      <c r="J138" s="2">
        <v>0</v>
      </c>
      <c r="K138" s="2">
        <v>5278.18</v>
      </c>
      <c r="L138" s="2">
        <v>0</v>
      </c>
      <c r="M138" s="2">
        <v>15974.11</v>
      </c>
      <c r="N138" s="2">
        <v>0</v>
      </c>
      <c r="O138" s="3">
        <f t="shared" si="3"/>
        <v>108488.52999999998</v>
      </c>
    </row>
    <row r="139" spans="1:15" x14ac:dyDescent="0.2">
      <c r="A139" s="5">
        <v>435</v>
      </c>
      <c r="B139" s="5">
        <v>1</v>
      </c>
      <c r="C139" s="2" t="s">
        <v>135</v>
      </c>
      <c r="D139" s="2">
        <v>79186.03</v>
      </c>
      <c r="E139" s="2">
        <v>0</v>
      </c>
      <c r="F139" s="2">
        <v>0</v>
      </c>
      <c r="G139" s="2">
        <v>0</v>
      </c>
      <c r="H139" s="2">
        <v>17446.849999999999</v>
      </c>
      <c r="I139" s="2">
        <v>0</v>
      </c>
      <c r="J139" s="2">
        <v>0</v>
      </c>
      <c r="K139" s="2">
        <v>2500</v>
      </c>
      <c r="L139" s="2">
        <v>0</v>
      </c>
      <c r="M139" s="2">
        <v>15354.97</v>
      </c>
      <c r="N139" s="2">
        <v>0</v>
      </c>
      <c r="O139" s="3">
        <f t="shared" si="3"/>
        <v>114487.85</v>
      </c>
    </row>
    <row r="140" spans="1:15" x14ac:dyDescent="0.2">
      <c r="A140" s="5">
        <v>441</v>
      </c>
      <c r="B140" s="5">
        <v>1</v>
      </c>
      <c r="C140" s="2" t="s">
        <v>136</v>
      </c>
      <c r="D140" s="2">
        <v>96188.63</v>
      </c>
      <c r="E140" s="2">
        <v>71557.810000000012</v>
      </c>
      <c r="F140" s="2">
        <v>24919.51</v>
      </c>
      <c r="G140" s="2">
        <v>10876.31</v>
      </c>
      <c r="H140" s="2">
        <v>10000</v>
      </c>
      <c r="I140" s="2">
        <v>0</v>
      </c>
      <c r="J140" s="2">
        <v>0</v>
      </c>
      <c r="K140" s="2">
        <v>-4126.3</v>
      </c>
      <c r="L140" s="2">
        <v>0</v>
      </c>
      <c r="M140" s="2">
        <v>15889.77</v>
      </c>
      <c r="N140" s="2">
        <v>0</v>
      </c>
      <c r="O140" s="3">
        <f t="shared" si="3"/>
        <v>225305.73</v>
      </c>
    </row>
    <row r="141" spans="1:15" x14ac:dyDescent="0.2">
      <c r="A141" s="5">
        <v>447</v>
      </c>
      <c r="B141" s="5">
        <v>1</v>
      </c>
      <c r="C141" s="2" t="s">
        <v>137</v>
      </c>
      <c r="D141" s="2">
        <v>25259.57</v>
      </c>
      <c r="E141" s="2">
        <v>0</v>
      </c>
      <c r="F141" s="2">
        <v>4943.41</v>
      </c>
      <c r="G141" s="2">
        <v>0</v>
      </c>
      <c r="H141" s="2">
        <v>10000</v>
      </c>
      <c r="I141" s="2">
        <v>0</v>
      </c>
      <c r="J141" s="2">
        <v>0</v>
      </c>
      <c r="K141" s="2">
        <v>1712.58</v>
      </c>
      <c r="L141" s="2">
        <v>0</v>
      </c>
      <c r="M141" s="2">
        <v>6027.86</v>
      </c>
      <c r="N141" s="2">
        <v>0</v>
      </c>
      <c r="O141" s="3">
        <f t="shared" si="3"/>
        <v>47943.42</v>
      </c>
    </row>
    <row r="142" spans="1:15" x14ac:dyDescent="0.2">
      <c r="A142" s="5">
        <v>458</v>
      </c>
      <c r="B142" s="5">
        <v>1</v>
      </c>
      <c r="C142" s="2" t="s">
        <v>138</v>
      </c>
      <c r="D142" s="2">
        <v>56912.46</v>
      </c>
      <c r="E142" s="2">
        <v>63637.53</v>
      </c>
      <c r="F142" s="2">
        <v>138045.48000000001</v>
      </c>
      <c r="G142" s="2">
        <v>9301.26</v>
      </c>
      <c r="H142" s="2">
        <v>10000</v>
      </c>
      <c r="I142" s="2">
        <v>0</v>
      </c>
      <c r="J142" s="2">
        <v>0</v>
      </c>
      <c r="K142" s="2">
        <v>-4011.0599999999995</v>
      </c>
      <c r="L142" s="2">
        <v>0</v>
      </c>
      <c r="M142" s="2">
        <v>19672.66</v>
      </c>
      <c r="N142" s="2">
        <v>0</v>
      </c>
      <c r="O142" s="3">
        <f t="shared" si="3"/>
        <v>293558.32999999996</v>
      </c>
    </row>
    <row r="143" spans="1:15" x14ac:dyDescent="0.2">
      <c r="A143" s="5">
        <v>463</v>
      </c>
      <c r="B143" s="5">
        <v>1</v>
      </c>
      <c r="C143" s="2" t="s">
        <v>139</v>
      </c>
      <c r="D143" s="2">
        <v>73494.41</v>
      </c>
      <c r="E143" s="2">
        <v>201692.78999999998</v>
      </c>
      <c r="F143" s="2">
        <v>32117.919999999998</v>
      </c>
      <c r="G143" s="2">
        <v>0</v>
      </c>
      <c r="H143" s="2">
        <v>10000</v>
      </c>
      <c r="I143" s="2">
        <v>0</v>
      </c>
      <c r="J143" s="2">
        <v>0</v>
      </c>
      <c r="K143" s="2">
        <v>6674.9400000000005</v>
      </c>
      <c r="L143" s="2">
        <v>0</v>
      </c>
      <c r="M143" s="2">
        <v>28057.75</v>
      </c>
      <c r="N143" s="2">
        <v>0</v>
      </c>
      <c r="O143" s="3">
        <f t="shared" si="3"/>
        <v>352037.80999999994</v>
      </c>
    </row>
    <row r="144" spans="1:15" x14ac:dyDescent="0.2">
      <c r="A144" s="5">
        <v>465</v>
      </c>
      <c r="B144" s="5">
        <v>1</v>
      </c>
      <c r="C144" s="2" t="s">
        <v>140</v>
      </c>
      <c r="D144" s="2">
        <v>499166.88</v>
      </c>
      <c r="E144" s="2">
        <v>363852.62</v>
      </c>
      <c r="F144" s="2">
        <v>97079.01</v>
      </c>
      <c r="G144" s="2">
        <v>0</v>
      </c>
      <c r="H144" s="2">
        <v>35575.61</v>
      </c>
      <c r="I144" s="2">
        <v>0</v>
      </c>
      <c r="J144" s="2">
        <v>0</v>
      </c>
      <c r="K144" s="2">
        <v>11654.05</v>
      </c>
      <c r="L144" s="2">
        <v>0</v>
      </c>
      <c r="M144" s="2">
        <v>66744.320000000007</v>
      </c>
      <c r="N144" s="2">
        <v>0</v>
      </c>
      <c r="O144" s="3">
        <f t="shared" si="3"/>
        <v>1074072.49</v>
      </c>
    </row>
    <row r="145" spans="1:15" x14ac:dyDescent="0.2">
      <c r="A145" s="5">
        <v>466</v>
      </c>
      <c r="B145" s="5">
        <v>1</v>
      </c>
      <c r="C145" s="2" t="s">
        <v>141</v>
      </c>
      <c r="D145" s="2">
        <v>346946.16</v>
      </c>
      <c r="E145" s="2">
        <v>241571.61</v>
      </c>
      <c r="F145" s="2">
        <v>84376.93</v>
      </c>
      <c r="G145" s="2">
        <v>0</v>
      </c>
      <c r="H145" s="2">
        <v>36749.21</v>
      </c>
      <c r="I145" s="2">
        <v>0</v>
      </c>
      <c r="J145" s="2">
        <v>0</v>
      </c>
      <c r="K145" s="2">
        <v>22609.81</v>
      </c>
      <c r="L145" s="2">
        <v>0</v>
      </c>
      <c r="M145" s="2">
        <v>64376.05</v>
      </c>
      <c r="N145" s="2">
        <v>0</v>
      </c>
      <c r="O145" s="3">
        <f t="shared" si="3"/>
        <v>796629.77</v>
      </c>
    </row>
    <row r="146" spans="1:15" x14ac:dyDescent="0.2">
      <c r="A146" s="5">
        <v>473</v>
      </c>
      <c r="B146" s="5">
        <v>1</v>
      </c>
      <c r="C146" s="2" t="s">
        <v>142</v>
      </c>
      <c r="D146" s="2">
        <v>131987.54</v>
      </c>
      <c r="E146" s="2">
        <v>0</v>
      </c>
      <c r="F146" s="2">
        <v>22384.46</v>
      </c>
      <c r="G146" s="2">
        <v>3627.63</v>
      </c>
      <c r="H146" s="2">
        <v>10000</v>
      </c>
      <c r="I146" s="2">
        <v>0</v>
      </c>
      <c r="J146" s="2">
        <v>0</v>
      </c>
      <c r="K146" s="2">
        <v>28251.15</v>
      </c>
      <c r="L146" s="2">
        <v>0</v>
      </c>
      <c r="M146" s="2">
        <v>18933.29</v>
      </c>
      <c r="N146" s="2">
        <v>0</v>
      </c>
      <c r="O146" s="3">
        <f t="shared" si="3"/>
        <v>215184.07</v>
      </c>
    </row>
    <row r="147" spans="1:15" x14ac:dyDescent="0.2">
      <c r="A147" s="5">
        <v>477</v>
      </c>
      <c r="B147" s="5">
        <v>1</v>
      </c>
      <c r="C147" s="2" t="s">
        <v>143</v>
      </c>
      <c r="D147" s="2">
        <v>680269.19</v>
      </c>
      <c r="E147" s="2">
        <v>357071.91</v>
      </c>
      <c r="F147" s="2">
        <v>117256.13</v>
      </c>
      <c r="G147" s="2">
        <v>0</v>
      </c>
      <c r="H147" s="2">
        <v>62282.400000000001</v>
      </c>
      <c r="I147" s="2">
        <v>0</v>
      </c>
      <c r="J147" s="2">
        <v>0</v>
      </c>
      <c r="K147" s="2">
        <v>38658.949999999997</v>
      </c>
      <c r="L147" s="2">
        <v>0</v>
      </c>
      <c r="M147" s="2">
        <v>141619.1</v>
      </c>
      <c r="N147" s="2">
        <v>0</v>
      </c>
      <c r="O147" s="3">
        <f t="shared" si="3"/>
        <v>1397157.68</v>
      </c>
    </row>
    <row r="148" spans="1:15" x14ac:dyDescent="0.2">
      <c r="A148" s="5">
        <v>480</v>
      </c>
      <c r="B148" s="5">
        <v>1</v>
      </c>
      <c r="C148" s="2" t="s">
        <v>144</v>
      </c>
      <c r="D148" s="2">
        <v>229352.16</v>
      </c>
      <c r="E148" s="2">
        <v>237402.29</v>
      </c>
      <c r="F148" s="2">
        <v>0</v>
      </c>
      <c r="G148" s="2">
        <v>0</v>
      </c>
      <c r="H148" s="2">
        <v>10000</v>
      </c>
      <c r="I148" s="2">
        <v>0</v>
      </c>
      <c r="J148" s="2">
        <v>0</v>
      </c>
      <c r="K148" s="2">
        <v>12140.57</v>
      </c>
      <c r="L148" s="2">
        <v>0</v>
      </c>
      <c r="M148" s="2">
        <v>36080.239999999998</v>
      </c>
      <c r="N148" s="2">
        <v>0</v>
      </c>
      <c r="O148" s="3">
        <f t="shared" si="3"/>
        <v>524975.26</v>
      </c>
    </row>
    <row r="149" spans="1:15" x14ac:dyDescent="0.2">
      <c r="A149" s="5">
        <v>482</v>
      </c>
      <c r="B149" s="5">
        <v>1</v>
      </c>
      <c r="C149" s="2" t="s">
        <v>145</v>
      </c>
      <c r="D149" s="2">
        <v>336055.13</v>
      </c>
      <c r="E149" s="2">
        <v>813339.93</v>
      </c>
      <c r="F149" s="2">
        <v>98308.58</v>
      </c>
      <c r="G149" s="2">
        <v>0</v>
      </c>
      <c r="H149" s="2">
        <v>83723.98</v>
      </c>
      <c r="I149" s="2">
        <v>0</v>
      </c>
      <c r="J149" s="2">
        <v>0</v>
      </c>
      <c r="K149" s="2">
        <v>67532.61</v>
      </c>
      <c r="L149" s="2">
        <v>0</v>
      </c>
      <c r="M149" s="2">
        <v>101661.88</v>
      </c>
      <c r="N149" s="2">
        <v>0</v>
      </c>
      <c r="O149" s="3">
        <f t="shared" si="3"/>
        <v>1500622.1100000003</v>
      </c>
    </row>
    <row r="150" spans="1:15" x14ac:dyDescent="0.2">
      <c r="A150" s="5">
        <v>484</v>
      </c>
      <c r="B150" s="5">
        <v>1</v>
      </c>
      <c r="C150" s="2" t="s">
        <v>146</v>
      </c>
      <c r="D150" s="2">
        <v>159230</v>
      </c>
      <c r="E150" s="2">
        <v>159964.03</v>
      </c>
      <c r="F150" s="2">
        <v>31118.21</v>
      </c>
      <c r="G150" s="2">
        <v>0</v>
      </c>
      <c r="H150" s="2">
        <v>0</v>
      </c>
      <c r="I150" s="2">
        <v>0</v>
      </c>
      <c r="J150" s="2">
        <v>0</v>
      </c>
      <c r="K150" s="2">
        <v>0</v>
      </c>
      <c r="L150" s="2">
        <v>0</v>
      </c>
      <c r="M150" s="2">
        <v>24341.47</v>
      </c>
      <c r="N150" s="2">
        <v>0</v>
      </c>
      <c r="O150" s="3">
        <f t="shared" si="3"/>
        <v>374653.71000000008</v>
      </c>
    </row>
    <row r="151" spans="1:15" x14ac:dyDescent="0.2">
      <c r="A151" s="5">
        <v>485</v>
      </c>
      <c r="B151" s="5">
        <v>1</v>
      </c>
      <c r="C151" s="2" t="s">
        <v>147</v>
      </c>
      <c r="D151" s="2">
        <v>119565.69</v>
      </c>
      <c r="E151" s="2">
        <v>0</v>
      </c>
      <c r="F151" s="2">
        <v>29270.26</v>
      </c>
      <c r="G151" s="2">
        <v>0</v>
      </c>
      <c r="H151" s="2">
        <v>18549.12</v>
      </c>
      <c r="I151" s="2">
        <v>0</v>
      </c>
      <c r="J151" s="2">
        <v>0</v>
      </c>
      <c r="K151" s="2">
        <v>11375.730000000001</v>
      </c>
      <c r="L151" s="2">
        <v>0</v>
      </c>
      <c r="M151" s="2">
        <v>19139.310000000001</v>
      </c>
      <c r="N151" s="2">
        <v>0</v>
      </c>
      <c r="O151" s="3">
        <f t="shared" si="3"/>
        <v>197900.11000000002</v>
      </c>
    </row>
    <row r="152" spans="1:15" x14ac:dyDescent="0.2">
      <c r="A152" s="5">
        <v>486</v>
      </c>
      <c r="B152" s="5">
        <v>1</v>
      </c>
      <c r="C152" s="2" t="s">
        <v>148</v>
      </c>
      <c r="D152" s="2">
        <v>49445</v>
      </c>
      <c r="E152" s="2">
        <v>74327.05</v>
      </c>
      <c r="F152" s="2">
        <v>15148.78</v>
      </c>
      <c r="G152" s="2">
        <v>0</v>
      </c>
      <c r="H152" s="2">
        <v>0</v>
      </c>
      <c r="I152" s="2">
        <v>0</v>
      </c>
      <c r="J152" s="2">
        <v>0</v>
      </c>
      <c r="K152" s="2">
        <v>2489.89</v>
      </c>
      <c r="L152" s="2">
        <v>0</v>
      </c>
      <c r="M152" s="2">
        <v>10003.780000000001</v>
      </c>
      <c r="N152" s="2">
        <v>0</v>
      </c>
      <c r="O152" s="3">
        <f t="shared" si="3"/>
        <v>151414.50000000003</v>
      </c>
    </row>
    <row r="153" spans="1:15" x14ac:dyDescent="0.2">
      <c r="A153" s="5">
        <v>487</v>
      </c>
      <c r="B153" s="5">
        <v>1</v>
      </c>
      <c r="C153" s="2" t="s">
        <v>149</v>
      </c>
      <c r="D153" s="2">
        <v>6918.22</v>
      </c>
      <c r="E153" s="2">
        <v>20809.310000000001</v>
      </c>
      <c r="F153" s="2">
        <v>32084.69</v>
      </c>
      <c r="G153" s="2">
        <v>0</v>
      </c>
      <c r="H153" s="2">
        <v>10000</v>
      </c>
      <c r="I153" s="2">
        <v>0</v>
      </c>
      <c r="J153" s="2">
        <v>0</v>
      </c>
      <c r="K153" s="2">
        <v>-6333.51</v>
      </c>
      <c r="L153" s="2">
        <v>0</v>
      </c>
      <c r="M153" s="2">
        <v>6192.16</v>
      </c>
      <c r="N153" s="2">
        <v>0</v>
      </c>
      <c r="O153" s="3">
        <f t="shared" si="3"/>
        <v>69670.87</v>
      </c>
    </row>
    <row r="154" spans="1:15" x14ac:dyDescent="0.2">
      <c r="A154" s="5">
        <v>492</v>
      </c>
      <c r="B154" s="5">
        <v>1</v>
      </c>
      <c r="C154" s="2" t="s">
        <v>150</v>
      </c>
      <c r="D154" s="2">
        <v>661111.82999999996</v>
      </c>
      <c r="E154" s="2">
        <v>659962</v>
      </c>
      <c r="F154" s="2">
        <v>295941.48</v>
      </c>
      <c r="G154" s="2">
        <v>61476.54</v>
      </c>
      <c r="H154" s="2">
        <v>79665.600000000006</v>
      </c>
      <c r="I154" s="2">
        <v>-41787.480000000003</v>
      </c>
      <c r="J154" s="2">
        <v>0</v>
      </c>
      <c r="K154" s="2">
        <v>66672.479999999996</v>
      </c>
      <c r="L154" s="2">
        <v>0</v>
      </c>
      <c r="M154" s="2">
        <v>103554.94</v>
      </c>
      <c r="N154" s="2">
        <v>0</v>
      </c>
      <c r="O154" s="3">
        <f t="shared" si="3"/>
        <v>1886597.3900000001</v>
      </c>
    </row>
    <row r="155" spans="1:15" x14ac:dyDescent="0.2">
      <c r="A155" s="5">
        <v>495</v>
      </c>
      <c r="B155" s="5">
        <v>1</v>
      </c>
      <c r="C155" s="2" t="s">
        <v>151</v>
      </c>
      <c r="D155" s="2">
        <v>66575.38</v>
      </c>
      <c r="E155" s="2">
        <v>108658.89000000001</v>
      </c>
      <c r="F155" s="2">
        <v>55032.71</v>
      </c>
      <c r="G155" s="2">
        <v>7031.72</v>
      </c>
      <c r="H155" s="2">
        <v>10000</v>
      </c>
      <c r="I155" s="2">
        <v>0</v>
      </c>
      <c r="J155" s="2">
        <v>0</v>
      </c>
      <c r="K155" s="2">
        <v>-4302.09</v>
      </c>
      <c r="L155" s="2">
        <v>0</v>
      </c>
      <c r="M155" s="2">
        <v>16018.56</v>
      </c>
      <c r="N155" s="2">
        <v>0</v>
      </c>
      <c r="O155" s="3">
        <f t="shared" si="3"/>
        <v>259015.17</v>
      </c>
    </row>
    <row r="156" spans="1:15" x14ac:dyDescent="0.2">
      <c r="A156" s="5">
        <v>497</v>
      </c>
      <c r="B156" s="5">
        <v>1</v>
      </c>
      <c r="C156" s="2" t="s">
        <v>152</v>
      </c>
      <c r="D156" s="2">
        <v>33853.269999999997</v>
      </c>
      <c r="E156" s="2">
        <v>0</v>
      </c>
      <c r="F156" s="2">
        <v>65196.27</v>
      </c>
      <c r="G156" s="2">
        <v>3172.07</v>
      </c>
      <c r="H156" s="2">
        <v>0</v>
      </c>
      <c r="I156" s="2">
        <v>0</v>
      </c>
      <c r="J156" s="2">
        <v>0</v>
      </c>
      <c r="K156" s="2">
        <v>-1046</v>
      </c>
      <c r="L156" s="2">
        <v>0</v>
      </c>
      <c r="M156" s="2">
        <v>6746.65</v>
      </c>
      <c r="N156" s="2">
        <v>0</v>
      </c>
      <c r="O156" s="3">
        <f t="shared" si="3"/>
        <v>107922.26</v>
      </c>
    </row>
    <row r="157" spans="1:15" x14ac:dyDescent="0.2">
      <c r="A157" s="5">
        <v>499</v>
      </c>
      <c r="B157" s="5">
        <v>1</v>
      </c>
      <c r="C157" s="2" t="s">
        <v>153</v>
      </c>
      <c r="D157" s="2">
        <v>112824.74</v>
      </c>
      <c r="E157" s="2">
        <v>99941.610000000015</v>
      </c>
      <c r="F157" s="2">
        <v>112134.59</v>
      </c>
      <c r="G157" s="2">
        <v>0</v>
      </c>
      <c r="H157" s="2">
        <v>20903.07</v>
      </c>
      <c r="I157" s="2">
        <v>0</v>
      </c>
      <c r="J157" s="2">
        <v>0</v>
      </c>
      <c r="K157" s="2">
        <v>5391.58</v>
      </c>
      <c r="L157" s="2">
        <v>0</v>
      </c>
      <c r="M157" s="2">
        <v>23777.119999999999</v>
      </c>
      <c r="N157" s="2">
        <v>0</v>
      </c>
      <c r="O157" s="3">
        <f t="shared" si="3"/>
        <v>374972.71000000008</v>
      </c>
    </row>
    <row r="158" spans="1:15" x14ac:dyDescent="0.2">
      <c r="A158" s="5">
        <v>500</v>
      </c>
      <c r="B158" s="5">
        <v>1</v>
      </c>
      <c r="C158" s="2" t="s">
        <v>154</v>
      </c>
      <c r="D158" s="2">
        <v>112652.9</v>
      </c>
      <c r="E158" s="2">
        <v>250311.95</v>
      </c>
      <c r="F158" s="2">
        <v>97648.05</v>
      </c>
      <c r="G158" s="2">
        <v>5199.95</v>
      </c>
      <c r="H158" s="2">
        <v>14471.2</v>
      </c>
      <c r="I158" s="2">
        <v>0</v>
      </c>
      <c r="J158" s="2">
        <v>0</v>
      </c>
      <c r="K158" s="2">
        <v>93.35</v>
      </c>
      <c r="L158" s="2">
        <v>0</v>
      </c>
      <c r="M158" s="2">
        <v>24116.29</v>
      </c>
      <c r="N158" s="2">
        <v>0</v>
      </c>
      <c r="O158" s="3">
        <f t="shared" si="3"/>
        <v>504493.68999999994</v>
      </c>
    </row>
    <row r="159" spans="1:15" x14ac:dyDescent="0.2">
      <c r="A159" s="5">
        <v>505</v>
      </c>
      <c r="B159" s="5">
        <v>1</v>
      </c>
      <c r="C159" s="2" t="s">
        <v>155</v>
      </c>
      <c r="D159" s="2">
        <v>73263.460000000006</v>
      </c>
      <c r="E159" s="2">
        <v>164733.79</v>
      </c>
      <c r="F159" s="2">
        <v>77554.06</v>
      </c>
      <c r="G159" s="2">
        <v>2413.96</v>
      </c>
      <c r="H159" s="2">
        <v>17446.849999999999</v>
      </c>
      <c r="I159" s="2">
        <v>0</v>
      </c>
      <c r="J159" s="2">
        <v>0</v>
      </c>
      <c r="K159" s="2">
        <v>83.89</v>
      </c>
      <c r="L159" s="2">
        <v>0</v>
      </c>
      <c r="M159" s="2">
        <v>19938.349999999999</v>
      </c>
      <c r="N159" s="2">
        <v>0</v>
      </c>
      <c r="O159" s="3">
        <f t="shared" si="3"/>
        <v>355434.36</v>
      </c>
    </row>
    <row r="160" spans="1:15" x14ac:dyDescent="0.2">
      <c r="A160" s="5">
        <v>507</v>
      </c>
      <c r="B160" s="5">
        <v>1</v>
      </c>
      <c r="C160" s="2" t="s">
        <v>156</v>
      </c>
      <c r="D160" s="2">
        <v>94209.1</v>
      </c>
      <c r="E160" s="2">
        <v>0</v>
      </c>
      <c r="F160" s="2">
        <v>124645.82</v>
      </c>
      <c r="G160" s="2">
        <v>0</v>
      </c>
      <c r="H160" s="2">
        <v>10000</v>
      </c>
      <c r="I160" s="2">
        <v>0</v>
      </c>
      <c r="J160" s="2">
        <v>0</v>
      </c>
      <c r="K160" s="2">
        <v>12356.11</v>
      </c>
      <c r="L160" s="2">
        <v>0</v>
      </c>
      <c r="M160" s="2">
        <v>17471.7</v>
      </c>
      <c r="N160" s="2">
        <v>0</v>
      </c>
      <c r="O160" s="3">
        <f t="shared" si="3"/>
        <v>258682.73000000004</v>
      </c>
    </row>
    <row r="161" spans="1:15" x14ac:dyDescent="0.2">
      <c r="A161" s="5">
        <v>508</v>
      </c>
      <c r="B161" s="5">
        <v>1</v>
      </c>
      <c r="C161" s="2" t="s">
        <v>157</v>
      </c>
      <c r="D161" s="2">
        <v>717342.16</v>
      </c>
      <c r="E161" s="2">
        <v>313707.31999999995</v>
      </c>
      <c r="F161" s="2">
        <v>172318.92</v>
      </c>
      <c r="G161" s="2">
        <v>0</v>
      </c>
      <c r="H161" s="2">
        <v>8269.49</v>
      </c>
      <c r="I161" s="2">
        <v>0</v>
      </c>
      <c r="J161" s="2">
        <v>0</v>
      </c>
      <c r="K161" s="2">
        <v>7200.84</v>
      </c>
      <c r="L161" s="2">
        <v>0</v>
      </c>
      <c r="M161" s="2">
        <v>66905.679999999993</v>
      </c>
      <c r="N161" s="2">
        <v>0</v>
      </c>
      <c r="O161" s="3">
        <f t="shared" si="3"/>
        <v>1285744.4099999999</v>
      </c>
    </row>
    <row r="162" spans="1:15" x14ac:dyDescent="0.2">
      <c r="A162" s="5">
        <v>511</v>
      </c>
      <c r="B162" s="5">
        <v>1</v>
      </c>
      <c r="C162" s="2" t="s">
        <v>158</v>
      </c>
      <c r="D162" s="2">
        <v>122510.83</v>
      </c>
      <c r="E162" s="2">
        <v>132349.22</v>
      </c>
      <c r="F162" s="2">
        <v>21485.18</v>
      </c>
      <c r="G162" s="2">
        <v>0</v>
      </c>
      <c r="H162" s="2">
        <v>10000</v>
      </c>
      <c r="I162" s="2">
        <v>0</v>
      </c>
      <c r="J162" s="2">
        <v>0</v>
      </c>
      <c r="K162" s="2">
        <v>1162.92</v>
      </c>
      <c r="L162" s="2">
        <v>0</v>
      </c>
      <c r="M162" s="2">
        <v>5986.78</v>
      </c>
      <c r="N162" s="2">
        <v>0</v>
      </c>
      <c r="O162" s="3">
        <f t="shared" si="3"/>
        <v>293494.93</v>
      </c>
    </row>
    <row r="163" spans="1:15" x14ac:dyDescent="0.2">
      <c r="A163" s="5">
        <v>513</v>
      </c>
      <c r="B163" s="5">
        <v>1</v>
      </c>
      <c r="C163" s="2" t="s">
        <v>159</v>
      </c>
      <c r="D163" s="2">
        <v>50286.2</v>
      </c>
      <c r="E163" s="2">
        <v>59754.36</v>
      </c>
      <c r="F163" s="2">
        <v>33457.410000000003</v>
      </c>
      <c r="G163" s="2">
        <v>3066.79</v>
      </c>
      <c r="H163" s="2">
        <v>0</v>
      </c>
      <c r="I163" s="2">
        <v>0</v>
      </c>
      <c r="J163" s="2">
        <v>0</v>
      </c>
      <c r="K163" s="2">
        <v>-1357.52</v>
      </c>
      <c r="L163" s="2">
        <v>0</v>
      </c>
      <c r="M163" s="2">
        <v>7232.24</v>
      </c>
      <c r="N163" s="2">
        <v>0</v>
      </c>
      <c r="O163" s="3">
        <f t="shared" si="3"/>
        <v>152439.48000000001</v>
      </c>
    </row>
    <row r="164" spans="1:15" x14ac:dyDescent="0.2">
      <c r="A164" s="5">
        <v>514</v>
      </c>
      <c r="B164" s="5">
        <v>1</v>
      </c>
      <c r="C164" s="2" t="s">
        <v>160</v>
      </c>
      <c r="D164" s="2">
        <v>43146.16</v>
      </c>
      <c r="E164" s="2">
        <v>0</v>
      </c>
      <c r="F164" s="2">
        <v>57410.63</v>
      </c>
      <c r="G164" s="2">
        <v>0</v>
      </c>
      <c r="H164" s="2">
        <v>7068.3099999999995</v>
      </c>
      <c r="I164" s="2">
        <v>0</v>
      </c>
      <c r="J164" s="2">
        <v>0</v>
      </c>
      <c r="K164" s="2">
        <v>15117.970000000001</v>
      </c>
      <c r="L164" s="2">
        <v>0</v>
      </c>
      <c r="M164" s="2">
        <v>6454.5</v>
      </c>
      <c r="N164" s="2">
        <v>0</v>
      </c>
      <c r="O164" s="3">
        <f t="shared" si="3"/>
        <v>129197.57</v>
      </c>
    </row>
    <row r="165" spans="1:15" x14ac:dyDescent="0.2">
      <c r="A165" s="5">
        <v>516</v>
      </c>
      <c r="B165" s="5">
        <v>1</v>
      </c>
      <c r="C165" s="2" t="s">
        <v>161</v>
      </c>
      <c r="D165" s="2">
        <v>19413.79</v>
      </c>
      <c r="E165" s="2">
        <v>12158.32</v>
      </c>
      <c r="F165" s="2">
        <v>43750.91</v>
      </c>
      <c r="G165" s="2">
        <v>4004.15</v>
      </c>
      <c r="H165" s="2">
        <v>0</v>
      </c>
      <c r="I165" s="2">
        <v>0</v>
      </c>
      <c r="J165" s="2">
        <v>0</v>
      </c>
      <c r="K165" s="2">
        <v>-8000</v>
      </c>
      <c r="L165" s="2">
        <v>0</v>
      </c>
      <c r="M165" s="2">
        <v>7879.73</v>
      </c>
      <c r="N165" s="2">
        <v>0</v>
      </c>
      <c r="O165" s="3">
        <f t="shared" si="3"/>
        <v>79206.899999999994</v>
      </c>
    </row>
    <row r="166" spans="1:15" x14ac:dyDescent="0.2">
      <c r="A166" s="5">
        <v>518</v>
      </c>
      <c r="B166" s="5">
        <v>1</v>
      </c>
      <c r="C166" s="2" t="s">
        <v>162</v>
      </c>
      <c r="D166" s="2">
        <v>219304.04</v>
      </c>
      <c r="E166" s="2">
        <v>713290.82000000007</v>
      </c>
      <c r="F166" s="2">
        <v>75872.61</v>
      </c>
      <c r="G166" s="2">
        <v>0</v>
      </c>
      <c r="H166" s="2">
        <v>46667.44</v>
      </c>
      <c r="I166" s="2">
        <v>0</v>
      </c>
      <c r="J166" s="2">
        <v>0</v>
      </c>
      <c r="K166" s="2">
        <v>3703.7700000000004</v>
      </c>
      <c r="L166" s="2">
        <v>0</v>
      </c>
      <c r="M166" s="2">
        <v>78537.25</v>
      </c>
      <c r="N166" s="2">
        <v>0</v>
      </c>
      <c r="O166" s="3">
        <f t="shared" si="3"/>
        <v>1137375.9300000002</v>
      </c>
    </row>
    <row r="167" spans="1:15" x14ac:dyDescent="0.2">
      <c r="A167" s="5">
        <v>531</v>
      </c>
      <c r="B167" s="5">
        <v>1</v>
      </c>
      <c r="C167" s="2" t="s">
        <v>163</v>
      </c>
      <c r="D167" s="2">
        <v>252108.35</v>
      </c>
      <c r="E167" s="2">
        <v>31674.539999999994</v>
      </c>
      <c r="F167" s="2">
        <v>45629.11</v>
      </c>
      <c r="G167" s="2">
        <v>0</v>
      </c>
      <c r="H167" s="2">
        <v>28256</v>
      </c>
      <c r="I167" s="2">
        <v>0</v>
      </c>
      <c r="J167" s="2">
        <v>0</v>
      </c>
      <c r="K167" s="2">
        <v>-974.46</v>
      </c>
      <c r="L167" s="2">
        <v>0</v>
      </c>
      <c r="M167" s="2">
        <v>42475.91</v>
      </c>
      <c r="N167" s="2">
        <v>0</v>
      </c>
      <c r="O167" s="3">
        <f t="shared" si="3"/>
        <v>399169.44999999995</v>
      </c>
    </row>
    <row r="168" spans="1:15" x14ac:dyDescent="0.2">
      <c r="A168" s="5">
        <v>533</v>
      </c>
      <c r="B168" s="5">
        <v>1</v>
      </c>
      <c r="C168" s="2" t="s">
        <v>164</v>
      </c>
      <c r="D168" s="2">
        <v>181090.56</v>
      </c>
      <c r="E168" s="2">
        <v>33807.620000000003</v>
      </c>
      <c r="F168" s="2">
        <v>0</v>
      </c>
      <c r="G168" s="2">
        <v>0</v>
      </c>
      <c r="H168" s="2">
        <v>16849.57</v>
      </c>
      <c r="I168" s="2">
        <v>0</v>
      </c>
      <c r="J168" s="2">
        <v>0</v>
      </c>
      <c r="K168" s="2">
        <v>-4565.8999999999996</v>
      </c>
      <c r="L168" s="2">
        <v>0</v>
      </c>
      <c r="M168" s="2">
        <v>9505.67</v>
      </c>
      <c r="N168" s="2">
        <v>0</v>
      </c>
      <c r="O168" s="3">
        <f t="shared" si="3"/>
        <v>236687.52000000002</v>
      </c>
    </row>
    <row r="169" spans="1:15" x14ac:dyDescent="0.2">
      <c r="A169" s="5">
        <v>534</v>
      </c>
      <c r="B169" s="5">
        <v>1</v>
      </c>
      <c r="C169" s="2" t="s">
        <v>165</v>
      </c>
      <c r="D169" s="2">
        <v>418764.79</v>
      </c>
      <c r="E169" s="2">
        <v>454335.69</v>
      </c>
      <c r="F169" s="2">
        <v>67031.990000000005</v>
      </c>
      <c r="G169" s="2">
        <v>13095.74</v>
      </c>
      <c r="H169" s="2">
        <v>31660</v>
      </c>
      <c r="I169" s="2">
        <v>0</v>
      </c>
      <c r="J169" s="2">
        <v>0</v>
      </c>
      <c r="K169" s="2">
        <v>29684.32</v>
      </c>
      <c r="L169" s="2">
        <v>0</v>
      </c>
      <c r="M169" s="2">
        <v>54200.66</v>
      </c>
      <c r="N169" s="2">
        <v>0</v>
      </c>
      <c r="O169" s="3">
        <f t="shared" si="3"/>
        <v>1068773.19</v>
      </c>
    </row>
    <row r="170" spans="1:15" x14ac:dyDescent="0.2">
      <c r="A170" s="5">
        <v>535</v>
      </c>
      <c r="B170" s="5">
        <v>1</v>
      </c>
      <c r="C170" s="2" t="s">
        <v>166</v>
      </c>
      <c r="D170" s="2">
        <v>8272998.2300000004</v>
      </c>
      <c r="E170" s="2">
        <v>2644782.2599999998</v>
      </c>
      <c r="F170" s="2">
        <v>1455888.91</v>
      </c>
      <c r="G170" s="2">
        <v>317690.53999999998</v>
      </c>
      <c r="H170" s="2">
        <v>258384.65000000002</v>
      </c>
      <c r="I170" s="2">
        <v>0</v>
      </c>
      <c r="J170" s="2">
        <v>0</v>
      </c>
      <c r="K170" s="2">
        <v>229392.71</v>
      </c>
      <c r="L170" s="2">
        <v>0</v>
      </c>
      <c r="M170" s="2">
        <v>813458.05</v>
      </c>
      <c r="N170" s="2">
        <v>0</v>
      </c>
      <c r="O170" s="3">
        <f t="shared" si="3"/>
        <v>13992595.350000001</v>
      </c>
    </row>
    <row r="171" spans="1:15" x14ac:dyDescent="0.2">
      <c r="A171" s="5">
        <v>542</v>
      </c>
      <c r="B171" s="5">
        <v>1</v>
      </c>
      <c r="C171" s="2" t="s">
        <v>167</v>
      </c>
      <c r="D171" s="2">
        <v>162860.48000000001</v>
      </c>
      <c r="E171" s="2">
        <v>0</v>
      </c>
      <c r="F171" s="2">
        <v>0</v>
      </c>
      <c r="G171" s="2">
        <v>0</v>
      </c>
      <c r="H171" s="2">
        <v>15455.13</v>
      </c>
      <c r="I171" s="2">
        <v>0</v>
      </c>
      <c r="J171" s="2">
        <v>0</v>
      </c>
      <c r="K171" s="2">
        <v>-42.970000000000027</v>
      </c>
      <c r="L171" s="2">
        <v>0</v>
      </c>
      <c r="M171" s="2">
        <v>29679.85</v>
      </c>
      <c r="N171" s="2">
        <v>0</v>
      </c>
      <c r="O171" s="3">
        <f t="shared" si="3"/>
        <v>207952.49000000002</v>
      </c>
    </row>
    <row r="172" spans="1:15" x14ac:dyDescent="0.2">
      <c r="A172" s="5">
        <v>544</v>
      </c>
      <c r="B172" s="5">
        <v>1</v>
      </c>
      <c r="C172" s="2" t="s">
        <v>168</v>
      </c>
      <c r="D172" s="2">
        <v>843075.52</v>
      </c>
      <c r="E172" s="2">
        <v>328144.82</v>
      </c>
      <c r="F172" s="2">
        <v>194521.26</v>
      </c>
      <c r="G172" s="2">
        <v>0</v>
      </c>
      <c r="H172" s="2">
        <v>64625.31</v>
      </c>
      <c r="I172" s="2">
        <v>0</v>
      </c>
      <c r="J172" s="2">
        <v>0</v>
      </c>
      <c r="K172" s="2">
        <v>48549.72</v>
      </c>
      <c r="L172" s="2">
        <v>0</v>
      </c>
      <c r="M172" s="2">
        <v>106829.46</v>
      </c>
      <c r="N172" s="2">
        <v>0</v>
      </c>
      <c r="O172" s="3">
        <f t="shared" si="3"/>
        <v>1585746.09</v>
      </c>
    </row>
    <row r="173" spans="1:15" x14ac:dyDescent="0.2">
      <c r="A173" s="5">
        <v>545</v>
      </c>
      <c r="B173" s="5">
        <v>1</v>
      </c>
      <c r="C173" s="2" t="s">
        <v>169</v>
      </c>
      <c r="D173" s="2">
        <v>98858.33</v>
      </c>
      <c r="E173" s="2">
        <v>180871.58</v>
      </c>
      <c r="F173" s="2">
        <v>37137.35</v>
      </c>
      <c r="G173" s="2">
        <v>0</v>
      </c>
      <c r="H173" s="2">
        <v>7850</v>
      </c>
      <c r="I173" s="2">
        <v>0</v>
      </c>
      <c r="J173" s="2">
        <v>0</v>
      </c>
      <c r="K173" s="2">
        <v>3355.45</v>
      </c>
      <c r="L173" s="2">
        <v>0</v>
      </c>
      <c r="M173" s="2">
        <v>20273.68</v>
      </c>
      <c r="N173" s="2">
        <v>0</v>
      </c>
      <c r="O173" s="3">
        <f t="shared" si="3"/>
        <v>348346.38999999996</v>
      </c>
    </row>
    <row r="174" spans="1:15" x14ac:dyDescent="0.2">
      <c r="A174" s="5">
        <v>547</v>
      </c>
      <c r="B174" s="5">
        <v>1</v>
      </c>
      <c r="C174" s="2" t="s">
        <v>170</v>
      </c>
      <c r="D174" s="2">
        <v>65939.44</v>
      </c>
      <c r="E174" s="2">
        <v>237103.88</v>
      </c>
      <c r="F174" s="2">
        <v>24144.3</v>
      </c>
      <c r="G174" s="2">
        <v>0</v>
      </c>
      <c r="H174" s="2">
        <v>18089.939999999999</v>
      </c>
      <c r="I174" s="2">
        <v>0</v>
      </c>
      <c r="J174" s="2">
        <v>0</v>
      </c>
      <c r="K174" s="2">
        <v>500</v>
      </c>
      <c r="L174" s="2">
        <v>0</v>
      </c>
      <c r="M174" s="2">
        <v>27648.23</v>
      </c>
      <c r="N174" s="2">
        <v>0</v>
      </c>
      <c r="O174" s="3">
        <f t="shared" si="3"/>
        <v>373425.79</v>
      </c>
    </row>
    <row r="175" spans="1:15" x14ac:dyDescent="0.2">
      <c r="A175" s="5">
        <v>548</v>
      </c>
      <c r="B175" s="5">
        <v>1</v>
      </c>
      <c r="C175" s="2" t="s">
        <v>171</v>
      </c>
      <c r="D175" s="2">
        <v>232593.22</v>
      </c>
      <c r="E175" s="2">
        <v>0</v>
      </c>
      <c r="F175" s="2">
        <v>0</v>
      </c>
      <c r="G175" s="2">
        <v>0</v>
      </c>
      <c r="H175" s="2">
        <v>22937.57</v>
      </c>
      <c r="I175" s="2">
        <v>0</v>
      </c>
      <c r="J175" s="2">
        <v>0</v>
      </c>
      <c r="K175" s="2">
        <v>8650.49</v>
      </c>
      <c r="L175" s="2">
        <v>0</v>
      </c>
      <c r="M175" s="2">
        <v>51277.45</v>
      </c>
      <c r="N175" s="2">
        <v>0</v>
      </c>
      <c r="O175" s="3">
        <f t="shared" si="3"/>
        <v>315458.73000000004</v>
      </c>
    </row>
    <row r="176" spans="1:15" x14ac:dyDescent="0.2">
      <c r="A176" s="5">
        <v>549</v>
      </c>
      <c r="B176" s="5">
        <v>1</v>
      </c>
      <c r="C176" s="2" t="s">
        <v>172</v>
      </c>
      <c r="D176" s="2">
        <v>447649.69</v>
      </c>
      <c r="E176" s="2">
        <v>0</v>
      </c>
      <c r="F176" s="2">
        <v>134947.70000000001</v>
      </c>
      <c r="G176" s="2">
        <v>0</v>
      </c>
      <c r="H176" s="2">
        <v>34988.800000000003</v>
      </c>
      <c r="I176" s="2">
        <v>0</v>
      </c>
      <c r="J176" s="2">
        <v>0</v>
      </c>
      <c r="K176" s="2">
        <v>82932.260000000009</v>
      </c>
      <c r="L176" s="2">
        <v>0</v>
      </c>
      <c r="M176" s="2">
        <v>66163.199999999997</v>
      </c>
      <c r="N176" s="2">
        <v>0</v>
      </c>
      <c r="O176" s="3">
        <f t="shared" si="3"/>
        <v>766681.65</v>
      </c>
    </row>
    <row r="177" spans="1:15" x14ac:dyDescent="0.2">
      <c r="A177" s="5">
        <v>550</v>
      </c>
      <c r="B177" s="5">
        <v>1</v>
      </c>
      <c r="C177" s="2" t="s">
        <v>173</v>
      </c>
      <c r="D177" s="2">
        <v>50779.83</v>
      </c>
      <c r="E177" s="2">
        <v>0</v>
      </c>
      <c r="F177" s="2">
        <v>11066.56</v>
      </c>
      <c r="G177" s="2">
        <v>0</v>
      </c>
      <c r="H177" s="2">
        <v>10000</v>
      </c>
      <c r="I177" s="2">
        <v>0</v>
      </c>
      <c r="J177" s="2">
        <v>0</v>
      </c>
      <c r="K177" s="2">
        <v>2162.83</v>
      </c>
      <c r="L177" s="2">
        <v>0</v>
      </c>
      <c r="M177" s="2">
        <v>14961.54</v>
      </c>
      <c r="N177" s="2">
        <v>0</v>
      </c>
      <c r="O177" s="3">
        <f t="shared" si="3"/>
        <v>88970.760000000009</v>
      </c>
    </row>
    <row r="178" spans="1:15" x14ac:dyDescent="0.2">
      <c r="A178" s="5">
        <v>553</v>
      </c>
      <c r="B178" s="5">
        <v>1</v>
      </c>
      <c r="C178" s="2" t="s">
        <v>174</v>
      </c>
      <c r="D178" s="2">
        <v>52387.17</v>
      </c>
      <c r="E178" s="2">
        <v>58816.429999999993</v>
      </c>
      <c r="F178" s="2">
        <v>19531.990000000002</v>
      </c>
      <c r="G178" s="2">
        <v>0</v>
      </c>
      <c r="H178" s="2">
        <v>23150.959999999999</v>
      </c>
      <c r="I178" s="2">
        <v>0</v>
      </c>
      <c r="J178" s="2">
        <v>0</v>
      </c>
      <c r="K178" s="2">
        <v>10341.24</v>
      </c>
      <c r="L178" s="2">
        <v>0</v>
      </c>
      <c r="M178" s="2">
        <v>19144.77</v>
      </c>
      <c r="N178" s="2">
        <v>0</v>
      </c>
      <c r="O178" s="3">
        <f t="shared" si="3"/>
        <v>183372.55999999997</v>
      </c>
    </row>
    <row r="179" spans="1:15" x14ac:dyDescent="0.2">
      <c r="A179" s="5">
        <v>561</v>
      </c>
      <c r="B179" s="5">
        <v>1</v>
      </c>
      <c r="C179" s="2" t="s">
        <v>175</v>
      </c>
      <c r="D179" s="2">
        <v>22275.83</v>
      </c>
      <c r="E179" s="2">
        <v>44677.479999999996</v>
      </c>
      <c r="F179" s="2">
        <v>11548.19</v>
      </c>
      <c r="G179" s="2">
        <v>0</v>
      </c>
      <c r="H179" s="2">
        <v>0</v>
      </c>
      <c r="I179" s="2">
        <v>0</v>
      </c>
      <c r="J179" s="2">
        <v>0</v>
      </c>
      <c r="K179" s="2">
        <v>42.639999999999986</v>
      </c>
      <c r="L179" s="2">
        <v>0</v>
      </c>
      <c r="M179" s="2">
        <v>6009.59</v>
      </c>
      <c r="N179" s="2">
        <v>0</v>
      </c>
      <c r="O179" s="3">
        <f t="shared" si="3"/>
        <v>84553.73</v>
      </c>
    </row>
    <row r="180" spans="1:15" x14ac:dyDescent="0.2">
      <c r="A180" s="5">
        <v>564</v>
      </c>
      <c r="B180" s="5">
        <v>1</v>
      </c>
      <c r="C180" s="2" t="s">
        <v>176</v>
      </c>
      <c r="D180" s="2">
        <v>423838.17</v>
      </c>
      <c r="E180" s="2">
        <v>367222.16</v>
      </c>
      <c r="F180" s="2">
        <v>76655.520000000004</v>
      </c>
      <c r="G180" s="2">
        <v>0</v>
      </c>
      <c r="H180" s="2">
        <v>43293.38</v>
      </c>
      <c r="I180" s="2">
        <v>0</v>
      </c>
      <c r="J180" s="2">
        <v>0</v>
      </c>
      <c r="K180" s="2">
        <v>43046.02</v>
      </c>
      <c r="L180" s="2">
        <v>0</v>
      </c>
      <c r="M180" s="2">
        <v>55817.78</v>
      </c>
      <c r="N180" s="2">
        <v>0</v>
      </c>
      <c r="O180" s="3">
        <f t="shared" si="3"/>
        <v>1009873.03</v>
      </c>
    </row>
    <row r="181" spans="1:15" x14ac:dyDescent="0.2">
      <c r="A181" s="5">
        <v>577</v>
      </c>
      <c r="B181" s="5">
        <v>1</v>
      </c>
      <c r="C181" s="2" t="s">
        <v>177</v>
      </c>
      <c r="D181" s="2">
        <v>124206.81</v>
      </c>
      <c r="E181" s="2">
        <v>4735.4900000000016</v>
      </c>
      <c r="F181" s="2">
        <v>20976.46</v>
      </c>
      <c r="G181" s="2">
        <v>0</v>
      </c>
      <c r="H181" s="2">
        <v>10000</v>
      </c>
      <c r="I181" s="2">
        <v>0</v>
      </c>
      <c r="J181" s="2">
        <v>0</v>
      </c>
      <c r="K181" s="2">
        <v>21599.040000000001</v>
      </c>
      <c r="L181" s="2">
        <v>0</v>
      </c>
      <c r="M181" s="2">
        <v>18890.64</v>
      </c>
      <c r="N181" s="2">
        <v>0</v>
      </c>
      <c r="O181" s="3">
        <f t="shared" si="3"/>
        <v>200408.44</v>
      </c>
    </row>
    <row r="182" spans="1:15" x14ac:dyDescent="0.2">
      <c r="A182" s="5">
        <v>578</v>
      </c>
      <c r="B182" s="5">
        <v>1</v>
      </c>
      <c r="C182" s="2" t="s">
        <v>178</v>
      </c>
      <c r="D182" s="2">
        <v>344022.86</v>
      </c>
      <c r="E182" s="2">
        <v>554293.27</v>
      </c>
      <c r="F182" s="2">
        <v>95310.14</v>
      </c>
      <c r="G182" s="2">
        <v>0</v>
      </c>
      <c r="H182" s="2">
        <v>31078.400000000001</v>
      </c>
      <c r="I182" s="2">
        <v>0</v>
      </c>
      <c r="J182" s="2">
        <v>-349.06</v>
      </c>
      <c r="K182" s="2">
        <v>18936.75</v>
      </c>
      <c r="L182" s="2">
        <v>0</v>
      </c>
      <c r="M182" s="2">
        <v>64311.82</v>
      </c>
      <c r="N182" s="2">
        <v>0</v>
      </c>
      <c r="O182" s="3">
        <f t="shared" si="3"/>
        <v>1107604.18</v>
      </c>
    </row>
    <row r="183" spans="1:15" x14ac:dyDescent="0.2">
      <c r="A183" s="5">
        <v>581</v>
      </c>
      <c r="B183" s="5">
        <v>1</v>
      </c>
      <c r="C183" s="2" t="s">
        <v>179</v>
      </c>
      <c r="D183" s="2">
        <v>77229.23</v>
      </c>
      <c r="E183" s="2">
        <v>74216.31</v>
      </c>
      <c r="F183" s="2">
        <v>52073.1</v>
      </c>
      <c r="G183" s="2">
        <v>2335.4899999999998</v>
      </c>
      <c r="H183" s="2">
        <v>10000</v>
      </c>
      <c r="I183" s="2">
        <v>0</v>
      </c>
      <c r="J183" s="2">
        <v>0</v>
      </c>
      <c r="K183" s="2">
        <v>-5000</v>
      </c>
      <c r="L183" s="2">
        <v>0</v>
      </c>
      <c r="M183" s="2">
        <v>15552.52</v>
      </c>
      <c r="N183" s="2">
        <v>0</v>
      </c>
      <c r="O183" s="3">
        <f t="shared" si="3"/>
        <v>226406.64999999997</v>
      </c>
    </row>
    <row r="184" spans="1:15" x14ac:dyDescent="0.2">
      <c r="A184" s="5">
        <v>592</v>
      </c>
      <c r="B184" s="5">
        <v>1</v>
      </c>
      <c r="C184" s="2" t="s">
        <v>180</v>
      </c>
      <c r="D184" s="2">
        <v>31051.11</v>
      </c>
      <c r="E184" s="2">
        <v>6928.0599999999977</v>
      </c>
      <c r="F184" s="2">
        <v>59852.66</v>
      </c>
      <c r="G184" s="2">
        <v>0</v>
      </c>
      <c r="H184" s="2">
        <v>10000</v>
      </c>
      <c r="I184" s="2">
        <v>0</v>
      </c>
      <c r="J184" s="2">
        <v>0</v>
      </c>
      <c r="K184" s="2">
        <v>17.6200000000008</v>
      </c>
      <c r="L184" s="2">
        <v>0</v>
      </c>
      <c r="M184" s="2">
        <v>5787.22</v>
      </c>
      <c r="N184" s="2">
        <v>0</v>
      </c>
      <c r="O184" s="3">
        <f t="shared" si="3"/>
        <v>113636.67</v>
      </c>
    </row>
    <row r="185" spans="1:15" x14ac:dyDescent="0.2">
      <c r="A185" s="5">
        <v>593</v>
      </c>
      <c r="B185" s="5">
        <v>1</v>
      </c>
      <c r="C185" s="2" t="s">
        <v>181</v>
      </c>
      <c r="D185" s="2">
        <v>295885.15999999997</v>
      </c>
      <c r="E185" s="2">
        <v>215368.12</v>
      </c>
      <c r="F185" s="2">
        <v>0</v>
      </c>
      <c r="G185" s="2">
        <v>0</v>
      </c>
      <c r="H185" s="2">
        <v>36483.379999999997</v>
      </c>
      <c r="I185" s="2">
        <v>0</v>
      </c>
      <c r="J185" s="2">
        <v>0</v>
      </c>
      <c r="K185" s="2">
        <v>13778.680000000002</v>
      </c>
      <c r="L185" s="2">
        <v>0</v>
      </c>
      <c r="M185" s="2">
        <v>61997.8</v>
      </c>
      <c r="N185" s="2">
        <v>0</v>
      </c>
      <c r="O185" s="3">
        <f t="shared" si="3"/>
        <v>623513.14</v>
      </c>
    </row>
    <row r="186" spans="1:15" x14ac:dyDescent="0.2">
      <c r="A186" s="5">
        <v>595</v>
      </c>
      <c r="B186" s="5">
        <v>1</v>
      </c>
      <c r="C186" s="2" t="s">
        <v>182</v>
      </c>
      <c r="D186" s="2">
        <v>295676.25</v>
      </c>
      <c r="E186" s="2">
        <v>345638.88</v>
      </c>
      <c r="F186" s="2">
        <v>0</v>
      </c>
      <c r="G186" s="2">
        <v>0</v>
      </c>
      <c r="H186" s="2">
        <v>46701.04</v>
      </c>
      <c r="I186" s="2">
        <v>0</v>
      </c>
      <c r="J186" s="2">
        <v>0</v>
      </c>
      <c r="K186" s="2">
        <v>-3926.3</v>
      </c>
      <c r="L186" s="2">
        <v>0</v>
      </c>
      <c r="M186" s="2">
        <v>53278.87</v>
      </c>
      <c r="N186" s="2">
        <v>0</v>
      </c>
      <c r="O186" s="3">
        <f t="shared" si="3"/>
        <v>737368.74</v>
      </c>
    </row>
    <row r="187" spans="1:15" x14ac:dyDescent="0.2">
      <c r="A187" s="5">
        <v>599</v>
      </c>
      <c r="B187" s="5">
        <v>1</v>
      </c>
      <c r="C187" s="2" t="s">
        <v>183</v>
      </c>
      <c r="D187" s="2">
        <v>115641.2</v>
      </c>
      <c r="E187" s="2">
        <v>172683.17</v>
      </c>
      <c r="F187" s="2">
        <v>37537.56</v>
      </c>
      <c r="G187" s="2">
        <v>0</v>
      </c>
      <c r="H187" s="2">
        <v>17446.849999999999</v>
      </c>
      <c r="I187" s="2">
        <v>0</v>
      </c>
      <c r="J187" s="2">
        <v>0</v>
      </c>
      <c r="K187" s="2">
        <v>22.680000000000291</v>
      </c>
      <c r="L187" s="2">
        <v>0</v>
      </c>
      <c r="M187" s="2">
        <v>19140.11</v>
      </c>
      <c r="N187" s="2">
        <v>0</v>
      </c>
      <c r="O187" s="3">
        <f t="shared" si="3"/>
        <v>362471.56999999995</v>
      </c>
    </row>
    <row r="188" spans="1:15" x14ac:dyDescent="0.2">
      <c r="A188" s="5">
        <v>600</v>
      </c>
      <c r="B188" s="5">
        <v>1</v>
      </c>
      <c r="C188" s="2" t="s">
        <v>184</v>
      </c>
      <c r="D188" s="2">
        <v>49641.29</v>
      </c>
      <c r="E188" s="2">
        <v>0</v>
      </c>
      <c r="F188" s="2">
        <v>75126.47</v>
      </c>
      <c r="G188" s="2">
        <v>0</v>
      </c>
      <c r="H188" s="2">
        <v>10000</v>
      </c>
      <c r="I188" s="2">
        <v>0</v>
      </c>
      <c r="J188" s="2">
        <v>-15576.03</v>
      </c>
      <c r="K188" s="2">
        <v>15576.03</v>
      </c>
      <c r="L188" s="2">
        <v>0</v>
      </c>
      <c r="M188" s="2">
        <v>9239.8700000000008</v>
      </c>
      <c r="N188" s="2">
        <v>0</v>
      </c>
      <c r="O188" s="3">
        <f t="shared" si="3"/>
        <v>144007.63</v>
      </c>
    </row>
    <row r="189" spans="1:15" x14ac:dyDescent="0.2">
      <c r="A189" s="5">
        <v>601</v>
      </c>
      <c r="B189" s="5">
        <v>1</v>
      </c>
      <c r="C189" s="2" t="s">
        <v>185</v>
      </c>
      <c r="D189" s="2">
        <v>131241.43</v>
      </c>
      <c r="E189" s="2">
        <v>102985.76999999999</v>
      </c>
      <c r="F189" s="2">
        <v>10280.629999999999</v>
      </c>
      <c r="G189" s="2">
        <v>5949.94</v>
      </c>
      <c r="H189" s="2">
        <v>17446.849999999999</v>
      </c>
      <c r="I189" s="2">
        <v>0</v>
      </c>
      <c r="J189" s="2">
        <v>0</v>
      </c>
      <c r="K189" s="2">
        <v>-2666.13</v>
      </c>
      <c r="L189" s="2">
        <v>0</v>
      </c>
      <c r="M189" s="2">
        <v>21009.97</v>
      </c>
      <c r="N189" s="2">
        <v>0</v>
      </c>
      <c r="O189" s="3">
        <f t="shared" si="3"/>
        <v>286248.45999999996</v>
      </c>
    </row>
    <row r="190" spans="1:15" x14ac:dyDescent="0.2">
      <c r="A190" s="5">
        <v>611</v>
      </c>
      <c r="B190" s="5">
        <v>1</v>
      </c>
      <c r="C190" s="2" t="s">
        <v>186</v>
      </c>
      <c r="D190" s="2">
        <v>10629.31</v>
      </c>
      <c r="E190" s="2">
        <v>0</v>
      </c>
      <c r="F190" s="2">
        <v>23770.639999999999</v>
      </c>
      <c r="G190" s="2">
        <v>0</v>
      </c>
      <c r="H190" s="2">
        <v>0</v>
      </c>
      <c r="I190" s="2">
        <v>0</v>
      </c>
      <c r="J190" s="2">
        <v>0</v>
      </c>
      <c r="K190" s="2">
        <v>3000</v>
      </c>
      <c r="L190" s="2">
        <v>0</v>
      </c>
      <c r="M190" s="2">
        <v>8381.07</v>
      </c>
      <c r="N190" s="2">
        <v>0</v>
      </c>
      <c r="O190" s="3">
        <f t="shared" si="3"/>
        <v>45781.02</v>
      </c>
    </row>
    <row r="191" spans="1:15" x14ac:dyDescent="0.2">
      <c r="A191" s="5">
        <v>621</v>
      </c>
      <c r="B191" s="5">
        <v>1</v>
      </c>
      <c r="C191" s="2" t="s">
        <v>187</v>
      </c>
      <c r="D191" s="2">
        <v>3757031.66</v>
      </c>
      <c r="E191" s="2">
        <v>5966012.5899999999</v>
      </c>
      <c r="F191" s="2">
        <v>2472890.44</v>
      </c>
      <c r="G191" s="2">
        <v>212864.42</v>
      </c>
      <c r="H191" s="2">
        <v>191457.6</v>
      </c>
      <c r="I191" s="2">
        <v>-8075.6600000000035</v>
      </c>
      <c r="J191" s="2">
        <v>0</v>
      </c>
      <c r="K191" s="2">
        <v>97039.82</v>
      </c>
      <c r="L191" s="2">
        <v>0</v>
      </c>
      <c r="M191" s="2">
        <v>519152</v>
      </c>
      <c r="N191" s="2">
        <v>0</v>
      </c>
      <c r="O191" s="3">
        <f t="shared" si="3"/>
        <v>13208372.869999999</v>
      </c>
    </row>
    <row r="192" spans="1:15" x14ac:dyDescent="0.2">
      <c r="A192" s="5">
        <v>622</v>
      </c>
      <c r="B192" s="5">
        <v>1</v>
      </c>
      <c r="C192" s="2" t="s">
        <v>188</v>
      </c>
      <c r="D192" s="2">
        <v>3868464.3</v>
      </c>
      <c r="E192" s="2">
        <v>2535329.2700000005</v>
      </c>
      <c r="F192" s="2">
        <v>2611114.7599999998</v>
      </c>
      <c r="G192" s="2">
        <v>46112.3</v>
      </c>
      <c r="H192" s="2">
        <v>258315.19999999998</v>
      </c>
      <c r="I192" s="2">
        <v>0</v>
      </c>
      <c r="J192" s="2">
        <v>0</v>
      </c>
      <c r="K192" s="2">
        <v>148524.40999999997</v>
      </c>
      <c r="L192" s="2">
        <v>0</v>
      </c>
      <c r="M192" s="2">
        <v>745201.78</v>
      </c>
      <c r="N192" s="2">
        <v>0</v>
      </c>
      <c r="O192" s="3">
        <f t="shared" si="3"/>
        <v>10213062.02</v>
      </c>
    </row>
    <row r="193" spans="1:15" x14ac:dyDescent="0.2">
      <c r="A193" s="5">
        <v>623</v>
      </c>
      <c r="B193" s="5">
        <v>1</v>
      </c>
      <c r="C193" s="2" t="s">
        <v>189</v>
      </c>
      <c r="D193" s="2">
        <v>2320942.62</v>
      </c>
      <c r="E193" s="2">
        <v>2604241.7199999997</v>
      </c>
      <c r="F193" s="2">
        <v>2907226.7</v>
      </c>
      <c r="G193" s="2">
        <v>0</v>
      </c>
      <c r="H193" s="2">
        <v>132002.4</v>
      </c>
      <c r="I193" s="2">
        <v>0</v>
      </c>
      <c r="J193" s="2">
        <v>0</v>
      </c>
      <c r="K193" s="2">
        <v>157866.51</v>
      </c>
      <c r="L193" s="2">
        <v>0</v>
      </c>
      <c r="M193" s="2">
        <v>417599.87</v>
      </c>
      <c r="N193" s="2">
        <v>0</v>
      </c>
      <c r="O193" s="3">
        <f t="shared" si="3"/>
        <v>8539879.8200000003</v>
      </c>
    </row>
    <row r="194" spans="1:15" x14ac:dyDescent="0.2">
      <c r="A194" s="5">
        <v>624</v>
      </c>
      <c r="B194" s="5">
        <v>1</v>
      </c>
      <c r="C194" s="2" t="s">
        <v>190</v>
      </c>
      <c r="D194" s="2">
        <v>2322620.62</v>
      </c>
      <c r="E194" s="2">
        <v>6524154.5800000001</v>
      </c>
      <c r="F194" s="2">
        <v>1582149</v>
      </c>
      <c r="G194" s="2">
        <v>0</v>
      </c>
      <c r="H194" s="2">
        <v>171017.1</v>
      </c>
      <c r="I194" s="2">
        <v>0</v>
      </c>
      <c r="J194" s="2">
        <v>0</v>
      </c>
      <c r="K194" s="2">
        <v>30618.13</v>
      </c>
      <c r="L194" s="2">
        <v>0</v>
      </c>
      <c r="M194" s="2">
        <v>412764.17</v>
      </c>
      <c r="N194" s="2">
        <v>0</v>
      </c>
      <c r="O194" s="3">
        <f t="shared" ref="O194:O255" si="4">SUM(D194:N194)</f>
        <v>11043323.6</v>
      </c>
    </row>
    <row r="195" spans="1:15" x14ac:dyDescent="0.2">
      <c r="A195" s="5">
        <v>625</v>
      </c>
      <c r="B195" s="5">
        <v>1</v>
      </c>
      <c r="C195" s="2" t="s">
        <v>191</v>
      </c>
      <c r="D195" s="2">
        <v>14912367.77</v>
      </c>
      <c r="E195" s="2">
        <v>10563144.77</v>
      </c>
      <c r="F195" s="2">
        <v>2473342.0699999998</v>
      </c>
      <c r="G195" s="2">
        <v>0</v>
      </c>
      <c r="H195" s="2">
        <v>669874.27999999991</v>
      </c>
      <c r="I195" s="2">
        <v>16015008.710000001</v>
      </c>
      <c r="J195" s="2">
        <v>0</v>
      </c>
      <c r="K195" s="2">
        <v>2009726.7</v>
      </c>
      <c r="L195" s="2">
        <v>0</v>
      </c>
      <c r="M195" s="2">
        <v>1735783.02</v>
      </c>
      <c r="N195" s="2">
        <v>0</v>
      </c>
      <c r="O195" s="3">
        <f t="shared" si="4"/>
        <v>48379247.320000008</v>
      </c>
    </row>
    <row r="196" spans="1:15" x14ac:dyDescent="0.2">
      <c r="A196" s="5">
        <v>627</v>
      </c>
      <c r="B196" s="5">
        <v>1</v>
      </c>
      <c r="C196" s="2" t="s">
        <v>192</v>
      </c>
      <c r="D196" s="2">
        <v>66246.98</v>
      </c>
      <c r="E196" s="2">
        <v>0</v>
      </c>
      <c r="F196" s="2">
        <v>75830.539999999994</v>
      </c>
      <c r="G196" s="2">
        <v>0</v>
      </c>
      <c r="H196" s="2">
        <v>12224.69</v>
      </c>
      <c r="I196" s="2">
        <v>0</v>
      </c>
      <c r="J196" s="2">
        <v>0</v>
      </c>
      <c r="K196" s="2">
        <v>-521.33999999999992</v>
      </c>
      <c r="L196" s="2">
        <v>0</v>
      </c>
      <c r="M196" s="2">
        <v>8186.18</v>
      </c>
      <c r="N196" s="2">
        <v>0</v>
      </c>
      <c r="O196" s="3">
        <f t="shared" si="4"/>
        <v>161967.04999999999</v>
      </c>
    </row>
    <row r="197" spans="1:15" x14ac:dyDescent="0.2">
      <c r="A197" s="5">
        <v>628</v>
      </c>
      <c r="B197" s="5">
        <v>1</v>
      </c>
      <c r="C197" s="2" t="s">
        <v>193</v>
      </c>
      <c r="D197" s="2">
        <v>29141.87</v>
      </c>
      <c r="E197" s="2">
        <v>56225.87000000001</v>
      </c>
      <c r="F197" s="2">
        <v>23405.23</v>
      </c>
      <c r="G197" s="2">
        <v>5099.47</v>
      </c>
      <c r="H197" s="2">
        <v>10000</v>
      </c>
      <c r="I197" s="2">
        <v>0</v>
      </c>
      <c r="J197" s="2">
        <v>0</v>
      </c>
      <c r="K197" s="2">
        <v>6213.84</v>
      </c>
      <c r="L197" s="2">
        <v>0</v>
      </c>
      <c r="M197" s="2">
        <v>16712.080000000002</v>
      </c>
      <c r="N197" s="2">
        <v>0</v>
      </c>
      <c r="O197" s="3">
        <f t="shared" si="4"/>
        <v>146798.35999999999</v>
      </c>
    </row>
    <row r="198" spans="1:15" x14ac:dyDescent="0.2">
      <c r="A198" s="5">
        <v>630</v>
      </c>
      <c r="B198" s="5">
        <v>1</v>
      </c>
      <c r="C198" s="2" t="s">
        <v>194</v>
      </c>
      <c r="D198" s="2">
        <v>53214.81</v>
      </c>
      <c r="E198" s="2">
        <v>132397.18</v>
      </c>
      <c r="F198" s="2">
        <v>15914.47</v>
      </c>
      <c r="G198" s="2">
        <v>0</v>
      </c>
      <c r="H198" s="2">
        <v>11057.51</v>
      </c>
      <c r="I198" s="2">
        <v>0</v>
      </c>
      <c r="J198" s="2">
        <v>-84.83</v>
      </c>
      <c r="K198" s="2">
        <v>84.83</v>
      </c>
      <c r="L198" s="2">
        <v>0</v>
      </c>
      <c r="M198" s="2">
        <v>9403.1299999999992</v>
      </c>
      <c r="N198" s="2">
        <v>0</v>
      </c>
      <c r="O198" s="3">
        <f t="shared" si="4"/>
        <v>221987.1</v>
      </c>
    </row>
    <row r="199" spans="1:15" x14ac:dyDescent="0.2">
      <c r="A199" s="5">
        <v>635</v>
      </c>
      <c r="B199" s="5">
        <v>1</v>
      </c>
      <c r="C199" s="2" t="s">
        <v>195</v>
      </c>
      <c r="D199" s="2">
        <v>26941.41</v>
      </c>
      <c r="E199" s="2">
        <v>13912.939999999995</v>
      </c>
      <c r="F199" s="2">
        <v>34554.870000000003</v>
      </c>
      <c r="G199" s="2">
        <v>0</v>
      </c>
      <c r="H199" s="2">
        <v>0</v>
      </c>
      <c r="I199" s="2">
        <v>0</v>
      </c>
      <c r="J199" s="2">
        <v>0</v>
      </c>
      <c r="K199" s="2">
        <v>0</v>
      </c>
      <c r="L199" s="2">
        <v>0</v>
      </c>
      <c r="M199" s="2">
        <v>6217.88</v>
      </c>
      <c r="N199" s="2">
        <v>0</v>
      </c>
      <c r="O199" s="3">
        <f t="shared" si="4"/>
        <v>81627.100000000006</v>
      </c>
    </row>
    <row r="200" spans="1:15" x14ac:dyDescent="0.2">
      <c r="A200" s="5">
        <v>640</v>
      </c>
      <c r="B200" s="5">
        <v>1</v>
      </c>
      <c r="C200" s="2" t="s">
        <v>196</v>
      </c>
      <c r="D200" s="2">
        <v>109847.28</v>
      </c>
      <c r="E200" s="2">
        <v>83777.009999999995</v>
      </c>
      <c r="F200" s="2">
        <v>21257.8</v>
      </c>
      <c r="G200" s="2">
        <v>3893.65</v>
      </c>
      <c r="H200" s="2">
        <v>10000</v>
      </c>
      <c r="I200" s="2">
        <v>0</v>
      </c>
      <c r="J200" s="2">
        <v>0</v>
      </c>
      <c r="K200" s="2">
        <v>8943.15</v>
      </c>
      <c r="L200" s="2">
        <v>0</v>
      </c>
      <c r="M200" s="2">
        <v>20377.490000000002</v>
      </c>
      <c r="N200" s="2">
        <v>0</v>
      </c>
      <c r="O200" s="3">
        <f t="shared" si="4"/>
        <v>258096.37999999995</v>
      </c>
    </row>
    <row r="201" spans="1:15" x14ac:dyDescent="0.2">
      <c r="A201" s="5">
        <v>656</v>
      </c>
      <c r="B201" s="5">
        <v>1</v>
      </c>
      <c r="C201" s="2" t="s">
        <v>197</v>
      </c>
      <c r="D201" s="2">
        <v>904360.36</v>
      </c>
      <c r="E201" s="2">
        <v>526859.33000000007</v>
      </c>
      <c r="F201" s="2">
        <v>329972.17</v>
      </c>
      <c r="G201" s="2">
        <v>0</v>
      </c>
      <c r="H201" s="2">
        <v>53531.75</v>
      </c>
      <c r="I201" s="2">
        <v>0</v>
      </c>
      <c r="J201" s="2">
        <v>0</v>
      </c>
      <c r="K201" s="2">
        <v>36858.82</v>
      </c>
      <c r="L201" s="2">
        <v>0</v>
      </c>
      <c r="M201" s="2">
        <v>171063.74</v>
      </c>
      <c r="N201" s="2">
        <v>0</v>
      </c>
      <c r="O201" s="3">
        <f t="shared" si="4"/>
        <v>2022646.17</v>
      </c>
    </row>
    <row r="202" spans="1:15" x14ac:dyDescent="0.2">
      <c r="A202" s="5">
        <v>659</v>
      </c>
      <c r="B202" s="5">
        <v>1</v>
      </c>
      <c r="C202" s="2" t="s">
        <v>198</v>
      </c>
      <c r="D202" s="2">
        <v>1442999.31</v>
      </c>
      <c r="E202" s="2">
        <v>2144453.6799999997</v>
      </c>
      <c r="F202" s="2">
        <v>374465.93</v>
      </c>
      <c r="G202" s="2">
        <v>0</v>
      </c>
      <c r="H202" s="2">
        <v>16096.53</v>
      </c>
      <c r="I202" s="2">
        <v>0</v>
      </c>
      <c r="J202" s="2">
        <v>0</v>
      </c>
      <c r="K202" s="2">
        <v>41.069999999999709</v>
      </c>
      <c r="L202" s="2">
        <v>0</v>
      </c>
      <c r="M202" s="2">
        <v>212088.15</v>
      </c>
      <c r="N202" s="2">
        <v>0</v>
      </c>
      <c r="O202" s="3">
        <f t="shared" si="4"/>
        <v>4190144.6699999995</v>
      </c>
    </row>
    <row r="203" spans="1:15" x14ac:dyDescent="0.2">
      <c r="A203" s="5">
        <v>671</v>
      </c>
      <c r="B203" s="5">
        <v>1</v>
      </c>
      <c r="C203" s="2" t="s">
        <v>199</v>
      </c>
      <c r="D203" s="2">
        <v>78204.960000000006</v>
      </c>
      <c r="E203" s="2">
        <v>17881.18</v>
      </c>
      <c r="F203" s="2">
        <v>64894.85</v>
      </c>
      <c r="G203" s="2">
        <v>0</v>
      </c>
      <c r="H203" s="2">
        <v>2638.42</v>
      </c>
      <c r="I203" s="2">
        <v>0</v>
      </c>
      <c r="J203" s="2">
        <v>0</v>
      </c>
      <c r="K203" s="2">
        <v>0</v>
      </c>
      <c r="L203" s="2">
        <v>0</v>
      </c>
      <c r="M203" s="2">
        <v>12900.94</v>
      </c>
      <c r="N203" s="2">
        <v>0</v>
      </c>
      <c r="O203" s="3">
        <f t="shared" si="4"/>
        <v>176520.35000000003</v>
      </c>
    </row>
    <row r="204" spans="1:15" x14ac:dyDescent="0.2">
      <c r="A204" s="5">
        <v>676</v>
      </c>
      <c r="B204" s="5">
        <v>1</v>
      </c>
      <c r="C204" s="2" t="s">
        <v>200</v>
      </c>
      <c r="D204" s="2">
        <v>47825.62</v>
      </c>
      <c r="E204" s="2">
        <v>0</v>
      </c>
      <c r="F204" s="2">
        <v>82150</v>
      </c>
      <c r="G204" s="2">
        <v>0</v>
      </c>
      <c r="H204" s="2">
        <v>10000</v>
      </c>
      <c r="I204" s="2">
        <v>0</v>
      </c>
      <c r="J204" s="2">
        <v>0</v>
      </c>
      <c r="K204" s="2">
        <v>2237.38</v>
      </c>
      <c r="L204" s="2">
        <v>0</v>
      </c>
      <c r="M204" s="2">
        <v>5402.86</v>
      </c>
      <c r="N204" s="2">
        <v>0</v>
      </c>
      <c r="O204" s="3">
        <f t="shared" si="4"/>
        <v>147615.85999999999</v>
      </c>
    </row>
    <row r="205" spans="1:15" x14ac:dyDescent="0.2">
      <c r="A205" s="5">
        <v>682</v>
      </c>
      <c r="B205" s="5">
        <v>1</v>
      </c>
      <c r="C205" s="2" t="s">
        <v>201</v>
      </c>
      <c r="D205" s="2">
        <v>205948.05</v>
      </c>
      <c r="E205" s="2">
        <v>102170.54000000001</v>
      </c>
      <c r="F205" s="2">
        <v>45551.1</v>
      </c>
      <c r="G205" s="2">
        <v>17470.36</v>
      </c>
      <c r="H205" s="2">
        <v>25061.34</v>
      </c>
      <c r="I205" s="2">
        <v>0</v>
      </c>
      <c r="J205" s="2">
        <v>0</v>
      </c>
      <c r="K205" s="2">
        <v>7338.88</v>
      </c>
      <c r="L205" s="2">
        <v>0</v>
      </c>
      <c r="M205" s="2">
        <v>42677.599999999999</v>
      </c>
      <c r="N205" s="2">
        <v>0</v>
      </c>
      <c r="O205" s="3">
        <f t="shared" si="4"/>
        <v>446217.86999999994</v>
      </c>
    </row>
    <row r="206" spans="1:15" x14ac:dyDescent="0.2">
      <c r="A206" s="5">
        <v>690</v>
      </c>
      <c r="B206" s="5">
        <v>1</v>
      </c>
      <c r="C206" s="2" t="s">
        <v>202</v>
      </c>
      <c r="D206" s="2">
        <v>240737.69</v>
      </c>
      <c r="E206" s="2">
        <v>121242.78</v>
      </c>
      <c r="F206" s="2">
        <v>36984.730000000003</v>
      </c>
      <c r="G206" s="2">
        <v>0</v>
      </c>
      <c r="H206" s="2">
        <v>24698.400000000001</v>
      </c>
      <c r="I206" s="2">
        <v>0</v>
      </c>
      <c r="J206" s="2">
        <v>0</v>
      </c>
      <c r="K206" s="2">
        <v>53398.55</v>
      </c>
      <c r="L206" s="2">
        <v>0</v>
      </c>
      <c r="M206" s="2">
        <v>38414.9</v>
      </c>
      <c r="N206" s="2">
        <v>0</v>
      </c>
      <c r="O206" s="3">
        <f t="shared" si="4"/>
        <v>515477.05</v>
      </c>
    </row>
    <row r="207" spans="1:15" x14ac:dyDescent="0.2">
      <c r="A207" s="5">
        <v>695</v>
      </c>
      <c r="B207" s="5">
        <v>1</v>
      </c>
      <c r="C207" s="2" t="s">
        <v>203</v>
      </c>
      <c r="D207" s="2">
        <v>0</v>
      </c>
      <c r="E207" s="2">
        <v>161226.49</v>
      </c>
      <c r="F207" s="2">
        <v>27688.080000000002</v>
      </c>
      <c r="G207" s="2">
        <v>8880.85</v>
      </c>
      <c r="H207" s="2">
        <v>12074.4</v>
      </c>
      <c r="I207" s="2">
        <v>140500.43999999997</v>
      </c>
      <c r="J207" s="2">
        <v>0</v>
      </c>
      <c r="K207" s="2">
        <v>11712.77</v>
      </c>
      <c r="L207" s="2">
        <v>0</v>
      </c>
      <c r="M207" s="2">
        <v>0</v>
      </c>
      <c r="N207" s="2">
        <v>0</v>
      </c>
      <c r="O207" s="3">
        <f t="shared" si="4"/>
        <v>362083.03</v>
      </c>
    </row>
    <row r="208" spans="1:15" x14ac:dyDescent="0.2">
      <c r="A208" s="5">
        <v>696</v>
      </c>
      <c r="B208" s="5">
        <v>1</v>
      </c>
      <c r="C208" s="2" t="s">
        <v>204</v>
      </c>
      <c r="D208" s="2">
        <v>365106.74</v>
      </c>
      <c r="E208" s="2">
        <v>109513.19</v>
      </c>
      <c r="F208" s="2">
        <v>61464.47</v>
      </c>
      <c r="G208" s="2">
        <v>2504.4899999999998</v>
      </c>
      <c r="H208" s="2">
        <v>0</v>
      </c>
      <c r="I208" s="2">
        <v>219043.62</v>
      </c>
      <c r="J208" s="2">
        <v>0</v>
      </c>
      <c r="K208" s="2">
        <v>35898.58</v>
      </c>
      <c r="L208" s="2">
        <v>0</v>
      </c>
      <c r="M208" s="2">
        <v>10976.39</v>
      </c>
      <c r="N208" s="2">
        <v>0</v>
      </c>
      <c r="O208" s="3">
        <f t="shared" si="4"/>
        <v>804507.48</v>
      </c>
    </row>
    <row r="209" spans="1:15" x14ac:dyDescent="0.2">
      <c r="A209" s="5">
        <v>698</v>
      </c>
      <c r="B209" s="5">
        <v>1</v>
      </c>
      <c r="C209" s="2" t="s">
        <v>205</v>
      </c>
      <c r="D209" s="2">
        <v>88456.7</v>
      </c>
      <c r="E209" s="2">
        <v>0</v>
      </c>
      <c r="F209" s="2">
        <v>14891.46</v>
      </c>
      <c r="G209" s="2">
        <v>5557.25</v>
      </c>
      <c r="H209" s="2">
        <v>10000</v>
      </c>
      <c r="I209" s="2">
        <v>0</v>
      </c>
      <c r="J209" s="2">
        <v>0</v>
      </c>
      <c r="K209" s="2">
        <v>17482.5</v>
      </c>
      <c r="L209" s="2">
        <v>0</v>
      </c>
      <c r="M209" s="2">
        <v>10869.69</v>
      </c>
      <c r="N209" s="2">
        <v>0</v>
      </c>
      <c r="O209" s="3">
        <f t="shared" si="4"/>
        <v>147257.60000000001</v>
      </c>
    </row>
    <row r="210" spans="1:15" x14ac:dyDescent="0.2">
      <c r="A210" s="5">
        <v>700</v>
      </c>
      <c r="B210" s="5">
        <v>1</v>
      </c>
      <c r="C210" s="2" t="s">
        <v>206</v>
      </c>
      <c r="D210" s="2">
        <v>616693.87</v>
      </c>
      <c r="E210" s="2">
        <v>0</v>
      </c>
      <c r="F210" s="2">
        <v>83202.59</v>
      </c>
      <c r="G210" s="2">
        <v>0</v>
      </c>
      <c r="H210" s="2">
        <v>10000</v>
      </c>
      <c r="I210" s="2">
        <v>0</v>
      </c>
      <c r="J210" s="2">
        <v>0</v>
      </c>
      <c r="K210" s="2">
        <v>13062.82</v>
      </c>
      <c r="L210" s="2">
        <v>0</v>
      </c>
      <c r="M210" s="2">
        <v>66138.09</v>
      </c>
      <c r="N210" s="2">
        <v>0</v>
      </c>
      <c r="O210" s="3">
        <f t="shared" si="4"/>
        <v>789097.36999999988</v>
      </c>
    </row>
    <row r="211" spans="1:15" x14ac:dyDescent="0.2">
      <c r="A211" s="5">
        <v>701</v>
      </c>
      <c r="B211" s="5">
        <v>1</v>
      </c>
      <c r="C211" s="2" t="s">
        <v>207</v>
      </c>
      <c r="D211" s="2">
        <v>0</v>
      </c>
      <c r="E211" s="2">
        <v>503988.43</v>
      </c>
      <c r="F211" s="2">
        <v>109071.21</v>
      </c>
      <c r="G211" s="2">
        <v>59276.87</v>
      </c>
      <c r="H211" s="2">
        <v>26694.2</v>
      </c>
      <c r="I211" s="2">
        <v>478252.6</v>
      </c>
      <c r="J211" s="2">
        <v>0</v>
      </c>
      <c r="K211" s="2">
        <v>19848.82</v>
      </c>
      <c r="L211" s="2">
        <v>0</v>
      </c>
      <c r="M211" s="2">
        <v>0</v>
      </c>
      <c r="N211" s="2">
        <v>0</v>
      </c>
      <c r="O211" s="3">
        <f t="shared" si="4"/>
        <v>1197132.1300000001</v>
      </c>
    </row>
    <row r="212" spans="1:15" x14ac:dyDescent="0.2">
      <c r="A212" s="5">
        <v>704</v>
      </c>
      <c r="B212" s="5">
        <v>1</v>
      </c>
      <c r="C212" s="2" t="s">
        <v>208</v>
      </c>
      <c r="D212" s="2">
        <v>559441.97</v>
      </c>
      <c r="E212" s="2">
        <v>0</v>
      </c>
      <c r="F212" s="2">
        <v>96036.52</v>
      </c>
      <c r="G212" s="2">
        <v>0</v>
      </c>
      <c r="H212" s="2">
        <v>21283.72</v>
      </c>
      <c r="I212" s="2">
        <v>0</v>
      </c>
      <c r="J212" s="2">
        <v>0</v>
      </c>
      <c r="K212" s="2">
        <v>7735.95</v>
      </c>
      <c r="L212" s="2">
        <v>0</v>
      </c>
      <c r="M212" s="2">
        <v>69646.91</v>
      </c>
      <c r="N212" s="2">
        <v>0</v>
      </c>
      <c r="O212" s="3">
        <f t="shared" si="4"/>
        <v>754145.07</v>
      </c>
    </row>
    <row r="213" spans="1:15" x14ac:dyDescent="0.2">
      <c r="A213" s="5">
        <v>706</v>
      </c>
      <c r="B213" s="5">
        <v>1</v>
      </c>
      <c r="C213" s="2" t="s">
        <v>209</v>
      </c>
      <c r="D213" s="2">
        <v>11796.59</v>
      </c>
      <c r="E213" s="2">
        <v>358122.63</v>
      </c>
      <c r="F213" s="2">
        <v>66181.42</v>
      </c>
      <c r="G213" s="2">
        <v>46429.98</v>
      </c>
      <c r="H213" s="2">
        <v>34941.81</v>
      </c>
      <c r="I213" s="2">
        <v>525891.83999999997</v>
      </c>
      <c r="J213" s="2">
        <v>0</v>
      </c>
      <c r="K213" s="2">
        <v>22452.85</v>
      </c>
      <c r="L213" s="2">
        <v>0</v>
      </c>
      <c r="M213" s="2">
        <v>0</v>
      </c>
      <c r="N213" s="2">
        <v>0</v>
      </c>
      <c r="O213" s="3">
        <f t="shared" si="4"/>
        <v>1065817.1200000001</v>
      </c>
    </row>
    <row r="214" spans="1:15" x14ac:dyDescent="0.2">
      <c r="A214" s="5">
        <v>707</v>
      </c>
      <c r="B214" s="5">
        <v>1</v>
      </c>
      <c r="C214" s="2" t="s">
        <v>210</v>
      </c>
      <c r="D214" s="2">
        <v>9021.48</v>
      </c>
      <c r="E214" s="2">
        <v>0</v>
      </c>
      <c r="F214" s="2">
        <v>38.729999999999997</v>
      </c>
      <c r="G214" s="2">
        <v>0</v>
      </c>
      <c r="H214" s="2">
        <v>0</v>
      </c>
      <c r="I214" s="2">
        <v>0</v>
      </c>
      <c r="J214" s="2">
        <v>0</v>
      </c>
      <c r="K214" s="2">
        <v>1824.41</v>
      </c>
      <c r="L214" s="2">
        <v>0</v>
      </c>
      <c r="M214" s="2">
        <v>826.09</v>
      </c>
      <c r="N214" s="2">
        <v>0</v>
      </c>
      <c r="O214" s="3">
        <f t="shared" si="4"/>
        <v>11710.71</v>
      </c>
    </row>
    <row r="215" spans="1:15" x14ac:dyDescent="0.2">
      <c r="A215" s="5">
        <v>709</v>
      </c>
      <c r="B215" s="5">
        <v>1</v>
      </c>
      <c r="C215" s="2" t="s">
        <v>211</v>
      </c>
      <c r="D215" s="2">
        <v>2003408.01</v>
      </c>
      <c r="E215" s="2">
        <v>1801495.55</v>
      </c>
      <c r="F215" s="2">
        <v>563244.99</v>
      </c>
      <c r="G215" s="2">
        <v>0</v>
      </c>
      <c r="H215" s="2">
        <v>262185.24</v>
      </c>
      <c r="I215" s="2">
        <v>625402.44999999995</v>
      </c>
      <c r="J215" s="2">
        <v>0</v>
      </c>
      <c r="K215" s="2">
        <v>380646.43000000005</v>
      </c>
      <c r="L215" s="2">
        <v>0</v>
      </c>
      <c r="M215" s="2">
        <v>518821.32</v>
      </c>
      <c r="N215" s="2">
        <v>0</v>
      </c>
      <c r="O215" s="3">
        <f t="shared" si="4"/>
        <v>6155203.9900000002</v>
      </c>
    </row>
    <row r="216" spans="1:15" x14ac:dyDescent="0.2">
      <c r="A216" s="5">
        <v>712</v>
      </c>
      <c r="B216" s="5">
        <v>1</v>
      </c>
      <c r="C216" s="2" t="s">
        <v>212</v>
      </c>
      <c r="D216" s="2">
        <v>0</v>
      </c>
      <c r="E216" s="2">
        <v>117731.77</v>
      </c>
      <c r="F216" s="2">
        <v>26674.799999999999</v>
      </c>
      <c r="G216" s="2">
        <v>21715.31</v>
      </c>
      <c r="H216" s="2">
        <v>17446.849999999999</v>
      </c>
      <c r="I216" s="2">
        <v>36516</v>
      </c>
      <c r="J216" s="2">
        <v>0</v>
      </c>
      <c r="K216" s="2">
        <v>8430.32</v>
      </c>
      <c r="L216" s="2">
        <v>0</v>
      </c>
      <c r="M216" s="2">
        <v>0</v>
      </c>
      <c r="N216" s="2">
        <v>0</v>
      </c>
      <c r="O216" s="3">
        <f t="shared" si="4"/>
        <v>228515.05000000002</v>
      </c>
    </row>
    <row r="217" spans="1:15" x14ac:dyDescent="0.2">
      <c r="A217" s="5">
        <v>716</v>
      </c>
      <c r="B217" s="5">
        <v>1</v>
      </c>
      <c r="C217" s="2" t="s">
        <v>213</v>
      </c>
      <c r="D217" s="2">
        <v>316305.88</v>
      </c>
      <c r="E217" s="2">
        <v>158841.96</v>
      </c>
      <c r="F217" s="2">
        <v>63260.97</v>
      </c>
      <c r="G217" s="2">
        <v>0</v>
      </c>
      <c r="H217" s="2">
        <v>27150.399999999998</v>
      </c>
      <c r="I217" s="2">
        <v>0</v>
      </c>
      <c r="J217" s="2">
        <v>0</v>
      </c>
      <c r="K217" s="2">
        <v>2137.12</v>
      </c>
      <c r="L217" s="2">
        <v>0</v>
      </c>
      <c r="M217" s="2">
        <v>65606.399999999994</v>
      </c>
      <c r="N217" s="2">
        <v>0</v>
      </c>
      <c r="O217" s="3">
        <f t="shared" si="4"/>
        <v>633302.73</v>
      </c>
    </row>
    <row r="218" spans="1:15" x14ac:dyDescent="0.2">
      <c r="A218" s="5">
        <v>717</v>
      </c>
      <c r="B218" s="5">
        <v>1</v>
      </c>
      <c r="C218" s="2" t="s">
        <v>214</v>
      </c>
      <c r="D218" s="2">
        <v>350892.69</v>
      </c>
      <c r="E218" s="2">
        <v>464286.82</v>
      </c>
      <c r="F218" s="2">
        <v>55047.71</v>
      </c>
      <c r="G218" s="2">
        <v>14022.14</v>
      </c>
      <c r="H218" s="2">
        <v>24162.27</v>
      </c>
      <c r="I218" s="2">
        <v>0</v>
      </c>
      <c r="J218" s="2">
        <v>0</v>
      </c>
      <c r="K218" s="2">
        <v>5369.9699999999993</v>
      </c>
      <c r="L218" s="2">
        <v>0</v>
      </c>
      <c r="M218" s="2">
        <v>63508.59</v>
      </c>
      <c r="N218" s="2">
        <v>0</v>
      </c>
      <c r="O218" s="3">
        <f t="shared" si="4"/>
        <v>977290.19</v>
      </c>
    </row>
    <row r="219" spans="1:15" x14ac:dyDescent="0.2">
      <c r="A219" s="5">
        <v>719</v>
      </c>
      <c r="B219" s="5">
        <v>1</v>
      </c>
      <c r="C219" s="2" t="s">
        <v>342</v>
      </c>
      <c r="D219" s="2">
        <v>1656983.96</v>
      </c>
      <c r="E219" s="2">
        <v>3077300.45</v>
      </c>
      <c r="F219" s="2">
        <v>893301.55</v>
      </c>
      <c r="G219" s="2">
        <v>0</v>
      </c>
      <c r="H219" s="2">
        <v>99248.75</v>
      </c>
      <c r="I219" s="2">
        <v>0</v>
      </c>
      <c r="J219" s="2">
        <v>0</v>
      </c>
      <c r="K219" s="2">
        <v>213079.26</v>
      </c>
      <c r="L219" s="2">
        <v>0</v>
      </c>
      <c r="M219" s="2">
        <v>306929.84000000003</v>
      </c>
      <c r="N219" s="2">
        <v>0</v>
      </c>
      <c r="O219" s="3">
        <f t="shared" si="4"/>
        <v>6246843.8099999996</v>
      </c>
    </row>
    <row r="220" spans="1:15" x14ac:dyDescent="0.2">
      <c r="A220" s="5">
        <v>720</v>
      </c>
      <c r="B220" s="5">
        <v>1</v>
      </c>
      <c r="C220" s="2" t="s">
        <v>216</v>
      </c>
      <c r="D220" s="2">
        <v>1327397.81</v>
      </c>
      <c r="E220" s="2">
        <v>1565648.5</v>
      </c>
      <c r="F220" s="2">
        <v>747920.6</v>
      </c>
      <c r="G220" s="2">
        <v>5134.3100000000004</v>
      </c>
      <c r="H220" s="2">
        <v>79315.78</v>
      </c>
      <c r="I220" s="2">
        <v>0</v>
      </c>
      <c r="J220" s="2">
        <v>0</v>
      </c>
      <c r="K220" s="2">
        <v>24203.690000000002</v>
      </c>
      <c r="L220" s="2">
        <v>0</v>
      </c>
      <c r="M220" s="2">
        <v>232311.27</v>
      </c>
      <c r="N220" s="2">
        <v>0</v>
      </c>
      <c r="O220" s="3">
        <f t="shared" si="4"/>
        <v>3981931.96</v>
      </c>
    </row>
    <row r="221" spans="1:15" x14ac:dyDescent="0.2">
      <c r="A221" s="5">
        <v>721</v>
      </c>
      <c r="B221" s="5">
        <v>1</v>
      </c>
      <c r="C221" s="2" t="s">
        <v>217</v>
      </c>
      <c r="D221" s="2">
        <v>844714.73</v>
      </c>
      <c r="E221" s="2">
        <v>1251514.9100000001</v>
      </c>
      <c r="F221" s="2">
        <v>161681.19</v>
      </c>
      <c r="G221" s="2">
        <v>0</v>
      </c>
      <c r="H221" s="2">
        <v>69431.62</v>
      </c>
      <c r="I221" s="2">
        <v>0</v>
      </c>
      <c r="J221" s="2">
        <v>0</v>
      </c>
      <c r="K221" s="2">
        <v>43737.25</v>
      </c>
      <c r="L221" s="2">
        <v>0</v>
      </c>
      <c r="M221" s="2">
        <v>106273.60000000001</v>
      </c>
      <c r="N221" s="2">
        <v>0</v>
      </c>
      <c r="O221" s="3">
        <f t="shared" si="4"/>
        <v>2477353.3000000003</v>
      </c>
    </row>
    <row r="222" spans="1:15" x14ac:dyDescent="0.2">
      <c r="A222" s="5">
        <v>726</v>
      </c>
      <c r="B222" s="5">
        <v>1</v>
      </c>
      <c r="C222" s="2" t="s">
        <v>218</v>
      </c>
      <c r="D222" s="2">
        <v>915638.75</v>
      </c>
      <c r="E222" s="2">
        <v>295785.60999999987</v>
      </c>
      <c r="F222" s="2">
        <v>783519.3</v>
      </c>
      <c r="G222" s="2">
        <v>0</v>
      </c>
      <c r="H222" s="2">
        <v>28850.52</v>
      </c>
      <c r="I222" s="2">
        <v>0</v>
      </c>
      <c r="J222" s="2">
        <v>-12787.62</v>
      </c>
      <c r="K222" s="2">
        <v>53337.41</v>
      </c>
      <c r="L222" s="2">
        <v>0</v>
      </c>
      <c r="M222" s="2">
        <v>93921.69</v>
      </c>
      <c r="N222" s="2">
        <v>0</v>
      </c>
      <c r="O222" s="3">
        <f t="shared" si="4"/>
        <v>2158265.6599999997</v>
      </c>
    </row>
    <row r="223" spans="1:15" x14ac:dyDescent="0.2">
      <c r="A223" s="5">
        <v>727</v>
      </c>
      <c r="B223" s="5">
        <v>1</v>
      </c>
      <c r="C223" s="2" t="s">
        <v>219</v>
      </c>
      <c r="D223" s="2">
        <v>514529.42</v>
      </c>
      <c r="E223" s="2">
        <v>562382.24</v>
      </c>
      <c r="F223" s="2">
        <v>115044.4</v>
      </c>
      <c r="G223" s="2">
        <v>0</v>
      </c>
      <c r="H223" s="2">
        <v>32513.68</v>
      </c>
      <c r="I223" s="2">
        <v>0</v>
      </c>
      <c r="J223" s="2">
        <v>0</v>
      </c>
      <c r="K223" s="2">
        <v>64527.66</v>
      </c>
      <c r="L223" s="2">
        <v>0</v>
      </c>
      <c r="M223" s="2">
        <v>121563.61</v>
      </c>
      <c r="N223" s="2">
        <v>0</v>
      </c>
      <c r="O223" s="3">
        <f t="shared" si="4"/>
        <v>1410561.0099999998</v>
      </c>
    </row>
    <row r="224" spans="1:15" x14ac:dyDescent="0.2">
      <c r="A224" s="5">
        <v>728</v>
      </c>
      <c r="B224" s="5">
        <v>1</v>
      </c>
      <c r="C224" s="2" t="s">
        <v>220</v>
      </c>
      <c r="D224" s="2">
        <v>3740798.38</v>
      </c>
      <c r="E224" s="2">
        <v>3121132.08</v>
      </c>
      <c r="F224" s="2">
        <v>1478546.91</v>
      </c>
      <c r="G224" s="2">
        <v>118407.02</v>
      </c>
      <c r="H224" s="2">
        <v>149787</v>
      </c>
      <c r="I224" s="2">
        <v>0</v>
      </c>
      <c r="J224" s="2">
        <v>0</v>
      </c>
      <c r="K224" s="2">
        <v>295385.67</v>
      </c>
      <c r="L224" s="2">
        <v>0</v>
      </c>
      <c r="M224" s="2">
        <v>419074.02</v>
      </c>
      <c r="N224" s="2">
        <v>0</v>
      </c>
      <c r="O224" s="3">
        <f t="shared" si="4"/>
        <v>9323131.0800000001</v>
      </c>
    </row>
    <row r="225" spans="1:15" x14ac:dyDescent="0.2">
      <c r="A225" s="5">
        <v>738</v>
      </c>
      <c r="B225" s="5">
        <v>1</v>
      </c>
      <c r="C225" s="2" t="s">
        <v>221</v>
      </c>
      <c r="D225" s="2">
        <v>42158.57</v>
      </c>
      <c r="E225" s="2">
        <v>121763.21999999999</v>
      </c>
      <c r="F225" s="2">
        <v>34772.33</v>
      </c>
      <c r="G225" s="2">
        <v>0</v>
      </c>
      <c r="H225" s="2">
        <v>22375.33</v>
      </c>
      <c r="I225" s="2">
        <v>0</v>
      </c>
      <c r="J225" s="2">
        <v>0</v>
      </c>
      <c r="K225" s="2">
        <v>106.68000000000029</v>
      </c>
      <c r="L225" s="2">
        <v>0</v>
      </c>
      <c r="M225" s="2">
        <v>28284.18</v>
      </c>
      <c r="N225" s="2">
        <v>0</v>
      </c>
      <c r="O225" s="3">
        <f t="shared" si="4"/>
        <v>249460.31</v>
      </c>
    </row>
    <row r="226" spans="1:15" x14ac:dyDescent="0.2">
      <c r="A226" s="5">
        <v>739</v>
      </c>
      <c r="B226" s="5">
        <v>1</v>
      </c>
      <c r="C226" s="2" t="s">
        <v>222</v>
      </c>
      <c r="D226" s="2">
        <v>164357.32</v>
      </c>
      <c r="E226" s="2">
        <v>275037.26</v>
      </c>
      <c r="F226" s="2">
        <v>43638.03</v>
      </c>
      <c r="G226" s="2">
        <v>0</v>
      </c>
      <c r="H226" s="2">
        <v>16124</v>
      </c>
      <c r="I226" s="2">
        <v>0</v>
      </c>
      <c r="J226" s="2">
        <v>0</v>
      </c>
      <c r="K226" s="2">
        <v>-8965.9000000000015</v>
      </c>
      <c r="L226" s="2">
        <v>0</v>
      </c>
      <c r="M226" s="2">
        <v>31910.48</v>
      </c>
      <c r="N226" s="2">
        <v>0</v>
      </c>
      <c r="O226" s="3">
        <f t="shared" si="4"/>
        <v>522101.18999999994</v>
      </c>
    </row>
    <row r="227" spans="1:15" x14ac:dyDescent="0.2">
      <c r="A227" s="5">
        <v>740</v>
      </c>
      <c r="B227" s="5">
        <v>1</v>
      </c>
      <c r="C227" s="2" t="s">
        <v>223</v>
      </c>
      <c r="D227" s="2">
        <v>270868.83</v>
      </c>
      <c r="E227" s="2">
        <v>296563.93</v>
      </c>
      <c r="F227" s="2">
        <v>52270.81</v>
      </c>
      <c r="G227" s="2">
        <v>0</v>
      </c>
      <c r="H227" s="2">
        <v>30156</v>
      </c>
      <c r="I227" s="2">
        <v>0</v>
      </c>
      <c r="J227" s="2">
        <v>0</v>
      </c>
      <c r="K227" s="2">
        <v>10884.42</v>
      </c>
      <c r="L227" s="2">
        <v>0</v>
      </c>
      <c r="M227" s="2">
        <v>49428.09</v>
      </c>
      <c r="N227" s="2">
        <v>0</v>
      </c>
      <c r="O227" s="3">
        <f t="shared" si="4"/>
        <v>710172.08000000007</v>
      </c>
    </row>
    <row r="228" spans="1:15" x14ac:dyDescent="0.2">
      <c r="A228" s="5">
        <v>741</v>
      </c>
      <c r="B228" s="5">
        <v>1</v>
      </c>
      <c r="C228" s="2" t="s">
        <v>224</v>
      </c>
      <c r="D228" s="2">
        <v>217406.9</v>
      </c>
      <c r="E228" s="2">
        <v>135564.65999999997</v>
      </c>
      <c r="F228" s="2">
        <v>50390.3</v>
      </c>
      <c r="G228" s="2">
        <v>14724.96</v>
      </c>
      <c r="H228" s="2">
        <v>23914.080000000002</v>
      </c>
      <c r="I228" s="2">
        <v>0</v>
      </c>
      <c r="J228" s="2">
        <v>0</v>
      </c>
      <c r="K228" s="2">
        <v>2792.1899999999996</v>
      </c>
      <c r="L228" s="2">
        <v>0</v>
      </c>
      <c r="M228" s="2">
        <v>38879.589999999997</v>
      </c>
      <c r="N228" s="2">
        <v>0</v>
      </c>
      <c r="O228" s="3">
        <f t="shared" si="4"/>
        <v>483672.67999999993</v>
      </c>
    </row>
    <row r="229" spans="1:15" x14ac:dyDescent="0.2">
      <c r="A229" s="5">
        <v>742</v>
      </c>
      <c r="B229" s="5">
        <v>1</v>
      </c>
      <c r="C229" s="2" t="s">
        <v>225</v>
      </c>
      <c r="D229" s="2">
        <v>3678262.36</v>
      </c>
      <c r="E229" s="2">
        <v>1712057.95</v>
      </c>
      <c r="F229" s="2">
        <v>1164341.68</v>
      </c>
      <c r="G229" s="2">
        <v>0</v>
      </c>
      <c r="H229" s="2">
        <v>188634.78</v>
      </c>
      <c r="I229" s="2">
        <v>4673.3999999999996</v>
      </c>
      <c r="J229" s="2">
        <v>0</v>
      </c>
      <c r="K229" s="2">
        <v>106012.55</v>
      </c>
      <c r="L229" s="2">
        <v>0</v>
      </c>
      <c r="M229" s="2">
        <v>622030.99</v>
      </c>
      <c r="N229" s="2">
        <v>0</v>
      </c>
      <c r="O229" s="3">
        <f t="shared" si="4"/>
        <v>7476013.71</v>
      </c>
    </row>
    <row r="230" spans="1:15" x14ac:dyDescent="0.2">
      <c r="A230" s="5">
        <v>743</v>
      </c>
      <c r="B230" s="5">
        <v>1</v>
      </c>
      <c r="C230" s="2" t="s">
        <v>226</v>
      </c>
      <c r="D230" s="2">
        <v>123114.63</v>
      </c>
      <c r="E230" s="2">
        <v>487715.88</v>
      </c>
      <c r="F230" s="2">
        <v>35407.78</v>
      </c>
      <c r="G230" s="2">
        <v>0</v>
      </c>
      <c r="H230" s="2">
        <v>28432.77</v>
      </c>
      <c r="I230" s="2">
        <v>0</v>
      </c>
      <c r="J230" s="2">
        <v>0</v>
      </c>
      <c r="K230" s="2">
        <v>8396.64</v>
      </c>
      <c r="L230" s="2">
        <v>0</v>
      </c>
      <c r="M230" s="2">
        <v>42321.05</v>
      </c>
      <c r="N230" s="2">
        <v>0</v>
      </c>
      <c r="O230" s="3">
        <f t="shared" si="4"/>
        <v>725388.75000000012</v>
      </c>
    </row>
    <row r="231" spans="1:15" x14ac:dyDescent="0.2">
      <c r="A231" s="5">
        <v>745</v>
      </c>
      <c r="B231" s="5">
        <v>1</v>
      </c>
      <c r="C231" s="2" t="s">
        <v>227</v>
      </c>
      <c r="D231" s="2">
        <v>225429.94</v>
      </c>
      <c r="E231" s="2">
        <v>203527.87000000002</v>
      </c>
      <c r="F231" s="2">
        <v>60324.53</v>
      </c>
      <c r="G231" s="2">
        <v>0</v>
      </c>
      <c r="H231" s="2">
        <v>35480.19</v>
      </c>
      <c r="I231" s="2">
        <v>0</v>
      </c>
      <c r="J231" s="2">
        <v>0</v>
      </c>
      <c r="K231" s="2">
        <v>12.819999999999993</v>
      </c>
      <c r="L231" s="2">
        <v>0</v>
      </c>
      <c r="M231" s="2">
        <v>48758.41</v>
      </c>
      <c r="N231" s="2">
        <v>0</v>
      </c>
      <c r="O231" s="3">
        <f t="shared" si="4"/>
        <v>573533.76</v>
      </c>
    </row>
    <row r="232" spans="1:15" x14ac:dyDescent="0.2">
      <c r="A232" s="5">
        <v>748</v>
      </c>
      <c r="B232" s="5">
        <v>1</v>
      </c>
      <c r="C232" s="2" t="s">
        <v>228</v>
      </c>
      <c r="D232" s="2">
        <v>518679.97</v>
      </c>
      <c r="E232" s="2">
        <v>317554.68000000005</v>
      </c>
      <c r="F232" s="2">
        <v>92655.9</v>
      </c>
      <c r="G232" s="2">
        <v>0</v>
      </c>
      <c r="H232" s="2">
        <v>58681.049999999996</v>
      </c>
      <c r="I232" s="2">
        <v>0</v>
      </c>
      <c r="J232" s="2">
        <v>0</v>
      </c>
      <c r="K232" s="2">
        <v>114969.45</v>
      </c>
      <c r="L232" s="2">
        <v>0</v>
      </c>
      <c r="M232" s="2">
        <v>84020.81</v>
      </c>
      <c r="N232" s="2">
        <v>0</v>
      </c>
      <c r="O232" s="3">
        <f t="shared" si="4"/>
        <v>1186561.8600000001</v>
      </c>
    </row>
    <row r="233" spans="1:15" x14ac:dyDescent="0.2">
      <c r="A233" s="5">
        <v>750</v>
      </c>
      <c r="B233" s="5">
        <v>1</v>
      </c>
      <c r="C233" s="2" t="s">
        <v>229</v>
      </c>
      <c r="D233" s="2">
        <v>487242.88</v>
      </c>
      <c r="E233" s="2">
        <v>420952.44</v>
      </c>
      <c r="F233" s="2">
        <v>110156.45</v>
      </c>
      <c r="G233" s="2">
        <v>0</v>
      </c>
      <c r="H233" s="2">
        <v>22982.959999999999</v>
      </c>
      <c r="I233" s="2">
        <v>0</v>
      </c>
      <c r="J233" s="2">
        <v>0</v>
      </c>
      <c r="K233" s="2">
        <v>-6527.8300000000017</v>
      </c>
      <c r="L233" s="2">
        <v>0</v>
      </c>
      <c r="M233" s="2">
        <v>70715</v>
      </c>
      <c r="N233" s="2">
        <v>0</v>
      </c>
      <c r="O233" s="3">
        <f t="shared" si="4"/>
        <v>1105521.8999999999</v>
      </c>
    </row>
    <row r="234" spans="1:15" x14ac:dyDescent="0.2">
      <c r="A234" s="5">
        <v>756</v>
      </c>
      <c r="B234" s="5">
        <v>1</v>
      </c>
      <c r="C234" s="2" t="s">
        <v>230</v>
      </c>
      <c r="D234" s="2">
        <v>169116.9</v>
      </c>
      <c r="E234" s="2">
        <v>109780.26000000001</v>
      </c>
      <c r="F234" s="2">
        <v>49372.4</v>
      </c>
      <c r="G234" s="2">
        <v>0</v>
      </c>
      <c r="H234" s="2">
        <v>15323.4</v>
      </c>
      <c r="I234" s="2">
        <v>0</v>
      </c>
      <c r="J234" s="2">
        <v>0</v>
      </c>
      <c r="K234" s="2">
        <v>9379.7000000000007</v>
      </c>
      <c r="L234" s="2">
        <v>0</v>
      </c>
      <c r="M234" s="2">
        <v>21848.47</v>
      </c>
      <c r="N234" s="2">
        <v>0</v>
      </c>
      <c r="O234" s="3">
        <f t="shared" si="4"/>
        <v>374821.13000000012</v>
      </c>
    </row>
    <row r="235" spans="1:15" x14ac:dyDescent="0.2">
      <c r="A235" s="5">
        <v>761</v>
      </c>
      <c r="B235" s="5">
        <v>1</v>
      </c>
      <c r="C235" s="2" t="s">
        <v>231</v>
      </c>
      <c r="D235" s="2">
        <v>979727.09</v>
      </c>
      <c r="E235" s="2">
        <v>1098470.2400000002</v>
      </c>
      <c r="F235" s="2">
        <v>339315.37</v>
      </c>
      <c r="G235" s="2">
        <v>0</v>
      </c>
      <c r="H235" s="2">
        <v>98712.909999999989</v>
      </c>
      <c r="I235" s="2">
        <v>0</v>
      </c>
      <c r="J235" s="2">
        <v>0</v>
      </c>
      <c r="K235" s="2">
        <v>52335.23</v>
      </c>
      <c r="L235" s="2">
        <v>0</v>
      </c>
      <c r="M235" s="2">
        <v>150770.48000000001</v>
      </c>
      <c r="N235" s="2">
        <v>0</v>
      </c>
      <c r="O235" s="3">
        <f t="shared" si="4"/>
        <v>2719331.3200000003</v>
      </c>
    </row>
    <row r="236" spans="1:15" x14ac:dyDescent="0.2">
      <c r="A236" s="5">
        <v>763</v>
      </c>
      <c r="B236" s="5">
        <v>1</v>
      </c>
      <c r="C236" s="2" t="s">
        <v>232</v>
      </c>
      <c r="D236" s="2">
        <v>109830.73</v>
      </c>
      <c r="E236" s="2">
        <v>0</v>
      </c>
      <c r="F236" s="2">
        <v>82496.66</v>
      </c>
      <c r="G236" s="2">
        <v>2287.08</v>
      </c>
      <c r="H236" s="2">
        <v>10000</v>
      </c>
      <c r="I236" s="2">
        <v>0</v>
      </c>
      <c r="J236" s="2">
        <v>0</v>
      </c>
      <c r="K236" s="2">
        <v>25734.83</v>
      </c>
      <c r="L236" s="2">
        <v>0</v>
      </c>
      <c r="M236" s="2">
        <v>16867.669999999998</v>
      </c>
      <c r="N236" s="2">
        <v>0</v>
      </c>
      <c r="O236" s="3">
        <f t="shared" si="4"/>
        <v>247216.96999999997</v>
      </c>
    </row>
    <row r="237" spans="1:15" x14ac:dyDescent="0.2">
      <c r="A237" s="5">
        <v>768</v>
      </c>
      <c r="B237" s="5">
        <v>1</v>
      </c>
      <c r="C237" s="2" t="s">
        <v>233</v>
      </c>
      <c r="D237" s="2">
        <v>33460.129999999997</v>
      </c>
      <c r="E237" s="2">
        <v>54673.759999999995</v>
      </c>
      <c r="F237" s="2">
        <v>16918.64</v>
      </c>
      <c r="G237" s="2">
        <v>0</v>
      </c>
      <c r="H237" s="2">
        <v>10000</v>
      </c>
      <c r="I237" s="2">
        <v>0</v>
      </c>
      <c r="J237" s="2">
        <v>0</v>
      </c>
      <c r="K237" s="2">
        <v>1327.9099999999999</v>
      </c>
      <c r="L237" s="2">
        <v>0</v>
      </c>
      <c r="M237" s="2">
        <v>7030.04</v>
      </c>
      <c r="N237" s="2">
        <v>0</v>
      </c>
      <c r="O237" s="3">
        <f t="shared" si="4"/>
        <v>123410.47999999998</v>
      </c>
    </row>
    <row r="238" spans="1:15" x14ac:dyDescent="0.2">
      <c r="A238" s="5">
        <v>769</v>
      </c>
      <c r="B238" s="5">
        <v>1</v>
      </c>
      <c r="C238" s="2" t="s">
        <v>234</v>
      </c>
      <c r="D238" s="2">
        <v>120161.72</v>
      </c>
      <c r="E238" s="2">
        <v>141176.35000000003</v>
      </c>
      <c r="F238" s="2">
        <v>161645.93</v>
      </c>
      <c r="G238" s="2">
        <v>0</v>
      </c>
      <c r="H238" s="2">
        <v>11248.52</v>
      </c>
      <c r="I238" s="2">
        <v>0</v>
      </c>
      <c r="J238" s="2">
        <v>0</v>
      </c>
      <c r="K238" s="2">
        <v>3423.0600000000004</v>
      </c>
      <c r="L238" s="2">
        <v>0</v>
      </c>
      <c r="M238" s="2">
        <v>44888.5</v>
      </c>
      <c r="N238" s="2">
        <v>0</v>
      </c>
      <c r="O238" s="3">
        <f t="shared" si="4"/>
        <v>482544.08</v>
      </c>
    </row>
    <row r="239" spans="1:15" x14ac:dyDescent="0.2">
      <c r="A239" s="5">
        <v>771</v>
      </c>
      <c r="B239" s="5">
        <v>1</v>
      </c>
      <c r="C239" s="2" t="s">
        <v>235</v>
      </c>
      <c r="D239" s="2">
        <v>25531.9</v>
      </c>
      <c r="E239" s="2">
        <v>74142.73000000001</v>
      </c>
      <c r="F239" s="2">
        <v>91489.25</v>
      </c>
      <c r="G239" s="2">
        <v>0</v>
      </c>
      <c r="H239" s="2">
        <v>10000</v>
      </c>
      <c r="I239" s="2">
        <v>0</v>
      </c>
      <c r="J239" s="2">
        <v>0</v>
      </c>
      <c r="K239" s="2">
        <v>4500</v>
      </c>
      <c r="L239" s="2">
        <v>0</v>
      </c>
      <c r="M239" s="2">
        <v>12081.19</v>
      </c>
      <c r="N239" s="2">
        <v>0</v>
      </c>
      <c r="O239" s="3">
        <f t="shared" si="4"/>
        <v>217745.07</v>
      </c>
    </row>
    <row r="240" spans="1:15" x14ac:dyDescent="0.2">
      <c r="A240" s="5">
        <v>775</v>
      </c>
      <c r="B240" s="5">
        <v>1</v>
      </c>
      <c r="C240" s="2" t="s">
        <v>236</v>
      </c>
      <c r="D240" s="2">
        <v>154008.72</v>
      </c>
      <c r="E240" s="2">
        <v>40205.929999999993</v>
      </c>
      <c r="F240" s="2">
        <v>70853.63</v>
      </c>
      <c r="G240" s="2">
        <v>2763.8</v>
      </c>
      <c r="H240" s="2">
        <v>12621.6</v>
      </c>
      <c r="I240" s="2">
        <v>0</v>
      </c>
      <c r="J240" s="2">
        <v>0</v>
      </c>
      <c r="K240" s="2">
        <v>8104.4400000000005</v>
      </c>
      <c r="L240" s="2">
        <v>0</v>
      </c>
      <c r="M240" s="2">
        <v>20982.23</v>
      </c>
      <c r="N240" s="2">
        <v>0</v>
      </c>
      <c r="O240" s="3">
        <f t="shared" si="4"/>
        <v>309540.34999999998</v>
      </c>
    </row>
    <row r="241" spans="1:15" x14ac:dyDescent="0.2">
      <c r="A241" s="5">
        <v>777</v>
      </c>
      <c r="B241" s="5">
        <v>1</v>
      </c>
      <c r="C241" s="2" t="s">
        <v>237</v>
      </c>
      <c r="D241" s="2">
        <v>199845.5</v>
      </c>
      <c r="E241" s="2">
        <v>99490.00999999998</v>
      </c>
      <c r="F241" s="2">
        <v>57663.73</v>
      </c>
      <c r="G241" s="2">
        <v>0</v>
      </c>
      <c r="H241" s="2">
        <v>28001.02</v>
      </c>
      <c r="I241" s="2">
        <v>0</v>
      </c>
      <c r="J241" s="2">
        <v>0</v>
      </c>
      <c r="K241" s="2">
        <v>12731.1</v>
      </c>
      <c r="L241" s="2">
        <v>0</v>
      </c>
      <c r="M241" s="2">
        <v>36517.279999999999</v>
      </c>
      <c r="N241" s="2">
        <v>0</v>
      </c>
      <c r="O241" s="3">
        <f t="shared" si="4"/>
        <v>434248.64</v>
      </c>
    </row>
    <row r="242" spans="1:15" x14ac:dyDescent="0.2">
      <c r="A242" s="5">
        <v>786</v>
      </c>
      <c r="B242" s="5">
        <v>1</v>
      </c>
      <c r="C242" s="2" t="s">
        <v>238</v>
      </c>
      <c r="D242" s="2">
        <v>73169.600000000006</v>
      </c>
      <c r="E242" s="2">
        <v>38429.980000000003</v>
      </c>
      <c r="F242" s="2">
        <v>9085.75</v>
      </c>
      <c r="G242" s="2">
        <v>0</v>
      </c>
      <c r="H242" s="2">
        <v>10995.26</v>
      </c>
      <c r="I242" s="2">
        <v>0</v>
      </c>
      <c r="J242" s="2">
        <v>-3300</v>
      </c>
      <c r="K242" s="2">
        <v>3300</v>
      </c>
      <c r="L242" s="2">
        <v>0</v>
      </c>
      <c r="M242" s="2">
        <v>23580.23</v>
      </c>
      <c r="N242" s="2">
        <v>0</v>
      </c>
      <c r="O242" s="3">
        <f t="shared" si="4"/>
        <v>155260.82000000004</v>
      </c>
    </row>
    <row r="243" spans="1:15" x14ac:dyDescent="0.2">
      <c r="A243" s="5">
        <v>787</v>
      </c>
      <c r="B243" s="5">
        <v>1</v>
      </c>
      <c r="C243" s="2" t="s">
        <v>239</v>
      </c>
      <c r="D243" s="2">
        <v>71467.59</v>
      </c>
      <c r="E243" s="2">
        <v>0</v>
      </c>
      <c r="F243" s="2">
        <v>16243.15</v>
      </c>
      <c r="G243" s="2">
        <v>0</v>
      </c>
      <c r="H243" s="2">
        <v>21563.35</v>
      </c>
      <c r="I243" s="2">
        <v>0</v>
      </c>
      <c r="J243" s="2">
        <v>0</v>
      </c>
      <c r="K243" s="2">
        <v>0</v>
      </c>
      <c r="L243" s="2">
        <v>0</v>
      </c>
      <c r="M243" s="2">
        <v>12193.74</v>
      </c>
      <c r="N243" s="2">
        <v>0</v>
      </c>
      <c r="O243" s="3">
        <f t="shared" si="4"/>
        <v>121467.83</v>
      </c>
    </row>
    <row r="244" spans="1:15" x14ac:dyDescent="0.2">
      <c r="A244" s="5">
        <v>801</v>
      </c>
      <c r="B244" s="5">
        <v>1</v>
      </c>
      <c r="C244" s="2" t="s">
        <v>240</v>
      </c>
      <c r="D244" s="2">
        <v>20296.75</v>
      </c>
      <c r="E244" s="2">
        <v>0</v>
      </c>
      <c r="F244" s="2">
        <v>38455.82</v>
      </c>
      <c r="G244" s="2">
        <v>1041.8699999999999</v>
      </c>
      <c r="H244" s="2">
        <v>0</v>
      </c>
      <c r="I244" s="2">
        <v>0</v>
      </c>
      <c r="J244" s="2">
        <v>-16.79</v>
      </c>
      <c r="K244" s="2">
        <v>16.79</v>
      </c>
      <c r="L244" s="2">
        <v>0</v>
      </c>
      <c r="M244" s="2">
        <v>6461.93</v>
      </c>
      <c r="N244" s="2">
        <v>0</v>
      </c>
      <c r="O244" s="3">
        <f t="shared" si="4"/>
        <v>66256.37</v>
      </c>
    </row>
    <row r="245" spans="1:15" x14ac:dyDescent="0.2">
      <c r="A245" s="5">
        <v>803</v>
      </c>
      <c r="B245" s="5">
        <v>1</v>
      </c>
      <c r="C245" s="2" t="s">
        <v>241</v>
      </c>
      <c r="D245" s="2">
        <v>80147.63</v>
      </c>
      <c r="E245" s="2">
        <v>0</v>
      </c>
      <c r="F245" s="2">
        <v>87665.33</v>
      </c>
      <c r="G245" s="2">
        <v>0</v>
      </c>
      <c r="H245" s="2">
        <v>10000</v>
      </c>
      <c r="I245" s="2">
        <v>0</v>
      </c>
      <c r="J245" s="2">
        <v>0</v>
      </c>
      <c r="K245" s="2">
        <v>5157.78</v>
      </c>
      <c r="L245" s="2">
        <v>0</v>
      </c>
      <c r="M245" s="2">
        <v>15372.88</v>
      </c>
      <c r="N245" s="2">
        <v>0</v>
      </c>
      <c r="O245" s="3">
        <f t="shared" si="4"/>
        <v>198343.62000000002</v>
      </c>
    </row>
    <row r="246" spans="1:15" x14ac:dyDescent="0.2">
      <c r="A246" s="5">
        <v>811</v>
      </c>
      <c r="B246" s="5">
        <v>1</v>
      </c>
      <c r="C246" s="2" t="s">
        <v>242</v>
      </c>
      <c r="D246" s="2">
        <v>142632.35999999999</v>
      </c>
      <c r="E246" s="2">
        <v>370398.69999999995</v>
      </c>
      <c r="F246" s="2">
        <v>59013.4</v>
      </c>
      <c r="G246" s="2">
        <v>0</v>
      </c>
      <c r="H246" s="2">
        <v>16925.86</v>
      </c>
      <c r="I246" s="2">
        <v>0</v>
      </c>
      <c r="J246" s="2">
        <v>0</v>
      </c>
      <c r="K246" s="2">
        <v>1569.92</v>
      </c>
      <c r="L246" s="2">
        <v>0</v>
      </c>
      <c r="M246" s="2">
        <v>35124.68</v>
      </c>
      <c r="N246" s="2">
        <v>0</v>
      </c>
      <c r="O246" s="3">
        <f t="shared" si="4"/>
        <v>625664.92000000004</v>
      </c>
    </row>
    <row r="247" spans="1:15" x14ac:dyDescent="0.2">
      <c r="A247" s="5">
        <v>813</v>
      </c>
      <c r="B247" s="5">
        <v>1</v>
      </c>
      <c r="C247" s="2" t="s">
        <v>243</v>
      </c>
      <c r="D247" s="2">
        <v>192688.25</v>
      </c>
      <c r="E247" s="2">
        <v>575305.9</v>
      </c>
      <c r="F247" s="2">
        <v>0</v>
      </c>
      <c r="G247" s="2">
        <v>0</v>
      </c>
      <c r="H247" s="2">
        <v>25929.91</v>
      </c>
      <c r="I247" s="2">
        <v>0</v>
      </c>
      <c r="J247" s="2">
        <v>-8196.77</v>
      </c>
      <c r="K247" s="2">
        <v>32596.98</v>
      </c>
      <c r="L247" s="2">
        <v>0</v>
      </c>
      <c r="M247" s="2">
        <v>56186.95</v>
      </c>
      <c r="N247" s="2">
        <v>0</v>
      </c>
      <c r="O247" s="3">
        <f t="shared" si="4"/>
        <v>874511.22</v>
      </c>
    </row>
    <row r="248" spans="1:15" x14ac:dyDescent="0.2">
      <c r="A248" s="5">
        <v>815</v>
      </c>
      <c r="B248" s="5">
        <v>2</v>
      </c>
      <c r="C248" s="2" t="s">
        <v>244</v>
      </c>
      <c r="D248" s="2">
        <v>0</v>
      </c>
      <c r="E248" s="2">
        <v>10892.41</v>
      </c>
      <c r="F248" s="2">
        <v>0</v>
      </c>
      <c r="G248" s="2">
        <v>0</v>
      </c>
      <c r="H248" s="2">
        <v>0</v>
      </c>
      <c r="I248" s="2">
        <v>0</v>
      </c>
      <c r="J248" s="2">
        <v>0</v>
      </c>
      <c r="K248" s="2">
        <v>0</v>
      </c>
      <c r="L248" s="2">
        <v>0</v>
      </c>
      <c r="M248" s="2">
        <v>0</v>
      </c>
      <c r="N248" s="2">
        <v>0</v>
      </c>
      <c r="O248" s="3">
        <f t="shared" si="4"/>
        <v>10892.41</v>
      </c>
    </row>
    <row r="249" spans="1:15" x14ac:dyDescent="0.2">
      <c r="A249" s="5">
        <v>818</v>
      </c>
      <c r="B249" s="5">
        <v>1</v>
      </c>
      <c r="C249" s="2" t="s">
        <v>245</v>
      </c>
      <c r="D249" s="2">
        <v>62950.16</v>
      </c>
      <c r="E249" s="2">
        <v>0</v>
      </c>
      <c r="F249" s="2">
        <v>10032.65</v>
      </c>
      <c r="G249" s="2">
        <v>0</v>
      </c>
      <c r="H249" s="2">
        <v>10000</v>
      </c>
      <c r="I249" s="2">
        <v>0</v>
      </c>
      <c r="J249" s="2">
        <v>0</v>
      </c>
      <c r="K249" s="2">
        <v>-1630.9</v>
      </c>
      <c r="L249" s="2">
        <v>0</v>
      </c>
      <c r="M249" s="2">
        <v>5093.28</v>
      </c>
      <c r="N249" s="2">
        <v>0</v>
      </c>
      <c r="O249" s="3">
        <f t="shared" si="4"/>
        <v>86445.19</v>
      </c>
    </row>
    <row r="250" spans="1:15" x14ac:dyDescent="0.2">
      <c r="A250" s="5">
        <v>820</v>
      </c>
      <c r="B250" s="5">
        <v>1</v>
      </c>
      <c r="C250" s="2" t="s">
        <v>246</v>
      </c>
      <c r="D250" s="2">
        <v>83848.649999999994</v>
      </c>
      <c r="E250" s="2">
        <v>95738.829999999987</v>
      </c>
      <c r="F250" s="2">
        <v>16184.54</v>
      </c>
      <c r="G250" s="2">
        <v>0</v>
      </c>
      <c r="H250" s="2">
        <v>20990.86</v>
      </c>
      <c r="I250" s="2">
        <v>0</v>
      </c>
      <c r="J250" s="2">
        <v>-11160</v>
      </c>
      <c r="K250" s="2">
        <v>11081.05</v>
      </c>
      <c r="L250" s="2">
        <v>0</v>
      </c>
      <c r="M250" s="2">
        <v>16989.099999999999</v>
      </c>
      <c r="N250" s="2">
        <v>0</v>
      </c>
      <c r="O250" s="3">
        <f t="shared" si="4"/>
        <v>233673.03</v>
      </c>
    </row>
    <row r="251" spans="1:15" x14ac:dyDescent="0.2">
      <c r="A251" s="5">
        <v>821</v>
      </c>
      <c r="B251" s="5">
        <v>1</v>
      </c>
      <c r="C251" s="2" t="s">
        <v>247</v>
      </c>
      <c r="D251" s="2">
        <v>289389.24</v>
      </c>
      <c r="E251" s="2">
        <v>0</v>
      </c>
      <c r="F251" s="2">
        <v>0</v>
      </c>
      <c r="G251" s="2">
        <v>0</v>
      </c>
      <c r="H251" s="2">
        <v>14358.89</v>
      </c>
      <c r="I251" s="2">
        <v>0</v>
      </c>
      <c r="J251" s="2">
        <v>0</v>
      </c>
      <c r="K251" s="2">
        <v>6305.99</v>
      </c>
      <c r="L251" s="2">
        <v>0</v>
      </c>
      <c r="M251" s="2">
        <v>20293.419999999998</v>
      </c>
      <c r="N251" s="2">
        <v>0</v>
      </c>
      <c r="O251" s="3">
        <f t="shared" si="4"/>
        <v>330347.53999999998</v>
      </c>
    </row>
    <row r="252" spans="1:15" x14ac:dyDescent="0.2">
      <c r="A252" s="5">
        <v>829</v>
      </c>
      <c r="B252" s="5">
        <v>1</v>
      </c>
      <c r="C252" s="2" t="s">
        <v>248</v>
      </c>
      <c r="D252" s="2">
        <v>307533.5</v>
      </c>
      <c r="E252" s="2">
        <v>0</v>
      </c>
      <c r="F252" s="2">
        <v>96765.35</v>
      </c>
      <c r="G252" s="2">
        <v>0</v>
      </c>
      <c r="H252" s="2">
        <v>41201.199999999997</v>
      </c>
      <c r="I252" s="2">
        <v>0</v>
      </c>
      <c r="J252" s="2">
        <v>0</v>
      </c>
      <c r="K252" s="2">
        <v>29249.83</v>
      </c>
      <c r="L252" s="2">
        <v>0</v>
      </c>
      <c r="M252" s="2">
        <v>83924.91</v>
      </c>
      <c r="N252" s="2">
        <v>0</v>
      </c>
      <c r="O252" s="3">
        <f t="shared" si="4"/>
        <v>558674.79</v>
      </c>
    </row>
    <row r="253" spans="1:15" x14ac:dyDescent="0.2">
      <c r="A253" s="5">
        <v>831</v>
      </c>
      <c r="B253" s="5">
        <v>1</v>
      </c>
      <c r="C253" s="2" t="s">
        <v>249</v>
      </c>
      <c r="D253" s="2">
        <v>1818871.41</v>
      </c>
      <c r="E253" s="2">
        <v>2706551.42</v>
      </c>
      <c r="F253" s="2">
        <v>393408.33</v>
      </c>
      <c r="G253" s="2">
        <v>0</v>
      </c>
      <c r="H253" s="2">
        <v>106874.13</v>
      </c>
      <c r="I253" s="2">
        <v>0</v>
      </c>
      <c r="J253" s="2">
        <v>0</v>
      </c>
      <c r="K253" s="2">
        <v>160251.10999999999</v>
      </c>
      <c r="L253" s="2">
        <v>0</v>
      </c>
      <c r="M253" s="2">
        <v>424524.89</v>
      </c>
      <c r="N253" s="2">
        <v>0</v>
      </c>
      <c r="O253" s="3">
        <f t="shared" si="4"/>
        <v>5610481.29</v>
      </c>
    </row>
    <row r="254" spans="1:15" x14ac:dyDescent="0.2">
      <c r="A254" s="5">
        <v>832</v>
      </c>
      <c r="B254" s="5">
        <v>1</v>
      </c>
      <c r="C254" s="2" t="s">
        <v>250</v>
      </c>
      <c r="D254" s="2">
        <v>1336550.2</v>
      </c>
      <c r="E254" s="2">
        <v>1024282.61</v>
      </c>
      <c r="F254" s="2">
        <v>632970.1</v>
      </c>
      <c r="G254" s="2">
        <v>20881.96</v>
      </c>
      <c r="H254" s="2">
        <v>54728.710000000006</v>
      </c>
      <c r="I254" s="2">
        <v>0</v>
      </c>
      <c r="J254" s="2">
        <v>0</v>
      </c>
      <c r="K254" s="2">
        <v>72239.03</v>
      </c>
      <c r="L254" s="2">
        <v>0</v>
      </c>
      <c r="M254" s="2">
        <v>129293.5</v>
      </c>
      <c r="N254" s="2">
        <v>0</v>
      </c>
      <c r="O254" s="3">
        <f t="shared" si="4"/>
        <v>3270946.11</v>
      </c>
    </row>
    <row r="255" spans="1:15" x14ac:dyDescent="0.2">
      <c r="A255" s="5">
        <v>833</v>
      </c>
      <c r="B255" s="5">
        <v>1</v>
      </c>
      <c r="C255" s="2" t="s">
        <v>251</v>
      </c>
      <c r="D255" s="2">
        <v>4653065.72</v>
      </c>
      <c r="E255" s="2">
        <v>5732936.8199999994</v>
      </c>
      <c r="F255" s="2">
        <v>2822207.2</v>
      </c>
      <c r="G255" s="2">
        <v>55969.13</v>
      </c>
      <c r="H255" s="2">
        <v>294764</v>
      </c>
      <c r="I255" s="2">
        <v>0</v>
      </c>
      <c r="J255" s="2">
        <v>0</v>
      </c>
      <c r="K255" s="2">
        <v>112872.56</v>
      </c>
      <c r="L255" s="2">
        <v>0</v>
      </c>
      <c r="M255" s="2">
        <v>665102.66</v>
      </c>
      <c r="N255" s="2">
        <v>0</v>
      </c>
      <c r="O255" s="3">
        <f t="shared" si="4"/>
        <v>14336918.09</v>
      </c>
    </row>
    <row r="256" spans="1:15" x14ac:dyDescent="0.2">
      <c r="A256" s="5">
        <v>834</v>
      </c>
      <c r="B256" s="5">
        <v>1</v>
      </c>
      <c r="C256" s="2" t="s">
        <v>252</v>
      </c>
      <c r="D256" s="2">
        <v>3561815.99</v>
      </c>
      <c r="E256" s="2">
        <v>4130952.5500000003</v>
      </c>
      <c r="F256" s="2">
        <v>1639817.77</v>
      </c>
      <c r="G256" s="2">
        <v>207626.7</v>
      </c>
      <c r="H256" s="2">
        <v>154775.21</v>
      </c>
      <c r="I256" s="2">
        <v>0</v>
      </c>
      <c r="J256" s="2">
        <v>0</v>
      </c>
      <c r="K256" s="2">
        <v>85056.61</v>
      </c>
      <c r="L256" s="2">
        <v>0</v>
      </c>
      <c r="M256" s="2">
        <v>434839.27</v>
      </c>
      <c r="N256" s="2">
        <v>0</v>
      </c>
      <c r="O256" s="3">
        <f t="shared" ref="O256:O318" si="5">SUM(D256:N256)</f>
        <v>10214884.1</v>
      </c>
    </row>
    <row r="257" spans="1:15" x14ac:dyDescent="0.2">
      <c r="A257" s="5">
        <v>836</v>
      </c>
      <c r="B257" s="5">
        <v>1</v>
      </c>
      <c r="C257" s="2" t="s">
        <v>253</v>
      </c>
      <c r="D257" s="2">
        <v>107855.84</v>
      </c>
      <c r="E257" s="2">
        <v>0</v>
      </c>
      <c r="F257" s="2">
        <v>69875.679999999993</v>
      </c>
      <c r="G257" s="2">
        <v>0</v>
      </c>
      <c r="H257" s="2">
        <v>10000</v>
      </c>
      <c r="I257" s="2">
        <v>0</v>
      </c>
      <c r="J257" s="2">
        <v>0</v>
      </c>
      <c r="K257" s="2">
        <v>650.39999999999964</v>
      </c>
      <c r="L257" s="2">
        <v>0</v>
      </c>
      <c r="M257" s="2">
        <v>13509.34</v>
      </c>
      <c r="N257" s="2">
        <v>0</v>
      </c>
      <c r="O257" s="3">
        <f t="shared" si="5"/>
        <v>201891.25999999998</v>
      </c>
    </row>
    <row r="258" spans="1:15" x14ac:dyDescent="0.2">
      <c r="A258" s="5">
        <v>837</v>
      </c>
      <c r="B258" s="5">
        <v>1</v>
      </c>
      <c r="C258" s="2" t="s">
        <v>254</v>
      </c>
      <c r="D258" s="2">
        <v>60928.28</v>
      </c>
      <c r="E258" s="2">
        <v>27867.409999999989</v>
      </c>
      <c r="F258" s="2">
        <v>78714.820000000007</v>
      </c>
      <c r="G258" s="2">
        <v>8589.65</v>
      </c>
      <c r="H258" s="2">
        <v>13235.7</v>
      </c>
      <c r="I258" s="2">
        <v>0</v>
      </c>
      <c r="J258" s="2">
        <v>0</v>
      </c>
      <c r="K258" s="2">
        <v>13607.81</v>
      </c>
      <c r="L258" s="2">
        <v>0</v>
      </c>
      <c r="M258" s="2">
        <v>23138.46</v>
      </c>
      <c r="N258" s="2">
        <v>0</v>
      </c>
      <c r="O258" s="3">
        <f t="shared" si="5"/>
        <v>226082.13</v>
      </c>
    </row>
    <row r="259" spans="1:15" x14ac:dyDescent="0.2">
      <c r="A259" s="5">
        <v>840</v>
      </c>
      <c r="B259" s="5">
        <v>1</v>
      </c>
      <c r="C259" s="2" t="s">
        <v>255</v>
      </c>
      <c r="D259" s="2">
        <v>258462.15</v>
      </c>
      <c r="E259" s="2">
        <v>193257.96</v>
      </c>
      <c r="F259" s="2">
        <v>66890.06</v>
      </c>
      <c r="G259" s="2">
        <v>0</v>
      </c>
      <c r="H259" s="2">
        <v>31063.919999999998</v>
      </c>
      <c r="I259" s="2">
        <v>0</v>
      </c>
      <c r="J259" s="2">
        <v>0</v>
      </c>
      <c r="K259" s="2">
        <v>6025.95</v>
      </c>
      <c r="L259" s="2">
        <v>0</v>
      </c>
      <c r="M259" s="2">
        <v>57540.94</v>
      </c>
      <c r="N259" s="2">
        <v>0</v>
      </c>
      <c r="O259" s="3">
        <f t="shared" si="5"/>
        <v>613240.98</v>
      </c>
    </row>
    <row r="260" spans="1:15" x14ac:dyDescent="0.2">
      <c r="A260" s="5">
        <v>846</v>
      </c>
      <c r="B260" s="5">
        <v>1</v>
      </c>
      <c r="C260" s="2" t="s">
        <v>256</v>
      </c>
      <c r="D260" s="2">
        <v>175339.81</v>
      </c>
      <c r="E260" s="2">
        <v>122702.63999999998</v>
      </c>
      <c r="F260" s="2">
        <v>18639.04</v>
      </c>
      <c r="G260" s="2">
        <v>0</v>
      </c>
      <c r="H260" s="2">
        <v>10000</v>
      </c>
      <c r="I260" s="2">
        <v>0</v>
      </c>
      <c r="J260" s="2">
        <v>0</v>
      </c>
      <c r="K260" s="2">
        <v>0</v>
      </c>
      <c r="L260" s="2">
        <v>0</v>
      </c>
      <c r="M260" s="2">
        <v>38125.46</v>
      </c>
      <c r="N260" s="2">
        <v>0</v>
      </c>
      <c r="O260" s="3">
        <f t="shared" si="5"/>
        <v>364806.94999999995</v>
      </c>
    </row>
    <row r="261" spans="1:15" x14ac:dyDescent="0.2">
      <c r="A261" s="5">
        <v>850</v>
      </c>
      <c r="B261" s="5">
        <v>1</v>
      </c>
      <c r="C261" s="2" t="s">
        <v>257</v>
      </c>
      <c r="D261" s="2">
        <v>94164.38</v>
      </c>
      <c r="E261" s="2">
        <v>60543.249999999985</v>
      </c>
      <c r="F261" s="2">
        <v>70534.77</v>
      </c>
      <c r="G261" s="2">
        <v>0</v>
      </c>
      <c r="H261" s="2">
        <v>10000</v>
      </c>
      <c r="I261" s="2">
        <v>0</v>
      </c>
      <c r="J261" s="2">
        <v>0</v>
      </c>
      <c r="K261" s="2">
        <v>-10876.5</v>
      </c>
      <c r="L261" s="2">
        <v>0</v>
      </c>
      <c r="M261" s="2">
        <v>9645.83</v>
      </c>
      <c r="N261" s="2">
        <v>0</v>
      </c>
      <c r="O261" s="3">
        <f t="shared" si="5"/>
        <v>234011.73</v>
      </c>
    </row>
    <row r="262" spans="1:15" x14ac:dyDescent="0.2">
      <c r="A262" s="5">
        <v>852</v>
      </c>
      <c r="B262" s="5">
        <v>1</v>
      </c>
      <c r="C262" s="2" t="s">
        <v>258</v>
      </c>
      <c r="D262" s="2">
        <v>31227.08</v>
      </c>
      <c r="E262" s="2">
        <v>65438.95</v>
      </c>
      <c r="F262" s="2">
        <v>97310.3</v>
      </c>
      <c r="G262" s="2">
        <v>0</v>
      </c>
      <c r="H262" s="2">
        <v>10000</v>
      </c>
      <c r="I262" s="2">
        <v>0</v>
      </c>
      <c r="J262" s="2">
        <v>0</v>
      </c>
      <c r="K262" s="2">
        <v>7071.0599999999995</v>
      </c>
      <c r="L262" s="2">
        <v>0</v>
      </c>
      <c r="M262" s="2">
        <v>11541.35</v>
      </c>
      <c r="N262" s="2">
        <v>0</v>
      </c>
      <c r="O262" s="3">
        <f t="shared" si="5"/>
        <v>222588.74000000002</v>
      </c>
    </row>
    <row r="263" spans="1:15" x14ac:dyDescent="0.2">
      <c r="A263" s="5">
        <v>857</v>
      </c>
      <c r="B263" s="5">
        <v>1</v>
      </c>
      <c r="C263" s="2" t="s">
        <v>259</v>
      </c>
      <c r="D263" s="2">
        <v>177645.95</v>
      </c>
      <c r="E263" s="2">
        <v>208044.94</v>
      </c>
      <c r="F263" s="2">
        <v>0</v>
      </c>
      <c r="G263" s="2">
        <v>0</v>
      </c>
      <c r="H263" s="2">
        <v>14556.63</v>
      </c>
      <c r="I263" s="2">
        <v>0</v>
      </c>
      <c r="J263" s="2">
        <v>0</v>
      </c>
      <c r="K263" s="2">
        <v>7721.73</v>
      </c>
      <c r="L263" s="2">
        <v>0</v>
      </c>
      <c r="M263" s="2">
        <v>24057</v>
      </c>
      <c r="N263" s="2">
        <v>0</v>
      </c>
      <c r="O263" s="3">
        <f t="shared" si="5"/>
        <v>432026.25</v>
      </c>
    </row>
    <row r="264" spans="1:15" x14ac:dyDescent="0.2">
      <c r="A264" s="5">
        <v>858</v>
      </c>
      <c r="B264" s="5">
        <v>1</v>
      </c>
      <c r="C264" s="2" t="s">
        <v>260</v>
      </c>
      <c r="D264" s="2">
        <v>137133.29999999999</v>
      </c>
      <c r="E264" s="2">
        <v>0</v>
      </c>
      <c r="F264" s="2">
        <v>0</v>
      </c>
      <c r="G264" s="2">
        <v>0</v>
      </c>
      <c r="H264" s="2">
        <v>15215.57</v>
      </c>
      <c r="I264" s="2">
        <v>0</v>
      </c>
      <c r="J264" s="2">
        <v>0</v>
      </c>
      <c r="K264" s="2">
        <v>8611.14</v>
      </c>
      <c r="L264" s="2">
        <v>0</v>
      </c>
      <c r="M264" s="2">
        <v>27716.09</v>
      </c>
      <c r="N264" s="2">
        <v>0</v>
      </c>
      <c r="O264" s="3">
        <f t="shared" si="5"/>
        <v>188676.1</v>
      </c>
    </row>
    <row r="265" spans="1:15" x14ac:dyDescent="0.2">
      <c r="A265" s="5">
        <v>861</v>
      </c>
      <c r="B265" s="5">
        <v>1</v>
      </c>
      <c r="C265" s="2" t="s">
        <v>261</v>
      </c>
      <c r="D265" s="2">
        <v>1035965.11</v>
      </c>
      <c r="E265" s="2">
        <v>3082010.77</v>
      </c>
      <c r="F265" s="2">
        <v>163275.60999999999</v>
      </c>
      <c r="G265" s="2">
        <v>0</v>
      </c>
      <c r="H265" s="2">
        <v>45420.62</v>
      </c>
      <c r="I265" s="2">
        <v>0</v>
      </c>
      <c r="J265" s="2">
        <v>0</v>
      </c>
      <c r="K265" s="2">
        <v>76647.929999999993</v>
      </c>
      <c r="L265" s="2">
        <v>0</v>
      </c>
      <c r="M265" s="2">
        <v>231938.64</v>
      </c>
      <c r="N265" s="2">
        <v>0</v>
      </c>
      <c r="O265" s="3">
        <f t="shared" si="5"/>
        <v>4635258.68</v>
      </c>
    </row>
    <row r="266" spans="1:15" x14ac:dyDescent="0.2">
      <c r="A266" s="5">
        <v>876</v>
      </c>
      <c r="B266" s="5">
        <v>1</v>
      </c>
      <c r="C266" s="2" t="s">
        <v>262</v>
      </c>
      <c r="D266" s="2">
        <v>559669.27</v>
      </c>
      <c r="E266" s="2">
        <v>336802.93999999994</v>
      </c>
      <c r="F266" s="2">
        <v>207538.92</v>
      </c>
      <c r="G266" s="2">
        <v>63681.05</v>
      </c>
      <c r="H266" s="2">
        <v>36480.800000000003</v>
      </c>
      <c r="I266" s="2">
        <v>0</v>
      </c>
      <c r="J266" s="2">
        <v>0</v>
      </c>
      <c r="K266" s="2">
        <v>5763.29</v>
      </c>
      <c r="L266" s="2">
        <v>0</v>
      </c>
      <c r="M266" s="2">
        <v>79373.429999999993</v>
      </c>
      <c r="N266" s="2">
        <v>0</v>
      </c>
      <c r="O266" s="3">
        <f t="shared" si="5"/>
        <v>1289309.7</v>
      </c>
    </row>
    <row r="267" spans="1:15" x14ac:dyDescent="0.2">
      <c r="A267" s="5">
        <v>877</v>
      </c>
      <c r="B267" s="5">
        <v>1</v>
      </c>
      <c r="C267" s="2" t="s">
        <v>263</v>
      </c>
      <c r="D267" s="2">
        <v>1206862.1000000001</v>
      </c>
      <c r="E267" s="2">
        <v>950918.37999999989</v>
      </c>
      <c r="F267" s="2">
        <v>442510.09</v>
      </c>
      <c r="G267" s="2">
        <v>0</v>
      </c>
      <c r="H267" s="2">
        <v>102341.85</v>
      </c>
      <c r="I267" s="2">
        <v>0</v>
      </c>
      <c r="J267" s="2">
        <v>0</v>
      </c>
      <c r="K267" s="2">
        <v>127897.55</v>
      </c>
      <c r="L267" s="2">
        <v>0</v>
      </c>
      <c r="M267" s="2">
        <v>286942.83</v>
      </c>
      <c r="N267" s="2">
        <v>0</v>
      </c>
      <c r="O267" s="3">
        <f t="shared" si="5"/>
        <v>3117472.8</v>
      </c>
    </row>
    <row r="268" spans="1:15" x14ac:dyDescent="0.2">
      <c r="A268" s="5">
        <v>879</v>
      </c>
      <c r="B268" s="5">
        <v>1</v>
      </c>
      <c r="C268" s="2" t="s">
        <v>264</v>
      </c>
      <c r="D268" s="2">
        <v>563125.68000000005</v>
      </c>
      <c r="E268" s="2">
        <v>423669.3</v>
      </c>
      <c r="F268" s="2">
        <v>117957.42</v>
      </c>
      <c r="G268" s="2">
        <v>0</v>
      </c>
      <c r="H268" s="2">
        <v>46769.210000000006</v>
      </c>
      <c r="I268" s="2">
        <v>0</v>
      </c>
      <c r="J268" s="2">
        <v>0</v>
      </c>
      <c r="K268" s="2">
        <v>6364.74</v>
      </c>
      <c r="L268" s="2">
        <v>0</v>
      </c>
      <c r="M268" s="2">
        <v>121621.66</v>
      </c>
      <c r="N268" s="2">
        <v>0</v>
      </c>
      <c r="O268" s="3">
        <f t="shared" si="5"/>
        <v>1279508.0099999998</v>
      </c>
    </row>
    <row r="269" spans="1:15" x14ac:dyDescent="0.2">
      <c r="A269" s="5">
        <v>881</v>
      </c>
      <c r="B269" s="5">
        <v>1</v>
      </c>
      <c r="C269" s="2" t="s">
        <v>265</v>
      </c>
      <c r="D269" s="2">
        <v>157706.54999999999</v>
      </c>
      <c r="E269" s="2">
        <v>201457.37999999998</v>
      </c>
      <c r="F269" s="2">
        <v>117442.28</v>
      </c>
      <c r="G269" s="2">
        <v>19558.900000000001</v>
      </c>
      <c r="H269" s="2">
        <v>17644.099999999999</v>
      </c>
      <c r="I269" s="2">
        <v>0</v>
      </c>
      <c r="J269" s="2">
        <v>0</v>
      </c>
      <c r="K269" s="2">
        <v>2767.8500000000004</v>
      </c>
      <c r="L269" s="2">
        <v>0</v>
      </c>
      <c r="M269" s="2">
        <v>34358.49</v>
      </c>
      <c r="N269" s="2">
        <v>0</v>
      </c>
      <c r="O269" s="3">
        <f t="shared" si="5"/>
        <v>550935.54999999993</v>
      </c>
    </row>
    <row r="270" spans="1:15" x14ac:dyDescent="0.2">
      <c r="A270" s="5">
        <v>882</v>
      </c>
      <c r="B270" s="5">
        <v>1</v>
      </c>
      <c r="C270" s="2" t="s">
        <v>266</v>
      </c>
      <c r="D270" s="2">
        <v>862560.17</v>
      </c>
      <c r="E270" s="2">
        <v>1254538.74</v>
      </c>
      <c r="F270" s="2">
        <v>480525.55</v>
      </c>
      <c r="G270" s="2">
        <v>155849.28</v>
      </c>
      <c r="H270" s="2">
        <v>45916.12</v>
      </c>
      <c r="I270" s="2">
        <v>0</v>
      </c>
      <c r="J270" s="2">
        <v>0</v>
      </c>
      <c r="K270" s="2">
        <v>29559.23</v>
      </c>
      <c r="L270" s="2">
        <v>0</v>
      </c>
      <c r="M270" s="2">
        <v>116316.66</v>
      </c>
      <c r="N270" s="2">
        <v>0</v>
      </c>
      <c r="O270" s="3">
        <f t="shared" si="5"/>
        <v>2945265.75</v>
      </c>
    </row>
    <row r="271" spans="1:15" x14ac:dyDescent="0.2">
      <c r="A271" s="5">
        <v>883</v>
      </c>
      <c r="B271" s="5">
        <v>1</v>
      </c>
      <c r="C271" s="2" t="s">
        <v>267</v>
      </c>
      <c r="D271" s="2">
        <v>266476.08</v>
      </c>
      <c r="E271" s="2">
        <v>254808.03000000003</v>
      </c>
      <c r="F271" s="2">
        <v>108595.68</v>
      </c>
      <c r="G271" s="2">
        <v>0</v>
      </c>
      <c r="H271" s="2">
        <v>0</v>
      </c>
      <c r="I271" s="2">
        <v>0</v>
      </c>
      <c r="J271" s="2">
        <v>0</v>
      </c>
      <c r="K271" s="2">
        <v>90202.89</v>
      </c>
      <c r="L271" s="2">
        <v>0</v>
      </c>
      <c r="M271" s="2">
        <v>62795.09</v>
      </c>
      <c r="N271" s="2">
        <v>0</v>
      </c>
      <c r="O271" s="3">
        <f t="shared" si="5"/>
        <v>782877.77</v>
      </c>
    </row>
    <row r="272" spans="1:15" x14ac:dyDescent="0.2">
      <c r="A272" s="5">
        <v>885</v>
      </c>
      <c r="B272" s="5">
        <v>1</v>
      </c>
      <c r="C272" s="2" t="s">
        <v>268</v>
      </c>
      <c r="D272" s="2">
        <v>665965.89</v>
      </c>
      <c r="E272" s="2">
        <v>798746.16999999993</v>
      </c>
      <c r="F272" s="2">
        <v>131136.53</v>
      </c>
      <c r="G272" s="2">
        <v>0</v>
      </c>
      <c r="H272" s="2">
        <v>45588.619999999995</v>
      </c>
      <c r="I272" s="2">
        <v>0</v>
      </c>
      <c r="J272" s="2">
        <v>0</v>
      </c>
      <c r="K272" s="2">
        <v>17379.669999999998</v>
      </c>
      <c r="L272" s="2">
        <v>0</v>
      </c>
      <c r="M272" s="2">
        <v>117130.8</v>
      </c>
      <c r="N272" s="2">
        <v>0</v>
      </c>
      <c r="O272" s="3">
        <f t="shared" si="5"/>
        <v>1775947.68</v>
      </c>
    </row>
    <row r="273" spans="1:15" x14ac:dyDescent="0.2">
      <c r="A273" s="5">
        <v>891</v>
      </c>
      <c r="B273" s="5">
        <v>1</v>
      </c>
      <c r="C273" s="2" t="s">
        <v>269</v>
      </c>
      <c r="D273" s="2">
        <v>147248.19</v>
      </c>
      <c r="E273" s="2">
        <v>56046.240000000005</v>
      </c>
      <c r="F273" s="2">
        <v>32209.42</v>
      </c>
      <c r="G273" s="2">
        <v>18617.810000000001</v>
      </c>
      <c r="H273" s="2">
        <v>13497.6</v>
      </c>
      <c r="I273" s="2">
        <v>0</v>
      </c>
      <c r="J273" s="2">
        <v>0</v>
      </c>
      <c r="K273" s="2">
        <v>17553.77</v>
      </c>
      <c r="L273" s="2">
        <v>0</v>
      </c>
      <c r="M273" s="2">
        <v>25609.279999999999</v>
      </c>
      <c r="N273" s="2">
        <v>0</v>
      </c>
      <c r="O273" s="3">
        <f t="shared" si="5"/>
        <v>310782.30999999994</v>
      </c>
    </row>
    <row r="274" spans="1:15" x14ac:dyDescent="0.2">
      <c r="A274" s="5">
        <v>911</v>
      </c>
      <c r="B274" s="5">
        <v>1</v>
      </c>
      <c r="C274" s="2" t="s">
        <v>270</v>
      </c>
      <c r="D274" s="2">
        <v>747557.93</v>
      </c>
      <c r="E274" s="2">
        <v>0</v>
      </c>
      <c r="F274" s="2">
        <v>217668.75</v>
      </c>
      <c r="G274" s="2">
        <v>0</v>
      </c>
      <c r="H274" s="2">
        <v>112534.31</v>
      </c>
      <c r="I274" s="2">
        <v>0</v>
      </c>
      <c r="J274" s="2">
        <v>0</v>
      </c>
      <c r="K274" s="2">
        <v>158729.72</v>
      </c>
      <c r="L274" s="2">
        <v>0</v>
      </c>
      <c r="M274" s="2">
        <v>194525.13</v>
      </c>
      <c r="N274" s="2">
        <v>0</v>
      </c>
      <c r="O274" s="3">
        <f t="shared" si="5"/>
        <v>1431015.8399999999</v>
      </c>
    </row>
    <row r="275" spans="1:15" x14ac:dyDescent="0.2">
      <c r="A275" s="5">
        <v>912</v>
      </c>
      <c r="B275" s="5">
        <v>1</v>
      </c>
      <c r="C275" s="2" t="s">
        <v>271</v>
      </c>
      <c r="D275" s="2">
        <v>194471.76</v>
      </c>
      <c r="E275" s="2">
        <v>0</v>
      </c>
      <c r="F275" s="2">
        <v>54092.15</v>
      </c>
      <c r="G275" s="2">
        <v>0</v>
      </c>
      <c r="H275" s="2">
        <v>35749.599999999999</v>
      </c>
      <c r="I275" s="2">
        <v>0</v>
      </c>
      <c r="J275" s="2">
        <v>0</v>
      </c>
      <c r="K275" s="2">
        <v>25302.97</v>
      </c>
      <c r="L275" s="2">
        <v>0</v>
      </c>
      <c r="M275" s="2">
        <v>50150</v>
      </c>
      <c r="N275" s="2">
        <v>0</v>
      </c>
      <c r="O275" s="3">
        <f t="shared" si="5"/>
        <v>359766.48</v>
      </c>
    </row>
    <row r="276" spans="1:15" x14ac:dyDescent="0.2">
      <c r="A276" s="5">
        <v>914</v>
      </c>
      <c r="B276" s="5">
        <v>1</v>
      </c>
      <c r="C276" s="2" t="s">
        <v>272</v>
      </c>
      <c r="D276" s="2">
        <v>42800.19</v>
      </c>
      <c r="E276" s="2">
        <v>83378.450000000012</v>
      </c>
      <c r="F276" s="2">
        <v>88350</v>
      </c>
      <c r="G276" s="2">
        <v>527.82000000000005</v>
      </c>
      <c r="H276" s="2">
        <v>10000</v>
      </c>
      <c r="I276" s="2">
        <v>0</v>
      </c>
      <c r="J276" s="2">
        <v>0</v>
      </c>
      <c r="K276" s="2">
        <v>-2298</v>
      </c>
      <c r="L276" s="2">
        <v>0</v>
      </c>
      <c r="M276" s="2">
        <v>8100.09</v>
      </c>
      <c r="N276" s="2">
        <v>0</v>
      </c>
      <c r="O276" s="3">
        <f t="shared" si="5"/>
        <v>230858.55000000002</v>
      </c>
    </row>
    <row r="277" spans="1:15" x14ac:dyDescent="0.2">
      <c r="A277" s="5">
        <v>2071</v>
      </c>
      <c r="B277" s="5">
        <v>1</v>
      </c>
      <c r="C277" s="2" t="s">
        <v>273</v>
      </c>
      <c r="D277" s="2">
        <v>216339.58</v>
      </c>
      <c r="E277" s="2">
        <v>75831.849999999977</v>
      </c>
      <c r="F277" s="2">
        <v>216532</v>
      </c>
      <c r="G277" s="2">
        <v>0</v>
      </c>
      <c r="H277" s="2">
        <v>15484</v>
      </c>
      <c r="I277" s="2">
        <v>0</v>
      </c>
      <c r="J277" s="2">
        <v>0</v>
      </c>
      <c r="K277" s="2">
        <v>1794.4600000000003</v>
      </c>
      <c r="L277" s="2">
        <v>0</v>
      </c>
      <c r="M277" s="2">
        <v>39900.15</v>
      </c>
      <c r="N277" s="2">
        <v>0</v>
      </c>
      <c r="O277" s="3">
        <f t="shared" si="5"/>
        <v>565882.03999999992</v>
      </c>
    </row>
    <row r="278" spans="1:15" x14ac:dyDescent="0.2">
      <c r="A278" s="5">
        <v>2125</v>
      </c>
      <c r="B278" s="5">
        <v>1</v>
      </c>
      <c r="C278" s="2" t="s">
        <v>274</v>
      </c>
      <c r="D278" s="2">
        <v>283524.8</v>
      </c>
      <c r="E278" s="2">
        <v>142116.49</v>
      </c>
      <c r="F278" s="2">
        <v>130834.75</v>
      </c>
      <c r="G278" s="2">
        <v>0</v>
      </c>
      <c r="H278" s="2">
        <v>11043.5</v>
      </c>
      <c r="I278" s="2">
        <v>0</v>
      </c>
      <c r="J278" s="2">
        <v>0</v>
      </c>
      <c r="K278" s="2">
        <v>62454.7</v>
      </c>
      <c r="L278" s="2">
        <v>0</v>
      </c>
      <c r="M278" s="2">
        <v>50155.34</v>
      </c>
      <c r="N278" s="2">
        <v>0</v>
      </c>
      <c r="O278" s="3">
        <f t="shared" si="5"/>
        <v>680129.58</v>
      </c>
    </row>
    <row r="279" spans="1:15" x14ac:dyDescent="0.2">
      <c r="A279" s="5">
        <v>2134</v>
      </c>
      <c r="B279" s="5">
        <v>1</v>
      </c>
      <c r="C279" s="2" t="s">
        <v>275</v>
      </c>
      <c r="D279" s="2">
        <v>182239.04</v>
      </c>
      <c r="E279" s="2">
        <v>147435.16999999998</v>
      </c>
      <c r="F279" s="2">
        <v>243273.5</v>
      </c>
      <c r="G279" s="2">
        <v>10564.1</v>
      </c>
      <c r="H279" s="2">
        <v>19461.600000000002</v>
      </c>
      <c r="I279" s="2">
        <v>0</v>
      </c>
      <c r="J279" s="2">
        <v>0</v>
      </c>
      <c r="K279" s="2">
        <v>7074.64</v>
      </c>
      <c r="L279" s="2">
        <v>0</v>
      </c>
      <c r="M279" s="2">
        <v>43980.58</v>
      </c>
      <c r="N279" s="2">
        <v>0</v>
      </c>
      <c r="O279" s="3">
        <f t="shared" si="5"/>
        <v>654028.62999999989</v>
      </c>
    </row>
    <row r="280" spans="1:15" x14ac:dyDescent="0.2">
      <c r="A280" s="5">
        <v>2135</v>
      </c>
      <c r="B280" s="5">
        <v>1</v>
      </c>
      <c r="C280" s="2" t="s">
        <v>276</v>
      </c>
      <c r="D280" s="2">
        <v>227727.38</v>
      </c>
      <c r="E280" s="2">
        <v>152000.32000000001</v>
      </c>
      <c r="F280" s="2">
        <v>188722.05</v>
      </c>
      <c r="G280" s="2">
        <v>0</v>
      </c>
      <c r="H280" s="2">
        <v>23377.599999999999</v>
      </c>
      <c r="I280" s="2">
        <v>0</v>
      </c>
      <c r="J280" s="2">
        <v>0</v>
      </c>
      <c r="K280" s="2">
        <v>-5009.1699999999983</v>
      </c>
      <c r="L280" s="2">
        <v>0</v>
      </c>
      <c r="M280" s="2">
        <v>41822.82</v>
      </c>
      <c r="N280" s="2">
        <v>0</v>
      </c>
      <c r="O280" s="3">
        <f t="shared" si="5"/>
        <v>628640.99999999988</v>
      </c>
    </row>
    <row r="281" spans="1:15" x14ac:dyDescent="0.2">
      <c r="A281" s="5">
        <v>2137</v>
      </c>
      <c r="B281" s="5">
        <v>1</v>
      </c>
      <c r="C281" s="2" t="s">
        <v>277</v>
      </c>
      <c r="D281" s="2">
        <v>160828.26999999999</v>
      </c>
      <c r="E281" s="2">
        <v>133479.41</v>
      </c>
      <c r="F281" s="2">
        <v>63102.69</v>
      </c>
      <c r="G281" s="2">
        <v>0</v>
      </c>
      <c r="H281" s="2">
        <v>19148.990000000002</v>
      </c>
      <c r="I281" s="2">
        <v>0</v>
      </c>
      <c r="J281" s="2">
        <v>0</v>
      </c>
      <c r="K281" s="2">
        <v>-6862.0299999999988</v>
      </c>
      <c r="L281" s="2">
        <v>0</v>
      </c>
      <c r="M281" s="2">
        <v>35835.050000000003</v>
      </c>
      <c r="N281" s="2">
        <v>0</v>
      </c>
      <c r="O281" s="3">
        <f t="shared" si="5"/>
        <v>405532.37999999995</v>
      </c>
    </row>
    <row r="282" spans="1:15" x14ac:dyDescent="0.2">
      <c r="A282" s="5">
        <v>2142</v>
      </c>
      <c r="B282" s="5">
        <v>1</v>
      </c>
      <c r="C282" s="2" t="s">
        <v>278</v>
      </c>
      <c r="D282" s="2">
        <v>520845.23</v>
      </c>
      <c r="E282" s="2">
        <v>0</v>
      </c>
      <c r="F282" s="2">
        <v>171786.65</v>
      </c>
      <c r="G282" s="2">
        <v>21538.33</v>
      </c>
      <c r="H282" s="2">
        <v>21838.28</v>
      </c>
      <c r="I282" s="2">
        <v>145783.16</v>
      </c>
      <c r="J282" s="2">
        <v>0</v>
      </c>
      <c r="K282" s="2">
        <v>55511.19</v>
      </c>
      <c r="L282" s="2">
        <v>0</v>
      </c>
      <c r="M282" s="2">
        <v>0</v>
      </c>
      <c r="N282" s="2">
        <v>0</v>
      </c>
      <c r="O282" s="3">
        <f t="shared" si="5"/>
        <v>937302.84000000008</v>
      </c>
    </row>
    <row r="283" spans="1:15" x14ac:dyDescent="0.2">
      <c r="A283" s="5">
        <v>2143</v>
      </c>
      <c r="B283" s="5">
        <v>1</v>
      </c>
      <c r="C283" s="2" t="s">
        <v>279</v>
      </c>
      <c r="D283" s="2">
        <v>200658.37</v>
      </c>
      <c r="E283" s="2">
        <v>609042.94000000006</v>
      </c>
      <c r="F283" s="2">
        <v>72111.33</v>
      </c>
      <c r="G283" s="2">
        <v>0</v>
      </c>
      <c r="H283" s="2">
        <v>18397.169999999998</v>
      </c>
      <c r="I283" s="2">
        <v>0</v>
      </c>
      <c r="J283" s="2">
        <v>0</v>
      </c>
      <c r="K283" s="2">
        <v>8956.57</v>
      </c>
      <c r="L283" s="2">
        <v>0</v>
      </c>
      <c r="M283" s="2">
        <v>41857.22</v>
      </c>
      <c r="N283" s="2">
        <v>0</v>
      </c>
      <c r="O283" s="3">
        <f t="shared" si="5"/>
        <v>951023.6</v>
      </c>
    </row>
    <row r="284" spans="1:15" x14ac:dyDescent="0.2">
      <c r="A284" s="5">
        <v>2144</v>
      </c>
      <c r="B284" s="5">
        <v>1</v>
      </c>
      <c r="C284" s="2" t="s">
        <v>280</v>
      </c>
      <c r="D284" s="2">
        <v>826874.49</v>
      </c>
      <c r="E284" s="2">
        <v>585893.97</v>
      </c>
      <c r="F284" s="2">
        <v>212914.72</v>
      </c>
      <c r="G284" s="2">
        <v>0</v>
      </c>
      <c r="H284" s="2">
        <v>68493.600000000006</v>
      </c>
      <c r="I284" s="2">
        <v>0</v>
      </c>
      <c r="J284" s="2">
        <v>0</v>
      </c>
      <c r="K284" s="2">
        <v>38777.410000000003</v>
      </c>
      <c r="L284" s="2">
        <v>0</v>
      </c>
      <c r="M284" s="2">
        <v>148896.17000000001</v>
      </c>
      <c r="N284" s="2">
        <v>0</v>
      </c>
      <c r="O284" s="3">
        <f t="shared" si="5"/>
        <v>1881850.3599999999</v>
      </c>
    </row>
    <row r="285" spans="1:15" x14ac:dyDescent="0.2">
      <c r="A285" s="5">
        <v>2149</v>
      </c>
      <c r="B285" s="5">
        <v>1</v>
      </c>
      <c r="C285" s="2" t="s">
        <v>281</v>
      </c>
      <c r="D285" s="2">
        <v>345887.18</v>
      </c>
      <c r="E285" s="2">
        <v>277215.38999999996</v>
      </c>
      <c r="F285" s="2">
        <v>105651.52</v>
      </c>
      <c r="G285" s="2">
        <v>0</v>
      </c>
      <c r="H285" s="2">
        <v>34344.89</v>
      </c>
      <c r="I285" s="2">
        <v>0</v>
      </c>
      <c r="J285" s="2">
        <v>0</v>
      </c>
      <c r="K285" s="2">
        <v>10224.1</v>
      </c>
      <c r="L285" s="2">
        <v>0</v>
      </c>
      <c r="M285" s="2">
        <v>69990.8</v>
      </c>
      <c r="N285" s="2">
        <v>0</v>
      </c>
      <c r="O285" s="3">
        <f t="shared" si="5"/>
        <v>843313.88</v>
      </c>
    </row>
    <row r="286" spans="1:15" x14ac:dyDescent="0.2">
      <c r="A286" s="5">
        <v>2154</v>
      </c>
      <c r="B286" s="5">
        <v>1</v>
      </c>
      <c r="C286" s="2" t="s">
        <v>282</v>
      </c>
      <c r="D286" s="2">
        <v>0</v>
      </c>
      <c r="E286" s="2">
        <v>79619</v>
      </c>
      <c r="F286" s="2">
        <v>52276.22</v>
      </c>
      <c r="G286" s="2">
        <v>22207.47</v>
      </c>
      <c r="H286" s="2">
        <v>26747.93</v>
      </c>
      <c r="I286" s="2">
        <v>94174.77</v>
      </c>
      <c r="J286" s="2">
        <v>0</v>
      </c>
      <c r="K286" s="2">
        <v>26497.11</v>
      </c>
      <c r="L286" s="2">
        <v>0</v>
      </c>
      <c r="M286" s="2">
        <v>0</v>
      </c>
      <c r="N286" s="2">
        <v>0</v>
      </c>
      <c r="O286" s="3">
        <f t="shared" si="5"/>
        <v>301522.5</v>
      </c>
    </row>
    <row r="287" spans="1:15" x14ac:dyDescent="0.2">
      <c r="A287" s="5">
        <v>2155</v>
      </c>
      <c r="B287" s="5">
        <v>1</v>
      </c>
      <c r="C287" s="2" t="s">
        <v>283</v>
      </c>
      <c r="D287" s="2">
        <v>152757.4</v>
      </c>
      <c r="E287" s="2">
        <v>253208.43</v>
      </c>
      <c r="F287" s="2">
        <v>38157.32</v>
      </c>
      <c r="G287" s="2">
        <v>0</v>
      </c>
      <c r="H287" s="2">
        <v>29819.279999999999</v>
      </c>
      <c r="I287" s="2">
        <v>0</v>
      </c>
      <c r="J287" s="2">
        <v>0</v>
      </c>
      <c r="K287" s="2">
        <v>4838.09</v>
      </c>
      <c r="L287" s="2">
        <v>0</v>
      </c>
      <c r="M287" s="2">
        <v>37153.730000000003</v>
      </c>
      <c r="N287" s="2">
        <v>0</v>
      </c>
      <c r="O287" s="3">
        <f t="shared" si="5"/>
        <v>515934.24999999994</v>
      </c>
    </row>
    <row r="288" spans="1:15" x14ac:dyDescent="0.2">
      <c r="A288" s="5">
        <v>2159</v>
      </c>
      <c r="B288" s="5">
        <v>1</v>
      </c>
      <c r="C288" s="2" t="s">
        <v>284</v>
      </c>
      <c r="D288" s="2">
        <v>149413.66</v>
      </c>
      <c r="E288" s="2">
        <v>94040.76</v>
      </c>
      <c r="F288" s="2">
        <v>102520.67</v>
      </c>
      <c r="G288" s="2">
        <v>23853.190000000002</v>
      </c>
      <c r="H288" s="2">
        <v>11812.8</v>
      </c>
      <c r="I288" s="2">
        <v>0</v>
      </c>
      <c r="J288" s="2">
        <v>0</v>
      </c>
      <c r="K288" s="2">
        <v>10750.59</v>
      </c>
      <c r="L288" s="2">
        <v>0</v>
      </c>
      <c r="M288" s="2">
        <v>27316.07</v>
      </c>
      <c r="N288" s="2">
        <v>0</v>
      </c>
      <c r="O288" s="3">
        <f t="shared" si="5"/>
        <v>419707.74</v>
      </c>
    </row>
    <row r="289" spans="1:15" x14ac:dyDescent="0.2">
      <c r="A289" s="5">
        <v>2164</v>
      </c>
      <c r="B289" s="5">
        <v>1</v>
      </c>
      <c r="C289" s="2" t="s">
        <v>285</v>
      </c>
      <c r="D289" s="2">
        <v>177789.51</v>
      </c>
      <c r="E289" s="2">
        <v>96347.819999999992</v>
      </c>
      <c r="F289" s="2">
        <v>55510.33</v>
      </c>
      <c r="G289" s="2">
        <v>0</v>
      </c>
      <c r="H289" s="2">
        <v>12494.42</v>
      </c>
      <c r="I289" s="2">
        <v>0</v>
      </c>
      <c r="J289" s="2">
        <v>0</v>
      </c>
      <c r="K289" s="2">
        <v>-69.119999999999891</v>
      </c>
      <c r="L289" s="2">
        <v>0</v>
      </c>
      <c r="M289" s="2">
        <v>35107.68</v>
      </c>
      <c r="N289" s="2">
        <v>0</v>
      </c>
      <c r="O289" s="3">
        <f t="shared" si="5"/>
        <v>377180.64</v>
      </c>
    </row>
    <row r="290" spans="1:15" x14ac:dyDescent="0.2">
      <c r="A290" s="5">
        <v>2165</v>
      </c>
      <c r="B290" s="5">
        <v>1</v>
      </c>
      <c r="C290" s="2" t="s">
        <v>286</v>
      </c>
      <c r="D290" s="2">
        <v>209970.91</v>
      </c>
      <c r="E290" s="2">
        <v>89893.540000000008</v>
      </c>
      <c r="F290" s="2">
        <v>51707.97</v>
      </c>
      <c r="G290" s="2">
        <v>0</v>
      </c>
      <c r="H290" s="2">
        <v>0</v>
      </c>
      <c r="I290" s="2">
        <v>0</v>
      </c>
      <c r="J290" s="2">
        <v>0</v>
      </c>
      <c r="K290" s="2">
        <v>1260.1199999999999</v>
      </c>
      <c r="L290" s="2">
        <v>0</v>
      </c>
      <c r="M290" s="2">
        <v>39858.78</v>
      </c>
      <c r="N290" s="2">
        <v>0</v>
      </c>
      <c r="O290" s="3">
        <f t="shared" si="5"/>
        <v>392691.32000000007</v>
      </c>
    </row>
    <row r="291" spans="1:15" x14ac:dyDescent="0.2">
      <c r="A291" s="5">
        <v>2167</v>
      </c>
      <c r="B291" s="5">
        <v>1</v>
      </c>
      <c r="C291" s="2" t="s">
        <v>287</v>
      </c>
      <c r="D291" s="2">
        <v>154406.35999999999</v>
      </c>
      <c r="E291" s="2">
        <v>86353.06</v>
      </c>
      <c r="F291" s="2">
        <v>31840.2</v>
      </c>
      <c r="G291" s="2">
        <v>5689.16</v>
      </c>
      <c r="H291" s="2">
        <v>10655.81</v>
      </c>
      <c r="I291" s="2">
        <v>0</v>
      </c>
      <c r="J291" s="2">
        <v>0</v>
      </c>
      <c r="K291" s="2">
        <v>-9740.5300000000007</v>
      </c>
      <c r="L291" s="2">
        <v>0</v>
      </c>
      <c r="M291" s="2">
        <v>16133.26</v>
      </c>
      <c r="N291" s="2">
        <v>0</v>
      </c>
      <c r="O291" s="3">
        <f t="shared" si="5"/>
        <v>295337.31999999995</v>
      </c>
    </row>
    <row r="292" spans="1:15" x14ac:dyDescent="0.2">
      <c r="A292" s="5">
        <v>2168</v>
      </c>
      <c r="B292" s="5">
        <v>1</v>
      </c>
      <c r="C292" s="2" t="s">
        <v>288</v>
      </c>
      <c r="D292" s="2">
        <v>147383.67000000001</v>
      </c>
      <c r="E292" s="2">
        <v>65414.979999999981</v>
      </c>
      <c r="F292" s="2">
        <v>77590.100000000006</v>
      </c>
      <c r="G292" s="2">
        <v>11668.37</v>
      </c>
      <c r="H292" s="2">
        <v>18832</v>
      </c>
      <c r="I292" s="2">
        <v>0</v>
      </c>
      <c r="J292" s="2">
        <v>0</v>
      </c>
      <c r="K292" s="2">
        <v>1768.49</v>
      </c>
      <c r="L292" s="2">
        <v>0</v>
      </c>
      <c r="M292" s="2">
        <v>36126.85</v>
      </c>
      <c r="N292" s="2">
        <v>0</v>
      </c>
      <c r="O292" s="3">
        <f t="shared" si="5"/>
        <v>358784.45999999996</v>
      </c>
    </row>
    <row r="293" spans="1:15" x14ac:dyDescent="0.2">
      <c r="A293" s="5">
        <v>2169</v>
      </c>
      <c r="B293" s="5">
        <v>1</v>
      </c>
      <c r="C293" s="2" t="s">
        <v>289</v>
      </c>
      <c r="D293" s="2">
        <v>180597.98</v>
      </c>
      <c r="E293" s="2">
        <v>294733.78999999998</v>
      </c>
      <c r="F293" s="2">
        <v>61280.65</v>
      </c>
      <c r="G293" s="2">
        <v>5478.96</v>
      </c>
      <c r="H293" s="2">
        <v>14960.16</v>
      </c>
      <c r="I293" s="2">
        <v>0</v>
      </c>
      <c r="J293" s="2">
        <v>0</v>
      </c>
      <c r="K293" s="2">
        <v>29526.09</v>
      </c>
      <c r="L293" s="2">
        <v>0</v>
      </c>
      <c r="M293" s="2">
        <v>35673.86</v>
      </c>
      <c r="N293" s="2">
        <v>0</v>
      </c>
      <c r="O293" s="3">
        <f t="shared" si="5"/>
        <v>622251.49</v>
      </c>
    </row>
    <row r="294" spans="1:15" x14ac:dyDescent="0.2">
      <c r="A294" s="5">
        <v>2170</v>
      </c>
      <c r="B294" s="5">
        <v>1</v>
      </c>
      <c r="C294" s="2" t="s">
        <v>290</v>
      </c>
      <c r="D294" s="2">
        <v>281763.92</v>
      </c>
      <c r="E294" s="2">
        <v>167895.15999999997</v>
      </c>
      <c r="F294" s="2">
        <v>78553.36</v>
      </c>
      <c r="G294" s="2">
        <v>0</v>
      </c>
      <c r="H294" s="2">
        <v>60835.63</v>
      </c>
      <c r="I294" s="2">
        <v>0</v>
      </c>
      <c r="J294" s="2">
        <v>0</v>
      </c>
      <c r="K294" s="2">
        <v>-4090.87</v>
      </c>
      <c r="L294" s="2">
        <v>0</v>
      </c>
      <c r="M294" s="2">
        <v>53672.53</v>
      </c>
      <c r="N294" s="2">
        <v>0</v>
      </c>
      <c r="O294" s="3">
        <f t="shared" si="5"/>
        <v>638629.73</v>
      </c>
    </row>
    <row r="295" spans="1:15" x14ac:dyDescent="0.2">
      <c r="A295" s="5">
        <v>2171</v>
      </c>
      <c r="B295" s="5">
        <v>1</v>
      </c>
      <c r="C295" s="2" t="s">
        <v>291</v>
      </c>
      <c r="D295" s="2">
        <v>77637.58</v>
      </c>
      <c r="E295" s="2">
        <v>0</v>
      </c>
      <c r="F295" s="2">
        <v>312434.59999999998</v>
      </c>
      <c r="G295" s="2">
        <v>0</v>
      </c>
      <c r="H295" s="2">
        <v>10000</v>
      </c>
      <c r="I295" s="2">
        <v>0</v>
      </c>
      <c r="J295" s="2">
        <v>0</v>
      </c>
      <c r="K295" s="2">
        <v>-350</v>
      </c>
      <c r="L295" s="2">
        <v>0</v>
      </c>
      <c r="M295" s="2">
        <v>15428.13</v>
      </c>
      <c r="N295" s="2">
        <v>0</v>
      </c>
      <c r="O295" s="3">
        <f t="shared" si="5"/>
        <v>415150.31</v>
      </c>
    </row>
    <row r="296" spans="1:15" x14ac:dyDescent="0.2">
      <c r="A296" s="5">
        <v>2172</v>
      </c>
      <c r="B296" s="5">
        <v>1</v>
      </c>
      <c r="C296" s="2" t="s">
        <v>292</v>
      </c>
      <c r="D296" s="2">
        <v>189153.21</v>
      </c>
      <c r="E296" s="2">
        <v>208483.22999999998</v>
      </c>
      <c r="F296" s="2">
        <v>71959.179999999993</v>
      </c>
      <c r="G296" s="2">
        <v>0</v>
      </c>
      <c r="H296" s="2">
        <v>17175.72</v>
      </c>
      <c r="I296" s="2">
        <v>20804</v>
      </c>
      <c r="J296" s="2">
        <v>0</v>
      </c>
      <c r="K296" s="2">
        <v>24632.15</v>
      </c>
      <c r="L296" s="2">
        <v>0</v>
      </c>
      <c r="M296" s="2">
        <v>55661.09</v>
      </c>
      <c r="N296" s="2">
        <v>0</v>
      </c>
      <c r="O296" s="3">
        <f t="shared" si="5"/>
        <v>587868.57999999996</v>
      </c>
    </row>
    <row r="297" spans="1:15" x14ac:dyDescent="0.2">
      <c r="A297" s="5">
        <v>2174</v>
      </c>
      <c r="B297" s="5">
        <v>1</v>
      </c>
      <c r="C297" s="2" t="s">
        <v>293</v>
      </c>
      <c r="D297" s="2">
        <v>177697.78</v>
      </c>
      <c r="E297" s="2">
        <v>560.97</v>
      </c>
      <c r="F297" s="2">
        <v>0</v>
      </c>
      <c r="G297" s="2">
        <v>0</v>
      </c>
      <c r="H297" s="2">
        <v>8270.0899999999983</v>
      </c>
      <c r="I297" s="2">
        <v>0</v>
      </c>
      <c r="J297" s="2">
        <v>0</v>
      </c>
      <c r="K297" s="2">
        <v>14848.220000000001</v>
      </c>
      <c r="L297" s="2">
        <v>0</v>
      </c>
      <c r="M297" s="2">
        <v>53058.559999999998</v>
      </c>
      <c r="N297" s="2">
        <v>0</v>
      </c>
      <c r="O297" s="3">
        <f t="shared" si="5"/>
        <v>254435.62</v>
      </c>
    </row>
    <row r="298" spans="1:15" x14ac:dyDescent="0.2">
      <c r="A298" s="5">
        <v>2176</v>
      </c>
      <c r="B298" s="5">
        <v>1</v>
      </c>
      <c r="C298" s="2" t="s">
        <v>294</v>
      </c>
      <c r="D298" s="2">
        <v>109655.18</v>
      </c>
      <c r="E298" s="2">
        <v>21324.859999999986</v>
      </c>
      <c r="F298" s="2">
        <v>228879.6</v>
      </c>
      <c r="G298" s="2">
        <v>0</v>
      </c>
      <c r="H298" s="2">
        <v>10000</v>
      </c>
      <c r="I298" s="2">
        <v>0</v>
      </c>
      <c r="J298" s="2">
        <v>-1711.76</v>
      </c>
      <c r="K298" s="2">
        <v>28367.82</v>
      </c>
      <c r="L298" s="2">
        <v>0</v>
      </c>
      <c r="M298" s="2">
        <v>25942.68</v>
      </c>
      <c r="N298" s="2">
        <v>0</v>
      </c>
      <c r="O298" s="3">
        <f t="shared" si="5"/>
        <v>422458.38</v>
      </c>
    </row>
    <row r="299" spans="1:15" x14ac:dyDescent="0.2">
      <c r="A299" s="5">
        <v>2180</v>
      </c>
      <c r="B299" s="5">
        <v>1</v>
      </c>
      <c r="C299" s="2" t="s">
        <v>295</v>
      </c>
      <c r="D299" s="2">
        <v>186251.49</v>
      </c>
      <c r="E299" s="2">
        <v>305243.71000000002</v>
      </c>
      <c r="F299" s="2">
        <v>173617.36</v>
      </c>
      <c r="G299" s="2">
        <v>0</v>
      </c>
      <c r="H299" s="2">
        <v>10000</v>
      </c>
      <c r="I299" s="2">
        <v>0</v>
      </c>
      <c r="J299" s="2">
        <v>0</v>
      </c>
      <c r="K299" s="2">
        <v>2000</v>
      </c>
      <c r="L299" s="2">
        <v>0</v>
      </c>
      <c r="M299" s="2">
        <v>30751.51</v>
      </c>
      <c r="N299" s="2">
        <v>0</v>
      </c>
      <c r="O299" s="3">
        <f t="shared" si="5"/>
        <v>707864.07000000007</v>
      </c>
    </row>
    <row r="300" spans="1:15" x14ac:dyDescent="0.2">
      <c r="A300" s="5">
        <v>2184</v>
      </c>
      <c r="B300" s="5">
        <v>1</v>
      </c>
      <c r="C300" s="2" t="s">
        <v>296</v>
      </c>
      <c r="D300" s="2">
        <v>233670.87</v>
      </c>
      <c r="E300" s="2">
        <v>394888.53</v>
      </c>
      <c r="F300" s="2">
        <v>45058.55</v>
      </c>
      <c r="G300" s="2">
        <v>2150.0300000000002</v>
      </c>
      <c r="H300" s="2">
        <v>22699.64</v>
      </c>
      <c r="I300" s="2">
        <v>0</v>
      </c>
      <c r="J300" s="2">
        <v>0</v>
      </c>
      <c r="K300" s="2">
        <v>3281.66</v>
      </c>
      <c r="L300" s="2">
        <v>0</v>
      </c>
      <c r="M300" s="2">
        <v>40475.49</v>
      </c>
      <c r="N300" s="2">
        <v>0</v>
      </c>
      <c r="O300" s="3">
        <f t="shared" si="5"/>
        <v>742224.77000000014</v>
      </c>
    </row>
    <row r="301" spans="1:15" x14ac:dyDescent="0.2">
      <c r="A301" s="5">
        <v>2190</v>
      </c>
      <c r="B301" s="5">
        <v>1</v>
      </c>
      <c r="C301" s="2" t="s">
        <v>297</v>
      </c>
      <c r="D301" s="2">
        <v>86898.27</v>
      </c>
      <c r="E301" s="2">
        <v>260242.25</v>
      </c>
      <c r="F301" s="2">
        <v>106127.39</v>
      </c>
      <c r="G301" s="2">
        <v>3393.38</v>
      </c>
      <c r="H301" s="2">
        <v>26905.61</v>
      </c>
      <c r="I301" s="2">
        <v>0</v>
      </c>
      <c r="J301" s="2">
        <v>0</v>
      </c>
      <c r="K301" s="2">
        <v>70775.98</v>
      </c>
      <c r="L301" s="2">
        <v>0</v>
      </c>
      <c r="M301" s="2">
        <v>81976.539999999994</v>
      </c>
      <c r="N301" s="2">
        <v>0</v>
      </c>
      <c r="O301" s="3">
        <f t="shared" si="5"/>
        <v>636319.42000000004</v>
      </c>
    </row>
    <row r="302" spans="1:15" x14ac:dyDescent="0.2">
      <c r="A302" s="5">
        <v>2198</v>
      </c>
      <c r="B302" s="5">
        <v>1</v>
      </c>
      <c r="C302" s="2" t="s">
        <v>298</v>
      </c>
      <c r="D302" s="2">
        <v>122647.6</v>
      </c>
      <c r="E302" s="2">
        <v>225345.31</v>
      </c>
      <c r="F302" s="2">
        <v>54051.81</v>
      </c>
      <c r="G302" s="2">
        <v>0</v>
      </c>
      <c r="H302" s="2">
        <v>17595.189999999999</v>
      </c>
      <c r="I302" s="2">
        <v>0</v>
      </c>
      <c r="J302" s="2">
        <v>0</v>
      </c>
      <c r="K302" s="2">
        <v>-8972.86</v>
      </c>
      <c r="L302" s="2">
        <v>0</v>
      </c>
      <c r="M302" s="2">
        <v>35233.949999999997</v>
      </c>
      <c r="N302" s="2">
        <v>0</v>
      </c>
      <c r="O302" s="3">
        <f t="shared" si="5"/>
        <v>445901.00000000006</v>
      </c>
    </row>
    <row r="303" spans="1:15" x14ac:dyDescent="0.2">
      <c r="A303" s="5">
        <v>2215</v>
      </c>
      <c r="B303" s="5">
        <v>1</v>
      </c>
      <c r="C303" s="2" t="s">
        <v>299</v>
      </c>
      <c r="D303" s="2">
        <v>43785.08</v>
      </c>
      <c r="E303" s="2">
        <v>119962.65</v>
      </c>
      <c r="F303" s="2">
        <v>26598.22</v>
      </c>
      <c r="G303" s="2">
        <v>0</v>
      </c>
      <c r="H303" s="2">
        <v>19986.38</v>
      </c>
      <c r="I303" s="2">
        <v>0</v>
      </c>
      <c r="J303" s="2">
        <v>0</v>
      </c>
      <c r="K303" s="2">
        <v>-4770.1499999999996</v>
      </c>
      <c r="L303" s="2">
        <v>0</v>
      </c>
      <c r="M303" s="2">
        <v>10544.43</v>
      </c>
      <c r="N303" s="2">
        <v>0</v>
      </c>
      <c r="O303" s="3">
        <f t="shared" si="5"/>
        <v>216106.61</v>
      </c>
    </row>
    <row r="304" spans="1:15" x14ac:dyDescent="0.2">
      <c r="A304" s="5">
        <v>2310</v>
      </c>
      <c r="B304" s="5">
        <v>1</v>
      </c>
      <c r="C304" s="2" t="s">
        <v>300</v>
      </c>
      <c r="D304" s="2">
        <v>314001.28000000003</v>
      </c>
      <c r="E304" s="2">
        <v>191156.91</v>
      </c>
      <c r="F304" s="2">
        <v>69650.559999999998</v>
      </c>
      <c r="G304" s="2">
        <v>0</v>
      </c>
      <c r="H304" s="2">
        <v>25184.080000000002</v>
      </c>
      <c r="I304" s="2">
        <v>0</v>
      </c>
      <c r="J304" s="2">
        <v>-13838.67</v>
      </c>
      <c r="K304" s="2">
        <v>13838.67</v>
      </c>
      <c r="L304" s="2">
        <v>0</v>
      </c>
      <c r="M304" s="2">
        <v>46812.7</v>
      </c>
      <c r="N304" s="2">
        <v>0</v>
      </c>
      <c r="O304" s="3">
        <f t="shared" si="5"/>
        <v>646805.52999999991</v>
      </c>
    </row>
    <row r="305" spans="1:15" x14ac:dyDescent="0.2">
      <c r="A305" s="5">
        <v>2311</v>
      </c>
      <c r="B305" s="5">
        <v>1</v>
      </c>
      <c r="C305" s="2" t="s">
        <v>301</v>
      </c>
      <c r="D305" s="2">
        <v>41955.56</v>
      </c>
      <c r="E305" s="2">
        <v>75689.070000000007</v>
      </c>
      <c r="F305" s="2">
        <v>57346.63</v>
      </c>
      <c r="G305" s="2">
        <v>8613.4699999999993</v>
      </c>
      <c r="H305" s="2">
        <v>10000</v>
      </c>
      <c r="I305" s="2">
        <v>0</v>
      </c>
      <c r="J305" s="2">
        <v>0</v>
      </c>
      <c r="K305" s="2">
        <v>6592.21</v>
      </c>
      <c r="L305" s="2">
        <v>0</v>
      </c>
      <c r="M305" s="2">
        <v>19735</v>
      </c>
      <c r="N305" s="2">
        <v>0</v>
      </c>
      <c r="O305" s="3">
        <f t="shared" si="5"/>
        <v>219931.94</v>
      </c>
    </row>
    <row r="306" spans="1:15" x14ac:dyDescent="0.2">
      <c r="A306" s="5">
        <v>2342</v>
      </c>
      <c r="B306" s="5">
        <v>1</v>
      </c>
      <c r="C306" s="2" t="s">
        <v>302</v>
      </c>
      <c r="D306" s="2">
        <v>232476.1</v>
      </c>
      <c r="E306" s="2">
        <v>347567.31000000006</v>
      </c>
      <c r="F306" s="2">
        <v>76124.09</v>
      </c>
      <c r="G306" s="2">
        <v>0</v>
      </c>
      <c r="H306" s="2">
        <v>19813.490000000002</v>
      </c>
      <c r="I306" s="2">
        <v>0</v>
      </c>
      <c r="J306" s="2">
        <v>0</v>
      </c>
      <c r="K306" s="2">
        <v>2589.63</v>
      </c>
      <c r="L306" s="2">
        <v>0</v>
      </c>
      <c r="M306" s="2">
        <v>37199.410000000003</v>
      </c>
      <c r="N306" s="2">
        <v>0</v>
      </c>
      <c r="O306" s="3">
        <f t="shared" si="5"/>
        <v>715770.03</v>
      </c>
    </row>
    <row r="307" spans="1:15" x14ac:dyDescent="0.2">
      <c r="A307" s="5">
        <v>2358</v>
      </c>
      <c r="B307" s="5">
        <v>1</v>
      </c>
      <c r="C307" s="2" t="s">
        <v>303</v>
      </c>
      <c r="D307" s="2">
        <v>52346.65</v>
      </c>
      <c r="E307" s="2">
        <v>16007.61</v>
      </c>
      <c r="F307" s="2">
        <v>36123.39</v>
      </c>
      <c r="G307" s="2">
        <v>2260.84</v>
      </c>
      <c r="H307" s="2">
        <v>9570.41</v>
      </c>
      <c r="I307" s="2">
        <v>0</v>
      </c>
      <c r="J307" s="2">
        <v>-1500</v>
      </c>
      <c r="K307" s="2">
        <v>1500</v>
      </c>
      <c r="L307" s="2">
        <v>0</v>
      </c>
      <c r="M307" s="2">
        <v>9610.7000000000007</v>
      </c>
      <c r="N307" s="2">
        <v>0</v>
      </c>
      <c r="O307" s="3">
        <f t="shared" si="5"/>
        <v>125919.6</v>
      </c>
    </row>
    <row r="308" spans="1:15" x14ac:dyDescent="0.2">
      <c r="A308" s="5">
        <v>2364</v>
      </c>
      <c r="B308" s="5">
        <v>1</v>
      </c>
      <c r="C308" s="2" t="s">
        <v>304</v>
      </c>
      <c r="D308" s="2">
        <v>85161.23</v>
      </c>
      <c r="E308" s="2">
        <v>171892.58</v>
      </c>
      <c r="F308" s="2">
        <v>33392.53</v>
      </c>
      <c r="G308" s="2">
        <v>11.77</v>
      </c>
      <c r="H308" s="2">
        <v>21843.8</v>
      </c>
      <c r="I308" s="2">
        <v>0</v>
      </c>
      <c r="J308" s="2">
        <v>0</v>
      </c>
      <c r="K308" s="2">
        <v>-1177.4700000000003</v>
      </c>
      <c r="L308" s="2">
        <v>0</v>
      </c>
      <c r="M308" s="2">
        <v>28346.65</v>
      </c>
      <c r="N308" s="2">
        <v>0</v>
      </c>
      <c r="O308" s="3">
        <f t="shared" si="5"/>
        <v>339471.09</v>
      </c>
    </row>
    <row r="309" spans="1:15" x14ac:dyDescent="0.2">
      <c r="A309" s="5">
        <v>2365</v>
      </c>
      <c r="B309" s="5">
        <v>1</v>
      </c>
      <c r="C309" s="2" t="s">
        <v>305</v>
      </c>
      <c r="D309" s="2">
        <v>287537.88</v>
      </c>
      <c r="E309" s="2">
        <v>1477.5</v>
      </c>
      <c r="F309" s="2">
        <v>150758.15</v>
      </c>
      <c r="G309" s="2">
        <v>1584.22</v>
      </c>
      <c r="H309" s="2">
        <v>21774.080000000002</v>
      </c>
      <c r="I309" s="2">
        <v>0</v>
      </c>
      <c r="J309" s="2">
        <v>0</v>
      </c>
      <c r="K309" s="2">
        <v>9888.9500000000007</v>
      </c>
      <c r="L309" s="2">
        <v>0</v>
      </c>
      <c r="M309" s="2">
        <v>49365.43</v>
      </c>
      <c r="N309" s="2">
        <v>0</v>
      </c>
      <c r="O309" s="3">
        <f t="shared" si="5"/>
        <v>522386.21</v>
      </c>
    </row>
    <row r="310" spans="1:15" x14ac:dyDescent="0.2">
      <c r="A310" s="5">
        <v>2396</v>
      </c>
      <c r="B310" s="5">
        <v>1</v>
      </c>
      <c r="C310" s="2" t="s">
        <v>306</v>
      </c>
      <c r="D310" s="2">
        <v>260784.5</v>
      </c>
      <c r="E310" s="2">
        <v>320608.13</v>
      </c>
      <c r="F310" s="2">
        <v>102338.72</v>
      </c>
      <c r="G310" s="2">
        <v>6520.58</v>
      </c>
      <c r="H310" s="2">
        <v>15637.5</v>
      </c>
      <c r="I310" s="2">
        <v>0</v>
      </c>
      <c r="J310" s="2">
        <v>0</v>
      </c>
      <c r="K310" s="2">
        <v>2835.3</v>
      </c>
      <c r="L310" s="2">
        <v>0</v>
      </c>
      <c r="M310" s="2">
        <v>67205.05</v>
      </c>
      <c r="N310" s="2">
        <v>0</v>
      </c>
      <c r="O310" s="3">
        <f t="shared" si="5"/>
        <v>775929.78</v>
      </c>
    </row>
    <row r="311" spans="1:15" x14ac:dyDescent="0.2">
      <c r="A311" s="5">
        <v>2397</v>
      </c>
      <c r="B311" s="5">
        <v>1</v>
      </c>
      <c r="C311" s="2" t="s">
        <v>307</v>
      </c>
      <c r="D311" s="2">
        <v>329312</v>
      </c>
      <c r="E311" s="2">
        <v>84727.23000000001</v>
      </c>
      <c r="F311" s="2">
        <v>75648.160000000003</v>
      </c>
      <c r="G311" s="2">
        <v>0</v>
      </c>
      <c r="H311" s="2">
        <v>25797.309999999998</v>
      </c>
      <c r="I311" s="2">
        <v>0</v>
      </c>
      <c r="J311" s="2">
        <v>0</v>
      </c>
      <c r="K311" s="2">
        <v>13543.39</v>
      </c>
      <c r="L311" s="2">
        <v>0</v>
      </c>
      <c r="M311" s="2">
        <v>47241.55</v>
      </c>
      <c r="N311" s="2">
        <v>0</v>
      </c>
      <c r="O311" s="3">
        <f t="shared" si="5"/>
        <v>576269.64</v>
      </c>
    </row>
    <row r="312" spans="1:15" x14ac:dyDescent="0.2">
      <c r="A312" s="5">
        <v>2448</v>
      </c>
      <c r="B312" s="5">
        <v>1</v>
      </c>
      <c r="C312" s="2" t="s">
        <v>308</v>
      </c>
      <c r="D312" s="2">
        <v>238347.38</v>
      </c>
      <c r="E312" s="2">
        <v>224108.59000000003</v>
      </c>
      <c r="F312" s="2">
        <v>221365</v>
      </c>
      <c r="G312" s="2">
        <v>0</v>
      </c>
      <c r="H312" s="2">
        <v>23103.23</v>
      </c>
      <c r="I312" s="2">
        <v>0</v>
      </c>
      <c r="J312" s="2">
        <v>0</v>
      </c>
      <c r="K312" s="2">
        <v>14390.46</v>
      </c>
      <c r="L312" s="2">
        <v>0</v>
      </c>
      <c r="M312" s="2">
        <v>35504.93</v>
      </c>
      <c r="N312" s="2">
        <v>0</v>
      </c>
      <c r="O312" s="3">
        <f t="shared" si="5"/>
        <v>756819.59</v>
      </c>
    </row>
    <row r="313" spans="1:15" x14ac:dyDescent="0.2">
      <c r="A313" s="5">
        <v>2527</v>
      </c>
      <c r="B313" s="5">
        <v>1</v>
      </c>
      <c r="C313" s="2" t="s">
        <v>309</v>
      </c>
      <c r="D313" s="2">
        <v>94121.37</v>
      </c>
      <c r="E313" s="2">
        <v>57832.249999999993</v>
      </c>
      <c r="F313" s="2">
        <v>61388.37</v>
      </c>
      <c r="G313" s="2">
        <v>0</v>
      </c>
      <c r="H313" s="2">
        <v>0</v>
      </c>
      <c r="I313" s="2">
        <v>0</v>
      </c>
      <c r="J313" s="2">
        <v>0</v>
      </c>
      <c r="K313" s="2">
        <v>14576.630000000001</v>
      </c>
      <c r="L313" s="2">
        <v>0</v>
      </c>
      <c r="M313" s="2">
        <v>9300.2099999999991</v>
      </c>
      <c r="N313" s="2">
        <v>0</v>
      </c>
      <c r="O313" s="3">
        <f t="shared" si="5"/>
        <v>237218.83</v>
      </c>
    </row>
    <row r="314" spans="1:15" x14ac:dyDescent="0.2">
      <c r="A314" s="5">
        <v>2534</v>
      </c>
      <c r="B314" s="5">
        <v>1</v>
      </c>
      <c r="C314" s="2" t="s">
        <v>310</v>
      </c>
      <c r="D314" s="2">
        <v>215990.7</v>
      </c>
      <c r="E314" s="2">
        <v>86318.07</v>
      </c>
      <c r="F314" s="2">
        <v>96802.28</v>
      </c>
      <c r="G314" s="2">
        <v>0</v>
      </c>
      <c r="H314" s="2">
        <v>20978.01</v>
      </c>
      <c r="I314" s="2">
        <v>0</v>
      </c>
      <c r="J314" s="2">
        <v>0</v>
      </c>
      <c r="K314" s="2">
        <v>17574.68</v>
      </c>
      <c r="L314" s="2">
        <v>0</v>
      </c>
      <c r="M314" s="2">
        <v>33123.769999999997</v>
      </c>
      <c r="N314" s="2">
        <v>0</v>
      </c>
      <c r="O314" s="3">
        <f t="shared" si="5"/>
        <v>470787.51000000007</v>
      </c>
    </row>
    <row r="315" spans="1:15" x14ac:dyDescent="0.2">
      <c r="A315" s="5">
        <v>2536</v>
      </c>
      <c r="B315" s="5">
        <v>1</v>
      </c>
      <c r="C315" s="2" t="s">
        <v>311</v>
      </c>
      <c r="D315" s="2">
        <v>79516.259999999995</v>
      </c>
      <c r="E315" s="2">
        <v>110155.1</v>
      </c>
      <c r="F315" s="2">
        <v>112538.9</v>
      </c>
      <c r="G315" s="2">
        <v>0</v>
      </c>
      <c r="H315" s="2">
        <v>0</v>
      </c>
      <c r="I315" s="2">
        <v>0</v>
      </c>
      <c r="J315" s="2">
        <v>0</v>
      </c>
      <c r="K315" s="2">
        <v>5012.3</v>
      </c>
      <c r="L315" s="2">
        <v>0</v>
      </c>
      <c r="M315" s="2">
        <v>17219.78</v>
      </c>
      <c r="N315" s="2">
        <v>0</v>
      </c>
      <c r="O315" s="3">
        <f t="shared" si="5"/>
        <v>324442.33999999997</v>
      </c>
    </row>
    <row r="316" spans="1:15" x14ac:dyDescent="0.2">
      <c r="A316" s="5">
        <v>2580</v>
      </c>
      <c r="B316" s="5">
        <v>1</v>
      </c>
      <c r="C316" s="2" t="s">
        <v>312</v>
      </c>
      <c r="D316" s="2">
        <v>139324.63</v>
      </c>
      <c r="E316" s="2">
        <v>0</v>
      </c>
      <c r="F316" s="2">
        <v>47527.08</v>
      </c>
      <c r="G316" s="2">
        <v>0</v>
      </c>
      <c r="H316" s="2">
        <v>17303.11</v>
      </c>
      <c r="I316" s="2">
        <v>0</v>
      </c>
      <c r="J316" s="2">
        <v>0</v>
      </c>
      <c r="K316" s="2">
        <v>25219.29</v>
      </c>
      <c r="L316" s="2">
        <v>0</v>
      </c>
      <c r="M316" s="2">
        <v>39868.35</v>
      </c>
      <c r="N316" s="2">
        <v>0</v>
      </c>
      <c r="O316" s="3">
        <f t="shared" si="5"/>
        <v>269242.46000000002</v>
      </c>
    </row>
    <row r="317" spans="1:15" x14ac:dyDescent="0.2">
      <c r="A317" s="5">
        <v>2609</v>
      </c>
      <c r="B317" s="5">
        <v>1</v>
      </c>
      <c r="C317" s="2" t="s">
        <v>313</v>
      </c>
      <c r="D317" s="2">
        <v>100748.61</v>
      </c>
      <c r="E317" s="2">
        <v>112936.73000000001</v>
      </c>
      <c r="F317" s="2">
        <v>16182.82</v>
      </c>
      <c r="G317" s="2">
        <v>2194.98</v>
      </c>
      <c r="H317" s="2">
        <v>10705.6</v>
      </c>
      <c r="I317" s="2">
        <v>0</v>
      </c>
      <c r="J317" s="2">
        <v>0</v>
      </c>
      <c r="K317" s="2">
        <v>1060.8700000000008</v>
      </c>
      <c r="L317" s="2">
        <v>0</v>
      </c>
      <c r="M317" s="2">
        <v>962.8</v>
      </c>
      <c r="N317" s="2">
        <v>0</v>
      </c>
      <c r="O317" s="3">
        <f t="shared" si="5"/>
        <v>244792.41000000003</v>
      </c>
    </row>
    <row r="318" spans="1:15" x14ac:dyDescent="0.2">
      <c r="A318" s="5">
        <v>2683</v>
      </c>
      <c r="B318" s="5">
        <v>1</v>
      </c>
      <c r="C318" s="2" t="s">
        <v>314</v>
      </c>
      <c r="D318" s="2">
        <v>77034.850000000006</v>
      </c>
      <c r="E318" s="2">
        <v>0</v>
      </c>
      <c r="F318" s="2">
        <v>57512.51</v>
      </c>
      <c r="G318" s="2">
        <v>0</v>
      </c>
      <c r="H318" s="2">
        <v>10000</v>
      </c>
      <c r="I318" s="2">
        <v>0</v>
      </c>
      <c r="J318" s="2">
        <v>0</v>
      </c>
      <c r="K318" s="2">
        <v>1742.08</v>
      </c>
      <c r="L318" s="2">
        <v>0</v>
      </c>
      <c r="M318" s="2">
        <v>12315.24</v>
      </c>
      <c r="N318" s="2">
        <v>0</v>
      </c>
      <c r="O318" s="3">
        <f t="shared" si="5"/>
        <v>158604.68</v>
      </c>
    </row>
    <row r="319" spans="1:15" x14ac:dyDescent="0.2">
      <c r="A319" s="5">
        <v>2687</v>
      </c>
      <c r="B319" s="5">
        <v>1</v>
      </c>
      <c r="C319" s="2" t="s">
        <v>315</v>
      </c>
      <c r="D319" s="2">
        <v>227439.06</v>
      </c>
      <c r="E319" s="2">
        <v>277679.15999999997</v>
      </c>
      <c r="F319" s="2">
        <v>128380.69</v>
      </c>
      <c r="G319" s="2">
        <v>0</v>
      </c>
      <c r="H319" s="2">
        <v>22884.52</v>
      </c>
      <c r="I319" s="2">
        <v>0</v>
      </c>
      <c r="J319" s="2">
        <v>0</v>
      </c>
      <c r="K319" s="2">
        <v>10017.75</v>
      </c>
      <c r="L319" s="2">
        <v>0</v>
      </c>
      <c r="M319" s="2">
        <v>53404.76</v>
      </c>
      <c r="N319" s="2">
        <v>0</v>
      </c>
      <c r="O319" s="3">
        <f t="shared" ref="O319:O340" si="6">SUM(D319:N319)</f>
        <v>719805.94</v>
      </c>
    </row>
    <row r="320" spans="1:15" x14ac:dyDescent="0.2">
      <c r="A320" s="5">
        <v>2689</v>
      </c>
      <c r="B320" s="5">
        <v>1</v>
      </c>
      <c r="C320" s="2" t="s">
        <v>316</v>
      </c>
      <c r="D320" s="2">
        <v>214992.05</v>
      </c>
      <c r="E320" s="2">
        <v>335992.29000000004</v>
      </c>
      <c r="F320" s="2">
        <v>41180.28</v>
      </c>
      <c r="G320" s="2">
        <v>0</v>
      </c>
      <c r="H320" s="2">
        <v>18179.11</v>
      </c>
      <c r="I320" s="2">
        <v>0</v>
      </c>
      <c r="J320" s="2">
        <v>0</v>
      </c>
      <c r="K320" s="2">
        <v>547.10000000000036</v>
      </c>
      <c r="L320" s="2">
        <v>0</v>
      </c>
      <c r="M320" s="2">
        <v>44364.97</v>
      </c>
      <c r="N320" s="2">
        <v>0</v>
      </c>
      <c r="O320" s="3">
        <f t="shared" si="6"/>
        <v>655255.80000000005</v>
      </c>
    </row>
    <row r="321" spans="1:15" x14ac:dyDescent="0.2">
      <c r="A321" s="5">
        <v>2711</v>
      </c>
      <c r="B321" s="5">
        <v>1</v>
      </c>
      <c r="C321" s="2" t="s">
        <v>317</v>
      </c>
      <c r="D321" s="2">
        <v>0</v>
      </c>
      <c r="E321" s="2">
        <v>0</v>
      </c>
      <c r="F321" s="2">
        <v>76000.399999999994</v>
      </c>
      <c r="G321" s="2">
        <v>7178.43</v>
      </c>
      <c r="H321" s="2">
        <v>18947</v>
      </c>
      <c r="I321" s="2">
        <v>810399.87000000011</v>
      </c>
      <c r="J321" s="2">
        <v>0</v>
      </c>
      <c r="K321" s="2">
        <v>491.92</v>
      </c>
      <c r="L321" s="2">
        <v>0</v>
      </c>
      <c r="M321" s="2">
        <v>0</v>
      </c>
      <c r="N321" s="2">
        <v>0</v>
      </c>
      <c r="O321" s="3">
        <f t="shared" si="6"/>
        <v>913017.62000000011</v>
      </c>
    </row>
    <row r="322" spans="1:15" x14ac:dyDescent="0.2">
      <c r="A322" s="5">
        <v>2752</v>
      </c>
      <c r="B322" s="5">
        <v>1</v>
      </c>
      <c r="C322" s="2" t="s">
        <v>318</v>
      </c>
      <c r="D322" s="2">
        <v>684809.41</v>
      </c>
      <c r="E322" s="2">
        <v>301592.37</v>
      </c>
      <c r="F322" s="2">
        <v>54445.41</v>
      </c>
      <c r="G322" s="2">
        <v>0</v>
      </c>
      <c r="H322" s="2">
        <v>41360.339999999997</v>
      </c>
      <c r="I322" s="2">
        <v>0</v>
      </c>
      <c r="J322" s="2">
        <v>0</v>
      </c>
      <c r="K322" s="2">
        <v>13687.59</v>
      </c>
      <c r="L322" s="2">
        <v>0</v>
      </c>
      <c r="M322" s="2">
        <v>70534.91</v>
      </c>
      <c r="N322" s="2">
        <v>0</v>
      </c>
      <c r="O322" s="3">
        <f t="shared" si="6"/>
        <v>1166430.03</v>
      </c>
    </row>
    <row r="323" spans="1:15" x14ac:dyDescent="0.2">
      <c r="A323" s="5">
        <v>2753</v>
      </c>
      <c r="B323" s="5">
        <v>1</v>
      </c>
      <c r="C323" s="2" t="s">
        <v>319</v>
      </c>
      <c r="D323" s="2">
        <v>236184.76</v>
      </c>
      <c r="E323" s="2">
        <v>224368.69</v>
      </c>
      <c r="F323" s="2">
        <v>61420.61</v>
      </c>
      <c r="G323" s="2">
        <v>0</v>
      </c>
      <c r="H323" s="2">
        <v>74078.570000000007</v>
      </c>
      <c r="I323" s="2">
        <v>0</v>
      </c>
      <c r="J323" s="2">
        <v>0</v>
      </c>
      <c r="K323" s="2">
        <v>43599.56</v>
      </c>
      <c r="L323" s="2">
        <v>0</v>
      </c>
      <c r="M323" s="2">
        <v>39612.57</v>
      </c>
      <c r="N323" s="2">
        <v>0</v>
      </c>
      <c r="O323" s="3">
        <f t="shared" si="6"/>
        <v>679264.75999999989</v>
      </c>
    </row>
    <row r="324" spans="1:15" x14ac:dyDescent="0.2">
      <c r="A324" s="5">
        <v>2754</v>
      </c>
      <c r="B324" s="5">
        <v>1</v>
      </c>
      <c r="C324" s="2" t="s">
        <v>320</v>
      </c>
      <c r="D324" s="2">
        <v>114056.15</v>
      </c>
      <c r="E324" s="2">
        <v>0</v>
      </c>
      <c r="F324" s="2">
        <v>98018.3</v>
      </c>
      <c r="G324" s="2">
        <v>8095.57</v>
      </c>
      <c r="H324" s="2">
        <v>0</v>
      </c>
      <c r="I324" s="2">
        <v>0</v>
      </c>
      <c r="J324" s="2">
        <v>0</v>
      </c>
      <c r="K324" s="2">
        <v>0</v>
      </c>
      <c r="L324" s="2">
        <v>0</v>
      </c>
      <c r="M324" s="2">
        <v>20860.580000000002</v>
      </c>
      <c r="N324" s="2">
        <v>0</v>
      </c>
      <c r="O324" s="3">
        <f t="shared" si="6"/>
        <v>241030.60000000003</v>
      </c>
    </row>
    <row r="325" spans="1:15" x14ac:dyDescent="0.2">
      <c r="A325" s="5">
        <v>2759</v>
      </c>
      <c r="B325" s="5">
        <v>1</v>
      </c>
      <c r="C325" s="2" t="s">
        <v>321</v>
      </c>
      <c r="D325" s="2">
        <v>59016.38</v>
      </c>
      <c r="E325" s="2">
        <v>72934.31</v>
      </c>
      <c r="F325" s="2">
        <v>12843.72</v>
      </c>
      <c r="G325" s="2">
        <v>0</v>
      </c>
      <c r="H325" s="2">
        <v>21922.79</v>
      </c>
      <c r="I325" s="2">
        <v>0</v>
      </c>
      <c r="J325" s="2">
        <v>0</v>
      </c>
      <c r="K325" s="2">
        <v>11340.32</v>
      </c>
      <c r="L325" s="2">
        <v>0</v>
      </c>
      <c r="M325" s="2">
        <v>11185.29</v>
      </c>
      <c r="N325" s="2">
        <v>0</v>
      </c>
      <c r="O325" s="3">
        <f t="shared" si="6"/>
        <v>189242.81000000003</v>
      </c>
    </row>
    <row r="326" spans="1:15" x14ac:dyDescent="0.2">
      <c r="A326" s="5">
        <v>2805</v>
      </c>
      <c r="B326" s="5">
        <v>1</v>
      </c>
      <c r="C326" s="2" t="s">
        <v>322</v>
      </c>
      <c r="D326" s="2">
        <v>232809.09</v>
      </c>
      <c r="E326" s="2">
        <v>363227.68000000005</v>
      </c>
      <c r="F326" s="2">
        <v>152693.4</v>
      </c>
      <c r="G326" s="2">
        <v>0</v>
      </c>
      <c r="H326" s="2">
        <v>23512.65</v>
      </c>
      <c r="I326" s="2">
        <v>0</v>
      </c>
      <c r="J326" s="2">
        <v>0</v>
      </c>
      <c r="K326" s="2">
        <v>31032.3</v>
      </c>
      <c r="L326" s="2">
        <v>0</v>
      </c>
      <c r="M326" s="2">
        <v>63359.33</v>
      </c>
      <c r="N326" s="2">
        <v>0</v>
      </c>
      <c r="O326" s="3">
        <f t="shared" si="6"/>
        <v>866634.45000000007</v>
      </c>
    </row>
    <row r="327" spans="1:15" x14ac:dyDescent="0.2">
      <c r="A327" s="5">
        <v>2835</v>
      </c>
      <c r="B327" s="5">
        <v>1</v>
      </c>
      <c r="C327" s="2" t="s">
        <v>323</v>
      </c>
      <c r="D327" s="2">
        <v>112469.9</v>
      </c>
      <c r="E327" s="2">
        <v>0</v>
      </c>
      <c r="F327" s="2">
        <v>161255.4</v>
      </c>
      <c r="G327" s="2">
        <v>0</v>
      </c>
      <c r="H327" s="2">
        <v>18672.36</v>
      </c>
      <c r="I327" s="2">
        <v>0</v>
      </c>
      <c r="J327" s="2">
        <v>0</v>
      </c>
      <c r="K327" s="2">
        <v>-1279.8999999999996</v>
      </c>
      <c r="L327" s="2">
        <v>0</v>
      </c>
      <c r="M327" s="2">
        <v>29594.97</v>
      </c>
      <c r="N327" s="2">
        <v>0</v>
      </c>
      <c r="O327" s="3">
        <f t="shared" si="6"/>
        <v>320712.73</v>
      </c>
    </row>
    <row r="328" spans="1:15" x14ac:dyDescent="0.2">
      <c r="A328" s="5">
        <v>2853</v>
      </c>
      <c r="B328" s="5">
        <v>1</v>
      </c>
      <c r="C328" s="2" t="s">
        <v>324</v>
      </c>
      <c r="D328" s="2">
        <v>232875.89</v>
      </c>
      <c r="E328" s="2">
        <v>284244.13</v>
      </c>
      <c r="F328" s="2">
        <v>88378.21</v>
      </c>
      <c r="G328" s="2">
        <v>642.47</v>
      </c>
      <c r="H328" s="2">
        <v>30047.08</v>
      </c>
      <c r="I328" s="2">
        <v>0</v>
      </c>
      <c r="J328" s="2">
        <v>0</v>
      </c>
      <c r="K328" s="2">
        <v>-5044.6099999999997</v>
      </c>
      <c r="L328" s="2">
        <v>0</v>
      </c>
      <c r="M328" s="2">
        <v>59970.55</v>
      </c>
      <c r="N328" s="2">
        <v>0</v>
      </c>
      <c r="O328" s="3">
        <f t="shared" si="6"/>
        <v>691113.72</v>
      </c>
    </row>
    <row r="329" spans="1:15" x14ac:dyDescent="0.2">
      <c r="A329" s="5">
        <v>2854</v>
      </c>
      <c r="B329" s="5">
        <v>1</v>
      </c>
      <c r="C329" s="2" t="s">
        <v>325</v>
      </c>
      <c r="D329" s="2">
        <v>82061.820000000007</v>
      </c>
      <c r="E329" s="2">
        <v>42685.81</v>
      </c>
      <c r="F329" s="2">
        <v>40913.339999999997</v>
      </c>
      <c r="G329" s="2">
        <v>0</v>
      </c>
      <c r="H329" s="2">
        <v>0</v>
      </c>
      <c r="I329" s="2">
        <v>0</v>
      </c>
      <c r="J329" s="2">
        <v>-2000</v>
      </c>
      <c r="K329" s="2">
        <v>0</v>
      </c>
      <c r="L329" s="2">
        <v>0</v>
      </c>
      <c r="M329" s="2">
        <v>15944</v>
      </c>
      <c r="N329" s="2">
        <v>0</v>
      </c>
      <c r="O329" s="3">
        <f t="shared" si="6"/>
        <v>179604.97</v>
      </c>
    </row>
    <row r="330" spans="1:15" x14ac:dyDescent="0.2">
      <c r="A330" s="5">
        <v>2856</v>
      </c>
      <c r="B330" s="5">
        <v>1</v>
      </c>
      <c r="C330" s="2" t="s">
        <v>326</v>
      </c>
      <c r="D330" s="2">
        <v>106937.24</v>
      </c>
      <c r="E330" s="2">
        <v>0</v>
      </c>
      <c r="F330" s="2">
        <v>122060.62</v>
      </c>
      <c r="G330" s="2">
        <v>2021.24</v>
      </c>
      <c r="H330" s="2">
        <v>10000</v>
      </c>
      <c r="I330" s="2">
        <v>0</v>
      </c>
      <c r="J330" s="2">
        <v>0</v>
      </c>
      <c r="K330" s="2">
        <v>-4093.7199999999993</v>
      </c>
      <c r="L330" s="2">
        <v>0</v>
      </c>
      <c r="M330" s="2">
        <v>22977.59</v>
      </c>
      <c r="N330" s="2">
        <v>0</v>
      </c>
      <c r="O330" s="3">
        <f t="shared" si="6"/>
        <v>259902.96999999997</v>
      </c>
    </row>
    <row r="331" spans="1:15" x14ac:dyDescent="0.2">
      <c r="A331" s="5">
        <v>2859</v>
      </c>
      <c r="B331" s="5">
        <v>1</v>
      </c>
      <c r="C331" s="2" t="s">
        <v>327</v>
      </c>
      <c r="D331" s="2">
        <v>351533.67</v>
      </c>
      <c r="E331" s="2">
        <v>416611.36</v>
      </c>
      <c r="F331" s="2">
        <v>168353.22</v>
      </c>
      <c r="G331" s="2">
        <v>3949.77</v>
      </c>
      <c r="H331" s="2">
        <v>25162.850000000002</v>
      </c>
      <c r="I331" s="2">
        <v>0</v>
      </c>
      <c r="J331" s="2">
        <v>0</v>
      </c>
      <c r="K331" s="2">
        <v>-3863.880000000001</v>
      </c>
      <c r="L331" s="2">
        <v>0</v>
      </c>
      <c r="M331" s="2">
        <v>81906.59</v>
      </c>
      <c r="N331" s="2">
        <v>0</v>
      </c>
      <c r="O331" s="3">
        <f t="shared" si="6"/>
        <v>1043653.58</v>
      </c>
    </row>
    <row r="332" spans="1:15" x14ac:dyDescent="0.2">
      <c r="A332" s="5">
        <v>2860</v>
      </c>
      <c r="B332" s="5">
        <v>1</v>
      </c>
      <c r="C332" s="2" t="s">
        <v>328</v>
      </c>
      <c r="D332" s="2">
        <v>266143.57</v>
      </c>
      <c r="E332" s="2">
        <v>68685.950000000012</v>
      </c>
      <c r="F332" s="2">
        <v>161661.34</v>
      </c>
      <c r="G332" s="2">
        <v>0</v>
      </c>
      <c r="H332" s="2">
        <v>0</v>
      </c>
      <c r="I332" s="2">
        <v>0</v>
      </c>
      <c r="J332" s="2">
        <v>-1425.25</v>
      </c>
      <c r="K332" s="2">
        <v>1425.25</v>
      </c>
      <c r="L332" s="2">
        <v>0</v>
      </c>
      <c r="M332" s="2">
        <v>62328.45</v>
      </c>
      <c r="N332" s="2">
        <v>0</v>
      </c>
      <c r="O332" s="3">
        <f t="shared" si="6"/>
        <v>558819.30999999994</v>
      </c>
    </row>
    <row r="333" spans="1:15" x14ac:dyDescent="0.2">
      <c r="A333" s="5">
        <v>2884</v>
      </c>
      <c r="B333" s="5">
        <v>1</v>
      </c>
      <c r="C333" s="2" t="s">
        <v>329</v>
      </c>
      <c r="D333" s="2">
        <v>128706.34</v>
      </c>
      <c r="E333" s="2">
        <v>211537</v>
      </c>
      <c r="F333" s="2">
        <v>56094.94</v>
      </c>
      <c r="G333" s="2">
        <v>16313.15</v>
      </c>
      <c r="H333" s="2">
        <v>0</v>
      </c>
      <c r="I333" s="2">
        <v>0</v>
      </c>
      <c r="J333" s="2">
        <v>0</v>
      </c>
      <c r="K333" s="2">
        <v>0</v>
      </c>
      <c r="L333" s="2">
        <v>0</v>
      </c>
      <c r="M333" s="2">
        <v>10012.09</v>
      </c>
      <c r="N333" s="2">
        <v>0</v>
      </c>
      <c r="O333" s="3">
        <f t="shared" si="6"/>
        <v>422663.52</v>
      </c>
    </row>
    <row r="334" spans="1:15" x14ac:dyDescent="0.2">
      <c r="A334" s="5">
        <v>2886</v>
      </c>
      <c r="B334" s="5">
        <v>1</v>
      </c>
      <c r="C334" s="2" t="s">
        <v>330</v>
      </c>
      <c r="D334" s="2">
        <v>103952.06</v>
      </c>
      <c r="E334" s="2">
        <v>0</v>
      </c>
      <c r="F334" s="2">
        <v>122081.61</v>
      </c>
      <c r="G334" s="2">
        <v>519.49</v>
      </c>
      <c r="H334" s="2">
        <v>7424.8</v>
      </c>
      <c r="I334" s="2">
        <v>0</v>
      </c>
      <c r="J334" s="2">
        <v>0</v>
      </c>
      <c r="K334" s="2">
        <v>-16206.599999999999</v>
      </c>
      <c r="L334" s="2">
        <v>0</v>
      </c>
      <c r="M334" s="2">
        <v>11368.9</v>
      </c>
      <c r="N334" s="2">
        <v>0</v>
      </c>
      <c r="O334" s="3">
        <f t="shared" si="6"/>
        <v>229140.25999999995</v>
      </c>
    </row>
    <row r="335" spans="1:15" x14ac:dyDescent="0.2">
      <c r="A335" s="5">
        <v>2888</v>
      </c>
      <c r="B335" s="5">
        <v>1</v>
      </c>
      <c r="C335" s="2" t="s">
        <v>331</v>
      </c>
      <c r="D335" s="2">
        <v>76817.240000000005</v>
      </c>
      <c r="E335" s="2">
        <v>73244.789999999994</v>
      </c>
      <c r="F335" s="2">
        <v>38564.47</v>
      </c>
      <c r="G335" s="2">
        <v>5805.07</v>
      </c>
      <c r="H335" s="2">
        <v>10218.49</v>
      </c>
      <c r="I335" s="2">
        <v>0</v>
      </c>
      <c r="J335" s="2">
        <v>0</v>
      </c>
      <c r="K335" s="2">
        <v>-9814.8799999999992</v>
      </c>
      <c r="L335" s="2">
        <v>0</v>
      </c>
      <c r="M335" s="2">
        <v>16532.71</v>
      </c>
      <c r="N335" s="2">
        <v>0</v>
      </c>
      <c r="O335" s="3">
        <f t="shared" si="6"/>
        <v>211367.88999999998</v>
      </c>
    </row>
    <row r="336" spans="1:15" x14ac:dyDescent="0.2">
      <c r="A336" s="5">
        <v>2889</v>
      </c>
      <c r="B336" s="5">
        <v>1</v>
      </c>
      <c r="C336" s="2" t="s">
        <v>332</v>
      </c>
      <c r="D336" s="2">
        <v>144443.6</v>
      </c>
      <c r="E336" s="2">
        <v>203862.16999999998</v>
      </c>
      <c r="F336" s="2">
        <v>70465.440000000002</v>
      </c>
      <c r="G336" s="2">
        <v>11121.56</v>
      </c>
      <c r="H336" s="2">
        <v>13494.12</v>
      </c>
      <c r="I336" s="2">
        <v>0</v>
      </c>
      <c r="J336" s="2">
        <v>0</v>
      </c>
      <c r="K336" s="2">
        <v>14967.98</v>
      </c>
      <c r="L336" s="2">
        <v>0</v>
      </c>
      <c r="M336" s="2">
        <v>33842.11</v>
      </c>
      <c r="N336" s="2">
        <v>0</v>
      </c>
      <c r="O336" s="3">
        <f t="shared" si="6"/>
        <v>492196.98</v>
      </c>
    </row>
    <row r="337" spans="1:15" x14ac:dyDescent="0.2">
      <c r="A337" s="5">
        <v>2890</v>
      </c>
      <c r="B337" s="5">
        <v>1</v>
      </c>
      <c r="C337" s="2" t="s">
        <v>333</v>
      </c>
      <c r="D337" s="2">
        <v>127469.88</v>
      </c>
      <c r="E337" s="2">
        <v>303792.56</v>
      </c>
      <c r="F337" s="2">
        <v>202355.05</v>
      </c>
      <c r="G337" s="2">
        <v>0</v>
      </c>
      <c r="H337" s="2">
        <v>13037.38</v>
      </c>
      <c r="I337" s="2">
        <v>0</v>
      </c>
      <c r="J337" s="2">
        <v>0</v>
      </c>
      <c r="K337" s="2">
        <v>2389.5300000000002</v>
      </c>
      <c r="L337" s="2">
        <v>0</v>
      </c>
      <c r="M337" s="2">
        <v>31495.97</v>
      </c>
      <c r="N337" s="2">
        <v>0</v>
      </c>
      <c r="O337" s="3">
        <f t="shared" si="6"/>
        <v>680540.37</v>
      </c>
    </row>
    <row r="338" spans="1:15" x14ac:dyDescent="0.2">
      <c r="A338" s="5">
        <v>2895</v>
      </c>
      <c r="B338" s="5">
        <v>1</v>
      </c>
      <c r="C338" s="2" t="s">
        <v>334</v>
      </c>
      <c r="D338" s="2">
        <v>265200.26</v>
      </c>
      <c r="E338" s="2">
        <v>424148.58</v>
      </c>
      <c r="F338" s="2">
        <v>40827.550000000003</v>
      </c>
      <c r="G338" s="2">
        <v>13469.21</v>
      </c>
      <c r="H338" s="2">
        <v>21031.050000000003</v>
      </c>
      <c r="I338" s="2">
        <v>0</v>
      </c>
      <c r="J338" s="2">
        <v>0</v>
      </c>
      <c r="K338" s="2">
        <v>10403.200000000001</v>
      </c>
      <c r="L338" s="2">
        <v>0</v>
      </c>
      <c r="M338" s="2">
        <v>58524.61</v>
      </c>
      <c r="N338" s="2">
        <v>0</v>
      </c>
      <c r="O338" s="3">
        <f t="shared" si="6"/>
        <v>833604.46000000008</v>
      </c>
    </row>
    <row r="339" spans="1:15" x14ac:dyDescent="0.2">
      <c r="A339" s="5">
        <v>2897</v>
      </c>
      <c r="B339" s="5">
        <v>1</v>
      </c>
      <c r="C339" s="2" t="s">
        <v>335</v>
      </c>
      <c r="D339" s="2">
        <v>178463.91</v>
      </c>
      <c r="E339" s="2">
        <v>181353.33</v>
      </c>
      <c r="F339" s="2">
        <v>0</v>
      </c>
      <c r="G339" s="2">
        <v>0</v>
      </c>
      <c r="H339" s="2">
        <v>0</v>
      </c>
      <c r="I339" s="2">
        <v>0</v>
      </c>
      <c r="J339" s="2">
        <v>-7827.43</v>
      </c>
      <c r="K339" s="2">
        <v>10313.73</v>
      </c>
      <c r="L339" s="2">
        <v>0</v>
      </c>
      <c r="M339" s="2">
        <v>52856.39</v>
      </c>
      <c r="N339" s="2">
        <v>0</v>
      </c>
      <c r="O339" s="3">
        <f t="shared" si="6"/>
        <v>415159.93</v>
      </c>
    </row>
    <row r="340" spans="1:15" x14ac:dyDescent="0.2">
      <c r="A340" s="5">
        <v>2898</v>
      </c>
      <c r="B340" s="5">
        <v>1</v>
      </c>
      <c r="C340" s="2" t="s">
        <v>336</v>
      </c>
      <c r="D340" s="2">
        <v>120860.32</v>
      </c>
      <c r="E340" s="2">
        <v>0</v>
      </c>
      <c r="F340" s="2">
        <v>115844.14</v>
      </c>
      <c r="G340" s="2">
        <v>0</v>
      </c>
      <c r="H340" s="2">
        <v>12628.8</v>
      </c>
      <c r="I340" s="2">
        <v>0</v>
      </c>
      <c r="J340" s="2">
        <v>0</v>
      </c>
      <c r="K340" s="2">
        <v>11805.42</v>
      </c>
      <c r="L340" s="2">
        <v>0</v>
      </c>
      <c r="M340" s="2">
        <v>18963.23</v>
      </c>
      <c r="N340" s="2">
        <v>0</v>
      </c>
      <c r="O340" s="3">
        <f t="shared" si="6"/>
        <v>280101.91000000003</v>
      </c>
    </row>
    <row r="341" spans="1:15" x14ac:dyDescent="0.2">
      <c r="A341" s="5">
        <v>2899</v>
      </c>
      <c r="B341" s="5">
        <v>1</v>
      </c>
      <c r="C341" s="2" t="s">
        <v>498</v>
      </c>
      <c r="D341" s="2">
        <v>258778.19</v>
      </c>
      <c r="E341" s="2">
        <v>123705.32</v>
      </c>
      <c r="F341" s="2">
        <v>24224.82</v>
      </c>
      <c r="G341" s="2">
        <v>0</v>
      </c>
      <c r="H341" s="2">
        <v>31889.600000000002</v>
      </c>
      <c r="I341" s="2">
        <v>0</v>
      </c>
      <c r="J341" s="2">
        <v>0</v>
      </c>
      <c r="K341" s="2">
        <v>910.98</v>
      </c>
      <c r="L341" s="2">
        <v>0</v>
      </c>
      <c r="M341" s="2">
        <v>36888.86</v>
      </c>
      <c r="N341" s="2">
        <v>0</v>
      </c>
      <c r="O341" s="3">
        <f>SUM(D341:N341)</f>
        <v>476397.76999999996</v>
      </c>
    </row>
    <row r="342" spans="1:15" x14ac:dyDescent="0.2">
      <c r="A342" s="5">
        <v>2902</v>
      </c>
      <c r="B342" s="5">
        <v>1</v>
      </c>
      <c r="C342" s="2" t="s">
        <v>497</v>
      </c>
      <c r="D342" s="2">
        <v>112044.65</v>
      </c>
      <c r="E342" s="2">
        <v>53091.349999999991</v>
      </c>
      <c r="F342" s="2">
        <v>56182.83</v>
      </c>
      <c r="G342" s="2">
        <v>479.17</v>
      </c>
      <c r="H342" s="2">
        <v>12799.51</v>
      </c>
      <c r="I342" s="2">
        <v>0</v>
      </c>
      <c r="J342" s="2">
        <v>0</v>
      </c>
      <c r="K342" s="2">
        <v>14982.77</v>
      </c>
      <c r="L342" s="2">
        <v>0</v>
      </c>
      <c r="M342" s="2">
        <v>45451.69</v>
      </c>
      <c r="N342" s="2">
        <v>0</v>
      </c>
      <c r="O342" s="3">
        <f>SUM(D342:N342)</f>
        <v>295031.97000000003</v>
      </c>
    </row>
    <row r="343" spans="1:15" x14ac:dyDescent="0.2">
      <c r="A343" s="5">
        <v>2903</v>
      </c>
      <c r="B343" s="5">
        <v>1</v>
      </c>
      <c r="C343" s="2" t="s">
        <v>640</v>
      </c>
      <c r="D343" s="2">
        <v>243054.55</v>
      </c>
      <c r="E343" s="2">
        <v>98420.67</v>
      </c>
      <c r="F343" s="2">
        <v>78903.95</v>
      </c>
      <c r="G343" s="2">
        <v>0</v>
      </c>
      <c r="H343" s="2">
        <v>17446.849999999999</v>
      </c>
      <c r="I343" s="2">
        <v>0</v>
      </c>
      <c r="J343" s="2">
        <v>0</v>
      </c>
      <c r="K343" s="2">
        <v>0</v>
      </c>
      <c r="L343" s="2">
        <v>0</v>
      </c>
      <c r="M343" s="2">
        <v>24320.31</v>
      </c>
      <c r="N343" s="2">
        <v>0</v>
      </c>
      <c r="O343" s="3">
        <f>SUM(D343:N343)</f>
        <v>462146.32999999996</v>
      </c>
    </row>
    <row r="344" spans="1:15" x14ac:dyDescent="0.2">
      <c r="A344" s="5">
        <v>2904</v>
      </c>
      <c r="B344" s="5">
        <v>1</v>
      </c>
      <c r="C344" s="2" t="s">
        <v>641</v>
      </c>
      <c r="D344" s="2">
        <v>203485.14</v>
      </c>
      <c r="E344" s="2">
        <v>159309.16999999998</v>
      </c>
      <c r="F344" s="2">
        <v>99195.199999999997</v>
      </c>
      <c r="G344" s="2">
        <v>4004.21</v>
      </c>
      <c r="H344" s="2">
        <v>18378.79</v>
      </c>
      <c r="I344" s="2">
        <v>0</v>
      </c>
      <c r="J344" s="2">
        <v>0</v>
      </c>
      <c r="K344" s="2">
        <v>23538.29</v>
      </c>
      <c r="L344" s="2">
        <v>0</v>
      </c>
      <c r="M344" s="2">
        <v>35965.46</v>
      </c>
      <c r="N344" s="2">
        <v>0</v>
      </c>
      <c r="O344" s="3">
        <f>SUM(D344:N344)</f>
        <v>543876.26</v>
      </c>
    </row>
  </sheetData>
  <phoneticPr fontId="0" type="noConversion"/>
  <printOptions horizontalCentered="1"/>
  <pageMargins left="0.5" right="0.5" top="1" bottom="1" header="0.5" footer="0.5"/>
  <pageSetup scale="79" fitToHeight="0" orientation="landscape" r:id="rId1"/>
  <headerFooter alignWithMargins="0">
    <oddFooter>&amp;C&amp;P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Y344"/>
  <sheetViews>
    <sheetView workbookViewId="0">
      <pane xSplit="3" ySplit="7" topLeftCell="D8" activePane="bottomRight" state="frozen"/>
      <selection pane="topRight" activeCell="D1" sqref="D1"/>
      <selection pane="bottomLeft" activeCell="A8" sqref="A8"/>
      <selection pane="bottomRight" activeCell="A6" sqref="A6"/>
    </sheetView>
  </sheetViews>
  <sheetFormatPr defaultRowHeight="11.25" x14ac:dyDescent="0.2"/>
  <cols>
    <col min="1" max="1" width="7" style="5" customWidth="1"/>
    <col min="2" max="2" width="6.83203125" style="5" customWidth="1"/>
    <col min="3" max="3" width="18.33203125" style="2" customWidth="1"/>
    <col min="4" max="4" width="15.33203125" style="3" customWidth="1"/>
    <col min="5" max="5" width="13.83203125" style="3" customWidth="1"/>
    <col min="6" max="6" width="16" style="21" customWidth="1"/>
    <col min="7" max="10" width="16" style="3" customWidth="1"/>
    <col min="11" max="13" width="17.6640625" style="3" customWidth="1"/>
    <col min="14" max="14" width="16.6640625" style="3" customWidth="1"/>
    <col min="15" max="15" width="16.6640625" style="152" customWidth="1"/>
    <col min="16" max="16" width="16.6640625" style="3" customWidth="1"/>
    <col min="17" max="17" width="15.1640625" style="3" bestFit="1" customWidth="1"/>
    <col min="18" max="25" width="14.83203125" style="3" customWidth="1"/>
    <col min="26" max="16384" width="9.33203125" style="2"/>
  </cols>
  <sheetData>
    <row r="1" spans="1:25" x14ac:dyDescent="0.2">
      <c r="A1" s="11" t="s">
        <v>487</v>
      </c>
      <c r="V1" s="144">
        <f>Report!I1</f>
        <v>41115</v>
      </c>
      <c r="W1" s="144"/>
      <c r="X1" s="144"/>
      <c r="Y1" s="144"/>
    </row>
    <row r="2" spans="1:25" x14ac:dyDescent="0.2">
      <c r="A2" s="160" t="str">
        <f>"Preliminary "&amp;Instructions!P2&amp;" credits"</f>
        <v>Preliminary Pay 2011 credits</v>
      </c>
    </row>
    <row r="3" spans="1:25" x14ac:dyDescent="0.2">
      <c r="A3" s="160" t="str">
        <f>Instructions!P1&amp;" Levy"</f>
        <v>Pay 2012 Levy</v>
      </c>
      <c r="B3" s="18"/>
      <c r="C3" s="3"/>
      <c r="D3" s="167" t="s">
        <v>679</v>
      </c>
      <c r="E3" s="167" t="s">
        <v>679</v>
      </c>
      <c r="F3" s="168" t="s">
        <v>680</v>
      </c>
      <c r="G3" s="167" t="s">
        <v>681</v>
      </c>
      <c r="H3" s="167" t="s">
        <v>682</v>
      </c>
      <c r="I3" s="167" t="s">
        <v>683</v>
      </c>
      <c r="J3" s="167" t="s">
        <v>684</v>
      </c>
      <c r="K3" s="167" t="s">
        <v>685</v>
      </c>
      <c r="L3" s="167" t="s">
        <v>686</v>
      </c>
      <c r="M3" s="167" t="s">
        <v>689</v>
      </c>
      <c r="N3" s="167" t="s">
        <v>687</v>
      </c>
      <c r="O3" s="152">
        <v>2240935898.98</v>
      </c>
    </row>
    <row r="4" spans="1:25" s="8" customFormat="1" ht="22.5" customHeight="1" x14ac:dyDescent="0.2">
      <c r="A4" s="189" t="s">
        <v>693</v>
      </c>
      <c r="B4" s="189"/>
      <c r="C4" s="189"/>
      <c r="D4" s="148" t="s">
        <v>677</v>
      </c>
      <c r="E4" s="148" t="s">
        <v>656</v>
      </c>
      <c r="F4" s="17" t="s">
        <v>643</v>
      </c>
      <c r="G4" s="165" t="s">
        <v>644</v>
      </c>
      <c r="H4" s="9" t="s">
        <v>645</v>
      </c>
      <c r="I4" s="165" t="s">
        <v>646</v>
      </c>
      <c r="J4" s="9" t="s">
        <v>647</v>
      </c>
      <c r="K4" s="9" t="s">
        <v>648</v>
      </c>
      <c r="L4" s="9" t="s">
        <v>649</v>
      </c>
      <c r="M4" s="9" t="s">
        <v>650</v>
      </c>
      <c r="N4" s="9" t="s">
        <v>651</v>
      </c>
      <c r="O4" s="153" t="s">
        <v>488</v>
      </c>
      <c r="P4" s="9" t="s">
        <v>486</v>
      </c>
      <c r="Q4" s="9" t="s">
        <v>485</v>
      </c>
      <c r="R4" s="9" t="s">
        <v>484</v>
      </c>
      <c r="S4" s="165" t="s">
        <v>690</v>
      </c>
      <c r="T4" s="165" t="s">
        <v>691</v>
      </c>
      <c r="U4" s="165" t="s">
        <v>699</v>
      </c>
      <c r="V4" s="165" t="s">
        <v>700</v>
      </c>
      <c r="W4" s="165" t="s">
        <v>701</v>
      </c>
      <c r="X4" s="165" t="s">
        <v>702</v>
      </c>
      <c r="Y4" s="165" t="s">
        <v>692</v>
      </c>
    </row>
    <row r="5" spans="1:25" ht="12.75" x14ac:dyDescent="0.2">
      <c r="A5" s="170">
        <v>0</v>
      </c>
    </row>
    <row r="6" spans="1:25" x14ac:dyDescent="0.2">
      <c r="C6" s="2" t="s">
        <v>344</v>
      </c>
      <c r="D6" s="3">
        <f>SUM(D8:D344)</f>
        <v>73730757.410000086</v>
      </c>
      <c r="E6" s="3">
        <f t="shared" ref="E6:Y6" si="0">SUM(E8:E344)</f>
        <v>76018159.350000009</v>
      </c>
      <c r="F6" s="21">
        <f t="shared" si="0"/>
        <v>763545642.33000052</v>
      </c>
      <c r="G6" s="3">
        <f t="shared" si="0"/>
        <v>91927343.999999955</v>
      </c>
      <c r="H6" s="3">
        <f t="shared" si="0"/>
        <v>47134874</v>
      </c>
      <c r="I6" s="3">
        <f t="shared" si="0"/>
        <v>427054764.34000009</v>
      </c>
      <c r="J6" s="3">
        <f t="shared" si="0"/>
        <v>73674514.700000033</v>
      </c>
      <c r="K6" s="3">
        <f>SUM(K8:K344)</f>
        <v>604707230.60000026</v>
      </c>
      <c r="L6" s="3">
        <f>SUM(L8:L344)</f>
        <v>206072123.33000001</v>
      </c>
      <c r="M6" s="3">
        <f>SUM(M8:M344)</f>
        <v>0</v>
      </c>
      <c r="N6" s="3">
        <f>SUM(N8:N344)</f>
        <v>65541825.589999989</v>
      </c>
      <c r="O6" s="152">
        <f t="shared" si="0"/>
        <v>2279658318.8899999</v>
      </c>
      <c r="P6" s="3">
        <f>SUM(P8:P344)</f>
        <v>1424185332.5599999</v>
      </c>
      <c r="Q6" s="3">
        <f>SUM(Q8:Q344)</f>
        <v>474189638.34000009</v>
      </c>
      <c r="R6" s="3">
        <f>SUM(R8:R344)</f>
        <v>73674514.700000033</v>
      </c>
      <c r="S6" s="3">
        <f>SUM(S8:S344)</f>
        <v>810779353.93000042</v>
      </c>
      <c r="T6" s="3">
        <f>SUM(T8:T344)</f>
        <v>65541825.589999989</v>
      </c>
      <c r="U6" s="3">
        <f t="shared" si="0"/>
        <v>5214447.9899999965</v>
      </c>
      <c r="V6" s="3">
        <f t="shared" si="0"/>
        <v>819296.2099999995</v>
      </c>
      <c r="W6" s="3">
        <f t="shared" si="0"/>
        <v>10288903.569999998</v>
      </c>
      <c r="X6" s="3">
        <f t="shared" si="0"/>
        <v>1087435.6199999999</v>
      </c>
      <c r="Y6" s="3">
        <f t="shared" si="0"/>
        <v>17410083.390000015</v>
      </c>
    </row>
    <row r="8" spans="1:25" ht="15" x14ac:dyDescent="0.25">
      <c r="A8" s="5">
        <v>1</v>
      </c>
      <c r="B8" s="5">
        <v>1</v>
      </c>
      <c r="C8" s="2" t="s">
        <v>5</v>
      </c>
      <c r="D8" s="3">
        <v>92902.44</v>
      </c>
      <c r="E8" s="3">
        <v>42148.72</v>
      </c>
      <c r="F8" s="173">
        <v>81.540000000000006</v>
      </c>
      <c r="G8" s="173">
        <v>352047.5</v>
      </c>
      <c r="H8" s="173">
        <v>0</v>
      </c>
      <c r="I8" s="173">
        <v>503404.39</v>
      </c>
      <c r="J8" s="174">
        <v>1846.04</v>
      </c>
      <c r="K8" s="173">
        <v>0</v>
      </c>
      <c r="L8" s="173">
        <v>0</v>
      </c>
      <c r="M8" s="175">
        <v>0</v>
      </c>
      <c r="N8" s="173">
        <v>0</v>
      </c>
      <c r="O8" s="152">
        <f>SUM(F8:N8)</f>
        <v>857379.47</v>
      </c>
      <c r="P8" s="3">
        <f>SUM(H8:N8)</f>
        <v>505250.43</v>
      </c>
      <c r="Q8" s="3">
        <f>SUM(H8:I8)</f>
        <v>503404.39</v>
      </c>
      <c r="R8" s="3">
        <f>J8</f>
        <v>1846.04</v>
      </c>
      <c r="S8" s="3">
        <f>K8+L8</f>
        <v>0</v>
      </c>
      <c r="T8" s="3">
        <f>N8+M8</f>
        <v>0</v>
      </c>
      <c r="U8" s="3">
        <f>IF($A$5=1,IF($P8=0,0,ROUND(Q8/$P8*$E8,2)),Credits!D8)+Credits!J8</f>
        <v>65805.100000000006</v>
      </c>
      <c r="V8" s="3">
        <f>IF($A$5=1,IF($P8=0,0,ROUND(R8/$P8*$E8,2)),Credits!E8)+Credits!K8</f>
        <v>184.88</v>
      </c>
      <c r="W8" s="3">
        <f>IF($A$5=1,IF($P8=0,0,ROUND(S8/$P8*$E8,2)),Credits!F8)+Credits!L8</f>
        <v>1335.38</v>
      </c>
      <c r="X8" s="3">
        <f>IF($A$5=1,IF($P8=0,0,ROUND(T8/$P8*$E8,2)),Credits!G8)+Credits!M8</f>
        <v>0</v>
      </c>
      <c r="Y8" s="3">
        <f>SUM(U8:X8)</f>
        <v>67325.360000000015</v>
      </c>
    </row>
    <row r="9" spans="1:25" ht="15" x14ac:dyDescent="0.25">
      <c r="A9" s="5">
        <v>1.2</v>
      </c>
      <c r="B9" s="5">
        <v>3</v>
      </c>
      <c r="C9" s="2" t="s">
        <v>6</v>
      </c>
      <c r="D9" s="3">
        <v>2663277.4299999997</v>
      </c>
      <c r="E9" s="3">
        <v>2694951.48</v>
      </c>
      <c r="F9" s="173">
        <v>67448173.700000003</v>
      </c>
      <c r="G9" s="173">
        <v>8500163.8399999999</v>
      </c>
      <c r="H9" s="173">
        <v>0</v>
      </c>
      <c r="I9" s="173">
        <v>27494722.199999999</v>
      </c>
      <c r="J9" s="174">
        <v>4928399.1399999997</v>
      </c>
      <c r="K9" s="173">
        <v>0</v>
      </c>
      <c r="L9" s="173">
        <v>54624567.82</v>
      </c>
      <c r="M9" s="175">
        <v>0</v>
      </c>
      <c r="N9" s="173">
        <v>2731434</v>
      </c>
      <c r="O9" s="152">
        <f t="shared" ref="O9:O72" si="1">SUM(F9:N9)</f>
        <v>165727460.70000002</v>
      </c>
      <c r="P9" s="3">
        <f>SUM(H9:N9)</f>
        <v>89779123.159999996</v>
      </c>
      <c r="Q9" s="3">
        <f t="shared" ref="Q9:Q72" si="2">SUM(H9:I9)</f>
        <v>27494722.199999999</v>
      </c>
      <c r="R9" s="3">
        <f t="shared" ref="R9:R72" si="3">J9</f>
        <v>4928399.1399999997</v>
      </c>
      <c r="S9" s="3">
        <f t="shared" ref="S9:S72" si="4">K9+L9</f>
        <v>54624567.82</v>
      </c>
      <c r="T9" s="3">
        <f t="shared" ref="T9:T72" si="5">N9+M9</f>
        <v>2731434</v>
      </c>
      <c r="U9" s="3">
        <f>IF($A$5=1,IF($P9=0,0,ROUND(Q9/$P9*$E9,2)),Credits!D9)+Credits!J9</f>
        <v>200855.60000000003</v>
      </c>
      <c r="V9" s="3">
        <f>IF($A$5=1,IF($P9=0,0,ROUND(R9/$P9*$E9,2)),Credits!E9)+Credits!K9</f>
        <v>29248.09</v>
      </c>
      <c r="W9" s="3">
        <f>IF($A$5=1,IF($P9=0,0,ROUND(S9/$P9*$E9,2)),Credits!F9)+Credits!L9</f>
        <v>324002.28000000003</v>
      </c>
      <c r="X9" s="3">
        <f>IF($A$5=1,IF($P9=0,0,ROUND(T9/$P9*$E9,2)),Credits!G9)+Credits!M9</f>
        <v>16219.78</v>
      </c>
      <c r="Y9" s="3">
        <f t="shared" ref="Y9:Y72" si="6">SUM(U9:X9)</f>
        <v>570325.75000000012</v>
      </c>
    </row>
    <row r="10" spans="1:25" ht="15" x14ac:dyDescent="0.25">
      <c r="A10" s="5">
        <v>2</v>
      </c>
      <c r="B10" s="5">
        <v>1</v>
      </c>
      <c r="C10" s="2" t="s">
        <v>7</v>
      </c>
      <c r="D10" s="3">
        <v>61193.020000000004</v>
      </c>
      <c r="E10" s="3">
        <v>62222.09</v>
      </c>
      <c r="F10" s="173">
        <v>0</v>
      </c>
      <c r="G10" s="173">
        <v>33615</v>
      </c>
      <c r="H10" s="173">
        <v>0</v>
      </c>
      <c r="I10" s="173">
        <v>117325</v>
      </c>
      <c r="J10" s="174">
        <v>19970</v>
      </c>
      <c r="K10" s="173">
        <v>227746</v>
      </c>
      <c r="L10" s="173">
        <v>0</v>
      </c>
      <c r="M10" s="175">
        <v>0</v>
      </c>
      <c r="N10" s="173">
        <v>0</v>
      </c>
      <c r="O10" s="152">
        <f t="shared" si="1"/>
        <v>398656</v>
      </c>
      <c r="P10" s="3">
        <f t="shared" ref="P10:P72" si="7">SUM(H10:N10)</f>
        <v>365041</v>
      </c>
      <c r="Q10" s="3">
        <f t="shared" si="2"/>
        <v>117325</v>
      </c>
      <c r="R10" s="3">
        <f t="shared" si="3"/>
        <v>19970</v>
      </c>
      <c r="S10" s="3">
        <f t="shared" si="4"/>
        <v>227746</v>
      </c>
      <c r="T10" s="3">
        <f t="shared" si="5"/>
        <v>0</v>
      </c>
      <c r="U10" s="3">
        <f>IF($A$5=1,IF($P10=0,0,ROUND(Q10/$P10*$E10,2)),Credits!D10)+Credits!J10</f>
        <v>3788.95</v>
      </c>
      <c r="V10" s="3">
        <f>IF($A$5=1,IF($P10=0,0,ROUND(R10/$P10*$E10,2)),Credits!E10)+Credits!K10</f>
        <v>645.04</v>
      </c>
      <c r="W10" s="3">
        <f>IF($A$5=1,IF($P10=0,0,ROUND(S10/$P10*$E10,2)),Credits!F10)+Credits!L10</f>
        <v>7354.77</v>
      </c>
      <c r="X10" s="3">
        <f>IF($A$5=1,IF($P10=0,0,ROUND(T10/$P10*$E10,2)),Credits!G10)+Credits!M10</f>
        <v>0</v>
      </c>
      <c r="Y10" s="3">
        <f t="shared" si="6"/>
        <v>11788.76</v>
      </c>
    </row>
    <row r="11" spans="1:25" ht="15" x14ac:dyDescent="0.25">
      <c r="A11" s="5">
        <v>4</v>
      </c>
      <c r="B11" s="5">
        <v>1</v>
      </c>
      <c r="C11" s="2" t="s">
        <v>8</v>
      </c>
      <c r="D11" s="3">
        <v>80147.900000000009</v>
      </c>
      <c r="E11" s="3">
        <v>77463.08</v>
      </c>
      <c r="F11" s="173">
        <v>0</v>
      </c>
      <c r="G11" s="173">
        <v>66483</v>
      </c>
      <c r="H11" s="173">
        <v>0</v>
      </c>
      <c r="I11" s="173">
        <v>106528</v>
      </c>
      <c r="J11" s="174">
        <v>56743</v>
      </c>
      <c r="K11" s="173">
        <v>710933</v>
      </c>
      <c r="L11" s="173">
        <v>50999</v>
      </c>
      <c r="M11" s="175">
        <v>0</v>
      </c>
      <c r="N11" s="173">
        <v>160740</v>
      </c>
      <c r="O11" s="152">
        <f>SUM(F11:N11)</f>
        <v>1152426</v>
      </c>
      <c r="P11" s="3">
        <f t="shared" si="7"/>
        <v>1085943</v>
      </c>
      <c r="Q11" s="3">
        <f t="shared" si="2"/>
        <v>106528</v>
      </c>
      <c r="R11" s="3">
        <f t="shared" si="3"/>
        <v>56743</v>
      </c>
      <c r="S11" s="3">
        <f t="shared" si="4"/>
        <v>761932</v>
      </c>
      <c r="T11" s="3">
        <f t="shared" si="5"/>
        <v>160740</v>
      </c>
      <c r="U11" s="3">
        <f>IF($A$5=1,IF($P11=0,0,ROUND(Q11/$P11*$E11,2)),Credits!D11)+Credits!J11</f>
        <v>1648.46</v>
      </c>
      <c r="V11" s="3">
        <f>IF($A$5=1,IF($P11=0,0,ROUND(R11/$P11*$E11,2)),Credits!E11)+Credits!K11</f>
        <v>878.48</v>
      </c>
      <c r="W11" s="3">
        <f>IF($A$5=1,IF($P11=0,0,ROUND(S11/$P11*$E11,2)),Credits!F11)+Credits!L11</f>
        <v>11792.27</v>
      </c>
      <c r="X11" s="3">
        <f>IF($A$5=1,IF($P11=0,0,ROUND(T11/$P11*$E11,2)),Credits!G11)+Credits!M11</f>
        <v>2487.9500000000003</v>
      </c>
      <c r="Y11" s="3">
        <f t="shared" si="6"/>
        <v>16807.16</v>
      </c>
    </row>
    <row r="12" spans="1:25" ht="15" x14ac:dyDescent="0.25">
      <c r="A12" s="5">
        <v>6</v>
      </c>
      <c r="B12" s="5">
        <v>3</v>
      </c>
      <c r="C12" s="2" t="s">
        <v>9</v>
      </c>
      <c r="D12" s="3">
        <v>325402.93999999994</v>
      </c>
      <c r="E12" s="3">
        <v>355904.43</v>
      </c>
      <c r="F12" s="173">
        <v>2989995</v>
      </c>
      <c r="G12" s="173">
        <v>380899</v>
      </c>
      <c r="H12" s="173">
        <v>591403</v>
      </c>
      <c r="I12" s="173">
        <v>1921364</v>
      </c>
      <c r="J12" s="174">
        <v>300195</v>
      </c>
      <c r="K12" s="173">
        <v>1228619</v>
      </c>
      <c r="L12" s="173">
        <v>0</v>
      </c>
      <c r="M12" s="175">
        <v>0</v>
      </c>
      <c r="N12" s="173">
        <v>759712</v>
      </c>
      <c r="O12" s="152">
        <f t="shared" si="1"/>
        <v>8172187</v>
      </c>
      <c r="P12" s="3">
        <f t="shared" si="7"/>
        <v>4801293</v>
      </c>
      <c r="Q12" s="3">
        <f t="shared" si="2"/>
        <v>2512767</v>
      </c>
      <c r="R12" s="3">
        <f t="shared" si="3"/>
        <v>300195</v>
      </c>
      <c r="S12" s="3">
        <f t="shared" si="4"/>
        <v>1228619</v>
      </c>
      <c r="T12" s="3">
        <f t="shared" si="5"/>
        <v>759712</v>
      </c>
      <c r="U12" s="3">
        <f>IF($A$5=1,IF($P12=0,0,ROUND(Q12/$P12*$E12,2)),Credits!D12)+Credits!J12</f>
        <v>186.28</v>
      </c>
      <c r="V12" s="3">
        <f>IF($A$5=1,IF($P12=0,0,ROUND(R12/$P12*$E12,2)),Credits!E12)+Credits!K12</f>
        <v>22.26</v>
      </c>
      <c r="W12" s="3">
        <f>IF($A$5=1,IF($P12=0,0,ROUND(S12/$P12*$E12,2)),Credits!F12)+Credits!L12</f>
        <v>91.09</v>
      </c>
      <c r="X12" s="3">
        <f>IF($A$5=1,IF($P12=0,0,ROUND(T12/$P12*$E12,2)),Credits!G12)+Credits!M12</f>
        <v>56.32</v>
      </c>
      <c r="Y12" s="3">
        <f t="shared" si="6"/>
        <v>355.95</v>
      </c>
    </row>
    <row r="13" spans="1:25" ht="15" x14ac:dyDescent="0.25">
      <c r="A13" s="5">
        <v>11</v>
      </c>
      <c r="B13" s="5">
        <v>1</v>
      </c>
      <c r="C13" s="2" t="s">
        <v>10</v>
      </c>
      <c r="D13" s="3">
        <v>2321154.0600000005</v>
      </c>
      <c r="E13" s="3">
        <v>2739867.2499999991</v>
      </c>
      <c r="F13" s="173">
        <v>51090199.200000003</v>
      </c>
      <c r="G13" s="173">
        <v>3820592.37</v>
      </c>
      <c r="H13" s="173">
        <v>3000000</v>
      </c>
      <c r="I13" s="173">
        <v>15067012.560000001</v>
      </c>
      <c r="J13" s="174">
        <v>3106720.35</v>
      </c>
      <c r="K13" s="173">
        <v>17140272.420000002</v>
      </c>
      <c r="L13" s="173">
        <v>3295170.55</v>
      </c>
      <c r="M13" s="175">
        <v>0</v>
      </c>
      <c r="N13" s="173">
        <v>2051394.31</v>
      </c>
      <c r="O13" s="152">
        <f t="shared" si="1"/>
        <v>98571361.75999999</v>
      </c>
      <c r="P13" s="3">
        <f t="shared" si="7"/>
        <v>43660570.190000005</v>
      </c>
      <c r="Q13" s="3">
        <f t="shared" si="2"/>
        <v>18067012.560000002</v>
      </c>
      <c r="R13" s="3">
        <f t="shared" si="3"/>
        <v>3106720.35</v>
      </c>
      <c r="S13" s="3">
        <f t="shared" si="4"/>
        <v>20435442.970000003</v>
      </c>
      <c r="T13" s="3">
        <f t="shared" si="5"/>
        <v>2051394.31</v>
      </c>
      <c r="U13" s="3">
        <f>IF($A$5=1,IF($P13=0,0,ROUND(Q13/$P13*$E13,2)),Credits!D13)+Credits!J13</f>
        <v>7401.52</v>
      </c>
      <c r="V13" s="3">
        <f>IF($A$5=1,IF($P13=0,0,ROUND(R13/$P13*$E13,2)),Credits!E13)+Credits!K13</f>
        <v>1335.92</v>
      </c>
      <c r="W13" s="3">
        <f>IF($A$5=1,IF($P13=0,0,ROUND(S13/$P13*$E13,2)),Credits!F13)+Credits!L13</f>
        <v>8839.43</v>
      </c>
      <c r="X13" s="3">
        <f>IF($A$5=1,IF($P13=0,0,ROUND(T13/$P13*$E13,2)),Credits!G13)+Credits!M13</f>
        <v>883.2</v>
      </c>
      <c r="Y13" s="3">
        <f t="shared" si="6"/>
        <v>18460.070000000003</v>
      </c>
    </row>
    <row r="14" spans="1:25" ht="15" x14ac:dyDescent="0.25">
      <c r="A14" s="5">
        <v>12</v>
      </c>
      <c r="B14" s="5">
        <v>1</v>
      </c>
      <c r="C14" s="2" t="s">
        <v>11</v>
      </c>
      <c r="D14" s="3">
        <v>435943.19</v>
      </c>
      <c r="E14" s="3">
        <v>506074.54</v>
      </c>
      <c r="F14" s="173">
        <v>5650661.7000000002</v>
      </c>
      <c r="G14" s="173">
        <v>764942.25</v>
      </c>
      <c r="H14" s="173">
        <v>0</v>
      </c>
      <c r="I14" s="173">
        <v>2840359.92</v>
      </c>
      <c r="J14" s="174">
        <v>435691.6</v>
      </c>
      <c r="K14" s="173">
        <v>6852522.04</v>
      </c>
      <c r="L14" s="173">
        <v>385756.12</v>
      </c>
      <c r="M14" s="175">
        <v>0</v>
      </c>
      <c r="N14" s="173">
        <v>640053.41</v>
      </c>
      <c r="O14" s="152">
        <f t="shared" si="1"/>
        <v>17569987.040000003</v>
      </c>
      <c r="P14" s="3">
        <f t="shared" si="7"/>
        <v>11154383.09</v>
      </c>
      <c r="Q14" s="3">
        <f t="shared" si="2"/>
        <v>2840359.92</v>
      </c>
      <c r="R14" s="3">
        <f t="shared" si="3"/>
        <v>435691.6</v>
      </c>
      <c r="S14" s="3">
        <f t="shared" si="4"/>
        <v>7238278.1600000001</v>
      </c>
      <c r="T14" s="3">
        <f t="shared" si="5"/>
        <v>640053.41</v>
      </c>
      <c r="U14" s="3">
        <f>IF($A$5=1,IF($P14=0,0,ROUND(Q14/$P14*$E14,2)),Credits!D14)+Credits!J14</f>
        <v>657.62</v>
      </c>
      <c r="V14" s="3">
        <f>IF($A$5=1,IF($P14=0,0,ROUND(R14/$P14*$E14,2)),Credits!E14)+Credits!K14</f>
        <v>97.93</v>
      </c>
      <c r="W14" s="3">
        <f>IF($A$5=1,IF($P14=0,0,ROUND(S14/$P14*$E14,2)),Credits!F14)+Credits!L14</f>
        <v>1554.84</v>
      </c>
      <c r="X14" s="3">
        <f>IF($A$5=1,IF($P14=0,0,ROUND(T14/$P14*$E14,2)),Credits!G14)+Credits!M14</f>
        <v>144.24</v>
      </c>
      <c r="Y14" s="3">
        <f t="shared" si="6"/>
        <v>2454.63</v>
      </c>
    </row>
    <row r="15" spans="1:25" ht="15" x14ac:dyDescent="0.25">
      <c r="A15" s="5">
        <v>13</v>
      </c>
      <c r="B15" s="5">
        <v>1</v>
      </c>
      <c r="C15" s="2" t="s">
        <v>12</v>
      </c>
      <c r="D15" s="3">
        <v>313192.27999999997</v>
      </c>
      <c r="E15" s="3">
        <v>247897.21</v>
      </c>
      <c r="F15" s="173">
        <v>3415330.24</v>
      </c>
      <c r="G15" s="173">
        <v>399163.32</v>
      </c>
      <c r="H15" s="173">
        <v>0</v>
      </c>
      <c r="I15" s="173">
        <v>1829369.14</v>
      </c>
      <c r="J15" s="174">
        <v>318080.81</v>
      </c>
      <c r="K15" s="173">
        <v>2388513.0099999998</v>
      </c>
      <c r="L15" s="173">
        <v>0</v>
      </c>
      <c r="M15" s="175">
        <v>0</v>
      </c>
      <c r="N15" s="173">
        <v>0</v>
      </c>
      <c r="O15" s="152">
        <f t="shared" si="1"/>
        <v>8350456.5199999996</v>
      </c>
      <c r="P15" s="3">
        <f t="shared" si="7"/>
        <v>4535962.959999999</v>
      </c>
      <c r="Q15" s="3">
        <f t="shared" si="2"/>
        <v>1829369.14</v>
      </c>
      <c r="R15" s="3">
        <f t="shared" si="3"/>
        <v>318080.81</v>
      </c>
      <c r="S15" s="3">
        <f t="shared" si="4"/>
        <v>2388513.0099999998</v>
      </c>
      <c r="T15" s="3">
        <f t="shared" si="5"/>
        <v>0</v>
      </c>
      <c r="U15" s="3">
        <f>IF($A$5=1,IF($P15=0,0,ROUND(Q15/$P15*$E15,2)),Credits!D15)+Credits!J15</f>
        <v>514.9</v>
      </c>
      <c r="V15" s="3">
        <f>IF($A$5=1,IF($P15=0,0,ROUND(R15/$P15*$E15,2)),Credits!E15)+Credits!K15</f>
        <v>84.91</v>
      </c>
      <c r="W15" s="3">
        <f>IF($A$5=1,IF($P15=0,0,ROUND(S15/$P15*$E15,2)),Credits!F15)+Credits!L15</f>
        <v>623.85</v>
      </c>
      <c r="X15" s="3">
        <f>IF($A$5=1,IF($P15=0,0,ROUND(T15/$P15*$E15,2)),Credits!G15)+Credits!M15</f>
        <v>0</v>
      </c>
      <c r="Y15" s="3">
        <f t="shared" si="6"/>
        <v>1223.6599999999999</v>
      </c>
    </row>
    <row r="16" spans="1:25" ht="15" x14ac:dyDescent="0.25">
      <c r="A16" s="5">
        <v>14</v>
      </c>
      <c r="B16" s="5">
        <v>1</v>
      </c>
      <c r="C16" s="2" t="s">
        <v>13</v>
      </c>
      <c r="D16" s="3">
        <v>265890.49</v>
      </c>
      <c r="E16" s="3">
        <v>273959.90000000002</v>
      </c>
      <c r="F16" s="173">
        <v>2512103.52</v>
      </c>
      <c r="G16" s="173">
        <v>336673.52</v>
      </c>
      <c r="H16" s="173">
        <v>741000</v>
      </c>
      <c r="I16" s="173">
        <v>1361099.29</v>
      </c>
      <c r="J16" s="174">
        <v>466173.16</v>
      </c>
      <c r="K16" s="173">
        <v>1201540.73</v>
      </c>
      <c r="L16" s="173">
        <v>1440920.91</v>
      </c>
      <c r="M16" s="175">
        <v>0</v>
      </c>
      <c r="N16" s="173">
        <v>588660</v>
      </c>
      <c r="O16" s="152">
        <f t="shared" si="1"/>
        <v>8648171.1300000008</v>
      </c>
      <c r="P16" s="3">
        <f t="shared" si="7"/>
        <v>5799394.0899999999</v>
      </c>
      <c r="Q16" s="3">
        <f t="shared" si="2"/>
        <v>2102099.29</v>
      </c>
      <c r="R16" s="3">
        <f t="shared" si="3"/>
        <v>466173.16</v>
      </c>
      <c r="S16" s="3">
        <f t="shared" si="4"/>
        <v>2642461.6399999997</v>
      </c>
      <c r="T16" s="3">
        <f t="shared" si="5"/>
        <v>588660</v>
      </c>
      <c r="U16" s="3">
        <f>IF($A$5=1,IF($P16=0,0,ROUND(Q16/$P16*$E16,2)),Credits!D16)+Credits!J16</f>
        <v>374</v>
      </c>
      <c r="V16" s="3">
        <f>IF($A$5=1,IF($P16=0,0,ROUND(R16/$P16*$E16,2)),Credits!E16)+Credits!K16</f>
        <v>83.69</v>
      </c>
      <c r="W16" s="3">
        <f>IF($A$5=1,IF($P16=0,0,ROUND(S16/$P16*$E16,2)),Credits!F16)+Credits!L16</f>
        <v>481.03</v>
      </c>
      <c r="X16" s="3">
        <f>IF($A$5=1,IF($P16=0,0,ROUND(T16/$P16*$E16,2)),Credits!G16)+Credits!M16</f>
        <v>106.76</v>
      </c>
      <c r="Y16" s="3">
        <f t="shared" si="6"/>
        <v>1045.48</v>
      </c>
    </row>
    <row r="17" spans="1:25" ht="15" x14ac:dyDescent="0.25">
      <c r="A17" s="5">
        <v>15</v>
      </c>
      <c r="B17" s="5">
        <v>1</v>
      </c>
      <c r="C17" s="2" t="s">
        <v>14</v>
      </c>
      <c r="D17" s="3">
        <v>415829.18</v>
      </c>
      <c r="E17" s="3">
        <v>482378.91</v>
      </c>
      <c r="F17" s="173">
        <v>1821523.96</v>
      </c>
      <c r="G17" s="173">
        <v>578387.61</v>
      </c>
      <c r="H17" s="173">
        <v>0</v>
      </c>
      <c r="I17" s="173">
        <v>2111555.8199999998</v>
      </c>
      <c r="J17" s="174">
        <v>349966.46</v>
      </c>
      <c r="K17" s="173">
        <v>4904121.05</v>
      </c>
      <c r="L17" s="173">
        <v>935691.76</v>
      </c>
      <c r="M17" s="175">
        <v>0</v>
      </c>
      <c r="N17" s="173">
        <v>314376</v>
      </c>
      <c r="O17" s="152">
        <f t="shared" si="1"/>
        <v>11015622.659999998</v>
      </c>
      <c r="P17" s="3">
        <f t="shared" si="7"/>
        <v>8615711.0899999999</v>
      </c>
      <c r="Q17" s="3">
        <f t="shared" si="2"/>
        <v>2111555.8199999998</v>
      </c>
      <c r="R17" s="3">
        <f t="shared" si="3"/>
        <v>349966.46</v>
      </c>
      <c r="S17" s="3">
        <f t="shared" si="4"/>
        <v>5839812.8099999996</v>
      </c>
      <c r="T17" s="3">
        <f t="shared" si="5"/>
        <v>314376</v>
      </c>
      <c r="U17" s="3">
        <f>IF($A$5=1,IF($P17=0,0,ROUND(Q17/$P17*$E17,2)),Credits!D17)+Credits!J17</f>
        <v>8225.65</v>
      </c>
      <c r="V17" s="3">
        <f>IF($A$5=1,IF($P17=0,0,ROUND(R17/$P17*$E17,2)),Credits!E17)+Credits!K17</f>
        <v>1217.73</v>
      </c>
      <c r="W17" s="3">
        <f>IF($A$5=1,IF($P17=0,0,ROUND(S17/$P17*$E17,2)),Credits!F17)+Credits!L17</f>
        <v>20960.59</v>
      </c>
      <c r="X17" s="3">
        <f>IF($A$5=1,IF($P17=0,0,ROUND(T17/$P17*$E17,2)),Credits!G17)+Credits!M17</f>
        <v>1139.8900000000001</v>
      </c>
      <c r="Y17" s="3">
        <f t="shared" si="6"/>
        <v>31543.86</v>
      </c>
    </row>
    <row r="18" spans="1:25" ht="15" x14ac:dyDescent="0.25">
      <c r="A18" s="5">
        <v>16</v>
      </c>
      <c r="B18" s="5">
        <v>1</v>
      </c>
      <c r="C18" s="2" t="s">
        <v>15</v>
      </c>
      <c r="D18" s="3">
        <v>425562.85</v>
      </c>
      <c r="E18" s="3">
        <v>456648.25</v>
      </c>
      <c r="F18" s="173">
        <v>5117489.88</v>
      </c>
      <c r="G18" s="173">
        <v>876015</v>
      </c>
      <c r="H18" s="173">
        <v>1065985</v>
      </c>
      <c r="I18" s="173">
        <v>2535402.92</v>
      </c>
      <c r="J18" s="174">
        <v>463634.17</v>
      </c>
      <c r="K18" s="173">
        <v>8359603.3600000003</v>
      </c>
      <c r="L18" s="173">
        <v>687667.41</v>
      </c>
      <c r="M18" s="175">
        <v>0</v>
      </c>
      <c r="N18" s="173">
        <v>308931</v>
      </c>
      <c r="O18" s="152">
        <f t="shared" si="1"/>
        <v>19414728.740000002</v>
      </c>
      <c r="P18" s="3">
        <f t="shared" si="7"/>
        <v>13421223.859999999</v>
      </c>
      <c r="Q18" s="3">
        <f t="shared" si="2"/>
        <v>3601387.92</v>
      </c>
      <c r="R18" s="3">
        <f t="shared" si="3"/>
        <v>463634.17</v>
      </c>
      <c r="S18" s="3">
        <f t="shared" si="4"/>
        <v>9047270.7699999996</v>
      </c>
      <c r="T18" s="3">
        <f t="shared" si="5"/>
        <v>308931</v>
      </c>
      <c r="U18" s="3">
        <f>IF($A$5=1,IF($P18=0,0,ROUND(Q18/$P18*$E18,2)),Credits!D18)+Credits!J18</f>
        <v>495.05</v>
      </c>
      <c r="V18" s="3">
        <f>IF($A$5=1,IF($P18=0,0,ROUND(R18/$P18*$E18,2)),Credits!E18)+Credits!K18</f>
        <v>63.24</v>
      </c>
      <c r="W18" s="3">
        <f>IF($A$5=1,IF($P18=0,0,ROUND(S18/$P18*$E18,2)),Credits!F18)+Credits!L18</f>
        <v>1225.8399999999999</v>
      </c>
      <c r="X18" s="3">
        <f>IF($A$5=1,IF($P18=0,0,ROUND(T18/$P18*$E18,2)),Credits!G18)+Credits!M18</f>
        <v>41.8</v>
      </c>
      <c r="Y18" s="3">
        <f t="shared" si="6"/>
        <v>1825.9299999999998</v>
      </c>
    </row>
    <row r="19" spans="1:25" ht="15" x14ac:dyDescent="0.25">
      <c r="A19" s="5">
        <v>22</v>
      </c>
      <c r="B19" s="5">
        <v>1</v>
      </c>
      <c r="C19" s="2" t="s">
        <v>16</v>
      </c>
      <c r="D19" s="3">
        <v>142876.4</v>
      </c>
      <c r="E19" s="3">
        <v>142486.25</v>
      </c>
      <c r="F19" s="173">
        <v>1336103</v>
      </c>
      <c r="G19" s="173">
        <v>382290</v>
      </c>
      <c r="H19" s="173">
        <v>0</v>
      </c>
      <c r="I19" s="173">
        <v>1149384</v>
      </c>
      <c r="J19" s="174">
        <v>210886</v>
      </c>
      <c r="K19" s="173">
        <v>800741</v>
      </c>
      <c r="L19" s="173">
        <v>0</v>
      </c>
      <c r="M19" s="175">
        <v>0</v>
      </c>
      <c r="N19" s="173">
        <v>0</v>
      </c>
      <c r="O19" s="152">
        <f t="shared" si="1"/>
        <v>3879404</v>
      </c>
      <c r="P19" s="3">
        <f t="shared" si="7"/>
        <v>2161011</v>
      </c>
      <c r="Q19" s="3">
        <f t="shared" si="2"/>
        <v>1149384</v>
      </c>
      <c r="R19" s="3">
        <f t="shared" si="3"/>
        <v>210886</v>
      </c>
      <c r="S19" s="3">
        <f t="shared" si="4"/>
        <v>800741</v>
      </c>
      <c r="T19" s="3">
        <f t="shared" si="5"/>
        <v>0</v>
      </c>
      <c r="U19" s="3">
        <f>IF($A$5=1,IF($P19=0,0,ROUND(Q19/$P19*$E19,2)),Credits!D19)+Credits!J19</f>
        <v>5223.8799999999992</v>
      </c>
      <c r="V19" s="3">
        <f>IF($A$5=1,IF($P19=0,0,ROUND(R19/$P19*$E19,2)),Credits!E19)+Credits!K19</f>
        <v>1265.99</v>
      </c>
      <c r="W19" s="3">
        <f>IF($A$5=1,IF($P19=0,0,ROUND(S19/$P19*$E19,2)),Credits!F19)+Credits!L19</f>
        <v>4805.71</v>
      </c>
      <c r="X19" s="3">
        <f>IF($A$5=1,IF($P19=0,0,ROUND(T19/$P19*$E19,2)),Credits!G19)+Credits!M19</f>
        <v>0</v>
      </c>
      <c r="Y19" s="3">
        <f t="shared" si="6"/>
        <v>11295.579999999998</v>
      </c>
    </row>
    <row r="20" spans="1:25" ht="15" x14ac:dyDescent="0.25">
      <c r="A20" s="5">
        <v>23</v>
      </c>
      <c r="B20" s="5">
        <v>1</v>
      </c>
      <c r="C20" s="2" t="s">
        <v>17</v>
      </c>
      <c r="D20" s="3">
        <v>140619.95000000001</v>
      </c>
      <c r="E20" s="3">
        <v>116961.94</v>
      </c>
      <c r="F20" s="173">
        <v>976998</v>
      </c>
      <c r="G20" s="173">
        <v>89699</v>
      </c>
      <c r="H20" s="173">
        <v>0</v>
      </c>
      <c r="I20" s="173">
        <v>319130</v>
      </c>
      <c r="J20" s="174">
        <v>85928</v>
      </c>
      <c r="K20" s="173">
        <v>703822</v>
      </c>
      <c r="L20" s="173">
        <v>136386</v>
      </c>
      <c r="M20" s="175">
        <v>0</v>
      </c>
      <c r="N20" s="173">
        <v>0</v>
      </c>
      <c r="O20" s="152">
        <f t="shared" si="1"/>
        <v>2311963</v>
      </c>
      <c r="P20" s="3">
        <f t="shared" si="7"/>
        <v>1245266</v>
      </c>
      <c r="Q20" s="3">
        <f t="shared" si="2"/>
        <v>319130</v>
      </c>
      <c r="R20" s="3">
        <f t="shared" si="3"/>
        <v>85928</v>
      </c>
      <c r="S20" s="3">
        <f t="shared" si="4"/>
        <v>840208</v>
      </c>
      <c r="T20" s="3">
        <f t="shared" si="5"/>
        <v>0</v>
      </c>
      <c r="U20" s="3">
        <f>IF($A$5=1,IF($P20=0,0,ROUND(Q20/$P20*$E20,2)),Credits!D20)+Credits!J20</f>
        <v>5690.0499999999993</v>
      </c>
      <c r="V20" s="3">
        <f>IF($A$5=1,IF($P20=0,0,ROUND(R20/$P20*$E20,2)),Credits!E20)+Credits!K20</f>
        <v>1838.14</v>
      </c>
      <c r="W20" s="3">
        <f>IF($A$5=1,IF($P20=0,0,ROUND(S20/$P20*$E20,2)),Credits!F20)+Credits!L20</f>
        <v>17964.670000000002</v>
      </c>
      <c r="X20" s="3">
        <f>IF($A$5=1,IF($P20=0,0,ROUND(T20/$P20*$E20,2)),Credits!G20)+Credits!M20</f>
        <v>0</v>
      </c>
      <c r="Y20" s="3">
        <f t="shared" si="6"/>
        <v>25492.86</v>
      </c>
    </row>
    <row r="21" spans="1:25" ht="15" x14ac:dyDescent="0.25">
      <c r="A21" s="5">
        <v>25</v>
      </c>
      <c r="B21" s="5">
        <v>1</v>
      </c>
      <c r="C21" s="2" t="s">
        <v>345</v>
      </c>
      <c r="D21" s="3">
        <v>0</v>
      </c>
      <c r="E21" s="3">
        <v>0</v>
      </c>
      <c r="F21" s="173">
        <v>0</v>
      </c>
      <c r="G21" s="173">
        <v>0</v>
      </c>
      <c r="H21" s="173">
        <v>0</v>
      </c>
      <c r="I21" s="173">
        <v>0</v>
      </c>
      <c r="J21" s="174">
        <v>0</v>
      </c>
      <c r="K21" s="173">
        <v>0</v>
      </c>
      <c r="L21" s="173">
        <v>0</v>
      </c>
      <c r="M21" s="175">
        <v>0</v>
      </c>
      <c r="N21" s="173">
        <v>0</v>
      </c>
      <c r="O21" s="152">
        <f t="shared" si="1"/>
        <v>0</v>
      </c>
      <c r="P21" s="3">
        <f t="shared" si="7"/>
        <v>0</v>
      </c>
      <c r="Q21" s="3">
        <f t="shared" si="2"/>
        <v>0</v>
      </c>
      <c r="R21" s="3">
        <f t="shared" si="3"/>
        <v>0</v>
      </c>
      <c r="S21" s="3">
        <f t="shared" si="4"/>
        <v>0</v>
      </c>
      <c r="T21" s="3">
        <f t="shared" si="5"/>
        <v>0</v>
      </c>
      <c r="U21" s="3">
        <f>IF($A$5=1,IF($P21=0,0,ROUND(Q21/$P21*$E21,2)),Credits!D21)+Credits!J21</f>
        <v>0</v>
      </c>
      <c r="V21" s="3">
        <f>IF($A$5=1,IF($P21=0,0,ROUND(R21/$P21*$E21,2)),Credits!E21)+Credits!K21</f>
        <v>0</v>
      </c>
      <c r="W21" s="3">
        <f>IF($A$5=1,IF($P21=0,0,ROUND(S21/$P21*$E21,2)),Credits!F21)+Credits!L21</f>
        <v>0</v>
      </c>
      <c r="X21" s="3">
        <f>IF($A$5=1,IF($P21=0,0,ROUND(T21/$P21*$E21,2)),Credits!G21)+Credits!M21</f>
        <v>0</v>
      </c>
      <c r="Y21" s="3">
        <f t="shared" si="6"/>
        <v>0</v>
      </c>
    </row>
    <row r="22" spans="1:25" ht="15" x14ac:dyDescent="0.25">
      <c r="A22" s="5">
        <v>31</v>
      </c>
      <c r="B22" s="5">
        <v>1</v>
      </c>
      <c r="C22" s="2" t="s">
        <v>18</v>
      </c>
      <c r="D22" s="3">
        <v>510751.24</v>
      </c>
      <c r="E22" s="3">
        <v>513146.78999999992</v>
      </c>
      <c r="F22" s="173">
        <v>2250862.9</v>
      </c>
      <c r="G22" s="173">
        <v>502797.47</v>
      </c>
      <c r="H22" s="173">
        <v>0</v>
      </c>
      <c r="I22" s="173">
        <v>1656014.74</v>
      </c>
      <c r="J22" s="174">
        <v>388158.98</v>
      </c>
      <c r="K22" s="173">
        <v>3627381.85</v>
      </c>
      <c r="L22" s="173">
        <v>0</v>
      </c>
      <c r="M22" s="175">
        <v>0</v>
      </c>
      <c r="N22" s="173">
        <v>571820</v>
      </c>
      <c r="O22" s="152">
        <f t="shared" si="1"/>
        <v>8997035.9399999995</v>
      </c>
      <c r="P22" s="3">
        <f t="shared" si="7"/>
        <v>6243375.5700000003</v>
      </c>
      <c r="Q22" s="3">
        <f t="shared" si="2"/>
        <v>1656014.74</v>
      </c>
      <c r="R22" s="3">
        <f t="shared" si="3"/>
        <v>388158.98</v>
      </c>
      <c r="S22" s="3">
        <f t="shared" si="4"/>
        <v>3627381.85</v>
      </c>
      <c r="T22" s="3">
        <f t="shared" si="5"/>
        <v>571820</v>
      </c>
      <c r="U22" s="3">
        <f>IF($A$5=1,IF($P22=0,0,ROUND(Q22/$P22*$E22,2)),Credits!D22)+Credits!J22</f>
        <v>13135.390000000001</v>
      </c>
      <c r="V22" s="3">
        <f>IF($A$5=1,IF($P22=0,0,ROUND(R22/$P22*$E22,2)),Credits!E22)+Credits!K22</f>
        <v>3077.64</v>
      </c>
      <c r="W22" s="3">
        <f>IF($A$5=1,IF($P22=0,0,ROUND(S22/$P22*$E22,2)),Credits!F22)+Credits!L22</f>
        <v>28718.720000000001</v>
      </c>
      <c r="X22" s="3">
        <f>IF($A$5=1,IF($P22=0,0,ROUND(T22/$P22*$E22,2)),Credits!G22)+Credits!M22</f>
        <v>4527.07</v>
      </c>
      <c r="Y22" s="3">
        <f t="shared" si="6"/>
        <v>49458.82</v>
      </c>
    </row>
    <row r="23" spans="1:25" ht="15" x14ac:dyDescent="0.25">
      <c r="A23" s="5">
        <v>32</v>
      </c>
      <c r="B23" s="5">
        <v>1</v>
      </c>
      <c r="C23" s="2" t="s">
        <v>19</v>
      </c>
      <c r="D23" s="3">
        <v>84805.84</v>
      </c>
      <c r="E23" s="3">
        <v>92811.46</v>
      </c>
      <c r="F23" s="173">
        <v>0</v>
      </c>
      <c r="G23" s="173">
        <v>67603.210000000006</v>
      </c>
      <c r="H23" s="173">
        <v>0</v>
      </c>
      <c r="I23" s="173">
        <v>240039.16</v>
      </c>
      <c r="J23" s="174">
        <v>34588.18</v>
      </c>
      <c r="K23" s="173">
        <v>560293.18000000005</v>
      </c>
      <c r="L23" s="173">
        <v>0</v>
      </c>
      <c r="M23" s="175">
        <v>0</v>
      </c>
      <c r="N23" s="173">
        <v>0</v>
      </c>
      <c r="O23" s="152">
        <f t="shared" si="1"/>
        <v>902523.73</v>
      </c>
      <c r="P23" s="3">
        <f t="shared" si="7"/>
        <v>834920.52</v>
      </c>
      <c r="Q23" s="3">
        <f t="shared" si="2"/>
        <v>240039.16</v>
      </c>
      <c r="R23" s="3">
        <f t="shared" si="3"/>
        <v>34588.18</v>
      </c>
      <c r="S23" s="3">
        <f t="shared" si="4"/>
        <v>560293.18000000005</v>
      </c>
      <c r="T23" s="3">
        <f t="shared" si="5"/>
        <v>0</v>
      </c>
      <c r="U23" s="3">
        <f>IF($A$5=1,IF($P23=0,0,ROUND(Q23/$P23*$E23,2)),Credits!D23)+Credits!J23</f>
        <v>8400.67</v>
      </c>
      <c r="V23" s="3">
        <f>IF($A$5=1,IF($P23=0,0,ROUND(R23/$P23*$E23,2)),Credits!E23)+Credits!K23</f>
        <v>1210.19</v>
      </c>
      <c r="W23" s="3">
        <f>IF($A$5=1,IF($P23=0,0,ROUND(S23/$P23*$E23,2)),Credits!F23)+Credits!L23</f>
        <v>19610.04</v>
      </c>
      <c r="X23" s="3">
        <f>IF($A$5=1,IF($P23=0,0,ROUND(T23/$P23*$E23,2)),Credits!G23)+Credits!M23</f>
        <v>0</v>
      </c>
      <c r="Y23" s="3">
        <f t="shared" si="6"/>
        <v>29220.9</v>
      </c>
    </row>
    <row r="24" spans="1:25" ht="15" x14ac:dyDescent="0.25">
      <c r="A24" s="5">
        <v>36</v>
      </c>
      <c r="B24" s="5">
        <v>1</v>
      </c>
      <c r="C24" s="2" t="s">
        <v>20</v>
      </c>
      <c r="D24" s="3">
        <v>34565.879999999997</v>
      </c>
      <c r="E24" s="3">
        <v>35033.32</v>
      </c>
      <c r="F24" s="173">
        <v>0</v>
      </c>
      <c r="G24" s="173">
        <v>35704.230000000003</v>
      </c>
      <c r="H24" s="173">
        <v>0</v>
      </c>
      <c r="I24" s="173">
        <v>20791.669999999998</v>
      </c>
      <c r="J24" s="174">
        <v>11657.23</v>
      </c>
      <c r="K24" s="173">
        <v>324598.43</v>
      </c>
      <c r="L24" s="173">
        <v>0</v>
      </c>
      <c r="M24" s="175">
        <v>0</v>
      </c>
      <c r="N24" s="173">
        <v>0</v>
      </c>
      <c r="O24" s="152">
        <f t="shared" si="1"/>
        <v>392751.56</v>
      </c>
      <c r="P24" s="3">
        <f t="shared" si="7"/>
        <v>357047.33</v>
      </c>
      <c r="Q24" s="3">
        <f t="shared" si="2"/>
        <v>20791.669999999998</v>
      </c>
      <c r="R24" s="3">
        <f t="shared" si="3"/>
        <v>11657.23</v>
      </c>
      <c r="S24" s="3">
        <f t="shared" si="4"/>
        <v>324598.43</v>
      </c>
      <c r="T24" s="3">
        <f t="shared" si="5"/>
        <v>0</v>
      </c>
      <c r="U24" s="3">
        <f>IF($A$5=1,IF($P24=0,0,ROUND(Q24/$P24*$E24,2)),Credits!D24)+Credits!J24</f>
        <v>620.21</v>
      </c>
      <c r="V24" s="3">
        <f>IF($A$5=1,IF($P24=0,0,ROUND(R24/$P24*$E24,2)),Credits!E24)+Credits!K24</f>
        <v>347.8</v>
      </c>
      <c r="W24" s="3">
        <f>IF($A$5=1,IF($P24=0,0,ROUND(S24/$P24*$E24,2)),Credits!F24)+Credits!L24</f>
        <v>9681.619999999999</v>
      </c>
      <c r="X24" s="3">
        <f>IF($A$5=1,IF($P24=0,0,ROUND(T24/$P24*$E24,2)),Credits!G24)+Credits!M24</f>
        <v>0</v>
      </c>
      <c r="Y24" s="3">
        <f t="shared" si="6"/>
        <v>10649.63</v>
      </c>
    </row>
    <row r="25" spans="1:25" ht="15" x14ac:dyDescent="0.25">
      <c r="A25" s="5">
        <v>38</v>
      </c>
      <c r="B25" s="5">
        <v>1</v>
      </c>
      <c r="C25" s="2" t="s">
        <v>21</v>
      </c>
      <c r="D25" s="3">
        <v>153.91</v>
      </c>
      <c r="E25" s="3">
        <v>146.71</v>
      </c>
      <c r="F25" s="173">
        <v>2555.38</v>
      </c>
      <c r="G25" s="173">
        <v>306.68</v>
      </c>
      <c r="H25" s="173">
        <v>0</v>
      </c>
      <c r="I25" s="173">
        <v>569.15</v>
      </c>
      <c r="J25" s="174">
        <v>147.75</v>
      </c>
      <c r="K25" s="173">
        <v>3723.05</v>
      </c>
      <c r="L25" s="173">
        <v>0</v>
      </c>
      <c r="M25" s="175">
        <v>0</v>
      </c>
      <c r="N25" s="173">
        <v>0</v>
      </c>
      <c r="O25" s="152">
        <f t="shared" si="1"/>
        <v>7302.01</v>
      </c>
      <c r="P25" s="3">
        <f t="shared" si="7"/>
        <v>4439.95</v>
      </c>
      <c r="Q25" s="3">
        <f t="shared" si="2"/>
        <v>569.15</v>
      </c>
      <c r="R25" s="3">
        <f t="shared" si="3"/>
        <v>147.75</v>
      </c>
      <c r="S25" s="3">
        <f t="shared" si="4"/>
        <v>3723.05</v>
      </c>
      <c r="T25" s="3">
        <f t="shared" si="5"/>
        <v>0</v>
      </c>
      <c r="U25" s="3">
        <f>IF($A$5=1,IF($P25=0,0,ROUND(Q25/$P25*$E25,2)),Credits!D25)+Credits!J25</f>
        <v>0</v>
      </c>
      <c r="V25" s="3">
        <f>IF($A$5=1,IF($P25=0,0,ROUND(R25/$P25*$E25,2)),Credits!E25)+Credits!K25</f>
        <v>0</v>
      </c>
      <c r="W25" s="3">
        <f>IF($A$5=1,IF($P25=0,0,ROUND(S25/$P25*$E25,2)),Credits!F25)+Credits!L25</f>
        <v>0</v>
      </c>
      <c r="X25" s="3">
        <f>IF($A$5=1,IF($P25=0,0,ROUND(T25/$P25*$E25,2)),Credits!G25)+Credits!M25</f>
        <v>0</v>
      </c>
      <c r="Y25" s="3">
        <f t="shared" si="6"/>
        <v>0</v>
      </c>
    </row>
    <row r="26" spans="1:25" ht="15" x14ac:dyDescent="0.25">
      <c r="A26" s="5">
        <v>47</v>
      </c>
      <c r="B26" s="5">
        <v>1</v>
      </c>
      <c r="C26" s="2" t="s">
        <v>22</v>
      </c>
      <c r="D26" s="3">
        <v>410257.18999999994</v>
      </c>
      <c r="E26" s="3">
        <v>399302.36</v>
      </c>
      <c r="F26" s="173">
        <v>0</v>
      </c>
      <c r="G26" s="173">
        <v>284489</v>
      </c>
      <c r="H26" s="173">
        <v>0</v>
      </c>
      <c r="I26" s="173">
        <v>1278390</v>
      </c>
      <c r="J26" s="174">
        <v>245568</v>
      </c>
      <c r="K26" s="173">
        <v>4746549</v>
      </c>
      <c r="L26" s="173">
        <v>0</v>
      </c>
      <c r="M26" s="175">
        <v>0</v>
      </c>
      <c r="N26" s="173">
        <v>0</v>
      </c>
      <c r="O26" s="152">
        <f t="shared" si="1"/>
        <v>6554996</v>
      </c>
      <c r="P26" s="3">
        <f t="shared" si="7"/>
        <v>6270507</v>
      </c>
      <c r="Q26" s="3">
        <f t="shared" si="2"/>
        <v>1278390</v>
      </c>
      <c r="R26" s="3">
        <f t="shared" si="3"/>
        <v>245568</v>
      </c>
      <c r="S26" s="3">
        <f t="shared" si="4"/>
        <v>4746549</v>
      </c>
      <c r="T26" s="3">
        <f t="shared" si="5"/>
        <v>0</v>
      </c>
      <c r="U26" s="3">
        <f>IF($A$5=1,IF($P26=0,0,ROUND(Q26/$P26*$E26,2)),Credits!D26)+Credits!J26</f>
        <v>6430.65</v>
      </c>
      <c r="V26" s="3">
        <f>IF($A$5=1,IF($P26=0,0,ROUND(R26/$P26*$E26,2)),Credits!E26)+Credits!K26</f>
        <v>1235.3</v>
      </c>
      <c r="W26" s="3">
        <f>IF($A$5=1,IF($P26=0,0,ROUND(S26/$P26*$E26,2)),Credits!F26)+Credits!L26</f>
        <v>23844.399999999998</v>
      </c>
      <c r="X26" s="3">
        <f>IF($A$5=1,IF($P26=0,0,ROUND(T26/$P26*$E26,2)),Credits!G26)+Credits!M26</f>
        <v>0</v>
      </c>
      <c r="Y26" s="3">
        <f t="shared" si="6"/>
        <v>31510.35</v>
      </c>
    </row>
    <row r="27" spans="1:25" ht="15" x14ac:dyDescent="0.25">
      <c r="A27" s="5">
        <v>51</v>
      </c>
      <c r="B27" s="5">
        <v>1</v>
      </c>
      <c r="C27" s="2" t="s">
        <v>23</v>
      </c>
      <c r="D27" s="3">
        <v>325406.46000000002</v>
      </c>
      <c r="E27" s="3">
        <v>330645.38</v>
      </c>
      <c r="F27" s="173">
        <v>292372</v>
      </c>
      <c r="G27" s="173">
        <v>149066</v>
      </c>
      <c r="H27" s="173">
        <v>0</v>
      </c>
      <c r="I27" s="173">
        <v>388066</v>
      </c>
      <c r="J27" s="174">
        <v>91171</v>
      </c>
      <c r="K27" s="173">
        <v>2980617</v>
      </c>
      <c r="L27" s="173">
        <v>0</v>
      </c>
      <c r="M27" s="175">
        <v>0</v>
      </c>
      <c r="N27" s="173">
        <v>0</v>
      </c>
      <c r="O27" s="152">
        <f t="shared" si="1"/>
        <v>3901292</v>
      </c>
      <c r="P27" s="3">
        <f t="shared" si="7"/>
        <v>3459854</v>
      </c>
      <c r="Q27" s="3">
        <f t="shared" si="2"/>
        <v>388066</v>
      </c>
      <c r="R27" s="3">
        <f t="shared" si="3"/>
        <v>91171</v>
      </c>
      <c r="S27" s="3">
        <f t="shared" si="4"/>
        <v>2980617</v>
      </c>
      <c r="T27" s="3">
        <f t="shared" si="5"/>
        <v>0</v>
      </c>
      <c r="U27" s="3">
        <f>IF($A$5=1,IF($P27=0,0,ROUND(Q27/$P27*$E27,2)),Credits!D27)+Credits!J27</f>
        <v>12414.63</v>
      </c>
      <c r="V27" s="3">
        <f>IF($A$5=1,IF($P27=0,0,ROUND(R27/$P27*$E27,2)),Credits!E27)+Credits!K27</f>
        <v>2916.5</v>
      </c>
      <c r="W27" s="3">
        <f>IF($A$5=1,IF($P27=0,0,ROUND(S27/$P27*$E27,2)),Credits!F27)+Credits!L27</f>
        <v>95359.39</v>
      </c>
      <c r="X27" s="3">
        <f>IF($A$5=1,IF($P27=0,0,ROUND(T27/$P27*$E27,2)),Credits!G27)+Credits!M27</f>
        <v>0</v>
      </c>
      <c r="Y27" s="3">
        <f t="shared" si="6"/>
        <v>110690.52</v>
      </c>
    </row>
    <row r="28" spans="1:25" ht="15" x14ac:dyDescent="0.25">
      <c r="A28" s="5">
        <v>75</v>
      </c>
      <c r="B28" s="5">
        <v>1</v>
      </c>
      <c r="C28" s="2" t="s">
        <v>24</v>
      </c>
      <c r="D28" s="3">
        <v>74303.739999999991</v>
      </c>
      <c r="E28" s="3">
        <v>79275.990000000005</v>
      </c>
      <c r="F28" s="173">
        <v>245487.94</v>
      </c>
      <c r="G28" s="173">
        <v>58248.09</v>
      </c>
      <c r="H28" s="173">
        <v>0</v>
      </c>
      <c r="I28" s="173">
        <v>181977.04</v>
      </c>
      <c r="J28" s="174">
        <v>31575.74</v>
      </c>
      <c r="K28" s="173">
        <v>902394.05</v>
      </c>
      <c r="L28" s="173">
        <v>0</v>
      </c>
      <c r="M28" s="175">
        <v>0</v>
      </c>
      <c r="N28" s="173">
        <v>0</v>
      </c>
      <c r="O28" s="152">
        <f t="shared" si="1"/>
        <v>1419682.86</v>
      </c>
      <c r="P28" s="3">
        <f t="shared" si="7"/>
        <v>1115946.83</v>
      </c>
      <c r="Q28" s="3">
        <f t="shared" si="2"/>
        <v>181977.04</v>
      </c>
      <c r="R28" s="3">
        <f t="shared" si="3"/>
        <v>31575.74</v>
      </c>
      <c r="S28" s="3">
        <f t="shared" si="4"/>
        <v>902394.05</v>
      </c>
      <c r="T28" s="3">
        <f t="shared" si="5"/>
        <v>0</v>
      </c>
      <c r="U28" s="3">
        <f>IF($A$5=1,IF($P28=0,0,ROUND(Q28/$P28*$E28,2)),Credits!D28)+Credits!J28</f>
        <v>2684.97</v>
      </c>
      <c r="V28" s="3">
        <f>IF($A$5=1,IF($P28=0,0,ROUND(R28/$P28*$E28,2)),Credits!E28)+Credits!K28</f>
        <v>465.86</v>
      </c>
      <c r="W28" s="3">
        <f>IF($A$5=1,IF($P28=0,0,ROUND(S28/$P28*$E28,2)),Credits!F28)+Credits!L28</f>
        <v>13313.289999999999</v>
      </c>
      <c r="X28" s="3">
        <f>IF($A$5=1,IF($P28=0,0,ROUND(T28/$P28*$E28,2)),Credits!G28)+Credits!M28</f>
        <v>0</v>
      </c>
      <c r="Y28" s="3">
        <f t="shared" si="6"/>
        <v>16464.12</v>
      </c>
    </row>
    <row r="29" spans="1:25" ht="15" x14ac:dyDescent="0.25">
      <c r="A29" s="5">
        <v>77</v>
      </c>
      <c r="B29" s="5">
        <v>1</v>
      </c>
      <c r="C29" s="2" t="s">
        <v>25</v>
      </c>
      <c r="D29" s="3">
        <v>655551.76</v>
      </c>
      <c r="E29" s="3">
        <v>693612.28</v>
      </c>
      <c r="F29" s="173">
        <v>5403055.21</v>
      </c>
      <c r="G29" s="173">
        <v>1100661.98</v>
      </c>
      <c r="H29" s="173">
        <v>500000</v>
      </c>
      <c r="I29" s="173">
        <v>3420636.49</v>
      </c>
      <c r="J29" s="174">
        <v>790185.61</v>
      </c>
      <c r="K29" s="173">
        <v>5565902.4800000004</v>
      </c>
      <c r="L29" s="173">
        <v>0</v>
      </c>
      <c r="M29" s="175">
        <v>0</v>
      </c>
      <c r="N29" s="173">
        <v>1033064</v>
      </c>
      <c r="O29" s="152">
        <f t="shared" si="1"/>
        <v>17813505.77</v>
      </c>
      <c r="P29" s="3">
        <f t="shared" si="7"/>
        <v>11309788.580000002</v>
      </c>
      <c r="Q29" s="3">
        <f t="shared" si="2"/>
        <v>3920636.49</v>
      </c>
      <c r="R29" s="3">
        <f t="shared" si="3"/>
        <v>790185.61</v>
      </c>
      <c r="S29" s="3">
        <f t="shared" si="4"/>
        <v>5565902.4800000004</v>
      </c>
      <c r="T29" s="3">
        <f t="shared" si="5"/>
        <v>1033064</v>
      </c>
      <c r="U29" s="3">
        <f>IF($A$5=1,IF($P29=0,0,ROUND(Q29/$P29*$E29,2)),Credits!D29)+Credits!J29</f>
        <v>10836.66</v>
      </c>
      <c r="V29" s="3">
        <f>IF($A$5=1,IF($P29=0,0,ROUND(R29/$P29*$E29,2)),Credits!E29)+Credits!K29</f>
        <v>4640.5600000000004</v>
      </c>
      <c r="W29" s="3">
        <f>IF($A$5=1,IF($P29=0,0,ROUND(S29/$P29*$E29,2)),Credits!F29)+Credits!L29</f>
        <v>32644.680000000004</v>
      </c>
      <c r="X29" s="3">
        <f>IF($A$5=1,IF($P29=0,0,ROUND(T29/$P29*$E29,2)),Credits!G29)+Credits!M29</f>
        <v>6057.869999999999</v>
      </c>
      <c r="Y29" s="3">
        <f t="shared" si="6"/>
        <v>54179.770000000004</v>
      </c>
    </row>
    <row r="30" spans="1:25" ht="15" x14ac:dyDescent="0.25">
      <c r="A30" s="5">
        <v>81</v>
      </c>
      <c r="B30" s="5">
        <v>1</v>
      </c>
      <c r="C30" s="2" t="s">
        <v>26</v>
      </c>
      <c r="D30" s="3">
        <v>14149.09</v>
      </c>
      <c r="E30" s="3">
        <v>18230.78</v>
      </c>
      <c r="F30" s="173">
        <v>168955.93</v>
      </c>
      <c r="G30" s="173">
        <v>14151.58</v>
      </c>
      <c r="H30" s="173">
        <v>0</v>
      </c>
      <c r="I30" s="173">
        <v>160658.5</v>
      </c>
      <c r="J30" s="174">
        <v>24405.22</v>
      </c>
      <c r="K30" s="173">
        <v>0</v>
      </c>
      <c r="L30" s="173">
        <v>0</v>
      </c>
      <c r="M30" s="175">
        <v>0</v>
      </c>
      <c r="N30" s="173">
        <v>0</v>
      </c>
      <c r="O30" s="152">
        <f t="shared" si="1"/>
        <v>368171.23</v>
      </c>
      <c r="P30" s="3">
        <f t="shared" si="7"/>
        <v>185063.72</v>
      </c>
      <c r="Q30" s="3">
        <f t="shared" si="2"/>
        <v>160658.5</v>
      </c>
      <c r="R30" s="3">
        <f t="shared" si="3"/>
        <v>24405.22</v>
      </c>
      <c r="S30" s="3">
        <f t="shared" si="4"/>
        <v>0</v>
      </c>
      <c r="T30" s="3">
        <f t="shared" si="5"/>
        <v>0</v>
      </c>
      <c r="U30" s="3">
        <f>IF($A$5=1,IF($P30=0,0,ROUND(Q30/$P30*$E30,2)),Credits!D30)+Credits!J30</f>
        <v>9467.8000000000011</v>
      </c>
      <c r="V30" s="3">
        <f>IF($A$5=1,IF($P30=0,0,ROUND(R30/$P30*$E30,2)),Credits!E30)+Credits!K30</f>
        <v>1438.21</v>
      </c>
      <c r="W30" s="3">
        <f>IF($A$5=1,IF($P30=0,0,ROUND(S30/$P30*$E30,2)),Credits!F30)+Credits!L30</f>
        <v>0</v>
      </c>
      <c r="X30" s="3">
        <f>IF($A$5=1,IF($P30=0,0,ROUND(T30/$P30*$E30,2)),Credits!G30)+Credits!M30</f>
        <v>0</v>
      </c>
      <c r="Y30" s="3">
        <f t="shared" si="6"/>
        <v>10906.010000000002</v>
      </c>
    </row>
    <row r="31" spans="1:25" ht="15" x14ac:dyDescent="0.25">
      <c r="A31" s="5">
        <v>84</v>
      </c>
      <c r="B31" s="5">
        <v>1</v>
      </c>
      <c r="C31" s="2" t="s">
        <v>27</v>
      </c>
      <c r="D31" s="3">
        <v>89288.26999999999</v>
      </c>
      <c r="E31" s="3">
        <v>76452.289999999994</v>
      </c>
      <c r="F31" s="173">
        <v>0</v>
      </c>
      <c r="G31" s="173">
        <v>75733.149999999994</v>
      </c>
      <c r="H31" s="173">
        <v>0</v>
      </c>
      <c r="I31" s="173">
        <v>261022.38</v>
      </c>
      <c r="J31" s="174">
        <v>74557.64</v>
      </c>
      <c r="K31" s="173">
        <v>0</v>
      </c>
      <c r="L31" s="173">
        <v>369085.42</v>
      </c>
      <c r="M31" s="175">
        <v>0</v>
      </c>
      <c r="N31" s="173">
        <v>0</v>
      </c>
      <c r="O31" s="152">
        <f t="shared" si="1"/>
        <v>780398.59000000008</v>
      </c>
      <c r="P31" s="3">
        <f t="shared" si="7"/>
        <v>704665.44</v>
      </c>
      <c r="Q31" s="3">
        <f t="shared" si="2"/>
        <v>261022.38</v>
      </c>
      <c r="R31" s="3">
        <f t="shared" si="3"/>
        <v>74557.64</v>
      </c>
      <c r="S31" s="3">
        <f t="shared" si="4"/>
        <v>369085.42</v>
      </c>
      <c r="T31" s="3">
        <f t="shared" si="5"/>
        <v>0</v>
      </c>
      <c r="U31" s="3">
        <f>IF($A$5=1,IF($P31=0,0,ROUND(Q31/$P31*$E31,2)),Credits!D31)+Credits!J31</f>
        <v>8970.7800000000007</v>
      </c>
      <c r="V31" s="3">
        <f>IF($A$5=1,IF($P31=0,0,ROUND(R31/$P31*$E31,2)),Credits!E31)+Credits!K31</f>
        <v>2563.39</v>
      </c>
      <c r="W31" s="3">
        <f>IF($A$5=1,IF($P31=0,0,ROUND(S31/$P31*$E31,2)),Credits!F31)+Credits!L31</f>
        <v>12684.89</v>
      </c>
      <c r="X31" s="3">
        <f>IF($A$5=1,IF($P31=0,0,ROUND(T31/$P31*$E31,2)),Credits!G31)+Credits!M31</f>
        <v>0</v>
      </c>
      <c r="Y31" s="3">
        <f t="shared" si="6"/>
        <v>24219.059999999998</v>
      </c>
    </row>
    <row r="32" spans="1:25" ht="15" x14ac:dyDescent="0.25">
      <c r="A32" s="5">
        <v>85</v>
      </c>
      <c r="B32" s="5">
        <v>1</v>
      </c>
      <c r="C32" s="2" t="s">
        <v>28</v>
      </c>
      <c r="D32" s="3">
        <v>64340.39</v>
      </c>
      <c r="E32" s="3">
        <v>62705.03</v>
      </c>
      <c r="F32" s="173">
        <v>158297.38</v>
      </c>
      <c r="G32" s="173">
        <v>35907.19</v>
      </c>
      <c r="H32" s="173">
        <v>0</v>
      </c>
      <c r="I32" s="173">
        <v>191542.26</v>
      </c>
      <c r="J32" s="174">
        <v>36329.440000000002</v>
      </c>
      <c r="K32" s="173">
        <v>480487.84</v>
      </c>
      <c r="L32" s="173">
        <v>0</v>
      </c>
      <c r="M32" s="175">
        <v>0</v>
      </c>
      <c r="N32" s="173">
        <v>0</v>
      </c>
      <c r="O32" s="152">
        <f t="shared" si="1"/>
        <v>902564.1100000001</v>
      </c>
      <c r="P32" s="3">
        <f t="shared" si="7"/>
        <v>708359.54</v>
      </c>
      <c r="Q32" s="3">
        <f t="shared" si="2"/>
        <v>191542.26</v>
      </c>
      <c r="R32" s="3">
        <f t="shared" si="3"/>
        <v>36329.440000000002</v>
      </c>
      <c r="S32" s="3">
        <f t="shared" si="4"/>
        <v>480487.84</v>
      </c>
      <c r="T32" s="3">
        <f t="shared" si="5"/>
        <v>0</v>
      </c>
      <c r="U32" s="3">
        <f>IF($A$5=1,IF($P32=0,0,ROUND(Q32/$P32*$E32,2)),Credits!D32)+Credits!J32</f>
        <v>5701.12</v>
      </c>
      <c r="V32" s="3">
        <f>IF($A$5=1,IF($P32=0,0,ROUND(R32/$P32*$E32,2)),Credits!E32)+Credits!K32</f>
        <v>1080.93</v>
      </c>
      <c r="W32" s="3">
        <f>IF($A$5=1,IF($P32=0,0,ROUND(S32/$P32*$E32,2)),Credits!F32)+Credits!L32</f>
        <v>14300.939999999999</v>
      </c>
      <c r="X32" s="3">
        <f>IF($A$5=1,IF($P32=0,0,ROUND(T32/$P32*$E32,2)),Credits!G32)+Credits!M32</f>
        <v>0</v>
      </c>
      <c r="Y32" s="3">
        <f t="shared" si="6"/>
        <v>21082.989999999998</v>
      </c>
    </row>
    <row r="33" spans="1:25" ht="15" x14ac:dyDescent="0.25">
      <c r="A33" s="5">
        <v>88</v>
      </c>
      <c r="B33" s="5">
        <v>1</v>
      </c>
      <c r="C33" s="2" t="s">
        <v>29</v>
      </c>
      <c r="D33" s="3">
        <v>295930.39</v>
      </c>
      <c r="E33" s="3">
        <v>294418.49</v>
      </c>
      <c r="F33" s="173">
        <v>1835426.72</v>
      </c>
      <c r="G33" s="173">
        <v>236391.86</v>
      </c>
      <c r="H33" s="173">
        <v>0</v>
      </c>
      <c r="I33" s="173">
        <v>1136958.28</v>
      </c>
      <c r="J33" s="174">
        <v>215355.49</v>
      </c>
      <c r="K33" s="173">
        <v>777669.27</v>
      </c>
      <c r="L33" s="173">
        <v>781161.54</v>
      </c>
      <c r="M33" s="175">
        <v>0</v>
      </c>
      <c r="N33" s="173">
        <v>0</v>
      </c>
      <c r="O33" s="152">
        <f t="shared" si="1"/>
        <v>4982963.1600000011</v>
      </c>
      <c r="P33" s="3">
        <f t="shared" si="7"/>
        <v>2911144.58</v>
      </c>
      <c r="Q33" s="3">
        <f t="shared" si="2"/>
        <v>1136958.28</v>
      </c>
      <c r="R33" s="3">
        <f t="shared" si="3"/>
        <v>215355.49</v>
      </c>
      <c r="S33" s="3">
        <f t="shared" si="4"/>
        <v>1558830.81</v>
      </c>
      <c r="T33" s="3">
        <f t="shared" si="5"/>
        <v>0</v>
      </c>
      <c r="U33" s="3">
        <f>IF($A$5=1,IF($P33=0,0,ROUND(Q33/$P33*$E33,2)),Credits!D33)+Credits!J33</f>
        <v>16558.84</v>
      </c>
      <c r="V33" s="3">
        <f>IF($A$5=1,IF($P33=0,0,ROUND(R33/$P33*$E33,2)),Credits!E33)+Credits!K33</f>
        <v>4588.5599999999995</v>
      </c>
      <c r="W33" s="3">
        <f>IF($A$5=1,IF($P33=0,0,ROUND(S33/$P33*$E33,2)),Credits!F33)+Credits!L33</f>
        <v>33046.29</v>
      </c>
      <c r="X33" s="3">
        <f>IF($A$5=1,IF($P33=0,0,ROUND(T33/$P33*$E33,2)),Credits!G33)+Credits!M33</f>
        <v>0</v>
      </c>
      <c r="Y33" s="3">
        <f t="shared" si="6"/>
        <v>54193.69</v>
      </c>
    </row>
    <row r="34" spans="1:25" ht="15" x14ac:dyDescent="0.25">
      <c r="A34" s="5">
        <v>91</v>
      </c>
      <c r="B34" s="5">
        <v>1</v>
      </c>
      <c r="C34" s="2" t="s">
        <v>30</v>
      </c>
      <c r="D34" s="3">
        <v>135824.41999999998</v>
      </c>
      <c r="E34" s="3">
        <v>134447.60999999999</v>
      </c>
      <c r="F34" s="173">
        <v>0</v>
      </c>
      <c r="G34" s="173">
        <v>82874.990000000005</v>
      </c>
      <c r="H34" s="173">
        <v>0</v>
      </c>
      <c r="I34" s="173">
        <v>177767.16</v>
      </c>
      <c r="J34" s="174">
        <v>49366.23</v>
      </c>
      <c r="K34" s="173">
        <v>916917.65</v>
      </c>
      <c r="L34" s="173">
        <v>0</v>
      </c>
      <c r="M34" s="175">
        <v>0</v>
      </c>
      <c r="N34" s="173">
        <v>0</v>
      </c>
      <c r="O34" s="152">
        <f t="shared" si="1"/>
        <v>1226926.03</v>
      </c>
      <c r="P34" s="3">
        <f t="shared" si="7"/>
        <v>1144051.04</v>
      </c>
      <c r="Q34" s="3">
        <f t="shared" si="2"/>
        <v>177767.16</v>
      </c>
      <c r="R34" s="3">
        <f t="shared" si="3"/>
        <v>49366.23</v>
      </c>
      <c r="S34" s="3">
        <f t="shared" si="4"/>
        <v>916917.65</v>
      </c>
      <c r="T34" s="3">
        <f t="shared" si="5"/>
        <v>0</v>
      </c>
      <c r="U34" s="3">
        <f>IF($A$5=1,IF($P34=0,0,ROUND(Q34/$P34*$E34,2)),Credits!D34)+Credits!J34</f>
        <v>4896.8100000000004</v>
      </c>
      <c r="V34" s="3">
        <f>IF($A$5=1,IF($P34=0,0,ROUND(R34/$P34*$E34,2)),Credits!E34)+Credits!K34</f>
        <v>1360.3700000000001</v>
      </c>
      <c r="W34" s="3">
        <f>IF($A$5=1,IF($P34=0,0,ROUND(S34/$P34*$E34,2)),Credits!F34)+Credits!L34</f>
        <v>25259.139999999996</v>
      </c>
      <c r="X34" s="3">
        <f>IF($A$5=1,IF($P34=0,0,ROUND(T34/$P34*$E34,2)),Credits!G34)+Credits!M34</f>
        <v>0</v>
      </c>
      <c r="Y34" s="3">
        <f t="shared" si="6"/>
        <v>31516.319999999996</v>
      </c>
    </row>
    <row r="35" spans="1:25" ht="15" x14ac:dyDescent="0.25">
      <c r="A35" s="5">
        <v>93</v>
      </c>
      <c r="B35" s="5">
        <v>1</v>
      </c>
      <c r="C35" s="2" t="s">
        <v>31</v>
      </c>
      <c r="D35" s="3">
        <v>62280.729999999996</v>
      </c>
      <c r="E35" s="3">
        <v>62846.61</v>
      </c>
      <c r="F35" s="173">
        <v>768846.75</v>
      </c>
      <c r="G35" s="173">
        <v>27570.84</v>
      </c>
      <c r="H35" s="173">
        <v>0</v>
      </c>
      <c r="I35" s="173">
        <v>103592.93</v>
      </c>
      <c r="J35" s="174">
        <v>34287.5</v>
      </c>
      <c r="K35" s="173">
        <v>0</v>
      </c>
      <c r="L35" s="173">
        <v>65898</v>
      </c>
      <c r="M35" s="175">
        <v>0</v>
      </c>
      <c r="N35" s="173">
        <v>233300</v>
      </c>
      <c r="O35" s="152">
        <f t="shared" si="1"/>
        <v>1233496.02</v>
      </c>
      <c r="P35" s="3">
        <f t="shared" si="7"/>
        <v>437078.43</v>
      </c>
      <c r="Q35" s="3">
        <f t="shared" si="2"/>
        <v>103592.93</v>
      </c>
      <c r="R35" s="3">
        <f t="shared" si="3"/>
        <v>34287.5</v>
      </c>
      <c r="S35" s="3">
        <f t="shared" si="4"/>
        <v>65898</v>
      </c>
      <c r="T35" s="3">
        <f t="shared" si="5"/>
        <v>233300</v>
      </c>
      <c r="U35" s="3">
        <f>IF($A$5=1,IF($P35=0,0,ROUND(Q35/$P35*$E35,2)),Credits!D35)+Credits!J35</f>
        <v>7307.7000000000007</v>
      </c>
      <c r="V35" s="3">
        <f>IF($A$5=1,IF($P35=0,0,ROUND(R35/$P35*$E35,2)),Credits!E35)+Credits!K35</f>
        <v>2417.4699999999998</v>
      </c>
      <c r="W35" s="3">
        <f>IF($A$5=1,IF($P35=0,0,ROUND(S35/$P35*$E35,2)),Credits!F35)+Credits!L35</f>
        <v>21104.65</v>
      </c>
      <c r="X35" s="3">
        <f>IF($A$5=1,IF($P35=0,0,ROUND(T35/$P35*$E35,2)),Credits!G35)+Credits!M35</f>
        <v>0</v>
      </c>
      <c r="Y35" s="3">
        <f t="shared" si="6"/>
        <v>30829.82</v>
      </c>
    </row>
    <row r="36" spans="1:25" ht="15" x14ac:dyDescent="0.25">
      <c r="A36" s="5">
        <v>94</v>
      </c>
      <c r="B36" s="5">
        <v>1</v>
      </c>
      <c r="C36" s="2" t="s">
        <v>32</v>
      </c>
      <c r="D36" s="3">
        <v>420209.35</v>
      </c>
      <c r="E36" s="3">
        <v>393362.27</v>
      </c>
      <c r="F36" s="173">
        <v>169761.15</v>
      </c>
      <c r="G36" s="173">
        <v>249156.74</v>
      </c>
      <c r="H36" s="173">
        <v>0</v>
      </c>
      <c r="I36" s="173">
        <v>557432.96</v>
      </c>
      <c r="J36" s="174">
        <v>243103.21</v>
      </c>
      <c r="K36" s="173">
        <v>1154452.95</v>
      </c>
      <c r="L36" s="173">
        <v>934061.66</v>
      </c>
      <c r="M36" s="175">
        <v>0</v>
      </c>
      <c r="N36" s="173">
        <v>552033</v>
      </c>
      <c r="O36" s="152">
        <f t="shared" si="1"/>
        <v>3860001.67</v>
      </c>
      <c r="P36" s="3">
        <f t="shared" si="7"/>
        <v>3441083.78</v>
      </c>
      <c r="Q36" s="3">
        <f t="shared" si="2"/>
        <v>557432.96</v>
      </c>
      <c r="R36" s="3">
        <f t="shared" si="3"/>
        <v>243103.21</v>
      </c>
      <c r="S36" s="3">
        <f t="shared" si="4"/>
        <v>2088514.6099999999</v>
      </c>
      <c r="T36" s="3">
        <f t="shared" si="5"/>
        <v>552033</v>
      </c>
      <c r="U36" s="3">
        <f>IF($A$5=1,IF($P36=0,0,ROUND(Q36/$P36*$E36,2)),Credits!D36)+Credits!J36</f>
        <v>30374.2</v>
      </c>
      <c r="V36" s="3">
        <f>IF($A$5=1,IF($P36=0,0,ROUND(R36/$P36*$E36,2)),Credits!E36)+Credits!K36</f>
        <v>13247.590000000002</v>
      </c>
      <c r="W36" s="3">
        <f>IF($A$5=1,IF($P36=0,0,ROUND(S36/$P36*$E36,2)),Credits!F36)+Credits!L36</f>
        <v>143888.20000000001</v>
      </c>
      <c r="X36" s="3">
        <f>IF($A$5=1,IF($P36=0,0,ROUND(T36/$P36*$E36,2)),Credits!G36)+Credits!M36</f>
        <v>0</v>
      </c>
      <c r="Y36" s="3">
        <f t="shared" si="6"/>
        <v>187509.99000000002</v>
      </c>
    </row>
    <row r="37" spans="1:25" ht="15" x14ac:dyDescent="0.25">
      <c r="A37" s="5">
        <v>95</v>
      </c>
      <c r="B37" s="5">
        <v>1</v>
      </c>
      <c r="C37" s="2" t="s">
        <v>33</v>
      </c>
      <c r="D37" s="3">
        <v>58497.95</v>
      </c>
      <c r="E37" s="3">
        <v>52010.1</v>
      </c>
      <c r="F37" s="173">
        <v>0</v>
      </c>
      <c r="G37" s="173">
        <v>44703.81</v>
      </c>
      <c r="H37" s="173">
        <v>0</v>
      </c>
      <c r="I37" s="173">
        <v>112462.89</v>
      </c>
      <c r="J37" s="174">
        <v>22070.91</v>
      </c>
      <c r="K37" s="173">
        <v>525544.93000000005</v>
      </c>
      <c r="L37" s="173">
        <v>0</v>
      </c>
      <c r="M37" s="175">
        <v>0</v>
      </c>
      <c r="N37" s="173">
        <v>0</v>
      </c>
      <c r="O37" s="152">
        <f t="shared" si="1"/>
        <v>704782.54</v>
      </c>
      <c r="P37" s="3">
        <f t="shared" si="7"/>
        <v>660078.73</v>
      </c>
      <c r="Q37" s="3">
        <f t="shared" si="2"/>
        <v>112462.89</v>
      </c>
      <c r="R37" s="3">
        <f t="shared" si="3"/>
        <v>22070.91</v>
      </c>
      <c r="S37" s="3">
        <f t="shared" si="4"/>
        <v>525544.93000000005</v>
      </c>
      <c r="T37" s="3">
        <f t="shared" si="5"/>
        <v>0</v>
      </c>
      <c r="U37" s="3">
        <f>IF($A$5=1,IF($P37=0,0,ROUND(Q37/$P37*$E37,2)),Credits!D37)+Credits!J37</f>
        <v>2424.5700000000002</v>
      </c>
      <c r="V37" s="3">
        <f>IF($A$5=1,IF($P37=0,0,ROUND(R37/$P37*$E37,2)),Credits!E37)+Credits!K37</f>
        <v>475.58</v>
      </c>
      <c r="W37" s="3">
        <f>IF($A$5=1,IF($P37=0,0,ROUND(S37/$P37*$E37,2)),Credits!F37)+Credits!L37</f>
        <v>11329.54</v>
      </c>
      <c r="X37" s="3">
        <f>IF($A$5=1,IF($P37=0,0,ROUND(T37/$P37*$E37,2)),Credits!G37)+Credits!M37</f>
        <v>0</v>
      </c>
      <c r="Y37" s="3">
        <f t="shared" si="6"/>
        <v>14229.69</v>
      </c>
    </row>
    <row r="38" spans="1:25" ht="15" x14ac:dyDescent="0.25">
      <c r="A38" s="5">
        <v>97</v>
      </c>
      <c r="B38" s="5">
        <v>1</v>
      </c>
      <c r="C38" s="2" t="s">
        <v>34</v>
      </c>
      <c r="D38" s="3">
        <v>51460.200000000004</v>
      </c>
      <c r="E38" s="3">
        <v>52380.94</v>
      </c>
      <c r="F38" s="173">
        <v>275150.68</v>
      </c>
      <c r="G38" s="173">
        <v>72075.710000000006</v>
      </c>
      <c r="H38" s="173">
        <v>0</v>
      </c>
      <c r="I38" s="173">
        <v>250114.23</v>
      </c>
      <c r="J38" s="174">
        <v>61432.83</v>
      </c>
      <c r="K38" s="173">
        <v>0</v>
      </c>
      <c r="L38" s="173">
        <v>0</v>
      </c>
      <c r="M38" s="175">
        <v>0</v>
      </c>
      <c r="N38" s="173">
        <v>0</v>
      </c>
      <c r="O38" s="152">
        <f t="shared" si="1"/>
        <v>658773.44999999995</v>
      </c>
      <c r="P38" s="3">
        <f t="shared" si="7"/>
        <v>311547.06</v>
      </c>
      <c r="Q38" s="3">
        <f t="shared" si="2"/>
        <v>250114.23</v>
      </c>
      <c r="R38" s="3">
        <f t="shared" si="3"/>
        <v>61432.83</v>
      </c>
      <c r="S38" s="3">
        <f t="shared" si="4"/>
        <v>0</v>
      </c>
      <c r="T38" s="3">
        <f t="shared" si="5"/>
        <v>0</v>
      </c>
      <c r="U38" s="3">
        <f>IF($A$5=1,IF($P38=0,0,ROUND(Q38/$P38*$E38,2)),Credits!D38)+Credits!J38</f>
        <v>25638.44</v>
      </c>
      <c r="V38" s="3">
        <f>IF($A$5=1,IF($P38=0,0,ROUND(R38/$P38*$E38,2)),Credits!E38)+Credits!K38</f>
        <v>6298.1200000000008</v>
      </c>
      <c r="W38" s="3">
        <f>IF($A$5=1,IF($P38=0,0,ROUND(S38/$P38*$E38,2)),Credits!F38)+Credits!L38</f>
        <v>0</v>
      </c>
      <c r="X38" s="3">
        <f>IF($A$5=1,IF($P38=0,0,ROUND(T38/$P38*$E38,2)),Credits!G38)+Credits!M38</f>
        <v>0</v>
      </c>
      <c r="Y38" s="3">
        <f t="shared" si="6"/>
        <v>31936.559999999998</v>
      </c>
    </row>
    <row r="39" spans="1:25" ht="15" x14ac:dyDescent="0.25">
      <c r="A39" s="5">
        <v>99</v>
      </c>
      <c r="B39" s="5">
        <v>1</v>
      </c>
      <c r="C39" s="2" t="s">
        <v>35</v>
      </c>
      <c r="D39" s="3">
        <v>113416.02</v>
      </c>
      <c r="E39" s="3">
        <v>106224.14</v>
      </c>
      <c r="F39" s="173">
        <v>0</v>
      </c>
      <c r="G39" s="173">
        <v>127917.13</v>
      </c>
      <c r="H39" s="173">
        <v>0</v>
      </c>
      <c r="I39" s="173">
        <v>335448.14</v>
      </c>
      <c r="J39" s="174">
        <v>54068.45</v>
      </c>
      <c r="K39" s="173">
        <v>796299.36</v>
      </c>
      <c r="L39" s="173">
        <v>0</v>
      </c>
      <c r="M39" s="175">
        <v>0</v>
      </c>
      <c r="N39" s="173">
        <v>108309.85</v>
      </c>
      <c r="O39" s="152">
        <f t="shared" si="1"/>
        <v>1422042.9300000002</v>
      </c>
      <c r="P39" s="3">
        <f t="shared" si="7"/>
        <v>1294125.8</v>
      </c>
      <c r="Q39" s="3">
        <f t="shared" si="2"/>
        <v>335448.14</v>
      </c>
      <c r="R39" s="3">
        <f t="shared" si="3"/>
        <v>54068.45</v>
      </c>
      <c r="S39" s="3">
        <f t="shared" si="4"/>
        <v>796299.36</v>
      </c>
      <c r="T39" s="3">
        <f t="shared" si="5"/>
        <v>108309.85</v>
      </c>
      <c r="U39" s="3">
        <f>IF($A$5=1,IF($P39=0,0,ROUND(Q39/$P39*$E39,2)),Credits!D39)+Credits!J39</f>
        <v>5887.49</v>
      </c>
      <c r="V39" s="3">
        <f>IF($A$5=1,IF($P39=0,0,ROUND(R39/$P39*$E39,2)),Credits!E39)+Credits!K39</f>
        <v>949.01</v>
      </c>
      <c r="W39" s="3">
        <f>IF($A$5=1,IF($P39=0,0,ROUND(S39/$P39*$E39,2)),Credits!F39)+Credits!L39</f>
        <v>15875.78</v>
      </c>
      <c r="X39" s="3">
        <f>IF($A$5=1,IF($P39=0,0,ROUND(T39/$P39*$E39,2)),Credits!G39)+Credits!M39</f>
        <v>0</v>
      </c>
      <c r="Y39" s="3">
        <f t="shared" si="6"/>
        <v>22712.28</v>
      </c>
    </row>
    <row r="40" spans="1:25" ht="15" x14ac:dyDescent="0.25">
      <c r="A40" s="5">
        <v>100</v>
      </c>
      <c r="B40" s="5">
        <v>1</v>
      </c>
      <c r="C40" s="2" t="s">
        <v>36</v>
      </c>
      <c r="D40" s="3">
        <v>33207.879999999997</v>
      </c>
      <c r="E40" s="3">
        <v>33777.69</v>
      </c>
      <c r="F40" s="173">
        <v>189456.66</v>
      </c>
      <c r="G40" s="173">
        <v>58430.25</v>
      </c>
      <c r="H40" s="173">
        <v>0</v>
      </c>
      <c r="I40" s="173">
        <v>108453.44</v>
      </c>
      <c r="J40" s="174">
        <v>24818.84</v>
      </c>
      <c r="K40" s="173">
        <v>366412.54</v>
      </c>
      <c r="L40" s="173">
        <v>0</v>
      </c>
      <c r="M40" s="175">
        <v>0</v>
      </c>
      <c r="N40" s="173">
        <v>0</v>
      </c>
      <c r="O40" s="152">
        <f t="shared" si="1"/>
        <v>747571.73</v>
      </c>
      <c r="P40" s="3">
        <f t="shared" si="7"/>
        <v>499684.81999999995</v>
      </c>
      <c r="Q40" s="3">
        <f t="shared" si="2"/>
        <v>108453.44</v>
      </c>
      <c r="R40" s="3">
        <f t="shared" si="3"/>
        <v>24818.84</v>
      </c>
      <c r="S40" s="3">
        <f t="shared" si="4"/>
        <v>366412.54</v>
      </c>
      <c r="T40" s="3">
        <f t="shared" si="5"/>
        <v>0</v>
      </c>
      <c r="U40" s="3">
        <f>IF($A$5=1,IF($P40=0,0,ROUND(Q40/$P40*$E40,2)),Credits!D40)+Credits!J40</f>
        <v>1413.1799999999998</v>
      </c>
      <c r="V40" s="3">
        <f>IF($A$5=1,IF($P40=0,0,ROUND(R40/$P40*$E40,2)),Credits!E40)+Credits!K40</f>
        <v>323.32</v>
      </c>
      <c r="W40" s="3">
        <f>IF($A$5=1,IF($P40=0,0,ROUND(S40/$P40*$E40,2)),Credits!F40)+Credits!L40</f>
        <v>4774.17</v>
      </c>
      <c r="X40" s="3">
        <f>IF($A$5=1,IF($P40=0,0,ROUND(T40/$P40*$E40,2)),Credits!G40)+Credits!M40</f>
        <v>0</v>
      </c>
      <c r="Y40" s="3">
        <f t="shared" si="6"/>
        <v>6510.67</v>
      </c>
    </row>
    <row r="41" spans="1:25" ht="15" x14ac:dyDescent="0.25">
      <c r="A41" s="5">
        <v>108</v>
      </c>
      <c r="B41" s="5">
        <v>1</v>
      </c>
      <c r="C41" s="2" t="s">
        <v>37</v>
      </c>
      <c r="D41" s="3">
        <v>111667.37</v>
      </c>
      <c r="E41" s="3">
        <v>117141.48</v>
      </c>
      <c r="F41" s="173">
        <v>705155</v>
      </c>
      <c r="G41" s="173">
        <v>118196</v>
      </c>
      <c r="H41" s="173">
        <v>0</v>
      </c>
      <c r="I41" s="173">
        <v>653638</v>
      </c>
      <c r="J41" s="174">
        <v>204072</v>
      </c>
      <c r="K41" s="173">
        <v>834140</v>
      </c>
      <c r="L41" s="173">
        <v>0</v>
      </c>
      <c r="M41" s="175">
        <v>0</v>
      </c>
      <c r="N41" s="173">
        <v>0</v>
      </c>
      <c r="O41" s="152">
        <f t="shared" si="1"/>
        <v>2515201</v>
      </c>
      <c r="P41" s="3">
        <f t="shared" si="7"/>
        <v>1691850</v>
      </c>
      <c r="Q41" s="3">
        <f t="shared" si="2"/>
        <v>653638</v>
      </c>
      <c r="R41" s="3">
        <f t="shared" si="3"/>
        <v>204072</v>
      </c>
      <c r="S41" s="3">
        <f t="shared" si="4"/>
        <v>834140</v>
      </c>
      <c r="T41" s="3">
        <f t="shared" si="5"/>
        <v>0</v>
      </c>
      <c r="U41" s="3">
        <f>IF($A$5=1,IF($P41=0,0,ROUND(Q41/$P41*$E41,2)),Credits!D41)+Credits!J41</f>
        <v>17579.280000000002</v>
      </c>
      <c r="V41" s="3">
        <f>IF($A$5=1,IF($P41=0,0,ROUND(R41/$P41*$E41,2)),Credits!E41)+Credits!K41</f>
        <v>5487.2699999999995</v>
      </c>
      <c r="W41" s="3">
        <f>IF($A$5=1,IF($P41=0,0,ROUND(S41/$P41*$E41,2)),Credits!F41)+Credits!L41</f>
        <v>22431.899999999998</v>
      </c>
      <c r="X41" s="3">
        <f>IF($A$5=1,IF($P41=0,0,ROUND(T41/$P41*$E41,2)),Credits!G41)+Credits!M41</f>
        <v>0</v>
      </c>
      <c r="Y41" s="3">
        <f t="shared" si="6"/>
        <v>45498.45</v>
      </c>
    </row>
    <row r="42" spans="1:25" ht="15" x14ac:dyDescent="0.25">
      <c r="A42" s="5">
        <v>110</v>
      </c>
      <c r="B42" s="5">
        <v>1</v>
      </c>
      <c r="C42" s="2" t="s">
        <v>38</v>
      </c>
      <c r="D42" s="3">
        <v>253960.91</v>
      </c>
      <c r="E42" s="3">
        <v>294732.87</v>
      </c>
      <c r="F42" s="173">
        <v>2331703</v>
      </c>
      <c r="G42" s="173">
        <v>461602</v>
      </c>
      <c r="H42" s="173">
        <v>0</v>
      </c>
      <c r="I42" s="173">
        <v>1454147</v>
      </c>
      <c r="J42" s="174">
        <v>281215</v>
      </c>
      <c r="K42" s="173">
        <v>5220523</v>
      </c>
      <c r="L42" s="173">
        <v>0</v>
      </c>
      <c r="M42" s="175">
        <v>0</v>
      </c>
      <c r="N42" s="173">
        <v>363552</v>
      </c>
      <c r="O42" s="152">
        <f t="shared" si="1"/>
        <v>10112742</v>
      </c>
      <c r="P42" s="3">
        <f t="shared" si="7"/>
        <v>7319437</v>
      </c>
      <c r="Q42" s="3">
        <f t="shared" si="2"/>
        <v>1454147</v>
      </c>
      <c r="R42" s="3">
        <f t="shared" si="3"/>
        <v>281215</v>
      </c>
      <c r="S42" s="3">
        <f t="shared" si="4"/>
        <v>5220523</v>
      </c>
      <c r="T42" s="3">
        <f t="shared" si="5"/>
        <v>363552</v>
      </c>
      <c r="U42" s="3">
        <f>IF($A$5=1,IF($P42=0,0,ROUND(Q42/$P42*$E42,2)),Credits!D42)+Credits!J42</f>
        <v>11384.340000000002</v>
      </c>
      <c r="V42" s="3">
        <f>IF($A$5=1,IF($P42=0,0,ROUND(R42/$P42*$E42,2)),Credits!E42)+Credits!K42</f>
        <v>2201.5199999999995</v>
      </c>
      <c r="W42" s="3">
        <f>IF($A$5=1,IF($P42=0,0,ROUND(S42/$P42*$E42,2)),Credits!F42)+Credits!L42</f>
        <v>40867.490000000005</v>
      </c>
      <c r="X42" s="3">
        <f>IF($A$5=1,IF($P42=0,0,ROUND(T42/$P42*$E42,2)),Credits!G42)+Credits!M42</f>
        <v>2846.5200000000004</v>
      </c>
      <c r="Y42" s="3">
        <f t="shared" si="6"/>
        <v>57299.87000000001</v>
      </c>
    </row>
    <row r="43" spans="1:25" ht="15" x14ac:dyDescent="0.25">
      <c r="A43" s="5">
        <v>111</v>
      </c>
      <c r="B43" s="5">
        <v>1</v>
      </c>
      <c r="C43" s="2" t="s">
        <v>39</v>
      </c>
      <c r="D43" s="3">
        <v>230556.09999999998</v>
      </c>
      <c r="E43" s="3">
        <v>232902.32</v>
      </c>
      <c r="F43" s="173">
        <v>845856</v>
      </c>
      <c r="G43" s="173">
        <v>221548</v>
      </c>
      <c r="H43" s="173">
        <v>0</v>
      </c>
      <c r="I43" s="173">
        <v>568522</v>
      </c>
      <c r="J43" s="174">
        <v>242952</v>
      </c>
      <c r="K43" s="173">
        <v>3601278</v>
      </c>
      <c r="L43" s="173">
        <v>10448</v>
      </c>
      <c r="M43" s="175">
        <v>0</v>
      </c>
      <c r="N43" s="173">
        <v>0</v>
      </c>
      <c r="O43" s="152">
        <f t="shared" si="1"/>
        <v>5490604</v>
      </c>
      <c r="P43" s="3">
        <f t="shared" si="7"/>
        <v>4423200</v>
      </c>
      <c r="Q43" s="3">
        <f t="shared" si="2"/>
        <v>568522</v>
      </c>
      <c r="R43" s="3">
        <f t="shared" si="3"/>
        <v>242952</v>
      </c>
      <c r="S43" s="3">
        <f t="shared" si="4"/>
        <v>3611726</v>
      </c>
      <c r="T43" s="3">
        <f t="shared" si="5"/>
        <v>0</v>
      </c>
      <c r="U43" s="3">
        <f>IF($A$5=1,IF($P43=0,0,ROUND(Q43/$P43*$E43,2)),Credits!D43)+Credits!J43</f>
        <v>11142.449999999999</v>
      </c>
      <c r="V43" s="3">
        <f>IF($A$5=1,IF($P43=0,0,ROUND(R43/$P43*$E43,2)),Credits!E43)+Credits!K43</f>
        <v>4761.1600000000008</v>
      </c>
      <c r="W43" s="3">
        <f>IF($A$5=1,IF($P43=0,0,ROUND(S43/$P43*$E43,2)),Credits!F43)+Credits!L43</f>
        <v>70778.959999999992</v>
      </c>
      <c r="X43" s="3">
        <f>IF($A$5=1,IF($P43=0,0,ROUND(T43/$P43*$E43,2)),Credits!G43)+Credits!M43</f>
        <v>0</v>
      </c>
      <c r="Y43" s="3">
        <f t="shared" si="6"/>
        <v>86682.569999999992</v>
      </c>
    </row>
    <row r="44" spans="1:25" ht="15" x14ac:dyDescent="0.25">
      <c r="A44" s="5">
        <v>112</v>
      </c>
      <c r="B44" s="5">
        <v>1</v>
      </c>
      <c r="C44" s="2" t="s">
        <v>40</v>
      </c>
      <c r="D44" s="3">
        <v>617504.03999999992</v>
      </c>
      <c r="E44" s="3">
        <v>704966.04</v>
      </c>
      <c r="F44" s="173">
        <v>12245015</v>
      </c>
      <c r="G44" s="173">
        <v>1024083</v>
      </c>
      <c r="H44" s="173">
        <v>0</v>
      </c>
      <c r="I44" s="173">
        <v>3958435</v>
      </c>
      <c r="J44" s="174">
        <v>777901</v>
      </c>
      <c r="K44" s="173">
        <v>18166175</v>
      </c>
      <c r="L44" s="173">
        <v>1217048</v>
      </c>
      <c r="M44" s="175">
        <v>0</v>
      </c>
      <c r="N44" s="173">
        <v>691470</v>
      </c>
      <c r="O44" s="152">
        <f t="shared" si="1"/>
        <v>38080127</v>
      </c>
      <c r="P44" s="3">
        <f t="shared" si="7"/>
        <v>24811029</v>
      </c>
      <c r="Q44" s="3">
        <f t="shared" si="2"/>
        <v>3958435</v>
      </c>
      <c r="R44" s="3">
        <f t="shared" si="3"/>
        <v>777901</v>
      </c>
      <c r="S44" s="3">
        <f t="shared" si="4"/>
        <v>19383223</v>
      </c>
      <c r="T44" s="3">
        <f t="shared" si="5"/>
        <v>691470</v>
      </c>
      <c r="U44" s="3">
        <f>IF($A$5=1,IF($P44=0,0,ROUND(Q44/$P44*$E44,2)),Credits!D44)+Credits!J44</f>
        <v>5608.9400000000005</v>
      </c>
      <c r="V44" s="3">
        <f>IF($A$5=1,IF($P44=0,0,ROUND(R44/$P44*$E44,2)),Credits!E44)+Credits!K44</f>
        <v>1102.6500000000001</v>
      </c>
      <c r="W44" s="3">
        <f>IF($A$5=1,IF($P44=0,0,ROUND(S44/$P44*$E44,2)),Credits!F44)+Credits!L44</f>
        <v>27464.799999999999</v>
      </c>
      <c r="X44" s="3">
        <f>IF($A$5=1,IF($P44=0,0,ROUND(T44/$P44*$E44,2)),Credits!G44)+Credits!M44</f>
        <v>979.8599999999999</v>
      </c>
      <c r="Y44" s="3">
        <f t="shared" si="6"/>
        <v>35156.25</v>
      </c>
    </row>
    <row r="45" spans="1:25" ht="15" x14ac:dyDescent="0.25">
      <c r="A45" s="5">
        <v>113</v>
      </c>
      <c r="B45" s="5">
        <v>1</v>
      </c>
      <c r="C45" s="2" t="s">
        <v>41</v>
      </c>
      <c r="D45" s="3">
        <v>51656.000000000007</v>
      </c>
      <c r="E45" s="3">
        <v>72841.72</v>
      </c>
      <c r="F45" s="173">
        <v>0</v>
      </c>
      <c r="G45" s="173">
        <v>119606.68</v>
      </c>
      <c r="H45" s="173">
        <v>0</v>
      </c>
      <c r="I45" s="173">
        <v>392061.22</v>
      </c>
      <c r="J45" s="174">
        <v>113101.8</v>
      </c>
      <c r="K45" s="173">
        <v>1066984.19</v>
      </c>
      <c r="L45" s="173">
        <v>241756</v>
      </c>
      <c r="M45" s="175">
        <v>0</v>
      </c>
      <c r="N45" s="173">
        <v>0</v>
      </c>
      <c r="O45" s="152">
        <f t="shared" si="1"/>
        <v>1933509.89</v>
      </c>
      <c r="P45" s="3">
        <f t="shared" si="7"/>
        <v>1813903.21</v>
      </c>
      <c r="Q45" s="3">
        <f t="shared" si="2"/>
        <v>392061.22</v>
      </c>
      <c r="R45" s="3">
        <f t="shared" si="3"/>
        <v>113101.8</v>
      </c>
      <c r="S45" s="3">
        <f t="shared" si="4"/>
        <v>1308740.19</v>
      </c>
      <c r="T45" s="3">
        <f t="shared" si="5"/>
        <v>0</v>
      </c>
      <c r="U45" s="3">
        <f>IF($A$5=1,IF($P45=0,0,ROUND(Q45/$P45*$E45,2)),Credits!D45)+Credits!J45</f>
        <v>1408.86</v>
      </c>
      <c r="V45" s="3">
        <f>IF($A$5=1,IF($P45=0,0,ROUND(R45/$P45*$E45,2)),Credits!E45)+Credits!K45</f>
        <v>406.47999999999996</v>
      </c>
      <c r="W45" s="3">
        <f>IF($A$5=1,IF($P45=0,0,ROUND(S45/$P45*$E45,2)),Credits!F45)+Credits!L45</f>
        <v>4695.63</v>
      </c>
      <c r="X45" s="3">
        <f>IF($A$5=1,IF($P45=0,0,ROUND(T45/$P45*$E45,2)),Credits!G45)+Credits!M45</f>
        <v>0</v>
      </c>
      <c r="Y45" s="3">
        <f t="shared" si="6"/>
        <v>6510.97</v>
      </c>
    </row>
    <row r="46" spans="1:25" ht="15" x14ac:dyDescent="0.25">
      <c r="A46" s="5">
        <v>115</v>
      </c>
      <c r="B46" s="5">
        <v>1</v>
      </c>
      <c r="C46" s="2" t="s">
        <v>42</v>
      </c>
      <c r="D46" s="3">
        <v>79729.2</v>
      </c>
      <c r="E46" s="3">
        <v>71879.33</v>
      </c>
      <c r="F46" s="173">
        <v>0</v>
      </c>
      <c r="G46" s="173">
        <v>266451.3</v>
      </c>
      <c r="H46" s="173">
        <v>0</v>
      </c>
      <c r="I46" s="173">
        <v>214571.9</v>
      </c>
      <c r="J46" s="174">
        <v>51553.94</v>
      </c>
      <c r="K46" s="173">
        <v>1657956.49</v>
      </c>
      <c r="L46" s="173">
        <v>0</v>
      </c>
      <c r="M46" s="175">
        <v>0</v>
      </c>
      <c r="N46" s="173">
        <v>0</v>
      </c>
      <c r="O46" s="152">
        <f t="shared" si="1"/>
        <v>2190533.63</v>
      </c>
      <c r="P46" s="3">
        <f t="shared" si="7"/>
        <v>1924082.33</v>
      </c>
      <c r="Q46" s="3">
        <f t="shared" si="2"/>
        <v>214571.9</v>
      </c>
      <c r="R46" s="3">
        <f t="shared" si="3"/>
        <v>51553.94</v>
      </c>
      <c r="S46" s="3">
        <f t="shared" si="4"/>
        <v>1657956.49</v>
      </c>
      <c r="T46" s="3">
        <f t="shared" si="5"/>
        <v>0</v>
      </c>
      <c r="U46" s="3">
        <f>IF($A$5=1,IF($P46=0,0,ROUND(Q46/$P46*$E46,2)),Credits!D46)+Credits!J46</f>
        <v>963.57999999999993</v>
      </c>
      <c r="V46" s="3">
        <f>IF($A$5=1,IF($P46=0,0,ROUND(R46/$P46*$E46,2)),Credits!E46)+Credits!K46</f>
        <v>231.47000000000003</v>
      </c>
      <c r="W46" s="3">
        <f>IF($A$5=1,IF($P46=0,0,ROUND(S46/$P46*$E46,2)),Credits!F46)+Credits!L46</f>
        <v>7445.73</v>
      </c>
      <c r="X46" s="3">
        <f>IF($A$5=1,IF($P46=0,0,ROUND(T46/$P46*$E46,2)),Credits!G46)+Credits!M46</f>
        <v>0</v>
      </c>
      <c r="Y46" s="3">
        <f t="shared" si="6"/>
        <v>8640.7799999999988</v>
      </c>
    </row>
    <row r="47" spans="1:25" ht="15" x14ac:dyDescent="0.25">
      <c r="A47" s="5">
        <v>116</v>
      </c>
      <c r="B47" s="5">
        <v>1</v>
      </c>
      <c r="C47" s="2" t="s">
        <v>43</v>
      </c>
      <c r="D47" s="3">
        <v>60919.789999999994</v>
      </c>
      <c r="E47" s="3">
        <v>67313.850000000006</v>
      </c>
      <c r="F47" s="173">
        <v>0</v>
      </c>
      <c r="G47" s="173">
        <v>182392.51</v>
      </c>
      <c r="H47" s="173">
        <v>0</v>
      </c>
      <c r="I47" s="173">
        <v>432553.1</v>
      </c>
      <c r="J47" s="174">
        <v>113995.27</v>
      </c>
      <c r="K47" s="173">
        <v>1087344.81</v>
      </c>
      <c r="L47" s="173">
        <v>0</v>
      </c>
      <c r="M47" s="175">
        <v>0</v>
      </c>
      <c r="N47" s="173">
        <v>210032</v>
      </c>
      <c r="O47" s="152">
        <f t="shared" si="1"/>
        <v>2026317.69</v>
      </c>
      <c r="P47" s="3">
        <f t="shared" si="7"/>
        <v>1843925.1800000002</v>
      </c>
      <c r="Q47" s="3">
        <f t="shared" si="2"/>
        <v>432553.1</v>
      </c>
      <c r="R47" s="3">
        <f t="shared" si="3"/>
        <v>113995.27</v>
      </c>
      <c r="S47" s="3">
        <f t="shared" si="4"/>
        <v>1087344.81</v>
      </c>
      <c r="T47" s="3">
        <f t="shared" si="5"/>
        <v>210032</v>
      </c>
      <c r="U47" s="3">
        <f>IF($A$5=1,IF($P47=0,0,ROUND(Q47/$P47*$E47,2)),Credits!D47)+Credits!J47</f>
        <v>2326.85</v>
      </c>
      <c r="V47" s="3">
        <f>IF($A$5=1,IF($P47=0,0,ROUND(R47/$P47*$E47,2)),Credits!E47)+Credits!K47</f>
        <v>613.28</v>
      </c>
      <c r="W47" s="3">
        <f>IF($A$5=1,IF($P47=0,0,ROUND(S47/$P47*$E47,2)),Credits!F47)+Credits!L47</f>
        <v>5849.16</v>
      </c>
      <c r="X47" s="3">
        <f>IF($A$5=1,IF($P47=0,0,ROUND(T47/$P47*$E47,2)),Credits!G47)+Credits!M47</f>
        <v>1129.76</v>
      </c>
      <c r="Y47" s="3">
        <f t="shared" si="6"/>
        <v>9919.0500000000011</v>
      </c>
    </row>
    <row r="48" spans="1:25" ht="15" x14ac:dyDescent="0.25">
      <c r="A48" s="5">
        <v>118</v>
      </c>
      <c r="B48" s="5">
        <v>1</v>
      </c>
      <c r="C48" s="2" t="s">
        <v>44</v>
      </c>
      <c r="D48" s="3">
        <v>16647.21</v>
      </c>
      <c r="E48" s="3">
        <v>21157.1</v>
      </c>
      <c r="F48" s="173">
        <v>269259.93</v>
      </c>
      <c r="G48" s="173">
        <v>47183.65</v>
      </c>
      <c r="H48" s="173">
        <v>0</v>
      </c>
      <c r="I48" s="173">
        <v>303740.33</v>
      </c>
      <c r="J48" s="174">
        <v>56247.73</v>
      </c>
      <c r="K48" s="173">
        <v>145233.4</v>
      </c>
      <c r="L48" s="173">
        <v>0</v>
      </c>
      <c r="M48" s="175">
        <v>0</v>
      </c>
      <c r="N48" s="173">
        <v>0</v>
      </c>
      <c r="O48" s="152">
        <f t="shared" si="1"/>
        <v>821665.04</v>
      </c>
      <c r="P48" s="3">
        <f t="shared" si="7"/>
        <v>505221.45999999996</v>
      </c>
      <c r="Q48" s="3">
        <f t="shared" si="2"/>
        <v>303740.33</v>
      </c>
      <c r="R48" s="3">
        <f t="shared" si="3"/>
        <v>56247.73</v>
      </c>
      <c r="S48" s="3">
        <f t="shared" si="4"/>
        <v>145233.4</v>
      </c>
      <c r="T48" s="3">
        <f t="shared" si="5"/>
        <v>0</v>
      </c>
      <c r="U48" s="3">
        <f>IF($A$5=1,IF($P48=0,0,ROUND(Q48/$P48*$E48,2)),Credits!D48)+Credits!J48</f>
        <v>1118.17</v>
      </c>
      <c r="V48" s="3">
        <f>IF($A$5=1,IF($P48=0,0,ROUND(R48/$P48*$E48,2)),Credits!E48)+Credits!K48</f>
        <v>207.26</v>
      </c>
      <c r="W48" s="3">
        <f>IF($A$5=1,IF($P48=0,0,ROUND(S48/$P48*$E48,2)),Credits!F48)+Credits!L48</f>
        <v>534.63000000000011</v>
      </c>
      <c r="X48" s="3">
        <f>IF($A$5=1,IF($P48=0,0,ROUND(T48/$P48*$E48,2)),Credits!G48)+Credits!M48</f>
        <v>0</v>
      </c>
      <c r="Y48" s="3">
        <f t="shared" si="6"/>
        <v>1860.0600000000002</v>
      </c>
    </row>
    <row r="49" spans="1:25" ht="15" x14ac:dyDescent="0.25">
      <c r="A49" s="5">
        <v>129</v>
      </c>
      <c r="B49" s="5">
        <v>1</v>
      </c>
      <c r="C49" s="2" t="s">
        <v>45</v>
      </c>
      <c r="D49" s="3">
        <v>212536.08000000002</v>
      </c>
      <c r="E49" s="3">
        <v>211620.43</v>
      </c>
      <c r="F49" s="173">
        <v>739011.39</v>
      </c>
      <c r="G49" s="173">
        <v>97603.01</v>
      </c>
      <c r="H49" s="173">
        <v>0</v>
      </c>
      <c r="I49" s="173">
        <v>328442.55</v>
      </c>
      <c r="J49" s="174">
        <v>91004.21</v>
      </c>
      <c r="K49" s="173">
        <v>894242.94</v>
      </c>
      <c r="L49" s="173">
        <v>425136.31</v>
      </c>
      <c r="M49" s="175">
        <v>0</v>
      </c>
      <c r="N49" s="173">
        <v>0</v>
      </c>
      <c r="O49" s="152">
        <f t="shared" si="1"/>
        <v>2575440.4099999997</v>
      </c>
      <c r="P49" s="3">
        <f t="shared" si="7"/>
        <v>1738826.01</v>
      </c>
      <c r="Q49" s="3">
        <f t="shared" si="2"/>
        <v>328442.55</v>
      </c>
      <c r="R49" s="3">
        <f t="shared" si="3"/>
        <v>91004.21</v>
      </c>
      <c r="S49" s="3">
        <f t="shared" si="4"/>
        <v>1319379.25</v>
      </c>
      <c r="T49" s="3">
        <f t="shared" si="5"/>
        <v>0</v>
      </c>
      <c r="U49" s="3">
        <f>IF($A$5=1,IF($P49=0,0,ROUND(Q49/$P49*$E49,2)),Credits!D49)+Credits!J49</f>
        <v>16703.72</v>
      </c>
      <c r="V49" s="3">
        <f>IF($A$5=1,IF($P49=0,0,ROUND(R49/$P49*$E49,2)),Credits!E49)+Credits!K49</f>
        <v>4629.6899999999996</v>
      </c>
      <c r="W49" s="3">
        <f>IF($A$5=1,IF($P49=0,0,ROUND(S49/$P49*$E49,2)),Credits!F49)+Credits!L49</f>
        <v>66918.94</v>
      </c>
      <c r="X49" s="3">
        <f>IF($A$5=1,IF($P49=0,0,ROUND(T49/$P49*$E49,2)),Credits!G49)+Credits!M49</f>
        <v>0</v>
      </c>
      <c r="Y49" s="3">
        <f t="shared" si="6"/>
        <v>88252.35</v>
      </c>
    </row>
    <row r="50" spans="1:25" ht="15" x14ac:dyDescent="0.25">
      <c r="A50" s="5">
        <v>138</v>
      </c>
      <c r="B50" s="5">
        <v>1</v>
      </c>
      <c r="C50" s="2" t="s">
        <v>46</v>
      </c>
      <c r="D50" s="3">
        <v>373826.97000000003</v>
      </c>
      <c r="E50" s="3">
        <v>400985.89</v>
      </c>
      <c r="F50" s="173">
        <v>0</v>
      </c>
      <c r="G50" s="173">
        <v>280565.59000000003</v>
      </c>
      <c r="H50" s="173">
        <v>0</v>
      </c>
      <c r="I50" s="173">
        <v>1452829.86</v>
      </c>
      <c r="J50" s="174">
        <v>201507.08</v>
      </c>
      <c r="K50" s="173">
        <v>4388355.41</v>
      </c>
      <c r="L50" s="173">
        <v>0</v>
      </c>
      <c r="M50" s="175">
        <v>0</v>
      </c>
      <c r="N50" s="173">
        <v>434254</v>
      </c>
      <c r="O50" s="152">
        <f t="shared" si="1"/>
        <v>6757511.9400000004</v>
      </c>
      <c r="P50" s="3">
        <f t="shared" si="7"/>
        <v>6476946.3500000006</v>
      </c>
      <c r="Q50" s="3">
        <f t="shared" si="2"/>
        <v>1452829.86</v>
      </c>
      <c r="R50" s="3">
        <f t="shared" si="3"/>
        <v>201507.08</v>
      </c>
      <c r="S50" s="3">
        <f t="shared" si="4"/>
        <v>4388355.41</v>
      </c>
      <c r="T50" s="3">
        <f t="shared" si="5"/>
        <v>434254</v>
      </c>
      <c r="U50" s="3">
        <f>IF($A$5=1,IF($P50=0,0,ROUND(Q50/$P50*$E50,2)),Credits!D50)+Credits!J50</f>
        <v>12510.81</v>
      </c>
      <c r="V50" s="3">
        <f>IF($A$5=1,IF($P50=0,0,ROUND(R50/$P50*$E50,2)),Credits!E50)+Credits!K50</f>
        <v>1705.7</v>
      </c>
      <c r="W50" s="3">
        <f>IF($A$5=1,IF($P50=0,0,ROUND(S50/$P50*$E50,2)),Credits!F50)+Credits!L50</f>
        <v>36816.149999999994</v>
      </c>
      <c r="X50" s="3">
        <f>IF($A$5=1,IF($P50=0,0,ROUND(T50/$P50*$E50,2)),Credits!G50)+Credits!M50</f>
        <v>3642.55</v>
      </c>
      <c r="Y50" s="3">
        <f t="shared" si="6"/>
        <v>54675.21</v>
      </c>
    </row>
    <row r="51" spans="1:25" ht="15" x14ac:dyDescent="0.25">
      <c r="A51" s="5">
        <v>139</v>
      </c>
      <c r="B51" s="5">
        <v>1</v>
      </c>
      <c r="C51" s="2" t="s">
        <v>47</v>
      </c>
      <c r="D51" s="3">
        <v>128330.4</v>
      </c>
      <c r="E51" s="3">
        <v>139740.34</v>
      </c>
      <c r="F51" s="173">
        <v>0</v>
      </c>
      <c r="G51" s="173">
        <v>113920.89</v>
      </c>
      <c r="H51" s="173">
        <v>0</v>
      </c>
      <c r="I51" s="173">
        <v>358101.46</v>
      </c>
      <c r="J51" s="174">
        <v>61938.95</v>
      </c>
      <c r="K51" s="173">
        <v>1337283.3700000001</v>
      </c>
      <c r="L51" s="173">
        <v>0</v>
      </c>
      <c r="M51" s="175">
        <v>0</v>
      </c>
      <c r="N51" s="173">
        <v>0</v>
      </c>
      <c r="O51" s="152">
        <f t="shared" si="1"/>
        <v>1871244.6700000002</v>
      </c>
      <c r="P51" s="3">
        <f t="shared" si="7"/>
        <v>1757323.7800000003</v>
      </c>
      <c r="Q51" s="3">
        <f t="shared" si="2"/>
        <v>358101.46</v>
      </c>
      <c r="R51" s="3">
        <f t="shared" si="3"/>
        <v>61938.95</v>
      </c>
      <c r="S51" s="3">
        <f t="shared" si="4"/>
        <v>1337283.3700000001</v>
      </c>
      <c r="T51" s="3">
        <f t="shared" si="5"/>
        <v>0</v>
      </c>
      <c r="U51" s="3">
        <f>IF($A$5=1,IF($P51=0,0,ROUND(Q51/$P51*$E51,2)),Credits!D51)+Credits!J51</f>
        <v>5107.17</v>
      </c>
      <c r="V51" s="3">
        <f>IF($A$5=1,IF($P51=0,0,ROUND(R51/$P51*$E51,2)),Credits!E51)+Credits!K51</f>
        <v>883.54</v>
      </c>
      <c r="W51" s="3">
        <f>IF($A$5=1,IF($P51=0,0,ROUND(S51/$P51*$E51,2)),Credits!F51)+Credits!L51</f>
        <v>19072.52</v>
      </c>
      <c r="X51" s="3">
        <f>IF($A$5=1,IF($P51=0,0,ROUND(T51/$P51*$E51,2)),Credits!G51)+Credits!M51</f>
        <v>0</v>
      </c>
      <c r="Y51" s="3">
        <f t="shared" si="6"/>
        <v>25063.23</v>
      </c>
    </row>
    <row r="52" spans="1:25" ht="15" x14ac:dyDescent="0.25">
      <c r="A52" s="5">
        <v>146</v>
      </c>
      <c r="B52" s="5">
        <v>1</v>
      </c>
      <c r="C52" s="2" t="s">
        <v>48</v>
      </c>
      <c r="D52" s="3">
        <v>26161.210000000003</v>
      </c>
      <c r="E52" s="3">
        <v>32346.11</v>
      </c>
      <c r="F52" s="173">
        <v>558936.85</v>
      </c>
      <c r="G52" s="173">
        <v>47167.53</v>
      </c>
      <c r="H52" s="173">
        <v>0</v>
      </c>
      <c r="I52" s="173">
        <v>294190.15999999997</v>
      </c>
      <c r="J52" s="174">
        <v>57282.49</v>
      </c>
      <c r="K52" s="173">
        <v>0</v>
      </c>
      <c r="L52" s="173">
        <v>0</v>
      </c>
      <c r="M52" s="175">
        <v>0</v>
      </c>
      <c r="N52" s="173">
        <v>0</v>
      </c>
      <c r="O52" s="152">
        <f t="shared" si="1"/>
        <v>957577.03</v>
      </c>
      <c r="P52" s="3">
        <f t="shared" si="7"/>
        <v>351472.64999999997</v>
      </c>
      <c r="Q52" s="3">
        <f t="shared" si="2"/>
        <v>294190.15999999997</v>
      </c>
      <c r="R52" s="3">
        <f t="shared" si="3"/>
        <v>57282.49</v>
      </c>
      <c r="S52" s="3">
        <f t="shared" si="4"/>
        <v>0</v>
      </c>
      <c r="T52" s="3">
        <f t="shared" si="5"/>
        <v>0</v>
      </c>
      <c r="U52" s="3">
        <f>IF($A$5=1,IF($P52=0,0,ROUND(Q52/$P52*$E52,2)),Credits!D52)+Credits!J52</f>
        <v>7503.59</v>
      </c>
      <c r="V52" s="3">
        <f>IF($A$5=1,IF($P52=0,0,ROUND(R52/$P52*$E52,2)),Credits!E52)+Credits!K52</f>
        <v>1460.42</v>
      </c>
      <c r="W52" s="3">
        <f>IF($A$5=1,IF($P52=0,0,ROUND(S52/$P52*$E52,2)),Credits!F52)+Credits!L52</f>
        <v>0</v>
      </c>
      <c r="X52" s="3">
        <f>IF($A$5=1,IF($P52=0,0,ROUND(T52/$P52*$E52,2)),Credits!G52)+Credits!M52</f>
        <v>0</v>
      </c>
      <c r="Y52" s="3">
        <f t="shared" si="6"/>
        <v>8964.01</v>
      </c>
    </row>
    <row r="53" spans="1:25" ht="15" x14ac:dyDescent="0.25">
      <c r="A53" s="5">
        <v>150</v>
      </c>
      <c r="B53" s="5">
        <v>1</v>
      </c>
      <c r="C53" s="2" t="s">
        <v>49</v>
      </c>
      <c r="D53" s="3">
        <v>97858.06</v>
      </c>
      <c r="E53" s="3">
        <v>102674.26</v>
      </c>
      <c r="F53" s="173">
        <v>233809.56</v>
      </c>
      <c r="G53" s="173">
        <v>70197.17</v>
      </c>
      <c r="H53" s="173">
        <v>0</v>
      </c>
      <c r="I53" s="173">
        <v>227263.03</v>
      </c>
      <c r="J53" s="174">
        <v>31346.080000000002</v>
      </c>
      <c r="K53" s="173">
        <v>837152.07</v>
      </c>
      <c r="L53" s="173">
        <v>0</v>
      </c>
      <c r="M53" s="175">
        <v>0</v>
      </c>
      <c r="N53" s="173">
        <v>0</v>
      </c>
      <c r="O53" s="152">
        <f t="shared" si="1"/>
        <v>1399767.91</v>
      </c>
      <c r="P53" s="3">
        <f t="shared" si="7"/>
        <v>1095761.18</v>
      </c>
      <c r="Q53" s="3">
        <f t="shared" si="2"/>
        <v>227263.03</v>
      </c>
      <c r="R53" s="3">
        <f t="shared" si="3"/>
        <v>31346.080000000002</v>
      </c>
      <c r="S53" s="3">
        <f t="shared" si="4"/>
        <v>837152.07</v>
      </c>
      <c r="T53" s="3">
        <f t="shared" si="5"/>
        <v>0</v>
      </c>
      <c r="U53" s="3">
        <f>IF($A$5=1,IF($P53=0,0,ROUND(Q53/$P53*$E53,2)),Credits!D53)+Credits!J53</f>
        <v>4036.5899999999997</v>
      </c>
      <c r="V53" s="3">
        <f>IF($A$5=1,IF($P53=0,0,ROUND(R53/$P53*$E53,2)),Credits!E53)+Credits!K53</f>
        <v>556.90000000000009</v>
      </c>
      <c r="W53" s="3">
        <f>IF($A$5=1,IF($P53=0,0,ROUND(S53/$P53*$E53,2)),Credits!F53)+Credits!L53</f>
        <v>14869.17</v>
      </c>
      <c r="X53" s="3">
        <f>IF($A$5=1,IF($P53=0,0,ROUND(T53/$P53*$E53,2)),Credits!G53)+Credits!M53</f>
        <v>0</v>
      </c>
      <c r="Y53" s="3">
        <f t="shared" si="6"/>
        <v>19462.66</v>
      </c>
    </row>
    <row r="54" spans="1:25" ht="15" x14ac:dyDescent="0.25">
      <c r="A54" s="5">
        <v>152</v>
      </c>
      <c r="B54" s="5">
        <v>1</v>
      </c>
      <c r="C54" s="2" t="s">
        <v>50</v>
      </c>
      <c r="D54" s="3">
        <v>1458415.6199999996</v>
      </c>
      <c r="E54" s="3">
        <v>1698735.11</v>
      </c>
      <c r="F54" s="173">
        <v>4441679.2</v>
      </c>
      <c r="G54" s="173">
        <v>665660.11</v>
      </c>
      <c r="H54" s="173">
        <v>0</v>
      </c>
      <c r="I54" s="173">
        <v>1853170.33</v>
      </c>
      <c r="J54" s="174">
        <v>527353.30000000005</v>
      </c>
      <c r="K54" s="173">
        <v>5732081.29</v>
      </c>
      <c r="L54" s="173">
        <v>0</v>
      </c>
      <c r="M54" s="175">
        <v>0</v>
      </c>
      <c r="N54" s="173">
        <v>1068207.4099999999</v>
      </c>
      <c r="O54" s="152">
        <f t="shared" si="1"/>
        <v>14288151.640000001</v>
      </c>
      <c r="P54" s="3">
        <f t="shared" si="7"/>
        <v>9180812.3300000001</v>
      </c>
      <c r="Q54" s="3">
        <f t="shared" si="2"/>
        <v>1853170.33</v>
      </c>
      <c r="R54" s="3">
        <f t="shared" si="3"/>
        <v>527353.30000000005</v>
      </c>
      <c r="S54" s="3">
        <f t="shared" si="4"/>
        <v>5732081.29</v>
      </c>
      <c r="T54" s="3">
        <f t="shared" si="5"/>
        <v>1068207.4099999999</v>
      </c>
      <c r="U54" s="3">
        <f>IF($A$5=1,IF($P54=0,0,ROUND(Q54/$P54*$E54,2)),Credits!D54)+Credits!J54</f>
        <v>262216.06</v>
      </c>
      <c r="V54" s="3">
        <f>IF($A$5=1,IF($P54=0,0,ROUND(R54/$P54*$E54,2)),Credits!E54)+Credits!K54</f>
        <v>74618.75</v>
      </c>
      <c r="W54" s="3">
        <f>IF($A$5=1,IF($P54=0,0,ROUND(S54/$P54*$E54,2)),Credits!F54)+Credits!L54</f>
        <v>807033.97000000009</v>
      </c>
      <c r="X54" s="3">
        <f>IF($A$5=1,IF($P54=0,0,ROUND(T54/$P54*$E54,2)),Credits!G54)+Credits!M54</f>
        <v>150404.6</v>
      </c>
      <c r="Y54" s="3">
        <f t="shared" si="6"/>
        <v>1294273.3800000001</v>
      </c>
    </row>
    <row r="55" spans="1:25" ht="15" x14ac:dyDescent="0.25">
      <c r="A55" s="5">
        <v>162</v>
      </c>
      <c r="B55" s="5">
        <v>1</v>
      </c>
      <c r="C55" s="2" t="s">
        <v>51</v>
      </c>
      <c r="D55" s="3">
        <v>181663.51999999996</v>
      </c>
      <c r="E55" s="3">
        <v>208752.94</v>
      </c>
      <c r="F55" s="173">
        <v>0</v>
      </c>
      <c r="G55" s="173">
        <v>102666</v>
      </c>
      <c r="H55" s="173">
        <v>0</v>
      </c>
      <c r="I55" s="173">
        <v>447541</v>
      </c>
      <c r="J55" s="174">
        <v>58459</v>
      </c>
      <c r="K55" s="173">
        <v>1030032</v>
      </c>
      <c r="L55" s="173">
        <v>0</v>
      </c>
      <c r="M55" s="175">
        <v>0</v>
      </c>
      <c r="N55" s="173">
        <v>0</v>
      </c>
      <c r="O55" s="152">
        <f t="shared" si="1"/>
        <v>1638698</v>
      </c>
      <c r="P55" s="3">
        <f t="shared" si="7"/>
        <v>1536032</v>
      </c>
      <c r="Q55" s="3">
        <f t="shared" si="2"/>
        <v>447541</v>
      </c>
      <c r="R55" s="3">
        <f t="shared" si="3"/>
        <v>58459</v>
      </c>
      <c r="S55" s="3">
        <f t="shared" si="4"/>
        <v>1030032</v>
      </c>
      <c r="T55" s="3">
        <f t="shared" si="5"/>
        <v>0</v>
      </c>
      <c r="U55" s="3">
        <f>IF($A$5=1,IF($P55=0,0,ROUND(Q55/$P55*$E55,2)),Credits!D55)+Credits!J55</f>
        <v>25644.84</v>
      </c>
      <c r="V55" s="3">
        <f>IF($A$5=1,IF($P55=0,0,ROUND(R55/$P55*$E55,2)),Credits!E55)+Credits!K55</f>
        <v>3350.09</v>
      </c>
      <c r="W55" s="3">
        <f>IF($A$5=1,IF($P55=0,0,ROUND(S55/$P55*$E55,2)),Credits!F55)+Credits!L55</f>
        <v>58900.5</v>
      </c>
      <c r="X55" s="3">
        <f>IF($A$5=1,IF($P55=0,0,ROUND(T55/$P55*$E55,2)),Credits!G55)+Credits!M55</f>
        <v>0</v>
      </c>
      <c r="Y55" s="3">
        <f t="shared" si="6"/>
        <v>87895.43</v>
      </c>
    </row>
    <row r="56" spans="1:25" ht="15" x14ac:dyDescent="0.25">
      <c r="A56" s="5">
        <v>166</v>
      </c>
      <c r="B56" s="5">
        <v>1</v>
      </c>
      <c r="C56" s="2" t="s">
        <v>52</v>
      </c>
      <c r="D56" s="3">
        <v>34905.79</v>
      </c>
      <c r="E56" s="3">
        <v>14761.060000000003</v>
      </c>
      <c r="F56" s="173">
        <v>467194</v>
      </c>
      <c r="G56" s="173">
        <v>52549.37</v>
      </c>
      <c r="H56" s="173">
        <v>0</v>
      </c>
      <c r="I56" s="173">
        <v>0</v>
      </c>
      <c r="J56" s="174">
        <v>0</v>
      </c>
      <c r="K56" s="173">
        <v>213867.95</v>
      </c>
      <c r="L56" s="173">
        <v>213645.02</v>
      </c>
      <c r="M56" s="175">
        <v>0</v>
      </c>
      <c r="N56" s="173">
        <v>0</v>
      </c>
      <c r="O56" s="152">
        <f t="shared" si="1"/>
        <v>947256.34000000008</v>
      </c>
      <c r="P56" s="3">
        <f t="shared" si="7"/>
        <v>427512.97</v>
      </c>
      <c r="Q56" s="3">
        <f t="shared" si="2"/>
        <v>0</v>
      </c>
      <c r="R56" s="3">
        <f t="shared" si="3"/>
        <v>0</v>
      </c>
      <c r="S56" s="3">
        <f t="shared" si="4"/>
        <v>427512.97</v>
      </c>
      <c r="T56" s="3">
        <f t="shared" si="5"/>
        <v>0</v>
      </c>
      <c r="U56" s="3">
        <f>IF($A$5=1,IF($P56=0,0,ROUND(Q56/$P56*$E56,2)),Credits!D56)+Credits!J56</f>
        <v>24694.49</v>
      </c>
      <c r="V56" s="3">
        <f>IF($A$5=1,IF($P56=0,0,ROUND(R56/$P56*$E56,2)),Credits!E56)+Credits!K56</f>
        <v>0</v>
      </c>
      <c r="W56" s="3">
        <f>IF($A$5=1,IF($P56=0,0,ROUND(S56/$P56*$E56,2)),Credits!F56)+Credits!L56</f>
        <v>2820.5299999999997</v>
      </c>
      <c r="X56" s="3">
        <f>IF($A$5=1,IF($P56=0,0,ROUND(T56/$P56*$E56,2)),Credits!G56)+Credits!M56</f>
        <v>0</v>
      </c>
      <c r="Y56" s="3">
        <f t="shared" si="6"/>
        <v>27515.02</v>
      </c>
    </row>
    <row r="57" spans="1:25" ht="15" x14ac:dyDescent="0.25">
      <c r="A57" s="5">
        <v>173</v>
      </c>
      <c r="B57" s="5">
        <v>1</v>
      </c>
      <c r="C57" s="2" t="s">
        <v>53</v>
      </c>
      <c r="D57" s="3">
        <v>37847.65</v>
      </c>
      <c r="E57" s="3">
        <v>36218.39</v>
      </c>
      <c r="F57" s="173">
        <v>547545</v>
      </c>
      <c r="G57" s="173">
        <v>12502</v>
      </c>
      <c r="H57" s="173">
        <v>0</v>
      </c>
      <c r="I57" s="173">
        <v>225357</v>
      </c>
      <c r="J57" s="174">
        <v>47044</v>
      </c>
      <c r="K57" s="173">
        <v>0</v>
      </c>
      <c r="L57" s="173">
        <v>0</v>
      </c>
      <c r="M57" s="175">
        <v>0</v>
      </c>
      <c r="N57" s="173">
        <v>0</v>
      </c>
      <c r="O57" s="152">
        <f t="shared" si="1"/>
        <v>832448</v>
      </c>
      <c r="P57" s="3">
        <f t="shared" si="7"/>
        <v>272401</v>
      </c>
      <c r="Q57" s="3">
        <f t="shared" si="2"/>
        <v>225357</v>
      </c>
      <c r="R57" s="3">
        <f t="shared" si="3"/>
        <v>47044</v>
      </c>
      <c r="S57" s="3">
        <f t="shared" si="4"/>
        <v>0</v>
      </c>
      <c r="T57" s="3">
        <f t="shared" si="5"/>
        <v>0</v>
      </c>
      <c r="U57" s="3">
        <f>IF($A$5=1,IF($P57=0,0,ROUND(Q57/$P57*$E57,2)),Credits!D57)+Credits!J57</f>
        <v>20218.07</v>
      </c>
      <c r="V57" s="3">
        <f>IF($A$5=1,IF($P57=0,0,ROUND(R57/$P57*$E57,2)),Credits!E57)+Credits!K57</f>
        <v>4223.97</v>
      </c>
      <c r="W57" s="3">
        <f>IF($A$5=1,IF($P57=0,0,ROUND(S57/$P57*$E57,2)),Credits!F57)+Credits!L57</f>
        <v>0</v>
      </c>
      <c r="X57" s="3">
        <f>IF($A$5=1,IF($P57=0,0,ROUND(T57/$P57*$E57,2)),Credits!G57)+Credits!M57</f>
        <v>0</v>
      </c>
      <c r="Y57" s="3">
        <f t="shared" si="6"/>
        <v>24442.04</v>
      </c>
    </row>
    <row r="58" spans="1:25" ht="15" x14ac:dyDescent="0.25">
      <c r="A58" s="5">
        <v>177</v>
      </c>
      <c r="B58" s="5">
        <v>1</v>
      </c>
      <c r="C58" s="2" t="s">
        <v>54</v>
      </c>
      <c r="D58" s="3">
        <v>149089.02000000002</v>
      </c>
      <c r="E58" s="3">
        <v>143234.79999999999</v>
      </c>
      <c r="F58" s="173">
        <v>1083178</v>
      </c>
      <c r="G58" s="173">
        <v>41732</v>
      </c>
      <c r="H58" s="173">
        <v>0</v>
      </c>
      <c r="I58" s="173">
        <v>484619</v>
      </c>
      <c r="J58" s="174">
        <v>76114</v>
      </c>
      <c r="K58" s="173">
        <v>1051164</v>
      </c>
      <c r="L58" s="173">
        <v>0</v>
      </c>
      <c r="M58" s="175">
        <v>0</v>
      </c>
      <c r="N58" s="173">
        <v>0</v>
      </c>
      <c r="O58" s="152">
        <f t="shared" si="1"/>
        <v>2736807</v>
      </c>
      <c r="P58" s="3">
        <f t="shared" si="7"/>
        <v>1611897</v>
      </c>
      <c r="Q58" s="3">
        <f t="shared" si="2"/>
        <v>484619</v>
      </c>
      <c r="R58" s="3">
        <f t="shared" si="3"/>
        <v>76114</v>
      </c>
      <c r="S58" s="3">
        <f t="shared" si="4"/>
        <v>1051164</v>
      </c>
      <c r="T58" s="3">
        <f t="shared" si="5"/>
        <v>0</v>
      </c>
      <c r="U58" s="3">
        <f>IF($A$5=1,IF($P58=0,0,ROUND(Q58/$P58*$E58,2)),Credits!D58)+Credits!J58</f>
        <v>16454.439999999999</v>
      </c>
      <c r="V58" s="3">
        <f>IF($A$5=1,IF($P58=0,0,ROUND(R58/$P58*$E58,2)),Credits!E58)+Credits!K58</f>
        <v>2586.9499999999998</v>
      </c>
      <c r="W58" s="3">
        <f>IF($A$5=1,IF($P58=0,0,ROUND(S58/$P58*$E58,2)),Credits!F58)+Credits!L58</f>
        <v>35697.31</v>
      </c>
      <c r="X58" s="3">
        <f>IF($A$5=1,IF($P58=0,0,ROUND(T58/$P58*$E58,2)),Credits!G58)+Credits!M58</f>
        <v>0</v>
      </c>
      <c r="Y58" s="3">
        <f t="shared" si="6"/>
        <v>54738.7</v>
      </c>
    </row>
    <row r="59" spans="1:25" ht="15" x14ac:dyDescent="0.25">
      <c r="A59" s="5">
        <v>181</v>
      </c>
      <c r="B59" s="5">
        <v>1</v>
      </c>
      <c r="C59" s="2" t="s">
        <v>55</v>
      </c>
      <c r="D59" s="3">
        <v>747112.66</v>
      </c>
      <c r="E59" s="3">
        <v>779462.17</v>
      </c>
      <c r="F59" s="173">
        <v>2868106.13</v>
      </c>
      <c r="G59" s="173">
        <v>882213.05</v>
      </c>
      <c r="H59" s="173">
        <v>0</v>
      </c>
      <c r="I59" s="173">
        <v>3625519.6</v>
      </c>
      <c r="J59" s="174">
        <v>600149.41</v>
      </c>
      <c r="K59" s="173">
        <v>6286001.3200000003</v>
      </c>
      <c r="L59" s="173">
        <v>638329.25</v>
      </c>
      <c r="M59" s="175">
        <v>0</v>
      </c>
      <c r="N59" s="173">
        <v>1945561</v>
      </c>
      <c r="O59" s="152">
        <f t="shared" si="1"/>
        <v>16845879.759999998</v>
      </c>
      <c r="P59" s="3">
        <f t="shared" si="7"/>
        <v>13095560.58</v>
      </c>
      <c r="Q59" s="3">
        <f t="shared" si="2"/>
        <v>3625519.6</v>
      </c>
      <c r="R59" s="3">
        <f t="shared" si="3"/>
        <v>600149.41</v>
      </c>
      <c r="S59" s="3">
        <f t="shared" si="4"/>
        <v>6924330.5700000003</v>
      </c>
      <c r="T59" s="3">
        <f t="shared" si="5"/>
        <v>1945561</v>
      </c>
      <c r="U59" s="3">
        <f>IF($A$5=1,IF($P59=0,0,ROUND(Q59/$P59*$E59,2)),Credits!D59)+Credits!J59</f>
        <v>18747.14</v>
      </c>
      <c r="V59" s="3">
        <f>IF($A$5=1,IF($P59=0,0,ROUND(R59/$P59*$E59,2)),Credits!E59)+Credits!K59</f>
        <v>3103.1200000000003</v>
      </c>
      <c r="W59" s="3">
        <f>IF($A$5=1,IF($P59=0,0,ROUND(S59/$P59*$E59,2)),Credits!F59)+Credits!L59</f>
        <v>35621.51</v>
      </c>
      <c r="X59" s="3">
        <f>IF($A$5=1,IF($P59=0,0,ROUND(T59/$P59*$E59,2)),Credits!G59)+Credits!M59</f>
        <v>10008.76</v>
      </c>
      <c r="Y59" s="3">
        <f t="shared" si="6"/>
        <v>67480.53</v>
      </c>
    </row>
    <row r="60" spans="1:25" ht="15" x14ac:dyDescent="0.25">
      <c r="A60" s="5">
        <v>182</v>
      </c>
      <c r="B60" s="5">
        <v>1</v>
      </c>
      <c r="C60" s="2" t="s">
        <v>56</v>
      </c>
      <c r="D60" s="3">
        <v>302045.78999999998</v>
      </c>
      <c r="E60" s="3">
        <v>123384.02</v>
      </c>
      <c r="F60" s="173">
        <v>647152.22</v>
      </c>
      <c r="G60" s="173">
        <v>161778.38</v>
      </c>
      <c r="H60" s="173">
        <v>0</v>
      </c>
      <c r="I60" s="173">
        <v>502207.41</v>
      </c>
      <c r="J60" s="174">
        <v>3565.76</v>
      </c>
      <c r="K60" s="173">
        <v>1683644.53</v>
      </c>
      <c r="L60" s="173">
        <v>0</v>
      </c>
      <c r="M60" s="175">
        <v>0</v>
      </c>
      <c r="N60" s="173">
        <v>712541</v>
      </c>
      <c r="O60" s="152">
        <f t="shared" si="1"/>
        <v>3710889.3</v>
      </c>
      <c r="P60" s="3">
        <f t="shared" si="7"/>
        <v>2901958.7</v>
      </c>
      <c r="Q60" s="3">
        <f t="shared" si="2"/>
        <v>502207.41</v>
      </c>
      <c r="R60" s="3">
        <f t="shared" si="3"/>
        <v>3565.76</v>
      </c>
      <c r="S60" s="3">
        <f t="shared" si="4"/>
        <v>1683644.53</v>
      </c>
      <c r="T60" s="3">
        <f t="shared" si="5"/>
        <v>712541</v>
      </c>
      <c r="U60" s="3">
        <f>IF($A$5=1,IF($P60=0,0,ROUND(Q60/$P60*$E60,2)),Credits!D60)+Credits!J60</f>
        <v>36726.9</v>
      </c>
      <c r="V60" s="3">
        <f>IF($A$5=1,IF($P60=0,0,ROUND(R60/$P60*$E60,2)),Credits!E60)+Credits!K60</f>
        <v>269.01</v>
      </c>
      <c r="W60" s="3">
        <f>IF($A$5=1,IF($P60=0,0,ROUND(S60/$P60*$E60,2)),Credits!F60)+Credits!L60</f>
        <v>126555.23999999999</v>
      </c>
      <c r="X60" s="3">
        <f>IF($A$5=1,IF($P60=0,0,ROUND(T60/$P60*$E60,2)),Credits!G60)+Credits!M60</f>
        <v>52067.729999999996</v>
      </c>
      <c r="Y60" s="3">
        <f t="shared" si="6"/>
        <v>215618.88</v>
      </c>
    </row>
    <row r="61" spans="1:25" ht="15" x14ac:dyDescent="0.25">
      <c r="A61" s="5">
        <v>186</v>
      </c>
      <c r="B61" s="5">
        <v>1</v>
      </c>
      <c r="C61" s="2" t="s">
        <v>57</v>
      </c>
      <c r="D61" s="3">
        <v>75558.650000000009</v>
      </c>
      <c r="E61" s="3">
        <v>81503.740000000005</v>
      </c>
      <c r="F61" s="173">
        <v>19941.05</v>
      </c>
      <c r="G61" s="173">
        <v>350942.09</v>
      </c>
      <c r="H61" s="173">
        <v>0</v>
      </c>
      <c r="I61" s="173">
        <v>558100.18000000005</v>
      </c>
      <c r="J61" s="174">
        <v>180241.19</v>
      </c>
      <c r="K61" s="173">
        <v>3375285.36</v>
      </c>
      <c r="L61" s="173">
        <v>0</v>
      </c>
      <c r="M61" s="175">
        <v>0</v>
      </c>
      <c r="N61" s="173">
        <v>0</v>
      </c>
      <c r="O61" s="152">
        <f t="shared" si="1"/>
        <v>4484509.87</v>
      </c>
      <c r="P61" s="3">
        <f t="shared" si="7"/>
        <v>4113626.73</v>
      </c>
      <c r="Q61" s="3">
        <f t="shared" si="2"/>
        <v>558100.18000000005</v>
      </c>
      <c r="R61" s="3">
        <f t="shared" si="3"/>
        <v>180241.19</v>
      </c>
      <c r="S61" s="3">
        <f t="shared" si="4"/>
        <v>3375285.36</v>
      </c>
      <c r="T61" s="3">
        <f t="shared" si="5"/>
        <v>0</v>
      </c>
      <c r="U61" s="3">
        <f>IF($A$5=1,IF($P61=0,0,ROUND(Q61/$P61*$E61,2)),Credits!D61)+Credits!J61</f>
        <v>482.14000000000004</v>
      </c>
      <c r="V61" s="3">
        <f>IF($A$5=1,IF($P61=0,0,ROUND(R61/$P61*$E61,2)),Credits!E61)+Credits!K61</f>
        <v>155.86000000000001</v>
      </c>
      <c r="W61" s="3">
        <f>IF($A$5=1,IF($P61=0,0,ROUND(S61/$P61*$E61,2)),Credits!F61)+Credits!L61</f>
        <v>2915.7999999999997</v>
      </c>
      <c r="X61" s="3">
        <f>IF($A$5=1,IF($P61=0,0,ROUND(T61/$P61*$E61,2)),Credits!G61)+Credits!M61</f>
        <v>0</v>
      </c>
      <c r="Y61" s="3">
        <f t="shared" si="6"/>
        <v>3553.7999999999997</v>
      </c>
    </row>
    <row r="62" spans="1:25" ht="15" x14ac:dyDescent="0.25">
      <c r="A62" s="5">
        <v>191</v>
      </c>
      <c r="B62" s="5">
        <v>1</v>
      </c>
      <c r="C62" s="2" t="s">
        <v>58</v>
      </c>
      <c r="D62" s="3">
        <v>691397.69</v>
      </c>
      <c r="E62" s="3">
        <v>723538.93</v>
      </c>
      <c r="F62" s="173">
        <v>17904125</v>
      </c>
      <c r="G62" s="173">
        <v>1042726</v>
      </c>
      <c r="H62" s="173">
        <v>0</v>
      </c>
      <c r="I62" s="173">
        <v>3981163</v>
      </c>
      <c r="J62" s="174">
        <v>1006163</v>
      </c>
      <c r="K62" s="173">
        <v>4224863</v>
      </c>
      <c r="L62" s="173">
        <v>3129631</v>
      </c>
      <c r="M62" s="175">
        <v>0</v>
      </c>
      <c r="N62" s="173">
        <v>1661520</v>
      </c>
      <c r="O62" s="152">
        <f t="shared" si="1"/>
        <v>32950191</v>
      </c>
      <c r="P62" s="3">
        <f t="shared" si="7"/>
        <v>14003340</v>
      </c>
      <c r="Q62" s="3">
        <f t="shared" si="2"/>
        <v>3981163</v>
      </c>
      <c r="R62" s="3">
        <f t="shared" si="3"/>
        <v>1006163</v>
      </c>
      <c r="S62" s="3">
        <f t="shared" si="4"/>
        <v>7354494</v>
      </c>
      <c r="T62" s="3">
        <f t="shared" si="5"/>
        <v>1661520</v>
      </c>
      <c r="U62" s="3">
        <f>IF($A$5=1,IF($P62=0,0,ROUND(Q62/$P62*$E62,2)),Credits!D62)+Credits!J62</f>
        <v>41.8</v>
      </c>
      <c r="V62" s="3">
        <f>IF($A$5=1,IF($P62=0,0,ROUND(R62/$P62*$E62,2)),Credits!E62)+Credits!K62</f>
        <v>10.56</v>
      </c>
      <c r="W62" s="3">
        <f>IF($A$5=1,IF($P62=0,0,ROUND(S62/$P62*$E62,2)),Credits!F62)+Credits!L62</f>
        <v>77.2</v>
      </c>
      <c r="X62" s="3">
        <f>IF($A$5=1,IF($P62=0,0,ROUND(T62/$P62*$E62,2)),Credits!G62)+Credits!M62</f>
        <v>17.440000000000001</v>
      </c>
      <c r="Y62" s="3">
        <f t="shared" si="6"/>
        <v>147</v>
      </c>
    </row>
    <row r="63" spans="1:25" ht="15" x14ac:dyDescent="0.25">
      <c r="A63" s="5">
        <v>192</v>
      </c>
      <c r="B63" s="5">
        <v>1</v>
      </c>
      <c r="C63" s="2" t="s">
        <v>59</v>
      </c>
      <c r="D63" s="3">
        <v>702818.90999999992</v>
      </c>
      <c r="E63" s="3">
        <v>733846.39</v>
      </c>
      <c r="F63" s="173">
        <v>3260543</v>
      </c>
      <c r="G63" s="173">
        <v>592123</v>
      </c>
      <c r="H63" s="173">
        <v>0</v>
      </c>
      <c r="I63" s="173">
        <v>2165197</v>
      </c>
      <c r="J63" s="174">
        <v>455640</v>
      </c>
      <c r="K63" s="173">
        <v>12172528</v>
      </c>
      <c r="L63" s="173">
        <v>0</v>
      </c>
      <c r="M63" s="175">
        <v>0</v>
      </c>
      <c r="N63" s="173">
        <v>369644</v>
      </c>
      <c r="O63" s="152">
        <f t="shared" si="1"/>
        <v>19015675</v>
      </c>
      <c r="P63" s="3">
        <f t="shared" si="7"/>
        <v>15163009</v>
      </c>
      <c r="Q63" s="3">
        <f t="shared" si="2"/>
        <v>2165197</v>
      </c>
      <c r="R63" s="3">
        <f t="shared" si="3"/>
        <v>455640</v>
      </c>
      <c r="S63" s="3">
        <f t="shared" si="4"/>
        <v>12172528</v>
      </c>
      <c r="T63" s="3">
        <f t="shared" si="5"/>
        <v>369644</v>
      </c>
      <c r="U63" s="3">
        <f>IF($A$5=1,IF($P63=0,0,ROUND(Q63/$P63*$E63,2)),Credits!D63)+Credits!J63</f>
        <v>9523.49</v>
      </c>
      <c r="V63" s="3">
        <f>IF($A$5=1,IF($P63=0,0,ROUND(R63/$P63*$E63,2)),Credits!E63)+Credits!K63</f>
        <v>2004.0300000000002</v>
      </c>
      <c r="W63" s="3">
        <f>IF($A$5=1,IF($P63=0,0,ROUND(S63/$P63*$E63,2)),Credits!F63)+Credits!L63</f>
        <v>53537.63</v>
      </c>
      <c r="X63" s="3">
        <f>IF($A$5=1,IF($P63=0,0,ROUND(T63/$P63*$E63,2)),Credits!G63)+Credits!M63</f>
        <v>1625.41</v>
      </c>
      <c r="Y63" s="3">
        <f t="shared" si="6"/>
        <v>66690.559999999998</v>
      </c>
    </row>
    <row r="64" spans="1:25" ht="15" x14ac:dyDescent="0.25">
      <c r="A64" s="5">
        <v>194</v>
      </c>
      <c r="B64" s="5">
        <v>1</v>
      </c>
      <c r="C64" s="2" t="s">
        <v>60</v>
      </c>
      <c r="D64" s="3">
        <v>465401.29000000004</v>
      </c>
      <c r="E64" s="3">
        <v>587926.18999999994</v>
      </c>
      <c r="F64" s="173">
        <v>10692870</v>
      </c>
      <c r="G64" s="173">
        <v>1194953</v>
      </c>
      <c r="H64" s="173">
        <v>0</v>
      </c>
      <c r="I64" s="173">
        <v>3394496</v>
      </c>
      <c r="J64" s="174">
        <v>1119156</v>
      </c>
      <c r="K64" s="173">
        <v>15114658</v>
      </c>
      <c r="L64" s="173">
        <v>658450</v>
      </c>
      <c r="M64" s="175">
        <v>0</v>
      </c>
      <c r="N64" s="173">
        <v>0</v>
      </c>
      <c r="O64" s="152">
        <f t="shared" si="1"/>
        <v>32174583</v>
      </c>
      <c r="P64" s="3">
        <f t="shared" si="7"/>
        <v>20286760</v>
      </c>
      <c r="Q64" s="3">
        <f t="shared" si="2"/>
        <v>3394496</v>
      </c>
      <c r="R64" s="3">
        <f t="shared" si="3"/>
        <v>1119156</v>
      </c>
      <c r="S64" s="3">
        <f t="shared" si="4"/>
        <v>15773108</v>
      </c>
      <c r="T64" s="3">
        <f t="shared" si="5"/>
        <v>0</v>
      </c>
      <c r="U64" s="3">
        <f>IF($A$5=1,IF($P64=0,0,ROUND(Q64/$P64*$E64,2)),Credits!D64)+Credits!J64</f>
        <v>2710.6000000000004</v>
      </c>
      <c r="V64" s="3">
        <f>IF($A$5=1,IF($P64=0,0,ROUND(R64/$P64*$E64,2)),Credits!E64)+Credits!K64</f>
        <v>893.91999999999985</v>
      </c>
      <c r="W64" s="3">
        <f>IF($A$5=1,IF($P64=0,0,ROUND(S64/$P64*$E64,2)),Credits!F64)+Credits!L64</f>
        <v>12596.31</v>
      </c>
      <c r="X64" s="3">
        <f>IF($A$5=1,IF($P64=0,0,ROUND(T64/$P64*$E64,2)),Credits!G64)+Credits!M64</f>
        <v>0</v>
      </c>
      <c r="Y64" s="3">
        <f t="shared" si="6"/>
        <v>16200.83</v>
      </c>
    </row>
    <row r="65" spans="1:25" ht="15" x14ac:dyDescent="0.25">
      <c r="A65" s="5">
        <v>195</v>
      </c>
      <c r="B65" s="5">
        <v>1</v>
      </c>
      <c r="C65" s="2" t="s">
        <v>61</v>
      </c>
      <c r="D65" s="3">
        <v>43471.21</v>
      </c>
      <c r="E65" s="3">
        <v>46326.390000000007</v>
      </c>
      <c r="F65" s="173">
        <v>172498</v>
      </c>
      <c r="G65" s="173">
        <v>92614</v>
      </c>
      <c r="H65" s="173">
        <v>0</v>
      </c>
      <c r="I65" s="173">
        <v>184918</v>
      </c>
      <c r="J65" s="174">
        <v>34124</v>
      </c>
      <c r="K65" s="173">
        <v>590255</v>
      </c>
      <c r="L65" s="173">
        <v>0</v>
      </c>
      <c r="M65" s="175">
        <v>0</v>
      </c>
      <c r="N65" s="173">
        <v>0</v>
      </c>
      <c r="O65" s="152">
        <f t="shared" si="1"/>
        <v>1074409</v>
      </c>
      <c r="P65" s="3">
        <f t="shared" si="7"/>
        <v>809297</v>
      </c>
      <c r="Q65" s="3">
        <f t="shared" si="2"/>
        <v>184918</v>
      </c>
      <c r="R65" s="3">
        <f t="shared" si="3"/>
        <v>34124</v>
      </c>
      <c r="S65" s="3">
        <f t="shared" si="4"/>
        <v>590255</v>
      </c>
      <c r="T65" s="3">
        <f t="shared" si="5"/>
        <v>0</v>
      </c>
      <c r="U65" s="3">
        <f>IF($A$5=1,IF($P65=0,0,ROUND(Q65/$P65*$E65,2)),Credits!D65)+Credits!J65</f>
        <v>3330.75</v>
      </c>
      <c r="V65" s="3">
        <f>IF($A$5=1,IF($P65=0,0,ROUND(R65/$P65*$E65,2)),Credits!E65)+Credits!K65</f>
        <v>614.6400000000001</v>
      </c>
      <c r="W65" s="3">
        <f>IF($A$5=1,IF($P65=0,0,ROUND(S65/$P65*$E65,2)),Credits!F65)+Credits!L65</f>
        <v>10631.330000000002</v>
      </c>
      <c r="X65" s="3">
        <f>IF($A$5=1,IF($P65=0,0,ROUND(T65/$P65*$E65,2)),Credits!G65)+Credits!M65</f>
        <v>0</v>
      </c>
      <c r="Y65" s="3">
        <f t="shared" si="6"/>
        <v>14576.720000000001</v>
      </c>
    </row>
    <row r="66" spans="1:25" ht="15" x14ac:dyDescent="0.25">
      <c r="A66" s="5">
        <v>196</v>
      </c>
      <c r="B66" s="5">
        <v>1</v>
      </c>
      <c r="C66" s="2" t="s">
        <v>62</v>
      </c>
      <c r="D66" s="3">
        <v>1746010.0599999998</v>
      </c>
      <c r="E66" s="3">
        <v>1906729.5399999998</v>
      </c>
      <c r="F66" s="173">
        <v>30592503</v>
      </c>
      <c r="G66" s="173">
        <v>3261441</v>
      </c>
      <c r="H66" s="173">
        <v>1350616</v>
      </c>
      <c r="I66" s="173">
        <v>19472825</v>
      </c>
      <c r="J66" s="174">
        <v>1648097</v>
      </c>
      <c r="K66" s="173">
        <v>16073535</v>
      </c>
      <c r="L66" s="173">
        <v>439544</v>
      </c>
      <c r="M66" s="175">
        <v>0</v>
      </c>
      <c r="N66" s="173">
        <v>3011036</v>
      </c>
      <c r="O66" s="152">
        <f t="shared" si="1"/>
        <v>75849597</v>
      </c>
      <c r="P66" s="3">
        <f t="shared" si="7"/>
        <v>41995653</v>
      </c>
      <c r="Q66" s="3">
        <f t="shared" si="2"/>
        <v>20823441</v>
      </c>
      <c r="R66" s="3">
        <f t="shared" si="3"/>
        <v>1648097</v>
      </c>
      <c r="S66" s="3">
        <f t="shared" si="4"/>
        <v>16513079</v>
      </c>
      <c r="T66" s="3">
        <f t="shared" si="5"/>
        <v>3011036</v>
      </c>
      <c r="U66" s="3">
        <f>IF($A$5=1,IF($P66=0,0,ROUND(Q66/$P66*$E66,2)),Credits!D66)+Credits!J66</f>
        <v>3599.37</v>
      </c>
      <c r="V66" s="3">
        <f>IF($A$5=1,IF($P66=0,0,ROUND(R66/$P66*$E66,2)),Credits!E66)+Credits!K66</f>
        <v>284.82</v>
      </c>
      <c r="W66" s="3">
        <f>IF($A$5=1,IF($P66=0,0,ROUND(S66/$P66*$E66,2)),Credits!F66)+Credits!L66</f>
        <v>2854.35</v>
      </c>
      <c r="X66" s="3">
        <f>IF($A$5=1,IF($P66=0,0,ROUND(T66/$P66*$E66,2)),Credits!G66)+Credits!M66</f>
        <v>520.44000000000005</v>
      </c>
      <c r="Y66" s="3">
        <f t="shared" si="6"/>
        <v>7258.98</v>
      </c>
    </row>
    <row r="67" spans="1:25" ht="15" x14ac:dyDescent="0.25">
      <c r="A67" s="5">
        <v>197</v>
      </c>
      <c r="B67" s="5">
        <v>1</v>
      </c>
      <c r="C67" s="2" t="s">
        <v>63</v>
      </c>
      <c r="D67" s="3">
        <v>362083.55</v>
      </c>
      <c r="E67" s="3">
        <v>379327.85</v>
      </c>
      <c r="F67" s="173">
        <v>8645274</v>
      </c>
      <c r="G67" s="173">
        <v>317844</v>
      </c>
      <c r="H67" s="173">
        <v>490000</v>
      </c>
      <c r="I67" s="173">
        <v>2705611</v>
      </c>
      <c r="J67" s="174">
        <v>777487</v>
      </c>
      <c r="K67" s="173">
        <v>7629027</v>
      </c>
      <c r="L67" s="173">
        <v>0</v>
      </c>
      <c r="M67" s="175">
        <v>0</v>
      </c>
      <c r="N67" s="173">
        <v>693773</v>
      </c>
      <c r="O67" s="152">
        <f t="shared" si="1"/>
        <v>21259016</v>
      </c>
      <c r="P67" s="3">
        <f t="shared" si="7"/>
        <v>12295898</v>
      </c>
      <c r="Q67" s="3">
        <f t="shared" si="2"/>
        <v>3195611</v>
      </c>
      <c r="R67" s="3">
        <f t="shared" si="3"/>
        <v>777487</v>
      </c>
      <c r="S67" s="3">
        <f t="shared" si="4"/>
        <v>7629027</v>
      </c>
      <c r="T67" s="3">
        <f t="shared" si="5"/>
        <v>693773</v>
      </c>
      <c r="U67" s="3">
        <f>IF($A$5=1,IF($P67=0,0,ROUND(Q67/$P67*$E67,2)),Credits!D67)+Credits!J67</f>
        <v>184.03</v>
      </c>
      <c r="V67" s="3">
        <f>IF($A$5=1,IF($P67=0,0,ROUND(R67/$P67*$E67,2)),Credits!E67)+Credits!K67</f>
        <v>44.769999999999996</v>
      </c>
      <c r="W67" s="3">
        <f>IF($A$5=1,IF($P67=0,0,ROUND(S67/$P67*$E67,2)),Credits!F67)+Credits!L67</f>
        <v>439.26</v>
      </c>
      <c r="X67" s="3">
        <f>IF($A$5=1,IF($P67=0,0,ROUND(T67/$P67*$E67,2)),Credits!G67)+Credits!M67</f>
        <v>39.950000000000003</v>
      </c>
      <c r="Y67" s="3">
        <f t="shared" si="6"/>
        <v>708.01</v>
      </c>
    </row>
    <row r="68" spans="1:25" ht="15" x14ac:dyDescent="0.25">
      <c r="A68" s="5">
        <v>199</v>
      </c>
      <c r="B68" s="5">
        <v>1</v>
      </c>
      <c r="C68" s="2" t="s">
        <v>64</v>
      </c>
      <c r="D68" s="3">
        <v>300926.29999999993</v>
      </c>
      <c r="E68" s="3">
        <v>344199.65</v>
      </c>
      <c r="F68" s="173">
        <v>4196784</v>
      </c>
      <c r="G68" s="173">
        <v>452060</v>
      </c>
      <c r="H68" s="173">
        <v>0</v>
      </c>
      <c r="I68" s="173">
        <v>2568245</v>
      </c>
      <c r="J68" s="174">
        <v>502333</v>
      </c>
      <c r="K68" s="173">
        <v>3112571</v>
      </c>
      <c r="L68" s="173">
        <v>567840</v>
      </c>
      <c r="M68" s="175">
        <v>0</v>
      </c>
      <c r="N68" s="173">
        <v>643989</v>
      </c>
      <c r="O68" s="152">
        <f t="shared" si="1"/>
        <v>12043822</v>
      </c>
      <c r="P68" s="3">
        <f t="shared" si="7"/>
        <v>7394978</v>
      </c>
      <c r="Q68" s="3">
        <f t="shared" si="2"/>
        <v>2568245</v>
      </c>
      <c r="R68" s="3">
        <f t="shared" si="3"/>
        <v>502333</v>
      </c>
      <c r="S68" s="3">
        <f t="shared" si="4"/>
        <v>3680411</v>
      </c>
      <c r="T68" s="3">
        <f t="shared" si="5"/>
        <v>643989</v>
      </c>
      <c r="U68" s="3">
        <f>IF($A$5=1,IF($P68=0,0,ROUND(Q68/$P68*$E68,2)),Credits!D68)+Credits!J68</f>
        <v>327.44</v>
      </c>
      <c r="V68" s="3">
        <f>IF($A$5=1,IF($P68=0,0,ROUND(R68/$P68*$E68,2)),Credits!E68)+Credits!K68</f>
        <v>64.039999999999992</v>
      </c>
      <c r="W68" s="3">
        <f>IF($A$5=1,IF($P68=0,0,ROUND(S68/$P68*$E68,2)),Credits!F68)+Credits!L68</f>
        <v>469.18</v>
      </c>
      <c r="X68" s="3">
        <f>IF($A$5=1,IF($P68=0,0,ROUND(T68/$P68*$E68,2)),Credits!G68)+Credits!M68</f>
        <v>82.09</v>
      </c>
      <c r="Y68" s="3">
        <f t="shared" si="6"/>
        <v>942.75000000000011</v>
      </c>
    </row>
    <row r="69" spans="1:25" ht="15" x14ac:dyDescent="0.25">
      <c r="A69" s="5">
        <v>200</v>
      </c>
      <c r="B69" s="5">
        <v>1</v>
      </c>
      <c r="C69" s="2" t="s">
        <v>65</v>
      </c>
      <c r="D69" s="3">
        <v>367466.89</v>
      </c>
      <c r="E69" s="3">
        <v>413798.56</v>
      </c>
      <c r="F69" s="173">
        <v>7905943</v>
      </c>
      <c r="G69" s="173">
        <v>415708</v>
      </c>
      <c r="H69" s="173">
        <v>0</v>
      </c>
      <c r="I69" s="173">
        <v>2313576</v>
      </c>
      <c r="J69" s="174">
        <v>436612</v>
      </c>
      <c r="K69" s="173">
        <v>4770799</v>
      </c>
      <c r="L69" s="173">
        <v>384264</v>
      </c>
      <c r="M69" s="175">
        <v>0</v>
      </c>
      <c r="N69" s="173">
        <v>0</v>
      </c>
      <c r="O69" s="152">
        <f t="shared" si="1"/>
        <v>16226902</v>
      </c>
      <c r="P69" s="3">
        <f t="shared" si="7"/>
        <v>7905251</v>
      </c>
      <c r="Q69" s="3">
        <f t="shared" si="2"/>
        <v>2313576</v>
      </c>
      <c r="R69" s="3">
        <f t="shared" si="3"/>
        <v>436612</v>
      </c>
      <c r="S69" s="3">
        <f t="shared" si="4"/>
        <v>5155063</v>
      </c>
      <c r="T69" s="3">
        <f t="shared" si="5"/>
        <v>0</v>
      </c>
      <c r="U69" s="3">
        <f>IF($A$5=1,IF($P69=0,0,ROUND(Q69/$P69*$E69,2)),Credits!D69)+Credits!J69</f>
        <v>13446.970000000001</v>
      </c>
      <c r="V69" s="3">
        <f>IF($A$5=1,IF($P69=0,0,ROUND(R69/$P69*$E69,2)),Credits!E69)+Credits!K69</f>
        <v>2538.06</v>
      </c>
      <c r="W69" s="3">
        <f>IF($A$5=1,IF($P69=0,0,ROUND(S69/$P69*$E69,2)),Credits!F69)+Credits!L69</f>
        <v>29961.549999999996</v>
      </c>
      <c r="X69" s="3">
        <f>IF($A$5=1,IF($P69=0,0,ROUND(T69/$P69*$E69,2)),Credits!G69)+Credits!M69</f>
        <v>0</v>
      </c>
      <c r="Y69" s="3">
        <f t="shared" si="6"/>
        <v>45946.579999999994</v>
      </c>
    </row>
    <row r="70" spans="1:25" ht="15" x14ac:dyDescent="0.25">
      <c r="A70" s="5">
        <v>203</v>
      </c>
      <c r="B70" s="5">
        <v>1</v>
      </c>
      <c r="C70" s="2" t="s">
        <v>66</v>
      </c>
      <c r="D70" s="3">
        <v>98307.680000000008</v>
      </c>
      <c r="E70" s="3">
        <v>98898.03</v>
      </c>
      <c r="F70" s="173">
        <v>589167.11</v>
      </c>
      <c r="G70" s="173">
        <v>47917.55</v>
      </c>
      <c r="H70" s="173">
        <v>0</v>
      </c>
      <c r="I70" s="173">
        <v>359401.2</v>
      </c>
      <c r="J70" s="174">
        <v>67357.8</v>
      </c>
      <c r="K70" s="173">
        <v>601802.32999999996</v>
      </c>
      <c r="L70" s="173">
        <v>0</v>
      </c>
      <c r="M70" s="175">
        <v>0</v>
      </c>
      <c r="N70" s="173">
        <v>0</v>
      </c>
      <c r="O70" s="152">
        <f t="shared" si="1"/>
        <v>1665645.9900000002</v>
      </c>
      <c r="P70" s="3">
        <f t="shared" si="7"/>
        <v>1028561.33</v>
      </c>
      <c r="Q70" s="3">
        <f t="shared" si="2"/>
        <v>359401.2</v>
      </c>
      <c r="R70" s="3">
        <f t="shared" si="3"/>
        <v>67357.8</v>
      </c>
      <c r="S70" s="3">
        <f t="shared" si="4"/>
        <v>601802.32999999996</v>
      </c>
      <c r="T70" s="3">
        <f t="shared" si="5"/>
        <v>0</v>
      </c>
      <c r="U70" s="3">
        <f>IF($A$5=1,IF($P70=0,0,ROUND(Q70/$P70*$E70,2)),Credits!D70)+Credits!J70</f>
        <v>11734.82</v>
      </c>
      <c r="V70" s="3">
        <f>IF($A$5=1,IF($P70=0,0,ROUND(R70/$P70*$E70,2)),Credits!E70)+Credits!K70</f>
        <v>2645.9799999999996</v>
      </c>
      <c r="W70" s="3">
        <f>IF($A$5=1,IF($P70=0,0,ROUND(S70/$P70*$E70,2)),Credits!F70)+Credits!L70</f>
        <v>23632.55</v>
      </c>
      <c r="X70" s="3">
        <f>IF($A$5=1,IF($P70=0,0,ROUND(T70/$P70*$E70,2)),Credits!G70)+Credits!M70</f>
        <v>0</v>
      </c>
      <c r="Y70" s="3">
        <f t="shared" si="6"/>
        <v>38013.35</v>
      </c>
    </row>
    <row r="71" spans="1:25" ht="15" x14ac:dyDescent="0.25">
      <c r="A71" s="5">
        <v>204</v>
      </c>
      <c r="B71" s="5">
        <v>1</v>
      </c>
      <c r="C71" s="2" t="s">
        <v>67</v>
      </c>
      <c r="D71" s="3">
        <v>260005.49</v>
      </c>
      <c r="E71" s="3">
        <v>263283.06</v>
      </c>
      <c r="F71" s="173">
        <v>454346.74</v>
      </c>
      <c r="G71" s="173">
        <v>148421.25</v>
      </c>
      <c r="H71" s="173">
        <v>0</v>
      </c>
      <c r="I71" s="173">
        <v>201349.67</v>
      </c>
      <c r="J71" s="174">
        <v>91702.93</v>
      </c>
      <c r="K71" s="173">
        <v>2086064.51</v>
      </c>
      <c r="L71" s="173">
        <v>309799.46999999997</v>
      </c>
      <c r="M71" s="175">
        <v>0</v>
      </c>
      <c r="N71" s="173">
        <v>0</v>
      </c>
      <c r="O71" s="152">
        <f t="shared" si="1"/>
        <v>3291684.5700000003</v>
      </c>
      <c r="P71" s="3">
        <f t="shared" si="7"/>
        <v>2688916.58</v>
      </c>
      <c r="Q71" s="3">
        <f t="shared" si="2"/>
        <v>201349.67</v>
      </c>
      <c r="R71" s="3">
        <f t="shared" si="3"/>
        <v>91702.93</v>
      </c>
      <c r="S71" s="3">
        <f t="shared" si="4"/>
        <v>2395863.98</v>
      </c>
      <c r="T71" s="3">
        <f t="shared" si="5"/>
        <v>0</v>
      </c>
      <c r="U71" s="3">
        <f>IF($A$5=1,IF($P71=0,0,ROUND(Q71/$P71*$E71,2)),Credits!D71)+Credits!J71</f>
        <v>6462.98</v>
      </c>
      <c r="V71" s="3">
        <f>IF($A$5=1,IF($P71=0,0,ROUND(R71/$P71*$E71,2)),Credits!E71)+Credits!K71</f>
        <v>2953.2299999999996</v>
      </c>
      <c r="W71" s="3">
        <f>IF($A$5=1,IF($P71=0,0,ROUND(S71/$P71*$E71,2)),Credits!F71)+Credits!L71</f>
        <v>77128.08</v>
      </c>
      <c r="X71" s="3">
        <f>IF($A$5=1,IF($P71=0,0,ROUND(T71/$P71*$E71,2)),Credits!G71)+Credits!M71</f>
        <v>0</v>
      </c>
      <c r="Y71" s="3">
        <f t="shared" si="6"/>
        <v>86544.290000000008</v>
      </c>
    </row>
    <row r="72" spans="1:25" ht="15" x14ac:dyDescent="0.25">
      <c r="A72" s="5">
        <v>206</v>
      </c>
      <c r="B72" s="5">
        <v>1</v>
      </c>
      <c r="C72" s="2" t="s">
        <v>68</v>
      </c>
      <c r="D72" s="3">
        <v>282648.37</v>
      </c>
      <c r="E72" s="3">
        <v>301051.52000000002</v>
      </c>
      <c r="F72" s="173">
        <v>1747721</v>
      </c>
      <c r="G72" s="173">
        <v>599449</v>
      </c>
      <c r="H72" s="173">
        <v>0</v>
      </c>
      <c r="I72" s="173">
        <v>1351272</v>
      </c>
      <c r="J72" s="174">
        <v>409071</v>
      </c>
      <c r="K72" s="173">
        <v>6038010</v>
      </c>
      <c r="L72" s="173">
        <v>111333</v>
      </c>
      <c r="M72" s="175">
        <v>0</v>
      </c>
      <c r="N72" s="173">
        <v>747107</v>
      </c>
      <c r="O72" s="152">
        <f t="shared" si="1"/>
        <v>11003963</v>
      </c>
      <c r="P72" s="3">
        <f t="shared" si="7"/>
        <v>8656793</v>
      </c>
      <c r="Q72" s="3">
        <f t="shared" si="2"/>
        <v>1351272</v>
      </c>
      <c r="R72" s="3">
        <f t="shared" si="3"/>
        <v>409071</v>
      </c>
      <c r="S72" s="3">
        <f t="shared" si="4"/>
        <v>6149343</v>
      </c>
      <c r="T72" s="3">
        <f t="shared" si="5"/>
        <v>747107</v>
      </c>
      <c r="U72" s="3">
        <f>IF($A$5=1,IF($P72=0,0,ROUND(Q72/$P72*$E72,2)),Credits!D72)+Credits!J72</f>
        <v>6899.19</v>
      </c>
      <c r="V72" s="3">
        <f>IF($A$5=1,IF($P72=0,0,ROUND(R72/$P72*$E72,2)),Credits!E72)+Credits!K72</f>
        <v>2089.9</v>
      </c>
      <c r="W72" s="3">
        <f>IF($A$5=1,IF($P72=0,0,ROUND(S72/$P72*$E72,2)),Credits!F72)+Credits!L72</f>
        <v>31189.63</v>
      </c>
      <c r="X72" s="3">
        <f>IF($A$5=1,IF($P72=0,0,ROUND(T72/$P72*$E72,2)),Credits!G72)+Credits!M72</f>
        <v>3790.73</v>
      </c>
      <c r="Y72" s="3">
        <f t="shared" si="6"/>
        <v>43969.450000000004</v>
      </c>
    </row>
    <row r="73" spans="1:25" ht="15" x14ac:dyDescent="0.25">
      <c r="A73" s="5">
        <v>207</v>
      </c>
      <c r="B73" s="5">
        <v>1</v>
      </c>
      <c r="C73" s="2" t="s">
        <v>69</v>
      </c>
      <c r="D73" s="3">
        <v>14779.23</v>
      </c>
      <c r="E73" s="3">
        <v>16507.559999999998</v>
      </c>
      <c r="F73" s="173">
        <v>197410</v>
      </c>
      <c r="G73" s="173">
        <v>33748</v>
      </c>
      <c r="H73" s="173">
        <v>0</v>
      </c>
      <c r="I73" s="173">
        <v>173459</v>
      </c>
      <c r="J73" s="174">
        <v>22536</v>
      </c>
      <c r="K73" s="173">
        <v>0</v>
      </c>
      <c r="L73" s="173">
        <v>0</v>
      </c>
      <c r="M73" s="175">
        <v>0</v>
      </c>
      <c r="N73" s="173">
        <v>0</v>
      </c>
      <c r="O73" s="152">
        <f t="shared" ref="O73:O136" si="8">SUM(F73:N73)</f>
        <v>427153</v>
      </c>
      <c r="P73" s="3">
        <f t="shared" ref="P73:P136" si="9">SUM(H73:N73)</f>
        <v>195995</v>
      </c>
      <c r="Q73" s="3">
        <f t="shared" ref="Q73:Q136" si="10">SUM(H73:I73)</f>
        <v>173459</v>
      </c>
      <c r="R73" s="3">
        <f t="shared" ref="R73:R136" si="11">J73</f>
        <v>22536</v>
      </c>
      <c r="S73" s="3">
        <f t="shared" ref="S73:S136" si="12">K73+L73</f>
        <v>0</v>
      </c>
      <c r="T73" s="3">
        <f t="shared" ref="T73:T136" si="13">N73+M73</f>
        <v>0</v>
      </c>
      <c r="U73" s="3">
        <f>IF($A$5=1,IF($P73=0,0,ROUND(Q73/$P73*$E73,2)),Credits!D73)+Credits!J73</f>
        <v>3849.44</v>
      </c>
      <c r="V73" s="3">
        <f>IF($A$5=1,IF($P73=0,0,ROUND(R73/$P73*$E73,2)),Credits!E73)+Credits!K73</f>
        <v>500.1</v>
      </c>
      <c r="W73" s="3">
        <f>IF($A$5=1,IF($P73=0,0,ROUND(S73/$P73*$E73,2)),Credits!F73)+Credits!L73</f>
        <v>0</v>
      </c>
      <c r="X73" s="3">
        <f>IF($A$5=1,IF($P73=0,0,ROUND(T73/$P73*$E73,2)),Credits!G73)+Credits!M73</f>
        <v>0</v>
      </c>
      <c r="Y73" s="3">
        <f t="shared" ref="Y73:Y136" si="14">SUM(U73:X73)</f>
        <v>4349.54</v>
      </c>
    </row>
    <row r="74" spans="1:25" ht="15" x14ac:dyDescent="0.25">
      <c r="A74" s="5">
        <v>208</v>
      </c>
      <c r="B74" s="5">
        <v>1</v>
      </c>
      <c r="C74" s="2" t="s">
        <v>70</v>
      </c>
      <c r="D74" s="3">
        <v>13164.779999999999</v>
      </c>
      <c r="E74" s="3">
        <v>11858.57</v>
      </c>
      <c r="F74" s="173">
        <v>293986</v>
      </c>
      <c r="G74" s="173">
        <v>5086</v>
      </c>
      <c r="H74" s="173">
        <v>0</v>
      </c>
      <c r="I74" s="173">
        <v>125680</v>
      </c>
      <c r="J74" s="174">
        <v>18108</v>
      </c>
      <c r="K74" s="173">
        <v>0</v>
      </c>
      <c r="L74" s="173">
        <v>0</v>
      </c>
      <c r="M74" s="175">
        <v>0</v>
      </c>
      <c r="N74" s="173">
        <v>0</v>
      </c>
      <c r="O74" s="152">
        <f t="shared" si="8"/>
        <v>442860</v>
      </c>
      <c r="P74" s="3">
        <f t="shared" si="9"/>
        <v>143788</v>
      </c>
      <c r="Q74" s="3">
        <f t="shared" si="10"/>
        <v>125680</v>
      </c>
      <c r="R74" s="3">
        <f t="shared" si="11"/>
        <v>18108</v>
      </c>
      <c r="S74" s="3">
        <f t="shared" si="12"/>
        <v>0</v>
      </c>
      <c r="T74" s="3">
        <f t="shared" si="13"/>
        <v>0</v>
      </c>
      <c r="U74" s="3">
        <f>IF($A$5=1,IF($P74=0,0,ROUND(Q74/$P74*$E74,2)),Credits!D74)+Credits!J74</f>
        <v>2813.23</v>
      </c>
      <c r="V74" s="3">
        <f>IF($A$5=1,IF($P74=0,0,ROUND(R74/$P74*$E74,2)),Credits!E74)+Credits!K74</f>
        <v>405.41</v>
      </c>
      <c r="W74" s="3">
        <f>IF($A$5=1,IF($P74=0,0,ROUND(S74/$P74*$E74,2)),Credits!F74)+Credits!L74</f>
        <v>0</v>
      </c>
      <c r="X74" s="3">
        <f>IF($A$5=1,IF($P74=0,0,ROUND(T74/$P74*$E74,2)),Credits!G74)+Credits!M74</f>
        <v>0</v>
      </c>
      <c r="Y74" s="3">
        <f t="shared" si="14"/>
        <v>3218.64</v>
      </c>
    </row>
    <row r="75" spans="1:25" ht="15" x14ac:dyDescent="0.25">
      <c r="A75" s="5">
        <v>213</v>
      </c>
      <c r="B75" s="5">
        <v>1</v>
      </c>
      <c r="C75" s="2" t="s">
        <v>71</v>
      </c>
      <c r="D75" s="3">
        <v>131909.15999999997</v>
      </c>
      <c r="E75" s="3">
        <v>125630.61</v>
      </c>
      <c r="F75" s="173">
        <v>0</v>
      </c>
      <c r="G75" s="173">
        <v>75581</v>
      </c>
      <c r="H75" s="173">
        <v>0</v>
      </c>
      <c r="I75" s="173">
        <v>257448</v>
      </c>
      <c r="J75" s="174">
        <v>44510</v>
      </c>
      <c r="K75" s="173">
        <v>1149659</v>
      </c>
      <c r="L75" s="173">
        <v>0</v>
      </c>
      <c r="M75" s="175">
        <v>0</v>
      </c>
      <c r="N75" s="173">
        <v>52952</v>
      </c>
      <c r="O75" s="152">
        <f t="shared" si="8"/>
        <v>1580150</v>
      </c>
      <c r="P75" s="3">
        <f t="shared" si="9"/>
        <v>1504569</v>
      </c>
      <c r="Q75" s="3">
        <f t="shared" si="10"/>
        <v>257448</v>
      </c>
      <c r="R75" s="3">
        <f t="shared" si="11"/>
        <v>44510</v>
      </c>
      <c r="S75" s="3">
        <f t="shared" si="12"/>
        <v>1149659</v>
      </c>
      <c r="T75" s="3">
        <f t="shared" si="13"/>
        <v>52952</v>
      </c>
      <c r="U75" s="3">
        <f>IF($A$5=1,IF($P75=0,0,ROUND(Q75/$P75*$E75,2)),Credits!D75)+Credits!J75</f>
        <v>5679.26</v>
      </c>
      <c r="V75" s="3">
        <f>IF($A$5=1,IF($P75=0,0,ROUND(R75/$P75*$E75,2)),Credits!E75)+Credits!K75</f>
        <v>982.97</v>
      </c>
      <c r="W75" s="3">
        <f>IF($A$5=1,IF($P75=0,0,ROUND(S75/$P75*$E75,2)),Credits!F75)+Credits!L75</f>
        <v>25369.75</v>
      </c>
      <c r="X75" s="3">
        <f>IF($A$5=1,IF($P75=0,0,ROUND(T75/$P75*$E75,2)),Credits!G75)+Credits!M75</f>
        <v>1168.9100000000001</v>
      </c>
      <c r="Y75" s="3">
        <f t="shared" si="14"/>
        <v>33200.89</v>
      </c>
    </row>
    <row r="76" spans="1:25" ht="15" x14ac:dyDescent="0.25">
      <c r="A76" s="5">
        <v>227</v>
      </c>
      <c r="B76" s="5">
        <v>1</v>
      </c>
      <c r="C76" s="2" t="s">
        <v>72</v>
      </c>
      <c r="D76" s="3">
        <v>135503.75</v>
      </c>
      <c r="E76" s="3">
        <v>116200.06</v>
      </c>
      <c r="F76" s="173">
        <v>428540</v>
      </c>
      <c r="G76" s="173">
        <v>94859</v>
      </c>
      <c r="H76" s="173">
        <v>0</v>
      </c>
      <c r="I76" s="173">
        <v>245091</v>
      </c>
      <c r="J76" s="174">
        <v>72371</v>
      </c>
      <c r="K76" s="173">
        <v>1209330</v>
      </c>
      <c r="L76" s="173">
        <v>140503</v>
      </c>
      <c r="M76" s="175">
        <v>0</v>
      </c>
      <c r="N76" s="173">
        <v>0</v>
      </c>
      <c r="O76" s="152">
        <f t="shared" si="8"/>
        <v>2190694</v>
      </c>
      <c r="P76" s="3">
        <f t="shared" si="9"/>
        <v>1667295</v>
      </c>
      <c r="Q76" s="3">
        <f t="shared" si="10"/>
        <v>245091</v>
      </c>
      <c r="R76" s="3">
        <f t="shared" si="11"/>
        <v>72371</v>
      </c>
      <c r="S76" s="3">
        <f t="shared" si="12"/>
        <v>1349833</v>
      </c>
      <c r="T76" s="3">
        <f t="shared" si="13"/>
        <v>0</v>
      </c>
      <c r="U76" s="3">
        <f>IF($A$5=1,IF($P76=0,0,ROUND(Q76/$P76*$E76,2)),Credits!D76)+Credits!J76</f>
        <v>5259.6500000000005</v>
      </c>
      <c r="V76" s="3">
        <f>IF($A$5=1,IF($P76=0,0,ROUND(R76/$P76*$E76,2)),Credits!E76)+Credits!K76</f>
        <v>1553.29</v>
      </c>
      <c r="W76" s="3">
        <f>IF($A$5=1,IF($P76=0,0,ROUND(S76/$P76*$E76,2)),Credits!F76)+Credits!L76</f>
        <v>28964.58</v>
      </c>
      <c r="X76" s="3">
        <f>IF($A$5=1,IF($P76=0,0,ROUND(T76/$P76*$E76,2)),Credits!G76)+Credits!M76</f>
        <v>0</v>
      </c>
      <c r="Y76" s="3">
        <f t="shared" si="14"/>
        <v>35777.520000000004</v>
      </c>
    </row>
    <row r="77" spans="1:25" ht="15" x14ac:dyDescent="0.25">
      <c r="A77" s="5">
        <v>229</v>
      </c>
      <c r="B77" s="5">
        <v>1</v>
      </c>
      <c r="C77" s="2" t="s">
        <v>73</v>
      </c>
      <c r="D77" s="3">
        <v>48188.789999999994</v>
      </c>
      <c r="E77" s="3">
        <v>48360.25</v>
      </c>
      <c r="F77" s="173">
        <v>0</v>
      </c>
      <c r="G77" s="173">
        <v>50686</v>
      </c>
      <c r="H77" s="173">
        <v>0</v>
      </c>
      <c r="I77" s="173">
        <v>137469.35</v>
      </c>
      <c r="J77" s="174">
        <v>21378.13</v>
      </c>
      <c r="K77" s="173">
        <v>255463.27</v>
      </c>
      <c r="L77" s="173">
        <v>0</v>
      </c>
      <c r="M77" s="175">
        <v>0</v>
      </c>
      <c r="N77" s="173">
        <v>0</v>
      </c>
      <c r="O77" s="152">
        <f t="shared" si="8"/>
        <v>464996.75</v>
      </c>
      <c r="P77" s="3">
        <f t="shared" si="9"/>
        <v>414310.75</v>
      </c>
      <c r="Q77" s="3">
        <f t="shared" si="10"/>
        <v>137469.35</v>
      </c>
      <c r="R77" s="3">
        <f t="shared" si="11"/>
        <v>21378.13</v>
      </c>
      <c r="S77" s="3">
        <f t="shared" si="12"/>
        <v>255463.27</v>
      </c>
      <c r="T77" s="3">
        <f t="shared" si="13"/>
        <v>0</v>
      </c>
      <c r="U77" s="3">
        <f>IF($A$5=1,IF($P77=0,0,ROUND(Q77/$P77*$E77,2)),Credits!D77)+Credits!J77</f>
        <v>7272.2</v>
      </c>
      <c r="V77" s="3">
        <f>IF($A$5=1,IF($P77=0,0,ROUND(R77/$P77*$E77,2)),Credits!E77)+Credits!K77</f>
        <v>1131.3</v>
      </c>
      <c r="W77" s="3">
        <f>IF($A$5=1,IF($P77=0,0,ROUND(S77/$P77*$E77,2)),Credits!F77)+Credits!L77</f>
        <v>13514.54</v>
      </c>
      <c r="X77" s="3">
        <f>IF($A$5=1,IF($P77=0,0,ROUND(T77/$P77*$E77,2)),Credits!G77)+Credits!M77</f>
        <v>0</v>
      </c>
      <c r="Y77" s="3">
        <f t="shared" si="14"/>
        <v>21918.04</v>
      </c>
    </row>
    <row r="78" spans="1:25" ht="15" x14ac:dyDescent="0.25">
      <c r="A78" s="5">
        <v>238</v>
      </c>
      <c r="B78" s="5">
        <v>1</v>
      </c>
      <c r="C78" s="2" t="s">
        <v>74</v>
      </c>
      <c r="D78" s="3">
        <v>73572.709999999992</v>
      </c>
      <c r="E78" s="3">
        <v>66539.63</v>
      </c>
      <c r="F78" s="173">
        <v>302674.21999999997</v>
      </c>
      <c r="G78" s="173">
        <v>15767.46</v>
      </c>
      <c r="H78" s="173">
        <v>0</v>
      </c>
      <c r="I78" s="173">
        <v>154856.74</v>
      </c>
      <c r="J78" s="174">
        <v>18405.560000000001</v>
      </c>
      <c r="K78" s="173">
        <v>373915.31</v>
      </c>
      <c r="L78" s="173">
        <v>0</v>
      </c>
      <c r="M78" s="175">
        <v>0</v>
      </c>
      <c r="N78" s="173">
        <v>0</v>
      </c>
      <c r="O78" s="152">
        <f t="shared" si="8"/>
        <v>865619.29</v>
      </c>
      <c r="P78" s="3">
        <f t="shared" si="9"/>
        <v>547177.61</v>
      </c>
      <c r="Q78" s="3">
        <f t="shared" si="10"/>
        <v>154856.74</v>
      </c>
      <c r="R78" s="3">
        <f t="shared" si="11"/>
        <v>18405.560000000001</v>
      </c>
      <c r="S78" s="3">
        <f t="shared" si="12"/>
        <v>373915.31</v>
      </c>
      <c r="T78" s="3">
        <f t="shared" si="13"/>
        <v>0</v>
      </c>
      <c r="U78" s="3">
        <f>IF($A$5=1,IF($P78=0,0,ROUND(Q78/$P78*$E78,2)),Credits!D78)+Credits!J78</f>
        <v>7512.74</v>
      </c>
      <c r="V78" s="3">
        <f>IF($A$5=1,IF($P78=0,0,ROUND(R78/$P78*$E78,2)),Credits!E78)+Credits!K78</f>
        <v>893.04</v>
      </c>
      <c r="W78" s="3">
        <f>IF($A$5=1,IF($P78=0,0,ROUND(S78/$P78*$E78,2)),Credits!F78)+Credits!L78</f>
        <v>18141.349999999999</v>
      </c>
      <c r="X78" s="3">
        <f>IF($A$5=1,IF($P78=0,0,ROUND(T78/$P78*$E78,2)),Credits!G78)+Credits!M78</f>
        <v>0</v>
      </c>
      <c r="Y78" s="3">
        <f t="shared" si="14"/>
        <v>26547.129999999997</v>
      </c>
    </row>
    <row r="79" spans="1:25" ht="15" x14ac:dyDescent="0.25">
      <c r="A79" s="5">
        <v>239</v>
      </c>
      <c r="B79" s="5">
        <v>1</v>
      </c>
      <c r="C79" s="2" t="s">
        <v>75</v>
      </c>
      <c r="D79" s="3">
        <v>66213.94</v>
      </c>
      <c r="E79" s="3">
        <v>52819.19</v>
      </c>
      <c r="F79" s="173">
        <v>554574.13</v>
      </c>
      <c r="G79" s="173">
        <v>55702.57</v>
      </c>
      <c r="H79" s="173">
        <v>0</v>
      </c>
      <c r="I79" s="173">
        <v>316989.78999999998</v>
      </c>
      <c r="J79" s="174">
        <v>44406.64</v>
      </c>
      <c r="K79" s="173">
        <v>0</v>
      </c>
      <c r="L79" s="173">
        <v>0</v>
      </c>
      <c r="M79" s="175">
        <v>0</v>
      </c>
      <c r="N79" s="173">
        <v>0</v>
      </c>
      <c r="O79" s="152">
        <f t="shared" si="8"/>
        <v>971673.13</v>
      </c>
      <c r="P79" s="3">
        <f t="shared" si="9"/>
        <v>361396.43</v>
      </c>
      <c r="Q79" s="3">
        <f t="shared" si="10"/>
        <v>316989.78999999998</v>
      </c>
      <c r="R79" s="3">
        <f t="shared" si="11"/>
        <v>44406.64</v>
      </c>
      <c r="S79" s="3">
        <f t="shared" si="12"/>
        <v>0</v>
      </c>
      <c r="T79" s="3">
        <f t="shared" si="13"/>
        <v>0</v>
      </c>
      <c r="U79" s="3">
        <f>IF($A$5=1,IF($P79=0,0,ROUND(Q79/$P79*$E79,2)),Credits!D79)+Credits!J79</f>
        <v>25546.229999999996</v>
      </c>
      <c r="V79" s="3">
        <f>IF($A$5=1,IF($P79=0,0,ROUND(R79/$P79*$E79,2)),Credits!E79)+Credits!K79</f>
        <v>3578.58</v>
      </c>
      <c r="W79" s="3">
        <f>IF($A$5=1,IF($P79=0,0,ROUND(S79/$P79*$E79,2)),Credits!F79)+Credits!L79</f>
        <v>0</v>
      </c>
      <c r="X79" s="3">
        <f>IF($A$5=1,IF($P79=0,0,ROUND(T79/$P79*$E79,2)),Credits!G79)+Credits!M79</f>
        <v>0</v>
      </c>
      <c r="Y79" s="3">
        <f t="shared" si="14"/>
        <v>29124.809999999998</v>
      </c>
    </row>
    <row r="80" spans="1:25" ht="15" x14ac:dyDescent="0.25">
      <c r="A80" s="5">
        <v>241</v>
      </c>
      <c r="B80" s="5">
        <v>1</v>
      </c>
      <c r="C80" s="2" t="s">
        <v>76</v>
      </c>
      <c r="D80" s="3">
        <v>422794.68999999994</v>
      </c>
      <c r="E80" s="3">
        <v>435544.49</v>
      </c>
      <c r="F80" s="173">
        <v>3086983.83</v>
      </c>
      <c r="G80" s="173">
        <v>320424.94</v>
      </c>
      <c r="H80" s="173">
        <v>0</v>
      </c>
      <c r="I80" s="173">
        <v>1243888.53</v>
      </c>
      <c r="J80" s="174">
        <v>207521.81</v>
      </c>
      <c r="K80" s="173">
        <v>2820242.04</v>
      </c>
      <c r="L80" s="173">
        <v>304583.25</v>
      </c>
      <c r="M80" s="175">
        <v>0</v>
      </c>
      <c r="N80" s="173">
        <v>309677</v>
      </c>
      <c r="O80" s="152">
        <f t="shared" si="8"/>
        <v>8293321.3999999994</v>
      </c>
      <c r="P80" s="3">
        <f t="shared" si="9"/>
        <v>4885912.63</v>
      </c>
      <c r="Q80" s="3">
        <f t="shared" si="10"/>
        <v>1243888.53</v>
      </c>
      <c r="R80" s="3">
        <f t="shared" si="11"/>
        <v>207521.81</v>
      </c>
      <c r="S80" s="3">
        <f t="shared" si="12"/>
        <v>3124825.29</v>
      </c>
      <c r="T80" s="3">
        <f t="shared" si="13"/>
        <v>309677</v>
      </c>
      <c r="U80" s="3">
        <f>IF($A$5=1,IF($P80=0,0,ROUND(Q80/$P80*$E80,2)),Credits!D80)+Credits!J80</f>
        <v>19494.580000000002</v>
      </c>
      <c r="V80" s="3">
        <f>IF($A$5=1,IF($P80=0,0,ROUND(R80/$P80*$E80,2)),Credits!E80)+Credits!K80</f>
        <v>2810.67</v>
      </c>
      <c r="W80" s="3">
        <f>IF($A$5=1,IF($P80=0,0,ROUND(S80/$P80*$E80,2)),Credits!F80)+Credits!L80</f>
        <v>41679.850000000006</v>
      </c>
      <c r="X80" s="3">
        <f>IF($A$5=1,IF($P80=0,0,ROUND(T80/$P80*$E80,2)),Credits!G80)+Credits!M80</f>
        <v>4129.6200000000008</v>
      </c>
      <c r="Y80" s="3">
        <f t="shared" si="14"/>
        <v>68114.720000000001</v>
      </c>
    </row>
    <row r="81" spans="1:25" ht="15" x14ac:dyDescent="0.25">
      <c r="A81" s="5">
        <v>242</v>
      </c>
      <c r="B81" s="5">
        <v>1</v>
      </c>
      <c r="C81" s="2" t="s">
        <v>77</v>
      </c>
      <c r="D81" s="3">
        <v>49114.47</v>
      </c>
      <c r="E81" s="3">
        <v>53384.71</v>
      </c>
      <c r="F81" s="173">
        <v>68708.55</v>
      </c>
      <c r="G81" s="173">
        <v>37665.97</v>
      </c>
      <c r="H81" s="173">
        <v>0</v>
      </c>
      <c r="I81" s="173">
        <v>191980.4</v>
      </c>
      <c r="J81" s="174">
        <v>18051</v>
      </c>
      <c r="K81" s="173">
        <v>425491.21</v>
      </c>
      <c r="L81" s="173">
        <v>0</v>
      </c>
      <c r="M81" s="175">
        <v>0</v>
      </c>
      <c r="N81" s="173">
        <v>0</v>
      </c>
      <c r="O81" s="152">
        <f t="shared" si="8"/>
        <v>741897.13</v>
      </c>
      <c r="P81" s="3">
        <f t="shared" si="9"/>
        <v>635522.61</v>
      </c>
      <c r="Q81" s="3">
        <f t="shared" si="10"/>
        <v>191980.4</v>
      </c>
      <c r="R81" s="3">
        <f t="shared" si="11"/>
        <v>18051</v>
      </c>
      <c r="S81" s="3">
        <f t="shared" si="12"/>
        <v>425491.21</v>
      </c>
      <c r="T81" s="3">
        <f t="shared" si="13"/>
        <v>0</v>
      </c>
      <c r="U81" s="3">
        <f>IF($A$5=1,IF($P81=0,0,ROUND(Q81/$P81*$E81,2)),Credits!D81)+Credits!J81</f>
        <v>9144.49</v>
      </c>
      <c r="V81" s="3">
        <f>IF($A$5=1,IF($P81=0,0,ROUND(R81/$P81*$E81,2)),Credits!E81)+Credits!K81</f>
        <v>638.35</v>
      </c>
      <c r="W81" s="3">
        <f>IF($A$5=1,IF($P81=0,0,ROUND(S81/$P81*$E81,2)),Credits!F81)+Credits!L81</f>
        <v>15049.85</v>
      </c>
      <c r="X81" s="3">
        <f>IF($A$5=1,IF($P81=0,0,ROUND(T81/$P81*$E81,2)),Credits!G81)+Credits!M81</f>
        <v>0</v>
      </c>
      <c r="Y81" s="3">
        <f t="shared" si="14"/>
        <v>24832.690000000002</v>
      </c>
    </row>
    <row r="82" spans="1:25" ht="15" x14ac:dyDescent="0.25">
      <c r="A82" s="5">
        <v>252</v>
      </c>
      <c r="B82" s="5">
        <v>1</v>
      </c>
      <c r="C82" s="2" t="s">
        <v>78</v>
      </c>
      <c r="D82" s="3">
        <v>113421.33000000002</v>
      </c>
      <c r="E82" s="3">
        <v>124204.78</v>
      </c>
      <c r="F82" s="173">
        <v>718473</v>
      </c>
      <c r="G82" s="173">
        <v>152930</v>
      </c>
      <c r="H82" s="173">
        <v>0</v>
      </c>
      <c r="I82" s="173">
        <v>348374</v>
      </c>
      <c r="J82" s="174">
        <v>152734</v>
      </c>
      <c r="K82" s="173">
        <v>1331343</v>
      </c>
      <c r="L82" s="173">
        <v>0</v>
      </c>
      <c r="M82" s="175">
        <v>0</v>
      </c>
      <c r="N82" s="173">
        <v>129465</v>
      </c>
      <c r="O82" s="152">
        <f t="shared" si="8"/>
        <v>2833319</v>
      </c>
      <c r="P82" s="3">
        <f t="shared" si="9"/>
        <v>1961916</v>
      </c>
      <c r="Q82" s="3">
        <f t="shared" si="10"/>
        <v>348374</v>
      </c>
      <c r="R82" s="3">
        <f t="shared" si="11"/>
        <v>152734</v>
      </c>
      <c r="S82" s="3">
        <f t="shared" si="12"/>
        <v>1331343</v>
      </c>
      <c r="T82" s="3">
        <f t="shared" si="13"/>
        <v>129465</v>
      </c>
      <c r="U82" s="3">
        <f>IF($A$5=1,IF($P82=0,0,ROUND(Q82/$P82*$E82,2)),Credits!D82)+Credits!J82</f>
        <v>6664.42</v>
      </c>
      <c r="V82" s="3">
        <f>IF($A$5=1,IF($P82=0,0,ROUND(R82/$P82*$E82,2)),Credits!E82)+Credits!K82</f>
        <v>2921.2999999999993</v>
      </c>
      <c r="W82" s="3">
        <f>IF($A$5=1,IF($P82=0,0,ROUND(S82/$P82*$E82,2)),Credits!F82)+Credits!L82</f>
        <v>25466.85</v>
      </c>
      <c r="X82" s="3">
        <f>IF($A$5=1,IF($P82=0,0,ROUND(T82/$P82*$E82,2)),Credits!G82)+Credits!M82</f>
        <v>2476.9100000000003</v>
      </c>
      <c r="Y82" s="3">
        <f t="shared" si="14"/>
        <v>37529.480000000003</v>
      </c>
    </row>
    <row r="83" spans="1:25" ht="15" x14ac:dyDescent="0.25">
      <c r="A83" s="5">
        <v>253</v>
      </c>
      <c r="B83" s="5">
        <v>1</v>
      </c>
      <c r="C83" s="2" t="s">
        <v>79</v>
      </c>
      <c r="D83" s="3">
        <v>58094.11</v>
      </c>
      <c r="E83" s="3">
        <v>56692.6</v>
      </c>
      <c r="F83" s="173">
        <v>202258</v>
      </c>
      <c r="G83" s="173">
        <v>47053</v>
      </c>
      <c r="H83" s="173">
        <v>0</v>
      </c>
      <c r="I83" s="173">
        <v>178702</v>
      </c>
      <c r="J83" s="174">
        <v>39092</v>
      </c>
      <c r="K83" s="173">
        <v>464847</v>
      </c>
      <c r="L83" s="173">
        <v>0</v>
      </c>
      <c r="M83" s="175">
        <v>0</v>
      </c>
      <c r="N83" s="173">
        <v>0</v>
      </c>
      <c r="O83" s="152">
        <f t="shared" si="8"/>
        <v>931952</v>
      </c>
      <c r="P83" s="3">
        <f t="shared" si="9"/>
        <v>682641</v>
      </c>
      <c r="Q83" s="3">
        <f t="shared" si="10"/>
        <v>178702</v>
      </c>
      <c r="R83" s="3">
        <f t="shared" si="11"/>
        <v>39092</v>
      </c>
      <c r="S83" s="3">
        <f t="shared" si="12"/>
        <v>464847</v>
      </c>
      <c r="T83" s="3">
        <f t="shared" si="13"/>
        <v>0</v>
      </c>
      <c r="U83" s="3">
        <f>IF($A$5=1,IF($P83=0,0,ROUND(Q83/$P83*$E83,2)),Credits!D83)+Credits!J83</f>
        <v>4672.5600000000004</v>
      </c>
      <c r="V83" s="3">
        <f>IF($A$5=1,IF($P83=0,0,ROUND(R83/$P83*$E83,2)),Credits!E83)+Credits!K83</f>
        <v>1021.91</v>
      </c>
      <c r="W83" s="3">
        <f>IF($A$5=1,IF($P83=0,0,ROUND(S83/$P83*$E83,2)),Credits!F83)+Credits!L83</f>
        <v>12153.98</v>
      </c>
      <c r="X83" s="3">
        <f>IF($A$5=1,IF($P83=0,0,ROUND(T83/$P83*$E83,2)),Credits!G83)+Credits!M83</f>
        <v>0</v>
      </c>
      <c r="Y83" s="3">
        <f t="shared" si="14"/>
        <v>17848.45</v>
      </c>
    </row>
    <row r="84" spans="1:25" ht="15" x14ac:dyDescent="0.25">
      <c r="A84" s="5">
        <v>255</v>
      </c>
      <c r="B84" s="5">
        <v>1</v>
      </c>
      <c r="C84" s="2" t="s">
        <v>80</v>
      </c>
      <c r="D84" s="3">
        <v>96845.86</v>
      </c>
      <c r="E84" s="3">
        <v>106138.74</v>
      </c>
      <c r="F84" s="173">
        <v>688173</v>
      </c>
      <c r="G84" s="173">
        <v>113050</v>
      </c>
      <c r="H84" s="173">
        <v>0</v>
      </c>
      <c r="I84" s="173">
        <v>595029</v>
      </c>
      <c r="J84" s="174">
        <v>150405</v>
      </c>
      <c r="K84" s="173">
        <v>700007</v>
      </c>
      <c r="L84" s="173">
        <v>55394</v>
      </c>
      <c r="M84" s="175">
        <v>0</v>
      </c>
      <c r="N84" s="173">
        <v>0</v>
      </c>
      <c r="O84" s="152">
        <f t="shared" si="8"/>
        <v>2302058</v>
      </c>
      <c r="P84" s="3">
        <f t="shared" si="9"/>
        <v>1500835</v>
      </c>
      <c r="Q84" s="3">
        <f t="shared" si="10"/>
        <v>595029</v>
      </c>
      <c r="R84" s="3">
        <f t="shared" si="11"/>
        <v>150405</v>
      </c>
      <c r="S84" s="3">
        <f t="shared" si="12"/>
        <v>755401</v>
      </c>
      <c r="T84" s="3">
        <f t="shared" si="13"/>
        <v>0</v>
      </c>
      <c r="U84" s="3">
        <f>IF($A$5=1,IF($P84=0,0,ROUND(Q84/$P84*$E84,2)),Credits!D84)+Credits!J84</f>
        <v>13090.42</v>
      </c>
      <c r="V84" s="3">
        <f>IF($A$5=1,IF($P84=0,0,ROUND(R84/$P84*$E84,2)),Credits!E84)+Credits!K84</f>
        <v>3310.5000000000005</v>
      </c>
      <c r="W84" s="3">
        <f>IF($A$5=1,IF($P84=0,0,ROUND(S84/$P84*$E84,2)),Credits!F84)+Credits!L84</f>
        <v>16628.100000000002</v>
      </c>
      <c r="X84" s="3">
        <f>IF($A$5=1,IF($P84=0,0,ROUND(T84/$P84*$E84,2)),Credits!G84)+Credits!M84</f>
        <v>0</v>
      </c>
      <c r="Y84" s="3">
        <f t="shared" si="14"/>
        <v>33029.020000000004</v>
      </c>
    </row>
    <row r="85" spans="1:25" ht="15" x14ac:dyDescent="0.25">
      <c r="A85" s="5">
        <v>256</v>
      </c>
      <c r="B85" s="5">
        <v>1</v>
      </c>
      <c r="C85" s="2" t="s">
        <v>81</v>
      </c>
      <c r="D85" s="3">
        <v>257604.64</v>
      </c>
      <c r="E85" s="3">
        <v>239172.26</v>
      </c>
      <c r="F85" s="173">
        <v>4038080</v>
      </c>
      <c r="G85" s="173">
        <v>280214</v>
      </c>
      <c r="H85" s="173">
        <v>0</v>
      </c>
      <c r="I85" s="173">
        <v>1465846</v>
      </c>
      <c r="J85" s="174">
        <v>315118</v>
      </c>
      <c r="K85" s="173">
        <v>1240148</v>
      </c>
      <c r="L85" s="173">
        <v>50473</v>
      </c>
      <c r="M85" s="175">
        <v>0</v>
      </c>
      <c r="N85" s="173">
        <v>2382909</v>
      </c>
      <c r="O85" s="152">
        <f t="shared" si="8"/>
        <v>9772788</v>
      </c>
      <c r="P85" s="3">
        <f t="shared" si="9"/>
        <v>5454494</v>
      </c>
      <c r="Q85" s="3">
        <f t="shared" si="10"/>
        <v>1465846</v>
      </c>
      <c r="R85" s="3">
        <f t="shared" si="11"/>
        <v>315118</v>
      </c>
      <c r="S85" s="3">
        <f t="shared" si="12"/>
        <v>1290621</v>
      </c>
      <c r="T85" s="3">
        <f t="shared" si="13"/>
        <v>2382909</v>
      </c>
      <c r="U85" s="3">
        <f>IF($A$5=1,IF($P85=0,0,ROUND(Q85/$P85*$E85,2)),Credits!D85)+Credits!J85</f>
        <v>13808.27</v>
      </c>
      <c r="V85" s="3">
        <f>IF($A$5=1,IF($P85=0,0,ROUND(R85/$P85*$E85,2)),Credits!E85)+Credits!K85</f>
        <v>2968.94</v>
      </c>
      <c r="W85" s="3">
        <f>IF($A$5=1,IF($P85=0,0,ROUND(S85/$P85*$E85,2)),Credits!F85)+Credits!L85</f>
        <v>12102.980000000001</v>
      </c>
      <c r="X85" s="3">
        <f>IF($A$5=1,IF($P85=0,0,ROUND(T85/$P85*$E85,2)),Credits!G85)+Credits!M85</f>
        <v>22347.460000000003</v>
      </c>
      <c r="Y85" s="3">
        <f t="shared" si="14"/>
        <v>51227.650000000009</v>
      </c>
    </row>
    <row r="86" spans="1:25" ht="15" x14ac:dyDescent="0.25">
      <c r="A86" s="5">
        <v>261</v>
      </c>
      <c r="B86" s="5">
        <v>1</v>
      </c>
      <c r="C86" s="2" t="s">
        <v>82</v>
      </c>
      <c r="D86" s="3">
        <v>53349.72</v>
      </c>
      <c r="E86" s="3">
        <v>48693.43</v>
      </c>
      <c r="F86" s="173">
        <v>251939</v>
      </c>
      <c r="G86" s="173">
        <v>17140.41</v>
      </c>
      <c r="H86" s="173">
        <v>0</v>
      </c>
      <c r="I86" s="173">
        <v>89567.45</v>
      </c>
      <c r="J86" s="174">
        <v>17773.77</v>
      </c>
      <c r="K86" s="173">
        <v>517135.05</v>
      </c>
      <c r="L86" s="173">
        <v>0</v>
      </c>
      <c r="M86" s="175">
        <v>0</v>
      </c>
      <c r="N86" s="173">
        <v>0</v>
      </c>
      <c r="O86" s="152">
        <f t="shared" si="8"/>
        <v>893555.67999999993</v>
      </c>
      <c r="P86" s="3">
        <f t="shared" si="9"/>
        <v>624476.27</v>
      </c>
      <c r="Q86" s="3">
        <f t="shared" si="10"/>
        <v>89567.45</v>
      </c>
      <c r="R86" s="3">
        <f t="shared" si="11"/>
        <v>17773.77</v>
      </c>
      <c r="S86" s="3">
        <f t="shared" si="12"/>
        <v>517135.05</v>
      </c>
      <c r="T86" s="3">
        <f t="shared" si="13"/>
        <v>0</v>
      </c>
      <c r="U86" s="3">
        <f>IF($A$5=1,IF($P86=0,0,ROUND(Q86/$P86*$E86,2)),Credits!D86)+Credits!J86</f>
        <v>1885.51</v>
      </c>
      <c r="V86" s="3">
        <f>IF($A$5=1,IF($P86=0,0,ROUND(R86/$P86*$E86,2)),Credits!E86)+Credits!K86</f>
        <v>374.33</v>
      </c>
      <c r="W86" s="3">
        <f>IF($A$5=1,IF($P86=0,0,ROUND(S86/$P86*$E86,2)),Credits!F86)+Credits!L86</f>
        <v>10887.140000000001</v>
      </c>
      <c r="X86" s="3">
        <f>IF($A$5=1,IF($P86=0,0,ROUND(T86/$P86*$E86,2)),Credits!G86)+Credits!M86</f>
        <v>0</v>
      </c>
      <c r="Y86" s="3">
        <f t="shared" si="14"/>
        <v>13146.980000000001</v>
      </c>
    </row>
    <row r="87" spans="1:25" ht="15" x14ac:dyDescent="0.25">
      <c r="A87" s="5">
        <v>264</v>
      </c>
      <c r="B87" s="5">
        <v>1</v>
      </c>
      <c r="C87" s="2" t="s">
        <v>83</v>
      </c>
      <c r="D87" s="3">
        <v>6391.47</v>
      </c>
      <c r="E87" s="3">
        <v>2615.06</v>
      </c>
      <c r="F87" s="173">
        <v>163054.12</v>
      </c>
      <c r="G87" s="173">
        <v>3783.23</v>
      </c>
      <c r="H87" s="173">
        <v>0</v>
      </c>
      <c r="I87" s="173">
        <v>50996.75</v>
      </c>
      <c r="J87" s="174">
        <v>21181.5</v>
      </c>
      <c r="K87" s="173">
        <v>0</v>
      </c>
      <c r="L87" s="173">
        <v>0</v>
      </c>
      <c r="M87" s="175">
        <v>0</v>
      </c>
      <c r="N87" s="173">
        <v>0</v>
      </c>
      <c r="O87" s="152">
        <f t="shared" si="8"/>
        <v>239015.6</v>
      </c>
      <c r="P87" s="3">
        <f t="shared" si="9"/>
        <v>72178.25</v>
      </c>
      <c r="Q87" s="3">
        <f t="shared" si="10"/>
        <v>50996.75</v>
      </c>
      <c r="R87" s="3">
        <f t="shared" si="11"/>
        <v>21181.5</v>
      </c>
      <c r="S87" s="3">
        <f t="shared" si="12"/>
        <v>0</v>
      </c>
      <c r="T87" s="3">
        <f t="shared" si="13"/>
        <v>0</v>
      </c>
      <c r="U87" s="3">
        <f>IF($A$5=1,IF($P87=0,0,ROUND(Q87/$P87*$E87,2)),Credits!D87)+Credits!J87</f>
        <v>2353.86</v>
      </c>
      <c r="V87" s="3">
        <f>IF($A$5=1,IF($P87=0,0,ROUND(R87/$P87*$E87,2)),Credits!E87)+Credits!K87</f>
        <v>979.06</v>
      </c>
      <c r="W87" s="3">
        <f>IF($A$5=1,IF($P87=0,0,ROUND(S87/$P87*$E87,2)),Credits!F87)+Credits!L87</f>
        <v>0</v>
      </c>
      <c r="X87" s="3">
        <f>IF($A$5=1,IF($P87=0,0,ROUND(T87/$P87*$E87,2)),Credits!G87)+Credits!M87</f>
        <v>0</v>
      </c>
      <c r="Y87" s="3">
        <f t="shared" si="14"/>
        <v>3332.92</v>
      </c>
    </row>
    <row r="88" spans="1:25" ht="15" x14ac:dyDescent="0.25">
      <c r="A88" s="5">
        <v>270</v>
      </c>
      <c r="B88" s="5">
        <v>1</v>
      </c>
      <c r="C88" s="2" t="s">
        <v>84</v>
      </c>
      <c r="D88" s="3">
        <v>494400.14999999997</v>
      </c>
      <c r="E88" s="3">
        <v>560845.04999999981</v>
      </c>
      <c r="F88" s="173">
        <v>14668364.310000001</v>
      </c>
      <c r="G88" s="173">
        <v>345573.6</v>
      </c>
      <c r="H88" s="173">
        <v>6164119</v>
      </c>
      <c r="I88" s="173">
        <v>4937713.01</v>
      </c>
      <c r="J88" s="174">
        <v>1358814.15</v>
      </c>
      <c r="K88" s="173">
        <v>9220098.4199999999</v>
      </c>
      <c r="L88" s="173">
        <v>4723092</v>
      </c>
      <c r="M88" s="175">
        <v>0</v>
      </c>
      <c r="N88" s="173">
        <v>968077</v>
      </c>
      <c r="O88" s="152">
        <f t="shared" si="8"/>
        <v>42385851.490000002</v>
      </c>
      <c r="P88" s="3">
        <f t="shared" si="9"/>
        <v>27371913.579999998</v>
      </c>
      <c r="Q88" s="3">
        <f t="shared" si="10"/>
        <v>11101832.01</v>
      </c>
      <c r="R88" s="3">
        <f t="shared" si="11"/>
        <v>1358814.15</v>
      </c>
      <c r="S88" s="3">
        <f t="shared" si="12"/>
        <v>13943190.42</v>
      </c>
      <c r="T88" s="3">
        <f t="shared" si="13"/>
        <v>968077</v>
      </c>
      <c r="U88" s="3">
        <f>IF($A$5=1,IF($P88=0,0,ROUND(Q88/$P88*$E88,2)),Credits!D88)+Credits!J88</f>
        <v>543.91</v>
      </c>
      <c r="V88" s="3">
        <f>IF($A$5=1,IF($P88=0,0,ROUND(R88/$P88*$E88,2)),Credits!E88)+Credits!K88</f>
        <v>66.569999999999993</v>
      </c>
      <c r="W88" s="3">
        <f>IF($A$5=1,IF($P88=0,0,ROUND(S88/$P88*$E88,2)),Credits!F88)+Credits!L88</f>
        <v>683.14</v>
      </c>
      <c r="X88" s="3">
        <f>IF($A$5=1,IF($P88=0,0,ROUND(T88/$P88*$E88,2)),Credits!G88)+Credits!M88</f>
        <v>47.46</v>
      </c>
      <c r="Y88" s="3">
        <f t="shared" si="14"/>
        <v>1341.08</v>
      </c>
    </row>
    <row r="89" spans="1:25" ht="15" x14ac:dyDescent="0.25">
      <c r="A89" s="5">
        <v>271</v>
      </c>
      <c r="B89" s="5">
        <v>1</v>
      </c>
      <c r="C89" s="2" t="s">
        <v>85</v>
      </c>
      <c r="D89" s="3">
        <v>706370.34</v>
      </c>
      <c r="E89" s="3">
        <v>783385.49000000011</v>
      </c>
      <c r="F89" s="173">
        <v>19784022.75</v>
      </c>
      <c r="G89" s="173">
        <v>757663.29</v>
      </c>
      <c r="H89" s="173">
        <v>2699503</v>
      </c>
      <c r="I89" s="173">
        <v>8492286.9700000007</v>
      </c>
      <c r="J89" s="174">
        <v>1602315.68</v>
      </c>
      <c r="K89" s="173">
        <v>8664806.2699999996</v>
      </c>
      <c r="L89" s="173">
        <v>496866.84</v>
      </c>
      <c r="M89" s="175">
        <v>0</v>
      </c>
      <c r="N89" s="173">
        <v>944692</v>
      </c>
      <c r="O89" s="152">
        <f t="shared" si="8"/>
        <v>43442156.799999997</v>
      </c>
      <c r="P89" s="3">
        <f t="shared" si="9"/>
        <v>22900470.760000002</v>
      </c>
      <c r="Q89" s="3">
        <f t="shared" si="10"/>
        <v>11191789.970000001</v>
      </c>
      <c r="R89" s="3">
        <f t="shared" si="11"/>
        <v>1602315.68</v>
      </c>
      <c r="S89" s="3">
        <f t="shared" si="12"/>
        <v>9161673.1099999994</v>
      </c>
      <c r="T89" s="3">
        <f t="shared" si="13"/>
        <v>944692</v>
      </c>
      <c r="U89" s="3">
        <f>IF($A$5=1,IF($P89=0,0,ROUND(Q89/$P89*$E89,2)),Credits!D89)+Credits!J89</f>
        <v>3611.4500000000003</v>
      </c>
      <c r="V89" s="3">
        <f>IF($A$5=1,IF($P89=0,0,ROUND(R89/$P89*$E89,2)),Credits!E89)+Credits!K89</f>
        <v>517.14</v>
      </c>
      <c r="W89" s="3">
        <f>IF($A$5=1,IF($P89=0,0,ROUND(S89/$P89*$E89,2)),Credits!F89)+Credits!L89</f>
        <v>2956.47</v>
      </c>
      <c r="X89" s="3">
        <f>IF($A$5=1,IF($P89=0,0,ROUND(T89/$P89*$E89,2)),Credits!G89)+Credits!M89</f>
        <v>304.95</v>
      </c>
      <c r="Y89" s="3">
        <f t="shared" si="14"/>
        <v>7390.0099999999993</v>
      </c>
    </row>
    <row r="90" spans="1:25" ht="15" x14ac:dyDescent="0.25">
      <c r="A90" s="5">
        <v>272</v>
      </c>
      <c r="B90" s="5">
        <v>1</v>
      </c>
      <c r="C90" s="2" t="s">
        <v>86</v>
      </c>
      <c r="D90" s="3">
        <v>430238.14</v>
      </c>
      <c r="E90" s="3">
        <v>476558.44000000006</v>
      </c>
      <c r="F90" s="173">
        <v>12915858.82</v>
      </c>
      <c r="G90" s="173">
        <v>1020698.87</v>
      </c>
      <c r="H90" s="173">
        <v>6017305</v>
      </c>
      <c r="I90" s="173">
        <v>6021779.3200000003</v>
      </c>
      <c r="J90" s="174">
        <v>1281184.1499999999</v>
      </c>
      <c r="K90" s="173">
        <v>11433969</v>
      </c>
      <c r="L90" s="173">
        <v>1159457</v>
      </c>
      <c r="M90" s="175">
        <v>0</v>
      </c>
      <c r="N90" s="173">
        <v>472885.99</v>
      </c>
      <c r="O90" s="152">
        <f t="shared" si="8"/>
        <v>40323138.149999999</v>
      </c>
      <c r="P90" s="3">
        <f t="shared" si="9"/>
        <v>26386580.459999997</v>
      </c>
      <c r="Q90" s="3">
        <f t="shared" si="10"/>
        <v>12039084.32</v>
      </c>
      <c r="R90" s="3">
        <f t="shared" si="11"/>
        <v>1281184.1499999999</v>
      </c>
      <c r="S90" s="3">
        <f t="shared" si="12"/>
        <v>12593426</v>
      </c>
      <c r="T90" s="3">
        <f t="shared" si="13"/>
        <v>472885.99</v>
      </c>
      <c r="U90" s="3">
        <f>IF($A$5=1,IF($P90=0,0,ROUND(Q90/$P90*$E90,2)),Credits!D90)+Credits!J90</f>
        <v>754.62</v>
      </c>
      <c r="V90" s="3">
        <f>IF($A$5=1,IF($P90=0,0,ROUND(R90/$P90*$E90,2)),Credits!E90)+Credits!K90</f>
        <v>80.33</v>
      </c>
      <c r="W90" s="3">
        <f>IF($A$5=1,IF($P90=0,0,ROUND(S90/$P90*$E90,2)),Credits!F90)+Credits!L90</f>
        <v>789.27</v>
      </c>
      <c r="X90" s="3">
        <f>IF($A$5=1,IF($P90=0,0,ROUND(T90/$P90*$E90,2)),Credits!G90)+Credits!M90</f>
        <v>29.65</v>
      </c>
      <c r="Y90" s="3">
        <f t="shared" si="14"/>
        <v>1653.8700000000001</v>
      </c>
    </row>
    <row r="91" spans="1:25" ht="15" x14ac:dyDescent="0.25">
      <c r="A91" s="5">
        <v>273</v>
      </c>
      <c r="B91" s="5">
        <v>1</v>
      </c>
      <c r="C91" s="2" t="s">
        <v>87</v>
      </c>
      <c r="D91" s="3">
        <v>140649.40000000002</v>
      </c>
      <c r="E91" s="3">
        <v>165099.18000000002</v>
      </c>
      <c r="F91" s="173">
        <v>16241980.560000001</v>
      </c>
      <c r="G91" s="173">
        <v>631613.25</v>
      </c>
      <c r="H91" s="173">
        <v>4500000</v>
      </c>
      <c r="I91" s="173">
        <v>7094870.1900000004</v>
      </c>
      <c r="J91" s="174">
        <v>1053182.07</v>
      </c>
      <c r="K91" s="173">
        <v>9734032.5999999996</v>
      </c>
      <c r="L91" s="173">
        <v>546528.55000000005</v>
      </c>
      <c r="M91" s="175">
        <v>0</v>
      </c>
      <c r="N91" s="173">
        <v>0</v>
      </c>
      <c r="O91" s="152">
        <f t="shared" si="8"/>
        <v>39802207.219999999</v>
      </c>
      <c r="P91" s="3">
        <f t="shared" si="9"/>
        <v>22928613.41</v>
      </c>
      <c r="Q91" s="3">
        <f t="shared" si="10"/>
        <v>11594870.190000001</v>
      </c>
      <c r="R91" s="3">
        <f t="shared" si="11"/>
        <v>1053182.07</v>
      </c>
      <c r="S91" s="3">
        <f t="shared" si="12"/>
        <v>10280561.15</v>
      </c>
      <c r="T91" s="3">
        <f t="shared" si="13"/>
        <v>0</v>
      </c>
      <c r="U91" s="3">
        <f>IF($A$5=1,IF($P91=0,0,ROUND(Q91/$P91*$E91,2)),Credits!D91)+Credits!J91</f>
        <v>150.31</v>
      </c>
      <c r="V91" s="3">
        <f>IF($A$5=1,IF($P91=0,0,ROUND(R91/$P91*$E91,2)),Credits!E91)+Credits!K91</f>
        <v>13.66</v>
      </c>
      <c r="W91" s="3">
        <f>IF($A$5=1,IF($P91=0,0,ROUND(S91/$P91*$E91,2)),Credits!F91)+Credits!L91</f>
        <v>133.28</v>
      </c>
      <c r="X91" s="3">
        <f>IF($A$5=1,IF($P91=0,0,ROUND(T91/$P91*$E91,2)),Credits!G91)+Credits!M91</f>
        <v>0</v>
      </c>
      <c r="Y91" s="3">
        <f t="shared" si="14"/>
        <v>297.25</v>
      </c>
    </row>
    <row r="92" spans="1:25" ht="15" x14ac:dyDescent="0.25">
      <c r="A92" s="5">
        <v>276</v>
      </c>
      <c r="B92" s="5">
        <v>1</v>
      </c>
      <c r="C92" s="2" t="s">
        <v>88</v>
      </c>
      <c r="D92" s="3">
        <v>185727.41</v>
      </c>
      <c r="E92" s="3">
        <v>220771.39999999997</v>
      </c>
      <c r="F92" s="173">
        <v>15674366.720000001</v>
      </c>
      <c r="G92" s="173">
        <v>714146.47</v>
      </c>
      <c r="H92" s="173">
        <v>5260850</v>
      </c>
      <c r="I92" s="173">
        <v>4685427.3</v>
      </c>
      <c r="J92" s="174">
        <v>976323.7</v>
      </c>
      <c r="K92" s="173">
        <v>1932070.26</v>
      </c>
      <c r="L92" s="173">
        <v>3345353.62</v>
      </c>
      <c r="M92" s="175">
        <v>0</v>
      </c>
      <c r="N92" s="173">
        <v>1526524</v>
      </c>
      <c r="O92" s="152">
        <f t="shared" si="8"/>
        <v>34115062.070000008</v>
      </c>
      <c r="P92" s="3">
        <f t="shared" si="9"/>
        <v>17726548.879999999</v>
      </c>
      <c r="Q92" s="3">
        <f t="shared" si="10"/>
        <v>9946277.3000000007</v>
      </c>
      <c r="R92" s="3">
        <f t="shared" si="11"/>
        <v>976323.7</v>
      </c>
      <c r="S92" s="3">
        <f t="shared" si="12"/>
        <v>5277423.88</v>
      </c>
      <c r="T92" s="3">
        <f t="shared" si="13"/>
        <v>1526524</v>
      </c>
      <c r="U92" s="3">
        <f>IF($A$5=1,IF($P92=0,0,ROUND(Q92/$P92*$E92,2)),Credits!D92)+Credits!J92</f>
        <v>503.19</v>
      </c>
      <c r="V92" s="3">
        <f>IF($A$5=1,IF($P92=0,0,ROUND(R92/$P92*$E92,2)),Credits!E92)+Credits!K92</f>
        <v>49.4</v>
      </c>
      <c r="W92" s="3">
        <f>IF($A$5=1,IF($P92=0,0,ROUND(S92/$P92*$E92,2)),Credits!F92)+Credits!L92</f>
        <v>267</v>
      </c>
      <c r="X92" s="3">
        <f>IF($A$5=1,IF($P92=0,0,ROUND(T92/$P92*$E92,2)),Credits!G92)+Credits!M92</f>
        <v>77.239999999999995</v>
      </c>
      <c r="Y92" s="3">
        <f t="shared" si="14"/>
        <v>896.83</v>
      </c>
    </row>
    <row r="93" spans="1:25" ht="15" x14ac:dyDescent="0.25">
      <c r="A93" s="5">
        <v>277</v>
      </c>
      <c r="B93" s="5">
        <v>1</v>
      </c>
      <c r="C93" s="2" t="s">
        <v>89</v>
      </c>
      <c r="D93" s="3">
        <v>61254.39</v>
      </c>
      <c r="E93" s="3">
        <v>67630.62</v>
      </c>
      <c r="F93" s="173">
        <v>4553410.66</v>
      </c>
      <c r="G93" s="173">
        <v>116059.1</v>
      </c>
      <c r="H93" s="173">
        <v>750000</v>
      </c>
      <c r="I93" s="173">
        <v>1277715.55</v>
      </c>
      <c r="J93" s="174">
        <v>434304.93</v>
      </c>
      <c r="K93" s="173">
        <v>2824749.26</v>
      </c>
      <c r="L93" s="173">
        <v>0</v>
      </c>
      <c r="M93" s="175">
        <v>0</v>
      </c>
      <c r="N93" s="173">
        <v>574637</v>
      </c>
      <c r="O93" s="152">
        <f t="shared" si="8"/>
        <v>10530876.5</v>
      </c>
      <c r="P93" s="3">
        <f t="shared" si="9"/>
        <v>5861406.7400000002</v>
      </c>
      <c r="Q93" s="3">
        <f t="shared" si="10"/>
        <v>2027715.55</v>
      </c>
      <c r="R93" s="3">
        <f t="shared" si="11"/>
        <v>434304.93</v>
      </c>
      <c r="S93" s="3">
        <f t="shared" si="12"/>
        <v>2824749.26</v>
      </c>
      <c r="T93" s="3">
        <f t="shared" si="13"/>
        <v>574637</v>
      </c>
      <c r="U93" s="3">
        <f>IF($A$5=1,IF($P93=0,0,ROUND(Q93/$P93*$E93,2)),Credits!D93)+Credits!J93</f>
        <v>625.53</v>
      </c>
      <c r="V93" s="3">
        <f>IF($A$5=1,IF($P93=0,0,ROUND(R93/$P93*$E93,2)),Credits!E93)+Credits!K93</f>
        <v>133.96</v>
      </c>
      <c r="W93" s="3">
        <f>IF($A$5=1,IF($P93=0,0,ROUND(S93/$P93*$E93,2)),Credits!F93)+Credits!L93</f>
        <v>871.25</v>
      </c>
      <c r="X93" s="3">
        <f>IF($A$5=1,IF($P93=0,0,ROUND(T93/$P93*$E93,2)),Credits!G93)+Credits!M93</f>
        <v>177.33</v>
      </c>
      <c r="Y93" s="3">
        <f t="shared" si="14"/>
        <v>1808.07</v>
      </c>
    </row>
    <row r="94" spans="1:25" ht="15" x14ac:dyDescent="0.25">
      <c r="A94" s="5">
        <v>278</v>
      </c>
      <c r="B94" s="5">
        <v>1</v>
      </c>
      <c r="C94" s="2" t="s">
        <v>90</v>
      </c>
      <c r="D94" s="3">
        <v>44025.21</v>
      </c>
      <c r="E94" s="3">
        <v>53028.91</v>
      </c>
      <c r="F94" s="173">
        <v>4010348.36</v>
      </c>
      <c r="G94" s="173">
        <v>265763.78000000003</v>
      </c>
      <c r="H94" s="173">
        <v>960263</v>
      </c>
      <c r="I94" s="173">
        <v>1546969.62</v>
      </c>
      <c r="J94" s="174">
        <v>276345.53999999998</v>
      </c>
      <c r="K94" s="173">
        <v>3750874.16</v>
      </c>
      <c r="L94" s="173">
        <v>0</v>
      </c>
      <c r="M94" s="175">
        <v>0</v>
      </c>
      <c r="N94" s="173">
        <v>451929</v>
      </c>
      <c r="O94" s="152">
        <f t="shared" si="8"/>
        <v>11262493.460000001</v>
      </c>
      <c r="P94" s="3">
        <f t="shared" si="9"/>
        <v>6986381.3200000003</v>
      </c>
      <c r="Q94" s="3">
        <f t="shared" si="10"/>
        <v>2507232.62</v>
      </c>
      <c r="R94" s="3">
        <f t="shared" si="11"/>
        <v>276345.53999999998</v>
      </c>
      <c r="S94" s="3">
        <f t="shared" si="12"/>
        <v>3750874.16</v>
      </c>
      <c r="T94" s="3">
        <f t="shared" si="13"/>
        <v>451929</v>
      </c>
      <c r="U94" s="3">
        <f>IF($A$5=1,IF($P94=0,0,ROUND(Q94/$P94*$E94,2)),Credits!D94)+Credits!J94</f>
        <v>1253.1400000000001</v>
      </c>
      <c r="V94" s="3">
        <f>IF($A$5=1,IF($P94=0,0,ROUND(R94/$P94*$E94,2)),Credits!E94)+Credits!K94</f>
        <v>138.17000000000002</v>
      </c>
      <c r="W94" s="3">
        <f>IF($A$5=1,IF($P94=0,0,ROUND(S94/$P94*$E94,2)),Credits!F94)+Credits!L94</f>
        <v>1874.43</v>
      </c>
      <c r="X94" s="3">
        <f>IF($A$5=1,IF($P94=0,0,ROUND(T94/$P94*$E94,2)),Credits!G94)+Credits!M94</f>
        <v>225.91</v>
      </c>
      <c r="Y94" s="3">
        <f t="shared" si="14"/>
        <v>3491.65</v>
      </c>
    </row>
    <row r="95" spans="1:25" ht="15" x14ac:dyDescent="0.25">
      <c r="A95" s="5">
        <v>279</v>
      </c>
      <c r="B95" s="5">
        <v>1</v>
      </c>
      <c r="C95" s="2" t="s">
        <v>91</v>
      </c>
      <c r="D95" s="3">
        <v>1261264.32</v>
      </c>
      <c r="E95" s="3">
        <v>1368753.04</v>
      </c>
      <c r="F95" s="173">
        <v>33635088.840000004</v>
      </c>
      <c r="G95" s="173">
        <v>2634197.9900000002</v>
      </c>
      <c r="H95" s="173">
        <v>0</v>
      </c>
      <c r="I95" s="173">
        <v>12300596.689999999</v>
      </c>
      <c r="J95" s="174">
        <v>1783834.98</v>
      </c>
      <c r="K95" s="173">
        <v>18410376.460000001</v>
      </c>
      <c r="L95" s="173">
        <v>1388456.04</v>
      </c>
      <c r="M95" s="175">
        <v>0</v>
      </c>
      <c r="N95" s="173">
        <v>995689.41</v>
      </c>
      <c r="O95" s="152">
        <f t="shared" si="8"/>
        <v>71148240.410000011</v>
      </c>
      <c r="P95" s="3">
        <f t="shared" si="9"/>
        <v>34878953.579999998</v>
      </c>
      <c r="Q95" s="3">
        <f t="shared" si="10"/>
        <v>12300596.689999999</v>
      </c>
      <c r="R95" s="3">
        <f t="shared" si="11"/>
        <v>1783834.98</v>
      </c>
      <c r="S95" s="3">
        <f t="shared" si="12"/>
        <v>19798832.5</v>
      </c>
      <c r="T95" s="3">
        <f t="shared" si="13"/>
        <v>995689.41</v>
      </c>
      <c r="U95" s="3">
        <f>IF($A$5=1,IF($P95=0,0,ROUND(Q95/$P95*$E95,2)),Credits!D95)+Credits!J95</f>
        <v>2087.7200000000003</v>
      </c>
      <c r="V95" s="3">
        <f>IF($A$5=1,IF($P95=0,0,ROUND(R95/$P95*$E95,2)),Credits!E95)+Credits!K95</f>
        <v>302.76</v>
      </c>
      <c r="W95" s="3">
        <f>IF($A$5=1,IF($P95=0,0,ROUND(S95/$P95*$E95,2)),Credits!F95)+Credits!L95</f>
        <v>3360.2799999999997</v>
      </c>
      <c r="X95" s="3">
        <f>IF($A$5=1,IF($P95=0,0,ROUND(T95/$P95*$E95,2)),Credits!G95)+Credits!M95</f>
        <v>169.07</v>
      </c>
      <c r="Y95" s="3">
        <f t="shared" si="14"/>
        <v>5919.83</v>
      </c>
    </row>
    <row r="96" spans="1:25" ht="15" x14ac:dyDescent="0.25">
      <c r="A96" s="5">
        <v>280</v>
      </c>
      <c r="B96" s="5">
        <v>1</v>
      </c>
      <c r="C96" s="2" t="s">
        <v>92</v>
      </c>
      <c r="D96" s="3">
        <v>451214.94999999995</v>
      </c>
      <c r="E96" s="3">
        <v>479314.27</v>
      </c>
      <c r="F96" s="173">
        <v>6027968.4900000002</v>
      </c>
      <c r="G96" s="173">
        <v>448456.45</v>
      </c>
      <c r="H96" s="173">
        <v>1372538</v>
      </c>
      <c r="I96" s="173">
        <v>3043660.28</v>
      </c>
      <c r="J96" s="174">
        <v>443040.32</v>
      </c>
      <c r="K96" s="173">
        <v>2738190.66</v>
      </c>
      <c r="L96" s="173">
        <v>1086797.73</v>
      </c>
      <c r="M96" s="175">
        <v>0</v>
      </c>
      <c r="N96" s="173">
        <v>1370835</v>
      </c>
      <c r="O96" s="152">
        <f t="shared" si="8"/>
        <v>16531486.930000002</v>
      </c>
      <c r="P96" s="3">
        <f t="shared" si="9"/>
        <v>10055061.99</v>
      </c>
      <c r="Q96" s="3">
        <f t="shared" si="10"/>
        <v>4416198.2799999993</v>
      </c>
      <c r="R96" s="3">
        <f t="shared" si="11"/>
        <v>443040.32</v>
      </c>
      <c r="S96" s="3">
        <f t="shared" si="12"/>
        <v>3824988.39</v>
      </c>
      <c r="T96" s="3">
        <f t="shared" si="13"/>
        <v>1370835</v>
      </c>
      <c r="U96" s="3">
        <f>IF($A$5=1,IF($P96=0,0,ROUND(Q96/$P96*$E96,2)),Credits!D96)+Credits!J96</f>
        <v>963.87</v>
      </c>
      <c r="V96" s="3">
        <f>IF($A$5=1,IF($P96=0,0,ROUND(R96/$P96*$E96,2)),Credits!E96)+Credits!K96</f>
        <v>96.76</v>
      </c>
      <c r="W96" s="3">
        <f>IF($A$5=1,IF($P96=0,0,ROUND(S96/$P96*$E96,2)),Credits!F96)+Credits!L96</f>
        <v>834.81</v>
      </c>
      <c r="X96" s="3">
        <f>IF($A$5=1,IF($P96=0,0,ROUND(T96/$P96*$E96,2)),Credits!G96)+Credits!M96</f>
        <v>299.19</v>
      </c>
      <c r="Y96" s="3">
        <f t="shared" si="14"/>
        <v>2194.63</v>
      </c>
    </row>
    <row r="97" spans="1:25" ht="15" x14ac:dyDescent="0.25">
      <c r="A97" s="5">
        <v>281</v>
      </c>
      <c r="B97" s="5">
        <v>1</v>
      </c>
      <c r="C97" s="2" t="s">
        <v>93</v>
      </c>
      <c r="D97" s="3">
        <v>1205996.49</v>
      </c>
      <c r="E97" s="3">
        <v>1396580.3800000001</v>
      </c>
      <c r="F97" s="173">
        <v>23889633.899999999</v>
      </c>
      <c r="G97" s="173">
        <v>1374774.66</v>
      </c>
      <c r="H97" s="173">
        <v>0</v>
      </c>
      <c r="I97" s="173">
        <v>8938071.5700000003</v>
      </c>
      <c r="J97" s="174">
        <v>1808484.14</v>
      </c>
      <c r="K97" s="173">
        <v>7365970.2199999997</v>
      </c>
      <c r="L97" s="173">
        <v>8553920.6500000004</v>
      </c>
      <c r="M97" s="175">
        <v>0</v>
      </c>
      <c r="N97" s="173">
        <v>1950643</v>
      </c>
      <c r="O97" s="152">
        <f t="shared" si="8"/>
        <v>53881498.139999993</v>
      </c>
      <c r="P97" s="3">
        <f t="shared" si="9"/>
        <v>28617089.579999998</v>
      </c>
      <c r="Q97" s="3">
        <f t="shared" si="10"/>
        <v>8938071.5700000003</v>
      </c>
      <c r="R97" s="3">
        <f t="shared" si="11"/>
        <v>1808484.14</v>
      </c>
      <c r="S97" s="3">
        <f t="shared" si="12"/>
        <v>15919890.870000001</v>
      </c>
      <c r="T97" s="3">
        <f t="shared" si="13"/>
        <v>1950643</v>
      </c>
      <c r="U97" s="3">
        <f>IF($A$5=1,IF($P97=0,0,ROUND(Q97/$P97*$E97,2)),Credits!D97)+Credits!J97</f>
        <v>557.52</v>
      </c>
      <c r="V97" s="3">
        <f>IF($A$5=1,IF($P97=0,0,ROUND(R97/$P97*$E97,2)),Credits!E97)+Credits!K97</f>
        <v>112.84</v>
      </c>
      <c r="W97" s="3">
        <f>IF($A$5=1,IF($P97=0,0,ROUND(S97/$P97*$E97,2)),Credits!F97)+Credits!L97</f>
        <v>993.02</v>
      </c>
      <c r="X97" s="3">
        <f>IF($A$5=1,IF($P97=0,0,ROUND(T97/$P97*$E97,2)),Credits!G97)+Credits!M97</f>
        <v>121.69999999999999</v>
      </c>
      <c r="Y97" s="3">
        <f t="shared" si="14"/>
        <v>1785.0800000000002</v>
      </c>
    </row>
    <row r="98" spans="1:25" ht="15" x14ac:dyDescent="0.25">
      <c r="A98" s="5">
        <v>282</v>
      </c>
      <c r="B98" s="5">
        <v>1</v>
      </c>
      <c r="C98" s="2" t="s">
        <v>94</v>
      </c>
      <c r="D98" s="3">
        <v>115775.58</v>
      </c>
      <c r="E98" s="3">
        <v>124449.06</v>
      </c>
      <c r="F98" s="173">
        <v>1932104.86</v>
      </c>
      <c r="G98" s="173">
        <v>238478.8</v>
      </c>
      <c r="H98" s="173">
        <v>0</v>
      </c>
      <c r="I98" s="173">
        <v>867130.77</v>
      </c>
      <c r="J98" s="174">
        <v>174886.26</v>
      </c>
      <c r="K98" s="173">
        <v>1229136.55</v>
      </c>
      <c r="L98" s="173">
        <v>655753.67000000004</v>
      </c>
      <c r="M98" s="175">
        <v>0</v>
      </c>
      <c r="N98" s="173">
        <v>522895</v>
      </c>
      <c r="O98" s="152">
        <f t="shared" si="8"/>
        <v>5620385.9100000001</v>
      </c>
      <c r="P98" s="3">
        <f t="shared" si="9"/>
        <v>3449802.25</v>
      </c>
      <c r="Q98" s="3">
        <f t="shared" si="10"/>
        <v>867130.77</v>
      </c>
      <c r="R98" s="3">
        <f t="shared" si="11"/>
        <v>174886.26</v>
      </c>
      <c r="S98" s="3">
        <f t="shared" si="12"/>
        <v>1884890.2200000002</v>
      </c>
      <c r="T98" s="3">
        <f t="shared" si="13"/>
        <v>522895</v>
      </c>
      <c r="U98" s="3">
        <f>IF($A$5=1,IF($P98=0,0,ROUND(Q98/$P98*$E98,2)),Credits!D98)+Credits!J98</f>
        <v>101.82</v>
      </c>
      <c r="V98" s="3">
        <f>IF($A$5=1,IF($P98=0,0,ROUND(R98/$P98*$E98,2)),Credits!E98)+Credits!K98</f>
        <v>20.54</v>
      </c>
      <c r="W98" s="3">
        <f>IF($A$5=1,IF($P98=0,0,ROUND(S98/$P98*$E98,2)),Credits!F98)+Credits!L98</f>
        <v>221.31</v>
      </c>
      <c r="X98" s="3">
        <f>IF($A$5=1,IF($P98=0,0,ROUND(T98/$P98*$E98,2)),Credits!G98)+Credits!M98</f>
        <v>61.4</v>
      </c>
      <c r="Y98" s="3">
        <f t="shared" si="14"/>
        <v>405.06999999999994</v>
      </c>
    </row>
    <row r="99" spans="1:25" ht="15" x14ac:dyDescent="0.25">
      <c r="A99" s="5">
        <v>283</v>
      </c>
      <c r="B99" s="5">
        <v>1</v>
      </c>
      <c r="C99" s="2" t="s">
        <v>95</v>
      </c>
      <c r="D99" s="3">
        <v>359946.78</v>
      </c>
      <c r="E99" s="3">
        <v>363286.16000000003</v>
      </c>
      <c r="F99" s="173">
        <v>9339514.4600000009</v>
      </c>
      <c r="G99" s="173">
        <v>351933.35</v>
      </c>
      <c r="H99" s="173">
        <v>1404117</v>
      </c>
      <c r="I99" s="173">
        <v>3564608.53</v>
      </c>
      <c r="J99" s="174">
        <v>907562.11</v>
      </c>
      <c r="K99" s="173">
        <v>6269198.2800000003</v>
      </c>
      <c r="L99" s="173">
        <v>97013.16</v>
      </c>
      <c r="M99" s="175">
        <v>0</v>
      </c>
      <c r="N99" s="173">
        <v>878205</v>
      </c>
      <c r="O99" s="152">
        <f t="shared" si="8"/>
        <v>22812151.890000001</v>
      </c>
      <c r="P99" s="3">
        <f t="shared" si="9"/>
        <v>13120704.08</v>
      </c>
      <c r="Q99" s="3">
        <f t="shared" si="10"/>
        <v>4968725.5299999993</v>
      </c>
      <c r="R99" s="3">
        <f t="shared" si="11"/>
        <v>907562.11</v>
      </c>
      <c r="S99" s="3">
        <f t="shared" si="12"/>
        <v>6366211.4400000004</v>
      </c>
      <c r="T99" s="3">
        <f t="shared" si="13"/>
        <v>878205</v>
      </c>
      <c r="U99" s="3">
        <f>IF($A$5=1,IF($P99=0,0,ROUND(Q99/$P99*$E99,2)),Credits!D99)+Credits!J99</f>
        <v>220.73</v>
      </c>
      <c r="V99" s="3">
        <f>IF($A$5=1,IF($P99=0,0,ROUND(R99/$P99*$E99,2)),Credits!E99)+Credits!K99</f>
        <v>40.31</v>
      </c>
      <c r="W99" s="3">
        <f>IF($A$5=1,IF($P99=0,0,ROUND(S99/$P99*$E99,2)),Credits!F99)+Credits!L99</f>
        <v>282.77999999999997</v>
      </c>
      <c r="X99" s="3">
        <f>IF($A$5=1,IF($P99=0,0,ROUND(T99/$P99*$E99,2)),Credits!G99)+Credits!M99</f>
        <v>39.020000000000003</v>
      </c>
      <c r="Y99" s="3">
        <f t="shared" si="14"/>
        <v>582.83999999999992</v>
      </c>
    </row>
    <row r="100" spans="1:25" ht="15" x14ac:dyDescent="0.25">
      <c r="A100" s="5">
        <v>284</v>
      </c>
      <c r="B100" s="5">
        <v>1</v>
      </c>
      <c r="C100" s="2" t="s">
        <v>96</v>
      </c>
      <c r="D100" s="3">
        <v>360551.73</v>
      </c>
      <c r="E100" s="3">
        <v>385400.45</v>
      </c>
      <c r="F100" s="173">
        <v>18985748.829999998</v>
      </c>
      <c r="G100" s="173">
        <v>948553.59</v>
      </c>
      <c r="H100" s="173">
        <v>5582408</v>
      </c>
      <c r="I100" s="173">
        <v>9645971.1999999993</v>
      </c>
      <c r="J100" s="174">
        <v>1402000.35</v>
      </c>
      <c r="K100" s="173">
        <v>9082939.3699999992</v>
      </c>
      <c r="L100" s="173">
        <v>1067168.22</v>
      </c>
      <c r="M100" s="175">
        <v>0</v>
      </c>
      <c r="N100" s="173">
        <v>892052</v>
      </c>
      <c r="O100" s="152">
        <f t="shared" si="8"/>
        <v>47606841.559999995</v>
      </c>
      <c r="P100" s="3">
        <f t="shared" si="9"/>
        <v>27672539.139999997</v>
      </c>
      <c r="Q100" s="3">
        <f t="shared" si="10"/>
        <v>15228379.199999999</v>
      </c>
      <c r="R100" s="3">
        <f t="shared" si="11"/>
        <v>1402000.35</v>
      </c>
      <c r="S100" s="3">
        <f t="shared" si="12"/>
        <v>10150107.59</v>
      </c>
      <c r="T100" s="3">
        <f t="shared" si="13"/>
        <v>892052</v>
      </c>
      <c r="U100" s="3">
        <f>IF($A$5=1,IF($P100=0,0,ROUND(Q100/$P100*$E100,2)),Credits!D100)+Credits!J100</f>
        <v>1843.73</v>
      </c>
      <c r="V100" s="3">
        <f>IF($A$5=1,IF($P100=0,0,ROUND(R100/$P100*$E100,2)),Credits!E100)+Credits!K100</f>
        <v>169.73000000000002</v>
      </c>
      <c r="W100" s="3">
        <f>IF($A$5=1,IF($P100=0,0,ROUND(S100/$P100*$E100,2)),Credits!F100)+Credits!L100</f>
        <v>1228.9000000000001</v>
      </c>
      <c r="X100" s="3">
        <f>IF($A$5=1,IF($P100=0,0,ROUND(T100/$P100*$E100,2)),Credits!G100)+Credits!M100</f>
        <v>108.09</v>
      </c>
      <c r="Y100" s="3">
        <f t="shared" si="14"/>
        <v>3350.4500000000003</v>
      </c>
    </row>
    <row r="101" spans="1:25" ht="15" x14ac:dyDescent="0.25">
      <c r="A101" s="5">
        <v>286</v>
      </c>
      <c r="B101" s="5">
        <v>1</v>
      </c>
      <c r="C101" s="2" t="s">
        <v>97</v>
      </c>
      <c r="D101" s="3">
        <v>155606.79</v>
      </c>
      <c r="E101" s="3">
        <v>148917.93</v>
      </c>
      <c r="F101" s="173">
        <v>412750.67</v>
      </c>
      <c r="G101" s="173">
        <v>300195.49</v>
      </c>
      <c r="H101" s="173">
        <v>0</v>
      </c>
      <c r="I101" s="173">
        <v>811533.45</v>
      </c>
      <c r="J101" s="174">
        <v>141115.15</v>
      </c>
      <c r="K101" s="173">
        <v>1800559.62</v>
      </c>
      <c r="L101" s="173">
        <v>360122.04</v>
      </c>
      <c r="M101" s="175">
        <v>0</v>
      </c>
      <c r="N101" s="173">
        <v>360938</v>
      </c>
      <c r="O101" s="152">
        <f t="shared" si="8"/>
        <v>4187214.42</v>
      </c>
      <c r="P101" s="3">
        <f t="shared" si="9"/>
        <v>3474268.2600000002</v>
      </c>
      <c r="Q101" s="3">
        <f t="shared" si="10"/>
        <v>811533.45</v>
      </c>
      <c r="R101" s="3">
        <f t="shared" si="11"/>
        <v>141115.15</v>
      </c>
      <c r="S101" s="3">
        <f t="shared" si="12"/>
        <v>2160681.66</v>
      </c>
      <c r="T101" s="3">
        <f t="shared" si="13"/>
        <v>360938</v>
      </c>
      <c r="U101" s="3">
        <f>IF($A$5=1,IF($P101=0,0,ROUND(Q101/$P101*$E101,2)),Credits!D101)+Credits!J101</f>
        <v>103.8</v>
      </c>
      <c r="V101" s="3">
        <f>IF($A$5=1,IF($P101=0,0,ROUND(R101/$P101*$E101,2)),Credits!E101)+Credits!K101</f>
        <v>18.059999999999999</v>
      </c>
      <c r="W101" s="3">
        <f>IF($A$5=1,IF($P101=0,0,ROUND(S101/$P101*$E101,2)),Credits!F101)+Credits!L101</f>
        <v>276.38</v>
      </c>
      <c r="X101" s="3">
        <f>IF($A$5=1,IF($P101=0,0,ROUND(T101/$P101*$E101,2)),Credits!G101)+Credits!M101</f>
        <v>46.17</v>
      </c>
      <c r="Y101" s="3">
        <f t="shared" si="14"/>
        <v>444.41</v>
      </c>
    </row>
    <row r="102" spans="1:25" ht="15" x14ac:dyDescent="0.25">
      <c r="A102" s="5">
        <v>294</v>
      </c>
      <c r="B102" s="5">
        <v>1</v>
      </c>
      <c r="C102" s="2" t="s">
        <v>98</v>
      </c>
      <c r="D102" s="3">
        <v>37308.589999999997</v>
      </c>
      <c r="E102" s="3">
        <v>39402.79</v>
      </c>
      <c r="F102" s="173">
        <v>417989</v>
      </c>
      <c r="G102" s="173">
        <v>332683</v>
      </c>
      <c r="H102" s="173">
        <v>0</v>
      </c>
      <c r="I102" s="173">
        <v>113106</v>
      </c>
      <c r="J102" s="174">
        <v>34540</v>
      </c>
      <c r="K102" s="173">
        <v>0</v>
      </c>
      <c r="L102" s="173">
        <v>139583</v>
      </c>
      <c r="M102" s="175">
        <v>0</v>
      </c>
      <c r="N102" s="173">
        <v>0</v>
      </c>
      <c r="O102" s="152">
        <f t="shared" si="8"/>
        <v>1037901</v>
      </c>
      <c r="P102" s="3">
        <f t="shared" si="9"/>
        <v>287229</v>
      </c>
      <c r="Q102" s="3">
        <f t="shared" si="10"/>
        <v>113106</v>
      </c>
      <c r="R102" s="3">
        <f t="shared" si="11"/>
        <v>34540</v>
      </c>
      <c r="S102" s="3">
        <f t="shared" si="12"/>
        <v>139583</v>
      </c>
      <c r="T102" s="3">
        <f t="shared" si="13"/>
        <v>0</v>
      </c>
      <c r="U102" s="3">
        <f>IF($A$5=1,IF($P102=0,0,ROUND(Q102/$P102*$E102,2)),Credits!D102)+Credits!J102</f>
        <v>9693.01</v>
      </c>
      <c r="V102" s="3">
        <f>IF($A$5=1,IF($P102=0,0,ROUND(R102/$P102*$E102,2)),Credits!E102)+Credits!K102</f>
        <v>2959.42</v>
      </c>
      <c r="W102" s="3">
        <f>IF($A$5=1,IF($P102=0,0,ROUND(S102/$P102*$E102,2)),Credits!F102)+Credits!L102</f>
        <v>11961.720000000001</v>
      </c>
      <c r="X102" s="3">
        <f>IF($A$5=1,IF($P102=0,0,ROUND(T102/$P102*$E102,2)),Credits!G102)+Credits!M102</f>
        <v>0</v>
      </c>
      <c r="Y102" s="3">
        <f t="shared" si="14"/>
        <v>24614.15</v>
      </c>
    </row>
    <row r="103" spans="1:25" ht="15" x14ac:dyDescent="0.25">
      <c r="A103" s="5">
        <v>297</v>
      </c>
      <c r="B103" s="5">
        <v>1</v>
      </c>
      <c r="C103" s="2" t="s">
        <v>99</v>
      </c>
      <c r="D103" s="3">
        <v>35484.57</v>
      </c>
      <c r="E103" s="3">
        <v>50910.06</v>
      </c>
      <c r="F103" s="173">
        <v>393717</v>
      </c>
      <c r="G103" s="173">
        <v>15406</v>
      </c>
      <c r="H103" s="173">
        <v>0</v>
      </c>
      <c r="I103" s="173">
        <v>150483</v>
      </c>
      <c r="J103" s="174">
        <v>23453</v>
      </c>
      <c r="K103" s="173">
        <v>0</v>
      </c>
      <c r="L103" s="173">
        <v>0</v>
      </c>
      <c r="M103" s="175">
        <v>0</v>
      </c>
      <c r="N103" s="173">
        <v>0</v>
      </c>
      <c r="O103" s="152">
        <f t="shared" si="8"/>
        <v>583059</v>
      </c>
      <c r="P103" s="3">
        <f t="shared" si="9"/>
        <v>173936</v>
      </c>
      <c r="Q103" s="3">
        <f t="shared" si="10"/>
        <v>150483</v>
      </c>
      <c r="R103" s="3">
        <f t="shared" si="11"/>
        <v>23453</v>
      </c>
      <c r="S103" s="3">
        <f t="shared" si="12"/>
        <v>0</v>
      </c>
      <c r="T103" s="3">
        <f t="shared" si="13"/>
        <v>0</v>
      </c>
      <c r="U103" s="3">
        <f>IF($A$5=1,IF($P103=0,0,ROUND(Q103/$P103*$E103,2)),Credits!D103)+Credits!J103</f>
        <v>34809.67</v>
      </c>
      <c r="V103" s="3">
        <f>IF($A$5=1,IF($P103=0,0,ROUND(R103/$P103*$E103,2)),Credits!E103)+Credits!K103</f>
        <v>5427.41</v>
      </c>
      <c r="W103" s="3">
        <f>IF($A$5=1,IF($P103=0,0,ROUND(S103/$P103*$E103,2)),Credits!F103)+Credits!L103</f>
        <v>0</v>
      </c>
      <c r="X103" s="3">
        <f>IF($A$5=1,IF($P103=0,0,ROUND(T103/$P103*$E103,2)),Credits!G103)+Credits!M103</f>
        <v>0</v>
      </c>
      <c r="Y103" s="3">
        <f t="shared" si="14"/>
        <v>40237.08</v>
      </c>
    </row>
    <row r="104" spans="1:25" ht="15" x14ac:dyDescent="0.25">
      <c r="A104" s="5">
        <v>299</v>
      </c>
      <c r="B104" s="5">
        <v>1</v>
      </c>
      <c r="C104" s="2" t="s">
        <v>100</v>
      </c>
      <c r="D104" s="3">
        <v>233348.38</v>
      </c>
      <c r="E104" s="3">
        <v>227198.77</v>
      </c>
      <c r="F104" s="173">
        <v>484396</v>
      </c>
      <c r="G104" s="173">
        <v>68302</v>
      </c>
      <c r="H104" s="173">
        <v>0</v>
      </c>
      <c r="I104" s="173">
        <v>390058</v>
      </c>
      <c r="J104" s="174">
        <v>71022</v>
      </c>
      <c r="K104" s="173">
        <v>1450441</v>
      </c>
      <c r="L104" s="173">
        <v>0</v>
      </c>
      <c r="M104" s="175">
        <v>0</v>
      </c>
      <c r="N104" s="173">
        <v>0</v>
      </c>
      <c r="O104" s="152">
        <f t="shared" si="8"/>
        <v>2464219</v>
      </c>
      <c r="P104" s="3">
        <f t="shared" si="9"/>
        <v>1911521</v>
      </c>
      <c r="Q104" s="3">
        <f t="shared" si="10"/>
        <v>390058</v>
      </c>
      <c r="R104" s="3">
        <f t="shared" si="11"/>
        <v>71022</v>
      </c>
      <c r="S104" s="3">
        <f t="shared" si="12"/>
        <v>1450441</v>
      </c>
      <c r="T104" s="3">
        <f t="shared" si="13"/>
        <v>0</v>
      </c>
      <c r="U104" s="3">
        <f>IF($A$5=1,IF($P104=0,0,ROUND(Q104/$P104*$E104,2)),Credits!D104)+Credits!J104</f>
        <v>16312.07</v>
      </c>
      <c r="V104" s="3">
        <f>IF($A$5=1,IF($P104=0,0,ROUND(R104/$P104*$E104,2)),Credits!E104)+Credits!K104</f>
        <v>2971.01</v>
      </c>
      <c r="W104" s="3">
        <f>IF($A$5=1,IF($P104=0,0,ROUND(S104/$P104*$E104,2)),Credits!F104)+Credits!L104</f>
        <v>60657.59</v>
      </c>
      <c r="X104" s="3">
        <f>IF($A$5=1,IF($P104=0,0,ROUND(T104/$P104*$E104,2)),Credits!G104)+Credits!M104</f>
        <v>0</v>
      </c>
      <c r="Y104" s="3">
        <f t="shared" si="14"/>
        <v>79940.67</v>
      </c>
    </row>
    <row r="105" spans="1:25" ht="15" x14ac:dyDescent="0.25">
      <c r="A105" s="5">
        <v>300</v>
      </c>
      <c r="B105" s="5">
        <v>1</v>
      </c>
      <c r="C105" s="2" t="s">
        <v>101</v>
      </c>
      <c r="D105" s="3">
        <v>149392.82</v>
      </c>
      <c r="E105" s="3">
        <v>149033.08000000002</v>
      </c>
      <c r="F105" s="173">
        <v>764959</v>
      </c>
      <c r="G105" s="173">
        <v>157770</v>
      </c>
      <c r="H105" s="173">
        <v>0</v>
      </c>
      <c r="I105" s="173">
        <v>447031</v>
      </c>
      <c r="J105" s="174">
        <v>148363</v>
      </c>
      <c r="K105" s="173">
        <v>658106</v>
      </c>
      <c r="L105" s="173">
        <v>0</v>
      </c>
      <c r="M105" s="175">
        <v>0</v>
      </c>
      <c r="N105" s="173">
        <v>151865</v>
      </c>
      <c r="O105" s="152">
        <f t="shared" si="8"/>
        <v>2328094</v>
      </c>
      <c r="P105" s="3">
        <f t="shared" si="9"/>
        <v>1405365</v>
      </c>
      <c r="Q105" s="3">
        <f t="shared" si="10"/>
        <v>447031</v>
      </c>
      <c r="R105" s="3">
        <f t="shared" si="11"/>
        <v>148363</v>
      </c>
      <c r="S105" s="3">
        <f t="shared" si="12"/>
        <v>658106</v>
      </c>
      <c r="T105" s="3">
        <f t="shared" si="13"/>
        <v>151865</v>
      </c>
      <c r="U105" s="3">
        <f>IF($A$5=1,IF($P105=0,0,ROUND(Q105/$P105*$E105,2)),Credits!D105)+Credits!J105</f>
        <v>14719.689999999999</v>
      </c>
      <c r="V105" s="3">
        <f>IF($A$5=1,IF($P105=0,0,ROUND(R105/$P105*$E105,2)),Credits!E105)+Credits!K105</f>
        <v>4885.8499999999995</v>
      </c>
      <c r="W105" s="3">
        <f>IF($A$5=1,IF($P105=0,0,ROUND(S105/$P105*$E105,2)),Credits!F105)+Credits!L105</f>
        <v>21669.46</v>
      </c>
      <c r="X105" s="3">
        <f>IF($A$5=1,IF($P105=0,0,ROUND(T105/$P105*$E105,2)),Credits!G105)+Credits!M105</f>
        <v>5001.49</v>
      </c>
      <c r="Y105" s="3">
        <f t="shared" si="14"/>
        <v>46276.49</v>
      </c>
    </row>
    <row r="106" spans="1:25" ht="15" x14ac:dyDescent="0.25">
      <c r="A106" s="5">
        <v>306</v>
      </c>
      <c r="B106" s="5">
        <v>1</v>
      </c>
      <c r="C106" s="2" t="s">
        <v>102</v>
      </c>
      <c r="D106" s="3">
        <v>56096.07</v>
      </c>
      <c r="E106" s="3">
        <v>58709.999999999993</v>
      </c>
      <c r="F106" s="173">
        <v>0</v>
      </c>
      <c r="G106" s="173">
        <v>54100.66</v>
      </c>
      <c r="H106" s="173">
        <v>0</v>
      </c>
      <c r="I106" s="173">
        <v>140407.51</v>
      </c>
      <c r="J106" s="174">
        <v>22310.23</v>
      </c>
      <c r="K106" s="173">
        <v>843890.81</v>
      </c>
      <c r="L106" s="173">
        <v>0</v>
      </c>
      <c r="M106" s="175">
        <v>0</v>
      </c>
      <c r="N106" s="173">
        <v>0</v>
      </c>
      <c r="O106" s="152">
        <f t="shared" si="8"/>
        <v>1060709.21</v>
      </c>
      <c r="P106" s="3">
        <f t="shared" si="9"/>
        <v>1006608.55</v>
      </c>
      <c r="Q106" s="3">
        <f t="shared" si="10"/>
        <v>140407.51</v>
      </c>
      <c r="R106" s="3">
        <f t="shared" si="11"/>
        <v>22310.23</v>
      </c>
      <c r="S106" s="3">
        <f t="shared" si="12"/>
        <v>843890.81</v>
      </c>
      <c r="T106" s="3">
        <f t="shared" si="13"/>
        <v>0</v>
      </c>
      <c r="U106" s="3">
        <f>IF($A$5=1,IF($P106=0,0,ROUND(Q106/$P106*$E106,2)),Credits!D106)+Credits!J106</f>
        <v>1112.53</v>
      </c>
      <c r="V106" s="3">
        <f>IF($A$5=1,IF($P106=0,0,ROUND(R106/$P106*$E106,2)),Credits!E106)+Credits!K106</f>
        <v>176.74</v>
      </c>
      <c r="W106" s="3">
        <f>IF($A$5=1,IF($P106=0,0,ROUND(S106/$P106*$E106,2)),Credits!F106)+Credits!L106</f>
        <v>6686.96</v>
      </c>
      <c r="X106" s="3">
        <f>IF($A$5=1,IF($P106=0,0,ROUND(T106/$P106*$E106,2)),Credits!G106)+Credits!M106</f>
        <v>0</v>
      </c>
      <c r="Y106" s="3">
        <f t="shared" si="14"/>
        <v>7976.23</v>
      </c>
    </row>
    <row r="107" spans="1:25" ht="15" x14ac:dyDescent="0.25">
      <c r="A107" s="5">
        <v>308</v>
      </c>
      <c r="B107" s="5">
        <v>1</v>
      </c>
      <c r="C107" s="2" t="s">
        <v>103</v>
      </c>
      <c r="D107" s="3">
        <v>22161.059999999998</v>
      </c>
      <c r="E107" s="3">
        <v>19930.860000000004</v>
      </c>
      <c r="F107" s="173">
        <v>82905.070000000007</v>
      </c>
      <c r="G107" s="173">
        <v>109042.63</v>
      </c>
      <c r="H107" s="173">
        <v>0</v>
      </c>
      <c r="I107" s="173">
        <v>218767.19</v>
      </c>
      <c r="J107" s="174">
        <v>42982.16</v>
      </c>
      <c r="K107" s="173">
        <v>271005.81</v>
      </c>
      <c r="L107" s="173">
        <v>0</v>
      </c>
      <c r="M107" s="175">
        <v>0</v>
      </c>
      <c r="N107" s="173">
        <v>0</v>
      </c>
      <c r="O107" s="152">
        <f t="shared" si="8"/>
        <v>724702.8600000001</v>
      </c>
      <c r="P107" s="3">
        <f t="shared" si="9"/>
        <v>532755.16</v>
      </c>
      <c r="Q107" s="3">
        <f t="shared" si="10"/>
        <v>218767.19</v>
      </c>
      <c r="R107" s="3">
        <f t="shared" si="11"/>
        <v>42982.16</v>
      </c>
      <c r="S107" s="3">
        <f t="shared" si="12"/>
        <v>271005.81</v>
      </c>
      <c r="T107" s="3">
        <f t="shared" si="13"/>
        <v>0</v>
      </c>
      <c r="U107" s="3">
        <f>IF($A$5=1,IF($P107=0,0,ROUND(Q107/$P107*$E107,2)),Credits!D107)+Credits!J107</f>
        <v>945.36</v>
      </c>
      <c r="V107" s="3">
        <f>IF($A$5=1,IF($P107=0,0,ROUND(R107/$P107*$E107,2)),Credits!E107)+Credits!K107</f>
        <v>185.71</v>
      </c>
      <c r="W107" s="3">
        <f>IF($A$5=1,IF($P107=0,0,ROUND(S107/$P107*$E107,2)),Credits!F107)+Credits!L107</f>
        <v>1171.1099999999999</v>
      </c>
      <c r="X107" s="3">
        <f>IF($A$5=1,IF($P107=0,0,ROUND(T107/$P107*$E107,2)),Credits!G107)+Credits!M107</f>
        <v>0</v>
      </c>
      <c r="Y107" s="3">
        <f t="shared" si="14"/>
        <v>2302.1799999999998</v>
      </c>
    </row>
    <row r="108" spans="1:25" ht="15" x14ac:dyDescent="0.25">
      <c r="A108" s="5">
        <v>309</v>
      </c>
      <c r="B108" s="5">
        <v>1</v>
      </c>
      <c r="C108" s="2" t="s">
        <v>104</v>
      </c>
      <c r="D108" s="3">
        <v>194590.25</v>
      </c>
      <c r="E108" s="3">
        <v>187331.87</v>
      </c>
      <c r="F108" s="173">
        <v>902220</v>
      </c>
      <c r="G108" s="173">
        <v>200484.4</v>
      </c>
      <c r="H108" s="173">
        <v>0</v>
      </c>
      <c r="I108" s="173">
        <v>490944.23</v>
      </c>
      <c r="J108" s="174">
        <v>190079.44</v>
      </c>
      <c r="K108" s="173">
        <v>2472374.7400000002</v>
      </c>
      <c r="L108" s="173">
        <v>599056.85</v>
      </c>
      <c r="M108" s="175">
        <v>0</v>
      </c>
      <c r="N108" s="173">
        <v>0</v>
      </c>
      <c r="O108" s="152">
        <f t="shared" si="8"/>
        <v>4855159.66</v>
      </c>
      <c r="P108" s="3">
        <f t="shared" si="9"/>
        <v>3752455.2600000002</v>
      </c>
      <c r="Q108" s="3">
        <f t="shared" si="10"/>
        <v>490944.23</v>
      </c>
      <c r="R108" s="3">
        <f t="shared" si="11"/>
        <v>190079.44</v>
      </c>
      <c r="S108" s="3">
        <f t="shared" si="12"/>
        <v>3071431.5900000003</v>
      </c>
      <c r="T108" s="3">
        <f t="shared" si="13"/>
        <v>0</v>
      </c>
      <c r="U108" s="3">
        <f>IF($A$5=1,IF($P108=0,0,ROUND(Q108/$P108*$E108,2)),Credits!D108)+Credits!J108</f>
        <v>3075.04</v>
      </c>
      <c r="V108" s="3">
        <f>IF($A$5=1,IF($P108=0,0,ROUND(R108/$P108*$E108,2)),Credits!E108)+Credits!K108</f>
        <v>1190.42</v>
      </c>
      <c r="W108" s="3">
        <f>IF($A$5=1,IF($P108=0,0,ROUND(S108/$P108*$E108,2)),Credits!F108)+Credits!L108</f>
        <v>19240.59</v>
      </c>
      <c r="X108" s="3">
        <f>IF($A$5=1,IF($P108=0,0,ROUND(T108/$P108*$E108,2)),Credits!G108)+Credits!M108</f>
        <v>0</v>
      </c>
      <c r="Y108" s="3">
        <f t="shared" si="14"/>
        <v>23506.05</v>
      </c>
    </row>
    <row r="109" spans="1:25" ht="15" x14ac:dyDescent="0.25">
      <c r="A109" s="5">
        <v>314</v>
      </c>
      <c r="B109" s="5">
        <v>1</v>
      </c>
      <c r="C109" s="2" t="s">
        <v>105</v>
      </c>
      <c r="D109" s="3">
        <v>152299.88</v>
      </c>
      <c r="E109" s="3">
        <v>150207.39000000001</v>
      </c>
      <c r="F109" s="173">
        <v>345737.95</v>
      </c>
      <c r="G109" s="173">
        <v>56266.23</v>
      </c>
      <c r="H109" s="173">
        <v>0</v>
      </c>
      <c r="I109" s="173">
        <v>210060.43</v>
      </c>
      <c r="J109" s="174">
        <v>46456.06</v>
      </c>
      <c r="K109" s="173">
        <v>638300.91</v>
      </c>
      <c r="L109" s="173">
        <v>152919.32999999999</v>
      </c>
      <c r="M109" s="175">
        <v>0</v>
      </c>
      <c r="N109" s="173">
        <v>159189</v>
      </c>
      <c r="O109" s="152">
        <f t="shared" si="8"/>
        <v>1608929.9100000001</v>
      </c>
      <c r="P109" s="3">
        <f t="shared" si="9"/>
        <v>1206925.73</v>
      </c>
      <c r="Q109" s="3">
        <f t="shared" si="10"/>
        <v>210060.43</v>
      </c>
      <c r="R109" s="3">
        <f t="shared" si="11"/>
        <v>46456.06</v>
      </c>
      <c r="S109" s="3">
        <f t="shared" si="12"/>
        <v>791220.24</v>
      </c>
      <c r="T109" s="3">
        <f t="shared" si="13"/>
        <v>159189</v>
      </c>
      <c r="U109" s="3">
        <f>IF($A$5=1,IF($P109=0,0,ROUND(Q109/$P109*$E109,2)),Credits!D109)+Credits!J109</f>
        <v>6324.3499999999995</v>
      </c>
      <c r="V109" s="3">
        <f>IF($A$5=1,IF($P109=0,0,ROUND(R109/$P109*$E109,2)),Credits!E109)+Credits!K109</f>
        <v>1391.9299999999998</v>
      </c>
      <c r="W109" s="3">
        <f>IF($A$5=1,IF($P109=0,0,ROUND(S109/$P109*$E109,2)),Credits!F109)+Credits!L109</f>
        <v>24470.249999999996</v>
      </c>
      <c r="X109" s="3">
        <f>IF($A$5=1,IF($P109=0,0,ROUND(T109/$P109*$E109,2)),Credits!G109)+Credits!M109</f>
        <v>4004.61</v>
      </c>
      <c r="Y109" s="3">
        <f t="shared" si="14"/>
        <v>36191.139999999992</v>
      </c>
    </row>
    <row r="110" spans="1:25" ht="15" x14ac:dyDescent="0.25">
      <c r="A110" s="5">
        <v>316</v>
      </c>
      <c r="B110" s="5">
        <v>1</v>
      </c>
      <c r="C110" s="2" t="s">
        <v>106</v>
      </c>
      <c r="D110" s="3">
        <v>288859.62</v>
      </c>
      <c r="E110" s="3">
        <v>206522.05</v>
      </c>
      <c r="F110" s="173">
        <v>109.96</v>
      </c>
      <c r="G110" s="173">
        <v>175448.73</v>
      </c>
      <c r="H110" s="173">
        <v>0</v>
      </c>
      <c r="I110" s="173">
        <v>256076.24</v>
      </c>
      <c r="J110" s="174">
        <v>0</v>
      </c>
      <c r="K110" s="173">
        <v>40568.449999999997</v>
      </c>
      <c r="L110" s="173">
        <v>708602</v>
      </c>
      <c r="M110" s="175">
        <v>0</v>
      </c>
      <c r="N110" s="173">
        <v>1517490.35</v>
      </c>
      <c r="O110" s="152">
        <f t="shared" si="8"/>
        <v>2698295.73</v>
      </c>
      <c r="P110" s="3">
        <f t="shared" si="9"/>
        <v>2522737.04</v>
      </c>
      <c r="Q110" s="3">
        <f t="shared" si="10"/>
        <v>256076.24</v>
      </c>
      <c r="R110" s="3">
        <f t="shared" si="11"/>
        <v>0</v>
      </c>
      <c r="S110" s="3">
        <f t="shared" si="12"/>
        <v>749170.45</v>
      </c>
      <c r="T110" s="3">
        <f t="shared" si="13"/>
        <v>1517490.35</v>
      </c>
      <c r="U110" s="3">
        <f>IF($A$5=1,IF($P110=0,0,ROUND(Q110/$P110*$E110,2)),Credits!D110)+Credits!J110</f>
        <v>29895.54</v>
      </c>
      <c r="V110" s="3">
        <f>IF($A$5=1,IF($P110=0,0,ROUND(R110/$P110*$E110,2)),Credits!E110)+Credits!K110</f>
        <v>0</v>
      </c>
      <c r="W110" s="3">
        <f>IF($A$5=1,IF($P110=0,0,ROUND(S110/$P110*$E110,2)),Credits!F110)+Credits!L110</f>
        <v>87303.08</v>
      </c>
      <c r="X110" s="3">
        <f>IF($A$5=1,IF($P110=0,0,ROUND(T110/$P110*$E110,2)),Credits!G110)+Credits!M110</f>
        <v>176417.44999999998</v>
      </c>
      <c r="Y110" s="3">
        <f t="shared" si="14"/>
        <v>293616.06999999995</v>
      </c>
    </row>
    <row r="111" spans="1:25" ht="15" x14ac:dyDescent="0.25">
      <c r="A111" s="5">
        <v>317</v>
      </c>
      <c r="B111" s="5">
        <v>1</v>
      </c>
      <c r="C111" s="2" t="s">
        <v>107</v>
      </c>
      <c r="D111" s="3">
        <v>128241.59</v>
      </c>
      <c r="E111" s="3">
        <v>60987.5</v>
      </c>
      <c r="F111" s="173">
        <v>0</v>
      </c>
      <c r="G111" s="173">
        <v>145127.93</v>
      </c>
      <c r="H111" s="173">
        <v>0</v>
      </c>
      <c r="I111" s="173">
        <v>0</v>
      </c>
      <c r="J111" s="174">
        <v>0</v>
      </c>
      <c r="K111" s="173">
        <v>580776.38</v>
      </c>
      <c r="L111" s="173">
        <v>325774.03999999998</v>
      </c>
      <c r="M111" s="175">
        <v>0</v>
      </c>
      <c r="N111" s="173">
        <v>96176.33</v>
      </c>
      <c r="O111" s="152">
        <f t="shared" si="8"/>
        <v>1147854.6800000002</v>
      </c>
      <c r="P111" s="3">
        <f t="shared" si="9"/>
        <v>1002726.7499999999</v>
      </c>
      <c r="Q111" s="3">
        <f t="shared" si="10"/>
        <v>0</v>
      </c>
      <c r="R111" s="3">
        <f t="shared" si="11"/>
        <v>0</v>
      </c>
      <c r="S111" s="3">
        <f t="shared" si="12"/>
        <v>906550.41999999993</v>
      </c>
      <c r="T111" s="3">
        <f t="shared" si="13"/>
        <v>96176.33</v>
      </c>
      <c r="U111" s="3">
        <f>IF($A$5=1,IF($P111=0,0,ROUND(Q111/$P111*$E111,2)),Credits!D111)+Credits!J111</f>
        <v>2026.71</v>
      </c>
      <c r="V111" s="3">
        <f>IF($A$5=1,IF($P111=0,0,ROUND(R111/$P111*$E111,2)),Credits!E111)+Credits!K111</f>
        <v>0</v>
      </c>
      <c r="W111" s="3">
        <f>IF($A$5=1,IF($P111=0,0,ROUND(S111/$P111*$E111,2)),Credits!F111)+Credits!L111</f>
        <v>68557.010000000009</v>
      </c>
      <c r="X111" s="3">
        <f>IF($A$5=1,IF($P111=0,0,ROUND(T111/$P111*$E111,2)),Credits!G111)+Credits!M111</f>
        <v>7276.48</v>
      </c>
      <c r="Y111" s="3">
        <f t="shared" si="14"/>
        <v>77860.200000000012</v>
      </c>
    </row>
    <row r="112" spans="1:25" ht="15" x14ac:dyDescent="0.25">
      <c r="A112" s="5">
        <v>318</v>
      </c>
      <c r="B112" s="5">
        <v>1</v>
      </c>
      <c r="C112" s="2" t="s">
        <v>108</v>
      </c>
      <c r="D112" s="3">
        <v>820170.94</v>
      </c>
      <c r="E112" s="3">
        <v>403849.87</v>
      </c>
      <c r="F112" s="173">
        <v>0</v>
      </c>
      <c r="G112" s="173">
        <v>506600.41</v>
      </c>
      <c r="H112" s="173">
        <v>0</v>
      </c>
      <c r="I112" s="173">
        <v>2507594.9300000002</v>
      </c>
      <c r="J112" s="174">
        <v>0</v>
      </c>
      <c r="K112" s="173">
        <v>3070070.51</v>
      </c>
      <c r="L112" s="173">
        <v>491715</v>
      </c>
      <c r="M112" s="175">
        <v>0</v>
      </c>
      <c r="N112" s="173">
        <v>2018494</v>
      </c>
      <c r="O112" s="152">
        <f t="shared" si="8"/>
        <v>8594474.8499999996</v>
      </c>
      <c r="P112" s="3">
        <f t="shared" si="9"/>
        <v>8087874.4399999995</v>
      </c>
      <c r="Q112" s="3">
        <f t="shared" si="10"/>
        <v>2507594.9300000002</v>
      </c>
      <c r="R112" s="3">
        <f t="shared" si="11"/>
        <v>0</v>
      </c>
      <c r="S112" s="3">
        <f t="shared" si="12"/>
        <v>3561785.51</v>
      </c>
      <c r="T112" s="3">
        <f t="shared" si="13"/>
        <v>2018494</v>
      </c>
      <c r="U112" s="3">
        <f>IF($A$5=1,IF($P112=0,0,ROUND(Q112/$P112*$E112,2)),Credits!D112)+Credits!J112</f>
        <v>172996.25</v>
      </c>
      <c r="V112" s="3">
        <f>IF($A$5=1,IF($P112=0,0,ROUND(R112/$P112*$E112,2)),Credits!E112)+Credits!K112</f>
        <v>0</v>
      </c>
      <c r="W112" s="3">
        <f>IF($A$5=1,IF($P112=0,0,ROUND(S112/$P112*$E112,2)),Credits!F112)+Credits!L112</f>
        <v>241724.37</v>
      </c>
      <c r="X112" s="3">
        <f>IF($A$5=1,IF($P112=0,0,ROUND(T112/$P112*$E112,2)),Credits!G112)+Credits!M112</f>
        <v>137003.92000000001</v>
      </c>
      <c r="Y112" s="3">
        <f t="shared" si="14"/>
        <v>551724.54</v>
      </c>
    </row>
    <row r="113" spans="1:25" ht="15" x14ac:dyDescent="0.25">
      <c r="A113" s="5">
        <v>319</v>
      </c>
      <c r="B113" s="5">
        <v>1</v>
      </c>
      <c r="C113" s="2" t="s">
        <v>109</v>
      </c>
      <c r="D113" s="3">
        <v>103305.37</v>
      </c>
      <c r="E113" s="3">
        <v>88889.85</v>
      </c>
      <c r="F113" s="173">
        <v>301636.15999999997</v>
      </c>
      <c r="G113" s="173">
        <v>51560.95</v>
      </c>
      <c r="H113" s="173">
        <v>0</v>
      </c>
      <c r="I113" s="173">
        <v>252556.71</v>
      </c>
      <c r="J113" s="174">
        <v>0</v>
      </c>
      <c r="K113" s="173">
        <v>0</v>
      </c>
      <c r="L113" s="173">
        <v>0</v>
      </c>
      <c r="M113" s="175">
        <v>0</v>
      </c>
      <c r="N113" s="173">
        <v>322949</v>
      </c>
      <c r="O113" s="152">
        <f t="shared" si="8"/>
        <v>928702.82</v>
      </c>
      <c r="P113" s="3">
        <f t="shared" si="9"/>
        <v>575505.71</v>
      </c>
      <c r="Q113" s="3">
        <f t="shared" si="10"/>
        <v>252556.71</v>
      </c>
      <c r="R113" s="3">
        <f t="shared" si="11"/>
        <v>0</v>
      </c>
      <c r="S113" s="3">
        <f t="shared" si="12"/>
        <v>0</v>
      </c>
      <c r="T113" s="3">
        <f t="shared" si="13"/>
        <v>322949</v>
      </c>
      <c r="U113" s="3">
        <f>IF($A$5=1,IF($P113=0,0,ROUND(Q113/$P113*$E113,2)),Credits!D113)+Credits!J113</f>
        <v>42352.25</v>
      </c>
      <c r="V113" s="3">
        <f>IF($A$5=1,IF($P113=0,0,ROUND(R113/$P113*$E113,2)),Credits!E113)+Credits!K113</f>
        <v>0</v>
      </c>
      <c r="W113" s="3">
        <f>IF($A$5=1,IF($P113=0,0,ROUND(S113/$P113*$E113,2)),Credits!F113)+Credits!L113</f>
        <v>0</v>
      </c>
      <c r="X113" s="3">
        <f>IF($A$5=1,IF($P113=0,0,ROUND(T113/$P113*$E113,2)),Credits!G113)+Credits!M113</f>
        <v>52564.979999999996</v>
      </c>
      <c r="Y113" s="3">
        <f t="shared" si="14"/>
        <v>94917.23</v>
      </c>
    </row>
    <row r="114" spans="1:25" ht="15" x14ac:dyDescent="0.25">
      <c r="A114" s="5">
        <v>323</v>
      </c>
      <c r="B114" s="5">
        <v>2</v>
      </c>
      <c r="C114" s="2" t="s">
        <v>110</v>
      </c>
      <c r="D114" s="3">
        <v>240</v>
      </c>
      <c r="E114" s="3">
        <v>251.33999999999997</v>
      </c>
      <c r="F114" s="173">
        <v>64222.720000000001</v>
      </c>
      <c r="G114" s="173">
        <v>2565.7800000000002</v>
      </c>
      <c r="H114" s="173">
        <v>0</v>
      </c>
      <c r="I114" s="173">
        <v>4244.07</v>
      </c>
      <c r="J114" s="174">
        <v>2600.86</v>
      </c>
      <c r="K114" s="173">
        <v>0</v>
      </c>
      <c r="L114" s="173">
        <v>0</v>
      </c>
      <c r="M114" s="175">
        <v>0</v>
      </c>
      <c r="N114" s="173">
        <v>0</v>
      </c>
      <c r="O114" s="152">
        <f t="shared" si="8"/>
        <v>73633.430000000008</v>
      </c>
      <c r="P114" s="3">
        <f t="shared" si="9"/>
        <v>6844.93</v>
      </c>
      <c r="Q114" s="3">
        <f t="shared" si="10"/>
        <v>4244.07</v>
      </c>
      <c r="R114" s="3">
        <f t="shared" si="11"/>
        <v>2600.86</v>
      </c>
      <c r="S114" s="3">
        <f t="shared" si="12"/>
        <v>0</v>
      </c>
      <c r="T114" s="3">
        <f t="shared" si="13"/>
        <v>0</v>
      </c>
      <c r="U114" s="3">
        <f>IF($A$5=1,IF($P114=0,0,ROUND(Q114/$P114*$E114,2)),Credits!D114)+Credits!J114</f>
        <v>57.3</v>
      </c>
      <c r="V114" s="3">
        <f>IF($A$5=1,IF($P114=0,0,ROUND(R114/$P114*$E114,2)),Credits!E114)+Credits!K114</f>
        <v>35.1</v>
      </c>
      <c r="W114" s="3">
        <f>IF($A$5=1,IF($P114=0,0,ROUND(S114/$P114*$E114,2)),Credits!F114)+Credits!L114</f>
        <v>0</v>
      </c>
      <c r="X114" s="3">
        <f>IF($A$5=1,IF($P114=0,0,ROUND(T114/$P114*$E114,2)),Credits!G114)+Credits!M114</f>
        <v>0</v>
      </c>
      <c r="Y114" s="3">
        <f t="shared" si="14"/>
        <v>92.4</v>
      </c>
    </row>
    <row r="115" spans="1:25" ht="15" x14ac:dyDescent="0.25">
      <c r="A115" s="5">
        <v>330</v>
      </c>
      <c r="B115" s="5">
        <v>1</v>
      </c>
      <c r="C115" s="2" t="s">
        <v>111</v>
      </c>
      <c r="D115" s="3">
        <v>34190.69</v>
      </c>
      <c r="E115" s="3">
        <v>36422.75</v>
      </c>
      <c r="F115" s="173">
        <v>478849</v>
      </c>
      <c r="G115" s="173">
        <v>13684</v>
      </c>
      <c r="H115" s="173">
        <v>0</v>
      </c>
      <c r="I115" s="173">
        <v>141635</v>
      </c>
      <c r="J115" s="174">
        <v>26933</v>
      </c>
      <c r="K115" s="173">
        <v>261257</v>
      </c>
      <c r="L115" s="173">
        <v>0</v>
      </c>
      <c r="M115" s="175">
        <v>0</v>
      </c>
      <c r="N115" s="173">
        <v>0</v>
      </c>
      <c r="O115" s="152">
        <f t="shared" si="8"/>
        <v>922358</v>
      </c>
      <c r="P115" s="3">
        <f t="shared" si="9"/>
        <v>429825</v>
      </c>
      <c r="Q115" s="3">
        <f t="shared" si="10"/>
        <v>141635</v>
      </c>
      <c r="R115" s="3">
        <f t="shared" si="11"/>
        <v>26933</v>
      </c>
      <c r="S115" s="3">
        <f t="shared" si="12"/>
        <v>261257</v>
      </c>
      <c r="T115" s="3">
        <f t="shared" si="13"/>
        <v>0</v>
      </c>
      <c r="U115" s="3">
        <f>IF($A$5=1,IF($P115=0,0,ROUND(Q115/$P115*$E115,2)),Credits!D115)+Credits!J115</f>
        <v>4956.83</v>
      </c>
      <c r="V115" s="3">
        <f>IF($A$5=1,IF($P115=0,0,ROUND(R115/$P115*$E115,2)),Credits!E115)+Credits!K115</f>
        <v>942.78</v>
      </c>
      <c r="W115" s="3">
        <f>IF($A$5=1,IF($P115=0,0,ROUND(S115/$P115*$E115,2)),Credits!F115)+Credits!L115</f>
        <v>8350.0399999999991</v>
      </c>
      <c r="X115" s="3">
        <f>IF($A$5=1,IF($P115=0,0,ROUND(T115/$P115*$E115,2)),Credits!G115)+Credits!M115</f>
        <v>0</v>
      </c>
      <c r="Y115" s="3">
        <f t="shared" si="14"/>
        <v>14249.649999999998</v>
      </c>
    </row>
    <row r="116" spans="1:25" ht="15" x14ac:dyDescent="0.25">
      <c r="A116" s="5">
        <v>332</v>
      </c>
      <c r="B116" s="5">
        <v>1</v>
      </c>
      <c r="C116" s="2" t="s">
        <v>112</v>
      </c>
      <c r="D116" s="3">
        <v>147100.04999999999</v>
      </c>
      <c r="E116" s="3">
        <v>150624.37</v>
      </c>
      <c r="F116" s="173">
        <v>160978.26999999999</v>
      </c>
      <c r="G116" s="173">
        <v>174562.83</v>
      </c>
      <c r="H116" s="173">
        <v>0</v>
      </c>
      <c r="I116" s="173">
        <v>403423.14</v>
      </c>
      <c r="J116" s="174">
        <v>101519.21</v>
      </c>
      <c r="K116" s="173">
        <v>684822.78</v>
      </c>
      <c r="L116" s="173">
        <v>0</v>
      </c>
      <c r="M116" s="175">
        <v>0</v>
      </c>
      <c r="N116" s="173">
        <v>0</v>
      </c>
      <c r="O116" s="152">
        <f t="shared" si="8"/>
        <v>1525306.23</v>
      </c>
      <c r="P116" s="3">
        <f t="shared" si="9"/>
        <v>1189765.1300000001</v>
      </c>
      <c r="Q116" s="3">
        <f t="shared" si="10"/>
        <v>403423.14</v>
      </c>
      <c r="R116" s="3">
        <f t="shared" si="11"/>
        <v>101519.21</v>
      </c>
      <c r="S116" s="3">
        <f t="shared" si="12"/>
        <v>684822.78</v>
      </c>
      <c r="T116" s="3">
        <f t="shared" si="13"/>
        <v>0</v>
      </c>
      <c r="U116" s="3">
        <f>IF($A$5=1,IF($P116=0,0,ROUND(Q116/$P116*$E116,2)),Credits!D116)+Credits!J116</f>
        <v>6831.88</v>
      </c>
      <c r="V116" s="3">
        <f>IF($A$5=1,IF($P116=0,0,ROUND(R116/$P116*$E116,2)),Credits!E116)+Credits!K116</f>
        <v>1719.28</v>
      </c>
      <c r="W116" s="3">
        <f>IF($A$5=1,IF($P116=0,0,ROUND(S116/$P116*$E116,2)),Credits!F116)+Credits!L116</f>
        <v>11596.45</v>
      </c>
      <c r="X116" s="3">
        <f>IF($A$5=1,IF($P116=0,0,ROUND(T116/$P116*$E116,2)),Credits!G116)+Credits!M116</f>
        <v>0</v>
      </c>
      <c r="Y116" s="3">
        <f t="shared" si="14"/>
        <v>20147.61</v>
      </c>
    </row>
    <row r="117" spans="1:25" ht="15" x14ac:dyDescent="0.25">
      <c r="A117" s="5">
        <v>333</v>
      </c>
      <c r="B117" s="5">
        <v>1</v>
      </c>
      <c r="C117" s="2" t="s">
        <v>113</v>
      </c>
      <c r="D117" s="3">
        <v>127622.88000000002</v>
      </c>
      <c r="E117" s="3">
        <v>115659.59</v>
      </c>
      <c r="F117" s="173">
        <v>0</v>
      </c>
      <c r="G117" s="173">
        <v>62028.05</v>
      </c>
      <c r="H117" s="173">
        <v>0</v>
      </c>
      <c r="I117" s="173">
        <v>140056.14000000001</v>
      </c>
      <c r="J117" s="174">
        <v>30213.360000000001</v>
      </c>
      <c r="K117" s="173">
        <v>520006.6</v>
      </c>
      <c r="L117" s="173">
        <v>0</v>
      </c>
      <c r="M117" s="175">
        <v>0</v>
      </c>
      <c r="N117" s="173">
        <v>137186</v>
      </c>
      <c r="O117" s="152">
        <f t="shared" si="8"/>
        <v>889490.14999999991</v>
      </c>
      <c r="P117" s="3">
        <f t="shared" si="9"/>
        <v>827462.1</v>
      </c>
      <c r="Q117" s="3">
        <f t="shared" si="10"/>
        <v>140056.14000000001</v>
      </c>
      <c r="R117" s="3">
        <f t="shared" si="11"/>
        <v>30213.360000000001</v>
      </c>
      <c r="S117" s="3">
        <f t="shared" si="12"/>
        <v>520006.6</v>
      </c>
      <c r="T117" s="3">
        <f t="shared" si="13"/>
        <v>137186</v>
      </c>
      <c r="U117" s="3">
        <f>IF($A$5=1,IF($P117=0,0,ROUND(Q117/$P117*$E117,2)),Credits!D117)+Credits!J117</f>
        <v>4600.07</v>
      </c>
      <c r="V117" s="3">
        <f>IF($A$5=1,IF($P117=0,0,ROUND(R117/$P117*$E117,2)),Credits!E117)+Credits!K117</f>
        <v>992.65000000000009</v>
      </c>
      <c r="W117" s="3">
        <f>IF($A$5=1,IF($P117=0,0,ROUND(S117/$P117*$E117,2)),Credits!F117)+Credits!L117</f>
        <v>17078.39</v>
      </c>
      <c r="X117" s="3">
        <f>IF($A$5=1,IF($P117=0,0,ROUND(T117/$P117*$E117,2)),Credits!G117)+Credits!M117</f>
        <v>4505.58</v>
      </c>
      <c r="Y117" s="3">
        <f t="shared" si="14"/>
        <v>27176.690000000002</v>
      </c>
    </row>
    <row r="118" spans="1:25" ht="15" x14ac:dyDescent="0.25">
      <c r="A118" s="5">
        <v>345</v>
      </c>
      <c r="B118" s="5">
        <v>1</v>
      </c>
      <c r="C118" s="2" t="s">
        <v>114</v>
      </c>
      <c r="D118" s="3">
        <v>136605.89000000001</v>
      </c>
      <c r="E118" s="3">
        <v>129168.45</v>
      </c>
      <c r="F118" s="173">
        <v>969006.54</v>
      </c>
      <c r="G118" s="173">
        <v>177724.44</v>
      </c>
      <c r="H118" s="173">
        <v>500000</v>
      </c>
      <c r="I118" s="173">
        <v>608919.51</v>
      </c>
      <c r="J118" s="174">
        <v>149779.54</v>
      </c>
      <c r="K118" s="173">
        <v>1287055.46</v>
      </c>
      <c r="L118" s="173">
        <v>87002.27</v>
      </c>
      <c r="M118" s="175">
        <v>0</v>
      </c>
      <c r="N118" s="173">
        <v>260196</v>
      </c>
      <c r="O118" s="152">
        <f t="shared" si="8"/>
        <v>4039683.7600000002</v>
      </c>
      <c r="P118" s="3">
        <f t="shared" si="9"/>
        <v>2892952.78</v>
      </c>
      <c r="Q118" s="3">
        <f t="shared" si="10"/>
        <v>1108919.51</v>
      </c>
      <c r="R118" s="3">
        <f t="shared" si="11"/>
        <v>149779.54</v>
      </c>
      <c r="S118" s="3">
        <f t="shared" si="12"/>
        <v>1374057.73</v>
      </c>
      <c r="T118" s="3">
        <f t="shared" si="13"/>
        <v>260196</v>
      </c>
      <c r="U118" s="3">
        <f>IF($A$5=1,IF($P118=0,0,ROUND(Q118/$P118*$E118,2)),Credits!D118)+Credits!J118</f>
        <v>9029.51</v>
      </c>
      <c r="V118" s="3">
        <f>IF($A$5=1,IF($P118=0,0,ROUND(R118/$P118*$E118,2)),Credits!E118)+Credits!K118</f>
        <v>1220</v>
      </c>
      <c r="W118" s="3">
        <f>IF($A$5=1,IF($P118=0,0,ROUND(S118/$P118*$E118,2)),Credits!F118)+Credits!L118</f>
        <v>11189.189999999999</v>
      </c>
      <c r="X118" s="3">
        <f>IF($A$5=1,IF($P118=0,0,ROUND(T118/$P118*$E118,2)),Credits!G118)+Credits!M118</f>
        <v>2119.34</v>
      </c>
      <c r="Y118" s="3">
        <f t="shared" si="14"/>
        <v>23558.039999999997</v>
      </c>
    </row>
    <row r="119" spans="1:25" ht="15" x14ac:dyDescent="0.25">
      <c r="A119" s="5">
        <v>347</v>
      </c>
      <c r="B119" s="5">
        <v>1</v>
      </c>
      <c r="C119" s="2" t="s">
        <v>115</v>
      </c>
      <c r="D119" s="3">
        <v>324820.08</v>
      </c>
      <c r="E119" s="3">
        <v>313989.46999999997</v>
      </c>
      <c r="F119" s="173">
        <v>2204985.2999999998</v>
      </c>
      <c r="G119" s="173">
        <v>409708.62</v>
      </c>
      <c r="H119" s="173">
        <v>0</v>
      </c>
      <c r="I119" s="173">
        <v>1551051.13</v>
      </c>
      <c r="J119" s="174">
        <v>381406.88</v>
      </c>
      <c r="K119" s="173">
        <v>2474950.7200000002</v>
      </c>
      <c r="L119" s="173">
        <v>108692.79</v>
      </c>
      <c r="M119" s="175">
        <v>0</v>
      </c>
      <c r="N119" s="173">
        <v>0</v>
      </c>
      <c r="O119" s="152">
        <f t="shared" si="8"/>
        <v>7130795.4400000004</v>
      </c>
      <c r="P119" s="3">
        <f t="shared" si="9"/>
        <v>4516101.5200000005</v>
      </c>
      <c r="Q119" s="3">
        <f t="shared" si="10"/>
        <v>1551051.13</v>
      </c>
      <c r="R119" s="3">
        <f t="shared" si="11"/>
        <v>381406.88</v>
      </c>
      <c r="S119" s="3">
        <f t="shared" si="12"/>
        <v>2583643.5100000002</v>
      </c>
      <c r="T119" s="3">
        <f t="shared" si="13"/>
        <v>0</v>
      </c>
      <c r="U119" s="3">
        <f>IF($A$5=1,IF($P119=0,0,ROUND(Q119/$P119*$E119,2)),Credits!D119)+Credits!J119</f>
        <v>7240.51</v>
      </c>
      <c r="V119" s="3">
        <f>IF($A$5=1,IF($P119=0,0,ROUND(R119/$P119*$E119,2)),Credits!E119)+Credits!K119</f>
        <v>1780.77</v>
      </c>
      <c r="W119" s="3">
        <f>IF($A$5=1,IF($P119=0,0,ROUND(S119/$P119*$E119,2)),Credits!F119)+Credits!L119</f>
        <v>11975.14</v>
      </c>
      <c r="X119" s="3">
        <f>IF($A$5=1,IF($P119=0,0,ROUND(T119/$P119*$E119,2)),Credits!G119)+Credits!M119</f>
        <v>0</v>
      </c>
      <c r="Y119" s="3">
        <f t="shared" si="14"/>
        <v>20996.42</v>
      </c>
    </row>
    <row r="120" spans="1:25" ht="15" x14ac:dyDescent="0.25">
      <c r="A120" s="5">
        <v>356</v>
      </c>
      <c r="B120" s="5">
        <v>1</v>
      </c>
      <c r="C120" s="2" t="s">
        <v>116</v>
      </c>
      <c r="D120" s="3">
        <v>10615.7</v>
      </c>
      <c r="E120" s="3">
        <v>8095.17</v>
      </c>
      <c r="F120" s="173">
        <v>160323.16</v>
      </c>
      <c r="G120" s="173">
        <v>2663.08</v>
      </c>
      <c r="H120" s="173">
        <v>0</v>
      </c>
      <c r="I120" s="173">
        <v>36262.44</v>
      </c>
      <c r="J120" s="174">
        <v>10827.91</v>
      </c>
      <c r="K120" s="173">
        <v>0</v>
      </c>
      <c r="L120" s="173">
        <v>0</v>
      </c>
      <c r="M120" s="175">
        <v>0</v>
      </c>
      <c r="N120" s="173">
        <v>0</v>
      </c>
      <c r="O120" s="152">
        <f t="shared" si="8"/>
        <v>210076.59</v>
      </c>
      <c r="P120" s="3">
        <f t="shared" si="9"/>
        <v>47090.350000000006</v>
      </c>
      <c r="Q120" s="3">
        <f t="shared" si="10"/>
        <v>36262.44</v>
      </c>
      <c r="R120" s="3">
        <f t="shared" si="11"/>
        <v>10827.91</v>
      </c>
      <c r="S120" s="3">
        <f t="shared" si="12"/>
        <v>0</v>
      </c>
      <c r="T120" s="3">
        <f t="shared" si="13"/>
        <v>0</v>
      </c>
      <c r="U120" s="3">
        <f>IF($A$5=1,IF($P120=0,0,ROUND(Q120/$P120*$E120,2)),Credits!D120)+Credits!J120</f>
        <v>2059.86</v>
      </c>
      <c r="V120" s="3">
        <f>IF($A$5=1,IF($P120=0,0,ROUND(R120/$P120*$E120,2)),Credits!E120)+Credits!K120</f>
        <v>614.99</v>
      </c>
      <c r="W120" s="3">
        <f>IF($A$5=1,IF($P120=0,0,ROUND(S120/$P120*$E120,2)),Credits!F120)+Credits!L120</f>
        <v>0</v>
      </c>
      <c r="X120" s="3">
        <f>IF($A$5=1,IF($P120=0,0,ROUND(T120/$P120*$E120,2)),Credits!G120)+Credits!M120</f>
        <v>0</v>
      </c>
      <c r="Y120" s="3">
        <f t="shared" si="14"/>
        <v>2674.8500000000004</v>
      </c>
    </row>
    <row r="121" spans="1:25" ht="15" x14ac:dyDescent="0.25">
      <c r="A121" s="5">
        <v>361</v>
      </c>
      <c r="B121" s="5">
        <v>1</v>
      </c>
      <c r="C121" s="2" t="s">
        <v>117</v>
      </c>
      <c r="D121" s="3">
        <v>330473.53000000003</v>
      </c>
      <c r="E121" s="3">
        <v>332441.58999999997</v>
      </c>
      <c r="F121" s="173">
        <v>655641.85</v>
      </c>
      <c r="G121" s="173">
        <v>91519.93</v>
      </c>
      <c r="H121" s="173">
        <v>0</v>
      </c>
      <c r="I121" s="173">
        <v>893433.37</v>
      </c>
      <c r="J121" s="174">
        <v>126362.26</v>
      </c>
      <c r="K121" s="173">
        <v>0</v>
      </c>
      <c r="L121" s="173">
        <v>176519</v>
      </c>
      <c r="M121" s="175">
        <v>0</v>
      </c>
      <c r="N121" s="173">
        <v>0</v>
      </c>
      <c r="O121" s="152">
        <f t="shared" si="8"/>
        <v>1943476.41</v>
      </c>
      <c r="P121" s="3">
        <f t="shared" si="9"/>
        <v>1196314.6299999999</v>
      </c>
      <c r="Q121" s="3">
        <f t="shared" si="10"/>
        <v>893433.37</v>
      </c>
      <c r="R121" s="3">
        <f t="shared" si="11"/>
        <v>126362.26</v>
      </c>
      <c r="S121" s="3">
        <f t="shared" si="12"/>
        <v>176519</v>
      </c>
      <c r="T121" s="3">
        <f t="shared" si="13"/>
        <v>0</v>
      </c>
      <c r="U121" s="3">
        <f>IF($A$5=1,IF($P121=0,0,ROUND(Q121/$P121*$E121,2)),Credits!D121)+Credits!J121</f>
        <v>122855.43</v>
      </c>
      <c r="V121" s="3">
        <f>IF($A$5=1,IF($P121=0,0,ROUND(R121/$P121*$E121,2)),Credits!E121)+Credits!K121</f>
        <v>17375.57</v>
      </c>
      <c r="W121" s="3">
        <f>IF($A$5=1,IF($P121=0,0,ROUND(S121/$P121*$E121,2)),Credits!F121)+Credits!L121</f>
        <v>24219.070000000003</v>
      </c>
      <c r="X121" s="3">
        <f>IF($A$5=1,IF($P121=0,0,ROUND(T121/$P121*$E121,2)),Credits!G121)+Credits!M121</f>
        <v>0</v>
      </c>
      <c r="Y121" s="3">
        <f t="shared" si="14"/>
        <v>164450.07</v>
      </c>
    </row>
    <row r="122" spans="1:25" ht="15" x14ac:dyDescent="0.25">
      <c r="A122" s="5">
        <v>362</v>
      </c>
      <c r="B122" s="5">
        <v>1</v>
      </c>
      <c r="C122" s="2" t="s">
        <v>118</v>
      </c>
      <c r="D122" s="3">
        <v>75783.81</v>
      </c>
      <c r="E122" s="3">
        <v>75314.41</v>
      </c>
      <c r="F122" s="173">
        <v>0</v>
      </c>
      <c r="G122" s="173">
        <v>18620.71</v>
      </c>
      <c r="H122" s="173">
        <v>0</v>
      </c>
      <c r="I122" s="173">
        <v>92504.37</v>
      </c>
      <c r="J122" s="174">
        <v>17253.21</v>
      </c>
      <c r="K122" s="173">
        <v>380406.53</v>
      </c>
      <c r="L122" s="173">
        <v>0</v>
      </c>
      <c r="M122" s="175">
        <v>0</v>
      </c>
      <c r="N122" s="173">
        <v>0</v>
      </c>
      <c r="O122" s="152">
        <f t="shared" si="8"/>
        <v>508784.82</v>
      </c>
      <c r="P122" s="3">
        <f t="shared" si="9"/>
        <v>490164.11</v>
      </c>
      <c r="Q122" s="3">
        <f t="shared" si="10"/>
        <v>92504.37</v>
      </c>
      <c r="R122" s="3">
        <f t="shared" si="11"/>
        <v>17253.21</v>
      </c>
      <c r="S122" s="3">
        <f t="shared" si="12"/>
        <v>380406.53</v>
      </c>
      <c r="T122" s="3">
        <f t="shared" si="13"/>
        <v>0</v>
      </c>
      <c r="U122" s="3">
        <f>IF($A$5=1,IF($P122=0,0,ROUND(Q122/$P122*$E122,2)),Credits!D122)+Credits!J122</f>
        <v>4053.49</v>
      </c>
      <c r="V122" s="3">
        <f>IF($A$5=1,IF($P122=0,0,ROUND(R122/$P122*$E122,2)),Credits!E122)+Credits!K122</f>
        <v>756.24</v>
      </c>
      <c r="W122" s="3">
        <f>IF($A$5=1,IF($P122=0,0,ROUND(S122/$P122*$E122,2)),Credits!F122)+Credits!L122</f>
        <v>16669.669999999998</v>
      </c>
      <c r="X122" s="3">
        <f>IF($A$5=1,IF($P122=0,0,ROUND(T122/$P122*$E122,2)),Credits!G122)+Credits!M122</f>
        <v>0</v>
      </c>
      <c r="Y122" s="3">
        <f t="shared" si="14"/>
        <v>21479.399999999998</v>
      </c>
    </row>
    <row r="123" spans="1:25" ht="15" x14ac:dyDescent="0.25">
      <c r="A123" s="5">
        <v>363</v>
      </c>
      <c r="B123" s="5">
        <v>1</v>
      </c>
      <c r="C123" s="2" t="s">
        <v>119</v>
      </c>
      <c r="D123" s="3">
        <v>78156.58</v>
      </c>
      <c r="E123" s="3">
        <v>74969.41</v>
      </c>
      <c r="F123" s="173">
        <v>83.41</v>
      </c>
      <c r="G123" s="173">
        <v>31399.63</v>
      </c>
      <c r="H123" s="173">
        <v>0</v>
      </c>
      <c r="I123" s="173">
        <v>302119.86</v>
      </c>
      <c r="J123" s="174">
        <v>17226.759999999998</v>
      </c>
      <c r="K123" s="173">
        <v>179016.97</v>
      </c>
      <c r="L123" s="173">
        <v>0</v>
      </c>
      <c r="M123" s="175">
        <v>0</v>
      </c>
      <c r="N123" s="173">
        <v>0</v>
      </c>
      <c r="O123" s="152">
        <f t="shared" si="8"/>
        <v>529846.63</v>
      </c>
      <c r="P123" s="3">
        <f t="shared" si="9"/>
        <v>498363.58999999997</v>
      </c>
      <c r="Q123" s="3">
        <f t="shared" si="10"/>
        <v>302119.86</v>
      </c>
      <c r="R123" s="3">
        <f t="shared" si="11"/>
        <v>17226.759999999998</v>
      </c>
      <c r="S123" s="3">
        <f t="shared" si="12"/>
        <v>179016.97</v>
      </c>
      <c r="T123" s="3">
        <f t="shared" si="13"/>
        <v>0</v>
      </c>
      <c r="U123" s="3">
        <f>IF($A$5=1,IF($P123=0,0,ROUND(Q123/$P123*$E123,2)),Credits!D123)+Credits!J123</f>
        <v>14204.55</v>
      </c>
      <c r="V123" s="3">
        <f>IF($A$5=1,IF($P123=0,0,ROUND(R123/$P123*$E123,2)),Credits!E123)+Credits!K123</f>
        <v>810.07</v>
      </c>
      <c r="W123" s="3">
        <f>IF($A$5=1,IF($P123=0,0,ROUND(S123/$P123*$E123,2)),Credits!F123)+Credits!L123</f>
        <v>8416.76</v>
      </c>
      <c r="X123" s="3">
        <f>IF($A$5=1,IF($P123=0,0,ROUND(T123/$P123*$E123,2)),Credits!G123)+Credits!M123</f>
        <v>0</v>
      </c>
      <c r="Y123" s="3">
        <f t="shared" si="14"/>
        <v>23431.379999999997</v>
      </c>
    </row>
    <row r="124" spans="1:25" ht="15" x14ac:dyDescent="0.25">
      <c r="A124" s="5">
        <v>378</v>
      </c>
      <c r="B124" s="5">
        <v>1</v>
      </c>
      <c r="C124" s="2" t="s">
        <v>120</v>
      </c>
      <c r="D124" s="3">
        <v>131455.34</v>
      </c>
      <c r="E124" s="3">
        <v>96861.84</v>
      </c>
      <c r="F124" s="173">
        <v>256178.38</v>
      </c>
      <c r="G124" s="173">
        <v>27438.51</v>
      </c>
      <c r="H124" s="173">
        <v>0</v>
      </c>
      <c r="I124" s="173">
        <v>272325.02</v>
      </c>
      <c r="J124" s="174">
        <v>64849.5</v>
      </c>
      <c r="K124" s="173">
        <v>306646.92</v>
      </c>
      <c r="L124" s="173">
        <v>0</v>
      </c>
      <c r="M124" s="175">
        <v>0</v>
      </c>
      <c r="N124" s="173">
        <v>0</v>
      </c>
      <c r="O124" s="152">
        <f t="shared" si="8"/>
        <v>927438.33000000007</v>
      </c>
      <c r="P124" s="3">
        <f t="shared" si="9"/>
        <v>643821.43999999994</v>
      </c>
      <c r="Q124" s="3">
        <f t="shared" si="10"/>
        <v>272325.02</v>
      </c>
      <c r="R124" s="3">
        <f t="shared" si="11"/>
        <v>64849.5</v>
      </c>
      <c r="S124" s="3">
        <f t="shared" si="12"/>
        <v>306646.92</v>
      </c>
      <c r="T124" s="3">
        <f t="shared" si="13"/>
        <v>0</v>
      </c>
      <c r="U124" s="3">
        <f>IF($A$5=1,IF($P124=0,0,ROUND(Q124/$P124*$E124,2)),Credits!D124)+Credits!J124</f>
        <v>24653.289999999997</v>
      </c>
      <c r="V124" s="3">
        <f>IF($A$5=1,IF($P124=0,0,ROUND(R124/$P124*$E124,2)),Credits!E124)+Credits!K124</f>
        <v>5872.6100000000006</v>
      </c>
      <c r="W124" s="3">
        <f>IF($A$5=1,IF($P124=0,0,ROUND(S124/$P124*$E124,2)),Credits!F124)+Credits!L124</f>
        <v>27759.559999999998</v>
      </c>
      <c r="X124" s="3">
        <f>IF($A$5=1,IF($P124=0,0,ROUND(T124/$P124*$E124,2)),Credits!G124)+Credits!M124</f>
        <v>0</v>
      </c>
      <c r="Y124" s="3">
        <f t="shared" si="14"/>
        <v>58285.459999999992</v>
      </c>
    </row>
    <row r="125" spans="1:25" ht="15" x14ac:dyDescent="0.25">
      <c r="A125" s="5">
        <v>381</v>
      </c>
      <c r="B125" s="5">
        <v>1</v>
      </c>
      <c r="C125" s="2" t="s">
        <v>121</v>
      </c>
      <c r="D125" s="3">
        <v>538582.63</v>
      </c>
      <c r="E125" s="3">
        <v>252617.29</v>
      </c>
      <c r="F125" s="173">
        <v>0</v>
      </c>
      <c r="G125" s="173">
        <v>213001.93</v>
      </c>
      <c r="H125" s="173">
        <v>0</v>
      </c>
      <c r="I125" s="173">
        <v>423489.65</v>
      </c>
      <c r="J125" s="174">
        <v>0</v>
      </c>
      <c r="K125" s="173">
        <v>2737896.69</v>
      </c>
      <c r="L125" s="173">
        <v>152467.43</v>
      </c>
      <c r="M125" s="175">
        <v>0</v>
      </c>
      <c r="N125" s="173">
        <v>820216.48</v>
      </c>
      <c r="O125" s="152">
        <f t="shared" si="8"/>
        <v>4347072.18</v>
      </c>
      <c r="P125" s="3">
        <f t="shared" si="9"/>
        <v>4134070.25</v>
      </c>
      <c r="Q125" s="3">
        <f t="shared" si="10"/>
        <v>423489.65</v>
      </c>
      <c r="R125" s="3">
        <f t="shared" si="11"/>
        <v>0</v>
      </c>
      <c r="S125" s="3">
        <f t="shared" si="12"/>
        <v>2890364.12</v>
      </c>
      <c r="T125" s="3">
        <f t="shared" si="13"/>
        <v>820216.48</v>
      </c>
      <c r="U125" s="3">
        <f>IF($A$5=1,IF($P125=0,0,ROUND(Q125/$P125*$E125,2)),Credits!D125)+Credits!J125</f>
        <v>34637.520000000004</v>
      </c>
      <c r="V125" s="3">
        <f>IF($A$5=1,IF($P125=0,0,ROUND(R125/$P125*$E125,2)),Credits!E125)+Credits!K125</f>
        <v>0</v>
      </c>
      <c r="W125" s="3">
        <f>IF($A$5=1,IF($P125=0,0,ROUND(S125/$P125*$E125,2)),Credits!F125)+Credits!L125</f>
        <v>235392.31</v>
      </c>
      <c r="X125" s="3">
        <f>IF($A$5=1,IF($P125=0,0,ROUND(T125/$P125*$E125,2)),Credits!G125)+Credits!M125</f>
        <v>66611.600000000006</v>
      </c>
      <c r="Y125" s="3">
        <f t="shared" si="14"/>
        <v>336641.43000000005</v>
      </c>
    </row>
    <row r="126" spans="1:25" ht="15" x14ac:dyDescent="0.25">
      <c r="A126" s="5">
        <v>390</v>
      </c>
      <c r="B126" s="5">
        <v>1</v>
      </c>
      <c r="C126" s="2" t="s">
        <v>122</v>
      </c>
      <c r="D126" s="3">
        <v>160174.59</v>
      </c>
      <c r="E126" s="3">
        <v>144410.06</v>
      </c>
      <c r="F126" s="173">
        <v>293350</v>
      </c>
      <c r="G126" s="173">
        <v>47401</v>
      </c>
      <c r="H126" s="173">
        <v>0</v>
      </c>
      <c r="I126" s="173">
        <v>381659</v>
      </c>
      <c r="J126" s="174">
        <v>42118</v>
      </c>
      <c r="K126" s="173">
        <v>1229767</v>
      </c>
      <c r="L126" s="173">
        <v>0</v>
      </c>
      <c r="M126" s="175">
        <v>0</v>
      </c>
      <c r="N126" s="173">
        <v>0</v>
      </c>
      <c r="O126" s="152">
        <f t="shared" si="8"/>
        <v>1994295</v>
      </c>
      <c r="P126" s="3">
        <f t="shared" si="9"/>
        <v>1653544</v>
      </c>
      <c r="Q126" s="3">
        <f t="shared" si="10"/>
        <v>381659</v>
      </c>
      <c r="R126" s="3">
        <f t="shared" si="11"/>
        <v>42118</v>
      </c>
      <c r="S126" s="3">
        <f t="shared" si="12"/>
        <v>1229767</v>
      </c>
      <c r="T126" s="3">
        <f t="shared" si="13"/>
        <v>0</v>
      </c>
      <c r="U126" s="3">
        <f>IF($A$5=1,IF($P126=0,0,ROUND(Q126/$P126*$E126,2)),Credits!D126)+Credits!J126</f>
        <v>2158.8999999999996</v>
      </c>
      <c r="V126" s="3">
        <f>IF($A$5=1,IF($P126=0,0,ROUND(R126/$P126*$E126,2)),Credits!E126)+Credits!K126</f>
        <v>742.97</v>
      </c>
      <c r="W126" s="3">
        <f>IF($A$5=1,IF($P126=0,0,ROUND(S126/$P126*$E126,2)),Credits!F126)+Credits!L126</f>
        <v>21700.649999999998</v>
      </c>
      <c r="X126" s="3">
        <f>IF($A$5=1,IF($P126=0,0,ROUND(T126/$P126*$E126,2)),Credits!G126)+Credits!M126</f>
        <v>0</v>
      </c>
      <c r="Y126" s="3">
        <f t="shared" si="14"/>
        <v>24602.519999999997</v>
      </c>
    </row>
    <row r="127" spans="1:25" ht="15" x14ac:dyDescent="0.25">
      <c r="A127" s="5">
        <v>391</v>
      </c>
      <c r="B127" s="5">
        <v>1</v>
      </c>
      <c r="C127" s="2" t="s">
        <v>123</v>
      </c>
      <c r="D127" s="3">
        <v>19868.07</v>
      </c>
      <c r="E127" s="3">
        <v>30816.23</v>
      </c>
      <c r="F127" s="173">
        <v>395325</v>
      </c>
      <c r="G127" s="173">
        <v>47608</v>
      </c>
      <c r="H127" s="173">
        <v>0</v>
      </c>
      <c r="I127" s="173">
        <v>295488</v>
      </c>
      <c r="J127" s="174">
        <v>34254</v>
      </c>
      <c r="K127" s="173">
        <v>0</v>
      </c>
      <c r="L127" s="173">
        <v>0</v>
      </c>
      <c r="M127" s="175">
        <v>0</v>
      </c>
      <c r="N127" s="173">
        <v>0</v>
      </c>
      <c r="O127" s="152">
        <f t="shared" si="8"/>
        <v>772675</v>
      </c>
      <c r="P127" s="3">
        <f t="shared" si="9"/>
        <v>329742</v>
      </c>
      <c r="Q127" s="3">
        <f t="shared" si="10"/>
        <v>295488</v>
      </c>
      <c r="R127" s="3">
        <f t="shared" si="11"/>
        <v>34254</v>
      </c>
      <c r="S127" s="3">
        <f t="shared" si="12"/>
        <v>0</v>
      </c>
      <c r="T127" s="3">
        <f t="shared" si="13"/>
        <v>0</v>
      </c>
      <c r="U127" s="3">
        <f>IF($A$5=1,IF($P127=0,0,ROUND(Q127/$P127*$E127,2)),Credits!D127)+Credits!J127</f>
        <v>9499.4599999999991</v>
      </c>
      <c r="V127" s="3">
        <f>IF($A$5=1,IF($P127=0,0,ROUND(R127/$P127*$E127,2)),Credits!E127)+Credits!K127</f>
        <v>1101.8400000000001</v>
      </c>
      <c r="W127" s="3">
        <f>IF($A$5=1,IF($P127=0,0,ROUND(S127/$P127*$E127,2)),Credits!F127)+Credits!L127</f>
        <v>0</v>
      </c>
      <c r="X127" s="3">
        <f>IF($A$5=1,IF($P127=0,0,ROUND(T127/$P127*$E127,2)),Credits!G127)+Credits!M127</f>
        <v>0</v>
      </c>
      <c r="Y127" s="3">
        <f t="shared" si="14"/>
        <v>10601.3</v>
      </c>
    </row>
    <row r="128" spans="1:25" ht="15" x14ac:dyDescent="0.25">
      <c r="A128" s="5">
        <v>392</v>
      </c>
      <c r="B128" s="5">
        <v>1</v>
      </c>
      <c r="C128" s="2" t="s">
        <v>124</v>
      </c>
      <c r="D128" s="3">
        <v>83072.63</v>
      </c>
      <c r="E128" s="3">
        <v>87842.240000000005</v>
      </c>
      <c r="F128" s="173">
        <v>312735</v>
      </c>
      <c r="G128" s="173">
        <v>57313</v>
      </c>
      <c r="H128" s="173">
        <v>0</v>
      </c>
      <c r="I128" s="173">
        <v>300406</v>
      </c>
      <c r="J128" s="174">
        <v>30782</v>
      </c>
      <c r="K128" s="173">
        <v>633668</v>
      </c>
      <c r="L128" s="173">
        <v>0</v>
      </c>
      <c r="M128" s="175">
        <v>0</v>
      </c>
      <c r="N128" s="173">
        <v>0</v>
      </c>
      <c r="O128" s="152">
        <f t="shared" si="8"/>
        <v>1334904</v>
      </c>
      <c r="P128" s="3">
        <f t="shared" si="9"/>
        <v>964856</v>
      </c>
      <c r="Q128" s="3">
        <f t="shared" si="10"/>
        <v>300406</v>
      </c>
      <c r="R128" s="3">
        <f t="shared" si="11"/>
        <v>30782</v>
      </c>
      <c r="S128" s="3">
        <f t="shared" si="12"/>
        <v>633668</v>
      </c>
      <c r="T128" s="3">
        <f t="shared" si="13"/>
        <v>0</v>
      </c>
      <c r="U128" s="3">
        <f>IF($A$5=1,IF($P128=0,0,ROUND(Q128/$P128*$E128,2)),Credits!D128)+Credits!J128</f>
        <v>6852.8</v>
      </c>
      <c r="V128" s="3">
        <f>IF($A$5=1,IF($P128=0,0,ROUND(R128/$P128*$E128,2)),Credits!E128)+Credits!K128</f>
        <v>702.25</v>
      </c>
      <c r="W128" s="3">
        <f>IF($A$5=1,IF($P128=0,0,ROUND(S128/$P128*$E128,2)),Credits!F128)+Credits!L128</f>
        <v>14422.35</v>
      </c>
      <c r="X128" s="3">
        <f>IF($A$5=1,IF($P128=0,0,ROUND(T128/$P128*$E128,2)),Credits!G128)+Credits!M128</f>
        <v>0</v>
      </c>
      <c r="Y128" s="3">
        <f t="shared" si="14"/>
        <v>21977.4</v>
      </c>
    </row>
    <row r="129" spans="1:25" ht="15" x14ac:dyDescent="0.25">
      <c r="A129" s="5">
        <v>394</v>
      </c>
      <c r="B129" s="5">
        <v>1</v>
      </c>
      <c r="C129" s="2" t="s">
        <v>125</v>
      </c>
      <c r="D129" s="3">
        <v>244158.55</v>
      </c>
      <c r="E129" s="3">
        <v>269769.14</v>
      </c>
      <c r="F129" s="173">
        <v>544559</v>
      </c>
      <c r="G129" s="173">
        <v>88290</v>
      </c>
      <c r="H129" s="173">
        <v>0</v>
      </c>
      <c r="I129" s="173">
        <v>538244</v>
      </c>
      <c r="J129" s="174">
        <v>103134</v>
      </c>
      <c r="K129" s="173">
        <v>2725016</v>
      </c>
      <c r="L129" s="173">
        <v>0</v>
      </c>
      <c r="M129" s="175">
        <v>0</v>
      </c>
      <c r="N129" s="173">
        <v>0</v>
      </c>
      <c r="O129" s="152">
        <f t="shared" si="8"/>
        <v>3999243</v>
      </c>
      <c r="P129" s="3">
        <f t="shared" si="9"/>
        <v>3366394</v>
      </c>
      <c r="Q129" s="3">
        <f t="shared" si="10"/>
        <v>538244</v>
      </c>
      <c r="R129" s="3">
        <f t="shared" si="11"/>
        <v>103134</v>
      </c>
      <c r="S129" s="3">
        <f t="shared" si="12"/>
        <v>2725016</v>
      </c>
      <c r="T129" s="3">
        <f t="shared" si="13"/>
        <v>0</v>
      </c>
      <c r="U129" s="3">
        <f>IF($A$5=1,IF($P129=0,0,ROUND(Q129/$P129*$E129,2)),Credits!D129)+Credits!J129</f>
        <v>11397.94</v>
      </c>
      <c r="V129" s="3">
        <f>IF($A$5=1,IF($P129=0,0,ROUND(R129/$P129*$E129,2)),Credits!E129)+Credits!K129</f>
        <v>2342.7800000000002</v>
      </c>
      <c r="W129" s="3">
        <f>IF($A$5=1,IF($P129=0,0,ROUND(S129/$P129*$E129,2)),Credits!F129)+Credits!L129</f>
        <v>61911.759999999995</v>
      </c>
      <c r="X129" s="3">
        <f>IF($A$5=1,IF($P129=0,0,ROUND(T129/$P129*$E129,2)),Credits!G129)+Credits!M129</f>
        <v>0</v>
      </c>
      <c r="Y129" s="3">
        <f t="shared" si="14"/>
        <v>75652.479999999996</v>
      </c>
    </row>
    <row r="130" spans="1:25" ht="15" x14ac:dyDescent="0.25">
      <c r="A130" s="5">
        <v>402</v>
      </c>
      <c r="B130" s="5">
        <v>1</v>
      </c>
      <c r="C130" s="2" t="s">
        <v>126</v>
      </c>
      <c r="D130" s="3">
        <v>7760.13</v>
      </c>
      <c r="E130" s="3">
        <v>6927.59</v>
      </c>
      <c r="F130" s="173">
        <v>167117</v>
      </c>
      <c r="G130" s="173">
        <v>5288</v>
      </c>
      <c r="H130" s="173">
        <v>0</v>
      </c>
      <c r="I130" s="173">
        <v>187126</v>
      </c>
      <c r="J130" s="174">
        <v>24192</v>
      </c>
      <c r="K130" s="173">
        <v>0</v>
      </c>
      <c r="L130" s="173">
        <v>0</v>
      </c>
      <c r="M130" s="175">
        <v>0</v>
      </c>
      <c r="N130" s="173">
        <v>0</v>
      </c>
      <c r="O130" s="152">
        <f t="shared" si="8"/>
        <v>383723</v>
      </c>
      <c r="P130" s="3">
        <f t="shared" si="9"/>
        <v>211318</v>
      </c>
      <c r="Q130" s="3">
        <f t="shared" si="10"/>
        <v>187126</v>
      </c>
      <c r="R130" s="3">
        <f t="shared" si="11"/>
        <v>24192</v>
      </c>
      <c r="S130" s="3">
        <f t="shared" si="12"/>
        <v>0</v>
      </c>
      <c r="T130" s="3">
        <f t="shared" si="13"/>
        <v>0</v>
      </c>
      <c r="U130" s="3">
        <f>IF($A$5=1,IF($P130=0,0,ROUND(Q130/$P130*$E130,2)),Credits!D130)+Credits!J130</f>
        <v>4574.24</v>
      </c>
      <c r="V130" s="3">
        <f>IF($A$5=1,IF($P130=0,0,ROUND(R130/$P130*$E130,2)),Credits!E130)+Credits!K130</f>
        <v>591.45000000000005</v>
      </c>
      <c r="W130" s="3">
        <f>IF($A$5=1,IF($P130=0,0,ROUND(S130/$P130*$E130,2)),Credits!F130)+Credits!L130</f>
        <v>0</v>
      </c>
      <c r="X130" s="3">
        <f>IF($A$5=1,IF($P130=0,0,ROUND(T130/$P130*$E130,2)),Credits!G130)+Credits!M130</f>
        <v>0</v>
      </c>
      <c r="Y130" s="3">
        <f t="shared" si="14"/>
        <v>5165.6899999999996</v>
      </c>
    </row>
    <row r="131" spans="1:25" ht="15" x14ac:dyDescent="0.25">
      <c r="A131" s="5">
        <v>403</v>
      </c>
      <c r="B131" s="5">
        <v>1</v>
      </c>
      <c r="C131" s="2" t="s">
        <v>127</v>
      </c>
      <c r="D131" s="3">
        <v>57534.18</v>
      </c>
      <c r="E131" s="3">
        <v>59536.13</v>
      </c>
      <c r="F131" s="173">
        <v>160285</v>
      </c>
      <c r="G131" s="173">
        <v>8673</v>
      </c>
      <c r="H131" s="173">
        <v>0</v>
      </c>
      <c r="I131" s="173">
        <v>104152</v>
      </c>
      <c r="J131" s="174">
        <v>18326</v>
      </c>
      <c r="K131" s="173">
        <v>658550</v>
      </c>
      <c r="L131" s="173">
        <v>0</v>
      </c>
      <c r="M131" s="175">
        <v>0</v>
      </c>
      <c r="N131" s="173">
        <v>0</v>
      </c>
      <c r="O131" s="152">
        <f t="shared" si="8"/>
        <v>949986</v>
      </c>
      <c r="P131" s="3">
        <f t="shared" si="9"/>
        <v>781028</v>
      </c>
      <c r="Q131" s="3">
        <f t="shared" si="10"/>
        <v>104152</v>
      </c>
      <c r="R131" s="3">
        <f t="shared" si="11"/>
        <v>18326</v>
      </c>
      <c r="S131" s="3">
        <f t="shared" si="12"/>
        <v>658550</v>
      </c>
      <c r="T131" s="3">
        <f t="shared" si="13"/>
        <v>0</v>
      </c>
      <c r="U131" s="3">
        <f>IF($A$5=1,IF($P131=0,0,ROUND(Q131/$P131*$E131,2)),Credits!D131)+Credits!J131</f>
        <v>3104.34</v>
      </c>
      <c r="V131" s="3">
        <f>IF($A$5=1,IF($P131=0,0,ROUND(R131/$P131*$E131,2)),Credits!E131)+Credits!K131</f>
        <v>546.41999999999996</v>
      </c>
      <c r="W131" s="3">
        <f>IF($A$5=1,IF($P131=0,0,ROUND(S131/$P131*$E131,2)),Credits!F131)+Credits!L131</f>
        <v>19628.27</v>
      </c>
      <c r="X131" s="3">
        <f>IF($A$5=1,IF($P131=0,0,ROUND(T131/$P131*$E131,2)),Credits!G131)+Credits!M131</f>
        <v>0</v>
      </c>
      <c r="Y131" s="3">
        <f t="shared" si="14"/>
        <v>23279.03</v>
      </c>
    </row>
    <row r="132" spans="1:25" ht="15" x14ac:dyDescent="0.25">
      <c r="A132" s="5">
        <v>404</v>
      </c>
      <c r="B132" s="5">
        <v>1</v>
      </c>
      <c r="C132" s="2" t="s">
        <v>128</v>
      </c>
      <c r="D132" s="3">
        <v>35806.460000000006</v>
      </c>
      <c r="E132" s="3">
        <v>30042.25</v>
      </c>
      <c r="F132" s="173">
        <v>294949</v>
      </c>
      <c r="G132" s="173">
        <v>5215</v>
      </c>
      <c r="H132" s="173">
        <v>0</v>
      </c>
      <c r="I132" s="173">
        <v>78709</v>
      </c>
      <c r="J132" s="174">
        <v>6604</v>
      </c>
      <c r="K132" s="173">
        <v>277993</v>
      </c>
      <c r="L132" s="173">
        <v>0</v>
      </c>
      <c r="M132" s="175">
        <v>0</v>
      </c>
      <c r="N132" s="173">
        <v>0</v>
      </c>
      <c r="O132" s="152">
        <f t="shared" si="8"/>
        <v>663470</v>
      </c>
      <c r="P132" s="3">
        <f t="shared" si="9"/>
        <v>363306</v>
      </c>
      <c r="Q132" s="3">
        <f t="shared" si="10"/>
        <v>78709</v>
      </c>
      <c r="R132" s="3">
        <f t="shared" si="11"/>
        <v>6604</v>
      </c>
      <c r="S132" s="3">
        <f t="shared" si="12"/>
        <v>277993</v>
      </c>
      <c r="T132" s="3">
        <f t="shared" si="13"/>
        <v>0</v>
      </c>
      <c r="U132" s="3">
        <f>IF($A$5=1,IF($P132=0,0,ROUND(Q132/$P132*$E132,2)),Credits!D132)+Credits!J132</f>
        <v>6294.34</v>
      </c>
      <c r="V132" s="3">
        <f>IF($A$5=1,IF($P132=0,0,ROUND(R132/$P132*$E132,2)),Credits!E132)+Credits!K132</f>
        <v>342.47</v>
      </c>
      <c r="W132" s="3">
        <f>IF($A$5=1,IF($P132=0,0,ROUND(S132/$P132*$E132,2)),Credits!F132)+Credits!L132</f>
        <v>14370.800000000001</v>
      </c>
      <c r="X132" s="3">
        <f>IF($A$5=1,IF($P132=0,0,ROUND(T132/$P132*$E132,2)),Credits!G132)+Credits!M132</f>
        <v>0</v>
      </c>
      <c r="Y132" s="3">
        <f t="shared" si="14"/>
        <v>21007.61</v>
      </c>
    </row>
    <row r="133" spans="1:25" ht="15" x14ac:dyDescent="0.25">
      <c r="A133" s="5">
        <v>413</v>
      </c>
      <c r="B133" s="5">
        <v>1</v>
      </c>
      <c r="C133" s="2" t="s">
        <v>129</v>
      </c>
      <c r="D133" s="3">
        <v>220382.41</v>
      </c>
      <c r="E133" s="3">
        <v>225390.32</v>
      </c>
      <c r="F133" s="173">
        <v>1346370</v>
      </c>
      <c r="G133" s="173">
        <v>231814</v>
      </c>
      <c r="H133" s="173">
        <v>0</v>
      </c>
      <c r="I133" s="173">
        <v>1088555</v>
      </c>
      <c r="J133" s="174">
        <v>172605</v>
      </c>
      <c r="K133" s="173">
        <v>2904920</v>
      </c>
      <c r="L133" s="173">
        <v>0</v>
      </c>
      <c r="M133" s="175">
        <v>0</v>
      </c>
      <c r="N133" s="173">
        <v>135922</v>
      </c>
      <c r="O133" s="152">
        <f t="shared" si="8"/>
        <v>5880186</v>
      </c>
      <c r="P133" s="3">
        <f t="shared" si="9"/>
        <v>4302002</v>
      </c>
      <c r="Q133" s="3">
        <f t="shared" si="10"/>
        <v>1088555</v>
      </c>
      <c r="R133" s="3">
        <f t="shared" si="11"/>
        <v>172605</v>
      </c>
      <c r="S133" s="3">
        <f t="shared" si="12"/>
        <v>2904920</v>
      </c>
      <c r="T133" s="3">
        <f t="shared" si="13"/>
        <v>135922</v>
      </c>
      <c r="U133" s="3">
        <f>IF($A$5=1,IF($P133=0,0,ROUND(Q133/$P133*$E133,2)),Credits!D133)+Credits!J133</f>
        <v>6105.64</v>
      </c>
      <c r="V133" s="3">
        <f>IF($A$5=1,IF($P133=0,0,ROUND(R133/$P133*$E133,2)),Credits!E133)+Credits!K133</f>
        <v>968.56</v>
      </c>
      <c r="W133" s="3">
        <f>IF($A$5=1,IF($P133=0,0,ROUND(S133/$P133*$E133,2)),Credits!F133)+Credits!L133</f>
        <v>16116.11</v>
      </c>
      <c r="X133" s="3">
        <f>IF($A$5=1,IF($P133=0,0,ROUND(T133/$P133*$E133,2)),Credits!G133)+Credits!M133</f>
        <v>754.74</v>
      </c>
      <c r="Y133" s="3">
        <f t="shared" si="14"/>
        <v>23945.050000000003</v>
      </c>
    </row>
    <row r="134" spans="1:25" ht="15" x14ac:dyDescent="0.25">
      <c r="A134" s="5">
        <v>414</v>
      </c>
      <c r="B134" s="5">
        <v>1</v>
      </c>
      <c r="C134" s="2" t="s">
        <v>130</v>
      </c>
      <c r="D134" s="3">
        <v>55707.340000000004</v>
      </c>
      <c r="E134" s="3">
        <v>67080.36</v>
      </c>
      <c r="F134" s="173">
        <v>159241</v>
      </c>
      <c r="G134" s="173">
        <v>35377</v>
      </c>
      <c r="H134" s="173">
        <v>0</v>
      </c>
      <c r="I134" s="173">
        <v>210612</v>
      </c>
      <c r="J134" s="174">
        <v>32131</v>
      </c>
      <c r="K134" s="173">
        <v>184371.20000000001</v>
      </c>
      <c r="L134" s="173">
        <v>331727</v>
      </c>
      <c r="M134" s="175">
        <v>0</v>
      </c>
      <c r="N134" s="173">
        <v>0</v>
      </c>
      <c r="O134" s="152">
        <f t="shared" si="8"/>
        <v>953459.19999999995</v>
      </c>
      <c r="P134" s="3">
        <f t="shared" si="9"/>
        <v>758841.2</v>
      </c>
      <c r="Q134" s="3">
        <f t="shared" si="10"/>
        <v>210612</v>
      </c>
      <c r="R134" s="3">
        <f t="shared" si="11"/>
        <v>32131</v>
      </c>
      <c r="S134" s="3">
        <f t="shared" si="12"/>
        <v>516098.2</v>
      </c>
      <c r="T134" s="3">
        <f t="shared" si="13"/>
        <v>0</v>
      </c>
      <c r="U134" s="3">
        <f>IF($A$5=1,IF($P134=0,0,ROUND(Q134/$P134*$E134,2)),Credits!D134)+Credits!J134</f>
        <v>5579.1399999999994</v>
      </c>
      <c r="V134" s="3">
        <f>IF($A$5=1,IF($P134=0,0,ROUND(R134/$P134*$E134,2)),Credits!E134)+Credits!K134</f>
        <v>851.99</v>
      </c>
      <c r="W134" s="3">
        <f>IF($A$5=1,IF($P134=0,0,ROUND(S134/$P134*$E134,2)),Credits!F134)+Credits!L134</f>
        <v>13675.109999999999</v>
      </c>
      <c r="X134" s="3">
        <f>IF($A$5=1,IF($P134=0,0,ROUND(T134/$P134*$E134,2)),Credits!G134)+Credits!M134</f>
        <v>0</v>
      </c>
      <c r="Y134" s="3">
        <f t="shared" si="14"/>
        <v>20106.239999999998</v>
      </c>
    </row>
    <row r="135" spans="1:25" ht="15" x14ac:dyDescent="0.25">
      <c r="A135" s="5">
        <v>415</v>
      </c>
      <c r="B135" s="5">
        <v>1</v>
      </c>
      <c r="C135" s="2" t="s">
        <v>131</v>
      </c>
      <c r="D135" s="3">
        <v>15235.720000000001</v>
      </c>
      <c r="E135" s="3">
        <v>8101.12</v>
      </c>
      <c r="F135" s="173">
        <v>267140</v>
      </c>
      <c r="G135" s="173">
        <v>20897</v>
      </c>
      <c r="H135" s="173">
        <v>0</v>
      </c>
      <c r="I135" s="173">
        <v>69263</v>
      </c>
      <c r="J135" s="174">
        <v>51418</v>
      </c>
      <c r="K135" s="173">
        <v>0</v>
      </c>
      <c r="L135" s="173">
        <v>0</v>
      </c>
      <c r="M135" s="175">
        <v>0</v>
      </c>
      <c r="N135" s="173">
        <v>0</v>
      </c>
      <c r="O135" s="152">
        <f t="shared" si="8"/>
        <v>408718</v>
      </c>
      <c r="P135" s="3">
        <f t="shared" si="9"/>
        <v>120681</v>
      </c>
      <c r="Q135" s="3">
        <f t="shared" si="10"/>
        <v>69263</v>
      </c>
      <c r="R135" s="3">
        <f t="shared" si="11"/>
        <v>51418</v>
      </c>
      <c r="S135" s="3">
        <f t="shared" si="12"/>
        <v>0</v>
      </c>
      <c r="T135" s="3">
        <f t="shared" si="13"/>
        <v>0</v>
      </c>
      <c r="U135" s="3">
        <f>IF($A$5=1,IF($P135=0,0,ROUND(Q135/$P135*$E135,2)),Credits!D135)+Credits!J135</f>
        <v>2506.04</v>
      </c>
      <c r="V135" s="3">
        <f>IF($A$5=1,IF($P135=0,0,ROUND(R135/$P135*$E135,2)),Credits!E135)+Credits!K135</f>
        <v>1860.41</v>
      </c>
      <c r="W135" s="3">
        <f>IF($A$5=1,IF($P135=0,0,ROUND(S135/$P135*$E135,2)),Credits!F135)+Credits!L135</f>
        <v>0</v>
      </c>
      <c r="X135" s="3">
        <f>IF($A$5=1,IF($P135=0,0,ROUND(T135/$P135*$E135,2)),Credits!G135)+Credits!M135</f>
        <v>0</v>
      </c>
      <c r="Y135" s="3">
        <f t="shared" si="14"/>
        <v>4366.45</v>
      </c>
    </row>
    <row r="136" spans="1:25" ht="15" x14ac:dyDescent="0.25">
      <c r="A136" s="5">
        <v>423</v>
      </c>
      <c r="B136" s="5">
        <v>1</v>
      </c>
      <c r="C136" s="2" t="s">
        <v>132</v>
      </c>
      <c r="D136" s="3">
        <v>185159.27999999997</v>
      </c>
      <c r="E136" s="3">
        <v>205628.75</v>
      </c>
      <c r="F136" s="173">
        <v>2107237.71</v>
      </c>
      <c r="G136" s="173">
        <v>270235.33</v>
      </c>
      <c r="H136" s="173">
        <v>0</v>
      </c>
      <c r="I136" s="173">
        <v>1115015.4099999999</v>
      </c>
      <c r="J136" s="174">
        <v>201123.78</v>
      </c>
      <c r="K136" s="173">
        <v>1140240.69</v>
      </c>
      <c r="L136" s="173">
        <v>0</v>
      </c>
      <c r="M136" s="175">
        <v>0</v>
      </c>
      <c r="N136" s="173">
        <v>0</v>
      </c>
      <c r="O136" s="152">
        <f t="shared" si="8"/>
        <v>4833852.92</v>
      </c>
      <c r="P136" s="3">
        <f t="shared" si="9"/>
        <v>2456379.88</v>
      </c>
      <c r="Q136" s="3">
        <f t="shared" si="10"/>
        <v>1115015.4099999999</v>
      </c>
      <c r="R136" s="3">
        <f t="shared" si="11"/>
        <v>201123.78</v>
      </c>
      <c r="S136" s="3">
        <f t="shared" si="12"/>
        <v>1140240.69</v>
      </c>
      <c r="T136" s="3">
        <f t="shared" si="13"/>
        <v>0</v>
      </c>
      <c r="U136" s="3">
        <f>IF($A$5=1,IF($P136=0,0,ROUND(Q136/$P136*$E136,2)),Credits!D136)+Credits!J136</f>
        <v>19726.36</v>
      </c>
      <c r="V136" s="3">
        <f>IF($A$5=1,IF($P136=0,0,ROUND(R136/$P136*$E136,2)),Credits!E136)+Credits!K136</f>
        <v>3558.3500000000004</v>
      </c>
      <c r="W136" s="3">
        <f>IF($A$5=1,IF($P136=0,0,ROUND(S136/$P136*$E136,2)),Credits!F136)+Credits!L136</f>
        <v>20016.43</v>
      </c>
      <c r="X136" s="3">
        <f>IF($A$5=1,IF($P136=0,0,ROUND(T136/$P136*$E136,2)),Credits!G136)+Credits!M136</f>
        <v>0</v>
      </c>
      <c r="Y136" s="3">
        <f t="shared" si="14"/>
        <v>43301.14</v>
      </c>
    </row>
    <row r="137" spans="1:25" ht="15" x14ac:dyDescent="0.25">
      <c r="A137" s="5">
        <v>424</v>
      </c>
      <c r="B137" s="5">
        <v>1</v>
      </c>
      <c r="C137" s="2" t="s">
        <v>133</v>
      </c>
      <c r="D137" s="3">
        <v>32199.27</v>
      </c>
      <c r="E137" s="3">
        <v>33188.28</v>
      </c>
      <c r="F137" s="173">
        <v>421509.66</v>
      </c>
      <c r="G137" s="173">
        <v>32092.16</v>
      </c>
      <c r="H137" s="173">
        <v>0</v>
      </c>
      <c r="I137" s="173">
        <v>165547.85</v>
      </c>
      <c r="J137" s="174">
        <v>28194.91</v>
      </c>
      <c r="K137" s="173">
        <v>0</v>
      </c>
      <c r="L137" s="173">
        <v>0</v>
      </c>
      <c r="M137" s="175">
        <v>0</v>
      </c>
      <c r="N137" s="173">
        <v>0</v>
      </c>
      <c r="O137" s="152">
        <f t="shared" ref="O137:O200" si="15">SUM(F137:N137)</f>
        <v>647344.57999999996</v>
      </c>
      <c r="P137" s="3">
        <f t="shared" ref="P137:P200" si="16">SUM(H137:N137)</f>
        <v>193742.76</v>
      </c>
      <c r="Q137" s="3">
        <f t="shared" ref="Q137:Q200" si="17">SUM(H137:I137)</f>
        <v>165547.85</v>
      </c>
      <c r="R137" s="3">
        <f t="shared" ref="R137:R200" si="18">J137</f>
        <v>28194.91</v>
      </c>
      <c r="S137" s="3">
        <f t="shared" ref="S137:S200" si="19">K137+L137</f>
        <v>0</v>
      </c>
      <c r="T137" s="3">
        <f t="shared" ref="T137:T200" si="20">N137+M137</f>
        <v>0</v>
      </c>
      <c r="U137" s="3">
        <f>IF($A$5=1,IF($P137=0,0,ROUND(Q137/$P137*$E137,2)),Credits!D137)+Credits!J137</f>
        <v>6153.42</v>
      </c>
      <c r="V137" s="3">
        <f>IF($A$5=1,IF($P137=0,0,ROUND(R137/$P137*$E137,2)),Credits!E137)+Credits!K137</f>
        <v>1048.1799999999998</v>
      </c>
      <c r="W137" s="3">
        <f>IF($A$5=1,IF($P137=0,0,ROUND(S137/$P137*$E137,2)),Credits!F137)+Credits!L137</f>
        <v>0</v>
      </c>
      <c r="X137" s="3">
        <f>IF($A$5=1,IF($P137=0,0,ROUND(T137/$P137*$E137,2)),Credits!G137)+Credits!M137</f>
        <v>0</v>
      </c>
      <c r="Y137" s="3">
        <f t="shared" ref="Y137:Y200" si="21">SUM(U137:X137)</f>
        <v>7201.6</v>
      </c>
    </row>
    <row r="138" spans="1:25" ht="15" x14ac:dyDescent="0.25">
      <c r="A138" s="5">
        <v>432</v>
      </c>
      <c r="B138" s="5">
        <v>1</v>
      </c>
      <c r="C138" s="2" t="s">
        <v>134</v>
      </c>
      <c r="D138" s="3">
        <v>74272.05</v>
      </c>
      <c r="E138" s="3">
        <v>72385.259999999995</v>
      </c>
      <c r="F138" s="173">
        <v>0</v>
      </c>
      <c r="G138" s="173">
        <v>43657.39</v>
      </c>
      <c r="H138" s="173">
        <v>0</v>
      </c>
      <c r="I138" s="173">
        <v>137054.01999999999</v>
      </c>
      <c r="J138" s="174">
        <v>29817.72</v>
      </c>
      <c r="K138" s="173">
        <v>0</v>
      </c>
      <c r="L138" s="173">
        <v>361662.22</v>
      </c>
      <c r="M138" s="175">
        <v>0</v>
      </c>
      <c r="N138" s="173">
        <v>0</v>
      </c>
      <c r="O138" s="152">
        <f t="shared" si="15"/>
        <v>572191.35</v>
      </c>
      <c r="P138" s="3">
        <f t="shared" si="16"/>
        <v>528533.96</v>
      </c>
      <c r="Q138" s="3">
        <f t="shared" si="17"/>
        <v>137054.01999999999</v>
      </c>
      <c r="R138" s="3">
        <f t="shared" si="18"/>
        <v>29817.72</v>
      </c>
      <c r="S138" s="3">
        <f t="shared" si="19"/>
        <v>361662.22</v>
      </c>
      <c r="T138" s="3">
        <f t="shared" si="20"/>
        <v>0</v>
      </c>
      <c r="U138" s="3">
        <f>IF($A$5=1,IF($P138=0,0,ROUND(Q138/$P138*$E138,2)),Credits!D138)+Credits!J138</f>
        <v>12652.62</v>
      </c>
      <c r="V138" s="3">
        <f>IF($A$5=1,IF($P138=0,0,ROUND(R138/$P138*$E138,2)),Credits!E138)+Credits!K138</f>
        <v>2752.6699999999996</v>
      </c>
      <c r="W138" s="3">
        <f>IF($A$5=1,IF($P138=0,0,ROUND(S138/$P138*$E138,2)),Credits!F138)+Credits!L138</f>
        <v>33386.120000000003</v>
      </c>
      <c r="X138" s="3">
        <f>IF($A$5=1,IF($P138=0,0,ROUND(T138/$P138*$E138,2)),Credits!G138)+Credits!M138</f>
        <v>0</v>
      </c>
      <c r="Y138" s="3">
        <f t="shared" si="21"/>
        <v>48791.41</v>
      </c>
    </row>
    <row r="139" spans="1:25" ht="15" x14ac:dyDescent="0.25">
      <c r="A139" s="5">
        <v>435</v>
      </c>
      <c r="B139" s="5">
        <v>1</v>
      </c>
      <c r="C139" s="2" t="s">
        <v>135</v>
      </c>
      <c r="D139" s="3">
        <v>57739.889999999992</v>
      </c>
      <c r="E139" s="3">
        <v>58045.61</v>
      </c>
      <c r="F139" s="173">
        <v>0</v>
      </c>
      <c r="G139" s="173">
        <v>66455.92</v>
      </c>
      <c r="H139" s="173">
        <v>0</v>
      </c>
      <c r="I139" s="173">
        <v>170417.03</v>
      </c>
      <c r="J139" s="174">
        <v>30847.82</v>
      </c>
      <c r="K139" s="173">
        <v>622194.21</v>
      </c>
      <c r="L139" s="173">
        <v>46490.31</v>
      </c>
      <c r="M139" s="175">
        <v>0</v>
      </c>
      <c r="N139" s="173">
        <v>0</v>
      </c>
      <c r="O139" s="152">
        <f t="shared" si="15"/>
        <v>936405.29</v>
      </c>
      <c r="P139" s="3">
        <f t="shared" si="16"/>
        <v>869949.36999999988</v>
      </c>
      <c r="Q139" s="3">
        <f t="shared" si="17"/>
        <v>170417.03</v>
      </c>
      <c r="R139" s="3">
        <f t="shared" si="18"/>
        <v>30847.82</v>
      </c>
      <c r="S139" s="3">
        <f t="shared" si="19"/>
        <v>668684.52</v>
      </c>
      <c r="T139" s="3">
        <f t="shared" si="20"/>
        <v>0</v>
      </c>
      <c r="U139" s="3">
        <f>IF($A$5=1,IF($P139=0,0,ROUND(Q139/$P139*$E139,2)),Credits!D139)+Credits!J139</f>
        <v>3728.93</v>
      </c>
      <c r="V139" s="3">
        <f>IF($A$5=1,IF($P139=0,0,ROUND(R139/$P139*$E139,2)),Credits!E139)+Credits!K139</f>
        <v>717.94999999999993</v>
      </c>
      <c r="W139" s="3">
        <f>IF($A$5=1,IF($P139=0,0,ROUND(S139/$P139*$E139,2)),Credits!F139)+Credits!L139</f>
        <v>15558.59</v>
      </c>
      <c r="X139" s="3">
        <f>IF($A$5=1,IF($P139=0,0,ROUND(T139/$P139*$E139,2)),Credits!G139)+Credits!M139</f>
        <v>0</v>
      </c>
      <c r="Y139" s="3">
        <f t="shared" si="21"/>
        <v>20005.47</v>
      </c>
    </row>
    <row r="140" spans="1:25" ht="15" x14ac:dyDescent="0.25">
      <c r="A140" s="5">
        <v>441</v>
      </c>
      <c r="B140" s="5">
        <v>1</v>
      </c>
      <c r="C140" s="2" t="s">
        <v>136</v>
      </c>
      <c r="D140" s="3">
        <v>17164.88</v>
      </c>
      <c r="E140" s="3">
        <v>21270.98</v>
      </c>
      <c r="F140" s="173">
        <v>561416</v>
      </c>
      <c r="G140" s="173">
        <v>33270</v>
      </c>
      <c r="H140" s="173">
        <v>0</v>
      </c>
      <c r="I140" s="173">
        <v>205973</v>
      </c>
      <c r="J140" s="174">
        <v>28513</v>
      </c>
      <c r="K140" s="173">
        <v>0</v>
      </c>
      <c r="L140" s="173">
        <v>0</v>
      </c>
      <c r="M140" s="175">
        <v>0</v>
      </c>
      <c r="N140" s="173">
        <v>0</v>
      </c>
      <c r="O140" s="152">
        <f t="shared" si="15"/>
        <v>829172</v>
      </c>
      <c r="P140" s="3">
        <f t="shared" si="16"/>
        <v>234486</v>
      </c>
      <c r="Q140" s="3">
        <f t="shared" si="17"/>
        <v>205973</v>
      </c>
      <c r="R140" s="3">
        <f t="shared" si="18"/>
        <v>28513</v>
      </c>
      <c r="S140" s="3">
        <f t="shared" si="19"/>
        <v>0</v>
      </c>
      <c r="T140" s="3">
        <f t="shared" si="20"/>
        <v>0</v>
      </c>
      <c r="U140" s="3">
        <f>IF($A$5=1,IF($P140=0,0,ROUND(Q140/$P140*$E140,2)),Credits!D140)+Credits!J140</f>
        <v>8033.03</v>
      </c>
      <c r="V140" s="3">
        <f>IF($A$5=1,IF($P140=0,0,ROUND(R140/$P140*$E140,2)),Credits!E140)+Credits!K140</f>
        <v>1111.72</v>
      </c>
      <c r="W140" s="3">
        <f>IF($A$5=1,IF($P140=0,0,ROUND(S140/$P140*$E140,2)),Credits!F140)+Credits!L140</f>
        <v>0</v>
      </c>
      <c r="X140" s="3">
        <f>IF($A$5=1,IF($P140=0,0,ROUND(T140/$P140*$E140,2)),Credits!G140)+Credits!M140</f>
        <v>0</v>
      </c>
      <c r="Y140" s="3">
        <f t="shared" si="21"/>
        <v>9144.75</v>
      </c>
    </row>
    <row r="141" spans="1:25" ht="15" x14ac:dyDescent="0.25">
      <c r="A141" s="5">
        <v>447</v>
      </c>
      <c r="B141" s="5">
        <v>1</v>
      </c>
      <c r="C141" s="2" t="s">
        <v>137</v>
      </c>
      <c r="D141" s="3">
        <v>34516.92</v>
      </c>
      <c r="E141" s="3">
        <v>35458.18</v>
      </c>
      <c r="F141" s="173">
        <v>69916</v>
      </c>
      <c r="G141" s="173">
        <v>8421</v>
      </c>
      <c r="H141" s="173">
        <v>0</v>
      </c>
      <c r="I141" s="173">
        <v>57432</v>
      </c>
      <c r="J141" s="174">
        <v>12570</v>
      </c>
      <c r="K141" s="173">
        <v>87047</v>
      </c>
      <c r="L141" s="173">
        <v>0</v>
      </c>
      <c r="M141" s="175">
        <v>0</v>
      </c>
      <c r="N141" s="173">
        <v>0</v>
      </c>
      <c r="O141" s="152">
        <f t="shared" si="15"/>
        <v>235386</v>
      </c>
      <c r="P141" s="3">
        <f t="shared" si="16"/>
        <v>157049</v>
      </c>
      <c r="Q141" s="3">
        <f t="shared" si="17"/>
        <v>57432</v>
      </c>
      <c r="R141" s="3">
        <f t="shared" si="18"/>
        <v>12570</v>
      </c>
      <c r="S141" s="3">
        <f t="shared" si="19"/>
        <v>87047</v>
      </c>
      <c r="T141" s="3">
        <f t="shared" si="20"/>
        <v>0</v>
      </c>
      <c r="U141" s="3">
        <f>IF($A$5=1,IF($P141=0,0,ROUND(Q141/$P141*$E141,2)),Credits!D141)+Credits!J141</f>
        <v>3741.8199999999997</v>
      </c>
      <c r="V141" s="3">
        <f>IF($A$5=1,IF($P141=0,0,ROUND(R141/$P141*$E141,2)),Credits!E141)+Credits!K141</f>
        <v>817.91</v>
      </c>
      <c r="W141" s="3">
        <f>IF($A$5=1,IF($P141=0,0,ROUND(S141/$P141*$E141,2)),Credits!F141)+Credits!L141</f>
        <v>5671.24</v>
      </c>
      <c r="X141" s="3">
        <f>IF($A$5=1,IF($P141=0,0,ROUND(T141/$P141*$E141,2)),Credits!G141)+Credits!M141</f>
        <v>0</v>
      </c>
      <c r="Y141" s="3">
        <f t="shared" si="21"/>
        <v>10230.969999999999</v>
      </c>
    </row>
    <row r="142" spans="1:25" ht="15" x14ac:dyDescent="0.25">
      <c r="A142" s="5">
        <v>458</v>
      </c>
      <c r="B142" s="5">
        <v>1</v>
      </c>
      <c r="C142" s="2" t="s">
        <v>138</v>
      </c>
      <c r="D142" s="3">
        <v>39215.850000000006</v>
      </c>
      <c r="E142" s="3">
        <v>44895.119999999995</v>
      </c>
      <c r="F142" s="173">
        <v>336900.33</v>
      </c>
      <c r="G142" s="173">
        <v>11149.44</v>
      </c>
      <c r="H142" s="173">
        <v>0</v>
      </c>
      <c r="I142" s="173">
        <v>182873.49</v>
      </c>
      <c r="J142" s="174">
        <v>38915.800000000003</v>
      </c>
      <c r="K142" s="173">
        <v>97375</v>
      </c>
      <c r="L142" s="173">
        <v>0</v>
      </c>
      <c r="M142" s="175">
        <v>0</v>
      </c>
      <c r="N142" s="173">
        <v>0</v>
      </c>
      <c r="O142" s="152">
        <f t="shared" si="15"/>
        <v>667214.06000000006</v>
      </c>
      <c r="P142" s="3">
        <f t="shared" si="16"/>
        <v>319164.28999999998</v>
      </c>
      <c r="Q142" s="3">
        <f t="shared" si="17"/>
        <v>182873.49</v>
      </c>
      <c r="R142" s="3">
        <f t="shared" si="18"/>
        <v>38915.800000000003</v>
      </c>
      <c r="S142" s="3">
        <f t="shared" si="19"/>
        <v>97375</v>
      </c>
      <c r="T142" s="3">
        <f t="shared" si="20"/>
        <v>0</v>
      </c>
      <c r="U142" s="3">
        <f>IF($A$5=1,IF($P142=0,0,ROUND(Q142/$P142*$E142,2)),Credits!D142)+Credits!J142</f>
        <v>11423.95</v>
      </c>
      <c r="V142" s="3">
        <f>IF($A$5=1,IF($P142=0,0,ROUND(R142/$P142*$E142,2)),Credits!E142)+Credits!K142</f>
        <v>2429.9300000000003</v>
      </c>
      <c r="W142" s="3">
        <f>IF($A$5=1,IF($P142=0,0,ROUND(S142/$P142*$E142,2)),Credits!F142)+Credits!L142</f>
        <v>6082.98</v>
      </c>
      <c r="X142" s="3">
        <f>IF($A$5=1,IF($P142=0,0,ROUND(T142/$P142*$E142,2)),Credits!G142)+Credits!M142</f>
        <v>0</v>
      </c>
      <c r="Y142" s="3">
        <f t="shared" si="21"/>
        <v>19936.86</v>
      </c>
    </row>
    <row r="143" spans="1:25" ht="15" x14ac:dyDescent="0.25">
      <c r="A143" s="5">
        <v>463</v>
      </c>
      <c r="B143" s="5">
        <v>1</v>
      </c>
      <c r="C143" s="2" t="s">
        <v>139</v>
      </c>
      <c r="D143" s="3">
        <v>73908.87</v>
      </c>
      <c r="E143" s="3">
        <v>74230.3</v>
      </c>
      <c r="F143" s="173">
        <v>488791.03</v>
      </c>
      <c r="G143" s="173">
        <v>51730.98</v>
      </c>
      <c r="H143" s="173">
        <v>0</v>
      </c>
      <c r="I143" s="173">
        <v>134879.95000000001</v>
      </c>
      <c r="J143" s="174">
        <v>60947.37</v>
      </c>
      <c r="K143" s="173">
        <v>1266598.25</v>
      </c>
      <c r="L143" s="173">
        <v>244249.94</v>
      </c>
      <c r="M143" s="175">
        <v>0</v>
      </c>
      <c r="N143" s="173">
        <v>0</v>
      </c>
      <c r="O143" s="152">
        <f t="shared" si="15"/>
        <v>2247197.52</v>
      </c>
      <c r="P143" s="3">
        <f t="shared" si="16"/>
        <v>1706675.51</v>
      </c>
      <c r="Q143" s="3">
        <f t="shared" si="17"/>
        <v>134879.95000000001</v>
      </c>
      <c r="R143" s="3">
        <f t="shared" si="18"/>
        <v>60947.37</v>
      </c>
      <c r="S143" s="3">
        <f t="shared" si="19"/>
        <v>1510848.19</v>
      </c>
      <c r="T143" s="3">
        <f t="shared" si="20"/>
        <v>0</v>
      </c>
      <c r="U143" s="3">
        <f>IF($A$5=1,IF($P143=0,0,ROUND(Q143/$P143*$E143,2)),Credits!D143)+Credits!J143</f>
        <v>2299.3200000000002</v>
      </c>
      <c r="V143" s="3">
        <f>IF($A$5=1,IF($P143=0,0,ROUND(R143/$P143*$E143,2)),Credits!E143)+Credits!K143</f>
        <v>1040.22</v>
      </c>
      <c r="W143" s="3">
        <f>IF($A$5=1,IF($P143=0,0,ROUND(S143/$P143*$E143,2)),Credits!F143)+Credits!L143</f>
        <v>25766.65</v>
      </c>
      <c r="X143" s="3">
        <f>IF($A$5=1,IF($P143=0,0,ROUND(T143/$P143*$E143,2)),Credits!G143)+Credits!M143</f>
        <v>0</v>
      </c>
      <c r="Y143" s="3">
        <f t="shared" si="21"/>
        <v>29106.190000000002</v>
      </c>
    </row>
    <row r="144" spans="1:25" ht="15" x14ac:dyDescent="0.25">
      <c r="A144" s="5">
        <v>465</v>
      </c>
      <c r="B144" s="5">
        <v>1</v>
      </c>
      <c r="C144" s="2" t="s">
        <v>140</v>
      </c>
      <c r="D144" s="3">
        <v>184545.95</v>
      </c>
      <c r="E144" s="3">
        <v>188764.19</v>
      </c>
      <c r="F144" s="173">
        <v>941716.97</v>
      </c>
      <c r="G144" s="173">
        <v>151969.69</v>
      </c>
      <c r="H144" s="173">
        <v>0</v>
      </c>
      <c r="I144" s="173">
        <v>804498.33</v>
      </c>
      <c r="J144" s="174">
        <v>138604.81</v>
      </c>
      <c r="K144" s="173">
        <v>1293412.69</v>
      </c>
      <c r="L144" s="173">
        <v>108939.51</v>
      </c>
      <c r="M144" s="175">
        <v>0</v>
      </c>
      <c r="N144" s="173">
        <v>0</v>
      </c>
      <c r="O144" s="152">
        <f t="shared" si="15"/>
        <v>3439141.9999999995</v>
      </c>
      <c r="P144" s="3">
        <f t="shared" si="16"/>
        <v>2345455.34</v>
      </c>
      <c r="Q144" s="3">
        <f t="shared" si="17"/>
        <v>804498.33</v>
      </c>
      <c r="R144" s="3">
        <f t="shared" si="18"/>
        <v>138604.81</v>
      </c>
      <c r="S144" s="3">
        <f t="shared" si="19"/>
        <v>1402352.2</v>
      </c>
      <c r="T144" s="3">
        <f t="shared" si="20"/>
        <v>0</v>
      </c>
      <c r="U144" s="3">
        <f>IF($A$5=1,IF($P144=0,0,ROUND(Q144/$P144*$E144,2)),Credits!D144)+Credits!J144</f>
        <v>8865.68</v>
      </c>
      <c r="V144" s="3">
        <f>IF($A$5=1,IF($P144=0,0,ROUND(R144/$P144*$E144,2)),Credits!E144)+Credits!K144</f>
        <v>1528.1399999999999</v>
      </c>
      <c r="W144" s="3">
        <f>IF($A$5=1,IF($P144=0,0,ROUND(S144/$P144*$E144,2)),Credits!F144)+Credits!L144</f>
        <v>15186.76</v>
      </c>
      <c r="X144" s="3">
        <f>IF($A$5=1,IF($P144=0,0,ROUND(T144/$P144*$E144,2)),Credits!G144)+Credits!M144</f>
        <v>0</v>
      </c>
      <c r="Y144" s="3">
        <f t="shared" si="21"/>
        <v>25580.58</v>
      </c>
    </row>
    <row r="145" spans="1:25" ht="15" x14ac:dyDescent="0.25">
      <c r="A145" s="5">
        <v>466</v>
      </c>
      <c r="B145" s="5">
        <v>1</v>
      </c>
      <c r="C145" s="2" t="s">
        <v>141</v>
      </c>
      <c r="D145" s="3">
        <v>200901</v>
      </c>
      <c r="E145" s="3">
        <v>153509.10999999999</v>
      </c>
      <c r="F145" s="173">
        <v>665822.44999999995</v>
      </c>
      <c r="G145" s="173">
        <v>203576.65</v>
      </c>
      <c r="H145" s="173">
        <v>0</v>
      </c>
      <c r="I145" s="173">
        <v>532215.4</v>
      </c>
      <c r="J145" s="174">
        <v>124917.25</v>
      </c>
      <c r="K145" s="173">
        <v>1209784.94</v>
      </c>
      <c r="L145" s="173">
        <v>0</v>
      </c>
      <c r="M145" s="175">
        <v>0</v>
      </c>
      <c r="N145" s="173">
        <v>0</v>
      </c>
      <c r="O145" s="152">
        <f t="shared" si="15"/>
        <v>2736316.69</v>
      </c>
      <c r="P145" s="3">
        <f t="shared" si="16"/>
        <v>1866917.5899999999</v>
      </c>
      <c r="Q145" s="3">
        <f t="shared" si="17"/>
        <v>532215.4</v>
      </c>
      <c r="R145" s="3">
        <f t="shared" si="18"/>
        <v>124917.25</v>
      </c>
      <c r="S145" s="3">
        <f t="shared" si="19"/>
        <v>1209784.94</v>
      </c>
      <c r="T145" s="3">
        <f t="shared" si="20"/>
        <v>0</v>
      </c>
      <c r="U145" s="3">
        <f>IF($A$5=1,IF($P145=0,0,ROUND(Q145/$P145*$E145,2)),Credits!D145)+Credits!J145</f>
        <v>9423.8700000000008</v>
      </c>
      <c r="V145" s="3">
        <f>IF($A$5=1,IF($P145=0,0,ROUND(R145/$P145*$E145,2)),Credits!E145)+Credits!K145</f>
        <v>2212.83</v>
      </c>
      <c r="W145" s="3">
        <f>IF($A$5=1,IF($P145=0,0,ROUND(S145/$P145*$E145,2)),Credits!F145)+Credits!L145</f>
        <v>21409.489999999998</v>
      </c>
      <c r="X145" s="3">
        <f>IF($A$5=1,IF($P145=0,0,ROUND(T145/$P145*$E145,2)),Credits!G145)+Credits!M145</f>
        <v>0</v>
      </c>
      <c r="Y145" s="3">
        <f t="shared" si="21"/>
        <v>33046.19</v>
      </c>
    </row>
    <row r="146" spans="1:25" ht="15" x14ac:dyDescent="0.25">
      <c r="A146" s="5">
        <v>473</v>
      </c>
      <c r="B146" s="5">
        <v>1</v>
      </c>
      <c r="C146" s="2" t="s">
        <v>142</v>
      </c>
      <c r="D146" s="3">
        <v>45145.83</v>
      </c>
      <c r="E146" s="3">
        <v>44531.289999999994</v>
      </c>
      <c r="F146" s="173">
        <v>0</v>
      </c>
      <c r="G146" s="173">
        <v>97067.01</v>
      </c>
      <c r="H146" s="173">
        <v>0</v>
      </c>
      <c r="I146" s="173">
        <v>203035.3</v>
      </c>
      <c r="J146" s="174">
        <v>39274.839999999997</v>
      </c>
      <c r="K146" s="173">
        <v>627613.62</v>
      </c>
      <c r="L146" s="173">
        <v>0</v>
      </c>
      <c r="M146" s="175">
        <v>0</v>
      </c>
      <c r="N146" s="173">
        <v>0</v>
      </c>
      <c r="O146" s="152">
        <f t="shared" si="15"/>
        <v>966990.77</v>
      </c>
      <c r="P146" s="3">
        <f t="shared" si="16"/>
        <v>869923.76</v>
      </c>
      <c r="Q146" s="3">
        <f t="shared" si="17"/>
        <v>203035.3</v>
      </c>
      <c r="R146" s="3">
        <f t="shared" si="18"/>
        <v>39274.839999999997</v>
      </c>
      <c r="S146" s="3">
        <f t="shared" si="19"/>
        <v>627613.62</v>
      </c>
      <c r="T146" s="3">
        <f t="shared" si="20"/>
        <v>0</v>
      </c>
      <c r="U146" s="3">
        <f>IF($A$5=1,IF($P146=0,0,ROUND(Q146/$P146*$E146,2)),Credits!D146)+Credits!J146</f>
        <v>1601.05</v>
      </c>
      <c r="V146" s="3">
        <f>IF($A$5=1,IF($P146=0,0,ROUND(R146/$P146*$E146,2)),Credits!E146)+Credits!K146</f>
        <v>309.83</v>
      </c>
      <c r="W146" s="3">
        <f>IF($A$5=1,IF($P146=0,0,ROUND(S146/$P146*$E146,2)),Credits!F146)+Credits!L146</f>
        <v>4950.6899999999996</v>
      </c>
      <c r="X146" s="3">
        <f>IF($A$5=1,IF($P146=0,0,ROUND(T146/$P146*$E146,2)),Credits!G146)+Credits!M146</f>
        <v>0</v>
      </c>
      <c r="Y146" s="3">
        <f t="shared" si="21"/>
        <v>6861.57</v>
      </c>
    </row>
    <row r="147" spans="1:25" ht="15" x14ac:dyDescent="0.25">
      <c r="A147" s="5">
        <v>477</v>
      </c>
      <c r="B147" s="5">
        <v>1</v>
      </c>
      <c r="C147" s="2" t="s">
        <v>143</v>
      </c>
      <c r="D147" s="3">
        <v>331812.84999999998</v>
      </c>
      <c r="E147" s="3">
        <v>351314.71</v>
      </c>
      <c r="F147" s="173">
        <v>888170.13</v>
      </c>
      <c r="G147" s="173">
        <v>322878.38</v>
      </c>
      <c r="H147" s="173">
        <v>0</v>
      </c>
      <c r="I147" s="173">
        <v>1076890.53</v>
      </c>
      <c r="J147" s="174">
        <v>266741.88</v>
      </c>
      <c r="K147" s="173">
        <v>1506368.11</v>
      </c>
      <c r="L147" s="173">
        <v>678171.23</v>
      </c>
      <c r="M147" s="175">
        <v>0</v>
      </c>
      <c r="N147" s="173">
        <v>0</v>
      </c>
      <c r="O147" s="152">
        <f t="shared" si="15"/>
        <v>4739220.26</v>
      </c>
      <c r="P147" s="3">
        <f t="shared" si="16"/>
        <v>3528171.7500000005</v>
      </c>
      <c r="Q147" s="3">
        <f t="shared" si="17"/>
        <v>1076890.53</v>
      </c>
      <c r="R147" s="3">
        <f t="shared" si="18"/>
        <v>266741.88</v>
      </c>
      <c r="S147" s="3">
        <f t="shared" si="19"/>
        <v>2184539.34</v>
      </c>
      <c r="T147" s="3">
        <f t="shared" si="20"/>
        <v>0</v>
      </c>
      <c r="U147" s="3">
        <f>IF($A$5=1,IF($P147=0,0,ROUND(Q147/$P147*$E147,2)),Credits!D147)+Credits!J147</f>
        <v>19512.509999999998</v>
      </c>
      <c r="V147" s="3">
        <f>IF($A$5=1,IF($P147=0,0,ROUND(R147/$P147*$E147,2)),Credits!E147)+Credits!K147</f>
        <v>4673.07</v>
      </c>
      <c r="W147" s="3">
        <f>IF($A$5=1,IF($P147=0,0,ROUND(S147/$P147*$E147,2)),Credits!F147)+Credits!L147</f>
        <v>38110.460000000006</v>
      </c>
      <c r="X147" s="3">
        <f>IF($A$5=1,IF($P147=0,0,ROUND(T147/$P147*$E147,2)),Credits!G147)+Credits!M147</f>
        <v>151.49</v>
      </c>
      <c r="Y147" s="3">
        <f t="shared" si="21"/>
        <v>62447.530000000006</v>
      </c>
    </row>
    <row r="148" spans="1:25" ht="15" x14ac:dyDescent="0.25">
      <c r="A148" s="5">
        <v>480</v>
      </c>
      <c r="B148" s="5">
        <v>1</v>
      </c>
      <c r="C148" s="2" t="s">
        <v>144</v>
      </c>
      <c r="D148" s="3">
        <v>61856.33</v>
      </c>
      <c r="E148" s="3">
        <v>59893.62</v>
      </c>
      <c r="F148" s="173">
        <v>460197.27</v>
      </c>
      <c r="G148" s="173">
        <v>82393.53</v>
      </c>
      <c r="H148" s="173">
        <v>0</v>
      </c>
      <c r="I148" s="173">
        <v>1259310.6200000001</v>
      </c>
      <c r="J148" s="174">
        <v>78078.55</v>
      </c>
      <c r="K148" s="173">
        <v>0</v>
      </c>
      <c r="L148" s="173">
        <v>0</v>
      </c>
      <c r="M148" s="175">
        <v>0</v>
      </c>
      <c r="N148" s="173">
        <v>0</v>
      </c>
      <c r="O148" s="152">
        <f t="shared" si="15"/>
        <v>1879979.9700000002</v>
      </c>
      <c r="P148" s="3">
        <f t="shared" si="16"/>
        <v>1337389.1700000002</v>
      </c>
      <c r="Q148" s="3">
        <f t="shared" si="17"/>
        <v>1259310.6200000001</v>
      </c>
      <c r="R148" s="3">
        <f t="shared" si="18"/>
        <v>78078.55</v>
      </c>
      <c r="S148" s="3">
        <f t="shared" si="19"/>
        <v>0</v>
      </c>
      <c r="T148" s="3">
        <f t="shared" si="20"/>
        <v>0</v>
      </c>
      <c r="U148" s="3">
        <f>IF($A$5=1,IF($P148=0,0,ROUND(Q148/$P148*$E148,2)),Credits!D148)+Credits!J148</f>
        <v>11663.539999999999</v>
      </c>
      <c r="V148" s="3">
        <f>IF($A$5=1,IF($P148=0,0,ROUND(R148/$P148*$E148,2)),Credits!E148)+Credits!K148</f>
        <v>723.25</v>
      </c>
      <c r="W148" s="3">
        <f>IF($A$5=1,IF($P148=0,0,ROUND(S148/$P148*$E148,2)),Credits!F148)+Credits!L148</f>
        <v>0</v>
      </c>
      <c r="X148" s="3">
        <f>IF($A$5=1,IF($P148=0,0,ROUND(T148/$P148*$E148,2)),Credits!G148)+Credits!M148</f>
        <v>0</v>
      </c>
      <c r="Y148" s="3">
        <f t="shared" si="21"/>
        <v>12386.789999999999</v>
      </c>
    </row>
    <row r="149" spans="1:25" ht="15" x14ac:dyDescent="0.25">
      <c r="A149" s="5">
        <v>482</v>
      </c>
      <c r="B149" s="5">
        <v>1</v>
      </c>
      <c r="C149" s="2" t="s">
        <v>145</v>
      </c>
      <c r="D149" s="3">
        <v>289231.57</v>
      </c>
      <c r="E149" s="3">
        <v>235112.68</v>
      </c>
      <c r="F149" s="173">
        <v>1808262.54</v>
      </c>
      <c r="G149" s="173">
        <v>238639.89</v>
      </c>
      <c r="H149" s="173">
        <v>0</v>
      </c>
      <c r="I149" s="173">
        <v>845979.52</v>
      </c>
      <c r="J149" s="174">
        <v>175425.83</v>
      </c>
      <c r="K149" s="173">
        <v>0</v>
      </c>
      <c r="L149" s="173">
        <v>759762.56</v>
      </c>
      <c r="M149" s="175">
        <v>0</v>
      </c>
      <c r="N149" s="173">
        <v>266189</v>
      </c>
      <c r="O149" s="152">
        <f t="shared" si="15"/>
        <v>4094259.3400000003</v>
      </c>
      <c r="P149" s="3">
        <f t="shared" si="16"/>
        <v>2047356.9100000001</v>
      </c>
      <c r="Q149" s="3">
        <f t="shared" si="17"/>
        <v>845979.52</v>
      </c>
      <c r="R149" s="3">
        <f t="shared" si="18"/>
        <v>175425.83</v>
      </c>
      <c r="S149" s="3">
        <f t="shared" si="19"/>
        <v>759762.56</v>
      </c>
      <c r="T149" s="3">
        <f t="shared" si="20"/>
        <v>266189</v>
      </c>
      <c r="U149" s="3">
        <f>IF($A$5=1,IF($P149=0,0,ROUND(Q149/$P149*$E149,2)),Credits!D149)+Credits!J149</f>
        <v>33536.42</v>
      </c>
      <c r="V149" s="3">
        <f>IF($A$5=1,IF($P149=0,0,ROUND(R149/$P149*$E149,2)),Credits!E149)+Credits!K149</f>
        <v>6955.06</v>
      </c>
      <c r="W149" s="3">
        <f>IF($A$5=1,IF($P149=0,0,ROUND(S149/$P149*$E149,2)),Credits!F149)+Credits!L149</f>
        <v>29996.67</v>
      </c>
      <c r="X149" s="3">
        <f>IF($A$5=1,IF($P149=0,0,ROUND(T149/$P149*$E149,2)),Credits!G149)+Credits!M149</f>
        <v>10508.16</v>
      </c>
      <c r="Y149" s="3">
        <f t="shared" si="21"/>
        <v>80996.31</v>
      </c>
    </row>
    <row r="150" spans="1:25" ht="15" x14ac:dyDescent="0.25">
      <c r="A150" s="5">
        <v>484</v>
      </c>
      <c r="B150" s="5">
        <v>1</v>
      </c>
      <c r="C150" s="2" t="s">
        <v>146</v>
      </c>
      <c r="D150" s="3">
        <v>103839.67</v>
      </c>
      <c r="E150" s="3">
        <v>97750</v>
      </c>
      <c r="F150" s="173">
        <v>389631.66</v>
      </c>
      <c r="G150" s="173">
        <v>81452.179999999993</v>
      </c>
      <c r="H150" s="173">
        <v>0</v>
      </c>
      <c r="I150" s="173">
        <v>270690.63</v>
      </c>
      <c r="J150" s="174">
        <v>57041.89</v>
      </c>
      <c r="K150" s="173">
        <v>413562.43</v>
      </c>
      <c r="L150" s="173">
        <v>0</v>
      </c>
      <c r="M150" s="175">
        <v>0</v>
      </c>
      <c r="N150" s="173">
        <v>0</v>
      </c>
      <c r="O150" s="152">
        <f t="shared" si="15"/>
        <v>1212378.79</v>
      </c>
      <c r="P150" s="3">
        <f t="shared" si="16"/>
        <v>741294.95</v>
      </c>
      <c r="Q150" s="3">
        <f t="shared" si="17"/>
        <v>270690.63</v>
      </c>
      <c r="R150" s="3">
        <f t="shared" si="18"/>
        <v>57041.89</v>
      </c>
      <c r="S150" s="3">
        <f t="shared" si="19"/>
        <v>413562.43</v>
      </c>
      <c r="T150" s="3">
        <f t="shared" si="20"/>
        <v>0</v>
      </c>
      <c r="U150" s="3">
        <f>IF($A$5=1,IF($P150=0,0,ROUND(Q150/$P150*$E150,2)),Credits!D150)+Credits!J150</f>
        <v>10560.01</v>
      </c>
      <c r="V150" s="3">
        <f>IF($A$5=1,IF($P150=0,0,ROUND(R150/$P150*$E150,2)),Credits!E150)+Credits!K150</f>
        <v>2225.88</v>
      </c>
      <c r="W150" s="3">
        <f>IF($A$5=1,IF($P150=0,0,ROUND(S150/$P150*$E150,2)),Credits!F150)+Credits!L150</f>
        <v>16131.76</v>
      </c>
      <c r="X150" s="3">
        <f>IF($A$5=1,IF($P150=0,0,ROUND(T150/$P150*$E150,2)),Credits!G150)+Credits!M150</f>
        <v>0</v>
      </c>
      <c r="Y150" s="3">
        <f t="shared" si="21"/>
        <v>28917.65</v>
      </c>
    </row>
    <row r="151" spans="1:25" ht="15" x14ac:dyDescent="0.25">
      <c r="A151" s="5">
        <v>485</v>
      </c>
      <c r="B151" s="5">
        <v>1</v>
      </c>
      <c r="C151" s="2" t="s">
        <v>147</v>
      </c>
      <c r="D151" s="3">
        <v>96649.09</v>
      </c>
      <c r="E151" s="3">
        <v>96534.06</v>
      </c>
      <c r="F151" s="173">
        <v>0</v>
      </c>
      <c r="G151" s="173">
        <v>98167.58</v>
      </c>
      <c r="H151" s="173">
        <v>0</v>
      </c>
      <c r="I151" s="173">
        <v>193592.68</v>
      </c>
      <c r="J151" s="174">
        <v>38956.75</v>
      </c>
      <c r="K151" s="173">
        <v>718569.16</v>
      </c>
      <c r="L151" s="173">
        <v>0</v>
      </c>
      <c r="M151" s="175">
        <v>0</v>
      </c>
      <c r="N151" s="173">
        <v>0</v>
      </c>
      <c r="O151" s="152">
        <f t="shared" si="15"/>
        <v>1049286.17</v>
      </c>
      <c r="P151" s="3">
        <f t="shared" si="16"/>
        <v>951118.59000000008</v>
      </c>
      <c r="Q151" s="3">
        <f t="shared" si="17"/>
        <v>193592.68</v>
      </c>
      <c r="R151" s="3">
        <f t="shared" si="18"/>
        <v>38956.75</v>
      </c>
      <c r="S151" s="3">
        <f t="shared" si="19"/>
        <v>718569.16</v>
      </c>
      <c r="T151" s="3">
        <f t="shared" si="20"/>
        <v>0</v>
      </c>
      <c r="U151" s="3">
        <f>IF($A$5=1,IF($P151=0,0,ROUND(Q151/$P151*$E151,2)),Credits!D151)+Credits!J151</f>
        <v>4463.2300000000005</v>
      </c>
      <c r="V151" s="3">
        <f>IF($A$5=1,IF($P151=0,0,ROUND(R151/$P151*$E151,2)),Credits!E151)+Credits!K151</f>
        <v>898.05000000000007</v>
      </c>
      <c r="W151" s="3">
        <f>IF($A$5=1,IF($P151=0,0,ROUND(S151/$P151*$E151,2)),Credits!F151)+Credits!L151</f>
        <v>16565.230000000003</v>
      </c>
      <c r="X151" s="3">
        <f>IF($A$5=1,IF($P151=0,0,ROUND(T151/$P151*$E151,2)),Credits!G151)+Credits!M151</f>
        <v>0</v>
      </c>
      <c r="Y151" s="3">
        <f t="shared" si="21"/>
        <v>21926.510000000002</v>
      </c>
    </row>
    <row r="152" spans="1:25" ht="15" x14ac:dyDescent="0.25">
      <c r="A152" s="5">
        <v>486</v>
      </c>
      <c r="B152" s="5">
        <v>1</v>
      </c>
      <c r="C152" s="2" t="s">
        <v>148</v>
      </c>
      <c r="D152" s="3">
        <v>53918.34</v>
      </c>
      <c r="E152" s="3">
        <v>52386.26</v>
      </c>
      <c r="F152" s="173">
        <v>197998.79</v>
      </c>
      <c r="G152" s="173">
        <v>26102.19</v>
      </c>
      <c r="H152" s="173">
        <v>0</v>
      </c>
      <c r="I152" s="173">
        <v>119709</v>
      </c>
      <c r="J152" s="174">
        <v>21377.23</v>
      </c>
      <c r="K152" s="173">
        <v>450616.54</v>
      </c>
      <c r="L152" s="173">
        <v>0</v>
      </c>
      <c r="M152" s="175">
        <v>0</v>
      </c>
      <c r="N152" s="173">
        <v>0</v>
      </c>
      <c r="O152" s="152">
        <f t="shared" si="15"/>
        <v>815803.75</v>
      </c>
      <c r="P152" s="3">
        <f t="shared" si="16"/>
        <v>591702.77</v>
      </c>
      <c r="Q152" s="3">
        <f t="shared" si="17"/>
        <v>119709</v>
      </c>
      <c r="R152" s="3">
        <f t="shared" si="18"/>
        <v>21377.23</v>
      </c>
      <c r="S152" s="3">
        <f t="shared" si="19"/>
        <v>450616.54</v>
      </c>
      <c r="T152" s="3">
        <f t="shared" si="20"/>
        <v>0</v>
      </c>
      <c r="U152" s="3">
        <f>IF($A$5=1,IF($P152=0,0,ROUND(Q152/$P152*$E152,2)),Credits!D152)+Credits!J152</f>
        <v>3296.4199999999996</v>
      </c>
      <c r="V152" s="3">
        <f>IF($A$5=1,IF($P152=0,0,ROUND(R152/$P152*$E152,2)),Credits!E152)+Credits!K152</f>
        <v>588.91</v>
      </c>
      <c r="W152" s="3">
        <f>IF($A$5=1,IF($P152=0,0,ROUND(S152/$P152*$E152,2)),Credits!F152)+Credits!L152</f>
        <v>12372.710000000001</v>
      </c>
      <c r="X152" s="3">
        <f>IF($A$5=1,IF($P152=0,0,ROUND(T152/$P152*$E152,2)),Credits!G152)+Credits!M152</f>
        <v>0</v>
      </c>
      <c r="Y152" s="3">
        <f t="shared" si="21"/>
        <v>16258.04</v>
      </c>
    </row>
    <row r="153" spans="1:25" ht="15" x14ac:dyDescent="0.25">
      <c r="A153" s="5">
        <v>487</v>
      </c>
      <c r="B153" s="5">
        <v>1</v>
      </c>
      <c r="C153" s="2" t="s">
        <v>149</v>
      </c>
      <c r="D153" s="3">
        <v>100392.47</v>
      </c>
      <c r="E153" s="3">
        <v>75120.449999999983</v>
      </c>
      <c r="F153" s="173">
        <v>230204.71</v>
      </c>
      <c r="G153" s="173">
        <v>24757.83</v>
      </c>
      <c r="H153" s="173">
        <v>0</v>
      </c>
      <c r="I153" s="173">
        <v>71672.14</v>
      </c>
      <c r="J153" s="174">
        <v>9747.84</v>
      </c>
      <c r="K153" s="173">
        <v>569348</v>
      </c>
      <c r="L153" s="173">
        <v>0</v>
      </c>
      <c r="M153" s="175">
        <v>0</v>
      </c>
      <c r="N153" s="173">
        <v>0</v>
      </c>
      <c r="O153" s="152">
        <f t="shared" si="15"/>
        <v>905730.52</v>
      </c>
      <c r="P153" s="3">
        <f t="shared" si="16"/>
        <v>650767.98</v>
      </c>
      <c r="Q153" s="3">
        <f t="shared" si="17"/>
        <v>71672.14</v>
      </c>
      <c r="R153" s="3">
        <f t="shared" si="18"/>
        <v>9747.84</v>
      </c>
      <c r="S153" s="3">
        <f t="shared" si="19"/>
        <v>569348</v>
      </c>
      <c r="T153" s="3">
        <f t="shared" si="20"/>
        <v>0</v>
      </c>
      <c r="U153" s="3">
        <f>IF($A$5=1,IF($P153=0,0,ROUND(Q153/$P153*$E153,2)),Credits!D153)+Credits!J153</f>
        <v>3178.22</v>
      </c>
      <c r="V153" s="3">
        <f>IF($A$5=1,IF($P153=0,0,ROUND(R153/$P153*$E153,2)),Credits!E153)+Credits!K153</f>
        <v>432.35</v>
      </c>
      <c r="W153" s="3">
        <f>IF($A$5=1,IF($P153=0,0,ROUND(S153/$P153*$E153,2)),Credits!F153)+Credits!L153</f>
        <v>25244.65</v>
      </c>
      <c r="X153" s="3">
        <f>IF($A$5=1,IF($P153=0,0,ROUND(T153/$P153*$E153,2)),Credits!G153)+Credits!M153</f>
        <v>0</v>
      </c>
      <c r="Y153" s="3">
        <f t="shared" si="21"/>
        <v>28855.22</v>
      </c>
    </row>
    <row r="154" spans="1:25" ht="15" x14ac:dyDescent="0.25">
      <c r="A154" s="5">
        <v>492</v>
      </c>
      <c r="B154" s="5">
        <v>1</v>
      </c>
      <c r="C154" s="2" t="s">
        <v>150</v>
      </c>
      <c r="D154" s="3">
        <v>563641.42999999993</v>
      </c>
      <c r="E154" s="3">
        <v>546223.9</v>
      </c>
      <c r="F154" s="173">
        <v>1964059</v>
      </c>
      <c r="G154" s="173">
        <v>372468</v>
      </c>
      <c r="H154" s="173">
        <v>0</v>
      </c>
      <c r="I154" s="173">
        <v>1624841</v>
      </c>
      <c r="J154" s="174">
        <v>139347</v>
      </c>
      <c r="K154" s="173">
        <v>1971568</v>
      </c>
      <c r="L154" s="173">
        <v>946506</v>
      </c>
      <c r="M154" s="175">
        <v>0</v>
      </c>
      <c r="N154" s="173">
        <v>0</v>
      </c>
      <c r="O154" s="152">
        <f t="shared" si="15"/>
        <v>7018789</v>
      </c>
      <c r="P154" s="3">
        <f t="shared" si="16"/>
        <v>4682262</v>
      </c>
      <c r="Q154" s="3">
        <f t="shared" si="17"/>
        <v>1624841</v>
      </c>
      <c r="R154" s="3">
        <f t="shared" si="18"/>
        <v>139347</v>
      </c>
      <c r="S154" s="3">
        <f t="shared" si="19"/>
        <v>2918074</v>
      </c>
      <c r="T154" s="3">
        <f t="shared" si="20"/>
        <v>0</v>
      </c>
      <c r="U154" s="3">
        <f>IF($A$5=1,IF($P154=0,0,ROUND(Q154/$P154*$E154,2)),Credits!D154)+Credits!J154</f>
        <v>23573.889999999992</v>
      </c>
      <c r="V154" s="3">
        <f>IF($A$5=1,IF($P154=0,0,ROUND(R154/$P154*$E154,2)),Credits!E154)+Credits!K154</f>
        <v>3571.9700000000003</v>
      </c>
      <c r="W154" s="3">
        <f>IF($A$5=1,IF($P154=0,0,ROUND(S154/$P154*$E154,2)),Credits!F154)+Credits!L154</f>
        <v>74837.100000000006</v>
      </c>
      <c r="X154" s="3">
        <f>IF($A$5=1,IF($P154=0,0,ROUND(T154/$P154*$E154,2)),Credits!G154)+Credits!M154</f>
        <v>0</v>
      </c>
      <c r="Y154" s="3">
        <f t="shared" si="21"/>
        <v>101982.95999999999</v>
      </c>
    </row>
    <row r="155" spans="1:25" ht="15" x14ac:dyDescent="0.25">
      <c r="A155" s="5">
        <v>495</v>
      </c>
      <c r="B155" s="5">
        <v>1</v>
      </c>
      <c r="C155" s="2" t="s">
        <v>151</v>
      </c>
      <c r="D155" s="3">
        <v>54734.560000000005</v>
      </c>
      <c r="E155" s="3">
        <v>50823.8</v>
      </c>
      <c r="F155" s="173">
        <v>353169</v>
      </c>
      <c r="G155" s="173">
        <v>17558</v>
      </c>
      <c r="H155" s="173">
        <v>0</v>
      </c>
      <c r="I155" s="173">
        <v>160891</v>
      </c>
      <c r="J155" s="174">
        <v>35072</v>
      </c>
      <c r="K155" s="173">
        <v>567458</v>
      </c>
      <c r="L155" s="173">
        <v>0</v>
      </c>
      <c r="M155" s="175">
        <v>0</v>
      </c>
      <c r="N155" s="173">
        <v>0</v>
      </c>
      <c r="O155" s="152">
        <f t="shared" si="15"/>
        <v>1134148</v>
      </c>
      <c r="P155" s="3">
        <f t="shared" si="16"/>
        <v>763421</v>
      </c>
      <c r="Q155" s="3">
        <f t="shared" si="17"/>
        <v>160891</v>
      </c>
      <c r="R155" s="3">
        <f t="shared" si="18"/>
        <v>35072</v>
      </c>
      <c r="S155" s="3">
        <f t="shared" si="19"/>
        <v>567458</v>
      </c>
      <c r="T155" s="3">
        <f t="shared" si="20"/>
        <v>0</v>
      </c>
      <c r="U155" s="3">
        <f>IF($A$5=1,IF($P155=0,0,ROUND(Q155/$P155*$E155,2)),Credits!D155)+Credits!J155</f>
        <v>2117.38</v>
      </c>
      <c r="V155" s="3">
        <f>IF($A$5=1,IF($P155=0,0,ROUND(R155/$P155*$E155,2)),Credits!E155)+Credits!K155</f>
        <v>1114.1599999999999</v>
      </c>
      <c r="W155" s="3">
        <f>IF($A$5=1,IF($P155=0,0,ROUND(S155/$P155*$E155,2)),Credits!F155)+Credits!L155</f>
        <v>18023.650000000001</v>
      </c>
      <c r="X155" s="3">
        <f>IF($A$5=1,IF($P155=0,0,ROUND(T155/$P155*$E155,2)),Credits!G155)+Credits!M155</f>
        <v>0</v>
      </c>
      <c r="Y155" s="3">
        <f t="shared" si="21"/>
        <v>21255.190000000002</v>
      </c>
    </row>
    <row r="156" spans="1:25" ht="15" x14ac:dyDescent="0.25">
      <c r="A156" s="5">
        <v>497</v>
      </c>
      <c r="B156" s="5">
        <v>1</v>
      </c>
      <c r="C156" s="2" t="s">
        <v>152</v>
      </c>
      <c r="D156" s="3">
        <v>58974.6</v>
      </c>
      <c r="E156" s="3">
        <v>59846.39</v>
      </c>
      <c r="F156" s="173">
        <v>131960</v>
      </c>
      <c r="G156" s="173">
        <v>11182</v>
      </c>
      <c r="H156" s="173">
        <v>0</v>
      </c>
      <c r="I156" s="173">
        <v>112540</v>
      </c>
      <c r="J156" s="174">
        <v>18224</v>
      </c>
      <c r="K156" s="173">
        <v>524970</v>
      </c>
      <c r="L156" s="173">
        <v>0</v>
      </c>
      <c r="M156" s="175">
        <v>0</v>
      </c>
      <c r="N156" s="173">
        <v>0</v>
      </c>
      <c r="O156" s="152">
        <f t="shared" si="15"/>
        <v>798876</v>
      </c>
      <c r="P156" s="3">
        <f t="shared" si="16"/>
        <v>655734</v>
      </c>
      <c r="Q156" s="3">
        <f t="shared" si="17"/>
        <v>112540</v>
      </c>
      <c r="R156" s="3">
        <f t="shared" si="18"/>
        <v>18224</v>
      </c>
      <c r="S156" s="3">
        <f t="shared" si="19"/>
        <v>524970</v>
      </c>
      <c r="T156" s="3">
        <f t="shared" si="20"/>
        <v>0</v>
      </c>
      <c r="U156" s="3">
        <f>IF($A$5=1,IF($P156=0,0,ROUND(Q156/$P156*$E156,2)),Credits!D156)+Credits!J156</f>
        <v>2711.1500000000005</v>
      </c>
      <c r="V156" s="3">
        <f>IF($A$5=1,IF($P156=0,0,ROUND(R156/$P156*$E156,2)),Credits!E156)+Credits!K156</f>
        <v>814.31</v>
      </c>
      <c r="W156" s="3">
        <f>IF($A$5=1,IF($P156=0,0,ROUND(S156/$P156*$E156,2)),Credits!F156)+Credits!L156</f>
        <v>23455.559999999998</v>
      </c>
      <c r="X156" s="3">
        <f>IF($A$5=1,IF($P156=0,0,ROUND(T156/$P156*$E156,2)),Credits!G156)+Credits!M156</f>
        <v>0</v>
      </c>
      <c r="Y156" s="3">
        <f t="shared" si="21"/>
        <v>26981.019999999997</v>
      </c>
    </row>
    <row r="157" spans="1:25" ht="15" x14ac:dyDescent="0.25">
      <c r="A157" s="5">
        <v>499</v>
      </c>
      <c r="B157" s="5">
        <v>1</v>
      </c>
      <c r="C157" s="2" t="s">
        <v>153</v>
      </c>
      <c r="D157" s="3">
        <v>42213.3</v>
      </c>
      <c r="E157" s="3">
        <v>45081.87</v>
      </c>
      <c r="F157" s="173">
        <v>402311</v>
      </c>
      <c r="G157" s="173">
        <v>12568</v>
      </c>
      <c r="H157" s="173">
        <v>0</v>
      </c>
      <c r="I157" s="173">
        <v>121882</v>
      </c>
      <c r="J157" s="174">
        <v>56495</v>
      </c>
      <c r="K157" s="173">
        <v>230342</v>
      </c>
      <c r="L157" s="173">
        <v>0</v>
      </c>
      <c r="M157" s="175">
        <v>0</v>
      </c>
      <c r="N157" s="173">
        <v>107997</v>
      </c>
      <c r="O157" s="152">
        <f t="shared" si="15"/>
        <v>931595</v>
      </c>
      <c r="P157" s="3">
        <f t="shared" si="16"/>
        <v>516716</v>
      </c>
      <c r="Q157" s="3">
        <f t="shared" si="17"/>
        <v>121882</v>
      </c>
      <c r="R157" s="3">
        <f t="shared" si="18"/>
        <v>56495</v>
      </c>
      <c r="S157" s="3">
        <f t="shared" si="19"/>
        <v>230342</v>
      </c>
      <c r="T157" s="3">
        <f t="shared" si="20"/>
        <v>107997</v>
      </c>
      <c r="U157" s="3">
        <f>IF($A$5=1,IF($P157=0,0,ROUND(Q157/$P157*$E157,2)),Credits!D157)+Credits!J157</f>
        <v>-964.24000000000024</v>
      </c>
      <c r="V157" s="3">
        <f>IF($A$5=1,IF($P157=0,0,ROUND(R157/$P157*$E157,2)),Credits!E157)+Credits!K157</f>
        <v>1514.1</v>
      </c>
      <c r="W157" s="3">
        <f>IF($A$5=1,IF($P157=0,0,ROUND(S157/$P157*$E157,2)),Credits!F157)+Credits!L157</f>
        <v>6172.78</v>
      </c>
      <c r="X157" s="3">
        <f>IF($A$5=1,IF($P157=0,0,ROUND(T157/$P157*$E157,2)),Credits!G157)+Credits!M157</f>
        <v>2894.0699999999997</v>
      </c>
      <c r="Y157" s="3">
        <f t="shared" si="21"/>
        <v>9616.7099999999991</v>
      </c>
    </row>
    <row r="158" spans="1:25" ht="15" x14ac:dyDescent="0.25">
      <c r="A158" s="5">
        <v>500</v>
      </c>
      <c r="B158" s="5">
        <v>1</v>
      </c>
      <c r="C158" s="2" t="s">
        <v>154</v>
      </c>
      <c r="D158" s="3">
        <v>48604.03</v>
      </c>
      <c r="E158" s="3">
        <v>47586.22</v>
      </c>
      <c r="F158" s="173">
        <v>244428</v>
      </c>
      <c r="G158" s="173">
        <v>37352</v>
      </c>
      <c r="H158" s="173">
        <v>0</v>
      </c>
      <c r="I158" s="173">
        <v>315083</v>
      </c>
      <c r="J158" s="174">
        <v>54736</v>
      </c>
      <c r="K158" s="173">
        <v>152977</v>
      </c>
      <c r="L158" s="173">
        <v>0</v>
      </c>
      <c r="M158" s="175">
        <v>0</v>
      </c>
      <c r="N158" s="173">
        <v>0</v>
      </c>
      <c r="O158" s="152">
        <f t="shared" si="15"/>
        <v>804576</v>
      </c>
      <c r="P158" s="3">
        <f t="shared" si="16"/>
        <v>522796</v>
      </c>
      <c r="Q158" s="3">
        <f t="shared" si="17"/>
        <v>315083</v>
      </c>
      <c r="R158" s="3">
        <f t="shared" si="18"/>
        <v>54736</v>
      </c>
      <c r="S158" s="3">
        <f t="shared" si="19"/>
        <v>152977</v>
      </c>
      <c r="T158" s="3">
        <f t="shared" si="20"/>
        <v>0</v>
      </c>
      <c r="U158" s="3">
        <f>IF($A$5=1,IF($P158=0,0,ROUND(Q158/$P158*$E158,2)),Credits!D158)+Credits!J158</f>
        <v>7371.82</v>
      </c>
      <c r="V158" s="3">
        <f>IF($A$5=1,IF($P158=0,0,ROUND(R158/$P158*$E158,2)),Credits!E158)+Credits!K158</f>
        <v>2439.56</v>
      </c>
      <c r="W158" s="3">
        <f>IF($A$5=1,IF($P158=0,0,ROUND(S158/$P158*$E158,2)),Credits!F158)+Credits!L158</f>
        <v>6819.26</v>
      </c>
      <c r="X158" s="3">
        <f>IF($A$5=1,IF($P158=0,0,ROUND(T158/$P158*$E158,2)),Credits!G158)+Credits!M158</f>
        <v>0</v>
      </c>
      <c r="Y158" s="3">
        <f t="shared" si="21"/>
        <v>16630.64</v>
      </c>
    </row>
    <row r="159" spans="1:25" ht="15" x14ac:dyDescent="0.25">
      <c r="A159" s="5">
        <v>505</v>
      </c>
      <c r="B159" s="5">
        <v>1</v>
      </c>
      <c r="C159" s="2" t="s">
        <v>155</v>
      </c>
      <c r="D159" s="3">
        <v>24178.37</v>
      </c>
      <c r="E159" s="3">
        <v>27257.75</v>
      </c>
      <c r="F159" s="173">
        <v>222254.42</v>
      </c>
      <c r="G159" s="173">
        <v>15982.84</v>
      </c>
      <c r="H159" s="173">
        <v>0</v>
      </c>
      <c r="I159" s="173">
        <v>161547.16</v>
      </c>
      <c r="J159" s="174">
        <v>39094.410000000003</v>
      </c>
      <c r="K159" s="173">
        <v>0</v>
      </c>
      <c r="L159" s="173">
        <v>0</v>
      </c>
      <c r="M159" s="175">
        <v>0</v>
      </c>
      <c r="N159" s="173">
        <v>0</v>
      </c>
      <c r="O159" s="152">
        <f t="shared" si="15"/>
        <v>438878.83000000007</v>
      </c>
      <c r="P159" s="3">
        <f t="shared" si="16"/>
        <v>200641.57</v>
      </c>
      <c r="Q159" s="3">
        <f t="shared" si="17"/>
        <v>161547.16</v>
      </c>
      <c r="R159" s="3">
        <f t="shared" si="18"/>
        <v>39094.410000000003</v>
      </c>
      <c r="S159" s="3">
        <f t="shared" si="19"/>
        <v>0</v>
      </c>
      <c r="T159" s="3">
        <f t="shared" si="20"/>
        <v>0</v>
      </c>
      <c r="U159" s="3">
        <f>IF($A$5=1,IF($P159=0,0,ROUND(Q159/$P159*$E159,2)),Credits!D159)+Credits!J159</f>
        <v>13142.11</v>
      </c>
      <c r="V159" s="3">
        <f>IF($A$5=1,IF($P159=0,0,ROUND(R159/$P159*$E159,2)),Credits!E159)+Credits!K159</f>
        <v>3180.7</v>
      </c>
      <c r="W159" s="3">
        <f>IF($A$5=1,IF($P159=0,0,ROUND(S159/$P159*$E159,2)),Credits!F159)+Credits!L159</f>
        <v>0</v>
      </c>
      <c r="X159" s="3">
        <f>IF($A$5=1,IF($P159=0,0,ROUND(T159/$P159*$E159,2)),Credits!G159)+Credits!M159</f>
        <v>0</v>
      </c>
      <c r="Y159" s="3">
        <f t="shared" si="21"/>
        <v>16322.810000000001</v>
      </c>
    </row>
    <row r="160" spans="1:25" ht="15" x14ac:dyDescent="0.25">
      <c r="A160" s="5">
        <v>507</v>
      </c>
      <c r="B160" s="5">
        <v>1</v>
      </c>
      <c r="C160" s="2" t="s">
        <v>156</v>
      </c>
      <c r="D160" s="3">
        <v>53577.399999999994</v>
      </c>
      <c r="E160" s="3">
        <v>53956.3</v>
      </c>
      <c r="F160" s="173">
        <v>322255</v>
      </c>
      <c r="G160" s="173">
        <v>30627</v>
      </c>
      <c r="H160" s="173">
        <v>0</v>
      </c>
      <c r="I160" s="173">
        <v>156870</v>
      </c>
      <c r="J160" s="174">
        <v>36794</v>
      </c>
      <c r="K160" s="173">
        <v>618236</v>
      </c>
      <c r="L160" s="173">
        <v>0</v>
      </c>
      <c r="M160" s="175">
        <v>0</v>
      </c>
      <c r="N160" s="173">
        <v>0</v>
      </c>
      <c r="O160" s="152">
        <f t="shared" si="15"/>
        <v>1164782</v>
      </c>
      <c r="P160" s="3">
        <f t="shared" si="16"/>
        <v>811900</v>
      </c>
      <c r="Q160" s="3">
        <f t="shared" si="17"/>
        <v>156870</v>
      </c>
      <c r="R160" s="3">
        <f t="shared" si="18"/>
        <v>36794</v>
      </c>
      <c r="S160" s="3">
        <f t="shared" si="19"/>
        <v>618236</v>
      </c>
      <c r="T160" s="3">
        <f t="shared" si="20"/>
        <v>0</v>
      </c>
      <c r="U160" s="3">
        <f>IF($A$5=1,IF($P160=0,0,ROUND(Q160/$P160*$E160,2)),Credits!D160)+Credits!J160</f>
        <v>-455.90999999999985</v>
      </c>
      <c r="V160" s="3">
        <f>IF($A$5=1,IF($P160=0,0,ROUND(R160/$P160*$E160,2)),Credits!E160)+Credits!K160</f>
        <v>640.54999999999995</v>
      </c>
      <c r="W160" s="3">
        <f>IF($A$5=1,IF($P160=0,0,ROUND(S160/$P160*$E160,2)),Credits!F160)+Credits!L160</f>
        <v>10759.6</v>
      </c>
      <c r="X160" s="3">
        <f>IF($A$5=1,IF($P160=0,0,ROUND(T160/$P160*$E160,2)),Credits!G160)+Credits!M160</f>
        <v>0</v>
      </c>
      <c r="Y160" s="3">
        <f t="shared" si="21"/>
        <v>10944.24</v>
      </c>
    </row>
    <row r="161" spans="1:25" ht="15" x14ac:dyDescent="0.25">
      <c r="A161" s="5">
        <v>508</v>
      </c>
      <c r="B161" s="5">
        <v>1</v>
      </c>
      <c r="C161" s="2" t="s">
        <v>157</v>
      </c>
      <c r="D161" s="3">
        <v>114469.41000000002</v>
      </c>
      <c r="E161" s="3">
        <v>125325.97</v>
      </c>
      <c r="F161" s="173">
        <v>1485426</v>
      </c>
      <c r="G161" s="173">
        <v>187712</v>
      </c>
      <c r="H161" s="173">
        <v>428000</v>
      </c>
      <c r="I161" s="173">
        <v>883741</v>
      </c>
      <c r="J161" s="174">
        <v>135373</v>
      </c>
      <c r="K161" s="173">
        <v>0</v>
      </c>
      <c r="L161" s="173">
        <v>113629</v>
      </c>
      <c r="M161" s="175">
        <v>0</v>
      </c>
      <c r="N161" s="173">
        <v>0</v>
      </c>
      <c r="O161" s="152">
        <f t="shared" si="15"/>
        <v>3233881</v>
      </c>
      <c r="P161" s="3">
        <f t="shared" si="16"/>
        <v>1560743</v>
      </c>
      <c r="Q161" s="3">
        <f t="shared" si="17"/>
        <v>1311741</v>
      </c>
      <c r="R161" s="3">
        <f t="shared" si="18"/>
        <v>135373</v>
      </c>
      <c r="S161" s="3">
        <f t="shared" si="19"/>
        <v>113629</v>
      </c>
      <c r="T161" s="3">
        <f t="shared" si="20"/>
        <v>0</v>
      </c>
      <c r="U161" s="3">
        <f>IF($A$5=1,IF($P161=0,0,ROUND(Q161/$P161*$E161,2)),Credits!D161)+Credits!J161</f>
        <v>1519.3999999999996</v>
      </c>
      <c r="V161" s="3">
        <f>IF($A$5=1,IF($P161=0,0,ROUND(R161/$P161*$E161,2)),Credits!E161)+Credits!K161</f>
        <v>1171.67</v>
      </c>
      <c r="W161" s="3">
        <f>IF($A$5=1,IF($P161=0,0,ROUND(S161/$P161*$E161,2)),Credits!F161)+Credits!L161</f>
        <v>980.79</v>
      </c>
      <c r="X161" s="3">
        <f>IF($A$5=1,IF($P161=0,0,ROUND(T161/$P161*$E161,2)),Credits!G161)+Credits!M161</f>
        <v>0</v>
      </c>
      <c r="Y161" s="3">
        <f t="shared" si="21"/>
        <v>3671.8599999999997</v>
      </c>
    </row>
    <row r="162" spans="1:25" ht="15" x14ac:dyDescent="0.25">
      <c r="A162" s="5">
        <v>511</v>
      </c>
      <c r="B162" s="5">
        <v>1</v>
      </c>
      <c r="C162" s="2" t="s">
        <v>158</v>
      </c>
      <c r="D162" s="3">
        <v>68879.53</v>
      </c>
      <c r="E162" s="3">
        <v>62152.12</v>
      </c>
      <c r="F162" s="173">
        <v>331322.15000000002</v>
      </c>
      <c r="G162" s="173">
        <v>23484.31</v>
      </c>
      <c r="H162" s="173">
        <v>0</v>
      </c>
      <c r="I162" s="173">
        <v>189406.39</v>
      </c>
      <c r="J162" s="174">
        <v>7226.11</v>
      </c>
      <c r="K162" s="173">
        <v>500513.7</v>
      </c>
      <c r="L162" s="173">
        <v>0</v>
      </c>
      <c r="M162" s="175">
        <v>0</v>
      </c>
      <c r="N162" s="173">
        <v>0</v>
      </c>
      <c r="O162" s="152">
        <f t="shared" si="15"/>
        <v>1051952.6600000001</v>
      </c>
      <c r="P162" s="3">
        <f t="shared" si="16"/>
        <v>697146.2</v>
      </c>
      <c r="Q162" s="3">
        <f t="shared" si="17"/>
        <v>189406.39</v>
      </c>
      <c r="R162" s="3">
        <f t="shared" si="18"/>
        <v>7226.11</v>
      </c>
      <c r="S162" s="3">
        <f t="shared" si="19"/>
        <v>500513.7</v>
      </c>
      <c r="T162" s="3">
        <f t="shared" si="20"/>
        <v>0</v>
      </c>
      <c r="U162" s="3">
        <f>IF($A$5=1,IF($P162=0,0,ROUND(Q162/$P162*$E162,2)),Credits!D162)+Credits!J162</f>
        <v>7125.23</v>
      </c>
      <c r="V162" s="3">
        <f>IF($A$5=1,IF($P162=0,0,ROUND(R162/$P162*$E162,2)),Credits!E162)+Credits!K162</f>
        <v>272.8</v>
      </c>
      <c r="W162" s="3">
        <f>IF($A$5=1,IF($P162=0,0,ROUND(S162/$P162*$E162,2)),Credits!F162)+Credits!L162</f>
        <v>18834.25</v>
      </c>
      <c r="X162" s="3">
        <f>IF($A$5=1,IF($P162=0,0,ROUND(T162/$P162*$E162,2)),Credits!G162)+Credits!M162</f>
        <v>0</v>
      </c>
      <c r="Y162" s="3">
        <f t="shared" si="21"/>
        <v>26232.28</v>
      </c>
    </row>
    <row r="163" spans="1:25" ht="15" x14ac:dyDescent="0.25">
      <c r="A163" s="5">
        <v>513</v>
      </c>
      <c r="B163" s="5">
        <v>1</v>
      </c>
      <c r="C163" s="2" t="s">
        <v>159</v>
      </c>
      <c r="D163" s="3">
        <v>6825.5300000000007</v>
      </c>
      <c r="E163" s="3">
        <v>9838.43</v>
      </c>
      <c r="F163" s="173">
        <v>203347.32</v>
      </c>
      <c r="G163" s="173">
        <v>8071.51</v>
      </c>
      <c r="H163" s="173">
        <v>0</v>
      </c>
      <c r="I163" s="173">
        <v>149674.82999999999</v>
      </c>
      <c r="J163" s="174">
        <v>17150.509999999998</v>
      </c>
      <c r="K163" s="173">
        <v>0</v>
      </c>
      <c r="L163" s="173">
        <v>0</v>
      </c>
      <c r="M163" s="175">
        <v>0</v>
      </c>
      <c r="N163" s="173">
        <v>0</v>
      </c>
      <c r="O163" s="152">
        <f t="shared" si="15"/>
        <v>378244.17000000004</v>
      </c>
      <c r="P163" s="3">
        <f t="shared" si="16"/>
        <v>166825.34</v>
      </c>
      <c r="Q163" s="3">
        <f t="shared" si="17"/>
        <v>149674.82999999999</v>
      </c>
      <c r="R163" s="3">
        <f t="shared" si="18"/>
        <v>17150.509999999998</v>
      </c>
      <c r="S163" s="3">
        <f t="shared" si="19"/>
        <v>0</v>
      </c>
      <c r="T163" s="3">
        <f t="shared" si="20"/>
        <v>0</v>
      </c>
      <c r="U163" s="3">
        <f>IF($A$5=1,IF($P163=0,0,ROUND(Q163/$P163*$E163,2)),Credits!D163)+Credits!J163</f>
        <v>5709.41</v>
      </c>
      <c r="V163" s="3">
        <f>IF($A$5=1,IF($P163=0,0,ROUND(R163/$P163*$E163,2)),Credits!E163)+Credits!K163</f>
        <v>654.63</v>
      </c>
      <c r="W163" s="3">
        <f>IF($A$5=1,IF($P163=0,0,ROUND(S163/$P163*$E163,2)),Credits!F163)+Credits!L163</f>
        <v>0</v>
      </c>
      <c r="X163" s="3">
        <f>IF($A$5=1,IF($P163=0,0,ROUND(T163/$P163*$E163,2)),Credits!G163)+Credits!M163</f>
        <v>0</v>
      </c>
      <c r="Y163" s="3">
        <f t="shared" si="21"/>
        <v>6364.04</v>
      </c>
    </row>
    <row r="164" spans="1:25" ht="15" x14ac:dyDescent="0.25">
      <c r="A164" s="5">
        <v>514</v>
      </c>
      <c r="B164" s="5">
        <v>1</v>
      </c>
      <c r="C164" s="2" t="s">
        <v>160</v>
      </c>
      <c r="D164" s="3">
        <v>9898.8499999999985</v>
      </c>
      <c r="E164" s="3">
        <v>11013.11</v>
      </c>
      <c r="F164" s="173">
        <v>105981.52</v>
      </c>
      <c r="G164" s="173">
        <v>9354.3799999999992</v>
      </c>
      <c r="H164" s="173">
        <v>0</v>
      </c>
      <c r="I164" s="173">
        <v>75262.649999999994</v>
      </c>
      <c r="J164" s="174">
        <v>11665.32</v>
      </c>
      <c r="K164" s="173">
        <v>0</v>
      </c>
      <c r="L164" s="173">
        <v>0</v>
      </c>
      <c r="M164" s="175">
        <v>0</v>
      </c>
      <c r="N164" s="173">
        <v>0</v>
      </c>
      <c r="O164" s="152">
        <f t="shared" si="15"/>
        <v>202263.87</v>
      </c>
      <c r="P164" s="3">
        <f t="shared" si="16"/>
        <v>86927.97</v>
      </c>
      <c r="Q164" s="3">
        <f t="shared" si="17"/>
        <v>75262.649999999994</v>
      </c>
      <c r="R164" s="3">
        <f t="shared" si="18"/>
        <v>11665.32</v>
      </c>
      <c r="S164" s="3">
        <f t="shared" si="19"/>
        <v>0</v>
      </c>
      <c r="T164" s="3">
        <f t="shared" si="20"/>
        <v>0</v>
      </c>
      <c r="U164" s="3">
        <f>IF($A$5=1,IF($P164=0,0,ROUND(Q164/$P164*$E164,2)),Credits!D164)+Credits!J164</f>
        <v>3460.84</v>
      </c>
      <c r="V164" s="3">
        <f>IF($A$5=1,IF($P164=0,0,ROUND(R164/$P164*$E164,2)),Credits!E164)+Credits!K164</f>
        <v>537.37</v>
      </c>
      <c r="W164" s="3">
        <f>IF($A$5=1,IF($P164=0,0,ROUND(S164/$P164*$E164,2)),Credits!F164)+Credits!L164</f>
        <v>0</v>
      </c>
      <c r="X164" s="3">
        <f>IF($A$5=1,IF($P164=0,0,ROUND(T164/$P164*$E164,2)),Credits!G164)+Credits!M164</f>
        <v>0</v>
      </c>
      <c r="Y164" s="3">
        <f t="shared" si="21"/>
        <v>3998.21</v>
      </c>
    </row>
    <row r="165" spans="1:25" ht="15" x14ac:dyDescent="0.25">
      <c r="A165" s="5">
        <v>516</v>
      </c>
      <c r="B165" s="5">
        <v>1</v>
      </c>
      <c r="C165" s="2" t="s">
        <v>161</v>
      </c>
      <c r="D165" s="3">
        <v>9057.33</v>
      </c>
      <c r="E165" s="3">
        <v>4217.34</v>
      </c>
      <c r="F165" s="173">
        <v>105346.66</v>
      </c>
      <c r="G165" s="173">
        <v>0</v>
      </c>
      <c r="H165" s="173">
        <v>0</v>
      </c>
      <c r="I165" s="173">
        <v>41721.49</v>
      </c>
      <c r="J165" s="174">
        <v>18213.7</v>
      </c>
      <c r="K165" s="173">
        <v>0</v>
      </c>
      <c r="L165" s="173">
        <v>0</v>
      </c>
      <c r="M165" s="175">
        <v>0</v>
      </c>
      <c r="N165" s="173">
        <v>0</v>
      </c>
      <c r="O165" s="152">
        <f t="shared" si="15"/>
        <v>165281.85</v>
      </c>
      <c r="P165" s="3">
        <f t="shared" si="16"/>
        <v>59935.19</v>
      </c>
      <c r="Q165" s="3">
        <f t="shared" si="17"/>
        <v>41721.49</v>
      </c>
      <c r="R165" s="3">
        <f t="shared" si="18"/>
        <v>18213.7</v>
      </c>
      <c r="S165" s="3">
        <f t="shared" si="19"/>
        <v>0</v>
      </c>
      <c r="T165" s="3">
        <f t="shared" si="20"/>
        <v>0</v>
      </c>
      <c r="U165" s="3">
        <f>IF($A$5=1,IF($P165=0,0,ROUND(Q165/$P165*$E165,2)),Credits!D165)+Credits!J165</f>
        <v>1802.8</v>
      </c>
      <c r="V165" s="3">
        <f>IF($A$5=1,IF($P165=0,0,ROUND(R165/$P165*$E165,2)),Credits!E165)+Credits!K165</f>
        <v>787.04</v>
      </c>
      <c r="W165" s="3">
        <f>IF($A$5=1,IF($P165=0,0,ROUND(S165/$P165*$E165,2)),Credits!F165)+Credits!L165</f>
        <v>0</v>
      </c>
      <c r="X165" s="3">
        <f>IF($A$5=1,IF($P165=0,0,ROUND(T165/$P165*$E165,2)),Credits!G165)+Credits!M165</f>
        <v>0</v>
      </c>
      <c r="Y165" s="3">
        <f t="shared" si="21"/>
        <v>2589.84</v>
      </c>
    </row>
    <row r="166" spans="1:25" ht="15" x14ac:dyDescent="0.25">
      <c r="A166" s="5">
        <v>518</v>
      </c>
      <c r="B166" s="5">
        <v>1</v>
      </c>
      <c r="C166" s="2" t="s">
        <v>162</v>
      </c>
      <c r="D166" s="3">
        <v>303626.06</v>
      </c>
      <c r="E166" s="3">
        <v>254530.04</v>
      </c>
      <c r="F166" s="173">
        <v>1658318.92</v>
      </c>
      <c r="G166" s="173">
        <v>145075.15</v>
      </c>
      <c r="H166" s="173">
        <v>0</v>
      </c>
      <c r="I166" s="173">
        <v>600307.25</v>
      </c>
      <c r="J166" s="174">
        <v>169507.79</v>
      </c>
      <c r="K166" s="173">
        <v>1590313.09</v>
      </c>
      <c r="L166" s="173">
        <v>721561</v>
      </c>
      <c r="M166" s="175">
        <v>0</v>
      </c>
      <c r="N166" s="173">
        <v>0</v>
      </c>
      <c r="O166" s="152">
        <f t="shared" si="15"/>
        <v>4885083.2</v>
      </c>
      <c r="P166" s="3">
        <f t="shared" si="16"/>
        <v>3081689.13</v>
      </c>
      <c r="Q166" s="3">
        <f t="shared" si="17"/>
        <v>600307.25</v>
      </c>
      <c r="R166" s="3">
        <f t="shared" si="18"/>
        <v>169507.79</v>
      </c>
      <c r="S166" s="3">
        <f t="shared" si="19"/>
        <v>2311874.09</v>
      </c>
      <c r="T166" s="3">
        <f t="shared" si="20"/>
        <v>0</v>
      </c>
      <c r="U166" s="3">
        <f>IF($A$5=1,IF($P166=0,0,ROUND(Q166/$P166*$E166,2)),Credits!D166)+Credits!J166</f>
        <v>20355.099999999999</v>
      </c>
      <c r="V166" s="3">
        <f>IF($A$5=1,IF($P166=0,0,ROUND(R166/$P166*$E166,2)),Credits!E166)+Credits!K166</f>
        <v>5748.15</v>
      </c>
      <c r="W166" s="3">
        <f>IF($A$5=1,IF($P166=0,0,ROUND(S166/$P166*$E166,2)),Credits!F166)+Credits!L166</f>
        <v>78131.16</v>
      </c>
      <c r="X166" s="3">
        <f>IF($A$5=1,IF($P166=0,0,ROUND(T166/$P166*$E166,2)),Credits!G166)+Credits!M166</f>
        <v>0</v>
      </c>
      <c r="Y166" s="3">
        <f t="shared" si="21"/>
        <v>104234.41</v>
      </c>
    </row>
    <row r="167" spans="1:25" ht="15" x14ac:dyDescent="0.25">
      <c r="A167" s="5">
        <v>531</v>
      </c>
      <c r="B167" s="5">
        <v>1</v>
      </c>
      <c r="C167" s="2" t="s">
        <v>163</v>
      </c>
      <c r="D167" s="3">
        <v>150440.69</v>
      </c>
      <c r="E167" s="3">
        <v>152343.28</v>
      </c>
      <c r="F167" s="173">
        <v>370475</v>
      </c>
      <c r="G167" s="173">
        <v>199703</v>
      </c>
      <c r="H167" s="173">
        <v>0</v>
      </c>
      <c r="I167" s="173">
        <v>406395</v>
      </c>
      <c r="J167" s="174">
        <v>98125</v>
      </c>
      <c r="K167" s="173">
        <v>2492789</v>
      </c>
      <c r="L167" s="173">
        <v>0</v>
      </c>
      <c r="M167" s="175">
        <v>0</v>
      </c>
      <c r="N167" s="173">
        <v>0</v>
      </c>
      <c r="O167" s="152">
        <f t="shared" si="15"/>
        <v>3567487</v>
      </c>
      <c r="P167" s="3">
        <f t="shared" si="16"/>
        <v>2997309</v>
      </c>
      <c r="Q167" s="3">
        <f t="shared" si="17"/>
        <v>406395</v>
      </c>
      <c r="R167" s="3">
        <f t="shared" si="18"/>
        <v>98125</v>
      </c>
      <c r="S167" s="3">
        <f t="shared" si="19"/>
        <v>2492789</v>
      </c>
      <c r="T167" s="3">
        <f t="shared" si="20"/>
        <v>0</v>
      </c>
      <c r="U167" s="3">
        <f>IF($A$5=1,IF($P167=0,0,ROUND(Q167/$P167*$E167,2)),Credits!D167)+Credits!J167</f>
        <v>3629.87</v>
      </c>
      <c r="V167" s="3">
        <f>IF($A$5=1,IF($P167=0,0,ROUND(R167/$P167*$E167,2)),Credits!E167)+Credits!K167</f>
        <v>876.30000000000007</v>
      </c>
      <c r="W167" s="3">
        <f>IF($A$5=1,IF($P167=0,0,ROUND(S167/$P167*$E167,2)),Credits!F167)+Credits!L167</f>
        <v>22101.22</v>
      </c>
      <c r="X167" s="3">
        <f>IF($A$5=1,IF($P167=0,0,ROUND(T167/$P167*$E167,2)),Credits!G167)+Credits!M167</f>
        <v>0</v>
      </c>
      <c r="Y167" s="3">
        <f t="shared" si="21"/>
        <v>26607.39</v>
      </c>
    </row>
    <row r="168" spans="1:25" ht="15" x14ac:dyDescent="0.25">
      <c r="A168" s="5">
        <v>533</v>
      </c>
      <c r="B168" s="5">
        <v>1</v>
      </c>
      <c r="C168" s="2" t="s">
        <v>164</v>
      </c>
      <c r="D168" s="3">
        <v>112835.15</v>
      </c>
      <c r="E168" s="3">
        <v>103566.83</v>
      </c>
      <c r="F168" s="173">
        <v>69620</v>
      </c>
      <c r="G168" s="173">
        <v>107284</v>
      </c>
      <c r="H168" s="173">
        <v>0</v>
      </c>
      <c r="I168" s="173">
        <v>357379</v>
      </c>
      <c r="J168" s="174">
        <v>31759</v>
      </c>
      <c r="K168" s="173">
        <v>1101532</v>
      </c>
      <c r="L168" s="173">
        <v>155178</v>
      </c>
      <c r="M168" s="175">
        <v>0</v>
      </c>
      <c r="N168" s="173">
        <v>0</v>
      </c>
      <c r="O168" s="152">
        <f t="shared" si="15"/>
        <v>1822752</v>
      </c>
      <c r="P168" s="3">
        <f t="shared" si="16"/>
        <v>1645848</v>
      </c>
      <c r="Q168" s="3">
        <f t="shared" si="17"/>
        <v>357379</v>
      </c>
      <c r="R168" s="3">
        <f t="shared" si="18"/>
        <v>31759</v>
      </c>
      <c r="S168" s="3">
        <f t="shared" si="19"/>
        <v>1256710</v>
      </c>
      <c r="T168" s="3">
        <f t="shared" si="20"/>
        <v>0</v>
      </c>
      <c r="U168" s="3">
        <f>IF($A$5=1,IF($P168=0,0,ROUND(Q168/$P168*$E168,2)),Credits!D168)+Credits!J168</f>
        <v>5755.94</v>
      </c>
      <c r="V168" s="3">
        <f>IF($A$5=1,IF($P168=0,0,ROUND(R168/$P168*$E168,2)),Credits!E168)+Credits!K168</f>
        <v>511.83</v>
      </c>
      <c r="W168" s="3">
        <f>IF($A$5=1,IF($P168=0,0,ROUND(S168/$P168*$E168,2)),Credits!F168)+Credits!L168</f>
        <v>20241.28</v>
      </c>
      <c r="X168" s="3">
        <f>IF($A$5=1,IF($P168=0,0,ROUND(T168/$P168*$E168,2)),Credits!G168)+Credits!M168</f>
        <v>0</v>
      </c>
      <c r="Y168" s="3">
        <f t="shared" si="21"/>
        <v>26509.05</v>
      </c>
    </row>
    <row r="169" spans="1:25" ht="15" x14ac:dyDescent="0.25">
      <c r="A169" s="5">
        <v>534</v>
      </c>
      <c r="B169" s="5">
        <v>1</v>
      </c>
      <c r="C169" s="2" t="s">
        <v>165</v>
      </c>
      <c r="D169" s="3">
        <v>155749.57</v>
      </c>
      <c r="E169" s="3">
        <v>164201.64000000001</v>
      </c>
      <c r="F169" s="173">
        <v>1076054</v>
      </c>
      <c r="G169" s="173">
        <v>174413</v>
      </c>
      <c r="H169" s="173">
        <v>0</v>
      </c>
      <c r="I169" s="173">
        <v>573748</v>
      </c>
      <c r="J169" s="174">
        <v>106202</v>
      </c>
      <c r="K169" s="173">
        <v>1244145</v>
      </c>
      <c r="L169" s="173">
        <v>385999</v>
      </c>
      <c r="M169" s="175">
        <v>0</v>
      </c>
      <c r="N169" s="173">
        <v>0</v>
      </c>
      <c r="O169" s="152">
        <f t="shared" si="15"/>
        <v>3560561</v>
      </c>
      <c r="P169" s="3">
        <f t="shared" si="16"/>
        <v>2310094</v>
      </c>
      <c r="Q169" s="3">
        <f t="shared" si="17"/>
        <v>573748</v>
      </c>
      <c r="R169" s="3">
        <f t="shared" si="18"/>
        <v>106202</v>
      </c>
      <c r="S169" s="3">
        <f t="shared" si="19"/>
        <v>1630144</v>
      </c>
      <c r="T169" s="3">
        <f t="shared" si="20"/>
        <v>0</v>
      </c>
      <c r="U169" s="3">
        <f>IF($A$5=1,IF($P169=0,0,ROUND(Q169/$P169*$E169,2)),Credits!D169)+Credits!J169</f>
        <v>6903.4499999999989</v>
      </c>
      <c r="V169" s="3">
        <f>IF($A$5=1,IF($P169=0,0,ROUND(R169/$P169*$E169,2)),Credits!E169)+Credits!K169</f>
        <v>1623.32</v>
      </c>
      <c r="W169" s="3">
        <f>IF($A$5=1,IF($P169=0,0,ROUND(S169/$P169*$E169,2)),Credits!F169)+Credits!L169</f>
        <v>24919.21</v>
      </c>
      <c r="X169" s="3">
        <f>IF($A$5=1,IF($P169=0,0,ROUND(T169/$P169*$E169,2)),Credits!G169)+Credits!M169</f>
        <v>0</v>
      </c>
      <c r="Y169" s="3">
        <f t="shared" si="21"/>
        <v>33445.979999999996</v>
      </c>
    </row>
    <row r="170" spans="1:25" ht="15" x14ac:dyDescent="0.25">
      <c r="A170" s="5">
        <v>535</v>
      </c>
      <c r="B170" s="5">
        <v>1</v>
      </c>
      <c r="C170" s="2" t="s">
        <v>166</v>
      </c>
      <c r="D170" s="3">
        <v>1256839.6100000001</v>
      </c>
      <c r="E170" s="3">
        <v>1316229.21</v>
      </c>
      <c r="F170" s="173">
        <v>9485177</v>
      </c>
      <c r="G170" s="173">
        <v>2446912</v>
      </c>
      <c r="H170" s="173">
        <v>0</v>
      </c>
      <c r="I170" s="173">
        <v>14278662</v>
      </c>
      <c r="J170" s="174">
        <v>1738658</v>
      </c>
      <c r="K170" s="173">
        <v>5648888</v>
      </c>
      <c r="L170" s="173">
        <v>3977541</v>
      </c>
      <c r="M170" s="175">
        <v>0</v>
      </c>
      <c r="N170" s="173">
        <v>0</v>
      </c>
      <c r="O170" s="152">
        <f t="shared" si="15"/>
        <v>37575838</v>
      </c>
      <c r="P170" s="3">
        <f t="shared" si="16"/>
        <v>25643749</v>
      </c>
      <c r="Q170" s="3">
        <f t="shared" si="17"/>
        <v>14278662</v>
      </c>
      <c r="R170" s="3">
        <f t="shared" si="18"/>
        <v>1738658</v>
      </c>
      <c r="S170" s="3">
        <f t="shared" si="19"/>
        <v>9626429</v>
      </c>
      <c r="T170" s="3">
        <f t="shared" si="20"/>
        <v>0</v>
      </c>
      <c r="U170" s="3">
        <f>IF($A$5=1,IF($P170=0,0,ROUND(Q170/$P170*$E170,2)),Credits!D170)+Credits!J170</f>
        <v>19835.47</v>
      </c>
      <c r="V170" s="3">
        <f>IF($A$5=1,IF($P170=0,0,ROUND(R170/$P170*$E170,2)),Credits!E170)+Credits!K170</f>
        <v>2414.71</v>
      </c>
      <c r="W170" s="3">
        <f>IF($A$5=1,IF($P170=0,0,ROUND(S170/$P170*$E170,2)),Credits!F170)+Credits!L170</f>
        <v>13365.630000000001</v>
      </c>
      <c r="X170" s="3">
        <f>IF($A$5=1,IF($P170=0,0,ROUND(T170/$P170*$E170,2)),Credits!G170)+Credits!M170</f>
        <v>0</v>
      </c>
      <c r="Y170" s="3">
        <f t="shared" si="21"/>
        <v>35615.81</v>
      </c>
    </row>
    <row r="171" spans="1:25" ht="15" x14ac:dyDescent="0.25">
      <c r="A171" s="5">
        <v>542</v>
      </c>
      <c r="B171" s="5">
        <v>1</v>
      </c>
      <c r="C171" s="2" t="s">
        <v>167</v>
      </c>
      <c r="D171" s="3">
        <v>37818.239999999998</v>
      </c>
      <c r="E171" s="3">
        <v>37060.800000000003</v>
      </c>
      <c r="F171" s="173">
        <v>0</v>
      </c>
      <c r="G171" s="173">
        <v>98714.22</v>
      </c>
      <c r="H171" s="173">
        <v>0</v>
      </c>
      <c r="I171" s="173">
        <v>263402.44</v>
      </c>
      <c r="J171" s="174">
        <v>49448.81</v>
      </c>
      <c r="K171" s="173">
        <v>554583</v>
      </c>
      <c r="L171" s="173">
        <v>0</v>
      </c>
      <c r="M171" s="175">
        <v>0</v>
      </c>
      <c r="N171" s="173">
        <v>0</v>
      </c>
      <c r="O171" s="152">
        <f t="shared" si="15"/>
        <v>966148.47</v>
      </c>
      <c r="P171" s="3">
        <f t="shared" si="16"/>
        <v>867434.25</v>
      </c>
      <c r="Q171" s="3">
        <f t="shared" si="17"/>
        <v>263402.44</v>
      </c>
      <c r="R171" s="3">
        <f t="shared" si="18"/>
        <v>49448.81</v>
      </c>
      <c r="S171" s="3">
        <f t="shared" si="19"/>
        <v>554583</v>
      </c>
      <c r="T171" s="3">
        <f t="shared" si="20"/>
        <v>0</v>
      </c>
      <c r="U171" s="3">
        <f>IF($A$5=1,IF($P171=0,0,ROUND(Q171/$P171*$E171,2)),Credits!D171)+Credits!J171</f>
        <v>2421.5699999999997</v>
      </c>
      <c r="V171" s="3">
        <f>IF($A$5=1,IF($P171=0,0,ROUND(R171/$P171*$E171,2)),Credits!E171)+Credits!K171</f>
        <v>446.86000000000007</v>
      </c>
      <c r="W171" s="3">
        <f>IF($A$5=1,IF($P171=0,0,ROUND(S171/$P171*$E171,2)),Credits!F171)+Credits!L171</f>
        <v>5011.3</v>
      </c>
      <c r="X171" s="3">
        <f>IF($A$5=1,IF($P171=0,0,ROUND(T171/$P171*$E171,2)),Credits!G171)+Credits!M171</f>
        <v>0</v>
      </c>
      <c r="Y171" s="3">
        <f t="shared" si="21"/>
        <v>7879.73</v>
      </c>
    </row>
    <row r="172" spans="1:25" ht="15" x14ac:dyDescent="0.25">
      <c r="A172" s="5">
        <v>544</v>
      </c>
      <c r="B172" s="5">
        <v>1</v>
      </c>
      <c r="C172" s="2" t="s">
        <v>168</v>
      </c>
      <c r="D172" s="3">
        <v>403719.71000000008</v>
      </c>
      <c r="E172" s="3">
        <v>405392.49</v>
      </c>
      <c r="F172" s="173">
        <v>1018839.86</v>
      </c>
      <c r="G172" s="173">
        <v>405917.15</v>
      </c>
      <c r="H172" s="173">
        <v>0</v>
      </c>
      <c r="I172" s="173">
        <v>1328726.55</v>
      </c>
      <c r="J172" s="174">
        <v>261850.91</v>
      </c>
      <c r="K172" s="173">
        <v>2750672.86</v>
      </c>
      <c r="L172" s="173">
        <v>174216</v>
      </c>
      <c r="M172" s="175">
        <v>0</v>
      </c>
      <c r="N172" s="173">
        <v>0</v>
      </c>
      <c r="O172" s="152">
        <f t="shared" si="15"/>
        <v>5940223.3300000001</v>
      </c>
      <c r="P172" s="3">
        <f t="shared" si="16"/>
        <v>4515466.32</v>
      </c>
      <c r="Q172" s="3">
        <f t="shared" si="17"/>
        <v>1328726.55</v>
      </c>
      <c r="R172" s="3">
        <f t="shared" si="18"/>
        <v>261850.91</v>
      </c>
      <c r="S172" s="3">
        <f t="shared" si="19"/>
        <v>2924888.86</v>
      </c>
      <c r="T172" s="3">
        <f t="shared" si="20"/>
        <v>0</v>
      </c>
      <c r="U172" s="3">
        <f>IF($A$5=1,IF($P172=0,0,ROUND(Q172/$P172*$E172,2)),Credits!D172)+Credits!J172</f>
        <v>12858.839999999998</v>
      </c>
      <c r="V172" s="3">
        <f>IF($A$5=1,IF($P172=0,0,ROUND(R172/$P172*$E172,2)),Credits!E172)+Credits!K172</f>
        <v>2533.4699999999998</v>
      </c>
      <c r="W172" s="3">
        <f>IF($A$5=1,IF($P172=0,0,ROUND(S172/$P172*$E172,2)),Credits!F172)+Credits!L172</f>
        <v>27508.93</v>
      </c>
      <c r="X172" s="3">
        <f>IF($A$5=1,IF($P172=0,0,ROUND(T172/$P172*$E172,2)),Credits!G172)+Credits!M172</f>
        <v>0</v>
      </c>
      <c r="Y172" s="3">
        <f t="shared" si="21"/>
        <v>42901.24</v>
      </c>
    </row>
    <row r="173" spans="1:25" ht="15" x14ac:dyDescent="0.25">
      <c r="A173" s="5">
        <v>545</v>
      </c>
      <c r="B173" s="5">
        <v>1</v>
      </c>
      <c r="C173" s="2" t="s">
        <v>169</v>
      </c>
      <c r="D173" s="3">
        <v>56905.5</v>
      </c>
      <c r="E173" s="3">
        <v>57192.27</v>
      </c>
      <c r="F173" s="173">
        <v>466760.26</v>
      </c>
      <c r="G173" s="173">
        <v>30067.78</v>
      </c>
      <c r="H173" s="173">
        <v>0</v>
      </c>
      <c r="I173" s="173">
        <v>205614.7</v>
      </c>
      <c r="J173" s="174">
        <v>42464.22</v>
      </c>
      <c r="K173" s="173">
        <v>409952.91</v>
      </c>
      <c r="L173" s="173">
        <v>0</v>
      </c>
      <c r="M173" s="175">
        <v>0</v>
      </c>
      <c r="N173" s="173">
        <v>0</v>
      </c>
      <c r="O173" s="152">
        <f t="shared" si="15"/>
        <v>1154859.8699999999</v>
      </c>
      <c r="P173" s="3">
        <f t="shared" si="16"/>
        <v>658031.82999999996</v>
      </c>
      <c r="Q173" s="3">
        <f t="shared" si="17"/>
        <v>205614.7</v>
      </c>
      <c r="R173" s="3">
        <f t="shared" si="18"/>
        <v>42464.22</v>
      </c>
      <c r="S173" s="3">
        <f t="shared" si="19"/>
        <v>409952.91</v>
      </c>
      <c r="T173" s="3">
        <f t="shared" si="20"/>
        <v>0</v>
      </c>
      <c r="U173" s="3">
        <f>IF($A$5=1,IF($P173=0,0,ROUND(Q173/$P173*$E173,2)),Credits!D173)+Credits!J173</f>
        <v>5222.8500000000004</v>
      </c>
      <c r="V173" s="3">
        <f>IF($A$5=1,IF($P173=0,0,ROUND(R173/$P173*$E173,2)),Credits!E173)+Credits!K173</f>
        <v>1080.3700000000001</v>
      </c>
      <c r="W173" s="3">
        <f>IF($A$5=1,IF($P173=0,0,ROUND(S173/$P173*$E173,2)),Credits!F173)+Credits!L173</f>
        <v>10427.9</v>
      </c>
      <c r="X173" s="3">
        <f>IF($A$5=1,IF($P173=0,0,ROUND(T173/$P173*$E173,2)),Credits!G173)+Credits!M173</f>
        <v>0</v>
      </c>
      <c r="Y173" s="3">
        <f t="shared" si="21"/>
        <v>16731.12</v>
      </c>
    </row>
    <row r="174" spans="1:25" ht="15" x14ac:dyDescent="0.25">
      <c r="A174" s="5">
        <v>547</v>
      </c>
      <c r="B174" s="5">
        <v>1</v>
      </c>
      <c r="C174" s="2" t="s">
        <v>170</v>
      </c>
      <c r="D174" s="3">
        <v>62478.03</v>
      </c>
      <c r="E174" s="3">
        <v>58325.21</v>
      </c>
      <c r="F174" s="173">
        <v>523283.51</v>
      </c>
      <c r="G174" s="173">
        <v>42982.38</v>
      </c>
      <c r="H174" s="173">
        <v>0</v>
      </c>
      <c r="I174" s="173">
        <v>93683.87</v>
      </c>
      <c r="J174" s="174">
        <v>47655.05</v>
      </c>
      <c r="K174" s="173">
        <v>309605.61</v>
      </c>
      <c r="L174" s="173">
        <v>88352.92</v>
      </c>
      <c r="M174" s="175">
        <v>0</v>
      </c>
      <c r="N174" s="173">
        <v>0</v>
      </c>
      <c r="O174" s="152">
        <f t="shared" si="15"/>
        <v>1105563.3400000001</v>
      </c>
      <c r="P174" s="3">
        <f t="shared" si="16"/>
        <v>539297.44999999995</v>
      </c>
      <c r="Q174" s="3">
        <f t="shared" si="17"/>
        <v>93683.87</v>
      </c>
      <c r="R174" s="3">
        <f t="shared" si="18"/>
        <v>47655.05</v>
      </c>
      <c r="S174" s="3">
        <f t="shared" si="19"/>
        <v>397958.52999999997</v>
      </c>
      <c r="T174" s="3">
        <f t="shared" si="20"/>
        <v>0</v>
      </c>
      <c r="U174" s="3">
        <f>IF($A$5=1,IF($P174=0,0,ROUND(Q174/$P174*$E174,2)),Credits!D174)+Credits!J174</f>
        <v>2990.98</v>
      </c>
      <c r="V174" s="3">
        <f>IF($A$5=1,IF($P174=0,0,ROUND(R174/$P174*$E174,2)),Credits!E174)+Credits!K174</f>
        <v>1521.9899999999998</v>
      </c>
      <c r="W174" s="3">
        <f>IF($A$5=1,IF($P174=0,0,ROUND(S174/$P174*$E174,2)),Credits!F174)+Credits!L174</f>
        <v>12671.109999999999</v>
      </c>
      <c r="X174" s="3">
        <f>IF($A$5=1,IF($P174=0,0,ROUND(T174/$P174*$E174,2)),Credits!G174)+Credits!M174</f>
        <v>0</v>
      </c>
      <c r="Y174" s="3">
        <f t="shared" si="21"/>
        <v>17184.079999999998</v>
      </c>
    </row>
    <row r="175" spans="1:25" ht="15" x14ac:dyDescent="0.25">
      <c r="A175" s="5">
        <v>548</v>
      </c>
      <c r="B175" s="5">
        <v>1</v>
      </c>
      <c r="C175" s="2" t="s">
        <v>171</v>
      </c>
      <c r="D175" s="3">
        <v>43968.57</v>
      </c>
      <c r="E175" s="3">
        <v>44951.160000000011</v>
      </c>
      <c r="F175" s="173">
        <v>731424</v>
      </c>
      <c r="G175" s="173">
        <v>136319.9</v>
      </c>
      <c r="H175" s="173">
        <v>0</v>
      </c>
      <c r="I175" s="173">
        <v>371172.46</v>
      </c>
      <c r="J175" s="174">
        <v>101760.01</v>
      </c>
      <c r="K175" s="173">
        <v>0</v>
      </c>
      <c r="L175" s="173">
        <v>283342.95</v>
      </c>
      <c r="M175" s="175">
        <v>0</v>
      </c>
      <c r="N175" s="173">
        <v>134278.07999999999</v>
      </c>
      <c r="O175" s="152">
        <f t="shared" si="15"/>
        <v>1758297.4000000001</v>
      </c>
      <c r="P175" s="3">
        <f t="shared" si="16"/>
        <v>890553.5</v>
      </c>
      <c r="Q175" s="3">
        <f t="shared" si="17"/>
        <v>371172.46</v>
      </c>
      <c r="R175" s="3">
        <f t="shared" si="18"/>
        <v>101760.01</v>
      </c>
      <c r="S175" s="3">
        <f t="shared" si="19"/>
        <v>283342.95</v>
      </c>
      <c r="T175" s="3">
        <f t="shared" si="20"/>
        <v>134278.07999999999</v>
      </c>
      <c r="U175" s="3">
        <f>IF($A$5=1,IF($P175=0,0,ROUND(Q175/$P175*$E175,2)),Credits!D175)+Credits!J175</f>
        <v>4063.2400000000002</v>
      </c>
      <c r="V175" s="3">
        <f>IF($A$5=1,IF($P175=0,0,ROUND(R175/$P175*$E175,2)),Credits!E175)+Credits!K175</f>
        <v>1112.6300000000001</v>
      </c>
      <c r="W175" s="3">
        <f>IF($A$5=1,IF($P175=0,0,ROUND(S175/$P175*$E175,2)),Credits!F175)+Credits!L175</f>
        <v>3073.7</v>
      </c>
      <c r="X175" s="3">
        <f>IF($A$5=1,IF($P175=0,0,ROUND(T175/$P175*$E175,2)),Credits!G175)+Credits!M175</f>
        <v>1456.0500000000002</v>
      </c>
      <c r="Y175" s="3">
        <f t="shared" si="21"/>
        <v>9705.619999999999</v>
      </c>
    </row>
    <row r="176" spans="1:25" ht="15" x14ac:dyDescent="0.25">
      <c r="A176" s="5">
        <v>549</v>
      </c>
      <c r="B176" s="5">
        <v>1</v>
      </c>
      <c r="C176" s="2" t="s">
        <v>172</v>
      </c>
      <c r="D176" s="3">
        <v>133871.97999999998</v>
      </c>
      <c r="E176" s="3">
        <v>131184.09</v>
      </c>
      <c r="F176" s="173">
        <v>0</v>
      </c>
      <c r="G176" s="173">
        <v>248712.59</v>
      </c>
      <c r="H176" s="173">
        <v>0</v>
      </c>
      <c r="I176" s="173">
        <v>687844.23</v>
      </c>
      <c r="J176" s="174">
        <v>139153.98000000001</v>
      </c>
      <c r="K176" s="173">
        <v>988960.7</v>
      </c>
      <c r="L176" s="173">
        <v>211849</v>
      </c>
      <c r="M176" s="175">
        <v>0</v>
      </c>
      <c r="N176" s="173">
        <v>86547.01</v>
      </c>
      <c r="O176" s="152">
        <f t="shared" si="15"/>
        <v>2363067.5099999998</v>
      </c>
      <c r="P176" s="3">
        <f t="shared" si="16"/>
        <v>2114354.92</v>
      </c>
      <c r="Q176" s="3">
        <f t="shared" si="17"/>
        <v>687844.23</v>
      </c>
      <c r="R176" s="3">
        <f t="shared" si="18"/>
        <v>139153.98000000001</v>
      </c>
      <c r="S176" s="3">
        <f t="shared" si="19"/>
        <v>1200809.7</v>
      </c>
      <c r="T176" s="3">
        <f t="shared" si="20"/>
        <v>86547.01</v>
      </c>
      <c r="U176" s="3">
        <f>IF($A$5=1,IF($P176=0,0,ROUND(Q176/$P176*$E176,2)),Credits!D176)+Credits!J176</f>
        <v>9051.9699999999993</v>
      </c>
      <c r="V176" s="3">
        <f>IF($A$5=1,IF($P176=0,0,ROUND(R176/$P176*$E176,2)),Credits!E176)+Credits!K176</f>
        <v>1750.97</v>
      </c>
      <c r="W176" s="3">
        <f>IF($A$5=1,IF($P176=0,0,ROUND(S176/$P176*$E176,2)),Credits!F176)+Credits!L176</f>
        <v>14947.01</v>
      </c>
      <c r="X176" s="3">
        <f>IF($A$5=1,IF($P176=0,0,ROUND(T176/$P176*$E176,2)),Credits!G176)+Credits!M176</f>
        <v>1078.3699999999999</v>
      </c>
      <c r="Y176" s="3">
        <f t="shared" si="21"/>
        <v>26828.319999999996</v>
      </c>
    </row>
    <row r="177" spans="1:25" ht="15" x14ac:dyDescent="0.25">
      <c r="A177" s="5">
        <v>550</v>
      </c>
      <c r="B177" s="5">
        <v>1</v>
      </c>
      <c r="C177" s="2" t="s">
        <v>173</v>
      </c>
      <c r="D177" s="3">
        <v>78856.33</v>
      </c>
      <c r="E177" s="3">
        <v>73417.52</v>
      </c>
      <c r="F177" s="173">
        <v>0</v>
      </c>
      <c r="G177" s="173">
        <v>62534.34</v>
      </c>
      <c r="H177" s="173">
        <v>0</v>
      </c>
      <c r="I177" s="173">
        <v>67749.64</v>
      </c>
      <c r="J177" s="174">
        <v>31952.47</v>
      </c>
      <c r="K177" s="173">
        <v>525740.35</v>
      </c>
      <c r="L177" s="173">
        <v>101898.47</v>
      </c>
      <c r="M177" s="175">
        <v>0</v>
      </c>
      <c r="N177" s="173">
        <v>0</v>
      </c>
      <c r="O177" s="152">
        <f t="shared" si="15"/>
        <v>789875.27</v>
      </c>
      <c r="P177" s="3">
        <f t="shared" si="16"/>
        <v>727340.92999999993</v>
      </c>
      <c r="Q177" s="3">
        <f t="shared" si="17"/>
        <v>67749.64</v>
      </c>
      <c r="R177" s="3">
        <f t="shared" si="18"/>
        <v>31952.47</v>
      </c>
      <c r="S177" s="3">
        <f t="shared" si="19"/>
        <v>627638.81999999995</v>
      </c>
      <c r="T177" s="3">
        <f t="shared" si="20"/>
        <v>0</v>
      </c>
      <c r="U177" s="3">
        <f>IF($A$5=1,IF($P177=0,0,ROUND(Q177/$P177*$E177,2)),Credits!D177)+Credits!J177</f>
        <v>1800.88</v>
      </c>
      <c r="V177" s="3">
        <f>IF($A$5=1,IF($P177=0,0,ROUND(R177/$P177*$E177,2)),Credits!E177)+Credits!K177</f>
        <v>849.53</v>
      </c>
      <c r="W177" s="3">
        <f>IF($A$5=1,IF($P177=0,0,ROUND(S177/$P177*$E177,2)),Credits!F177)+Credits!L177</f>
        <v>16680.04</v>
      </c>
      <c r="X177" s="3">
        <f>IF($A$5=1,IF($P177=0,0,ROUND(T177/$P177*$E177,2)),Credits!G177)+Credits!M177</f>
        <v>0</v>
      </c>
      <c r="Y177" s="3">
        <f t="shared" si="21"/>
        <v>19330.45</v>
      </c>
    </row>
    <row r="178" spans="1:25" ht="15" x14ac:dyDescent="0.25">
      <c r="A178" s="5">
        <v>553</v>
      </c>
      <c r="B178" s="5">
        <v>1</v>
      </c>
      <c r="C178" s="2" t="s">
        <v>174</v>
      </c>
      <c r="D178" s="3">
        <v>118347.02000000002</v>
      </c>
      <c r="E178" s="3">
        <v>122585.01</v>
      </c>
      <c r="F178" s="173">
        <v>185848.8</v>
      </c>
      <c r="G178" s="173">
        <v>54569.56</v>
      </c>
      <c r="H178" s="173">
        <v>0</v>
      </c>
      <c r="I178" s="173">
        <v>55645.440000000002</v>
      </c>
      <c r="J178" s="174">
        <v>39383.050000000003</v>
      </c>
      <c r="K178" s="173">
        <v>584828.6</v>
      </c>
      <c r="L178" s="173">
        <v>83609.17</v>
      </c>
      <c r="M178" s="175">
        <v>0</v>
      </c>
      <c r="N178" s="173">
        <v>0</v>
      </c>
      <c r="O178" s="152">
        <f t="shared" si="15"/>
        <v>1003884.62</v>
      </c>
      <c r="P178" s="3">
        <f t="shared" si="16"/>
        <v>763466.26</v>
      </c>
      <c r="Q178" s="3">
        <f t="shared" si="17"/>
        <v>55645.440000000002</v>
      </c>
      <c r="R178" s="3">
        <f t="shared" si="18"/>
        <v>39383.050000000003</v>
      </c>
      <c r="S178" s="3">
        <f t="shared" si="19"/>
        <v>668437.77</v>
      </c>
      <c r="T178" s="3">
        <f t="shared" si="20"/>
        <v>0</v>
      </c>
      <c r="U178" s="3">
        <f>IF($A$5=1,IF($P178=0,0,ROUND(Q178/$P178*$E178,2)),Credits!D178)+Credits!J178</f>
        <v>3087.7999999999997</v>
      </c>
      <c r="V178" s="3">
        <f>IF($A$5=1,IF($P178=0,0,ROUND(R178/$P178*$E178,2)),Credits!E178)+Credits!K178</f>
        <v>2185.42</v>
      </c>
      <c r="W178" s="3">
        <f>IF($A$5=1,IF($P178=0,0,ROUND(S178/$P178*$E178,2)),Credits!F178)+Credits!L178</f>
        <v>36949.770000000004</v>
      </c>
      <c r="X178" s="3">
        <f>IF($A$5=1,IF($P178=0,0,ROUND(T178/$P178*$E178,2)),Credits!G178)+Credits!M178</f>
        <v>0</v>
      </c>
      <c r="Y178" s="3">
        <f t="shared" si="21"/>
        <v>42222.990000000005</v>
      </c>
    </row>
    <row r="179" spans="1:25" ht="15" x14ac:dyDescent="0.25">
      <c r="A179" s="5">
        <v>561</v>
      </c>
      <c r="B179" s="5">
        <v>1</v>
      </c>
      <c r="C179" s="2" t="s">
        <v>175</v>
      </c>
      <c r="D179" s="3">
        <v>19379.36</v>
      </c>
      <c r="E179" s="3">
        <v>18918.7</v>
      </c>
      <c r="F179" s="173">
        <v>119444.56</v>
      </c>
      <c r="G179" s="173">
        <v>4426.67</v>
      </c>
      <c r="H179" s="173">
        <v>0</v>
      </c>
      <c r="I179" s="173">
        <v>44435.77</v>
      </c>
      <c r="J179" s="174">
        <v>12521.52</v>
      </c>
      <c r="K179" s="173">
        <v>0</v>
      </c>
      <c r="L179" s="173">
        <v>0</v>
      </c>
      <c r="M179" s="175">
        <v>0</v>
      </c>
      <c r="N179" s="173">
        <v>0</v>
      </c>
      <c r="O179" s="152">
        <f t="shared" si="15"/>
        <v>180828.52</v>
      </c>
      <c r="P179" s="3">
        <f t="shared" si="16"/>
        <v>56957.289999999994</v>
      </c>
      <c r="Q179" s="3">
        <f t="shared" si="17"/>
        <v>44435.77</v>
      </c>
      <c r="R179" s="3">
        <f t="shared" si="18"/>
        <v>12521.52</v>
      </c>
      <c r="S179" s="3">
        <f t="shared" si="19"/>
        <v>0</v>
      </c>
      <c r="T179" s="3">
        <f t="shared" si="20"/>
        <v>0</v>
      </c>
      <c r="U179" s="3">
        <f>IF($A$5=1,IF($P179=0,0,ROUND(Q179/$P179*$E179,2)),Credits!D179)+Credits!J179</f>
        <v>10885.27</v>
      </c>
      <c r="V179" s="3">
        <f>IF($A$5=1,IF($P179=0,0,ROUND(R179/$P179*$E179,2)),Credits!E179)+Credits!K179</f>
        <v>3067.25</v>
      </c>
      <c r="W179" s="3">
        <f>IF($A$5=1,IF($P179=0,0,ROUND(S179/$P179*$E179,2)),Credits!F179)+Credits!L179</f>
        <v>0</v>
      </c>
      <c r="X179" s="3">
        <f>IF($A$5=1,IF($P179=0,0,ROUND(T179/$P179*$E179,2)),Credits!G179)+Credits!M179</f>
        <v>0</v>
      </c>
      <c r="Y179" s="3">
        <f t="shared" si="21"/>
        <v>13952.52</v>
      </c>
    </row>
    <row r="180" spans="1:25" ht="15" x14ac:dyDescent="0.25">
      <c r="A180" s="5">
        <v>564</v>
      </c>
      <c r="B180" s="5">
        <v>1</v>
      </c>
      <c r="C180" s="2" t="s">
        <v>176</v>
      </c>
      <c r="D180" s="3">
        <v>309881.53999999998</v>
      </c>
      <c r="E180" s="3">
        <v>316545.39</v>
      </c>
      <c r="F180" s="173">
        <v>986363.94</v>
      </c>
      <c r="G180" s="173">
        <v>158211.94</v>
      </c>
      <c r="H180" s="173">
        <v>0</v>
      </c>
      <c r="I180" s="173">
        <v>879525.58</v>
      </c>
      <c r="J180" s="174">
        <v>127748.41</v>
      </c>
      <c r="K180" s="173">
        <v>2469242.7999999998</v>
      </c>
      <c r="L180" s="173">
        <v>0</v>
      </c>
      <c r="M180" s="175">
        <v>0</v>
      </c>
      <c r="N180" s="173">
        <v>248864</v>
      </c>
      <c r="O180" s="152">
        <f t="shared" si="15"/>
        <v>4869956.67</v>
      </c>
      <c r="P180" s="3">
        <f t="shared" si="16"/>
        <v>3725380.79</v>
      </c>
      <c r="Q180" s="3">
        <f t="shared" si="17"/>
        <v>879525.58</v>
      </c>
      <c r="R180" s="3">
        <f t="shared" si="18"/>
        <v>127748.41</v>
      </c>
      <c r="S180" s="3">
        <f t="shared" si="19"/>
        <v>2469242.7999999998</v>
      </c>
      <c r="T180" s="3">
        <f t="shared" si="20"/>
        <v>248864</v>
      </c>
      <c r="U180" s="3">
        <f>IF($A$5=1,IF($P180=0,0,ROUND(Q180/$P180*$E180,2)),Credits!D180)+Credits!J180</f>
        <v>28676.699999999997</v>
      </c>
      <c r="V180" s="3">
        <f>IF($A$5=1,IF($P180=0,0,ROUND(R180/$P180*$E180,2)),Credits!E180)+Credits!K180</f>
        <v>4164.75</v>
      </c>
      <c r="W180" s="3">
        <f>IF($A$5=1,IF($P180=0,0,ROUND(S180/$P180*$E180,2)),Credits!F180)+Credits!L180</f>
        <v>80508.590000000011</v>
      </c>
      <c r="X180" s="3">
        <f>IF($A$5=1,IF($P180=0,0,ROUND(T180/$P180*$E180,2)),Credits!G180)+Credits!M180</f>
        <v>8114.2999999999993</v>
      </c>
      <c r="Y180" s="3">
        <f t="shared" si="21"/>
        <v>121464.34000000001</v>
      </c>
    </row>
    <row r="181" spans="1:25" ht="15" x14ac:dyDescent="0.25">
      <c r="A181" s="5">
        <v>577</v>
      </c>
      <c r="B181" s="5">
        <v>1</v>
      </c>
      <c r="C181" s="2" t="s">
        <v>177</v>
      </c>
      <c r="D181" s="3">
        <v>44817.65</v>
      </c>
      <c r="E181" s="3">
        <v>51398.600000000006</v>
      </c>
      <c r="F181" s="173">
        <v>50433.57</v>
      </c>
      <c r="G181" s="173">
        <v>59804.62</v>
      </c>
      <c r="H181" s="173">
        <v>0</v>
      </c>
      <c r="I181" s="173">
        <v>132640.04</v>
      </c>
      <c r="J181" s="174">
        <v>42499.77</v>
      </c>
      <c r="K181" s="173">
        <v>278714.95</v>
      </c>
      <c r="L181" s="173">
        <v>0</v>
      </c>
      <c r="M181" s="175">
        <v>0</v>
      </c>
      <c r="N181" s="173">
        <v>0</v>
      </c>
      <c r="O181" s="152">
        <f t="shared" si="15"/>
        <v>564092.94999999995</v>
      </c>
      <c r="P181" s="3">
        <f t="shared" si="16"/>
        <v>453854.76</v>
      </c>
      <c r="Q181" s="3">
        <f t="shared" si="17"/>
        <v>132640.04</v>
      </c>
      <c r="R181" s="3">
        <f t="shared" si="18"/>
        <v>42499.77</v>
      </c>
      <c r="S181" s="3">
        <f t="shared" si="19"/>
        <v>278714.95</v>
      </c>
      <c r="T181" s="3">
        <f t="shared" si="20"/>
        <v>0</v>
      </c>
      <c r="U181" s="3">
        <f>IF($A$5=1,IF($P181=0,0,ROUND(Q181/$P181*$E181,2)),Credits!D181)+Credits!J181</f>
        <v>2376.8000000000002</v>
      </c>
      <c r="V181" s="3">
        <f>IF($A$5=1,IF($P181=0,0,ROUND(R181/$P181*$E181,2)),Credits!E181)+Credits!K181</f>
        <v>761.38</v>
      </c>
      <c r="W181" s="3">
        <f>IF($A$5=1,IF($P181=0,0,ROUND(S181/$P181*$E181,2)),Credits!F181)+Credits!L181</f>
        <v>4994.22</v>
      </c>
      <c r="X181" s="3">
        <f>IF($A$5=1,IF($P181=0,0,ROUND(T181/$P181*$E181,2)),Credits!G181)+Credits!M181</f>
        <v>0</v>
      </c>
      <c r="Y181" s="3">
        <f t="shared" si="21"/>
        <v>8132.4000000000005</v>
      </c>
    </row>
    <row r="182" spans="1:25" ht="15" x14ac:dyDescent="0.25">
      <c r="A182" s="5">
        <v>578</v>
      </c>
      <c r="B182" s="5">
        <v>1</v>
      </c>
      <c r="C182" s="2" t="s">
        <v>178</v>
      </c>
      <c r="D182" s="3">
        <v>170439.38999999998</v>
      </c>
      <c r="E182" s="3">
        <v>180205.96000000002</v>
      </c>
      <c r="F182" s="173">
        <v>1282011.79</v>
      </c>
      <c r="G182" s="173">
        <v>141525.89000000001</v>
      </c>
      <c r="H182" s="173">
        <v>0</v>
      </c>
      <c r="I182" s="173">
        <v>462216.42</v>
      </c>
      <c r="J182" s="174">
        <v>125336.81</v>
      </c>
      <c r="K182" s="173">
        <v>683875.85</v>
      </c>
      <c r="L182" s="173">
        <v>452343.73</v>
      </c>
      <c r="M182" s="175">
        <v>0</v>
      </c>
      <c r="N182" s="173">
        <v>0</v>
      </c>
      <c r="O182" s="152">
        <f t="shared" si="15"/>
        <v>3147310.49</v>
      </c>
      <c r="P182" s="3">
        <f t="shared" si="16"/>
        <v>1723772.81</v>
      </c>
      <c r="Q182" s="3">
        <f t="shared" si="17"/>
        <v>462216.42</v>
      </c>
      <c r="R182" s="3">
        <f t="shared" si="18"/>
        <v>125336.81</v>
      </c>
      <c r="S182" s="3">
        <f t="shared" si="19"/>
        <v>1136219.58</v>
      </c>
      <c r="T182" s="3">
        <f t="shared" si="20"/>
        <v>0</v>
      </c>
      <c r="U182" s="3">
        <f>IF($A$5=1,IF($P182=0,0,ROUND(Q182/$P182*$E182,2)),Credits!D182)+Credits!J182</f>
        <v>7325.28</v>
      </c>
      <c r="V182" s="3">
        <f>IF($A$5=1,IF($P182=0,0,ROUND(R182/$P182*$E182,2)),Credits!E182)+Credits!K182</f>
        <v>1985.64</v>
      </c>
      <c r="W182" s="3">
        <f>IF($A$5=1,IF($P182=0,0,ROUND(S182/$P182*$E182,2)),Credits!F182)+Credits!L182</f>
        <v>17936.25</v>
      </c>
      <c r="X182" s="3">
        <f>IF($A$5=1,IF($P182=0,0,ROUND(T182/$P182*$E182,2)),Credits!G182)+Credits!M182</f>
        <v>0</v>
      </c>
      <c r="Y182" s="3">
        <f t="shared" si="21"/>
        <v>27247.17</v>
      </c>
    </row>
    <row r="183" spans="1:25" ht="15" x14ac:dyDescent="0.25">
      <c r="A183" s="5">
        <v>581</v>
      </c>
      <c r="B183" s="5">
        <v>1</v>
      </c>
      <c r="C183" s="2" t="s">
        <v>179</v>
      </c>
      <c r="D183" s="3">
        <v>40425.42</v>
      </c>
      <c r="E183" s="3">
        <v>40836.910000000003</v>
      </c>
      <c r="F183" s="173">
        <v>280153</v>
      </c>
      <c r="G183" s="173">
        <v>28646</v>
      </c>
      <c r="H183" s="173">
        <v>0</v>
      </c>
      <c r="I183" s="173">
        <v>128954</v>
      </c>
      <c r="J183" s="174">
        <v>29031</v>
      </c>
      <c r="K183" s="173">
        <v>60383</v>
      </c>
      <c r="L183" s="173">
        <v>0</v>
      </c>
      <c r="M183" s="175">
        <v>0</v>
      </c>
      <c r="N183" s="173">
        <v>0</v>
      </c>
      <c r="O183" s="152">
        <f t="shared" si="15"/>
        <v>527167</v>
      </c>
      <c r="P183" s="3">
        <f t="shared" si="16"/>
        <v>218368</v>
      </c>
      <c r="Q183" s="3">
        <f t="shared" si="17"/>
        <v>128954</v>
      </c>
      <c r="R183" s="3">
        <f t="shared" si="18"/>
        <v>29031</v>
      </c>
      <c r="S183" s="3">
        <f t="shared" si="19"/>
        <v>60383</v>
      </c>
      <c r="T183" s="3">
        <f t="shared" si="20"/>
        <v>0</v>
      </c>
      <c r="U183" s="3">
        <f>IF($A$5=1,IF($P183=0,0,ROUND(Q183/$P183*$E183,2)),Credits!D183)+Credits!J183</f>
        <v>12954.44</v>
      </c>
      <c r="V183" s="3">
        <f>IF($A$5=1,IF($P183=0,0,ROUND(R183/$P183*$E183,2)),Credits!E183)+Credits!K183</f>
        <v>2917.34</v>
      </c>
      <c r="W183" s="3">
        <f>IF($A$5=1,IF($P183=0,0,ROUND(S183/$P183*$E183,2)),Credits!F183)+Credits!L183</f>
        <v>6066.13</v>
      </c>
      <c r="X183" s="3">
        <f>IF($A$5=1,IF($P183=0,0,ROUND(T183/$P183*$E183,2)),Credits!G183)+Credits!M183</f>
        <v>0</v>
      </c>
      <c r="Y183" s="3">
        <f t="shared" si="21"/>
        <v>21937.91</v>
      </c>
    </row>
    <row r="184" spans="1:25" ht="15" x14ac:dyDescent="0.25">
      <c r="A184" s="5">
        <v>592</v>
      </c>
      <c r="B184" s="5">
        <v>1</v>
      </c>
      <c r="C184" s="2" t="s">
        <v>180</v>
      </c>
      <c r="D184" s="3">
        <v>8751.75</v>
      </c>
      <c r="E184" s="3">
        <v>6519.37</v>
      </c>
      <c r="F184" s="173">
        <v>139881.14000000001</v>
      </c>
      <c r="G184" s="173">
        <v>5884.53</v>
      </c>
      <c r="H184" s="173">
        <v>0</v>
      </c>
      <c r="I184" s="173">
        <v>73308.639999999999</v>
      </c>
      <c r="J184" s="174">
        <v>13117.6</v>
      </c>
      <c r="K184" s="173">
        <v>0</v>
      </c>
      <c r="L184" s="173">
        <v>0</v>
      </c>
      <c r="M184" s="175">
        <v>0</v>
      </c>
      <c r="N184" s="173">
        <v>0</v>
      </c>
      <c r="O184" s="152">
        <f t="shared" si="15"/>
        <v>232191.91</v>
      </c>
      <c r="P184" s="3">
        <f t="shared" si="16"/>
        <v>86426.240000000005</v>
      </c>
      <c r="Q184" s="3">
        <f t="shared" si="17"/>
        <v>73308.639999999999</v>
      </c>
      <c r="R184" s="3">
        <f t="shared" si="18"/>
        <v>13117.6</v>
      </c>
      <c r="S184" s="3">
        <f t="shared" si="19"/>
        <v>0</v>
      </c>
      <c r="T184" s="3">
        <f t="shared" si="20"/>
        <v>0</v>
      </c>
      <c r="U184" s="3">
        <f>IF($A$5=1,IF($P184=0,0,ROUND(Q184/$P184*$E184,2)),Credits!D184)+Credits!J184</f>
        <v>3502.43</v>
      </c>
      <c r="V184" s="3">
        <f>IF($A$5=1,IF($P184=0,0,ROUND(R184/$P184*$E184,2)),Credits!E184)+Credits!K184</f>
        <v>70.97</v>
      </c>
      <c r="W184" s="3">
        <f>IF($A$5=1,IF($P184=0,0,ROUND(S184/$P184*$E184,2)),Credits!F184)+Credits!L184</f>
        <v>534.43000000000006</v>
      </c>
      <c r="X184" s="3">
        <f>IF($A$5=1,IF($P184=0,0,ROUND(T184/$P184*$E184,2)),Credits!G184)+Credits!M184</f>
        <v>0</v>
      </c>
      <c r="Y184" s="3">
        <f t="shared" si="21"/>
        <v>4107.83</v>
      </c>
    </row>
    <row r="185" spans="1:25" ht="15" x14ac:dyDescent="0.25">
      <c r="A185" s="5">
        <v>593</v>
      </c>
      <c r="B185" s="5">
        <v>1</v>
      </c>
      <c r="C185" s="2" t="s">
        <v>181</v>
      </c>
      <c r="D185" s="3">
        <v>115632.11000000002</v>
      </c>
      <c r="E185" s="3">
        <v>211843.47999999998</v>
      </c>
      <c r="F185" s="173">
        <v>1387523.99</v>
      </c>
      <c r="G185" s="173">
        <v>89762.66</v>
      </c>
      <c r="H185" s="173">
        <v>0</v>
      </c>
      <c r="I185" s="173">
        <v>622516.06000000006</v>
      </c>
      <c r="J185" s="174">
        <v>107930.78</v>
      </c>
      <c r="K185" s="173">
        <v>1032188.87</v>
      </c>
      <c r="L185" s="173">
        <v>0</v>
      </c>
      <c r="M185" s="175">
        <v>0</v>
      </c>
      <c r="N185" s="173">
        <v>0</v>
      </c>
      <c r="O185" s="152">
        <f t="shared" si="15"/>
        <v>3239922.36</v>
      </c>
      <c r="P185" s="3">
        <f t="shared" si="16"/>
        <v>1762635.71</v>
      </c>
      <c r="Q185" s="3">
        <f t="shared" si="17"/>
        <v>622516.06000000006</v>
      </c>
      <c r="R185" s="3">
        <f t="shared" si="18"/>
        <v>107930.78</v>
      </c>
      <c r="S185" s="3">
        <f t="shared" si="19"/>
        <v>1032188.87</v>
      </c>
      <c r="T185" s="3">
        <f t="shared" si="20"/>
        <v>0</v>
      </c>
      <c r="U185" s="3">
        <f>IF($A$5=1,IF($P185=0,0,ROUND(Q185/$P185*$E185,2)),Credits!D185)+Credits!J185</f>
        <v>34950.080000000002</v>
      </c>
      <c r="V185" s="3">
        <f>IF($A$5=1,IF($P185=0,0,ROUND(R185/$P185*$E185,2)),Credits!E185)+Credits!K185</f>
        <v>5.88</v>
      </c>
      <c r="W185" s="3">
        <f>IF($A$5=1,IF($P185=0,0,ROUND(S185/$P185*$E185,2)),Credits!F185)+Credits!L185</f>
        <v>44463.07</v>
      </c>
      <c r="X185" s="3">
        <f>IF($A$5=1,IF($P185=0,0,ROUND(T185/$P185*$E185,2)),Credits!G185)+Credits!M185</f>
        <v>0</v>
      </c>
      <c r="Y185" s="3">
        <f t="shared" si="21"/>
        <v>79419.03</v>
      </c>
    </row>
    <row r="186" spans="1:25" ht="15" x14ac:dyDescent="0.25">
      <c r="A186" s="5">
        <v>595</v>
      </c>
      <c r="B186" s="5">
        <v>1</v>
      </c>
      <c r="C186" s="2" t="s">
        <v>182</v>
      </c>
      <c r="D186" s="3">
        <v>213537.83</v>
      </c>
      <c r="E186" s="3">
        <v>193328.4</v>
      </c>
      <c r="F186" s="173">
        <v>712725.39</v>
      </c>
      <c r="G186" s="173">
        <v>131344.15</v>
      </c>
      <c r="H186" s="173">
        <v>0</v>
      </c>
      <c r="I186" s="173">
        <v>414565</v>
      </c>
      <c r="J186" s="174">
        <v>115326.25</v>
      </c>
      <c r="K186" s="173">
        <v>0</v>
      </c>
      <c r="L186" s="173">
        <v>547458.31999999995</v>
      </c>
      <c r="M186" s="175">
        <v>0</v>
      </c>
      <c r="N186" s="173">
        <v>0</v>
      </c>
      <c r="O186" s="152">
        <f t="shared" si="15"/>
        <v>1921419.1099999999</v>
      </c>
      <c r="P186" s="3">
        <f t="shared" si="16"/>
        <v>1077349.5699999998</v>
      </c>
      <c r="Q186" s="3">
        <f t="shared" si="17"/>
        <v>414565</v>
      </c>
      <c r="R186" s="3">
        <f t="shared" si="18"/>
        <v>115326.25</v>
      </c>
      <c r="S186" s="3">
        <f t="shared" si="19"/>
        <v>547458.31999999995</v>
      </c>
      <c r="T186" s="3">
        <f t="shared" si="20"/>
        <v>0</v>
      </c>
      <c r="U186" s="3">
        <f>IF($A$5=1,IF($P186=0,0,ROUND(Q186/$P186*$E186,2)),Credits!D186)+Credits!J186</f>
        <v>49193.229999999996</v>
      </c>
      <c r="V186" s="3">
        <f>IF($A$5=1,IF($P186=0,0,ROUND(R186/$P186*$E186,2)),Credits!E186)+Credits!K186</f>
        <v>0</v>
      </c>
      <c r="W186" s="3">
        <f>IF($A$5=1,IF($P186=0,0,ROUND(S186/$P186*$E186,2)),Credits!F186)+Credits!L186</f>
        <v>74999.7</v>
      </c>
      <c r="X186" s="3">
        <f>IF($A$5=1,IF($P186=0,0,ROUND(T186/$P186*$E186,2)),Credits!G186)+Credits!M186</f>
        <v>0</v>
      </c>
      <c r="Y186" s="3">
        <f t="shared" si="21"/>
        <v>124192.93</v>
      </c>
    </row>
    <row r="187" spans="1:25" ht="15" x14ac:dyDescent="0.25">
      <c r="A187" s="5">
        <v>599</v>
      </c>
      <c r="B187" s="5">
        <v>1</v>
      </c>
      <c r="C187" s="2" t="s">
        <v>183</v>
      </c>
      <c r="D187" s="3">
        <v>21400.18</v>
      </c>
      <c r="E187" s="3">
        <v>22405.79</v>
      </c>
      <c r="F187" s="173">
        <v>439450.01</v>
      </c>
      <c r="G187" s="173">
        <v>36066.74</v>
      </c>
      <c r="H187" s="173">
        <v>0</v>
      </c>
      <c r="I187" s="173">
        <v>205526.69</v>
      </c>
      <c r="J187" s="174">
        <v>39221.74</v>
      </c>
      <c r="K187" s="173">
        <v>0</v>
      </c>
      <c r="L187" s="173">
        <v>0</v>
      </c>
      <c r="M187" s="175">
        <v>0</v>
      </c>
      <c r="N187" s="173">
        <v>0</v>
      </c>
      <c r="O187" s="152">
        <f t="shared" si="15"/>
        <v>720265.17999999993</v>
      </c>
      <c r="P187" s="3">
        <f t="shared" si="16"/>
        <v>244748.43</v>
      </c>
      <c r="Q187" s="3">
        <f t="shared" si="17"/>
        <v>205526.69</v>
      </c>
      <c r="R187" s="3">
        <f t="shared" si="18"/>
        <v>39221.74</v>
      </c>
      <c r="S187" s="3">
        <f t="shared" si="19"/>
        <v>0</v>
      </c>
      <c r="T187" s="3">
        <f t="shared" si="20"/>
        <v>0</v>
      </c>
      <c r="U187" s="3">
        <f>IF($A$5=1,IF($P187=0,0,ROUND(Q187/$P187*$E187,2)),Credits!D187)+Credits!J187</f>
        <v>9796.99</v>
      </c>
      <c r="V187" s="3">
        <f>IF($A$5=1,IF($P187=0,0,ROUND(R187/$P187*$E187,2)),Credits!E187)+Credits!K187</f>
        <v>190.93</v>
      </c>
      <c r="W187" s="3">
        <f>IF($A$5=1,IF($P187=0,0,ROUND(S187/$P187*$E187,2)),Credits!F187)+Credits!L187</f>
        <v>1140.45</v>
      </c>
      <c r="X187" s="3">
        <f>IF($A$5=1,IF($P187=0,0,ROUND(T187/$P187*$E187,2)),Credits!G187)+Credits!M187</f>
        <v>0</v>
      </c>
      <c r="Y187" s="3">
        <f t="shared" si="21"/>
        <v>11128.37</v>
      </c>
    </row>
    <row r="188" spans="1:25" ht="15" x14ac:dyDescent="0.25">
      <c r="A188" s="5">
        <v>600</v>
      </c>
      <c r="B188" s="5">
        <v>1</v>
      </c>
      <c r="C188" s="2" t="s">
        <v>184</v>
      </c>
      <c r="D188" s="3">
        <v>17207.97</v>
      </c>
      <c r="E188" s="3">
        <v>16336.05</v>
      </c>
      <c r="F188" s="173">
        <v>0</v>
      </c>
      <c r="G188" s="173">
        <v>6020.58</v>
      </c>
      <c r="H188" s="173">
        <v>0</v>
      </c>
      <c r="I188" s="173">
        <v>110648.25</v>
      </c>
      <c r="J188" s="174">
        <v>21880.01</v>
      </c>
      <c r="K188" s="173">
        <v>253278.04</v>
      </c>
      <c r="L188" s="173">
        <v>0</v>
      </c>
      <c r="M188" s="175">
        <v>0</v>
      </c>
      <c r="N188" s="173">
        <v>0</v>
      </c>
      <c r="O188" s="152">
        <f t="shared" si="15"/>
        <v>391826.88</v>
      </c>
      <c r="P188" s="3">
        <f t="shared" si="16"/>
        <v>385806.30000000005</v>
      </c>
      <c r="Q188" s="3">
        <f t="shared" si="17"/>
        <v>110648.25</v>
      </c>
      <c r="R188" s="3">
        <f t="shared" si="18"/>
        <v>21880.01</v>
      </c>
      <c r="S188" s="3">
        <f t="shared" si="19"/>
        <v>253278.04</v>
      </c>
      <c r="T188" s="3">
        <f t="shared" si="20"/>
        <v>0</v>
      </c>
      <c r="U188" s="3">
        <f>IF($A$5=1,IF($P188=0,0,ROUND(Q188/$P188*$E188,2)),Credits!D188)+Credits!J188</f>
        <v>2999.16</v>
      </c>
      <c r="V188" s="3">
        <f>IF($A$5=1,IF($P188=0,0,ROUND(R188/$P188*$E188,2)),Credits!E188)+Credits!K188</f>
        <v>0</v>
      </c>
      <c r="W188" s="3">
        <f>IF($A$5=1,IF($P188=0,0,ROUND(S188/$P188*$E188,2)),Credits!F188)+Credits!L188</f>
        <v>3484.67</v>
      </c>
      <c r="X188" s="3">
        <f>IF($A$5=1,IF($P188=0,0,ROUND(T188/$P188*$E188,2)),Credits!G188)+Credits!M188</f>
        <v>0</v>
      </c>
      <c r="Y188" s="3">
        <f t="shared" si="21"/>
        <v>6483.83</v>
      </c>
    </row>
    <row r="189" spans="1:25" ht="15" x14ac:dyDescent="0.25">
      <c r="A189" s="5">
        <v>601</v>
      </c>
      <c r="B189" s="5">
        <v>1</v>
      </c>
      <c r="C189" s="2" t="s">
        <v>185</v>
      </c>
      <c r="D189" s="3">
        <v>84597.989999999991</v>
      </c>
      <c r="E189" s="3">
        <v>77923.320000000007</v>
      </c>
      <c r="F189" s="173">
        <v>212954.13</v>
      </c>
      <c r="G189" s="173">
        <v>34471.71</v>
      </c>
      <c r="H189" s="173">
        <v>0</v>
      </c>
      <c r="I189" s="173">
        <v>273055.65000000002</v>
      </c>
      <c r="J189" s="174">
        <v>39232.85</v>
      </c>
      <c r="K189" s="173">
        <v>365752.83</v>
      </c>
      <c r="L189" s="173">
        <v>0</v>
      </c>
      <c r="M189" s="175">
        <v>0</v>
      </c>
      <c r="N189" s="173">
        <v>0</v>
      </c>
      <c r="O189" s="152">
        <f t="shared" si="15"/>
        <v>925467.16999999993</v>
      </c>
      <c r="P189" s="3">
        <f t="shared" si="16"/>
        <v>678041.33000000007</v>
      </c>
      <c r="Q189" s="3">
        <f t="shared" si="17"/>
        <v>273055.65000000002</v>
      </c>
      <c r="R189" s="3">
        <f t="shared" si="18"/>
        <v>39232.85</v>
      </c>
      <c r="S189" s="3">
        <f t="shared" si="19"/>
        <v>365752.83</v>
      </c>
      <c r="T189" s="3">
        <f t="shared" si="20"/>
        <v>0</v>
      </c>
      <c r="U189" s="3">
        <f>IF($A$5=1,IF($P189=0,0,ROUND(Q189/$P189*$E189,2)),Credits!D189)+Credits!J189</f>
        <v>15812.22</v>
      </c>
      <c r="V189" s="3">
        <f>IF($A$5=1,IF($P189=0,0,ROUND(R189/$P189*$E189,2)),Credits!E189)+Credits!K189</f>
        <v>398.59000000000003</v>
      </c>
      <c r="W189" s="3">
        <f>IF($A$5=1,IF($P189=0,0,ROUND(S189/$P189*$E189,2)),Credits!F189)+Credits!L189</f>
        <v>16479.920000000002</v>
      </c>
      <c r="X189" s="3">
        <f>IF($A$5=1,IF($P189=0,0,ROUND(T189/$P189*$E189,2)),Credits!G189)+Credits!M189</f>
        <v>0</v>
      </c>
      <c r="Y189" s="3">
        <f t="shared" si="21"/>
        <v>32690.730000000003</v>
      </c>
    </row>
    <row r="190" spans="1:25" ht="15" x14ac:dyDescent="0.25">
      <c r="A190" s="5">
        <v>611</v>
      </c>
      <c r="B190" s="5">
        <v>1</v>
      </c>
      <c r="C190" s="2" t="s">
        <v>186</v>
      </c>
      <c r="D190" s="3">
        <v>9912.33</v>
      </c>
      <c r="E190" s="3">
        <v>5555.04</v>
      </c>
      <c r="F190" s="173">
        <v>20288</v>
      </c>
      <c r="G190" s="173">
        <v>2905</v>
      </c>
      <c r="H190" s="173">
        <v>0</v>
      </c>
      <c r="I190" s="173">
        <v>16204</v>
      </c>
      <c r="J190" s="174">
        <v>14800</v>
      </c>
      <c r="K190" s="173">
        <v>0</v>
      </c>
      <c r="L190" s="173">
        <v>0</v>
      </c>
      <c r="M190" s="175">
        <v>0</v>
      </c>
      <c r="N190" s="173">
        <v>0</v>
      </c>
      <c r="O190" s="152">
        <f t="shared" si="15"/>
        <v>54197</v>
      </c>
      <c r="P190" s="3">
        <f t="shared" si="16"/>
        <v>31004</v>
      </c>
      <c r="Q190" s="3">
        <f t="shared" si="17"/>
        <v>16204</v>
      </c>
      <c r="R190" s="3">
        <f t="shared" si="18"/>
        <v>14800</v>
      </c>
      <c r="S190" s="3">
        <f t="shared" si="19"/>
        <v>0</v>
      </c>
      <c r="T190" s="3">
        <f t="shared" si="20"/>
        <v>0</v>
      </c>
      <c r="U190" s="3">
        <f>IF($A$5=1,IF($P190=0,0,ROUND(Q190/$P190*$E190,2)),Credits!D190)+Credits!J190</f>
        <v>560.28</v>
      </c>
      <c r="V190" s="3">
        <f>IF($A$5=1,IF($P190=0,0,ROUND(R190/$P190*$E190,2)),Credits!E190)+Credits!K190</f>
        <v>511.87</v>
      </c>
      <c r="W190" s="3">
        <f>IF($A$5=1,IF($P190=0,0,ROUND(S190/$P190*$E190,2)),Credits!F190)+Credits!L190</f>
        <v>0</v>
      </c>
      <c r="X190" s="3">
        <f>IF($A$5=1,IF($P190=0,0,ROUND(T190/$P190*$E190,2)),Credits!G190)+Credits!M190</f>
        <v>0</v>
      </c>
      <c r="Y190" s="3">
        <f t="shared" si="21"/>
        <v>1072.1500000000001</v>
      </c>
    </row>
    <row r="191" spans="1:25" ht="15" x14ac:dyDescent="0.25">
      <c r="A191" s="5">
        <v>621</v>
      </c>
      <c r="B191" s="5">
        <v>1</v>
      </c>
      <c r="C191" s="2" t="s">
        <v>187</v>
      </c>
      <c r="D191" s="3">
        <v>674175.54</v>
      </c>
      <c r="E191" s="3">
        <v>691777.4800000001</v>
      </c>
      <c r="F191" s="173">
        <v>17837958</v>
      </c>
      <c r="G191" s="173">
        <v>903505</v>
      </c>
      <c r="H191" s="173">
        <v>0</v>
      </c>
      <c r="I191" s="173">
        <v>8283131</v>
      </c>
      <c r="J191" s="174">
        <v>996497</v>
      </c>
      <c r="K191" s="173">
        <v>7002887</v>
      </c>
      <c r="L191" s="173">
        <v>4230124</v>
      </c>
      <c r="M191" s="175">
        <v>0</v>
      </c>
      <c r="N191" s="173">
        <v>2670663</v>
      </c>
      <c r="O191" s="152">
        <f t="shared" si="15"/>
        <v>41924765</v>
      </c>
      <c r="P191" s="3">
        <f t="shared" si="16"/>
        <v>23183302</v>
      </c>
      <c r="Q191" s="3">
        <f t="shared" si="17"/>
        <v>8283131</v>
      </c>
      <c r="R191" s="3">
        <f t="shared" si="18"/>
        <v>996497</v>
      </c>
      <c r="S191" s="3">
        <f t="shared" si="19"/>
        <v>11233011</v>
      </c>
      <c r="T191" s="3">
        <f t="shared" si="20"/>
        <v>2670663</v>
      </c>
      <c r="U191" s="3">
        <f>IF($A$5=1,IF($P191=0,0,ROUND(Q191/$P191*$E191,2)),Credits!D191)+Credits!J191</f>
        <v>172.66</v>
      </c>
      <c r="V191" s="3">
        <f>IF($A$5=1,IF($P191=0,0,ROUND(R191/$P191*$E191,2)),Credits!E191)+Credits!K191</f>
        <v>24.62</v>
      </c>
      <c r="W191" s="3">
        <f>IF($A$5=1,IF($P191=0,0,ROUND(S191/$P191*$E191,2)),Credits!F191)+Credits!L191</f>
        <v>277.52999999999997</v>
      </c>
      <c r="X191" s="3">
        <f>IF($A$5=1,IF($P191=0,0,ROUND(T191/$P191*$E191,2)),Credits!G191)+Credits!M191</f>
        <v>65.98</v>
      </c>
      <c r="Y191" s="3">
        <f t="shared" si="21"/>
        <v>540.79</v>
      </c>
    </row>
    <row r="192" spans="1:25" ht="15" x14ac:dyDescent="0.25">
      <c r="A192" s="5">
        <v>622</v>
      </c>
      <c r="B192" s="5">
        <v>1</v>
      </c>
      <c r="C192" s="2" t="s">
        <v>188</v>
      </c>
      <c r="D192" s="3">
        <v>990085.16999999993</v>
      </c>
      <c r="E192" s="3">
        <v>1070756.47</v>
      </c>
      <c r="F192" s="173">
        <v>10382543</v>
      </c>
      <c r="G192" s="173">
        <v>1458568</v>
      </c>
      <c r="H192" s="173">
        <v>0</v>
      </c>
      <c r="I192" s="173">
        <v>5960870</v>
      </c>
      <c r="J192" s="174">
        <v>1510521</v>
      </c>
      <c r="K192" s="173">
        <v>4629436</v>
      </c>
      <c r="L192" s="173">
        <v>7344674</v>
      </c>
      <c r="M192" s="175">
        <v>0</v>
      </c>
      <c r="N192" s="173">
        <v>3134361</v>
      </c>
      <c r="O192" s="152">
        <f t="shared" si="15"/>
        <v>34420973</v>
      </c>
      <c r="P192" s="3">
        <f t="shared" si="16"/>
        <v>22579862</v>
      </c>
      <c r="Q192" s="3">
        <f t="shared" si="17"/>
        <v>5960870</v>
      </c>
      <c r="R192" s="3">
        <f t="shared" si="18"/>
        <v>1510521</v>
      </c>
      <c r="S192" s="3">
        <f t="shared" si="19"/>
        <v>11974110</v>
      </c>
      <c r="T192" s="3">
        <f t="shared" si="20"/>
        <v>3134361</v>
      </c>
      <c r="U192" s="3">
        <f>IF($A$5=1,IF($P192=0,0,ROUND(Q192/$P192*$E192,2)),Credits!D192)+Credits!J192</f>
        <v>184.44</v>
      </c>
      <c r="V192" s="3">
        <f>IF($A$5=1,IF($P192=0,0,ROUND(R192/$P192*$E192,2)),Credits!E192)+Credits!K192</f>
        <v>46.74</v>
      </c>
      <c r="W192" s="3">
        <f>IF($A$5=1,IF($P192=0,0,ROUND(S192/$P192*$E192,2)),Credits!F192)+Credits!L192</f>
        <v>370.5</v>
      </c>
      <c r="X192" s="3">
        <f>IF($A$5=1,IF($P192=0,0,ROUND(T192/$P192*$E192,2)),Credits!G192)+Credits!M192</f>
        <v>96.990000000000009</v>
      </c>
      <c r="Y192" s="3">
        <f t="shared" si="21"/>
        <v>698.67000000000007</v>
      </c>
    </row>
    <row r="193" spans="1:25" ht="15" x14ac:dyDescent="0.25">
      <c r="A193" s="5">
        <v>623</v>
      </c>
      <c r="B193" s="5">
        <v>1</v>
      </c>
      <c r="C193" s="2" t="s">
        <v>189</v>
      </c>
      <c r="D193" s="3">
        <v>335894.04</v>
      </c>
      <c r="E193" s="3">
        <v>357790.84</v>
      </c>
      <c r="F193" s="173">
        <v>10718313</v>
      </c>
      <c r="G193" s="173">
        <v>832687</v>
      </c>
      <c r="H193" s="173">
        <v>0</v>
      </c>
      <c r="I193" s="173">
        <v>4668240</v>
      </c>
      <c r="J193" s="174">
        <v>869956</v>
      </c>
      <c r="K193" s="173">
        <v>2915212</v>
      </c>
      <c r="L193" s="173">
        <v>0</v>
      </c>
      <c r="M193" s="175">
        <v>0</v>
      </c>
      <c r="N193" s="173">
        <v>1377910</v>
      </c>
      <c r="O193" s="152">
        <f t="shared" si="15"/>
        <v>21382318</v>
      </c>
      <c r="P193" s="3">
        <f t="shared" si="16"/>
        <v>9831318</v>
      </c>
      <c r="Q193" s="3">
        <f t="shared" si="17"/>
        <v>4668240</v>
      </c>
      <c r="R193" s="3">
        <f t="shared" si="18"/>
        <v>869956</v>
      </c>
      <c r="S193" s="3">
        <f t="shared" si="19"/>
        <v>2915212</v>
      </c>
      <c r="T193" s="3">
        <f t="shared" si="20"/>
        <v>1377910</v>
      </c>
      <c r="U193" s="3">
        <f>IF($A$5=1,IF($P193=0,0,ROUND(Q193/$P193*$E193,2)),Credits!D193)+Credits!J193</f>
        <v>80.86</v>
      </c>
      <c r="V193" s="3">
        <f>IF($A$5=1,IF($P193=0,0,ROUND(R193/$P193*$E193,2)),Credits!E193)+Credits!K193</f>
        <v>15.07</v>
      </c>
      <c r="W193" s="3">
        <f>IF($A$5=1,IF($P193=0,0,ROUND(S193/$P193*$E193,2)),Credits!F193)+Credits!L193</f>
        <v>50.480000000000004</v>
      </c>
      <c r="X193" s="3">
        <f>IF($A$5=1,IF($P193=0,0,ROUND(T193/$P193*$E193,2)),Credits!G193)+Credits!M193</f>
        <v>23.86</v>
      </c>
      <c r="Y193" s="3">
        <f t="shared" si="21"/>
        <v>170.27000000000004</v>
      </c>
    </row>
    <row r="194" spans="1:25" ht="15" x14ac:dyDescent="0.25">
      <c r="A194" s="5">
        <v>624</v>
      </c>
      <c r="B194" s="5">
        <v>1</v>
      </c>
      <c r="C194" s="2" t="s">
        <v>190</v>
      </c>
      <c r="D194" s="3">
        <v>735141.43</v>
      </c>
      <c r="E194" s="3">
        <v>773764.73999999987</v>
      </c>
      <c r="F194" s="173">
        <v>16702009</v>
      </c>
      <c r="G194" s="173">
        <v>578210</v>
      </c>
      <c r="H194" s="173">
        <v>825398</v>
      </c>
      <c r="I194" s="173">
        <v>3596287</v>
      </c>
      <c r="J194" s="174">
        <v>971539</v>
      </c>
      <c r="K194" s="173">
        <v>5743312</v>
      </c>
      <c r="L194" s="173">
        <v>3508754</v>
      </c>
      <c r="M194" s="175">
        <v>0</v>
      </c>
      <c r="N194" s="173">
        <v>2435502</v>
      </c>
      <c r="O194" s="152">
        <f t="shared" si="15"/>
        <v>34361011</v>
      </c>
      <c r="P194" s="3">
        <f t="shared" si="16"/>
        <v>17080792</v>
      </c>
      <c r="Q194" s="3">
        <f t="shared" si="17"/>
        <v>4421685</v>
      </c>
      <c r="R194" s="3">
        <f t="shared" si="18"/>
        <v>971539</v>
      </c>
      <c r="S194" s="3">
        <f t="shared" si="19"/>
        <v>9252066</v>
      </c>
      <c r="T194" s="3">
        <f t="shared" si="20"/>
        <v>2435502</v>
      </c>
      <c r="U194" s="3">
        <f>IF($A$5=1,IF($P194=0,0,ROUND(Q194/$P194*$E194,2)),Credits!D194)+Credits!J194</f>
        <v>698.96</v>
      </c>
      <c r="V194" s="3">
        <f>IF($A$5=1,IF($P194=0,0,ROUND(R194/$P194*$E194,2)),Credits!E194)+Credits!K194</f>
        <v>153.63</v>
      </c>
      <c r="W194" s="3">
        <f>IF($A$5=1,IF($P194=0,0,ROUND(S194/$P194*$E194,2)),Credits!F194)+Credits!L194</f>
        <v>1462.53</v>
      </c>
      <c r="X194" s="3">
        <f>IF($A$5=1,IF($P194=0,0,ROUND(T194/$P194*$E194,2)),Credits!G194)+Credits!M194</f>
        <v>384.99</v>
      </c>
      <c r="Y194" s="3">
        <f t="shared" si="21"/>
        <v>2700.1099999999997</v>
      </c>
    </row>
    <row r="195" spans="1:25" ht="15" x14ac:dyDescent="0.25">
      <c r="A195" s="5">
        <v>625</v>
      </c>
      <c r="B195" s="5">
        <v>1</v>
      </c>
      <c r="C195" s="2" t="s">
        <v>191</v>
      </c>
      <c r="D195" s="3">
        <v>2925866.45</v>
      </c>
      <c r="E195" s="3">
        <v>3385011.26</v>
      </c>
      <c r="F195" s="173">
        <v>27655746</v>
      </c>
      <c r="G195" s="173">
        <v>8730361</v>
      </c>
      <c r="H195" s="173">
        <v>0</v>
      </c>
      <c r="I195" s="173">
        <v>46740943</v>
      </c>
      <c r="J195" s="174">
        <v>3447465</v>
      </c>
      <c r="K195" s="173">
        <v>0</v>
      </c>
      <c r="L195" s="173">
        <v>39498061</v>
      </c>
      <c r="M195" s="175">
        <v>0</v>
      </c>
      <c r="N195" s="173">
        <v>0</v>
      </c>
      <c r="O195" s="152">
        <f t="shared" si="15"/>
        <v>126072576</v>
      </c>
      <c r="P195" s="3">
        <f t="shared" si="16"/>
        <v>89686469</v>
      </c>
      <c r="Q195" s="3">
        <f t="shared" si="17"/>
        <v>46740943</v>
      </c>
      <c r="R195" s="3">
        <f t="shared" si="18"/>
        <v>3447465</v>
      </c>
      <c r="S195" s="3">
        <f t="shared" si="19"/>
        <v>39498061</v>
      </c>
      <c r="T195" s="3">
        <f t="shared" si="20"/>
        <v>0</v>
      </c>
      <c r="U195" s="3">
        <f>IF($A$5=1,IF($P195=0,0,ROUND(Q195/$P195*$E195,2)),Credits!D195)+Credits!J195</f>
        <v>172469.95</v>
      </c>
      <c r="V195" s="3">
        <f>IF($A$5=1,IF($P195=0,0,ROUND(R195/$P195*$E195,2)),Credits!E195)+Credits!K195</f>
        <v>12722.93</v>
      </c>
      <c r="W195" s="3">
        <f>IF($A$5=1,IF($P195=0,0,ROUND(S195/$P195*$E195,2)),Credits!F195)+Credits!L195</f>
        <v>145742.76</v>
      </c>
      <c r="X195" s="3">
        <f>IF($A$5=1,IF($P195=0,0,ROUND(T195/$P195*$E195,2)),Credits!G195)+Credits!M195</f>
        <v>0</v>
      </c>
      <c r="Y195" s="3">
        <f t="shared" si="21"/>
        <v>330935.64</v>
      </c>
    </row>
    <row r="196" spans="1:25" ht="15" x14ac:dyDescent="0.25">
      <c r="A196" s="5">
        <v>627</v>
      </c>
      <c r="B196" s="5">
        <v>1</v>
      </c>
      <c r="C196" s="2" t="s">
        <v>192</v>
      </c>
      <c r="D196" s="3">
        <v>16983.099999999999</v>
      </c>
      <c r="E196" s="3">
        <v>19388.55</v>
      </c>
      <c r="F196" s="173">
        <v>137372</v>
      </c>
      <c r="G196" s="173">
        <v>18804</v>
      </c>
      <c r="H196" s="173">
        <v>0</v>
      </c>
      <c r="I196" s="173">
        <v>118912</v>
      </c>
      <c r="J196" s="174">
        <v>22333</v>
      </c>
      <c r="K196" s="173">
        <v>0</v>
      </c>
      <c r="L196" s="173">
        <v>156733</v>
      </c>
      <c r="M196" s="175">
        <v>0</v>
      </c>
      <c r="N196" s="173">
        <v>0</v>
      </c>
      <c r="O196" s="152">
        <f t="shared" si="15"/>
        <v>454154</v>
      </c>
      <c r="P196" s="3">
        <f t="shared" si="16"/>
        <v>297978</v>
      </c>
      <c r="Q196" s="3">
        <f t="shared" si="17"/>
        <v>118912</v>
      </c>
      <c r="R196" s="3">
        <f t="shared" si="18"/>
        <v>22333</v>
      </c>
      <c r="S196" s="3">
        <f t="shared" si="19"/>
        <v>156733</v>
      </c>
      <c r="T196" s="3">
        <f t="shared" si="20"/>
        <v>0</v>
      </c>
      <c r="U196" s="3">
        <f>IF($A$5=1,IF($P196=0,0,ROUND(Q196/$P196*$E196,2)),Credits!D196)+Credits!J196</f>
        <v>6906.1900000000005</v>
      </c>
      <c r="V196" s="3">
        <f>IF($A$5=1,IF($P196=0,0,ROUND(R196/$P196*$E196,2)),Credits!E196)+Credits!K196</f>
        <v>1141.98</v>
      </c>
      <c r="W196" s="3">
        <f>IF($A$5=1,IF($P196=0,0,ROUND(S196/$P196*$E196,2)),Credits!F196)+Credits!L196</f>
        <v>8777.9</v>
      </c>
      <c r="X196" s="3">
        <f>IF($A$5=1,IF($P196=0,0,ROUND(T196/$P196*$E196,2)),Credits!G196)+Credits!M196</f>
        <v>0</v>
      </c>
      <c r="Y196" s="3">
        <f t="shared" si="21"/>
        <v>16826.07</v>
      </c>
    </row>
    <row r="197" spans="1:25" ht="15" x14ac:dyDescent="0.25">
      <c r="A197" s="5">
        <v>628</v>
      </c>
      <c r="B197" s="5">
        <v>1</v>
      </c>
      <c r="C197" s="2" t="s">
        <v>193</v>
      </c>
      <c r="D197" s="3">
        <v>11817.37</v>
      </c>
      <c r="E197" s="3">
        <v>10565.119999999999</v>
      </c>
      <c r="F197" s="173">
        <v>217309</v>
      </c>
      <c r="G197" s="173">
        <v>12194</v>
      </c>
      <c r="H197" s="173">
        <v>0</v>
      </c>
      <c r="I197" s="173">
        <v>40483</v>
      </c>
      <c r="J197" s="174">
        <v>31014</v>
      </c>
      <c r="K197" s="173">
        <v>0</v>
      </c>
      <c r="L197" s="173">
        <v>165860</v>
      </c>
      <c r="M197" s="175">
        <v>0</v>
      </c>
      <c r="N197" s="173">
        <v>0</v>
      </c>
      <c r="O197" s="152">
        <f t="shared" si="15"/>
        <v>466860</v>
      </c>
      <c r="P197" s="3">
        <f t="shared" si="16"/>
        <v>237357</v>
      </c>
      <c r="Q197" s="3">
        <f t="shared" si="17"/>
        <v>40483</v>
      </c>
      <c r="R197" s="3">
        <f t="shared" si="18"/>
        <v>31014</v>
      </c>
      <c r="S197" s="3">
        <f t="shared" si="19"/>
        <v>165860</v>
      </c>
      <c r="T197" s="3">
        <f t="shared" si="20"/>
        <v>0</v>
      </c>
      <c r="U197" s="3">
        <f>IF($A$5=1,IF($P197=0,0,ROUND(Q197/$P197*$E197,2)),Credits!D197)+Credits!J197</f>
        <v>1776.8899999999999</v>
      </c>
      <c r="V197" s="3">
        <f>IF($A$5=1,IF($P197=0,0,ROUND(R197/$P197*$E197,2)),Credits!E197)+Credits!K197</f>
        <v>1361.58</v>
      </c>
      <c r="W197" s="3">
        <f>IF($A$5=1,IF($P197=0,0,ROUND(S197/$P197*$E197,2)),Credits!F197)+Credits!L197</f>
        <v>7281.76</v>
      </c>
      <c r="X197" s="3">
        <f>IF($A$5=1,IF($P197=0,0,ROUND(T197/$P197*$E197,2)),Credits!G197)+Credits!M197</f>
        <v>0</v>
      </c>
      <c r="Y197" s="3">
        <f t="shared" si="21"/>
        <v>10420.23</v>
      </c>
    </row>
    <row r="198" spans="1:25" ht="15" x14ac:dyDescent="0.25">
      <c r="A198" s="5">
        <v>630</v>
      </c>
      <c r="B198" s="5">
        <v>1</v>
      </c>
      <c r="C198" s="2" t="s">
        <v>194</v>
      </c>
      <c r="D198" s="3">
        <v>98752.48</v>
      </c>
      <c r="E198" s="3">
        <v>100522.6</v>
      </c>
      <c r="F198" s="173">
        <v>309490</v>
      </c>
      <c r="G198" s="173">
        <v>8904</v>
      </c>
      <c r="H198" s="173">
        <v>0</v>
      </c>
      <c r="I198" s="173">
        <v>128061</v>
      </c>
      <c r="J198" s="174">
        <v>19080</v>
      </c>
      <c r="K198" s="173">
        <v>396852</v>
      </c>
      <c r="L198" s="173">
        <v>0</v>
      </c>
      <c r="M198" s="175">
        <v>0</v>
      </c>
      <c r="N198" s="173">
        <v>0</v>
      </c>
      <c r="O198" s="152">
        <f t="shared" si="15"/>
        <v>862387</v>
      </c>
      <c r="P198" s="3">
        <f t="shared" si="16"/>
        <v>543993</v>
      </c>
      <c r="Q198" s="3">
        <f t="shared" si="17"/>
        <v>128061</v>
      </c>
      <c r="R198" s="3">
        <f t="shared" si="18"/>
        <v>19080</v>
      </c>
      <c r="S198" s="3">
        <f t="shared" si="19"/>
        <v>396852</v>
      </c>
      <c r="T198" s="3">
        <f t="shared" si="20"/>
        <v>0</v>
      </c>
      <c r="U198" s="3">
        <f>IF($A$5=1,IF($P198=0,0,ROUND(Q198/$P198*$E198,2)),Credits!D198)+Credits!J198</f>
        <v>13882.58</v>
      </c>
      <c r="V198" s="3">
        <f>IF($A$5=1,IF($P198=0,0,ROUND(R198/$P198*$E198,2)),Credits!E198)+Credits!K198</f>
        <v>2051.1999999999998</v>
      </c>
      <c r="W198" s="3">
        <f>IF($A$5=1,IF($P198=0,0,ROUND(S198/$P198*$E198,2)),Credits!F198)+Credits!L198</f>
        <v>43037.47</v>
      </c>
      <c r="X198" s="3">
        <f>IF($A$5=1,IF($P198=0,0,ROUND(T198/$P198*$E198,2)),Credits!G198)+Credits!M198</f>
        <v>0</v>
      </c>
      <c r="Y198" s="3">
        <f t="shared" si="21"/>
        <v>58971.25</v>
      </c>
    </row>
    <row r="199" spans="1:25" ht="15" x14ac:dyDescent="0.25">
      <c r="A199" s="5">
        <v>635</v>
      </c>
      <c r="B199" s="5">
        <v>1</v>
      </c>
      <c r="C199" s="2" t="s">
        <v>195</v>
      </c>
      <c r="D199" s="3">
        <v>7804.09</v>
      </c>
      <c r="E199" s="3">
        <v>7277.04</v>
      </c>
      <c r="F199" s="173">
        <v>142301</v>
      </c>
      <c r="G199" s="173">
        <v>4724</v>
      </c>
      <c r="H199" s="173">
        <v>0</v>
      </c>
      <c r="I199" s="173">
        <v>45660</v>
      </c>
      <c r="J199" s="174">
        <v>14307</v>
      </c>
      <c r="K199" s="173">
        <v>0</v>
      </c>
      <c r="L199" s="173">
        <v>0</v>
      </c>
      <c r="M199" s="175">
        <v>0</v>
      </c>
      <c r="N199" s="173">
        <v>0</v>
      </c>
      <c r="O199" s="152">
        <f t="shared" si="15"/>
        <v>206992</v>
      </c>
      <c r="P199" s="3">
        <f t="shared" si="16"/>
        <v>59967</v>
      </c>
      <c r="Q199" s="3">
        <f t="shared" si="17"/>
        <v>45660</v>
      </c>
      <c r="R199" s="3">
        <f t="shared" si="18"/>
        <v>14307</v>
      </c>
      <c r="S199" s="3">
        <f t="shared" si="19"/>
        <v>0</v>
      </c>
      <c r="T199" s="3">
        <f t="shared" si="20"/>
        <v>0</v>
      </c>
      <c r="U199" s="3">
        <f>IF($A$5=1,IF($P199=0,0,ROUND(Q199/$P199*$E199,2)),Credits!D199)+Credits!J199</f>
        <v>1226.52</v>
      </c>
      <c r="V199" s="3">
        <f>IF($A$5=1,IF($P199=0,0,ROUND(R199/$P199*$E199,2)),Credits!E199)+Credits!K199</f>
        <v>384.31</v>
      </c>
      <c r="W199" s="3">
        <f>IF($A$5=1,IF($P199=0,0,ROUND(S199/$P199*$E199,2)),Credits!F199)+Credits!L199</f>
        <v>0</v>
      </c>
      <c r="X199" s="3">
        <f>IF($A$5=1,IF($P199=0,0,ROUND(T199/$P199*$E199,2)),Credits!G199)+Credits!M199</f>
        <v>0</v>
      </c>
      <c r="Y199" s="3">
        <f t="shared" si="21"/>
        <v>1610.83</v>
      </c>
    </row>
    <row r="200" spans="1:25" ht="15" x14ac:dyDescent="0.25">
      <c r="A200" s="5">
        <v>640</v>
      </c>
      <c r="B200" s="5">
        <v>1</v>
      </c>
      <c r="C200" s="2" t="s">
        <v>196</v>
      </c>
      <c r="D200" s="3">
        <v>43995.490000000005</v>
      </c>
      <c r="E200" s="3">
        <v>45772.7</v>
      </c>
      <c r="F200" s="173">
        <v>218561</v>
      </c>
      <c r="G200" s="173">
        <v>23277</v>
      </c>
      <c r="H200" s="173">
        <v>0</v>
      </c>
      <c r="I200" s="173">
        <v>220385</v>
      </c>
      <c r="J200" s="174">
        <v>41405</v>
      </c>
      <c r="K200" s="173">
        <v>318598</v>
      </c>
      <c r="L200" s="173">
        <v>0</v>
      </c>
      <c r="M200" s="175">
        <v>0</v>
      </c>
      <c r="N200" s="173">
        <v>0</v>
      </c>
      <c r="O200" s="152">
        <f t="shared" si="15"/>
        <v>822226</v>
      </c>
      <c r="P200" s="3">
        <f t="shared" si="16"/>
        <v>580388</v>
      </c>
      <c r="Q200" s="3">
        <f t="shared" si="17"/>
        <v>220385</v>
      </c>
      <c r="R200" s="3">
        <f t="shared" si="18"/>
        <v>41405</v>
      </c>
      <c r="S200" s="3">
        <f t="shared" si="19"/>
        <v>318598</v>
      </c>
      <c r="T200" s="3">
        <f t="shared" si="20"/>
        <v>0</v>
      </c>
      <c r="U200" s="3">
        <f>IF($A$5=1,IF($P200=0,0,ROUND(Q200/$P200*$E200,2)),Credits!D200)+Credits!J200</f>
        <v>7936.68</v>
      </c>
      <c r="V200" s="3">
        <f>IF($A$5=1,IF($P200=0,0,ROUND(R200/$P200*$E200,2)),Credits!E200)+Credits!K200</f>
        <v>1491.6</v>
      </c>
      <c r="W200" s="3">
        <f>IF($A$5=1,IF($P200=0,0,ROUND(S200/$P200*$E200,2)),Credits!F200)+Credits!L200</f>
        <v>11438.720000000001</v>
      </c>
      <c r="X200" s="3">
        <f>IF($A$5=1,IF($P200=0,0,ROUND(T200/$P200*$E200,2)),Credits!G200)+Credits!M200</f>
        <v>0</v>
      </c>
      <c r="Y200" s="3">
        <f t="shared" si="21"/>
        <v>20867</v>
      </c>
    </row>
    <row r="201" spans="1:25" ht="15" x14ac:dyDescent="0.25">
      <c r="A201" s="5">
        <v>656</v>
      </c>
      <c r="B201" s="5">
        <v>1</v>
      </c>
      <c r="C201" s="2" t="s">
        <v>197</v>
      </c>
      <c r="D201" s="3">
        <v>473133.8</v>
      </c>
      <c r="E201" s="3">
        <v>538653.26</v>
      </c>
      <c r="F201" s="173">
        <v>1640663.91</v>
      </c>
      <c r="G201" s="173">
        <v>396011.63</v>
      </c>
      <c r="H201" s="173">
        <v>0</v>
      </c>
      <c r="I201" s="173">
        <v>1259945.5900000001</v>
      </c>
      <c r="J201" s="174">
        <v>367778.34</v>
      </c>
      <c r="K201" s="173">
        <v>3725499.41</v>
      </c>
      <c r="L201" s="173">
        <v>1352627.66</v>
      </c>
      <c r="M201" s="175">
        <v>0</v>
      </c>
      <c r="N201" s="173">
        <v>0</v>
      </c>
      <c r="O201" s="152">
        <f t="shared" ref="O201:O264" si="22">SUM(F201:N201)</f>
        <v>8742526.5399999991</v>
      </c>
      <c r="P201" s="3">
        <f t="shared" ref="P201:P264" si="23">SUM(H201:N201)</f>
        <v>6705851</v>
      </c>
      <c r="Q201" s="3">
        <f t="shared" ref="Q201:Q264" si="24">SUM(H201:I201)</f>
        <v>1259945.5900000001</v>
      </c>
      <c r="R201" s="3">
        <f t="shared" ref="R201:R264" si="25">J201</f>
        <v>367778.34</v>
      </c>
      <c r="S201" s="3">
        <f t="shared" ref="S201:S264" si="26">K201+L201</f>
        <v>5078127.07</v>
      </c>
      <c r="T201" s="3">
        <f t="shared" ref="T201:T264" si="27">N201+M201</f>
        <v>0</v>
      </c>
      <c r="U201" s="3">
        <f>IF($A$5=1,IF($P201=0,0,ROUND(Q201/$P201*$E201,2)),Credits!D201)+Credits!J201</f>
        <v>11240.919999999998</v>
      </c>
      <c r="V201" s="3">
        <f>IF($A$5=1,IF($P201=0,0,ROUND(R201/$P201*$E201,2)),Credits!E201)+Credits!K201</f>
        <v>4023.4100000000003</v>
      </c>
      <c r="W201" s="3">
        <f>IF($A$5=1,IF($P201=0,0,ROUND(S201/$P201*$E201,2)),Credits!F201)+Credits!L201</f>
        <v>54442</v>
      </c>
      <c r="X201" s="3">
        <f>IF($A$5=1,IF($P201=0,0,ROUND(T201/$P201*$E201,2)),Credits!G201)+Credits!M201</f>
        <v>0</v>
      </c>
      <c r="Y201" s="3">
        <f t="shared" ref="Y201:Y264" si="28">SUM(U201:X201)</f>
        <v>69706.33</v>
      </c>
    </row>
    <row r="202" spans="1:25" ht="15" x14ac:dyDescent="0.25">
      <c r="A202" s="5">
        <v>659</v>
      </c>
      <c r="B202" s="5">
        <v>1</v>
      </c>
      <c r="C202" s="2" t="s">
        <v>198</v>
      </c>
      <c r="D202" s="3">
        <v>432480.66000000003</v>
      </c>
      <c r="E202" s="3">
        <v>481951.48</v>
      </c>
      <c r="F202" s="173">
        <v>6826632.5</v>
      </c>
      <c r="G202" s="173">
        <v>294547.33</v>
      </c>
      <c r="H202" s="173">
        <v>750000</v>
      </c>
      <c r="I202" s="173">
        <v>1095968.8700000001</v>
      </c>
      <c r="J202" s="174">
        <v>422929.82</v>
      </c>
      <c r="K202" s="173">
        <v>4463629.66</v>
      </c>
      <c r="L202" s="173">
        <v>1336259.04</v>
      </c>
      <c r="M202" s="175">
        <v>0</v>
      </c>
      <c r="N202" s="173">
        <v>0</v>
      </c>
      <c r="O202" s="152">
        <f t="shared" si="22"/>
        <v>15189967.219999999</v>
      </c>
      <c r="P202" s="3">
        <f t="shared" si="23"/>
        <v>8068787.3899999997</v>
      </c>
      <c r="Q202" s="3">
        <f t="shared" si="24"/>
        <v>1845968.87</v>
      </c>
      <c r="R202" s="3">
        <f t="shared" si="25"/>
        <v>422929.82</v>
      </c>
      <c r="S202" s="3">
        <f t="shared" si="26"/>
        <v>5799888.7000000002</v>
      </c>
      <c r="T202" s="3">
        <f t="shared" si="27"/>
        <v>0</v>
      </c>
      <c r="U202" s="3">
        <f>IF($A$5=1,IF($P202=0,0,ROUND(Q202/$P202*$E202,2)),Credits!D202)+Credits!J202</f>
        <v>16254.49</v>
      </c>
      <c r="V202" s="3">
        <f>IF($A$5=1,IF($P202=0,0,ROUND(R202/$P202*$E202,2)),Credits!E202)+Credits!K202</f>
        <v>4104.72</v>
      </c>
      <c r="W202" s="3">
        <f>IF($A$5=1,IF($P202=0,0,ROUND(S202/$P202*$E202,2)),Credits!F202)+Credits!L202</f>
        <v>55800.46</v>
      </c>
      <c r="X202" s="3">
        <f>IF($A$5=1,IF($P202=0,0,ROUND(T202/$P202*$E202,2)),Credits!G202)+Credits!M202</f>
        <v>0</v>
      </c>
      <c r="Y202" s="3">
        <f t="shared" si="28"/>
        <v>76159.67</v>
      </c>
    </row>
    <row r="203" spans="1:25" ht="15" x14ac:dyDescent="0.25">
      <c r="A203" s="5">
        <v>671</v>
      </c>
      <c r="B203" s="5">
        <v>1</v>
      </c>
      <c r="C203" s="2" t="s">
        <v>199</v>
      </c>
      <c r="D203" s="3">
        <v>34988.1</v>
      </c>
      <c r="E203" s="3">
        <v>69076.62</v>
      </c>
      <c r="F203" s="173">
        <v>173475.78</v>
      </c>
      <c r="G203" s="173">
        <v>13339.62</v>
      </c>
      <c r="H203" s="173">
        <v>0</v>
      </c>
      <c r="I203" s="173">
        <v>175476.67</v>
      </c>
      <c r="J203" s="174">
        <v>25340.38</v>
      </c>
      <c r="K203" s="173">
        <v>720177</v>
      </c>
      <c r="L203" s="173">
        <v>0</v>
      </c>
      <c r="M203" s="175">
        <v>0</v>
      </c>
      <c r="N203" s="173">
        <v>0</v>
      </c>
      <c r="O203" s="152">
        <f t="shared" si="22"/>
        <v>1107809.45</v>
      </c>
      <c r="P203" s="3">
        <f t="shared" si="23"/>
        <v>920994.05</v>
      </c>
      <c r="Q203" s="3">
        <f t="shared" si="24"/>
        <v>175476.67</v>
      </c>
      <c r="R203" s="3">
        <f t="shared" si="25"/>
        <v>25340.38</v>
      </c>
      <c r="S203" s="3">
        <f t="shared" si="26"/>
        <v>720177</v>
      </c>
      <c r="T203" s="3">
        <f t="shared" si="27"/>
        <v>0</v>
      </c>
      <c r="U203" s="3">
        <f>IF($A$5=1,IF($P203=0,0,ROUND(Q203/$P203*$E203,2)),Credits!D203)+Credits!J203</f>
        <v>4900.37</v>
      </c>
      <c r="V203" s="3">
        <f>IF($A$5=1,IF($P203=0,0,ROUND(R203/$P203*$E203,2)),Credits!E203)+Credits!K203</f>
        <v>707.94</v>
      </c>
      <c r="W203" s="3">
        <f>IF($A$5=1,IF($P203=0,0,ROUND(S203/$P203*$E203,2)),Credits!F203)+Credits!L203</f>
        <v>20113.64</v>
      </c>
      <c r="X203" s="3">
        <f>IF($A$5=1,IF($P203=0,0,ROUND(T203/$P203*$E203,2)),Credits!G203)+Credits!M203</f>
        <v>0</v>
      </c>
      <c r="Y203" s="3">
        <f t="shared" si="28"/>
        <v>25721.949999999997</v>
      </c>
    </row>
    <row r="204" spans="1:25" ht="15" x14ac:dyDescent="0.25">
      <c r="A204" s="5">
        <v>676</v>
      </c>
      <c r="B204" s="5">
        <v>1</v>
      </c>
      <c r="C204" s="2" t="s">
        <v>200</v>
      </c>
      <c r="D204" s="3">
        <v>15295.259999999998</v>
      </c>
      <c r="E204" s="3">
        <v>24417.040000000001</v>
      </c>
      <c r="F204" s="173">
        <v>212821</v>
      </c>
      <c r="G204" s="173">
        <v>6050</v>
      </c>
      <c r="H204" s="173">
        <v>36057</v>
      </c>
      <c r="I204" s="173">
        <v>48272</v>
      </c>
      <c r="J204" s="174">
        <v>9057</v>
      </c>
      <c r="K204" s="173">
        <v>0</v>
      </c>
      <c r="L204" s="173">
        <v>0</v>
      </c>
      <c r="M204" s="175">
        <v>0</v>
      </c>
      <c r="N204" s="173">
        <v>0</v>
      </c>
      <c r="O204" s="152">
        <f t="shared" si="22"/>
        <v>312257</v>
      </c>
      <c r="P204" s="3">
        <f t="shared" si="23"/>
        <v>93386</v>
      </c>
      <c r="Q204" s="3">
        <f t="shared" si="24"/>
        <v>84329</v>
      </c>
      <c r="R204" s="3">
        <f t="shared" si="25"/>
        <v>9057</v>
      </c>
      <c r="S204" s="3">
        <f t="shared" si="26"/>
        <v>0</v>
      </c>
      <c r="T204" s="3">
        <f t="shared" si="27"/>
        <v>0</v>
      </c>
      <c r="U204" s="3">
        <f>IF($A$5=1,IF($P204=0,0,ROUND(Q204/$P204*$E204,2)),Credits!D204)+Credits!J204</f>
        <v>4442.4000000000005</v>
      </c>
      <c r="V204" s="3">
        <f>IF($A$5=1,IF($P204=0,0,ROUND(R204/$P204*$E204,2)),Credits!E204)+Credits!K204</f>
        <v>477.02</v>
      </c>
      <c r="W204" s="3">
        <f>IF($A$5=1,IF($P204=0,0,ROUND(S204/$P204*$E204,2)),Credits!F204)+Credits!L204</f>
        <v>0</v>
      </c>
      <c r="X204" s="3">
        <f>IF($A$5=1,IF($P204=0,0,ROUND(T204/$P204*$E204,2)),Credits!G204)+Credits!M204</f>
        <v>0</v>
      </c>
      <c r="Y204" s="3">
        <f t="shared" si="28"/>
        <v>4919.42</v>
      </c>
    </row>
    <row r="205" spans="1:25" ht="15" x14ac:dyDescent="0.25">
      <c r="A205" s="5">
        <v>682</v>
      </c>
      <c r="B205" s="5">
        <v>1</v>
      </c>
      <c r="C205" s="2" t="s">
        <v>201</v>
      </c>
      <c r="D205" s="3">
        <v>201082.10000000003</v>
      </c>
      <c r="E205" s="3">
        <v>240145.77</v>
      </c>
      <c r="F205" s="173">
        <v>427611</v>
      </c>
      <c r="G205" s="173">
        <v>60617</v>
      </c>
      <c r="H205" s="173">
        <v>0</v>
      </c>
      <c r="I205" s="173">
        <v>419488</v>
      </c>
      <c r="J205" s="174">
        <v>75567</v>
      </c>
      <c r="K205" s="173">
        <v>1255143</v>
      </c>
      <c r="L205" s="173">
        <v>0</v>
      </c>
      <c r="M205" s="175">
        <v>0</v>
      </c>
      <c r="N205" s="173">
        <v>0</v>
      </c>
      <c r="O205" s="152">
        <f t="shared" si="22"/>
        <v>2238426</v>
      </c>
      <c r="P205" s="3">
        <f t="shared" si="23"/>
        <v>1750198</v>
      </c>
      <c r="Q205" s="3">
        <f t="shared" si="24"/>
        <v>419488</v>
      </c>
      <c r="R205" s="3">
        <f t="shared" si="25"/>
        <v>75567</v>
      </c>
      <c r="S205" s="3">
        <f t="shared" si="26"/>
        <v>1255143</v>
      </c>
      <c r="T205" s="3">
        <f t="shared" si="27"/>
        <v>0</v>
      </c>
      <c r="U205" s="3">
        <f>IF($A$5=1,IF($P205=0,0,ROUND(Q205/$P205*$E205,2)),Credits!D205)+Credits!J205</f>
        <v>9765.630000000001</v>
      </c>
      <c r="V205" s="3">
        <f>IF($A$5=1,IF($P205=0,0,ROUND(R205/$P205*$E205,2)),Credits!E205)+Credits!K205</f>
        <v>1904.1499999999999</v>
      </c>
      <c r="W205" s="3">
        <f>IF($A$5=1,IF($P205=0,0,ROUND(S205/$P205*$E205,2)),Credits!F205)+Credits!L205</f>
        <v>31547.840000000004</v>
      </c>
      <c r="X205" s="3">
        <f>IF($A$5=1,IF($P205=0,0,ROUND(T205/$P205*$E205,2)),Credits!G205)+Credits!M205</f>
        <v>0</v>
      </c>
      <c r="Y205" s="3">
        <f t="shared" si="28"/>
        <v>43217.62</v>
      </c>
    </row>
    <row r="206" spans="1:25" ht="15" x14ac:dyDescent="0.25">
      <c r="A206" s="5">
        <v>690</v>
      </c>
      <c r="B206" s="5">
        <v>1</v>
      </c>
      <c r="C206" s="2" t="s">
        <v>202</v>
      </c>
      <c r="D206" s="3">
        <v>166339.52000000002</v>
      </c>
      <c r="E206" s="3">
        <v>180618.58000000002</v>
      </c>
      <c r="F206" s="173">
        <v>329244</v>
      </c>
      <c r="G206" s="173">
        <v>61219</v>
      </c>
      <c r="H206" s="173">
        <v>0</v>
      </c>
      <c r="I206" s="173">
        <v>522193</v>
      </c>
      <c r="J206" s="174">
        <v>77619</v>
      </c>
      <c r="K206" s="173">
        <v>1100521</v>
      </c>
      <c r="L206" s="173">
        <v>0</v>
      </c>
      <c r="M206" s="175">
        <v>0</v>
      </c>
      <c r="N206" s="173">
        <v>117320</v>
      </c>
      <c r="O206" s="152">
        <f t="shared" si="22"/>
        <v>2208116</v>
      </c>
      <c r="P206" s="3">
        <f t="shared" si="23"/>
        <v>1817653</v>
      </c>
      <c r="Q206" s="3">
        <f t="shared" si="24"/>
        <v>522193</v>
      </c>
      <c r="R206" s="3">
        <f t="shared" si="25"/>
        <v>77619</v>
      </c>
      <c r="S206" s="3">
        <f t="shared" si="26"/>
        <v>1100521</v>
      </c>
      <c r="T206" s="3">
        <f t="shared" si="27"/>
        <v>117320</v>
      </c>
      <c r="U206" s="3">
        <f>IF($A$5=1,IF($P206=0,0,ROUND(Q206/$P206*$E206,2)),Credits!D206)+Credits!J206</f>
        <v>4688.45</v>
      </c>
      <c r="V206" s="3">
        <f>IF($A$5=1,IF($P206=0,0,ROUND(R206/$P206*$E206,2)),Credits!E206)+Credits!K206</f>
        <v>751.16000000000008</v>
      </c>
      <c r="W206" s="3">
        <f>IF($A$5=1,IF($P206=0,0,ROUND(S206/$P206*$E206,2)),Credits!F206)+Credits!L206</f>
        <v>10649.86</v>
      </c>
      <c r="X206" s="3">
        <f>IF($A$5=1,IF($P206=0,0,ROUND(T206/$P206*$E206,2)),Credits!G206)+Credits!M206</f>
        <v>1135.3699999999999</v>
      </c>
      <c r="Y206" s="3">
        <f t="shared" si="28"/>
        <v>17224.84</v>
      </c>
    </row>
    <row r="207" spans="1:25" ht="15" x14ac:dyDescent="0.25">
      <c r="A207" s="5">
        <v>695</v>
      </c>
      <c r="B207" s="5">
        <v>1</v>
      </c>
      <c r="C207" s="2" t="s">
        <v>203</v>
      </c>
      <c r="D207" s="3">
        <v>271053.32</v>
      </c>
      <c r="E207" s="3">
        <v>208790.94</v>
      </c>
      <c r="F207" s="173">
        <v>399541.36</v>
      </c>
      <c r="G207" s="173">
        <v>32766.86</v>
      </c>
      <c r="H207" s="173">
        <v>0</v>
      </c>
      <c r="I207" s="173">
        <v>103292.78</v>
      </c>
      <c r="J207" s="174">
        <v>0</v>
      </c>
      <c r="K207" s="173">
        <v>273668.59000000003</v>
      </c>
      <c r="L207" s="173">
        <v>0</v>
      </c>
      <c r="M207" s="175">
        <v>0</v>
      </c>
      <c r="N207" s="173">
        <v>553138</v>
      </c>
      <c r="O207" s="152">
        <f t="shared" si="22"/>
        <v>1362407.59</v>
      </c>
      <c r="P207" s="3">
        <f t="shared" si="23"/>
        <v>930099.37</v>
      </c>
      <c r="Q207" s="3">
        <f t="shared" si="24"/>
        <v>103292.78</v>
      </c>
      <c r="R207" s="3">
        <f t="shared" si="25"/>
        <v>0</v>
      </c>
      <c r="S207" s="3">
        <f t="shared" si="26"/>
        <v>273668.59000000003</v>
      </c>
      <c r="T207" s="3">
        <f t="shared" si="27"/>
        <v>553138</v>
      </c>
      <c r="U207" s="3">
        <f>IF($A$5=1,IF($P207=0,0,ROUND(Q207/$P207*$E207,2)),Credits!D207)+Credits!J207</f>
        <v>28278.6</v>
      </c>
      <c r="V207" s="3">
        <f>IF($A$5=1,IF($P207=0,0,ROUND(R207/$P207*$E207,2)),Credits!E207)+Credits!K207</f>
        <v>0</v>
      </c>
      <c r="W207" s="3">
        <f>IF($A$5=1,IF($P207=0,0,ROUND(S207/$P207*$E207,2)),Credits!F207)+Credits!L207</f>
        <v>152162.08000000002</v>
      </c>
      <c r="X207" s="3">
        <f>IF($A$5=1,IF($P207=0,0,ROUND(T207/$P207*$E207,2)),Credits!G207)+Credits!M207</f>
        <v>72658.509999999995</v>
      </c>
      <c r="Y207" s="3">
        <f t="shared" si="28"/>
        <v>253099.19</v>
      </c>
    </row>
    <row r="208" spans="1:25" ht="15" x14ac:dyDescent="0.25">
      <c r="A208" s="5">
        <v>696</v>
      </c>
      <c r="B208" s="5">
        <v>1</v>
      </c>
      <c r="C208" s="2" t="s">
        <v>204</v>
      </c>
      <c r="D208" s="3">
        <v>132692.77000000002</v>
      </c>
      <c r="E208" s="3">
        <v>114041.22</v>
      </c>
      <c r="F208" s="173">
        <v>546331.91</v>
      </c>
      <c r="G208" s="173">
        <v>64572.72</v>
      </c>
      <c r="H208" s="173">
        <v>0</v>
      </c>
      <c r="I208" s="173">
        <v>671866.14</v>
      </c>
      <c r="J208" s="174">
        <v>8505.4599999999991</v>
      </c>
      <c r="K208" s="173">
        <v>278220.46999999997</v>
      </c>
      <c r="L208" s="173">
        <v>170282</v>
      </c>
      <c r="M208" s="175">
        <v>0</v>
      </c>
      <c r="N208" s="173">
        <v>0</v>
      </c>
      <c r="O208" s="152">
        <f t="shared" si="22"/>
        <v>1739778.7</v>
      </c>
      <c r="P208" s="3">
        <f t="shared" si="23"/>
        <v>1128874.0699999998</v>
      </c>
      <c r="Q208" s="3">
        <f t="shared" si="24"/>
        <v>671866.14</v>
      </c>
      <c r="R208" s="3">
        <f t="shared" si="25"/>
        <v>8505.4599999999991</v>
      </c>
      <c r="S208" s="3">
        <f t="shared" si="26"/>
        <v>448502.47</v>
      </c>
      <c r="T208" s="3">
        <f t="shared" si="27"/>
        <v>0</v>
      </c>
      <c r="U208" s="3">
        <f>IF($A$5=1,IF($P208=0,0,ROUND(Q208/$P208*$E208,2)),Credits!D208)+Credits!J208</f>
        <v>79518.06</v>
      </c>
      <c r="V208" s="3">
        <f>IF($A$5=1,IF($P208=0,0,ROUND(R208/$P208*$E208,2)),Credits!E208)+Credits!K208</f>
        <v>1009.1200000000001</v>
      </c>
      <c r="W208" s="3">
        <f>IF($A$5=1,IF($P208=0,0,ROUND(S208/$P208*$E208,2)),Credits!F208)+Credits!L208</f>
        <v>53082.39</v>
      </c>
      <c r="X208" s="3">
        <f>IF($A$5=1,IF($P208=0,0,ROUND(T208/$P208*$E208,2)),Credits!G208)+Credits!M208</f>
        <v>0</v>
      </c>
      <c r="Y208" s="3">
        <f t="shared" si="28"/>
        <v>133609.57</v>
      </c>
    </row>
    <row r="209" spans="1:25" ht="15" x14ac:dyDescent="0.25">
      <c r="A209" s="5">
        <v>698</v>
      </c>
      <c r="B209" s="5">
        <v>1</v>
      </c>
      <c r="C209" s="2" t="s">
        <v>205</v>
      </c>
      <c r="D209" s="3">
        <v>115973.70000000001</v>
      </c>
      <c r="E209" s="3">
        <v>62913.06</v>
      </c>
      <c r="F209" s="173">
        <v>0</v>
      </c>
      <c r="G209" s="173">
        <v>46645.81</v>
      </c>
      <c r="H209" s="173">
        <v>0</v>
      </c>
      <c r="I209" s="173">
        <v>190271.64</v>
      </c>
      <c r="J209" s="174">
        <v>22105.279999999999</v>
      </c>
      <c r="K209" s="173">
        <v>919549.11</v>
      </c>
      <c r="L209" s="173">
        <v>0</v>
      </c>
      <c r="M209" s="175">
        <v>0</v>
      </c>
      <c r="N209" s="173">
        <v>0</v>
      </c>
      <c r="O209" s="152">
        <f t="shared" si="22"/>
        <v>1178571.8400000001</v>
      </c>
      <c r="P209" s="3">
        <f t="shared" si="23"/>
        <v>1131926.03</v>
      </c>
      <c r="Q209" s="3">
        <f t="shared" si="24"/>
        <v>190271.64</v>
      </c>
      <c r="R209" s="3">
        <f t="shared" si="25"/>
        <v>22105.279999999999</v>
      </c>
      <c r="S209" s="3">
        <f t="shared" si="26"/>
        <v>919549.11</v>
      </c>
      <c r="T209" s="3">
        <f t="shared" si="27"/>
        <v>0</v>
      </c>
      <c r="U209" s="3">
        <f>IF($A$5=1,IF($P209=0,0,ROUND(Q209/$P209*$E209,2)),Credits!D209)+Credits!J209</f>
        <v>10231.65</v>
      </c>
      <c r="V209" s="3">
        <f>IF($A$5=1,IF($P209=0,0,ROUND(R209/$P209*$E209,2)),Credits!E209)+Credits!K209</f>
        <v>1173.5</v>
      </c>
      <c r="W209" s="3">
        <f>IF($A$5=1,IF($P209=0,0,ROUND(S209/$P209*$E209,2)),Credits!F209)+Credits!L209</f>
        <v>48838.149999999994</v>
      </c>
      <c r="X209" s="3">
        <f>IF($A$5=1,IF($P209=0,0,ROUND(T209/$P209*$E209,2)),Credits!G209)+Credits!M209</f>
        <v>0</v>
      </c>
      <c r="Y209" s="3">
        <f t="shared" si="28"/>
        <v>60243.299999999996</v>
      </c>
    </row>
    <row r="210" spans="1:25" ht="15" x14ac:dyDescent="0.25">
      <c r="A210" s="5">
        <v>700</v>
      </c>
      <c r="B210" s="5">
        <v>1</v>
      </c>
      <c r="C210" s="2" t="s">
        <v>206</v>
      </c>
      <c r="D210" s="3">
        <v>136246.44</v>
      </c>
      <c r="E210" s="3">
        <v>144864.28999999998</v>
      </c>
      <c r="F210" s="173">
        <v>2053.77</v>
      </c>
      <c r="G210" s="173">
        <v>424142.21</v>
      </c>
      <c r="H210" s="173">
        <v>0</v>
      </c>
      <c r="I210" s="173">
        <v>880740.71</v>
      </c>
      <c r="J210" s="174">
        <v>158927.12</v>
      </c>
      <c r="K210" s="173">
        <v>671986.68</v>
      </c>
      <c r="L210" s="173">
        <v>0</v>
      </c>
      <c r="M210" s="175">
        <v>0</v>
      </c>
      <c r="N210" s="173">
        <v>0</v>
      </c>
      <c r="O210" s="152">
        <f t="shared" si="22"/>
        <v>2137850.4900000002</v>
      </c>
      <c r="P210" s="3">
        <f t="shared" si="23"/>
        <v>1711654.51</v>
      </c>
      <c r="Q210" s="3">
        <f t="shared" si="24"/>
        <v>880740.71</v>
      </c>
      <c r="R210" s="3">
        <f t="shared" si="25"/>
        <v>158927.12</v>
      </c>
      <c r="S210" s="3">
        <f t="shared" si="26"/>
        <v>671986.68</v>
      </c>
      <c r="T210" s="3">
        <f t="shared" si="27"/>
        <v>0</v>
      </c>
      <c r="U210" s="3">
        <f>IF($A$5=1,IF($P210=0,0,ROUND(Q210/$P210*$E210,2)),Credits!D210)+Credits!J210</f>
        <v>40772.500000000007</v>
      </c>
      <c r="V210" s="3">
        <f>IF($A$5=1,IF($P210=0,0,ROUND(R210/$P210*$E210,2)),Credits!E210)+Credits!K210</f>
        <v>7358.12</v>
      </c>
      <c r="W210" s="3">
        <f>IF($A$5=1,IF($P210=0,0,ROUND(S210/$P210*$E210,2)),Credits!F210)+Credits!L210</f>
        <v>31109.359999999997</v>
      </c>
      <c r="X210" s="3">
        <f>IF($A$5=1,IF($P210=0,0,ROUND(T210/$P210*$E210,2)),Credits!G210)+Credits!M210</f>
        <v>0</v>
      </c>
      <c r="Y210" s="3">
        <f t="shared" si="28"/>
        <v>79239.98000000001</v>
      </c>
    </row>
    <row r="211" spans="1:25" ht="15" x14ac:dyDescent="0.25">
      <c r="A211" s="5">
        <v>701</v>
      </c>
      <c r="B211" s="5">
        <v>1</v>
      </c>
      <c r="C211" s="2" t="s">
        <v>207</v>
      </c>
      <c r="D211" s="3">
        <v>446933.54</v>
      </c>
      <c r="E211" s="3">
        <v>456823.77</v>
      </c>
      <c r="F211" s="173">
        <v>1248731.05</v>
      </c>
      <c r="G211" s="173">
        <v>195706.36</v>
      </c>
      <c r="H211" s="173">
        <v>0</v>
      </c>
      <c r="I211" s="173">
        <v>632875.85</v>
      </c>
      <c r="J211" s="174">
        <v>0</v>
      </c>
      <c r="K211" s="173">
        <v>0</v>
      </c>
      <c r="L211" s="173">
        <v>636827.04</v>
      </c>
      <c r="M211" s="175">
        <v>0</v>
      </c>
      <c r="N211" s="173">
        <v>0</v>
      </c>
      <c r="O211" s="152">
        <f t="shared" si="22"/>
        <v>2714140.3000000003</v>
      </c>
      <c r="P211" s="3">
        <f t="shared" si="23"/>
        <v>1269702.8900000001</v>
      </c>
      <c r="Q211" s="3">
        <f t="shared" si="24"/>
        <v>632875.85</v>
      </c>
      <c r="R211" s="3">
        <f t="shared" si="25"/>
        <v>0</v>
      </c>
      <c r="S211" s="3">
        <f t="shared" si="26"/>
        <v>636827.04</v>
      </c>
      <c r="T211" s="3">
        <f t="shared" si="27"/>
        <v>0</v>
      </c>
      <c r="U211" s="3">
        <f>IF($A$5=1,IF($P211=0,0,ROUND(Q211/$P211*$E211,2)),Credits!D211)+Credits!J211</f>
        <v>250720.48000000004</v>
      </c>
      <c r="V211" s="3">
        <f>IF($A$5=1,IF($P211=0,0,ROUND(R211/$P211*$E211,2)),Credits!E211)+Credits!K211</f>
        <v>0</v>
      </c>
      <c r="W211" s="3">
        <f>IF($A$5=1,IF($P211=0,0,ROUND(S211/$P211*$E211,2)),Credits!F211)+Credits!L211</f>
        <v>251687.02</v>
      </c>
      <c r="X211" s="3">
        <f>IF($A$5=1,IF($P211=0,0,ROUND(T211/$P211*$E211,2)),Credits!G211)+Credits!M211</f>
        <v>0</v>
      </c>
      <c r="Y211" s="3">
        <f t="shared" si="28"/>
        <v>502407.5</v>
      </c>
    </row>
    <row r="212" spans="1:25" ht="15" x14ac:dyDescent="0.25">
      <c r="A212" s="5">
        <v>704</v>
      </c>
      <c r="B212" s="5">
        <v>1</v>
      </c>
      <c r="C212" s="2" t="s">
        <v>208</v>
      </c>
      <c r="D212" s="3">
        <v>282374.68</v>
      </c>
      <c r="E212" s="3">
        <v>273033.15000000002</v>
      </c>
      <c r="F212" s="173">
        <v>1901.08</v>
      </c>
      <c r="G212" s="173">
        <v>359210.57</v>
      </c>
      <c r="H212" s="173">
        <v>0</v>
      </c>
      <c r="I212" s="173">
        <v>998913.19</v>
      </c>
      <c r="J212" s="174">
        <v>144033.76999999999</v>
      </c>
      <c r="K212" s="173">
        <v>1042857.22</v>
      </c>
      <c r="L212" s="173">
        <v>0</v>
      </c>
      <c r="M212" s="175">
        <v>0</v>
      </c>
      <c r="N212" s="173">
        <v>450377</v>
      </c>
      <c r="O212" s="152">
        <f t="shared" si="22"/>
        <v>2997292.83</v>
      </c>
      <c r="P212" s="3">
        <f t="shared" si="23"/>
        <v>2636181.1799999997</v>
      </c>
      <c r="Q212" s="3">
        <f t="shared" si="24"/>
        <v>998913.19</v>
      </c>
      <c r="R212" s="3">
        <f t="shared" si="25"/>
        <v>144033.76999999999</v>
      </c>
      <c r="S212" s="3">
        <f t="shared" si="26"/>
        <v>1042857.22</v>
      </c>
      <c r="T212" s="3">
        <f t="shared" si="27"/>
        <v>450377</v>
      </c>
      <c r="U212" s="3">
        <f>IF($A$5=1,IF($P212=0,0,ROUND(Q212/$P212*$E212,2)),Credits!D212)+Credits!J212</f>
        <v>40694.620000000003</v>
      </c>
      <c r="V212" s="3">
        <f>IF($A$5=1,IF($P212=0,0,ROUND(R212/$P212*$E212,2)),Credits!E212)+Credits!K212</f>
        <v>5869.18</v>
      </c>
      <c r="W212" s="3">
        <f>IF($A$5=1,IF($P212=0,0,ROUND(S212/$P212*$E212,2)),Credits!F212)+Credits!L212</f>
        <v>60836.87</v>
      </c>
      <c r="X212" s="3">
        <f>IF($A$5=1,IF($P212=0,0,ROUND(T212/$P212*$E212,2)),Credits!G212)+Credits!M212</f>
        <v>0</v>
      </c>
      <c r="Y212" s="3">
        <f t="shared" si="28"/>
        <v>107400.67000000001</v>
      </c>
    </row>
    <row r="213" spans="1:25" ht="15" x14ac:dyDescent="0.25">
      <c r="A213" s="5">
        <v>706</v>
      </c>
      <c r="B213" s="5">
        <v>1</v>
      </c>
      <c r="C213" s="2" t="s">
        <v>209</v>
      </c>
      <c r="D213" s="3">
        <v>403214.75</v>
      </c>
      <c r="E213" s="3">
        <v>343291.72</v>
      </c>
      <c r="F213" s="173">
        <v>877490.28</v>
      </c>
      <c r="G213" s="173">
        <v>135037.94</v>
      </c>
      <c r="H213" s="173">
        <v>0</v>
      </c>
      <c r="I213" s="173">
        <v>520211.62</v>
      </c>
      <c r="J213" s="174">
        <v>0</v>
      </c>
      <c r="K213" s="173">
        <v>380814.62</v>
      </c>
      <c r="L213" s="173">
        <v>0</v>
      </c>
      <c r="M213" s="175">
        <v>0</v>
      </c>
      <c r="N213" s="173">
        <v>134543</v>
      </c>
      <c r="O213" s="152">
        <f t="shared" si="22"/>
        <v>2048097.46</v>
      </c>
      <c r="P213" s="3">
        <f t="shared" si="23"/>
        <v>1035569.24</v>
      </c>
      <c r="Q213" s="3">
        <f t="shared" si="24"/>
        <v>520211.62</v>
      </c>
      <c r="R213" s="3">
        <f t="shared" si="25"/>
        <v>0</v>
      </c>
      <c r="S213" s="3">
        <f t="shared" si="26"/>
        <v>380814.62</v>
      </c>
      <c r="T213" s="3">
        <f t="shared" si="27"/>
        <v>134543</v>
      </c>
      <c r="U213" s="3">
        <f>IF($A$5=1,IF($P213=0,0,ROUND(Q213/$P213*$E213,2)),Credits!D213)+Credits!J213</f>
        <v>181686.34</v>
      </c>
      <c r="V213" s="3">
        <f>IF($A$5=1,IF($P213=0,0,ROUND(R213/$P213*$E213,2)),Credits!E213)+Credits!K213</f>
        <v>0</v>
      </c>
      <c r="W213" s="3">
        <f>IF($A$5=1,IF($P213=0,0,ROUND(S213/$P213*$E213,2)),Credits!F213)+Credits!L213</f>
        <v>167837.16999999998</v>
      </c>
      <c r="X213" s="3">
        <f>IF($A$5=1,IF($P213=0,0,ROUND(T213/$P213*$E213,2)),Credits!G213)+Credits!M213</f>
        <v>12012.02</v>
      </c>
      <c r="Y213" s="3">
        <f t="shared" si="28"/>
        <v>361535.53</v>
      </c>
    </row>
    <row r="214" spans="1:25" ht="15" x14ac:dyDescent="0.25">
      <c r="A214" s="5">
        <v>707</v>
      </c>
      <c r="B214" s="5">
        <v>1</v>
      </c>
      <c r="C214" s="2" t="s">
        <v>210</v>
      </c>
      <c r="D214" s="3">
        <v>30.78</v>
      </c>
      <c r="E214" s="3">
        <v>25.85</v>
      </c>
      <c r="F214" s="173">
        <v>503.09</v>
      </c>
      <c r="G214" s="173">
        <v>188.01</v>
      </c>
      <c r="H214" s="173">
        <v>0</v>
      </c>
      <c r="I214" s="173">
        <v>31901.75</v>
      </c>
      <c r="J214" s="174">
        <v>1797.24</v>
      </c>
      <c r="K214" s="173">
        <v>45284.59</v>
      </c>
      <c r="L214" s="173">
        <v>0</v>
      </c>
      <c r="M214" s="175">
        <v>0</v>
      </c>
      <c r="N214" s="173">
        <v>0</v>
      </c>
      <c r="O214" s="152">
        <f t="shared" si="22"/>
        <v>79674.679999999993</v>
      </c>
      <c r="P214" s="3">
        <f t="shared" si="23"/>
        <v>78983.579999999987</v>
      </c>
      <c r="Q214" s="3">
        <f t="shared" si="24"/>
        <v>31901.75</v>
      </c>
      <c r="R214" s="3">
        <f t="shared" si="25"/>
        <v>1797.24</v>
      </c>
      <c r="S214" s="3">
        <f t="shared" si="26"/>
        <v>45284.59</v>
      </c>
      <c r="T214" s="3">
        <f t="shared" si="27"/>
        <v>0</v>
      </c>
      <c r="U214" s="3">
        <f>IF($A$5=1,IF($P214=0,0,ROUND(Q214/$P214*$E214,2)),Credits!D214)+Credits!J214</f>
        <v>24.13</v>
      </c>
      <c r="V214" s="3">
        <f>IF($A$5=1,IF($P214=0,0,ROUND(R214/$P214*$E214,2)),Credits!E214)+Credits!K214</f>
        <v>1.36</v>
      </c>
      <c r="W214" s="3">
        <f>IF($A$5=1,IF($P214=0,0,ROUND(S214/$P214*$E214,2)),Credits!F214)+Credits!L214</f>
        <v>34.25</v>
      </c>
      <c r="X214" s="3">
        <f>IF($A$5=1,IF($P214=0,0,ROUND(T214/$P214*$E214,2)),Credits!G214)+Credits!M214</f>
        <v>0</v>
      </c>
      <c r="Y214" s="3">
        <f t="shared" si="28"/>
        <v>59.739999999999995</v>
      </c>
    </row>
    <row r="215" spans="1:25" ht="15" x14ac:dyDescent="0.25">
      <c r="A215" s="5">
        <v>709</v>
      </c>
      <c r="B215" s="5">
        <v>1</v>
      </c>
      <c r="C215" s="2" t="s">
        <v>211</v>
      </c>
      <c r="D215" s="3">
        <v>2880032.8</v>
      </c>
      <c r="E215" s="3">
        <v>2957541.25</v>
      </c>
      <c r="F215" s="173">
        <v>4389437.34</v>
      </c>
      <c r="G215" s="173">
        <v>901702.12</v>
      </c>
      <c r="H215" s="173">
        <v>0</v>
      </c>
      <c r="I215" s="173">
        <v>5522714.4900000002</v>
      </c>
      <c r="J215" s="174">
        <v>1079536.44</v>
      </c>
      <c r="K215" s="173">
        <v>1794286.42</v>
      </c>
      <c r="L215" s="173">
        <v>12160584.800000001</v>
      </c>
      <c r="M215" s="175">
        <v>0</v>
      </c>
      <c r="N215" s="173">
        <v>0</v>
      </c>
      <c r="O215" s="152">
        <f t="shared" si="22"/>
        <v>25848261.609999999</v>
      </c>
      <c r="P215" s="3">
        <f t="shared" si="23"/>
        <v>20557122.149999999</v>
      </c>
      <c r="Q215" s="3">
        <f t="shared" si="24"/>
        <v>5522714.4900000002</v>
      </c>
      <c r="R215" s="3">
        <f t="shared" si="25"/>
        <v>1079536.44</v>
      </c>
      <c r="S215" s="3">
        <f t="shared" si="26"/>
        <v>13954871.220000001</v>
      </c>
      <c r="T215" s="3">
        <f t="shared" si="27"/>
        <v>0</v>
      </c>
      <c r="U215" s="3">
        <f>IF($A$5=1,IF($P215=0,0,ROUND(Q215/$P215*$E215,2)),Credits!D215)+Credits!J215</f>
        <v>502387.7</v>
      </c>
      <c r="V215" s="3">
        <f>IF($A$5=1,IF($P215=0,0,ROUND(R215/$P215*$E215,2)),Credits!E215)+Credits!K215</f>
        <v>98198.37</v>
      </c>
      <c r="W215" s="3">
        <f>IF($A$5=1,IF($P215=0,0,ROUND(S215/$P215*$E215,2)),Credits!F215)+Credits!L215</f>
        <v>1267243.8900000001</v>
      </c>
      <c r="X215" s="3">
        <f>IF($A$5=1,IF($P215=0,0,ROUND(T215/$P215*$E215,2)),Credits!G215)+Credits!M215</f>
        <v>0</v>
      </c>
      <c r="Y215" s="3">
        <f t="shared" si="28"/>
        <v>1867829.9600000002</v>
      </c>
    </row>
    <row r="216" spans="1:25" ht="15" x14ac:dyDescent="0.25">
      <c r="A216" s="5">
        <v>712</v>
      </c>
      <c r="B216" s="5">
        <v>1</v>
      </c>
      <c r="C216" s="2" t="s">
        <v>212</v>
      </c>
      <c r="D216" s="3">
        <v>99092.56</v>
      </c>
      <c r="E216" s="3">
        <v>39284.639999999999</v>
      </c>
      <c r="F216" s="173">
        <v>284411.96999999997</v>
      </c>
      <c r="G216" s="173">
        <v>0</v>
      </c>
      <c r="H216" s="173">
        <v>0</v>
      </c>
      <c r="I216" s="173">
        <v>0</v>
      </c>
      <c r="J216" s="174">
        <v>0</v>
      </c>
      <c r="K216" s="173">
        <v>101073.82</v>
      </c>
      <c r="L216" s="173">
        <v>0</v>
      </c>
      <c r="M216" s="175">
        <v>0</v>
      </c>
      <c r="N216" s="173">
        <v>0</v>
      </c>
      <c r="O216" s="152">
        <f t="shared" si="22"/>
        <v>385485.79</v>
      </c>
      <c r="P216" s="3">
        <f t="shared" si="23"/>
        <v>101073.82</v>
      </c>
      <c r="Q216" s="3">
        <f t="shared" si="24"/>
        <v>0</v>
      </c>
      <c r="R216" s="3">
        <f t="shared" si="25"/>
        <v>0</v>
      </c>
      <c r="S216" s="3">
        <f t="shared" si="26"/>
        <v>101073.82</v>
      </c>
      <c r="T216" s="3">
        <f t="shared" si="27"/>
        <v>0</v>
      </c>
      <c r="U216" s="3">
        <f>IF($A$5=1,IF($P216=0,0,ROUND(Q216/$P216*$E216,2)),Credits!D216)+Credits!J216</f>
        <v>165.61</v>
      </c>
      <c r="V216" s="3">
        <f>IF($A$5=1,IF($P216=0,0,ROUND(R216/$P216*$E216,2)),Credits!E216)+Credits!K216</f>
        <v>0</v>
      </c>
      <c r="W216" s="3">
        <f>IF($A$5=1,IF($P216=0,0,ROUND(S216/$P216*$E216,2)),Credits!F216)+Credits!L216</f>
        <v>19536.400000000001</v>
      </c>
      <c r="X216" s="3">
        <f>IF($A$5=1,IF($P216=0,0,ROUND(T216/$P216*$E216,2)),Credits!G216)+Credits!M216</f>
        <v>0</v>
      </c>
      <c r="Y216" s="3">
        <f t="shared" si="28"/>
        <v>19702.010000000002</v>
      </c>
    </row>
    <row r="217" spans="1:25" ht="15" x14ac:dyDescent="0.25">
      <c r="A217" s="5">
        <v>716</v>
      </c>
      <c r="B217" s="5">
        <v>1</v>
      </c>
      <c r="C217" s="2" t="s">
        <v>213</v>
      </c>
      <c r="D217" s="3">
        <v>196328.32000000001</v>
      </c>
      <c r="E217" s="3">
        <v>199386.06000000003</v>
      </c>
      <c r="F217" s="173">
        <v>471618</v>
      </c>
      <c r="G217" s="173">
        <v>218704</v>
      </c>
      <c r="H217" s="173">
        <v>0</v>
      </c>
      <c r="I217" s="173">
        <v>408530</v>
      </c>
      <c r="J217" s="174">
        <v>120090</v>
      </c>
      <c r="K217" s="173">
        <v>2762372</v>
      </c>
      <c r="L217" s="173">
        <v>448479</v>
      </c>
      <c r="M217" s="175">
        <v>0</v>
      </c>
      <c r="N217" s="173">
        <v>0</v>
      </c>
      <c r="O217" s="152">
        <f t="shared" si="22"/>
        <v>4429793</v>
      </c>
      <c r="P217" s="3">
        <f t="shared" si="23"/>
        <v>3739471</v>
      </c>
      <c r="Q217" s="3">
        <f t="shared" si="24"/>
        <v>408530</v>
      </c>
      <c r="R217" s="3">
        <f t="shared" si="25"/>
        <v>120090</v>
      </c>
      <c r="S217" s="3">
        <f t="shared" si="26"/>
        <v>3210851</v>
      </c>
      <c r="T217" s="3">
        <f t="shared" si="27"/>
        <v>0</v>
      </c>
      <c r="U217" s="3">
        <f>IF($A$5=1,IF($P217=0,0,ROUND(Q217/$P217*$E217,2)),Credits!D217)+Credits!J217</f>
        <v>5370.9699999999993</v>
      </c>
      <c r="V217" s="3">
        <f>IF($A$5=1,IF($P217=0,0,ROUND(R217/$P217*$E217,2)),Credits!E217)+Credits!K217</f>
        <v>1579.1799999999998</v>
      </c>
      <c r="W217" s="3">
        <f>IF($A$5=1,IF($P217=0,0,ROUND(S217/$P217*$E217,2)),Credits!F217)+Credits!L217</f>
        <v>42214.23</v>
      </c>
      <c r="X217" s="3">
        <f>IF($A$5=1,IF($P217=0,0,ROUND(T217/$P217*$E217,2)),Credits!G217)+Credits!M217</f>
        <v>0</v>
      </c>
      <c r="Y217" s="3">
        <f t="shared" si="28"/>
        <v>49164.380000000005</v>
      </c>
    </row>
    <row r="218" spans="1:25" ht="15" x14ac:dyDescent="0.25">
      <c r="A218" s="5">
        <v>717</v>
      </c>
      <c r="B218" s="5">
        <v>1</v>
      </c>
      <c r="C218" s="2" t="s">
        <v>214</v>
      </c>
      <c r="D218" s="3">
        <v>97435.49</v>
      </c>
      <c r="E218" s="3">
        <v>90988.7</v>
      </c>
      <c r="F218" s="173">
        <v>992392</v>
      </c>
      <c r="G218" s="173">
        <v>217142</v>
      </c>
      <c r="H218" s="173">
        <v>0</v>
      </c>
      <c r="I218" s="173">
        <v>956279</v>
      </c>
      <c r="J218" s="174">
        <v>127750</v>
      </c>
      <c r="K218" s="173">
        <v>1848858</v>
      </c>
      <c r="L218" s="173">
        <v>0</v>
      </c>
      <c r="M218" s="175">
        <v>0</v>
      </c>
      <c r="N218" s="173">
        <v>0</v>
      </c>
      <c r="O218" s="152">
        <f t="shared" si="22"/>
        <v>4142421</v>
      </c>
      <c r="P218" s="3">
        <f t="shared" si="23"/>
        <v>2932887</v>
      </c>
      <c r="Q218" s="3">
        <f t="shared" si="24"/>
        <v>956279</v>
      </c>
      <c r="R218" s="3">
        <f t="shared" si="25"/>
        <v>127750</v>
      </c>
      <c r="S218" s="3">
        <f t="shared" si="26"/>
        <v>1848858</v>
      </c>
      <c r="T218" s="3">
        <f t="shared" si="27"/>
        <v>0</v>
      </c>
      <c r="U218" s="3">
        <f>IF($A$5=1,IF($P218=0,0,ROUND(Q218/$P218*$E218,2)),Credits!D218)+Credits!J218</f>
        <v>6574.21</v>
      </c>
      <c r="V218" s="3">
        <f>IF($A$5=1,IF($P218=0,0,ROUND(R218/$P218*$E218,2)),Credits!E218)+Credits!K218</f>
        <v>877.93</v>
      </c>
      <c r="W218" s="3">
        <f>IF($A$5=1,IF($P218=0,0,ROUND(S218/$P218*$E218,2)),Credits!F218)+Credits!L218</f>
        <v>12710.1</v>
      </c>
      <c r="X218" s="3">
        <f>IF($A$5=1,IF($P218=0,0,ROUND(T218/$P218*$E218,2)),Credits!G218)+Credits!M218</f>
        <v>0</v>
      </c>
      <c r="Y218" s="3">
        <f t="shared" si="28"/>
        <v>20162.240000000002</v>
      </c>
    </row>
    <row r="219" spans="1:25" ht="15" x14ac:dyDescent="0.25">
      <c r="A219" s="5">
        <v>719</v>
      </c>
      <c r="B219" s="5">
        <v>1</v>
      </c>
      <c r="C219" s="2" t="s">
        <v>215</v>
      </c>
      <c r="D219" s="3">
        <v>463064.93</v>
      </c>
      <c r="E219" s="3">
        <v>486720.5</v>
      </c>
      <c r="F219" s="173">
        <v>8469073</v>
      </c>
      <c r="G219" s="173">
        <v>803851</v>
      </c>
      <c r="H219" s="173">
        <v>0</v>
      </c>
      <c r="I219" s="173">
        <v>3086403</v>
      </c>
      <c r="J219" s="174">
        <v>600035</v>
      </c>
      <c r="K219" s="173">
        <v>12281712</v>
      </c>
      <c r="L219" s="173">
        <v>0</v>
      </c>
      <c r="M219" s="175">
        <v>0</v>
      </c>
      <c r="N219" s="173">
        <v>0</v>
      </c>
      <c r="O219" s="152">
        <f t="shared" si="22"/>
        <v>25241074</v>
      </c>
      <c r="P219" s="3">
        <f t="shared" si="23"/>
        <v>15968150</v>
      </c>
      <c r="Q219" s="3">
        <f t="shared" si="24"/>
        <v>3086403</v>
      </c>
      <c r="R219" s="3">
        <f t="shared" si="25"/>
        <v>600035</v>
      </c>
      <c r="S219" s="3">
        <f t="shared" si="26"/>
        <v>12281712</v>
      </c>
      <c r="T219" s="3">
        <f t="shared" si="27"/>
        <v>0</v>
      </c>
      <c r="U219" s="3">
        <f>IF($A$5=1,IF($P219=0,0,ROUND(Q219/$P219*$E219,2)),Credits!D219)+Credits!J219</f>
        <v>1498.1499999999999</v>
      </c>
      <c r="V219" s="3">
        <f>IF($A$5=1,IF($P219=0,0,ROUND(R219/$P219*$E219,2)),Credits!E219)+Credits!K219</f>
        <v>291.2</v>
      </c>
      <c r="W219" s="3">
        <f>IF($A$5=1,IF($P219=0,0,ROUND(S219/$P219*$E219,2)),Credits!F219)+Credits!L219</f>
        <v>5961.1900000000005</v>
      </c>
      <c r="X219" s="3">
        <f>IF($A$5=1,IF($P219=0,0,ROUND(T219/$P219*$E219,2)),Credits!G219)+Credits!M219</f>
        <v>0</v>
      </c>
      <c r="Y219" s="3">
        <f t="shared" si="28"/>
        <v>7750.5400000000009</v>
      </c>
    </row>
    <row r="220" spans="1:25" ht="15" x14ac:dyDescent="0.25">
      <c r="A220" s="5">
        <v>720</v>
      </c>
      <c r="B220" s="5">
        <v>1</v>
      </c>
      <c r="C220" s="2" t="s">
        <v>216</v>
      </c>
      <c r="D220" s="3">
        <v>527997</v>
      </c>
      <c r="E220" s="3">
        <v>578696.28</v>
      </c>
      <c r="F220" s="173">
        <v>4538364</v>
      </c>
      <c r="G220" s="173">
        <v>1119477</v>
      </c>
      <c r="H220" s="173">
        <v>0</v>
      </c>
      <c r="I220" s="173">
        <v>1541595</v>
      </c>
      <c r="J220" s="174">
        <v>510690</v>
      </c>
      <c r="K220" s="173">
        <v>14004282</v>
      </c>
      <c r="L220" s="173">
        <v>0</v>
      </c>
      <c r="M220" s="175">
        <v>0</v>
      </c>
      <c r="N220" s="173">
        <v>0</v>
      </c>
      <c r="O220" s="152">
        <f t="shared" si="22"/>
        <v>21714408</v>
      </c>
      <c r="P220" s="3">
        <f t="shared" si="23"/>
        <v>16056567</v>
      </c>
      <c r="Q220" s="3">
        <f t="shared" si="24"/>
        <v>1541595</v>
      </c>
      <c r="R220" s="3">
        <f t="shared" si="25"/>
        <v>510690</v>
      </c>
      <c r="S220" s="3">
        <f t="shared" si="26"/>
        <v>14004282</v>
      </c>
      <c r="T220" s="3">
        <f t="shared" si="27"/>
        <v>0</v>
      </c>
      <c r="U220" s="3">
        <f>IF($A$5=1,IF($P220=0,0,ROUND(Q220/$P220*$E220,2)),Credits!D220)+Credits!J220</f>
        <v>702.01</v>
      </c>
      <c r="V220" s="3">
        <f>IF($A$5=1,IF($P220=0,0,ROUND(R220/$P220*$E220,2)),Credits!E220)+Credits!K220</f>
        <v>232.44</v>
      </c>
      <c r="W220" s="3">
        <f>IF($A$5=1,IF($P220=0,0,ROUND(S220/$P220*$E220,2)),Credits!F220)+Credits!L220</f>
        <v>6376.2500000000009</v>
      </c>
      <c r="X220" s="3">
        <f>IF($A$5=1,IF($P220=0,0,ROUND(T220/$P220*$E220,2)),Credits!G220)+Credits!M220</f>
        <v>0</v>
      </c>
      <c r="Y220" s="3">
        <f t="shared" si="28"/>
        <v>7310.7000000000007</v>
      </c>
    </row>
    <row r="221" spans="1:25" ht="15" x14ac:dyDescent="0.25">
      <c r="A221" s="5">
        <v>721</v>
      </c>
      <c r="B221" s="5">
        <v>1</v>
      </c>
      <c r="C221" s="2" t="s">
        <v>217</v>
      </c>
      <c r="D221" s="3">
        <v>319344.40999999997</v>
      </c>
      <c r="E221" s="3">
        <v>331663.15000000002</v>
      </c>
      <c r="F221" s="173">
        <v>2713040</v>
      </c>
      <c r="G221" s="173">
        <v>481803</v>
      </c>
      <c r="H221" s="173">
        <v>0</v>
      </c>
      <c r="I221" s="173">
        <v>795635</v>
      </c>
      <c r="J221" s="174">
        <v>218722</v>
      </c>
      <c r="K221" s="173">
        <v>5173961</v>
      </c>
      <c r="L221" s="173">
        <v>53668</v>
      </c>
      <c r="M221" s="175">
        <v>0</v>
      </c>
      <c r="N221" s="173">
        <v>0</v>
      </c>
      <c r="O221" s="152">
        <f t="shared" si="22"/>
        <v>9436829</v>
      </c>
      <c r="P221" s="3">
        <f t="shared" si="23"/>
        <v>6241986</v>
      </c>
      <c r="Q221" s="3">
        <f t="shared" si="24"/>
        <v>795635</v>
      </c>
      <c r="R221" s="3">
        <f t="shared" si="25"/>
        <v>218722</v>
      </c>
      <c r="S221" s="3">
        <f t="shared" si="26"/>
        <v>5227629</v>
      </c>
      <c r="T221" s="3">
        <f t="shared" si="27"/>
        <v>0</v>
      </c>
      <c r="U221" s="3">
        <f>IF($A$5=1,IF($P221=0,0,ROUND(Q221/$P221*$E221,2)),Credits!D221)+Credits!J221</f>
        <v>8992.3200000000015</v>
      </c>
      <c r="V221" s="3">
        <f>IF($A$5=1,IF($P221=0,0,ROUND(R221/$P221*$E221,2)),Credits!E221)+Credits!K221</f>
        <v>2473.34</v>
      </c>
      <c r="W221" s="3">
        <f>IF($A$5=1,IF($P221=0,0,ROUND(S221/$P221*$E221,2)),Credits!F221)+Credits!L221</f>
        <v>59110.51</v>
      </c>
      <c r="X221" s="3">
        <f>IF($A$5=1,IF($P221=0,0,ROUND(T221/$P221*$E221,2)),Credits!G221)+Credits!M221</f>
        <v>0</v>
      </c>
      <c r="Y221" s="3">
        <f t="shared" si="28"/>
        <v>70576.17</v>
      </c>
    </row>
    <row r="222" spans="1:25" ht="15" x14ac:dyDescent="0.25">
      <c r="A222" s="5">
        <v>726</v>
      </c>
      <c r="B222" s="5">
        <v>1</v>
      </c>
      <c r="C222" s="2" t="s">
        <v>218</v>
      </c>
      <c r="D222" s="3">
        <v>139592.75</v>
      </c>
      <c r="E222" s="3">
        <v>156759.02000000002</v>
      </c>
      <c r="F222" s="173">
        <v>2201276.0699999998</v>
      </c>
      <c r="G222" s="173">
        <v>303486.40999999997</v>
      </c>
      <c r="H222" s="173">
        <v>408260</v>
      </c>
      <c r="I222" s="173">
        <v>952462.11</v>
      </c>
      <c r="J222" s="174">
        <v>201586.92</v>
      </c>
      <c r="K222" s="173">
        <v>3247013.1</v>
      </c>
      <c r="L222" s="173">
        <v>227818</v>
      </c>
      <c r="M222" s="175">
        <v>0</v>
      </c>
      <c r="N222" s="173">
        <v>0</v>
      </c>
      <c r="O222" s="152">
        <f t="shared" si="22"/>
        <v>7541902.6099999994</v>
      </c>
      <c r="P222" s="3">
        <f t="shared" si="23"/>
        <v>5037140.13</v>
      </c>
      <c r="Q222" s="3">
        <f t="shared" si="24"/>
        <v>1360722.1099999999</v>
      </c>
      <c r="R222" s="3">
        <f t="shared" si="25"/>
        <v>201586.92</v>
      </c>
      <c r="S222" s="3">
        <f t="shared" si="26"/>
        <v>3474831.1</v>
      </c>
      <c r="T222" s="3">
        <f t="shared" si="27"/>
        <v>0</v>
      </c>
      <c r="U222" s="3">
        <f>IF($A$5=1,IF($P222=0,0,ROUND(Q222/$P222*$E222,2)),Credits!D222)+Credits!J222</f>
        <v>2666.31</v>
      </c>
      <c r="V222" s="3">
        <f>IF($A$5=1,IF($P222=0,0,ROUND(R222/$P222*$E222,2)),Credits!E222)+Credits!K222</f>
        <v>395.10999999999996</v>
      </c>
      <c r="W222" s="3">
        <f>IF($A$5=1,IF($P222=0,0,ROUND(S222/$P222*$E222,2)),Credits!F222)+Credits!L222</f>
        <v>6809.89</v>
      </c>
      <c r="X222" s="3">
        <f>IF($A$5=1,IF($P222=0,0,ROUND(T222/$P222*$E222,2)),Credits!G222)+Credits!M222</f>
        <v>0</v>
      </c>
      <c r="Y222" s="3">
        <f t="shared" si="28"/>
        <v>9871.3100000000013</v>
      </c>
    </row>
    <row r="223" spans="1:25" ht="15" x14ac:dyDescent="0.25">
      <c r="A223" s="5">
        <v>727</v>
      </c>
      <c r="B223" s="5">
        <v>1</v>
      </c>
      <c r="C223" s="2" t="s">
        <v>219</v>
      </c>
      <c r="D223" s="3">
        <v>319574.22000000003</v>
      </c>
      <c r="E223" s="3">
        <v>329218.90000000002</v>
      </c>
      <c r="F223" s="173">
        <v>1343455.15</v>
      </c>
      <c r="G223" s="173">
        <v>292774.03999999998</v>
      </c>
      <c r="H223" s="173">
        <v>0</v>
      </c>
      <c r="I223" s="173">
        <v>1193526.8500000001</v>
      </c>
      <c r="J223" s="174">
        <v>238768.51</v>
      </c>
      <c r="K223" s="173">
        <v>3819541.57</v>
      </c>
      <c r="L223" s="173">
        <v>0</v>
      </c>
      <c r="M223" s="175">
        <v>0</v>
      </c>
      <c r="N223" s="173">
        <v>410508</v>
      </c>
      <c r="O223" s="152">
        <f t="shared" si="22"/>
        <v>7298574.1199999992</v>
      </c>
      <c r="P223" s="3">
        <f t="shared" si="23"/>
        <v>5662344.9299999997</v>
      </c>
      <c r="Q223" s="3">
        <f t="shared" si="24"/>
        <v>1193526.8500000001</v>
      </c>
      <c r="R223" s="3">
        <f t="shared" si="25"/>
        <v>238768.51</v>
      </c>
      <c r="S223" s="3">
        <f t="shared" si="26"/>
        <v>3819541.57</v>
      </c>
      <c r="T223" s="3">
        <f t="shared" si="27"/>
        <v>410508</v>
      </c>
      <c r="U223" s="3">
        <f>IF($A$5=1,IF($P223=0,0,ROUND(Q223/$P223*$E223,2)),Credits!D223)+Credits!J223</f>
        <v>1919.27</v>
      </c>
      <c r="V223" s="3">
        <f>IF($A$5=1,IF($P223=0,0,ROUND(R223/$P223*$E223,2)),Credits!E223)+Credits!K223</f>
        <v>383.84000000000003</v>
      </c>
      <c r="W223" s="3">
        <f>IF($A$5=1,IF($P223=0,0,ROUND(S223/$P223*$E223,2)),Credits!F223)+Credits!L223</f>
        <v>6141.83</v>
      </c>
      <c r="X223" s="3">
        <f>IF($A$5=1,IF($P223=0,0,ROUND(T223/$P223*$E223,2)),Credits!G223)+Credits!M223</f>
        <v>660.05</v>
      </c>
      <c r="Y223" s="3">
        <f t="shared" si="28"/>
        <v>9104.99</v>
      </c>
    </row>
    <row r="224" spans="1:25" ht="15" x14ac:dyDescent="0.25">
      <c r="A224" s="5">
        <v>728</v>
      </c>
      <c r="B224" s="5">
        <v>1</v>
      </c>
      <c r="C224" s="2" t="s">
        <v>220</v>
      </c>
      <c r="D224" s="3">
        <v>1182249.8800000001</v>
      </c>
      <c r="E224" s="3">
        <v>1301656.9099999999</v>
      </c>
      <c r="F224" s="173">
        <v>8775623.3499999996</v>
      </c>
      <c r="G224" s="173">
        <v>1307212.04</v>
      </c>
      <c r="H224" s="173">
        <v>0</v>
      </c>
      <c r="I224" s="173">
        <v>8864266.5999999996</v>
      </c>
      <c r="J224" s="174">
        <v>827542.74</v>
      </c>
      <c r="K224" s="173">
        <v>16662607.550000001</v>
      </c>
      <c r="L224" s="173">
        <v>1803022.93</v>
      </c>
      <c r="M224" s="175">
        <v>0</v>
      </c>
      <c r="N224" s="173">
        <v>322191</v>
      </c>
      <c r="O224" s="152">
        <f t="shared" si="22"/>
        <v>38562466.210000001</v>
      </c>
      <c r="P224" s="3">
        <f t="shared" si="23"/>
        <v>28479630.82</v>
      </c>
      <c r="Q224" s="3">
        <f t="shared" si="24"/>
        <v>8864266.5999999996</v>
      </c>
      <c r="R224" s="3">
        <f t="shared" si="25"/>
        <v>827542.74</v>
      </c>
      <c r="S224" s="3">
        <f t="shared" si="26"/>
        <v>18465630.48</v>
      </c>
      <c r="T224" s="3">
        <f t="shared" si="27"/>
        <v>322191</v>
      </c>
      <c r="U224" s="3">
        <f>IF($A$5=1,IF($P224=0,0,ROUND(Q224/$P224*$E224,2)),Credits!D224)+Credits!J224</f>
        <v>10080.86</v>
      </c>
      <c r="V224" s="3">
        <f>IF($A$5=1,IF($P224=0,0,ROUND(R224/$P224*$E224,2)),Credits!E224)+Credits!K224</f>
        <v>940.73</v>
      </c>
      <c r="W224" s="3">
        <f>IF($A$5=1,IF($P224=0,0,ROUND(S224/$P224*$E224,2)),Credits!F224)+Credits!L224</f>
        <v>20999.9</v>
      </c>
      <c r="X224" s="3">
        <f>IF($A$5=1,IF($P224=0,0,ROUND(T224/$P224*$E224,2)),Credits!G224)+Credits!M224</f>
        <v>366.19999999999993</v>
      </c>
      <c r="Y224" s="3">
        <f t="shared" si="28"/>
        <v>32387.690000000002</v>
      </c>
    </row>
    <row r="225" spans="1:25" ht="15" x14ac:dyDescent="0.25">
      <c r="A225" s="5">
        <v>738</v>
      </c>
      <c r="B225" s="5">
        <v>1</v>
      </c>
      <c r="C225" s="2" t="s">
        <v>221</v>
      </c>
      <c r="D225" s="3">
        <v>143630.19999999998</v>
      </c>
      <c r="E225" s="3">
        <v>130588.05</v>
      </c>
      <c r="F225" s="173">
        <v>315911.65999999997</v>
      </c>
      <c r="G225" s="173">
        <v>78277.2</v>
      </c>
      <c r="H225" s="173">
        <v>0</v>
      </c>
      <c r="I225" s="173">
        <v>229702.97</v>
      </c>
      <c r="J225" s="174">
        <v>49657.29</v>
      </c>
      <c r="K225" s="173">
        <v>549898.72</v>
      </c>
      <c r="L225" s="173">
        <v>214179.78</v>
      </c>
      <c r="M225" s="175">
        <v>0</v>
      </c>
      <c r="N225" s="173">
        <v>77559</v>
      </c>
      <c r="O225" s="152">
        <f t="shared" si="22"/>
        <v>1515186.6199999999</v>
      </c>
      <c r="P225" s="3">
        <f t="shared" si="23"/>
        <v>1120997.76</v>
      </c>
      <c r="Q225" s="3">
        <f t="shared" si="24"/>
        <v>229702.97</v>
      </c>
      <c r="R225" s="3">
        <f t="shared" si="25"/>
        <v>49657.29</v>
      </c>
      <c r="S225" s="3">
        <f t="shared" si="26"/>
        <v>764078.5</v>
      </c>
      <c r="T225" s="3">
        <f t="shared" si="27"/>
        <v>77559</v>
      </c>
      <c r="U225" s="3">
        <f>IF($A$5=1,IF($P225=0,0,ROUND(Q225/$P225*$E225,2)),Credits!D225)+Credits!J225</f>
        <v>8574.5199999999986</v>
      </c>
      <c r="V225" s="3">
        <f>IF($A$5=1,IF($P225=0,0,ROUND(R225/$P225*$E225,2)),Credits!E225)+Credits!K225</f>
        <v>1854.02</v>
      </c>
      <c r="W225" s="3">
        <f>IF($A$5=1,IF($P225=0,0,ROUND(S225/$P225*$E225,2)),Credits!F225)+Credits!L225</f>
        <v>28395.010000000002</v>
      </c>
      <c r="X225" s="3">
        <f>IF($A$5=1,IF($P225=0,0,ROUND(T225/$P225*$E225,2)),Credits!G225)+Credits!M225</f>
        <v>2882.1800000000003</v>
      </c>
      <c r="Y225" s="3">
        <f t="shared" si="28"/>
        <v>41705.730000000003</v>
      </c>
    </row>
    <row r="226" spans="1:25" ht="15" x14ac:dyDescent="0.25">
      <c r="A226" s="5">
        <v>739</v>
      </c>
      <c r="B226" s="5">
        <v>1</v>
      </c>
      <c r="C226" s="2" t="s">
        <v>222</v>
      </c>
      <c r="D226" s="3">
        <v>85147.66</v>
      </c>
      <c r="E226" s="3">
        <v>85759.51</v>
      </c>
      <c r="F226" s="173">
        <v>658911.18999999994</v>
      </c>
      <c r="G226" s="173">
        <v>60791.4</v>
      </c>
      <c r="H226" s="173">
        <v>0</v>
      </c>
      <c r="I226" s="173">
        <v>260362.56</v>
      </c>
      <c r="J226" s="174">
        <v>66025.48</v>
      </c>
      <c r="K226" s="173">
        <v>773042.87</v>
      </c>
      <c r="L226" s="173">
        <v>0</v>
      </c>
      <c r="M226" s="175">
        <v>0</v>
      </c>
      <c r="N226" s="173">
        <v>0</v>
      </c>
      <c r="O226" s="152">
        <f t="shared" si="22"/>
        <v>1819133.5</v>
      </c>
      <c r="P226" s="3">
        <f t="shared" si="23"/>
        <v>1099430.9099999999</v>
      </c>
      <c r="Q226" s="3">
        <f t="shared" si="24"/>
        <v>260362.56</v>
      </c>
      <c r="R226" s="3">
        <f t="shared" si="25"/>
        <v>66025.48</v>
      </c>
      <c r="S226" s="3">
        <f t="shared" si="26"/>
        <v>773042.87</v>
      </c>
      <c r="T226" s="3">
        <f t="shared" si="27"/>
        <v>0</v>
      </c>
      <c r="U226" s="3">
        <f>IF($A$5=1,IF($P226=0,0,ROUND(Q226/$P226*$E226,2)),Credits!D226)+Credits!J226</f>
        <v>5656.81</v>
      </c>
      <c r="V226" s="3">
        <f>IF($A$5=1,IF($P226=0,0,ROUND(R226/$P226*$E226,2)),Credits!E226)+Credits!K226</f>
        <v>1434.4</v>
      </c>
      <c r="W226" s="3">
        <f>IF($A$5=1,IF($P226=0,0,ROUND(S226/$P226*$E226,2)),Credits!F226)+Credits!L226</f>
        <v>16796.02</v>
      </c>
      <c r="X226" s="3">
        <f>IF($A$5=1,IF($P226=0,0,ROUND(T226/$P226*$E226,2)),Credits!G226)+Credits!M226</f>
        <v>0</v>
      </c>
      <c r="Y226" s="3">
        <f t="shared" si="28"/>
        <v>23887.230000000003</v>
      </c>
    </row>
    <row r="227" spans="1:25" ht="15" x14ac:dyDescent="0.25">
      <c r="A227" s="5">
        <v>740</v>
      </c>
      <c r="B227" s="5">
        <v>1</v>
      </c>
      <c r="C227" s="2" t="s">
        <v>223</v>
      </c>
      <c r="D227" s="3">
        <v>152407.52000000002</v>
      </c>
      <c r="E227" s="3">
        <v>155861.98000000001</v>
      </c>
      <c r="F227" s="173">
        <v>720982.94</v>
      </c>
      <c r="G227" s="173">
        <v>107756.55</v>
      </c>
      <c r="H227" s="173">
        <v>0</v>
      </c>
      <c r="I227" s="173">
        <v>436253.71</v>
      </c>
      <c r="J227" s="174">
        <v>103246.67</v>
      </c>
      <c r="K227" s="173">
        <v>860485.4</v>
      </c>
      <c r="L227" s="173">
        <v>444594.16</v>
      </c>
      <c r="M227" s="175">
        <v>0</v>
      </c>
      <c r="N227" s="173">
        <v>0</v>
      </c>
      <c r="O227" s="152">
        <f t="shared" si="22"/>
        <v>2673319.4300000002</v>
      </c>
      <c r="P227" s="3">
        <f t="shared" si="23"/>
        <v>1844579.94</v>
      </c>
      <c r="Q227" s="3">
        <f t="shared" si="24"/>
        <v>436253.71</v>
      </c>
      <c r="R227" s="3">
        <f t="shared" si="25"/>
        <v>103246.67</v>
      </c>
      <c r="S227" s="3">
        <f t="shared" si="26"/>
        <v>1305079.56</v>
      </c>
      <c r="T227" s="3">
        <f t="shared" si="27"/>
        <v>0</v>
      </c>
      <c r="U227" s="3">
        <f>IF($A$5=1,IF($P227=0,0,ROUND(Q227/$P227*$E227,2)),Credits!D227)+Credits!J227</f>
        <v>10609.26</v>
      </c>
      <c r="V227" s="3">
        <f>IF($A$5=1,IF($P227=0,0,ROUND(R227/$P227*$E227,2)),Credits!E227)+Credits!K227</f>
        <v>2510.2199999999998</v>
      </c>
      <c r="W227" s="3">
        <f>IF($A$5=1,IF($P227=0,0,ROUND(S227/$P227*$E227,2)),Credits!F227)+Credits!L227</f>
        <v>31548.99</v>
      </c>
      <c r="X227" s="3">
        <f>IF($A$5=1,IF($P227=0,0,ROUND(T227/$P227*$E227,2)),Credits!G227)+Credits!M227</f>
        <v>0</v>
      </c>
      <c r="Y227" s="3">
        <f t="shared" si="28"/>
        <v>44668.47</v>
      </c>
    </row>
    <row r="228" spans="1:25" ht="15" x14ac:dyDescent="0.25">
      <c r="A228" s="5">
        <v>741</v>
      </c>
      <c r="B228" s="5">
        <v>1</v>
      </c>
      <c r="C228" s="2" t="s">
        <v>224</v>
      </c>
      <c r="D228" s="3">
        <v>98397.12000000001</v>
      </c>
      <c r="E228" s="3">
        <v>102386.16</v>
      </c>
      <c r="F228" s="173">
        <v>369561.35</v>
      </c>
      <c r="G228" s="173">
        <v>106126.13</v>
      </c>
      <c r="H228" s="173">
        <v>0</v>
      </c>
      <c r="I228" s="173">
        <v>392492.21</v>
      </c>
      <c r="J228" s="174">
        <v>76707.509999999995</v>
      </c>
      <c r="K228" s="173">
        <v>808697</v>
      </c>
      <c r="L228" s="173">
        <v>61452</v>
      </c>
      <c r="M228" s="175">
        <v>0</v>
      </c>
      <c r="N228" s="173">
        <v>0</v>
      </c>
      <c r="O228" s="152">
        <f t="shared" si="22"/>
        <v>1815036.2</v>
      </c>
      <c r="P228" s="3">
        <f t="shared" si="23"/>
        <v>1339348.72</v>
      </c>
      <c r="Q228" s="3">
        <f t="shared" si="24"/>
        <v>392492.21</v>
      </c>
      <c r="R228" s="3">
        <f t="shared" si="25"/>
        <v>76707.509999999995</v>
      </c>
      <c r="S228" s="3">
        <f t="shared" si="26"/>
        <v>870149</v>
      </c>
      <c r="T228" s="3">
        <f t="shared" si="27"/>
        <v>0</v>
      </c>
      <c r="U228" s="3">
        <f>IF($A$5=1,IF($P228=0,0,ROUND(Q228/$P228*$E228,2)),Credits!D228)+Credits!J228</f>
        <v>6185.67</v>
      </c>
      <c r="V228" s="3">
        <f>IF($A$5=1,IF($P228=0,0,ROUND(R228/$P228*$E228,2)),Credits!E228)+Credits!K228</f>
        <v>1209.47</v>
      </c>
      <c r="W228" s="3">
        <f>IF($A$5=1,IF($P228=0,0,ROUND(S228/$P228*$E228,2)),Credits!F228)+Credits!L228</f>
        <v>13710.159999999998</v>
      </c>
      <c r="X228" s="3">
        <f>IF($A$5=1,IF($P228=0,0,ROUND(T228/$P228*$E228,2)),Credits!G228)+Credits!M228</f>
        <v>0</v>
      </c>
      <c r="Y228" s="3">
        <f t="shared" si="28"/>
        <v>21105.3</v>
      </c>
    </row>
    <row r="229" spans="1:25" ht="15" x14ac:dyDescent="0.25">
      <c r="A229" s="5">
        <v>742</v>
      </c>
      <c r="B229" s="5">
        <v>1</v>
      </c>
      <c r="C229" s="2" t="s">
        <v>225</v>
      </c>
      <c r="D229" s="3">
        <v>626091.24</v>
      </c>
      <c r="E229" s="3">
        <v>869335.91</v>
      </c>
      <c r="F229" s="173">
        <v>6740051.3600000003</v>
      </c>
      <c r="G229" s="173">
        <v>1177418.19</v>
      </c>
      <c r="H229" s="173">
        <v>0</v>
      </c>
      <c r="I229" s="173">
        <v>8473796.5399999991</v>
      </c>
      <c r="J229" s="174">
        <v>1287583.6499999999</v>
      </c>
      <c r="K229" s="173">
        <v>2480785.1</v>
      </c>
      <c r="L229" s="173">
        <v>0</v>
      </c>
      <c r="M229" s="175">
        <v>0</v>
      </c>
      <c r="N229" s="173">
        <v>2238338</v>
      </c>
      <c r="O229" s="152">
        <f t="shared" si="22"/>
        <v>22397972.84</v>
      </c>
      <c r="P229" s="3">
        <f t="shared" si="23"/>
        <v>14480503.289999999</v>
      </c>
      <c r="Q229" s="3">
        <f t="shared" si="24"/>
        <v>8473796.5399999991</v>
      </c>
      <c r="R229" s="3">
        <f t="shared" si="25"/>
        <v>1287583.6499999999</v>
      </c>
      <c r="S229" s="3">
        <f t="shared" si="26"/>
        <v>2480785.1</v>
      </c>
      <c r="T229" s="3">
        <f t="shared" si="27"/>
        <v>2238338</v>
      </c>
      <c r="U229" s="3">
        <f>IF($A$5=1,IF($P229=0,0,ROUND(Q229/$P229*$E229,2)),Credits!D229)+Credits!J229</f>
        <v>34388.47</v>
      </c>
      <c r="V229" s="3">
        <f>IF($A$5=1,IF($P229=0,0,ROUND(R229/$P229*$E229,2)),Credits!E229)+Credits!K229</f>
        <v>5225.0499999999993</v>
      </c>
      <c r="W229" s="3">
        <f>IF($A$5=1,IF($P229=0,0,ROUND(S229/$P229*$E229,2)),Credits!F229)+Credits!L229</f>
        <v>10043.66</v>
      </c>
      <c r="X229" s="3">
        <f>IF($A$5=1,IF($P229=0,0,ROUND(T229/$P229*$E229,2)),Credits!G229)+Credits!M229</f>
        <v>9062.1099999999988</v>
      </c>
      <c r="Y229" s="3">
        <f t="shared" si="28"/>
        <v>58719.290000000008</v>
      </c>
    </row>
    <row r="230" spans="1:25" ht="15" x14ac:dyDescent="0.25">
      <c r="A230" s="5">
        <v>743</v>
      </c>
      <c r="B230" s="5">
        <v>1</v>
      </c>
      <c r="C230" s="2" t="s">
        <v>226</v>
      </c>
      <c r="D230" s="3">
        <v>116505.52</v>
      </c>
      <c r="E230" s="3">
        <v>106462.2</v>
      </c>
      <c r="F230" s="173">
        <v>1169184.96</v>
      </c>
      <c r="G230" s="173">
        <v>77889.3</v>
      </c>
      <c r="H230" s="173">
        <v>0</v>
      </c>
      <c r="I230" s="173">
        <v>164753.79</v>
      </c>
      <c r="J230" s="174">
        <v>91669.4</v>
      </c>
      <c r="K230" s="173">
        <v>727315.83</v>
      </c>
      <c r="L230" s="173">
        <v>178482.59</v>
      </c>
      <c r="M230" s="175">
        <v>0</v>
      </c>
      <c r="N230" s="173">
        <v>0</v>
      </c>
      <c r="O230" s="152">
        <f t="shared" si="22"/>
        <v>2409295.8699999996</v>
      </c>
      <c r="P230" s="3">
        <f t="shared" si="23"/>
        <v>1162221.6100000001</v>
      </c>
      <c r="Q230" s="3">
        <f t="shared" si="24"/>
        <v>164753.79</v>
      </c>
      <c r="R230" s="3">
        <f t="shared" si="25"/>
        <v>91669.4</v>
      </c>
      <c r="S230" s="3">
        <f t="shared" si="26"/>
        <v>905798.41999999993</v>
      </c>
      <c r="T230" s="3">
        <f t="shared" si="27"/>
        <v>0</v>
      </c>
      <c r="U230" s="3">
        <f>IF($A$5=1,IF($P230=0,0,ROUND(Q230/$P230*$E230,2)),Credits!D230)+Credits!J230</f>
        <v>3048.2300000000005</v>
      </c>
      <c r="V230" s="3">
        <f>IF($A$5=1,IF($P230=0,0,ROUND(R230/$P230*$E230,2)),Credits!E230)+Credits!K230</f>
        <v>1695.6899999999998</v>
      </c>
      <c r="W230" s="3">
        <f>IF($A$5=1,IF($P230=0,0,ROUND(S230/$P230*$E230,2)),Credits!F230)+Credits!L230</f>
        <v>16701.34</v>
      </c>
      <c r="X230" s="3">
        <f>IF($A$5=1,IF($P230=0,0,ROUND(T230/$P230*$E230,2)),Credits!G230)+Credits!M230</f>
        <v>0</v>
      </c>
      <c r="Y230" s="3">
        <f t="shared" si="28"/>
        <v>21445.260000000002</v>
      </c>
    </row>
    <row r="231" spans="1:25" ht="15" x14ac:dyDescent="0.25">
      <c r="A231" s="5">
        <v>745</v>
      </c>
      <c r="B231" s="5">
        <v>1</v>
      </c>
      <c r="C231" s="2" t="s">
        <v>227</v>
      </c>
      <c r="D231" s="3">
        <v>167965.56</v>
      </c>
      <c r="E231" s="3">
        <v>169337.93</v>
      </c>
      <c r="F231" s="173">
        <v>521378.19</v>
      </c>
      <c r="G231" s="173">
        <v>168618.88</v>
      </c>
      <c r="H231" s="173">
        <v>0</v>
      </c>
      <c r="I231" s="173">
        <v>279819.27</v>
      </c>
      <c r="J231" s="174">
        <v>102155.15</v>
      </c>
      <c r="K231" s="173">
        <v>1225328.23</v>
      </c>
      <c r="L231" s="173">
        <v>435943.31</v>
      </c>
      <c r="M231" s="175">
        <v>0</v>
      </c>
      <c r="N231" s="173">
        <v>0</v>
      </c>
      <c r="O231" s="152">
        <f t="shared" si="22"/>
        <v>2733243.03</v>
      </c>
      <c r="P231" s="3">
        <f t="shared" si="23"/>
        <v>2043245.96</v>
      </c>
      <c r="Q231" s="3">
        <f t="shared" si="24"/>
        <v>279819.27</v>
      </c>
      <c r="R231" s="3">
        <f t="shared" si="25"/>
        <v>102155.15</v>
      </c>
      <c r="S231" s="3">
        <f t="shared" si="26"/>
        <v>1661271.54</v>
      </c>
      <c r="T231" s="3">
        <f t="shared" si="27"/>
        <v>0</v>
      </c>
      <c r="U231" s="3">
        <f>IF($A$5=1,IF($P231=0,0,ROUND(Q231/$P231*$E231,2)),Credits!D231)+Credits!J231</f>
        <v>5035.09</v>
      </c>
      <c r="V231" s="3">
        <f>IF($A$5=1,IF($P231=0,0,ROUND(R231/$P231*$E231,2)),Credits!E231)+Credits!K231</f>
        <v>1837.53</v>
      </c>
      <c r="W231" s="3">
        <f>IF($A$5=1,IF($P231=0,0,ROUND(S231/$P231*$E231,2)),Credits!F231)+Credits!L231</f>
        <v>28644.78</v>
      </c>
      <c r="X231" s="3">
        <f>IF($A$5=1,IF($P231=0,0,ROUND(T231/$P231*$E231,2)),Credits!G231)+Credits!M231</f>
        <v>0</v>
      </c>
      <c r="Y231" s="3">
        <f t="shared" si="28"/>
        <v>35517.4</v>
      </c>
    </row>
    <row r="232" spans="1:25" ht="15" x14ac:dyDescent="0.25">
      <c r="A232" s="5">
        <v>748</v>
      </c>
      <c r="B232" s="5">
        <v>1</v>
      </c>
      <c r="C232" s="2" t="s">
        <v>228</v>
      </c>
      <c r="D232" s="3">
        <v>284818.75</v>
      </c>
      <c r="E232" s="3">
        <v>288056.67</v>
      </c>
      <c r="F232" s="173">
        <v>1922231.61</v>
      </c>
      <c r="G232" s="173">
        <v>279215.53999999998</v>
      </c>
      <c r="H232" s="173">
        <v>0</v>
      </c>
      <c r="I232" s="173">
        <v>751238.07</v>
      </c>
      <c r="J232" s="174">
        <v>188840.25</v>
      </c>
      <c r="K232" s="173">
        <v>4680814.22</v>
      </c>
      <c r="L232" s="173">
        <v>0</v>
      </c>
      <c r="M232" s="175">
        <v>0</v>
      </c>
      <c r="N232" s="173">
        <v>0</v>
      </c>
      <c r="O232" s="152">
        <f t="shared" si="22"/>
        <v>7822339.6899999995</v>
      </c>
      <c r="P232" s="3">
        <f t="shared" si="23"/>
        <v>5620892.54</v>
      </c>
      <c r="Q232" s="3">
        <f t="shared" si="24"/>
        <v>751238.07</v>
      </c>
      <c r="R232" s="3">
        <f t="shared" si="25"/>
        <v>188840.25</v>
      </c>
      <c r="S232" s="3">
        <f t="shared" si="26"/>
        <v>4680814.22</v>
      </c>
      <c r="T232" s="3">
        <f t="shared" si="27"/>
        <v>0</v>
      </c>
      <c r="U232" s="3">
        <f>IF($A$5=1,IF($P232=0,0,ROUND(Q232/$P232*$E232,2)),Credits!D232)+Credits!J232</f>
        <v>2461.9</v>
      </c>
      <c r="V232" s="3">
        <f>IF($A$5=1,IF($P232=0,0,ROUND(R232/$P232*$E232,2)),Credits!E232)+Credits!K232</f>
        <v>618.74</v>
      </c>
      <c r="W232" s="3">
        <f>IF($A$5=1,IF($P232=0,0,ROUND(S232/$P232*$E232,2)),Credits!F232)+Credits!L232</f>
        <v>15338.560000000001</v>
      </c>
      <c r="X232" s="3">
        <f>IF($A$5=1,IF($P232=0,0,ROUND(T232/$P232*$E232,2)),Credits!G232)+Credits!M232</f>
        <v>0</v>
      </c>
      <c r="Y232" s="3">
        <f t="shared" si="28"/>
        <v>18419.2</v>
      </c>
    </row>
    <row r="233" spans="1:25" ht="15" x14ac:dyDescent="0.25">
      <c r="A233" s="5">
        <v>750</v>
      </c>
      <c r="B233" s="5">
        <v>1</v>
      </c>
      <c r="C233" s="2" t="s">
        <v>229</v>
      </c>
      <c r="D233" s="3">
        <v>213893.52</v>
      </c>
      <c r="E233" s="3">
        <v>219949.61</v>
      </c>
      <c r="F233" s="173">
        <v>809213.42</v>
      </c>
      <c r="G233" s="173">
        <v>255585.54</v>
      </c>
      <c r="H233" s="173">
        <v>0</v>
      </c>
      <c r="I233" s="173">
        <v>804654.6</v>
      </c>
      <c r="J233" s="174">
        <v>139205.45000000001</v>
      </c>
      <c r="K233" s="173">
        <v>2098876.19</v>
      </c>
      <c r="L233" s="173">
        <v>262744.21999999997</v>
      </c>
      <c r="M233" s="175">
        <v>0</v>
      </c>
      <c r="N233" s="173">
        <v>412977.9</v>
      </c>
      <c r="O233" s="152">
        <f t="shared" si="22"/>
        <v>4783257.32</v>
      </c>
      <c r="P233" s="3">
        <f t="shared" si="23"/>
        <v>3718458.36</v>
      </c>
      <c r="Q233" s="3">
        <f t="shared" si="24"/>
        <v>804654.6</v>
      </c>
      <c r="R233" s="3">
        <f t="shared" si="25"/>
        <v>139205.45000000001</v>
      </c>
      <c r="S233" s="3">
        <f t="shared" si="26"/>
        <v>2361620.41</v>
      </c>
      <c r="T233" s="3">
        <f t="shared" si="27"/>
        <v>412977.9</v>
      </c>
      <c r="U233" s="3">
        <f>IF($A$5=1,IF($P233=0,0,ROUND(Q233/$P233*$E233,2)),Credits!D233)+Credits!J233</f>
        <v>6523.4900000000007</v>
      </c>
      <c r="V233" s="3">
        <f>IF($A$5=1,IF($P233=0,0,ROUND(R233/$P233*$E233,2)),Credits!E233)+Credits!K233</f>
        <v>1128.45</v>
      </c>
      <c r="W233" s="3">
        <f>IF($A$5=1,IF($P233=0,0,ROUND(S233/$P233*$E233,2)),Credits!F233)+Credits!L233</f>
        <v>19044.5</v>
      </c>
      <c r="X233" s="3">
        <f>IF($A$5=1,IF($P233=0,0,ROUND(T233/$P233*$E233,2)),Credits!G233)+Credits!M233</f>
        <v>3330.3</v>
      </c>
      <c r="Y233" s="3">
        <f t="shared" si="28"/>
        <v>30026.74</v>
      </c>
    </row>
    <row r="234" spans="1:25" ht="15" x14ac:dyDescent="0.25">
      <c r="A234" s="5">
        <v>756</v>
      </c>
      <c r="B234" s="5">
        <v>1</v>
      </c>
      <c r="C234" s="2" t="s">
        <v>230</v>
      </c>
      <c r="D234" s="3">
        <v>155758.84</v>
      </c>
      <c r="E234" s="3">
        <v>145355.24</v>
      </c>
      <c r="F234" s="173">
        <v>348699</v>
      </c>
      <c r="G234" s="173">
        <v>44727</v>
      </c>
      <c r="H234" s="173">
        <v>0</v>
      </c>
      <c r="I234" s="173">
        <v>306802</v>
      </c>
      <c r="J234" s="174">
        <v>46417</v>
      </c>
      <c r="K234" s="173">
        <v>1367301</v>
      </c>
      <c r="L234" s="173">
        <v>0</v>
      </c>
      <c r="M234" s="175">
        <v>0</v>
      </c>
      <c r="N234" s="173">
        <v>0</v>
      </c>
      <c r="O234" s="152">
        <f t="shared" si="22"/>
        <v>2113946</v>
      </c>
      <c r="P234" s="3">
        <f t="shared" si="23"/>
        <v>1720520</v>
      </c>
      <c r="Q234" s="3">
        <f t="shared" si="24"/>
        <v>306802</v>
      </c>
      <c r="R234" s="3">
        <f t="shared" si="25"/>
        <v>46417</v>
      </c>
      <c r="S234" s="3">
        <f t="shared" si="26"/>
        <v>1367301</v>
      </c>
      <c r="T234" s="3">
        <f t="shared" si="27"/>
        <v>0</v>
      </c>
      <c r="U234" s="3">
        <f>IF($A$5=1,IF($P234=0,0,ROUND(Q234/$P234*$E234,2)),Credits!D234)+Credits!J234</f>
        <v>9356.75</v>
      </c>
      <c r="V234" s="3">
        <f>IF($A$5=1,IF($P234=0,0,ROUND(R234/$P234*$E234,2)),Credits!E234)+Credits!K234</f>
        <v>1416.05</v>
      </c>
      <c r="W234" s="3">
        <f>IF($A$5=1,IF($P234=0,0,ROUND(S234/$P234*$E234,2)),Credits!F234)+Credits!L234</f>
        <v>41697.94</v>
      </c>
      <c r="X234" s="3">
        <f>IF($A$5=1,IF($P234=0,0,ROUND(T234/$P234*$E234,2)),Credits!G234)+Credits!M234</f>
        <v>0</v>
      </c>
      <c r="Y234" s="3">
        <f t="shared" si="28"/>
        <v>52470.740000000005</v>
      </c>
    </row>
    <row r="235" spans="1:25" ht="15" x14ac:dyDescent="0.25">
      <c r="A235" s="5">
        <v>761</v>
      </c>
      <c r="B235" s="5">
        <v>1</v>
      </c>
      <c r="C235" s="2" t="s">
        <v>231</v>
      </c>
      <c r="D235" s="3">
        <v>361782.59</v>
      </c>
      <c r="E235" s="3">
        <v>369708.89</v>
      </c>
      <c r="F235" s="173">
        <v>2821789</v>
      </c>
      <c r="G235" s="173">
        <v>565565</v>
      </c>
      <c r="H235" s="173">
        <v>0</v>
      </c>
      <c r="I235" s="173">
        <v>1671210</v>
      </c>
      <c r="J235" s="174">
        <v>317514</v>
      </c>
      <c r="K235" s="173">
        <v>2329344</v>
      </c>
      <c r="L235" s="173">
        <v>357309</v>
      </c>
      <c r="M235" s="175">
        <v>0</v>
      </c>
      <c r="N235" s="173">
        <v>0</v>
      </c>
      <c r="O235" s="152">
        <f t="shared" si="22"/>
        <v>8062731</v>
      </c>
      <c r="P235" s="3">
        <f t="shared" si="23"/>
        <v>4675377</v>
      </c>
      <c r="Q235" s="3">
        <f t="shared" si="24"/>
        <v>1671210</v>
      </c>
      <c r="R235" s="3">
        <f t="shared" si="25"/>
        <v>317514</v>
      </c>
      <c r="S235" s="3">
        <f t="shared" si="26"/>
        <v>2686653</v>
      </c>
      <c r="T235" s="3">
        <f t="shared" si="27"/>
        <v>0</v>
      </c>
      <c r="U235" s="3">
        <f>IF($A$5=1,IF($P235=0,0,ROUND(Q235/$P235*$E235,2)),Credits!D235)+Credits!J235</f>
        <v>21347</v>
      </c>
      <c r="V235" s="3">
        <f>IF($A$5=1,IF($P235=0,0,ROUND(R235/$P235*$E235,2)),Credits!E235)+Credits!K235</f>
        <v>4055.9900000000002</v>
      </c>
      <c r="W235" s="3">
        <f>IF($A$5=1,IF($P235=0,0,ROUND(S235/$P235*$E235,2)),Credits!F235)+Credits!L235</f>
        <v>34281.31</v>
      </c>
      <c r="X235" s="3">
        <f>IF($A$5=1,IF($P235=0,0,ROUND(T235/$P235*$E235,2)),Credits!G235)+Credits!M235</f>
        <v>0</v>
      </c>
      <c r="Y235" s="3">
        <f t="shared" si="28"/>
        <v>59684.3</v>
      </c>
    </row>
    <row r="236" spans="1:25" ht="15" x14ac:dyDescent="0.25">
      <c r="A236" s="5">
        <v>763</v>
      </c>
      <c r="B236" s="5">
        <v>1</v>
      </c>
      <c r="C236" s="2" t="s">
        <v>232</v>
      </c>
      <c r="D236" s="3">
        <v>74807.070000000007</v>
      </c>
      <c r="E236" s="3">
        <v>74106.03</v>
      </c>
      <c r="F236" s="173">
        <v>0</v>
      </c>
      <c r="G236" s="173">
        <v>78863</v>
      </c>
      <c r="H236" s="173">
        <v>0</v>
      </c>
      <c r="I236" s="173">
        <v>171169</v>
      </c>
      <c r="J236" s="174">
        <v>35767</v>
      </c>
      <c r="K236" s="173">
        <v>944343</v>
      </c>
      <c r="L236" s="173">
        <v>0</v>
      </c>
      <c r="M236" s="175">
        <v>0</v>
      </c>
      <c r="N236" s="173">
        <v>0</v>
      </c>
      <c r="O236" s="152">
        <f t="shared" si="22"/>
        <v>1230142</v>
      </c>
      <c r="P236" s="3">
        <f t="shared" si="23"/>
        <v>1151279</v>
      </c>
      <c r="Q236" s="3">
        <f t="shared" si="24"/>
        <v>171169</v>
      </c>
      <c r="R236" s="3">
        <f t="shared" si="25"/>
        <v>35767</v>
      </c>
      <c r="S236" s="3">
        <f t="shared" si="26"/>
        <v>944343</v>
      </c>
      <c r="T236" s="3">
        <f t="shared" si="27"/>
        <v>0</v>
      </c>
      <c r="U236" s="3">
        <f>IF($A$5=1,IF($P236=0,0,ROUND(Q236/$P236*$E236,2)),Credits!D236)+Credits!J236</f>
        <v>2826.71</v>
      </c>
      <c r="V236" s="3">
        <f>IF($A$5=1,IF($P236=0,0,ROUND(R236/$P236*$E236,2)),Credits!E236)+Credits!K236</f>
        <v>591.11999999999989</v>
      </c>
      <c r="W236" s="3">
        <f>IF($A$5=1,IF($P236=0,0,ROUND(S236/$P236*$E236,2)),Credits!F236)+Credits!L236</f>
        <v>15594.97</v>
      </c>
      <c r="X236" s="3">
        <f>IF($A$5=1,IF($P236=0,0,ROUND(T236/$P236*$E236,2)),Credits!G236)+Credits!M236</f>
        <v>0</v>
      </c>
      <c r="Y236" s="3">
        <f t="shared" si="28"/>
        <v>19012.8</v>
      </c>
    </row>
    <row r="237" spans="1:25" ht="15" x14ac:dyDescent="0.25">
      <c r="A237" s="5">
        <v>768</v>
      </c>
      <c r="B237" s="5">
        <v>1</v>
      </c>
      <c r="C237" s="2" t="s">
        <v>233</v>
      </c>
      <c r="D237" s="3">
        <v>31351.99</v>
      </c>
      <c r="E237" s="3">
        <v>26308.04</v>
      </c>
      <c r="F237" s="173">
        <v>150573.19</v>
      </c>
      <c r="G237" s="173">
        <v>18293.93</v>
      </c>
      <c r="H237" s="173">
        <v>0</v>
      </c>
      <c r="I237" s="173">
        <v>86028.63</v>
      </c>
      <c r="J237" s="174">
        <v>14952.54</v>
      </c>
      <c r="K237" s="173">
        <v>242896.16</v>
      </c>
      <c r="L237" s="173">
        <v>27065.95</v>
      </c>
      <c r="M237" s="175">
        <v>0</v>
      </c>
      <c r="N237" s="173">
        <v>0</v>
      </c>
      <c r="O237" s="152">
        <f t="shared" si="22"/>
        <v>539810.39999999991</v>
      </c>
      <c r="P237" s="3">
        <f t="shared" si="23"/>
        <v>370943.28</v>
      </c>
      <c r="Q237" s="3">
        <f t="shared" si="24"/>
        <v>86028.63</v>
      </c>
      <c r="R237" s="3">
        <f t="shared" si="25"/>
        <v>14952.54</v>
      </c>
      <c r="S237" s="3">
        <f t="shared" si="26"/>
        <v>269962.11</v>
      </c>
      <c r="T237" s="3">
        <f t="shared" si="27"/>
        <v>0</v>
      </c>
      <c r="U237" s="3">
        <f>IF($A$5=1,IF($P237=0,0,ROUND(Q237/$P237*$E237,2)),Credits!D237)+Credits!J237</f>
        <v>3351.79</v>
      </c>
      <c r="V237" s="3">
        <f>IF($A$5=1,IF($P237=0,0,ROUND(R237/$P237*$E237,2)),Credits!E237)+Credits!K237</f>
        <v>583.25</v>
      </c>
      <c r="W237" s="3">
        <f>IF($A$5=1,IF($P237=0,0,ROUND(S237/$P237*$E237,2)),Credits!F237)+Credits!L237</f>
        <v>10363.65</v>
      </c>
      <c r="X237" s="3">
        <f>IF($A$5=1,IF($P237=0,0,ROUND(T237/$P237*$E237,2)),Credits!G237)+Credits!M237</f>
        <v>153.88</v>
      </c>
      <c r="Y237" s="3">
        <f t="shared" si="28"/>
        <v>14452.569999999998</v>
      </c>
    </row>
    <row r="238" spans="1:25" ht="15" x14ac:dyDescent="0.25">
      <c r="A238" s="5">
        <v>769</v>
      </c>
      <c r="B238" s="5">
        <v>1</v>
      </c>
      <c r="C238" s="2" t="s">
        <v>234</v>
      </c>
      <c r="D238" s="3">
        <v>220157.35</v>
      </c>
      <c r="E238" s="3">
        <v>199429.33</v>
      </c>
      <c r="F238" s="173">
        <v>643278.04</v>
      </c>
      <c r="G238" s="173">
        <v>77584</v>
      </c>
      <c r="H238" s="173">
        <v>0</v>
      </c>
      <c r="I238" s="173">
        <v>275760.71000000002</v>
      </c>
      <c r="J238" s="174">
        <v>92380.66</v>
      </c>
      <c r="K238" s="173">
        <v>1992157.26</v>
      </c>
      <c r="L238" s="173">
        <v>0</v>
      </c>
      <c r="M238" s="175">
        <v>0</v>
      </c>
      <c r="N238" s="173">
        <v>97122.21</v>
      </c>
      <c r="O238" s="152">
        <f t="shared" si="22"/>
        <v>3178282.88</v>
      </c>
      <c r="P238" s="3">
        <f t="shared" si="23"/>
        <v>2457420.84</v>
      </c>
      <c r="Q238" s="3">
        <f t="shared" si="24"/>
        <v>275760.71000000002</v>
      </c>
      <c r="R238" s="3">
        <f t="shared" si="25"/>
        <v>92380.66</v>
      </c>
      <c r="S238" s="3">
        <f t="shared" si="26"/>
        <v>1992157.26</v>
      </c>
      <c r="T238" s="3">
        <f t="shared" si="27"/>
        <v>97122.21</v>
      </c>
      <c r="U238" s="3">
        <f>IF($A$5=1,IF($P238=0,0,ROUND(Q238/$P238*$E238,2)),Credits!D238)+Credits!J238</f>
        <v>8432.7199999999993</v>
      </c>
      <c r="V238" s="3">
        <f>IF($A$5=1,IF($P238=0,0,ROUND(R238/$P238*$E238,2)),Credits!E238)+Credits!K238</f>
        <v>2825.24</v>
      </c>
      <c r="W238" s="3">
        <f>IF($A$5=1,IF($P238=0,0,ROUND(S238/$P238*$E238,2)),Credits!F238)+Credits!L238</f>
        <v>60116.2</v>
      </c>
      <c r="X238" s="3">
        <f>IF($A$5=1,IF($P238=0,0,ROUND(T238/$P238*$E238,2)),Credits!G238)+Credits!M238</f>
        <v>2930.92</v>
      </c>
      <c r="Y238" s="3">
        <f t="shared" si="28"/>
        <v>74305.08</v>
      </c>
    </row>
    <row r="239" spans="1:25" ht="15" x14ac:dyDescent="0.25">
      <c r="A239" s="5">
        <v>771</v>
      </c>
      <c r="B239" s="5">
        <v>1</v>
      </c>
      <c r="C239" s="2" t="s">
        <v>235</v>
      </c>
      <c r="D239" s="3">
        <v>10930.59</v>
      </c>
      <c r="E239" s="3">
        <v>8040.54</v>
      </c>
      <c r="F239" s="173">
        <v>389288.53</v>
      </c>
      <c r="G239" s="173">
        <v>4207.7299999999996</v>
      </c>
      <c r="H239" s="173">
        <v>0</v>
      </c>
      <c r="I239" s="173">
        <v>82103.899999999994</v>
      </c>
      <c r="J239" s="174">
        <v>22478.35</v>
      </c>
      <c r="K239" s="173">
        <v>0</v>
      </c>
      <c r="L239" s="173">
        <v>0</v>
      </c>
      <c r="M239" s="175">
        <v>0</v>
      </c>
      <c r="N239" s="173">
        <v>0</v>
      </c>
      <c r="O239" s="152">
        <f t="shared" si="22"/>
        <v>498078.51</v>
      </c>
      <c r="P239" s="3">
        <f t="shared" si="23"/>
        <v>104582.25</v>
      </c>
      <c r="Q239" s="3">
        <f t="shared" si="24"/>
        <v>82103.899999999994</v>
      </c>
      <c r="R239" s="3">
        <f t="shared" si="25"/>
        <v>22478.35</v>
      </c>
      <c r="S239" s="3">
        <f t="shared" si="26"/>
        <v>0</v>
      </c>
      <c r="T239" s="3">
        <f t="shared" si="27"/>
        <v>0</v>
      </c>
      <c r="U239" s="3">
        <f>IF($A$5=1,IF($P239=0,0,ROUND(Q239/$P239*$E239,2)),Credits!D239)+Credits!J239</f>
        <v>4443.3599999999997</v>
      </c>
      <c r="V239" s="3">
        <f>IF($A$5=1,IF($P239=0,0,ROUND(R239/$P239*$E239,2)),Credits!E239)+Credits!K239</f>
        <v>1216.8800000000001</v>
      </c>
      <c r="W239" s="3">
        <f>IF($A$5=1,IF($P239=0,0,ROUND(S239/$P239*$E239,2)),Credits!F239)+Credits!L239</f>
        <v>0</v>
      </c>
      <c r="X239" s="3">
        <f>IF($A$5=1,IF($P239=0,0,ROUND(T239/$P239*$E239,2)),Credits!G239)+Credits!M239</f>
        <v>0</v>
      </c>
      <c r="Y239" s="3">
        <f t="shared" si="28"/>
        <v>5660.24</v>
      </c>
    </row>
    <row r="240" spans="1:25" ht="15" x14ac:dyDescent="0.25">
      <c r="A240" s="5">
        <v>775</v>
      </c>
      <c r="B240" s="5">
        <v>1</v>
      </c>
      <c r="C240" s="2" t="s">
        <v>236</v>
      </c>
      <c r="D240" s="3">
        <v>57863.600000000006</v>
      </c>
      <c r="E240" s="3">
        <v>56421.25</v>
      </c>
      <c r="F240" s="173">
        <v>232089.46</v>
      </c>
      <c r="G240" s="173">
        <v>38355.68</v>
      </c>
      <c r="H240" s="173">
        <v>0</v>
      </c>
      <c r="I240" s="173">
        <v>303582.45</v>
      </c>
      <c r="J240" s="174">
        <v>39356.400000000001</v>
      </c>
      <c r="K240" s="173">
        <v>557756.43999999994</v>
      </c>
      <c r="L240" s="173">
        <v>0</v>
      </c>
      <c r="M240" s="175">
        <v>0</v>
      </c>
      <c r="N240" s="173">
        <v>0</v>
      </c>
      <c r="O240" s="152">
        <f t="shared" si="22"/>
        <v>1171140.4300000002</v>
      </c>
      <c r="P240" s="3">
        <f t="shared" si="23"/>
        <v>900695.29</v>
      </c>
      <c r="Q240" s="3">
        <f t="shared" si="24"/>
        <v>303582.45</v>
      </c>
      <c r="R240" s="3">
        <f t="shared" si="25"/>
        <v>39356.400000000001</v>
      </c>
      <c r="S240" s="3">
        <f t="shared" si="26"/>
        <v>557756.43999999994</v>
      </c>
      <c r="T240" s="3">
        <f t="shared" si="27"/>
        <v>0</v>
      </c>
      <c r="U240" s="3">
        <f>IF($A$5=1,IF($P240=0,0,ROUND(Q240/$P240*$E240,2)),Credits!D240)+Credits!J240</f>
        <v>5667.23</v>
      </c>
      <c r="V240" s="3">
        <f>IF($A$5=1,IF($P240=0,0,ROUND(R240/$P240*$E240,2)),Credits!E240)+Credits!K240</f>
        <v>735.01</v>
      </c>
      <c r="W240" s="3">
        <f>IF($A$5=1,IF($P240=0,0,ROUND(S240/$P240*$E240,2)),Credits!F240)+Credits!L240</f>
        <v>10411.970000000001</v>
      </c>
      <c r="X240" s="3">
        <f>IF($A$5=1,IF($P240=0,0,ROUND(T240/$P240*$E240,2)),Credits!G240)+Credits!M240</f>
        <v>0</v>
      </c>
      <c r="Y240" s="3">
        <f t="shared" si="28"/>
        <v>16814.21</v>
      </c>
    </row>
    <row r="241" spans="1:25" ht="15" x14ac:dyDescent="0.25">
      <c r="A241" s="5">
        <v>777</v>
      </c>
      <c r="B241" s="5">
        <v>1</v>
      </c>
      <c r="C241" s="2" t="s">
        <v>237</v>
      </c>
      <c r="D241" s="3">
        <v>62303.53</v>
      </c>
      <c r="E241" s="3">
        <v>60705.58</v>
      </c>
      <c r="F241" s="173">
        <v>417094.41</v>
      </c>
      <c r="G241" s="173">
        <v>63965.32</v>
      </c>
      <c r="H241" s="173">
        <v>0</v>
      </c>
      <c r="I241" s="173">
        <v>400033.3</v>
      </c>
      <c r="J241" s="174">
        <v>65195.72</v>
      </c>
      <c r="K241" s="173">
        <v>313988.90000000002</v>
      </c>
      <c r="L241" s="173">
        <v>0</v>
      </c>
      <c r="M241" s="175">
        <v>0</v>
      </c>
      <c r="N241" s="173">
        <v>0</v>
      </c>
      <c r="O241" s="152">
        <f t="shared" si="22"/>
        <v>1260277.6499999999</v>
      </c>
      <c r="P241" s="3">
        <f t="shared" si="23"/>
        <v>779217.92000000004</v>
      </c>
      <c r="Q241" s="3">
        <f t="shared" si="24"/>
        <v>400033.3</v>
      </c>
      <c r="R241" s="3">
        <f t="shared" si="25"/>
        <v>65195.72</v>
      </c>
      <c r="S241" s="3">
        <f t="shared" si="26"/>
        <v>313988.90000000002</v>
      </c>
      <c r="T241" s="3">
        <f t="shared" si="27"/>
        <v>0</v>
      </c>
      <c r="U241" s="3">
        <f>IF($A$5=1,IF($P241=0,0,ROUND(Q241/$P241*$E241,2)),Credits!D241)+Credits!J241</f>
        <v>9191.619999999999</v>
      </c>
      <c r="V241" s="3">
        <f>IF($A$5=1,IF($P241=0,0,ROUND(R241/$P241*$E241,2)),Credits!E241)+Credits!K241</f>
        <v>1499.56</v>
      </c>
      <c r="W241" s="3">
        <f>IF($A$5=1,IF($P241=0,0,ROUND(S241/$P241*$E241,2)),Credits!F241)+Credits!L241</f>
        <v>7211.66</v>
      </c>
      <c r="X241" s="3">
        <f>IF($A$5=1,IF($P241=0,0,ROUND(T241/$P241*$E241,2)),Credits!G241)+Credits!M241</f>
        <v>0</v>
      </c>
      <c r="Y241" s="3">
        <f t="shared" si="28"/>
        <v>17902.839999999997</v>
      </c>
    </row>
    <row r="242" spans="1:25" ht="15" x14ac:dyDescent="0.25">
      <c r="A242" s="5">
        <v>786</v>
      </c>
      <c r="B242" s="5">
        <v>1</v>
      </c>
      <c r="C242" s="2" t="s">
        <v>238</v>
      </c>
      <c r="D242" s="3">
        <v>92271.209999999992</v>
      </c>
      <c r="E242" s="3">
        <v>89491.96</v>
      </c>
      <c r="F242" s="173">
        <v>112999</v>
      </c>
      <c r="G242" s="173">
        <v>19125</v>
      </c>
      <c r="H242" s="173">
        <v>0</v>
      </c>
      <c r="I242" s="173">
        <v>121455</v>
      </c>
      <c r="J242" s="174">
        <v>22715</v>
      </c>
      <c r="K242" s="173">
        <v>341935</v>
      </c>
      <c r="L242" s="173">
        <v>0</v>
      </c>
      <c r="M242" s="175">
        <v>0</v>
      </c>
      <c r="N242" s="173">
        <v>0</v>
      </c>
      <c r="O242" s="152">
        <f t="shared" si="22"/>
        <v>618229</v>
      </c>
      <c r="P242" s="3">
        <f t="shared" si="23"/>
        <v>486105</v>
      </c>
      <c r="Q242" s="3">
        <f t="shared" si="24"/>
        <v>121455</v>
      </c>
      <c r="R242" s="3">
        <f t="shared" si="25"/>
        <v>22715</v>
      </c>
      <c r="S242" s="3">
        <f t="shared" si="26"/>
        <v>341935</v>
      </c>
      <c r="T242" s="3">
        <f t="shared" si="27"/>
        <v>0</v>
      </c>
      <c r="U242" s="3">
        <f>IF($A$5=1,IF($P242=0,0,ROUND(Q242/$P242*$E242,2)),Credits!D242)+Credits!J242</f>
        <v>8759.0700000000015</v>
      </c>
      <c r="V242" s="3">
        <f>IF($A$5=1,IF($P242=0,0,ROUND(R242/$P242*$E242,2)),Credits!E242)+Credits!K242</f>
        <v>1638.85</v>
      </c>
      <c r="W242" s="3">
        <f>IF($A$5=1,IF($P242=0,0,ROUND(S242/$P242*$E242,2)),Credits!F242)+Credits!L242</f>
        <v>24661.57</v>
      </c>
      <c r="X242" s="3">
        <f>IF($A$5=1,IF($P242=0,0,ROUND(T242/$P242*$E242,2)),Credits!G242)+Credits!M242</f>
        <v>0</v>
      </c>
      <c r="Y242" s="3">
        <f t="shared" si="28"/>
        <v>35059.490000000005</v>
      </c>
    </row>
    <row r="243" spans="1:25" ht="15" x14ac:dyDescent="0.25">
      <c r="A243" s="5">
        <v>787</v>
      </c>
      <c r="B243" s="5">
        <v>1</v>
      </c>
      <c r="C243" s="2" t="s">
        <v>239</v>
      </c>
      <c r="D243" s="3">
        <v>46763.17</v>
      </c>
      <c r="E243" s="3">
        <v>47798.5</v>
      </c>
      <c r="F243" s="173">
        <v>26700</v>
      </c>
      <c r="G243" s="173">
        <v>47330</v>
      </c>
      <c r="H243" s="173">
        <v>0</v>
      </c>
      <c r="I243" s="173">
        <v>119669</v>
      </c>
      <c r="J243" s="174">
        <v>5801</v>
      </c>
      <c r="K243" s="173">
        <v>184502</v>
      </c>
      <c r="L243" s="173">
        <v>0</v>
      </c>
      <c r="M243" s="175">
        <v>0</v>
      </c>
      <c r="N243" s="173">
        <v>0</v>
      </c>
      <c r="O243" s="152">
        <f t="shared" si="22"/>
        <v>384002</v>
      </c>
      <c r="P243" s="3">
        <f t="shared" si="23"/>
        <v>309972</v>
      </c>
      <c r="Q243" s="3">
        <f t="shared" si="24"/>
        <v>119669</v>
      </c>
      <c r="R243" s="3">
        <f t="shared" si="25"/>
        <v>5801</v>
      </c>
      <c r="S243" s="3">
        <f t="shared" si="26"/>
        <v>184502</v>
      </c>
      <c r="T243" s="3">
        <f t="shared" si="27"/>
        <v>0</v>
      </c>
      <c r="U243" s="3">
        <f>IF($A$5=1,IF($P243=0,0,ROUND(Q243/$P243*$E243,2)),Credits!D243)+Credits!J243</f>
        <v>7471.09</v>
      </c>
      <c r="V243" s="3">
        <f>IF($A$5=1,IF($P243=0,0,ROUND(R243/$P243*$E243,2)),Credits!E243)+Credits!K243</f>
        <v>331.8</v>
      </c>
      <c r="W243" s="3">
        <f>IF($A$5=1,IF($P243=0,0,ROUND(S243/$P243*$E243,2)),Credits!F243)+Credits!L243</f>
        <v>10541.05</v>
      </c>
      <c r="X243" s="3">
        <f>IF($A$5=1,IF($P243=0,0,ROUND(T243/$P243*$E243,2)),Credits!G243)+Credits!M243</f>
        <v>0</v>
      </c>
      <c r="Y243" s="3">
        <f t="shared" si="28"/>
        <v>18343.939999999999</v>
      </c>
    </row>
    <row r="244" spans="1:25" ht="15" x14ac:dyDescent="0.25">
      <c r="A244" s="5">
        <v>801</v>
      </c>
      <c r="B244" s="5">
        <v>1</v>
      </c>
      <c r="C244" s="2" t="s">
        <v>240</v>
      </c>
      <c r="D244" s="3">
        <v>6384.52</v>
      </c>
      <c r="E244" s="3">
        <v>7952.27</v>
      </c>
      <c r="F244" s="173">
        <v>78218.11</v>
      </c>
      <c r="G244" s="173">
        <v>2939.84</v>
      </c>
      <c r="H244" s="173">
        <v>0</v>
      </c>
      <c r="I244" s="173">
        <v>48680.76</v>
      </c>
      <c r="J244" s="174">
        <v>12789.61</v>
      </c>
      <c r="K244" s="173">
        <v>0</v>
      </c>
      <c r="L244" s="173">
        <v>0</v>
      </c>
      <c r="M244" s="175">
        <v>0</v>
      </c>
      <c r="N244" s="173">
        <v>0</v>
      </c>
      <c r="O244" s="152">
        <f t="shared" si="22"/>
        <v>142628.32</v>
      </c>
      <c r="P244" s="3">
        <f t="shared" si="23"/>
        <v>61470.37</v>
      </c>
      <c r="Q244" s="3">
        <f t="shared" si="24"/>
        <v>48680.76</v>
      </c>
      <c r="R244" s="3">
        <f t="shared" si="25"/>
        <v>12789.61</v>
      </c>
      <c r="S244" s="3">
        <f t="shared" si="26"/>
        <v>0</v>
      </c>
      <c r="T244" s="3">
        <f t="shared" si="27"/>
        <v>0</v>
      </c>
      <c r="U244" s="3">
        <f>IF($A$5=1,IF($P244=0,0,ROUND(Q244/$P244*$E244,2)),Credits!D244)+Credits!J244</f>
        <v>828.48</v>
      </c>
      <c r="V244" s="3">
        <f>IF($A$5=1,IF($P244=0,0,ROUND(R244/$P244*$E244,2)),Credits!E244)+Credits!K244</f>
        <v>217.73</v>
      </c>
      <c r="W244" s="3">
        <f>IF($A$5=1,IF($P244=0,0,ROUND(S244/$P244*$E244,2)),Credits!F244)+Credits!L244</f>
        <v>0</v>
      </c>
      <c r="X244" s="3">
        <f>IF($A$5=1,IF($P244=0,0,ROUND(T244/$P244*$E244,2)),Credits!G244)+Credits!M244</f>
        <v>0</v>
      </c>
      <c r="Y244" s="3">
        <f t="shared" si="28"/>
        <v>1046.21</v>
      </c>
    </row>
    <row r="245" spans="1:25" ht="15" x14ac:dyDescent="0.25">
      <c r="A245" s="5">
        <v>803</v>
      </c>
      <c r="B245" s="5">
        <v>1</v>
      </c>
      <c r="C245" s="2" t="s">
        <v>241</v>
      </c>
      <c r="D245" s="3">
        <v>22007.9</v>
      </c>
      <c r="E245" s="3">
        <v>22027.5</v>
      </c>
      <c r="F245" s="173">
        <v>417450.9</v>
      </c>
      <c r="G245" s="173">
        <v>17346.990000000002</v>
      </c>
      <c r="H245" s="173">
        <v>0</v>
      </c>
      <c r="I245" s="173">
        <v>199878.66</v>
      </c>
      <c r="J245" s="174">
        <v>29923.01</v>
      </c>
      <c r="K245" s="173">
        <v>0</v>
      </c>
      <c r="L245" s="173">
        <v>0</v>
      </c>
      <c r="M245" s="175">
        <v>0</v>
      </c>
      <c r="N245" s="173">
        <v>0</v>
      </c>
      <c r="O245" s="152">
        <f t="shared" si="22"/>
        <v>664599.56000000006</v>
      </c>
      <c r="P245" s="3">
        <f t="shared" si="23"/>
        <v>229801.67</v>
      </c>
      <c r="Q245" s="3">
        <f t="shared" si="24"/>
        <v>199878.66</v>
      </c>
      <c r="R245" s="3">
        <f t="shared" si="25"/>
        <v>29923.01</v>
      </c>
      <c r="S245" s="3">
        <f t="shared" si="26"/>
        <v>0</v>
      </c>
      <c r="T245" s="3">
        <f t="shared" si="27"/>
        <v>0</v>
      </c>
      <c r="U245" s="3">
        <f>IF($A$5=1,IF($P245=0,0,ROUND(Q245/$P245*$E245,2)),Credits!D245)+Credits!J245</f>
        <v>16392.5</v>
      </c>
      <c r="V245" s="3">
        <f>IF($A$5=1,IF($P245=0,0,ROUND(R245/$P245*$E245,2)),Credits!E245)+Credits!K245</f>
        <v>2454.08</v>
      </c>
      <c r="W245" s="3">
        <f>IF($A$5=1,IF($P245=0,0,ROUND(S245/$P245*$E245,2)),Credits!F245)+Credits!L245</f>
        <v>0</v>
      </c>
      <c r="X245" s="3">
        <f>IF($A$5=1,IF($P245=0,0,ROUND(T245/$P245*$E245,2)),Credits!G245)+Credits!M245</f>
        <v>0</v>
      </c>
      <c r="Y245" s="3">
        <f t="shared" si="28"/>
        <v>18846.580000000002</v>
      </c>
    </row>
    <row r="246" spans="1:25" ht="15" x14ac:dyDescent="0.25">
      <c r="A246" s="5">
        <v>811</v>
      </c>
      <c r="B246" s="5">
        <v>1</v>
      </c>
      <c r="C246" s="2" t="s">
        <v>242</v>
      </c>
      <c r="D246" s="3">
        <v>69686.83</v>
      </c>
      <c r="E246" s="3">
        <v>71355.5</v>
      </c>
      <c r="F246" s="173">
        <v>686360</v>
      </c>
      <c r="G246" s="173">
        <v>61654</v>
      </c>
      <c r="H246" s="173">
        <v>0</v>
      </c>
      <c r="I246" s="173">
        <v>152335</v>
      </c>
      <c r="J246" s="174">
        <v>71149</v>
      </c>
      <c r="K246" s="173">
        <v>195328</v>
      </c>
      <c r="L246" s="173">
        <v>88788</v>
      </c>
      <c r="M246" s="175">
        <v>0</v>
      </c>
      <c r="N246" s="173">
        <v>0</v>
      </c>
      <c r="O246" s="152">
        <f t="shared" si="22"/>
        <v>1255614</v>
      </c>
      <c r="P246" s="3">
        <f t="shared" si="23"/>
        <v>507600</v>
      </c>
      <c r="Q246" s="3">
        <f t="shared" si="24"/>
        <v>152335</v>
      </c>
      <c r="R246" s="3">
        <f t="shared" si="25"/>
        <v>71149</v>
      </c>
      <c r="S246" s="3">
        <f t="shared" si="26"/>
        <v>284116</v>
      </c>
      <c r="T246" s="3">
        <f t="shared" si="27"/>
        <v>0</v>
      </c>
      <c r="U246" s="3">
        <f>IF($A$5=1,IF($P246=0,0,ROUND(Q246/$P246*$E246,2)),Credits!D246)+Credits!J246</f>
        <v>3356.61</v>
      </c>
      <c r="V246" s="3">
        <f>IF($A$5=1,IF($P246=0,0,ROUND(R246/$P246*$E246,2)),Credits!E246)+Credits!K246</f>
        <v>1568.27</v>
      </c>
      <c r="W246" s="3">
        <f>IF($A$5=1,IF($P246=0,0,ROUND(S246/$P246*$E246,2)),Credits!F246)+Credits!L246</f>
        <v>6260.91</v>
      </c>
      <c r="X246" s="3">
        <f>IF($A$5=1,IF($P246=0,0,ROUND(T246/$P246*$E246,2)),Credits!G246)+Credits!M246</f>
        <v>0</v>
      </c>
      <c r="Y246" s="3">
        <f t="shared" si="28"/>
        <v>11185.79</v>
      </c>
    </row>
    <row r="247" spans="1:25" ht="15" x14ac:dyDescent="0.25">
      <c r="A247" s="5">
        <v>813</v>
      </c>
      <c r="B247" s="5">
        <v>1</v>
      </c>
      <c r="C247" s="2" t="s">
        <v>243</v>
      </c>
      <c r="D247" s="3">
        <v>93431.98000000001</v>
      </c>
      <c r="E247" s="3">
        <v>120860.85</v>
      </c>
      <c r="F247" s="173">
        <v>1209116</v>
      </c>
      <c r="G247" s="173">
        <v>140193</v>
      </c>
      <c r="H247" s="173">
        <v>0</v>
      </c>
      <c r="I247" s="173">
        <v>425803</v>
      </c>
      <c r="J247" s="174">
        <v>114178</v>
      </c>
      <c r="K247" s="173">
        <v>615342</v>
      </c>
      <c r="L247" s="173">
        <v>715338</v>
      </c>
      <c r="M247" s="175">
        <v>0</v>
      </c>
      <c r="N247" s="173">
        <v>0</v>
      </c>
      <c r="O247" s="152">
        <f t="shared" si="22"/>
        <v>3219970</v>
      </c>
      <c r="P247" s="3">
        <f t="shared" si="23"/>
        <v>1870661</v>
      </c>
      <c r="Q247" s="3">
        <f t="shared" si="24"/>
        <v>425803</v>
      </c>
      <c r="R247" s="3">
        <f t="shared" si="25"/>
        <v>114178</v>
      </c>
      <c r="S247" s="3">
        <f t="shared" si="26"/>
        <v>1330680</v>
      </c>
      <c r="T247" s="3">
        <f t="shared" si="27"/>
        <v>0</v>
      </c>
      <c r="U247" s="3">
        <f>IF($A$5=1,IF($P247=0,0,ROUND(Q247/$P247*$E247,2)),Credits!D247)+Credits!J247</f>
        <v>5837.9500000000007</v>
      </c>
      <c r="V247" s="3">
        <f>IF($A$5=1,IF($P247=0,0,ROUND(R247/$P247*$E247,2)),Credits!E247)+Credits!K247</f>
        <v>1564.9299999999998</v>
      </c>
      <c r="W247" s="3">
        <f>IF($A$5=1,IF($P247=0,0,ROUND(S247/$P247*$E247,2)),Credits!F247)+Credits!L247</f>
        <v>18067.07</v>
      </c>
      <c r="X247" s="3">
        <f>IF($A$5=1,IF($P247=0,0,ROUND(T247/$P247*$E247,2)),Credits!G247)+Credits!M247</f>
        <v>0</v>
      </c>
      <c r="Y247" s="3">
        <f t="shared" si="28"/>
        <v>25469.95</v>
      </c>
    </row>
    <row r="248" spans="1:25" ht="15" x14ac:dyDescent="0.25">
      <c r="A248" s="5">
        <v>815</v>
      </c>
      <c r="B248" s="5">
        <v>2</v>
      </c>
      <c r="C248" s="2" t="s">
        <v>244</v>
      </c>
      <c r="D248" s="3">
        <v>7661.1</v>
      </c>
      <c r="E248" s="3">
        <v>6469.17</v>
      </c>
      <c r="F248" s="173">
        <v>19388.240000000002</v>
      </c>
      <c r="G248" s="173">
        <v>2767.75</v>
      </c>
      <c r="H248" s="173">
        <v>35000</v>
      </c>
      <c r="I248" s="173">
        <v>0</v>
      </c>
      <c r="J248" s="174">
        <v>0</v>
      </c>
      <c r="K248" s="173">
        <v>0</v>
      </c>
      <c r="L248" s="173">
        <v>0</v>
      </c>
      <c r="M248" s="175">
        <v>0</v>
      </c>
      <c r="N248" s="173">
        <v>0</v>
      </c>
      <c r="O248" s="152">
        <f t="shared" si="22"/>
        <v>57155.990000000005</v>
      </c>
      <c r="P248" s="3">
        <f t="shared" si="23"/>
        <v>35000</v>
      </c>
      <c r="Q248" s="3">
        <f t="shared" si="24"/>
        <v>35000</v>
      </c>
      <c r="R248" s="3">
        <f t="shared" si="25"/>
        <v>0</v>
      </c>
      <c r="S248" s="3">
        <f t="shared" si="26"/>
        <v>0</v>
      </c>
      <c r="T248" s="3">
        <f t="shared" si="27"/>
        <v>0</v>
      </c>
      <c r="U248" s="3">
        <f>IF($A$5=1,IF($P248=0,0,ROUND(Q248/$P248*$E248,2)),Credits!D248)+Credits!J248</f>
        <v>805.61</v>
      </c>
      <c r="V248" s="3">
        <f>IF($A$5=1,IF($P248=0,0,ROUND(R248/$P248*$E248,2)),Credits!E248)+Credits!K248</f>
        <v>0</v>
      </c>
      <c r="W248" s="3">
        <f>IF($A$5=1,IF($P248=0,0,ROUND(S248/$P248*$E248,2)),Credits!F248)+Credits!L248</f>
        <v>0</v>
      </c>
      <c r="X248" s="3">
        <f>IF($A$5=1,IF($P248=0,0,ROUND(T248/$P248*$E248,2)),Credits!G248)+Credits!M248</f>
        <v>0</v>
      </c>
      <c r="Y248" s="3">
        <f t="shared" si="28"/>
        <v>805.61</v>
      </c>
    </row>
    <row r="249" spans="1:25" ht="15" x14ac:dyDescent="0.25">
      <c r="A249" s="5">
        <v>818</v>
      </c>
      <c r="B249" s="5">
        <v>1</v>
      </c>
      <c r="C249" s="2" t="s">
        <v>245</v>
      </c>
      <c r="D249" s="3">
        <v>45634.729999999996</v>
      </c>
      <c r="E249" s="3">
        <v>43777.11</v>
      </c>
      <c r="F249" s="173">
        <v>0</v>
      </c>
      <c r="G249" s="173">
        <v>22592</v>
      </c>
      <c r="H249" s="173">
        <v>0</v>
      </c>
      <c r="I249" s="173">
        <v>121663</v>
      </c>
      <c r="J249" s="174">
        <v>17047</v>
      </c>
      <c r="K249" s="173">
        <v>246830</v>
      </c>
      <c r="L249" s="173">
        <v>0</v>
      </c>
      <c r="M249" s="175">
        <v>0</v>
      </c>
      <c r="N249" s="173">
        <v>0</v>
      </c>
      <c r="O249" s="152">
        <f t="shared" si="22"/>
        <v>408132</v>
      </c>
      <c r="P249" s="3">
        <f t="shared" si="23"/>
        <v>385540</v>
      </c>
      <c r="Q249" s="3">
        <f t="shared" si="24"/>
        <v>121663</v>
      </c>
      <c r="R249" s="3">
        <f t="shared" si="25"/>
        <v>17047</v>
      </c>
      <c r="S249" s="3">
        <f t="shared" si="26"/>
        <v>246830</v>
      </c>
      <c r="T249" s="3">
        <f t="shared" si="27"/>
        <v>0</v>
      </c>
      <c r="U249" s="3">
        <f>IF($A$5=1,IF($P249=0,0,ROUND(Q249/$P249*$E249,2)),Credits!D249)+Credits!J249</f>
        <v>4886.5600000000004</v>
      </c>
      <c r="V249" s="3">
        <f>IF($A$5=1,IF($P249=0,0,ROUND(R249/$P249*$E249,2)),Credits!E249)+Credits!K249</f>
        <v>684.94999999999993</v>
      </c>
      <c r="W249" s="3">
        <f>IF($A$5=1,IF($P249=0,0,ROUND(S249/$P249*$E249,2)),Credits!F249)+Credits!L249</f>
        <v>9914.7800000000007</v>
      </c>
      <c r="X249" s="3">
        <f>IF($A$5=1,IF($P249=0,0,ROUND(T249/$P249*$E249,2)),Credits!G249)+Credits!M249</f>
        <v>0</v>
      </c>
      <c r="Y249" s="3">
        <f t="shared" si="28"/>
        <v>15486.29</v>
      </c>
    </row>
    <row r="250" spans="1:25" ht="15" x14ac:dyDescent="0.25">
      <c r="A250" s="5">
        <v>820</v>
      </c>
      <c r="B250" s="5">
        <v>1</v>
      </c>
      <c r="C250" s="2" t="s">
        <v>246</v>
      </c>
      <c r="D250" s="3">
        <v>34232.89</v>
      </c>
      <c r="E250" s="3">
        <v>33659.729999999996</v>
      </c>
      <c r="F250" s="173">
        <v>212566</v>
      </c>
      <c r="G250" s="173">
        <v>29361</v>
      </c>
      <c r="H250" s="173">
        <v>0</v>
      </c>
      <c r="I250" s="173">
        <v>167401</v>
      </c>
      <c r="J250" s="174">
        <v>34783</v>
      </c>
      <c r="K250" s="173">
        <v>0</v>
      </c>
      <c r="L250" s="173">
        <v>0</v>
      </c>
      <c r="M250" s="175">
        <v>0</v>
      </c>
      <c r="N250" s="173">
        <v>0</v>
      </c>
      <c r="O250" s="152">
        <f t="shared" si="22"/>
        <v>444111</v>
      </c>
      <c r="P250" s="3">
        <f t="shared" si="23"/>
        <v>202184</v>
      </c>
      <c r="Q250" s="3">
        <f t="shared" si="24"/>
        <v>167401</v>
      </c>
      <c r="R250" s="3">
        <f t="shared" si="25"/>
        <v>34783</v>
      </c>
      <c r="S250" s="3">
        <f t="shared" si="26"/>
        <v>0</v>
      </c>
      <c r="T250" s="3">
        <f t="shared" si="27"/>
        <v>0</v>
      </c>
      <c r="U250" s="3">
        <f>IF($A$5=1,IF($P250=0,0,ROUND(Q250/$P250*$E250,2)),Credits!D250)+Credits!J250</f>
        <v>13441.51</v>
      </c>
      <c r="V250" s="3">
        <f>IF($A$5=1,IF($P250=0,0,ROUND(R250/$P250*$E250,2)),Credits!E250)+Credits!K250</f>
        <v>2794.88</v>
      </c>
      <c r="W250" s="3">
        <f>IF($A$5=1,IF($P250=0,0,ROUND(S250/$P250*$E250,2)),Credits!F250)+Credits!L250</f>
        <v>0</v>
      </c>
      <c r="X250" s="3">
        <f>IF($A$5=1,IF($P250=0,0,ROUND(T250/$P250*$E250,2)),Credits!G250)+Credits!M250</f>
        <v>0</v>
      </c>
      <c r="Y250" s="3">
        <f t="shared" si="28"/>
        <v>16236.39</v>
      </c>
    </row>
    <row r="251" spans="1:25" ht="15" x14ac:dyDescent="0.25">
      <c r="A251" s="5">
        <v>821</v>
      </c>
      <c r="B251" s="5">
        <v>1</v>
      </c>
      <c r="C251" s="2" t="s">
        <v>247</v>
      </c>
      <c r="D251" s="3">
        <v>73051.56</v>
      </c>
      <c r="E251" s="3">
        <v>93598.61</v>
      </c>
      <c r="F251" s="173">
        <v>0</v>
      </c>
      <c r="G251" s="173">
        <v>66632</v>
      </c>
      <c r="H251" s="173">
        <v>0</v>
      </c>
      <c r="I251" s="173">
        <v>261652</v>
      </c>
      <c r="J251" s="174">
        <v>43423</v>
      </c>
      <c r="K251" s="173">
        <v>389436</v>
      </c>
      <c r="L251" s="173">
        <v>131655</v>
      </c>
      <c r="M251" s="175">
        <v>0</v>
      </c>
      <c r="N251" s="173">
        <v>0</v>
      </c>
      <c r="O251" s="152">
        <f t="shared" si="22"/>
        <v>892798</v>
      </c>
      <c r="P251" s="3">
        <f t="shared" si="23"/>
        <v>826166</v>
      </c>
      <c r="Q251" s="3">
        <f t="shared" si="24"/>
        <v>261652</v>
      </c>
      <c r="R251" s="3">
        <f t="shared" si="25"/>
        <v>43423</v>
      </c>
      <c r="S251" s="3">
        <f t="shared" si="26"/>
        <v>521091</v>
      </c>
      <c r="T251" s="3">
        <f t="shared" si="27"/>
        <v>0</v>
      </c>
      <c r="U251" s="3">
        <f>IF($A$5=1,IF($P251=0,0,ROUND(Q251/$P251*$E251,2)),Credits!D251)+Credits!J251</f>
        <v>7776.43</v>
      </c>
      <c r="V251" s="3">
        <f>IF($A$5=1,IF($P251=0,0,ROUND(R251/$P251*$E251,2)),Credits!E251)+Credits!K251</f>
        <v>1290.69</v>
      </c>
      <c r="W251" s="3">
        <f>IF($A$5=1,IF($P251=0,0,ROUND(S251/$P251*$E251,2)),Credits!F251)+Credits!L251</f>
        <v>15489.320000000002</v>
      </c>
      <c r="X251" s="3">
        <f>IF($A$5=1,IF($P251=0,0,ROUND(T251/$P251*$E251,2)),Credits!G251)+Credits!M251</f>
        <v>0</v>
      </c>
      <c r="Y251" s="3">
        <f t="shared" si="28"/>
        <v>24556.440000000002</v>
      </c>
    </row>
    <row r="252" spans="1:25" ht="15" x14ac:dyDescent="0.25">
      <c r="A252" s="5">
        <v>829</v>
      </c>
      <c r="B252" s="5">
        <v>1</v>
      </c>
      <c r="C252" s="2" t="s">
        <v>248</v>
      </c>
      <c r="D252" s="3">
        <v>175652.39</v>
      </c>
      <c r="E252" s="3">
        <v>173935.86</v>
      </c>
      <c r="F252" s="173">
        <v>1025732</v>
      </c>
      <c r="G252" s="173">
        <v>147302</v>
      </c>
      <c r="H252" s="173">
        <v>0</v>
      </c>
      <c r="I252" s="173">
        <v>616955</v>
      </c>
      <c r="J252" s="174">
        <v>166464</v>
      </c>
      <c r="K252" s="173">
        <v>986737</v>
      </c>
      <c r="L252" s="173">
        <v>256231</v>
      </c>
      <c r="M252" s="175">
        <v>0</v>
      </c>
      <c r="N252" s="173">
        <v>0</v>
      </c>
      <c r="O252" s="152">
        <f t="shared" si="22"/>
        <v>3199421</v>
      </c>
      <c r="P252" s="3">
        <f t="shared" si="23"/>
        <v>2026387</v>
      </c>
      <c r="Q252" s="3">
        <f t="shared" si="24"/>
        <v>616955</v>
      </c>
      <c r="R252" s="3">
        <f t="shared" si="25"/>
        <v>166464</v>
      </c>
      <c r="S252" s="3">
        <f t="shared" si="26"/>
        <v>1242968</v>
      </c>
      <c r="T252" s="3">
        <f t="shared" si="27"/>
        <v>0</v>
      </c>
      <c r="U252" s="3">
        <f>IF($A$5=1,IF($P252=0,0,ROUND(Q252/$P252*$E252,2)),Credits!D252)+Credits!J252</f>
        <v>10529.79</v>
      </c>
      <c r="V252" s="3">
        <f>IF($A$5=1,IF($P252=0,0,ROUND(R252/$P252*$E252,2)),Credits!E252)+Credits!K252</f>
        <v>2841.56</v>
      </c>
      <c r="W252" s="3">
        <f>IF($A$5=1,IF($P252=0,0,ROUND(S252/$P252*$E252,2)),Credits!F252)+Credits!L252</f>
        <v>21198.090000000004</v>
      </c>
      <c r="X252" s="3">
        <f>IF($A$5=1,IF($P252=0,0,ROUND(T252/$P252*$E252,2)),Credits!G252)+Credits!M252</f>
        <v>0</v>
      </c>
      <c r="Y252" s="3">
        <f t="shared" si="28"/>
        <v>34569.440000000002</v>
      </c>
    </row>
    <row r="253" spans="1:25" ht="15" x14ac:dyDescent="0.25">
      <c r="A253" s="5">
        <v>831</v>
      </c>
      <c r="B253" s="5">
        <v>1</v>
      </c>
      <c r="C253" s="2" t="s">
        <v>249</v>
      </c>
      <c r="D253" s="3">
        <v>315588.72000000003</v>
      </c>
      <c r="E253" s="3">
        <v>390589.62999999995</v>
      </c>
      <c r="F253" s="173">
        <v>6336928</v>
      </c>
      <c r="G253" s="173">
        <v>960160</v>
      </c>
      <c r="H253" s="173">
        <v>0</v>
      </c>
      <c r="I253" s="173">
        <v>2598088</v>
      </c>
      <c r="J253" s="174">
        <v>904656</v>
      </c>
      <c r="K253" s="173">
        <v>4211451</v>
      </c>
      <c r="L253" s="173">
        <v>0</v>
      </c>
      <c r="M253" s="175">
        <v>0</v>
      </c>
      <c r="N253" s="173">
        <v>543577</v>
      </c>
      <c r="O253" s="152">
        <f t="shared" si="22"/>
        <v>15554860</v>
      </c>
      <c r="P253" s="3">
        <f t="shared" si="23"/>
        <v>8257772</v>
      </c>
      <c r="Q253" s="3">
        <f t="shared" si="24"/>
        <v>2598088</v>
      </c>
      <c r="R253" s="3">
        <f t="shared" si="25"/>
        <v>904656</v>
      </c>
      <c r="S253" s="3">
        <f t="shared" si="26"/>
        <v>4211451</v>
      </c>
      <c r="T253" s="3">
        <f t="shared" si="27"/>
        <v>543577</v>
      </c>
      <c r="U253" s="3">
        <f>IF($A$5=1,IF($P253=0,0,ROUND(Q253/$P253*$E253,2)),Credits!D253)+Credits!J253</f>
        <v>5357.6100000000006</v>
      </c>
      <c r="V253" s="3">
        <f>IF($A$5=1,IF($P253=0,0,ROUND(R253/$P253*$E253,2)),Credits!E253)+Credits!K253</f>
        <v>1866.09</v>
      </c>
      <c r="W253" s="3">
        <f>IF($A$5=1,IF($P253=0,0,ROUND(S253/$P253*$E253,2)),Credits!F253)+Credits!L253</f>
        <v>8669.64</v>
      </c>
      <c r="X253" s="3">
        <f>IF($A$5=1,IF($P253=0,0,ROUND(T253/$P253*$E253,2)),Credits!G253)+Credits!M253</f>
        <v>1119.08</v>
      </c>
      <c r="Y253" s="3">
        <f t="shared" si="28"/>
        <v>17012.419999999998</v>
      </c>
    </row>
    <row r="254" spans="1:25" ht="15" x14ac:dyDescent="0.25">
      <c r="A254" s="5">
        <v>832</v>
      </c>
      <c r="B254" s="5">
        <v>1</v>
      </c>
      <c r="C254" s="2" t="s">
        <v>250</v>
      </c>
      <c r="D254" s="3">
        <v>107940.81</v>
      </c>
      <c r="E254" s="3">
        <v>140774.56000000003</v>
      </c>
      <c r="F254" s="173">
        <v>3309955</v>
      </c>
      <c r="G254" s="173">
        <v>439765</v>
      </c>
      <c r="H254" s="173">
        <v>614409</v>
      </c>
      <c r="I254" s="173">
        <v>1622469</v>
      </c>
      <c r="J254" s="174">
        <v>264769</v>
      </c>
      <c r="K254" s="173">
        <v>5036091</v>
      </c>
      <c r="L254" s="173">
        <v>58572</v>
      </c>
      <c r="M254" s="175">
        <v>0</v>
      </c>
      <c r="N254" s="173">
        <v>348898</v>
      </c>
      <c r="O254" s="152">
        <f t="shared" si="22"/>
        <v>11694928</v>
      </c>
      <c r="P254" s="3">
        <f t="shared" si="23"/>
        <v>7945208</v>
      </c>
      <c r="Q254" s="3">
        <f t="shared" si="24"/>
        <v>2236878</v>
      </c>
      <c r="R254" s="3">
        <f t="shared" si="25"/>
        <v>264769</v>
      </c>
      <c r="S254" s="3">
        <f t="shared" si="26"/>
        <v>5094663</v>
      </c>
      <c r="T254" s="3">
        <f t="shared" si="27"/>
        <v>348898</v>
      </c>
      <c r="U254" s="3">
        <f>IF($A$5=1,IF($P254=0,0,ROUND(Q254/$P254*$E254,2)),Credits!D254)+Credits!J254</f>
        <v>1433.9799999999998</v>
      </c>
      <c r="V254" s="3">
        <f>IF($A$5=1,IF($P254=0,0,ROUND(R254/$P254*$E254,2)),Credits!E254)+Credits!K254</f>
        <v>169.71</v>
      </c>
      <c r="W254" s="3">
        <f>IF($A$5=1,IF($P254=0,0,ROUND(S254/$P254*$E254,2)),Credits!F254)+Credits!L254</f>
        <v>3266.16</v>
      </c>
      <c r="X254" s="3">
        <f>IF($A$5=1,IF($P254=0,0,ROUND(T254/$P254*$E254,2)),Credits!G254)+Credits!M254</f>
        <v>223.6</v>
      </c>
      <c r="Y254" s="3">
        <f t="shared" si="28"/>
        <v>5093.45</v>
      </c>
    </row>
    <row r="255" spans="1:25" ht="15" x14ac:dyDescent="0.25">
      <c r="A255" s="5">
        <v>833</v>
      </c>
      <c r="B255" s="5">
        <v>1</v>
      </c>
      <c r="C255" s="2" t="s">
        <v>251</v>
      </c>
      <c r="D255" s="3">
        <v>1329647.01</v>
      </c>
      <c r="E255" s="3">
        <v>1502512.21</v>
      </c>
      <c r="F255" s="173">
        <v>17240545</v>
      </c>
      <c r="G255" s="173">
        <v>1559198</v>
      </c>
      <c r="H255" s="173">
        <v>1087643</v>
      </c>
      <c r="I255" s="173">
        <v>7945460</v>
      </c>
      <c r="J255" s="174">
        <v>1313136</v>
      </c>
      <c r="K255" s="173">
        <v>22576052</v>
      </c>
      <c r="L255" s="173">
        <v>1703551</v>
      </c>
      <c r="M255" s="175">
        <v>0</v>
      </c>
      <c r="N255" s="173">
        <v>0</v>
      </c>
      <c r="O255" s="152">
        <f t="shared" si="22"/>
        <v>53425585</v>
      </c>
      <c r="P255" s="3">
        <f t="shared" si="23"/>
        <v>34625842</v>
      </c>
      <c r="Q255" s="3">
        <f t="shared" si="24"/>
        <v>9033103</v>
      </c>
      <c r="R255" s="3">
        <f t="shared" si="25"/>
        <v>1313136</v>
      </c>
      <c r="S255" s="3">
        <f t="shared" si="26"/>
        <v>24279603</v>
      </c>
      <c r="T255" s="3">
        <f t="shared" si="27"/>
        <v>0</v>
      </c>
      <c r="U255" s="3">
        <f>IF($A$5=1,IF($P255=0,0,ROUND(Q255/$P255*$E255,2)),Credits!D255)+Credits!J255</f>
        <v>2203.98</v>
      </c>
      <c r="V255" s="3">
        <f>IF($A$5=1,IF($P255=0,0,ROUND(R255/$P255*$E255,2)),Credits!E255)+Credits!K255</f>
        <v>320.40000000000003</v>
      </c>
      <c r="W255" s="3">
        <f>IF($A$5=1,IF($P255=0,0,ROUND(S255/$P255*$E255,2)),Credits!F255)+Credits!L255</f>
        <v>5924.27</v>
      </c>
      <c r="X255" s="3">
        <f>IF($A$5=1,IF($P255=0,0,ROUND(T255/$P255*$E255,2)),Credits!G255)+Credits!M255</f>
        <v>0</v>
      </c>
      <c r="Y255" s="3">
        <f t="shared" si="28"/>
        <v>8448.6500000000015</v>
      </c>
    </row>
    <row r="256" spans="1:25" ht="15" x14ac:dyDescent="0.25">
      <c r="A256" s="5">
        <v>834</v>
      </c>
      <c r="B256" s="5">
        <v>1</v>
      </c>
      <c r="C256" s="2" t="s">
        <v>252</v>
      </c>
      <c r="D256" s="3">
        <v>446243.94</v>
      </c>
      <c r="E256" s="3">
        <v>485246.25</v>
      </c>
      <c r="F256" s="173">
        <v>12928865</v>
      </c>
      <c r="G256" s="173">
        <v>874402</v>
      </c>
      <c r="H256" s="173">
        <v>0</v>
      </c>
      <c r="I256" s="173">
        <v>7067027</v>
      </c>
      <c r="J256" s="174">
        <v>883421</v>
      </c>
      <c r="K256" s="173">
        <v>2845688</v>
      </c>
      <c r="L256" s="173">
        <v>5759360</v>
      </c>
      <c r="M256" s="175">
        <v>0</v>
      </c>
      <c r="N256" s="173">
        <v>1422852</v>
      </c>
      <c r="O256" s="152">
        <f t="shared" si="22"/>
        <v>31781615</v>
      </c>
      <c r="P256" s="3">
        <f t="shared" si="23"/>
        <v>17978348</v>
      </c>
      <c r="Q256" s="3">
        <f t="shared" si="24"/>
        <v>7067027</v>
      </c>
      <c r="R256" s="3">
        <f t="shared" si="25"/>
        <v>883421</v>
      </c>
      <c r="S256" s="3">
        <f t="shared" si="26"/>
        <v>8605048</v>
      </c>
      <c r="T256" s="3">
        <f t="shared" si="27"/>
        <v>1422852</v>
      </c>
      <c r="U256" s="3">
        <f>IF($A$5=1,IF($P256=0,0,ROUND(Q256/$P256*$E256,2)),Credits!D256)+Credits!J256</f>
        <v>7920.91</v>
      </c>
      <c r="V256" s="3">
        <f>IF($A$5=1,IF($P256=0,0,ROUND(R256/$P256*$E256,2)),Credits!E256)+Credits!K256</f>
        <v>958.86</v>
      </c>
      <c r="W256" s="3">
        <f>IF($A$5=1,IF($P256=0,0,ROUND(S256/$P256*$E256,2)),Credits!F256)+Credits!L256</f>
        <v>9343.7199999999993</v>
      </c>
      <c r="X256" s="3">
        <f>IF($A$5=1,IF($P256=0,0,ROUND(T256/$P256*$E256,2)),Credits!G256)+Credits!M256</f>
        <v>1545.32</v>
      </c>
      <c r="Y256" s="3">
        <f t="shared" si="28"/>
        <v>19768.809999999998</v>
      </c>
    </row>
    <row r="257" spans="1:25" ht="15" x14ac:dyDescent="0.25">
      <c r="A257" s="5">
        <v>836</v>
      </c>
      <c r="B257" s="5">
        <v>1</v>
      </c>
      <c r="C257" s="2" t="s">
        <v>253</v>
      </c>
      <c r="D257" s="3">
        <v>16228.690000000002</v>
      </c>
      <c r="E257" s="3">
        <v>17251.28</v>
      </c>
      <c r="F257" s="173">
        <v>135824</v>
      </c>
      <c r="G257" s="173">
        <v>9911</v>
      </c>
      <c r="H257" s="173">
        <v>0</v>
      </c>
      <c r="I257" s="173">
        <v>179463</v>
      </c>
      <c r="J257" s="174">
        <v>29362</v>
      </c>
      <c r="K257" s="173">
        <v>0</v>
      </c>
      <c r="L257" s="173">
        <v>0</v>
      </c>
      <c r="M257" s="175">
        <v>0</v>
      </c>
      <c r="N257" s="173">
        <v>0</v>
      </c>
      <c r="O257" s="152">
        <f t="shared" si="22"/>
        <v>354560</v>
      </c>
      <c r="P257" s="3">
        <f t="shared" si="23"/>
        <v>208825</v>
      </c>
      <c r="Q257" s="3">
        <f t="shared" si="24"/>
        <v>179463</v>
      </c>
      <c r="R257" s="3">
        <f t="shared" si="25"/>
        <v>29362</v>
      </c>
      <c r="S257" s="3">
        <f t="shared" si="26"/>
        <v>0</v>
      </c>
      <c r="T257" s="3">
        <f t="shared" si="27"/>
        <v>0</v>
      </c>
      <c r="U257" s="3">
        <f>IF($A$5=1,IF($P257=0,0,ROUND(Q257/$P257*$E257,2)),Credits!D257)+Credits!J257</f>
        <v>4700.8599999999997</v>
      </c>
      <c r="V257" s="3">
        <f>IF($A$5=1,IF($P257=0,0,ROUND(R257/$P257*$E257,2)),Credits!E257)+Credits!K257</f>
        <v>769.01</v>
      </c>
      <c r="W257" s="3">
        <f>IF($A$5=1,IF($P257=0,0,ROUND(S257/$P257*$E257,2)),Credits!F257)+Credits!L257</f>
        <v>0</v>
      </c>
      <c r="X257" s="3">
        <f>IF($A$5=1,IF($P257=0,0,ROUND(T257/$P257*$E257,2)),Credits!G257)+Credits!M257</f>
        <v>0</v>
      </c>
      <c r="Y257" s="3">
        <f t="shared" si="28"/>
        <v>5469.87</v>
      </c>
    </row>
    <row r="258" spans="1:25" ht="15" x14ac:dyDescent="0.25">
      <c r="A258" s="5">
        <v>837</v>
      </c>
      <c r="B258" s="5">
        <v>1</v>
      </c>
      <c r="C258" s="2" t="s">
        <v>254</v>
      </c>
      <c r="D258" s="3">
        <v>77749.679999999993</v>
      </c>
      <c r="E258" s="3">
        <v>68107.149999999994</v>
      </c>
      <c r="F258" s="173">
        <v>222442</v>
      </c>
      <c r="G258" s="173">
        <v>42780</v>
      </c>
      <c r="H258" s="173">
        <v>0</v>
      </c>
      <c r="I258" s="173">
        <v>241200</v>
      </c>
      <c r="J258" s="174">
        <v>46774</v>
      </c>
      <c r="K258" s="173">
        <v>507830</v>
      </c>
      <c r="L258" s="173">
        <v>265645</v>
      </c>
      <c r="M258" s="175">
        <v>0</v>
      </c>
      <c r="N258" s="173">
        <v>0</v>
      </c>
      <c r="O258" s="152">
        <f t="shared" si="22"/>
        <v>1326671</v>
      </c>
      <c r="P258" s="3">
        <f t="shared" si="23"/>
        <v>1061449</v>
      </c>
      <c r="Q258" s="3">
        <f t="shared" si="24"/>
        <v>241200</v>
      </c>
      <c r="R258" s="3">
        <f t="shared" si="25"/>
        <v>46774</v>
      </c>
      <c r="S258" s="3">
        <f t="shared" si="26"/>
        <v>773475</v>
      </c>
      <c r="T258" s="3">
        <f t="shared" si="27"/>
        <v>0</v>
      </c>
      <c r="U258" s="3">
        <f>IF($A$5=1,IF($P258=0,0,ROUND(Q258/$P258*$E258,2)),Credits!D258)+Credits!J258</f>
        <v>3848.24</v>
      </c>
      <c r="V258" s="3">
        <f>IF($A$5=1,IF($P258=0,0,ROUND(R258/$P258*$E258,2)),Credits!E258)+Credits!K258</f>
        <v>746.33999999999992</v>
      </c>
      <c r="W258" s="3">
        <f>IF($A$5=1,IF($P258=0,0,ROUND(S258/$P258*$E258,2)),Credits!F258)+Credits!L258</f>
        <v>9872.33</v>
      </c>
      <c r="X258" s="3">
        <f>IF($A$5=1,IF($P258=0,0,ROUND(T258/$P258*$E258,2)),Credits!G258)+Credits!M258</f>
        <v>2467.5700000000002</v>
      </c>
      <c r="Y258" s="3">
        <f t="shared" si="28"/>
        <v>16934.48</v>
      </c>
    </row>
    <row r="259" spans="1:25" ht="15" x14ac:dyDescent="0.25">
      <c r="A259" s="5">
        <v>840</v>
      </c>
      <c r="B259" s="5">
        <v>1</v>
      </c>
      <c r="C259" s="2" t="s">
        <v>255</v>
      </c>
      <c r="D259" s="3">
        <v>78983.91</v>
      </c>
      <c r="E259" s="3">
        <v>85688.79</v>
      </c>
      <c r="F259" s="173">
        <v>537623</v>
      </c>
      <c r="G259" s="173">
        <v>49302</v>
      </c>
      <c r="H259" s="173">
        <v>0</v>
      </c>
      <c r="I259" s="173">
        <v>554423</v>
      </c>
      <c r="J259" s="174">
        <v>115232</v>
      </c>
      <c r="K259" s="173">
        <v>0</v>
      </c>
      <c r="L259" s="173">
        <v>355263</v>
      </c>
      <c r="M259" s="175">
        <v>0</v>
      </c>
      <c r="N259" s="173">
        <v>0</v>
      </c>
      <c r="O259" s="152">
        <f t="shared" si="22"/>
        <v>1611843</v>
      </c>
      <c r="P259" s="3">
        <f t="shared" si="23"/>
        <v>1024918</v>
      </c>
      <c r="Q259" s="3">
        <f t="shared" si="24"/>
        <v>554423</v>
      </c>
      <c r="R259" s="3">
        <f t="shared" si="25"/>
        <v>115232</v>
      </c>
      <c r="S259" s="3">
        <f t="shared" si="26"/>
        <v>355263</v>
      </c>
      <c r="T259" s="3">
        <f t="shared" si="27"/>
        <v>0</v>
      </c>
      <c r="U259" s="3">
        <f>IF($A$5=1,IF($P259=0,0,ROUND(Q259/$P259*$E259,2)),Credits!D259)+Credits!J259</f>
        <v>9663.5</v>
      </c>
      <c r="V259" s="3">
        <f>IF($A$5=1,IF($P259=0,0,ROUND(R259/$P259*$E259,2)),Credits!E259)+Credits!K259</f>
        <v>2009.08</v>
      </c>
      <c r="W259" s="3">
        <f>IF($A$5=1,IF($P259=0,0,ROUND(S259/$P259*$E259,2)),Credits!F259)+Credits!L259</f>
        <v>730.55</v>
      </c>
      <c r="X259" s="3">
        <f>IF($A$5=1,IF($P259=0,0,ROUND(T259/$P259*$E259,2)),Credits!G259)+Credits!M259</f>
        <v>5453.21</v>
      </c>
      <c r="Y259" s="3">
        <f t="shared" si="28"/>
        <v>17856.34</v>
      </c>
    </row>
    <row r="260" spans="1:25" ht="15" x14ac:dyDescent="0.25">
      <c r="A260" s="5">
        <v>846</v>
      </c>
      <c r="B260" s="5">
        <v>1</v>
      </c>
      <c r="C260" s="2" t="s">
        <v>256</v>
      </c>
      <c r="D260" s="3">
        <v>67158.710000000006</v>
      </c>
      <c r="E260" s="3">
        <v>68832.88</v>
      </c>
      <c r="F260" s="173">
        <v>296894.82</v>
      </c>
      <c r="G260" s="173">
        <v>40787.47</v>
      </c>
      <c r="H260" s="173">
        <v>0</v>
      </c>
      <c r="I260" s="173">
        <v>295786.59000000003</v>
      </c>
      <c r="J260" s="174">
        <v>77471.81</v>
      </c>
      <c r="K260" s="173">
        <v>299008.96000000002</v>
      </c>
      <c r="L260" s="173">
        <v>0</v>
      </c>
      <c r="M260" s="175">
        <v>0</v>
      </c>
      <c r="N260" s="173">
        <v>0</v>
      </c>
      <c r="O260" s="152">
        <f t="shared" si="22"/>
        <v>1009949.6500000001</v>
      </c>
      <c r="P260" s="3">
        <f t="shared" si="23"/>
        <v>672267.3600000001</v>
      </c>
      <c r="Q260" s="3">
        <f t="shared" si="24"/>
        <v>295786.59000000003</v>
      </c>
      <c r="R260" s="3">
        <f t="shared" si="25"/>
        <v>77471.81</v>
      </c>
      <c r="S260" s="3">
        <f t="shared" si="26"/>
        <v>299008.96000000002</v>
      </c>
      <c r="T260" s="3">
        <f t="shared" si="27"/>
        <v>0</v>
      </c>
      <c r="U260" s="3">
        <f>IF($A$5=1,IF($P260=0,0,ROUND(Q260/$P260*$E260,2)),Credits!D260)+Credits!J260</f>
        <v>15856.2</v>
      </c>
      <c r="V260" s="3">
        <f>IF($A$5=1,IF($P260=0,0,ROUND(R260/$P260*$E260,2)),Credits!E260)+Credits!K260</f>
        <v>4154.4399999999996</v>
      </c>
      <c r="W260" s="3">
        <f>IF($A$5=1,IF($P260=0,0,ROUND(S260/$P260*$E260,2)),Credits!F260)+Credits!L260</f>
        <v>16031.079999999998</v>
      </c>
      <c r="X260" s="3">
        <f>IF($A$5=1,IF($P260=0,0,ROUND(T260/$P260*$E260,2)),Credits!G260)+Credits!M260</f>
        <v>0</v>
      </c>
      <c r="Y260" s="3">
        <f t="shared" si="28"/>
        <v>36041.72</v>
      </c>
    </row>
    <row r="261" spans="1:25" ht="15" x14ac:dyDescent="0.25">
      <c r="A261" s="5">
        <v>850</v>
      </c>
      <c r="B261" s="5">
        <v>1</v>
      </c>
      <c r="C261" s="2" t="s">
        <v>257</v>
      </c>
      <c r="D261" s="3">
        <v>11559.75</v>
      </c>
      <c r="E261" s="3">
        <v>15760.66</v>
      </c>
      <c r="F261" s="173">
        <v>363108.84</v>
      </c>
      <c r="G261" s="173">
        <v>4310.45</v>
      </c>
      <c r="H261" s="173">
        <v>0</v>
      </c>
      <c r="I261" s="173">
        <v>82685.259999999995</v>
      </c>
      <c r="J261" s="174">
        <v>19247.09</v>
      </c>
      <c r="K261" s="173">
        <v>0</v>
      </c>
      <c r="L261" s="173">
        <v>0</v>
      </c>
      <c r="M261" s="175">
        <v>0</v>
      </c>
      <c r="N261" s="173">
        <v>0</v>
      </c>
      <c r="O261" s="152">
        <f t="shared" si="22"/>
        <v>469351.64000000007</v>
      </c>
      <c r="P261" s="3">
        <f t="shared" si="23"/>
        <v>101932.34999999999</v>
      </c>
      <c r="Q261" s="3">
        <f t="shared" si="24"/>
        <v>82685.259999999995</v>
      </c>
      <c r="R261" s="3">
        <f t="shared" si="25"/>
        <v>19247.09</v>
      </c>
      <c r="S261" s="3">
        <f t="shared" si="26"/>
        <v>0</v>
      </c>
      <c r="T261" s="3">
        <f t="shared" si="27"/>
        <v>0</v>
      </c>
      <c r="U261" s="3">
        <f>IF($A$5=1,IF($P261=0,0,ROUND(Q261/$P261*$E261,2)),Credits!D261)+Credits!J261</f>
        <v>2354.4700000000003</v>
      </c>
      <c r="V261" s="3">
        <f>IF($A$5=1,IF($P261=0,0,ROUND(R261/$P261*$E261,2)),Credits!E261)+Credits!K261</f>
        <v>548.02</v>
      </c>
      <c r="W261" s="3">
        <f>IF($A$5=1,IF($P261=0,0,ROUND(S261/$P261*$E261,2)),Credits!F261)+Credits!L261</f>
        <v>0</v>
      </c>
      <c r="X261" s="3">
        <f>IF($A$5=1,IF($P261=0,0,ROUND(T261/$P261*$E261,2)),Credits!G261)+Credits!M261</f>
        <v>0</v>
      </c>
      <c r="Y261" s="3">
        <f t="shared" si="28"/>
        <v>2902.4900000000002</v>
      </c>
    </row>
    <row r="262" spans="1:25" ht="15" x14ac:dyDescent="0.25">
      <c r="A262" s="5">
        <v>852</v>
      </c>
      <c r="B262" s="5">
        <v>1</v>
      </c>
      <c r="C262" s="2" t="s">
        <v>258</v>
      </c>
      <c r="D262" s="3">
        <v>4065.4</v>
      </c>
      <c r="E262" s="3">
        <v>2936.33</v>
      </c>
      <c r="F262" s="173">
        <v>205273.83</v>
      </c>
      <c r="G262" s="173">
        <v>3466.58</v>
      </c>
      <c r="H262" s="173">
        <v>0</v>
      </c>
      <c r="I262" s="173">
        <v>65381.2</v>
      </c>
      <c r="J262" s="174">
        <v>25299.03</v>
      </c>
      <c r="K262" s="173">
        <v>0</v>
      </c>
      <c r="L262" s="173">
        <v>261558</v>
      </c>
      <c r="M262" s="175">
        <v>0</v>
      </c>
      <c r="N262" s="173">
        <v>0</v>
      </c>
      <c r="O262" s="152">
        <f t="shared" si="22"/>
        <v>560978.64</v>
      </c>
      <c r="P262" s="3">
        <f t="shared" si="23"/>
        <v>352238.23</v>
      </c>
      <c r="Q262" s="3">
        <f t="shared" si="24"/>
        <v>65381.2</v>
      </c>
      <c r="R262" s="3">
        <f t="shared" si="25"/>
        <v>25299.03</v>
      </c>
      <c r="S262" s="3">
        <f t="shared" si="26"/>
        <v>261558</v>
      </c>
      <c r="T262" s="3">
        <f t="shared" si="27"/>
        <v>0</v>
      </c>
      <c r="U262" s="3">
        <f>IF($A$5=1,IF($P262=0,0,ROUND(Q262/$P262*$E262,2)),Credits!D262)+Credits!J262</f>
        <v>565.78000000000009</v>
      </c>
      <c r="V262" s="3">
        <f>IF($A$5=1,IF($P262=0,0,ROUND(R262/$P262*$E262,2)),Credits!E262)+Credits!K262</f>
        <v>219.41</v>
      </c>
      <c r="W262" s="3">
        <f>IF($A$5=1,IF($P262=0,0,ROUND(S262/$P262*$E262,2)),Credits!F262)+Credits!L262</f>
        <v>2279.1099999999997</v>
      </c>
      <c r="X262" s="3">
        <f>IF($A$5=1,IF($P262=0,0,ROUND(T262/$P262*$E262,2)),Credits!G262)+Credits!M262</f>
        <v>0</v>
      </c>
      <c r="Y262" s="3">
        <f t="shared" si="28"/>
        <v>3064.2999999999997</v>
      </c>
    </row>
    <row r="263" spans="1:25" ht="15" x14ac:dyDescent="0.25">
      <c r="A263" s="5">
        <v>857</v>
      </c>
      <c r="B263" s="5">
        <v>1</v>
      </c>
      <c r="C263" s="2" t="s">
        <v>259</v>
      </c>
      <c r="D263" s="3">
        <v>66337.03</v>
      </c>
      <c r="E263" s="3">
        <v>65028.820000000007</v>
      </c>
      <c r="F263" s="173">
        <v>418669</v>
      </c>
      <c r="G263" s="173">
        <v>71265</v>
      </c>
      <c r="H263" s="173">
        <v>0</v>
      </c>
      <c r="I263" s="173">
        <v>194359</v>
      </c>
      <c r="J263" s="174">
        <v>51245</v>
      </c>
      <c r="K263" s="173">
        <v>187056</v>
      </c>
      <c r="L263" s="173">
        <v>67485</v>
      </c>
      <c r="M263" s="175">
        <v>0</v>
      </c>
      <c r="N263" s="173">
        <v>0</v>
      </c>
      <c r="O263" s="152">
        <f t="shared" si="22"/>
        <v>990079</v>
      </c>
      <c r="P263" s="3">
        <f t="shared" si="23"/>
        <v>500145</v>
      </c>
      <c r="Q263" s="3">
        <f t="shared" si="24"/>
        <v>194359</v>
      </c>
      <c r="R263" s="3">
        <f t="shared" si="25"/>
        <v>51245</v>
      </c>
      <c r="S263" s="3">
        <f t="shared" si="26"/>
        <v>254541</v>
      </c>
      <c r="T263" s="3">
        <f t="shared" si="27"/>
        <v>0</v>
      </c>
      <c r="U263" s="3">
        <f>IF($A$5=1,IF($P263=0,0,ROUND(Q263/$P263*$E263,2)),Credits!D263)+Credits!J263</f>
        <v>6492.09</v>
      </c>
      <c r="V263" s="3">
        <f>IF($A$5=1,IF($P263=0,0,ROUND(R263/$P263*$E263,2)),Credits!E263)+Credits!K263</f>
        <v>1711.8</v>
      </c>
      <c r="W263" s="3">
        <f>IF($A$5=1,IF($P263=0,0,ROUND(S263/$P263*$E263,2)),Credits!F263)+Credits!L263</f>
        <v>8502.18</v>
      </c>
      <c r="X263" s="3">
        <f>IF($A$5=1,IF($P263=0,0,ROUND(T263/$P263*$E263,2)),Credits!G263)+Credits!M263</f>
        <v>0</v>
      </c>
      <c r="Y263" s="3">
        <f t="shared" si="28"/>
        <v>16706.07</v>
      </c>
    </row>
    <row r="264" spans="1:25" ht="15" x14ac:dyDescent="0.25">
      <c r="A264" s="5">
        <v>858</v>
      </c>
      <c r="B264" s="5">
        <v>1</v>
      </c>
      <c r="C264" s="2" t="s">
        <v>260</v>
      </c>
      <c r="D264" s="3">
        <v>94897.48</v>
      </c>
      <c r="E264" s="3">
        <v>95606.1</v>
      </c>
      <c r="F264" s="173">
        <v>220794</v>
      </c>
      <c r="G264" s="173">
        <v>83777</v>
      </c>
      <c r="H264" s="173">
        <v>0</v>
      </c>
      <c r="I264" s="173">
        <v>205460</v>
      </c>
      <c r="J264" s="174">
        <v>57861</v>
      </c>
      <c r="K264" s="173">
        <v>709735</v>
      </c>
      <c r="L264" s="173">
        <v>0</v>
      </c>
      <c r="M264" s="175">
        <v>0</v>
      </c>
      <c r="N264" s="173">
        <v>0</v>
      </c>
      <c r="O264" s="152">
        <f t="shared" si="22"/>
        <v>1277627</v>
      </c>
      <c r="P264" s="3">
        <f t="shared" si="23"/>
        <v>973056</v>
      </c>
      <c r="Q264" s="3">
        <f t="shared" si="24"/>
        <v>205460</v>
      </c>
      <c r="R264" s="3">
        <f t="shared" si="25"/>
        <v>57861</v>
      </c>
      <c r="S264" s="3">
        <f t="shared" si="26"/>
        <v>709735</v>
      </c>
      <c r="T264" s="3">
        <f t="shared" si="27"/>
        <v>0</v>
      </c>
      <c r="U264" s="3">
        <f>IF($A$5=1,IF($P264=0,0,ROUND(Q264/$P264*$E264,2)),Credits!D264)+Credits!J264</f>
        <v>4777.8</v>
      </c>
      <c r="V264" s="3">
        <f>IF($A$5=1,IF($P264=0,0,ROUND(R264/$P264*$E264,2)),Credits!E264)+Credits!K264</f>
        <v>1345.3999999999999</v>
      </c>
      <c r="W264" s="3">
        <f>IF($A$5=1,IF($P264=0,0,ROUND(S264/$P264*$E264,2)),Credits!F264)+Credits!L264</f>
        <v>16502.93</v>
      </c>
      <c r="X264" s="3">
        <f>IF($A$5=1,IF($P264=0,0,ROUND(T264/$P264*$E264,2)),Credits!G264)+Credits!M264</f>
        <v>0</v>
      </c>
      <c r="Y264" s="3">
        <f t="shared" si="28"/>
        <v>22626.13</v>
      </c>
    </row>
    <row r="265" spans="1:25" ht="15" x14ac:dyDescent="0.25">
      <c r="A265" s="5">
        <v>861</v>
      </c>
      <c r="B265" s="5">
        <v>1</v>
      </c>
      <c r="C265" s="2" t="s">
        <v>261</v>
      </c>
      <c r="D265" s="3">
        <v>509234.77</v>
      </c>
      <c r="E265" s="3">
        <v>518210.57</v>
      </c>
      <c r="F265" s="173">
        <v>6721097</v>
      </c>
      <c r="G265" s="173">
        <v>192617</v>
      </c>
      <c r="H265" s="173">
        <v>0</v>
      </c>
      <c r="I265" s="173">
        <v>2026191</v>
      </c>
      <c r="J265" s="174">
        <v>477956</v>
      </c>
      <c r="K265" s="173">
        <v>1742993</v>
      </c>
      <c r="L265" s="173">
        <v>189857</v>
      </c>
      <c r="M265" s="175">
        <v>0</v>
      </c>
      <c r="N265" s="173">
        <v>783867</v>
      </c>
      <c r="O265" s="152">
        <f t="shared" ref="O265:O328" si="29">SUM(F265:N265)</f>
        <v>12134578</v>
      </c>
      <c r="P265" s="3">
        <f t="shared" ref="P265:P328" si="30">SUM(H265:N265)</f>
        <v>5220864</v>
      </c>
      <c r="Q265" s="3">
        <f t="shared" ref="Q265:Q328" si="31">SUM(H265:I265)</f>
        <v>2026191</v>
      </c>
      <c r="R265" s="3">
        <f t="shared" ref="R265:R328" si="32">J265</f>
        <v>477956</v>
      </c>
      <c r="S265" s="3">
        <f t="shared" ref="S265:S328" si="33">K265+L265</f>
        <v>1932850</v>
      </c>
      <c r="T265" s="3">
        <f t="shared" ref="T265:T328" si="34">N265+M265</f>
        <v>783867</v>
      </c>
      <c r="U265" s="3">
        <f>IF($A$5=1,IF($P265=0,0,ROUND(Q265/$P265*$E265,2)),Credits!D265)+Credits!J265</f>
        <v>32077.279999999999</v>
      </c>
      <c r="V265" s="3">
        <f>IF($A$5=1,IF($P265=0,0,ROUND(R265/$P265*$E265,2)),Credits!E265)+Credits!K265</f>
        <v>7566.84</v>
      </c>
      <c r="W265" s="3">
        <f>IF($A$5=1,IF($P265=0,0,ROUND(S265/$P265*$E265,2)),Credits!F265)+Credits!L265</f>
        <v>30446.58</v>
      </c>
      <c r="X265" s="3">
        <f>IF($A$5=1,IF($P265=0,0,ROUND(T265/$P265*$E265,2)),Credits!G265)+Credits!M265</f>
        <v>12349.1</v>
      </c>
      <c r="Y265" s="3">
        <f t="shared" ref="Y265:Y328" si="35">SUM(U265:X265)</f>
        <v>82439.8</v>
      </c>
    </row>
    <row r="266" spans="1:25" ht="15" x14ac:dyDescent="0.25">
      <c r="A266" s="5">
        <v>876</v>
      </c>
      <c r="B266" s="5">
        <v>1</v>
      </c>
      <c r="C266" s="2" t="s">
        <v>262</v>
      </c>
      <c r="D266" s="3">
        <v>68337.06</v>
      </c>
      <c r="E266" s="3">
        <v>83199.22</v>
      </c>
      <c r="F266" s="173">
        <v>1224372</v>
      </c>
      <c r="G266" s="173">
        <v>222892</v>
      </c>
      <c r="H266" s="173">
        <v>0</v>
      </c>
      <c r="I266" s="173">
        <v>823187</v>
      </c>
      <c r="J266" s="174">
        <v>159089</v>
      </c>
      <c r="K266" s="173">
        <v>2457840</v>
      </c>
      <c r="L266" s="173">
        <v>0</v>
      </c>
      <c r="M266" s="175">
        <v>0</v>
      </c>
      <c r="N266" s="173">
        <v>0</v>
      </c>
      <c r="O266" s="152">
        <f t="shared" si="29"/>
        <v>4887380</v>
      </c>
      <c r="P266" s="3">
        <f t="shared" si="30"/>
        <v>3440116</v>
      </c>
      <c r="Q266" s="3">
        <f t="shared" si="31"/>
        <v>823187</v>
      </c>
      <c r="R266" s="3">
        <f t="shared" si="32"/>
        <v>159089</v>
      </c>
      <c r="S266" s="3">
        <f t="shared" si="33"/>
        <v>2457840</v>
      </c>
      <c r="T266" s="3">
        <f t="shared" si="34"/>
        <v>0</v>
      </c>
      <c r="U266" s="3">
        <f>IF($A$5=1,IF($P266=0,0,ROUND(Q266/$P266*$E266,2)),Credits!D266)+Credits!J266</f>
        <v>6492.98</v>
      </c>
      <c r="V266" s="3">
        <f>IF($A$5=1,IF($P266=0,0,ROUND(R266/$P266*$E266,2)),Credits!E266)+Credits!K266</f>
        <v>1255.1899999999998</v>
      </c>
      <c r="W266" s="3">
        <f>IF($A$5=1,IF($P266=0,0,ROUND(S266/$P266*$E266,2)),Credits!F266)+Credits!L266</f>
        <v>19386.87</v>
      </c>
      <c r="X266" s="3">
        <f>IF($A$5=1,IF($P266=0,0,ROUND(T266/$P266*$E266,2)),Credits!G266)+Credits!M266</f>
        <v>0</v>
      </c>
      <c r="Y266" s="3">
        <f t="shared" si="35"/>
        <v>27135.039999999997</v>
      </c>
    </row>
    <row r="267" spans="1:25" ht="15" x14ac:dyDescent="0.25">
      <c r="A267" s="5">
        <v>877</v>
      </c>
      <c r="B267" s="5">
        <v>1</v>
      </c>
      <c r="C267" s="2" t="s">
        <v>263</v>
      </c>
      <c r="D267" s="3">
        <v>493061.84</v>
      </c>
      <c r="E267" s="3">
        <v>553687.72</v>
      </c>
      <c r="F267" s="173">
        <v>2639709</v>
      </c>
      <c r="G267" s="173">
        <v>656073</v>
      </c>
      <c r="H267" s="173">
        <v>0</v>
      </c>
      <c r="I267" s="173">
        <v>2111336</v>
      </c>
      <c r="J267" s="174">
        <v>560963</v>
      </c>
      <c r="K267" s="173">
        <v>5799508</v>
      </c>
      <c r="L267" s="173">
        <v>851293</v>
      </c>
      <c r="M267" s="175">
        <v>0</v>
      </c>
      <c r="N267" s="173">
        <v>518688</v>
      </c>
      <c r="O267" s="152">
        <f t="shared" si="29"/>
        <v>13137570</v>
      </c>
      <c r="P267" s="3">
        <f t="shared" si="30"/>
        <v>9841788</v>
      </c>
      <c r="Q267" s="3">
        <f t="shared" si="31"/>
        <v>2111336</v>
      </c>
      <c r="R267" s="3">
        <f t="shared" si="32"/>
        <v>560963</v>
      </c>
      <c r="S267" s="3">
        <f t="shared" si="33"/>
        <v>6650801</v>
      </c>
      <c r="T267" s="3">
        <f t="shared" si="34"/>
        <v>518688</v>
      </c>
      <c r="U267" s="3">
        <f>IF($A$5=1,IF($P267=0,0,ROUND(Q267/$P267*$E267,2)),Credits!D267)+Credits!J267</f>
        <v>11570.14</v>
      </c>
      <c r="V267" s="3">
        <f>IF($A$5=1,IF($P267=0,0,ROUND(R267/$P267*$E267,2)),Credits!E267)+Credits!K267</f>
        <v>3073.5099999999998</v>
      </c>
      <c r="W267" s="3">
        <f>IF($A$5=1,IF($P267=0,0,ROUND(S267/$P267*$E267,2)),Credits!F267)+Credits!L267</f>
        <v>36446.44</v>
      </c>
      <c r="X267" s="3">
        <f>IF($A$5=1,IF($P267=0,0,ROUND(T267/$P267*$E267,2)),Credits!G267)+Credits!M267</f>
        <v>2841.9300000000003</v>
      </c>
      <c r="Y267" s="3">
        <f t="shared" si="35"/>
        <v>53932.020000000004</v>
      </c>
    </row>
    <row r="268" spans="1:25" ht="15" x14ac:dyDescent="0.25">
      <c r="A268" s="5">
        <v>879</v>
      </c>
      <c r="B268" s="5">
        <v>1</v>
      </c>
      <c r="C268" s="2" t="s">
        <v>264</v>
      </c>
      <c r="D268" s="3">
        <v>142715.83000000002</v>
      </c>
      <c r="E268" s="3">
        <v>138337.41999999998</v>
      </c>
      <c r="F268" s="173">
        <v>1051190</v>
      </c>
      <c r="G268" s="173">
        <v>278748</v>
      </c>
      <c r="H268" s="173">
        <v>0</v>
      </c>
      <c r="I268" s="173">
        <v>756748</v>
      </c>
      <c r="J268" s="174">
        <v>209029</v>
      </c>
      <c r="K268" s="173">
        <v>1893751</v>
      </c>
      <c r="L268" s="173">
        <v>433799</v>
      </c>
      <c r="M268" s="175">
        <v>0</v>
      </c>
      <c r="N268" s="173">
        <v>0</v>
      </c>
      <c r="O268" s="152">
        <f t="shared" si="29"/>
        <v>4623265</v>
      </c>
      <c r="P268" s="3">
        <f t="shared" si="30"/>
        <v>3293327</v>
      </c>
      <c r="Q268" s="3">
        <f t="shared" si="31"/>
        <v>756748</v>
      </c>
      <c r="R268" s="3">
        <f t="shared" si="32"/>
        <v>209029</v>
      </c>
      <c r="S268" s="3">
        <f t="shared" si="33"/>
        <v>2327550</v>
      </c>
      <c r="T268" s="3">
        <f t="shared" si="34"/>
        <v>0</v>
      </c>
      <c r="U268" s="3">
        <f>IF($A$5=1,IF($P268=0,0,ROUND(Q268/$P268*$E268,2)),Credits!D268)+Credits!J268</f>
        <v>4767.7300000000005</v>
      </c>
      <c r="V268" s="3">
        <f>IF($A$5=1,IF($P268=0,0,ROUND(R268/$P268*$E268,2)),Credits!E268)+Credits!K268</f>
        <v>1316.8100000000002</v>
      </c>
      <c r="W268" s="3">
        <f>IF($A$5=1,IF($P268=0,0,ROUND(S268/$P268*$E268,2)),Credits!F268)+Credits!L268</f>
        <v>14663.65</v>
      </c>
      <c r="X268" s="3">
        <f>IF($A$5=1,IF($P268=0,0,ROUND(T268/$P268*$E268,2)),Credits!G268)+Credits!M268</f>
        <v>0</v>
      </c>
      <c r="Y268" s="3">
        <f t="shared" si="35"/>
        <v>20748.190000000002</v>
      </c>
    </row>
    <row r="269" spans="1:25" ht="15" x14ac:dyDescent="0.25">
      <c r="A269" s="5">
        <v>881</v>
      </c>
      <c r="B269" s="5">
        <v>1</v>
      </c>
      <c r="C269" s="2" t="s">
        <v>265</v>
      </c>
      <c r="D269" s="3">
        <v>114736.53000000001</v>
      </c>
      <c r="E269" s="3">
        <v>126708.33</v>
      </c>
      <c r="F269" s="173">
        <v>593824</v>
      </c>
      <c r="G269" s="173">
        <v>104230</v>
      </c>
      <c r="H269" s="173">
        <v>0</v>
      </c>
      <c r="I269" s="173">
        <v>207058</v>
      </c>
      <c r="J269" s="174">
        <v>69738</v>
      </c>
      <c r="K269" s="173">
        <v>1440490</v>
      </c>
      <c r="L269" s="173">
        <v>43698</v>
      </c>
      <c r="M269" s="175">
        <v>0</v>
      </c>
      <c r="N269" s="173">
        <v>88870</v>
      </c>
      <c r="O269" s="152">
        <f t="shared" si="29"/>
        <v>2547908</v>
      </c>
      <c r="P269" s="3">
        <f t="shared" si="30"/>
        <v>1849854</v>
      </c>
      <c r="Q269" s="3">
        <f t="shared" si="31"/>
        <v>207058</v>
      </c>
      <c r="R269" s="3">
        <f t="shared" si="32"/>
        <v>69738</v>
      </c>
      <c r="S269" s="3">
        <f t="shared" si="33"/>
        <v>1484188</v>
      </c>
      <c r="T269" s="3">
        <f t="shared" si="34"/>
        <v>88870</v>
      </c>
      <c r="U269" s="3">
        <f>IF($A$5=1,IF($P269=0,0,ROUND(Q269/$P269*$E269,2)),Credits!D269)+Credits!J269</f>
        <v>2085.56</v>
      </c>
      <c r="V269" s="3">
        <f>IF($A$5=1,IF($P269=0,0,ROUND(R269/$P269*$E269,2)),Credits!E269)+Credits!K269</f>
        <v>702.3</v>
      </c>
      <c r="W269" s="3">
        <f>IF($A$5=1,IF($P269=0,0,ROUND(S269/$P269*$E269,2)),Credits!F269)+Credits!L269</f>
        <v>14947.54</v>
      </c>
      <c r="X269" s="3">
        <f>IF($A$5=1,IF($P269=0,0,ROUND(T269/$P269*$E269,2)),Credits!G269)+Credits!M269</f>
        <v>895</v>
      </c>
      <c r="Y269" s="3">
        <f t="shared" si="35"/>
        <v>18630.400000000001</v>
      </c>
    </row>
    <row r="270" spans="1:25" ht="15" x14ac:dyDescent="0.25">
      <c r="A270" s="5">
        <v>882</v>
      </c>
      <c r="B270" s="5">
        <v>1</v>
      </c>
      <c r="C270" s="2" t="s">
        <v>266</v>
      </c>
      <c r="D270" s="3">
        <v>290387.7</v>
      </c>
      <c r="E270" s="3">
        <v>317666.36</v>
      </c>
      <c r="F270" s="173">
        <v>3611038</v>
      </c>
      <c r="G270" s="173">
        <v>400446</v>
      </c>
      <c r="H270" s="173">
        <v>0</v>
      </c>
      <c r="I270" s="173">
        <v>1888942</v>
      </c>
      <c r="J270" s="174">
        <v>260026</v>
      </c>
      <c r="K270" s="173">
        <v>3724778</v>
      </c>
      <c r="L270" s="173">
        <v>688812</v>
      </c>
      <c r="M270" s="175">
        <v>0</v>
      </c>
      <c r="N270" s="173">
        <v>0</v>
      </c>
      <c r="O270" s="152">
        <f t="shared" si="29"/>
        <v>10574042</v>
      </c>
      <c r="P270" s="3">
        <f t="shared" si="30"/>
        <v>6562558</v>
      </c>
      <c r="Q270" s="3">
        <f t="shared" si="31"/>
        <v>1888942</v>
      </c>
      <c r="R270" s="3">
        <f t="shared" si="32"/>
        <v>260026</v>
      </c>
      <c r="S270" s="3">
        <f t="shared" si="33"/>
        <v>4413590</v>
      </c>
      <c r="T270" s="3">
        <f t="shared" si="34"/>
        <v>0</v>
      </c>
      <c r="U270" s="3">
        <f>IF($A$5=1,IF($P270=0,0,ROUND(Q270/$P270*$E270,2)),Credits!D270)+Credits!J270</f>
        <v>6088.39</v>
      </c>
      <c r="V270" s="3">
        <f>IF($A$5=1,IF($P270=0,0,ROUND(R270/$P270*$E270,2)),Credits!E270)+Credits!K270</f>
        <v>838.23</v>
      </c>
      <c r="W270" s="3">
        <f>IF($A$5=1,IF($P270=0,0,ROUND(S270/$P270*$E270,2)),Credits!F270)+Credits!L270</f>
        <v>14225.21</v>
      </c>
      <c r="X270" s="3">
        <f>IF($A$5=1,IF($P270=0,0,ROUND(T270/$P270*$E270,2)),Credits!G270)+Credits!M270</f>
        <v>0</v>
      </c>
      <c r="Y270" s="3">
        <f t="shared" si="35"/>
        <v>21151.83</v>
      </c>
    </row>
    <row r="271" spans="1:25" ht="15" x14ac:dyDescent="0.25">
      <c r="A271" s="5">
        <v>883</v>
      </c>
      <c r="B271" s="5">
        <v>1</v>
      </c>
      <c r="C271" s="2" t="s">
        <v>267</v>
      </c>
      <c r="D271" s="3">
        <v>113864.87000000002</v>
      </c>
      <c r="E271" s="3">
        <v>128380.4</v>
      </c>
      <c r="F271" s="173">
        <v>769222</v>
      </c>
      <c r="G271" s="173">
        <v>265812</v>
      </c>
      <c r="H271" s="173">
        <v>0</v>
      </c>
      <c r="I271" s="173">
        <v>483438</v>
      </c>
      <c r="J271" s="174">
        <v>121032</v>
      </c>
      <c r="K271" s="173">
        <v>2893621</v>
      </c>
      <c r="L271" s="173">
        <v>152338</v>
      </c>
      <c r="M271" s="175">
        <v>0</v>
      </c>
      <c r="N271" s="173">
        <v>300682</v>
      </c>
      <c r="O271" s="152">
        <f t="shared" si="29"/>
        <v>4986145</v>
      </c>
      <c r="P271" s="3">
        <f t="shared" si="30"/>
        <v>3951111</v>
      </c>
      <c r="Q271" s="3">
        <f t="shared" si="31"/>
        <v>483438</v>
      </c>
      <c r="R271" s="3">
        <f t="shared" si="32"/>
        <v>121032</v>
      </c>
      <c r="S271" s="3">
        <f t="shared" si="33"/>
        <v>3045959</v>
      </c>
      <c r="T271" s="3">
        <f t="shared" si="34"/>
        <v>300682</v>
      </c>
      <c r="U271" s="3">
        <f>IF($A$5=1,IF($P271=0,0,ROUND(Q271/$P271*$E271,2)),Credits!D271)+Credits!J271</f>
        <v>1834.88</v>
      </c>
      <c r="V271" s="3">
        <f>IF($A$5=1,IF($P271=0,0,ROUND(R271/$P271*$E271,2)),Credits!E271)+Credits!K271</f>
        <v>459.46</v>
      </c>
      <c r="W271" s="3">
        <f>IF($A$5=1,IF($P271=0,0,ROUND(S271/$P271*$E271,2)),Credits!F271)+Credits!L271</f>
        <v>11561.38</v>
      </c>
      <c r="X271" s="3">
        <f>IF($A$5=1,IF($P271=0,0,ROUND(T271/$P271*$E271,2)),Credits!G271)+Credits!M271</f>
        <v>1141.17</v>
      </c>
      <c r="Y271" s="3">
        <f t="shared" si="35"/>
        <v>14996.89</v>
      </c>
    </row>
    <row r="272" spans="1:25" ht="15" x14ac:dyDescent="0.25">
      <c r="A272" s="5">
        <v>885</v>
      </c>
      <c r="B272" s="5">
        <v>1</v>
      </c>
      <c r="C272" s="2" t="s">
        <v>268</v>
      </c>
      <c r="D272" s="3">
        <v>512034.05999999994</v>
      </c>
      <c r="E272" s="3">
        <v>532531.06000000006</v>
      </c>
      <c r="F272" s="173">
        <v>2424707</v>
      </c>
      <c r="G272" s="173">
        <v>402867</v>
      </c>
      <c r="H272" s="173">
        <v>0</v>
      </c>
      <c r="I272" s="173">
        <v>853997</v>
      </c>
      <c r="J272" s="174">
        <v>251488</v>
      </c>
      <c r="K272" s="173">
        <v>7670029</v>
      </c>
      <c r="L272" s="173">
        <v>0</v>
      </c>
      <c r="M272" s="175">
        <v>0</v>
      </c>
      <c r="N272" s="173">
        <v>0</v>
      </c>
      <c r="O272" s="152">
        <f t="shared" si="29"/>
        <v>11603088</v>
      </c>
      <c r="P272" s="3">
        <f t="shared" si="30"/>
        <v>8775514</v>
      </c>
      <c r="Q272" s="3">
        <f t="shared" si="31"/>
        <v>853997</v>
      </c>
      <c r="R272" s="3">
        <f t="shared" si="32"/>
        <v>251488</v>
      </c>
      <c r="S272" s="3">
        <f t="shared" si="33"/>
        <v>7670029</v>
      </c>
      <c r="T272" s="3">
        <f t="shared" si="34"/>
        <v>0</v>
      </c>
      <c r="U272" s="3">
        <f>IF($A$5=1,IF($P272=0,0,ROUND(Q272/$P272*$E272,2)),Credits!D272)+Credits!J272</f>
        <v>1019.06</v>
      </c>
      <c r="V272" s="3">
        <f>IF($A$5=1,IF($P272=0,0,ROUND(R272/$P272*$E272,2)),Credits!E272)+Credits!K272</f>
        <v>300.18</v>
      </c>
      <c r="W272" s="3">
        <f>IF($A$5=1,IF($P272=0,0,ROUND(S272/$P272*$E272,2)),Credits!F272)+Credits!L272</f>
        <v>9153.02</v>
      </c>
      <c r="X272" s="3">
        <f>IF($A$5=1,IF($P272=0,0,ROUND(T272/$P272*$E272,2)),Credits!G272)+Credits!M272</f>
        <v>0</v>
      </c>
      <c r="Y272" s="3">
        <f t="shared" si="35"/>
        <v>10472.26</v>
      </c>
    </row>
    <row r="273" spans="1:25" ht="15" x14ac:dyDescent="0.25">
      <c r="A273" s="5">
        <v>891</v>
      </c>
      <c r="B273" s="5">
        <v>1</v>
      </c>
      <c r="C273" s="2" t="s">
        <v>269</v>
      </c>
      <c r="D273" s="3">
        <v>81091.72</v>
      </c>
      <c r="E273" s="3">
        <v>77706.989999999991</v>
      </c>
      <c r="F273" s="173">
        <v>188545</v>
      </c>
      <c r="G273" s="173">
        <v>28834</v>
      </c>
      <c r="H273" s="173">
        <v>0</v>
      </c>
      <c r="I273" s="173">
        <v>293050</v>
      </c>
      <c r="J273" s="174">
        <v>51684</v>
      </c>
      <c r="K273" s="173">
        <v>311535</v>
      </c>
      <c r="L273" s="173">
        <v>0</v>
      </c>
      <c r="M273" s="175">
        <v>0</v>
      </c>
      <c r="N273" s="173">
        <v>0</v>
      </c>
      <c r="O273" s="152">
        <f t="shared" si="29"/>
        <v>873648</v>
      </c>
      <c r="P273" s="3">
        <f t="shared" si="30"/>
        <v>656269</v>
      </c>
      <c r="Q273" s="3">
        <f t="shared" si="31"/>
        <v>293050</v>
      </c>
      <c r="R273" s="3">
        <f t="shared" si="32"/>
        <v>51684</v>
      </c>
      <c r="S273" s="3">
        <f t="shared" si="33"/>
        <v>311535</v>
      </c>
      <c r="T273" s="3">
        <f t="shared" si="34"/>
        <v>0</v>
      </c>
      <c r="U273" s="3">
        <f>IF($A$5=1,IF($P273=0,0,ROUND(Q273/$P273*$E273,2)),Credits!D273)+Credits!J273</f>
        <v>18503.599999999999</v>
      </c>
      <c r="V273" s="3">
        <f>IF($A$5=1,IF($P273=0,0,ROUND(R273/$P273*$E273,2)),Credits!E273)+Credits!K273</f>
        <v>3264.9300000000003</v>
      </c>
      <c r="W273" s="3">
        <f>IF($A$5=1,IF($P273=0,0,ROUND(S273/$P273*$E273,2)),Credits!F273)+Credits!L273</f>
        <v>19673.669999999998</v>
      </c>
      <c r="X273" s="3">
        <f>IF($A$5=1,IF($P273=0,0,ROUND(T273/$P273*$E273,2)),Credits!G273)+Credits!M273</f>
        <v>0</v>
      </c>
      <c r="Y273" s="3">
        <f t="shared" si="35"/>
        <v>41442.199999999997</v>
      </c>
    </row>
    <row r="274" spans="1:25" ht="15" x14ac:dyDescent="0.25">
      <c r="A274" s="5">
        <v>911</v>
      </c>
      <c r="B274" s="5">
        <v>1</v>
      </c>
      <c r="C274" s="2" t="s">
        <v>270</v>
      </c>
      <c r="D274" s="3">
        <v>624596.16999999993</v>
      </c>
      <c r="E274" s="3">
        <v>662440.73</v>
      </c>
      <c r="F274" s="173">
        <v>0</v>
      </c>
      <c r="G274" s="173">
        <v>349001.06</v>
      </c>
      <c r="H274" s="173">
        <v>0</v>
      </c>
      <c r="I274" s="173">
        <v>1521015.47</v>
      </c>
      <c r="J274" s="174">
        <v>346189.52</v>
      </c>
      <c r="K274" s="173">
        <v>5196373.45</v>
      </c>
      <c r="L274" s="173">
        <v>835779.52</v>
      </c>
      <c r="M274" s="175">
        <v>0</v>
      </c>
      <c r="N274" s="173">
        <v>0</v>
      </c>
      <c r="O274" s="152">
        <f t="shared" si="29"/>
        <v>8248359.0199999996</v>
      </c>
      <c r="P274" s="3">
        <f t="shared" si="30"/>
        <v>7899357.9600000009</v>
      </c>
      <c r="Q274" s="3">
        <f t="shared" si="31"/>
        <v>1521015.47</v>
      </c>
      <c r="R274" s="3">
        <f t="shared" si="32"/>
        <v>346189.52</v>
      </c>
      <c r="S274" s="3">
        <f t="shared" si="33"/>
        <v>6032152.9700000007</v>
      </c>
      <c r="T274" s="3">
        <f t="shared" si="34"/>
        <v>0</v>
      </c>
      <c r="U274" s="3">
        <f>IF($A$5=1,IF($P274=0,0,ROUND(Q274/$P274*$E274,2)),Credits!D274)+Credits!J274</f>
        <v>23853.86</v>
      </c>
      <c r="V274" s="3">
        <f>IF($A$5=1,IF($P274=0,0,ROUND(R274/$P274*$E274,2)),Credits!E274)+Credits!K274</f>
        <v>5140.16</v>
      </c>
      <c r="W274" s="3">
        <f>IF($A$5=1,IF($P274=0,0,ROUND(S274/$P274*$E274,2)),Credits!F274)+Credits!L274</f>
        <v>89125.87999999999</v>
      </c>
      <c r="X274" s="3">
        <f>IF($A$5=1,IF($P274=0,0,ROUND(T274/$P274*$E274,2)),Credits!G274)+Credits!M274</f>
        <v>0</v>
      </c>
      <c r="Y274" s="3">
        <f t="shared" si="35"/>
        <v>118119.9</v>
      </c>
    </row>
    <row r="275" spans="1:25" ht="15" x14ac:dyDescent="0.25">
      <c r="A275" s="5">
        <v>912</v>
      </c>
      <c r="B275" s="5">
        <v>1</v>
      </c>
      <c r="C275" s="2" t="s">
        <v>271</v>
      </c>
      <c r="D275" s="3">
        <v>195728.71999999997</v>
      </c>
      <c r="E275" s="3">
        <v>266470.57999999996</v>
      </c>
      <c r="F275" s="173">
        <v>1237.82</v>
      </c>
      <c r="G275" s="173">
        <v>201789.23</v>
      </c>
      <c r="H275" s="173">
        <v>0</v>
      </c>
      <c r="I275" s="173">
        <v>151907.48000000001</v>
      </c>
      <c r="J275" s="174">
        <v>78322.78</v>
      </c>
      <c r="K275" s="173">
        <v>1076781.1000000001</v>
      </c>
      <c r="L275" s="173">
        <v>657934</v>
      </c>
      <c r="M275" s="175">
        <v>0</v>
      </c>
      <c r="N275" s="173">
        <v>336263</v>
      </c>
      <c r="O275" s="152">
        <f t="shared" si="29"/>
        <v>2504235.41</v>
      </c>
      <c r="P275" s="3">
        <f t="shared" si="30"/>
        <v>2301208.3600000003</v>
      </c>
      <c r="Q275" s="3">
        <f t="shared" si="31"/>
        <v>151907.48000000001</v>
      </c>
      <c r="R275" s="3">
        <f t="shared" si="32"/>
        <v>78322.78</v>
      </c>
      <c r="S275" s="3">
        <f t="shared" si="33"/>
        <v>1734715.1</v>
      </c>
      <c r="T275" s="3">
        <f t="shared" si="34"/>
        <v>336263</v>
      </c>
      <c r="U275" s="3">
        <f>IF($A$5=1,IF($P275=0,0,ROUND(Q275/$P275*$E275,2)),Credits!D275)+Credits!J275</f>
        <v>3430.08</v>
      </c>
      <c r="V275" s="3">
        <f>IF($A$5=1,IF($P275=0,0,ROUND(R275/$P275*$E275,2)),Credits!E275)+Credits!K275</f>
        <v>1770.31</v>
      </c>
      <c r="W275" s="3">
        <f>IF($A$5=1,IF($P275=0,0,ROUND(S275/$P275*$E275,2)),Credits!F275)+Credits!L275</f>
        <v>37569.11</v>
      </c>
      <c r="X275" s="3">
        <f>IF($A$5=1,IF($P275=0,0,ROUND(T275/$P275*$E275,2)),Credits!G275)+Credits!M275</f>
        <v>9231.15</v>
      </c>
      <c r="Y275" s="3">
        <f t="shared" si="35"/>
        <v>52000.65</v>
      </c>
    </row>
    <row r="276" spans="1:25" ht="15" x14ac:dyDescent="0.25">
      <c r="A276" s="5">
        <v>914</v>
      </c>
      <c r="B276" s="5">
        <v>1</v>
      </c>
      <c r="C276" s="2" t="s">
        <v>272</v>
      </c>
      <c r="D276" s="3">
        <v>59548.5</v>
      </c>
      <c r="E276" s="3">
        <v>59118.06</v>
      </c>
      <c r="F276" s="173">
        <v>363856.23</v>
      </c>
      <c r="G276" s="173">
        <v>10243</v>
      </c>
      <c r="H276" s="173">
        <v>0</v>
      </c>
      <c r="I276" s="173">
        <v>90144.17</v>
      </c>
      <c r="J276" s="174">
        <v>17848.78</v>
      </c>
      <c r="K276" s="173">
        <v>618946.19999999995</v>
      </c>
      <c r="L276" s="173">
        <v>0</v>
      </c>
      <c r="M276" s="175">
        <v>0</v>
      </c>
      <c r="N276" s="173">
        <v>0</v>
      </c>
      <c r="O276" s="152">
        <f t="shared" si="29"/>
        <v>1101038.3799999999</v>
      </c>
      <c r="P276" s="3">
        <f t="shared" si="30"/>
        <v>726939.14999999991</v>
      </c>
      <c r="Q276" s="3">
        <f t="shared" si="31"/>
        <v>90144.17</v>
      </c>
      <c r="R276" s="3">
        <f t="shared" si="32"/>
        <v>17848.78</v>
      </c>
      <c r="S276" s="3">
        <f t="shared" si="33"/>
        <v>618946.19999999995</v>
      </c>
      <c r="T276" s="3">
        <f t="shared" si="34"/>
        <v>0</v>
      </c>
      <c r="U276" s="3">
        <f>IF($A$5=1,IF($P276=0,0,ROUND(Q276/$P276*$E276,2)),Credits!D276)+Credits!J276</f>
        <v>1971.3999999999999</v>
      </c>
      <c r="V276" s="3">
        <f>IF($A$5=1,IF($P276=0,0,ROUND(R276/$P276*$E276,2)),Credits!E276)+Credits!K276</f>
        <v>390.34000000000003</v>
      </c>
      <c r="W276" s="3">
        <f>IF($A$5=1,IF($P276=0,0,ROUND(S276/$P276*$E276,2)),Credits!F276)+Credits!L276</f>
        <v>13536.789999999999</v>
      </c>
      <c r="X276" s="3">
        <f>IF($A$5=1,IF($P276=0,0,ROUND(T276/$P276*$E276,2)),Credits!G276)+Credits!M276</f>
        <v>0</v>
      </c>
      <c r="Y276" s="3">
        <f t="shared" si="35"/>
        <v>15898.529999999999</v>
      </c>
    </row>
    <row r="277" spans="1:25" ht="15" x14ac:dyDescent="0.25">
      <c r="A277" s="5">
        <v>2071</v>
      </c>
      <c r="B277" s="5">
        <v>1</v>
      </c>
      <c r="C277" s="2" t="s">
        <v>273</v>
      </c>
      <c r="D277" s="3">
        <v>138259.47999999998</v>
      </c>
      <c r="E277" s="3">
        <v>150027.68</v>
      </c>
      <c r="F277" s="173">
        <v>486874.25</v>
      </c>
      <c r="G277" s="173">
        <v>81855.47</v>
      </c>
      <c r="H277" s="173">
        <v>0</v>
      </c>
      <c r="I277" s="173">
        <v>400222.35</v>
      </c>
      <c r="J277" s="174">
        <v>80528.899999999994</v>
      </c>
      <c r="K277" s="173">
        <v>1227188</v>
      </c>
      <c r="L277" s="173">
        <v>169683</v>
      </c>
      <c r="M277" s="175">
        <v>0</v>
      </c>
      <c r="N277" s="173">
        <v>192229</v>
      </c>
      <c r="O277" s="152">
        <f t="shared" si="29"/>
        <v>2638580.9699999997</v>
      </c>
      <c r="P277" s="3">
        <f t="shared" si="30"/>
        <v>2069851.25</v>
      </c>
      <c r="Q277" s="3">
        <f t="shared" si="31"/>
        <v>400222.35</v>
      </c>
      <c r="R277" s="3">
        <f t="shared" si="32"/>
        <v>80528.899999999994</v>
      </c>
      <c r="S277" s="3">
        <f t="shared" si="33"/>
        <v>1396871</v>
      </c>
      <c r="T277" s="3">
        <f t="shared" si="34"/>
        <v>192229</v>
      </c>
      <c r="U277" s="3">
        <f>IF($A$5=1,IF($P277=0,0,ROUND(Q277/$P277*$E277,2)),Credits!D277)+Credits!J277</f>
        <v>7145.95</v>
      </c>
      <c r="V277" s="3">
        <f>IF($A$5=1,IF($P277=0,0,ROUND(R277/$P277*$E277,2)),Credits!E277)+Credits!K277</f>
        <v>1437.6100000000001</v>
      </c>
      <c r="W277" s="3">
        <f>IF($A$5=1,IF($P277=0,0,ROUND(S277/$P277*$E277,2)),Credits!F277)+Credits!L277</f>
        <v>23951.449999999997</v>
      </c>
      <c r="X277" s="3">
        <f>IF($A$5=1,IF($P277=0,0,ROUND(T277/$P277*$E277,2)),Credits!G277)+Credits!M277</f>
        <v>3296.33</v>
      </c>
      <c r="Y277" s="3">
        <f t="shared" si="35"/>
        <v>35831.339999999997</v>
      </c>
    </row>
    <row r="278" spans="1:25" ht="15" x14ac:dyDescent="0.25">
      <c r="A278" s="5">
        <v>2125</v>
      </c>
      <c r="B278" s="5">
        <v>1</v>
      </c>
      <c r="C278" s="2" t="s">
        <v>274</v>
      </c>
      <c r="D278" s="3">
        <v>149683.22999999998</v>
      </c>
      <c r="E278" s="3">
        <v>151141.60999999999</v>
      </c>
      <c r="F278" s="173">
        <v>558259.56000000006</v>
      </c>
      <c r="G278" s="173">
        <v>82122.14</v>
      </c>
      <c r="H278" s="173">
        <v>0</v>
      </c>
      <c r="I278" s="173">
        <v>555463.18999999994</v>
      </c>
      <c r="J278" s="174">
        <v>109682.81</v>
      </c>
      <c r="K278" s="173">
        <v>755001.48</v>
      </c>
      <c r="L278" s="173">
        <v>145438.89000000001</v>
      </c>
      <c r="M278" s="175">
        <v>0</v>
      </c>
      <c r="N278" s="173">
        <v>0</v>
      </c>
      <c r="O278" s="152">
        <f t="shared" si="29"/>
        <v>2205968.0700000003</v>
      </c>
      <c r="P278" s="3">
        <f t="shared" si="30"/>
        <v>1565586.37</v>
      </c>
      <c r="Q278" s="3">
        <f t="shared" si="31"/>
        <v>555463.18999999994</v>
      </c>
      <c r="R278" s="3">
        <f t="shared" si="32"/>
        <v>109682.81</v>
      </c>
      <c r="S278" s="3">
        <f t="shared" si="33"/>
        <v>900440.37</v>
      </c>
      <c r="T278" s="3">
        <f t="shared" si="34"/>
        <v>0</v>
      </c>
      <c r="U278" s="3">
        <f>IF($A$5=1,IF($P278=0,0,ROUND(Q278/$P278*$E278,2)),Credits!D278)+Credits!J278</f>
        <v>25326.25</v>
      </c>
      <c r="V278" s="3">
        <f>IF($A$5=1,IF($P278=0,0,ROUND(R278/$P278*$E278,2)),Credits!E278)+Credits!K278</f>
        <v>5001.57</v>
      </c>
      <c r="W278" s="3">
        <f>IF($A$5=1,IF($P278=0,0,ROUND(S278/$P278*$E278,2)),Credits!F278)+Credits!L278</f>
        <v>40660.83</v>
      </c>
      <c r="X278" s="3">
        <f>IF($A$5=1,IF($P278=0,0,ROUND(T278/$P278*$E278,2)),Credits!G278)+Credits!M278</f>
        <v>0</v>
      </c>
      <c r="Y278" s="3">
        <f t="shared" si="35"/>
        <v>70988.649999999994</v>
      </c>
    </row>
    <row r="279" spans="1:25" ht="15" x14ac:dyDescent="0.25">
      <c r="A279" s="5">
        <v>2134</v>
      </c>
      <c r="B279" s="5">
        <v>1</v>
      </c>
      <c r="C279" s="2" t="s">
        <v>275</v>
      </c>
      <c r="D279" s="3">
        <v>78824.820000000007</v>
      </c>
      <c r="E279" s="3">
        <v>73937.919999999998</v>
      </c>
      <c r="F279" s="173">
        <v>827028.44</v>
      </c>
      <c r="G279" s="173">
        <v>16598.13</v>
      </c>
      <c r="H279" s="173">
        <v>0</v>
      </c>
      <c r="I279" s="173">
        <v>428238.64</v>
      </c>
      <c r="J279" s="174">
        <v>84001.72</v>
      </c>
      <c r="K279" s="173">
        <v>0</v>
      </c>
      <c r="L279" s="173">
        <v>0</v>
      </c>
      <c r="M279" s="175">
        <v>0</v>
      </c>
      <c r="N279" s="173">
        <v>182377</v>
      </c>
      <c r="O279" s="152">
        <f t="shared" si="29"/>
        <v>1538243.93</v>
      </c>
      <c r="P279" s="3">
        <f t="shared" si="30"/>
        <v>694617.36</v>
      </c>
      <c r="Q279" s="3">
        <f t="shared" si="31"/>
        <v>428238.64</v>
      </c>
      <c r="R279" s="3">
        <f t="shared" si="32"/>
        <v>84001.72</v>
      </c>
      <c r="S279" s="3">
        <f t="shared" si="33"/>
        <v>0</v>
      </c>
      <c r="T279" s="3">
        <f t="shared" si="34"/>
        <v>182377</v>
      </c>
      <c r="U279" s="3">
        <f>IF($A$5=1,IF($P279=0,0,ROUND(Q279/$P279*$E279,2)),Credits!D279)+Credits!J279</f>
        <v>22004.05</v>
      </c>
      <c r="V279" s="3">
        <f>IF($A$5=1,IF($P279=0,0,ROUND(R279/$P279*$E279,2)),Credits!E279)+Credits!K279</f>
        <v>3999.6700000000005</v>
      </c>
      <c r="W279" s="3">
        <f>IF($A$5=1,IF($P279=0,0,ROUND(S279/$P279*$E279,2)),Credits!F279)+Credits!L279</f>
        <v>0</v>
      </c>
      <c r="X279" s="3">
        <f>IF($A$5=1,IF($P279=0,0,ROUND(T279/$P279*$E279,2)),Credits!G279)+Credits!M279</f>
        <v>8670.35</v>
      </c>
      <c r="Y279" s="3">
        <f t="shared" si="35"/>
        <v>34674.07</v>
      </c>
    </row>
    <row r="280" spans="1:25" ht="15" x14ac:dyDescent="0.25">
      <c r="A280" s="5">
        <v>2135</v>
      </c>
      <c r="B280" s="5">
        <v>1</v>
      </c>
      <c r="C280" s="2" t="s">
        <v>276</v>
      </c>
      <c r="D280" s="3">
        <v>125360.92</v>
      </c>
      <c r="E280" s="3">
        <v>123077.28</v>
      </c>
      <c r="F280" s="173">
        <v>679797.95</v>
      </c>
      <c r="G280" s="173">
        <v>70705.69</v>
      </c>
      <c r="H280" s="173">
        <v>0</v>
      </c>
      <c r="I280" s="173">
        <v>374264.16</v>
      </c>
      <c r="J280" s="174">
        <v>85271.09</v>
      </c>
      <c r="K280" s="173">
        <v>471856.65</v>
      </c>
      <c r="L280" s="173">
        <v>0</v>
      </c>
      <c r="M280" s="175">
        <v>0</v>
      </c>
      <c r="N280" s="173">
        <v>0</v>
      </c>
      <c r="O280" s="152">
        <f t="shared" si="29"/>
        <v>1681895.54</v>
      </c>
      <c r="P280" s="3">
        <f t="shared" si="30"/>
        <v>931391.9</v>
      </c>
      <c r="Q280" s="3">
        <f t="shared" si="31"/>
        <v>374264.16</v>
      </c>
      <c r="R280" s="3">
        <f t="shared" si="32"/>
        <v>85271.09</v>
      </c>
      <c r="S280" s="3">
        <f t="shared" si="33"/>
        <v>471856.65</v>
      </c>
      <c r="T280" s="3">
        <f t="shared" si="34"/>
        <v>0</v>
      </c>
      <c r="U280" s="3">
        <f>IF($A$5=1,IF($P280=0,0,ROUND(Q280/$P280*$E280,2)),Credits!D280)+Credits!J280</f>
        <v>27199.31</v>
      </c>
      <c r="V280" s="3">
        <f>IF($A$5=1,IF($P280=0,0,ROUND(R280/$P280*$E280,2)),Credits!E280)+Credits!K280</f>
        <v>6195.88</v>
      </c>
      <c r="W280" s="3">
        <f>IF($A$5=1,IF($P280=0,0,ROUND(S280/$P280*$E280,2)),Credits!F280)+Credits!L280</f>
        <v>34268.410000000003</v>
      </c>
      <c r="X280" s="3">
        <f>IF($A$5=1,IF($P280=0,0,ROUND(T280/$P280*$E280,2)),Credits!G280)+Credits!M280</f>
        <v>0</v>
      </c>
      <c r="Y280" s="3">
        <f t="shared" si="35"/>
        <v>67663.600000000006</v>
      </c>
    </row>
    <row r="281" spans="1:25" ht="15" x14ac:dyDescent="0.25">
      <c r="A281" s="5">
        <v>2137</v>
      </c>
      <c r="B281" s="5">
        <v>1</v>
      </c>
      <c r="C281" s="2" t="s">
        <v>277</v>
      </c>
      <c r="D281" s="3">
        <v>212084.51000000004</v>
      </c>
      <c r="E281" s="3">
        <v>195710.25</v>
      </c>
      <c r="F281" s="173">
        <v>420224.79</v>
      </c>
      <c r="G281" s="173">
        <v>55170</v>
      </c>
      <c r="H281" s="173">
        <v>0</v>
      </c>
      <c r="I281" s="173">
        <v>364210.36</v>
      </c>
      <c r="J281" s="174">
        <v>73377.91</v>
      </c>
      <c r="K281" s="173">
        <v>784087.79</v>
      </c>
      <c r="L281" s="173">
        <v>250816.4</v>
      </c>
      <c r="M281" s="175">
        <v>0</v>
      </c>
      <c r="N281" s="173">
        <v>80439.100000000006</v>
      </c>
      <c r="O281" s="152">
        <f t="shared" si="29"/>
        <v>2028326.35</v>
      </c>
      <c r="P281" s="3">
        <f t="shared" si="30"/>
        <v>1552931.56</v>
      </c>
      <c r="Q281" s="3">
        <f t="shared" si="31"/>
        <v>364210.36</v>
      </c>
      <c r="R281" s="3">
        <f t="shared" si="32"/>
        <v>73377.91</v>
      </c>
      <c r="S281" s="3">
        <f t="shared" si="33"/>
        <v>1034904.1900000001</v>
      </c>
      <c r="T281" s="3">
        <f t="shared" si="34"/>
        <v>80439.100000000006</v>
      </c>
      <c r="U281" s="3">
        <f>IF($A$5=1,IF($P281=0,0,ROUND(Q281/$P281*$E281,2)),Credits!D281)+Credits!J281</f>
        <v>19787.099999999999</v>
      </c>
      <c r="V281" s="3">
        <f>IF($A$5=1,IF($P281=0,0,ROUND(R281/$P281*$E281,2)),Credits!E281)+Credits!K281</f>
        <v>4142.1400000000003</v>
      </c>
      <c r="W281" s="3">
        <f>IF($A$5=1,IF($P281=0,0,ROUND(S281/$P281*$E281,2)),Credits!F281)+Credits!L281</f>
        <v>58418.49</v>
      </c>
      <c r="X281" s="3">
        <f>IF($A$5=1,IF($P281=0,0,ROUND(T281/$P281*$E281,2)),Credits!G281)+Credits!M281</f>
        <v>4540.4799999999996</v>
      </c>
      <c r="Y281" s="3">
        <f t="shared" si="35"/>
        <v>86888.209999999992</v>
      </c>
    </row>
    <row r="282" spans="1:25" ht="15" x14ac:dyDescent="0.25">
      <c r="A282" s="5">
        <v>2142</v>
      </c>
      <c r="B282" s="5">
        <v>1</v>
      </c>
      <c r="C282" s="2" t="s">
        <v>278</v>
      </c>
      <c r="D282" s="3">
        <v>663628.08000000007</v>
      </c>
      <c r="E282" s="3">
        <v>346972.89</v>
      </c>
      <c r="F282" s="173">
        <v>8047.96</v>
      </c>
      <c r="G282" s="173">
        <v>217440.32</v>
      </c>
      <c r="H282" s="173">
        <v>0</v>
      </c>
      <c r="I282" s="173">
        <v>1657744.2</v>
      </c>
      <c r="J282" s="174">
        <v>0</v>
      </c>
      <c r="K282" s="173">
        <v>5504297</v>
      </c>
      <c r="L282" s="173">
        <v>0</v>
      </c>
      <c r="M282" s="175">
        <v>0</v>
      </c>
      <c r="N282" s="173">
        <v>0</v>
      </c>
      <c r="O282" s="152">
        <f t="shared" si="29"/>
        <v>7387529.4800000004</v>
      </c>
      <c r="P282" s="3">
        <f t="shared" si="30"/>
        <v>7162041.2000000002</v>
      </c>
      <c r="Q282" s="3">
        <f t="shared" si="31"/>
        <v>1657744.2</v>
      </c>
      <c r="R282" s="3">
        <f t="shared" si="32"/>
        <v>0</v>
      </c>
      <c r="S282" s="3">
        <f t="shared" si="33"/>
        <v>5504297</v>
      </c>
      <c r="T282" s="3">
        <f t="shared" si="34"/>
        <v>0</v>
      </c>
      <c r="U282" s="3">
        <f>IF($A$5=1,IF($P282=0,0,ROUND(Q282/$P282*$E282,2)),Credits!D282)+Credits!J282</f>
        <v>118093</v>
      </c>
      <c r="V282" s="3">
        <f>IF($A$5=1,IF($P282=0,0,ROUND(R282/$P282*$E282,2)),Credits!E282)+Credits!K282</f>
        <v>0</v>
      </c>
      <c r="W282" s="3">
        <f>IF($A$5=1,IF($P282=0,0,ROUND(S282/$P282*$E282,2)),Credits!F282)+Credits!L282</f>
        <v>390819.72000000003</v>
      </c>
      <c r="X282" s="3">
        <f>IF($A$5=1,IF($P282=0,0,ROUND(T282/$P282*$E282,2)),Credits!G282)+Credits!M282</f>
        <v>0</v>
      </c>
      <c r="Y282" s="3">
        <f t="shared" si="35"/>
        <v>508912.72000000003</v>
      </c>
    </row>
    <row r="283" spans="1:25" ht="15" x14ac:dyDescent="0.25">
      <c r="A283" s="5">
        <v>2143</v>
      </c>
      <c r="B283" s="5">
        <v>1</v>
      </c>
      <c r="C283" s="2" t="s">
        <v>279</v>
      </c>
      <c r="D283" s="3">
        <v>70540.12</v>
      </c>
      <c r="E283" s="3">
        <v>58419.51</v>
      </c>
      <c r="F283" s="173">
        <v>1285958</v>
      </c>
      <c r="G283" s="173">
        <v>83506</v>
      </c>
      <c r="H283" s="173">
        <v>0</v>
      </c>
      <c r="I283" s="173">
        <v>321192</v>
      </c>
      <c r="J283" s="174">
        <v>73705</v>
      </c>
      <c r="K283" s="173">
        <v>0</v>
      </c>
      <c r="L283" s="173">
        <v>0</v>
      </c>
      <c r="M283" s="175">
        <v>0</v>
      </c>
      <c r="N283" s="173">
        <v>0</v>
      </c>
      <c r="O283" s="152">
        <f t="shared" si="29"/>
        <v>1764361</v>
      </c>
      <c r="P283" s="3">
        <f t="shared" si="30"/>
        <v>394897</v>
      </c>
      <c r="Q283" s="3">
        <f t="shared" si="31"/>
        <v>321192</v>
      </c>
      <c r="R283" s="3">
        <f t="shared" si="32"/>
        <v>73705</v>
      </c>
      <c r="S283" s="3">
        <f t="shared" si="33"/>
        <v>0</v>
      </c>
      <c r="T283" s="3">
        <f t="shared" si="34"/>
        <v>0</v>
      </c>
      <c r="U283" s="3">
        <f>IF($A$5=1,IF($P283=0,0,ROUND(Q283/$P283*$E283,2)),Credits!D283)+Credits!J283</f>
        <v>22336.82</v>
      </c>
      <c r="V283" s="3">
        <f>IF($A$5=1,IF($P283=0,0,ROUND(R283/$P283*$E283,2)),Credits!E283)+Credits!K283</f>
        <v>5292.01</v>
      </c>
      <c r="W283" s="3">
        <f>IF($A$5=1,IF($P283=0,0,ROUND(S283/$P283*$E283,2)),Credits!F283)+Credits!L283</f>
        <v>0</v>
      </c>
      <c r="X283" s="3">
        <f>IF($A$5=1,IF($P283=0,0,ROUND(T283/$P283*$E283,2)),Credits!G283)+Credits!M283</f>
        <v>0</v>
      </c>
      <c r="Y283" s="3">
        <f t="shared" si="35"/>
        <v>27628.83</v>
      </c>
    </row>
    <row r="284" spans="1:25" ht="15" x14ac:dyDescent="0.25">
      <c r="A284" s="5">
        <v>2144</v>
      </c>
      <c r="B284" s="5">
        <v>1</v>
      </c>
      <c r="C284" s="2" t="s">
        <v>280</v>
      </c>
      <c r="D284" s="3">
        <v>213787.02000000002</v>
      </c>
      <c r="E284" s="3">
        <v>246410.73</v>
      </c>
      <c r="F284" s="173">
        <v>1645018.67</v>
      </c>
      <c r="G284" s="173">
        <v>452764.33</v>
      </c>
      <c r="H284" s="173">
        <v>0</v>
      </c>
      <c r="I284" s="173">
        <v>1702543.85</v>
      </c>
      <c r="J284" s="174">
        <v>292526.46999999997</v>
      </c>
      <c r="K284" s="173">
        <v>3143854.03</v>
      </c>
      <c r="L284" s="173">
        <v>0</v>
      </c>
      <c r="M284" s="175">
        <v>0</v>
      </c>
      <c r="N284" s="173">
        <v>0</v>
      </c>
      <c r="O284" s="152">
        <f t="shared" si="29"/>
        <v>7236707.3499999996</v>
      </c>
      <c r="P284" s="3">
        <f t="shared" si="30"/>
        <v>5138924.3499999996</v>
      </c>
      <c r="Q284" s="3">
        <f t="shared" si="31"/>
        <v>1702543.85</v>
      </c>
      <c r="R284" s="3">
        <f t="shared" si="32"/>
        <v>292526.46999999997</v>
      </c>
      <c r="S284" s="3">
        <f t="shared" si="33"/>
        <v>3143854.03</v>
      </c>
      <c r="T284" s="3">
        <f t="shared" si="34"/>
        <v>0</v>
      </c>
      <c r="U284" s="3">
        <f>IF($A$5=1,IF($P284=0,0,ROUND(Q284/$P284*$E284,2)),Credits!D284)+Credits!J284</f>
        <v>10186.02</v>
      </c>
      <c r="V284" s="3">
        <f>IF($A$5=1,IF($P284=0,0,ROUND(R284/$P284*$E284,2)),Credits!E284)+Credits!K284</f>
        <v>1750.5000000000002</v>
      </c>
      <c r="W284" s="3">
        <f>IF($A$5=1,IF($P284=0,0,ROUND(S284/$P284*$E284,2)),Credits!F284)+Credits!L284</f>
        <v>18622.46</v>
      </c>
      <c r="X284" s="3">
        <f>IF($A$5=1,IF($P284=0,0,ROUND(T284/$P284*$E284,2)),Credits!G284)+Credits!M284</f>
        <v>0</v>
      </c>
      <c r="Y284" s="3">
        <f t="shared" si="35"/>
        <v>30558.98</v>
      </c>
    </row>
    <row r="285" spans="1:25" ht="15" x14ac:dyDescent="0.25">
      <c r="A285" s="5">
        <v>2149</v>
      </c>
      <c r="B285" s="5">
        <v>1</v>
      </c>
      <c r="C285" s="2" t="s">
        <v>281</v>
      </c>
      <c r="D285" s="3">
        <v>185411.62</v>
      </c>
      <c r="E285" s="3">
        <v>181880.7</v>
      </c>
      <c r="F285" s="173">
        <v>847899</v>
      </c>
      <c r="G285" s="173">
        <v>131830</v>
      </c>
      <c r="H285" s="173">
        <v>0</v>
      </c>
      <c r="I285" s="173">
        <v>681650</v>
      </c>
      <c r="J285" s="174">
        <v>144192</v>
      </c>
      <c r="K285" s="173">
        <v>844489</v>
      </c>
      <c r="L285" s="173">
        <v>316303</v>
      </c>
      <c r="M285" s="175">
        <v>0</v>
      </c>
      <c r="N285" s="173">
        <v>81127</v>
      </c>
      <c r="O285" s="152">
        <f t="shared" si="29"/>
        <v>3047490</v>
      </c>
      <c r="P285" s="3">
        <f t="shared" si="30"/>
        <v>2067761</v>
      </c>
      <c r="Q285" s="3">
        <f t="shared" si="31"/>
        <v>681650</v>
      </c>
      <c r="R285" s="3">
        <f t="shared" si="32"/>
        <v>144192</v>
      </c>
      <c r="S285" s="3">
        <f t="shared" si="33"/>
        <v>1160792</v>
      </c>
      <c r="T285" s="3">
        <f t="shared" si="34"/>
        <v>81127</v>
      </c>
      <c r="U285" s="3">
        <f>IF($A$5=1,IF($P285=0,0,ROUND(Q285/$P285*$E285,2)),Credits!D285)+Credits!J285</f>
        <v>18680.400000000001</v>
      </c>
      <c r="V285" s="3">
        <f>IF($A$5=1,IF($P285=0,0,ROUND(R285/$P285*$E285,2)),Credits!E285)+Credits!K285</f>
        <v>3953.33</v>
      </c>
      <c r="W285" s="3">
        <f>IF($A$5=1,IF($P285=0,0,ROUND(S285/$P285*$E285,2)),Credits!F285)+Credits!L285</f>
        <v>31824</v>
      </c>
      <c r="X285" s="3">
        <f>IF($A$5=1,IF($P285=0,0,ROUND(T285/$P285*$E285,2)),Credits!G285)+Credits!M285</f>
        <v>2226.9399999999996</v>
      </c>
      <c r="Y285" s="3">
        <f t="shared" si="35"/>
        <v>56684.670000000006</v>
      </c>
    </row>
    <row r="286" spans="1:25" ht="15" x14ac:dyDescent="0.25">
      <c r="A286" s="5">
        <v>2154</v>
      </c>
      <c r="B286" s="5">
        <v>1</v>
      </c>
      <c r="C286" s="2" t="s">
        <v>282</v>
      </c>
      <c r="D286" s="3">
        <v>133995.34999999998</v>
      </c>
      <c r="E286" s="3">
        <v>107120.20999999999</v>
      </c>
      <c r="F286" s="173">
        <v>562117.18000000005</v>
      </c>
      <c r="G286" s="173">
        <v>80257.36</v>
      </c>
      <c r="H286" s="173">
        <v>0</v>
      </c>
      <c r="I286" s="173">
        <v>0</v>
      </c>
      <c r="J286" s="174">
        <v>0</v>
      </c>
      <c r="K286" s="173">
        <v>84092.53</v>
      </c>
      <c r="L286" s="173">
        <v>0</v>
      </c>
      <c r="M286" s="175">
        <v>0</v>
      </c>
      <c r="N286" s="173">
        <v>143223.75</v>
      </c>
      <c r="O286" s="152">
        <f t="shared" si="29"/>
        <v>869690.82000000007</v>
      </c>
      <c r="P286" s="3">
        <f t="shared" si="30"/>
        <v>227316.28</v>
      </c>
      <c r="Q286" s="3">
        <f t="shared" si="31"/>
        <v>0</v>
      </c>
      <c r="R286" s="3">
        <f t="shared" si="32"/>
        <v>0</v>
      </c>
      <c r="S286" s="3">
        <f t="shared" si="33"/>
        <v>84092.53</v>
      </c>
      <c r="T286" s="3">
        <f t="shared" si="34"/>
        <v>143223.75</v>
      </c>
      <c r="U286" s="3">
        <f>IF($A$5=1,IF($P286=0,0,ROUND(Q286/$P286*$E286,2)),Credits!D286)+Credits!J286</f>
        <v>266.97000000000003</v>
      </c>
      <c r="V286" s="3">
        <f>IF($A$5=1,IF($P286=0,0,ROUND(R286/$P286*$E286,2)),Credits!E286)+Credits!K286</f>
        <v>0</v>
      </c>
      <c r="W286" s="3">
        <f>IF($A$5=1,IF($P286=0,0,ROUND(S286/$P286*$E286,2)),Credits!F286)+Credits!L286</f>
        <v>18901.330000000002</v>
      </c>
      <c r="X286" s="3">
        <f>IF($A$5=1,IF($P286=0,0,ROUND(T286/$P286*$E286,2)),Credits!G286)+Credits!M286</f>
        <v>9378.75</v>
      </c>
      <c r="Y286" s="3">
        <f t="shared" si="35"/>
        <v>28547.050000000003</v>
      </c>
    </row>
    <row r="287" spans="1:25" ht="15" x14ac:dyDescent="0.25">
      <c r="A287" s="5">
        <v>2155</v>
      </c>
      <c r="B287" s="5">
        <v>1</v>
      </c>
      <c r="C287" s="2" t="s">
        <v>283</v>
      </c>
      <c r="D287" s="3">
        <v>178662.74</v>
      </c>
      <c r="E287" s="3">
        <v>207937.23</v>
      </c>
      <c r="F287" s="173">
        <v>573218</v>
      </c>
      <c r="G287" s="173">
        <v>64669</v>
      </c>
      <c r="H287" s="173">
        <v>0</v>
      </c>
      <c r="I287" s="173">
        <v>249637</v>
      </c>
      <c r="J287" s="174">
        <v>68530</v>
      </c>
      <c r="K287" s="173">
        <v>625752</v>
      </c>
      <c r="L287" s="173">
        <v>0</v>
      </c>
      <c r="M287" s="175">
        <v>0</v>
      </c>
      <c r="N287" s="173">
        <v>0</v>
      </c>
      <c r="O287" s="152">
        <f t="shared" si="29"/>
        <v>1581806</v>
      </c>
      <c r="P287" s="3">
        <f t="shared" si="30"/>
        <v>943919</v>
      </c>
      <c r="Q287" s="3">
        <f t="shared" si="31"/>
        <v>249637</v>
      </c>
      <c r="R287" s="3">
        <f t="shared" si="32"/>
        <v>68530</v>
      </c>
      <c r="S287" s="3">
        <f t="shared" si="33"/>
        <v>625752</v>
      </c>
      <c r="T287" s="3">
        <f t="shared" si="34"/>
        <v>0</v>
      </c>
      <c r="U287" s="3">
        <f>IF($A$5=1,IF($P287=0,0,ROUND(Q287/$P287*$E287,2)),Credits!D287)+Credits!J287</f>
        <v>14321.89</v>
      </c>
      <c r="V287" s="3">
        <f>IF($A$5=1,IF($P287=0,0,ROUND(R287/$P287*$E287,2)),Credits!E287)+Credits!K287</f>
        <v>3928.4099999999994</v>
      </c>
      <c r="W287" s="3">
        <f>IF($A$5=1,IF($P287=0,0,ROUND(S287/$P287*$E287,2)),Credits!F287)+Credits!L287</f>
        <v>33385.43</v>
      </c>
      <c r="X287" s="3">
        <f>IF($A$5=1,IF($P287=0,0,ROUND(T287/$P287*$E287,2)),Credits!G287)+Credits!M287</f>
        <v>0</v>
      </c>
      <c r="Y287" s="3">
        <f t="shared" si="35"/>
        <v>51635.729999999996</v>
      </c>
    </row>
    <row r="288" spans="1:25" ht="15" x14ac:dyDescent="0.25">
      <c r="A288" s="5">
        <v>2159</v>
      </c>
      <c r="B288" s="5">
        <v>1</v>
      </c>
      <c r="C288" s="2" t="s">
        <v>284</v>
      </c>
      <c r="D288" s="3">
        <v>64780.81</v>
      </c>
      <c r="E288" s="3">
        <v>68428.45</v>
      </c>
      <c r="F288" s="173">
        <v>501124.39</v>
      </c>
      <c r="G288" s="173">
        <v>53588.49</v>
      </c>
      <c r="H288" s="173">
        <v>0</v>
      </c>
      <c r="I288" s="173">
        <v>290062.03999999998</v>
      </c>
      <c r="J288" s="174">
        <v>45624.79</v>
      </c>
      <c r="K288" s="173">
        <v>0</v>
      </c>
      <c r="L288" s="173">
        <v>231761</v>
      </c>
      <c r="M288" s="175">
        <v>0</v>
      </c>
      <c r="N288" s="173">
        <v>0</v>
      </c>
      <c r="O288" s="152">
        <f t="shared" si="29"/>
        <v>1122160.71</v>
      </c>
      <c r="P288" s="3">
        <f t="shared" si="30"/>
        <v>567447.82999999996</v>
      </c>
      <c r="Q288" s="3">
        <f t="shared" si="31"/>
        <v>290062.03999999998</v>
      </c>
      <c r="R288" s="3">
        <f t="shared" si="32"/>
        <v>45624.79</v>
      </c>
      <c r="S288" s="3">
        <f t="shared" si="33"/>
        <v>231761</v>
      </c>
      <c r="T288" s="3">
        <f t="shared" si="34"/>
        <v>0</v>
      </c>
      <c r="U288" s="3">
        <f>IF($A$5=1,IF($P288=0,0,ROUND(Q288/$P288*$E288,2)),Credits!D288)+Credits!J288</f>
        <v>12774.48</v>
      </c>
      <c r="V288" s="3">
        <f>IF($A$5=1,IF($P288=0,0,ROUND(R288/$P288*$E288,2)),Credits!E288)+Credits!K288</f>
        <v>2010.75</v>
      </c>
      <c r="W288" s="3">
        <f>IF($A$5=1,IF($P288=0,0,ROUND(S288/$P288*$E288,2)),Credits!F288)+Credits!L288</f>
        <v>12506.439999999999</v>
      </c>
      <c r="X288" s="3">
        <f>IF($A$5=1,IF($P288=0,0,ROUND(T288/$P288*$E288,2)),Credits!G288)+Credits!M288</f>
        <v>0</v>
      </c>
      <c r="Y288" s="3">
        <f t="shared" si="35"/>
        <v>27291.67</v>
      </c>
    </row>
    <row r="289" spans="1:25" ht="15" x14ac:dyDescent="0.25">
      <c r="A289" s="5">
        <v>2164</v>
      </c>
      <c r="B289" s="5">
        <v>1</v>
      </c>
      <c r="C289" s="2" t="s">
        <v>285</v>
      </c>
      <c r="D289" s="3">
        <v>141615.67999999999</v>
      </c>
      <c r="E289" s="3">
        <v>155905.82999999999</v>
      </c>
      <c r="F289" s="173">
        <v>321243.8</v>
      </c>
      <c r="G289" s="173">
        <v>114871.4</v>
      </c>
      <c r="H289" s="173">
        <v>0</v>
      </c>
      <c r="I289" s="173">
        <v>148291.22</v>
      </c>
      <c r="J289" s="174">
        <v>75618.63</v>
      </c>
      <c r="K289" s="173">
        <v>865034.51</v>
      </c>
      <c r="L289" s="173">
        <v>352859.78</v>
      </c>
      <c r="M289" s="175">
        <v>0</v>
      </c>
      <c r="N289" s="173">
        <v>158666</v>
      </c>
      <c r="O289" s="152">
        <f t="shared" si="29"/>
        <v>2036585.34</v>
      </c>
      <c r="P289" s="3">
        <f t="shared" si="30"/>
        <v>1600470.1400000001</v>
      </c>
      <c r="Q289" s="3">
        <f t="shared" si="31"/>
        <v>148291.22</v>
      </c>
      <c r="R289" s="3">
        <f t="shared" si="32"/>
        <v>75618.63</v>
      </c>
      <c r="S289" s="3">
        <f t="shared" si="33"/>
        <v>1217894.29</v>
      </c>
      <c r="T289" s="3">
        <f t="shared" si="34"/>
        <v>158666</v>
      </c>
      <c r="U289" s="3">
        <f>IF($A$5=1,IF($P289=0,0,ROUND(Q289/$P289*$E289,2)),Credits!D289)+Credits!J289</f>
        <v>6846.4</v>
      </c>
      <c r="V289" s="3">
        <f>IF($A$5=1,IF($P289=0,0,ROUND(R289/$P289*$E289,2)),Credits!E289)+Credits!K289</f>
        <v>3490.89</v>
      </c>
      <c r="W289" s="3">
        <f>IF($A$5=1,IF($P289=0,0,ROUND(S289/$P289*$E289,2)),Credits!F289)+Credits!L289</f>
        <v>56223.19</v>
      </c>
      <c r="X289" s="3">
        <f>IF($A$5=1,IF($P289=0,0,ROUND(T289/$P289*$E289,2)),Credits!G289)+Credits!M289</f>
        <v>7326.03</v>
      </c>
      <c r="Y289" s="3">
        <f t="shared" si="35"/>
        <v>73886.509999999995</v>
      </c>
    </row>
    <row r="290" spans="1:25" ht="15" x14ac:dyDescent="0.25">
      <c r="A290" s="5">
        <v>2165</v>
      </c>
      <c r="B290" s="5">
        <v>1</v>
      </c>
      <c r="C290" s="2" t="s">
        <v>286</v>
      </c>
      <c r="D290" s="3">
        <v>119637.15000000001</v>
      </c>
      <c r="E290" s="3">
        <v>123130.89</v>
      </c>
      <c r="F290" s="173">
        <v>273077.14</v>
      </c>
      <c r="G290" s="173">
        <v>102425.44</v>
      </c>
      <c r="H290" s="173">
        <v>0</v>
      </c>
      <c r="I290" s="173">
        <v>304183.13</v>
      </c>
      <c r="J290" s="174">
        <v>74225.440000000002</v>
      </c>
      <c r="K290" s="173">
        <v>368055.9</v>
      </c>
      <c r="L290" s="173">
        <v>350094.61</v>
      </c>
      <c r="M290" s="175">
        <v>0</v>
      </c>
      <c r="N290" s="173">
        <v>0</v>
      </c>
      <c r="O290" s="152">
        <f t="shared" si="29"/>
        <v>1472061.6599999997</v>
      </c>
      <c r="P290" s="3">
        <f t="shared" si="30"/>
        <v>1096559.08</v>
      </c>
      <c r="Q290" s="3">
        <f t="shared" si="31"/>
        <v>304183.13</v>
      </c>
      <c r="R290" s="3">
        <f t="shared" si="32"/>
        <v>74225.440000000002</v>
      </c>
      <c r="S290" s="3">
        <f t="shared" si="33"/>
        <v>718150.51</v>
      </c>
      <c r="T290" s="3">
        <f t="shared" si="34"/>
        <v>0</v>
      </c>
      <c r="U290" s="3">
        <f>IF($A$5=1,IF($P290=0,0,ROUND(Q290/$P290*$E290,2)),Credits!D290)+Credits!J290</f>
        <v>6684.17</v>
      </c>
      <c r="V290" s="3">
        <f>IF($A$5=1,IF($P290=0,0,ROUND(R290/$P290*$E290,2)),Credits!E290)+Credits!K290</f>
        <v>1630.64</v>
      </c>
      <c r="W290" s="3">
        <f>IF($A$5=1,IF($P290=0,0,ROUND(S290/$P290*$E290,2)),Credits!F290)+Credits!L290</f>
        <v>15771.800000000001</v>
      </c>
      <c r="X290" s="3">
        <f>IF($A$5=1,IF($P290=0,0,ROUND(T290/$P290*$E290,2)),Credits!G290)+Credits!M290</f>
        <v>0</v>
      </c>
      <c r="Y290" s="3">
        <f t="shared" si="35"/>
        <v>24086.61</v>
      </c>
    </row>
    <row r="291" spans="1:25" ht="15" x14ac:dyDescent="0.25">
      <c r="A291" s="5">
        <v>2167</v>
      </c>
      <c r="B291" s="5">
        <v>1</v>
      </c>
      <c r="C291" s="2" t="s">
        <v>287</v>
      </c>
      <c r="D291" s="3">
        <v>68261.279999999999</v>
      </c>
      <c r="E291" s="3">
        <v>65987.25</v>
      </c>
      <c r="F291" s="173">
        <v>252260</v>
      </c>
      <c r="G291" s="173">
        <v>38001</v>
      </c>
      <c r="H291" s="173">
        <v>0</v>
      </c>
      <c r="I291" s="173">
        <v>287231</v>
      </c>
      <c r="J291" s="174">
        <v>38437</v>
      </c>
      <c r="K291" s="173">
        <v>810310</v>
      </c>
      <c r="L291" s="173">
        <v>0</v>
      </c>
      <c r="M291" s="175">
        <v>0</v>
      </c>
      <c r="N291" s="173">
        <v>0</v>
      </c>
      <c r="O291" s="152">
        <f t="shared" si="29"/>
        <v>1426239</v>
      </c>
      <c r="P291" s="3">
        <f t="shared" si="30"/>
        <v>1135978</v>
      </c>
      <c r="Q291" s="3">
        <f t="shared" si="31"/>
        <v>287231</v>
      </c>
      <c r="R291" s="3">
        <f t="shared" si="32"/>
        <v>38437</v>
      </c>
      <c r="S291" s="3">
        <f t="shared" si="33"/>
        <v>810310</v>
      </c>
      <c r="T291" s="3">
        <f t="shared" si="34"/>
        <v>0</v>
      </c>
      <c r="U291" s="3">
        <f>IF($A$5=1,IF($P291=0,0,ROUND(Q291/$P291*$E291,2)),Credits!D291)+Credits!J291</f>
        <v>5288.89</v>
      </c>
      <c r="V291" s="3">
        <f>IF($A$5=1,IF($P291=0,0,ROUND(R291/$P291*$E291,2)),Credits!E291)+Credits!K291</f>
        <v>708.56000000000006</v>
      </c>
      <c r="W291" s="3">
        <f>IF($A$5=1,IF($P291=0,0,ROUND(S291/$P291*$E291,2)),Credits!F291)+Credits!L291</f>
        <v>14891.35</v>
      </c>
      <c r="X291" s="3">
        <f>IF($A$5=1,IF($P291=0,0,ROUND(T291/$P291*$E291,2)),Credits!G291)+Credits!M291</f>
        <v>0</v>
      </c>
      <c r="Y291" s="3">
        <f t="shared" si="35"/>
        <v>20888.800000000003</v>
      </c>
    </row>
    <row r="292" spans="1:25" ht="15" x14ac:dyDescent="0.25">
      <c r="A292" s="5">
        <v>2168</v>
      </c>
      <c r="B292" s="5">
        <v>1</v>
      </c>
      <c r="C292" s="2" t="s">
        <v>288</v>
      </c>
      <c r="D292" s="3">
        <v>76299.34</v>
      </c>
      <c r="E292" s="3">
        <v>80775.23</v>
      </c>
      <c r="F292" s="173">
        <v>292830</v>
      </c>
      <c r="G292" s="173">
        <v>84905</v>
      </c>
      <c r="H292" s="173">
        <v>0</v>
      </c>
      <c r="I292" s="173">
        <v>382972</v>
      </c>
      <c r="J292" s="174">
        <v>66922</v>
      </c>
      <c r="K292" s="173">
        <v>261192</v>
      </c>
      <c r="L292" s="173">
        <v>294257</v>
      </c>
      <c r="M292" s="175">
        <v>0</v>
      </c>
      <c r="N292" s="173">
        <v>0</v>
      </c>
      <c r="O292" s="152">
        <f t="shared" si="29"/>
        <v>1383078</v>
      </c>
      <c r="P292" s="3">
        <f t="shared" si="30"/>
        <v>1005343</v>
      </c>
      <c r="Q292" s="3">
        <f t="shared" si="31"/>
        <v>382972</v>
      </c>
      <c r="R292" s="3">
        <f t="shared" si="32"/>
        <v>66922</v>
      </c>
      <c r="S292" s="3">
        <f t="shared" si="33"/>
        <v>555449</v>
      </c>
      <c r="T292" s="3">
        <f t="shared" si="34"/>
        <v>0</v>
      </c>
      <c r="U292" s="3">
        <f>IF($A$5=1,IF($P292=0,0,ROUND(Q292/$P292*$E292,2)),Credits!D292)+Credits!J292</f>
        <v>10462.549999999999</v>
      </c>
      <c r="V292" s="3">
        <f>IF($A$5=1,IF($P292=0,0,ROUND(R292/$P292*$E292,2)),Credits!E292)+Credits!K292</f>
        <v>1740.97</v>
      </c>
      <c r="W292" s="3">
        <f>IF($A$5=1,IF($P292=0,0,ROUND(S292/$P292*$E292,2)),Credits!F292)+Credits!L292</f>
        <v>11906.900000000001</v>
      </c>
      <c r="X292" s="3">
        <f>IF($A$5=1,IF($P292=0,0,ROUND(T292/$P292*$E292,2)),Credits!G292)+Credits!M292</f>
        <v>0</v>
      </c>
      <c r="Y292" s="3">
        <f t="shared" si="35"/>
        <v>24110.42</v>
      </c>
    </row>
    <row r="293" spans="1:25" ht="15" x14ac:dyDescent="0.25">
      <c r="A293" s="5">
        <v>2169</v>
      </c>
      <c r="B293" s="5">
        <v>1</v>
      </c>
      <c r="C293" s="2" t="s">
        <v>289</v>
      </c>
      <c r="D293" s="3">
        <v>122384.23000000001</v>
      </c>
      <c r="E293" s="3">
        <v>110608.17</v>
      </c>
      <c r="F293" s="173">
        <v>759665.44</v>
      </c>
      <c r="G293" s="173">
        <v>39880.019999999997</v>
      </c>
      <c r="H293" s="173">
        <v>0</v>
      </c>
      <c r="I293" s="173">
        <v>342136.64</v>
      </c>
      <c r="J293" s="174">
        <v>72909.22</v>
      </c>
      <c r="K293" s="173">
        <v>0</v>
      </c>
      <c r="L293" s="173">
        <v>457961.3</v>
      </c>
      <c r="M293" s="175">
        <v>0</v>
      </c>
      <c r="N293" s="173">
        <v>0</v>
      </c>
      <c r="O293" s="152">
        <f t="shared" si="29"/>
        <v>1672552.62</v>
      </c>
      <c r="P293" s="3">
        <f t="shared" si="30"/>
        <v>873007.15999999992</v>
      </c>
      <c r="Q293" s="3">
        <f t="shared" si="31"/>
        <v>342136.64</v>
      </c>
      <c r="R293" s="3">
        <f t="shared" si="32"/>
        <v>72909.22</v>
      </c>
      <c r="S293" s="3">
        <f t="shared" si="33"/>
        <v>457961.3</v>
      </c>
      <c r="T293" s="3">
        <f t="shared" si="34"/>
        <v>0</v>
      </c>
      <c r="U293" s="3">
        <f>IF($A$5=1,IF($P293=0,0,ROUND(Q293/$P293*$E293,2)),Credits!D293)+Credits!J293</f>
        <v>19777.550000000003</v>
      </c>
      <c r="V293" s="3">
        <f>IF($A$5=1,IF($P293=0,0,ROUND(R293/$P293*$E293,2)),Credits!E293)+Credits!K293</f>
        <v>4215.6400000000003</v>
      </c>
      <c r="W293" s="3">
        <f>IF($A$5=1,IF($P293=0,0,ROUND(S293/$P293*$E293,2)),Credits!F293)+Credits!L293</f>
        <v>26400.77</v>
      </c>
      <c r="X293" s="3">
        <f>IF($A$5=1,IF($P293=0,0,ROUND(T293/$P293*$E293,2)),Credits!G293)+Credits!M293</f>
        <v>0</v>
      </c>
      <c r="Y293" s="3">
        <f t="shared" si="35"/>
        <v>50393.960000000006</v>
      </c>
    </row>
    <row r="294" spans="1:25" ht="15" x14ac:dyDescent="0.25">
      <c r="A294" s="5">
        <v>2170</v>
      </c>
      <c r="B294" s="5">
        <v>1</v>
      </c>
      <c r="C294" s="2" t="s">
        <v>290</v>
      </c>
      <c r="D294" s="3">
        <v>145595.12</v>
      </c>
      <c r="E294" s="3">
        <v>118102.28</v>
      </c>
      <c r="F294" s="173">
        <v>523983</v>
      </c>
      <c r="G294" s="173">
        <v>143122</v>
      </c>
      <c r="H294" s="173">
        <v>0</v>
      </c>
      <c r="I294" s="173">
        <v>335934</v>
      </c>
      <c r="J294" s="174">
        <v>126733</v>
      </c>
      <c r="K294" s="173">
        <v>0</v>
      </c>
      <c r="L294" s="173">
        <v>266818</v>
      </c>
      <c r="M294" s="175">
        <v>0</v>
      </c>
      <c r="N294" s="173">
        <v>144862</v>
      </c>
      <c r="O294" s="152">
        <f t="shared" si="29"/>
        <v>1541452</v>
      </c>
      <c r="P294" s="3">
        <f t="shared" si="30"/>
        <v>874347</v>
      </c>
      <c r="Q294" s="3">
        <f t="shared" si="31"/>
        <v>335934</v>
      </c>
      <c r="R294" s="3">
        <f t="shared" si="32"/>
        <v>126733</v>
      </c>
      <c r="S294" s="3">
        <f t="shared" si="33"/>
        <v>266818</v>
      </c>
      <c r="T294" s="3">
        <f t="shared" si="34"/>
        <v>144862</v>
      </c>
      <c r="U294" s="3">
        <f>IF($A$5=1,IF($P294=0,0,ROUND(Q294/$P294*$E294,2)),Credits!D294)+Credits!J294</f>
        <v>19343.62</v>
      </c>
      <c r="V294" s="3">
        <f>IF($A$5=1,IF($P294=0,0,ROUND(R294/$P294*$E294,2)),Credits!E294)+Credits!K294</f>
        <v>7298.0599999999995</v>
      </c>
      <c r="W294" s="3">
        <f>IF($A$5=1,IF($P294=0,0,ROUND(S294/$P294*$E294,2)),Credits!F294)+Credits!L294</f>
        <v>15357.04</v>
      </c>
      <c r="X294" s="3">
        <f>IF($A$5=1,IF($P294=0,0,ROUND(T294/$P294*$E294,2)),Credits!G294)+Credits!M294</f>
        <v>7086.7000000000007</v>
      </c>
      <c r="Y294" s="3">
        <f t="shared" si="35"/>
        <v>49085.42</v>
      </c>
    </row>
    <row r="295" spans="1:25" ht="15" x14ac:dyDescent="0.25">
      <c r="A295" s="5">
        <v>2171</v>
      </c>
      <c r="B295" s="5">
        <v>1</v>
      </c>
      <c r="C295" s="2" t="s">
        <v>291</v>
      </c>
      <c r="D295" s="3">
        <v>23351.600000000002</v>
      </c>
      <c r="E295" s="3">
        <v>22664.53</v>
      </c>
      <c r="F295" s="173">
        <v>348763.83</v>
      </c>
      <c r="G295" s="173">
        <v>15157.84</v>
      </c>
      <c r="H295" s="173">
        <v>0</v>
      </c>
      <c r="I295" s="173">
        <v>160183.07999999999</v>
      </c>
      <c r="J295" s="174">
        <v>29111</v>
      </c>
      <c r="K295" s="173">
        <v>362044.22</v>
      </c>
      <c r="L295" s="173">
        <v>0</v>
      </c>
      <c r="M295" s="175">
        <v>0</v>
      </c>
      <c r="N295" s="173">
        <v>0</v>
      </c>
      <c r="O295" s="152">
        <f t="shared" si="29"/>
        <v>915259.97</v>
      </c>
      <c r="P295" s="3">
        <f t="shared" si="30"/>
        <v>551338.29999999993</v>
      </c>
      <c r="Q295" s="3">
        <f t="shared" si="31"/>
        <v>160183.07999999999</v>
      </c>
      <c r="R295" s="3">
        <f t="shared" si="32"/>
        <v>29111</v>
      </c>
      <c r="S295" s="3">
        <f t="shared" si="33"/>
        <v>362044.22</v>
      </c>
      <c r="T295" s="3">
        <f t="shared" si="34"/>
        <v>0</v>
      </c>
      <c r="U295" s="3">
        <f>IF($A$5=1,IF($P295=0,0,ROUND(Q295/$P295*$E295,2)),Credits!D295)+Credits!J295</f>
        <v>3003.52</v>
      </c>
      <c r="V295" s="3">
        <f>IF($A$5=1,IF($P295=0,0,ROUND(R295/$P295*$E295,2)),Credits!E295)+Credits!K295</f>
        <v>546.32000000000005</v>
      </c>
      <c r="W295" s="3">
        <f>IF($A$5=1,IF($P295=0,0,ROUND(S295/$P295*$E295,2)),Credits!F295)+Credits!L295</f>
        <v>6787.61</v>
      </c>
      <c r="X295" s="3">
        <f>IF($A$5=1,IF($P295=0,0,ROUND(T295/$P295*$E295,2)),Credits!G295)+Credits!M295</f>
        <v>0</v>
      </c>
      <c r="Y295" s="3">
        <f t="shared" si="35"/>
        <v>10337.450000000001</v>
      </c>
    </row>
    <row r="296" spans="1:25" ht="15" x14ac:dyDescent="0.25">
      <c r="A296" s="5">
        <v>2172</v>
      </c>
      <c r="B296" s="5">
        <v>1</v>
      </c>
      <c r="C296" s="2" t="s">
        <v>292</v>
      </c>
      <c r="D296" s="3">
        <v>119634.31</v>
      </c>
      <c r="E296" s="3">
        <v>127215.08</v>
      </c>
      <c r="F296" s="173">
        <v>749940</v>
      </c>
      <c r="G296" s="173">
        <v>78377</v>
      </c>
      <c r="H296" s="173">
        <v>0</v>
      </c>
      <c r="I296" s="173">
        <v>370951</v>
      </c>
      <c r="J296" s="174">
        <v>105423</v>
      </c>
      <c r="K296" s="173">
        <v>858375</v>
      </c>
      <c r="L296" s="173">
        <v>251026</v>
      </c>
      <c r="M296" s="175">
        <v>0</v>
      </c>
      <c r="N296" s="173">
        <v>0</v>
      </c>
      <c r="O296" s="152">
        <f t="shared" si="29"/>
        <v>2414092</v>
      </c>
      <c r="P296" s="3">
        <f t="shared" si="30"/>
        <v>1585775</v>
      </c>
      <c r="Q296" s="3">
        <f t="shared" si="31"/>
        <v>370951</v>
      </c>
      <c r="R296" s="3">
        <f t="shared" si="32"/>
        <v>105423</v>
      </c>
      <c r="S296" s="3">
        <f t="shared" si="33"/>
        <v>1109401</v>
      </c>
      <c r="T296" s="3">
        <f t="shared" si="34"/>
        <v>0</v>
      </c>
      <c r="U296" s="3">
        <f>IF($A$5=1,IF($P296=0,0,ROUND(Q296/$P296*$E296,2)),Credits!D296)+Credits!J296</f>
        <v>8948.77</v>
      </c>
      <c r="V296" s="3">
        <f>IF($A$5=1,IF($P296=0,0,ROUND(R296/$P296*$E296,2)),Credits!E296)+Credits!K296</f>
        <v>2543.14</v>
      </c>
      <c r="W296" s="3">
        <f>IF($A$5=1,IF($P296=0,0,ROUND(S296/$P296*$E296,2)),Credits!F296)+Credits!L296</f>
        <v>26752.27</v>
      </c>
      <c r="X296" s="3">
        <f>IF($A$5=1,IF($P296=0,0,ROUND(T296/$P296*$E296,2)),Credits!G296)+Credits!M296</f>
        <v>0</v>
      </c>
      <c r="Y296" s="3">
        <f t="shared" si="35"/>
        <v>38244.18</v>
      </c>
    </row>
    <row r="297" spans="1:25" ht="15" x14ac:dyDescent="0.25">
      <c r="A297" s="5">
        <v>2174</v>
      </c>
      <c r="B297" s="5">
        <v>1</v>
      </c>
      <c r="C297" s="2" t="s">
        <v>293</v>
      </c>
      <c r="D297" s="3">
        <v>55894.17</v>
      </c>
      <c r="E297" s="3">
        <v>56485.89</v>
      </c>
      <c r="F297" s="173">
        <v>936.89</v>
      </c>
      <c r="G297" s="173">
        <v>211794.68</v>
      </c>
      <c r="H297" s="173">
        <v>0</v>
      </c>
      <c r="I297" s="173">
        <v>143208.95000000001</v>
      </c>
      <c r="J297" s="174">
        <v>122701.25</v>
      </c>
      <c r="K297" s="173">
        <v>331315.56</v>
      </c>
      <c r="L297" s="173">
        <v>136190.64000000001</v>
      </c>
      <c r="M297" s="175">
        <v>0</v>
      </c>
      <c r="N297" s="173">
        <v>0</v>
      </c>
      <c r="O297" s="152">
        <f t="shared" si="29"/>
        <v>946147.97000000009</v>
      </c>
      <c r="P297" s="3">
        <f t="shared" si="30"/>
        <v>733416.4</v>
      </c>
      <c r="Q297" s="3">
        <f t="shared" si="31"/>
        <v>143208.95000000001</v>
      </c>
      <c r="R297" s="3">
        <f t="shared" si="32"/>
        <v>122701.25</v>
      </c>
      <c r="S297" s="3">
        <f t="shared" si="33"/>
        <v>467506.2</v>
      </c>
      <c r="T297" s="3">
        <f t="shared" si="34"/>
        <v>0</v>
      </c>
      <c r="U297" s="3">
        <f>IF($A$5=1,IF($P297=0,0,ROUND(Q297/$P297*$E297,2)),Credits!D297)+Credits!J297</f>
        <v>1733.58</v>
      </c>
      <c r="V297" s="3">
        <f>IF($A$5=1,IF($P297=0,0,ROUND(R297/$P297*$E297,2)),Credits!E297)+Credits!K297</f>
        <v>1486.45</v>
      </c>
      <c r="W297" s="3">
        <f>IF($A$5=1,IF($P297=0,0,ROUND(S297/$P297*$E297,2)),Credits!F297)+Credits!L297</f>
        <v>5655.7</v>
      </c>
      <c r="X297" s="3">
        <f>IF($A$5=1,IF($P297=0,0,ROUND(T297/$P297*$E297,2)),Credits!G297)+Credits!M297</f>
        <v>0</v>
      </c>
      <c r="Y297" s="3">
        <f t="shared" si="35"/>
        <v>8875.73</v>
      </c>
    </row>
    <row r="298" spans="1:25" ht="15" x14ac:dyDescent="0.25">
      <c r="A298" s="5">
        <v>2176</v>
      </c>
      <c r="B298" s="5">
        <v>1</v>
      </c>
      <c r="C298" s="2" t="s">
        <v>294</v>
      </c>
      <c r="D298" s="3">
        <v>24793.87</v>
      </c>
      <c r="E298" s="3">
        <v>29909.59</v>
      </c>
      <c r="F298" s="173">
        <v>495140</v>
      </c>
      <c r="G298" s="173">
        <v>13282</v>
      </c>
      <c r="H298" s="173">
        <v>0</v>
      </c>
      <c r="I298" s="173">
        <v>329446</v>
      </c>
      <c r="J298" s="174">
        <v>54747</v>
      </c>
      <c r="K298" s="173">
        <v>0</v>
      </c>
      <c r="L298" s="173">
        <v>0</v>
      </c>
      <c r="M298" s="175">
        <v>0</v>
      </c>
      <c r="N298" s="173">
        <v>0</v>
      </c>
      <c r="O298" s="152">
        <f t="shared" si="29"/>
        <v>892615</v>
      </c>
      <c r="P298" s="3">
        <f t="shared" si="30"/>
        <v>384193</v>
      </c>
      <c r="Q298" s="3">
        <f t="shared" si="31"/>
        <v>329446</v>
      </c>
      <c r="R298" s="3">
        <f t="shared" si="32"/>
        <v>54747</v>
      </c>
      <c r="S298" s="3">
        <f t="shared" si="33"/>
        <v>0</v>
      </c>
      <c r="T298" s="3">
        <f t="shared" si="34"/>
        <v>0</v>
      </c>
      <c r="U298" s="3">
        <f>IF($A$5=1,IF($P298=0,0,ROUND(Q298/$P298*$E298,2)),Credits!D298)+Credits!J298</f>
        <v>13720.34</v>
      </c>
      <c r="V298" s="3">
        <f>IF($A$5=1,IF($P298=0,0,ROUND(R298/$P298*$E298,2)),Credits!E298)+Credits!K298</f>
        <v>1403.8200000000002</v>
      </c>
      <c r="W298" s="3">
        <f>IF($A$5=1,IF($P298=0,0,ROUND(S298/$P298*$E298,2)),Credits!F298)+Credits!L298</f>
        <v>489.99</v>
      </c>
      <c r="X298" s="3">
        <f>IF($A$5=1,IF($P298=0,0,ROUND(T298/$P298*$E298,2)),Credits!G298)+Credits!M298</f>
        <v>0</v>
      </c>
      <c r="Y298" s="3">
        <f t="shared" si="35"/>
        <v>15614.15</v>
      </c>
    </row>
    <row r="299" spans="1:25" ht="15" x14ac:dyDescent="0.25">
      <c r="A299" s="5">
        <v>2180</v>
      </c>
      <c r="B299" s="5">
        <v>1</v>
      </c>
      <c r="C299" s="2" t="s">
        <v>295</v>
      </c>
      <c r="D299" s="3">
        <v>74690.710000000006</v>
      </c>
      <c r="E299" s="3">
        <v>75655.22</v>
      </c>
      <c r="F299" s="173">
        <v>1209110.23</v>
      </c>
      <c r="G299" s="173">
        <v>12169.67</v>
      </c>
      <c r="H299" s="173">
        <v>0</v>
      </c>
      <c r="I299" s="173">
        <v>314015.40999999997</v>
      </c>
      <c r="J299" s="174">
        <v>39630.93</v>
      </c>
      <c r="K299" s="173">
        <v>626801.15</v>
      </c>
      <c r="L299" s="173">
        <v>0</v>
      </c>
      <c r="M299" s="175">
        <v>0</v>
      </c>
      <c r="N299" s="173">
        <v>0</v>
      </c>
      <c r="O299" s="152">
        <f t="shared" si="29"/>
        <v>2201727.3899999997</v>
      </c>
      <c r="P299" s="3">
        <f t="shared" si="30"/>
        <v>980447.49</v>
      </c>
      <c r="Q299" s="3">
        <f t="shared" si="31"/>
        <v>314015.40999999997</v>
      </c>
      <c r="R299" s="3">
        <f t="shared" si="32"/>
        <v>39630.93</v>
      </c>
      <c r="S299" s="3">
        <f t="shared" si="33"/>
        <v>626801.15</v>
      </c>
      <c r="T299" s="3">
        <f t="shared" si="34"/>
        <v>0</v>
      </c>
      <c r="U299" s="3">
        <f>IF($A$5=1,IF($P299=0,0,ROUND(Q299/$P299*$E299,2)),Credits!D299)+Credits!J299</f>
        <v>9636.010000000002</v>
      </c>
      <c r="V299" s="3">
        <f>IF($A$5=1,IF($P299=0,0,ROUND(R299/$P299*$E299,2)),Credits!E299)+Credits!K299</f>
        <v>1216.8500000000001</v>
      </c>
      <c r="W299" s="3">
        <f>IF($A$5=1,IF($P299=0,0,ROUND(S299/$P299*$E299,2)),Credits!F299)+Credits!L299</f>
        <v>19235.66</v>
      </c>
      <c r="X299" s="3">
        <f>IF($A$5=1,IF($P299=0,0,ROUND(T299/$P299*$E299,2)),Credits!G299)+Credits!M299</f>
        <v>0</v>
      </c>
      <c r="Y299" s="3">
        <f t="shared" si="35"/>
        <v>30088.520000000004</v>
      </c>
    </row>
    <row r="300" spans="1:25" ht="15" x14ac:dyDescent="0.25">
      <c r="A300" s="5">
        <v>2184</v>
      </c>
      <c r="B300" s="5">
        <v>1</v>
      </c>
      <c r="C300" s="2" t="s">
        <v>296</v>
      </c>
      <c r="D300" s="3">
        <v>144599</v>
      </c>
      <c r="E300" s="3">
        <v>149155.34</v>
      </c>
      <c r="F300" s="173">
        <v>926762.9</v>
      </c>
      <c r="G300" s="173">
        <v>55183.28</v>
      </c>
      <c r="H300" s="173">
        <v>0</v>
      </c>
      <c r="I300" s="173">
        <v>365865.12</v>
      </c>
      <c r="J300" s="174">
        <v>80187.34</v>
      </c>
      <c r="K300" s="173">
        <v>990731.63</v>
      </c>
      <c r="L300" s="173">
        <v>0</v>
      </c>
      <c r="M300" s="175">
        <v>0</v>
      </c>
      <c r="N300" s="173">
        <v>0</v>
      </c>
      <c r="O300" s="152">
        <f t="shared" si="29"/>
        <v>2418730.27</v>
      </c>
      <c r="P300" s="3">
        <f t="shared" si="30"/>
        <v>1436784.0899999999</v>
      </c>
      <c r="Q300" s="3">
        <f t="shared" si="31"/>
        <v>365865.12</v>
      </c>
      <c r="R300" s="3">
        <f t="shared" si="32"/>
        <v>80187.34</v>
      </c>
      <c r="S300" s="3">
        <f t="shared" si="33"/>
        <v>990731.63</v>
      </c>
      <c r="T300" s="3">
        <f t="shared" si="34"/>
        <v>0</v>
      </c>
      <c r="U300" s="3">
        <f>IF($A$5=1,IF($P300=0,0,ROUND(Q300/$P300*$E300,2)),Credits!D300)+Credits!J300</f>
        <v>8090.8</v>
      </c>
      <c r="V300" s="3">
        <f>IF($A$5=1,IF($P300=0,0,ROUND(R300/$P300*$E300,2)),Credits!E300)+Credits!K300</f>
        <v>1774.1299999999999</v>
      </c>
      <c r="W300" s="3">
        <f>IF($A$5=1,IF($P300=0,0,ROUND(S300/$P300*$E300,2)),Credits!F300)+Credits!L300</f>
        <v>21890.870000000003</v>
      </c>
      <c r="X300" s="3">
        <f>IF($A$5=1,IF($P300=0,0,ROUND(T300/$P300*$E300,2)),Credits!G300)+Credits!M300</f>
        <v>0</v>
      </c>
      <c r="Y300" s="3">
        <f t="shared" si="35"/>
        <v>31755.800000000003</v>
      </c>
    </row>
    <row r="301" spans="1:25" ht="15" x14ac:dyDescent="0.25">
      <c r="A301" s="5">
        <v>2190</v>
      </c>
      <c r="B301" s="5">
        <v>1</v>
      </c>
      <c r="C301" s="2" t="s">
        <v>297</v>
      </c>
      <c r="D301" s="3">
        <v>85747.01</v>
      </c>
      <c r="E301" s="3">
        <v>102457.93</v>
      </c>
      <c r="F301" s="173">
        <v>827515</v>
      </c>
      <c r="G301" s="173">
        <v>39348</v>
      </c>
      <c r="H301" s="173">
        <v>0</v>
      </c>
      <c r="I301" s="173">
        <v>317822</v>
      </c>
      <c r="J301" s="174">
        <v>157047</v>
      </c>
      <c r="K301" s="173">
        <v>0</v>
      </c>
      <c r="L301" s="173">
        <v>729929</v>
      </c>
      <c r="M301" s="175">
        <v>0</v>
      </c>
      <c r="N301" s="173">
        <v>201228</v>
      </c>
      <c r="O301" s="152">
        <f t="shared" si="29"/>
        <v>2272889</v>
      </c>
      <c r="P301" s="3">
        <f t="shared" si="30"/>
        <v>1406026</v>
      </c>
      <c r="Q301" s="3">
        <f t="shared" si="31"/>
        <v>317822</v>
      </c>
      <c r="R301" s="3">
        <f t="shared" si="32"/>
        <v>157047</v>
      </c>
      <c r="S301" s="3">
        <f t="shared" si="33"/>
        <v>729929</v>
      </c>
      <c r="T301" s="3">
        <f t="shared" si="34"/>
        <v>201228</v>
      </c>
      <c r="U301" s="3">
        <f>IF($A$5=1,IF($P301=0,0,ROUND(Q301/$P301*$E301,2)),Credits!D301)+Credits!J301</f>
        <v>9815.14</v>
      </c>
      <c r="V301" s="3">
        <f>IF($A$5=1,IF($P301=0,0,ROUND(R301/$P301*$E301,2)),Credits!E301)+Credits!K301</f>
        <v>5600.7000000000007</v>
      </c>
      <c r="W301" s="3">
        <f>IF($A$5=1,IF($P301=0,0,ROUND(S301/$P301*$E301,2)),Credits!F301)+Credits!L301</f>
        <v>22086.35</v>
      </c>
      <c r="X301" s="3">
        <f>IF($A$5=1,IF($P301=0,0,ROUND(T301/$P301*$E301,2)),Credits!G301)+Credits!M301</f>
        <v>6091.56</v>
      </c>
      <c r="Y301" s="3">
        <f t="shared" si="35"/>
        <v>43593.75</v>
      </c>
    </row>
    <row r="302" spans="1:25" ht="15" x14ac:dyDescent="0.25">
      <c r="A302" s="5">
        <v>2198</v>
      </c>
      <c r="B302" s="5">
        <v>1</v>
      </c>
      <c r="C302" s="2" t="s">
        <v>298</v>
      </c>
      <c r="D302" s="3">
        <v>144079.25</v>
      </c>
      <c r="E302" s="3">
        <v>139451.71000000002</v>
      </c>
      <c r="F302" s="173">
        <v>574813.18000000005</v>
      </c>
      <c r="G302" s="173">
        <v>44969.49</v>
      </c>
      <c r="H302" s="173">
        <v>0</v>
      </c>
      <c r="I302" s="173">
        <v>309044.71999999997</v>
      </c>
      <c r="J302" s="174">
        <v>74498.13</v>
      </c>
      <c r="K302" s="173">
        <v>239759.8</v>
      </c>
      <c r="L302" s="173">
        <v>266924.28000000003</v>
      </c>
      <c r="M302" s="175">
        <v>0</v>
      </c>
      <c r="N302" s="173">
        <v>111222</v>
      </c>
      <c r="O302" s="152">
        <f t="shared" si="29"/>
        <v>1621231.6</v>
      </c>
      <c r="P302" s="3">
        <f t="shared" si="30"/>
        <v>1001448.9299999999</v>
      </c>
      <c r="Q302" s="3">
        <f t="shared" si="31"/>
        <v>309044.71999999997</v>
      </c>
      <c r="R302" s="3">
        <f t="shared" si="32"/>
        <v>74498.13</v>
      </c>
      <c r="S302" s="3">
        <f t="shared" si="33"/>
        <v>506684.08</v>
      </c>
      <c r="T302" s="3">
        <f t="shared" si="34"/>
        <v>111222</v>
      </c>
      <c r="U302" s="3">
        <f>IF($A$5=1,IF($P302=0,0,ROUND(Q302/$P302*$E302,2)),Credits!D302)+Credits!J302</f>
        <v>22638.16</v>
      </c>
      <c r="V302" s="3">
        <f>IF($A$5=1,IF($P302=0,0,ROUND(R302/$P302*$E302,2)),Credits!E302)+Credits!K302</f>
        <v>5455.32</v>
      </c>
      <c r="W302" s="3">
        <f>IF($A$5=1,IF($P302=0,0,ROUND(S302/$P302*$E302,2)),Credits!F302)+Credits!L302</f>
        <v>37115.550000000003</v>
      </c>
      <c r="X302" s="3">
        <f>IF($A$5=1,IF($P302=0,0,ROUND(T302/$P302*$E302,2)),Credits!G302)+Credits!M302</f>
        <v>8148.6100000000006</v>
      </c>
      <c r="Y302" s="3">
        <f t="shared" si="35"/>
        <v>73357.64</v>
      </c>
    </row>
    <row r="303" spans="1:25" ht="15" x14ac:dyDescent="0.25">
      <c r="A303" s="5">
        <v>2215</v>
      </c>
      <c r="B303" s="5">
        <v>1</v>
      </c>
      <c r="C303" s="2" t="s">
        <v>299</v>
      </c>
      <c r="D303" s="3">
        <v>65657.08</v>
      </c>
      <c r="E303" s="3">
        <v>57998.8</v>
      </c>
      <c r="F303" s="173">
        <v>299038.81</v>
      </c>
      <c r="G303" s="173">
        <v>4640.91</v>
      </c>
      <c r="H303" s="173">
        <v>0</v>
      </c>
      <c r="I303" s="173">
        <v>117527.01</v>
      </c>
      <c r="J303" s="174">
        <v>20929.669999999998</v>
      </c>
      <c r="K303" s="173">
        <v>326955.7</v>
      </c>
      <c r="L303" s="173">
        <v>0</v>
      </c>
      <c r="M303" s="175">
        <v>0</v>
      </c>
      <c r="N303" s="173">
        <v>0</v>
      </c>
      <c r="O303" s="152">
        <f t="shared" si="29"/>
        <v>769092.1</v>
      </c>
      <c r="P303" s="3">
        <f t="shared" si="30"/>
        <v>465412.38</v>
      </c>
      <c r="Q303" s="3">
        <f t="shared" si="31"/>
        <v>117527.01</v>
      </c>
      <c r="R303" s="3">
        <f t="shared" si="32"/>
        <v>20929.669999999998</v>
      </c>
      <c r="S303" s="3">
        <f t="shared" si="33"/>
        <v>326955.7</v>
      </c>
      <c r="T303" s="3">
        <f t="shared" si="34"/>
        <v>0</v>
      </c>
      <c r="U303" s="3">
        <f>IF($A$5=1,IF($P303=0,0,ROUND(Q303/$P303*$E303,2)),Credits!D303)+Credits!J303</f>
        <v>6449.7300000000005</v>
      </c>
      <c r="V303" s="3">
        <f>IF($A$5=1,IF($P303=0,0,ROUND(R303/$P303*$E303,2)),Credits!E303)+Credits!K303</f>
        <v>1148.67</v>
      </c>
      <c r="W303" s="3">
        <f>IF($A$5=1,IF($P303=0,0,ROUND(S303/$P303*$E303,2)),Credits!F303)+Credits!L303</f>
        <v>17941.21</v>
      </c>
      <c r="X303" s="3">
        <f>IF($A$5=1,IF($P303=0,0,ROUND(T303/$P303*$E303,2)),Credits!G303)+Credits!M303</f>
        <v>0</v>
      </c>
      <c r="Y303" s="3">
        <f t="shared" si="35"/>
        <v>25539.61</v>
      </c>
    </row>
    <row r="304" spans="1:25" ht="15" x14ac:dyDescent="0.25">
      <c r="A304" s="5">
        <v>2310</v>
      </c>
      <c r="B304" s="5">
        <v>1</v>
      </c>
      <c r="C304" s="2" t="s">
        <v>300</v>
      </c>
      <c r="D304" s="3">
        <v>84101.36</v>
      </c>
      <c r="E304" s="3">
        <v>85874.78</v>
      </c>
      <c r="F304" s="173">
        <v>517446.69</v>
      </c>
      <c r="G304" s="173">
        <v>81823.62</v>
      </c>
      <c r="H304" s="173">
        <v>0</v>
      </c>
      <c r="I304" s="173">
        <v>543412.1</v>
      </c>
      <c r="J304" s="174">
        <v>99190.38</v>
      </c>
      <c r="K304" s="173">
        <v>0</v>
      </c>
      <c r="L304" s="173">
        <v>0</v>
      </c>
      <c r="M304" s="175">
        <v>0</v>
      </c>
      <c r="N304" s="173">
        <v>0</v>
      </c>
      <c r="O304" s="152">
        <f t="shared" si="29"/>
        <v>1241872.79</v>
      </c>
      <c r="P304" s="3">
        <f t="shared" si="30"/>
        <v>642602.48</v>
      </c>
      <c r="Q304" s="3">
        <f t="shared" si="31"/>
        <v>543412.1</v>
      </c>
      <c r="R304" s="3">
        <f t="shared" si="32"/>
        <v>99190.38</v>
      </c>
      <c r="S304" s="3">
        <f t="shared" si="33"/>
        <v>0</v>
      </c>
      <c r="T304" s="3">
        <f t="shared" si="34"/>
        <v>0</v>
      </c>
      <c r="U304" s="3">
        <f>IF($A$5=1,IF($P304=0,0,ROUND(Q304/$P304*$E304,2)),Credits!D304)+Credits!J304</f>
        <v>39597.269999999997</v>
      </c>
      <c r="V304" s="3">
        <f>IF($A$5=1,IF($P304=0,0,ROUND(R304/$P304*$E304,2)),Credits!E304)+Credits!K304</f>
        <v>7299.26</v>
      </c>
      <c r="W304" s="3">
        <f>IF($A$5=1,IF($P304=0,0,ROUND(S304/$P304*$E304,2)),Credits!F304)+Credits!L304</f>
        <v>0</v>
      </c>
      <c r="X304" s="3">
        <f>IF($A$5=1,IF($P304=0,0,ROUND(T304/$P304*$E304,2)),Credits!G304)+Credits!M304</f>
        <v>0</v>
      </c>
      <c r="Y304" s="3">
        <f t="shared" si="35"/>
        <v>46896.53</v>
      </c>
    </row>
    <row r="305" spans="1:25" ht="15" x14ac:dyDescent="0.25">
      <c r="A305" s="5">
        <v>2311</v>
      </c>
      <c r="B305" s="5">
        <v>1</v>
      </c>
      <c r="C305" s="2" t="s">
        <v>301</v>
      </c>
      <c r="D305" s="3">
        <v>89780.680000000008</v>
      </c>
      <c r="E305" s="3">
        <v>59470.18</v>
      </c>
      <c r="F305" s="173">
        <v>323821</v>
      </c>
      <c r="G305" s="173">
        <v>67109</v>
      </c>
      <c r="H305" s="173">
        <v>0</v>
      </c>
      <c r="I305" s="173">
        <v>202640</v>
      </c>
      <c r="J305" s="174">
        <v>46448</v>
      </c>
      <c r="K305" s="173">
        <v>814246</v>
      </c>
      <c r="L305" s="173">
        <v>0</v>
      </c>
      <c r="M305" s="175">
        <v>0</v>
      </c>
      <c r="N305" s="173">
        <v>0</v>
      </c>
      <c r="O305" s="152">
        <f t="shared" si="29"/>
        <v>1454264</v>
      </c>
      <c r="P305" s="3">
        <f t="shared" si="30"/>
        <v>1063334</v>
      </c>
      <c r="Q305" s="3">
        <f t="shared" si="31"/>
        <v>202640</v>
      </c>
      <c r="R305" s="3">
        <f t="shared" si="32"/>
        <v>46448</v>
      </c>
      <c r="S305" s="3">
        <f t="shared" si="33"/>
        <v>814246</v>
      </c>
      <c r="T305" s="3">
        <f t="shared" si="34"/>
        <v>0</v>
      </c>
      <c r="U305" s="3">
        <f>IF($A$5=1,IF($P305=0,0,ROUND(Q305/$P305*$E305,2)),Credits!D305)+Credits!J305</f>
        <v>6830.5999999999995</v>
      </c>
      <c r="V305" s="3">
        <f>IF($A$5=1,IF($P305=0,0,ROUND(R305/$P305*$E305,2)),Credits!E305)+Credits!K305</f>
        <v>1327.96</v>
      </c>
      <c r="W305" s="3">
        <f>IF($A$5=1,IF($P305=0,0,ROUND(S305/$P305*$E305,2)),Credits!F305)+Credits!L305</f>
        <v>25383.23</v>
      </c>
      <c r="X305" s="3">
        <f>IF($A$5=1,IF($P305=0,0,ROUND(T305/$P305*$E305,2)),Credits!G305)+Credits!M305</f>
        <v>0</v>
      </c>
      <c r="Y305" s="3">
        <f t="shared" si="35"/>
        <v>33541.79</v>
      </c>
    </row>
    <row r="306" spans="1:25" ht="15" x14ac:dyDescent="0.25">
      <c r="A306" s="5">
        <v>2342</v>
      </c>
      <c r="B306" s="5">
        <v>1</v>
      </c>
      <c r="C306" s="2" t="s">
        <v>302</v>
      </c>
      <c r="D306" s="3">
        <v>74448.540000000008</v>
      </c>
      <c r="E306" s="3">
        <v>75015.710000000006</v>
      </c>
      <c r="F306" s="173">
        <v>917577.51</v>
      </c>
      <c r="G306" s="173">
        <v>45114.52</v>
      </c>
      <c r="H306" s="173">
        <v>0</v>
      </c>
      <c r="I306" s="173">
        <v>536890.89</v>
      </c>
      <c r="J306" s="174">
        <v>74117.009999999995</v>
      </c>
      <c r="K306" s="173">
        <v>426611.14</v>
      </c>
      <c r="L306" s="173">
        <v>0</v>
      </c>
      <c r="M306" s="175">
        <v>0</v>
      </c>
      <c r="N306" s="173">
        <v>0</v>
      </c>
      <c r="O306" s="152">
        <f t="shared" si="29"/>
        <v>2000311.0699999998</v>
      </c>
      <c r="P306" s="3">
        <f t="shared" si="30"/>
        <v>1037619.04</v>
      </c>
      <c r="Q306" s="3">
        <f t="shared" si="31"/>
        <v>536890.89</v>
      </c>
      <c r="R306" s="3">
        <f t="shared" si="32"/>
        <v>74117.009999999995</v>
      </c>
      <c r="S306" s="3">
        <f t="shared" si="33"/>
        <v>426611.14</v>
      </c>
      <c r="T306" s="3">
        <f t="shared" si="34"/>
        <v>0</v>
      </c>
      <c r="U306" s="3">
        <f>IF($A$5=1,IF($P306=0,0,ROUND(Q306/$P306*$E306,2)),Credits!D306)+Credits!J306</f>
        <v>12476.34</v>
      </c>
      <c r="V306" s="3">
        <f>IF($A$5=1,IF($P306=0,0,ROUND(R306/$P306*$E306,2)),Credits!E306)+Credits!K306</f>
        <v>1722.43</v>
      </c>
      <c r="W306" s="3">
        <f>IF($A$5=1,IF($P306=0,0,ROUND(S306/$P306*$E306,2)),Credits!F306)+Credits!L306</f>
        <v>9913.57</v>
      </c>
      <c r="X306" s="3">
        <f>IF($A$5=1,IF($P306=0,0,ROUND(T306/$P306*$E306,2)),Credits!G306)+Credits!M306</f>
        <v>0</v>
      </c>
      <c r="Y306" s="3">
        <f t="shared" si="35"/>
        <v>24112.34</v>
      </c>
    </row>
    <row r="307" spans="1:25" ht="15" x14ac:dyDescent="0.25">
      <c r="A307" s="5">
        <v>2358</v>
      </c>
      <c r="B307" s="5">
        <v>1</v>
      </c>
      <c r="C307" s="2" t="s">
        <v>303</v>
      </c>
      <c r="D307" s="3">
        <v>17004.920000000002</v>
      </c>
      <c r="E307" s="3">
        <v>38305.17</v>
      </c>
      <c r="F307" s="173">
        <v>165337.98000000001</v>
      </c>
      <c r="G307" s="173">
        <v>7989.92</v>
      </c>
      <c r="H307" s="173">
        <v>0</v>
      </c>
      <c r="I307" s="173">
        <v>188606.46</v>
      </c>
      <c r="J307" s="174">
        <v>18786.47</v>
      </c>
      <c r="K307" s="173">
        <v>116668</v>
      </c>
      <c r="L307" s="173">
        <v>77625</v>
      </c>
      <c r="M307" s="175">
        <v>0</v>
      </c>
      <c r="N307" s="173">
        <v>0</v>
      </c>
      <c r="O307" s="152">
        <f t="shared" si="29"/>
        <v>575013.82999999996</v>
      </c>
      <c r="P307" s="3">
        <f t="shared" si="30"/>
        <v>401685.93</v>
      </c>
      <c r="Q307" s="3">
        <f t="shared" si="31"/>
        <v>188606.46</v>
      </c>
      <c r="R307" s="3">
        <f t="shared" si="32"/>
        <v>18786.47</v>
      </c>
      <c r="S307" s="3">
        <f t="shared" si="33"/>
        <v>194293</v>
      </c>
      <c r="T307" s="3">
        <f t="shared" si="34"/>
        <v>0</v>
      </c>
      <c r="U307" s="3">
        <f>IF($A$5=1,IF($P307=0,0,ROUND(Q307/$P307*$E307,2)),Credits!D307)+Credits!J307</f>
        <v>8658.56</v>
      </c>
      <c r="V307" s="3">
        <f>IF($A$5=1,IF($P307=0,0,ROUND(R307/$P307*$E307,2)),Credits!E307)+Credits!K307</f>
        <v>862.82999999999993</v>
      </c>
      <c r="W307" s="3">
        <f>IF($A$5=1,IF($P307=0,0,ROUND(S307/$P307*$E307,2)),Credits!F307)+Credits!L307</f>
        <v>8919.5400000000009</v>
      </c>
      <c r="X307" s="3">
        <f>IF($A$5=1,IF($P307=0,0,ROUND(T307/$P307*$E307,2)),Credits!G307)+Credits!M307</f>
        <v>0</v>
      </c>
      <c r="Y307" s="3">
        <f t="shared" si="35"/>
        <v>18440.93</v>
      </c>
    </row>
    <row r="308" spans="1:25" ht="15" x14ac:dyDescent="0.25">
      <c r="A308" s="5">
        <v>2364</v>
      </c>
      <c r="B308" s="5">
        <v>1</v>
      </c>
      <c r="C308" s="2" t="s">
        <v>304</v>
      </c>
      <c r="D308" s="3">
        <v>111028.12</v>
      </c>
      <c r="E308" s="3">
        <v>108123.66</v>
      </c>
      <c r="F308" s="173">
        <v>420180.98</v>
      </c>
      <c r="G308" s="173">
        <v>53520.3</v>
      </c>
      <c r="H308" s="173">
        <v>0</v>
      </c>
      <c r="I308" s="173">
        <v>74248.460000000006</v>
      </c>
      <c r="J308" s="174">
        <v>57069.54</v>
      </c>
      <c r="K308" s="173">
        <v>920351.7</v>
      </c>
      <c r="L308" s="173">
        <v>145544.06</v>
      </c>
      <c r="M308" s="175">
        <v>0</v>
      </c>
      <c r="N308" s="173">
        <v>0</v>
      </c>
      <c r="O308" s="152">
        <f t="shared" si="29"/>
        <v>1670915.04</v>
      </c>
      <c r="P308" s="3">
        <f t="shared" si="30"/>
        <v>1197213.76</v>
      </c>
      <c r="Q308" s="3">
        <f t="shared" si="31"/>
        <v>74248.460000000006</v>
      </c>
      <c r="R308" s="3">
        <f t="shared" si="32"/>
        <v>57069.54</v>
      </c>
      <c r="S308" s="3">
        <f t="shared" si="33"/>
        <v>1065895.76</v>
      </c>
      <c r="T308" s="3">
        <f t="shared" si="34"/>
        <v>0</v>
      </c>
      <c r="U308" s="3">
        <f>IF($A$5=1,IF($P308=0,0,ROUND(Q308/$P308*$E308,2)),Credits!D308)+Credits!J308</f>
        <v>2059.7999999999997</v>
      </c>
      <c r="V308" s="3">
        <f>IF($A$5=1,IF($P308=0,0,ROUND(R308/$P308*$E308,2)),Credits!E308)+Credits!K308</f>
        <v>1583.3600000000001</v>
      </c>
      <c r="W308" s="3">
        <f>IF($A$5=1,IF($P308=0,0,ROUND(S308/$P308*$E308,2)),Credits!F308)+Credits!L308</f>
        <v>29566.12</v>
      </c>
      <c r="X308" s="3">
        <f>IF($A$5=1,IF($P308=0,0,ROUND(T308/$P308*$E308,2)),Credits!G308)+Credits!M308</f>
        <v>0</v>
      </c>
      <c r="Y308" s="3">
        <f t="shared" si="35"/>
        <v>33209.279999999999</v>
      </c>
    </row>
    <row r="309" spans="1:25" ht="15" x14ac:dyDescent="0.25">
      <c r="A309" s="5">
        <v>2365</v>
      </c>
      <c r="B309" s="5">
        <v>1</v>
      </c>
      <c r="C309" s="2" t="s">
        <v>305</v>
      </c>
      <c r="D309" s="3">
        <v>115569.2</v>
      </c>
      <c r="E309" s="3">
        <v>112709.65</v>
      </c>
      <c r="F309" s="173">
        <v>653829.43999999994</v>
      </c>
      <c r="G309" s="173">
        <v>65299.1</v>
      </c>
      <c r="H309" s="173">
        <v>0</v>
      </c>
      <c r="I309" s="173">
        <v>587870.51</v>
      </c>
      <c r="J309" s="174">
        <v>95779.53</v>
      </c>
      <c r="K309" s="173">
        <v>336762.77</v>
      </c>
      <c r="L309" s="173">
        <v>110325</v>
      </c>
      <c r="M309" s="175">
        <v>0</v>
      </c>
      <c r="N309" s="173">
        <v>110371</v>
      </c>
      <c r="O309" s="152">
        <f t="shared" si="29"/>
        <v>1960237.3499999999</v>
      </c>
      <c r="P309" s="3">
        <f t="shared" si="30"/>
        <v>1241108.81</v>
      </c>
      <c r="Q309" s="3">
        <f t="shared" si="31"/>
        <v>587870.51</v>
      </c>
      <c r="R309" s="3">
        <f t="shared" si="32"/>
        <v>95779.53</v>
      </c>
      <c r="S309" s="3">
        <f t="shared" si="33"/>
        <v>447087.77</v>
      </c>
      <c r="T309" s="3">
        <f t="shared" si="34"/>
        <v>110371</v>
      </c>
      <c r="U309" s="3">
        <f>IF($A$5=1,IF($P309=0,0,ROUND(Q309/$P309*$E309,2)),Credits!D309)+Credits!J309</f>
        <v>25892.340000000004</v>
      </c>
      <c r="V309" s="3">
        <f>IF($A$5=1,IF($P309=0,0,ROUND(R309/$P309*$E309,2)),Credits!E309)+Credits!K309</f>
        <v>4657.58</v>
      </c>
      <c r="W309" s="3">
        <f>IF($A$5=1,IF($P309=0,0,ROUND(S309/$P309*$E309,2)),Credits!F309)+Credits!L309</f>
        <v>19418.47</v>
      </c>
      <c r="X309" s="3">
        <f>IF($A$5=1,IF($P309=0,0,ROUND(T309/$P309*$E309,2)),Credits!G309)+Credits!M309</f>
        <v>5365.6399999999994</v>
      </c>
      <c r="Y309" s="3">
        <f t="shared" si="35"/>
        <v>55334.030000000006</v>
      </c>
    </row>
    <row r="310" spans="1:25" ht="15" x14ac:dyDescent="0.25">
      <c r="A310" s="5">
        <v>2396</v>
      </c>
      <c r="B310" s="5">
        <v>1</v>
      </c>
      <c r="C310" s="2" t="s">
        <v>306</v>
      </c>
      <c r="D310" s="3">
        <v>118498.97999999998</v>
      </c>
      <c r="E310" s="3">
        <v>115184.72</v>
      </c>
      <c r="F310" s="173">
        <v>884467.31</v>
      </c>
      <c r="G310" s="173">
        <v>60710.16</v>
      </c>
      <c r="H310" s="173">
        <v>0</v>
      </c>
      <c r="I310" s="173">
        <v>517269.49</v>
      </c>
      <c r="J310" s="174">
        <v>121436.78</v>
      </c>
      <c r="K310" s="173">
        <v>845409.85</v>
      </c>
      <c r="L310" s="173">
        <v>71756.84</v>
      </c>
      <c r="M310" s="175">
        <v>0</v>
      </c>
      <c r="N310" s="173">
        <v>0</v>
      </c>
      <c r="O310" s="152">
        <f t="shared" si="29"/>
        <v>2501050.4299999997</v>
      </c>
      <c r="P310" s="3">
        <f t="shared" si="30"/>
        <v>1555872.9600000002</v>
      </c>
      <c r="Q310" s="3">
        <f t="shared" si="31"/>
        <v>517269.49</v>
      </c>
      <c r="R310" s="3">
        <f t="shared" si="32"/>
        <v>121436.78</v>
      </c>
      <c r="S310" s="3">
        <f t="shared" si="33"/>
        <v>917166.69</v>
      </c>
      <c r="T310" s="3">
        <f t="shared" si="34"/>
        <v>0</v>
      </c>
      <c r="U310" s="3">
        <f>IF($A$5=1,IF($P310=0,0,ROUND(Q310/$P310*$E310,2)),Credits!D310)+Credits!J310</f>
        <v>14740.6</v>
      </c>
      <c r="V310" s="3">
        <f>IF($A$5=1,IF($P310=0,0,ROUND(R310/$P310*$E310,2)),Credits!E310)+Credits!K310</f>
        <v>3461.4300000000003</v>
      </c>
      <c r="W310" s="3">
        <f>IF($A$5=1,IF($P310=0,0,ROUND(S310/$P310*$E310,2)),Credits!F310)+Credits!L310</f>
        <v>25645.379999999997</v>
      </c>
      <c r="X310" s="3">
        <f>IF($A$5=1,IF($P310=0,0,ROUND(T310/$P310*$E310,2)),Credits!G310)+Credits!M310</f>
        <v>0</v>
      </c>
      <c r="Y310" s="3">
        <f t="shared" si="35"/>
        <v>43847.409999999996</v>
      </c>
    </row>
    <row r="311" spans="1:25" ht="15" x14ac:dyDescent="0.25">
      <c r="A311" s="5">
        <v>2397</v>
      </c>
      <c r="B311" s="5">
        <v>1</v>
      </c>
      <c r="C311" s="2" t="s">
        <v>307</v>
      </c>
      <c r="D311" s="3">
        <v>158423.22999999998</v>
      </c>
      <c r="E311" s="3">
        <v>139604.43</v>
      </c>
      <c r="F311" s="173">
        <v>871264</v>
      </c>
      <c r="G311" s="173">
        <v>112217</v>
      </c>
      <c r="H311" s="173">
        <v>0</v>
      </c>
      <c r="I311" s="173">
        <v>525073</v>
      </c>
      <c r="J311" s="174">
        <v>96943</v>
      </c>
      <c r="K311" s="173">
        <v>1167216</v>
      </c>
      <c r="L311" s="173">
        <v>24095</v>
      </c>
      <c r="M311" s="175">
        <v>0</v>
      </c>
      <c r="N311" s="173">
        <v>0</v>
      </c>
      <c r="O311" s="152">
        <f t="shared" si="29"/>
        <v>2796808</v>
      </c>
      <c r="P311" s="3">
        <f t="shared" si="30"/>
        <v>1813327</v>
      </c>
      <c r="Q311" s="3">
        <f t="shared" si="31"/>
        <v>525073</v>
      </c>
      <c r="R311" s="3">
        <f t="shared" si="32"/>
        <v>96943</v>
      </c>
      <c r="S311" s="3">
        <f t="shared" si="33"/>
        <v>1191311</v>
      </c>
      <c r="T311" s="3">
        <f t="shared" si="34"/>
        <v>0</v>
      </c>
      <c r="U311" s="3">
        <f>IF($A$5=1,IF($P311=0,0,ROUND(Q311/$P311*$E311,2)),Credits!D311)+Credits!J311</f>
        <v>10819.63</v>
      </c>
      <c r="V311" s="3">
        <f>IF($A$5=1,IF($P311=0,0,ROUND(R311/$P311*$E311,2)),Credits!E311)+Credits!K311</f>
        <v>1997.72</v>
      </c>
      <c r="W311" s="3">
        <f>IF($A$5=1,IF($P311=0,0,ROUND(S311/$P311*$E311,2)),Credits!F311)+Credits!L311</f>
        <v>24547.24</v>
      </c>
      <c r="X311" s="3">
        <f>IF($A$5=1,IF($P311=0,0,ROUND(T311/$P311*$E311,2)),Credits!G311)+Credits!M311</f>
        <v>0</v>
      </c>
      <c r="Y311" s="3">
        <f t="shared" si="35"/>
        <v>37364.589999999997</v>
      </c>
    </row>
    <row r="312" spans="1:25" ht="15" x14ac:dyDescent="0.25">
      <c r="A312" s="5">
        <v>2448</v>
      </c>
      <c r="B312" s="5">
        <v>1</v>
      </c>
      <c r="C312" s="2" t="s">
        <v>308</v>
      </c>
      <c r="D312" s="3">
        <v>56295.18</v>
      </c>
      <c r="E312" s="3">
        <v>60775.21</v>
      </c>
      <c r="F312" s="173">
        <v>953632.53</v>
      </c>
      <c r="G312" s="173">
        <v>47882.3</v>
      </c>
      <c r="H312" s="173">
        <v>0</v>
      </c>
      <c r="I312" s="173">
        <v>471894.72</v>
      </c>
      <c r="J312" s="174">
        <v>63612.58</v>
      </c>
      <c r="K312" s="173">
        <v>0</v>
      </c>
      <c r="L312" s="173">
        <v>136347.07</v>
      </c>
      <c r="M312" s="175">
        <v>0</v>
      </c>
      <c r="N312" s="173">
        <v>0</v>
      </c>
      <c r="O312" s="152">
        <f t="shared" si="29"/>
        <v>1673369.2000000002</v>
      </c>
      <c r="P312" s="3">
        <f t="shared" si="30"/>
        <v>671854.36999999988</v>
      </c>
      <c r="Q312" s="3">
        <f t="shared" si="31"/>
        <v>471894.72</v>
      </c>
      <c r="R312" s="3">
        <f t="shared" si="32"/>
        <v>63612.58</v>
      </c>
      <c r="S312" s="3">
        <f t="shared" si="33"/>
        <v>136347.07</v>
      </c>
      <c r="T312" s="3">
        <f t="shared" si="34"/>
        <v>0</v>
      </c>
      <c r="U312" s="3">
        <f>IF($A$5=1,IF($P312=0,0,ROUND(Q312/$P312*$E312,2)),Credits!D312)+Credits!J312</f>
        <v>21968.010000000002</v>
      </c>
      <c r="V312" s="3">
        <f>IF($A$5=1,IF($P312=0,0,ROUND(R312/$P312*$E312,2)),Credits!E312)+Credits!K312</f>
        <v>2963</v>
      </c>
      <c r="W312" s="3">
        <f>IF($A$5=1,IF($P312=0,0,ROUND(S312/$P312*$E312,2)),Credits!F312)+Credits!L312</f>
        <v>6057.77</v>
      </c>
      <c r="X312" s="3">
        <f>IF($A$5=1,IF($P312=0,0,ROUND(T312/$P312*$E312,2)),Credits!G312)+Credits!M312</f>
        <v>0</v>
      </c>
      <c r="Y312" s="3">
        <f t="shared" si="35"/>
        <v>30988.780000000002</v>
      </c>
    </row>
    <row r="313" spans="1:25" ht="15" x14ac:dyDescent="0.25">
      <c r="A313" s="5">
        <v>2527</v>
      </c>
      <c r="B313" s="5">
        <v>1</v>
      </c>
      <c r="C313" s="2" t="s">
        <v>309</v>
      </c>
      <c r="D313" s="3">
        <v>14985.880000000001</v>
      </c>
      <c r="E313" s="3">
        <v>13568.9</v>
      </c>
      <c r="F313" s="173">
        <v>245409.89</v>
      </c>
      <c r="G313" s="173">
        <v>12966.71</v>
      </c>
      <c r="H313" s="173">
        <v>0</v>
      </c>
      <c r="I313" s="173">
        <v>176731.36</v>
      </c>
      <c r="J313" s="174">
        <v>20995.94</v>
      </c>
      <c r="K313" s="173">
        <v>0</v>
      </c>
      <c r="L313" s="173">
        <v>0</v>
      </c>
      <c r="M313" s="175">
        <v>0</v>
      </c>
      <c r="N313" s="173">
        <v>0</v>
      </c>
      <c r="O313" s="152">
        <f t="shared" si="29"/>
        <v>456103.89999999997</v>
      </c>
      <c r="P313" s="3">
        <f t="shared" si="30"/>
        <v>197727.3</v>
      </c>
      <c r="Q313" s="3">
        <f t="shared" si="31"/>
        <v>176731.36</v>
      </c>
      <c r="R313" s="3">
        <f t="shared" si="32"/>
        <v>20995.94</v>
      </c>
      <c r="S313" s="3">
        <f t="shared" si="33"/>
        <v>0</v>
      </c>
      <c r="T313" s="3">
        <f t="shared" si="34"/>
        <v>0</v>
      </c>
      <c r="U313" s="3">
        <f>IF($A$5=1,IF($P313=0,0,ROUND(Q313/$P313*$E313,2)),Credits!D313)+Credits!J313</f>
        <v>3871.42</v>
      </c>
      <c r="V313" s="3">
        <f>IF($A$5=1,IF($P313=0,0,ROUND(R313/$P313*$E313,2)),Credits!E313)+Credits!K313</f>
        <v>460.36</v>
      </c>
      <c r="W313" s="3">
        <f>IF($A$5=1,IF($P313=0,0,ROUND(S313/$P313*$E313,2)),Credits!F313)+Credits!L313</f>
        <v>0</v>
      </c>
      <c r="X313" s="3">
        <f>IF($A$5=1,IF($P313=0,0,ROUND(T313/$P313*$E313,2)),Credits!G313)+Credits!M313</f>
        <v>0</v>
      </c>
      <c r="Y313" s="3">
        <f t="shared" si="35"/>
        <v>4331.78</v>
      </c>
    </row>
    <row r="314" spans="1:25" ht="15" x14ac:dyDescent="0.25">
      <c r="A314" s="5">
        <v>2534</v>
      </c>
      <c r="B314" s="5">
        <v>1</v>
      </c>
      <c r="C314" s="2" t="s">
        <v>310</v>
      </c>
      <c r="D314" s="3">
        <v>78488.36</v>
      </c>
      <c r="E314" s="3">
        <v>81452.899999999994</v>
      </c>
      <c r="F314" s="173">
        <v>381877.99</v>
      </c>
      <c r="G314" s="173">
        <v>51039.87</v>
      </c>
      <c r="H314" s="173">
        <v>0</v>
      </c>
      <c r="I314" s="173">
        <v>365143.98</v>
      </c>
      <c r="J314" s="174">
        <v>74498.179999999993</v>
      </c>
      <c r="K314" s="173">
        <v>415452.78</v>
      </c>
      <c r="L314" s="173">
        <v>0</v>
      </c>
      <c r="M314" s="175">
        <v>0</v>
      </c>
      <c r="N314" s="173">
        <v>0</v>
      </c>
      <c r="O314" s="152">
        <f t="shared" si="29"/>
        <v>1288012.8</v>
      </c>
      <c r="P314" s="3">
        <f t="shared" si="30"/>
        <v>855094.94</v>
      </c>
      <c r="Q314" s="3">
        <f t="shared" si="31"/>
        <v>365143.98</v>
      </c>
      <c r="R314" s="3">
        <f t="shared" si="32"/>
        <v>74498.179999999993</v>
      </c>
      <c r="S314" s="3">
        <f t="shared" si="33"/>
        <v>415452.78</v>
      </c>
      <c r="T314" s="3">
        <f t="shared" si="34"/>
        <v>0</v>
      </c>
      <c r="U314" s="3">
        <f>IF($A$5=1,IF($P314=0,0,ROUND(Q314/$P314*$E314,2)),Credits!D314)+Credits!J314</f>
        <v>16738.490000000002</v>
      </c>
      <c r="V314" s="3">
        <f>IF($A$5=1,IF($P314=0,0,ROUND(R314/$P314*$E314,2)),Credits!E314)+Credits!K314</f>
        <v>3417.96</v>
      </c>
      <c r="W314" s="3">
        <f>IF($A$5=1,IF($P314=0,0,ROUND(S314/$P314*$E314,2)),Credits!F314)+Credits!L314</f>
        <v>19003.05</v>
      </c>
      <c r="X314" s="3">
        <f>IF($A$5=1,IF($P314=0,0,ROUND(T314/$P314*$E314,2)),Credits!G314)+Credits!M314</f>
        <v>0</v>
      </c>
      <c r="Y314" s="3">
        <f t="shared" si="35"/>
        <v>39159.5</v>
      </c>
    </row>
    <row r="315" spans="1:25" ht="15" x14ac:dyDescent="0.25">
      <c r="A315" s="5">
        <v>2536</v>
      </c>
      <c r="B315" s="5">
        <v>1</v>
      </c>
      <c r="C315" s="2" t="s">
        <v>311</v>
      </c>
      <c r="D315" s="3">
        <v>32988.54</v>
      </c>
      <c r="E315" s="3">
        <v>31684.26</v>
      </c>
      <c r="F315" s="173">
        <v>672737.91</v>
      </c>
      <c r="G315" s="173">
        <v>9425.7099999999991</v>
      </c>
      <c r="H315" s="173">
        <v>0</v>
      </c>
      <c r="I315" s="173">
        <v>101709.4</v>
      </c>
      <c r="J315" s="174">
        <v>36506.22</v>
      </c>
      <c r="K315" s="173">
        <v>0</v>
      </c>
      <c r="L315" s="173">
        <v>208625.82</v>
      </c>
      <c r="M315" s="175">
        <v>0</v>
      </c>
      <c r="N315" s="173">
        <v>0</v>
      </c>
      <c r="O315" s="152">
        <f t="shared" si="29"/>
        <v>1029005.06</v>
      </c>
      <c r="P315" s="3">
        <f t="shared" si="30"/>
        <v>346841.44</v>
      </c>
      <c r="Q315" s="3">
        <f t="shared" si="31"/>
        <v>101709.4</v>
      </c>
      <c r="R315" s="3">
        <f t="shared" si="32"/>
        <v>36506.22</v>
      </c>
      <c r="S315" s="3">
        <f t="shared" si="33"/>
        <v>208625.82</v>
      </c>
      <c r="T315" s="3">
        <f t="shared" si="34"/>
        <v>0</v>
      </c>
      <c r="U315" s="3">
        <f>IF($A$5=1,IF($P315=0,0,ROUND(Q315/$P315*$E315,2)),Credits!D315)+Credits!J315</f>
        <v>2579.25</v>
      </c>
      <c r="V315" s="3">
        <f>IF($A$5=1,IF($P315=0,0,ROUND(R315/$P315*$E315,2)),Credits!E315)+Credits!K315</f>
        <v>925.5</v>
      </c>
      <c r="W315" s="3">
        <f>IF($A$5=1,IF($P315=0,0,ROUND(S315/$P315*$E315,2)),Credits!F315)+Credits!L315</f>
        <v>5289.57</v>
      </c>
      <c r="X315" s="3">
        <f>IF($A$5=1,IF($P315=0,0,ROUND(T315/$P315*$E315,2)),Credits!G315)+Credits!M315</f>
        <v>0</v>
      </c>
      <c r="Y315" s="3">
        <f t="shared" si="35"/>
        <v>8794.32</v>
      </c>
    </row>
    <row r="316" spans="1:25" ht="15" x14ac:dyDescent="0.25">
      <c r="A316" s="5">
        <v>2580</v>
      </c>
      <c r="B316" s="5">
        <v>1</v>
      </c>
      <c r="C316" s="2" t="s">
        <v>312</v>
      </c>
      <c r="D316" s="3">
        <v>183594.94</v>
      </c>
      <c r="E316" s="3">
        <v>178856.88</v>
      </c>
      <c r="F316" s="173">
        <v>73162.2</v>
      </c>
      <c r="G316" s="173">
        <v>117246.51</v>
      </c>
      <c r="H316" s="173">
        <v>0</v>
      </c>
      <c r="I316" s="173">
        <v>243278.87</v>
      </c>
      <c r="J316" s="174">
        <v>76915.75</v>
      </c>
      <c r="K316" s="173">
        <v>1685911.3</v>
      </c>
      <c r="L316" s="173">
        <v>0</v>
      </c>
      <c r="M316" s="175">
        <v>0</v>
      </c>
      <c r="N316" s="173">
        <v>0</v>
      </c>
      <c r="O316" s="152">
        <f t="shared" si="29"/>
        <v>2196514.63</v>
      </c>
      <c r="P316" s="3">
        <f t="shared" si="30"/>
        <v>2006105.92</v>
      </c>
      <c r="Q316" s="3">
        <f t="shared" si="31"/>
        <v>243278.87</v>
      </c>
      <c r="R316" s="3">
        <f t="shared" si="32"/>
        <v>76915.75</v>
      </c>
      <c r="S316" s="3">
        <f t="shared" si="33"/>
        <v>1685911.3</v>
      </c>
      <c r="T316" s="3">
        <f t="shared" si="34"/>
        <v>0</v>
      </c>
      <c r="U316" s="3">
        <f>IF($A$5=1,IF($P316=0,0,ROUND(Q316/$P316*$E316,2)),Credits!D316)+Credits!J316</f>
        <v>4286.9400000000005</v>
      </c>
      <c r="V316" s="3">
        <f>IF($A$5=1,IF($P316=0,0,ROUND(R316/$P316*$E316,2)),Credits!E316)+Credits!K316</f>
        <v>1355.6</v>
      </c>
      <c r="W316" s="3">
        <f>IF($A$5=1,IF($P316=0,0,ROUND(S316/$P316*$E316,2)),Credits!F316)+Credits!L316</f>
        <v>29710.539999999997</v>
      </c>
      <c r="X316" s="3">
        <f>IF($A$5=1,IF($P316=0,0,ROUND(T316/$P316*$E316,2)),Credits!G316)+Credits!M316</f>
        <v>0</v>
      </c>
      <c r="Y316" s="3">
        <f t="shared" si="35"/>
        <v>35353.08</v>
      </c>
    </row>
    <row r="317" spans="1:25" ht="15" x14ac:dyDescent="0.25">
      <c r="A317" s="5">
        <v>2609</v>
      </c>
      <c r="B317" s="5">
        <v>1</v>
      </c>
      <c r="C317" s="2" t="s">
        <v>313</v>
      </c>
      <c r="D317" s="3">
        <v>61080.709999999992</v>
      </c>
      <c r="E317" s="3">
        <v>60818.91</v>
      </c>
      <c r="F317" s="173">
        <v>284928.68</v>
      </c>
      <c r="G317" s="173">
        <v>22622.67</v>
      </c>
      <c r="H317" s="173">
        <v>0</v>
      </c>
      <c r="I317" s="173">
        <v>206737.16</v>
      </c>
      <c r="J317" s="174">
        <v>7042.65</v>
      </c>
      <c r="K317" s="173">
        <v>565978.6</v>
      </c>
      <c r="L317" s="173">
        <v>0</v>
      </c>
      <c r="M317" s="175">
        <v>0</v>
      </c>
      <c r="N317" s="173">
        <v>0</v>
      </c>
      <c r="O317" s="152">
        <f t="shared" si="29"/>
        <v>1087309.76</v>
      </c>
      <c r="P317" s="3">
        <f t="shared" si="30"/>
        <v>779758.40999999992</v>
      </c>
      <c r="Q317" s="3">
        <f t="shared" si="31"/>
        <v>206737.16</v>
      </c>
      <c r="R317" s="3">
        <f t="shared" si="32"/>
        <v>7042.65</v>
      </c>
      <c r="S317" s="3">
        <f t="shared" si="33"/>
        <v>565978.6</v>
      </c>
      <c r="T317" s="3">
        <f t="shared" si="34"/>
        <v>0</v>
      </c>
      <c r="U317" s="3">
        <f>IF($A$5=1,IF($P317=0,0,ROUND(Q317/$P317*$E317,2)),Credits!D317)+Credits!J317</f>
        <v>10683.740000000002</v>
      </c>
      <c r="V317" s="3">
        <f>IF($A$5=1,IF($P317=0,0,ROUND(R317/$P317*$E317,2)),Credits!E317)+Credits!K317</f>
        <v>85.73</v>
      </c>
      <c r="W317" s="3">
        <f>IF($A$5=1,IF($P317=0,0,ROUND(S317/$P317*$E317,2)),Credits!F317)+Credits!L317</f>
        <v>19338.939999999999</v>
      </c>
      <c r="X317" s="3">
        <f>IF($A$5=1,IF($P317=0,0,ROUND(T317/$P317*$E317,2)),Credits!G317)+Credits!M317</f>
        <v>0</v>
      </c>
      <c r="Y317" s="3">
        <f t="shared" si="35"/>
        <v>30108.41</v>
      </c>
    </row>
    <row r="318" spans="1:25" ht="15" x14ac:dyDescent="0.25">
      <c r="A318" s="5">
        <v>2683</v>
      </c>
      <c r="B318" s="5">
        <v>1</v>
      </c>
      <c r="C318" s="2" t="s">
        <v>314</v>
      </c>
      <c r="D318" s="3">
        <v>28435.43</v>
      </c>
      <c r="E318" s="3">
        <v>41684.11</v>
      </c>
      <c r="F318" s="173">
        <v>173395</v>
      </c>
      <c r="G318" s="173">
        <v>14218</v>
      </c>
      <c r="H318" s="173">
        <v>0</v>
      </c>
      <c r="I318" s="173">
        <v>97971</v>
      </c>
      <c r="J318" s="174">
        <v>22390</v>
      </c>
      <c r="K318" s="173">
        <v>0</v>
      </c>
      <c r="L318" s="173">
        <v>71006</v>
      </c>
      <c r="M318" s="175">
        <v>0</v>
      </c>
      <c r="N318" s="173">
        <v>0</v>
      </c>
      <c r="O318" s="152">
        <f t="shared" si="29"/>
        <v>378980</v>
      </c>
      <c r="P318" s="3">
        <f t="shared" si="30"/>
        <v>191367</v>
      </c>
      <c r="Q318" s="3">
        <f t="shared" si="31"/>
        <v>97971</v>
      </c>
      <c r="R318" s="3">
        <f t="shared" si="32"/>
        <v>22390</v>
      </c>
      <c r="S318" s="3">
        <f t="shared" si="33"/>
        <v>71006</v>
      </c>
      <c r="T318" s="3">
        <f t="shared" si="34"/>
        <v>0</v>
      </c>
      <c r="U318" s="3">
        <f>IF($A$5=1,IF($P318=0,0,ROUND(Q318/$P318*$E318,2)),Credits!D318)+Credits!J318</f>
        <v>5340.9000000000005</v>
      </c>
      <c r="V318" s="3">
        <f>IF($A$5=1,IF($P318=0,0,ROUND(R318/$P318*$E318,2)),Credits!E318)+Credits!K318</f>
        <v>1220.32</v>
      </c>
      <c r="W318" s="3">
        <f>IF($A$5=1,IF($P318=0,0,ROUND(S318/$P318*$E318,2)),Credits!F318)+Credits!L318</f>
        <v>3836.1000000000004</v>
      </c>
      <c r="X318" s="3">
        <f>IF($A$5=1,IF($P318=0,0,ROUND(T318/$P318*$E318,2)),Credits!G318)+Credits!M318</f>
        <v>0</v>
      </c>
      <c r="Y318" s="3">
        <f t="shared" si="35"/>
        <v>10397.32</v>
      </c>
    </row>
    <row r="319" spans="1:25" ht="15" x14ac:dyDescent="0.25">
      <c r="A319" s="5">
        <v>2687</v>
      </c>
      <c r="B319" s="5">
        <v>1</v>
      </c>
      <c r="C319" s="2" t="s">
        <v>315</v>
      </c>
      <c r="D319" s="3">
        <v>179747.55000000002</v>
      </c>
      <c r="E319" s="3">
        <v>197064.77</v>
      </c>
      <c r="F319" s="173">
        <v>722059</v>
      </c>
      <c r="G319" s="173">
        <v>124985</v>
      </c>
      <c r="H319" s="173">
        <v>0</v>
      </c>
      <c r="I319" s="173">
        <v>511264</v>
      </c>
      <c r="J319" s="174">
        <v>106822</v>
      </c>
      <c r="K319" s="173">
        <v>1942630</v>
      </c>
      <c r="L319" s="173">
        <v>0</v>
      </c>
      <c r="M319" s="175">
        <v>0</v>
      </c>
      <c r="N319" s="173">
        <v>0</v>
      </c>
      <c r="O319" s="152">
        <f t="shared" si="29"/>
        <v>3407760</v>
      </c>
      <c r="P319" s="3">
        <f t="shared" si="30"/>
        <v>2560716</v>
      </c>
      <c r="Q319" s="3">
        <f t="shared" si="31"/>
        <v>511264</v>
      </c>
      <c r="R319" s="3">
        <f t="shared" si="32"/>
        <v>106822</v>
      </c>
      <c r="S319" s="3">
        <f t="shared" si="33"/>
        <v>1942630</v>
      </c>
      <c r="T319" s="3">
        <f t="shared" si="34"/>
        <v>0</v>
      </c>
      <c r="U319" s="3">
        <f>IF($A$5=1,IF($P319=0,0,ROUND(Q319/$P319*$E319,2)),Credits!D319)+Credits!J319</f>
        <v>8506.7000000000007</v>
      </c>
      <c r="V319" s="3">
        <f>IF($A$5=1,IF($P319=0,0,ROUND(R319/$P319*$E319,2)),Credits!E319)+Credits!K319</f>
        <v>1776.94</v>
      </c>
      <c r="W319" s="3">
        <f>IF($A$5=1,IF($P319=0,0,ROUND(S319/$P319*$E319,2)),Credits!F319)+Credits!L319</f>
        <v>31742.280000000002</v>
      </c>
      <c r="X319" s="3">
        <f>IF($A$5=1,IF($P319=0,0,ROUND(T319/$P319*$E319,2)),Credits!G319)+Credits!M319</f>
        <v>0</v>
      </c>
      <c r="Y319" s="3">
        <f t="shared" si="35"/>
        <v>42025.920000000006</v>
      </c>
    </row>
    <row r="320" spans="1:25" ht="15" x14ac:dyDescent="0.25">
      <c r="A320" s="5">
        <v>2689</v>
      </c>
      <c r="B320" s="5">
        <v>1</v>
      </c>
      <c r="C320" s="2" t="s">
        <v>316</v>
      </c>
      <c r="D320" s="3">
        <v>208769</v>
      </c>
      <c r="E320" s="3">
        <v>202471.59</v>
      </c>
      <c r="F320" s="173">
        <v>800119</v>
      </c>
      <c r="G320" s="173">
        <v>55266</v>
      </c>
      <c r="H320" s="173">
        <v>0</v>
      </c>
      <c r="I320" s="173">
        <v>386041</v>
      </c>
      <c r="J320" s="174">
        <v>108109</v>
      </c>
      <c r="K320" s="173">
        <v>1652739</v>
      </c>
      <c r="L320" s="173">
        <v>0</v>
      </c>
      <c r="M320" s="175">
        <v>0</v>
      </c>
      <c r="N320" s="173">
        <v>0</v>
      </c>
      <c r="O320" s="152">
        <f t="shared" si="29"/>
        <v>3002274</v>
      </c>
      <c r="P320" s="3">
        <f t="shared" si="30"/>
        <v>2146889</v>
      </c>
      <c r="Q320" s="3">
        <f t="shared" si="31"/>
        <v>386041</v>
      </c>
      <c r="R320" s="3">
        <f t="shared" si="32"/>
        <v>108109</v>
      </c>
      <c r="S320" s="3">
        <f t="shared" si="33"/>
        <v>1652739</v>
      </c>
      <c r="T320" s="3">
        <f t="shared" si="34"/>
        <v>0</v>
      </c>
      <c r="U320" s="3">
        <f>IF($A$5=1,IF($P320=0,0,ROUND(Q320/$P320*$E320,2)),Credits!D320)+Credits!J320</f>
        <v>18830.560000000001</v>
      </c>
      <c r="V320" s="3">
        <f>IF($A$5=1,IF($P320=0,0,ROUND(R320/$P320*$E320,2)),Credits!E320)+Credits!K320</f>
        <v>5037.1500000000005</v>
      </c>
      <c r="W320" s="3">
        <f>IF($A$5=1,IF($P320=0,0,ROUND(S320/$P320*$E320,2)),Credits!F320)+Credits!L320</f>
        <v>75587.45</v>
      </c>
      <c r="X320" s="3">
        <f>IF($A$5=1,IF($P320=0,0,ROUND(T320/$P320*$E320,2)),Credits!G320)+Credits!M320</f>
        <v>0</v>
      </c>
      <c r="Y320" s="3">
        <f t="shared" si="35"/>
        <v>99455.16</v>
      </c>
    </row>
    <row r="321" spans="1:25" ht="15" x14ac:dyDescent="0.25">
      <c r="A321" s="5">
        <v>2711</v>
      </c>
      <c r="B321" s="5">
        <v>1</v>
      </c>
      <c r="C321" s="2" t="s">
        <v>317</v>
      </c>
      <c r="D321" s="3">
        <v>507385.1</v>
      </c>
      <c r="E321" s="3">
        <v>349949.81</v>
      </c>
      <c r="F321" s="173">
        <v>0</v>
      </c>
      <c r="G321" s="173">
        <v>112712.94</v>
      </c>
      <c r="H321" s="173">
        <v>0</v>
      </c>
      <c r="I321" s="173">
        <v>96296.94</v>
      </c>
      <c r="J321" s="174">
        <v>0</v>
      </c>
      <c r="K321" s="173">
        <v>760164.37</v>
      </c>
      <c r="L321" s="173">
        <v>0</v>
      </c>
      <c r="M321" s="175">
        <v>0</v>
      </c>
      <c r="N321" s="173">
        <v>1325646</v>
      </c>
      <c r="O321" s="152">
        <f t="shared" si="29"/>
        <v>2294820.25</v>
      </c>
      <c r="P321" s="3">
        <f t="shared" si="30"/>
        <v>2182107.31</v>
      </c>
      <c r="Q321" s="3">
        <f t="shared" si="31"/>
        <v>96296.94</v>
      </c>
      <c r="R321" s="3">
        <f t="shared" si="32"/>
        <v>0</v>
      </c>
      <c r="S321" s="3">
        <f t="shared" si="33"/>
        <v>760164.37</v>
      </c>
      <c r="T321" s="3">
        <f t="shared" si="34"/>
        <v>1325646</v>
      </c>
      <c r="U321" s="3">
        <f>IF($A$5=1,IF($P321=0,0,ROUND(Q321/$P321*$E321,2)),Credits!D321)+Credits!J321</f>
        <v>18222.14</v>
      </c>
      <c r="V321" s="3">
        <f>IF($A$5=1,IF($P321=0,0,ROUND(R321/$P321*$E321,2)),Credits!E321)+Credits!K321</f>
        <v>0</v>
      </c>
      <c r="W321" s="3">
        <f>IF($A$5=1,IF($P321=0,0,ROUND(S321/$P321*$E321,2)),Credits!F321)+Credits!L321</f>
        <v>271641.23000000004</v>
      </c>
      <c r="X321" s="3">
        <f>IF($A$5=1,IF($P321=0,0,ROUND(T321/$P321*$E321,2)),Credits!G321)+Credits!M321</f>
        <v>102277.78</v>
      </c>
      <c r="Y321" s="3">
        <f t="shared" si="35"/>
        <v>392141.15</v>
      </c>
    </row>
    <row r="322" spans="1:25" ht="15" x14ac:dyDescent="0.25">
      <c r="A322" s="5">
        <v>2752</v>
      </c>
      <c r="B322" s="5">
        <v>1</v>
      </c>
      <c r="C322" s="2" t="s">
        <v>318</v>
      </c>
      <c r="D322" s="3">
        <v>299822.03999999998</v>
      </c>
      <c r="E322" s="3">
        <v>325078.77</v>
      </c>
      <c r="F322" s="173">
        <v>724723.44</v>
      </c>
      <c r="G322" s="173">
        <v>198369.75</v>
      </c>
      <c r="H322" s="173">
        <v>0</v>
      </c>
      <c r="I322" s="173">
        <v>829853.11</v>
      </c>
      <c r="J322" s="174">
        <v>137098.20000000001</v>
      </c>
      <c r="K322" s="173">
        <v>2090998.07</v>
      </c>
      <c r="L322" s="173">
        <v>701493.59</v>
      </c>
      <c r="M322" s="175">
        <v>0</v>
      </c>
      <c r="N322" s="173">
        <v>0</v>
      </c>
      <c r="O322" s="152">
        <f t="shared" si="29"/>
        <v>4682536.16</v>
      </c>
      <c r="P322" s="3">
        <f t="shared" si="30"/>
        <v>3759442.9699999997</v>
      </c>
      <c r="Q322" s="3">
        <f t="shared" si="31"/>
        <v>829853.11</v>
      </c>
      <c r="R322" s="3">
        <f t="shared" si="32"/>
        <v>137098.20000000001</v>
      </c>
      <c r="S322" s="3">
        <f t="shared" si="33"/>
        <v>2792491.66</v>
      </c>
      <c r="T322" s="3">
        <f t="shared" si="34"/>
        <v>0</v>
      </c>
      <c r="U322" s="3">
        <f>IF($A$5=1,IF($P322=0,0,ROUND(Q322/$P322*$E322,2)),Credits!D322)+Credits!J322</f>
        <v>13111.02</v>
      </c>
      <c r="V322" s="3">
        <f>IF($A$5=1,IF($P322=0,0,ROUND(R322/$P322*$E322,2)),Credits!E322)+Credits!K322</f>
        <v>2165.5699999999997</v>
      </c>
      <c r="W322" s="3">
        <f>IF($A$5=1,IF($P322=0,0,ROUND(S322/$P322*$E322,2)),Credits!F322)+Credits!L322</f>
        <v>42504.59</v>
      </c>
      <c r="X322" s="3">
        <f>IF($A$5=1,IF($P322=0,0,ROUND(T322/$P322*$E322,2)),Credits!G322)+Credits!M322</f>
        <v>0</v>
      </c>
      <c r="Y322" s="3">
        <f t="shared" si="35"/>
        <v>57781.179999999993</v>
      </c>
    </row>
    <row r="323" spans="1:25" ht="15" x14ac:dyDescent="0.25">
      <c r="A323" s="5">
        <v>2753</v>
      </c>
      <c r="B323" s="5">
        <v>1</v>
      </c>
      <c r="C323" s="2" t="s">
        <v>319</v>
      </c>
      <c r="D323" s="3">
        <v>209585.77000000002</v>
      </c>
      <c r="E323" s="3">
        <v>195615.28</v>
      </c>
      <c r="F323" s="173">
        <v>578561</v>
      </c>
      <c r="G323" s="173">
        <v>58878</v>
      </c>
      <c r="H323" s="173">
        <v>0</v>
      </c>
      <c r="I323" s="173">
        <v>531769</v>
      </c>
      <c r="J323" s="174">
        <v>83198</v>
      </c>
      <c r="K323" s="173">
        <v>1036854</v>
      </c>
      <c r="L323" s="173">
        <v>0</v>
      </c>
      <c r="M323" s="175">
        <v>0</v>
      </c>
      <c r="N323" s="173">
        <v>0</v>
      </c>
      <c r="O323" s="152">
        <f t="shared" si="29"/>
        <v>2289260</v>
      </c>
      <c r="P323" s="3">
        <f t="shared" si="30"/>
        <v>1651821</v>
      </c>
      <c r="Q323" s="3">
        <f t="shared" si="31"/>
        <v>531769</v>
      </c>
      <c r="R323" s="3">
        <f t="shared" si="32"/>
        <v>83198</v>
      </c>
      <c r="S323" s="3">
        <f t="shared" si="33"/>
        <v>1036854</v>
      </c>
      <c r="T323" s="3">
        <f t="shared" si="34"/>
        <v>0</v>
      </c>
      <c r="U323" s="3">
        <f>IF($A$5=1,IF($P323=0,0,ROUND(Q323/$P323*$E323,2)),Credits!D323)+Credits!J323</f>
        <v>15954.140000000001</v>
      </c>
      <c r="V323" s="3">
        <f>IF($A$5=1,IF($P323=0,0,ROUND(R323/$P323*$E323,2)),Credits!E323)+Credits!K323</f>
        <v>2496.4899999999998</v>
      </c>
      <c r="W323" s="3">
        <f>IF($A$5=1,IF($P323=0,0,ROUND(S323/$P323*$E323,2)),Credits!F323)+Credits!L323</f>
        <v>31109.1</v>
      </c>
      <c r="X323" s="3">
        <f>IF($A$5=1,IF($P323=0,0,ROUND(T323/$P323*$E323,2)),Credits!G323)+Credits!M323</f>
        <v>0</v>
      </c>
      <c r="Y323" s="3">
        <f t="shared" si="35"/>
        <v>49559.729999999996</v>
      </c>
    </row>
    <row r="324" spans="1:25" ht="15" x14ac:dyDescent="0.25">
      <c r="A324" s="5">
        <v>2754</v>
      </c>
      <c r="B324" s="5">
        <v>1</v>
      </c>
      <c r="C324" s="2" t="s">
        <v>320</v>
      </c>
      <c r="D324" s="3">
        <v>54530.81</v>
      </c>
      <c r="E324" s="3">
        <v>51392.08</v>
      </c>
      <c r="F324" s="173">
        <v>126740</v>
      </c>
      <c r="G324" s="173">
        <v>24808</v>
      </c>
      <c r="H324" s="173">
        <v>0</v>
      </c>
      <c r="I324" s="173">
        <v>186280</v>
      </c>
      <c r="J324" s="174">
        <v>47181</v>
      </c>
      <c r="K324" s="173">
        <v>205873</v>
      </c>
      <c r="L324" s="173">
        <v>0</v>
      </c>
      <c r="M324" s="175">
        <v>0</v>
      </c>
      <c r="N324" s="173">
        <v>0</v>
      </c>
      <c r="O324" s="152">
        <f t="shared" si="29"/>
        <v>590882</v>
      </c>
      <c r="P324" s="3">
        <f t="shared" si="30"/>
        <v>439334</v>
      </c>
      <c r="Q324" s="3">
        <f t="shared" si="31"/>
        <v>186280</v>
      </c>
      <c r="R324" s="3">
        <f t="shared" si="32"/>
        <v>47181</v>
      </c>
      <c r="S324" s="3">
        <f t="shared" si="33"/>
        <v>205873</v>
      </c>
      <c r="T324" s="3">
        <f t="shared" si="34"/>
        <v>0</v>
      </c>
      <c r="U324" s="3">
        <f>IF($A$5=1,IF($P324=0,0,ROUND(Q324/$P324*$E324,2)),Credits!D324)+Credits!J324</f>
        <v>10712.47</v>
      </c>
      <c r="V324" s="3">
        <f>IF($A$5=1,IF($P324=0,0,ROUND(R324/$P324*$E324,2)),Credits!E324)+Credits!K324</f>
        <v>2713.4100000000003</v>
      </c>
      <c r="W324" s="3">
        <f>IF($A$5=1,IF($P324=0,0,ROUND(S324/$P324*$E324,2)),Credits!F324)+Credits!L324</f>
        <v>11838.430000000002</v>
      </c>
      <c r="X324" s="3">
        <f>IF($A$5=1,IF($P324=0,0,ROUND(T324/$P324*$E324,2)),Credits!G324)+Credits!M324</f>
        <v>0</v>
      </c>
      <c r="Y324" s="3">
        <f t="shared" si="35"/>
        <v>25264.31</v>
      </c>
    </row>
    <row r="325" spans="1:25" ht="15" x14ac:dyDescent="0.25">
      <c r="A325" s="5">
        <v>2759</v>
      </c>
      <c r="B325" s="5">
        <v>1</v>
      </c>
      <c r="C325" s="2" t="s">
        <v>321</v>
      </c>
      <c r="D325" s="3">
        <v>66663.61</v>
      </c>
      <c r="E325" s="3">
        <v>52181.5</v>
      </c>
      <c r="F325" s="173">
        <v>173096</v>
      </c>
      <c r="G325" s="173">
        <v>10968</v>
      </c>
      <c r="H325" s="173">
        <v>0</v>
      </c>
      <c r="I325" s="173">
        <v>102266</v>
      </c>
      <c r="J325" s="174">
        <v>21139</v>
      </c>
      <c r="K325" s="173">
        <v>82034</v>
      </c>
      <c r="L325" s="173">
        <v>0</v>
      </c>
      <c r="M325" s="175">
        <v>0</v>
      </c>
      <c r="N325" s="173">
        <v>0</v>
      </c>
      <c r="O325" s="152">
        <f t="shared" si="29"/>
        <v>389503</v>
      </c>
      <c r="P325" s="3">
        <f t="shared" si="30"/>
        <v>205439</v>
      </c>
      <c r="Q325" s="3">
        <f t="shared" si="31"/>
        <v>102266</v>
      </c>
      <c r="R325" s="3">
        <f t="shared" si="32"/>
        <v>21139</v>
      </c>
      <c r="S325" s="3">
        <f t="shared" si="33"/>
        <v>82034</v>
      </c>
      <c r="T325" s="3">
        <f t="shared" si="34"/>
        <v>0</v>
      </c>
      <c r="U325" s="3">
        <f>IF($A$5=1,IF($P325=0,0,ROUND(Q325/$P325*$E325,2)),Credits!D325)+Credits!J325</f>
        <v>21055.29</v>
      </c>
      <c r="V325" s="3">
        <f>IF($A$5=1,IF($P325=0,0,ROUND(R325/$P325*$E325,2)),Credits!E325)+Credits!K325</f>
        <v>4354.5599999999995</v>
      </c>
      <c r="W325" s="3">
        <f>IF($A$5=1,IF($P325=0,0,ROUND(S325/$P325*$E325,2)),Credits!F325)+Credits!L325</f>
        <v>16893.34</v>
      </c>
      <c r="X325" s="3">
        <f>IF($A$5=1,IF($P325=0,0,ROUND(T325/$P325*$E325,2)),Credits!G325)+Credits!M325</f>
        <v>0</v>
      </c>
      <c r="Y325" s="3">
        <f t="shared" si="35"/>
        <v>42303.19</v>
      </c>
    </row>
    <row r="326" spans="1:25" ht="15" x14ac:dyDescent="0.25">
      <c r="A326" s="5">
        <v>2805</v>
      </c>
      <c r="B326" s="5">
        <v>1</v>
      </c>
      <c r="C326" s="2" t="s">
        <v>322</v>
      </c>
      <c r="D326" s="3">
        <v>107368.76999999999</v>
      </c>
      <c r="E326" s="3">
        <v>118210.22</v>
      </c>
      <c r="F326" s="173">
        <v>1046315</v>
      </c>
      <c r="G326" s="173">
        <v>96402</v>
      </c>
      <c r="H326" s="173">
        <v>0</v>
      </c>
      <c r="I326" s="173">
        <v>473652</v>
      </c>
      <c r="J326" s="174">
        <v>163385</v>
      </c>
      <c r="K326" s="173">
        <v>296728</v>
      </c>
      <c r="L326" s="173">
        <v>321841</v>
      </c>
      <c r="M326" s="175">
        <v>0</v>
      </c>
      <c r="N326" s="173">
        <v>0</v>
      </c>
      <c r="O326" s="152">
        <f t="shared" si="29"/>
        <v>2398323</v>
      </c>
      <c r="P326" s="3">
        <f t="shared" si="30"/>
        <v>1255606</v>
      </c>
      <c r="Q326" s="3">
        <f t="shared" si="31"/>
        <v>473652</v>
      </c>
      <c r="R326" s="3">
        <f t="shared" si="32"/>
        <v>163385</v>
      </c>
      <c r="S326" s="3">
        <f t="shared" si="33"/>
        <v>618569</v>
      </c>
      <c r="T326" s="3">
        <f t="shared" si="34"/>
        <v>0</v>
      </c>
      <c r="U326" s="3">
        <f>IF($A$5=1,IF($P326=0,0,ROUND(Q326/$P326*$E326,2)),Credits!D326)+Credits!J326</f>
        <v>12378.73</v>
      </c>
      <c r="V326" s="3">
        <f>IF($A$5=1,IF($P326=0,0,ROUND(R326/$P326*$E326,2)),Credits!E326)+Credits!K326</f>
        <v>4270.0200000000004</v>
      </c>
      <c r="W326" s="3">
        <f>IF($A$5=1,IF($P326=0,0,ROUND(S326/$P326*$E326,2)),Credits!F326)+Credits!L326</f>
        <v>15967.279999999999</v>
      </c>
      <c r="X326" s="3">
        <f>IF($A$5=1,IF($P326=0,0,ROUND(T326/$P326*$E326,2)),Credits!G326)+Credits!M326</f>
        <v>0</v>
      </c>
      <c r="Y326" s="3">
        <f t="shared" si="35"/>
        <v>32616.03</v>
      </c>
    </row>
    <row r="327" spans="1:25" ht="15" x14ac:dyDescent="0.25">
      <c r="A327" s="5">
        <v>2835</v>
      </c>
      <c r="B327" s="5">
        <v>1</v>
      </c>
      <c r="C327" s="2" t="s">
        <v>323</v>
      </c>
      <c r="D327" s="3">
        <v>97481.68</v>
      </c>
      <c r="E327" s="3">
        <v>93960.16</v>
      </c>
      <c r="F327" s="173">
        <v>1143353</v>
      </c>
      <c r="G327" s="173">
        <v>25707</v>
      </c>
      <c r="H327" s="173">
        <v>0</v>
      </c>
      <c r="I327" s="173">
        <v>216272</v>
      </c>
      <c r="J327" s="174">
        <v>55576</v>
      </c>
      <c r="K327" s="173">
        <v>840852</v>
      </c>
      <c r="L327" s="173">
        <v>0</v>
      </c>
      <c r="M327" s="175">
        <v>0</v>
      </c>
      <c r="N327" s="173">
        <v>0</v>
      </c>
      <c r="O327" s="152">
        <f t="shared" si="29"/>
        <v>2281760</v>
      </c>
      <c r="P327" s="3">
        <f t="shared" si="30"/>
        <v>1112700</v>
      </c>
      <c r="Q327" s="3">
        <f t="shared" si="31"/>
        <v>216272</v>
      </c>
      <c r="R327" s="3">
        <f t="shared" si="32"/>
        <v>55576</v>
      </c>
      <c r="S327" s="3">
        <f t="shared" si="33"/>
        <v>840852</v>
      </c>
      <c r="T327" s="3">
        <f t="shared" si="34"/>
        <v>0</v>
      </c>
      <c r="U327" s="3">
        <f>IF($A$5=1,IF($P327=0,0,ROUND(Q327/$P327*$E327,2)),Credits!D327)+Credits!J327</f>
        <v>6352.42</v>
      </c>
      <c r="V327" s="3">
        <f>IF($A$5=1,IF($P327=0,0,ROUND(R327/$P327*$E327,2)),Credits!E327)+Credits!K327</f>
        <v>1632.58</v>
      </c>
      <c r="W327" s="3">
        <f>IF($A$5=1,IF($P327=0,0,ROUND(S327/$P327*$E327,2)),Credits!F327)+Credits!L327</f>
        <v>24699.539999999997</v>
      </c>
      <c r="X327" s="3">
        <f>IF($A$5=1,IF($P327=0,0,ROUND(T327/$P327*$E327,2)),Credits!G327)+Credits!M327</f>
        <v>0</v>
      </c>
      <c r="Y327" s="3">
        <f t="shared" si="35"/>
        <v>32684.539999999997</v>
      </c>
    </row>
    <row r="328" spans="1:25" ht="15" x14ac:dyDescent="0.25">
      <c r="A328" s="5">
        <v>2853</v>
      </c>
      <c r="B328" s="5">
        <v>1</v>
      </c>
      <c r="C328" s="2" t="s">
        <v>324</v>
      </c>
      <c r="D328" s="3">
        <v>104160.71</v>
      </c>
      <c r="E328" s="3">
        <v>103019.9</v>
      </c>
      <c r="F328" s="173">
        <v>704120.5</v>
      </c>
      <c r="G328" s="173">
        <v>38243.61</v>
      </c>
      <c r="H328" s="173">
        <v>0</v>
      </c>
      <c r="I328" s="173">
        <v>601186.47</v>
      </c>
      <c r="J328" s="174">
        <v>103884.29</v>
      </c>
      <c r="K328" s="173">
        <v>0</v>
      </c>
      <c r="L328" s="173">
        <v>0</v>
      </c>
      <c r="M328" s="175">
        <v>0</v>
      </c>
      <c r="N328" s="173">
        <v>179149</v>
      </c>
      <c r="O328" s="152">
        <f t="shared" si="29"/>
        <v>1626583.87</v>
      </c>
      <c r="P328" s="3">
        <f t="shared" si="30"/>
        <v>884219.76</v>
      </c>
      <c r="Q328" s="3">
        <f t="shared" si="31"/>
        <v>601186.47</v>
      </c>
      <c r="R328" s="3">
        <f t="shared" si="32"/>
        <v>103884.29</v>
      </c>
      <c r="S328" s="3">
        <f t="shared" si="33"/>
        <v>0</v>
      </c>
      <c r="T328" s="3">
        <f t="shared" si="34"/>
        <v>179149</v>
      </c>
      <c r="U328" s="3">
        <f>IF($A$5=1,IF($P328=0,0,ROUND(Q328/$P328*$E328,2)),Credits!D328)+Credits!J328</f>
        <v>31580.309999999998</v>
      </c>
      <c r="V328" s="3">
        <f>IF($A$5=1,IF($P328=0,0,ROUND(R328/$P328*$E328,2)),Credits!E328)+Credits!K328</f>
        <v>5151.5200000000004</v>
      </c>
      <c r="W328" s="3">
        <f>IF($A$5=1,IF($P328=0,0,ROUND(S328/$P328*$E328,2)),Credits!F328)+Credits!L328</f>
        <v>0</v>
      </c>
      <c r="X328" s="3">
        <f>IF($A$5=1,IF($P328=0,0,ROUND(T328/$P328*$E328,2)),Credits!G328)+Credits!M328</f>
        <v>8882.5299999999988</v>
      </c>
      <c r="Y328" s="3">
        <f t="shared" si="35"/>
        <v>45614.36</v>
      </c>
    </row>
    <row r="329" spans="1:25" ht="15" x14ac:dyDescent="0.25">
      <c r="A329" s="5">
        <v>2854</v>
      </c>
      <c r="B329" s="5">
        <v>1</v>
      </c>
      <c r="C329" s="2" t="s">
        <v>325</v>
      </c>
      <c r="D329" s="3">
        <v>18199.600000000002</v>
      </c>
      <c r="E329" s="3">
        <v>19550.620000000003</v>
      </c>
      <c r="F329" s="173">
        <v>173019.61</v>
      </c>
      <c r="G329" s="173">
        <v>23943.27</v>
      </c>
      <c r="H329" s="173">
        <v>0</v>
      </c>
      <c r="I329" s="173">
        <v>159438.46</v>
      </c>
      <c r="J329" s="174">
        <v>37567.949999999997</v>
      </c>
      <c r="K329" s="173">
        <v>0</v>
      </c>
      <c r="L329" s="173">
        <v>0</v>
      </c>
      <c r="M329" s="175">
        <v>0</v>
      </c>
      <c r="N329" s="173">
        <v>0</v>
      </c>
      <c r="O329" s="152">
        <f t="shared" ref="O329:O344" si="36">SUM(F329:N329)</f>
        <v>393969.29</v>
      </c>
      <c r="P329" s="3">
        <f t="shared" ref="P329:P344" si="37">SUM(H329:N329)</f>
        <v>197006.40999999997</v>
      </c>
      <c r="Q329" s="3">
        <f t="shared" ref="Q329:Q344" si="38">SUM(H329:I329)</f>
        <v>159438.46</v>
      </c>
      <c r="R329" s="3">
        <f t="shared" ref="R329:R344" si="39">J329</f>
        <v>37567.949999999997</v>
      </c>
      <c r="S329" s="3">
        <f t="shared" ref="S329:S344" si="40">K329+L329</f>
        <v>0</v>
      </c>
      <c r="T329" s="3">
        <f t="shared" ref="T329:T344" si="41">N329+M329</f>
        <v>0</v>
      </c>
      <c r="U329" s="3">
        <f>IF($A$5=1,IF($P329=0,0,ROUND(Q329/$P329*$E329,2)),Credits!D329)+Credits!J329</f>
        <v>10523.24</v>
      </c>
      <c r="V329" s="3">
        <f>IF($A$5=1,IF($P329=0,0,ROUND(R329/$P329*$E329,2)),Credits!E329)+Credits!K329</f>
        <v>2480.8900000000003</v>
      </c>
      <c r="W329" s="3">
        <f>IF($A$5=1,IF($P329=0,0,ROUND(S329/$P329*$E329,2)),Credits!F329)+Credits!L329</f>
        <v>0</v>
      </c>
      <c r="X329" s="3">
        <f>IF($A$5=1,IF($P329=0,0,ROUND(T329/$P329*$E329,2)),Credits!G329)+Credits!M329</f>
        <v>0</v>
      </c>
      <c r="Y329" s="3">
        <f t="shared" ref="Y329:Y344" si="42">SUM(U329:X329)</f>
        <v>13004.130000000001</v>
      </c>
    </row>
    <row r="330" spans="1:25" ht="15" x14ac:dyDescent="0.25">
      <c r="A330" s="5">
        <v>2856</v>
      </c>
      <c r="B330" s="5">
        <v>1</v>
      </c>
      <c r="C330" s="2" t="s">
        <v>326</v>
      </c>
      <c r="D330" s="3">
        <v>20317.54</v>
      </c>
      <c r="E330" s="3">
        <v>15672.67</v>
      </c>
      <c r="F330" s="173">
        <v>242780</v>
      </c>
      <c r="G330" s="173">
        <v>22302</v>
      </c>
      <c r="H330" s="173">
        <v>0</v>
      </c>
      <c r="I330" s="173">
        <v>190452</v>
      </c>
      <c r="J330" s="174">
        <v>59609</v>
      </c>
      <c r="K330" s="173">
        <v>0</v>
      </c>
      <c r="L330" s="173">
        <v>130933</v>
      </c>
      <c r="M330" s="175">
        <v>0</v>
      </c>
      <c r="N330" s="173">
        <v>0</v>
      </c>
      <c r="O330" s="152">
        <f t="shared" si="36"/>
        <v>646076</v>
      </c>
      <c r="P330" s="3">
        <f t="shared" si="37"/>
        <v>380994</v>
      </c>
      <c r="Q330" s="3">
        <f t="shared" si="38"/>
        <v>190452</v>
      </c>
      <c r="R330" s="3">
        <f t="shared" si="39"/>
        <v>59609</v>
      </c>
      <c r="S330" s="3">
        <f t="shared" si="40"/>
        <v>130933</v>
      </c>
      <c r="T330" s="3">
        <f t="shared" si="41"/>
        <v>0</v>
      </c>
      <c r="U330" s="3">
        <f>IF($A$5=1,IF($P330=0,0,ROUND(Q330/$P330*$E330,2)),Credits!D330)+Credits!J330</f>
        <v>3869.45</v>
      </c>
      <c r="V330" s="3">
        <f>IF($A$5=1,IF($P330=0,0,ROUND(R330/$P330*$E330,2)),Credits!E330)+Credits!K330</f>
        <v>1211.04</v>
      </c>
      <c r="W330" s="3">
        <f>IF($A$5=1,IF($P330=0,0,ROUND(S330/$P330*$E330,2)),Credits!F330)+Credits!L330</f>
        <v>2660.5</v>
      </c>
      <c r="X330" s="3">
        <f>IF($A$5=1,IF($P330=0,0,ROUND(T330/$P330*$E330,2)),Credits!G330)+Credits!M330</f>
        <v>0</v>
      </c>
      <c r="Y330" s="3">
        <f t="shared" si="42"/>
        <v>7740.99</v>
      </c>
    </row>
    <row r="331" spans="1:25" ht="15" x14ac:dyDescent="0.25">
      <c r="A331" s="5">
        <v>2859</v>
      </c>
      <c r="B331" s="5">
        <v>1</v>
      </c>
      <c r="C331" s="2" t="s">
        <v>327</v>
      </c>
      <c r="D331" s="3">
        <v>115927.37</v>
      </c>
      <c r="E331" s="3">
        <v>114335.99</v>
      </c>
      <c r="F331" s="173">
        <v>1328626.96</v>
      </c>
      <c r="G331" s="173">
        <v>173434.93</v>
      </c>
      <c r="H331" s="173">
        <v>0</v>
      </c>
      <c r="I331" s="173">
        <v>536531.52</v>
      </c>
      <c r="J331" s="174">
        <v>160732.31</v>
      </c>
      <c r="K331" s="173">
        <v>0</v>
      </c>
      <c r="L331" s="173">
        <v>215261</v>
      </c>
      <c r="M331" s="175">
        <v>0</v>
      </c>
      <c r="N331" s="173">
        <v>0</v>
      </c>
      <c r="O331" s="152">
        <f t="shared" si="36"/>
        <v>2414586.7199999997</v>
      </c>
      <c r="P331" s="3">
        <f t="shared" si="37"/>
        <v>912524.83000000007</v>
      </c>
      <c r="Q331" s="3">
        <f t="shared" si="38"/>
        <v>536531.52</v>
      </c>
      <c r="R331" s="3">
        <f t="shared" si="39"/>
        <v>160732.31</v>
      </c>
      <c r="S331" s="3">
        <f t="shared" si="40"/>
        <v>215261</v>
      </c>
      <c r="T331" s="3">
        <f t="shared" si="41"/>
        <v>0</v>
      </c>
      <c r="U331" s="3">
        <f>IF($A$5=1,IF($P331=0,0,ROUND(Q331/$P331*$E331,2)),Credits!D331)+Credits!J331</f>
        <v>33354.559999999998</v>
      </c>
      <c r="V331" s="3">
        <f>IF($A$5=1,IF($P331=0,0,ROUND(R331/$P331*$E331,2)),Credits!E331)+Credits!K331</f>
        <v>9990.2799999999988</v>
      </c>
      <c r="W331" s="3">
        <f>IF($A$5=1,IF($P331=0,0,ROUND(S331/$P331*$E331,2)),Credits!F331)+Credits!L331</f>
        <v>7591.07</v>
      </c>
      <c r="X331" s="3">
        <f>IF($A$5=1,IF($P331=0,0,ROUND(T331/$P331*$E331,2)),Credits!G331)+Credits!M331</f>
        <v>0</v>
      </c>
      <c r="Y331" s="3">
        <f t="shared" si="42"/>
        <v>50935.909999999996</v>
      </c>
    </row>
    <row r="332" spans="1:25" ht="15" x14ac:dyDescent="0.25">
      <c r="A332" s="5">
        <v>2860</v>
      </c>
      <c r="B332" s="5">
        <v>1</v>
      </c>
      <c r="C332" s="2" t="s">
        <v>328</v>
      </c>
      <c r="D332" s="3">
        <v>134472.23000000001</v>
      </c>
      <c r="E332" s="3">
        <v>134715.73000000001</v>
      </c>
      <c r="F332" s="173">
        <v>475434.03</v>
      </c>
      <c r="G332" s="173">
        <v>75725.14</v>
      </c>
      <c r="H332" s="173">
        <v>0</v>
      </c>
      <c r="I332" s="173">
        <v>465641.57</v>
      </c>
      <c r="J332" s="174">
        <v>127553.83</v>
      </c>
      <c r="K332" s="173">
        <v>270089.77</v>
      </c>
      <c r="L332" s="173">
        <v>286434</v>
      </c>
      <c r="M332" s="175">
        <v>0</v>
      </c>
      <c r="N332" s="173">
        <v>0</v>
      </c>
      <c r="O332" s="152">
        <f t="shared" si="36"/>
        <v>1700878.34</v>
      </c>
      <c r="P332" s="3">
        <f t="shared" si="37"/>
        <v>1149719.17</v>
      </c>
      <c r="Q332" s="3">
        <f t="shared" si="38"/>
        <v>465641.57</v>
      </c>
      <c r="R332" s="3">
        <f t="shared" si="39"/>
        <v>127553.83</v>
      </c>
      <c r="S332" s="3">
        <f t="shared" si="40"/>
        <v>556523.77</v>
      </c>
      <c r="T332" s="3">
        <f t="shared" si="41"/>
        <v>0</v>
      </c>
      <c r="U332" s="3">
        <f>IF($A$5=1,IF($P332=0,0,ROUND(Q332/$P332*$E332,2)),Credits!D332)+Credits!J332</f>
        <v>33813.74</v>
      </c>
      <c r="V332" s="3">
        <f>IF($A$5=1,IF($P332=0,0,ROUND(R332/$P332*$E332,2)),Credits!E332)+Credits!K332</f>
        <v>9260.77</v>
      </c>
      <c r="W332" s="3">
        <f>IF($A$5=1,IF($P332=0,0,ROUND(S332/$P332*$E332,2)),Credits!F332)+Credits!L332</f>
        <v>40272.31</v>
      </c>
      <c r="X332" s="3">
        <f>IF($A$5=1,IF($P332=0,0,ROUND(T332/$P332*$E332,2)),Credits!G332)+Credits!M332</f>
        <v>0</v>
      </c>
      <c r="Y332" s="3">
        <f t="shared" si="42"/>
        <v>83346.819999999992</v>
      </c>
    </row>
    <row r="333" spans="1:25" ht="15" x14ac:dyDescent="0.25">
      <c r="A333" s="5">
        <v>2884</v>
      </c>
      <c r="B333" s="5">
        <v>1</v>
      </c>
      <c r="C333" s="2" t="s">
        <v>329</v>
      </c>
      <c r="D333" s="3">
        <v>29270.66</v>
      </c>
      <c r="E333" s="3">
        <v>29365.91</v>
      </c>
      <c r="F333" s="173">
        <v>556955</v>
      </c>
      <c r="G333" s="173">
        <v>14878</v>
      </c>
      <c r="H333" s="173">
        <v>0</v>
      </c>
      <c r="I333" s="173">
        <v>259976</v>
      </c>
      <c r="J333" s="174">
        <v>32635</v>
      </c>
      <c r="K333" s="173">
        <v>0</v>
      </c>
      <c r="L333" s="173">
        <v>0</v>
      </c>
      <c r="M333" s="175">
        <v>0</v>
      </c>
      <c r="N333" s="173">
        <v>0</v>
      </c>
      <c r="O333" s="152">
        <f t="shared" si="36"/>
        <v>864444</v>
      </c>
      <c r="P333" s="3">
        <f t="shared" si="37"/>
        <v>292611</v>
      </c>
      <c r="Q333" s="3">
        <f t="shared" si="38"/>
        <v>259976</v>
      </c>
      <c r="R333" s="3">
        <f t="shared" si="39"/>
        <v>32635</v>
      </c>
      <c r="S333" s="3">
        <f t="shared" si="40"/>
        <v>0</v>
      </c>
      <c r="T333" s="3">
        <f t="shared" si="41"/>
        <v>0</v>
      </c>
      <c r="U333" s="3">
        <f>IF($A$5=1,IF($P333=0,0,ROUND(Q333/$P333*$E333,2)),Credits!D333)+Credits!J333</f>
        <v>14287.35</v>
      </c>
      <c r="V333" s="3">
        <f>IF($A$5=1,IF($P333=0,0,ROUND(R333/$P333*$E333,2)),Credits!E333)+Credits!K333</f>
        <v>1795.5</v>
      </c>
      <c r="W333" s="3">
        <f>IF($A$5=1,IF($P333=0,0,ROUND(S333/$P333*$E333,2)),Credits!F333)+Credits!L333</f>
        <v>0</v>
      </c>
      <c r="X333" s="3">
        <f>IF($A$5=1,IF($P333=0,0,ROUND(T333/$P333*$E333,2)),Credits!G333)+Credits!M333</f>
        <v>0</v>
      </c>
      <c r="Y333" s="3">
        <f t="shared" si="42"/>
        <v>16082.85</v>
      </c>
    </row>
    <row r="334" spans="1:25" ht="15" x14ac:dyDescent="0.25">
      <c r="A334" s="5">
        <v>2886</v>
      </c>
      <c r="B334" s="5">
        <v>1</v>
      </c>
      <c r="C334" s="2" t="s">
        <v>330</v>
      </c>
      <c r="D334" s="3">
        <v>21580.2</v>
      </c>
      <c r="E334" s="3">
        <v>18744.68</v>
      </c>
      <c r="F334" s="173">
        <v>245077.85</v>
      </c>
      <c r="G334" s="173">
        <v>25637</v>
      </c>
      <c r="H334" s="173">
        <v>0</v>
      </c>
      <c r="I334" s="173">
        <v>156862.10999999999</v>
      </c>
      <c r="J334" s="174">
        <v>20102.009999999998</v>
      </c>
      <c r="K334" s="173">
        <v>0</v>
      </c>
      <c r="L334" s="173">
        <v>0</v>
      </c>
      <c r="M334" s="175">
        <v>0</v>
      </c>
      <c r="N334" s="173">
        <v>0</v>
      </c>
      <c r="O334" s="152">
        <f t="shared" si="36"/>
        <v>447678.97</v>
      </c>
      <c r="P334" s="3">
        <f t="shared" si="37"/>
        <v>176964.12</v>
      </c>
      <c r="Q334" s="3">
        <f t="shared" si="38"/>
        <v>156862.10999999999</v>
      </c>
      <c r="R334" s="3">
        <f t="shared" si="39"/>
        <v>20102.009999999998</v>
      </c>
      <c r="S334" s="3">
        <f t="shared" si="40"/>
        <v>0</v>
      </c>
      <c r="T334" s="3">
        <f t="shared" si="41"/>
        <v>0</v>
      </c>
      <c r="U334" s="3">
        <f>IF($A$5=1,IF($P334=0,0,ROUND(Q334/$P334*$E334,2)),Credits!D334)+Credits!J334</f>
        <v>5735.99</v>
      </c>
      <c r="V334" s="3">
        <f>IF($A$5=1,IF($P334=0,0,ROUND(R334/$P334*$E334,2)),Credits!E334)+Credits!K334</f>
        <v>734.47</v>
      </c>
      <c r="W334" s="3">
        <f>IF($A$5=1,IF($P334=0,0,ROUND(S334/$P334*$E334,2)),Credits!F334)+Credits!L334</f>
        <v>0</v>
      </c>
      <c r="X334" s="3">
        <f>IF($A$5=1,IF($P334=0,0,ROUND(T334/$P334*$E334,2)),Credits!G334)+Credits!M334</f>
        <v>0</v>
      </c>
      <c r="Y334" s="3">
        <f t="shared" si="42"/>
        <v>6470.46</v>
      </c>
    </row>
    <row r="335" spans="1:25" ht="15" x14ac:dyDescent="0.25">
      <c r="A335" s="5">
        <v>2888</v>
      </c>
      <c r="B335" s="5">
        <v>1</v>
      </c>
      <c r="C335" s="2" t="s">
        <v>331</v>
      </c>
      <c r="D335" s="3">
        <v>32902.99</v>
      </c>
      <c r="E335" s="3">
        <v>32009.73</v>
      </c>
      <c r="F335" s="173">
        <v>199651.8</v>
      </c>
      <c r="G335" s="173">
        <v>12511.42</v>
      </c>
      <c r="H335" s="173">
        <v>0</v>
      </c>
      <c r="I335" s="173">
        <v>177332.82</v>
      </c>
      <c r="J335" s="174">
        <v>27843.65</v>
      </c>
      <c r="K335" s="173">
        <v>205600.57</v>
      </c>
      <c r="L335" s="173">
        <v>0</v>
      </c>
      <c r="M335" s="175">
        <v>0</v>
      </c>
      <c r="N335" s="173">
        <v>0</v>
      </c>
      <c r="O335" s="152">
        <f t="shared" si="36"/>
        <v>622940.26</v>
      </c>
      <c r="P335" s="3">
        <f t="shared" si="37"/>
        <v>410777.04000000004</v>
      </c>
      <c r="Q335" s="3">
        <f t="shared" si="38"/>
        <v>177332.82</v>
      </c>
      <c r="R335" s="3">
        <f t="shared" si="39"/>
        <v>27843.65</v>
      </c>
      <c r="S335" s="3">
        <f t="shared" si="40"/>
        <v>205600.57</v>
      </c>
      <c r="T335" s="3">
        <f t="shared" si="41"/>
        <v>0</v>
      </c>
      <c r="U335" s="3">
        <f>IF($A$5=1,IF($P335=0,0,ROUND(Q335/$P335*$E335,2)),Credits!D335)+Credits!J335</f>
        <v>6724.18</v>
      </c>
      <c r="V335" s="3">
        <f>IF($A$5=1,IF($P335=0,0,ROUND(R335/$P335*$E335,2)),Credits!E335)+Credits!K335</f>
        <v>1056.71</v>
      </c>
      <c r="W335" s="3">
        <f>IF($A$5=1,IF($P335=0,0,ROUND(S335/$P335*$E335,2)),Credits!F335)+Credits!L335</f>
        <v>7795.5599999999995</v>
      </c>
      <c r="X335" s="3">
        <f>IF($A$5=1,IF($P335=0,0,ROUND(T335/$P335*$E335,2)),Credits!G335)+Credits!M335</f>
        <v>0</v>
      </c>
      <c r="Y335" s="3">
        <f t="shared" si="42"/>
        <v>15576.45</v>
      </c>
    </row>
    <row r="336" spans="1:25" ht="15" x14ac:dyDescent="0.25">
      <c r="A336" s="5">
        <v>2889</v>
      </c>
      <c r="B336" s="5">
        <v>1</v>
      </c>
      <c r="C336" s="2" t="s">
        <v>332</v>
      </c>
      <c r="D336" s="3">
        <v>22920.960000000003</v>
      </c>
      <c r="E336" s="3">
        <v>86355.37999999999</v>
      </c>
      <c r="F336" s="173">
        <v>611607</v>
      </c>
      <c r="G336" s="173">
        <v>62406</v>
      </c>
      <c r="H336" s="173">
        <v>0</v>
      </c>
      <c r="I336" s="173">
        <v>258667</v>
      </c>
      <c r="J336" s="174">
        <v>77777</v>
      </c>
      <c r="K336" s="173">
        <v>1394511</v>
      </c>
      <c r="L336" s="173">
        <v>0</v>
      </c>
      <c r="M336" s="175">
        <v>0</v>
      </c>
      <c r="N336" s="173">
        <v>0</v>
      </c>
      <c r="O336" s="152">
        <f t="shared" si="36"/>
        <v>2404968</v>
      </c>
      <c r="P336" s="3">
        <f t="shared" si="37"/>
        <v>1730955</v>
      </c>
      <c r="Q336" s="3">
        <f t="shared" si="38"/>
        <v>258667</v>
      </c>
      <c r="R336" s="3">
        <f t="shared" si="39"/>
        <v>77777</v>
      </c>
      <c r="S336" s="3">
        <f t="shared" si="40"/>
        <v>1394511</v>
      </c>
      <c r="T336" s="3">
        <f t="shared" si="41"/>
        <v>0</v>
      </c>
      <c r="U336" s="3">
        <f>IF($A$5=1,IF($P336=0,0,ROUND(Q336/$P336*$E336,2)),Credits!D336)+Credits!J336</f>
        <v>2228.46</v>
      </c>
      <c r="V336" s="3">
        <f>IF($A$5=1,IF($P336=0,0,ROUND(R336/$P336*$E336,2)),Credits!E336)+Credits!K336</f>
        <v>760.1400000000001</v>
      </c>
      <c r="W336" s="3">
        <f>IF($A$5=1,IF($P336=0,0,ROUND(S336/$P336*$E336,2)),Credits!F336)+Credits!L336</f>
        <v>13628.02</v>
      </c>
      <c r="X336" s="3">
        <f>IF($A$5=1,IF($P336=0,0,ROUND(T336/$P336*$E336,2)),Credits!G336)+Credits!M336</f>
        <v>0</v>
      </c>
      <c r="Y336" s="3">
        <f t="shared" si="42"/>
        <v>16616.620000000003</v>
      </c>
    </row>
    <row r="337" spans="1:25" ht="15" x14ac:dyDescent="0.25">
      <c r="A337" s="5">
        <v>2890</v>
      </c>
      <c r="B337" s="5">
        <v>1</v>
      </c>
      <c r="C337" s="2" t="s">
        <v>333</v>
      </c>
      <c r="D337" s="3">
        <v>30290.089999999997</v>
      </c>
      <c r="E337" s="3">
        <v>40050.61</v>
      </c>
      <c r="F337" s="173">
        <v>993198.01</v>
      </c>
      <c r="G337" s="173">
        <v>18588.64</v>
      </c>
      <c r="H337" s="173">
        <v>0</v>
      </c>
      <c r="I337" s="173">
        <v>410629.9</v>
      </c>
      <c r="J337" s="174">
        <v>62602.83</v>
      </c>
      <c r="K337" s="173">
        <v>0</v>
      </c>
      <c r="L337" s="173">
        <v>490482</v>
      </c>
      <c r="M337" s="175">
        <v>0</v>
      </c>
      <c r="N337" s="173">
        <v>0</v>
      </c>
      <c r="O337" s="152">
        <f t="shared" si="36"/>
        <v>1975501.3800000001</v>
      </c>
      <c r="P337" s="3">
        <f t="shared" si="37"/>
        <v>963714.73</v>
      </c>
      <c r="Q337" s="3">
        <f t="shared" si="38"/>
        <v>410629.9</v>
      </c>
      <c r="R337" s="3">
        <f t="shared" si="39"/>
        <v>62602.83</v>
      </c>
      <c r="S337" s="3">
        <f t="shared" si="40"/>
        <v>490482</v>
      </c>
      <c r="T337" s="3">
        <f t="shared" si="41"/>
        <v>0</v>
      </c>
      <c r="U337" s="3">
        <f>IF($A$5=1,IF($P337=0,0,ROUND(Q337/$P337*$E337,2)),Credits!D337)+Credits!J337</f>
        <v>17518.29</v>
      </c>
      <c r="V337" s="3">
        <f>IF($A$5=1,IF($P337=0,0,ROUND(R337/$P337*$E337,2)),Credits!E337)+Credits!K337</f>
        <v>2671.5299999999997</v>
      </c>
      <c r="W337" s="3">
        <f>IF($A$5=1,IF($P337=0,0,ROUND(S337/$P337*$E337,2)),Credits!F337)+Credits!L337</f>
        <v>20923.14</v>
      </c>
      <c r="X337" s="3">
        <f>IF($A$5=1,IF($P337=0,0,ROUND(T337/$P337*$E337,2)),Credits!G337)+Credits!M337</f>
        <v>0</v>
      </c>
      <c r="Y337" s="3">
        <f t="shared" si="42"/>
        <v>41112.959999999999</v>
      </c>
    </row>
    <row r="338" spans="1:25" ht="15" x14ac:dyDescent="0.25">
      <c r="A338" s="5">
        <v>2895</v>
      </c>
      <c r="B338" s="5">
        <v>1</v>
      </c>
      <c r="C338" s="2" t="s">
        <v>334</v>
      </c>
      <c r="D338" s="3">
        <v>214739.39</v>
      </c>
      <c r="E338" s="3">
        <v>208461.54</v>
      </c>
      <c r="F338" s="173">
        <v>895934</v>
      </c>
      <c r="G338" s="173">
        <v>74409</v>
      </c>
      <c r="H338" s="173">
        <v>0</v>
      </c>
      <c r="I338" s="173">
        <v>780801</v>
      </c>
      <c r="J338" s="174">
        <v>113321</v>
      </c>
      <c r="K338" s="173">
        <v>1411009</v>
      </c>
      <c r="L338" s="173">
        <v>0</v>
      </c>
      <c r="M338" s="175">
        <v>0</v>
      </c>
      <c r="N338" s="173">
        <v>0</v>
      </c>
      <c r="O338" s="152">
        <f t="shared" si="36"/>
        <v>3275474</v>
      </c>
      <c r="P338" s="3">
        <f t="shared" si="37"/>
        <v>2305131</v>
      </c>
      <c r="Q338" s="3">
        <f t="shared" si="38"/>
        <v>780801</v>
      </c>
      <c r="R338" s="3">
        <f t="shared" si="39"/>
        <v>113321</v>
      </c>
      <c r="S338" s="3">
        <f t="shared" si="40"/>
        <v>1411009</v>
      </c>
      <c r="T338" s="3">
        <f t="shared" si="41"/>
        <v>0</v>
      </c>
      <c r="U338" s="3">
        <f>IF($A$5=1,IF($P338=0,0,ROUND(Q338/$P338*$E338,2)),Credits!D338)+Credits!J338</f>
        <v>34577.74</v>
      </c>
      <c r="V338" s="3">
        <f>IF($A$5=1,IF($P338=0,0,ROUND(R338/$P338*$E338,2)),Credits!E338)+Credits!K338</f>
        <v>5017.8599999999997</v>
      </c>
      <c r="W338" s="3">
        <f>IF($A$5=1,IF($P338=0,0,ROUND(S338/$P338*$E338,2)),Credits!F338)+Credits!L338</f>
        <v>61850.99</v>
      </c>
      <c r="X338" s="3">
        <f>IF($A$5=1,IF($P338=0,0,ROUND(T338/$P338*$E338,2)),Credits!G338)+Credits!M338</f>
        <v>0</v>
      </c>
      <c r="Y338" s="3">
        <f t="shared" si="42"/>
        <v>101446.59</v>
      </c>
    </row>
    <row r="339" spans="1:25" ht="15" x14ac:dyDescent="0.25">
      <c r="A339" s="5">
        <v>2897</v>
      </c>
      <c r="B339" s="5">
        <v>1</v>
      </c>
      <c r="C339" s="2" t="s">
        <v>335</v>
      </c>
      <c r="D339" s="3">
        <v>155103.13999999998</v>
      </c>
      <c r="E339" s="3">
        <v>165977.23000000001</v>
      </c>
      <c r="F339" s="173">
        <v>797061</v>
      </c>
      <c r="G339" s="173">
        <v>77650</v>
      </c>
      <c r="H339" s="173">
        <v>0</v>
      </c>
      <c r="I339" s="173">
        <v>401625</v>
      </c>
      <c r="J339" s="174">
        <v>105550</v>
      </c>
      <c r="K339" s="173">
        <v>1105013</v>
      </c>
      <c r="L339" s="173">
        <v>0</v>
      </c>
      <c r="M339" s="175">
        <v>0</v>
      </c>
      <c r="N339" s="173">
        <v>0</v>
      </c>
      <c r="O339" s="152">
        <f t="shared" si="36"/>
        <v>2486899</v>
      </c>
      <c r="P339" s="3">
        <f t="shared" si="37"/>
        <v>1612188</v>
      </c>
      <c r="Q339" s="3">
        <f t="shared" si="38"/>
        <v>401625</v>
      </c>
      <c r="R339" s="3">
        <f t="shared" si="39"/>
        <v>105550</v>
      </c>
      <c r="S339" s="3">
        <f t="shared" si="40"/>
        <v>1105013</v>
      </c>
      <c r="T339" s="3">
        <f t="shared" si="41"/>
        <v>0</v>
      </c>
      <c r="U339" s="3">
        <f>IF($A$5=1,IF($P339=0,0,ROUND(Q339/$P339*$E339,2)),Credits!D339)+Credits!J339</f>
        <v>9632.2800000000007</v>
      </c>
      <c r="V339" s="3">
        <f>IF($A$5=1,IF($P339=0,0,ROUND(R339/$P339*$E339,2)),Credits!E339)+Credits!K339</f>
        <v>2532.3000000000002</v>
      </c>
      <c r="W339" s="3">
        <f>IF($A$5=1,IF($P339=0,0,ROUND(S339/$P339*$E339,2)),Credits!F339)+Credits!L339</f>
        <v>24765.4</v>
      </c>
      <c r="X339" s="3">
        <f>IF($A$5=1,IF($P339=0,0,ROUND(T339/$P339*$E339,2)),Credits!G339)+Credits!M339</f>
        <v>0</v>
      </c>
      <c r="Y339" s="3">
        <f t="shared" si="42"/>
        <v>36929.980000000003</v>
      </c>
    </row>
    <row r="340" spans="1:25" ht="15" x14ac:dyDescent="0.25">
      <c r="A340" s="5">
        <v>2898</v>
      </c>
      <c r="B340" s="5">
        <v>1</v>
      </c>
      <c r="C340" s="2" t="s">
        <v>336</v>
      </c>
      <c r="D340" s="3">
        <v>25667.200000000001</v>
      </c>
      <c r="E340" s="3">
        <v>27696.26</v>
      </c>
      <c r="F340" s="173">
        <v>142275</v>
      </c>
      <c r="G340" s="173">
        <v>42285</v>
      </c>
      <c r="H340" s="173">
        <v>0</v>
      </c>
      <c r="I340" s="173">
        <v>231071</v>
      </c>
      <c r="J340" s="174">
        <v>34049</v>
      </c>
      <c r="K340" s="173">
        <v>0</v>
      </c>
      <c r="L340" s="173">
        <v>0</v>
      </c>
      <c r="M340" s="175">
        <v>0</v>
      </c>
      <c r="N340" s="173">
        <v>0</v>
      </c>
      <c r="O340" s="152">
        <f t="shared" si="36"/>
        <v>449680</v>
      </c>
      <c r="P340" s="3">
        <f t="shared" si="37"/>
        <v>265120</v>
      </c>
      <c r="Q340" s="3">
        <f t="shared" si="38"/>
        <v>231071</v>
      </c>
      <c r="R340" s="3">
        <f t="shared" si="39"/>
        <v>34049</v>
      </c>
      <c r="S340" s="3">
        <f t="shared" si="40"/>
        <v>0</v>
      </c>
      <c r="T340" s="3">
        <f t="shared" si="41"/>
        <v>0</v>
      </c>
      <c r="U340" s="3">
        <f>IF($A$5=1,IF($P340=0,0,ROUND(Q340/$P340*$E340,2)),Credits!D340)+Credits!J340</f>
        <v>11777.919999999998</v>
      </c>
      <c r="V340" s="3">
        <f>IF($A$5=1,IF($P340=0,0,ROUND(R340/$P340*$E340,2)),Credits!E340)+Credits!K340</f>
        <v>1736.31</v>
      </c>
      <c r="W340" s="3">
        <f>IF($A$5=1,IF($P340=0,0,ROUND(S340/$P340*$E340,2)),Credits!F340)+Credits!L340</f>
        <v>0</v>
      </c>
      <c r="X340" s="3">
        <f>IF($A$5=1,IF($P340=0,0,ROUND(T340/$P340*$E340,2)),Credits!G340)+Credits!M340</f>
        <v>0</v>
      </c>
      <c r="Y340" s="3">
        <f t="shared" si="42"/>
        <v>13514.229999999998</v>
      </c>
    </row>
    <row r="341" spans="1:25" ht="15" x14ac:dyDescent="0.25">
      <c r="A341" s="5">
        <v>2899</v>
      </c>
      <c r="B341" s="5">
        <v>1</v>
      </c>
      <c r="C341" s="2" t="s">
        <v>498</v>
      </c>
      <c r="D341" s="3">
        <v>135332.06</v>
      </c>
      <c r="E341" s="3">
        <v>125149.25</v>
      </c>
      <c r="F341" s="173">
        <v>306724</v>
      </c>
      <c r="G341" s="173">
        <v>133785</v>
      </c>
      <c r="H341" s="173">
        <v>0</v>
      </c>
      <c r="I341" s="173">
        <v>495350</v>
      </c>
      <c r="J341" s="174">
        <v>85748</v>
      </c>
      <c r="K341" s="173">
        <v>537151</v>
      </c>
      <c r="L341" s="173">
        <v>412397</v>
      </c>
      <c r="M341" s="175">
        <v>0</v>
      </c>
      <c r="N341" s="173">
        <v>0</v>
      </c>
      <c r="O341" s="152">
        <f t="shared" si="36"/>
        <v>1971155</v>
      </c>
      <c r="P341" s="3">
        <f t="shared" si="37"/>
        <v>1530646</v>
      </c>
      <c r="Q341" s="3">
        <f t="shared" si="38"/>
        <v>495350</v>
      </c>
      <c r="R341" s="3">
        <f t="shared" si="39"/>
        <v>85748</v>
      </c>
      <c r="S341" s="3">
        <f t="shared" si="40"/>
        <v>949548</v>
      </c>
      <c r="T341" s="3">
        <f t="shared" si="41"/>
        <v>0</v>
      </c>
      <c r="U341" s="3">
        <f>IF($A$5=1,IF($P341=0,0,ROUND(Q341/$P341*$E341,2)),Credits!D341)+Credits!J341</f>
        <v>12438.630000000001</v>
      </c>
      <c r="V341" s="3">
        <f>IF($A$5=1,IF($P341=0,0,ROUND(R341/$P341*$E341,2)),Credits!E341)+Credits!K341</f>
        <v>2153</v>
      </c>
      <c r="W341" s="3">
        <f>IF($A$5=1,IF($P341=0,0,ROUND(S341/$P341*$E341,2)),Credits!F341)+Credits!L341</f>
        <v>23843.709999999995</v>
      </c>
      <c r="X341" s="3">
        <f>IF($A$5=1,IF($P341=0,0,ROUND(T341/$P341*$E341,2)),Credits!G341)+Credits!M341</f>
        <v>0</v>
      </c>
      <c r="Y341" s="3">
        <f t="shared" si="42"/>
        <v>38435.339999999997</v>
      </c>
    </row>
    <row r="342" spans="1:25" ht="15" x14ac:dyDescent="0.25">
      <c r="A342" s="5">
        <v>2902</v>
      </c>
      <c r="B342" s="5">
        <v>1</v>
      </c>
      <c r="C342" s="2" t="s">
        <v>497</v>
      </c>
      <c r="D342" s="3">
        <v>65486.34</v>
      </c>
      <c r="E342" s="3">
        <v>53707.43</v>
      </c>
      <c r="F342" s="173">
        <v>228589</v>
      </c>
      <c r="G342" s="173">
        <v>36179</v>
      </c>
      <c r="H342" s="173">
        <v>0</v>
      </c>
      <c r="I342" s="173">
        <v>431373</v>
      </c>
      <c r="J342" s="174">
        <v>35598</v>
      </c>
      <c r="K342" s="173">
        <v>64627.26</v>
      </c>
      <c r="L342" s="173">
        <v>0</v>
      </c>
      <c r="M342" s="175">
        <v>0</v>
      </c>
      <c r="N342" s="173">
        <v>0</v>
      </c>
      <c r="O342" s="152">
        <f t="shared" si="36"/>
        <v>796366.26</v>
      </c>
      <c r="P342" s="3">
        <f t="shared" si="37"/>
        <v>531598.26</v>
      </c>
      <c r="Q342" s="3">
        <f t="shared" si="38"/>
        <v>431373</v>
      </c>
      <c r="R342" s="3">
        <f t="shared" si="39"/>
        <v>35598</v>
      </c>
      <c r="S342" s="3">
        <f t="shared" si="40"/>
        <v>64627.26</v>
      </c>
      <c r="T342" s="3">
        <f t="shared" si="41"/>
        <v>0</v>
      </c>
      <c r="U342" s="3">
        <f>IF($A$5=1,IF($P342=0,0,ROUND(Q342/$P342*$E342,2)),Credits!D342)+Credits!J342</f>
        <v>30811.73</v>
      </c>
      <c r="V342" s="3">
        <f>IF($A$5=1,IF($P342=0,0,ROUND(R342/$P342*$E342,2)),Credits!E342)+Credits!K342</f>
        <v>2326.33</v>
      </c>
      <c r="W342" s="3">
        <f>IF($A$5=1,IF($P342=0,0,ROUND(S342/$P342*$E342,2)),Credits!F342)+Credits!L342</f>
        <v>4921.74</v>
      </c>
      <c r="X342" s="3">
        <f>IF($A$5=1,IF($P342=0,0,ROUND(T342/$P342*$E342,2)),Credits!G342)+Credits!M342</f>
        <v>0</v>
      </c>
      <c r="Y342" s="3">
        <f t="shared" si="42"/>
        <v>38059.799999999996</v>
      </c>
    </row>
    <row r="343" spans="1:25" ht="15" x14ac:dyDescent="0.25">
      <c r="A343" s="5">
        <v>2903</v>
      </c>
      <c r="B343" s="5">
        <v>1</v>
      </c>
      <c r="C343" s="2" t="s">
        <v>640</v>
      </c>
      <c r="D343" s="3">
        <v>169745.66</v>
      </c>
      <c r="E343" s="3">
        <v>170149.57</v>
      </c>
      <c r="F343" s="173">
        <v>374787.24</v>
      </c>
      <c r="G343" s="173">
        <v>26195.9</v>
      </c>
      <c r="H343" s="173">
        <v>0</v>
      </c>
      <c r="I343" s="173">
        <v>223821.65</v>
      </c>
      <c r="J343" s="174">
        <v>47292.54</v>
      </c>
      <c r="K343" s="173">
        <v>741291.18</v>
      </c>
      <c r="L343" s="173">
        <v>52500</v>
      </c>
      <c r="M343" s="175">
        <v>0</v>
      </c>
      <c r="N343" s="173">
        <v>0</v>
      </c>
      <c r="O343" s="152">
        <f t="shared" si="36"/>
        <v>1465888.5100000002</v>
      </c>
      <c r="P343" s="3">
        <f t="shared" si="37"/>
        <v>1064905.3700000001</v>
      </c>
      <c r="Q343" s="3">
        <f t="shared" si="38"/>
        <v>223821.65</v>
      </c>
      <c r="R343" s="3">
        <f t="shared" si="39"/>
        <v>47292.54</v>
      </c>
      <c r="S343" s="3">
        <f t="shared" si="40"/>
        <v>793791.18</v>
      </c>
      <c r="T343" s="3">
        <f t="shared" si="41"/>
        <v>0</v>
      </c>
      <c r="U343" s="3">
        <f>IF($A$5=1,IF($P343=0,0,ROUND(Q343/$P343*$E343,2)),Credits!D343)+Credits!J343</f>
        <v>12291.08</v>
      </c>
      <c r="V343" s="3">
        <f>IF($A$5=1,IF($P343=0,0,ROUND(R343/$P343*$E343,2)),Credits!E343)+Credits!K343</f>
        <v>3647.73</v>
      </c>
      <c r="W343" s="3">
        <f>IF($A$5=1,IF($P343=0,0,ROUND(S343/$P343*$E343,2)),Credits!F343)+Credits!L343</f>
        <v>76708.33</v>
      </c>
      <c r="X343" s="3">
        <f>IF($A$5=1,IF($P343=0,0,ROUND(T343/$P343*$E343,2)),Credits!G343)+Credits!M343</f>
        <v>0</v>
      </c>
      <c r="Y343" s="3">
        <f t="shared" si="42"/>
        <v>92647.14</v>
      </c>
    </row>
    <row r="344" spans="1:25" ht="15" x14ac:dyDescent="0.25">
      <c r="A344" s="5">
        <v>2904</v>
      </c>
      <c r="B344" s="5">
        <v>1</v>
      </c>
      <c r="C344" s="2" t="s">
        <v>641</v>
      </c>
      <c r="D344" s="3">
        <v>55444.12</v>
      </c>
      <c r="E344" s="3">
        <v>53953.45</v>
      </c>
      <c r="F344" s="173">
        <v>561437</v>
      </c>
      <c r="G344" s="173">
        <v>72034</v>
      </c>
      <c r="H344" s="173">
        <v>0</v>
      </c>
      <c r="I344" s="173">
        <v>316612</v>
      </c>
      <c r="J344" s="174">
        <v>70429</v>
      </c>
      <c r="K344" s="173">
        <v>0</v>
      </c>
      <c r="L344" s="173">
        <v>0</v>
      </c>
      <c r="M344" s="175">
        <v>0</v>
      </c>
      <c r="N344" s="173">
        <v>0</v>
      </c>
      <c r="O344" s="152">
        <f t="shared" si="36"/>
        <v>1020512</v>
      </c>
      <c r="P344" s="3">
        <f t="shared" si="37"/>
        <v>387041</v>
      </c>
      <c r="Q344" s="3">
        <f t="shared" si="38"/>
        <v>316612</v>
      </c>
      <c r="R344" s="3">
        <f t="shared" si="39"/>
        <v>70429</v>
      </c>
      <c r="S344" s="3">
        <f t="shared" si="40"/>
        <v>0</v>
      </c>
      <c r="T344" s="3">
        <f t="shared" si="41"/>
        <v>0</v>
      </c>
      <c r="U344" s="3">
        <f>IF($A$5=1,IF($P344=0,0,ROUND(Q344/$P344*$E344,2)),Credits!D344)+Credits!J344</f>
        <v>23345.919999999998</v>
      </c>
      <c r="V344" s="3">
        <f>IF($A$5=1,IF($P344=0,0,ROUND(R344/$P344*$E344,2)),Credits!E344)+Credits!K344</f>
        <v>5198.6100000000006</v>
      </c>
      <c r="W344" s="3">
        <f>IF($A$5=1,IF($P344=0,0,ROUND(S344/$P344*$E344,2)),Credits!F344)+Credits!L344</f>
        <v>0</v>
      </c>
      <c r="X344" s="3">
        <f>IF($A$5=1,IF($P344=0,0,ROUND(T344/$P344*$E344,2)),Credits!G344)+Credits!M344</f>
        <v>0</v>
      </c>
      <c r="Y344" s="3">
        <f t="shared" si="42"/>
        <v>28544.53</v>
      </c>
    </row>
  </sheetData>
  <mergeCells count="1">
    <mergeCell ref="A4:C4"/>
  </mergeCells>
  <phoneticPr fontId="0" type="noConversion"/>
  <pageMargins left="0.75" right="0.75" top="1" bottom="1" header="0.5" footer="0.5"/>
  <pageSetup scale="37" fitToHeight="0" orientation="portrait" horizontalDpi="300" verticalDpi="300" r:id="rId1"/>
  <headerFooter alignWithMargins="0">
    <oddFooter>&amp;C&amp;P of &amp;N</oddFooter>
  </headerFooter>
  <ignoredErrors>
    <ignoredError sqref="P10:Q344 O9:O10 P8 Q9 O12:O344" formulaRange="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44"/>
  <sheetViews>
    <sheetView workbookViewId="0">
      <pane xSplit="3" ySplit="7" topLeftCell="D8" activePane="bottomRight" state="frozen"/>
      <selection pane="topRight" activeCell="D1" sqref="D1"/>
      <selection pane="bottomLeft" activeCell="A8" sqref="A8"/>
      <selection pane="bottomRight" activeCell="O7" sqref="O7"/>
    </sheetView>
  </sheetViews>
  <sheetFormatPr defaultRowHeight="11.25" x14ac:dyDescent="0.2"/>
  <cols>
    <col min="1" max="1" width="7" style="5" customWidth="1"/>
    <col min="2" max="2" width="6.83203125" style="5" customWidth="1"/>
    <col min="3" max="3" width="18.33203125" style="2" customWidth="1"/>
    <col min="4" max="8" width="14.83203125" style="3" customWidth="1"/>
    <col min="9" max="9" width="6.1640625" style="3" customWidth="1"/>
    <col min="10" max="14" width="13.83203125" style="2" customWidth="1"/>
    <col min="15" max="15" width="14" style="2" customWidth="1"/>
    <col min="16" max="16384" width="9.33203125" style="2"/>
  </cols>
  <sheetData>
    <row r="1" spans="1:17" x14ac:dyDescent="0.2">
      <c r="A1" s="11" t="s">
        <v>694</v>
      </c>
      <c r="F1" s="144"/>
      <c r="G1" s="144"/>
      <c r="H1" s="144">
        <f>Report!I1</f>
        <v>41115</v>
      </c>
      <c r="I1" s="144"/>
    </row>
    <row r="2" spans="1:17" x14ac:dyDescent="0.2">
      <c r="A2" s="160" t="str">
        <f>"Preliminary "&amp;Instructions!P2&amp;" credits"</f>
        <v>Preliminary Pay 2011 credits</v>
      </c>
      <c r="I2" s="171"/>
    </row>
    <row r="3" spans="1:17" x14ac:dyDescent="0.2">
      <c r="A3" s="160" t="str">
        <f>Instructions!P1&amp;" Levy"</f>
        <v>Pay 2012 Levy</v>
      </c>
      <c r="B3" s="18"/>
      <c r="C3" s="3"/>
      <c r="D3" s="190" t="s">
        <v>694</v>
      </c>
      <c r="E3" s="190"/>
      <c r="F3" s="190"/>
      <c r="G3" s="190"/>
      <c r="H3" s="190"/>
      <c r="J3" s="190" t="s">
        <v>530</v>
      </c>
      <c r="K3" s="190"/>
      <c r="L3" s="190"/>
      <c r="M3" s="190"/>
      <c r="N3" s="190"/>
    </row>
    <row r="4" spans="1:17" s="8" customFormat="1" x14ac:dyDescent="0.2">
      <c r="A4" s="6"/>
      <c r="B4" s="6"/>
      <c r="D4" s="165" t="s">
        <v>695</v>
      </c>
      <c r="E4" s="165" t="s">
        <v>696</v>
      </c>
      <c r="F4" s="165" t="s">
        <v>697</v>
      </c>
      <c r="G4" s="165" t="s">
        <v>698</v>
      </c>
      <c r="H4" s="165" t="s">
        <v>394</v>
      </c>
      <c r="I4" s="165"/>
      <c r="J4" s="165" t="s">
        <v>695</v>
      </c>
      <c r="K4" s="165" t="s">
        <v>696</v>
      </c>
      <c r="L4" s="165" t="s">
        <v>697</v>
      </c>
      <c r="M4" s="165" t="s">
        <v>698</v>
      </c>
      <c r="N4" s="165" t="s">
        <v>394</v>
      </c>
    </row>
    <row r="6" spans="1:17" x14ac:dyDescent="0.2">
      <c r="C6" s="2" t="s">
        <v>344</v>
      </c>
      <c r="D6" s="3">
        <f t="shared" ref="D6:N6" si="0">SUM(D8:D344)</f>
        <v>4623914.46</v>
      </c>
      <c r="E6" s="3">
        <f t="shared" si="0"/>
        <v>817738.57999999949</v>
      </c>
      <c r="F6" s="3">
        <f t="shared" si="0"/>
        <v>9109389.1100000013</v>
      </c>
      <c r="G6" s="3">
        <f t="shared" si="0"/>
        <v>486299.92999999993</v>
      </c>
      <c r="H6" s="3">
        <f t="shared" si="0"/>
        <v>15037342.080000009</v>
      </c>
      <c r="J6" s="3">
        <f t="shared" si="0"/>
        <v>590533.53</v>
      </c>
      <c r="K6" s="3">
        <f t="shared" si="0"/>
        <v>1557.63</v>
      </c>
      <c r="L6" s="3">
        <f t="shared" si="0"/>
        <v>1179514.4600000002</v>
      </c>
      <c r="M6" s="3">
        <f t="shared" si="0"/>
        <v>601135.69000000006</v>
      </c>
      <c r="N6" s="3">
        <f t="shared" si="0"/>
        <v>2372741.31</v>
      </c>
      <c r="O6" s="2">
        <f>N6+H6</f>
        <v>17410083.390000008</v>
      </c>
    </row>
    <row r="8" spans="1:17" x14ac:dyDescent="0.2">
      <c r="A8" s="5">
        <v>1</v>
      </c>
      <c r="B8" s="5">
        <v>1</v>
      </c>
      <c r="C8" s="2" t="s">
        <v>5</v>
      </c>
      <c r="D8" s="3">
        <v>6415.57</v>
      </c>
      <c r="E8" s="3">
        <v>22.44</v>
      </c>
      <c r="F8" s="3">
        <v>0</v>
      </c>
      <c r="G8" s="3">
        <v>0</v>
      </c>
      <c r="H8" s="3">
        <f>SUM(D8:G8)</f>
        <v>6438.0099999999993</v>
      </c>
      <c r="J8" s="2">
        <v>59389.53</v>
      </c>
      <c r="K8" s="2">
        <v>162.44</v>
      </c>
      <c r="L8" s="2">
        <v>1335.38</v>
      </c>
      <c r="M8" s="2">
        <v>0</v>
      </c>
      <c r="N8" s="2">
        <v>60887.35</v>
      </c>
      <c r="P8" s="5"/>
      <c r="Q8" s="5"/>
    </row>
    <row r="9" spans="1:17" x14ac:dyDescent="0.2">
      <c r="A9" s="5">
        <v>1.2</v>
      </c>
      <c r="B9" s="5">
        <v>3</v>
      </c>
      <c r="C9" s="2" t="s">
        <v>6</v>
      </c>
      <c r="D9" s="3">
        <v>200855.60000000003</v>
      </c>
      <c r="E9" s="3">
        <v>29248.09</v>
      </c>
      <c r="F9" s="3">
        <v>324002.28000000003</v>
      </c>
      <c r="G9" s="3">
        <v>16219.78</v>
      </c>
      <c r="H9" s="3">
        <f t="shared" ref="H9:H72" si="1">SUM(D9:G9)</f>
        <v>570325.75000000012</v>
      </c>
      <c r="J9" s="2">
        <v>0</v>
      </c>
      <c r="K9" s="2">
        <v>0</v>
      </c>
      <c r="L9" s="2">
        <v>0</v>
      </c>
      <c r="M9" s="2">
        <v>0</v>
      </c>
      <c r="N9" s="2">
        <v>0</v>
      </c>
      <c r="P9" s="5"/>
      <c r="Q9" s="5"/>
    </row>
    <row r="10" spans="1:17" x14ac:dyDescent="0.2">
      <c r="A10" s="5">
        <v>2</v>
      </c>
      <c r="B10" s="5">
        <v>1</v>
      </c>
      <c r="C10" s="2" t="s">
        <v>7</v>
      </c>
      <c r="D10" s="3">
        <v>3788.95</v>
      </c>
      <c r="E10" s="3">
        <v>645.04</v>
      </c>
      <c r="F10" s="3">
        <v>7354.77</v>
      </c>
      <c r="G10" s="3">
        <v>0</v>
      </c>
      <c r="H10" s="3">
        <f t="shared" si="1"/>
        <v>11788.76</v>
      </c>
      <c r="J10" s="2">
        <v>0</v>
      </c>
      <c r="K10" s="2">
        <v>0</v>
      </c>
      <c r="L10" s="2">
        <v>0</v>
      </c>
      <c r="M10" s="2">
        <v>0</v>
      </c>
      <c r="N10" s="2">
        <v>0</v>
      </c>
      <c r="P10" s="5"/>
      <c r="Q10" s="5"/>
    </row>
    <row r="11" spans="1:17" x14ac:dyDescent="0.2">
      <c r="A11" s="5">
        <v>4</v>
      </c>
      <c r="B11" s="5">
        <v>1</v>
      </c>
      <c r="C11" s="2" t="s">
        <v>8</v>
      </c>
      <c r="D11" s="3">
        <v>1648.46</v>
      </c>
      <c r="E11" s="3">
        <v>878.48</v>
      </c>
      <c r="F11" s="3">
        <v>11792.27</v>
      </c>
      <c r="G11" s="3">
        <v>2487.9500000000003</v>
      </c>
      <c r="H11" s="3">
        <f t="shared" si="1"/>
        <v>16807.16</v>
      </c>
      <c r="J11" s="2">
        <v>0</v>
      </c>
      <c r="K11" s="2">
        <v>0</v>
      </c>
      <c r="L11" s="2">
        <v>0</v>
      </c>
      <c r="M11" s="2">
        <v>0</v>
      </c>
      <c r="N11" s="2">
        <v>0</v>
      </c>
      <c r="P11" s="5"/>
      <c r="Q11" s="5"/>
    </row>
    <row r="12" spans="1:17" x14ac:dyDescent="0.2">
      <c r="A12" s="5">
        <v>6</v>
      </c>
      <c r="B12" s="5">
        <v>3</v>
      </c>
      <c r="C12" s="2" t="s">
        <v>9</v>
      </c>
      <c r="D12" s="3">
        <v>186.28</v>
      </c>
      <c r="E12" s="3">
        <v>22.26</v>
      </c>
      <c r="F12" s="3">
        <v>91.09</v>
      </c>
      <c r="G12" s="3">
        <v>56.32</v>
      </c>
      <c r="H12" s="3">
        <f t="shared" si="1"/>
        <v>355.95</v>
      </c>
      <c r="J12" s="2">
        <v>0</v>
      </c>
      <c r="K12" s="2">
        <v>0</v>
      </c>
      <c r="L12" s="2">
        <v>0</v>
      </c>
      <c r="M12" s="2">
        <v>0</v>
      </c>
      <c r="N12" s="2">
        <v>0</v>
      </c>
      <c r="P12" s="5"/>
      <c r="Q12" s="5"/>
    </row>
    <row r="13" spans="1:17" x14ac:dyDescent="0.2">
      <c r="A13" s="5">
        <v>11</v>
      </c>
      <c r="B13" s="5">
        <v>1</v>
      </c>
      <c r="C13" s="2" t="s">
        <v>10</v>
      </c>
      <c r="D13" s="3">
        <v>7401.52</v>
      </c>
      <c r="E13" s="3">
        <v>1335.92</v>
      </c>
      <c r="F13" s="3">
        <v>8839.43</v>
      </c>
      <c r="G13" s="3">
        <v>883.2</v>
      </c>
      <c r="H13" s="3">
        <f t="shared" si="1"/>
        <v>18460.070000000003</v>
      </c>
      <c r="J13" s="2">
        <v>0</v>
      </c>
      <c r="K13" s="2">
        <v>0</v>
      </c>
      <c r="L13" s="2">
        <v>0</v>
      </c>
      <c r="M13" s="2">
        <v>0</v>
      </c>
      <c r="N13" s="2">
        <v>0</v>
      </c>
      <c r="P13" s="5"/>
      <c r="Q13" s="5"/>
    </row>
    <row r="14" spans="1:17" x14ac:dyDescent="0.2">
      <c r="A14" s="5">
        <v>12</v>
      </c>
      <c r="B14" s="5">
        <v>1</v>
      </c>
      <c r="C14" s="2" t="s">
        <v>11</v>
      </c>
      <c r="D14" s="3">
        <v>657.62</v>
      </c>
      <c r="E14" s="3">
        <v>97.93</v>
      </c>
      <c r="F14" s="3">
        <v>1554.84</v>
      </c>
      <c r="G14" s="3">
        <v>144.24</v>
      </c>
      <c r="H14" s="3">
        <f t="shared" si="1"/>
        <v>2454.63</v>
      </c>
      <c r="J14" s="2">
        <v>0</v>
      </c>
      <c r="K14" s="2">
        <v>0</v>
      </c>
      <c r="L14" s="2">
        <v>0</v>
      </c>
      <c r="M14" s="2">
        <v>0</v>
      </c>
      <c r="N14" s="2">
        <v>0</v>
      </c>
      <c r="P14" s="5"/>
      <c r="Q14" s="5"/>
    </row>
    <row r="15" spans="1:17" x14ac:dyDescent="0.2">
      <c r="A15" s="5">
        <v>13</v>
      </c>
      <c r="B15" s="5">
        <v>1</v>
      </c>
      <c r="C15" s="2" t="s">
        <v>12</v>
      </c>
      <c r="D15" s="3">
        <v>514.9</v>
      </c>
      <c r="E15" s="3">
        <v>84.91</v>
      </c>
      <c r="F15" s="3">
        <v>623.85</v>
      </c>
      <c r="G15" s="3">
        <v>0</v>
      </c>
      <c r="H15" s="3">
        <f t="shared" si="1"/>
        <v>1223.6599999999999</v>
      </c>
      <c r="J15" s="2">
        <v>0</v>
      </c>
      <c r="K15" s="2">
        <v>0</v>
      </c>
      <c r="L15" s="2">
        <v>0</v>
      </c>
      <c r="M15" s="2">
        <v>0</v>
      </c>
      <c r="N15" s="2">
        <v>0</v>
      </c>
      <c r="P15" s="5"/>
      <c r="Q15" s="5"/>
    </row>
    <row r="16" spans="1:17" x14ac:dyDescent="0.2">
      <c r="A16" s="5">
        <v>14</v>
      </c>
      <c r="B16" s="5">
        <v>1</v>
      </c>
      <c r="C16" s="2" t="s">
        <v>13</v>
      </c>
      <c r="D16" s="3">
        <v>374</v>
      </c>
      <c r="E16" s="3">
        <v>83.69</v>
      </c>
      <c r="F16" s="3">
        <v>481.03</v>
      </c>
      <c r="G16" s="3">
        <v>106.76</v>
      </c>
      <c r="H16" s="3">
        <f t="shared" si="1"/>
        <v>1045.48</v>
      </c>
      <c r="J16" s="2">
        <v>0</v>
      </c>
      <c r="K16" s="2">
        <v>0</v>
      </c>
      <c r="L16" s="2">
        <v>0</v>
      </c>
      <c r="M16" s="2">
        <v>0</v>
      </c>
      <c r="N16" s="2">
        <v>0</v>
      </c>
      <c r="P16" s="5"/>
      <c r="Q16" s="5"/>
    </row>
    <row r="17" spans="1:17" x14ac:dyDescent="0.2">
      <c r="A17" s="5">
        <v>15</v>
      </c>
      <c r="B17" s="5">
        <v>1</v>
      </c>
      <c r="C17" s="2" t="s">
        <v>14</v>
      </c>
      <c r="D17" s="3">
        <v>8225.65</v>
      </c>
      <c r="E17" s="3">
        <v>1217.73</v>
      </c>
      <c r="F17" s="3">
        <v>20960.59</v>
      </c>
      <c r="G17" s="3">
        <v>1139.8900000000001</v>
      </c>
      <c r="H17" s="3">
        <f t="shared" si="1"/>
        <v>31543.86</v>
      </c>
      <c r="J17" s="2">
        <v>0</v>
      </c>
      <c r="K17" s="2">
        <v>0</v>
      </c>
      <c r="L17" s="2">
        <v>0</v>
      </c>
      <c r="M17" s="2">
        <v>0</v>
      </c>
      <c r="N17" s="2">
        <v>0</v>
      </c>
      <c r="P17" s="5"/>
      <c r="Q17" s="5"/>
    </row>
    <row r="18" spans="1:17" x14ac:dyDescent="0.2">
      <c r="A18" s="5">
        <v>16</v>
      </c>
      <c r="B18" s="5">
        <v>1</v>
      </c>
      <c r="C18" s="2" t="s">
        <v>15</v>
      </c>
      <c r="D18" s="3">
        <v>495.05</v>
      </c>
      <c r="E18" s="3">
        <v>63.24</v>
      </c>
      <c r="F18" s="3">
        <v>1225.8399999999999</v>
      </c>
      <c r="G18" s="3">
        <v>41.8</v>
      </c>
      <c r="H18" s="3">
        <f t="shared" si="1"/>
        <v>1825.9299999999998</v>
      </c>
      <c r="J18" s="2">
        <v>0</v>
      </c>
      <c r="K18" s="2">
        <v>0</v>
      </c>
      <c r="L18" s="2">
        <v>0</v>
      </c>
      <c r="M18" s="2">
        <v>0</v>
      </c>
      <c r="N18" s="2">
        <v>0</v>
      </c>
      <c r="P18" s="5"/>
      <c r="Q18" s="5"/>
    </row>
    <row r="19" spans="1:17" x14ac:dyDescent="0.2">
      <c r="A19" s="5">
        <v>22</v>
      </c>
      <c r="B19" s="5">
        <v>1</v>
      </c>
      <c r="C19" s="2" t="s">
        <v>16</v>
      </c>
      <c r="D19" s="3">
        <v>5223.8799999999992</v>
      </c>
      <c r="E19" s="3">
        <v>1265.99</v>
      </c>
      <c r="F19" s="3">
        <v>4805.71</v>
      </c>
      <c r="G19" s="3">
        <v>0</v>
      </c>
      <c r="H19" s="3">
        <f t="shared" si="1"/>
        <v>11295.579999999998</v>
      </c>
      <c r="J19" s="2">
        <v>0</v>
      </c>
      <c r="K19" s="2">
        <v>0</v>
      </c>
      <c r="L19" s="2">
        <v>0</v>
      </c>
      <c r="M19" s="2">
        <v>0</v>
      </c>
      <c r="N19" s="2">
        <v>0</v>
      </c>
      <c r="P19" s="5"/>
      <c r="Q19" s="5"/>
    </row>
    <row r="20" spans="1:17" x14ac:dyDescent="0.2">
      <c r="A20" s="5">
        <v>23</v>
      </c>
      <c r="B20" s="5">
        <v>1</v>
      </c>
      <c r="C20" s="2" t="s">
        <v>17</v>
      </c>
      <c r="D20" s="3">
        <v>5690.0499999999993</v>
      </c>
      <c r="E20" s="3">
        <v>1838.14</v>
      </c>
      <c r="F20" s="3">
        <v>17964.670000000002</v>
      </c>
      <c r="G20" s="3">
        <v>0</v>
      </c>
      <c r="H20" s="3">
        <f t="shared" si="1"/>
        <v>25492.86</v>
      </c>
      <c r="J20" s="2">
        <v>0</v>
      </c>
      <c r="K20" s="2">
        <v>0</v>
      </c>
      <c r="L20" s="2">
        <v>0</v>
      </c>
      <c r="M20" s="2">
        <v>0</v>
      </c>
      <c r="N20" s="2">
        <v>0</v>
      </c>
      <c r="P20" s="5"/>
      <c r="Q20" s="5"/>
    </row>
    <row r="21" spans="1:17" x14ac:dyDescent="0.2">
      <c r="A21" s="5">
        <v>25</v>
      </c>
      <c r="B21" s="5">
        <v>1</v>
      </c>
      <c r="C21" s="2" t="s">
        <v>345</v>
      </c>
      <c r="D21" s="3">
        <v>0</v>
      </c>
      <c r="E21" s="3">
        <v>0</v>
      </c>
      <c r="F21" s="3">
        <v>0</v>
      </c>
      <c r="G21" s="3">
        <v>0</v>
      </c>
      <c r="H21" s="3">
        <f t="shared" si="1"/>
        <v>0</v>
      </c>
      <c r="J21" s="2">
        <v>0</v>
      </c>
      <c r="K21" s="2">
        <v>0</v>
      </c>
      <c r="L21" s="2">
        <v>0</v>
      </c>
      <c r="M21" s="2">
        <v>0</v>
      </c>
      <c r="N21" s="2">
        <v>0</v>
      </c>
      <c r="P21" s="5"/>
      <c r="Q21" s="5"/>
    </row>
    <row r="22" spans="1:17" x14ac:dyDescent="0.2">
      <c r="A22" s="5">
        <v>31</v>
      </c>
      <c r="B22" s="5">
        <v>1</v>
      </c>
      <c r="C22" s="2" t="s">
        <v>18</v>
      </c>
      <c r="D22" s="3">
        <v>13135.390000000001</v>
      </c>
      <c r="E22" s="3">
        <v>3077.64</v>
      </c>
      <c r="F22" s="3">
        <v>28718.720000000001</v>
      </c>
      <c r="G22" s="3">
        <v>4527.07</v>
      </c>
      <c r="H22" s="3">
        <f t="shared" si="1"/>
        <v>49458.82</v>
      </c>
      <c r="J22" s="2">
        <v>0</v>
      </c>
      <c r="K22" s="2">
        <v>0</v>
      </c>
      <c r="L22" s="2">
        <v>0</v>
      </c>
      <c r="M22" s="2">
        <v>0</v>
      </c>
      <c r="N22" s="2">
        <v>0</v>
      </c>
      <c r="P22" s="5"/>
      <c r="Q22" s="5"/>
    </row>
    <row r="23" spans="1:17" x14ac:dyDescent="0.2">
      <c r="A23" s="5">
        <v>32</v>
      </c>
      <c r="B23" s="5">
        <v>1</v>
      </c>
      <c r="C23" s="2" t="s">
        <v>19</v>
      </c>
      <c r="D23" s="3">
        <v>8400.67</v>
      </c>
      <c r="E23" s="3">
        <v>1210.19</v>
      </c>
      <c r="F23" s="3">
        <v>19610.04</v>
      </c>
      <c r="G23" s="3">
        <v>0</v>
      </c>
      <c r="H23" s="3">
        <f t="shared" si="1"/>
        <v>29220.9</v>
      </c>
      <c r="J23" s="2">
        <v>0</v>
      </c>
      <c r="K23" s="2">
        <v>0</v>
      </c>
      <c r="L23" s="2">
        <v>0</v>
      </c>
      <c r="M23" s="2">
        <v>0</v>
      </c>
      <c r="N23" s="2">
        <v>0</v>
      </c>
      <c r="P23" s="5"/>
      <c r="Q23" s="5"/>
    </row>
    <row r="24" spans="1:17" x14ac:dyDescent="0.2">
      <c r="A24" s="5">
        <v>36</v>
      </c>
      <c r="B24" s="5">
        <v>1</v>
      </c>
      <c r="C24" s="2" t="s">
        <v>20</v>
      </c>
      <c r="D24" s="3">
        <v>620.21</v>
      </c>
      <c r="E24" s="3">
        <v>347.8</v>
      </c>
      <c r="F24" s="3">
        <v>9681.619999999999</v>
      </c>
      <c r="G24" s="3">
        <v>0</v>
      </c>
      <c r="H24" s="3">
        <f t="shared" si="1"/>
        <v>10649.63</v>
      </c>
      <c r="J24" s="2">
        <v>0</v>
      </c>
      <c r="K24" s="2">
        <v>0</v>
      </c>
      <c r="L24" s="2">
        <v>0</v>
      </c>
      <c r="M24" s="2">
        <v>0</v>
      </c>
      <c r="N24" s="2">
        <v>0</v>
      </c>
      <c r="P24" s="5"/>
      <c r="Q24" s="5"/>
    </row>
    <row r="25" spans="1:17" x14ac:dyDescent="0.2">
      <c r="A25" s="5">
        <v>38</v>
      </c>
      <c r="B25" s="5">
        <v>1</v>
      </c>
      <c r="C25" s="2" t="s">
        <v>21</v>
      </c>
      <c r="D25" s="3">
        <v>0</v>
      </c>
      <c r="E25" s="3">
        <v>0</v>
      </c>
      <c r="F25" s="3">
        <v>0</v>
      </c>
      <c r="G25" s="3">
        <v>0</v>
      </c>
      <c r="H25" s="3">
        <f t="shared" si="1"/>
        <v>0</v>
      </c>
      <c r="J25" s="2">
        <v>0</v>
      </c>
      <c r="K25" s="2">
        <v>0</v>
      </c>
      <c r="L25" s="2">
        <v>0</v>
      </c>
      <c r="M25" s="2">
        <v>0</v>
      </c>
      <c r="N25" s="2">
        <v>0</v>
      </c>
      <c r="P25" s="5"/>
      <c r="Q25" s="5"/>
    </row>
    <row r="26" spans="1:17" x14ac:dyDescent="0.2">
      <c r="A26" s="5">
        <v>47</v>
      </c>
      <c r="B26" s="5">
        <v>1</v>
      </c>
      <c r="C26" s="2" t="s">
        <v>22</v>
      </c>
      <c r="D26" s="3">
        <v>6430.65</v>
      </c>
      <c r="E26" s="3">
        <v>1235.3</v>
      </c>
      <c r="F26" s="3">
        <v>23844.399999999998</v>
      </c>
      <c r="G26" s="3">
        <v>0</v>
      </c>
      <c r="H26" s="3">
        <f t="shared" si="1"/>
        <v>31510.35</v>
      </c>
      <c r="J26" s="2">
        <v>0</v>
      </c>
      <c r="K26" s="2">
        <v>0</v>
      </c>
      <c r="L26" s="2">
        <v>0</v>
      </c>
      <c r="M26" s="2">
        <v>0</v>
      </c>
      <c r="N26" s="2">
        <v>0</v>
      </c>
      <c r="P26" s="5"/>
      <c r="Q26" s="5"/>
    </row>
    <row r="27" spans="1:17" x14ac:dyDescent="0.2">
      <c r="A27" s="5">
        <v>51</v>
      </c>
      <c r="B27" s="5">
        <v>1</v>
      </c>
      <c r="C27" s="2" t="s">
        <v>23</v>
      </c>
      <c r="D27" s="3">
        <v>12414.63</v>
      </c>
      <c r="E27" s="3">
        <v>2916.5</v>
      </c>
      <c r="F27" s="3">
        <v>95359.39</v>
      </c>
      <c r="G27" s="3">
        <v>0</v>
      </c>
      <c r="H27" s="3">
        <f t="shared" si="1"/>
        <v>110690.52</v>
      </c>
      <c r="J27" s="2">
        <v>0</v>
      </c>
      <c r="K27" s="2">
        <v>0</v>
      </c>
      <c r="L27" s="2">
        <v>0</v>
      </c>
      <c r="M27" s="2">
        <v>0</v>
      </c>
      <c r="N27" s="2">
        <v>0</v>
      </c>
      <c r="P27" s="5"/>
      <c r="Q27" s="5"/>
    </row>
    <row r="28" spans="1:17" x14ac:dyDescent="0.2">
      <c r="A28" s="5">
        <v>75</v>
      </c>
      <c r="B28" s="5">
        <v>1</v>
      </c>
      <c r="C28" s="2" t="s">
        <v>24</v>
      </c>
      <c r="D28" s="3">
        <v>2684.97</v>
      </c>
      <c r="E28" s="3">
        <v>465.86</v>
      </c>
      <c r="F28" s="3">
        <v>13313.289999999999</v>
      </c>
      <c r="G28" s="3">
        <v>0</v>
      </c>
      <c r="H28" s="3">
        <f t="shared" si="1"/>
        <v>16464.12</v>
      </c>
      <c r="J28" s="2">
        <v>0</v>
      </c>
      <c r="K28" s="2">
        <v>0</v>
      </c>
      <c r="L28" s="2">
        <v>0</v>
      </c>
      <c r="M28" s="2">
        <v>0</v>
      </c>
      <c r="N28" s="2">
        <v>0</v>
      </c>
      <c r="P28" s="5"/>
      <c r="Q28" s="5"/>
    </row>
    <row r="29" spans="1:17" x14ac:dyDescent="0.2">
      <c r="A29" s="5">
        <v>77</v>
      </c>
      <c r="B29" s="5">
        <v>1</v>
      </c>
      <c r="C29" s="2" t="s">
        <v>25</v>
      </c>
      <c r="D29" s="3">
        <v>10836.66</v>
      </c>
      <c r="E29" s="3">
        <v>4640.5600000000004</v>
      </c>
      <c r="F29" s="3">
        <v>32644.680000000004</v>
      </c>
      <c r="G29" s="3">
        <v>6057.869999999999</v>
      </c>
      <c r="H29" s="3">
        <f t="shared" si="1"/>
        <v>54179.770000000004</v>
      </c>
      <c r="J29" s="2">
        <v>0</v>
      </c>
      <c r="K29" s="2">
        <v>0</v>
      </c>
      <c r="L29" s="2">
        <v>0</v>
      </c>
      <c r="M29" s="2">
        <v>0</v>
      </c>
      <c r="N29" s="2">
        <v>0</v>
      </c>
      <c r="P29" s="5"/>
      <c r="Q29" s="5"/>
    </row>
    <row r="30" spans="1:17" x14ac:dyDescent="0.2">
      <c r="A30" s="5">
        <v>81</v>
      </c>
      <c r="B30" s="5">
        <v>1</v>
      </c>
      <c r="C30" s="2" t="s">
        <v>26</v>
      </c>
      <c r="D30" s="3">
        <v>9467.8000000000011</v>
      </c>
      <c r="E30" s="3">
        <v>1438.21</v>
      </c>
      <c r="F30" s="3">
        <v>0</v>
      </c>
      <c r="G30" s="3">
        <v>0</v>
      </c>
      <c r="H30" s="3">
        <f t="shared" si="1"/>
        <v>10906.010000000002</v>
      </c>
      <c r="J30" s="2">
        <v>0</v>
      </c>
      <c r="K30" s="2">
        <v>0</v>
      </c>
      <c r="L30" s="2">
        <v>0</v>
      </c>
      <c r="M30" s="2">
        <v>0</v>
      </c>
      <c r="N30" s="2">
        <v>0</v>
      </c>
      <c r="P30" s="5"/>
      <c r="Q30" s="5"/>
    </row>
    <row r="31" spans="1:17" x14ac:dyDescent="0.2">
      <c r="A31" s="5">
        <v>84</v>
      </c>
      <c r="B31" s="5">
        <v>1</v>
      </c>
      <c r="C31" s="2" t="s">
        <v>27</v>
      </c>
      <c r="D31" s="3">
        <v>8970.7800000000007</v>
      </c>
      <c r="E31" s="3">
        <v>2563.39</v>
      </c>
      <c r="F31" s="3">
        <v>12684.89</v>
      </c>
      <c r="G31" s="3">
        <v>0</v>
      </c>
      <c r="H31" s="3">
        <f t="shared" si="1"/>
        <v>24219.059999999998</v>
      </c>
      <c r="J31" s="2">
        <v>0</v>
      </c>
      <c r="K31" s="2">
        <v>0</v>
      </c>
      <c r="L31" s="2">
        <v>0</v>
      </c>
      <c r="M31" s="2">
        <v>0</v>
      </c>
      <c r="N31" s="2">
        <v>0</v>
      </c>
      <c r="P31" s="5"/>
      <c r="Q31" s="5"/>
    </row>
    <row r="32" spans="1:17" x14ac:dyDescent="0.2">
      <c r="A32" s="5">
        <v>85</v>
      </c>
      <c r="B32" s="5">
        <v>1</v>
      </c>
      <c r="C32" s="2" t="s">
        <v>28</v>
      </c>
      <c r="D32" s="3">
        <v>5701.12</v>
      </c>
      <c r="E32" s="3">
        <v>1080.93</v>
      </c>
      <c r="F32" s="3">
        <v>14300.939999999999</v>
      </c>
      <c r="G32" s="3">
        <v>0</v>
      </c>
      <c r="H32" s="3">
        <f t="shared" si="1"/>
        <v>21082.989999999998</v>
      </c>
      <c r="J32" s="2">
        <v>0</v>
      </c>
      <c r="K32" s="2">
        <v>0</v>
      </c>
      <c r="L32" s="2">
        <v>0</v>
      </c>
      <c r="M32" s="2">
        <v>0</v>
      </c>
      <c r="N32" s="2">
        <v>0</v>
      </c>
      <c r="P32" s="5"/>
      <c r="Q32" s="5"/>
    </row>
    <row r="33" spans="1:17" x14ac:dyDescent="0.2">
      <c r="A33" s="5">
        <v>88</v>
      </c>
      <c r="B33" s="5">
        <v>1</v>
      </c>
      <c r="C33" s="2" t="s">
        <v>29</v>
      </c>
      <c r="D33" s="3">
        <v>16558.84</v>
      </c>
      <c r="E33" s="3">
        <v>4588.5599999999995</v>
      </c>
      <c r="F33" s="3">
        <v>33046.29</v>
      </c>
      <c r="G33" s="3">
        <v>0</v>
      </c>
      <c r="H33" s="3">
        <f t="shared" si="1"/>
        <v>54193.69</v>
      </c>
      <c r="J33" s="2">
        <v>0</v>
      </c>
      <c r="K33" s="2">
        <v>0</v>
      </c>
      <c r="L33" s="2">
        <v>0</v>
      </c>
      <c r="M33" s="2">
        <v>0</v>
      </c>
      <c r="N33" s="2">
        <v>0</v>
      </c>
      <c r="P33" s="5"/>
      <c r="Q33" s="5"/>
    </row>
    <row r="34" spans="1:17" x14ac:dyDescent="0.2">
      <c r="A34" s="5">
        <v>91</v>
      </c>
      <c r="B34" s="5">
        <v>1</v>
      </c>
      <c r="C34" s="2" t="s">
        <v>30</v>
      </c>
      <c r="D34" s="3">
        <v>4896.8100000000004</v>
      </c>
      <c r="E34" s="3">
        <v>1360.3700000000001</v>
      </c>
      <c r="F34" s="3">
        <v>25259.139999999996</v>
      </c>
      <c r="G34" s="3">
        <v>0</v>
      </c>
      <c r="H34" s="3">
        <f t="shared" si="1"/>
        <v>31516.319999999996</v>
      </c>
      <c r="J34" s="2">
        <v>0</v>
      </c>
      <c r="K34" s="2">
        <v>0</v>
      </c>
      <c r="L34" s="2">
        <v>0</v>
      </c>
      <c r="M34" s="2">
        <v>0</v>
      </c>
      <c r="N34" s="2">
        <v>0</v>
      </c>
      <c r="P34" s="5"/>
      <c r="Q34" s="5"/>
    </row>
    <row r="35" spans="1:17" x14ac:dyDescent="0.2">
      <c r="A35" s="5">
        <v>93</v>
      </c>
      <c r="B35" s="5">
        <v>1</v>
      </c>
      <c r="C35" s="2" t="s">
        <v>31</v>
      </c>
      <c r="D35" s="3">
        <v>7307.7000000000007</v>
      </c>
      <c r="E35" s="3">
        <v>2417.4699999999998</v>
      </c>
      <c r="F35" s="3">
        <v>21104.65</v>
      </c>
      <c r="G35" s="3">
        <v>0</v>
      </c>
      <c r="H35" s="3">
        <f t="shared" si="1"/>
        <v>30829.82</v>
      </c>
      <c r="J35" s="2">
        <v>0</v>
      </c>
      <c r="K35" s="2">
        <v>0</v>
      </c>
      <c r="L35" s="2">
        <v>0</v>
      </c>
      <c r="M35" s="2">
        <v>0</v>
      </c>
      <c r="N35" s="2">
        <v>0</v>
      </c>
      <c r="P35" s="5"/>
      <c r="Q35" s="5"/>
    </row>
    <row r="36" spans="1:17" x14ac:dyDescent="0.2">
      <c r="A36" s="5">
        <v>94</v>
      </c>
      <c r="B36" s="5">
        <v>1</v>
      </c>
      <c r="C36" s="2" t="s">
        <v>32</v>
      </c>
      <c r="D36" s="3">
        <v>30374.2</v>
      </c>
      <c r="E36" s="3">
        <v>13247.590000000002</v>
      </c>
      <c r="F36" s="3">
        <v>143888.20000000001</v>
      </c>
      <c r="G36" s="3">
        <v>0</v>
      </c>
      <c r="H36" s="3">
        <f t="shared" si="1"/>
        <v>187509.99000000002</v>
      </c>
      <c r="J36" s="2">
        <v>0</v>
      </c>
      <c r="K36" s="2">
        <v>0</v>
      </c>
      <c r="L36" s="2">
        <v>0</v>
      </c>
      <c r="M36" s="2">
        <v>0</v>
      </c>
      <c r="N36" s="2">
        <v>0</v>
      </c>
      <c r="P36" s="5"/>
      <c r="Q36" s="5"/>
    </row>
    <row r="37" spans="1:17" x14ac:dyDescent="0.2">
      <c r="A37" s="5">
        <v>95</v>
      </c>
      <c r="B37" s="5">
        <v>1</v>
      </c>
      <c r="C37" s="2" t="s">
        <v>33</v>
      </c>
      <c r="D37" s="3">
        <v>2424.5700000000002</v>
      </c>
      <c r="E37" s="3">
        <v>475.58</v>
      </c>
      <c r="F37" s="3">
        <v>11329.54</v>
      </c>
      <c r="G37" s="3">
        <v>0</v>
      </c>
      <c r="H37" s="3">
        <f t="shared" si="1"/>
        <v>14229.69</v>
      </c>
      <c r="J37" s="2">
        <v>0</v>
      </c>
      <c r="K37" s="2">
        <v>0</v>
      </c>
      <c r="L37" s="2">
        <v>0</v>
      </c>
      <c r="M37" s="2">
        <v>0</v>
      </c>
      <c r="N37" s="2">
        <v>0</v>
      </c>
      <c r="P37" s="5"/>
      <c r="Q37" s="5"/>
    </row>
    <row r="38" spans="1:17" x14ac:dyDescent="0.2">
      <c r="A38" s="5">
        <v>97</v>
      </c>
      <c r="B38" s="5">
        <v>1</v>
      </c>
      <c r="C38" s="2" t="s">
        <v>34</v>
      </c>
      <c r="D38" s="3">
        <v>25638.44</v>
      </c>
      <c r="E38" s="3">
        <v>6298.1200000000008</v>
      </c>
      <c r="F38" s="3">
        <v>0</v>
      </c>
      <c r="G38" s="3">
        <v>0</v>
      </c>
      <c r="H38" s="3">
        <f t="shared" si="1"/>
        <v>31936.559999999998</v>
      </c>
      <c r="J38" s="2">
        <v>0</v>
      </c>
      <c r="K38" s="2">
        <v>0</v>
      </c>
      <c r="L38" s="2">
        <v>0</v>
      </c>
      <c r="M38" s="2">
        <v>0</v>
      </c>
      <c r="N38" s="2">
        <v>0</v>
      </c>
      <c r="P38" s="5"/>
      <c r="Q38" s="5"/>
    </row>
    <row r="39" spans="1:17" x14ac:dyDescent="0.2">
      <c r="A39" s="5">
        <v>99</v>
      </c>
      <c r="B39" s="5">
        <v>1</v>
      </c>
      <c r="C39" s="2" t="s">
        <v>35</v>
      </c>
      <c r="D39" s="3">
        <v>5887.49</v>
      </c>
      <c r="E39" s="3">
        <v>949.01</v>
      </c>
      <c r="F39" s="3">
        <v>15875.78</v>
      </c>
      <c r="G39" s="3">
        <v>0</v>
      </c>
      <c r="H39" s="3">
        <f t="shared" si="1"/>
        <v>22712.28</v>
      </c>
      <c r="J39" s="2">
        <v>0</v>
      </c>
      <c r="K39" s="2">
        <v>0</v>
      </c>
      <c r="L39" s="2">
        <v>0</v>
      </c>
      <c r="M39" s="2">
        <v>0</v>
      </c>
      <c r="N39" s="2">
        <v>0</v>
      </c>
      <c r="P39" s="5"/>
      <c r="Q39" s="5"/>
    </row>
    <row r="40" spans="1:17" x14ac:dyDescent="0.2">
      <c r="A40" s="5">
        <v>100</v>
      </c>
      <c r="B40" s="5">
        <v>1</v>
      </c>
      <c r="C40" s="2" t="s">
        <v>36</v>
      </c>
      <c r="D40" s="3">
        <v>1413.1799999999998</v>
      </c>
      <c r="E40" s="3">
        <v>323.32</v>
      </c>
      <c r="F40" s="3">
        <v>4774.17</v>
      </c>
      <c r="G40" s="3">
        <v>0</v>
      </c>
      <c r="H40" s="3">
        <f t="shared" si="1"/>
        <v>6510.67</v>
      </c>
      <c r="J40" s="2">
        <v>0</v>
      </c>
      <c r="K40" s="2">
        <v>0</v>
      </c>
      <c r="L40" s="2">
        <v>0</v>
      </c>
      <c r="M40" s="2">
        <v>0</v>
      </c>
      <c r="N40" s="2">
        <v>0</v>
      </c>
      <c r="P40" s="5"/>
      <c r="Q40" s="5"/>
    </row>
    <row r="41" spans="1:17" x14ac:dyDescent="0.2">
      <c r="A41" s="5">
        <v>108</v>
      </c>
      <c r="B41" s="5">
        <v>1</v>
      </c>
      <c r="C41" s="2" t="s">
        <v>37</v>
      </c>
      <c r="D41" s="3">
        <v>17579.280000000002</v>
      </c>
      <c r="E41" s="3">
        <v>5487.2699999999995</v>
      </c>
      <c r="F41" s="3">
        <v>22431.899999999998</v>
      </c>
      <c r="G41" s="3">
        <v>0</v>
      </c>
      <c r="H41" s="3">
        <f t="shared" si="1"/>
        <v>45498.45</v>
      </c>
      <c r="J41" s="2">
        <v>0</v>
      </c>
      <c r="K41" s="2">
        <v>0</v>
      </c>
      <c r="L41" s="2">
        <v>0</v>
      </c>
      <c r="M41" s="2">
        <v>0</v>
      </c>
      <c r="N41" s="2">
        <v>0</v>
      </c>
      <c r="P41" s="5"/>
      <c r="Q41" s="5"/>
    </row>
    <row r="42" spans="1:17" x14ac:dyDescent="0.2">
      <c r="A42" s="5">
        <v>110</v>
      </c>
      <c r="B42" s="5">
        <v>1</v>
      </c>
      <c r="C42" s="2" t="s">
        <v>38</v>
      </c>
      <c r="D42" s="3">
        <v>11384.340000000002</v>
      </c>
      <c r="E42" s="3">
        <v>2201.5199999999995</v>
      </c>
      <c r="F42" s="3">
        <v>40867.490000000005</v>
      </c>
      <c r="G42" s="3">
        <v>2846.5200000000004</v>
      </c>
      <c r="H42" s="3">
        <f t="shared" si="1"/>
        <v>57299.87000000001</v>
      </c>
      <c r="J42" s="2">
        <v>0</v>
      </c>
      <c r="K42" s="2">
        <v>0</v>
      </c>
      <c r="L42" s="2">
        <v>0</v>
      </c>
      <c r="M42" s="2">
        <v>0</v>
      </c>
      <c r="N42" s="2">
        <v>0</v>
      </c>
      <c r="P42" s="5"/>
      <c r="Q42" s="5"/>
    </row>
    <row r="43" spans="1:17" x14ac:dyDescent="0.2">
      <c r="A43" s="5">
        <v>111</v>
      </c>
      <c r="B43" s="5">
        <v>1</v>
      </c>
      <c r="C43" s="2" t="s">
        <v>39</v>
      </c>
      <c r="D43" s="3">
        <v>11142.449999999999</v>
      </c>
      <c r="E43" s="3">
        <v>4761.1600000000008</v>
      </c>
      <c r="F43" s="3">
        <v>70778.959999999992</v>
      </c>
      <c r="G43" s="3">
        <v>0</v>
      </c>
      <c r="H43" s="3">
        <f t="shared" si="1"/>
        <v>86682.569999999992</v>
      </c>
      <c r="J43" s="2">
        <v>0</v>
      </c>
      <c r="K43" s="2">
        <v>0</v>
      </c>
      <c r="L43" s="2">
        <v>0</v>
      </c>
      <c r="M43" s="2">
        <v>0</v>
      </c>
      <c r="N43" s="2">
        <v>0</v>
      </c>
      <c r="P43" s="5"/>
      <c r="Q43" s="5"/>
    </row>
    <row r="44" spans="1:17" x14ac:dyDescent="0.2">
      <c r="A44" s="5">
        <v>112</v>
      </c>
      <c r="B44" s="5">
        <v>1</v>
      </c>
      <c r="C44" s="2" t="s">
        <v>40</v>
      </c>
      <c r="D44" s="3">
        <v>5608.9400000000005</v>
      </c>
      <c r="E44" s="3">
        <v>1102.6500000000001</v>
      </c>
      <c r="F44" s="3">
        <v>27464.799999999999</v>
      </c>
      <c r="G44" s="3">
        <v>979.8599999999999</v>
      </c>
      <c r="H44" s="3">
        <f t="shared" si="1"/>
        <v>35156.25</v>
      </c>
      <c r="J44" s="2">
        <v>0</v>
      </c>
      <c r="K44" s="2">
        <v>0</v>
      </c>
      <c r="L44" s="2">
        <v>0</v>
      </c>
      <c r="M44" s="2">
        <v>0</v>
      </c>
      <c r="N44" s="2">
        <v>0</v>
      </c>
      <c r="P44" s="5"/>
      <c r="Q44" s="5"/>
    </row>
    <row r="45" spans="1:17" x14ac:dyDescent="0.2">
      <c r="A45" s="5">
        <v>113</v>
      </c>
      <c r="B45" s="5">
        <v>1</v>
      </c>
      <c r="C45" s="2" t="s">
        <v>41</v>
      </c>
      <c r="D45" s="3">
        <v>1408.86</v>
      </c>
      <c r="E45" s="3">
        <v>406.47999999999996</v>
      </c>
      <c r="F45" s="3">
        <v>4695.63</v>
      </c>
      <c r="G45" s="3">
        <v>0</v>
      </c>
      <c r="H45" s="3">
        <f t="shared" si="1"/>
        <v>6510.97</v>
      </c>
      <c r="J45" s="2">
        <v>0</v>
      </c>
      <c r="K45" s="2">
        <v>0</v>
      </c>
      <c r="L45" s="2">
        <v>0</v>
      </c>
      <c r="M45" s="2">
        <v>0</v>
      </c>
      <c r="N45" s="2">
        <v>0</v>
      </c>
      <c r="P45" s="5"/>
      <c r="Q45" s="5"/>
    </row>
    <row r="46" spans="1:17" x14ac:dyDescent="0.2">
      <c r="A46" s="5">
        <v>115</v>
      </c>
      <c r="B46" s="5">
        <v>1</v>
      </c>
      <c r="C46" s="2" t="s">
        <v>42</v>
      </c>
      <c r="D46" s="3">
        <v>963.57999999999993</v>
      </c>
      <c r="E46" s="3">
        <v>231.47000000000003</v>
      </c>
      <c r="F46" s="3">
        <v>7445.73</v>
      </c>
      <c r="G46" s="3">
        <v>0</v>
      </c>
      <c r="H46" s="3">
        <f t="shared" si="1"/>
        <v>8640.7799999999988</v>
      </c>
      <c r="J46" s="2">
        <v>0</v>
      </c>
      <c r="K46" s="2">
        <v>0</v>
      </c>
      <c r="L46" s="2">
        <v>0</v>
      </c>
      <c r="M46" s="2">
        <v>0</v>
      </c>
      <c r="N46" s="2">
        <v>0</v>
      </c>
      <c r="P46" s="5"/>
      <c r="Q46" s="5"/>
    </row>
    <row r="47" spans="1:17" x14ac:dyDescent="0.2">
      <c r="A47" s="5">
        <v>116</v>
      </c>
      <c r="B47" s="5">
        <v>1</v>
      </c>
      <c r="C47" s="2" t="s">
        <v>43</v>
      </c>
      <c r="D47" s="3">
        <v>2326.85</v>
      </c>
      <c r="E47" s="3">
        <v>613.28</v>
      </c>
      <c r="F47" s="3">
        <v>5849.16</v>
      </c>
      <c r="G47" s="3">
        <v>1129.76</v>
      </c>
      <c r="H47" s="3">
        <f t="shared" si="1"/>
        <v>9919.0500000000011</v>
      </c>
      <c r="J47" s="2">
        <v>0</v>
      </c>
      <c r="K47" s="2">
        <v>0</v>
      </c>
      <c r="L47" s="2">
        <v>0</v>
      </c>
      <c r="M47" s="2">
        <v>0</v>
      </c>
      <c r="N47" s="2">
        <v>0</v>
      </c>
      <c r="P47" s="5"/>
      <c r="Q47" s="5"/>
    </row>
    <row r="48" spans="1:17" x14ac:dyDescent="0.2">
      <c r="A48" s="5">
        <v>118</v>
      </c>
      <c r="B48" s="5">
        <v>1</v>
      </c>
      <c r="C48" s="2" t="s">
        <v>44</v>
      </c>
      <c r="D48" s="3">
        <v>1118.17</v>
      </c>
      <c r="E48" s="3">
        <v>207.26</v>
      </c>
      <c r="F48" s="3">
        <v>534.63000000000011</v>
      </c>
      <c r="G48" s="3">
        <v>0</v>
      </c>
      <c r="H48" s="3">
        <f t="shared" si="1"/>
        <v>1860.0600000000002</v>
      </c>
      <c r="J48" s="2">
        <v>0</v>
      </c>
      <c r="K48" s="2">
        <v>0</v>
      </c>
      <c r="L48" s="2">
        <v>0</v>
      </c>
      <c r="M48" s="2">
        <v>0</v>
      </c>
      <c r="N48" s="2">
        <v>0</v>
      </c>
      <c r="P48" s="5"/>
      <c r="Q48" s="5"/>
    </row>
    <row r="49" spans="1:17" x14ac:dyDescent="0.2">
      <c r="A49" s="5">
        <v>129</v>
      </c>
      <c r="B49" s="5">
        <v>1</v>
      </c>
      <c r="C49" s="2" t="s">
        <v>45</v>
      </c>
      <c r="D49" s="3">
        <v>16703.72</v>
      </c>
      <c r="E49" s="3">
        <v>4629.6899999999996</v>
      </c>
      <c r="F49" s="3">
        <v>66918.94</v>
      </c>
      <c r="G49" s="3">
        <v>0</v>
      </c>
      <c r="H49" s="3">
        <f t="shared" si="1"/>
        <v>88252.35</v>
      </c>
      <c r="J49" s="2">
        <v>0</v>
      </c>
      <c r="K49" s="2">
        <v>0</v>
      </c>
      <c r="L49" s="2">
        <v>0</v>
      </c>
      <c r="M49" s="2">
        <v>0</v>
      </c>
      <c r="N49" s="2">
        <v>0</v>
      </c>
      <c r="P49" s="5"/>
      <c r="Q49" s="5"/>
    </row>
    <row r="50" spans="1:17" x14ac:dyDescent="0.2">
      <c r="A50" s="5">
        <v>138</v>
      </c>
      <c r="B50" s="5">
        <v>1</v>
      </c>
      <c r="C50" s="2" t="s">
        <v>46</v>
      </c>
      <c r="D50" s="3">
        <v>12510.81</v>
      </c>
      <c r="E50" s="3">
        <v>1705.7</v>
      </c>
      <c r="F50" s="3">
        <v>36816.149999999994</v>
      </c>
      <c r="G50" s="3">
        <v>3642.55</v>
      </c>
      <c r="H50" s="3">
        <f t="shared" si="1"/>
        <v>54675.21</v>
      </c>
      <c r="J50" s="2">
        <v>0</v>
      </c>
      <c r="K50" s="2">
        <v>0</v>
      </c>
      <c r="L50" s="2">
        <v>0</v>
      </c>
      <c r="M50" s="2">
        <v>0</v>
      </c>
      <c r="N50" s="2">
        <v>0</v>
      </c>
      <c r="P50" s="5"/>
      <c r="Q50" s="5"/>
    </row>
    <row r="51" spans="1:17" x14ac:dyDescent="0.2">
      <c r="A51" s="5">
        <v>139</v>
      </c>
      <c r="B51" s="5">
        <v>1</v>
      </c>
      <c r="C51" s="2" t="s">
        <v>47</v>
      </c>
      <c r="D51" s="3">
        <v>5107.17</v>
      </c>
      <c r="E51" s="3">
        <v>883.54</v>
      </c>
      <c r="F51" s="3">
        <v>19072.52</v>
      </c>
      <c r="G51" s="3">
        <v>0</v>
      </c>
      <c r="H51" s="3">
        <f t="shared" si="1"/>
        <v>25063.23</v>
      </c>
      <c r="J51" s="2">
        <v>0</v>
      </c>
      <c r="K51" s="2">
        <v>0</v>
      </c>
      <c r="L51" s="2">
        <v>0</v>
      </c>
      <c r="M51" s="2">
        <v>0</v>
      </c>
      <c r="N51" s="2">
        <v>0</v>
      </c>
      <c r="P51" s="5"/>
      <c r="Q51" s="5"/>
    </row>
    <row r="52" spans="1:17" x14ac:dyDescent="0.2">
      <c r="A52" s="5">
        <v>146</v>
      </c>
      <c r="B52" s="5">
        <v>1</v>
      </c>
      <c r="C52" s="2" t="s">
        <v>48</v>
      </c>
      <c r="D52" s="3">
        <v>7503.59</v>
      </c>
      <c r="E52" s="3">
        <v>1460.42</v>
      </c>
      <c r="F52" s="3">
        <v>0</v>
      </c>
      <c r="G52" s="3">
        <v>0</v>
      </c>
      <c r="H52" s="3">
        <f t="shared" si="1"/>
        <v>8964.01</v>
      </c>
      <c r="J52" s="2">
        <v>0</v>
      </c>
      <c r="K52" s="2">
        <v>0</v>
      </c>
      <c r="L52" s="2">
        <v>0</v>
      </c>
      <c r="M52" s="2">
        <v>0</v>
      </c>
      <c r="N52" s="2">
        <v>0</v>
      </c>
      <c r="P52" s="5"/>
      <c r="Q52" s="5"/>
    </row>
    <row r="53" spans="1:17" x14ac:dyDescent="0.2">
      <c r="A53" s="5">
        <v>150</v>
      </c>
      <c r="B53" s="5">
        <v>1</v>
      </c>
      <c r="C53" s="2" t="s">
        <v>49</v>
      </c>
      <c r="D53" s="3">
        <v>4036.5899999999997</v>
      </c>
      <c r="E53" s="3">
        <v>556.90000000000009</v>
      </c>
      <c r="F53" s="3">
        <v>14869.17</v>
      </c>
      <c r="G53" s="3">
        <v>0</v>
      </c>
      <c r="H53" s="3">
        <f t="shared" si="1"/>
        <v>19462.66</v>
      </c>
      <c r="J53" s="2">
        <v>0</v>
      </c>
      <c r="K53" s="2">
        <v>0</v>
      </c>
      <c r="L53" s="2">
        <v>0</v>
      </c>
      <c r="M53" s="2">
        <v>0</v>
      </c>
      <c r="N53" s="2">
        <v>0</v>
      </c>
      <c r="P53" s="5"/>
      <c r="Q53" s="5"/>
    </row>
    <row r="54" spans="1:17" x14ac:dyDescent="0.2">
      <c r="A54" s="5">
        <v>152</v>
      </c>
      <c r="B54" s="5">
        <v>1</v>
      </c>
      <c r="C54" s="2" t="s">
        <v>50</v>
      </c>
      <c r="D54" s="3">
        <v>262216.06</v>
      </c>
      <c r="E54" s="3">
        <v>74618.75</v>
      </c>
      <c r="F54" s="3">
        <v>807033.97000000009</v>
      </c>
      <c r="G54" s="3">
        <v>150404.6</v>
      </c>
      <c r="H54" s="3">
        <f t="shared" si="1"/>
        <v>1294273.3800000001</v>
      </c>
      <c r="J54" s="2">
        <v>0</v>
      </c>
      <c r="K54" s="2">
        <v>0</v>
      </c>
      <c r="L54" s="2">
        <v>0</v>
      </c>
      <c r="M54" s="2">
        <v>0</v>
      </c>
      <c r="N54" s="2">
        <v>0</v>
      </c>
      <c r="P54" s="5"/>
      <c r="Q54" s="5"/>
    </row>
    <row r="55" spans="1:17" x14ac:dyDescent="0.2">
      <c r="A55" s="5">
        <v>162</v>
      </c>
      <c r="B55" s="5">
        <v>1</v>
      </c>
      <c r="C55" s="2" t="s">
        <v>51</v>
      </c>
      <c r="D55" s="3">
        <v>25644.84</v>
      </c>
      <c r="E55" s="3">
        <v>3350.09</v>
      </c>
      <c r="F55" s="3">
        <v>58900.5</v>
      </c>
      <c r="G55" s="3">
        <v>0</v>
      </c>
      <c r="H55" s="3">
        <f t="shared" si="1"/>
        <v>87895.43</v>
      </c>
      <c r="J55" s="2">
        <v>0</v>
      </c>
      <c r="K55" s="2">
        <v>0</v>
      </c>
      <c r="L55" s="2">
        <v>0</v>
      </c>
      <c r="M55" s="2">
        <v>0</v>
      </c>
      <c r="N55" s="2">
        <v>0</v>
      </c>
      <c r="P55" s="5"/>
      <c r="Q55" s="5"/>
    </row>
    <row r="56" spans="1:17" x14ac:dyDescent="0.2">
      <c r="A56" s="5">
        <v>166</v>
      </c>
      <c r="B56" s="5">
        <v>1</v>
      </c>
      <c r="C56" s="2" t="s">
        <v>52</v>
      </c>
      <c r="D56" s="3">
        <v>0</v>
      </c>
      <c r="E56" s="3">
        <v>0</v>
      </c>
      <c r="F56" s="3">
        <v>2820.5299999999997</v>
      </c>
      <c r="G56" s="3">
        <v>0</v>
      </c>
      <c r="H56" s="3">
        <f t="shared" si="1"/>
        <v>2820.5299999999997</v>
      </c>
      <c r="J56" s="2">
        <v>24694.49</v>
      </c>
      <c r="K56" s="2">
        <v>0</v>
      </c>
      <c r="L56" s="2">
        <v>0</v>
      </c>
      <c r="M56" s="2">
        <v>0</v>
      </c>
      <c r="N56" s="2">
        <v>24694.49</v>
      </c>
      <c r="P56" s="5"/>
      <c r="Q56" s="5"/>
    </row>
    <row r="57" spans="1:17" x14ac:dyDescent="0.2">
      <c r="A57" s="5">
        <v>173</v>
      </c>
      <c r="B57" s="5">
        <v>1</v>
      </c>
      <c r="C57" s="2" t="s">
        <v>53</v>
      </c>
      <c r="D57" s="3">
        <v>20218.07</v>
      </c>
      <c r="E57" s="3">
        <v>4223.97</v>
      </c>
      <c r="F57" s="3">
        <v>0</v>
      </c>
      <c r="G57" s="3">
        <v>0</v>
      </c>
      <c r="H57" s="3">
        <f t="shared" si="1"/>
        <v>24442.04</v>
      </c>
      <c r="J57" s="2">
        <v>0</v>
      </c>
      <c r="K57" s="2">
        <v>0</v>
      </c>
      <c r="L57" s="2">
        <v>0</v>
      </c>
      <c r="M57" s="2">
        <v>0</v>
      </c>
      <c r="N57" s="2">
        <v>0</v>
      </c>
      <c r="P57" s="5"/>
      <c r="Q57" s="5"/>
    </row>
    <row r="58" spans="1:17" x14ac:dyDescent="0.2">
      <c r="A58" s="5">
        <v>177</v>
      </c>
      <c r="B58" s="5">
        <v>1</v>
      </c>
      <c r="C58" s="2" t="s">
        <v>54</v>
      </c>
      <c r="D58" s="3">
        <v>16454.439999999999</v>
      </c>
      <c r="E58" s="3">
        <v>2586.9499999999998</v>
      </c>
      <c r="F58" s="3">
        <v>35697.31</v>
      </c>
      <c r="G58" s="3">
        <v>0</v>
      </c>
      <c r="H58" s="3">
        <f t="shared" si="1"/>
        <v>54738.7</v>
      </c>
      <c r="J58" s="2">
        <v>0</v>
      </c>
      <c r="K58" s="2">
        <v>0</v>
      </c>
      <c r="L58" s="2">
        <v>0</v>
      </c>
      <c r="M58" s="2">
        <v>0</v>
      </c>
      <c r="N58" s="2">
        <v>0</v>
      </c>
      <c r="P58" s="5"/>
      <c r="Q58" s="5"/>
    </row>
    <row r="59" spans="1:17" x14ac:dyDescent="0.2">
      <c r="A59" s="5">
        <v>181</v>
      </c>
      <c r="B59" s="5">
        <v>1</v>
      </c>
      <c r="C59" s="2" t="s">
        <v>55</v>
      </c>
      <c r="D59" s="3">
        <v>18747.14</v>
      </c>
      <c r="E59" s="3">
        <v>3103.1200000000003</v>
      </c>
      <c r="F59" s="3">
        <v>35621.51</v>
      </c>
      <c r="G59" s="3">
        <v>10008.76</v>
      </c>
      <c r="H59" s="3">
        <f t="shared" si="1"/>
        <v>67480.53</v>
      </c>
      <c r="J59" s="2">
        <v>0</v>
      </c>
      <c r="K59" s="2">
        <v>0</v>
      </c>
      <c r="L59" s="2">
        <v>0</v>
      </c>
      <c r="M59" s="2">
        <v>0</v>
      </c>
      <c r="N59" s="2">
        <v>0</v>
      </c>
      <c r="P59" s="5"/>
      <c r="Q59" s="5"/>
    </row>
    <row r="60" spans="1:17" x14ac:dyDescent="0.2">
      <c r="A60" s="5">
        <v>182</v>
      </c>
      <c r="B60" s="5">
        <v>1</v>
      </c>
      <c r="C60" s="2" t="s">
        <v>56</v>
      </c>
      <c r="D60" s="3">
        <v>2536.5100000000002</v>
      </c>
      <c r="E60" s="3">
        <v>18.570000000000004</v>
      </c>
      <c r="F60" s="3">
        <v>8496.23</v>
      </c>
      <c r="G60" s="3">
        <v>3595.9099999999994</v>
      </c>
      <c r="H60" s="3">
        <f t="shared" si="1"/>
        <v>14647.22</v>
      </c>
      <c r="J60" s="2">
        <v>34190.39</v>
      </c>
      <c r="K60" s="2">
        <v>250.44</v>
      </c>
      <c r="L60" s="2">
        <v>118059.01</v>
      </c>
      <c r="M60" s="2">
        <v>48471.82</v>
      </c>
      <c r="N60" s="2">
        <v>200971.66</v>
      </c>
      <c r="P60" s="5"/>
      <c r="Q60" s="5"/>
    </row>
    <row r="61" spans="1:17" x14ac:dyDescent="0.2">
      <c r="A61" s="5">
        <v>186</v>
      </c>
      <c r="B61" s="5">
        <v>1</v>
      </c>
      <c r="C61" s="2" t="s">
        <v>57</v>
      </c>
      <c r="D61" s="3">
        <v>482.14000000000004</v>
      </c>
      <c r="E61" s="3">
        <v>155.86000000000001</v>
      </c>
      <c r="F61" s="3">
        <v>2915.7999999999997</v>
      </c>
      <c r="G61" s="3">
        <v>0</v>
      </c>
      <c r="H61" s="3">
        <f t="shared" si="1"/>
        <v>3553.7999999999997</v>
      </c>
      <c r="J61" s="2">
        <v>0</v>
      </c>
      <c r="K61" s="2">
        <v>0</v>
      </c>
      <c r="L61" s="2">
        <v>0</v>
      </c>
      <c r="M61" s="2">
        <v>0</v>
      </c>
      <c r="N61" s="2">
        <v>0</v>
      </c>
      <c r="P61" s="5"/>
      <c r="Q61" s="5"/>
    </row>
    <row r="62" spans="1:17" x14ac:dyDescent="0.2">
      <c r="A62" s="5">
        <v>191</v>
      </c>
      <c r="B62" s="5">
        <v>1</v>
      </c>
      <c r="C62" s="2" t="s">
        <v>58</v>
      </c>
      <c r="D62" s="3">
        <v>41.8</v>
      </c>
      <c r="E62" s="3">
        <v>10.56</v>
      </c>
      <c r="F62" s="3">
        <v>77.2</v>
      </c>
      <c r="G62" s="3">
        <v>17.440000000000001</v>
      </c>
      <c r="H62" s="3">
        <f t="shared" si="1"/>
        <v>147</v>
      </c>
      <c r="J62" s="2">
        <v>0</v>
      </c>
      <c r="K62" s="2">
        <v>0</v>
      </c>
      <c r="L62" s="2">
        <v>0</v>
      </c>
      <c r="M62" s="2">
        <v>0</v>
      </c>
      <c r="N62" s="2">
        <v>0</v>
      </c>
      <c r="P62" s="5"/>
      <c r="Q62" s="5"/>
    </row>
    <row r="63" spans="1:17" x14ac:dyDescent="0.2">
      <c r="A63" s="5">
        <v>192</v>
      </c>
      <c r="B63" s="5">
        <v>1</v>
      </c>
      <c r="C63" s="2" t="s">
        <v>59</v>
      </c>
      <c r="D63" s="3">
        <v>9523.49</v>
      </c>
      <c r="E63" s="3">
        <v>2004.0300000000002</v>
      </c>
      <c r="F63" s="3">
        <v>53537.63</v>
      </c>
      <c r="G63" s="3">
        <v>1625.41</v>
      </c>
      <c r="H63" s="3">
        <f t="shared" si="1"/>
        <v>66690.559999999998</v>
      </c>
      <c r="J63" s="2">
        <v>0</v>
      </c>
      <c r="K63" s="2">
        <v>0</v>
      </c>
      <c r="L63" s="2">
        <v>0</v>
      </c>
      <c r="M63" s="2">
        <v>0</v>
      </c>
      <c r="N63" s="2">
        <v>0</v>
      </c>
      <c r="P63" s="5"/>
      <c r="Q63" s="5"/>
    </row>
    <row r="64" spans="1:17" x14ac:dyDescent="0.2">
      <c r="A64" s="5">
        <v>194</v>
      </c>
      <c r="B64" s="5">
        <v>1</v>
      </c>
      <c r="C64" s="2" t="s">
        <v>60</v>
      </c>
      <c r="D64" s="3">
        <v>2710.6000000000004</v>
      </c>
      <c r="E64" s="3">
        <v>893.91999999999985</v>
      </c>
      <c r="F64" s="3">
        <v>12596.31</v>
      </c>
      <c r="G64" s="3">
        <v>0</v>
      </c>
      <c r="H64" s="3">
        <f t="shared" si="1"/>
        <v>16200.83</v>
      </c>
      <c r="J64" s="2">
        <v>0</v>
      </c>
      <c r="K64" s="2">
        <v>0</v>
      </c>
      <c r="L64" s="2">
        <v>0</v>
      </c>
      <c r="M64" s="2">
        <v>0</v>
      </c>
      <c r="N64" s="2">
        <v>0</v>
      </c>
      <c r="P64" s="5"/>
      <c r="Q64" s="5"/>
    </row>
    <row r="65" spans="1:17" x14ac:dyDescent="0.2">
      <c r="A65" s="5">
        <v>195</v>
      </c>
      <c r="B65" s="5">
        <v>1</v>
      </c>
      <c r="C65" s="2" t="s">
        <v>61</v>
      </c>
      <c r="D65" s="3">
        <v>3330.75</v>
      </c>
      <c r="E65" s="3">
        <v>614.6400000000001</v>
      </c>
      <c r="F65" s="3">
        <v>10631.330000000002</v>
      </c>
      <c r="G65" s="3">
        <v>0</v>
      </c>
      <c r="H65" s="3">
        <f t="shared" si="1"/>
        <v>14576.720000000001</v>
      </c>
      <c r="J65" s="2">
        <v>0</v>
      </c>
      <c r="K65" s="2">
        <v>0</v>
      </c>
      <c r="L65" s="2">
        <v>0</v>
      </c>
      <c r="M65" s="2">
        <v>0</v>
      </c>
      <c r="N65" s="2">
        <v>0</v>
      </c>
      <c r="P65" s="5"/>
      <c r="Q65" s="5"/>
    </row>
    <row r="66" spans="1:17" x14ac:dyDescent="0.2">
      <c r="A66" s="5">
        <v>196</v>
      </c>
      <c r="B66" s="5">
        <v>1</v>
      </c>
      <c r="C66" s="2" t="s">
        <v>62</v>
      </c>
      <c r="D66" s="3">
        <v>3599.37</v>
      </c>
      <c r="E66" s="3">
        <v>284.82</v>
      </c>
      <c r="F66" s="3">
        <v>2854.35</v>
      </c>
      <c r="G66" s="3">
        <v>520.44000000000005</v>
      </c>
      <c r="H66" s="3">
        <f t="shared" si="1"/>
        <v>7258.98</v>
      </c>
      <c r="J66" s="2">
        <v>0</v>
      </c>
      <c r="K66" s="2">
        <v>0</v>
      </c>
      <c r="L66" s="2">
        <v>0</v>
      </c>
      <c r="M66" s="2">
        <v>0</v>
      </c>
      <c r="N66" s="2">
        <v>0</v>
      </c>
      <c r="P66" s="5"/>
      <c r="Q66" s="5"/>
    </row>
    <row r="67" spans="1:17" x14ac:dyDescent="0.2">
      <c r="A67" s="5">
        <v>197</v>
      </c>
      <c r="B67" s="5">
        <v>1</v>
      </c>
      <c r="C67" s="2" t="s">
        <v>63</v>
      </c>
      <c r="D67" s="3">
        <v>184.03</v>
      </c>
      <c r="E67" s="3">
        <v>44.769999999999996</v>
      </c>
      <c r="F67" s="3">
        <v>439.26</v>
      </c>
      <c r="G67" s="3">
        <v>39.950000000000003</v>
      </c>
      <c r="H67" s="3">
        <f t="shared" si="1"/>
        <v>708.01</v>
      </c>
      <c r="J67" s="2">
        <v>0</v>
      </c>
      <c r="K67" s="2">
        <v>0</v>
      </c>
      <c r="L67" s="2">
        <v>0</v>
      </c>
      <c r="M67" s="2">
        <v>0</v>
      </c>
      <c r="N67" s="2">
        <v>0</v>
      </c>
      <c r="P67" s="5"/>
      <c r="Q67" s="5"/>
    </row>
    <row r="68" spans="1:17" x14ac:dyDescent="0.2">
      <c r="A68" s="5">
        <v>199</v>
      </c>
      <c r="B68" s="5">
        <v>1</v>
      </c>
      <c r="C68" s="2" t="s">
        <v>64</v>
      </c>
      <c r="D68" s="3">
        <v>327.44</v>
      </c>
      <c r="E68" s="3">
        <v>64.039999999999992</v>
      </c>
      <c r="F68" s="3">
        <v>469.18</v>
      </c>
      <c r="G68" s="3">
        <v>82.09</v>
      </c>
      <c r="H68" s="3">
        <f t="shared" si="1"/>
        <v>942.75000000000011</v>
      </c>
      <c r="J68" s="2">
        <v>0</v>
      </c>
      <c r="K68" s="2">
        <v>0</v>
      </c>
      <c r="L68" s="2">
        <v>0</v>
      </c>
      <c r="M68" s="2">
        <v>0</v>
      </c>
      <c r="N68" s="2">
        <v>0</v>
      </c>
      <c r="P68" s="5"/>
      <c r="Q68" s="5"/>
    </row>
    <row r="69" spans="1:17" x14ac:dyDescent="0.2">
      <c r="A69" s="5">
        <v>200</v>
      </c>
      <c r="B69" s="5">
        <v>1</v>
      </c>
      <c r="C69" s="2" t="s">
        <v>65</v>
      </c>
      <c r="D69" s="3">
        <v>13446.970000000001</v>
      </c>
      <c r="E69" s="3">
        <v>2538.06</v>
      </c>
      <c r="F69" s="3">
        <v>29961.549999999996</v>
      </c>
      <c r="G69" s="3">
        <v>0</v>
      </c>
      <c r="H69" s="3">
        <f t="shared" si="1"/>
        <v>45946.579999999994</v>
      </c>
      <c r="J69" s="2">
        <v>0</v>
      </c>
      <c r="K69" s="2">
        <v>0</v>
      </c>
      <c r="L69" s="2">
        <v>0</v>
      </c>
      <c r="M69" s="2">
        <v>0</v>
      </c>
      <c r="N69" s="2">
        <v>0</v>
      </c>
      <c r="P69" s="5"/>
      <c r="Q69" s="5"/>
    </row>
    <row r="70" spans="1:17" x14ac:dyDescent="0.2">
      <c r="A70" s="5">
        <v>203</v>
      </c>
      <c r="B70" s="5">
        <v>1</v>
      </c>
      <c r="C70" s="2" t="s">
        <v>66</v>
      </c>
      <c r="D70" s="3">
        <v>11734.82</v>
      </c>
      <c r="E70" s="3">
        <v>2645.9799999999996</v>
      </c>
      <c r="F70" s="3">
        <v>23632.55</v>
      </c>
      <c r="G70" s="3">
        <v>0</v>
      </c>
      <c r="H70" s="3">
        <f t="shared" si="1"/>
        <v>38013.35</v>
      </c>
      <c r="J70" s="2">
        <v>0</v>
      </c>
      <c r="K70" s="2">
        <v>0</v>
      </c>
      <c r="L70" s="2">
        <v>0</v>
      </c>
      <c r="M70" s="2">
        <v>0</v>
      </c>
      <c r="N70" s="2">
        <v>0</v>
      </c>
      <c r="P70" s="5"/>
      <c r="Q70" s="5"/>
    </row>
    <row r="71" spans="1:17" x14ac:dyDescent="0.2">
      <c r="A71" s="5">
        <v>204</v>
      </c>
      <c r="B71" s="5">
        <v>1</v>
      </c>
      <c r="C71" s="2" t="s">
        <v>67</v>
      </c>
      <c r="D71" s="3">
        <v>6462.98</v>
      </c>
      <c r="E71" s="3">
        <v>2953.2299999999996</v>
      </c>
      <c r="F71" s="3">
        <v>77128.08</v>
      </c>
      <c r="G71" s="3">
        <v>0</v>
      </c>
      <c r="H71" s="3">
        <f t="shared" si="1"/>
        <v>86544.290000000008</v>
      </c>
      <c r="J71" s="2">
        <v>0</v>
      </c>
      <c r="K71" s="2">
        <v>0</v>
      </c>
      <c r="L71" s="2">
        <v>0</v>
      </c>
      <c r="M71" s="2">
        <v>0</v>
      </c>
      <c r="N71" s="2">
        <v>0</v>
      </c>
      <c r="P71" s="5"/>
      <c r="Q71" s="5"/>
    </row>
    <row r="72" spans="1:17" x14ac:dyDescent="0.2">
      <c r="A72" s="5">
        <v>206</v>
      </c>
      <c r="B72" s="5">
        <v>1</v>
      </c>
      <c r="C72" s="2" t="s">
        <v>68</v>
      </c>
      <c r="D72" s="3">
        <v>6899.19</v>
      </c>
      <c r="E72" s="3">
        <v>2089.9</v>
      </c>
      <c r="F72" s="3">
        <v>31189.63</v>
      </c>
      <c r="G72" s="3">
        <v>3790.73</v>
      </c>
      <c r="H72" s="3">
        <f t="shared" si="1"/>
        <v>43969.450000000004</v>
      </c>
      <c r="J72" s="2">
        <v>0</v>
      </c>
      <c r="K72" s="2">
        <v>0</v>
      </c>
      <c r="L72" s="2">
        <v>0</v>
      </c>
      <c r="M72" s="2">
        <v>0</v>
      </c>
      <c r="N72" s="2">
        <v>0</v>
      </c>
      <c r="P72" s="5"/>
      <c r="Q72" s="5"/>
    </row>
    <row r="73" spans="1:17" x14ac:dyDescent="0.2">
      <c r="A73" s="5">
        <v>207</v>
      </c>
      <c r="B73" s="5">
        <v>1</v>
      </c>
      <c r="C73" s="2" t="s">
        <v>69</v>
      </c>
      <c r="D73" s="3">
        <v>3849.44</v>
      </c>
      <c r="E73" s="3">
        <v>500.1</v>
      </c>
      <c r="F73" s="3">
        <v>0</v>
      </c>
      <c r="G73" s="3">
        <v>0</v>
      </c>
      <c r="H73" s="3">
        <f t="shared" ref="H73:H136" si="2">SUM(D73:G73)</f>
        <v>4349.54</v>
      </c>
      <c r="J73" s="2">
        <v>0</v>
      </c>
      <c r="K73" s="2">
        <v>0</v>
      </c>
      <c r="L73" s="2">
        <v>0</v>
      </c>
      <c r="M73" s="2">
        <v>0</v>
      </c>
      <c r="N73" s="2">
        <v>0</v>
      </c>
      <c r="P73" s="5"/>
      <c r="Q73" s="5"/>
    </row>
    <row r="74" spans="1:17" x14ac:dyDescent="0.2">
      <c r="A74" s="5">
        <v>208</v>
      </c>
      <c r="B74" s="5">
        <v>1</v>
      </c>
      <c r="C74" s="2" t="s">
        <v>70</v>
      </c>
      <c r="D74" s="3">
        <v>2813.23</v>
      </c>
      <c r="E74" s="3">
        <v>405.41</v>
      </c>
      <c r="F74" s="3">
        <v>0</v>
      </c>
      <c r="G74" s="3">
        <v>0</v>
      </c>
      <c r="H74" s="3">
        <f t="shared" si="2"/>
        <v>3218.64</v>
      </c>
      <c r="J74" s="2">
        <v>0</v>
      </c>
      <c r="K74" s="2">
        <v>0</v>
      </c>
      <c r="L74" s="2">
        <v>0</v>
      </c>
      <c r="M74" s="2">
        <v>0</v>
      </c>
      <c r="N74" s="2">
        <v>0</v>
      </c>
      <c r="P74" s="5"/>
      <c r="Q74" s="5"/>
    </row>
    <row r="75" spans="1:17" x14ac:dyDescent="0.2">
      <c r="A75" s="5">
        <v>213</v>
      </c>
      <c r="B75" s="5">
        <v>1</v>
      </c>
      <c r="C75" s="2" t="s">
        <v>71</v>
      </c>
      <c r="D75" s="3">
        <v>5679.26</v>
      </c>
      <c r="E75" s="3">
        <v>982.97</v>
      </c>
      <c r="F75" s="3">
        <v>25369.75</v>
      </c>
      <c r="G75" s="3">
        <v>1168.9100000000001</v>
      </c>
      <c r="H75" s="3">
        <f t="shared" si="2"/>
        <v>33200.89</v>
      </c>
      <c r="J75" s="2">
        <v>0</v>
      </c>
      <c r="K75" s="2">
        <v>0</v>
      </c>
      <c r="L75" s="2">
        <v>0</v>
      </c>
      <c r="M75" s="2">
        <v>0</v>
      </c>
      <c r="N75" s="2">
        <v>0</v>
      </c>
      <c r="P75" s="5"/>
      <c r="Q75" s="5"/>
    </row>
    <row r="76" spans="1:17" x14ac:dyDescent="0.2">
      <c r="A76" s="5">
        <v>227</v>
      </c>
      <c r="B76" s="5">
        <v>1</v>
      </c>
      <c r="C76" s="2" t="s">
        <v>72</v>
      </c>
      <c r="D76" s="3">
        <v>5259.6500000000005</v>
      </c>
      <c r="E76" s="3">
        <v>1553.29</v>
      </c>
      <c r="F76" s="3">
        <v>28964.58</v>
      </c>
      <c r="G76" s="3">
        <v>0</v>
      </c>
      <c r="H76" s="3">
        <f t="shared" si="2"/>
        <v>35777.520000000004</v>
      </c>
      <c r="J76" s="2">
        <v>0</v>
      </c>
      <c r="K76" s="2">
        <v>0</v>
      </c>
      <c r="L76" s="2">
        <v>0</v>
      </c>
      <c r="M76" s="2">
        <v>0</v>
      </c>
      <c r="N76" s="2">
        <v>0</v>
      </c>
      <c r="P76" s="5"/>
      <c r="Q76" s="5"/>
    </row>
    <row r="77" spans="1:17" x14ac:dyDescent="0.2">
      <c r="A77" s="5">
        <v>229</v>
      </c>
      <c r="B77" s="5">
        <v>1</v>
      </c>
      <c r="C77" s="2" t="s">
        <v>73</v>
      </c>
      <c r="D77" s="3">
        <v>7272.2</v>
      </c>
      <c r="E77" s="3">
        <v>1131.3</v>
      </c>
      <c r="F77" s="3">
        <v>13514.54</v>
      </c>
      <c r="G77" s="3">
        <v>0</v>
      </c>
      <c r="H77" s="3">
        <f t="shared" si="2"/>
        <v>21918.04</v>
      </c>
      <c r="J77" s="2">
        <v>0</v>
      </c>
      <c r="K77" s="2">
        <v>0</v>
      </c>
      <c r="L77" s="2">
        <v>0</v>
      </c>
      <c r="M77" s="2">
        <v>0</v>
      </c>
      <c r="N77" s="2">
        <v>0</v>
      </c>
      <c r="P77" s="5"/>
      <c r="Q77" s="5"/>
    </row>
    <row r="78" spans="1:17" x14ac:dyDescent="0.2">
      <c r="A78" s="5">
        <v>238</v>
      </c>
      <c r="B78" s="5">
        <v>1</v>
      </c>
      <c r="C78" s="2" t="s">
        <v>74</v>
      </c>
      <c r="D78" s="3">
        <v>7512.74</v>
      </c>
      <c r="E78" s="3">
        <v>893.04</v>
      </c>
      <c r="F78" s="3">
        <v>18141.349999999999</v>
      </c>
      <c r="G78" s="3">
        <v>0</v>
      </c>
      <c r="H78" s="3">
        <f t="shared" si="2"/>
        <v>26547.129999999997</v>
      </c>
      <c r="J78" s="2">
        <v>0</v>
      </c>
      <c r="K78" s="2">
        <v>0</v>
      </c>
      <c r="L78" s="2">
        <v>0</v>
      </c>
      <c r="M78" s="2">
        <v>0</v>
      </c>
      <c r="N78" s="2">
        <v>0</v>
      </c>
      <c r="P78" s="5"/>
      <c r="Q78" s="5"/>
    </row>
    <row r="79" spans="1:17" x14ac:dyDescent="0.2">
      <c r="A79" s="5">
        <v>239</v>
      </c>
      <c r="B79" s="5">
        <v>1</v>
      </c>
      <c r="C79" s="2" t="s">
        <v>75</v>
      </c>
      <c r="D79" s="3">
        <v>25546.229999999996</v>
      </c>
      <c r="E79" s="3">
        <v>3578.58</v>
      </c>
      <c r="F79" s="3">
        <v>0</v>
      </c>
      <c r="G79" s="3">
        <v>0</v>
      </c>
      <c r="H79" s="3">
        <f t="shared" si="2"/>
        <v>29124.809999999998</v>
      </c>
      <c r="J79" s="2">
        <v>0</v>
      </c>
      <c r="K79" s="2">
        <v>0</v>
      </c>
      <c r="L79" s="2">
        <v>0</v>
      </c>
      <c r="M79" s="2">
        <v>0</v>
      </c>
      <c r="N79" s="2">
        <v>0</v>
      </c>
      <c r="P79" s="5"/>
      <c r="Q79" s="5"/>
    </row>
    <row r="80" spans="1:17" x14ac:dyDescent="0.2">
      <c r="A80" s="5">
        <v>241</v>
      </c>
      <c r="B80" s="5">
        <v>1</v>
      </c>
      <c r="C80" s="2" t="s">
        <v>76</v>
      </c>
      <c r="D80" s="3">
        <v>19494.580000000002</v>
      </c>
      <c r="E80" s="3">
        <v>2810.67</v>
      </c>
      <c r="F80" s="3">
        <v>41679.850000000006</v>
      </c>
      <c r="G80" s="3">
        <v>4129.6200000000008</v>
      </c>
      <c r="H80" s="3">
        <f t="shared" si="2"/>
        <v>68114.720000000001</v>
      </c>
      <c r="J80" s="2">
        <v>0</v>
      </c>
      <c r="K80" s="2">
        <v>0</v>
      </c>
      <c r="L80" s="2">
        <v>0</v>
      </c>
      <c r="M80" s="2">
        <v>0</v>
      </c>
      <c r="N80" s="2">
        <v>0</v>
      </c>
      <c r="P80" s="5"/>
      <c r="Q80" s="5"/>
    </row>
    <row r="81" spans="1:17" x14ac:dyDescent="0.2">
      <c r="A81" s="5">
        <v>242</v>
      </c>
      <c r="B81" s="5">
        <v>1</v>
      </c>
      <c r="C81" s="2" t="s">
        <v>77</v>
      </c>
      <c r="D81" s="3">
        <v>9144.49</v>
      </c>
      <c r="E81" s="3">
        <v>638.35</v>
      </c>
      <c r="F81" s="3">
        <v>15049.85</v>
      </c>
      <c r="G81" s="3">
        <v>0</v>
      </c>
      <c r="H81" s="3">
        <f t="shared" si="2"/>
        <v>24832.690000000002</v>
      </c>
      <c r="J81" s="2">
        <v>0</v>
      </c>
      <c r="K81" s="2">
        <v>0</v>
      </c>
      <c r="L81" s="2">
        <v>0</v>
      </c>
      <c r="M81" s="2">
        <v>0</v>
      </c>
      <c r="N81" s="2">
        <v>0</v>
      </c>
      <c r="P81" s="5"/>
      <c r="Q81" s="5"/>
    </row>
    <row r="82" spans="1:17" x14ac:dyDescent="0.2">
      <c r="A82" s="5">
        <v>252</v>
      </c>
      <c r="B82" s="5">
        <v>1</v>
      </c>
      <c r="C82" s="2" t="s">
        <v>78</v>
      </c>
      <c r="D82" s="3">
        <v>6664.42</v>
      </c>
      <c r="E82" s="3">
        <v>2921.2999999999993</v>
      </c>
      <c r="F82" s="3">
        <v>25466.85</v>
      </c>
      <c r="G82" s="3">
        <v>2476.9100000000003</v>
      </c>
      <c r="H82" s="3">
        <f t="shared" si="2"/>
        <v>37529.480000000003</v>
      </c>
      <c r="J82" s="2">
        <v>0</v>
      </c>
      <c r="K82" s="2">
        <v>0</v>
      </c>
      <c r="L82" s="2">
        <v>0</v>
      </c>
      <c r="M82" s="2">
        <v>0</v>
      </c>
      <c r="N82" s="2">
        <v>0</v>
      </c>
      <c r="P82" s="5"/>
      <c r="Q82" s="5"/>
    </row>
    <row r="83" spans="1:17" x14ac:dyDescent="0.2">
      <c r="A83" s="5">
        <v>253</v>
      </c>
      <c r="B83" s="5">
        <v>1</v>
      </c>
      <c r="C83" s="2" t="s">
        <v>79</v>
      </c>
      <c r="D83" s="3">
        <v>4672.5600000000004</v>
      </c>
      <c r="E83" s="3">
        <v>1021.91</v>
      </c>
      <c r="F83" s="3">
        <v>12153.98</v>
      </c>
      <c r="G83" s="3">
        <v>0</v>
      </c>
      <c r="H83" s="3">
        <f t="shared" si="2"/>
        <v>17848.45</v>
      </c>
      <c r="J83" s="2">
        <v>0</v>
      </c>
      <c r="K83" s="2">
        <v>0</v>
      </c>
      <c r="L83" s="2">
        <v>0</v>
      </c>
      <c r="M83" s="2">
        <v>0</v>
      </c>
      <c r="N83" s="2">
        <v>0</v>
      </c>
      <c r="P83" s="5"/>
      <c r="Q83" s="5"/>
    </row>
    <row r="84" spans="1:17" x14ac:dyDescent="0.2">
      <c r="A84" s="5">
        <v>255</v>
      </c>
      <c r="B84" s="5">
        <v>1</v>
      </c>
      <c r="C84" s="2" t="s">
        <v>80</v>
      </c>
      <c r="D84" s="3">
        <v>13090.42</v>
      </c>
      <c r="E84" s="3">
        <v>3310.5000000000005</v>
      </c>
      <c r="F84" s="3">
        <v>16628.100000000002</v>
      </c>
      <c r="G84" s="3">
        <v>0</v>
      </c>
      <c r="H84" s="3">
        <f t="shared" si="2"/>
        <v>33029.020000000004</v>
      </c>
      <c r="J84" s="2">
        <v>0</v>
      </c>
      <c r="K84" s="2">
        <v>0</v>
      </c>
      <c r="L84" s="2">
        <v>0</v>
      </c>
      <c r="M84" s="2">
        <v>0</v>
      </c>
      <c r="N84" s="2">
        <v>0</v>
      </c>
      <c r="P84" s="5"/>
      <c r="Q84" s="5"/>
    </row>
    <row r="85" spans="1:17" x14ac:dyDescent="0.2">
      <c r="A85" s="5">
        <v>256</v>
      </c>
      <c r="B85" s="5">
        <v>1</v>
      </c>
      <c r="C85" s="2" t="s">
        <v>81</v>
      </c>
      <c r="D85" s="3">
        <v>13808.27</v>
      </c>
      <c r="E85" s="3">
        <v>2968.94</v>
      </c>
      <c r="F85" s="3">
        <v>12102.980000000001</v>
      </c>
      <c r="G85" s="3">
        <v>22347.460000000003</v>
      </c>
      <c r="H85" s="3">
        <f t="shared" si="2"/>
        <v>51227.650000000009</v>
      </c>
      <c r="J85" s="2">
        <v>0</v>
      </c>
      <c r="K85" s="2">
        <v>0</v>
      </c>
      <c r="L85" s="2">
        <v>0</v>
      </c>
      <c r="M85" s="2">
        <v>0</v>
      </c>
      <c r="N85" s="2">
        <v>0</v>
      </c>
      <c r="P85" s="5"/>
      <c r="Q85" s="5"/>
    </row>
    <row r="86" spans="1:17" x14ac:dyDescent="0.2">
      <c r="A86" s="5">
        <v>261</v>
      </c>
      <c r="B86" s="5">
        <v>1</v>
      </c>
      <c r="C86" s="2" t="s">
        <v>82</v>
      </c>
      <c r="D86" s="3">
        <v>1885.51</v>
      </c>
      <c r="E86" s="3">
        <v>374.33</v>
      </c>
      <c r="F86" s="3">
        <v>10887.140000000001</v>
      </c>
      <c r="G86" s="3">
        <v>0</v>
      </c>
      <c r="H86" s="3">
        <f t="shared" si="2"/>
        <v>13146.980000000001</v>
      </c>
      <c r="J86" s="2">
        <v>0</v>
      </c>
      <c r="K86" s="2">
        <v>0</v>
      </c>
      <c r="L86" s="2">
        <v>0</v>
      </c>
      <c r="M86" s="2">
        <v>0</v>
      </c>
      <c r="N86" s="2">
        <v>0</v>
      </c>
      <c r="P86" s="5"/>
      <c r="Q86" s="5"/>
    </row>
    <row r="87" spans="1:17" x14ac:dyDescent="0.2">
      <c r="A87" s="5">
        <v>264</v>
      </c>
      <c r="B87" s="5">
        <v>1</v>
      </c>
      <c r="C87" s="2" t="s">
        <v>83</v>
      </c>
      <c r="D87" s="3">
        <v>2353.86</v>
      </c>
      <c r="E87" s="3">
        <v>979.06</v>
      </c>
      <c r="F87" s="3">
        <v>0</v>
      </c>
      <c r="G87" s="3">
        <v>0</v>
      </c>
      <c r="H87" s="3">
        <f t="shared" si="2"/>
        <v>3332.92</v>
      </c>
      <c r="J87" s="2">
        <v>0</v>
      </c>
      <c r="K87" s="2">
        <v>0</v>
      </c>
      <c r="L87" s="2">
        <v>0</v>
      </c>
      <c r="M87" s="2">
        <v>0</v>
      </c>
      <c r="N87" s="2">
        <v>0</v>
      </c>
      <c r="P87" s="5"/>
      <c r="Q87" s="5"/>
    </row>
    <row r="88" spans="1:17" x14ac:dyDescent="0.2">
      <c r="A88" s="5">
        <v>270</v>
      </c>
      <c r="B88" s="5">
        <v>1</v>
      </c>
      <c r="C88" s="2" t="s">
        <v>84</v>
      </c>
      <c r="D88" s="3">
        <v>543.91</v>
      </c>
      <c r="E88" s="3">
        <v>66.569999999999993</v>
      </c>
      <c r="F88" s="3">
        <v>683.14</v>
      </c>
      <c r="G88" s="3">
        <v>47.46</v>
      </c>
      <c r="H88" s="3">
        <f t="shared" si="2"/>
        <v>1341.08</v>
      </c>
      <c r="J88" s="2">
        <v>0</v>
      </c>
      <c r="K88" s="2">
        <v>0</v>
      </c>
      <c r="L88" s="2">
        <v>0</v>
      </c>
      <c r="M88" s="2">
        <v>0</v>
      </c>
      <c r="N88" s="2">
        <v>0</v>
      </c>
      <c r="P88" s="5"/>
      <c r="Q88" s="5"/>
    </row>
    <row r="89" spans="1:17" x14ac:dyDescent="0.2">
      <c r="A89" s="5">
        <v>271</v>
      </c>
      <c r="B89" s="5">
        <v>1</v>
      </c>
      <c r="C89" s="2" t="s">
        <v>85</v>
      </c>
      <c r="D89" s="3">
        <v>3611.4500000000003</v>
      </c>
      <c r="E89" s="3">
        <v>517.14</v>
      </c>
      <c r="F89" s="3">
        <v>2956.47</v>
      </c>
      <c r="G89" s="3">
        <v>304.95</v>
      </c>
      <c r="H89" s="3">
        <f t="shared" si="2"/>
        <v>7390.0099999999993</v>
      </c>
      <c r="J89" s="2">
        <v>0</v>
      </c>
      <c r="K89" s="2">
        <v>0</v>
      </c>
      <c r="L89" s="2">
        <v>0</v>
      </c>
      <c r="M89" s="2">
        <v>0</v>
      </c>
      <c r="N89" s="2">
        <v>0</v>
      </c>
      <c r="P89" s="5"/>
      <c r="Q89" s="5"/>
    </row>
    <row r="90" spans="1:17" x14ac:dyDescent="0.2">
      <c r="A90" s="5">
        <v>272</v>
      </c>
      <c r="B90" s="5">
        <v>1</v>
      </c>
      <c r="C90" s="2" t="s">
        <v>86</v>
      </c>
      <c r="D90" s="3">
        <v>754.62</v>
      </c>
      <c r="E90" s="3">
        <v>80.33</v>
      </c>
      <c r="F90" s="3">
        <v>789.27</v>
      </c>
      <c r="G90" s="3">
        <v>29.65</v>
      </c>
      <c r="H90" s="3">
        <f t="shared" si="2"/>
        <v>1653.8700000000001</v>
      </c>
      <c r="J90" s="2">
        <v>0</v>
      </c>
      <c r="K90" s="2">
        <v>0</v>
      </c>
      <c r="L90" s="2">
        <v>0</v>
      </c>
      <c r="M90" s="2">
        <v>0</v>
      </c>
      <c r="N90" s="2">
        <v>0</v>
      </c>
      <c r="P90" s="5"/>
      <c r="Q90" s="5"/>
    </row>
    <row r="91" spans="1:17" x14ac:dyDescent="0.2">
      <c r="A91" s="5">
        <v>273</v>
      </c>
      <c r="B91" s="5">
        <v>1</v>
      </c>
      <c r="C91" s="2" t="s">
        <v>87</v>
      </c>
      <c r="D91" s="3">
        <v>150.31</v>
      </c>
      <c r="E91" s="3">
        <v>13.66</v>
      </c>
      <c r="F91" s="3">
        <v>133.28</v>
      </c>
      <c r="G91" s="3">
        <v>0</v>
      </c>
      <c r="H91" s="3">
        <f t="shared" si="2"/>
        <v>297.25</v>
      </c>
      <c r="J91" s="2">
        <v>0</v>
      </c>
      <c r="K91" s="2">
        <v>0</v>
      </c>
      <c r="L91" s="2">
        <v>0</v>
      </c>
      <c r="M91" s="2">
        <v>0</v>
      </c>
      <c r="N91" s="2">
        <v>0</v>
      </c>
      <c r="P91" s="5"/>
      <c r="Q91" s="5"/>
    </row>
    <row r="92" spans="1:17" x14ac:dyDescent="0.2">
      <c r="A92" s="5">
        <v>276</v>
      </c>
      <c r="B92" s="5">
        <v>1</v>
      </c>
      <c r="C92" s="2" t="s">
        <v>88</v>
      </c>
      <c r="D92" s="3">
        <v>503.19</v>
      </c>
      <c r="E92" s="3">
        <v>49.4</v>
      </c>
      <c r="F92" s="3">
        <v>267</v>
      </c>
      <c r="G92" s="3">
        <v>77.239999999999995</v>
      </c>
      <c r="H92" s="3">
        <f t="shared" si="2"/>
        <v>896.83</v>
      </c>
      <c r="J92" s="2">
        <v>0</v>
      </c>
      <c r="K92" s="2">
        <v>0</v>
      </c>
      <c r="L92" s="2">
        <v>0</v>
      </c>
      <c r="M92" s="2">
        <v>0</v>
      </c>
      <c r="N92" s="2">
        <v>0</v>
      </c>
      <c r="P92" s="5"/>
      <c r="Q92" s="5"/>
    </row>
    <row r="93" spans="1:17" x14ac:dyDescent="0.2">
      <c r="A93" s="5">
        <v>277</v>
      </c>
      <c r="B93" s="5">
        <v>1</v>
      </c>
      <c r="C93" s="2" t="s">
        <v>89</v>
      </c>
      <c r="D93" s="3">
        <v>625.53</v>
      </c>
      <c r="E93" s="3">
        <v>133.96</v>
      </c>
      <c r="F93" s="3">
        <v>871.25</v>
      </c>
      <c r="G93" s="3">
        <v>177.33</v>
      </c>
      <c r="H93" s="3">
        <f t="shared" si="2"/>
        <v>1808.07</v>
      </c>
      <c r="J93" s="2">
        <v>0</v>
      </c>
      <c r="K93" s="2">
        <v>0</v>
      </c>
      <c r="L93" s="2">
        <v>0</v>
      </c>
      <c r="M93" s="2">
        <v>0</v>
      </c>
      <c r="N93" s="2">
        <v>0</v>
      </c>
      <c r="P93" s="5"/>
      <c r="Q93" s="5"/>
    </row>
    <row r="94" spans="1:17" x14ac:dyDescent="0.2">
      <c r="A94" s="5">
        <v>278</v>
      </c>
      <c r="B94" s="5">
        <v>1</v>
      </c>
      <c r="C94" s="2" t="s">
        <v>90</v>
      </c>
      <c r="D94" s="3">
        <v>1253.1400000000001</v>
      </c>
      <c r="E94" s="3">
        <v>138.17000000000002</v>
      </c>
      <c r="F94" s="3">
        <v>1874.43</v>
      </c>
      <c r="G94" s="3">
        <v>225.91</v>
      </c>
      <c r="H94" s="3">
        <f t="shared" si="2"/>
        <v>3491.65</v>
      </c>
      <c r="J94" s="2">
        <v>0</v>
      </c>
      <c r="K94" s="2">
        <v>0</v>
      </c>
      <c r="L94" s="2">
        <v>0</v>
      </c>
      <c r="M94" s="2">
        <v>0</v>
      </c>
      <c r="N94" s="2">
        <v>0</v>
      </c>
      <c r="P94" s="5"/>
      <c r="Q94" s="5"/>
    </row>
    <row r="95" spans="1:17" x14ac:dyDescent="0.2">
      <c r="A95" s="5">
        <v>279</v>
      </c>
      <c r="B95" s="5">
        <v>1</v>
      </c>
      <c r="C95" s="2" t="s">
        <v>91</v>
      </c>
      <c r="D95" s="3">
        <v>2087.7200000000003</v>
      </c>
      <c r="E95" s="3">
        <v>302.76</v>
      </c>
      <c r="F95" s="3">
        <v>3360.2799999999997</v>
      </c>
      <c r="G95" s="3">
        <v>169.07</v>
      </c>
      <c r="H95" s="3">
        <f t="shared" si="2"/>
        <v>5919.83</v>
      </c>
      <c r="J95" s="2">
        <v>0</v>
      </c>
      <c r="K95" s="2">
        <v>0</v>
      </c>
      <c r="L95" s="2">
        <v>0</v>
      </c>
      <c r="M95" s="2">
        <v>0</v>
      </c>
      <c r="N95" s="2">
        <v>0</v>
      </c>
      <c r="P95" s="5"/>
      <c r="Q95" s="5"/>
    </row>
    <row r="96" spans="1:17" x14ac:dyDescent="0.2">
      <c r="A96" s="5">
        <v>280</v>
      </c>
      <c r="B96" s="5">
        <v>1</v>
      </c>
      <c r="C96" s="2" t="s">
        <v>92</v>
      </c>
      <c r="D96" s="3">
        <v>963.87</v>
      </c>
      <c r="E96" s="3">
        <v>96.76</v>
      </c>
      <c r="F96" s="3">
        <v>834.81</v>
      </c>
      <c r="G96" s="3">
        <v>299.19</v>
      </c>
      <c r="H96" s="3">
        <f t="shared" si="2"/>
        <v>2194.63</v>
      </c>
      <c r="J96" s="2">
        <v>0</v>
      </c>
      <c r="K96" s="2">
        <v>0</v>
      </c>
      <c r="L96" s="2">
        <v>0</v>
      </c>
      <c r="M96" s="2">
        <v>0</v>
      </c>
      <c r="N96" s="2">
        <v>0</v>
      </c>
      <c r="P96" s="5"/>
      <c r="Q96" s="5"/>
    </row>
    <row r="97" spans="1:17" x14ac:dyDescent="0.2">
      <c r="A97" s="5">
        <v>281</v>
      </c>
      <c r="B97" s="5">
        <v>1</v>
      </c>
      <c r="C97" s="2" t="s">
        <v>93</v>
      </c>
      <c r="D97" s="3">
        <v>557.52</v>
      </c>
      <c r="E97" s="3">
        <v>112.84</v>
      </c>
      <c r="F97" s="3">
        <v>993.02</v>
      </c>
      <c r="G97" s="3">
        <v>121.69999999999999</v>
      </c>
      <c r="H97" s="3">
        <f t="shared" si="2"/>
        <v>1785.0800000000002</v>
      </c>
      <c r="J97" s="2">
        <v>0</v>
      </c>
      <c r="K97" s="2">
        <v>0</v>
      </c>
      <c r="L97" s="2">
        <v>0</v>
      </c>
      <c r="M97" s="2">
        <v>0</v>
      </c>
      <c r="N97" s="2">
        <v>0</v>
      </c>
      <c r="P97" s="5"/>
      <c r="Q97" s="5"/>
    </row>
    <row r="98" spans="1:17" x14ac:dyDescent="0.2">
      <c r="A98" s="5">
        <v>282</v>
      </c>
      <c r="B98" s="5">
        <v>1</v>
      </c>
      <c r="C98" s="2" t="s">
        <v>94</v>
      </c>
      <c r="D98" s="3">
        <v>101.82</v>
      </c>
      <c r="E98" s="3">
        <v>20.54</v>
      </c>
      <c r="F98" s="3">
        <v>221.31</v>
      </c>
      <c r="G98" s="3">
        <v>61.4</v>
      </c>
      <c r="H98" s="3">
        <f t="shared" si="2"/>
        <v>405.06999999999994</v>
      </c>
      <c r="J98" s="2">
        <v>0</v>
      </c>
      <c r="K98" s="2">
        <v>0</v>
      </c>
      <c r="L98" s="2">
        <v>0</v>
      </c>
      <c r="M98" s="2">
        <v>0</v>
      </c>
      <c r="N98" s="2">
        <v>0</v>
      </c>
      <c r="P98" s="5"/>
      <c r="Q98" s="5"/>
    </row>
    <row r="99" spans="1:17" x14ac:dyDescent="0.2">
      <c r="A99" s="5">
        <v>283</v>
      </c>
      <c r="B99" s="5">
        <v>1</v>
      </c>
      <c r="C99" s="2" t="s">
        <v>95</v>
      </c>
      <c r="D99" s="3">
        <v>220.73</v>
      </c>
      <c r="E99" s="3">
        <v>40.31</v>
      </c>
      <c r="F99" s="3">
        <v>282.77999999999997</v>
      </c>
      <c r="G99" s="3">
        <v>39.020000000000003</v>
      </c>
      <c r="H99" s="3">
        <f t="shared" si="2"/>
        <v>582.83999999999992</v>
      </c>
      <c r="J99" s="2">
        <v>0</v>
      </c>
      <c r="K99" s="2">
        <v>0</v>
      </c>
      <c r="L99" s="2">
        <v>0</v>
      </c>
      <c r="M99" s="2">
        <v>0</v>
      </c>
      <c r="N99" s="2">
        <v>0</v>
      </c>
      <c r="P99" s="5"/>
      <c r="Q99" s="5"/>
    </row>
    <row r="100" spans="1:17" x14ac:dyDescent="0.2">
      <c r="A100" s="5">
        <v>284</v>
      </c>
      <c r="B100" s="5">
        <v>1</v>
      </c>
      <c r="C100" s="2" t="s">
        <v>96</v>
      </c>
      <c r="D100" s="3">
        <v>1843.73</v>
      </c>
      <c r="E100" s="3">
        <v>169.73000000000002</v>
      </c>
      <c r="F100" s="3">
        <v>1228.9000000000001</v>
      </c>
      <c r="G100" s="3">
        <v>108.09</v>
      </c>
      <c r="H100" s="3">
        <f t="shared" si="2"/>
        <v>3350.4500000000003</v>
      </c>
      <c r="J100" s="2">
        <v>0</v>
      </c>
      <c r="K100" s="2">
        <v>0</v>
      </c>
      <c r="L100" s="2">
        <v>0</v>
      </c>
      <c r="M100" s="2">
        <v>0</v>
      </c>
      <c r="N100" s="2">
        <v>0</v>
      </c>
      <c r="P100" s="5"/>
      <c r="Q100" s="5"/>
    </row>
    <row r="101" spans="1:17" x14ac:dyDescent="0.2">
      <c r="A101" s="5">
        <v>286</v>
      </c>
      <c r="B101" s="5">
        <v>1</v>
      </c>
      <c r="C101" s="2" t="s">
        <v>97</v>
      </c>
      <c r="D101" s="3">
        <v>103.8</v>
      </c>
      <c r="E101" s="3">
        <v>18.059999999999999</v>
      </c>
      <c r="F101" s="3">
        <v>276.38</v>
      </c>
      <c r="G101" s="3">
        <v>46.17</v>
      </c>
      <c r="H101" s="3">
        <f t="shared" si="2"/>
        <v>444.41</v>
      </c>
      <c r="J101" s="2">
        <v>0</v>
      </c>
      <c r="K101" s="2">
        <v>0</v>
      </c>
      <c r="L101" s="2">
        <v>0</v>
      </c>
      <c r="M101" s="2">
        <v>0</v>
      </c>
      <c r="N101" s="2">
        <v>0</v>
      </c>
      <c r="P101" s="5"/>
      <c r="Q101" s="5"/>
    </row>
    <row r="102" spans="1:17" x14ac:dyDescent="0.2">
      <c r="A102" s="5">
        <v>294</v>
      </c>
      <c r="B102" s="5">
        <v>1</v>
      </c>
      <c r="C102" s="2" t="s">
        <v>98</v>
      </c>
      <c r="D102" s="3">
        <v>9693.01</v>
      </c>
      <c r="E102" s="3">
        <v>2959.42</v>
      </c>
      <c r="F102" s="3">
        <v>11961.720000000001</v>
      </c>
      <c r="G102" s="3">
        <v>0</v>
      </c>
      <c r="H102" s="3">
        <f t="shared" si="2"/>
        <v>24614.15</v>
      </c>
      <c r="J102" s="2">
        <v>0</v>
      </c>
      <c r="K102" s="2">
        <v>0</v>
      </c>
      <c r="L102" s="2">
        <v>0</v>
      </c>
      <c r="M102" s="2">
        <v>0</v>
      </c>
      <c r="N102" s="2">
        <v>0</v>
      </c>
      <c r="P102" s="5"/>
      <c r="Q102" s="5"/>
    </row>
    <row r="103" spans="1:17" x14ac:dyDescent="0.2">
      <c r="A103" s="5">
        <v>297</v>
      </c>
      <c r="B103" s="5">
        <v>1</v>
      </c>
      <c r="C103" s="2" t="s">
        <v>99</v>
      </c>
      <c r="D103" s="3">
        <v>34809.67</v>
      </c>
      <c r="E103" s="3">
        <v>5427.41</v>
      </c>
      <c r="F103" s="3">
        <v>0</v>
      </c>
      <c r="G103" s="3">
        <v>0</v>
      </c>
      <c r="H103" s="3">
        <f t="shared" si="2"/>
        <v>40237.08</v>
      </c>
      <c r="J103" s="2">
        <v>0</v>
      </c>
      <c r="K103" s="2">
        <v>0</v>
      </c>
      <c r="L103" s="2">
        <v>0</v>
      </c>
      <c r="M103" s="2">
        <v>0</v>
      </c>
      <c r="N103" s="2">
        <v>0</v>
      </c>
      <c r="P103" s="5"/>
      <c r="Q103" s="5"/>
    </row>
    <row r="104" spans="1:17" x14ac:dyDescent="0.2">
      <c r="A104" s="5">
        <v>299</v>
      </c>
      <c r="B104" s="5">
        <v>1</v>
      </c>
      <c r="C104" s="2" t="s">
        <v>100</v>
      </c>
      <c r="D104" s="3">
        <v>16312.07</v>
      </c>
      <c r="E104" s="3">
        <v>2971.01</v>
      </c>
      <c r="F104" s="3">
        <v>60657.59</v>
      </c>
      <c r="G104" s="3">
        <v>0</v>
      </c>
      <c r="H104" s="3">
        <f t="shared" si="2"/>
        <v>79940.67</v>
      </c>
      <c r="J104" s="2">
        <v>0</v>
      </c>
      <c r="K104" s="2">
        <v>0</v>
      </c>
      <c r="L104" s="2">
        <v>0</v>
      </c>
      <c r="M104" s="2">
        <v>0</v>
      </c>
      <c r="N104" s="2">
        <v>0</v>
      </c>
      <c r="P104" s="5"/>
      <c r="Q104" s="5"/>
    </row>
    <row r="105" spans="1:17" x14ac:dyDescent="0.2">
      <c r="A105" s="5">
        <v>300</v>
      </c>
      <c r="B105" s="5">
        <v>1</v>
      </c>
      <c r="C105" s="2" t="s">
        <v>101</v>
      </c>
      <c r="D105" s="3">
        <v>14719.689999999999</v>
      </c>
      <c r="E105" s="3">
        <v>4885.8499999999995</v>
      </c>
      <c r="F105" s="3">
        <v>21669.46</v>
      </c>
      <c r="G105" s="3">
        <v>5001.49</v>
      </c>
      <c r="H105" s="3">
        <f t="shared" si="2"/>
        <v>46276.49</v>
      </c>
      <c r="J105" s="2">
        <v>0</v>
      </c>
      <c r="K105" s="2">
        <v>0</v>
      </c>
      <c r="L105" s="2">
        <v>0</v>
      </c>
      <c r="M105" s="2">
        <v>0</v>
      </c>
      <c r="N105" s="2">
        <v>0</v>
      </c>
      <c r="P105" s="5"/>
      <c r="Q105" s="5"/>
    </row>
    <row r="106" spans="1:17" x14ac:dyDescent="0.2">
      <c r="A106" s="5">
        <v>306</v>
      </c>
      <c r="B106" s="5">
        <v>1</v>
      </c>
      <c r="C106" s="2" t="s">
        <v>102</v>
      </c>
      <c r="D106" s="3">
        <v>1112.53</v>
      </c>
      <c r="E106" s="3">
        <v>176.74</v>
      </c>
      <c r="F106" s="3">
        <v>6686.96</v>
      </c>
      <c r="G106" s="3">
        <v>0</v>
      </c>
      <c r="H106" s="3">
        <f t="shared" si="2"/>
        <v>7976.23</v>
      </c>
      <c r="J106" s="2">
        <v>0</v>
      </c>
      <c r="K106" s="2">
        <v>0</v>
      </c>
      <c r="L106" s="2">
        <v>0</v>
      </c>
      <c r="M106" s="2">
        <v>0</v>
      </c>
      <c r="N106" s="2">
        <v>0</v>
      </c>
      <c r="P106" s="5"/>
      <c r="Q106" s="5"/>
    </row>
    <row r="107" spans="1:17" x14ac:dyDescent="0.2">
      <c r="A107" s="5">
        <v>308</v>
      </c>
      <c r="B107" s="5">
        <v>1</v>
      </c>
      <c r="C107" s="2" t="s">
        <v>103</v>
      </c>
      <c r="D107" s="3">
        <v>945.36</v>
      </c>
      <c r="E107" s="3">
        <v>185.71</v>
      </c>
      <c r="F107" s="3">
        <v>1171.1099999999999</v>
      </c>
      <c r="G107" s="3">
        <v>0</v>
      </c>
      <c r="H107" s="3">
        <f t="shared" si="2"/>
        <v>2302.1799999999998</v>
      </c>
      <c r="J107" s="2">
        <v>0</v>
      </c>
      <c r="K107" s="2">
        <v>0</v>
      </c>
      <c r="L107" s="2">
        <v>0</v>
      </c>
      <c r="M107" s="2">
        <v>0</v>
      </c>
      <c r="N107" s="2">
        <v>0</v>
      </c>
      <c r="P107" s="5"/>
      <c r="Q107" s="5"/>
    </row>
    <row r="108" spans="1:17" x14ac:dyDescent="0.2">
      <c r="A108" s="5">
        <v>309</v>
      </c>
      <c r="B108" s="5">
        <v>1</v>
      </c>
      <c r="C108" s="2" t="s">
        <v>104</v>
      </c>
      <c r="D108" s="3">
        <v>3075.04</v>
      </c>
      <c r="E108" s="3">
        <v>1190.42</v>
      </c>
      <c r="F108" s="3">
        <v>19240.59</v>
      </c>
      <c r="G108" s="3">
        <v>0</v>
      </c>
      <c r="H108" s="3">
        <f t="shared" si="2"/>
        <v>23506.05</v>
      </c>
      <c r="J108" s="2">
        <v>0</v>
      </c>
      <c r="K108" s="2">
        <v>0</v>
      </c>
      <c r="L108" s="2">
        <v>0</v>
      </c>
      <c r="M108" s="2">
        <v>0</v>
      </c>
      <c r="N108" s="2">
        <v>0</v>
      </c>
      <c r="P108" s="5"/>
      <c r="Q108" s="5"/>
    </row>
    <row r="109" spans="1:17" x14ac:dyDescent="0.2">
      <c r="A109" s="5">
        <v>314</v>
      </c>
      <c r="B109" s="5">
        <v>1</v>
      </c>
      <c r="C109" s="2" t="s">
        <v>105</v>
      </c>
      <c r="D109" s="3">
        <v>6324.3499999999995</v>
      </c>
      <c r="E109" s="3">
        <v>1391.9299999999998</v>
      </c>
      <c r="F109" s="3">
        <v>24470.249999999996</v>
      </c>
      <c r="G109" s="3">
        <v>4004.61</v>
      </c>
      <c r="H109" s="3">
        <f t="shared" si="2"/>
        <v>36191.139999999992</v>
      </c>
      <c r="J109" s="2">
        <v>0</v>
      </c>
      <c r="K109" s="2">
        <v>0</v>
      </c>
      <c r="L109" s="2">
        <v>0</v>
      </c>
      <c r="M109" s="2">
        <v>0</v>
      </c>
      <c r="N109" s="2">
        <v>0</v>
      </c>
      <c r="P109" s="5"/>
      <c r="Q109" s="5"/>
    </row>
    <row r="110" spans="1:17" x14ac:dyDescent="0.2">
      <c r="A110" s="5">
        <v>316</v>
      </c>
      <c r="B110" s="5">
        <v>1</v>
      </c>
      <c r="C110" s="2" t="s">
        <v>106</v>
      </c>
      <c r="D110" s="3">
        <v>5493.1399999999994</v>
      </c>
      <c r="E110" s="3">
        <v>0</v>
      </c>
      <c r="F110" s="3">
        <v>16063.199999999999</v>
      </c>
      <c r="G110" s="3">
        <v>32459.59</v>
      </c>
      <c r="H110" s="3">
        <f t="shared" si="2"/>
        <v>54015.929999999993</v>
      </c>
      <c r="J110" s="2">
        <v>24402.400000000001</v>
      </c>
      <c r="K110" s="2">
        <v>0</v>
      </c>
      <c r="L110" s="2">
        <v>71239.88</v>
      </c>
      <c r="M110" s="2">
        <v>143957.85999999999</v>
      </c>
      <c r="N110" s="2">
        <v>239600.14</v>
      </c>
      <c r="P110" s="5"/>
      <c r="Q110" s="5"/>
    </row>
    <row r="111" spans="1:17" x14ac:dyDescent="0.2">
      <c r="A111" s="5">
        <v>317</v>
      </c>
      <c r="B111" s="5">
        <v>1</v>
      </c>
      <c r="C111" s="2" t="s">
        <v>107</v>
      </c>
      <c r="D111" s="3">
        <v>0</v>
      </c>
      <c r="E111" s="3">
        <v>0</v>
      </c>
      <c r="F111" s="3">
        <v>11390.43</v>
      </c>
      <c r="G111" s="3">
        <v>1208.95</v>
      </c>
      <c r="H111" s="3">
        <f t="shared" si="2"/>
        <v>12599.380000000001</v>
      </c>
      <c r="J111" s="2">
        <v>2026.71</v>
      </c>
      <c r="K111" s="2">
        <v>0</v>
      </c>
      <c r="L111" s="2">
        <v>57166.58</v>
      </c>
      <c r="M111" s="2">
        <v>6067.53</v>
      </c>
      <c r="N111" s="2">
        <v>65260.82</v>
      </c>
      <c r="P111" s="5"/>
      <c r="Q111" s="5"/>
    </row>
    <row r="112" spans="1:17" x14ac:dyDescent="0.2">
      <c r="A112" s="5">
        <v>318</v>
      </c>
      <c r="B112" s="5">
        <v>1</v>
      </c>
      <c r="C112" s="2" t="s">
        <v>108</v>
      </c>
      <c r="D112" s="3">
        <v>19848.46</v>
      </c>
      <c r="E112" s="3">
        <v>0</v>
      </c>
      <c r="F112" s="3">
        <v>28166.37</v>
      </c>
      <c r="G112" s="3">
        <v>15964.1</v>
      </c>
      <c r="H112" s="3">
        <f t="shared" si="2"/>
        <v>63978.93</v>
      </c>
      <c r="J112" s="2">
        <v>153147.79</v>
      </c>
      <c r="K112" s="2">
        <v>0</v>
      </c>
      <c r="L112" s="2">
        <v>213558</v>
      </c>
      <c r="M112" s="2">
        <v>121039.82</v>
      </c>
      <c r="N112" s="2">
        <v>487745.61</v>
      </c>
      <c r="P112" s="5"/>
      <c r="Q112" s="5"/>
    </row>
    <row r="113" spans="1:17" x14ac:dyDescent="0.2">
      <c r="A113" s="5">
        <v>319</v>
      </c>
      <c r="B113" s="5">
        <v>1</v>
      </c>
      <c r="C113" s="2" t="s">
        <v>109</v>
      </c>
      <c r="D113" s="3">
        <v>16552.04</v>
      </c>
      <c r="E113" s="3">
        <v>0</v>
      </c>
      <c r="F113" s="3">
        <v>0</v>
      </c>
      <c r="G113" s="3">
        <v>21068.38</v>
      </c>
      <c r="H113" s="3">
        <f t="shared" si="2"/>
        <v>37620.42</v>
      </c>
      <c r="J113" s="2">
        <v>25800.21</v>
      </c>
      <c r="K113" s="2">
        <v>0</v>
      </c>
      <c r="L113" s="2">
        <v>0</v>
      </c>
      <c r="M113" s="2">
        <v>31496.6</v>
      </c>
      <c r="N113" s="2">
        <v>57296.81</v>
      </c>
      <c r="P113" s="5"/>
      <c r="Q113" s="5"/>
    </row>
    <row r="114" spans="1:17" x14ac:dyDescent="0.2">
      <c r="A114" s="5">
        <v>323</v>
      </c>
      <c r="B114" s="5">
        <v>2</v>
      </c>
      <c r="C114" s="2" t="s">
        <v>110</v>
      </c>
      <c r="D114" s="3">
        <v>57.3</v>
      </c>
      <c r="E114" s="3">
        <v>35.1</v>
      </c>
      <c r="F114" s="3">
        <v>0</v>
      </c>
      <c r="G114" s="3">
        <v>0</v>
      </c>
      <c r="H114" s="3">
        <f t="shared" si="2"/>
        <v>92.4</v>
      </c>
      <c r="J114" s="2">
        <v>0</v>
      </c>
      <c r="K114" s="2">
        <v>0</v>
      </c>
      <c r="L114" s="2">
        <v>0</v>
      </c>
      <c r="M114" s="2">
        <v>0</v>
      </c>
      <c r="N114" s="2">
        <v>0</v>
      </c>
      <c r="P114" s="5"/>
      <c r="Q114" s="5"/>
    </row>
    <row r="115" spans="1:17" x14ac:dyDescent="0.2">
      <c r="A115" s="5">
        <v>330</v>
      </c>
      <c r="B115" s="5">
        <v>1</v>
      </c>
      <c r="C115" s="2" t="s">
        <v>111</v>
      </c>
      <c r="D115" s="3">
        <v>4956.83</v>
      </c>
      <c r="E115" s="3">
        <v>942.78</v>
      </c>
      <c r="F115" s="3">
        <v>8350.0399999999991</v>
      </c>
      <c r="G115" s="3">
        <v>0</v>
      </c>
      <c r="H115" s="3">
        <f t="shared" si="2"/>
        <v>14249.649999999998</v>
      </c>
      <c r="J115" s="2">
        <v>0</v>
      </c>
      <c r="K115" s="2">
        <v>0</v>
      </c>
      <c r="L115" s="2">
        <v>0</v>
      </c>
      <c r="M115" s="2">
        <v>0</v>
      </c>
      <c r="N115" s="2">
        <v>0</v>
      </c>
      <c r="P115" s="5"/>
      <c r="Q115" s="5"/>
    </row>
    <row r="116" spans="1:17" x14ac:dyDescent="0.2">
      <c r="A116" s="5">
        <v>332</v>
      </c>
      <c r="B116" s="5">
        <v>1</v>
      </c>
      <c r="C116" s="2" t="s">
        <v>112</v>
      </c>
      <c r="D116" s="3">
        <v>6831.88</v>
      </c>
      <c r="E116" s="3">
        <v>1719.28</v>
      </c>
      <c r="F116" s="3">
        <v>11596.45</v>
      </c>
      <c r="G116" s="3">
        <v>0</v>
      </c>
      <c r="H116" s="3">
        <f t="shared" si="2"/>
        <v>20147.61</v>
      </c>
      <c r="J116" s="2">
        <v>0</v>
      </c>
      <c r="K116" s="2">
        <v>0</v>
      </c>
      <c r="L116" s="2">
        <v>0</v>
      </c>
      <c r="M116" s="2">
        <v>0</v>
      </c>
      <c r="N116" s="2">
        <v>0</v>
      </c>
      <c r="P116" s="5"/>
      <c r="Q116" s="5"/>
    </row>
    <row r="117" spans="1:17" x14ac:dyDescent="0.2">
      <c r="A117" s="5">
        <v>333</v>
      </c>
      <c r="B117" s="5">
        <v>1</v>
      </c>
      <c r="C117" s="2" t="s">
        <v>113</v>
      </c>
      <c r="D117" s="3">
        <v>4600.07</v>
      </c>
      <c r="E117" s="3">
        <v>992.65000000000009</v>
      </c>
      <c r="F117" s="3">
        <v>17078.39</v>
      </c>
      <c r="G117" s="3">
        <v>4505.58</v>
      </c>
      <c r="H117" s="3">
        <f t="shared" si="2"/>
        <v>27176.690000000002</v>
      </c>
      <c r="J117" s="2">
        <v>0</v>
      </c>
      <c r="K117" s="2">
        <v>0</v>
      </c>
      <c r="L117" s="2">
        <v>0</v>
      </c>
      <c r="M117" s="2">
        <v>0</v>
      </c>
      <c r="N117" s="2">
        <v>0</v>
      </c>
      <c r="P117" s="5"/>
      <c r="Q117" s="5"/>
    </row>
    <row r="118" spans="1:17" x14ac:dyDescent="0.2">
      <c r="A118" s="5">
        <v>345</v>
      </c>
      <c r="B118" s="5">
        <v>1</v>
      </c>
      <c r="C118" s="2" t="s">
        <v>114</v>
      </c>
      <c r="D118" s="3">
        <v>9029.51</v>
      </c>
      <c r="E118" s="3">
        <v>1220</v>
      </c>
      <c r="F118" s="3">
        <v>11189.189999999999</v>
      </c>
      <c r="G118" s="3">
        <v>2119.34</v>
      </c>
      <c r="H118" s="3">
        <f t="shared" si="2"/>
        <v>23558.039999999997</v>
      </c>
      <c r="J118" s="2">
        <v>0</v>
      </c>
      <c r="K118" s="2">
        <v>0</v>
      </c>
      <c r="L118" s="2">
        <v>0</v>
      </c>
      <c r="M118" s="2">
        <v>0</v>
      </c>
      <c r="N118" s="2">
        <v>0</v>
      </c>
      <c r="P118" s="5"/>
      <c r="Q118" s="5"/>
    </row>
    <row r="119" spans="1:17" x14ac:dyDescent="0.2">
      <c r="A119" s="5">
        <v>347</v>
      </c>
      <c r="B119" s="5">
        <v>1</v>
      </c>
      <c r="C119" s="2" t="s">
        <v>115</v>
      </c>
      <c r="D119" s="3">
        <v>7240.51</v>
      </c>
      <c r="E119" s="3">
        <v>1780.77</v>
      </c>
      <c r="F119" s="3">
        <v>11975.14</v>
      </c>
      <c r="G119" s="3">
        <v>0</v>
      </c>
      <c r="H119" s="3">
        <f t="shared" si="2"/>
        <v>20996.42</v>
      </c>
      <c r="J119" s="2">
        <v>0</v>
      </c>
      <c r="K119" s="2">
        <v>0</v>
      </c>
      <c r="L119" s="2">
        <v>0</v>
      </c>
      <c r="M119" s="2">
        <v>0</v>
      </c>
      <c r="N119" s="2">
        <v>0</v>
      </c>
      <c r="P119" s="5"/>
      <c r="Q119" s="5"/>
    </row>
    <row r="120" spans="1:17" x14ac:dyDescent="0.2">
      <c r="A120" s="5">
        <v>356</v>
      </c>
      <c r="B120" s="5">
        <v>1</v>
      </c>
      <c r="C120" s="2" t="s">
        <v>116</v>
      </c>
      <c r="D120" s="3">
        <v>2059.86</v>
      </c>
      <c r="E120" s="3">
        <v>614.99</v>
      </c>
      <c r="F120" s="3">
        <v>0</v>
      </c>
      <c r="G120" s="3">
        <v>0</v>
      </c>
      <c r="H120" s="3">
        <f t="shared" si="2"/>
        <v>2674.8500000000004</v>
      </c>
      <c r="J120" s="2">
        <v>0</v>
      </c>
      <c r="K120" s="2">
        <v>0</v>
      </c>
      <c r="L120" s="2">
        <v>0</v>
      </c>
      <c r="M120" s="2">
        <v>0</v>
      </c>
      <c r="N120" s="2">
        <v>0</v>
      </c>
      <c r="P120" s="5"/>
      <c r="Q120" s="5"/>
    </row>
    <row r="121" spans="1:17" x14ac:dyDescent="0.2">
      <c r="A121" s="5">
        <v>361</v>
      </c>
      <c r="B121" s="5">
        <v>1</v>
      </c>
      <c r="C121" s="2" t="s">
        <v>117</v>
      </c>
      <c r="D121" s="3">
        <v>122855.43</v>
      </c>
      <c r="E121" s="3">
        <v>17375.57</v>
      </c>
      <c r="F121" s="3">
        <v>24219.070000000003</v>
      </c>
      <c r="G121" s="3">
        <v>0</v>
      </c>
      <c r="H121" s="3">
        <f t="shared" si="2"/>
        <v>164450.07</v>
      </c>
      <c r="J121" s="2">
        <v>0</v>
      </c>
      <c r="K121" s="2">
        <v>0</v>
      </c>
      <c r="L121" s="2">
        <v>0</v>
      </c>
      <c r="M121" s="2">
        <v>0</v>
      </c>
      <c r="N121" s="2">
        <v>0</v>
      </c>
      <c r="P121" s="5"/>
      <c r="Q121" s="5"/>
    </row>
    <row r="122" spans="1:17" x14ac:dyDescent="0.2">
      <c r="A122" s="5">
        <v>362</v>
      </c>
      <c r="B122" s="5">
        <v>1</v>
      </c>
      <c r="C122" s="2" t="s">
        <v>118</v>
      </c>
      <c r="D122" s="3">
        <v>4053.49</v>
      </c>
      <c r="E122" s="3">
        <v>756.24</v>
      </c>
      <c r="F122" s="3">
        <v>16669.669999999998</v>
      </c>
      <c r="G122" s="3">
        <v>0</v>
      </c>
      <c r="H122" s="3">
        <f t="shared" si="2"/>
        <v>21479.399999999998</v>
      </c>
      <c r="J122" s="2">
        <v>0</v>
      </c>
      <c r="K122" s="2">
        <v>0</v>
      </c>
      <c r="L122" s="2">
        <v>0</v>
      </c>
      <c r="M122" s="2">
        <v>0</v>
      </c>
      <c r="N122" s="2">
        <v>0</v>
      </c>
      <c r="P122" s="5"/>
      <c r="Q122" s="5"/>
    </row>
    <row r="123" spans="1:17" x14ac:dyDescent="0.2">
      <c r="A123" s="5">
        <v>363</v>
      </c>
      <c r="B123" s="5">
        <v>1</v>
      </c>
      <c r="C123" s="2" t="s">
        <v>119</v>
      </c>
      <c r="D123" s="3">
        <v>14204.55</v>
      </c>
      <c r="E123" s="3">
        <v>810.07</v>
      </c>
      <c r="F123" s="3">
        <v>8416.76</v>
      </c>
      <c r="G123" s="3">
        <v>0</v>
      </c>
      <c r="H123" s="3">
        <f t="shared" si="2"/>
        <v>23431.379999999997</v>
      </c>
      <c r="J123" s="2">
        <v>0</v>
      </c>
      <c r="K123" s="2">
        <v>0</v>
      </c>
      <c r="L123" s="2">
        <v>0</v>
      </c>
      <c r="M123" s="2">
        <v>0</v>
      </c>
      <c r="N123" s="2">
        <v>0</v>
      </c>
      <c r="P123" s="5"/>
      <c r="Q123" s="5"/>
    </row>
    <row r="124" spans="1:17" x14ac:dyDescent="0.2">
      <c r="A124" s="5">
        <v>378</v>
      </c>
      <c r="B124" s="5">
        <v>1</v>
      </c>
      <c r="C124" s="2" t="s">
        <v>120</v>
      </c>
      <c r="D124" s="3">
        <v>24653.289999999997</v>
      </c>
      <c r="E124" s="3">
        <v>5872.6100000000006</v>
      </c>
      <c r="F124" s="3">
        <v>27759.559999999998</v>
      </c>
      <c r="G124" s="3">
        <v>0</v>
      </c>
      <c r="H124" s="3">
        <f t="shared" si="2"/>
        <v>58285.459999999992</v>
      </c>
      <c r="J124" s="2">
        <v>0</v>
      </c>
      <c r="K124" s="2">
        <v>0</v>
      </c>
      <c r="L124" s="2">
        <v>0</v>
      </c>
      <c r="M124" s="2">
        <v>0</v>
      </c>
      <c r="N124" s="2">
        <v>0</v>
      </c>
      <c r="P124" s="5"/>
      <c r="Q124" s="5"/>
    </row>
    <row r="125" spans="1:17" x14ac:dyDescent="0.2">
      <c r="A125" s="5">
        <v>381</v>
      </c>
      <c r="B125" s="5">
        <v>1</v>
      </c>
      <c r="C125" s="2" t="s">
        <v>121</v>
      </c>
      <c r="D125" s="3">
        <v>6706.91</v>
      </c>
      <c r="E125" s="3">
        <v>0</v>
      </c>
      <c r="F125" s="3">
        <v>45902.460000000006</v>
      </c>
      <c r="G125" s="3">
        <v>12836.6</v>
      </c>
      <c r="H125" s="3">
        <f t="shared" si="2"/>
        <v>65445.970000000008</v>
      </c>
      <c r="J125" s="2">
        <v>27930.61</v>
      </c>
      <c r="K125" s="2">
        <v>0</v>
      </c>
      <c r="L125" s="2">
        <v>189489.85</v>
      </c>
      <c r="M125" s="2">
        <v>53775</v>
      </c>
      <c r="N125" s="2">
        <v>271195.46000000002</v>
      </c>
      <c r="P125" s="5"/>
      <c r="Q125" s="5"/>
    </row>
    <row r="126" spans="1:17" x14ac:dyDescent="0.2">
      <c r="A126" s="5">
        <v>390</v>
      </c>
      <c r="B126" s="5">
        <v>1</v>
      </c>
      <c r="C126" s="2" t="s">
        <v>122</v>
      </c>
      <c r="D126" s="3">
        <v>2158.8999999999996</v>
      </c>
      <c r="E126" s="3">
        <v>742.97</v>
      </c>
      <c r="F126" s="3">
        <v>21700.649999999998</v>
      </c>
      <c r="G126" s="3">
        <v>0</v>
      </c>
      <c r="H126" s="3">
        <f t="shared" si="2"/>
        <v>24602.519999999997</v>
      </c>
      <c r="J126" s="2">
        <v>0</v>
      </c>
      <c r="K126" s="2">
        <v>0</v>
      </c>
      <c r="L126" s="2">
        <v>0</v>
      </c>
      <c r="M126" s="2">
        <v>0</v>
      </c>
      <c r="N126" s="2">
        <v>0</v>
      </c>
      <c r="P126" s="5"/>
      <c r="Q126" s="5"/>
    </row>
    <row r="127" spans="1:17" x14ac:dyDescent="0.2">
      <c r="A127" s="5">
        <v>391</v>
      </c>
      <c r="B127" s="5">
        <v>1</v>
      </c>
      <c r="C127" s="2" t="s">
        <v>123</v>
      </c>
      <c r="D127" s="3">
        <v>9499.4599999999991</v>
      </c>
      <c r="E127" s="3">
        <v>1101.8400000000001</v>
      </c>
      <c r="F127" s="3">
        <v>0</v>
      </c>
      <c r="G127" s="3">
        <v>0</v>
      </c>
      <c r="H127" s="3">
        <f t="shared" si="2"/>
        <v>10601.3</v>
      </c>
      <c r="J127" s="2">
        <v>0</v>
      </c>
      <c r="K127" s="2">
        <v>0</v>
      </c>
      <c r="L127" s="2">
        <v>0</v>
      </c>
      <c r="M127" s="2">
        <v>0</v>
      </c>
      <c r="N127" s="2">
        <v>0</v>
      </c>
      <c r="P127" s="5"/>
      <c r="Q127" s="5"/>
    </row>
    <row r="128" spans="1:17" x14ac:dyDescent="0.2">
      <c r="A128" s="5">
        <v>392</v>
      </c>
      <c r="B128" s="5">
        <v>1</v>
      </c>
      <c r="C128" s="2" t="s">
        <v>124</v>
      </c>
      <c r="D128" s="3">
        <v>6852.8</v>
      </c>
      <c r="E128" s="3">
        <v>702.25</v>
      </c>
      <c r="F128" s="3">
        <v>14422.35</v>
      </c>
      <c r="G128" s="3">
        <v>0</v>
      </c>
      <c r="H128" s="3">
        <f t="shared" si="2"/>
        <v>21977.4</v>
      </c>
      <c r="J128" s="2">
        <v>0</v>
      </c>
      <c r="K128" s="2">
        <v>0</v>
      </c>
      <c r="L128" s="2">
        <v>0</v>
      </c>
      <c r="M128" s="2">
        <v>0</v>
      </c>
      <c r="N128" s="2">
        <v>0</v>
      </c>
      <c r="P128" s="5"/>
      <c r="Q128" s="5"/>
    </row>
    <row r="129" spans="1:17" x14ac:dyDescent="0.2">
      <c r="A129" s="5">
        <v>394</v>
      </c>
      <c r="B129" s="5">
        <v>1</v>
      </c>
      <c r="C129" s="2" t="s">
        <v>125</v>
      </c>
      <c r="D129" s="3">
        <v>11397.94</v>
      </c>
      <c r="E129" s="3">
        <v>2342.7800000000002</v>
      </c>
      <c r="F129" s="3">
        <v>61911.759999999995</v>
      </c>
      <c r="G129" s="3">
        <v>0</v>
      </c>
      <c r="H129" s="3">
        <f t="shared" si="2"/>
        <v>75652.479999999996</v>
      </c>
      <c r="J129" s="2">
        <v>0</v>
      </c>
      <c r="K129" s="2">
        <v>0</v>
      </c>
      <c r="L129" s="2">
        <v>0</v>
      </c>
      <c r="M129" s="2">
        <v>0</v>
      </c>
      <c r="N129" s="2">
        <v>0</v>
      </c>
      <c r="P129" s="5"/>
      <c r="Q129" s="5"/>
    </row>
    <row r="130" spans="1:17" x14ac:dyDescent="0.2">
      <c r="A130" s="5">
        <v>402</v>
      </c>
      <c r="B130" s="5">
        <v>1</v>
      </c>
      <c r="C130" s="2" t="s">
        <v>126</v>
      </c>
      <c r="D130" s="3">
        <v>4574.24</v>
      </c>
      <c r="E130" s="3">
        <v>591.45000000000005</v>
      </c>
      <c r="F130" s="3">
        <v>0</v>
      </c>
      <c r="G130" s="3">
        <v>0</v>
      </c>
      <c r="H130" s="3">
        <f t="shared" si="2"/>
        <v>5165.6899999999996</v>
      </c>
      <c r="J130" s="2">
        <v>0</v>
      </c>
      <c r="K130" s="2">
        <v>0</v>
      </c>
      <c r="L130" s="2">
        <v>0</v>
      </c>
      <c r="M130" s="2">
        <v>0</v>
      </c>
      <c r="N130" s="2">
        <v>0</v>
      </c>
      <c r="P130" s="5"/>
      <c r="Q130" s="5"/>
    </row>
    <row r="131" spans="1:17" x14ac:dyDescent="0.2">
      <c r="A131" s="5">
        <v>403</v>
      </c>
      <c r="B131" s="5">
        <v>1</v>
      </c>
      <c r="C131" s="2" t="s">
        <v>127</v>
      </c>
      <c r="D131" s="3">
        <v>3104.34</v>
      </c>
      <c r="E131" s="3">
        <v>546.41999999999996</v>
      </c>
      <c r="F131" s="3">
        <v>19628.27</v>
      </c>
      <c r="G131" s="3">
        <v>0</v>
      </c>
      <c r="H131" s="3">
        <f t="shared" si="2"/>
        <v>23279.03</v>
      </c>
      <c r="J131" s="2">
        <v>0</v>
      </c>
      <c r="K131" s="2">
        <v>0</v>
      </c>
      <c r="L131" s="2">
        <v>0</v>
      </c>
      <c r="M131" s="2">
        <v>0</v>
      </c>
      <c r="N131" s="2">
        <v>0</v>
      </c>
      <c r="P131" s="5"/>
      <c r="Q131" s="5"/>
    </row>
    <row r="132" spans="1:17" x14ac:dyDescent="0.2">
      <c r="A132" s="5">
        <v>404</v>
      </c>
      <c r="B132" s="5">
        <v>1</v>
      </c>
      <c r="C132" s="2" t="s">
        <v>128</v>
      </c>
      <c r="D132" s="3">
        <v>6294.34</v>
      </c>
      <c r="E132" s="3">
        <v>342.47</v>
      </c>
      <c r="F132" s="3">
        <v>14370.800000000001</v>
      </c>
      <c r="G132" s="3">
        <v>0</v>
      </c>
      <c r="H132" s="3">
        <f t="shared" si="2"/>
        <v>21007.61</v>
      </c>
      <c r="J132" s="2">
        <v>0</v>
      </c>
      <c r="K132" s="2">
        <v>0</v>
      </c>
      <c r="L132" s="2">
        <v>0</v>
      </c>
      <c r="M132" s="2">
        <v>0</v>
      </c>
      <c r="N132" s="2">
        <v>0</v>
      </c>
      <c r="P132" s="5"/>
      <c r="Q132" s="5"/>
    </row>
    <row r="133" spans="1:17" x14ac:dyDescent="0.2">
      <c r="A133" s="5">
        <v>413</v>
      </c>
      <c r="B133" s="5">
        <v>1</v>
      </c>
      <c r="C133" s="2" t="s">
        <v>129</v>
      </c>
      <c r="D133" s="3">
        <v>6105.64</v>
      </c>
      <c r="E133" s="3">
        <v>968.56</v>
      </c>
      <c r="F133" s="3">
        <v>16116.11</v>
      </c>
      <c r="G133" s="3">
        <v>754.74</v>
      </c>
      <c r="H133" s="3">
        <f t="shared" si="2"/>
        <v>23945.050000000003</v>
      </c>
      <c r="J133" s="2">
        <v>0</v>
      </c>
      <c r="K133" s="2">
        <v>0</v>
      </c>
      <c r="L133" s="2">
        <v>0</v>
      </c>
      <c r="M133" s="2">
        <v>0</v>
      </c>
      <c r="N133" s="2">
        <v>0</v>
      </c>
      <c r="P133" s="5"/>
      <c r="Q133" s="5"/>
    </row>
    <row r="134" spans="1:17" x14ac:dyDescent="0.2">
      <c r="A134" s="5">
        <v>414</v>
      </c>
      <c r="B134" s="5">
        <v>1</v>
      </c>
      <c r="C134" s="2" t="s">
        <v>130</v>
      </c>
      <c r="D134" s="3">
        <v>5579.1399999999994</v>
      </c>
      <c r="E134" s="3">
        <v>851.99</v>
      </c>
      <c r="F134" s="3">
        <v>13675.109999999999</v>
      </c>
      <c r="G134" s="3">
        <v>0</v>
      </c>
      <c r="H134" s="3">
        <f t="shared" si="2"/>
        <v>20106.239999999998</v>
      </c>
      <c r="J134" s="2">
        <v>0</v>
      </c>
      <c r="K134" s="2">
        <v>0</v>
      </c>
      <c r="L134" s="2">
        <v>0</v>
      </c>
      <c r="M134" s="2">
        <v>0</v>
      </c>
      <c r="N134" s="2">
        <v>0</v>
      </c>
      <c r="P134" s="5"/>
      <c r="Q134" s="5"/>
    </row>
    <row r="135" spans="1:17" x14ac:dyDescent="0.2">
      <c r="A135" s="5">
        <v>415</v>
      </c>
      <c r="B135" s="5">
        <v>1</v>
      </c>
      <c r="C135" s="2" t="s">
        <v>131</v>
      </c>
      <c r="D135" s="3">
        <v>2506.04</v>
      </c>
      <c r="E135" s="3">
        <v>1860.41</v>
      </c>
      <c r="F135" s="3">
        <v>0</v>
      </c>
      <c r="G135" s="3">
        <v>0</v>
      </c>
      <c r="H135" s="3">
        <f t="shared" si="2"/>
        <v>4366.45</v>
      </c>
      <c r="J135" s="2">
        <v>0</v>
      </c>
      <c r="K135" s="2">
        <v>0</v>
      </c>
      <c r="L135" s="2">
        <v>0</v>
      </c>
      <c r="M135" s="2">
        <v>0</v>
      </c>
      <c r="N135" s="2">
        <v>0</v>
      </c>
      <c r="P135" s="5"/>
      <c r="Q135" s="5"/>
    </row>
    <row r="136" spans="1:17" x14ac:dyDescent="0.2">
      <c r="A136" s="5">
        <v>423</v>
      </c>
      <c r="B136" s="5">
        <v>1</v>
      </c>
      <c r="C136" s="2" t="s">
        <v>132</v>
      </c>
      <c r="D136" s="3">
        <v>19726.36</v>
      </c>
      <c r="E136" s="3">
        <v>3558.3500000000004</v>
      </c>
      <c r="F136" s="3">
        <v>20016.43</v>
      </c>
      <c r="G136" s="3">
        <v>0</v>
      </c>
      <c r="H136" s="3">
        <f t="shared" si="2"/>
        <v>43301.14</v>
      </c>
      <c r="J136" s="2">
        <v>0</v>
      </c>
      <c r="K136" s="2">
        <v>0</v>
      </c>
      <c r="L136" s="2">
        <v>0</v>
      </c>
      <c r="M136" s="2">
        <v>0</v>
      </c>
      <c r="N136" s="2">
        <v>0</v>
      </c>
      <c r="P136" s="5"/>
      <c r="Q136" s="5"/>
    </row>
    <row r="137" spans="1:17" x14ac:dyDescent="0.2">
      <c r="A137" s="5">
        <v>424</v>
      </c>
      <c r="B137" s="5">
        <v>1</v>
      </c>
      <c r="C137" s="2" t="s">
        <v>133</v>
      </c>
      <c r="D137" s="3">
        <v>6153.42</v>
      </c>
      <c r="E137" s="3">
        <v>1048.1799999999998</v>
      </c>
      <c r="F137" s="3">
        <v>0</v>
      </c>
      <c r="G137" s="3">
        <v>0</v>
      </c>
      <c r="H137" s="3">
        <f t="shared" ref="H137:H200" si="3">SUM(D137:G137)</f>
        <v>7201.6</v>
      </c>
      <c r="J137" s="2">
        <v>0</v>
      </c>
      <c r="K137" s="2">
        <v>0</v>
      </c>
      <c r="L137" s="2">
        <v>0</v>
      </c>
      <c r="M137" s="2">
        <v>0</v>
      </c>
      <c r="N137" s="2">
        <v>0</v>
      </c>
      <c r="P137" s="5"/>
      <c r="Q137" s="5"/>
    </row>
    <row r="138" spans="1:17" x14ac:dyDescent="0.2">
      <c r="A138" s="5">
        <v>432</v>
      </c>
      <c r="B138" s="5">
        <v>1</v>
      </c>
      <c r="C138" s="2" t="s">
        <v>134</v>
      </c>
      <c r="D138" s="3">
        <v>12652.62</v>
      </c>
      <c r="E138" s="3">
        <v>2752.6699999999996</v>
      </c>
      <c r="F138" s="3">
        <v>33386.120000000003</v>
      </c>
      <c r="G138" s="3">
        <v>0</v>
      </c>
      <c r="H138" s="3">
        <f t="shared" si="3"/>
        <v>48791.41</v>
      </c>
      <c r="J138" s="2">
        <v>0</v>
      </c>
      <c r="K138" s="2">
        <v>0</v>
      </c>
      <c r="L138" s="2">
        <v>0</v>
      </c>
      <c r="M138" s="2">
        <v>0</v>
      </c>
      <c r="N138" s="2">
        <v>0</v>
      </c>
      <c r="P138" s="5"/>
      <c r="Q138" s="5"/>
    </row>
    <row r="139" spans="1:17" x14ac:dyDescent="0.2">
      <c r="A139" s="5">
        <v>435</v>
      </c>
      <c r="B139" s="5">
        <v>1</v>
      </c>
      <c r="C139" s="2" t="s">
        <v>135</v>
      </c>
      <c r="D139" s="3">
        <v>3728.93</v>
      </c>
      <c r="E139" s="3">
        <v>717.94999999999993</v>
      </c>
      <c r="F139" s="3">
        <v>15558.59</v>
      </c>
      <c r="G139" s="3">
        <v>0</v>
      </c>
      <c r="H139" s="3">
        <f t="shared" si="3"/>
        <v>20005.47</v>
      </c>
      <c r="J139" s="2">
        <v>0</v>
      </c>
      <c r="K139" s="2">
        <v>0</v>
      </c>
      <c r="L139" s="2">
        <v>0</v>
      </c>
      <c r="M139" s="2">
        <v>0</v>
      </c>
      <c r="N139" s="2">
        <v>0</v>
      </c>
      <c r="P139" s="5"/>
      <c r="Q139" s="5"/>
    </row>
    <row r="140" spans="1:17" x14ac:dyDescent="0.2">
      <c r="A140" s="5">
        <v>441</v>
      </c>
      <c r="B140" s="5">
        <v>1</v>
      </c>
      <c r="C140" s="2" t="s">
        <v>136</v>
      </c>
      <c r="D140" s="3">
        <v>8033.03</v>
      </c>
      <c r="E140" s="3">
        <v>1111.72</v>
      </c>
      <c r="F140" s="3">
        <v>0</v>
      </c>
      <c r="G140" s="3">
        <v>0</v>
      </c>
      <c r="H140" s="3">
        <f t="shared" si="3"/>
        <v>9144.75</v>
      </c>
      <c r="J140" s="2">
        <v>0</v>
      </c>
      <c r="K140" s="2">
        <v>0</v>
      </c>
      <c r="L140" s="2">
        <v>0</v>
      </c>
      <c r="M140" s="2">
        <v>0</v>
      </c>
      <c r="N140" s="2">
        <v>0</v>
      </c>
      <c r="P140" s="5"/>
      <c r="Q140" s="5"/>
    </row>
    <row r="141" spans="1:17" x14ac:dyDescent="0.2">
      <c r="A141" s="5">
        <v>447</v>
      </c>
      <c r="B141" s="5">
        <v>1</v>
      </c>
      <c r="C141" s="2" t="s">
        <v>137</v>
      </c>
      <c r="D141" s="3">
        <v>3741.8199999999997</v>
      </c>
      <c r="E141" s="3">
        <v>817.91</v>
      </c>
      <c r="F141" s="3">
        <v>5671.24</v>
      </c>
      <c r="G141" s="3">
        <v>0</v>
      </c>
      <c r="H141" s="3">
        <f t="shared" si="3"/>
        <v>10230.969999999999</v>
      </c>
      <c r="J141" s="2">
        <v>0</v>
      </c>
      <c r="K141" s="2">
        <v>0</v>
      </c>
      <c r="L141" s="2">
        <v>0</v>
      </c>
      <c r="M141" s="2">
        <v>0</v>
      </c>
      <c r="N141" s="2">
        <v>0</v>
      </c>
      <c r="P141" s="5"/>
      <c r="Q141" s="5"/>
    </row>
    <row r="142" spans="1:17" x14ac:dyDescent="0.2">
      <c r="A142" s="5">
        <v>458</v>
      </c>
      <c r="B142" s="5">
        <v>1</v>
      </c>
      <c r="C142" s="2" t="s">
        <v>138</v>
      </c>
      <c r="D142" s="3">
        <v>11423.95</v>
      </c>
      <c r="E142" s="3">
        <v>2429.9300000000003</v>
      </c>
      <c r="F142" s="3">
        <v>6082.98</v>
      </c>
      <c r="G142" s="3">
        <v>0</v>
      </c>
      <c r="H142" s="3">
        <f t="shared" si="3"/>
        <v>19936.86</v>
      </c>
      <c r="J142" s="2">
        <v>0</v>
      </c>
      <c r="K142" s="2">
        <v>0</v>
      </c>
      <c r="L142" s="2">
        <v>0</v>
      </c>
      <c r="M142" s="2">
        <v>0</v>
      </c>
      <c r="N142" s="2">
        <v>0</v>
      </c>
      <c r="P142" s="5"/>
      <c r="Q142" s="5"/>
    </row>
    <row r="143" spans="1:17" x14ac:dyDescent="0.2">
      <c r="A143" s="5">
        <v>463</v>
      </c>
      <c r="B143" s="5">
        <v>1</v>
      </c>
      <c r="C143" s="2" t="s">
        <v>139</v>
      </c>
      <c r="D143" s="3">
        <v>2299.3200000000002</v>
      </c>
      <c r="E143" s="3">
        <v>1040.22</v>
      </c>
      <c r="F143" s="3">
        <v>25766.65</v>
      </c>
      <c r="G143" s="3">
        <v>0</v>
      </c>
      <c r="H143" s="3">
        <f t="shared" si="3"/>
        <v>29106.190000000002</v>
      </c>
      <c r="J143" s="2">
        <v>0</v>
      </c>
      <c r="K143" s="2">
        <v>0</v>
      </c>
      <c r="L143" s="2">
        <v>0</v>
      </c>
      <c r="M143" s="2">
        <v>0</v>
      </c>
      <c r="N143" s="2">
        <v>0</v>
      </c>
      <c r="P143" s="5"/>
      <c r="Q143" s="5"/>
    </row>
    <row r="144" spans="1:17" x14ac:dyDescent="0.2">
      <c r="A144" s="5">
        <v>465</v>
      </c>
      <c r="B144" s="5">
        <v>1</v>
      </c>
      <c r="C144" s="2" t="s">
        <v>140</v>
      </c>
      <c r="D144" s="3">
        <v>8865.68</v>
      </c>
      <c r="E144" s="3">
        <v>1528.1399999999999</v>
      </c>
      <c r="F144" s="3">
        <v>15186.76</v>
      </c>
      <c r="G144" s="3">
        <v>0</v>
      </c>
      <c r="H144" s="3">
        <f t="shared" si="3"/>
        <v>25580.58</v>
      </c>
      <c r="J144" s="2">
        <v>0</v>
      </c>
      <c r="K144" s="2">
        <v>0</v>
      </c>
      <c r="L144" s="2">
        <v>0</v>
      </c>
      <c r="M144" s="2">
        <v>0</v>
      </c>
      <c r="N144" s="2">
        <v>0</v>
      </c>
      <c r="P144" s="5"/>
      <c r="Q144" s="5"/>
    </row>
    <row r="145" spans="1:17" x14ac:dyDescent="0.2">
      <c r="A145" s="5">
        <v>466</v>
      </c>
      <c r="B145" s="5">
        <v>1</v>
      </c>
      <c r="C145" s="2" t="s">
        <v>141</v>
      </c>
      <c r="D145" s="3">
        <v>9423.8700000000008</v>
      </c>
      <c r="E145" s="3">
        <v>2212.83</v>
      </c>
      <c r="F145" s="3">
        <v>21409.489999999998</v>
      </c>
      <c r="G145" s="3">
        <v>0</v>
      </c>
      <c r="H145" s="3">
        <f t="shared" si="3"/>
        <v>33046.19</v>
      </c>
      <c r="J145" s="2">
        <v>0</v>
      </c>
      <c r="K145" s="2">
        <v>0</v>
      </c>
      <c r="L145" s="2">
        <v>0</v>
      </c>
      <c r="M145" s="2">
        <v>0</v>
      </c>
      <c r="N145" s="2">
        <v>0</v>
      </c>
      <c r="P145" s="5"/>
      <c r="Q145" s="5"/>
    </row>
    <row r="146" spans="1:17" x14ac:dyDescent="0.2">
      <c r="A146" s="5">
        <v>473</v>
      </c>
      <c r="B146" s="5">
        <v>1</v>
      </c>
      <c r="C146" s="2" t="s">
        <v>142</v>
      </c>
      <c r="D146" s="3">
        <v>1601.05</v>
      </c>
      <c r="E146" s="3">
        <v>309.83</v>
      </c>
      <c r="F146" s="3">
        <v>4950.6899999999996</v>
      </c>
      <c r="G146" s="3">
        <v>0</v>
      </c>
      <c r="H146" s="3">
        <f t="shared" si="3"/>
        <v>6861.57</v>
      </c>
      <c r="J146" s="2">
        <v>0</v>
      </c>
      <c r="K146" s="2">
        <v>0</v>
      </c>
      <c r="L146" s="2">
        <v>0</v>
      </c>
      <c r="M146" s="2">
        <v>0</v>
      </c>
      <c r="N146" s="2">
        <v>0</v>
      </c>
      <c r="P146" s="5"/>
      <c r="Q146" s="5"/>
    </row>
    <row r="147" spans="1:17" x14ac:dyDescent="0.2">
      <c r="A147" s="5">
        <v>477</v>
      </c>
      <c r="B147" s="5">
        <v>1</v>
      </c>
      <c r="C147" s="2" t="s">
        <v>143</v>
      </c>
      <c r="D147" s="3">
        <v>19512.509999999998</v>
      </c>
      <c r="E147" s="3">
        <v>4673.07</v>
      </c>
      <c r="F147" s="3">
        <v>38110.460000000006</v>
      </c>
      <c r="G147" s="3">
        <v>151.49</v>
      </c>
      <c r="H147" s="3">
        <f t="shared" si="3"/>
        <v>62447.530000000006</v>
      </c>
      <c r="J147" s="2">
        <v>0</v>
      </c>
      <c r="K147" s="2">
        <v>0</v>
      </c>
      <c r="L147" s="2">
        <v>0</v>
      </c>
      <c r="M147" s="2">
        <v>0</v>
      </c>
      <c r="N147" s="2">
        <v>0</v>
      </c>
      <c r="P147" s="5"/>
      <c r="Q147" s="5"/>
    </row>
    <row r="148" spans="1:17" x14ac:dyDescent="0.2">
      <c r="A148" s="5">
        <v>480</v>
      </c>
      <c r="B148" s="5">
        <v>1</v>
      </c>
      <c r="C148" s="2" t="s">
        <v>144</v>
      </c>
      <c r="D148" s="3">
        <v>11663.539999999999</v>
      </c>
      <c r="E148" s="3">
        <v>723.25</v>
      </c>
      <c r="F148" s="3">
        <v>0</v>
      </c>
      <c r="G148" s="3">
        <v>0</v>
      </c>
      <c r="H148" s="3">
        <f t="shared" si="3"/>
        <v>12386.789999999999</v>
      </c>
      <c r="J148" s="2">
        <v>0</v>
      </c>
      <c r="K148" s="2">
        <v>0</v>
      </c>
      <c r="L148" s="2">
        <v>0</v>
      </c>
      <c r="M148" s="2">
        <v>0</v>
      </c>
      <c r="N148" s="2">
        <v>0</v>
      </c>
      <c r="P148" s="5"/>
      <c r="Q148" s="5"/>
    </row>
    <row r="149" spans="1:17" x14ac:dyDescent="0.2">
      <c r="A149" s="5">
        <v>482</v>
      </c>
      <c r="B149" s="5">
        <v>1</v>
      </c>
      <c r="C149" s="2" t="s">
        <v>145</v>
      </c>
      <c r="D149" s="3">
        <v>33536.42</v>
      </c>
      <c r="E149" s="3">
        <v>6955.06</v>
      </c>
      <c r="F149" s="3">
        <v>29996.67</v>
      </c>
      <c r="G149" s="3">
        <v>10508.16</v>
      </c>
      <c r="H149" s="3">
        <f t="shared" si="3"/>
        <v>80996.31</v>
      </c>
      <c r="J149" s="2">
        <v>0</v>
      </c>
      <c r="K149" s="2">
        <v>0</v>
      </c>
      <c r="L149" s="2">
        <v>0</v>
      </c>
      <c r="M149" s="2">
        <v>0</v>
      </c>
      <c r="N149" s="2">
        <v>0</v>
      </c>
      <c r="P149" s="5"/>
      <c r="Q149" s="5"/>
    </row>
    <row r="150" spans="1:17" x14ac:dyDescent="0.2">
      <c r="A150" s="5">
        <v>484</v>
      </c>
      <c r="B150" s="5">
        <v>1</v>
      </c>
      <c r="C150" s="2" t="s">
        <v>146</v>
      </c>
      <c r="D150" s="3">
        <v>10560.01</v>
      </c>
      <c r="E150" s="3">
        <v>2225.88</v>
      </c>
      <c r="F150" s="3">
        <v>16131.76</v>
      </c>
      <c r="G150" s="3">
        <v>0</v>
      </c>
      <c r="H150" s="3">
        <f t="shared" si="3"/>
        <v>28917.65</v>
      </c>
      <c r="J150" s="2">
        <v>0</v>
      </c>
      <c r="K150" s="2">
        <v>0</v>
      </c>
      <c r="L150" s="2">
        <v>0</v>
      </c>
      <c r="M150" s="2">
        <v>0</v>
      </c>
      <c r="N150" s="2">
        <v>0</v>
      </c>
      <c r="P150" s="5"/>
      <c r="Q150" s="5"/>
    </row>
    <row r="151" spans="1:17" x14ac:dyDescent="0.2">
      <c r="A151" s="5">
        <v>485</v>
      </c>
      <c r="B151" s="5">
        <v>1</v>
      </c>
      <c r="C151" s="2" t="s">
        <v>147</v>
      </c>
      <c r="D151" s="3">
        <v>4463.2300000000005</v>
      </c>
      <c r="E151" s="3">
        <v>898.05000000000007</v>
      </c>
      <c r="F151" s="3">
        <v>16565.230000000003</v>
      </c>
      <c r="G151" s="3">
        <v>0</v>
      </c>
      <c r="H151" s="3">
        <f t="shared" si="3"/>
        <v>21926.510000000002</v>
      </c>
      <c r="J151" s="2">
        <v>0</v>
      </c>
      <c r="K151" s="2">
        <v>0</v>
      </c>
      <c r="L151" s="2">
        <v>0</v>
      </c>
      <c r="M151" s="2">
        <v>0</v>
      </c>
      <c r="N151" s="2">
        <v>0</v>
      </c>
      <c r="P151" s="5"/>
      <c r="Q151" s="5"/>
    </row>
    <row r="152" spans="1:17" x14ac:dyDescent="0.2">
      <c r="A152" s="5">
        <v>486</v>
      </c>
      <c r="B152" s="5">
        <v>1</v>
      </c>
      <c r="C152" s="2" t="s">
        <v>148</v>
      </c>
      <c r="D152" s="3">
        <v>3296.4199999999996</v>
      </c>
      <c r="E152" s="3">
        <v>588.91</v>
      </c>
      <c r="F152" s="3">
        <v>12372.710000000001</v>
      </c>
      <c r="G152" s="3">
        <v>0</v>
      </c>
      <c r="H152" s="3">
        <f t="shared" si="3"/>
        <v>16258.04</v>
      </c>
      <c r="J152" s="2">
        <v>0</v>
      </c>
      <c r="K152" s="2">
        <v>0</v>
      </c>
      <c r="L152" s="2">
        <v>0</v>
      </c>
      <c r="M152" s="2">
        <v>0</v>
      </c>
      <c r="N152" s="2">
        <v>0</v>
      </c>
      <c r="P152" s="5"/>
      <c r="Q152" s="5"/>
    </row>
    <row r="153" spans="1:17" x14ac:dyDescent="0.2">
      <c r="A153" s="5">
        <v>487</v>
      </c>
      <c r="B153" s="5">
        <v>1</v>
      </c>
      <c r="C153" s="2" t="s">
        <v>149</v>
      </c>
      <c r="D153" s="3">
        <v>3178.22</v>
      </c>
      <c r="E153" s="3">
        <v>432.35</v>
      </c>
      <c r="F153" s="3">
        <v>25244.65</v>
      </c>
      <c r="G153" s="3">
        <v>0</v>
      </c>
      <c r="H153" s="3">
        <f t="shared" si="3"/>
        <v>28855.22</v>
      </c>
      <c r="J153" s="2">
        <v>0</v>
      </c>
      <c r="K153" s="2">
        <v>0</v>
      </c>
      <c r="L153" s="2">
        <v>0</v>
      </c>
      <c r="M153" s="2">
        <v>0</v>
      </c>
      <c r="N153" s="2">
        <v>0</v>
      </c>
      <c r="P153" s="5"/>
      <c r="Q153" s="5"/>
    </row>
    <row r="154" spans="1:17" x14ac:dyDescent="0.2">
      <c r="A154" s="5">
        <v>492</v>
      </c>
      <c r="B154" s="5">
        <v>1</v>
      </c>
      <c r="C154" s="2" t="s">
        <v>150</v>
      </c>
      <c r="D154" s="3">
        <v>23573.889999999992</v>
      </c>
      <c r="E154" s="3">
        <v>3571.9700000000003</v>
      </c>
      <c r="F154" s="3">
        <v>74837.100000000006</v>
      </c>
      <c r="G154" s="3">
        <v>0</v>
      </c>
      <c r="H154" s="3">
        <f t="shared" si="3"/>
        <v>101982.95999999999</v>
      </c>
      <c r="J154" s="2">
        <v>0</v>
      </c>
      <c r="K154" s="2">
        <v>0</v>
      </c>
      <c r="L154" s="2">
        <v>0</v>
      </c>
      <c r="M154" s="2">
        <v>0</v>
      </c>
      <c r="N154" s="2">
        <v>0</v>
      </c>
      <c r="P154" s="5"/>
      <c r="Q154" s="5"/>
    </row>
    <row r="155" spans="1:17" x14ac:dyDescent="0.2">
      <c r="A155" s="5">
        <v>495</v>
      </c>
      <c r="B155" s="5">
        <v>1</v>
      </c>
      <c r="C155" s="2" t="s">
        <v>151</v>
      </c>
      <c r="D155" s="3">
        <v>2117.38</v>
      </c>
      <c r="E155" s="3">
        <v>1114.1599999999999</v>
      </c>
      <c r="F155" s="3">
        <v>18023.650000000001</v>
      </c>
      <c r="G155" s="3">
        <v>0</v>
      </c>
      <c r="H155" s="3">
        <f t="shared" si="3"/>
        <v>21255.190000000002</v>
      </c>
      <c r="J155" s="2">
        <v>0</v>
      </c>
      <c r="K155" s="2">
        <v>0</v>
      </c>
      <c r="L155" s="2">
        <v>0</v>
      </c>
      <c r="M155" s="2">
        <v>0</v>
      </c>
      <c r="N155" s="2">
        <v>0</v>
      </c>
      <c r="P155" s="5"/>
      <c r="Q155" s="5"/>
    </row>
    <row r="156" spans="1:17" x14ac:dyDescent="0.2">
      <c r="A156" s="5">
        <v>497</v>
      </c>
      <c r="B156" s="5">
        <v>1</v>
      </c>
      <c r="C156" s="2" t="s">
        <v>152</v>
      </c>
      <c r="D156" s="3">
        <v>2711.1500000000005</v>
      </c>
      <c r="E156" s="3">
        <v>814.31</v>
      </c>
      <c r="F156" s="3">
        <v>23455.559999999998</v>
      </c>
      <c r="G156" s="3">
        <v>0</v>
      </c>
      <c r="H156" s="3">
        <f t="shared" si="3"/>
        <v>26981.019999999997</v>
      </c>
      <c r="J156" s="2">
        <v>0</v>
      </c>
      <c r="K156" s="2">
        <v>0</v>
      </c>
      <c r="L156" s="2">
        <v>0</v>
      </c>
      <c r="M156" s="2">
        <v>0</v>
      </c>
      <c r="N156" s="2">
        <v>0</v>
      </c>
      <c r="P156" s="5"/>
      <c r="Q156" s="5"/>
    </row>
    <row r="157" spans="1:17" x14ac:dyDescent="0.2">
      <c r="A157" s="5">
        <v>499</v>
      </c>
      <c r="B157" s="5">
        <v>1</v>
      </c>
      <c r="C157" s="2" t="s">
        <v>153</v>
      </c>
      <c r="D157" s="3">
        <v>-964.24000000000024</v>
      </c>
      <c r="E157" s="3">
        <v>1514.1</v>
      </c>
      <c r="F157" s="3">
        <v>6172.78</v>
      </c>
      <c r="G157" s="3">
        <v>2894.0699999999997</v>
      </c>
      <c r="H157" s="3">
        <f t="shared" si="3"/>
        <v>9616.7099999999991</v>
      </c>
      <c r="J157" s="2">
        <v>0</v>
      </c>
      <c r="K157" s="2">
        <v>0</v>
      </c>
      <c r="L157" s="2">
        <v>0</v>
      </c>
      <c r="M157" s="2">
        <v>0</v>
      </c>
      <c r="N157" s="2">
        <v>0</v>
      </c>
      <c r="P157" s="5"/>
      <c r="Q157" s="5"/>
    </row>
    <row r="158" spans="1:17" x14ac:dyDescent="0.2">
      <c r="A158" s="5">
        <v>500</v>
      </c>
      <c r="B158" s="5">
        <v>1</v>
      </c>
      <c r="C158" s="2" t="s">
        <v>154</v>
      </c>
      <c r="D158" s="3">
        <v>7371.82</v>
      </c>
      <c r="E158" s="3">
        <v>2439.56</v>
      </c>
      <c r="F158" s="3">
        <v>6819.26</v>
      </c>
      <c r="G158" s="3">
        <v>0</v>
      </c>
      <c r="H158" s="3">
        <f t="shared" si="3"/>
        <v>16630.64</v>
      </c>
      <c r="J158" s="2">
        <v>0</v>
      </c>
      <c r="K158" s="2">
        <v>0</v>
      </c>
      <c r="L158" s="2">
        <v>0</v>
      </c>
      <c r="M158" s="2">
        <v>0</v>
      </c>
      <c r="N158" s="2">
        <v>0</v>
      </c>
      <c r="P158" s="5"/>
      <c r="Q158" s="5"/>
    </row>
    <row r="159" spans="1:17" x14ac:dyDescent="0.2">
      <c r="A159" s="5">
        <v>505</v>
      </c>
      <c r="B159" s="5">
        <v>1</v>
      </c>
      <c r="C159" s="2" t="s">
        <v>155</v>
      </c>
      <c r="D159" s="3">
        <v>13142.11</v>
      </c>
      <c r="E159" s="3">
        <v>3180.7</v>
      </c>
      <c r="F159" s="3">
        <v>0</v>
      </c>
      <c r="G159" s="3">
        <v>0</v>
      </c>
      <c r="H159" s="3">
        <f t="shared" si="3"/>
        <v>16322.810000000001</v>
      </c>
      <c r="J159" s="2">
        <v>0</v>
      </c>
      <c r="K159" s="2">
        <v>0</v>
      </c>
      <c r="L159" s="2">
        <v>0</v>
      </c>
      <c r="M159" s="2">
        <v>0</v>
      </c>
      <c r="N159" s="2">
        <v>0</v>
      </c>
      <c r="P159" s="5"/>
      <c r="Q159" s="5"/>
    </row>
    <row r="160" spans="1:17" x14ac:dyDescent="0.2">
      <c r="A160" s="5">
        <v>507</v>
      </c>
      <c r="B160" s="5">
        <v>1</v>
      </c>
      <c r="C160" s="2" t="s">
        <v>156</v>
      </c>
      <c r="D160" s="3">
        <v>-455.90999999999985</v>
      </c>
      <c r="E160" s="3">
        <v>640.54999999999995</v>
      </c>
      <c r="F160" s="3">
        <v>10759.6</v>
      </c>
      <c r="G160" s="3">
        <v>0</v>
      </c>
      <c r="H160" s="3">
        <f t="shared" si="3"/>
        <v>10944.24</v>
      </c>
      <c r="J160" s="2">
        <v>0</v>
      </c>
      <c r="K160" s="2">
        <v>0</v>
      </c>
      <c r="L160" s="2">
        <v>0</v>
      </c>
      <c r="M160" s="2">
        <v>0</v>
      </c>
      <c r="N160" s="2">
        <v>0</v>
      </c>
      <c r="P160" s="5"/>
      <c r="Q160" s="5"/>
    </row>
    <row r="161" spans="1:17" x14ac:dyDescent="0.2">
      <c r="A161" s="5">
        <v>508</v>
      </c>
      <c r="B161" s="5">
        <v>1</v>
      </c>
      <c r="C161" s="2" t="s">
        <v>157</v>
      </c>
      <c r="D161" s="3">
        <v>1519.3999999999996</v>
      </c>
      <c r="E161" s="3">
        <v>1171.67</v>
      </c>
      <c r="F161" s="3">
        <v>980.79</v>
      </c>
      <c r="G161" s="3">
        <v>0</v>
      </c>
      <c r="H161" s="3">
        <f t="shared" si="3"/>
        <v>3671.8599999999997</v>
      </c>
      <c r="J161" s="2">
        <v>0</v>
      </c>
      <c r="K161" s="2">
        <v>0</v>
      </c>
      <c r="L161" s="2">
        <v>0</v>
      </c>
      <c r="M161" s="2">
        <v>0</v>
      </c>
      <c r="N161" s="2">
        <v>0</v>
      </c>
      <c r="P161" s="5"/>
      <c r="Q161" s="5"/>
    </row>
    <row r="162" spans="1:17" x14ac:dyDescent="0.2">
      <c r="A162" s="5">
        <v>511</v>
      </c>
      <c r="B162" s="5">
        <v>1</v>
      </c>
      <c r="C162" s="2" t="s">
        <v>158</v>
      </c>
      <c r="D162" s="3">
        <v>7125.23</v>
      </c>
      <c r="E162" s="3">
        <v>272.8</v>
      </c>
      <c r="F162" s="3">
        <v>18834.25</v>
      </c>
      <c r="G162" s="3">
        <v>0</v>
      </c>
      <c r="H162" s="3">
        <f t="shared" si="3"/>
        <v>26232.28</v>
      </c>
      <c r="J162" s="2">
        <v>0</v>
      </c>
      <c r="K162" s="2">
        <v>0</v>
      </c>
      <c r="L162" s="2">
        <v>0</v>
      </c>
      <c r="M162" s="2">
        <v>0</v>
      </c>
      <c r="N162" s="2">
        <v>0</v>
      </c>
      <c r="P162" s="5"/>
      <c r="Q162" s="5"/>
    </row>
    <row r="163" spans="1:17" x14ac:dyDescent="0.2">
      <c r="A163" s="5">
        <v>513</v>
      </c>
      <c r="B163" s="5">
        <v>1</v>
      </c>
      <c r="C163" s="2" t="s">
        <v>159</v>
      </c>
      <c r="D163" s="3">
        <v>5709.41</v>
      </c>
      <c r="E163" s="3">
        <v>654.63</v>
      </c>
      <c r="F163" s="3">
        <v>0</v>
      </c>
      <c r="G163" s="3">
        <v>0</v>
      </c>
      <c r="H163" s="3">
        <f t="shared" si="3"/>
        <v>6364.04</v>
      </c>
      <c r="J163" s="2">
        <v>0</v>
      </c>
      <c r="K163" s="2">
        <v>0</v>
      </c>
      <c r="L163" s="2">
        <v>0</v>
      </c>
      <c r="M163" s="2">
        <v>0</v>
      </c>
      <c r="N163" s="2">
        <v>0</v>
      </c>
      <c r="P163" s="5"/>
      <c r="Q163" s="5"/>
    </row>
    <row r="164" spans="1:17" x14ac:dyDescent="0.2">
      <c r="A164" s="5">
        <v>514</v>
      </c>
      <c r="B164" s="5">
        <v>1</v>
      </c>
      <c r="C164" s="2" t="s">
        <v>160</v>
      </c>
      <c r="D164" s="3">
        <v>3460.84</v>
      </c>
      <c r="E164" s="3">
        <v>537.37</v>
      </c>
      <c r="F164" s="3">
        <v>0</v>
      </c>
      <c r="G164" s="3">
        <v>0</v>
      </c>
      <c r="H164" s="3">
        <f t="shared" si="3"/>
        <v>3998.21</v>
      </c>
      <c r="J164" s="2">
        <v>0</v>
      </c>
      <c r="K164" s="2">
        <v>0</v>
      </c>
      <c r="L164" s="2">
        <v>0</v>
      </c>
      <c r="M164" s="2">
        <v>0</v>
      </c>
      <c r="N164" s="2">
        <v>0</v>
      </c>
      <c r="P164" s="5"/>
      <c r="Q164" s="5"/>
    </row>
    <row r="165" spans="1:17" x14ac:dyDescent="0.2">
      <c r="A165" s="5">
        <v>516</v>
      </c>
      <c r="B165" s="5">
        <v>1</v>
      </c>
      <c r="C165" s="2" t="s">
        <v>161</v>
      </c>
      <c r="D165" s="3">
        <v>1802.8</v>
      </c>
      <c r="E165" s="3">
        <v>787.04</v>
      </c>
      <c r="F165" s="3">
        <v>0</v>
      </c>
      <c r="G165" s="3">
        <v>0</v>
      </c>
      <c r="H165" s="3">
        <f t="shared" si="3"/>
        <v>2589.84</v>
      </c>
      <c r="J165" s="2">
        <v>0</v>
      </c>
      <c r="K165" s="2">
        <v>0</v>
      </c>
      <c r="L165" s="2">
        <v>0</v>
      </c>
      <c r="M165" s="2">
        <v>0</v>
      </c>
      <c r="N165" s="2">
        <v>0</v>
      </c>
      <c r="P165" s="5"/>
      <c r="Q165" s="5"/>
    </row>
    <row r="166" spans="1:17" x14ac:dyDescent="0.2">
      <c r="A166" s="5">
        <v>518</v>
      </c>
      <c r="B166" s="5">
        <v>1</v>
      </c>
      <c r="C166" s="2" t="s">
        <v>162</v>
      </c>
      <c r="D166" s="3">
        <v>20355.099999999999</v>
      </c>
      <c r="E166" s="3">
        <v>5748.15</v>
      </c>
      <c r="F166" s="3">
        <v>78131.16</v>
      </c>
      <c r="G166" s="3">
        <v>0</v>
      </c>
      <c r="H166" s="3">
        <f t="shared" si="3"/>
        <v>104234.41</v>
      </c>
      <c r="J166" s="2">
        <v>0</v>
      </c>
      <c r="K166" s="2">
        <v>0</v>
      </c>
      <c r="L166" s="2">
        <v>0</v>
      </c>
      <c r="M166" s="2">
        <v>0</v>
      </c>
      <c r="N166" s="2">
        <v>0</v>
      </c>
      <c r="P166" s="5"/>
      <c r="Q166" s="5"/>
    </row>
    <row r="167" spans="1:17" x14ac:dyDescent="0.2">
      <c r="A167" s="5">
        <v>531</v>
      </c>
      <c r="B167" s="5">
        <v>1</v>
      </c>
      <c r="C167" s="2" t="s">
        <v>163</v>
      </c>
      <c r="D167" s="3">
        <v>3629.87</v>
      </c>
      <c r="E167" s="3">
        <v>876.30000000000007</v>
      </c>
      <c r="F167" s="3">
        <v>22101.22</v>
      </c>
      <c r="G167" s="3">
        <v>0</v>
      </c>
      <c r="H167" s="3">
        <f t="shared" si="3"/>
        <v>26607.39</v>
      </c>
      <c r="J167" s="2">
        <v>0</v>
      </c>
      <c r="K167" s="2">
        <v>0</v>
      </c>
      <c r="L167" s="2">
        <v>0</v>
      </c>
      <c r="M167" s="2">
        <v>0</v>
      </c>
      <c r="N167" s="2">
        <v>0</v>
      </c>
      <c r="P167" s="5"/>
      <c r="Q167" s="5"/>
    </row>
    <row r="168" spans="1:17" x14ac:dyDescent="0.2">
      <c r="A168" s="5">
        <v>533</v>
      </c>
      <c r="B168" s="5">
        <v>1</v>
      </c>
      <c r="C168" s="2" t="s">
        <v>164</v>
      </c>
      <c r="D168" s="3">
        <v>5755.94</v>
      </c>
      <c r="E168" s="3">
        <v>511.83</v>
      </c>
      <c r="F168" s="3">
        <v>20241.28</v>
      </c>
      <c r="G168" s="3">
        <v>0</v>
      </c>
      <c r="H168" s="3">
        <f t="shared" si="3"/>
        <v>26509.05</v>
      </c>
      <c r="J168" s="2">
        <v>0</v>
      </c>
      <c r="K168" s="2">
        <v>0</v>
      </c>
      <c r="L168" s="2">
        <v>0</v>
      </c>
      <c r="M168" s="2">
        <v>0</v>
      </c>
      <c r="N168" s="2">
        <v>0</v>
      </c>
      <c r="P168" s="5"/>
      <c r="Q168" s="5"/>
    </row>
    <row r="169" spans="1:17" x14ac:dyDescent="0.2">
      <c r="A169" s="5">
        <v>534</v>
      </c>
      <c r="B169" s="5">
        <v>1</v>
      </c>
      <c r="C169" s="2" t="s">
        <v>165</v>
      </c>
      <c r="D169" s="3">
        <v>6903.4499999999989</v>
      </c>
      <c r="E169" s="3">
        <v>1623.32</v>
      </c>
      <c r="F169" s="3">
        <v>24919.21</v>
      </c>
      <c r="G169" s="3">
        <v>0</v>
      </c>
      <c r="H169" s="3">
        <f t="shared" si="3"/>
        <v>33445.979999999996</v>
      </c>
      <c r="J169" s="2">
        <v>0</v>
      </c>
      <c r="K169" s="2">
        <v>0</v>
      </c>
      <c r="L169" s="2">
        <v>0</v>
      </c>
      <c r="M169" s="2">
        <v>0</v>
      </c>
      <c r="N169" s="2">
        <v>0</v>
      </c>
      <c r="P169" s="5"/>
      <c r="Q169" s="5"/>
    </row>
    <row r="170" spans="1:17" x14ac:dyDescent="0.2">
      <c r="A170" s="5">
        <v>535</v>
      </c>
      <c r="B170" s="5">
        <v>1</v>
      </c>
      <c r="C170" s="2" t="s">
        <v>166</v>
      </c>
      <c r="D170" s="3">
        <v>19835.47</v>
      </c>
      <c r="E170" s="3">
        <v>2414.71</v>
      </c>
      <c r="F170" s="3">
        <v>13365.630000000001</v>
      </c>
      <c r="G170" s="3">
        <v>0</v>
      </c>
      <c r="H170" s="3">
        <f t="shared" si="3"/>
        <v>35615.81</v>
      </c>
      <c r="J170" s="2">
        <v>0</v>
      </c>
      <c r="K170" s="2">
        <v>0</v>
      </c>
      <c r="L170" s="2">
        <v>0</v>
      </c>
      <c r="M170" s="2">
        <v>0</v>
      </c>
      <c r="N170" s="2">
        <v>0</v>
      </c>
      <c r="P170" s="5"/>
      <c r="Q170" s="5"/>
    </row>
    <row r="171" spans="1:17" x14ac:dyDescent="0.2">
      <c r="A171" s="5">
        <v>542</v>
      </c>
      <c r="B171" s="5">
        <v>1</v>
      </c>
      <c r="C171" s="2" t="s">
        <v>167</v>
      </c>
      <c r="D171" s="3">
        <v>2421.5699999999997</v>
      </c>
      <c r="E171" s="3">
        <v>446.86000000000007</v>
      </c>
      <c r="F171" s="3">
        <v>5011.3</v>
      </c>
      <c r="G171" s="3">
        <v>0</v>
      </c>
      <c r="H171" s="3">
        <f t="shared" si="3"/>
        <v>7879.73</v>
      </c>
      <c r="J171" s="2">
        <v>0</v>
      </c>
      <c r="K171" s="2">
        <v>0</v>
      </c>
      <c r="L171" s="2">
        <v>0</v>
      </c>
      <c r="M171" s="2">
        <v>0</v>
      </c>
      <c r="N171" s="2">
        <v>0</v>
      </c>
      <c r="P171" s="5"/>
      <c r="Q171" s="5"/>
    </row>
    <row r="172" spans="1:17" x14ac:dyDescent="0.2">
      <c r="A172" s="5">
        <v>544</v>
      </c>
      <c r="B172" s="5">
        <v>1</v>
      </c>
      <c r="C172" s="2" t="s">
        <v>168</v>
      </c>
      <c r="D172" s="3">
        <v>12858.839999999998</v>
      </c>
      <c r="E172" s="3">
        <v>2533.4699999999998</v>
      </c>
      <c r="F172" s="3">
        <v>27508.93</v>
      </c>
      <c r="G172" s="3">
        <v>0</v>
      </c>
      <c r="H172" s="3">
        <f t="shared" si="3"/>
        <v>42901.24</v>
      </c>
      <c r="J172" s="2">
        <v>0</v>
      </c>
      <c r="K172" s="2">
        <v>0</v>
      </c>
      <c r="L172" s="2">
        <v>0</v>
      </c>
      <c r="M172" s="2">
        <v>0</v>
      </c>
      <c r="N172" s="2">
        <v>0</v>
      </c>
      <c r="P172" s="5"/>
      <c r="Q172" s="5"/>
    </row>
    <row r="173" spans="1:17" x14ac:dyDescent="0.2">
      <c r="A173" s="5">
        <v>545</v>
      </c>
      <c r="B173" s="5">
        <v>1</v>
      </c>
      <c r="C173" s="2" t="s">
        <v>169</v>
      </c>
      <c r="D173" s="3">
        <v>5222.8500000000004</v>
      </c>
      <c r="E173" s="3">
        <v>1080.3700000000001</v>
      </c>
      <c r="F173" s="3">
        <v>10427.9</v>
      </c>
      <c r="G173" s="3">
        <v>0</v>
      </c>
      <c r="H173" s="3">
        <f t="shared" si="3"/>
        <v>16731.12</v>
      </c>
      <c r="J173" s="2">
        <v>0</v>
      </c>
      <c r="K173" s="2">
        <v>0</v>
      </c>
      <c r="L173" s="2">
        <v>0</v>
      </c>
      <c r="M173" s="2">
        <v>0</v>
      </c>
      <c r="N173" s="2">
        <v>0</v>
      </c>
      <c r="P173" s="5"/>
      <c r="Q173" s="5"/>
    </row>
    <row r="174" spans="1:17" x14ac:dyDescent="0.2">
      <c r="A174" s="5">
        <v>547</v>
      </c>
      <c r="B174" s="5">
        <v>1</v>
      </c>
      <c r="C174" s="2" t="s">
        <v>170</v>
      </c>
      <c r="D174" s="3">
        <v>2990.98</v>
      </c>
      <c r="E174" s="3">
        <v>1521.9899999999998</v>
      </c>
      <c r="F174" s="3">
        <v>12671.109999999999</v>
      </c>
      <c r="G174" s="3">
        <v>0</v>
      </c>
      <c r="H174" s="3">
        <f t="shared" si="3"/>
        <v>17184.079999999998</v>
      </c>
      <c r="J174" s="2">
        <v>0</v>
      </c>
      <c r="K174" s="2">
        <v>0</v>
      </c>
      <c r="L174" s="2">
        <v>0</v>
      </c>
      <c r="M174" s="2">
        <v>0</v>
      </c>
      <c r="N174" s="2">
        <v>0</v>
      </c>
      <c r="P174" s="5"/>
      <c r="Q174" s="5"/>
    </row>
    <row r="175" spans="1:17" x14ac:dyDescent="0.2">
      <c r="A175" s="5">
        <v>548</v>
      </c>
      <c r="B175" s="5">
        <v>1</v>
      </c>
      <c r="C175" s="2" t="s">
        <v>171</v>
      </c>
      <c r="D175" s="3">
        <v>4063.2400000000002</v>
      </c>
      <c r="E175" s="3">
        <v>1112.6300000000001</v>
      </c>
      <c r="F175" s="3">
        <v>3073.7</v>
      </c>
      <c r="G175" s="3">
        <v>1456.0500000000002</v>
      </c>
      <c r="H175" s="3">
        <f t="shared" si="3"/>
        <v>9705.619999999999</v>
      </c>
      <c r="J175" s="2">
        <v>0</v>
      </c>
      <c r="K175" s="2">
        <v>0</v>
      </c>
      <c r="L175" s="2">
        <v>0</v>
      </c>
      <c r="M175" s="2">
        <v>0</v>
      </c>
      <c r="N175" s="2">
        <v>0</v>
      </c>
      <c r="P175" s="5"/>
      <c r="Q175" s="5"/>
    </row>
    <row r="176" spans="1:17" x14ac:dyDescent="0.2">
      <c r="A176" s="5">
        <v>549</v>
      </c>
      <c r="B176" s="5">
        <v>1</v>
      </c>
      <c r="C176" s="2" t="s">
        <v>172</v>
      </c>
      <c r="D176" s="3">
        <v>9051.9699999999993</v>
      </c>
      <c r="E176" s="3">
        <v>1750.97</v>
      </c>
      <c r="F176" s="3">
        <v>14947.01</v>
      </c>
      <c r="G176" s="3">
        <v>1078.3699999999999</v>
      </c>
      <c r="H176" s="3">
        <f t="shared" si="3"/>
        <v>26828.319999999996</v>
      </c>
      <c r="J176" s="2">
        <v>0</v>
      </c>
      <c r="K176" s="2">
        <v>0</v>
      </c>
      <c r="L176" s="2">
        <v>0</v>
      </c>
      <c r="M176" s="2">
        <v>0</v>
      </c>
      <c r="N176" s="2">
        <v>0</v>
      </c>
      <c r="P176" s="5"/>
      <c r="Q176" s="5"/>
    </row>
    <row r="177" spans="1:17" x14ac:dyDescent="0.2">
      <c r="A177" s="5">
        <v>550</v>
      </c>
      <c r="B177" s="5">
        <v>1</v>
      </c>
      <c r="C177" s="2" t="s">
        <v>173</v>
      </c>
      <c r="D177" s="3">
        <v>1800.88</v>
      </c>
      <c r="E177" s="3">
        <v>849.53</v>
      </c>
      <c r="F177" s="3">
        <v>16680.04</v>
      </c>
      <c r="G177" s="3">
        <v>0</v>
      </c>
      <c r="H177" s="3">
        <f t="shared" si="3"/>
        <v>19330.45</v>
      </c>
      <c r="J177" s="2">
        <v>0</v>
      </c>
      <c r="K177" s="2">
        <v>0</v>
      </c>
      <c r="L177" s="2">
        <v>0</v>
      </c>
      <c r="M177" s="2">
        <v>0</v>
      </c>
      <c r="N177" s="2">
        <v>0</v>
      </c>
      <c r="P177" s="5"/>
      <c r="Q177" s="5"/>
    </row>
    <row r="178" spans="1:17" x14ac:dyDescent="0.2">
      <c r="A178" s="5">
        <v>553</v>
      </c>
      <c r="B178" s="5">
        <v>1</v>
      </c>
      <c r="C178" s="2" t="s">
        <v>174</v>
      </c>
      <c r="D178" s="3">
        <v>3087.7999999999997</v>
      </c>
      <c r="E178" s="3">
        <v>2185.42</v>
      </c>
      <c r="F178" s="3">
        <v>36949.770000000004</v>
      </c>
      <c r="G178" s="3">
        <v>0</v>
      </c>
      <c r="H178" s="3">
        <f t="shared" si="3"/>
        <v>42222.990000000005</v>
      </c>
      <c r="J178" s="2">
        <v>0</v>
      </c>
      <c r="K178" s="2">
        <v>0</v>
      </c>
      <c r="L178" s="2">
        <v>0</v>
      </c>
      <c r="M178" s="2">
        <v>0</v>
      </c>
      <c r="N178" s="2">
        <v>0</v>
      </c>
      <c r="P178" s="5"/>
      <c r="Q178" s="5"/>
    </row>
    <row r="179" spans="1:17" x14ac:dyDescent="0.2">
      <c r="A179" s="5">
        <v>561</v>
      </c>
      <c r="B179" s="5">
        <v>1</v>
      </c>
      <c r="C179" s="2" t="s">
        <v>175</v>
      </c>
      <c r="D179" s="3">
        <v>10885.27</v>
      </c>
      <c r="E179" s="3">
        <v>3067.25</v>
      </c>
      <c r="F179" s="3">
        <v>0</v>
      </c>
      <c r="G179" s="3">
        <v>0</v>
      </c>
      <c r="H179" s="3">
        <f t="shared" si="3"/>
        <v>13952.52</v>
      </c>
      <c r="J179" s="2">
        <v>0</v>
      </c>
      <c r="K179" s="2">
        <v>0</v>
      </c>
      <c r="L179" s="2">
        <v>0</v>
      </c>
      <c r="M179" s="2">
        <v>0</v>
      </c>
      <c r="N179" s="2">
        <v>0</v>
      </c>
      <c r="P179" s="5"/>
      <c r="Q179" s="5"/>
    </row>
    <row r="180" spans="1:17" x14ac:dyDescent="0.2">
      <c r="A180" s="5">
        <v>564</v>
      </c>
      <c r="B180" s="5">
        <v>1</v>
      </c>
      <c r="C180" s="2" t="s">
        <v>176</v>
      </c>
      <c r="D180" s="3">
        <v>28676.699999999997</v>
      </c>
      <c r="E180" s="3">
        <v>4164.75</v>
      </c>
      <c r="F180" s="3">
        <v>80508.590000000011</v>
      </c>
      <c r="G180" s="3">
        <v>8114.2999999999993</v>
      </c>
      <c r="H180" s="3">
        <f t="shared" si="3"/>
        <v>121464.34000000001</v>
      </c>
      <c r="J180" s="2">
        <v>0</v>
      </c>
      <c r="K180" s="2">
        <v>0</v>
      </c>
      <c r="L180" s="2">
        <v>0</v>
      </c>
      <c r="M180" s="2">
        <v>0</v>
      </c>
      <c r="N180" s="2">
        <v>0</v>
      </c>
      <c r="P180" s="5"/>
      <c r="Q180" s="5"/>
    </row>
    <row r="181" spans="1:17" x14ac:dyDescent="0.2">
      <c r="A181" s="5">
        <v>577</v>
      </c>
      <c r="B181" s="5">
        <v>1</v>
      </c>
      <c r="C181" s="2" t="s">
        <v>177</v>
      </c>
      <c r="D181" s="3">
        <v>2376.8000000000002</v>
      </c>
      <c r="E181" s="3">
        <v>761.38</v>
      </c>
      <c r="F181" s="3">
        <v>4994.22</v>
      </c>
      <c r="G181" s="3">
        <v>0</v>
      </c>
      <c r="H181" s="3">
        <f t="shared" si="3"/>
        <v>8132.4000000000005</v>
      </c>
      <c r="J181" s="2">
        <v>0</v>
      </c>
      <c r="K181" s="2">
        <v>0</v>
      </c>
      <c r="L181" s="2">
        <v>0</v>
      </c>
      <c r="M181" s="2">
        <v>0</v>
      </c>
      <c r="N181" s="2">
        <v>0</v>
      </c>
      <c r="P181" s="5"/>
      <c r="Q181" s="5"/>
    </row>
    <row r="182" spans="1:17" x14ac:dyDescent="0.2">
      <c r="A182" s="5">
        <v>578</v>
      </c>
      <c r="B182" s="5">
        <v>1</v>
      </c>
      <c r="C182" s="2" t="s">
        <v>178</v>
      </c>
      <c r="D182" s="3">
        <v>7325.28</v>
      </c>
      <c r="E182" s="3">
        <v>1985.64</v>
      </c>
      <c r="F182" s="3">
        <v>17936.25</v>
      </c>
      <c r="G182" s="3">
        <v>0</v>
      </c>
      <c r="H182" s="3">
        <f t="shared" si="3"/>
        <v>27247.17</v>
      </c>
      <c r="J182" s="2">
        <v>0</v>
      </c>
      <c r="K182" s="2">
        <v>0</v>
      </c>
      <c r="L182" s="2">
        <v>0</v>
      </c>
      <c r="M182" s="2">
        <v>0</v>
      </c>
      <c r="N182" s="2">
        <v>0</v>
      </c>
      <c r="P182" s="5"/>
      <c r="Q182" s="5"/>
    </row>
    <row r="183" spans="1:17" x14ac:dyDescent="0.2">
      <c r="A183" s="5">
        <v>581</v>
      </c>
      <c r="B183" s="5">
        <v>1</v>
      </c>
      <c r="C183" s="2" t="s">
        <v>179</v>
      </c>
      <c r="D183" s="3">
        <v>12954.44</v>
      </c>
      <c r="E183" s="3">
        <v>2917.34</v>
      </c>
      <c r="F183" s="3">
        <v>6066.13</v>
      </c>
      <c r="G183" s="3">
        <v>0</v>
      </c>
      <c r="H183" s="3">
        <f t="shared" si="3"/>
        <v>21937.91</v>
      </c>
      <c r="J183" s="2">
        <v>0</v>
      </c>
      <c r="K183" s="2">
        <v>0</v>
      </c>
      <c r="L183" s="2">
        <v>0</v>
      </c>
      <c r="M183" s="2">
        <v>0</v>
      </c>
      <c r="N183" s="2">
        <v>0</v>
      </c>
      <c r="P183" s="5"/>
      <c r="Q183" s="5"/>
    </row>
    <row r="184" spans="1:17" x14ac:dyDescent="0.2">
      <c r="A184" s="5">
        <v>592</v>
      </c>
      <c r="B184" s="5">
        <v>1</v>
      </c>
      <c r="C184" s="2" t="s">
        <v>180</v>
      </c>
      <c r="D184" s="3">
        <v>3502.43</v>
      </c>
      <c r="E184" s="3">
        <v>70.97</v>
      </c>
      <c r="F184" s="3">
        <v>534.43000000000006</v>
      </c>
      <c r="G184" s="3">
        <v>0</v>
      </c>
      <c r="H184" s="3">
        <f t="shared" si="3"/>
        <v>4107.83</v>
      </c>
      <c r="J184" s="2">
        <v>0</v>
      </c>
      <c r="K184" s="2">
        <v>0</v>
      </c>
      <c r="L184" s="2">
        <v>0</v>
      </c>
      <c r="M184" s="2">
        <v>0</v>
      </c>
      <c r="N184" s="2">
        <v>0</v>
      </c>
      <c r="P184" s="5"/>
      <c r="Q184" s="5"/>
    </row>
    <row r="185" spans="1:17" x14ac:dyDescent="0.2">
      <c r="A185" s="5">
        <v>593</v>
      </c>
      <c r="B185" s="5">
        <v>1</v>
      </c>
      <c r="C185" s="2" t="s">
        <v>181</v>
      </c>
      <c r="D185" s="3">
        <v>34950.080000000002</v>
      </c>
      <c r="E185" s="3">
        <v>5.88</v>
      </c>
      <c r="F185" s="3">
        <v>44463.07</v>
      </c>
      <c r="G185" s="3">
        <v>0</v>
      </c>
      <c r="H185" s="3">
        <f t="shared" si="3"/>
        <v>79419.03</v>
      </c>
      <c r="J185" s="2">
        <v>0</v>
      </c>
      <c r="K185" s="2">
        <v>0</v>
      </c>
      <c r="L185" s="2">
        <v>0</v>
      </c>
      <c r="M185" s="2">
        <v>0</v>
      </c>
      <c r="N185" s="2">
        <v>0</v>
      </c>
      <c r="P185" s="5"/>
      <c r="Q185" s="5"/>
    </row>
    <row r="186" spans="1:17" x14ac:dyDescent="0.2">
      <c r="A186" s="5">
        <v>595</v>
      </c>
      <c r="B186" s="5">
        <v>1</v>
      </c>
      <c r="C186" s="2" t="s">
        <v>182</v>
      </c>
      <c r="D186" s="3">
        <v>49193.229999999996</v>
      </c>
      <c r="E186" s="3">
        <v>0</v>
      </c>
      <c r="F186" s="3">
        <v>74999.7</v>
      </c>
      <c r="G186" s="3">
        <v>0</v>
      </c>
      <c r="H186" s="3">
        <f t="shared" si="3"/>
        <v>124192.93</v>
      </c>
      <c r="J186" s="2">
        <v>0</v>
      </c>
      <c r="K186" s="2">
        <v>0</v>
      </c>
      <c r="L186" s="2">
        <v>0</v>
      </c>
      <c r="M186" s="2">
        <v>0</v>
      </c>
      <c r="N186" s="2">
        <v>0</v>
      </c>
      <c r="P186" s="5"/>
      <c r="Q186" s="5"/>
    </row>
    <row r="187" spans="1:17" x14ac:dyDescent="0.2">
      <c r="A187" s="5">
        <v>599</v>
      </c>
      <c r="B187" s="5">
        <v>1</v>
      </c>
      <c r="C187" s="2" t="s">
        <v>183</v>
      </c>
      <c r="D187" s="3">
        <v>9796.99</v>
      </c>
      <c r="E187" s="3">
        <v>190.93</v>
      </c>
      <c r="F187" s="3">
        <v>1140.45</v>
      </c>
      <c r="G187" s="3">
        <v>0</v>
      </c>
      <c r="H187" s="3">
        <f t="shared" si="3"/>
        <v>11128.37</v>
      </c>
      <c r="J187" s="2">
        <v>0</v>
      </c>
      <c r="K187" s="2">
        <v>0</v>
      </c>
      <c r="L187" s="2">
        <v>0</v>
      </c>
      <c r="M187" s="2">
        <v>0</v>
      </c>
      <c r="N187" s="2">
        <v>0</v>
      </c>
      <c r="P187" s="5"/>
      <c r="Q187" s="5"/>
    </row>
    <row r="188" spans="1:17" x14ac:dyDescent="0.2">
      <c r="A188" s="5">
        <v>600</v>
      </c>
      <c r="B188" s="5">
        <v>1</v>
      </c>
      <c r="C188" s="2" t="s">
        <v>184</v>
      </c>
      <c r="D188" s="3">
        <v>2999.16</v>
      </c>
      <c r="E188" s="3">
        <v>0</v>
      </c>
      <c r="F188" s="3">
        <v>3484.67</v>
      </c>
      <c r="G188" s="3">
        <v>0</v>
      </c>
      <c r="H188" s="3">
        <f t="shared" si="3"/>
        <v>6483.83</v>
      </c>
      <c r="J188" s="2">
        <v>0</v>
      </c>
      <c r="K188" s="2">
        <v>0</v>
      </c>
      <c r="L188" s="2">
        <v>0</v>
      </c>
      <c r="M188" s="2">
        <v>0</v>
      </c>
      <c r="N188" s="2">
        <v>0</v>
      </c>
      <c r="P188" s="5"/>
      <c r="Q188" s="5"/>
    </row>
    <row r="189" spans="1:17" x14ac:dyDescent="0.2">
      <c r="A189" s="5">
        <v>601</v>
      </c>
      <c r="B189" s="5">
        <v>1</v>
      </c>
      <c r="C189" s="2" t="s">
        <v>185</v>
      </c>
      <c r="D189" s="3">
        <v>15812.22</v>
      </c>
      <c r="E189" s="3">
        <v>398.59000000000003</v>
      </c>
      <c r="F189" s="3">
        <v>16479.920000000002</v>
      </c>
      <c r="G189" s="3">
        <v>0</v>
      </c>
      <c r="H189" s="3">
        <f t="shared" si="3"/>
        <v>32690.730000000003</v>
      </c>
      <c r="J189" s="2">
        <v>0</v>
      </c>
      <c r="K189" s="2">
        <v>0</v>
      </c>
      <c r="L189" s="2">
        <v>0</v>
      </c>
      <c r="M189" s="2">
        <v>0</v>
      </c>
      <c r="N189" s="2">
        <v>0</v>
      </c>
      <c r="P189" s="5"/>
      <c r="Q189" s="5"/>
    </row>
    <row r="190" spans="1:17" x14ac:dyDescent="0.2">
      <c r="A190" s="5">
        <v>611</v>
      </c>
      <c r="B190" s="5">
        <v>1</v>
      </c>
      <c r="C190" s="2" t="s">
        <v>186</v>
      </c>
      <c r="D190" s="3">
        <v>560.28</v>
      </c>
      <c r="E190" s="3">
        <v>511.87</v>
      </c>
      <c r="F190" s="3">
        <v>0</v>
      </c>
      <c r="G190" s="3">
        <v>0</v>
      </c>
      <c r="H190" s="3">
        <f t="shared" si="3"/>
        <v>1072.1500000000001</v>
      </c>
      <c r="J190" s="2">
        <v>0</v>
      </c>
      <c r="K190" s="2">
        <v>0</v>
      </c>
      <c r="L190" s="2">
        <v>0</v>
      </c>
      <c r="M190" s="2">
        <v>0</v>
      </c>
      <c r="N190" s="2">
        <v>0</v>
      </c>
      <c r="P190" s="5"/>
      <c r="Q190" s="5"/>
    </row>
    <row r="191" spans="1:17" x14ac:dyDescent="0.2">
      <c r="A191" s="5">
        <v>621</v>
      </c>
      <c r="B191" s="5">
        <v>1</v>
      </c>
      <c r="C191" s="2" t="s">
        <v>187</v>
      </c>
      <c r="D191" s="3">
        <v>172.66</v>
      </c>
      <c r="E191" s="3">
        <v>24.62</v>
      </c>
      <c r="F191" s="3">
        <v>277.52999999999997</v>
      </c>
      <c r="G191" s="3">
        <v>65.98</v>
      </c>
      <c r="H191" s="3">
        <f t="shared" si="3"/>
        <v>540.79</v>
      </c>
      <c r="J191" s="2">
        <v>0</v>
      </c>
      <c r="K191" s="2">
        <v>0</v>
      </c>
      <c r="L191" s="2">
        <v>0</v>
      </c>
      <c r="M191" s="2">
        <v>0</v>
      </c>
      <c r="N191" s="2">
        <v>0</v>
      </c>
      <c r="P191" s="5"/>
      <c r="Q191" s="5"/>
    </row>
    <row r="192" spans="1:17" x14ac:dyDescent="0.2">
      <c r="A192" s="5">
        <v>622</v>
      </c>
      <c r="B192" s="5">
        <v>1</v>
      </c>
      <c r="C192" s="2" t="s">
        <v>188</v>
      </c>
      <c r="D192" s="3">
        <v>184.44</v>
      </c>
      <c r="E192" s="3">
        <v>46.74</v>
      </c>
      <c r="F192" s="3">
        <v>370.5</v>
      </c>
      <c r="G192" s="3">
        <v>96.990000000000009</v>
      </c>
      <c r="H192" s="3">
        <f t="shared" si="3"/>
        <v>698.67000000000007</v>
      </c>
      <c r="J192" s="2">
        <v>0</v>
      </c>
      <c r="K192" s="2">
        <v>0</v>
      </c>
      <c r="L192" s="2">
        <v>0</v>
      </c>
      <c r="M192" s="2">
        <v>0</v>
      </c>
      <c r="N192" s="2">
        <v>0</v>
      </c>
      <c r="P192" s="5"/>
      <c r="Q192" s="5"/>
    </row>
    <row r="193" spans="1:17" x14ac:dyDescent="0.2">
      <c r="A193" s="5">
        <v>623</v>
      </c>
      <c r="B193" s="5">
        <v>1</v>
      </c>
      <c r="C193" s="2" t="s">
        <v>189</v>
      </c>
      <c r="D193" s="3">
        <v>80.86</v>
      </c>
      <c r="E193" s="3">
        <v>15.07</v>
      </c>
      <c r="F193" s="3">
        <v>50.480000000000004</v>
      </c>
      <c r="G193" s="3">
        <v>23.86</v>
      </c>
      <c r="H193" s="3">
        <f t="shared" si="3"/>
        <v>170.27000000000004</v>
      </c>
      <c r="J193" s="2">
        <v>0</v>
      </c>
      <c r="K193" s="2">
        <v>0</v>
      </c>
      <c r="L193" s="2">
        <v>0</v>
      </c>
      <c r="M193" s="2">
        <v>0</v>
      </c>
      <c r="N193" s="2">
        <v>0</v>
      </c>
      <c r="P193" s="5"/>
      <c r="Q193" s="5"/>
    </row>
    <row r="194" spans="1:17" x14ac:dyDescent="0.2">
      <c r="A194" s="5">
        <v>624</v>
      </c>
      <c r="B194" s="5">
        <v>1</v>
      </c>
      <c r="C194" s="2" t="s">
        <v>190</v>
      </c>
      <c r="D194" s="3">
        <v>698.96</v>
      </c>
      <c r="E194" s="3">
        <v>153.63</v>
      </c>
      <c r="F194" s="3">
        <v>1462.53</v>
      </c>
      <c r="G194" s="3">
        <v>384.99</v>
      </c>
      <c r="H194" s="3">
        <f t="shared" si="3"/>
        <v>2700.1099999999997</v>
      </c>
      <c r="J194" s="2">
        <v>0</v>
      </c>
      <c r="K194" s="2">
        <v>0</v>
      </c>
      <c r="L194" s="2">
        <v>0</v>
      </c>
      <c r="M194" s="2">
        <v>0</v>
      </c>
      <c r="N194" s="2">
        <v>0</v>
      </c>
      <c r="P194" s="5"/>
      <c r="Q194" s="5"/>
    </row>
    <row r="195" spans="1:17" x14ac:dyDescent="0.2">
      <c r="A195" s="5">
        <v>625</v>
      </c>
      <c r="B195" s="5">
        <v>1</v>
      </c>
      <c r="C195" s="2" t="s">
        <v>191</v>
      </c>
      <c r="D195" s="3">
        <v>172469.95</v>
      </c>
      <c r="E195" s="3">
        <v>12722.93</v>
      </c>
      <c r="F195" s="3">
        <v>145742.76</v>
      </c>
      <c r="G195" s="3">
        <v>0</v>
      </c>
      <c r="H195" s="3">
        <f t="shared" si="3"/>
        <v>330935.64</v>
      </c>
      <c r="J195" s="2">
        <v>0</v>
      </c>
      <c r="K195" s="2">
        <v>0</v>
      </c>
      <c r="L195" s="2">
        <v>0</v>
      </c>
      <c r="M195" s="2">
        <v>0</v>
      </c>
      <c r="N195" s="2">
        <v>0</v>
      </c>
      <c r="P195" s="5"/>
      <c r="Q195" s="5"/>
    </row>
    <row r="196" spans="1:17" x14ac:dyDescent="0.2">
      <c r="A196" s="5">
        <v>627</v>
      </c>
      <c r="B196" s="5">
        <v>1</v>
      </c>
      <c r="C196" s="2" t="s">
        <v>192</v>
      </c>
      <c r="D196" s="3">
        <v>6906.1900000000005</v>
      </c>
      <c r="E196" s="3">
        <v>1141.98</v>
      </c>
      <c r="F196" s="3">
        <v>8777.9</v>
      </c>
      <c r="G196" s="3">
        <v>0</v>
      </c>
      <c r="H196" s="3">
        <f t="shared" si="3"/>
        <v>16826.07</v>
      </c>
      <c r="J196" s="2">
        <v>0</v>
      </c>
      <c r="K196" s="2">
        <v>0</v>
      </c>
      <c r="L196" s="2">
        <v>0</v>
      </c>
      <c r="M196" s="2">
        <v>0</v>
      </c>
      <c r="N196" s="2">
        <v>0</v>
      </c>
      <c r="P196" s="5"/>
      <c r="Q196" s="5"/>
    </row>
    <row r="197" spans="1:17" x14ac:dyDescent="0.2">
      <c r="A197" s="5">
        <v>628</v>
      </c>
      <c r="B197" s="5">
        <v>1</v>
      </c>
      <c r="C197" s="2" t="s">
        <v>193</v>
      </c>
      <c r="D197" s="3">
        <v>1776.8899999999999</v>
      </c>
      <c r="E197" s="3">
        <v>1361.58</v>
      </c>
      <c r="F197" s="3">
        <v>7281.76</v>
      </c>
      <c r="G197" s="3">
        <v>0</v>
      </c>
      <c r="H197" s="3">
        <f t="shared" si="3"/>
        <v>10420.23</v>
      </c>
      <c r="J197" s="2">
        <v>0</v>
      </c>
      <c r="K197" s="2">
        <v>0</v>
      </c>
      <c r="L197" s="2">
        <v>0</v>
      </c>
      <c r="M197" s="2">
        <v>0</v>
      </c>
      <c r="N197" s="2">
        <v>0</v>
      </c>
      <c r="P197" s="5"/>
      <c r="Q197" s="5"/>
    </row>
    <row r="198" spans="1:17" x14ac:dyDescent="0.2">
      <c r="A198" s="5">
        <v>630</v>
      </c>
      <c r="B198" s="5">
        <v>1</v>
      </c>
      <c r="C198" s="2" t="s">
        <v>194</v>
      </c>
      <c r="D198" s="3">
        <v>13882.58</v>
      </c>
      <c r="E198" s="3">
        <v>2051.1999999999998</v>
      </c>
      <c r="F198" s="3">
        <v>43037.47</v>
      </c>
      <c r="G198" s="3">
        <v>0</v>
      </c>
      <c r="H198" s="3">
        <f t="shared" si="3"/>
        <v>58971.25</v>
      </c>
      <c r="J198" s="2">
        <v>0</v>
      </c>
      <c r="K198" s="2">
        <v>0</v>
      </c>
      <c r="L198" s="2">
        <v>0</v>
      </c>
      <c r="M198" s="2">
        <v>0</v>
      </c>
      <c r="N198" s="2">
        <v>0</v>
      </c>
      <c r="P198" s="5"/>
      <c r="Q198" s="5"/>
    </row>
    <row r="199" spans="1:17" x14ac:dyDescent="0.2">
      <c r="A199" s="5">
        <v>635</v>
      </c>
      <c r="B199" s="5">
        <v>1</v>
      </c>
      <c r="C199" s="2" t="s">
        <v>195</v>
      </c>
      <c r="D199" s="3">
        <v>1226.52</v>
      </c>
      <c r="E199" s="3">
        <v>384.31</v>
      </c>
      <c r="F199" s="3">
        <v>0</v>
      </c>
      <c r="G199" s="3">
        <v>0</v>
      </c>
      <c r="H199" s="3">
        <f t="shared" si="3"/>
        <v>1610.83</v>
      </c>
      <c r="J199" s="2">
        <v>0</v>
      </c>
      <c r="K199" s="2">
        <v>0</v>
      </c>
      <c r="L199" s="2">
        <v>0</v>
      </c>
      <c r="M199" s="2">
        <v>0</v>
      </c>
      <c r="N199" s="2">
        <v>0</v>
      </c>
      <c r="P199" s="5"/>
      <c r="Q199" s="5"/>
    </row>
    <row r="200" spans="1:17" x14ac:dyDescent="0.2">
      <c r="A200" s="5">
        <v>640</v>
      </c>
      <c r="B200" s="5">
        <v>1</v>
      </c>
      <c r="C200" s="2" t="s">
        <v>196</v>
      </c>
      <c r="D200" s="3">
        <v>7936.68</v>
      </c>
      <c r="E200" s="3">
        <v>1491.6</v>
      </c>
      <c r="F200" s="3">
        <v>11438.720000000001</v>
      </c>
      <c r="G200" s="3">
        <v>0</v>
      </c>
      <c r="H200" s="3">
        <f t="shared" si="3"/>
        <v>20867</v>
      </c>
      <c r="J200" s="2">
        <v>0</v>
      </c>
      <c r="K200" s="2">
        <v>0</v>
      </c>
      <c r="L200" s="2">
        <v>0</v>
      </c>
      <c r="M200" s="2">
        <v>0</v>
      </c>
      <c r="N200" s="2">
        <v>0</v>
      </c>
      <c r="P200" s="5"/>
      <c r="Q200" s="5"/>
    </row>
    <row r="201" spans="1:17" x14ac:dyDescent="0.2">
      <c r="A201" s="5">
        <v>656</v>
      </c>
      <c r="B201" s="5">
        <v>1</v>
      </c>
      <c r="C201" s="2" t="s">
        <v>197</v>
      </c>
      <c r="D201" s="3">
        <v>11240.919999999998</v>
      </c>
      <c r="E201" s="3">
        <v>4023.4100000000003</v>
      </c>
      <c r="F201" s="3">
        <v>54442</v>
      </c>
      <c r="G201" s="3">
        <v>0</v>
      </c>
      <c r="H201" s="3">
        <f t="shared" ref="H201:H264" si="4">SUM(D201:G201)</f>
        <v>69706.33</v>
      </c>
      <c r="J201" s="2">
        <v>0</v>
      </c>
      <c r="K201" s="2">
        <v>0</v>
      </c>
      <c r="L201" s="2">
        <v>0</v>
      </c>
      <c r="M201" s="2">
        <v>0</v>
      </c>
      <c r="N201" s="2">
        <v>0</v>
      </c>
      <c r="P201" s="5"/>
      <c r="Q201" s="5"/>
    </row>
    <row r="202" spans="1:17" x14ac:dyDescent="0.2">
      <c r="A202" s="5">
        <v>659</v>
      </c>
      <c r="B202" s="5">
        <v>1</v>
      </c>
      <c r="C202" s="2" t="s">
        <v>198</v>
      </c>
      <c r="D202" s="3">
        <v>16254.49</v>
      </c>
      <c r="E202" s="3">
        <v>4104.72</v>
      </c>
      <c r="F202" s="3">
        <v>55800.46</v>
      </c>
      <c r="G202" s="3">
        <v>0</v>
      </c>
      <c r="H202" s="3">
        <f t="shared" si="4"/>
        <v>76159.67</v>
      </c>
      <c r="J202" s="2">
        <v>0</v>
      </c>
      <c r="K202" s="2">
        <v>0</v>
      </c>
      <c r="L202" s="2">
        <v>0</v>
      </c>
      <c r="M202" s="2">
        <v>0</v>
      </c>
      <c r="N202" s="2">
        <v>0</v>
      </c>
      <c r="P202" s="5"/>
      <c r="Q202" s="5"/>
    </row>
    <row r="203" spans="1:17" x14ac:dyDescent="0.2">
      <c r="A203" s="5">
        <v>671</v>
      </c>
      <c r="B203" s="5">
        <v>1</v>
      </c>
      <c r="C203" s="2" t="s">
        <v>199</v>
      </c>
      <c r="D203" s="3">
        <v>4900.37</v>
      </c>
      <c r="E203" s="3">
        <v>707.94</v>
      </c>
      <c r="F203" s="3">
        <v>20113.64</v>
      </c>
      <c r="G203" s="3">
        <v>0</v>
      </c>
      <c r="H203" s="3">
        <f t="shared" si="4"/>
        <v>25721.949999999997</v>
      </c>
      <c r="J203" s="2">
        <v>0</v>
      </c>
      <c r="K203" s="2">
        <v>0</v>
      </c>
      <c r="L203" s="2">
        <v>0</v>
      </c>
      <c r="M203" s="2">
        <v>0</v>
      </c>
      <c r="N203" s="2">
        <v>0</v>
      </c>
      <c r="P203" s="5"/>
      <c r="Q203" s="5"/>
    </row>
    <row r="204" spans="1:17" x14ac:dyDescent="0.2">
      <c r="A204" s="5">
        <v>676</v>
      </c>
      <c r="B204" s="5">
        <v>1</v>
      </c>
      <c r="C204" s="2" t="s">
        <v>200</v>
      </c>
      <c r="D204" s="3">
        <v>4442.4000000000005</v>
      </c>
      <c r="E204" s="3">
        <v>477.02</v>
      </c>
      <c r="F204" s="3">
        <v>0</v>
      </c>
      <c r="G204" s="3">
        <v>0</v>
      </c>
      <c r="H204" s="3">
        <f t="shared" si="4"/>
        <v>4919.42</v>
      </c>
      <c r="J204" s="2">
        <v>0</v>
      </c>
      <c r="K204" s="2">
        <v>0</v>
      </c>
      <c r="L204" s="2">
        <v>0</v>
      </c>
      <c r="M204" s="2">
        <v>0</v>
      </c>
      <c r="N204" s="2">
        <v>0</v>
      </c>
      <c r="P204" s="5"/>
      <c r="Q204" s="5"/>
    </row>
    <row r="205" spans="1:17" x14ac:dyDescent="0.2">
      <c r="A205" s="5">
        <v>682</v>
      </c>
      <c r="B205" s="5">
        <v>1</v>
      </c>
      <c r="C205" s="2" t="s">
        <v>201</v>
      </c>
      <c r="D205" s="3">
        <v>9765.630000000001</v>
      </c>
      <c r="E205" s="3">
        <v>1904.1499999999999</v>
      </c>
      <c r="F205" s="3">
        <v>31547.840000000004</v>
      </c>
      <c r="G205" s="3">
        <v>0</v>
      </c>
      <c r="H205" s="3">
        <f t="shared" si="4"/>
        <v>43217.62</v>
      </c>
      <c r="J205" s="2">
        <v>0</v>
      </c>
      <c r="K205" s="2">
        <v>0</v>
      </c>
      <c r="L205" s="2">
        <v>0</v>
      </c>
      <c r="M205" s="2">
        <v>0</v>
      </c>
      <c r="N205" s="2">
        <v>0</v>
      </c>
      <c r="P205" s="5"/>
      <c r="Q205" s="5"/>
    </row>
    <row r="206" spans="1:17" x14ac:dyDescent="0.2">
      <c r="A206" s="5">
        <v>690</v>
      </c>
      <c r="B206" s="5">
        <v>1</v>
      </c>
      <c r="C206" s="2" t="s">
        <v>202</v>
      </c>
      <c r="D206" s="3">
        <v>4688.45</v>
      </c>
      <c r="E206" s="3">
        <v>751.16000000000008</v>
      </c>
      <c r="F206" s="3">
        <v>10649.86</v>
      </c>
      <c r="G206" s="3">
        <v>1135.3699999999999</v>
      </c>
      <c r="H206" s="3">
        <f t="shared" si="4"/>
        <v>17224.84</v>
      </c>
      <c r="J206" s="2">
        <v>0</v>
      </c>
      <c r="K206" s="2">
        <v>0</v>
      </c>
      <c r="L206" s="2">
        <v>0</v>
      </c>
      <c r="M206" s="2">
        <v>0</v>
      </c>
      <c r="N206" s="2">
        <v>0</v>
      </c>
      <c r="P206" s="5"/>
      <c r="Q206" s="5"/>
    </row>
    <row r="207" spans="1:17" x14ac:dyDescent="0.2">
      <c r="A207" s="5">
        <v>695</v>
      </c>
      <c r="B207" s="5">
        <v>1</v>
      </c>
      <c r="C207" s="2" t="s">
        <v>203</v>
      </c>
      <c r="D207" s="3">
        <v>14596.42</v>
      </c>
      <c r="E207" s="3">
        <v>0</v>
      </c>
      <c r="F207" s="3">
        <v>116213.82</v>
      </c>
      <c r="G207" s="3">
        <v>0</v>
      </c>
      <c r="H207" s="3">
        <f t="shared" si="4"/>
        <v>130810.24000000001</v>
      </c>
      <c r="J207" s="2">
        <v>13682.18</v>
      </c>
      <c r="K207" s="2">
        <v>0</v>
      </c>
      <c r="L207" s="2">
        <v>35948.26</v>
      </c>
      <c r="M207" s="2">
        <v>72658.509999999995</v>
      </c>
      <c r="N207" s="2">
        <v>122288.95</v>
      </c>
      <c r="P207" s="5"/>
      <c r="Q207" s="5"/>
    </row>
    <row r="208" spans="1:17" x14ac:dyDescent="0.2">
      <c r="A208" s="5">
        <v>696</v>
      </c>
      <c r="B208" s="5">
        <v>1</v>
      </c>
      <c r="C208" s="2" t="s">
        <v>204</v>
      </c>
      <c r="D208" s="3">
        <v>48232.049999999996</v>
      </c>
      <c r="E208" s="3">
        <v>612.6400000000001</v>
      </c>
      <c r="F208" s="3">
        <v>32199.83</v>
      </c>
      <c r="G208" s="3">
        <v>0</v>
      </c>
      <c r="H208" s="3">
        <f t="shared" si="4"/>
        <v>81044.51999999999</v>
      </c>
      <c r="J208" s="2">
        <v>31286.01</v>
      </c>
      <c r="K208" s="2">
        <v>396.48</v>
      </c>
      <c r="L208" s="2">
        <v>20882.560000000001</v>
      </c>
      <c r="M208" s="2">
        <v>0</v>
      </c>
      <c r="N208" s="2">
        <v>52565.05</v>
      </c>
      <c r="P208" s="5"/>
      <c r="Q208" s="5"/>
    </row>
    <row r="209" spans="1:17" x14ac:dyDescent="0.2">
      <c r="A209" s="5">
        <v>698</v>
      </c>
      <c r="B209" s="5">
        <v>1</v>
      </c>
      <c r="C209" s="2" t="s">
        <v>205</v>
      </c>
      <c r="D209" s="3">
        <v>3662.22</v>
      </c>
      <c r="E209" s="3">
        <v>425.23</v>
      </c>
      <c r="F209" s="3">
        <v>17698.98</v>
      </c>
      <c r="G209" s="3">
        <v>0</v>
      </c>
      <c r="H209" s="3">
        <f t="shared" si="4"/>
        <v>21786.43</v>
      </c>
      <c r="J209" s="2">
        <v>6569.43</v>
      </c>
      <c r="K209" s="2">
        <v>748.27</v>
      </c>
      <c r="L209" s="2">
        <v>31139.17</v>
      </c>
      <c r="M209" s="2">
        <v>0</v>
      </c>
      <c r="N209" s="2">
        <v>38456.870000000003</v>
      </c>
      <c r="P209" s="5"/>
      <c r="Q209" s="5"/>
    </row>
    <row r="210" spans="1:17" x14ac:dyDescent="0.2">
      <c r="A210" s="5">
        <v>700</v>
      </c>
      <c r="B210" s="5">
        <v>1</v>
      </c>
      <c r="C210" s="2" t="s">
        <v>206</v>
      </c>
      <c r="D210" s="3">
        <v>40772.500000000007</v>
      </c>
      <c r="E210" s="3">
        <v>7358.12</v>
      </c>
      <c r="F210" s="3">
        <v>31109.359999999997</v>
      </c>
      <c r="G210" s="3">
        <v>0</v>
      </c>
      <c r="H210" s="3">
        <f t="shared" si="4"/>
        <v>79239.98000000001</v>
      </c>
      <c r="J210" s="2">
        <v>0</v>
      </c>
      <c r="K210" s="2">
        <v>0</v>
      </c>
      <c r="L210" s="2">
        <v>0</v>
      </c>
      <c r="M210" s="2">
        <v>0</v>
      </c>
      <c r="N210" s="2">
        <v>0</v>
      </c>
      <c r="P210" s="5"/>
      <c r="Q210" s="5"/>
    </row>
    <row r="211" spans="1:17" x14ac:dyDescent="0.2">
      <c r="A211" s="5">
        <v>701</v>
      </c>
      <c r="B211" s="5">
        <v>1</v>
      </c>
      <c r="C211" s="2" t="s">
        <v>207</v>
      </c>
      <c r="D211" s="3">
        <v>207003.10000000003</v>
      </c>
      <c r="E211" s="3">
        <v>0</v>
      </c>
      <c r="F211" s="3">
        <v>207858.33</v>
      </c>
      <c r="G211" s="3">
        <v>0</v>
      </c>
      <c r="H211" s="3">
        <f t="shared" si="4"/>
        <v>414861.43000000005</v>
      </c>
      <c r="J211" s="2">
        <v>43717.38</v>
      </c>
      <c r="K211" s="2">
        <v>0</v>
      </c>
      <c r="L211" s="2">
        <v>43828.69</v>
      </c>
      <c r="M211" s="2">
        <v>0</v>
      </c>
      <c r="N211" s="2">
        <v>87546.07</v>
      </c>
      <c r="P211" s="5"/>
      <c r="Q211" s="5"/>
    </row>
    <row r="212" spans="1:17" x14ac:dyDescent="0.2">
      <c r="A212" s="5">
        <v>704</v>
      </c>
      <c r="B212" s="5">
        <v>1</v>
      </c>
      <c r="C212" s="2" t="s">
        <v>208</v>
      </c>
      <c r="D212" s="3">
        <v>40694.620000000003</v>
      </c>
      <c r="E212" s="3">
        <v>5869.18</v>
      </c>
      <c r="F212" s="3">
        <v>60836.87</v>
      </c>
      <c r="G212" s="3">
        <v>0</v>
      </c>
      <c r="H212" s="3">
        <f t="shared" si="4"/>
        <v>107400.67000000001</v>
      </c>
      <c r="J212" s="2">
        <v>0</v>
      </c>
      <c r="K212" s="2">
        <v>0</v>
      </c>
      <c r="L212" s="2">
        <v>0</v>
      </c>
      <c r="M212" s="2">
        <v>0</v>
      </c>
      <c r="N212" s="2">
        <v>0</v>
      </c>
      <c r="P212" s="5"/>
      <c r="Q212" s="5"/>
    </row>
    <row r="213" spans="1:17" x14ac:dyDescent="0.2">
      <c r="A213" s="5">
        <v>706</v>
      </c>
      <c r="B213" s="5">
        <v>1</v>
      </c>
      <c r="C213" s="2" t="s">
        <v>209</v>
      </c>
      <c r="D213" s="3">
        <v>135090.32</v>
      </c>
      <c r="E213" s="3">
        <v>0</v>
      </c>
      <c r="F213" s="3">
        <v>133839.07999999999</v>
      </c>
      <c r="G213" s="3">
        <v>0</v>
      </c>
      <c r="H213" s="3">
        <f t="shared" si="4"/>
        <v>268929.40000000002</v>
      </c>
      <c r="J213" s="2">
        <v>46596.02</v>
      </c>
      <c r="K213" s="2">
        <v>0</v>
      </c>
      <c r="L213" s="2">
        <v>33998.089999999997</v>
      </c>
      <c r="M213" s="2">
        <v>12012.02</v>
      </c>
      <c r="N213" s="2">
        <v>92606.13</v>
      </c>
      <c r="P213" s="5"/>
      <c r="Q213" s="5"/>
    </row>
    <row r="214" spans="1:17" x14ac:dyDescent="0.2">
      <c r="A214" s="5">
        <v>707</v>
      </c>
      <c r="B214" s="5">
        <v>1</v>
      </c>
      <c r="C214" s="2" t="s">
        <v>210</v>
      </c>
      <c r="D214" s="3">
        <v>24.13</v>
      </c>
      <c r="E214" s="3">
        <v>1.36</v>
      </c>
      <c r="F214" s="3">
        <v>34.25</v>
      </c>
      <c r="G214" s="3">
        <v>0</v>
      </c>
      <c r="H214" s="3">
        <f t="shared" si="4"/>
        <v>59.739999999999995</v>
      </c>
      <c r="J214" s="2">
        <v>0</v>
      </c>
      <c r="K214" s="2">
        <v>0</v>
      </c>
      <c r="L214" s="2">
        <v>0</v>
      </c>
      <c r="M214" s="2">
        <v>0</v>
      </c>
      <c r="N214" s="2">
        <v>0</v>
      </c>
      <c r="P214" s="5"/>
      <c r="Q214" s="5"/>
    </row>
    <row r="215" spans="1:17" x14ac:dyDescent="0.2">
      <c r="A215" s="5">
        <v>709</v>
      </c>
      <c r="B215" s="5">
        <v>1</v>
      </c>
      <c r="C215" s="2" t="s">
        <v>211</v>
      </c>
      <c r="D215" s="3">
        <v>502387.7</v>
      </c>
      <c r="E215" s="3">
        <v>98198.37</v>
      </c>
      <c r="F215" s="3">
        <v>1267243.8900000001</v>
      </c>
      <c r="G215" s="3">
        <v>0</v>
      </c>
      <c r="H215" s="3">
        <f t="shared" si="4"/>
        <v>1867829.9600000002</v>
      </c>
      <c r="J215" s="2">
        <v>0</v>
      </c>
      <c r="K215" s="2">
        <v>0</v>
      </c>
      <c r="L215" s="2">
        <v>0</v>
      </c>
      <c r="M215" s="2">
        <v>0</v>
      </c>
      <c r="N215" s="2">
        <v>0</v>
      </c>
      <c r="P215" s="5"/>
      <c r="Q215" s="5"/>
    </row>
    <row r="216" spans="1:17" x14ac:dyDescent="0.2">
      <c r="A216" s="5">
        <v>712</v>
      </c>
      <c r="B216" s="5">
        <v>1</v>
      </c>
      <c r="C216" s="2" t="s">
        <v>212</v>
      </c>
      <c r="D216" s="3">
        <v>0</v>
      </c>
      <c r="E216" s="3">
        <v>0</v>
      </c>
      <c r="F216" s="3">
        <v>14458.050000000001</v>
      </c>
      <c r="G216" s="3">
        <v>0</v>
      </c>
      <c r="H216" s="3">
        <f t="shared" si="4"/>
        <v>14458.050000000001</v>
      </c>
      <c r="J216" s="2">
        <v>165.61</v>
      </c>
      <c r="K216" s="2">
        <v>0</v>
      </c>
      <c r="L216" s="2">
        <v>5078.3500000000004</v>
      </c>
      <c r="M216" s="2">
        <v>0</v>
      </c>
      <c r="N216" s="2">
        <v>5243.96</v>
      </c>
      <c r="P216" s="5"/>
      <c r="Q216" s="5"/>
    </row>
    <row r="217" spans="1:17" x14ac:dyDescent="0.2">
      <c r="A217" s="5">
        <v>716</v>
      </c>
      <c r="B217" s="5">
        <v>1</v>
      </c>
      <c r="C217" s="2" t="s">
        <v>213</v>
      </c>
      <c r="D217" s="3">
        <v>5370.9699999999993</v>
      </c>
      <c r="E217" s="3">
        <v>1579.1799999999998</v>
      </c>
      <c r="F217" s="3">
        <v>42214.23</v>
      </c>
      <c r="G217" s="3">
        <v>0</v>
      </c>
      <c r="H217" s="3">
        <f t="shared" si="4"/>
        <v>49164.380000000005</v>
      </c>
      <c r="J217" s="2">
        <v>0</v>
      </c>
      <c r="K217" s="2">
        <v>0</v>
      </c>
      <c r="L217" s="2">
        <v>0</v>
      </c>
      <c r="M217" s="2">
        <v>0</v>
      </c>
      <c r="N217" s="2">
        <v>0</v>
      </c>
      <c r="P217" s="5"/>
      <c r="Q217" s="5"/>
    </row>
    <row r="218" spans="1:17" x14ac:dyDescent="0.2">
      <c r="A218" s="5">
        <v>717</v>
      </c>
      <c r="B218" s="5">
        <v>1</v>
      </c>
      <c r="C218" s="2" t="s">
        <v>214</v>
      </c>
      <c r="D218" s="3">
        <v>6574.21</v>
      </c>
      <c r="E218" s="3">
        <v>877.93</v>
      </c>
      <c r="F218" s="3">
        <v>12710.1</v>
      </c>
      <c r="G218" s="3">
        <v>0</v>
      </c>
      <c r="H218" s="3">
        <f t="shared" si="4"/>
        <v>20162.240000000002</v>
      </c>
      <c r="J218" s="2">
        <v>0</v>
      </c>
      <c r="K218" s="2">
        <v>0</v>
      </c>
      <c r="L218" s="2">
        <v>0</v>
      </c>
      <c r="M218" s="2">
        <v>0</v>
      </c>
      <c r="N218" s="2">
        <v>0</v>
      </c>
      <c r="P218" s="5"/>
      <c r="Q218" s="5"/>
    </row>
    <row r="219" spans="1:17" x14ac:dyDescent="0.2">
      <c r="A219" s="5">
        <v>719</v>
      </c>
      <c r="B219" s="5">
        <v>1</v>
      </c>
      <c r="C219" s="2" t="s">
        <v>215</v>
      </c>
      <c r="D219" s="3">
        <v>1498.1499999999999</v>
      </c>
      <c r="E219" s="3">
        <v>291.2</v>
      </c>
      <c r="F219" s="3">
        <v>5961.1900000000005</v>
      </c>
      <c r="G219" s="3">
        <v>0</v>
      </c>
      <c r="H219" s="3">
        <f t="shared" si="4"/>
        <v>7750.5400000000009</v>
      </c>
      <c r="J219" s="2">
        <v>0</v>
      </c>
      <c r="K219" s="2">
        <v>0</v>
      </c>
      <c r="L219" s="2">
        <v>0</v>
      </c>
      <c r="M219" s="2">
        <v>0</v>
      </c>
      <c r="N219" s="2">
        <v>0</v>
      </c>
      <c r="P219" s="5"/>
      <c r="Q219" s="5"/>
    </row>
    <row r="220" spans="1:17" x14ac:dyDescent="0.2">
      <c r="A220" s="5">
        <v>720</v>
      </c>
      <c r="B220" s="5">
        <v>1</v>
      </c>
      <c r="C220" s="2" t="s">
        <v>216</v>
      </c>
      <c r="D220" s="3">
        <v>702.01</v>
      </c>
      <c r="E220" s="3">
        <v>232.44</v>
      </c>
      <c r="F220" s="3">
        <v>6376.2500000000009</v>
      </c>
      <c r="G220" s="3">
        <v>0</v>
      </c>
      <c r="H220" s="3">
        <f t="shared" si="4"/>
        <v>7310.7000000000007</v>
      </c>
      <c r="J220" s="2">
        <v>0</v>
      </c>
      <c r="K220" s="2">
        <v>0</v>
      </c>
      <c r="L220" s="2">
        <v>0</v>
      </c>
      <c r="M220" s="2">
        <v>0</v>
      </c>
      <c r="N220" s="2">
        <v>0</v>
      </c>
      <c r="P220" s="5"/>
      <c r="Q220" s="5"/>
    </row>
    <row r="221" spans="1:17" x14ac:dyDescent="0.2">
      <c r="A221" s="5">
        <v>721</v>
      </c>
      <c r="B221" s="5">
        <v>1</v>
      </c>
      <c r="C221" s="2" t="s">
        <v>217</v>
      </c>
      <c r="D221" s="3">
        <v>8992.3200000000015</v>
      </c>
      <c r="E221" s="3">
        <v>2473.34</v>
      </c>
      <c r="F221" s="3">
        <v>59110.51</v>
      </c>
      <c r="G221" s="3">
        <v>0</v>
      </c>
      <c r="H221" s="3">
        <f t="shared" si="4"/>
        <v>70576.17</v>
      </c>
      <c r="J221" s="2">
        <v>0</v>
      </c>
      <c r="K221" s="2">
        <v>0</v>
      </c>
      <c r="L221" s="2">
        <v>0</v>
      </c>
      <c r="M221" s="2">
        <v>0</v>
      </c>
      <c r="N221" s="2">
        <v>0</v>
      </c>
      <c r="P221" s="5"/>
      <c r="Q221" s="5"/>
    </row>
    <row r="222" spans="1:17" x14ac:dyDescent="0.2">
      <c r="A222" s="5">
        <v>726</v>
      </c>
      <c r="B222" s="5">
        <v>1</v>
      </c>
      <c r="C222" s="2" t="s">
        <v>218</v>
      </c>
      <c r="D222" s="3">
        <v>2666.31</v>
      </c>
      <c r="E222" s="3">
        <v>395.10999999999996</v>
      </c>
      <c r="F222" s="3">
        <v>6809.89</v>
      </c>
      <c r="G222" s="3">
        <v>0</v>
      </c>
      <c r="H222" s="3">
        <f t="shared" si="4"/>
        <v>9871.3100000000013</v>
      </c>
      <c r="J222" s="2">
        <v>0</v>
      </c>
      <c r="K222" s="2">
        <v>0</v>
      </c>
      <c r="L222" s="2">
        <v>0</v>
      </c>
      <c r="M222" s="2">
        <v>0</v>
      </c>
      <c r="N222" s="2">
        <v>0</v>
      </c>
      <c r="P222" s="5"/>
      <c r="Q222" s="5"/>
    </row>
    <row r="223" spans="1:17" x14ac:dyDescent="0.2">
      <c r="A223" s="5">
        <v>727</v>
      </c>
      <c r="B223" s="5">
        <v>1</v>
      </c>
      <c r="C223" s="2" t="s">
        <v>219</v>
      </c>
      <c r="D223" s="3">
        <v>1919.27</v>
      </c>
      <c r="E223" s="3">
        <v>383.84000000000003</v>
      </c>
      <c r="F223" s="3">
        <v>6141.83</v>
      </c>
      <c r="G223" s="3">
        <v>660.05</v>
      </c>
      <c r="H223" s="3">
        <f t="shared" si="4"/>
        <v>9104.99</v>
      </c>
      <c r="J223" s="2">
        <v>0</v>
      </c>
      <c r="K223" s="2">
        <v>0</v>
      </c>
      <c r="L223" s="2">
        <v>0</v>
      </c>
      <c r="M223" s="2">
        <v>0</v>
      </c>
      <c r="N223" s="2">
        <v>0</v>
      </c>
      <c r="P223" s="5"/>
      <c r="Q223" s="5"/>
    </row>
    <row r="224" spans="1:17" x14ac:dyDescent="0.2">
      <c r="A224" s="5">
        <v>728</v>
      </c>
      <c r="B224" s="5">
        <v>1</v>
      </c>
      <c r="C224" s="2" t="s">
        <v>220</v>
      </c>
      <c r="D224" s="3">
        <v>10080.86</v>
      </c>
      <c r="E224" s="3">
        <v>940.73</v>
      </c>
      <c r="F224" s="3">
        <v>20999.9</v>
      </c>
      <c r="G224" s="3">
        <v>366.19999999999993</v>
      </c>
      <c r="H224" s="3">
        <f t="shared" si="4"/>
        <v>32387.690000000002</v>
      </c>
      <c r="J224" s="2">
        <v>0</v>
      </c>
      <c r="K224" s="2">
        <v>0</v>
      </c>
      <c r="L224" s="2">
        <v>0</v>
      </c>
      <c r="M224" s="2">
        <v>0</v>
      </c>
      <c r="N224" s="2">
        <v>0</v>
      </c>
      <c r="P224" s="5"/>
      <c r="Q224" s="5"/>
    </row>
    <row r="225" spans="1:17" x14ac:dyDescent="0.2">
      <c r="A225" s="5">
        <v>738</v>
      </c>
      <c r="B225" s="5">
        <v>1</v>
      </c>
      <c r="C225" s="2" t="s">
        <v>221</v>
      </c>
      <c r="D225" s="3">
        <v>8574.5199999999986</v>
      </c>
      <c r="E225" s="3">
        <v>1854.02</v>
      </c>
      <c r="F225" s="3">
        <v>28395.010000000002</v>
      </c>
      <c r="G225" s="3">
        <v>2882.1800000000003</v>
      </c>
      <c r="H225" s="3">
        <f t="shared" si="4"/>
        <v>41705.730000000003</v>
      </c>
      <c r="J225" s="2">
        <v>0</v>
      </c>
      <c r="K225" s="2">
        <v>0</v>
      </c>
      <c r="L225" s="2">
        <v>0</v>
      </c>
      <c r="M225" s="2">
        <v>0</v>
      </c>
      <c r="N225" s="2">
        <v>0</v>
      </c>
      <c r="P225" s="5"/>
      <c r="Q225" s="5"/>
    </row>
    <row r="226" spans="1:17" x14ac:dyDescent="0.2">
      <c r="A226" s="5">
        <v>739</v>
      </c>
      <c r="B226" s="5">
        <v>1</v>
      </c>
      <c r="C226" s="2" t="s">
        <v>222</v>
      </c>
      <c r="D226" s="3">
        <v>5656.81</v>
      </c>
      <c r="E226" s="3">
        <v>1434.4</v>
      </c>
      <c r="F226" s="3">
        <v>16796.02</v>
      </c>
      <c r="G226" s="3">
        <v>0</v>
      </c>
      <c r="H226" s="3">
        <f t="shared" si="4"/>
        <v>23887.230000000003</v>
      </c>
      <c r="J226" s="2">
        <v>0</v>
      </c>
      <c r="K226" s="2">
        <v>0</v>
      </c>
      <c r="L226" s="2">
        <v>0</v>
      </c>
      <c r="M226" s="2">
        <v>0</v>
      </c>
      <c r="N226" s="2">
        <v>0</v>
      </c>
      <c r="P226" s="5"/>
      <c r="Q226" s="5"/>
    </row>
    <row r="227" spans="1:17" x14ac:dyDescent="0.2">
      <c r="A227" s="5">
        <v>740</v>
      </c>
      <c r="B227" s="5">
        <v>1</v>
      </c>
      <c r="C227" s="2" t="s">
        <v>223</v>
      </c>
      <c r="D227" s="3">
        <v>10609.26</v>
      </c>
      <c r="E227" s="3">
        <v>2510.2199999999998</v>
      </c>
      <c r="F227" s="3">
        <v>31548.99</v>
      </c>
      <c r="G227" s="3">
        <v>0</v>
      </c>
      <c r="H227" s="3">
        <f t="shared" si="4"/>
        <v>44668.47</v>
      </c>
      <c r="J227" s="2">
        <v>0</v>
      </c>
      <c r="K227" s="2">
        <v>0</v>
      </c>
      <c r="L227" s="2">
        <v>0</v>
      </c>
      <c r="M227" s="2">
        <v>0</v>
      </c>
      <c r="N227" s="2">
        <v>0</v>
      </c>
      <c r="P227" s="5"/>
      <c r="Q227" s="5"/>
    </row>
    <row r="228" spans="1:17" x14ac:dyDescent="0.2">
      <c r="A228" s="5">
        <v>741</v>
      </c>
      <c r="B228" s="5">
        <v>1</v>
      </c>
      <c r="C228" s="2" t="s">
        <v>224</v>
      </c>
      <c r="D228" s="3">
        <v>6185.67</v>
      </c>
      <c r="E228" s="3">
        <v>1209.47</v>
      </c>
      <c r="F228" s="3">
        <v>13710.159999999998</v>
      </c>
      <c r="G228" s="3">
        <v>0</v>
      </c>
      <c r="H228" s="3">
        <f t="shared" si="4"/>
        <v>21105.3</v>
      </c>
      <c r="J228" s="2">
        <v>0</v>
      </c>
      <c r="K228" s="2">
        <v>0</v>
      </c>
      <c r="L228" s="2">
        <v>0</v>
      </c>
      <c r="M228" s="2">
        <v>0</v>
      </c>
      <c r="N228" s="2">
        <v>0</v>
      </c>
      <c r="P228" s="5"/>
      <c r="Q228" s="5"/>
    </row>
    <row r="229" spans="1:17" x14ac:dyDescent="0.2">
      <c r="A229" s="5">
        <v>742</v>
      </c>
      <c r="B229" s="5">
        <v>1</v>
      </c>
      <c r="C229" s="2" t="s">
        <v>225</v>
      </c>
      <c r="D229" s="3">
        <v>34388.47</v>
      </c>
      <c r="E229" s="3">
        <v>5225.0499999999993</v>
      </c>
      <c r="F229" s="3">
        <v>10043.66</v>
      </c>
      <c r="G229" s="3">
        <v>9062.1099999999988</v>
      </c>
      <c r="H229" s="3">
        <f t="shared" si="4"/>
        <v>58719.290000000008</v>
      </c>
      <c r="J229" s="2">
        <v>0</v>
      </c>
      <c r="K229" s="2">
        <v>0</v>
      </c>
      <c r="L229" s="2">
        <v>0</v>
      </c>
      <c r="M229" s="2">
        <v>0</v>
      </c>
      <c r="N229" s="2">
        <v>0</v>
      </c>
      <c r="P229" s="5"/>
      <c r="Q229" s="5"/>
    </row>
    <row r="230" spans="1:17" x14ac:dyDescent="0.2">
      <c r="A230" s="5">
        <v>743</v>
      </c>
      <c r="B230" s="5">
        <v>1</v>
      </c>
      <c r="C230" s="2" t="s">
        <v>226</v>
      </c>
      <c r="D230" s="3">
        <v>3048.2300000000005</v>
      </c>
      <c r="E230" s="3">
        <v>1695.6899999999998</v>
      </c>
      <c r="F230" s="3">
        <v>16701.34</v>
      </c>
      <c r="G230" s="3">
        <v>0</v>
      </c>
      <c r="H230" s="3">
        <f t="shared" si="4"/>
        <v>21445.260000000002</v>
      </c>
      <c r="J230" s="2">
        <v>0</v>
      </c>
      <c r="K230" s="2">
        <v>0</v>
      </c>
      <c r="L230" s="2">
        <v>0</v>
      </c>
      <c r="M230" s="2">
        <v>0</v>
      </c>
      <c r="N230" s="2">
        <v>0</v>
      </c>
      <c r="P230" s="5"/>
      <c r="Q230" s="5"/>
    </row>
    <row r="231" spans="1:17" x14ac:dyDescent="0.2">
      <c r="A231" s="5">
        <v>745</v>
      </c>
      <c r="B231" s="5">
        <v>1</v>
      </c>
      <c r="C231" s="2" t="s">
        <v>227</v>
      </c>
      <c r="D231" s="3">
        <v>5035.09</v>
      </c>
      <c r="E231" s="3">
        <v>1837.53</v>
      </c>
      <c r="F231" s="3">
        <v>28644.78</v>
      </c>
      <c r="G231" s="3">
        <v>0</v>
      </c>
      <c r="H231" s="3">
        <f t="shared" si="4"/>
        <v>35517.4</v>
      </c>
      <c r="J231" s="2">
        <v>0</v>
      </c>
      <c r="K231" s="2">
        <v>0</v>
      </c>
      <c r="L231" s="2">
        <v>0</v>
      </c>
      <c r="M231" s="2">
        <v>0</v>
      </c>
      <c r="N231" s="2">
        <v>0</v>
      </c>
      <c r="P231" s="5"/>
      <c r="Q231" s="5"/>
    </row>
    <row r="232" spans="1:17" x14ac:dyDescent="0.2">
      <c r="A232" s="5">
        <v>748</v>
      </c>
      <c r="B232" s="5">
        <v>1</v>
      </c>
      <c r="C232" s="2" t="s">
        <v>228</v>
      </c>
      <c r="D232" s="3">
        <v>2461.9</v>
      </c>
      <c r="E232" s="3">
        <v>618.74</v>
      </c>
      <c r="F232" s="3">
        <v>15338.560000000001</v>
      </c>
      <c r="G232" s="3">
        <v>0</v>
      </c>
      <c r="H232" s="3">
        <f t="shared" si="4"/>
        <v>18419.2</v>
      </c>
      <c r="J232" s="2">
        <v>0</v>
      </c>
      <c r="K232" s="2">
        <v>0</v>
      </c>
      <c r="L232" s="2">
        <v>0</v>
      </c>
      <c r="M232" s="2">
        <v>0</v>
      </c>
      <c r="N232" s="2">
        <v>0</v>
      </c>
      <c r="P232" s="5"/>
      <c r="Q232" s="5"/>
    </row>
    <row r="233" spans="1:17" x14ac:dyDescent="0.2">
      <c r="A233" s="5">
        <v>750</v>
      </c>
      <c r="B233" s="5">
        <v>1</v>
      </c>
      <c r="C233" s="2" t="s">
        <v>229</v>
      </c>
      <c r="D233" s="3">
        <v>6523.4900000000007</v>
      </c>
      <c r="E233" s="3">
        <v>1128.45</v>
      </c>
      <c r="F233" s="3">
        <v>19044.5</v>
      </c>
      <c r="G233" s="3">
        <v>3330.3</v>
      </c>
      <c r="H233" s="3">
        <f t="shared" si="4"/>
        <v>30026.74</v>
      </c>
      <c r="J233" s="2">
        <v>0</v>
      </c>
      <c r="K233" s="2">
        <v>0</v>
      </c>
      <c r="L233" s="2">
        <v>0</v>
      </c>
      <c r="M233" s="2">
        <v>0</v>
      </c>
      <c r="N233" s="2">
        <v>0</v>
      </c>
      <c r="P233" s="5"/>
      <c r="Q233" s="5"/>
    </row>
    <row r="234" spans="1:17" x14ac:dyDescent="0.2">
      <c r="A234" s="5">
        <v>756</v>
      </c>
      <c r="B234" s="5">
        <v>1</v>
      </c>
      <c r="C234" s="2" t="s">
        <v>230</v>
      </c>
      <c r="D234" s="3">
        <v>9356.75</v>
      </c>
      <c r="E234" s="3">
        <v>1416.05</v>
      </c>
      <c r="F234" s="3">
        <v>41697.94</v>
      </c>
      <c r="G234" s="3">
        <v>0</v>
      </c>
      <c r="H234" s="3">
        <f t="shared" si="4"/>
        <v>52470.740000000005</v>
      </c>
      <c r="J234" s="2">
        <v>0</v>
      </c>
      <c r="K234" s="2">
        <v>0</v>
      </c>
      <c r="L234" s="2">
        <v>0</v>
      </c>
      <c r="M234" s="2">
        <v>0</v>
      </c>
      <c r="N234" s="2">
        <v>0</v>
      </c>
      <c r="P234" s="5"/>
      <c r="Q234" s="5"/>
    </row>
    <row r="235" spans="1:17" x14ac:dyDescent="0.2">
      <c r="A235" s="5">
        <v>761</v>
      </c>
      <c r="B235" s="5">
        <v>1</v>
      </c>
      <c r="C235" s="2" t="s">
        <v>231</v>
      </c>
      <c r="D235" s="3">
        <v>21347</v>
      </c>
      <c r="E235" s="3">
        <v>4055.9900000000002</v>
      </c>
      <c r="F235" s="3">
        <v>34281.31</v>
      </c>
      <c r="G235" s="3">
        <v>0</v>
      </c>
      <c r="H235" s="3">
        <f t="shared" si="4"/>
        <v>59684.3</v>
      </c>
      <c r="J235" s="2">
        <v>0</v>
      </c>
      <c r="K235" s="2">
        <v>0</v>
      </c>
      <c r="L235" s="2">
        <v>0</v>
      </c>
      <c r="M235" s="2">
        <v>0</v>
      </c>
      <c r="N235" s="2">
        <v>0</v>
      </c>
      <c r="P235" s="5"/>
      <c r="Q235" s="5"/>
    </row>
    <row r="236" spans="1:17" x14ac:dyDescent="0.2">
      <c r="A236" s="5">
        <v>763</v>
      </c>
      <c r="B236" s="5">
        <v>1</v>
      </c>
      <c r="C236" s="2" t="s">
        <v>232</v>
      </c>
      <c r="D236" s="3">
        <v>2826.71</v>
      </c>
      <c r="E236" s="3">
        <v>591.11999999999989</v>
      </c>
      <c r="F236" s="3">
        <v>15594.97</v>
      </c>
      <c r="G236" s="3">
        <v>0</v>
      </c>
      <c r="H236" s="3">
        <f t="shared" si="4"/>
        <v>19012.8</v>
      </c>
      <c r="J236" s="2">
        <v>0</v>
      </c>
      <c r="K236" s="2">
        <v>0</v>
      </c>
      <c r="L236" s="2">
        <v>0</v>
      </c>
      <c r="M236" s="2">
        <v>0</v>
      </c>
      <c r="N236" s="2">
        <v>0</v>
      </c>
      <c r="P236" s="5"/>
      <c r="Q236" s="5"/>
    </row>
    <row r="237" spans="1:17" x14ac:dyDescent="0.2">
      <c r="A237" s="5">
        <v>768</v>
      </c>
      <c r="B237" s="5">
        <v>1</v>
      </c>
      <c r="C237" s="2" t="s">
        <v>233</v>
      </c>
      <c r="D237" s="3">
        <v>3351.79</v>
      </c>
      <c r="E237" s="3">
        <v>583.25</v>
      </c>
      <c r="F237" s="3">
        <v>10363.65</v>
      </c>
      <c r="G237" s="3">
        <v>153.88</v>
      </c>
      <c r="H237" s="3">
        <f t="shared" si="4"/>
        <v>14452.569999999998</v>
      </c>
      <c r="J237" s="2">
        <v>0</v>
      </c>
      <c r="K237" s="2">
        <v>0</v>
      </c>
      <c r="L237" s="2">
        <v>0</v>
      </c>
      <c r="M237" s="2">
        <v>0</v>
      </c>
      <c r="N237" s="2">
        <v>0</v>
      </c>
      <c r="P237" s="5"/>
      <c r="Q237" s="5"/>
    </row>
    <row r="238" spans="1:17" x14ac:dyDescent="0.2">
      <c r="A238" s="5">
        <v>769</v>
      </c>
      <c r="B238" s="5">
        <v>1</v>
      </c>
      <c r="C238" s="2" t="s">
        <v>234</v>
      </c>
      <c r="D238" s="3">
        <v>8432.7199999999993</v>
      </c>
      <c r="E238" s="3">
        <v>2825.24</v>
      </c>
      <c r="F238" s="3">
        <v>60116.2</v>
      </c>
      <c r="G238" s="3">
        <v>2930.92</v>
      </c>
      <c r="H238" s="3">
        <f t="shared" si="4"/>
        <v>74305.08</v>
      </c>
      <c r="J238" s="2">
        <v>0</v>
      </c>
      <c r="K238" s="2">
        <v>0</v>
      </c>
      <c r="L238" s="2">
        <v>0</v>
      </c>
      <c r="M238" s="2">
        <v>0</v>
      </c>
      <c r="N238" s="2">
        <v>0</v>
      </c>
      <c r="P238" s="5"/>
      <c r="Q238" s="5"/>
    </row>
    <row r="239" spans="1:17" x14ac:dyDescent="0.2">
      <c r="A239" s="5">
        <v>771</v>
      </c>
      <c r="B239" s="5">
        <v>1</v>
      </c>
      <c r="C239" s="2" t="s">
        <v>235</v>
      </c>
      <c r="D239" s="3">
        <v>4443.3599999999997</v>
      </c>
      <c r="E239" s="3">
        <v>1216.8800000000001</v>
      </c>
      <c r="F239" s="3">
        <v>0</v>
      </c>
      <c r="G239" s="3">
        <v>0</v>
      </c>
      <c r="H239" s="3">
        <f t="shared" si="4"/>
        <v>5660.24</v>
      </c>
      <c r="J239" s="2">
        <v>0</v>
      </c>
      <c r="K239" s="2">
        <v>0</v>
      </c>
      <c r="L239" s="2">
        <v>0</v>
      </c>
      <c r="M239" s="2">
        <v>0</v>
      </c>
      <c r="N239" s="2">
        <v>0</v>
      </c>
      <c r="P239" s="5"/>
      <c r="Q239" s="5"/>
    </row>
    <row r="240" spans="1:17" x14ac:dyDescent="0.2">
      <c r="A240" s="5">
        <v>775</v>
      </c>
      <c r="B240" s="5">
        <v>1</v>
      </c>
      <c r="C240" s="2" t="s">
        <v>236</v>
      </c>
      <c r="D240" s="3">
        <v>5667.23</v>
      </c>
      <c r="E240" s="3">
        <v>735.01</v>
      </c>
      <c r="F240" s="3">
        <v>10411.970000000001</v>
      </c>
      <c r="G240" s="3">
        <v>0</v>
      </c>
      <c r="H240" s="3">
        <f t="shared" si="4"/>
        <v>16814.21</v>
      </c>
      <c r="J240" s="2">
        <v>0</v>
      </c>
      <c r="K240" s="2">
        <v>0</v>
      </c>
      <c r="L240" s="2">
        <v>0</v>
      </c>
      <c r="M240" s="2">
        <v>0</v>
      </c>
      <c r="N240" s="2">
        <v>0</v>
      </c>
      <c r="P240" s="5"/>
      <c r="Q240" s="5"/>
    </row>
    <row r="241" spans="1:17" x14ac:dyDescent="0.2">
      <c r="A241" s="5">
        <v>777</v>
      </c>
      <c r="B241" s="5">
        <v>1</v>
      </c>
      <c r="C241" s="2" t="s">
        <v>237</v>
      </c>
      <c r="D241" s="3">
        <v>9191.619999999999</v>
      </c>
      <c r="E241" s="3">
        <v>1499.56</v>
      </c>
      <c r="F241" s="3">
        <v>7211.66</v>
      </c>
      <c r="G241" s="3">
        <v>0</v>
      </c>
      <c r="H241" s="3">
        <f t="shared" si="4"/>
        <v>17902.839999999997</v>
      </c>
      <c r="J241" s="2">
        <v>0</v>
      </c>
      <c r="K241" s="2">
        <v>0</v>
      </c>
      <c r="L241" s="2">
        <v>0</v>
      </c>
      <c r="M241" s="2">
        <v>0</v>
      </c>
      <c r="N241" s="2">
        <v>0</v>
      </c>
      <c r="P241" s="5"/>
      <c r="Q241" s="5"/>
    </row>
    <row r="242" spans="1:17" x14ac:dyDescent="0.2">
      <c r="A242" s="5">
        <v>786</v>
      </c>
      <c r="B242" s="5">
        <v>1</v>
      </c>
      <c r="C242" s="2" t="s">
        <v>238</v>
      </c>
      <c r="D242" s="3">
        <v>8759.0700000000015</v>
      </c>
      <c r="E242" s="3">
        <v>1638.85</v>
      </c>
      <c r="F242" s="3">
        <v>24661.57</v>
      </c>
      <c r="G242" s="3">
        <v>0</v>
      </c>
      <c r="H242" s="3">
        <f t="shared" si="4"/>
        <v>35059.490000000005</v>
      </c>
      <c r="J242" s="2">
        <v>0</v>
      </c>
      <c r="K242" s="2">
        <v>0</v>
      </c>
      <c r="L242" s="2">
        <v>0</v>
      </c>
      <c r="M242" s="2">
        <v>0</v>
      </c>
      <c r="N242" s="2">
        <v>0</v>
      </c>
      <c r="P242" s="5"/>
      <c r="Q242" s="5"/>
    </row>
    <row r="243" spans="1:17" x14ac:dyDescent="0.2">
      <c r="A243" s="5">
        <v>787</v>
      </c>
      <c r="B243" s="5">
        <v>1</v>
      </c>
      <c r="C243" s="2" t="s">
        <v>239</v>
      </c>
      <c r="D243" s="3">
        <v>7471.09</v>
      </c>
      <c r="E243" s="3">
        <v>331.8</v>
      </c>
      <c r="F243" s="3">
        <v>10541.05</v>
      </c>
      <c r="G243" s="3">
        <v>0</v>
      </c>
      <c r="H243" s="3">
        <f t="shared" si="4"/>
        <v>18343.939999999999</v>
      </c>
      <c r="J243" s="2">
        <v>0</v>
      </c>
      <c r="K243" s="2">
        <v>0</v>
      </c>
      <c r="L243" s="2">
        <v>0</v>
      </c>
      <c r="M243" s="2">
        <v>0</v>
      </c>
      <c r="N243" s="2">
        <v>0</v>
      </c>
      <c r="P243" s="5"/>
      <c r="Q243" s="5"/>
    </row>
    <row r="244" spans="1:17" x14ac:dyDescent="0.2">
      <c r="A244" s="5">
        <v>801</v>
      </c>
      <c r="B244" s="5">
        <v>1</v>
      </c>
      <c r="C244" s="2" t="s">
        <v>240</v>
      </c>
      <c r="D244" s="3">
        <v>828.48</v>
      </c>
      <c r="E244" s="3">
        <v>217.73</v>
      </c>
      <c r="F244" s="3">
        <v>0</v>
      </c>
      <c r="G244" s="3">
        <v>0</v>
      </c>
      <c r="H244" s="3">
        <f t="shared" si="4"/>
        <v>1046.21</v>
      </c>
      <c r="J244" s="2">
        <v>0</v>
      </c>
      <c r="K244" s="2">
        <v>0</v>
      </c>
      <c r="L244" s="2">
        <v>0</v>
      </c>
      <c r="M244" s="2">
        <v>0</v>
      </c>
      <c r="N244" s="2">
        <v>0</v>
      </c>
      <c r="P244" s="5"/>
      <c r="Q244" s="5"/>
    </row>
    <row r="245" spans="1:17" x14ac:dyDescent="0.2">
      <c r="A245" s="5">
        <v>803</v>
      </c>
      <c r="B245" s="5">
        <v>1</v>
      </c>
      <c r="C245" s="2" t="s">
        <v>241</v>
      </c>
      <c r="D245" s="3">
        <v>16392.5</v>
      </c>
      <c r="E245" s="3">
        <v>2454.08</v>
      </c>
      <c r="F245" s="3">
        <v>0</v>
      </c>
      <c r="G245" s="3">
        <v>0</v>
      </c>
      <c r="H245" s="3">
        <f t="shared" si="4"/>
        <v>18846.580000000002</v>
      </c>
      <c r="J245" s="2">
        <v>0</v>
      </c>
      <c r="K245" s="2">
        <v>0</v>
      </c>
      <c r="L245" s="2">
        <v>0</v>
      </c>
      <c r="M245" s="2">
        <v>0</v>
      </c>
      <c r="N245" s="2">
        <v>0</v>
      </c>
      <c r="P245" s="5"/>
      <c r="Q245" s="5"/>
    </row>
    <row r="246" spans="1:17" x14ac:dyDescent="0.2">
      <c r="A246" s="5">
        <v>811</v>
      </c>
      <c r="B246" s="5">
        <v>1</v>
      </c>
      <c r="C246" s="2" t="s">
        <v>242</v>
      </c>
      <c r="D246" s="3">
        <v>3356.61</v>
      </c>
      <c r="E246" s="3">
        <v>1568.27</v>
      </c>
      <c r="F246" s="3">
        <v>6260.91</v>
      </c>
      <c r="G246" s="3">
        <v>0</v>
      </c>
      <c r="H246" s="3">
        <f t="shared" si="4"/>
        <v>11185.79</v>
      </c>
      <c r="J246" s="2">
        <v>0</v>
      </c>
      <c r="K246" s="2">
        <v>0</v>
      </c>
      <c r="L246" s="2">
        <v>0</v>
      </c>
      <c r="M246" s="2">
        <v>0</v>
      </c>
      <c r="N246" s="2">
        <v>0</v>
      </c>
      <c r="P246" s="5"/>
      <c r="Q246" s="5"/>
    </row>
    <row r="247" spans="1:17" x14ac:dyDescent="0.2">
      <c r="A247" s="5">
        <v>813</v>
      </c>
      <c r="B247" s="5">
        <v>1</v>
      </c>
      <c r="C247" s="2" t="s">
        <v>243</v>
      </c>
      <c r="D247" s="3">
        <v>5837.9500000000007</v>
      </c>
      <c r="E247" s="3">
        <v>1564.9299999999998</v>
      </c>
      <c r="F247" s="3">
        <v>18067.07</v>
      </c>
      <c r="G247" s="3">
        <v>0</v>
      </c>
      <c r="H247" s="3">
        <f t="shared" si="4"/>
        <v>25469.95</v>
      </c>
      <c r="J247" s="2">
        <v>0</v>
      </c>
      <c r="K247" s="2">
        <v>0</v>
      </c>
      <c r="L247" s="2">
        <v>0</v>
      </c>
      <c r="M247" s="2">
        <v>0</v>
      </c>
      <c r="N247" s="2">
        <v>0</v>
      </c>
      <c r="P247" s="5"/>
      <c r="Q247" s="5"/>
    </row>
    <row r="248" spans="1:17" x14ac:dyDescent="0.2">
      <c r="A248" s="5">
        <v>815</v>
      </c>
      <c r="B248" s="5">
        <v>2</v>
      </c>
      <c r="C248" s="2" t="s">
        <v>244</v>
      </c>
      <c r="D248" s="3">
        <v>805.61</v>
      </c>
      <c r="E248" s="3">
        <v>0</v>
      </c>
      <c r="F248" s="3">
        <v>0</v>
      </c>
      <c r="G248" s="3">
        <v>0</v>
      </c>
      <c r="H248" s="3">
        <f t="shared" si="4"/>
        <v>805.61</v>
      </c>
      <c r="J248" s="2">
        <v>0</v>
      </c>
      <c r="K248" s="2">
        <v>0</v>
      </c>
      <c r="L248" s="2">
        <v>0</v>
      </c>
      <c r="M248" s="2">
        <v>0</v>
      </c>
      <c r="N248" s="2">
        <v>0</v>
      </c>
      <c r="P248" s="5"/>
      <c r="Q248" s="5"/>
    </row>
    <row r="249" spans="1:17" x14ac:dyDescent="0.2">
      <c r="A249" s="5">
        <v>818</v>
      </c>
      <c r="B249" s="5">
        <v>1</v>
      </c>
      <c r="C249" s="2" t="s">
        <v>245</v>
      </c>
      <c r="D249" s="3">
        <v>4886.5600000000004</v>
      </c>
      <c r="E249" s="3">
        <v>684.94999999999993</v>
      </c>
      <c r="F249" s="3">
        <v>9914.7800000000007</v>
      </c>
      <c r="G249" s="3">
        <v>0</v>
      </c>
      <c r="H249" s="3">
        <f t="shared" si="4"/>
        <v>15486.29</v>
      </c>
      <c r="J249" s="2">
        <v>0</v>
      </c>
      <c r="K249" s="2">
        <v>0</v>
      </c>
      <c r="L249" s="2">
        <v>0</v>
      </c>
      <c r="M249" s="2">
        <v>0</v>
      </c>
      <c r="N249" s="2">
        <v>0</v>
      </c>
      <c r="P249" s="5"/>
      <c r="Q249" s="5"/>
    </row>
    <row r="250" spans="1:17" x14ac:dyDescent="0.2">
      <c r="A250" s="5">
        <v>820</v>
      </c>
      <c r="B250" s="5">
        <v>1</v>
      </c>
      <c r="C250" s="2" t="s">
        <v>246</v>
      </c>
      <c r="D250" s="3">
        <v>13441.51</v>
      </c>
      <c r="E250" s="3">
        <v>2794.88</v>
      </c>
      <c r="F250" s="3">
        <v>0</v>
      </c>
      <c r="G250" s="3">
        <v>0</v>
      </c>
      <c r="H250" s="3">
        <f t="shared" si="4"/>
        <v>16236.39</v>
      </c>
      <c r="J250" s="2">
        <v>0</v>
      </c>
      <c r="K250" s="2">
        <v>0</v>
      </c>
      <c r="L250" s="2">
        <v>0</v>
      </c>
      <c r="M250" s="2">
        <v>0</v>
      </c>
      <c r="N250" s="2">
        <v>0</v>
      </c>
      <c r="P250" s="5"/>
      <c r="Q250" s="5"/>
    </row>
    <row r="251" spans="1:17" x14ac:dyDescent="0.2">
      <c r="A251" s="5">
        <v>821</v>
      </c>
      <c r="B251" s="5">
        <v>1</v>
      </c>
      <c r="C251" s="2" t="s">
        <v>247</v>
      </c>
      <c r="D251" s="3">
        <v>7776.43</v>
      </c>
      <c r="E251" s="3">
        <v>1290.69</v>
      </c>
      <c r="F251" s="3">
        <v>15489.320000000002</v>
      </c>
      <c r="G251" s="3">
        <v>0</v>
      </c>
      <c r="H251" s="3">
        <f t="shared" si="4"/>
        <v>24556.440000000002</v>
      </c>
      <c r="J251" s="2">
        <v>0</v>
      </c>
      <c r="K251" s="2">
        <v>0</v>
      </c>
      <c r="L251" s="2">
        <v>0</v>
      </c>
      <c r="M251" s="2">
        <v>0</v>
      </c>
      <c r="N251" s="2">
        <v>0</v>
      </c>
      <c r="P251" s="5"/>
      <c r="Q251" s="5"/>
    </row>
    <row r="252" spans="1:17" x14ac:dyDescent="0.2">
      <c r="A252" s="5">
        <v>829</v>
      </c>
      <c r="B252" s="5">
        <v>1</v>
      </c>
      <c r="C252" s="2" t="s">
        <v>248</v>
      </c>
      <c r="D252" s="3">
        <v>10529.79</v>
      </c>
      <c r="E252" s="3">
        <v>2841.56</v>
      </c>
      <c r="F252" s="3">
        <v>21198.090000000004</v>
      </c>
      <c r="G252" s="3">
        <v>0</v>
      </c>
      <c r="H252" s="3">
        <f t="shared" si="4"/>
        <v>34569.440000000002</v>
      </c>
      <c r="J252" s="2">
        <v>0</v>
      </c>
      <c r="K252" s="2">
        <v>0</v>
      </c>
      <c r="L252" s="2">
        <v>0</v>
      </c>
      <c r="M252" s="2">
        <v>0</v>
      </c>
      <c r="N252" s="2">
        <v>0</v>
      </c>
      <c r="P252" s="5"/>
      <c r="Q252" s="5"/>
    </row>
    <row r="253" spans="1:17" x14ac:dyDescent="0.2">
      <c r="A253" s="5">
        <v>831</v>
      </c>
      <c r="B253" s="5">
        <v>1</v>
      </c>
      <c r="C253" s="2" t="s">
        <v>249</v>
      </c>
      <c r="D253" s="3">
        <v>5357.6100000000006</v>
      </c>
      <c r="E253" s="3">
        <v>1866.09</v>
      </c>
      <c r="F253" s="3">
        <v>8669.64</v>
      </c>
      <c r="G253" s="3">
        <v>1119.08</v>
      </c>
      <c r="H253" s="3">
        <f t="shared" si="4"/>
        <v>17012.419999999998</v>
      </c>
      <c r="J253" s="2">
        <v>0</v>
      </c>
      <c r="K253" s="2">
        <v>0</v>
      </c>
      <c r="L253" s="2">
        <v>0</v>
      </c>
      <c r="M253" s="2">
        <v>0</v>
      </c>
      <c r="N253" s="2">
        <v>0</v>
      </c>
      <c r="P253" s="5"/>
      <c r="Q253" s="5"/>
    </row>
    <row r="254" spans="1:17" x14ac:dyDescent="0.2">
      <c r="A254" s="5">
        <v>832</v>
      </c>
      <c r="B254" s="5">
        <v>1</v>
      </c>
      <c r="C254" s="2" t="s">
        <v>250</v>
      </c>
      <c r="D254" s="3">
        <v>1433.9799999999998</v>
      </c>
      <c r="E254" s="3">
        <v>169.71</v>
      </c>
      <c r="F254" s="3">
        <v>3266.16</v>
      </c>
      <c r="G254" s="3">
        <v>223.6</v>
      </c>
      <c r="H254" s="3">
        <f t="shared" si="4"/>
        <v>5093.45</v>
      </c>
      <c r="J254" s="2">
        <v>0</v>
      </c>
      <c r="K254" s="2">
        <v>0</v>
      </c>
      <c r="L254" s="2">
        <v>0</v>
      </c>
      <c r="M254" s="2">
        <v>0</v>
      </c>
      <c r="N254" s="2">
        <v>0</v>
      </c>
      <c r="P254" s="5"/>
      <c r="Q254" s="5"/>
    </row>
    <row r="255" spans="1:17" x14ac:dyDescent="0.2">
      <c r="A255" s="5">
        <v>833</v>
      </c>
      <c r="B255" s="5">
        <v>1</v>
      </c>
      <c r="C255" s="2" t="s">
        <v>251</v>
      </c>
      <c r="D255" s="3">
        <v>2203.98</v>
      </c>
      <c r="E255" s="3">
        <v>320.40000000000003</v>
      </c>
      <c r="F255" s="3">
        <v>5924.27</v>
      </c>
      <c r="G255" s="3">
        <v>0</v>
      </c>
      <c r="H255" s="3">
        <f t="shared" si="4"/>
        <v>8448.6500000000015</v>
      </c>
      <c r="J255" s="2">
        <v>0</v>
      </c>
      <c r="K255" s="2">
        <v>0</v>
      </c>
      <c r="L255" s="2">
        <v>0</v>
      </c>
      <c r="M255" s="2">
        <v>0</v>
      </c>
      <c r="N255" s="2">
        <v>0</v>
      </c>
      <c r="P255" s="5"/>
      <c r="Q255" s="5"/>
    </row>
    <row r="256" spans="1:17" x14ac:dyDescent="0.2">
      <c r="A256" s="5">
        <v>834</v>
      </c>
      <c r="B256" s="5">
        <v>1</v>
      </c>
      <c r="C256" s="2" t="s">
        <v>252</v>
      </c>
      <c r="D256" s="3">
        <v>7920.91</v>
      </c>
      <c r="E256" s="3">
        <v>958.86</v>
      </c>
      <c r="F256" s="3">
        <v>9343.7199999999993</v>
      </c>
      <c r="G256" s="3">
        <v>1545.32</v>
      </c>
      <c r="H256" s="3">
        <f t="shared" si="4"/>
        <v>19768.809999999998</v>
      </c>
      <c r="J256" s="2">
        <v>0</v>
      </c>
      <c r="K256" s="2">
        <v>0</v>
      </c>
      <c r="L256" s="2">
        <v>0</v>
      </c>
      <c r="M256" s="2">
        <v>0</v>
      </c>
      <c r="N256" s="2">
        <v>0</v>
      </c>
      <c r="P256" s="5"/>
      <c r="Q256" s="5"/>
    </row>
    <row r="257" spans="1:17" x14ac:dyDescent="0.2">
      <c r="A257" s="5">
        <v>836</v>
      </c>
      <c r="B257" s="5">
        <v>1</v>
      </c>
      <c r="C257" s="2" t="s">
        <v>253</v>
      </c>
      <c r="D257" s="3">
        <v>4700.8599999999997</v>
      </c>
      <c r="E257" s="3">
        <v>769.01</v>
      </c>
      <c r="F257" s="3">
        <v>0</v>
      </c>
      <c r="G257" s="3">
        <v>0</v>
      </c>
      <c r="H257" s="3">
        <f t="shared" si="4"/>
        <v>5469.87</v>
      </c>
      <c r="J257" s="2">
        <v>0</v>
      </c>
      <c r="K257" s="2">
        <v>0</v>
      </c>
      <c r="L257" s="2">
        <v>0</v>
      </c>
      <c r="M257" s="2">
        <v>0</v>
      </c>
      <c r="N257" s="2">
        <v>0</v>
      </c>
      <c r="P257" s="5"/>
      <c r="Q257" s="5"/>
    </row>
    <row r="258" spans="1:17" x14ac:dyDescent="0.2">
      <c r="A258" s="5">
        <v>837</v>
      </c>
      <c r="B258" s="5">
        <v>1</v>
      </c>
      <c r="C258" s="2" t="s">
        <v>254</v>
      </c>
      <c r="D258" s="3">
        <v>3848.24</v>
      </c>
      <c r="E258" s="3">
        <v>746.33999999999992</v>
      </c>
      <c r="F258" s="3">
        <v>9872.33</v>
      </c>
      <c r="G258" s="3">
        <v>2467.5700000000002</v>
      </c>
      <c r="H258" s="3">
        <f t="shared" si="4"/>
        <v>16934.48</v>
      </c>
      <c r="J258" s="2">
        <v>0</v>
      </c>
      <c r="K258" s="2">
        <v>0</v>
      </c>
      <c r="L258" s="2">
        <v>0</v>
      </c>
      <c r="M258" s="2">
        <v>0</v>
      </c>
      <c r="N258" s="2">
        <v>0</v>
      </c>
      <c r="P258" s="5"/>
      <c r="Q258" s="5"/>
    </row>
    <row r="259" spans="1:17" x14ac:dyDescent="0.2">
      <c r="A259" s="5">
        <v>840</v>
      </c>
      <c r="B259" s="5">
        <v>1</v>
      </c>
      <c r="C259" s="2" t="s">
        <v>255</v>
      </c>
      <c r="D259" s="3">
        <v>9663.5</v>
      </c>
      <c r="E259" s="3">
        <v>2009.08</v>
      </c>
      <c r="F259" s="3">
        <v>730.55</v>
      </c>
      <c r="G259" s="3">
        <v>5453.21</v>
      </c>
      <c r="H259" s="3">
        <f t="shared" si="4"/>
        <v>17856.34</v>
      </c>
      <c r="J259" s="2">
        <v>0</v>
      </c>
      <c r="K259" s="2">
        <v>0</v>
      </c>
      <c r="L259" s="2">
        <v>0</v>
      </c>
      <c r="M259" s="2">
        <v>0</v>
      </c>
      <c r="N259" s="2">
        <v>0</v>
      </c>
      <c r="P259" s="5"/>
      <c r="Q259" s="5"/>
    </row>
    <row r="260" spans="1:17" x14ac:dyDescent="0.2">
      <c r="A260" s="5">
        <v>846</v>
      </c>
      <c r="B260" s="5">
        <v>1</v>
      </c>
      <c r="C260" s="2" t="s">
        <v>256</v>
      </c>
      <c r="D260" s="3">
        <v>15856.2</v>
      </c>
      <c r="E260" s="3">
        <v>4154.4399999999996</v>
      </c>
      <c r="F260" s="3">
        <v>16031.079999999998</v>
      </c>
      <c r="G260" s="3">
        <v>0</v>
      </c>
      <c r="H260" s="3">
        <f t="shared" si="4"/>
        <v>36041.72</v>
      </c>
      <c r="J260" s="2">
        <v>0</v>
      </c>
      <c r="K260" s="2">
        <v>0</v>
      </c>
      <c r="L260" s="2">
        <v>0</v>
      </c>
      <c r="M260" s="2">
        <v>0</v>
      </c>
      <c r="N260" s="2">
        <v>0</v>
      </c>
      <c r="P260" s="5"/>
      <c r="Q260" s="5"/>
    </row>
    <row r="261" spans="1:17" x14ac:dyDescent="0.2">
      <c r="A261" s="5">
        <v>850</v>
      </c>
      <c r="B261" s="5">
        <v>1</v>
      </c>
      <c r="C261" s="2" t="s">
        <v>257</v>
      </c>
      <c r="D261" s="3">
        <v>2354.4700000000003</v>
      </c>
      <c r="E261" s="3">
        <v>548.02</v>
      </c>
      <c r="F261" s="3">
        <v>0</v>
      </c>
      <c r="G261" s="3">
        <v>0</v>
      </c>
      <c r="H261" s="3">
        <f t="shared" si="4"/>
        <v>2902.4900000000002</v>
      </c>
      <c r="J261" s="2">
        <v>0</v>
      </c>
      <c r="K261" s="2">
        <v>0</v>
      </c>
      <c r="L261" s="2">
        <v>0</v>
      </c>
      <c r="M261" s="2">
        <v>0</v>
      </c>
      <c r="N261" s="2">
        <v>0</v>
      </c>
      <c r="P261" s="5"/>
      <c r="Q261" s="5"/>
    </row>
    <row r="262" spans="1:17" x14ac:dyDescent="0.2">
      <c r="A262" s="5">
        <v>852</v>
      </c>
      <c r="B262" s="5">
        <v>1</v>
      </c>
      <c r="C262" s="2" t="s">
        <v>258</v>
      </c>
      <c r="D262" s="3">
        <v>565.78000000000009</v>
      </c>
      <c r="E262" s="3">
        <v>219.41</v>
      </c>
      <c r="F262" s="3">
        <v>2279.1099999999997</v>
      </c>
      <c r="G262" s="3">
        <v>0</v>
      </c>
      <c r="H262" s="3">
        <f t="shared" si="4"/>
        <v>3064.2999999999997</v>
      </c>
      <c r="J262" s="2">
        <v>0</v>
      </c>
      <c r="K262" s="2">
        <v>0</v>
      </c>
      <c r="L262" s="2">
        <v>0</v>
      </c>
      <c r="M262" s="2">
        <v>0</v>
      </c>
      <c r="N262" s="2">
        <v>0</v>
      </c>
      <c r="P262" s="5"/>
      <c r="Q262" s="5"/>
    </row>
    <row r="263" spans="1:17" x14ac:dyDescent="0.2">
      <c r="A263" s="5">
        <v>857</v>
      </c>
      <c r="B263" s="5">
        <v>1</v>
      </c>
      <c r="C263" s="2" t="s">
        <v>259</v>
      </c>
      <c r="D263" s="3">
        <v>6492.09</v>
      </c>
      <c r="E263" s="3">
        <v>1711.8</v>
      </c>
      <c r="F263" s="3">
        <v>8502.18</v>
      </c>
      <c r="G263" s="3">
        <v>0</v>
      </c>
      <c r="H263" s="3">
        <f t="shared" si="4"/>
        <v>16706.07</v>
      </c>
      <c r="J263" s="2">
        <v>0</v>
      </c>
      <c r="K263" s="2">
        <v>0</v>
      </c>
      <c r="L263" s="2">
        <v>0</v>
      </c>
      <c r="M263" s="2">
        <v>0</v>
      </c>
      <c r="N263" s="2">
        <v>0</v>
      </c>
      <c r="P263" s="5"/>
      <c r="Q263" s="5"/>
    </row>
    <row r="264" spans="1:17" x14ac:dyDescent="0.2">
      <c r="A264" s="5">
        <v>858</v>
      </c>
      <c r="B264" s="5">
        <v>1</v>
      </c>
      <c r="C264" s="2" t="s">
        <v>260</v>
      </c>
      <c r="D264" s="3">
        <v>4777.8</v>
      </c>
      <c r="E264" s="3">
        <v>1345.3999999999999</v>
      </c>
      <c r="F264" s="3">
        <v>16502.93</v>
      </c>
      <c r="G264" s="3">
        <v>0</v>
      </c>
      <c r="H264" s="3">
        <f t="shared" si="4"/>
        <v>22626.13</v>
      </c>
      <c r="J264" s="2">
        <v>0</v>
      </c>
      <c r="K264" s="2">
        <v>0</v>
      </c>
      <c r="L264" s="2">
        <v>0</v>
      </c>
      <c r="M264" s="2">
        <v>0</v>
      </c>
      <c r="N264" s="2">
        <v>0</v>
      </c>
      <c r="P264" s="5"/>
      <c r="Q264" s="5"/>
    </row>
    <row r="265" spans="1:17" x14ac:dyDescent="0.2">
      <c r="A265" s="5">
        <v>861</v>
      </c>
      <c r="B265" s="5">
        <v>1</v>
      </c>
      <c r="C265" s="2" t="s">
        <v>261</v>
      </c>
      <c r="D265" s="3">
        <v>32077.279999999999</v>
      </c>
      <c r="E265" s="3">
        <v>7566.84</v>
      </c>
      <c r="F265" s="3">
        <v>30446.58</v>
      </c>
      <c r="G265" s="3">
        <v>12349.1</v>
      </c>
      <c r="H265" s="3">
        <f t="shared" ref="H265:H324" si="5">SUM(D265:G265)</f>
        <v>82439.8</v>
      </c>
      <c r="J265" s="2">
        <v>0</v>
      </c>
      <c r="K265" s="2">
        <v>0</v>
      </c>
      <c r="L265" s="2">
        <v>0</v>
      </c>
      <c r="M265" s="2">
        <v>0</v>
      </c>
      <c r="N265" s="2">
        <v>0</v>
      </c>
      <c r="P265" s="5"/>
      <c r="Q265" s="5"/>
    </row>
    <row r="266" spans="1:17" x14ac:dyDescent="0.2">
      <c r="A266" s="5">
        <v>876</v>
      </c>
      <c r="B266" s="5">
        <v>1</v>
      </c>
      <c r="C266" s="2" t="s">
        <v>262</v>
      </c>
      <c r="D266" s="3">
        <v>6492.98</v>
      </c>
      <c r="E266" s="3">
        <v>1255.1899999999998</v>
      </c>
      <c r="F266" s="3">
        <v>19386.87</v>
      </c>
      <c r="G266" s="3">
        <v>0</v>
      </c>
      <c r="H266" s="3">
        <f t="shared" si="5"/>
        <v>27135.039999999997</v>
      </c>
      <c r="J266" s="2">
        <v>0</v>
      </c>
      <c r="K266" s="2">
        <v>0</v>
      </c>
      <c r="L266" s="2">
        <v>0</v>
      </c>
      <c r="M266" s="2">
        <v>0</v>
      </c>
      <c r="N266" s="2">
        <v>0</v>
      </c>
      <c r="P266" s="5"/>
      <c r="Q266" s="5"/>
    </row>
    <row r="267" spans="1:17" x14ac:dyDescent="0.2">
      <c r="A267" s="5">
        <v>877</v>
      </c>
      <c r="B267" s="5">
        <v>1</v>
      </c>
      <c r="C267" s="2" t="s">
        <v>263</v>
      </c>
      <c r="D267" s="3">
        <v>11570.14</v>
      </c>
      <c r="E267" s="3">
        <v>3073.5099999999998</v>
      </c>
      <c r="F267" s="3">
        <v>36446.44</v>
      </c>
      <c r="G267" s="3">
        <v>2841.9300000000003</v>
      </c>
      <c r="H267" s="3">
        <f t="shared" si="5"/>
        <v>53932.020000000004</v>
      </c>
      <c r="J267" s="2">
        <v>0</v>
      </c>
      <c r="K267" s="2">
        <v>0</v>
      </c>
      <c r="L267" s="2">
        <v>0</v>
      </c>
      <c r="M267" s="2">
        <v>0</v>
      </c>
      <c r="N267" s="2">
        <v>0</v>
      </c>
      <c r="P267" s="5"/>
      <c r="Q267" s="5"/>
    </row>
    <row r="268" spans="1:17" x14ac:dyDescent="0.2">
      <c r="A268" s="5">
        <v>879</v>
      </c>
      <c r="B268" s="5">
        <v>1</v>
      </c>
      <c r="C268" s="2" t="s">
        <v>264</v>
      </c>
      <c r="D268" s="3">
        <v>4767.7300000000005</v>
      </c>
      <c r="E268" s="3">
        <v>1316.8100000000002</v>
      </c>
      <c r="F268" s="3">
        <v>14663.65</v>
      </c>
      <c r="G268" s="3">
        <v>0</v>
      </c>
      <c r="H268" s="3">
        <f t="shared" si="5"/>
        <v>20748.190000000002</v>
      </c>
      <c r="J268" s="2">
        <v>0</v>
      </c>
      <c r="K268" s="2">
        <v>0</v>
      </c>
      <c r="L268" s="2">
        <v>0</v>
      </c>
      <c r="M268" s="2">
        <v>0</v>
      </c>
      <c r="N268" s="2">
        <v>0</v>
      </c>
      <c r="P268" s="5"/>
      <c r="Q268" s="5"/>
    </row>
    <row r="269" spans="1:17" x14ac:dyDescent="0.2">
      <c r="A269" s="5">
        <v>881</v>
      </c>
      <c r="B269" s="5">
        <v>1</v>
      </c>
      <c r="C269" s="2" t="s">
        <v>265</v>
      </c>
      <c r="D269" s="3">
        <v>2085.56</v>
      </c>
      <c r="E269" s="3">
        <v>702.3</v>
      </c>
      <c r="F269" s="3">
        <v>14947.54</v>
      </c>
      <c r="G269" s="3">
        <v>895</v>
      </c>
      <c r="H269" s="3">
        <f t="shared" si="5"/>
        <v>18630.400000000001</v>
      </c>
      <c r="J269" s="2">
        <v>0</v>
      </c>
      <c r="K269" s="2">
        <v>0</v>
      </c>
      <c r="L269" s="2">
        <v>0</v>
      </c>
      <c r="M269" s="2">
        <v>0</v>
      </c>
      <c r="N269" s="2">
        <v>0</v>
      </c>
      <c r="P269" s="5"/>
      <c r="Q269" s="5"/>
    </row>
    <row r="270" spans="1:17" x14ac:dyDescent="0.2">
      <c r="A270" s="5">
        <v>882</v>
      </c>
      <c r="B270" s="5">
        <v>1</v>
      </c>
      <c r="C270" s="2" t="s">
        <v>266</v>
      </c>
      <c r="D270" s="3">
        <v>6088.39</v>
      </c>
      <c r="E270" s="3">
        <v>838.23</v>
      </c>
      <c r="F270" s="3">
        <v>14225.21</v>
      </c>
      <c r="G270" s="3">
        <v>0</v>
      </c>
      <c r="H270" s="3">
        <f t="shared" si="5"/>
        <v>21151.83</v>
      </c>
      <c r="J270" s="2">
        <v>0</v>
      </c>
      <c r="K270" s="2">
        <v>0</v>
      </c>
      <c r="L270" s="2">
        <v>0</v>
      </c>
      <c r="M270" s="2">
        <v>0</v>
      </c>
      <c r="N270" s="2">
        <v>0</v>
      </c>
      <c r="P270" s="5"/>
      <c r="Q270" s="5"/>
    </row>
    <row r="271" spans="1:17" x14ac:dyDescent="0.2">
      <c r="A271" s="5">
        <v>883</v>
      </c>
      <c r="B271" s="5">
        <v>1</v>
      </c>
      <c r="C271" s="2" t="s">
        <v>267</v>
      </c>
      <c r="D271" s="3">
        <v>1834.88</v>
      </c>
      <c r="E271" s="3">
        <v>459.46</v>
      </c>
      <c r="F271" s="3">
        <v>11561.38</v>
      </c>
      <c r="G271" s="3">
        <v>1141.17</v>
      </c>
      <c r="H271" s="3">
        <f t="shared" si="5"/>
        <v>14996.89</v>
      </c>
      <c r="J271" s="2">
        <v>0</v>
      </c>
      <c r="K271" s="2">
        <v>0</v>
      </c>
      <c r="L271" s="2">
        <v>0</v>
      </c>
      <c r="M271" s="2">
        <v>0</v>
      </c>
      <c r="N271" s="2">
        <v>0</v>
      </c>
      <c r="P271" s="5"/>
      <c r="Q271" s="5"/>
    </row>
    <row r="272" spans="1:17" x14ac:dyDescent="0.2">
      <c r="A272" s="5">
        <v>885</v>
      </c>
      <c r="B272" s="5">
        <v>1</v>
      </c>
      <c r="C272" s="2" t="s">
        <v>268</v>
      </c>
      <c r="D272" s="3">
        <v>1019.06</v>
      </c>
      <c r="E272" s="3">
        <v>300.18</v>
      </c>
      <c r="F272" s="3">
        <v>9153.02</v>
      </c>
      <c r="G272" s="3">
        <v>0</v>
      </c>
      <c r="H272" s="3">
        <f t="shared" si="5"/>
        <v>10472.26</v>
      </c>
      <c r="J272" s="2">
        <v>0</v>
      </c>
      <c r="K272" s="2">
        <v>0</v>
      </c>
      <c r="L272" s="2">
        <v>0</v>
      </c>
      <c r="M272" s="2">
        <v>0</v>
      </c>
      <c r="N272" s="2">
        <v>0</v>
      </c>
      <c r="P272" s="5"/>
      <c r="Q272" s="5"/>
    </row>
    <row r="273" spans="1:17" x14ac:dyDescent="0.2">
      <c r="A273" s="5">
        <v>891</v>
      </c>
      <c r="B273" s="5">
        <v>1</v>
      </c>
      <c r="C273" s="2" t="s">
        <v>269</v>
      </c>
      <c r="D273" s="3">
        <v>18503.599999999999</v>
      </c>
      <c r="E273" s="3">
        <v>3264.9300000000003</v>
      </c>
      <c r="F273" s="3">
        <v>19673.669999999998</v>
      </c>
      <c r="G273" s="3">
        <v>0</v>
      </c>
      <c r="H273" s="3">
        <f t="shared" si="5"/>
        <v>41442.199999999997</v>
      </c>
      <c r="J273" s="2">
        <v>0</v>
      </c>
      <c r="K273" s="2">
        <v>0</v>
      </c>
      <c r="L273" s="2">
        <v>0</v>
      </c>
      <c r="M273" s="2">
        <v>0</v>
      </c>
      <c r="N273" s="2">
        <v>0</v>
      </c>
      <c r="P273" s="5"/>
      <c r="Q273" s="5"/>
    </row>
    <row r="274" spans="1:17" x14ac:dyDescent="0.2">
      <c r="A274" s="5">
        <v>911</v>
      </c>
      <c r="B274" s="5">
        <v>1</v>
      </c>
      <c r="C274" s="2" t="s">
        <v>270</v>
      </c>
      <c r="D274" s="3">
        <v>23853.86</v>
      </c>
      <c r="E274" s="3">
        <v>5140.16</v>
      </c>
      <c r="F274" s="3">
        <v>89125.87999999999</v>
      </c>
      <c r="G274" s="3">
        <v>0</v>
      </c>
      <c r="H274" s="3">
        <f t="shared" si="5"/>
        <v>118119.9</v>
      </c>
      <c r="J274" s="2">
        <v>0</v>
      </c>
      <c r="K274" s="2">
        <v>0</v>
      </c>
      <c r="L274" s="2">
        <v>0</v>
      </c>
      <c r="M274" s="2">
        <v>0</v>
      </c>
      <c r="N274" s="2">
        <v>0</v>
      </c>
      <c r="P274" s="5"/>
      <c r="Q274" s="5"/>
    </row>
    <row r="275" spans="1:17" x14ac:dyDescent="0.2">
      <c r="A275" s="5">
        <v>912</v>
      </c>
      <c r="B275" s="5">
        <v>1</v>
      </c>
      <c r="C275" s="2" t="s">
        <v>271</v>
      </c>
      <c r="D275" s="3">
        <v>3430.08</v>
      </c>
      <c r="E275" s="3">
        <v>1770.31</v>
      </c>
      <c r="F275" s="3">
        <v>37569.11</v>
      </c>
      <c r="G275" s="3">
        <v>9231.15</v>
      </c>
      <c r="H275" s="3">
        <f t="shared" si="5"/>
        <v>52000.65</v>
      </c>
      <c r="J275" s="2">
        <v>0</v>
      </c>
      <c r="K275" s="2">
        <v>0</v>
      </c>
      <c r="L275" s="2">
        <v>0</v>
      </c>
      <c r="M275" s="2">
        <v>0</v>
      </c>
      <c r="N275" s="2">
        <v>0</v>
      </c>
      <c r="P275" s="5"/>
      <c r="Q275" s="5"/>
    </row>
    <row r="276" spans="1:17" x14ac:dyDescent="0.2">
      <c r="A276" s="5">
        <v>914</v>
      </c>
      <c r="B276" s="5">
        <v>1</v>
      </c>
      <c r="C276" s="2" t="s">
        <v>272</v>
      </c>
      <c r="D276" s="3">
        <v>1971.3999999999999</v>
      </c>
      <c r="E276" s="3">
        <v>390.34000000000003</v>
      </c>
      <c r="F276" s="3">
        <v>13536.789999999999</v>
      </c>
      <c r="G276" s="3">
        <v>0</v>
      </c>
      <c r="H276" s="3">
        <f t="shared" si="5"/>
        <v>15898.529999999999</v>
      </c>
      <c r="J276" s="2">
        <v>0</v>
      </c>
      <c r="K276" s="2">
        <v>0</v>
      </c>
      <c r="L276" s="2">
        <v>0</v>
      </c>
      <c r="M276" s="2">
        <v>0</v>
      </c>
      <c r="N276" s="2">
        <v>0</v>
      </c>
      <c r="P276" s="5"/>
      <c r="Q276" s="5"/>
    </row>
    <row r="277" spans="1:17" x14ac:dyDescent="0.2">
      <c r="A277" s="5">
        <v>2071</v>
      </c>
      <c r="B277" s="5">
        <v>1</v>
      </c>
      <c r="C277" s="2" t="s">
        <v>273</v>
      </c>
      <c r="D277" s="3">
        <v>7145.95</v>
      </c>
      <c r="E277" s="3">
        <v>1437.6100000000001</v>
      </c>
      <c r="F277" s="3">
        <v>23951.449999999997</v>
      </c>
      <c r="G277" s="3">
        <v>3296.33</v>
      </c>
      <c r="H277" s="3">
        <f t="shared" si="5"/>
        <v>35831.339999999997</v>
      </c>
      <c r="J277" s="2">
        <v>0</v>
      </c>
      <c r="K277" s="2">
        <v>0</v>
      </c>
      <c r="L277" s="2">
        <v>0</v>
      </c>
      <c r="M277" s="2">
        <v>0</v>
      </c>
      <c r="N277" s="2">
        <v>0</v>
      </c>
      <c r="P277" s="5"/>
      <c r="Q277" s="5"/>
    </row>
    <row r="278" spans="1:17" x14ac:dyDescent="0.2">
      <c r="A278" s="5">
        <v>2125</v>
      </c>
      <c r="B278" s="5">
        <v>1</v>
      </c>
      <c r="C278" s="2" t="s">
        <v>274</v>
      </c>
      <c r="D278" s="3">
        <v>25326.25</v>
      </c>
      <c r="E278" s="3">
        <v>5001.57</v>
      </c>
      <c r="F278" s="3">
        <v>40660.83</v>
      </c>
      <c r="G278" s="3">
        <v>0</v>
      </c>
      <c r="H278" s="3">
        <f t="shared" si="5"/>
        <v>70988.649999999994</v>
      </c>
      <c r="J278" s="2">
        <v>0</v>
      </c>
      <c r="K278" s="2">
        <v>0</v>
      </c>
      <c r="L278" s="2">
        <v>0</v>
      </c>
      <c r="M278" s="2">
        <v>0</v>
      </c>
      <c r="N278" s="2">
        <v>0</v>
      </c>
      <c r="P278" s="5"/>
      <c r="Q278" s="5"/>
    </row>
    <row r="279" spans="1:17" x14ac:dyDescent="0.2">
      <c r="A279" s="5">
        <v>2134</v>
      </c>
      <c r="B279" s="5">
        <v>1</v>
      </c>
      <c r="C279" s="2" t="s">
        <v>275</v>
      </c>
      <c r="D279" s="3">
        <v>22004.05</v>
      </c>
      <c r="E279" s="3">
        <v>3999.6700000000005</v>
      </c>
      <c r="F279" s="3">
        <v>0</v>
      </c>
      <c r="G279" s="3">
        <v>8670.35</v>
      </c>
      <c r="H279" s="3">
        <f t="shared" si="5"/>
        <v>34674.07</v>
      </c>
      <c r="J279" s="2">
        <v>0</v>
      </c>
      <c r="K279" s="2">
        <v>0</v>
      </c>
      <c r="L279" s="2">
        <v>0</v>
      </c>
      <c r="M279" s="2">
        <v>0</v>
      </c>
      <c r="N279" s="2">
        <v>0</v>
      </c>
      <c r="P279" s="5"/>
      <c r="Q279" s="5"/>
    </row>
    <row r="280" spans="1:17" x14ac:dyDescent="0.2">
      <c r="A280" s="5">
        <v>2135</v>
      </c>
      <c r="B280" s="5">
        <v>1</v>
      </c>
      <c r="C280" s="2" t="s">
        <v>276</v>
      </c>
      <c r="D280" s="3">
        <v>27199.31</v>
      </c>
      <c r="E280" s="3">
        <v>6195.88</v>
      </c>
      <c r="F280" s="3">
        <v>34268.410000000003</v>
      </c>
      <c r="G280" s="3">
        <v>0</v>
      </c>
      <c r="H280" s="3">
        <f t="shared" si="5"/>
        <v>67663.600000000006</v>
      </c>
      <c r="J280" s="2">
        <v>0</v>
      </c>
      <c r="K280" s="2">
        <v>0</v>
      </c>
      <c r="L280" s="2">
        <v>0</v>
      </c>
      <c r="M280" s="2">
        <v>0</v>
      </c>
      <c r="N280" s="2">
        <v>0</v>
      </c>
      <c r="P280" s="5"/>
      <c r="Q280" s="5"/>
    </row>
    <row r="281" spans="1:17" x14ac:dyDescent="0.2">
      <c r="A281" s="5">
        <v>2137</v>
      </c>
      <c r="B281" s="5">
        <v>1</v>
      </c>
      <c r="C281" s="2" t="s">
        <v>277</v>
      </c>
      <c r="D281" s="3">
        <v>19787.099999999999</v>
      </c>
      <c r="E281" s="3">
        <v>4142.1400000000003</v>
      </c>
      <c r="F281" s="3">
        <v>58418.49</v>
      </c>
      <c r="G281" s="3">
        <v>4540.4799999999996</v>
      </c>
      <c r="H281" s="3">
        <f t="shared" si="5"/>
        <v>86888.209999999992</v>
      </c>
      <c r="J281" s="2">
        <v>0</v>
      </c>
      <c r="K281" s="2">
        <v>0</v>
      </c>
      <c r="L281" s="2">
        <v>0</v>
      </c>
      <c r="M281" s="2">
        <v>0</v>
      </c>
      <c r="N281" s="2">
        <v>0</v>
      </c>
      <c r="P281" s="5"/>
      <c r="Q281" s="5"/>
    </row>
    <row r="282" spans="1:17" x14ac:dyDescent="0.2">
      <c r="A282" s="5">
        <v>2142</v>
      </c>
      <c r="B282" s="5">
        <v>1</v>
      </c>
      <c r="C282" s="2" t="s">
        <v>278</v>
      </c>
      <c r="D282" s="3">
        <v>29267.47</v>
      </c>
      <c r="E282" s="3">
        <v>0</v>
      </c>
      <c r="F282" s="3">
        <v>97184.69</v>
      </c>
      <c r="G282" s="3">
        <v>0</v>
      </c>
      <c r="H282" s="3">
        <f t="shared" si="5"/>
        <v>126452.16</v>
      </c>
      <c r="J282" s="2">
        <v>88825.53</v>
      </c>
      <c r="K282" s="2">
        <v>0</v>
      </c>
      <c r="L282" s="2">
        <v>293635.03000000003</v>
      </c>
      <c r="M282" s="2">
        <v>0</v>
      </c>
      <c r="N282" s="2">
        <v>382460.56</v>
      </c>
      <c r="P282" s="5"/>
      <c r="Q282" s="5"/>
    </row>
    <row r="283" spans="1:17" x14ac:dyDescent="0.2">
      <c r="A283" s="5">
        <v>2143</v>
      </c>
      <c r="B283" s="5">
        <v>1</v>
      </c>
      <c r="C283" s="2" t="s">
        <v>279</v>
      </c>
      <c r="D283" s="3">
        <v>22336.82</v>
      </c>
      <c r="E283" s="3">
        <v>5292.01</v>
      </c>
      <c r="F283" s="3">
        <v>0</v>
      </c>
      <c r="G283" s="3">
        <v>0</v>
      </c>
      <c r="H283" s="3">
        <f t="shared" si="5"/>
        <v>27628.83</v>
      </c>
      <c r="J283" s="2">
        <v>0</v>
      </c>
      <c r="K283" s="2">
        <v>0</v>
      </c>
      <c r="L283" s="2">
        <v>0</v>
      </c>
      <c r="M283" s="2">
        <v>0</v>
      </c>
      <c r="N283" s="2">
        <v>0</v>
      </c>
      <c r="P283" s="5"/>
      <c r="Q283" s="5"/>
    </row>
    <row r="284" spans="1:17" x14ac:dyDescent="0.2">
      <c r="A284" s="5">
        <v>2144</v>
      </c>
      <c r="B284" s="5">
        <v>1</v>
      </c>
      <c r="C284" s="2" t="s">
        <v>280</v>
      </c>
      <c r="D284" s="3">
        <v>10186.02</v>
      </c>
      <c r="E284" s="3">
        <v>1750.5000000000002</v>
      </c>
      <c r="F284" s="3">
        <v>18622.46</v>
      </c>
      <c r="G284" s="3">
        <v>0</v>
      </c>
      <c r="H284" s="3">
        <f t="shared" si="5"/>
        <v>30558.98</v>
      </c>
      <c r="J284" s="2">
        <v>0</v>
      </c>
      <c r="K284" s="2">
        <v>0</v>
      </c>
      <c r="L284" s="2">
        <v>0</v>
      </c>
      <c r="M284" s="2">
        <v>0</v>
      </c>
      <c r="N284" s="2">
        <v>0</v>
      </c>
      <c r="P284" s="5"/>
      <c r="Q284" s="5"/>
    </row>
    <row r="285" spans="1:17" x14ac:dyDescent="0.2">
      <c r="A285" s="5">
        <v>2149</v>
      </c>
      <c r="B285" s="5">
        <v>1</v>
      </c>
      <c r="C285" s="2" t="s">
        <v>281</v>
      </c>
      <c r="D285" s="3">
        <v>18680.400000000001</v>
      </c>
      <c r="E285" s="3">
        <v>3953.33</v>
      </c>
      <c r="F285" s="3">
        <v>31824</v>
      </c>
      <c r="G285" s="3">
        <v>2226.9399999999996</v>
      </c>
      <c r="H285" s="3">
        <f t="shared" si="5"/>
        <v>56684.670000000006</v>
      </c>
      <c r="J285" s="2">
        <v>0</v>
      </c>
      <c r="K285" s="2">
        <v>0</v>
      </c>
      <c r="L285" s="2">
        <v>0</v>
      </c>
      <c r="M285" s="2">
        <v>0</v>
      </c>
      <c r="N285" s="2">
        <v>0</v>
      </c>
      <c r="P285" s="5"/>
      <c r="Q285" s="5"/>
    </row>
    <row r="286" spans="1:17" x14ac:dyDescent="0.2">
      <c r="A286" s="5">
        <v>2154</v>
      </c>
      <c r="B286" s="5">
        <v>1</v>
      </c>
      <c r="C286" s="2" t="s">
        <v>282</v>
      </c>
      <c r="D286" s="3">
        <v>0</v>
      </c>
      <c r="E286" s="3">
        <v>0</v>
      </c>
      <c r="F286" s="3">
        <v>13394.960000000001</v>
      </c>
      <c r="G286" s="3">
        <v>0</v>
      </c>
      <c r="H286" s="3">
        <f t="shared" si="5"/>
        <v>13394.960000000001</v>
      </c>
      <c r="J286" s="2">
        <v>266.97000000000003</v>
      </c>
      <c r="K286" s="2">
        <v>0</v>
      </c>
      <c r="L286" s="2">
        <v>5506.37</v>
      </c>
      <c r="M286" s="2">
        <v>9378.75</v>
      </c>
      <c r="N286" s="2">
        <v>15152.09</v>
      </c>
      <c r="P286" s="5"/>
      <c r="Q286" s="5"/>
    </row>
    <row r="287" spans="1:17" x14ac:dyDescent="0.2">
      <c r="A287" s="5">
        <v>2155</v>
      </c>
      <c r="B287" s="5">
        <v>1</v>
      </c>
      <c r="C287" s="2" t="s">
        <v>283</v>
      </c>
      <c r="D287" s="3">
        <v>14321.89</v>
      </c>
      <c r="E287" s="3">
        <v>3928.4099999999994</v>
      </c>
      <c r="F287" s="3">
        <v>33385.43</v>
      </c>
      <c r="G287" s="3">
        <v>0</v>
      </c>
      <c r="H287" s="3">
        <f t="shared" si="5"/>
        <v>51635.729999999996</v>
      </c>
      <c r="J287" s="2">
        <v>0</v>
      </c>
      <c r="K287" s="2">
        <v>0</v>
      </c>
      <c r="L287" s="2">
        <v>0</v>
      </c>
      <c r="M287" s="2">
        <v>0</v>
      </c>
      <c r="N287" s="2">
        <v>0</v>
      </c>
      <c r="P287" s="5"/>
      <c r="Q287" s="5"/>
    </row>
    <row r="288" spans="1:17" x14ac:dyDescent="0.2">
      <c r="A288" s="5">
        <v>2159</v>
      </c>
      <c r="B288" s="5">
        <v>1</v>
      </c>
      <c r="C288" s="2" t="s">
        <v>284</v>
      </c>
      <c r="D288" s="3">
        <v>12774.48</v>
      </c>
      <c r="E288" s="3">
        <v>2010.75</v>
      </c>
      <c r="F288" s="3">
        <v>12506.439999999999</v>
      </c>
      <c r="G288" s="3">
        <v>0</v>
      </c>
      <c r="H288" s="3">
        <f t="shared" si="5"/>
        <v>27291.67</v>
      </c>
      <c r="J288" s="2">
        <v>0</v>
      </c>
      <c r="K288" s="2">
        <v>0</v>
      </c>
      <c r="L288" s="2">
        <v>0</v>
      </c>
      <c r="M288" s="2">
        <v>0</v>
      </c>
      <c r="N288" s="2">
        <v>0</v>
      </c>
      <c r="P288" s="5"/>
      <c r="Q288" s="5"/>
    </row>
    <row r="289" spans="1:17" x14ac:dyDescent="0.2">
      <c r="A289" s="5">
        <v>2164</v>
      </c>
      <c r="B289" s="5">
        <v>1</v>
      </c>
      <c r="C289" s="2" t="s">
        <v>285</v>
      </c>
      <c r="D289" s="3">
        <v>6846.4</v>
      </c>
      <c r="E289" s="3">
        <v>3490.89</v>
      </c>
      <c r="F289" s="3">
        <v>56223.19</v>
      </c>
      <c r="G289" s="3">
        <v>7326.03</v>
      </c>
      <c r="H289" s="3">
        <f t="shared" si="5"/>
        <v>73886.509999999995</v>
      </c>
      <c r="J289" s="2">
        <v>0</v>
      </c>
      <c r="K289" s="2">
        <v>0</v>
      </c>
      <c r="L289" s="2">
        <v>0</v>
      </c>
      <c r="M289" s="2">
        <v>0</v>
      </c>
      <c r="N289" s="2">
        <v>0</v>
      </c>
      <c r="P289" s="5"/>
      <c r="Q289" s="5"/>
    </row>
    <row r="290" spans="1:17" x14ac:dyDescent="0.2">
      <c r="A290" s="5">
        <v>2165</v>
      </c>
      <c r="B290" s="5">
        <v>1</v>
      </c>
      <c r="C290" s="2" t="s">
        <v>286</v>
      </c>
      <c r="D290" s="3">
        <v>6684.17</v>
      </c>
      <c r="E290" s="3">
        <v>1630.64</v>
      </c>
      <c r="F290" s="3">
        <v>15771.800000000001</v>
      </c>
      <c r="G290" s="3">
        <v>0</v>
      </c>
      <c r="H290" s="3">
        <f t="shared" si="5"/>
        <v>24086.61</v>
      </c>
      <c r="J290" s="2">
        <v>0</v>
      </c>
      <c r="K290" s="2">
        <v>0</v>
      </c>
      <c r="L290" s="2">
        <v>0</v>
      </c>
      <c r="M290" s="2">
        <v>0</v>
      </c>
      <c r="N290" s="2">
        <v>0</v>
      </c>
      <c r="P290" s="5"/>
      <c r="Q290" s="5"/>
    </row>
    <row r="291" spans="1:17" x14ac:dyDescent="0.2">
      <c r="A291" s="5">
        <v>2167</v>
      </c>
      <c r="B291" s="5">
        <v>1</v>
      </c>
      <c r="C291" s="2" t="s">
        <v>287</v>
      </c>
      <c r="D291" s="3">
        <v>5288.89</v>
      </c>
      <c r="E291" s="3">
        <v>708.56000000000006</v>
      </c>
      <c r="F291" s="3">
        <v>14891.35</v>
      </c>
      <c r="G291" s="3">
        <v>0</v>
      </c>
      <c r="H291" s="3">
        <f t="shared" si="5"/>
        <v>20888.800000000003</v>
      </c>
      <c r="J291" s="2">
        <v>0</v>
      </c>
      <c r="K291" s="2">
        <v>0</v>
      </c>
      <c r="L291" s="2">
        <v>0</v>
      </c>
      <c r="M291" s="2">
        <v>0</v>
      </c>
      <c r="N291" s="2">
        <v>0</v>
      </c>
      <c r="P291" s="5"/>
      <c r="Q291" s="5"/>
    </row>
    <row r="292" spans="1:17" x14ac:dyDescent="0.2">
      <c r="A292" s="5">
        <v>2168</v>
      </c>
      <c r="B292" s="5">
        <v>1</v>
      </c>
      <c r="C292" s="2" t="s">
        <v>288</v>
      </c>
      <c r="D292" s="3">
        <v>10462.549999999999</v>
      </c>
      <c r="E292" s="3">
        <v>1740.97</v>
      </c>
      <c r="F292" s="3">
        <v>11906.900000000001</v>
      </c>
      <c r="G292" s="3">
        <v>0</v>
      </c>
      <c r="H292" s="3">
        <f t="shared" si="5"/>
        <v>24110.42</v>
      </c>
      <c r="J292" s="2">
        <v>0</v>
      </c>
      <c r="K292" s="2">
        <v>0</v>
      </c>
      <c r="L292" s="2">
        <v>0</v>
      </c>
      <c r="M292" s="2">
        <v>0</v>
      </c>
      <c r="N292" s="2">
        <v>0</v>
      </c>
      <c r="P292" s="5"/>
      <c r="Q292" s="5"/>
    </row>
    <row r="293" spans="1:17" x14ac:dyDescent="0.2">
      <c r="A293" s="5">
        <v>2169</v>
      </c>
      <c r="B293" s="5">
        <v>1</v>
      </c>
      <c r="C293" s="2" t="s">
        <v>289</v>
      </c>
      <c r="D293" s="3">
        <v>19777.550000000003</v>
      </c>
      <c r="E293" s="3">
        <v>4215.6400000000003</v>
      </c>
      <c r="F293" s="3">
        <v>26400.77</v>
      </c>
      <c r="G293" s="3">
        <v>0</v>
      </c>
      <c r="H293" s="3">
        <f t="shared" si="5"/>
        <v>50393.960000000006</v>
      </c>
      <c r="J293" s="2">
        <v>0</v>
      </c>
      <c r="K293" s="2">
        <v>0</v>
      </c>
      <c r="L293" s="2">
        <v>0</v>
      </c>
      <c r="M293" s="2">
        <v>0</v>
      </c>
      <c r="N293" s="2">
        <v>0</v>
      </c>
      <c r="P293" s="5"/>
      <c r="Q293" s="5"/>
    </row>
    <row r="294" spans="1:17" x14ac:dyDescent="0.2">
      <c r="A294" s="5">
        <v>2170</v>
      </c>
      <c r="B294" s="5">
        <v>1</v>
      </c>
      <c r="C294" s="2" t="s">
        <v>290</v>
      </c>
      <c r="D294" s="3">
        <v>19343.62</v>
      </c>
      <c r="E294" s="3">
        <v>7298.0599999999995</v>
      </c>
      <c r="F294" s="3">
        <v>15357.04</v>
      </c>
      <c r="G294" s="3">
        <v>7086.7000000000007</v>
      </c>
      <c r="H294" s="3">
        <f t="shared" si="5"/>
        <v>49085.42</v>
      </c>
      <c r="J294" s="2">
        <v>0</v>
      </c>
      <c r="K294" s="2">
        <v>0</v>
      </c>
      <c r="L294" s="2">
        <v>0</v>
      </c>
      <c r="M294" s="2">
        <v>0</v>
      </c>
      <c r="N294" s="2">
        <v>0</v>
      </c>
      <c r="P294" s="5"/>
      <c r="Q294" s="5"/>
    </row>
    <row r="295" spans="1:17" x14ac:dyDescent="0.2">
      <c r="A295" s="5">
        <v>2171</v>
      </c>
      <c r="B295" s="5">
        <v>1</v>
      </c>
      <c r="C295" s="2" t="s">
        <v>291</v>
      </c>
      <c r="D295" s="3">
        <v>3003.52</v>
      </c>
      <c r="E295" s="3">
        <v>546.32000000000005</v>
      </c>
      <c r="F295" s="3">
        <v>6787.61</v>
      </c>
      <c r="G295" s="3">
        <v>0</v>
      </c>
      <c r="H295" s="3">
        <f t="shared" si="5"/>
        <v>10337.450000000001</v>
      </c>
      <c r="J295" s="2">
        <v>0</v>
      </c>
      <c r="K295" s="2">
        <v>0</v>
      </c>
      <c r="L295" s="2">
        <v>0</v>
      </c>
      <c r="M295" s="2">
        <v>0</v>
      </c>
      <c r="N295" s="2">
        <v>0</v>
      </c>
      <c r="P295" s="5"/>
      <c r="Q295" s="5"/>
    </row>
    <row r="296" spans="1:17" x14ac:dyDescent="0.2">
      <c r="A296" s="5">
        <v>2172</v>
      </c>
      <c r="B296" s="5">
        <v>1</v>
      </c>
      <c r="C296" s="2" t="s">
        <v>292</v>
      </c>
      <c r="D296" s="3">
        <v>8948.77</v>
      </c>
      <c r="E296" s="3">
        <v>2543.14</v>
      </c>
      <c r="F296" s="3">
        <v>26752.27</v>
      </c>
      <c r="G296" s="3">
        <v>0</v>
      </c>
      <c r="H296" s="3">
        <f t="shared" si="5"/>
        <v>38244.18</v>
      </c>
      <c r="J296" s="2">
        <v>0</v>
      </c>
      <c r="K296" s="2">
        <v>0</v>
      </c>
      <c r="L296" s="2">
        <v>0</v>
      </c>
      <c r="M296" s="2">
        <v>0</v>
      </c>
      <c r="N296" s="2">
        <v>0</v>
      </c>
      <c r="P296" s="5"/>
      <c r="Q296" s="5"/>
    </row>
    <row r="297" spans="1:17" x14ac:dyDescent="0.2">
      <c r="A297" s="5">
        <v>2174</v>
      </c>
      <c r="B297" s="5">
        <v>1</v>
      </c>
      <c r="C297" s="2" t="s">
        <v>293</v>
      </c>
      <c r="D297" s="3">
        <v>1733.58</v>
      </c>
      <c r="E297" s="3">
        <v>1486.45</v>
      </c>
      <c r="F297" s="3">
        <v>5655.7</v>
      </c>
      <c r="G297" s="3">
        <v>0</v>
      </c>
      <c r="H297" s="3">
        <f t="shared" si="5"/>
        <v>8875.73</v>
      </c>
      <c r="J297" s="2">
        <v>0</v>
      </c>
      <c r="K297" s="2">
        <v>0</v>
      </c>
      <c r="L297" s="2">
        <v>0</v>
      </c>
      <c r="M297" s="2">
        <v>0</v>
      </c>
      <c r="N297" s="2">
        <v>0</v>
      </c>
      <c r="P297" s="5"/>
      <c r="Q297" s="5"/>
    </row>
    <row r="298" spans="1:17" x14ac:dyDescent="0.2">
      <c r="A298" s="5">
        <v>2176</v>
      </c>
      <c r="B298" s="5">
        <v>1</v>
      </c>
      <c r="C298" s="2" t="s">
        <v>294</v>
      </c>
      <c r="D298" s="3">
        <v>13720.34</v>
      </c>
      <c r="E298" s="3">
        <v>1403.8200000000002</v>
      </c>
      <c r="F298" s="3">
        <v>489.99</v>
      </c>
      <c r="G298" s="3">
        <v>0</v>
      </c>
      <c r="H298" s="3">
        <f t="shared" si="5"/>
        <v>15614.15</v>
      </c>
      <c r="J298" s="2">
        <v>0</v>
      </c>
      <c r="K298" s="2">
        <v>0</v>
      </c>
      <c r="L298" s="2">
        <v>0</v>
      </c>
      <c r="M298" s="2">
        <v>0</v>
      </c>
      <c r="N298" s="2">
        <v>0</v>
      </c>
      <c r="P298" s="5"/>
      <c r="Q298" s="5"/>
    </row>
    <row r="299" spans="1:17" x14ac:dyDescent="0.2">
      <c r="A299" s="5">
        <v>2180</v>
      </c>
      <c r="B299" s="5">
        <v>1</v>
      </c>
      <c r="C299" s="2" t="s">
        <v>295</v>
      </c>
      <c r="D299" s="3">
        <v>9636.010000000002</v>
      </c>
      <c r="E299" s="3">
        <v>1216.8500000000001</v>
      </c>
      <c r="F299" s="3">
        <v>19235.66</v>
      </c>
      <c r="G299" s="3">
        <v>0</v>
      </c>
      <c r="H299" s="3">
        <f t="shared" si="5"/>
        <v>30088.520000000004</v>
      </c>
      <c r="J299" s="2">
        <v>0</v>
      </c>
      <c r="K299" s="2">
        <v>0</v>
      </c>
      <c r="L299" s="2">
        <v>0</v>
      </c>
      <c r="M299" s="2">
        <v>0</v>
      </c>
      <c r="N299" s="2">
        <v>0</v>
      </c>
      <c r="P299" s="5"/>
      <c r="Q299" s="5"/>
    </row>
    <row r="300" spans="1:17" x14ac:dyDescent="0.2">
      <c r="A300" s="5">
        <v>2184</v>
      </c>
      <c r="B300" s="5">
        <v>1</v>
      </c>
      <c r="C300" s="2" t="s">
        <v>296</v>
      </c>
      <c r="D300" s="3">
        <v>8090.8</v>
      </c>
      <c r="E300" s="3">
        <v>1774.1299999999999</v>
      </c>
      <c r="F300" s="3">
        <v>21890.870000000003</v>
      </c>
      <c r="G300" s="3">
        <v>0</v>
      </c>
      <c r="H300" s="3">
        <f t="shared" si="5"/>
        <v>31755.800000000003</v>
      </c>
      <c r="J300" s="2">
        <v>0</v>
      </c>
      <c r="K300" s="2">
        <v>0</v>
      </c>
      <c r="L300" s="2">
        <v>0</v>
      </c>
      <c r="M300" s="2">
        <v>0</v>
      </c>
      <c r="N300" s="2">
        <v>0</v>
      </c>
      <c r="P300" s="5"/>
      <c r="Q300" s="5"/>
    </row>
    <row r="301" spans="1:17" x14ac:dyDescent="0.2">
      <c r="A301" s="5">
        <v>2190</v>
      </c>
      <c r="B301" s="5">
        <v>1</v>
      </c>
      <c r="C301" s="2" t="s">
        <v>297</v>
      </c>
      <c r="D301" s="3">
        <v>9815.14</v>
      </c>
      <c r="E301" s="3">
        <v>5600.7000000000007</v>
      </c>
      <c r="F301" s="3">
        <v>22086.35</v>
      </c>
      <c r="G301" s="3">
        <v>6091.56</v>
      </c>
      <c r="H301" s="3">
        <f t="shared" si="5"/>
        <v>43593.75</v>
      </c>
      <c r="J301" s="2">
        <v>0</v>
      </c>
      <c r="K301" s="2">
        <v>0</v>
      </c>
      <c r="L301" s="2">
        <v>0</v>
      </c>
      <c r="M301" s="2">
        <v>0</v>
      </c>
      <c r="N301" s="2">
        <v>0</v>
      </c>
      <c r="P301" s="5"/>
      <c r="Q301" s="5"/>
    </row>
    <row r="302" spans="1:17" x14ac:dyDescent="0.2">
      <c r="A302" s="5">
        <v>2198</v>
      </c>
      <c r="B302" s="5">
        <v>1</v>
      </c>
      <c r="C302" s="2" t="s">
        <v>298</v>
      </c>
      <c r="D302" s="3">
        <v>22638.16</v>
      </c>
      <c r="E302" s="3">
        <v>5455.32</v>
      </c>
      <c r="F302" s="3">
        <v>37115.550000000003</v>
      </c>
      <c r="G302" s="3">
        <v>8148.6100000000006</v>
      </c>
      <c r="H302" s="3">
        <f t="shared" si="5"/>
        <v>73357.64</v>
      </c>
      <c r="J302" s="2">
        <v>0</v>
      </c>
      <c r="K302" s="2">
        <v>0</v>
      </c>
      <c r="L302" s="2">
        <v>0</v>
      </c>
      <c r="M302" s="2">
        <v>0</v>
      </c>
      <c r="N302" s="2">
        <v>0</v>
      </c>
      <c r="P302" s="5"/>
      <c r="Q302" s="5"/>
    </row>
    <row r="303" spans="1:17" x14ac:dyDescent="0.2">
      <c r="A303" s="5">
        <v>2215</v>
      </c>
      <c r="B303" s="5">
        <v>1</v>
      </c>
      <c r="C303" s="2" t="s">
        <v>299</v>
      </c>
      <c r="D303" s="3">
        <v>6449.7300000000005</v>
      </c>
      <c r="E303" s="3">
        <v>1148.67</v>
      </c>
      <c r="F303" s="3">
        <v>17941.21</v>
      </c>
      <c r="G303" s="3">
        <v>0</v>
      </c>
      <c r="H303" s="3">
        <f t="shared" si="5"/>
        <v>25539.61</v>
      </c>
      <c r="J303" s="2">
        <v>0</v>
      </c>
      <c r="K303" s="2">
        <v>0</v>
      </c>
      <c r="L303" s="2">
        <v>0</v>
      </c>
      <c r="M303" s="2">
        <v>0</v>
      </c>
      <c r="N303" s="2">
        <v>0</v>
      </c>
      <c r="P303" s="5"/>
      <c r="Q303" s="5"/>
    </row>
    <row r="304" spans="1:17" x14ac:dyDescent="0.2">
      <c r="A304" s="5">
        <v>2310</v>
      </c>
      <c r="B304" s="5">
        <v>1</v>
      </c>
      <c r="C304" s="2" t="s">
        <v>300</v>
      </c>
      <c r="D304" s="3">
        <v>39597.269999999997</v>
      </c>
      <c r="E304" s="3">
        <v>7299.26</v>
      </c>
      <c r="F304" s="3">
        <v>0</v>
      </c>
      <c r="G304" s="3">
        <v>0</v>
      </c>
      <c r="H304" s="3">
        <f t="shared" si="5"/>
        <v>46896.53</v>
      </c>
      <c r="J304" s="2">
        <v>0</v>
      </c>
      <c r="K304" s="2">
        <v>0</v>
      </c>
      <c r="L304" s="2">
        <v>0</v>
      </c>
      <c r="M304" s="2">
        <v>0</v>
      </c>
      <c r="N304" s="2">
        <v>0</v>
      </c>
      <c r="P304" s="5"/>
      <c r="Q304" s="5"/>
    </row>
    <row r="305" spans="1:17" x14ac:dyDescent="0.2">
      <c r="A305" s="5">
        <v>2311</v>
      </c>
      <c r="B305" s="5">
        <v>1</v>
      </c>
      <c r="C305" s="2" t="s">
        <v>301</v>
      </c>
      <c r="D305" s="3">
        <v>6830.5999999999995</v>
      </c>
      <c r="E305" s="3">
        <v>1327.96</v>
      </c>
      <c r="F305" s="3">
        <v>25383.23</v>
      </c>
      <c r="G305" s="3">
        <v>0</v>
      </c>
      <c r="H305" s="3">
        <f t="shared" si="5"/>
        <v>33541.79</v>
      </c>
      <c r="J305" s="2">
        <v>0</v>
      </c>
      <c r="K305" s="2">
        <v>0</v>
      </c>
      <c r="L305" s="2">
        <v>0</v>
      </c>
      <c r="M305" s="2">
        <v>0</v>
      </c>
      <c r="N305" s="2">
        <v>0</v>
      </c>
      <c r="P305" s="5"/>
      <c r="Q305" s="5"/>
    </row>
    <row r="306" spans="1:17" x14ac:dyDescent="0.2">
      <c r="A306" s="5">
        <v>2342</v>
      </c>
      <c r="B306" s="5">
        <v>1</v>
      </c>
      <c r="C306" s="2" t="s">
        <v>302</v>
      </c>
      <c r="D306" s="3">
        <v>12476.34</v>
      </c>
      <c r="E306" s="3">
        <v>1722.43</v>
      </c>
      <c r="F306" s="3">
        <v>9913.57</v>
      </c>
      <c r="G306" s="3">
        <v>0</v>
      </c>
      <c r="H306" s="3">
        <f t="shared" si="5"/>
        <v>24112.34</v>
      </c>
      <c r="J306" s="2">
        <v>0</v>
      </c>
      <c r="K306" s="2">
        <v>0</v>
      </c>
      <c r="L306" s="2">
        <v>0</v>
      </c>
      <c r="M306" s="2">
        <v>0</v>
      </c>
      <c r="N306" s="2">
        <v>0</v>
      </c>
      <c r="P306" s="5"/>
      <c r="Q306" s="5"/>
    </row>
    <row r="307" spans="1:17" x14ac:dyDescent="0.2">
      <c r="A307" s="5">
        <v>2358</v>
      </c>
      <c r="B307" s="5">
        <v>1</v>
      </c>
      <c r="C307" s="2" t="s">
        <v>303</v>
      </c>
      <c r="D307" s="3">
        <v>8658.56</v>
      </c>
      <c r="E307" s="3">
        <v>862.82999999999993</v>
      </c>
      <c r="F307" s="3">
        <v>8919.5400000000009</v>
      </c>
      <c r="G307" s="3">
        <v>0</v>
      </c>
      <c r="H307" s="3">
        <f t="shared" si="5"/>
        <v>18440.93</v>
      </c>
      <c r="J307" s="2">
        <v>0</v>
      </c>
      <c r="K307" s="2">
        <v>0</v>
      </c>
      <c r="L307" s="2">
        <v>0</v>
      </c>
      <c r="M307" s="2">
        <v>0</v>
      </c>
      <c r="N307" s="2">
        <v>0</v>
      </c>
      <c r="P307" s="5"/>
      <c r="Q307" s="5"/>
    </row>
    <row r="308" spans="1:17" x14ac:dyDescent="0.2">
      <c r="A308" s="5">
        <v>2364</v>
      </c>
      <c r="B308" s="5">
        <v>1</v>
      </c>
      <c r="C308" s="2" t="s">
        <v>304</v>
      </c>
      <c r="D308" s="3">
        <v>2059.7999999999997</v>
      </c>
      <c r="E308" s="3">
        <v>1583.3600000000001</v>
      </c>
      <c r="F308" s="3">
        <v>29566.12</v>
      </c>
      <c r="G308" s="3">
        <v>0</v>
      </c>
      <c r="H308" s="3">
        <f t="shared" si="5"/>
        <v>33209.279999999999</v>
      </c>
      <c r="J308" s="2">
        <v>0</v>
      </c>
      <c r="K308" s="2">
        <v>0</v>
      </c>
      <c r="L308" s="2">
        <v>0</v>
      </c>
      <c r="M308" s="2">
        <v>0</v>
      </c>
      <c r="N308" s="2">
        <v>0</v>
      </c>
      <c r="P308" s="5"/>
      <c r="Q308" s="5"/>
    </row>
    <row r="309" spans="1:17" x14ac:dyDescent="0.2">
      <c r="A309" s="5">
        <v>2365</v>
      </c>
      <c r="B309" s="5">
        <v>1</v>
      </c>
      <c r="C309" s="2" t="s">
        <v>305</v>
      </c>
      <c r="D309" s="3">
        <v>25892.340000000004</v>
      </c>
      <c r="E309" s="3">
        <v>4657.58</v>
      </c>
      <c r="F309" s="3">
        <v>19418.47</v>
      </c>
      <c r="G309" s="3">
        <v>5365.6399999999994</v>
      </c>
      <c r="H309" s="3">
        <f t="shared" si="5"/>
        <v>55334.030000000006</v>
      </c>
      <c r="J309" s="2">
        <v>0</v>
      </c>
      <c r="K309" s="2">
        <v>0</v>
      </c>
      <c r="L309" s="2">
        <v>0</v>
      </c>
      <c r="M309" s="2">
        <v>0</v>
      </c>
      <c r="N309" s="2">
        <v>0</v>
      </c>
      <c r="P309" s="5"/>
      <c r="Q309" s="5"/>
    </row>
    <row r="310" spans="1:17" x14ac:dyDescent="0.2">
      <c r="A310" s="5">
        <v>2396</v>
      </c>
      <c r="B310" s="5">
        <v>1</v>
      </c>
      <c r="C310" s="2" t="s">
        <v>306</v>
      </c>
      <c r="D310" s="3">
        <v>14740.6</v>
      </c>
      <c r="E310" s="3">
        <v>3461.4300000000003</v>
      </c>
      <c r="F310" s="3">
        <v>25645.379999999997</v>
      </c>
      <c r="G310" s="3">
        <v>0</v>
      </c>
      <c r="H310" s="3">
        <f t="shared" si="5"/>
        <v>43847.409999999996</v>
      </c>
      <c r="J310" s="2">
        <v>0</v>
      </c>
      <c r="K310" s="2">
        <v>0</v>
      </c>
      <c r="L310" s="2">
        <v>0</v>
      </c>
      <c r="M310" s="2">
        <v>0</v>
      </c>
      <c r="N310" s="2">
        <v>0</v>
      </c>
      <c r="P310" s="5"/>
      <c r="Q310" s="5"/>
    </row>
    <row r="311" spans="1:17" x14ac:dyDescent="0.2">
      <c r="A311" s="5">
        <v>2397</v>
      </c>
      <c r="B311" s="5">
        <v>1</v>
      </c>
      <c r="C311" s="2" t="s">
        <v>307</v>
      </c>
      <c r="D311" s="3">
        <v>10819.63</v>
      </c>
      <c r="E311" s="3">
        <v>1997.72</v>
      </c>
      <c r="F311" s="3">
        <v>24547.24</v>
      </c>
      <c r="G311" s="3">
        <v>0</v>
      </c>
      <c r="H311" s="3">
        <f t="shared" si="5"/>
        <v>37364.589999999997</v>
      </c>
      <c r="J311" s="2">
        <v>0</v>
      </c>
      <c r="K311" s="2">
        <v>0</v>
      </c>
      <c r="L311" s="2">
        <v>0</v>
      </c>
      <c r="M311" s="2">
        <v>0</v>
      </c>
      <c r="N311" s="2">
        <v>0</v>
      </c>
      <c r="P311" s="5"/>
      <c r="Q311" s="5"/>
    </row>
    <row r="312" spans="1:17" x14ac:dyDescent="0.2">
      <c r="A312" s="5">
        <v>2448</v>
      </c>
      <c r="B312" s="5">
        <v>1</v>
      </c>
      <c r="C312" s="2" t="s">
        <v>308</v>
      </c>
      <c r="D312" s="3">
        <v>21968.010000000002</v>
      </c>
      <c r="E312" s="3">
        <v>2963</v>
      </c>
      <c r="F312" s="3">
        <v>6057.77</v>
      </c>
      <c r="G312" s="3">
        <v>0</v>
      </c>
      <c r="H312" s="3">
        <f t="shared" si="5"/>
        <v>30988.780000000002</v>
      </c>
      <c r="J312" s="2">
        <v>0</v>
      </c>
      <c r="K312" s="2">
        <v>0</v>
      </c>
      <c r="L312" s="2">
        <v>0</v>
      </c>
      <c r="M312" s="2">
        <v>0</v>
      </c>
      <c r="N312" s="2">
        <v>0</v>
      </c>
      <c r="P312" s="5"/>
      <c r="Q312" s="5"/>
    </row>
    <row r="313" spans="1:17" x14ac:dyDescent="0.2">
      <c r="A313" s="5">
        <v>2527</v>
      </c>
      <c r="B313" s="5">
        <v>1</v>
      </c>
      <c r="C313" s="2" t="s">
        <v>309</v>
      </c>
      <c r="D313" s="3">
        <v>3871.42</v>
      </c>
      <c r="E313" s="3">
        <v>460.36</v>
      </c>
      <c r="F313" s="3">
        <v>0</v>
      </c>
      <c r="G313" s="3">
        <v>0</v>
      </c>
      <c r="H313" s="3">
        <f t="shared" si="5"/>
        <v>4331.78</v>
      </c>
      <c r="J313" s="2">
        <v>0</v>
      </c>
      <c r="K313" s="2">
        <v>0</v>
      </c>
      <c r="L313" s="2">
        <v>0</v>
      </c>
      <c r="M313" s="2">
        <v>0</v>
      </c>
      <c r="N313" s="2">
        <v>0</v>
      </c>
      <c r="P313" s="5"/>
      <c r="Q313" s="5"/>
    </row>
    <row r="314" spans="1:17" x14ac:dyDescent="0.2">
      <c r="A314" s="5">
        <v>2534</v>
      </c>
      <c r="B314" s="5">
        <v>1</v>
      </c>
      <c r="C314" s="2" t="s">
        <v>310</v>
      </c>
      <c r="D314" s="3">
        <v>16738.490000000002</v>
      </c>
      <c r="E314" s="3">
        <v>3417.96</v>
      </c>
      <c r="F314" s="3">
        <v>19003.05</v>
      </c>
      <c r="G314" s="3">
        <v>0</v>
      </c>
      <c r="H314" s="3">
        <f t="shared" si="5"/>
        <v>39159.5</v>
      </c>
      <c r="J314" s="2">
        <v>0</v>
      </c>
      <c r="K314" s="2">
        <v>0</v>
      </c>
      <c r="L314" s="2">
        <v>0</v>
      </c>
      <c r="M314" s="2">
        <v>0</v>
      </c>
      <c r="N314" s="2">
        <v>0</v>
      </c>
      <c r="P314" s="5"/>
      <c r="Q314" s="5"/>
    </row>
    <row r="315" spans="1:17" x14ac:dyDescent="0.2">
      <c r="A315" s="5">
        <v>2536</v>
      </c>
      <c r="B315" s="5">
        <v>1</v>
      </c>
      <c r="C315" s="2" t="s">
        <v>311</v>
      </c>
      <c r="D315" s="3">
        <v>2579.25</v>
      </c>
      <c r="E315" s="3">
        <v>925.5</v>
      </c>
      <c r="F315" s="3">
        <v>5289.57</v>
      </c>
      <c r="G315" s="3">
        <v>0</v>
      </c>
      <c r="H315" s="3">
        <f t="shared" si="5"/>
        <v>8794.32</v>
      </c>
      <c r="J315" s="2">
        <v>0</v>
      </c>
      <c r="K315" s="2">
        <v>0</v>
      </c>
      <c r="L315" s="2">
        <v>0</v>
      </c>
      <c r="M315" s="2">
        <v>0</v>
      </c>
      <c r="N315" s="2">
        <v>0</v>
      </c>
      <c r="P315" s="5"/>
      <c r="Q315" s="5"/>
    </row>
    <row r="316" spans="1:17" x14ac:dyDescent="0.2">
      <c r="A316" s="5">
        <v>2580</v>
      </c>
      <c r="B316" s="5">
        <v>1</v>
      </c>
      <c r="C316" s="2" t="s">
        <v>312</v>
      </c>
      <c r="D316" s="3">
        <v>4286.9400000000005</v>
      </c>
      <c r="E316" s="3">
        <v>1355.6</v>
      </c>
      <c r="F316" s="3">
        <v>29710.539999999997</v>
      </c>
      <c r="G316" s="3">
        <v>0</v>
      </c>
      <c r="H316" s="3">
        <f t="shared" si="5"/>
        <v>35353.08</v>
      </c>
      <c r="J316" s="2">
        <v>0</v>
      </c>
      <c r="K316" s="2">
        <v>0</v>
      </c>
      <c r="L316" s="2">
        <v>0</v>
      </c>
      <c r="M316" s="2">
        <v>0</v>
      </c>
      <c r="N316" s="2">
        <v>0</v>
      </c>
      <c r="P316" s="5"/>
      <c r="Q316" s="5"/>
    </row>
    <row r="317" spans="1:17" x14ac:dyDescent="0.2">
      <c r="A317" s="5">
        <v>2609</v>
      </c>
      <c r="B317" s="5">
        <v>1</v>
      </c>
      <c r="C317" s="2" t="s">
        <v>313</v>
      </c>
      <c r="D317" s="3">
        <v>10683.740000000002</v>
      </c>
      <c r="E317" s="3">
        <v>85.73</v>
      </c>
      <c r="F317" s="3">
        <v>19338.939999999999</v>
      </c>
      <c r="G317" s="3">
        <v>0</v>
      </c>
      <c r="H317" s="3">
        <f t="shared" si="5"/>
        <v>30108.41</v>
      </c>
      <c r="J317" s="2">
        <v>0</v>
      </c>
      <c r="K317" s="2">
        <v>0</v>
      </c>
      <c r="L317" s="2">
        <v>0</v>
      </c>
      <c r="M317" s="2">
        <v>0</v>
      </c>
      <c r="N317" s="2">
        <v>0</v>
      </c>
      <c r="P317" s="5"/>
      <c r="Q317" s="5"/>
    </row>
    <row r="318" spans="1:17" x14ac:dyDescent="0.2">
      <c r="A318" s="5">
        <v>2683</v>
      </c>
      <c r="B318" s="5">
        <v>1</v>
      </c>
      <c r="C318" s="2" t="s">
        <v>314</v>
      </c>
      <c r="D318" s="3">
        <v>5340.9000000000005</v>
      </c>
      <c r="E318" s="3">
        <v>1220.32</v>
      </c>
      <c r="F318" s="3">
        <v>3836.1000000000004</v>
      </c>
      <c r="G318" s="3">
        <v>0</v>
      </c>
      <c r="H318" s="3">
        <f t="shared" si="5"/>
        <v>10397.32</v>
      </c>
      <c r="J318" s="2">
        <v>0</v>
      </c>
      <c r="K318" s="2">
        <v>0</v>
      </c>
      <c r="L318" s="2">
        <v>0</v>
      </c>
      <c r="M318" s="2">
        <v>0</v>
      </c>
      <c r="N318" s="2">
        <v>0</v>
      </c>
      <c r="P318" s="5"/>
      <c r="Q318" s="5"/>
    </row>
    <row r="319" spans="1:17" x14ac:dyDescent="0.2">
      <c r="A319" s="5">
        <v>2687</v>
      </c>
      <c r="B319" s="5">
        <v>1</v>
      </c>
      <c r="C319" s="2" t="s">
        <v>315</v>
      </c>
      <c r="D319" s="3">
        <v>8506.7000000000007</v>
      </c>
      <c r="E319" s="3">
        <v>1776.94</v>
      </c>
      <c r="F319" s="3">
        <v>31742.280000000002</v>
      </c>
      <c r="G319" s="3">
        <v>0</v>
      </c>
      <c r="H319" s="3">
        <f t="shared" si="5"/>
        <v>42025.920000000006</v>
      </c>
      <c r="J319" s="2">
        <v>0</v>
      </c>
      <c r="K319" s="2">
        <v>0</v>
      </c>
      <c r="L319" s="2">
        <v>0</v>
      </c>
      <c r="M319" s="2">
        <v>0</v>
      </c>
      <c r="N319" s="2">
        <v>0</v>
      </c>
      <c r="P319" s="5"/>
      <c r="Q319" s="5"/>
    </row>
    <row r="320" spans="1:17" x14ac:dyDescent="0.2">
      <c r="A320" s="5">
        <v>2689</v>
      </c>
      <c r="B320" s="5">
        <v>1</v>
      </c>
      <c r="C320" s="2" t="s">
        <v>316</v>
      </c>
      <c r="D320" s="3">
        <v>18830.560000000001</v>
      </c>
      <c r="E320" s="3">
        <v>5037.1500000000005</v>
      </c>
      <c r="F320" s="3">
        <v>75587.45</v>
      </c>
      <c r="G320" s="3">
        <v>0</v>
      </c>
      <c r="H320" s="3">
        <f t="shared" si="5"/>
        <v>99455.16</v>
      </c>
      <c r="J320" s="2">
        <v>0</v>
      </c>
      <c r="K320" s="2">
        <v>0</v>
      </c>
      <c r="L320" s="2">
        <v>0</v>
      </c>
      <c r="M320" s="2">
        <v>0</v>
      </c>
      <c r="N320" s="2">
        <v>0</v>
      </c>
      <c r="P320" s="5"/>
      <c r="Q320" s="5"/>
    </row>
    <row r="321" spans="1:17" x14ac:dyDescent="0.2">
      <c r="A321" s="5">
        <v>2711</v>
      </c>
      <c r="B321" s="5">
        <v>1</v>
      </c>
      <c r="C321" s="2" t="s">
        <v>317</v>
      </c>
      <c r="D321" s="3">
        <v>10379.869999999999</v>
      </c>
      <c r="E321" s="3">
        <v>0</v>
      </c>
      <c r="F321" s="3">
        <v>212991.99000000002</v>
      </c>
      <c r="G321" s="3">
        <v>0</v>
      </c>
      <c r="H321" s="3">
        <f t="shared" si="5"/>
        <v>223371.86000000002</v>
      </c>
      <c r="J321" s="2">
        <v>7842.27</v>
      </c>
      <c r="K321" s="2">
        <v>0</v>
      </c>
      <c r="L321" s="2">
        <v>58649.24</v>
      </c>
      <c r="M321" s="2">
        <v>102277.78</v>
      </c>
      <c r="N321" s="2">
        <v>168769.29</v>
      </c>
      <c r="P321" s="5"/>
      <c r="Q321" s="5"/>
    </row>
    <row r="322" spans="1:17" x14ac:dyDescent="0.2">
      <c r="A322" s="5">
        <v>2752</v>
      </c>
      <c r="B322" s="5">
        <v>1</v>
      </c>
      <c r="C322" s="2" t="s">
        <v>318</v>
      </c>
      <c r="D322" s="3">
        <v>13111.02</v>
      </c>
      <c r="E322" s="3">
        <v>2165.5699999999997</v>
      </c>
      <c r="F322" s="3">
        <v>42504.59</v>
      </c>
      <c r="G322" s="3">
        <v>0</v>
      </c>
      <c r="H322" s="3">
        <f t="shared" si="5"/>
        <v>57781.179999999993</v>
      </c>
      <c r="J322" s="2">
        <v>0</v>
      </c>
      <c r="K322" s="2">
        <v>0</v>
      </c>
      <c r="L322" s="2">
        <v>0</v>
      </c>
      <c r="M322" s="2">
        <v>0</v>
      </c>
      <c r="N322" s="2">
        <v>0</v>
      </c>
      <c r="P322" s="5"/>
      <c r="Q322" s="5"/>
    </row>
    <row r="323" spans="1:17" x14ac:dyDescent="0.2">
      <c r="A323" s="5">
        <v>2753</v>
      </c>
      <c r="B323" s="5">
        <v>1</v>
      </c>
      <c r="C323" s="2" t="s">
        <v>319</v>
      </c>
      <c r="D323" s="3">
        <v>15954.140000000001</v>
      </c>
      <c r="E323" s="3">
        <v>2496.4899999999998</v>
      </c>
      <c r="F323" s="3">
        <v>31109.1</v>
      </c>
      <c r="G323" s="3">
        <v>0</v>
      </c>
      <c r="H323" s="3">
        <f t="shared" si="5"/>
        <v>49559.729999999996</v>
      </c>
      <c r="J323" s="2">
        <v>0</v>
      </c>
      <c r="K323" s="2">
        <v>0</v>
      </c>
      <c r="L323" s="2">
        <v>0</v>
      </c>
      <c r="M323" s="2">
        <v>0</v>
      </c>
      <c r="N323" s="2">
        <v>0</v>
      </c>
      <c r="P323" s="5"/>
      <c r="Q323" s="5"/>
    </row>
    <row r="324" spans="1:17" x14ac:dyDescent="0.2">
      <c r="A324" s="5">
        <v>2754</v>
      </c>
      <c r="B324" s="5">
        <v>1</v>
      </c>
      <c r="C324" s="2" t="s">
        <v>320</v>
      </c>
      <c r="D324" s="3">
        <v>10712.47</v>
      </c>
      <c r="E324" s="3">
        <v>2713.4100000000003</v>
      </c>
      <c r="F324" s="3">
        <v>11838.430000000002</v>
      </c>
      <c r="G324" s="3">
        <v>0</v>
      </c>
      <c r="H324" s="3">
        <f t="shared" si="5"/>
        <v>25264.31</v>
      </c>
      <c r="J324" s="2">
        <v>0</v>
      </c>
      <c r="K324" s="2">
        <v>0</v>
      </c>
      <c r="L324" s="2">
        <v>0</v>
      </c>
      <c r="M324" s="2">
        <v>0</v>
      </c>
      <c r="N324" s="2">
        <v>0</v>
      </c>
      <c r="P324" s="5"/>
      <c r="Q324" s="5"/>
    </row>
    <row r="325" spans="1:17" x14ac:dyDescent="0.2">
      <c r="A325" s="5">
        <v>2759</v>
      </c>
      <c r="B325" s="5">
        <v>1</v>
      </c>
      <c r="C325" s="2" t="s">
        <v>321</v>
      </c>
      <c r="D325" s="3">
        <v>21055.29</v>
      </c>
      <c r="E325" s="3">
        <v>4354.5599999999995</v>
      </c>
      <c r="F325" s="3">
        <v>16893.34</v>
      </c>
      <c r="G325" s="3">
        <v>0</v>
      </c>
      <c r="H325" s="3">
        <f>SUM(D325:G325)</f>
        <v>42303.19</v>
      </c>
      <c r="J325" s="2">
        <v>0</v>
      </c>
      <c r="K325" s="2">
        <v>0</v>
      </c>
      <c r="L325" s="2">
        <v>0</v>
      </c>
      <c r="M325" s="2">
        <v>0</v>
      </c>
      <c r="N325" s="2">
        <v>0</v>
      </c>
      <c r="P325" s="5"/>
      <c r="Q325" s="5"/>
    </row>
    <row r="326" spans="1:17" x14ac:dyDescent="0.2">
      <c r="A326" s="5">
        <v>2805</v>
      </c>
      <c r="B326" s="5">
        <v>1</v>
      </c>
      <c r="C326" s="2" t="s">
        <v>322</v>
      </c>
      <c r="D326" s="3">
        <v>12378.73</v>
      </c>
      <c r="E326" s="3">
        <v>4270.0200000000004</v>
      </c>
      <c r="F326" s="3">
        <v>15967.279999999999</v>
      </c>
      <c r="G326" s="3">
        <v>0</v>
      </c>
      <c r="H326" s="3">
        <f t="shared" ref="H326:H344" si="6">SUM(D326:G326)</f>
        <v>32616.03</v>
      </c>
      <c r="J326" s="2">
        <v>0</v>
      </c>
      <c r="K326" s="2">
        <v>0</v>
      </c>
      <c r="L326" s="2">
        <v>0</v>
      </c>
      <c r="M326" s="2">
        <v>0</v>
      </c>
      <c r="N326" s="2">
        <v>0</v>
      </c>
      <c r="P326" s="5"/>
      <c r="Q326" s="5"/>
    </row>
    <row r="327" spans="1:17" x14ac:dyDescent="0.2">
      <c r="A327" s="5">
        <v>2835</v>
      </c>
      <c r="B327" s="5">
        <v>1</v>
      </c>
      <c r="C327" s="2" t="s">
        <v>323</v>
      </c>
      <c r="D327" s="3">
        <v>6352.42</v>
      </c>
      <c r="E327" s="3">
        <v>1632.58</v>
      </c>
      <c r="F327" s="3">
        <v>24699.539999999997</v>
      </c>
      <c r="G327" s="3">
        <v>0</v>
      </c>
      <c r="H327" s="3">
        <f t="shared" si="6"/>
        <v>32684.539999999997</v>
      </c>
      <c r="J327" s="2">
        <v>0</v>
      </c>
      <c r="K327" s="2">
        <v>0</v>
      </c>
      <c r="L327" s="2">
        <v>0</v>
      </c>
      <c r="M327" s="2">
        <v>0</v>
      </c>
      <c r="N327" s="2">
        <v>0</v>
      </c>
      <c r="P327" s="5"/>
      <c r="Q327" s="5"/>
    </row>
    <row r="328" spans="1:17" x14ac:dyDescent="0.2">
      <c r="A328" s="5">
        <v>2853</v>
      </c>
      <c r="B328" s="5">
        <v>1</v>
      </c>
      <c r="C328" s="2" t="s">
        <v>324</v>
      </c>
      <c r="D328" s="3">
        <v>31580.309999999998</v>
      </c>
      <c r="E328" s="3">
        <v>5151.5200000000004</v>
      </c>
      <c r="F328" s="3">
        <v>0</v>
      </c>
      <c r="G328" s="3">
        <v>8882.5299999999988</v>
      </c>
      <c r="H328" s="3">
        <f t="shared" si="6"/>
        <v>45614.36</v>
      </c>
      <c r="J328" s="2">
        <v>0</v>
      </c>
      <c r="K328" s="2">
        <v>0</v>
      </c>
      <c r="L328" s="2">
        <v>0</v>
      </c>
      <c r="M328" s="2">
        <v>0</v>
      </c>
      <c r="N328" s="2">
        <v>0</v>
      </c>
      <c r="P328" s="5"/>
      <c r="Q328" s="5"/>
    </row>
    <row r="329" spans="1:17" x14ac:dyDescent="0.2">
      <c r="A329" s="5">
        <v>2854</v>
      </c>
      <c r="B329" s="5">
        <v>1</v>
      </c>
      <c r="C329" s="2" t="s">
        <v>325</v>
      </c>
      <c r="D329" s="3">
        <v>10523.24</v>
      </c>
      <c r="E329" s="3">
        <v>2480.8900000000003</v>
      </c>
      <c r="F329" s="3">
        <v>0</v>
      </c>
      <c r="G329" s="3">
        <v>0</v>
      </c>
      <c r="H329" s="3">
        <f t="shared" si="6"/>
        <v>13004.130000000001</v>
      </c>
      <c r="J329" s="2">
        <v>0</v>
      </c>
      <c r="K329" s="2">
        <v>0</v>
      </c>
      <c r="L329" s="2">
        <v>0</v>
      </c>
      <c r="M329" s="2">
        <v>0</v>
      </c>
      <c r="N329" s="2">
        <v>0</v>
      </c>
      <c r="P329" s="5"/>
      <c r="Q329" s="5"/>
    </row>
    <row r="330" spans="1:17" x14ac:dyDescent="0.2">
      <c r="A330" s="5">
        <v>2856</v>
      </c>
      <c r="B330" s="5">
        <v>1</v>
      </c>
      <c r="C330" s="2" t="s">
        <v>326</v>
      </c>
      <c r="D330" s="3">
        <v>3869.45</v>
      </c>
      <c r="E330" s="3">
        <v>1211.04</v>
      </c>
      <c r="F330" s="3">
        <v>2660.5</v>
      </c>
      <c r="G330" s="3">
        <v>0</v>
      </c>
      <c r="H330" s="3">
        <f t="shared" si="6"/>
        <v>7740.99</v>
      </c>
      <c r="J330" s="2">
        <v>0</v>
      </c>
      <c r="K330" s="2">
        <v>0</v>
      </c>
      <c r="L330" s="2">
        <v>0</v>
      </c>
      <c r="M330" s="2">
        <v>0</v>
      </c>
      <c r="N330" s="2">
        <v>0</v>
      </c>
      <c r="P330" s="5"/>
      <c r="Q330" s="5"/>
    </row>
    <row r="331" spans="1:17" x14ac:dyDescent="0.2">
      <c r="A331" s="5">
        <v>2859</v>
      </c>
      <c r="B331" s="5">
        <v>1</v>
      </c>
      <c r="C331" s="2" t="s">
        <v>327</v>
      </c>
      <c r="D331" s="3">
        <v>33354.559999999998</v>
      </c>
      <c r="E331" s="3">
        <v>9990.2799999999988</v>
      </c>
      <c r="F331" s="3">
        <v>7591.07</v>
      </c>
      <c r="G331" s="3">
        <v>0</v>
      </c>
      <c r="H331" s="3">
        <f t="shared" si="6"/>
        <v>50935.909999999996</v>
      </c>
      <c r="J331" s="2">
        <v>0</v>
      </c>
      <c r="K331" s="2">
        <v>0</v>
      </c>
      <c r="L331" s="2">
        <v>0</v>
      </c>
      <c r="M331" s="2">
        <v>0</v>
      </c>
      <c r="N331" s="2">
        <v>0</v>
      </c>
      <c r="P331" s="5"/>
      <c r="Q331" s="5"/>
    </row>
    <row r="332" spans="1:17" x14ac:dyDescent="0.2">
      <c r="A332" s="5">
        <v>2860</v>
      </c>
      <c r="B332" s="5">
        <v>1</v>
      </c>
      <c r="C332" s="2" t="s">
        <v>328</v>
      </c>
      <c r="D332" s="3">
        <v>33813.74</v>
      </c>
      <c r="E332" s="3">
        <v>9260.77</v>
      </c>
      <c r="F332" s="3">
        <v>40272.31</v>
      </c>
      <c r="G332" s="3">
        <v>0</v>
      </c>
      <c r="H332" s="3">
        <f t="shared" si="6"/>
        <v>83346.819999999992</v>
      </c>
      <c r="J332" s="2">
        <v>0</v>
      </c>
      <c r="K332" s="2">
        <v>0</v>
      </c>
      <c r="L332" s="2">
        <v>0</v>
      </c>
      <c r="M332" s="2">
        <v>0</v>
      </c>
      <c r="N332" s="2">
        <v>0</v>
      </c>
      <c r="P332" s="5"/>
      <c r="Q332" s="5"/>
    </row>
    <row r="333" spans="1:17" x14ac:dyDescent="0.2">
      <c r="A333" s="5">
        <v>2884</v>
      </c>
      <c r="B333" s="5">
        <v>1</v>
      </c>
      <c r="C333" s="2" t="s">
        <v>329</v>
      </c>
      <c r="D333" s="3">
        <v>14287.35</v>
      </c>
      <c r="E333" s="3">
        <v>1795.5</v>
      </c>
      <c r="F333" s="3">
        <v>0</v>
      </c>
      <c r="G333" s="3">
        <v>0</v>
      </c>
      <c r="H333" s="3">
        <f t="shared" si="6"/>
        <v>16082.85</v>
      </c>
      <c r="J333" s="2">
        <v>0</v>
      </c>
      <c r="K333" s="2">
        <v>0</v>
      </c>
      <c r="L333" s="2">
        <v>0</v>
      </c>
      <c r="M333" s="2">
        <v>0</v>
      </c>
      <c r="N333" s="2">
        <v>0</v>
      </c>
      <c r="P333" s="5"/>
      <c r="Q333" s="5"/>
    </row>
    <row r="334" spans="1:17" x14ac:dyDescent="0.2">
      <c r="A334" s="5">
        <v>2886</v>
      </c>
      <c r="B334" s="5">
        <v>1</v>
      </c>
      <c r="C334" s="2" t="s">
        <v>330</v>
      </c>
      <c r="D334" s="3">
        <v>5735.99</v>
      </c>
      <c r="E334" s="3">
        <v>734.47</v>
      </c>
      <c r="F334" s="3">
        <v>0</v>
      </c>
      <c r="G334" s="3">
        <v>0</v>
      </c>
      <c r="H334" s="3">
        <f t="shared" si="6"/>
        <v>6470.46</v>
      </c>
      <c r="J334" s="2">
        <v>0</v>
      </c>
      <c r="K334" s="2">
        <v>0</v>
      </c>
      <c r="L334" s="2">
        <v>0</v>
      </c>
      <c r="M334" s="2">
        <v>0</v>
      </c>
      <c r="N334" s="2">
        <v>0</v>
      </c>
      <c r="P334" s="5"/>
      <c r="Q334" s="5"/>
    </row>
    <row r="335" spans="1:17" x14ac:dyDescent="0.2">
      <c r="A335" s="5">
        <v>2888</v>
      </c>
      <c r="B335" s="5">
        <v>1</v>
      </c>
      <c r="C335" s="2" t="s">
        <v>331</v>
      </c>
      <c r="D335" s="3">
        <v>6724.18</v>
      </c>
      <c r="E335" s="3">
        <v>1056.71</v>
      </c>
      <c r="F335" s="3">
        <v>7795.5599999999995</v>
      </c>
      <c r="G335" s="3">
        <v>0</v>
      </c>
      <c r="H335" s="3">
        <f t="shared" si="6"/>
        <v>15576.45</v>
      </c>
      <c r="J335" s="2">
        <v>0</v>
      </c>
      <c r="K335" s="2">
        <v>0</v>
      </c>
      <c r="L335" s="2">
        <v>0</v>
      </c>
      <c r="M335" s="2">
        <v>0</v>
      </c>
      <c r="N335" s="2">
        <v>0</v>
      </c>
      <c r="P335" s="5"/>
      <c r="Q335" s="5"/>
    </row>
    <row r="336" spans="1:17" x14ac:dyDescent="0.2">
      <c r="A336" s="5">
        <v>2889</v>
      </c>
      <c r="B336" s="5">
        <v>1</v>
      </c>
      <c r="C336" s="2" t="s">
        <v>332</v>
      </c>
      <c r="D336" s="3">
        <v>2228.46</v>
      </c>
      <c r="E336" s="3">
        <v>760.1400000000001</v>
      </c>
      <c r="F336" s="3">
        <v>13628.02</v>
      </c>
      <c r="G336" s="3">
        <v>0</v>
      </c>
      <c r="H336" s="3">
        <f t="shared" si="6"/>
        <v>16616.620000000003</v>
      </c>
      <c r="J336" s="2">
        <v>0</v>
      </c>
      <c r="K336" s="2">
        <v>0</v>
      </c>
      <c r="L336" s="2">
        <v>0</v>
      </c>
      <c r="M336" s="2">
        <v>0</v>
      </c>
      <c r="N336" s="2">
        <v>0</v>
      </c>
      <c r="P336" s="5"/>
      <c r="Q336" s="5"/>
    </row>
    <row r="337" spans="1:17" x14ac:dyDescent="0.2">
      <c r="A337" s="5">
        <v>2890</v>
      </c>
      <c r="B337" s="5">
        <v>1</v>
      </c>
      <c r="C337" s="2" t="s">
        <v>333</v>
      </c>
      <c r="D337" s="3">
        <v>17518.29</v>
      </c>
      <c r="E337" s="3">
        <v>2671.5299999999997</v>
      </c>
      <c r="F337" s="3">
        <v>20923.14</v>
      </c>
      <c r="G337" s="3">
        <v>0</v>
      </c>
      <c r="H337" s="3">
        <f t="shared" si="6"/>
        <v>41112.959999999999</v>
      </c>
      <c r="J337" s="2">
        <v>0</v>
      </c>
      <c r="K337" s="2">
        <v>0</v>
      </c>
      <c r="L337" s="2">
        <v>0</v>
      </c>
      <c r="M337" s="2">
        <v>0</v>
      </c>
      <c r="N337" s="2">
        <v>0</v>
      </c>
      <c r="P337" s="5"/>
      <c r="Q337" s="5"/>
    </row>
    <row r="338" spans="1:17" x14ac:dyDescent="0.2">
      <c r="A338" s="5">
        <v>2895</v>
      </c>
      <c r="B338" s="5">
        <v>1</v>
      </c>
      <c r="C338" s="2" t="s">
        <v>334</v>
      </c>
      <c r="D338" s="3">
        <v>34577.74</v>
      </c>
      <c r="E338" s="3">
        <v>5017.8599999999997</v>
      </c>
      <c r="F338" s="3">
        <v>61850.99</v>
      </c>
      <c r="G338" s="3">
        <v>0</v>
      </c>
      <c r="H338" s="3">
        <f t="shared" si="6"/>
        <v>101446.59</v>
      </c>
      <c r="J338" s="2">
        <v>0</v>
      </c>
      <c r="K338" s="2">
        <v>0</v>
      </c>
      <c r="L338" s="2">
        <v>0</v>
      </c>
      <c r="M338" s="2">
        <v>0</v>
      </c>
      <c r="N338" s="2">
        <v>0</v>
      </c>
      <c r="P338" s="5"/>
      <c r="Q338" s="5"/>
    </row>
    <row r="339" spans="1:17" x14ac:dyDescent="0.2">
      <c r="A339" s="5">
        <v>2897</v>
      </c>
      <c r="B339" s="5">
        <v>1</v>
      </c>
      <c r="C339" s="2" t="s">
        <v>335</v>
      </c>
      <c r="D339" s="3">
        <v>9632.2800000000007</v>
      </c>
      <c r="E339" s="3">
        <v>2532.3000000000002</v>
      </c>
      <c r="F339" s="3">
        <v>24765.4</v>
      </c>
      <c r="G339" s="3">
        <v>0</v>
      </c>
      <c r="H339" s="3">
        <f t="shared" si="6"/>
        <v>36929.980000000003</v>
      </c>
      <c r="J339" s="2">
        <v>0</v>
      </c>
      <c r="K339" s="2">
        <v>0</v>
      </c>
      <c r="L339" s="2">
        <v>0</v>
      </c>
      <c r="M339" s="2">
        <v>0</v>
      </c>
      <c r="N339" s="2">
        <v>0</v>
      </c>
      <c r="P339" s="5"/>
      <c r="Q339" s="5"/>
    </row>
    <row r="340" spans="1:17" x14ac:dyDescent="0.2">
      <c r="A340" s="5">
        <v>2898</v>
      </c>
      <c r="B340" s="5">
        <v>1</v>
      </c>
      <c r="C340" s="2" t="s">
        <v>336</v>
      </c>
      <c r="D340" s="3">
        <v>11777.919999999998</v>
      </c>
      <c r="E340" s="3">
        <v>1736.31</v>
      </c>
      <c r="F340" s="3">
        <v>0</v>
      </c>
      <c r="G340" s="3">
        <v>0</v>
      </c>
      <c r="H340" s="3">
        <f t="shared" si="6"/>
        <v>13514.229999999998</v>
      </c>
      <c r="J340" s="2">
        <v>0</v>
      </c>
      <c r="K340" s="2">
        <v>0</v>
      </c>
      <c r="L340" s="2">
        <v>0</v>
      </c>
      <c r="M340" s="2">
        <v>0</v>
      </c>
      <c r="N340" s="2">
        <v>0</v>
      </c>
      <c r="P340" s="5"/>
      <c r="Q340" s="5"/>
    </row>
    <row r="341" spans="1:17" x14ac:dyDescent="0.2">
      <c r="A341" s="5">
        <v>2899</v>
      </c>
      <c r="B341" s="5">
        <v>1</v>
      </c>
      <c r="C341" s="2" t="s">
        <v>498</v>
      </c>
      <c r="D341" s="3">
        <v>12438.630000000001</v>
      </c>
      <c r="E341" s="3">
        <v>2153</v>
      </c>
      <c r="F341" s="3">
        <v>23843.709999999995</v>
      </c>
      <c r="G341" s="3">
        <v>0</v>
      </c>
      <c r="H341" s="3">
        <f t="shared" si="6"/>
        <v>38435.339999999997</v>
      </c>
      <c r="J341" s="2">
        <v>0</v>
      </c>
      <c r="K341" s="2">
        <v>0</v>
      </c>
      <c r="L341" s="2">
        <v>0</v>
      </c>
      <c r="M341" s="2">
        <v>0</v>
      </c>
      <c r="N341" s="2">
        <v>0</v>
      </c>
      <c r="P341" s="5"/>
      <c r="Q341" s="5"/>
    </row>
    <row r="342" spans="1:17" x14ac:dyDescent="0.2">
      <c r="A342" s="5">
        <v>2902</v>
      </c>
      <c r="B342" s="5">
        <v>1</v>
      </c>
      <c r="C342" s="2" t="s">
        <v>497</v>
      </c>
      <c r="D342" s="3">
        <v>30811.73</v>
      </c>
      <c r="E342" s="3">
        <v>2326.33</v>
      </c>
      <c r="F342" s="3">
        <v>4921.74</v>
      </c>
      <c r="G342" s="3">
        <v>0</v>
      </c>
      <c r="H342" s="3">
        <f t="shared" si="6"/>
        <v>38059.799999999996</v>
      </c>
      <c r="J342" s="2">
        <v>0</v>
      </c>
      <c r="K342" s="2">
        <v>0</v>
      </c>
      <c r="L342" s="2">
        <v>0</v>
      </c>
      <c r="M342" s="2">
        <v>0</v>
      </c>
      <c r="N342" s="2">
        <v>0</v>
      </c>
      <c r="P342" s="5"/>
      <c r="Q342" s="5"/>
    </row>
    <row r="343" spans="1:17" x14ac:dyDescent="0.2">
      <c r="A343" s="5">
        <v>2903</v>
      </c>
      <c r="B343" s="5">
        <v>1</v>
      </c>
      <c r="C343" s="2" t="s">
        <v>640</v>
      </c>
      <c r="D343" s="3">
        <v>12291.08</v>
      </c>
      <c r="E343" s="3">
        <v>3647.73</v>
      </c>
      <c r="F343" s="3">
        <v>76708.33</v>
      </c>
      <c r="G343" s="3">
        <v>0</v>
      </c>
      <c r="H343" s="3">
        <f t="shared" si="6"/>
        <v>92647.14</v>
      </c>
      <c r="J343" s="2">
        <v>0</v>
      </c>
      <c r="K343" s="2">
        <v>0</v>
      </c>
      <c r="L343" s="2">
        <v>0</v>
      </c>
      <c r="M343" s="2">
        <v>0</v>
      </c>
      <c r="N343" s="2">
        <v>0</v>
      </c>
      <c r="P343" s="5"/>
      <c r="Q343" s="5"/>
    </row>
    <row r="344" spans="1:17" x14ac:dyDescent="0.2">
      <c r="A344" s="5">
        <v>2904</v>
      </c>
      <c r="B344" s="5">
        <v>1</v>
      </c>
      <c r="C344" s="2" t="s">
        <v>641</v>
      </c>
      <c r="D344" s="3">
        <v>23345.919999999998</v>
      </c>
      <c r="E344" s="3">
        <v>5198.6100000000006</v>
      </c>
      <c r="F344" s="3">
        <v>0</v>
      </c>
      <c r="G344" s="3">
        <v>0</v>
      </c>
      <c r="H344" s="3">
        <f t="shared" si="6"/>
        <v>28544.53</v>
      </c>
      <c r="J344" s="2">
        <v>0</v>
      </c>
      <c r="K344" s="2">
        <v>0</v>
      </c>
      <c r="L344" s="2">
        <v>0</v>
      </c>
      <c r="M344" s="2">
        <v>0</v>
      </c>
      <c r="N344" s="2">
        <v>0</v>
      </c>
      <c r="P344" s="5"/>
      <c r="Q344" s="5"/>
    </row>
  </sheetData>
  <mergeCells count="2">
    <mergeCell ref="D3:H3"/>
    <mergeCell ref="J3:N3"/>
  </mergeCells>
  <pageMargins left="0.75" right="0.75" top="1" bottom="1" header="0.5" footer="0.5"/>
  <pageSetup scale="37" fitToHeight="0" orientation="portrait" horizontalDpi="300" verticalDpi="300" r:id="rId1"/>
  <headerFooter alignWithMargins="0">
    <oddFooter>&amp;C&amp;P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344"/>
  <sheetViews>
    <sheetView workbookViewId="0">
      <pane xSplit="3" ySplit="7" topLeftCell="D8" activePane="bottomRight" state="frozen"/>
      <selection pane="topRight" activeCell="D1" sqref="D1"/>
      <selection pane="bottomLeft" activeCell="A8" sqref="A8"/>
      <selection pane="bottomRight" activeCell="A9" sqref="A9"/>
    </sheetView>
  </sheetViews>
  <sheetFormatPr defaultRowHeight="11.25" x14ac:dyDescent="0.2"/>
  <cols>
    <col min="1" max="2" width="6.83203125" style="5" customWidth="1"/>
    <col min="3" max="3" width="20.83203125" style="2" customWidth="1"/>
    <col min="4" max="6" width="14.83203125" style="3" customWidth="1"/>
    <col min="7" max="7" width="19" style="3" customWidth="1"/>
    <col min="8" max="8" width="5.83203125" style="3" customWidth="1"/>
    <col min="9" max="11" width="14.83203125" style="3" customWidth="1"/>
    <col min="12" max="12" width="18.83203125" style="3" customWidth="1"/>
    <col min="13" max="13" width="11.5" style="3" customWidth="1"/>
    <col min="14" max="14" width="15.1640625" style="3" customWidth="1"/>
    <col min="15" max="15" width="16.6640625" style="2" customWidth="1"/>
    <col min="16" max="16" width="14.83203125" style="2" customWidth="1"/>
    <col min="17" max="17" width="16.6640625" style="2" customWidth="1"/>
    <col min="18" max="16384" width="9.33203125" style="2"/>
  </cols>
  <sheetData>
    <row r="1" spans="1:17" s="3" customFormat="1" x14ac:dyDescent="0.2">
      <c r="A1" s="22" t="str">
        <f>"Compare "&amp;Instructions!P1&amp;" Gross Shift to Tax Receipts"</f>
        <v>Compare Pay 2012 Gross Shift to Tax Receipts</v>
      </c>
      <c r="B1" s="18"/>
      <c r="L1" s="147">
        <f>Report!I1</f>
        <v>41115</v>
      </c>
      <c r="M1" s="147"/>
      <c r="N1" s="147"/>
    </row>
    <row r="2" spans="1:17" s="3" customFormat="1" x14ac:dyDescent="0.2">
      <c r="A2" s="18"/>
      <c r="B2" s="18"/>
    </row>
    <row r="3" spans="1:17" s="3" customFormat="1" ht="11.25" customHeight="1" x14ac:dyDescent="0.2">
      <c r="A3" s="18" t="s">
        <v>462</v>
      </c>
      <c r="B3" s="149">
        <f>Shift11!B3</f>
        <v>0.48599999999999999</v>
      </c>
      <c r="D3" s="191" t="s">
        <v>463</v>
      </c>
      <c r="E3" s="192"/>
      <c r="F3" s="192"/>
      <c r="G3" s="192"/>
      <c r="I3" s="191" t="s">
        <v>502</v>
      </c>
      <c r="J3" s="192"/>
      <c r="K3" s="192"/>
      <c r="L3" s="192"/>
      <c r="M3" s="159"/>
      <c r="N3" s="195" t="s">
        <v>661</v>
      </c>
      <c r="O3" s="193" t="str">
        <f>Instructions!P1&amp;" General + Comm Service Levies"</f>
        <v>Pay 2012 General + Comm Service Levies</v>
      </c>
      <c r="P3" s="194"/>
      <c r="Q3" s="194"/>
    </row>
    <row r="4" spans="1:17" s="8" customFormat="1" ht="55.5" customHeight="1" x14ac:dyDescent="0.2">
      <c r="A4" s="6"/>
      <c r="B4" s="6"/>
      <c r="D4" s="9" t="s">
        <v>495</v>
      </c>
      <c r="E4" s="9" t="str">
        <f>"Est Tax Receipts
May-July "&amp;Instructions!O1</f>
        <v>Est Tax Receipts
May-July 2012</v>
      </c>
      <c r="F4" s="9" t="s">
        <v>489</v>
      </c>
      <c r="G4" s="9" t="s">
        <v>614</v>
      </c>
      <c r="H4" s="9"/>
      <c r="I4" s="9" t="s">
        <v>495</v>
      </c>
      <c r="J4" s="9" t="str">
        <f>"Est Tax Receipts
May-July "&amp;Instructions!O1</f>
        <v>Est Tax Receipts
May-July 2012</v>
      </c>
      <c r="K4" s="9" t="s">
        <v>489</v>
      </c>
      <c r="L4" s="9" t="s">
        <v>614</v>
      </c>
      <c r="M4" s="9"/>
      <c r="N4" s="196"/>
      <c r="O4" s="162" t="s">
        <v>657</v>
      </c>
      <c r="P4" s="162" t="s">
        <v>658</v>
      </c>
      <c r="Q4" s="162" t="s">
        <v>659</v>
      </c>
    </row>
    <row r="6" spans="1:17" x14ac:dyDescent="0.2">
      <c r="C6" s="2" t="s">
        <v>344</v>
      </c>
      <c r="D6" s="3">
        <f>SUM(D8:D344)</f>
        <v>684926982.06000018</v>
      </c>
      <c r="E6" s="3">
        <f t="shared" ref="E6:Q6" si="0">SUM(E8:E344)</f>
        <v>662224089.10999942</v>
      </c>
      <c r="F6" s="3">
        <f t="shared" si="0"/>
        <v>25696992.339999996</v>
      </c>
      <c r="G6" s="3">
        <f t="shared" si="0"/>
        <v>659229989.71999979</v>
      </c>
      <c r="I6" s="3">
        <f t="shared" si="0"/>
        <v>35805814.139999993</v>
      </c>
      <c r="J6" s="3">
        <f t="shared" si="0"/>
        <v>36427610.040000007</v>
      </c>
      <c r="K6" s="3">
        <f t="shared" si="0"/>
        <v>146972.07999999999</v>
      </c>
      <c r="L6" s="3">
        <f t="shared" si="0"/>
        <v>35658842.060000002</v>
      </c>
      <c r="N6" s="3">
        <f t="shared" si="0"/>
        <v>694888831.78000033</v>
      </c>
      <c r="O6" s="3">
        <f t="shared" si="0"/>
        <v>1403337139.3700004</v>
      </c>
      <c r="P6" s="3">
        <f t="shared" si="0"/>
        <v>6033744.1999999983</v>
      </c>
      <c r="Q6" s="3">
        <f t="shared" si="0"/>
        <v>1397303395.1699996</v>
      </c>
    </row>
    <row r="8" spans="1:17" x14ac:dyDescent="0.2">
      <c r="A8" s="5">
        <v>1</v>
      </c>
      <c r="B8" s="5">
        <v>1</v>
      </c>
      <c r="C8" s="2" t="s">
        <v>5</v>
      </c>
      <c r="D8" s="3">
        <f>SUM(Shift11!D8:L8)</f>
        <v>573261.54</v>
      </c>
      <c r="E8" s="3">
        <f>ROUND(MAX(0,(Levy!Q8+Data!D8+Data!E8-Levy!U8)*0.5),2)</f>
        <v>394864.17</v>
      </c>
      <c r="F8" s="3">
        <f>IF(D8&gt;E8,D8-E8,0)</f>
        <v>178397.37000000005</v>
      </c>
      <c r="G8" s="3">
        <f>MAX(0,MIN(D8,E8))</f>
        <v>394864.17</v>
      </c>
      <c r="I8" s="3">
        <f>SUM(Shift11!M8:N8)</f>
        <v>897.18</v>
      </c>
      <c r="J8" s="3">
        <f>ROUND(MAX(0,(Levy!R8-Levy!V8)*0.5),2)</f>
        <v>830.58</v>
      </c>
      <c r="K8" s="3">
        <f>IF(I8&gt;J8,I8-J8,0)</f>
        <v>66.599999999999909</v>
      </c>
      <c r="L8" s="3">
        <f>MAX(0,MIN(I8,J8))</f>
        <v>830.58</v>
      </c>
      <c r="N8" s="3">
        <f>G8+L8</f>
        <v>395694.75</v>
      </c>
      <c r="O8" s="2">
        <f>SUM(Levy!F8:J8)</f>
        <v>857379.47</v>
      </c>
      <c r="P8" s="2">
        <f>SUM(Levy!U8:V8)</f>
        <v>65989.98000000001</v>
      </c>
      <c r="Q8" s="2">
        <f>O8-P8</f>
        <v>791389.49</v>
      </c>
    </row>
    <row r="9" spans="1:17" x14ac:dyDescent="0.2">
      <c r="A9" s="5">
        <v>1.2</v>
      </c>
      <c r="B9" s="5">
        <v>3</v>
      </c>
      <c r="C9" s="2" t="s">
        <v>6</v>
      </c>
      <c r="D9" s="3">
        <f>SUM(Shift11!D9:L9)</f>
        <v>56538632.020000003</v>
      </c>
      <c r="E9" s="3">
        <f>ROUND(MAX(0,(Levy!Q9+Data!D9+Data!E9-Levy!U9)*0.5),2)</f>
        <v>51621102.07</v>
      </c>
      <c r="F9" s="3">
        <f>IF(D9&gt;E9,D9-E9,0)</f>
        <v>4917529.950000003</v>
      </c>
      <c r="G9" s="3">
        <f t="shared" ref="G9:G71" si="1">MAX(0,MIN(D9,E9))</f>
        <v>51621102.07</v>
      </c>
      <c r="I9" s="3">
        <f>SUM(Shift11!M9:N9)</f>
        <v>2395201.98</v>
      </c>
      <c r="J9" s="3">
        <f>ROUND(MAX(0,(Levy!R9-Levy!V9)*0.5),2)</f>
        <v>2449575.5299999998</v>
      </c>
      <c r="K9" s="3">
        <f t="shared" ref="K9:K71" si="2">IF(I9&gt;J9,I9-J9,0)</f>
        <v>0</v>
      </c>
      <c r="L9" s="3">
        <f t="shared" ref="L9:L71" si="3">MAX(0,MIN(I9,J9))</f>
        <v>2395201.98</v>
      </c>
      <c r="N9" s="3">
        <f t="shared" ref="N9:N72" si="4">G9+L9</f>
        <v>54016304.049999997</v>
      </c>
      <c r="O9" s="2">
        <f>SUM(Levy!F9:J9)</f>
        <v>108371458.88000001</v>
      </c>
      <c r="P9" s="2">
        <f>SUM(Levy!U9:V9)</f>
        <v>230103.69000000003</v>
      </c>
      <c r="Q9" s="2">
        <f t="shared" ref="Q9:Q72" si="5">O9-P9</f>
        <v>108141355.19000001</v>
      </c>
    </row>
    <row r="10" spans="1:17" x14ac:dyDescent="0.2">
      <c r="A10" s="5">
        <v>2</v>
      </c>
      <c r="B10" s="5">
        <v>1</v>
      </c>
      <c r="C10" s="2" t="s">
        <v>7</v>
      </c>
      <c r="D10" s="3">
        <f>SUM(Shift11!D10:L10)</f>
        <v>86737.11</v>
      </c>
      <c r="E10" s="3">
        <f>ROUND(MAX(0,(Levy!Q10+Data!D10+Data!E10-Levy!U10)*0.5),2)</f>
        <v>73575.53</v>
      </c>
      <c r="F10" s="3">
        <f t="shared" ref="F10:F71" si="6">IF(D10&gt;E10,D10-E10,0)</f>
        <v>13161.580000000002</v>
      </c>
      <c r="G10" s="3">
        <f t="shared" si="1"/>
        <v>73575.53</v>
      </c>
      <c r="I10" s="3">
        <f>SUM(Shift11!M10:N10)</f>
        <v>9705.42</v>
      </c>
      <c r="J10" s="3">
        <f>ROUND(MAX(0,(Levy!R10-Levy!V10)*0.5),2)</f>
        <v>9662.48</v>
      </c>
      <c r="K10" s="3">
        <f t="shared" si="2"/>
        <v>42.940000000000509</v>
      </c>
      <c r="L10" s="3">
        <f t="shared" si="3"/>
        <v>9662.48</v>
      </c>
      <c r="N10" s="3">
        <f t="shared" si="4"/>
        <v>83238.009999999995</v>
      </c>
      <c r="O10" s="2">
        <f>SUM(Levy!F10:J10)</f>
        <v>170910</v>
      </c>
      <c r="P10" s="2">
        <f>SUM(Levy!U10:V10)</f>
        <v>4433.99</v>
      </c>
      <c r="Q10" s="2">
        <f t="shared" si="5"/>
        <v>166476.01</v>
      </c>
    </row>
    <row r="11" spans="1:17" x14ac:dyDescent="0.2">
      <c r="A11" s="5">
        <v>4</v>
      </c>
      <c r="B11" s="5">
        <v>1</v>
      </c>
      <c r="C11" s="2" t="s">
        <v>8</v>
      </c>
      <c r="D11" s="3">
        <f>SUM(Shift11!D11:L11)</f>
        <v>135191.46</v>
      </c>
      <c r="E11" s="3">
        <f>ROUND(MAX(0,(Levy!Q11+Data!D11+Data!E11-Levy!U11)*0.5),2)</f>
        <v>85681.27</v>
      </c>
      <c r="F11" s="3">
        <f t="shared" si="6"/>
        <v>49510.189999999988</v>
      </c>
      <c r="G11" s="3">
        <f t="shared" si="1"/>
        <v>85681.27</v>
      </c>
      <c r="I11" s="3">
        <f>SUM(Shift11!M11:N11)</f>
        <v>27577.1</v>
      </c>
      <c r="J11" s="3">
        <f>ROUND(MAX(0,(Levy!R11-Levy!V11)*0.5),2)</f>
        <v>27932.26</v>
      </c>
      <c r="K11" s="3">
        <f t="shared" si="2"/>
        <v>0</v>
      </c>
      <c r="L11" s="3">
        <f t="shared" si="3"/>
        <v>27577.1</v>
      </c>
      <c r="N11" s="3">
        <f t="shared" si="4"/>
        <v>113258.37</v>
      </c>
      <c r="O11" s="2">
        <f>SUM(Levy!F11:J11)</f>
        <v>229754</v>
      </c>
      <c r="P11" s="2">
        <f>SUM(Levy!U11:V11)</f>
        <v>2526.94</v>
      </c>
      <c r="Q11" s="2">
        <f t="shared" si="5"/>
        <v>227227.06</v>
      </c>
    </row>
    <row r="12" spans="1:17" x14ac:dyDescent="0.2">
      <c r="A12" s="5">
        <v>6</v>
      </c>
      <c r="B12" s="5">
        <v>3</v>
      </c>
      <c r="C12" s="2" t="s">
        <v>9</v>
      </c>
      <c r="D12" s="3">
        <f>SUM(Shift11!D12:L12)</f>
        <v>2926817.12</v>
      </c>
      <c r="E12" s="3">
        <f>ROUND(MAX(0,(Levy!Q12+Data!D12+Data!E12-Levy!U12)*0.5),2)</f>
        <v>2941737.36</v>
      </c>
      <c r="F12" s="3">
        <f t="shared" si="6"/>
        <v>0</v>
      </c>
      <c r="G12" s="3">
        <f t="shared" si="1"/>
        <v>2926817.12</v>
      </c>
      <c r="I12" s="3">
        <f>SUM(Shift11!M12:N12)</f>
        <v>145894.76999999999</v>
      </c>
      <c r="J12" s="3">
        <f>ROUND(MAX(0,(Levy!R12-Levy!V12)*0.5),2)</f>
        <v>150086.37</v>
      </c>
      <c r="K12" s="3">
        <f t="shared" si="2"/>
        <v>0</v>
      </c>
      <c r="L12" s="3">
        <f t="shared" si="3"/>
        <v>145894.76999999999</v>
      </c>
      <c r="N12" s="3">
        <f t="shared" si="4"/>
        <v>3072711.89</v>
      </c>
      <c r="O12" s="2">
        <f>SUM(Levy!F12:J12)</f>
        <v>6183856</v>
      </c>
      <c r="P12" s="2">
        <f>SUM(Levy!U12:V12)</f>
        <v>208.54</v>
      </c>
      <c r="Q12" s="2">
        <f t="shared" si="5"/>
        <v>6183647.46</v>
      </c>
    </row>
    <row r="13" spans="1:17" x14ac:dyDescent="0.2">
      <c r="A13" s="5">
        <v>11</v>
      </c>
      <c r="B13" s="5">
        <v>1</v>
      </c>
      <c r="C13" s="2" t="s">
        <v>10</v>
      </c>
      <c r="D13" s="3">
        <f>SUM(Shift11!D13:L13)</f>
        <v>36465901.100000001</v>
      </c>
      <c r="E13" s="3">
        <f>ROUND(MAX(0,(Levy!Q13+Data!D13+Data!E13-Levy!U13)*0.5),2)</f>
        <v>36485201.310000002</v>
      </c>
      <c r="F13" s="3">
        <f t="shared" si="6"/>
        <v>0</v>
      </c>
      <c r="G13" s="3">
        <f t="shared" si="1"/>
        <v>36465901.100000001</v>
      </c>
      <c r="I13" s="3">
        <f>SUM(Shift11!M13:N13)</f>
        <v>1509866.09</v>
      </c>
      <c r="J13" s="3">
        <f>ROUND(MAX(0,(Levy!R13-Levy!V13)*0.5),2)</f>
        <v>1552692.22</v>
      </c>
      <c r="K13" s="3">
        <f t="shared" si="2"/>
        <v>0</v>
      </c>
      <c r="L13" s="3">
        <f t="shared" si="3"/>
        <v>1509866.09</v>
      </c>
      <c r="N13" s="3">
        <f t="shared" si="4"/>
        <v>37975767.190000005</v>
      </c>
      <c r="O13" s="2">
        <f>SUM(Levy!F13:J13)</f>
        <v>76084524.479999989</v>
      </c>
      <c r="P13" s="2">
        <f>SUM(Levy!U13:V13)</f>
        <v>8737.44</v>
      </c>
      <c r="Q13" s="2">
        <f t="shared" si="5"/>
        <v>76075787.039999992</v>
      </c>
    </row>
    <row r="14" spans="1:17" x14ac:dyDescent="0.2">
      <c r="A14" s="5">
        <v>12</v>
      </c>
      <c r="B14" s="5">
        <v>1</v>
      </c>
      <c r="C14" s="2" t="s">
        <v>11</v>
      </c>
      <c r="D14" s="3">
        <f>SUM(Shift11!D14:L14)</f>
        <v>4628366.01</v>
      </c>
      <c r="E14" s="3">
        <f>ROUND(MAX(0,(Levy!Q14+Data!D14+Data!E14-Levy!U14)*0.5),2)</f>
        <v>4627653.13</v>
      </c>
      <c r="F14" s="3">
        <f t="shared" si="6"/>
        <v>712.87999999988824</v>
      </c>
      <c r="G14" s="3">
        <f t="shared" si="1"/>
        <v>4627653.13</v>
      </c>
      <c r="I14" s="3">
        <f>SUM(Shift11!M14:N14)</f>
        <v>211746.12</v>
      </c>
      <c r="J14" s="3">
        <f>ROUND(MAX(0,(Levy!R14-Levy!V14)*0.5),2)</f>
        <v>217796.84</v>
      </c>
      <c r="K14" s="3">
        <f t="shared" si="2"/>
        <v>0</v>
      </c>
      <c r="L14" s="3">
        <f t="shared" si="3"/>
        <v>211746.12</v>
      </c>
      <c r="N14" s="3">
        <f t="shared" si="4"/>
        <v>4839399.25</v>
      </c>
      <c r="O14" s="2">
        <f>SUM(Levy!F14:J14)</f>
        <v>9691655.4700000007</v>
      </c>
      <c r="P14" s="2">
        <f>SUM(Levy!U14:V14)</f>
        <v>755.55</v>
      </c>
      <c r="Q14" s="2">
        <f t="shared" si="5"/>
        <v>9690899.9199999999</v>
      </c>
    </row>
    <row r="15" spans="1:17" x14ac:dyDescent="0.2">
      <c r="A15" s="5">
        <v>13</v>
      </c>
      <c r="B15" s="5">
        <v>1</v>
      </c>
      <c r="C15" s="2" t="s">
        <v>12</v>
      </c>
      <c r="D15" s="3">
        <f>SUM(Shift11!D15:L15)</f>
        <v>2792105.62</v>
      </c>
      <c r="E15" s="3">
        <f>ROUND(MAX(0,(Levy!Q15+Data!D15+Data!E15-Levy!U15)*0.5),2)</f>
        <v>2821673.9</v>
      </c>
      <c r="F15" s="3">
        <f t="shared" si="6"/>
        <v>0</v>
      </c>
      <c r="G15" s="3">
        <f t="shared" si="1"/>
        <v>2792105.62</v>
      </c>
      <c r="I15" s="3">
        <f>SUM(Shift11!M15:N15)</f>
        <v>154587.26999999999</v>
      </c>
      <c r="J15" s="3">
        <f>ROUND(MAX(0,(Levy!R15-Levy!V15)*0.5),2)</f>
        <v>158997.95000000001</v>
      </c>
      <c r="K15" s="3">
        <f t="shared" si="2"/>
        <v>0</v>
      </c>
      <c r="L15" s="3">
        <f t="shared" si="3"/>
        <v>154587.26999999999</v>
      </c>
      <c r="N15" s="3">
        <f t="shared" si="4"/>
        <v>2946692.89</v>
      </c>
      <c r="O15" s="2">
        <f>SUM(Levy!F15:J15)</f>
        <v>5961943.5099999998</v>
      </c>
      <c r="P15" s="2">
        <f>SUM(Levy!U15:V15)</f>
        <v>599.80999999999995</v>
      </c>
      <c r="Q15" s="2">
        <f t="shared" si="5"/>
        <v>5961343.7000000002</v>
      </c>
    </row>
    <row r="16" spans="1:17" x14ac:dyDescent="0.2">
      <c r="A16" s="5">
        <v>14</v>
      </c>
      <c r="B16" s="5">
        <v>1</v>
      </c>
      <c r="C16" s="2" t="s">
        <v>13</v>
      </c>
      <c r="D16" s="3">
        <f>SUM(Shift11!D16:L16)</f>
        <v>2496017.5499999998</v>
      </c>
      <c r="E16" s="3">
        <f>ROUND(MAX(0,(Levy!Q16+Data!D16+Data!E16-Levy!U16)*0.5),2)</f>
        <v>2475251.17</v>
      </c>
      <c r="F16" s="3">
        <f t="shared" si="6"/>
        <v>20766.379999999888</v>
      </c>
      <c r="G16" s="3">
        <f t="shared" si="1"/>
        <v>2475251.17</v>
      </c>
      <c r="I16" s="3">
        <f>SUM(Shift11!M16:N16)</f>
        <v>226560.16</v>
      </c>
      <c r="J16" s="3">
        <f>ROUND(MAX(0,(Levy!R16-Levy!V16)*0.5),2)</f>
        <v>233044.74</v>
      </c>
      <c r="K16" s="3">
        <f t="shared" si="2"/>
        <v>0</v>
      </c>
      <c r="L16" s="3">
        <f t="shared" si="3"/>
        <v>226560.16</v>
      </c>
      <c r="N16" s="3">
        <f t="shared" si="4"/>
        <v>2701811.33</v>
      </c>
      <c r="O16" s="2">
        <f>SUM(Levy!F16:J16)</f>
        <v>5417049.4900000002</v>
      </c>
      <c r="P16" s="2">
        <f>SUM(Levy!U16:V16)</f>
        <v>457.69</v>
      </c>
      <c r="Q16" s="2">
        <f t="shared" si="5"/>
        <v>5416591.7999999998</v>
      </c>
    </row>
    <row r="17" spans="1:17" x14ac:dyDescent="0.2">
      <c r="A17" s="5">
        <v>15</v>
      </c>
      <c r="B17" s="5">
        <v>1</v>
      </c>
      <c r="C17" s="2" t="s">
        <v>14</v>
      </c>
      <c r="D17" s="3">
        <f>SUM(Shift11!D17:L17)</f>
        <v>2423357.7000000002</v>
      </c>
      <c r="E17" s="3">
        <f>ROUND(MAX(0,(Levy!Q17+Data!D17+Data!E17-Levy!U17)*0.5),2)</f>
        <v>2251620.87</v>
      </c>
      <c r="F17" s="3">
        <f t="shared" si="6"/>
        <v>171736.83000000007</v>
      </c>
      <c r="G17" s="3">
        <f t="shared" si="1"/>
        <v>2251620.87</v>
      </c>
      <c r="I17" s="3">
        <f>SUM(Shift11!M17:N17)</f>
        <v>170083.7</v>
      </c>
      <c r="J17" s="3">
        <f>ROUND(MAX(0,(Levy!R17-Levy!V17)*0.5),2)</f>
        <v>174374.37</v>
      </c>
      <c r="K17" s="3">
        <f t="shared" si="2"/>
        <v>0</v>
      </c>
      <c r="L17" s="3">
        <f t="shared" si="3"/>
        <v>170083.7</v>
      </c>
      <c r="N17" s="3">
        <f t="shared" si="4"/>
        <v>2421704.5700000003</v>
      </c>
      <c r="O17" s="2">
        <f>SUM(Levy!F17:J17)</f>
        <v>4861433.8499999996</v>
      </c>
      <c r="P17" s="2">
        <f>SUM(Levy!U17:V17)</f>
        <v>9443.3799999999992</v>
      </c>
      <c r="Q17" s="2">
        <f t="shared" si="5"/>
        <v>4851990.47</v>
      </c>
    </row>
    <row r="18" spans="1:17" x14ac:dyDescent="0.2">
      <c r="A18" s="5">
        <v>16</v>
      </c>
      <c r="B18" s="5">
        <v>1</v>
      </c>
      <c r="C18" s="2" t="s">
        <v>15</v>
      </c>
      <c r="D18" s="3">
        <f>SUM(Shift11!D18:L18)</f>
        <v>4785780.9900000012</v>
      </c>
      <c r="E18" s="3">
        <f>ROUND(MAX(0,(Levy!Q18+Data!D18+Data!E18-Levy!U18)*0.5),2)</f>
        <v>4797198.88</v>
      </c>
      <c r="F18" s="3">
        <f t="shared" si="6"/>
        <v>0</v>
      </c>
      <c r="G18" s="3">
        <f t="shared" si="1"/>
        <v>4785780.9900000012</v>
      </c>
      <c r="I18" s="3">
        <f>SUM(Shift11!M18:N18)</f>
        <v>225326.21</v>
      </c>
      <c r="J18" s="3">
        <f>ROUND(MAX(0,(Levy!R18-Levy!V18)*0.5),2)</f>
        <v>231785.47</v>
      </c>
      <c r="K18" s="3">
        <f t="shared" si="2"/>
        <v>0</v>
      </c>
      <c r="L18" s="3">
        <f t="shared" si="3"/>
        <v>225326.21</v>
      </c>
      <c r="N18" s="3">
        <f t="shared" si="4"/>
        <v>5011107.2000000011</v>
      </c>
      <c r="O18" s="2">
        <f>SUM(Levy!F18:J18)</f>
        <v>10058526.970000001</v>
      </c>
      <c r="P18" s="2">
        <f>SUM(Levy!U18:V18)</f>
        <v>558.29</v>
      </c>
      <c r="Q18" s="2">
        <f t="shared" si="5"/>
        <v>10057968.680000002</v>
      </c>
    </row>
    <row r="19" spans="1:17" x14ac:dyDescent="0.2">
      <c r="A19" s="5">
        <v>22</v>
      </c>
      <c r="B19" s="5">
        <v>1</v>
      </c>
      <c r="C19" s="2" t="s">
        <v>16</v>
      </c>
      <c r="D19" s="3">
        <f>SUM(Shift11!D19:L19)</f>
        <v>1443673.35</v>
      </c>
      <c r="E19" s="3">
        <f>ROUND(MAX(0,(Levy!Q19+Data!D19+Data!E19-Levy!U19)*0.5),2)</f>
        <v>1431276.56</v>
      </c>
      <c r="F19" s="3">
        <f t="shared" si="6"/>
        <v>12396.790000000037</v>
      </c>
      <c r="G19" s="3">
        <f t="shared" si="1"/>
        <v>1431276.56</v>
      </c>
      <c r="I19" s="3">
        <f>SUM(Shift11!M19:N19)</f>
        <v>102490.6</v>
      </c>
      <c r="J19" s="3">
        <f>ROUND(MAX(0,(Levy!R19-Levy!V19)*0.5),2)</f>
        <v>104810.01</v>
      </c>
      <c r="K19" s="3">
        <f t="shared" si="2"/>
        <v>0</v>
      </c>
      <c r="L19" s="3">
        <f t="shared" si="3"/>
        <v>102490.6</v>
      </c>
      <c r="N19" s="3">
        <f t="shared" si="4"/>
        <v>1533767.1600000001</v>
      </c>
      <c r="O19" s="2">
        <f>SUM(Levy!F19:J19)</f>
        <v>3078663</v>
      </c>
      <c r="P19" s="2">
        <f>SUM(Levy!U19:V19)</f>
        <v>6489.869999999999</v>
      </c>
      <c r="Q19" s="2">
        <f t="shared" si="5"/>
        <v>3072173.13</v>
      </c>
    </row>
    <row r="20" spans="1:17" x14ac:dyDescent="0.2">
      <c r="A20" s="5">
        <v>23</v>
      </c>
      <c r="B20" s="5">
        <v>1</v>
      </c>
      <c r="C20" s="2" t="s">
        <v>17</v>
      </c>
      <c r="D20" s="3">
        <f>SUM(Shift11!D20:L20)</f>
        <v>694557.42999999993</v>
      </c>
      <c r="E20" s="3">
        <f>ROUND(MAX(0,(Levy!Q20+Data!D20+Data!E20-Levy!U20)*0.5),2)</f>
        <v>690068.47999999998</v>
      </c>
      <c r="F20" s="3">
        <f t="shared" si="6"/>
        <v>4488.9499999999534</v>
      </c>
      <c r="G20" s="3">
        <f t="shared" si="1"/>
        <v>690068.47999999998</v>
      </c>
      <c r="I20" s="3">
        <f>SUM(Shift11!M20:N20)</f>
        <v>41761.01</v>
      </c>
      <c r="J20" s="3">
        <f>ROUND(MAX(0,(Levy!R20-Levy!V20)*0.5),2)</f>
        <v>42044.93</v>
      </c>
      <c r="K20" s="3">
        <f t="shared" si="2"/>
        <v>0</v>
      </c>
      <c r="L20" s="3">
        <f t="shared" si="3"/>
        <v>41761.01</v>
      </c>
      <c r="N20" s="3">
        <f t="shared" si="4"/>
        <v>731829.49</v>
      </c>
      <c r="O20" s="2">
        <f>SUM(Levy!F20:J20)</f>
        <v>1471755</v>
      </c>
      <c r="P20" s="2">
        <f>SUM(Levy!U20:V20)</f>
        <v>7528.19</v>
      </c>
      <c r="Q20" s="2">
        <f t="shared" si="5"/>
        <v>1464226.81</v>
      </c>
    </row>
    <row r="21" spans="1:17" x14ac:dyDescent="0.2">
      <c r="A21" s="5">
        <v>25</v>
      </c>
      <c r="B21" s="5">
        <v>1</v>
      </c>
      <c r="C21" s="2" t="s">
        <v>345</v>
      </c>
      <c r="D21" s="3">
        <f>SUM(Shift11!D21:L21)</f>
        <v>0</v>
      </c>
      <c r="E21" s="3">
        <f>ROUND(MAX(0,(Levy!Q21+Data!D21+Data!E21-Levy!U21)*0.5),2)</f>
        <v>0</v>
      </c>
      <c r="F21" s="3">
        <f t="shared" si="6"/>
        <v>0</v>
      </c>
      <c r="G21" s="3">
        <f t="shared" si="1"/>
        <v>0</v>
      </c>
      <c r="I21" s="3">
        <f>SUM(Shift11!M21:N21)</f>
        <v>0</v>
      </c>
      <c r="J21" s="3">
        <f>ROUND(MAX(0,(Levy!R21-Levy!V21)*0.5),2)</f>
        <v>0</v>
      </c>
      <c r="K21" s="3">
        <f t="shared" si="2"/>
        <v>0</v>
      </c>
      <c r="L21" s="3">
        <f t="shared" si="3"/>
        <v>0</v>
      </c>
      <c r="N21" s="3">
        <f t="shared" si="4"/>
        <v>0</v>
      </c>
      <c r="O21" s="2">
        <f>SUM(Levy!F21:J21)</f>
        <v>0</v>
      </c>
      <c r="P21" s="2">
        <f>SUM(Levy!U21:V21)</f>
        <v>0</v>
      </c>
      <c r="Q21" s="2">
        <f t="shared" si="5"/>
        <v>0</v>
      </c>
    </row>
    <row r="22" spans="1:17" x14ac:dyDescent="0.2">
      <c r="A22" s="5">
        <v>31</v>
      </c>
      <c r="B22" s="5">
        <v>1</v>
      </c>
      <c r="C22" s="2" t="s">
        <v>18</v>
      </c>
      <c r="D22" s="3">
        <f>SUM(Shift11!D22:L22)</f>
        <v>2224464.0000000005</v>
      </c>
      <c r="E22" s="3">
        <f>ROUND(MAX(0,(Levy!Q22+Data!D22+Data!E22-Levy!U22)*0.5),2)</f>
        <v>2198269.86</v>
      </c>
      <c r="F22" s="3">
        <f t="shared" si="6"/>
        <v>26194.140000000596</v>
      </c>
      <c r="G22" s="3">
        <f t="shared" si="1"/>
        <v>2198269.86</v>
      </c>
      <c r="I22" s="3">
        <f>SUM(Shift11!M22:N22)</f>
        <v>188645.26</v>
      </c>
      <c r="J22" s="3">
        <f>ROUND(MAX(0,(Levy!R22-Levy!V22)*0.5),2)</f>
        <v>192540.67</v>
      </c>
      <c r="K22" s="3">
        <f t="shared" si="2"/>
        <v>0</v>
      </c>
      <c r="L22" s="3">
        <f t="shared" si="3"/>
        <v>188645.26</v>
      </c>
      <c r="N22" s="3">
        <f>G22+L22</f>
        <v>2386915.12</v>
      </c>
      <c r="O22" s="2">
        <f>SUM(Levy!F22:J22)</f>
        <v>4797834.09</v>
      </c>
      <c r="P22" s="2">
        <f>SUM(Levy!U22:V22)</f>
        <v>16213.03</v>
      </c>
      <c r="Q22" s="2">
        <f t="shared" si="5"/>
        <v>4781621.0599999996</v>
      </c>
    </row>
    <row r="23" spans="1:17" x14ac:dyDescent="0.2">
      <c r="A23" s="5">
        <v>32</v>
      </c>
      <c r="B23" s="5">
        <v>1</v>
      </c>
      <c r="C23" s="2" t="s">
        <v>19</v>
      </c>
      <c r="D23" s="3">
        <f>SUM(Shift11!D23:L23)</f>
        <v>160995.74000000002</v>
      </c>
      <c r="E23" s="3">
        <f>ROUND(MAX(0,(Levy!Q23+Data!D23+Data!E23-Levy!U23)*0.5),2)</f>
        <v>149620.85</v>
      </c>
      <c r="F23" s="3">
        <f t="shared" si="6"/>
        <v>11374.890000000014</v>
      </c>
      <c r="G23" s="3">
        <f t="shared" si="1"/>
        <v>149620.85</v>
      </c>
      <c r="I23" s="3">
        <f>SUM(Shift11!M23:N23)</f>
        <v>16809.86</v>
      </c>
      <c r="J23" s="3">
        <f>ROUND(MAX(0,(Levy!R23-Levy!V23)*0.5),2)</f>
        <v>16689</v>
      </c>
      <c r="K23" s="3">
        <f t="shared" si="2"/>
        <v>120.86000000000058</v>
      </c>
      <c r="L23" s="3">
        <f t="shared" si="3"/>
        <v>16689</v>
      </c>
      <c r="N23" s="3">
        <f t="shared" si="4"/>
        <v>166309.85</v>
      </c>
      <c r="O23" s="2">
        <f>SUM(Levy!F23:J23)</f>
        <v>342230.55</v>
      </c>
      <c r="P23" s="2">
        <f>SUM(Levy!U23:V23)</f>
        <v>9610.86</v>
      </c>
      <c r="Q23" s="2">
        <f t="shared" si="5"/>
        <v>332619.69</v>
      </c>
    </row>
    <row r="24" spans="1:17" x14ac:dyDescent="0.2">
      <c r="A24" s="5">
        <v>36</v>
      </c>
      <c r="B24" s="5">
        <v>1</v>
      </c>
      <c r="C24" s="2" t="s">
        <v>20</v>
      </c>
      <c r="D24" s="3">
        <f>SUM(Shift11!D24:L24)</f>
        <v>27457.01</v>
      </c>
      <c r="E24" s="3">
        <f>ROUND(MAX(0,(Levy!Q24+Data!D24+Data!E24-Levy!U24)*0.5),2)</f>
        <v>27937.85</v>
      </c>
      <c r="F24" s="3">
        <f t="shared" si="6"/>
        <v>0</v>
      </c>
      <c r="G24" s="3">
        <f t="shared" si="1"/>
        <v>27457.01</v>
      </c>
      <c r="I24" s="3">
        <f>SUM(Shift11!M24:N24)</f>
        <v>5665.41</v>
      </c>
      <c r="J24" s="3">
        <f>ROUND(MAX(0,(Levy!R24-Levy!V24)*0.5),2)</f>
        <v>5654.72</v>
      </c>
      <c r="K24" s="3">
        <f t="shared" si="2"/>
        <v>10.6899999999996</v>
      </c>
      <c r="L24" s="3">
        <f t="shared" si="3"/>
        <v>5654.72</v>
      </c>
      <c r="N24" s="3">
        <f t="shared" si="4"/>
        <v>33111.729999999996</v>
      </c>
      <c r="O24" s="2">
        <f>SUM(Levy!F24:J24)</f>
        <v>68153.13</v>
      </c>
      <c r="P24" s="2">
        <f>SUM(Levy!U24:V24)</f>
        <v>968.01</v>
      </c>
      <c r="Q24" s="2">
        <f t="shared" si="5"/>
        <v>67185.12000000001</v>
      </c>
    </row>
    <row r="25" spans="1:17" x14ac:dyDescent="0.2">
      <c r="A25" s="5">
        <v>38</v>
      </c>
      <c r="B25" s="5">
        <v>1</v>
      </c>
      <c r="C25" s="2" t="s">
        <v>21</v>
      </c>
      <c r="D25" s="3">
        <f>SUM(Shift11!D25:L25)</f>
        <v>1667.56</v>
      </c>
      <c r="E25" s="3">
        <f>ROUND(MAX(0,(Levy!Q25+Data!D25+Data!E25-Levy!U25)*0.5),2)</f>
        <v>1715.61</v>
      </c>
      <c r="F25" s="3">
        <f t="shared" si="6"/>
        <v>0</v>
      </c>
      <c r="G25" s="3">
        <f t="shared" si="1"/>
        <v>1667.56</v>
      </c>
      <c r="I25" s="3">
        <f>SUM(Shift11!M25:N25)</f>
        <v>71.81</v>
      </c>
      <c r="J25" s="3">
        <f>ROUND(MAX(0,(Levy!R25-Levy!V25)*0.5),2)</f>
        <v>73.88</v>
      </c>
      <c r="K25" s="3">
        <f t="shared" si="2"/>
        <v>0</v>
      </c>
      <c r="L25" s="3">
        <f t="shared" si="3"/>
        <v>71.81</v>
      </c>
      <c r="N25" s="3">
        <f t="shared" si="4"/>
        <v>1739.37</v>
      </c>
      <c r="O25" s="2">
        <f>SUM(Levy!F25:J25)</f>
        <v>3578.96</v>
      </c>
      <c r="P25" s="2">
        <f>SUM(Levy!U25:V25)</f>
        <v>0</v>
      </c>
      <c r="Q25" s="2">
        <f t="shared" si="5"/>
        <v>3578.96</v>
      </c>
    </row>
    <row r="26" spans="1:17" x14ac:dyDescent="0.2">
      <c r="A26" s="5">
        <v>47</v>
      </c>
      <c r="B26" s="5">
        <v>1</v>
      </c>
      <c r="C26" s="2" t="s">
        <v>22</v>
      </c>
      <c r="D26" s="3">
        <f>SUM(Shift11!D26:L26)</f>
        <v>938110.31</v>
      </c>
      <c r="E26" s="3">
        <f>ROUND(MAX(0,(Levy!Q26+Data!D26+Data!E26-Levy!U26)*0.5),2)</f>
        <v>778224.18</v>
      </c>
      <c r="F26" s="3">
        <f t="shared" si="6"/>
        <v>159886.13</v>
      </c>
      <c r="G26" s="3">
        <f t="shared" si="1"/>
        <v>778224.18</v>
      </c>
      <c r="I26" s="3">
        <f>SUM(Shift11!M26:N26)</f>
        <v>119346.05</v>
      </c>
      <c r="J26" s="3">
        <f>ROUND(MAX(0,(Levy!R26-Levy!V26)*0.5),2)</f>
        <v>122166.35</v>
      </c>
      <c r="K26" s="3">
        <f t="shared" si="2"/>
        <v>0</v>
      </c>
      <c r="L26" s="3">
        <f t="shared" si="3"/>
        <v>119346.05</v>
      </c>
      <c r="N26" s="3">
        <f t="shared" si="4"/>
        <v>897570.2300000001</v>
      </c>
      <c r="O26" s="2">
        <f>SUM(Levy!F26:J26)</f>
        <v>1808447</v>
      </c>
      <c r="P26" s="2">
        <f>SUM(Levy!U26:V26)</f>
        <v>7665.95</v>
      </c>
      <c r="Q26" s="2">
        <f t="shared" si="5"/>
        <v>1800781.05</v>
      </c>
    </row>
    <row r="27" spans="1:17" x14ac:dyDescent="0.2">
      <c r="A27" s="5">
        <v>51</v>
      </c>
      <c r="B27" s="5">
        <v>1</v>
      </c>
      <c r="C27" s="2" t="s">
        <v>23</v>
      </c>
      <c r="D27" s="3">
        <f>SUM(Shift11!D27:L27)</f>
        <v>440037.43</v>
      </c>
      <c r="E27" s="3">
        <f>ROUND(MAX(0,(Levy!Q27+Data!D27+Data!E27-Levy!U27)*0.5),2)</f>
        <v>408544.69</v>
      </c>
      <c r="F27" s="3">
        <f t="shared" si="6"/>
        <v>31492.739999999991</v>
      </c>
      <c r="G27" s="3">
        <f t="shared" si="1"/>
        <v>408544.69</v>
      </c>
      <c r="I27" s="3">
        <f>SUM(Shift11!M27:N27)</f>
        <v>44309.11</v>
      </c>
      <c r="J27" s="3">
        <f>ROUND(MAX(0,(Levy!R27-Levy!V27)*0.5),2)</f>
        <v>44127.25</v>
      </c>
      <c r="K27" s="3">
        <f t="shared" si="2"/>
        <v>181.86000000000058</v>
      </c>
      <c r="L27" s="3">
        <f t="shared" si="3"/>
        <v>44127.25</v>
      </c>
      <c r="N27" s="3">
        <f t="shared" si="4"/>
        <v>452671.94</v>
      </c>
      <c r="O27" s="2">
        <f>SUM(Levy!F27:J27)</f>
        <v>920675</v>
      </c>
      <c r="P27" s="2">
        <f>SUM(Levy!U27:V27)</f>
        <v>15331.13</v>
      </c>
      <c r="Q27" s="2">
        <f t="shared" si="5"/>
        <v>905343.87</v>
      </c>
    </row>
    <row r="28" spans="1:17" x14ac:dyDescent="0.2">
      <c r="A28" s="5">
        <v>75</v>
      </c>
      <c r="B28" s="5">
        <v>1</v>
      </c>
      <c r="C28" s="2" t="s">
        <v>24</v>
      </c>
      <c r="D28" s="3">
        <f>SUM(Shift11!D28:L28)</f>
        <v>243164.33</v>
      </c>
      <c r="E28" s="3">
        <f>ROUND(MAX(0,(Levy!Q28+Data!D28+Data!E28-Levy!U28)*0.5),2)</f>
        <v>241514.05</v>
      </c>
      <c r="F28" s="3">
        <f t="shared" si="6"/>
        <v>1650.2799999999988</v>
      </c>
      <c r="G28" s="3">
        <f t="shared" si="1"/>
        <v>241514.05</v>
      </c>
      <c r="I28" s="3">
        <f>SUM(Shift11!M28:N28)</f>
        <v>15345.81</v>
      </c>
      <c r="J28" s="3">
        <f>ROUND(MAX(0,(Levy!R28-Levy!V28)*0.5),2)</f>
        <v>15554.94</v>
      </c>
      <c r="K28" s="3">
        <f t="shared" si="2"/>
        <v>0</v>
      </c>
      <c r="L28" s="3">
        <f t="shared" si="3"/>
        <v>15345.81</v>
      </c>
      <c r="N28" s="3">
        <f t="shared" si="4"/>
        <v>256859.86</v>
      </c>
      <c r="O28" s="2">
        <f>SUM(Levy!F28:J28)</f>
        <v>517288.81000000006</v>
      </c>
      <c r="P28" s="2">
        <f>SUM(Levy!U28:V28)</f>
        <v>3150.83</v>
      </c>
      <c r="Q28" s="2">
        <f t="shared" si="5"/>
        <v>514137.98000000004</v>
      </c>
    </row>
    <row r="29" spans="1:17" x14ac:dyDescent="0.2">
      <c r="A29" s="5">
        <v>77</v>
      </c>
      <c r="B29" s="5">
        <v>1</v>
      </c>
      <c r="C29" s="2" t="s">
        <v>25</v>
      </c>
      <c r="D29" s="3">
        <f>SUM(Shift11!D29:L29)</f>
        <v>5237596.37</v>
      </c>
      <c r="E29" s="3">
        <f>ROUND(MAX(0,(Levy!Q29+Data!D29+Data!E29-Levy!U29)*0.5),2)</f>
        <v>5206758.51</v>
      </c>
      <c r="F29" s="3">
        <f t="shared" si="6"/>
        <v>30837.860000000335</v>
      </c>
      <c r="G29" s="3">
        <f t="shared" si="1"/>
        <v>5206758.51</v>
      </c>
      <c r="I29" s="3">
        <f>SUM(Shift11!M29:N29)</f>
        <v>384030.21</v>
      </c>
      <c r="J29" s="3">
        <f>ROUND(MAX(0,(Levy!R29-Levy!V29)*0.5),2)</f>
        <v>392772.53</v>
      </c>
      <c r="K29" s="3">
        <f t="shared" si="2"/>
        <v>0</v>
      </c>
      <c r="L29" s="3">
        <f t="shared" si="3"/>
        <v>384030.21</v>
      </c>
      <c r="N29" s="3">
        <f t="shared" si="4"/>
        <v>5590788.7199999997</v>
      </c>
      <c r="O29" s="2">
        <f>SUM(Levy!F29:J29)</f>
        <v>11214539.289999999</v>
      </c>
      <c r="P29" s="2">
        <f>SUM(Levy!U29:V29)</f>
        <v>15477.220000000001</v>
      </c>
      <c r="Q29" s="2">
        <f t="shared" si="5"/>
        <v>11199062.069999998</v>
      </c>
    </row>
    <row r="30" spans="1:17" x14ac:dyDescent="0.2">
      <c r="A30" s="5">
        <v>81</v>
      </c>
      <c r="B30" s="5">
        <v>1</v>
      </c>
      <c r="C30" s="2" t="s">
        <v>26</v>
      </c>
      <c r="D30" s="3">
        <f>SUM(Shift11!D30:L30)</f>
        <v>175172.4</v>
      </c>
      <c r="E30" s="3">
        <f>ROUND(MAX(0,(Levy!Q30+Data!D30+Data!E30-Levy!U30)*0.5),2)</f>
        <v>167149.10999999999</v>
      </c>
      <c r="F30" s="3">
        <f t="shared" si="6"/>
        <v>8023.2900000000081</v>
      </c>
      <c r="G30" s="3">
        <f t="shared" si="1"/>
        <v>167149.10999999999</v>
      </c>
      <c r="I30" s="3">
        <f>SUM(Shift11!M30:N30)</f>
        <v>11860.94</v>
      </c>
      <c r="J30" s="3">
        <f>ROUND(MAX(0,(Levy!R30-Levy!V30)*0.5),2)</f>
        <v>11483.51</v>
      </c>
      <c r="K30" s="3">
        <f t="shared" si="2"/>
        <v>377.43000000000029</v>
      </c>
      <c r="L30" s="3">
        <f t="shared" si="3"/>
        <v>11483.51</v>
      </c>
      <c r="N30" s="3">
        <f t="shared" si="4"/>
        <v>178632.62</v>
      </c>
      <c r="O30" s="2">
        <f>SUM(Levy!F30:J30)</f>
        <v>368171.23</v>
      </c>
      <c r="P30" s="2">
        <f>SUM(Levy!U30:V30)</f>
        <v>10906.010000000002</v>
      </c>
      <c r="Q30" s="2">
        <f t="shared" si="5"/>
        <v>357265.22</v>
      </c>
    </row>
    <row r="31" spans="1:17" x14ac:dyDescent="0.2">
      <c r="A31" s="5">
        <v>84</v>
      </c>
      <c r="B31" s="5">
        <v>1</v>
      </c>
      <c r="C31" s="2" t="s">
        <v>27</v>
      </c>
      <c r="D31" s="3">
        <f>SUM(Shift11!D31:L31)</f>
        <v>253343.25</v>
      </c>
      <c r="E31" s="3">
        <f>ROUND(MAX(0,(Levy!Q31+Data!D31+Data!E31-Levy!U31)*0.5),2)</f>
        <v>163892.38</v>
      </c>
      <c r="F31" s="3">
        <f t="shared" si="6"/>
        <v>89450.87</v>
      </c>
      <c r="G31" s="3">
        <f t="shared" si="1"/>
        <v>163892.38</v>
      </c>
      <c r="I31" s="3">
        <f>SUM(Shift11!M31:N31)</f>
        <v>36235.01</v>
      </c>
      <c r="J31" s="3">
        <f>ROUND(MAX(0,(Levy!R31-Levy!V31)*0.5),2)</f>
        <v>35997.129999999997</v>
      </c>
      <c r="K31" s="3">
        <f t="shared" si="2"/>
        <v>237.88000000000466</v>
      </c>
      <c r="L31" s="3">
        <f t="shared" si="3"/>
        <v>35997.129999999997</v>
      </c>
      <c r="N31" s="3">
        <f t="shared" si="4"/>
        <v>199889.51</v>
      </c>
      <c r="O31" s="2">
        <f>SUM(Levy!F31:J31)</f>
        <v>411313.17000000004</v>
      </c>
      <c r="P31" s="2">
        <f>SUM(Levy!U31:V31)</f>
        <v>11534.17</v>
      </c>
      <c r="Q31" s="2">
        <f t="shared" si="5"/>
        <v>399779.00000000006</v>
      </c>
    </row>
    <row r="32" spans="1:17" x14ac:dyDescent="0.2">
      <c r="A32" s="5">
        <v>85</v>
      </c>
      <c r="B32" s="5">
        <v>1</v>
      </c>
      <c r="C32" s="2" t="s">
        <v>28</v>
      </c>
      <c r="D32" s="3">
        <f>SUM(Shift11!D32:L32)</f>
        <v>199195.49000000002</v>
      </c>
      <c r="E32" s="3">
        <f>ROUND(MAX(0,(Levy!Q32+Data!D32+Data!E32-Levy!U32)*0.5),2)</f>
        <v>190022.86</v>
      </c>
      <c r="F32" s="3">
        <f t="shared" si="6"/>
        <v>9172.6300000000338</v>
      </c>
      <c r="G32" s="3">
        <f t="shared" si="1"/>
        <v>190022.86</v>
      </c>
      <c r="I32" s="3">
        <f>SUM(Shift11!M32:N32)</f>
        <v>17656.11</v>
      </c>
      <c r="J32" s="3">
        <f>ROUND(MAX(0,(Levy!R32-Levy!V32)*0.5),2)</f>
        <v>17624.259999999998</v>
      </c>
      <c r="K32" s="3">
        <f t="shared" si="2"/>
        <v>31.850000000002183</v>
      </c>
      <c r="L32" s="3">
        <f t="shared" si="3"/>
        <v>17624.259999999998</v>
      </c>
      <c r="N32" s="3">
        <f t="shared" si="4"/>
        <v>207647.12</v>
      </c>
      <c r="O32" s="2">
        <f>SUM(Levy!F32:J32)</f>
        <v>422076.27</v>
      </c>
      <c r="P32" s="2">
        <f>SUM(Levy!U32:V32)</f>
        <v>6782.05</v>
      </c>
      <c r="Q32" s="2">
        <f t="shared" si="5"/>
        <v>415294.22000000003</v>
      </c>
    </row>
    <row r="33" spans="1:17" x14ac:dyDescent="0.2">
      <c r="A33" s="5">
        <v>88</v>
      </c>
      <c r="B33" s="5">
        <v>1</v>
      </c>
      <c r="C33" s="2" t="s">
        <v>29</v>
      </c>
      <c r="D33" s="3">
        <f>SUM(Shift11!D33:L33)</f>
        <v>1649102.16</v>
      </c>
      <c r="E33" s="3">
        <f>ROUND(MAX(0,(Levy!Q33+Data!D33+Data!E33-Levy!U33)*0.5),2)</f>
        <v>1596109.01</v>
      </c>
      <c r="F33" s="3">
        <f t="shared" si="6"/>
        <v>52993.149999999907</v>
      </c>
      <c r="G33" s="3">
        <f t="shared" si="1"/>
        <v>1596109.01</v>
      </c>
      <c r="I33" s="3">
        <f>SUM(Shift11!M33:N33)</f>
        <v>104662.77</v>
      </c>
      <c r="J33" s="3">
        <f>ROUND(MAX(0,(Levy!R33-Levy!V33)*0.5),2)</f>
        <v>105383.47</v>
      </c>
      <c r="K33" s="3">
        <f t="shared" si="2"/>
        <v>0</v>
      </c>
      <c r="L33" s="3">
        <f t="shared" si="3"/>
        <v>104662.77</v>
      </c>
      <c r="N33" s="3">
        <f t="shared" si="4"/>
        <v>1700771.78</v>
      </c>
      <c r="O33" s="2">
        <f>SUM(Levy!F33:J33)</f>
        <v>3424132.3500000006</v>
      </c>
      <c r="P33" s="2">
        <f>SUM(Levy!U33:V33)</f>
        <v>21147.4</v>
      </c>
      <c r="Q33" s="2">
        <f t="shared" si="5"/>
        <v>3402984.9500000007</v>
      </c>
    </row>
    <row r="34" spans="1:17" x14ac:dyDescent="0.2">
      <c r="A34" s="5">
        <v>91</v>
      </c>
      <c r="B34" s="5">
        <v>1</v>
      </c>
      <c r="C34" s="2" t="s">
        <v>30</v>
      </c>
      <c r="D34" s="3">
        <f>SUM(Shift11!D34:L34)</f>
        <v>154686</v>
      </c>
      <c r="E34" s="3">
        <f>ROUND(MAX(0,(Levy!Q34+Data!D34+Data!E34-Levy!U34)*0.5),2)</f>
        <v>127872.67</v>
      </c>
      <c r="F34" s="3">
        <f t="shared" si="6"/>
        <v>26813.33</v>
      </c>
      <c r="G34" s="3">
        <f t="shared" si="1"/>
        <v>127872.67</v>
      </c>
      <c r="I34" s="3">
        <f>SUM(Shift11!M34:N34)</f>
        <v>23991.99</v>
      </c>
      <c r="J34" s="3">
        <f>ROUND(MAX(0,(Levy!R34-Levy!V34)*0.5),2)</f>
        <v>24002.93</v>
      </c>
      <c r="K34" s="3">
        <f t="shared" si="2"/>
        <v>0</v>
      </c>
      <c r="L34" s="3">
        <f t="shared" si="3"/>
        <v>23991.99</v>
      </c>
      <c r="N34" s="3">
        <f t="shared" si="4"/>
        <v>151864.66</v>
      </c>
      <c r="O34" s="2">
        <f>SUM(Levy!F34:J34)</f>
        <v>310008.38</v>
      </c>
      <c r="P34" s="2">
        <f>SUM(Levy!U34:V34)</f>
        <v>6257.18</v>
      </c>
      <c r="Q34" s="2">
        <f t="shared" si="5"/>
        <v>303751.2</v>
      </c>
    </row>
    <row r="35" spans="1:17" x14ac:dyDescent="0.2">
      <c r="A35" s="5">
        <v>93</v>
      </c>
      <c r="B35" s="5">
        <v>1</v>
      </c>
      <c r="C35" s="2" t="s">
        <v>31</v>
      </c>
      <c r="D35" s="3">
        <f>SUM(Shift11!D35:L35)</f>
        <v>456827.76</v>
      </c>
      <c r="E35" s="3">
        <f>ROUND(MAX(0,(Levy!Q35+Data!D35+Data!E35-Levy!U35)*0.5),2)</f>
        <v>446351.41</v>
      </c>
      <c r="F35" s="3">
        <f t="shared" si="6"/>
        <v>10476.350000000035</v>
      </c>
      <c r="G35" s="3">
        <f t="shared" si="1"/>
        <v>446351.41</v>
      </c>
      <c r="I35" s="3">
        <f>SUM(Shift11!M35:N35)</f>
        <v>16663.73</v>
      </c>
      <c r="J35" s="3">
        <f>ROUND(MAX(0,(Levy!R35-Levy!V35)*0.5),2)</f>
        <v>15935.02</v>
      </c>
      <c r="K35" s="3">
        <f t="shared" si="2"/>
        <v>728.70999999999913</v>
      </c>
      <c r="L35" s="3">
        <f t="shared" si="3"/>
        <v>15935.02</v>
      </c>
      <c r="N35" s="3">
        <f t="shared" si="4"/>
        <v>462286.43</v>
      </c>
      <c r="O35" s="2">
        <f>SUM(Levy!F35:J35)</f>
        <v>934298.02</v>
      </c>
      <c r="P35" s="2">
        <f>SUM(Levy!U35:V35)</f>
        <v>9725.17</v>
      </c>
      <c r="Q35" s="2">
        <f t="shared" si="5"/>
        <v>924572.85</v>
      </c>
    </row>
    <row r="36" spans="1:17" x14ac:dyDescent="0.2">
      <c r="A36" s="5">
        <v>94</v>
      </c>
      <c r="B36" s="5">
        <v>1</v>
      </c>
      <c r="C36" s="2" t="s">
        <v>32</v>
      </c>
      <c r="D36" s="3">
        <f>SUM(Shift11!D36:L36)</f>
        <v>538596.41999999993</v>
      </c>
      <c r="E36" s="3">
        <f>ROUND(MAX(0,(Levy!Q36+Data!D36+Data!E36-Levy!U36)*0.5),2)</f>
        <v>472988.33</v>
      </c>
      <c r="F36" s="3">
        <f t="shared" si="6"/>
        <v>65608.089999999909</v>
      </c>
      <c r="G36" s="3">
        <f t="shared" si="1"/>
        <v>472988.33</v>
      </c>
      <c r="I36" s="3">
        <f>SUM(Shift11!M36:N36)</f>
        <v>118148.16</v>
      </c>
      <c r="J36" s="3">
        <f>ROUND(MAX(0,(Levy!R36-Levy!V36)*0.5),2)</f>
        <v>114927.81</v>
      </c>
      <c r="K36" s="3">
        <f t="shared" si="2"/>
        <v>3220.3500000000058</v>
      </c>
      <c r="L36" s="3">
        <f t="shared" si="3"/>
        <v>114927.81</v>
      </c>
      <c r="N36" s="3">
        <f t="shared" si="4"/>
        <v>587916.14</v>
      </c>
      <c r="O36" s="2">
        <f>SUM(Levy!F36:J36)</f>
        <v>1219454.06</v>
      </c>
      <c r="P36" s="2">
        <f>SUM(Levy!U36:V36)</f>
        <v>43621.79</v>
      </c>
      <c r="Q36" s="2">
        <f t="shared" si="5"/>
        <v>1175832.27</v>
      </c>
    </row>
    <row r="37" spans="1:17" x14ac:dyDescent="0.2">
      <c r="A37" s="5">
        <v>95</v>
      </c>
      <c r="B37" s="5">
        <v>1</v>
      </c>
      <c r="C37" s="2" t="s">
        <v>33</v>
      </c>
      <c r="D37" s="3">
        <f>SUM(Shift11!D37:L37)</f>
        <v>95774.86</v>
      </c>
      <c r="E37" s="3">
        <f>ROUND(MAX(0,(Levy!Q37+Data!D37+Data!E37-Levy!U37)*0.5),2)</f>
        <v>77371.070000000007</v>
      </c>
      <c r="F37" s="3">
        <f t="shared" si="6"/>
        <v>18403.789999999994</v>
      </c>
      <c r="G37" s="3">
        <f t="shared" si="1"/>
        <v>77371.070000000007</v>
      </c>
      <c r="I37" s="3">
        <f>SUM(Shift11!M37:N37)</f>
        <v>10726.46</v>
      </c>
      <c r="J37" s="3">
        <f>ROUND(MAX(0,(Levy!R37-Levy!V37)*0.5),2)</f>
        <v>10797.67</v>
      </c>
      <c r="K37" s="3">
        <f t="shared" si="2"/>
        <v>0</v>
      </c>
      <c r="L37" s="3">
        <f t="shared" si="3"/>
        <v>10726.46</v>
      </c>
      <c r="N37" s="3">
        <f t="shared" si="4"/>
        <v>88097.53</v>
      </c>
      <c r="O37" s="2">
        <f>SUM(Levy!F37:J37)</f>
        <v>179237.61000000002</v>
      </c>
      <c r="P37" s="2">
        <f>SUM(Levy!U37:V37)</f>
        <v>2900.15</v>
      </c>
      <c r="Q37" s="2">
        <f t="shared" si="5"/>
        <v>176337.46000000002</v>
      </c>
    </row>
    <row r="38" spans="1:17" x14ac:dyDescent="0.2">
      <c r="A38" s="5">
        <v>97</v>
      </c>
      <c r="B38" s="5">
        <v>1</v>
      </c>
      <c r="C38" s="2" t="s">
        <v>34</v>
      </c>
      <c r="D38" s="3">
        <f>SUM(Shift11!D38:L38)</f>
        <v>305224.44999999995</v>
      </c>
      <c r="E38" s="3">
        <f>ROUND(MAX(0,(Levy!Q38+Data!D38+Data!E38-Levy!U38)*0.5),2)</f>
        <v>285851.09000000003</v>
      </c>
      <c r="F38" s="3">
        <f t="shared" si="6"/>
        <v>19373.359999999928</v>
      </c>
      <c r="G38" s="3">
        <f t="shared" si="1"/>
        <v>285851.09000000003</v>
      </c>
      <c r="I38" s="3">
        <f>SUM(Shift11!M38:N38)</f>
        <v>29856.36</v>
      </c>
      <c r="J38" s="3">
        <f>ROUND(MAX(0,(Levy!R38-Levy!V38)*0.5),2)</f>
        <v>27567.360000000001</v>
      </c>
      <c r="K38" s="3">
        <f t="shared" si="2"/>
        <v>2289</v>
      </c>
      <c r="L38" s="3">
        <f t="shared" si="3"/>
        <v>27567.360000000001</v>
      </c>
      <c r="N38" s="3">
        <f t="shared" si="4"/>
        <v>313418.45</v>
      </c>
      <c r="O38" s="2">
        <f>SUM(Levy!F38:J38)</f>
        <v>658773.44999999995</v>
      </c>
      <c r="P38" s="2">
        <f>SUM(Levy!U38:V38)</f>
        <v>31936.559999999998</v>
      </c>
      <c r="Q38" s="2">
        <f t="shared" si="5"/>
        <v>626836.8899999999</v>
      </c>
    </row>
    <row r="39" spans="1:17" x14ac:dyDescent="0.2">
      <c r="A39" s="5">
        <v>99</v>
      </c>
      <c r="B39" s="5">
        <v>1</v>
      </c>
      <c r="C39" s="2" t="s">
        <v>35</v>
      </c>
      <c r="D39" s="3">
        <f>SUM(Shift11!D39:L39)</f>
        <v>278103.49</v>
      </c>
      <c r="E39" s="3">
        <f>ROUND(MAX(0,(Levy!Q39+Data!D39+Data!E39-Levy!U39)*0.5),2)</f>
        <v>228738.89</v>
      </c>
      <c r="F39" s="3">
        <f t="shared" si="6"/>
        <v>49364.599999999977</v>
      </c>
      <c r="G39" s="3">
        <f t="shared" si="1"/>
        <v>228738.89</v>
      </c>
      <c r="I39" s="3">
        <f>SUM(Shift11!M39:N39)</f>
        <v>26277.27</v>
      </c>
      <c r="J39" s="3">
        <f>ROUND(MAX(0,(Levy!R39-Levy!V39)*0.5),2)</f>
        <v>26559.72</v>
      </c>
      <c r="K39" s="3">
        <f t="shared" si="2"/>
        <v>0</v>
      </c>
      <c r="L39" s="3">
        <f t="shared" si="3"/>
        <v>26277.27</v>
      </c>
      <c r="N39" s="3">
        <f t="shared" si="4"/>
        <v>255016.16</v>
      </c>
      <c r="O39" s="2">
        <f>SUM(Levy!F39:J39)</f>
        <v>517433.72000000003</v>
      </c>
      <c r="P39" s="2">
        <f>SUM(Levy!U39:V39)</f>
        <v>6836.5</v>
      </c>
      <c r="Q39" s="2">
        <f t="shared" si="5"/>
        <v>510597.22000000003</v>
      </c>
    </row>
    <row r="40" spans="1:17" x14ac:dyDescent="0.2">
      <c r="A40" s="5">
        <v>100</v>
      </c>
      <c r="B40" s="5">
        <v>1</v>
      </c>
      <c r="C40" s="2" t="s">
        <v>36</v>
      </c>
      <c r="D40" s="3">
        <f>SUM(Shift11!D40:L40)</f>
        <v>186306.35</v>
      </c>
      <c r="E40" s="3">
        <f>ROUND(MAX(0,(Levy!Q40+Data!D40+Data!E40-Levy!U40)*0.5),2)</f>
        <v>177463.59</v>
      </c>
      <c r="F40" s="3">
        <f t="shared" si="6"/>
        <v>8842.7600000000093</v>
      </c>
      <c r="G40" s="3">
        <f t="shared" si="1"/>
        <v>177463.59</v>
      </c>
      <c r="I40" s="3">
        <f>SUM(Shift11!M40:N40)</f>
        <v>12061.96</v>
      </c>
      <c r="J40" s="3">
        <f>ROUND(MAX(0,(Levy!R40-Levy!V40)*0.5),2)</f>
        <v>12247.76</v>
      </c>
      <c r="K40" s="3">
        <f t="shared" si="2"/>
        <v>0</v>
      </c>
      <c r="L40" s="3">
        <f t="shared" si="3"/>
        <v>12061.96</v>
      </c>
      <c r="N40" s="3">
        <f t="shared" si="4"/>
        <v>189525.55</v>
      </c>
      <c r="O40" s="2">
        <f>SUM(Levy!F40:J40)</f>
        <v>381159.19</v>
      </c>
      <c r="P40" s="2">
        <f>SUM(Levy!U40:V40)</f>
        <v>1736.4999999999998</v>
      </c>
      <c r="Q40" s="2">
        <f t="shared" si="5"/>
        <v>379422.69</v>
      </c>
    </row>
    <row r="41" spans="1:17" x14ac:dyDescent="0.2">
      <c r="A41" s="5">
        <v>108</v>
      </c>
      <c r="B41" s="5">
        <v>1</v>
      </c>
      <c r="C41" s="2" t="s">
        <v>37</v>
      </c>
      <c r="D41" s="3">
        <f>SUM(Shift11!D41:L41)</f>
        <v>735112.02</v>
      </c>
      <c r="E41" s="3">
        <f>ROUND(MAX(0,(Levy!Q41+Data!D41+Data!E41-Levy!U41)*0.5),2)</f>
        <v>729704.86</v>
      </c>
      <c r="F41" s="3">
        <f t="shared" si="6"/>
        <v>5407.1600000000326</v>
      </c>
      <c r="G41" s="3">
        <f t="shared" si="1"/>
        <v>729704.86</v>
      </c>
      <c r="I41" s="3">
        <f>SUM(Shift11!M41:N41)</f>
        <v>99178.99</v>
      </c>
      <c r="J41" s="3">
        <f>ROUND(MAX(0,(Levy!R41-Levy!V41)*0.5),2)</f>
        <v>99292.37</v>
      </c>
      <c r="K41" s="3">
        <f t="shared" si="2"/>
        <v>0</v>
      </c>
      <c r="L41" s="3">
        <f t="shared" si="3"/>
        <v>99178.99</v>
      </c>
      <c r="N41" s="3">
        <f t="shared" si="4"/>
        <v>828883.85</v>
      </c>
      <c r="O41" s="2">
        <f>SUM(Levy!F41:J41)</f>
        <v>1681061</v>
      </c>
      <c r="P41" s="2">
        <f>SUM(Levy!U41:V41)</f>
        <v>23066.550000000003</v>
      </c>
      <c r="Q41" s="2">
        <f t="shared" si="5"/>
        <v>1657994.45</v>
      </c>
    </row>
    <row r="42" spans="1:17" x14ac:dyDescent="0.2">
      <c r="A42" s="5">
        <v>110</v>
      </c>
      <c r="B42" s="5">
        <v>1</v>
      </c>
      <c r="C42" s="2" t="s">
        <v>38</v>
      </c>
      <c r="D42" s="3">
        <f>SUM(Shift11!D42:L42)</f>
        <v>2143665.84</v>
      </c>
      <c r="E42" s="3">
        <f>ROUND(MAX(0,(Levy!Q42+Data!D42+Data!E42-Levy!U42)*0.5),2)</f>
        <v>2118033.83</v>
      </c>
      <c r="F42" s="3">
        <f t="shared" si="6"/>
        <v>25632.009999999776</v>
      </c>
      <c r="G42" s="3">
        <f t="shared" si="1"/>
        <v>2118033.83</v>
      </c>
      <c r="I42" s="3">
        <f>SUM(Shift11!M42:N42)</f>
        <v>136670.49</v>
      </c>
      <c r="J42" s="3">
        <f>ROUND(MAX(0,(Levy!R42-Levy!V42)*0.5),2)</f>
        <v>139506.74</v>
      </c>
      <c r="K42" s="3">
        <f t="shared" si="2"/>
        <v>0</v>
      </c>
      <c r="L42" s="3">
        <f t="shared" si="3"/>
        <v>136670.49</v>
      </c>
      <c r="N42" s="3">
        <f t="shared" si="4"/>
        <v>2254704.3200000003</v>
      </c>
      <c r="O42" s="2">
        <f>SUM(Levy!F42:J42)</f>
        <v>4528667</v>
      </c>
      <c r="P42" s="2">
        <f>SUM(Levy!U42:V42)</f>
        <v>13585.86</v>
      </c>
      <c r="Q42" s="2">
        <f t="shared" si="5"/>
        <v>4515081.1399999997</v>
      </c>
    </row>
    <row r="43" spans="1:17" x14ac:dyDescent="0.2">
      <c r="A43" s="5">
        <v>111</v>
      </c>
      <c r="B43" s="5">
        <v>1</v>
      </c>
      <c r="C43" s="2" t="s">
        <v>39</v>
      </c>
      <c r="D43" s="3">
        <f>SUM(Shift11!D43:L43)</f>
        <v>828887.14999999991</v>
      </c>
      <c r="E43" s="3">
        <f>ROUND(MAX(0,(Levy!Q43+Data!D43+Data!E43-Levy!U43)*0.5),2)</f>
        <v>812391.78</v>
      </c>
      <c r="F43" s="3">
        <f t="shared" si="6"/>
        <v>16495.369999999879</v>
      </c>
      <c r="G43" s="3">
        <f t="shared" si="1"/>
        <v>812391.78</v>
      </c>
      <c r="I43" s="3">
        <f>SUM(Shift11!M43:N43)</f>
        <v>118074.67</v>
      </c>
      <c r="J43" s="3">
        <f>ROUND(MAX(0,(Levy!R43-Levy!V43)*0.5),2)</f>
        <v>119095.42</v>
      </c>
      <c r="K43" s="3">
        <f t="shared" si="2"/>
        <v>0</v>
      </c>
      <c r="L43" s="3">
        <f t="shared" si="3"/>
        <v>118074.67</v>
      </c>
      <c r="N43" s="3">
        <f t="shared" si="4"/>
        <v>930466.45000000007</v>
      </c>
      <c r="O43" s="2">
        <f>SUM(Levy!F43:J43)</f>
        <v>1878878</v>
      </c>
      <c r="P43" s="2">
        <f>SUM(Levy!U43:V43)</f>
        <v>15903.61</v>
      </c>
      <c r="Q43" s="2">
        <f t="shared" si="5"/>
        <v>1862974.39</v>
      </c>
    </row>
    <row r="44" spans="1:17" x14ac:dyDescent="0.2">
      <c r="A44" s="5">
        <v>112</v>
      </c>
      <c r="B44" s="5">
        <v>1</v>
      </c>
      <c r="C44" s="2" t="s">
        <v>40</v>
      </c>
      <c r="D44" s="3">
        <f>SUM(Shift11!D44:L44)</f>
        <v>8656763.7200000007</v>
      </c>
      <c r="E44" s="3">
        <f>ROUND(MAX(0,(Levy!Q44+Data!D44+Data!E44-Levy!U44)*0.5),2)</f>
        <v>8610962.0299999993</v>
      </c>
      <c r="F44" s="3">
        <f t="shared" si="6"/>
        <v>45801.690000001341</v>
      </c>
      <c r="G44" s="3">
        <f t="shared" si="1"/>
        <v>8610962.0299999993</v>
      </c>
      <c r="I44" s="3">
        <f>SUM(Shift11!M44:N44)</f>
        <v>378059.89</v>
      </c>
      <c r="J44" s="3">
        <f>ROUND(MAX(0,(Levy!R44-Levy!V44)*0.5),2)</f>
        <v>388399.18</v>
      </c>
      <c r="K44" s="3">
        <f t="shared" si="2"/>
        <v>0</v>
      </c>
      <c r="L44" s="3">
        <f t="shared" si="3"/>
        <v>378059.89</v>
      </c>
      <c r="N44" s="3">
        <f t="shared" si="4"/>
        <v>8989021.9199999999</v>
      </c>
      <c r="O44" s="2">
        <f>SUM(Levy!F44:J44)</f>
        <v>18005434</v>
      </c>
      <c r="P44" s="2">
        <f>SUM(Levy!U44:V44)</f>
        <v>6711.59</v>
      </c>
      <c r="Q44" s="2">
        <f t="shared" si="5"/>
        <v>17998722.41</v>
      </c>
    </row>
    <row r="45" spans="1:17" x14ac:dyDescent="0.2">
      <c r="A45" s="5">
        <v>113</v>
      </c>
      <c r="B45" s="5">
        <v>1</v>
      </c>
      <c r="C45" s="2" t="s">
        <v>41</v>
      </c>
      <c r="D45" s="3">
        <f>SUM(Shift11!D45:L45)</f>
        <v>259481.43</v>
      </c>
      <c r="E45" s="3">
        <f>ROUND(MAX(0,(Levy!Q45+Data!D45+Data!E45-Levy!U45)*0.5),2)</f>
        <v>255129.52</v>
      </c>
      <c r="F45" s="3">
        <f t="shared" si="6"/>
        <v>4351.9100000000035</v>
      </c>
      <c r="G45" s="3">
        <f t="shared" si="1"/>
        <v>255129.52</v>
      </c>
      <c r="I45" s="3">
        <f>SUM(Shift11!M45:N45)</f>
        <v>54967.47</v>
      </c>
      <c r="J45" s="3">
        <f>ROUND(MAX(0,(Levy!R45-Levy!V45)*0.5),2)</f>
        <v>56347.66</v>
      </c>
      <c r="K45" s="3">
        <f t="shared" si="2"/>
        <v>0</v>
      </c>
      <c r="L45" s="3">
        <f t="shared" si="3"/>
        <v>54967.47</v>
      </c>
      <c r="N45" s="3">
        <f t="shared" si="4"/>
        <v>310096.99</v>
      </c>
      <c r="O45" s="2">
        <f>SUM(Levy!F45:J45)</f>
        <v>624769.69999999995</v>
      </c>
      <c r="P45" s="2">
        <f>SUM(Levy!U45:V45)</f>
        <v>1815.34</v>
      </c>
      <c r="Q45" s="2">
        <f t="shared" si="5"/>
        <v>622954.36</v>
      </c>
    </row>
    <row r="46" spans="1:17" x14ac:dyDescent="0.2">
      <c r="A46" s="5">
        <v>115</v>
      </c>
      <c r="B46" s="5">
        <v>1</v>
      </c>
      <c r="C46" s="2" t="s">
        <v>42</v>
      </c>
      <c r="D46" s="3">
        <f>SUM(Shift11!D46:L46)</f>
        <v>247547.31</v>
      </c>
      <c r="E46" s="3">
        <f>ROUND(MAX(0,(Levy!Q46+Data!D46+Data!E46-Levy!U46)*0.5),2)</f>
        <v>240029.81</v>
      </c>
      <c r="F46" s="3">
        <f t="shared" si="6"/>
        <v>7517.5</v>
      </c>
      <c r="G46" s="3">
        <f t="shared" si="1"/>
        <v>240029.81</v>
      </c>
      <c r="I46" s="3">
        <f>SUM(Shift11!M46:N46)</f>
        <v>25055.21</v>
      </c>
      <c r="J46" s="3">
        <f>ROUND(MAX(0,(Levy!R46-Levy!V46)*0.5),2)</f>
        <v>25661.24</v>
      </c>
      <c r="K46" s="3">
        <f t="shared" si="2"/>
        <v>0</v>
      </c>
      <c r="L46" s="3">
        <f t="shared" si="3"/>
        <v>25055.21</v>
      </c>
      <c r="N46" s="3">
        <f t="shared" si="4"/>
        <v>265085.02</v>
      </c>
      <c r="O46" s="2">
        <f>SUM(Levy!F46:J46)</f>
        <v>532577.1399999999</v>
      </c>
      <c r="P46" s="2">
        <f>SUM(Levy!U46:V46)</f>
        <v>1195.05</v>
      </c>
      <c r="Q46" s="2">
        <f t="shared" si="5"/>
        <v>531382.08999999985</v>
      </c>
    </row>
    <row r="47" spans="1:17" x14ac:dyDescent="0.2">
      <c r="A47" s="5">
        <v>116</v>
      </c>
      <c r="B47" s="5">
        <v>1</v>
      </c>
      <c r="C47" s="2" t="s">
        <v>43</v>
      </c>
      <c r="D47" s="3">
        <f>SUM(Shift11!D47:L47)</f>
        <v>308213.75</v>
      </c>
      <c r="E47" s="3">
        <f>ROUND(MAX(0,(Levy!Q47+Data!D47+Data!E47-Levy!U47)*0.5),2)</f>
        <v>306309.38</v>
      </c>
      <c r="F47" s="3">
        <f t="shared" si="6"/>
        <v>1904.3699999999953</v>
      </c>
      <c r="G47" s="3">
        <f t="shared" si="1"/>
        <v>306309.38</v>
      </c>
      <c r="I47" s="3">
        <f>SUM(Shift11!M47:N47)</f>
        <v>55401.7</v>
      </c>
      <c r="J47" s="3">
        <f>ROUND(MAX(0,(Levy!R47-Levy!V47)*0.5),2)</f>
        <v>56691</v>
      </c>
      <c r="K47" s="3">
        <f t="shared" si="2"/>
        <v>0</v>
      </c>
      <c r="L47" s="3">
        <f t="shared" si="3"/>
        <v>55401.7</v>
      </c>
      <c r="N47" s="3">
        <f t="shared" si="4"/>
        <v>361711.08</v>
      </c>
      <c r="O47" s="2">
        <f>SUM(Levy!F47:J47)</f>
        <v>728940.88</v>
      </c>
      <c r="P47" s="2">
        <f>SUM(Levy!U47:V47)</f>
        <v>2940.13</v>
      </c>
      <c r="Q47" s="2">
        <f t="shared" si="5"/>
        <v>726000.75</v>
      </c>
    </row>
    <row r="48" spans="1:17" x14ac:dyDescent="0.2">
      <c r="A48" s="5">
        <v>118</v>
      </c>
      <c r="B48" s="5">
        <v>1</v>
      </c>
      <c r="C48" s="2" t="s">
        <v>44</v>
      </c>
      <c r="D48" s="3">
        <f>SUM(Shift11!D48:L48)</f>
        <v>327352.22000000003</v>
      </c>
      <c r="E48" s="3">
        <f>ROUND(MAX(0,(Levy!Q48+Data!D48+Data!E48-Levy!U48)*0.5),2)</f>
        <v>309532.87</v>
      </c>
      <c r="F48" s="3">
        <f t="shared" si="6"/>
        <v>17819.350000000035</v>
      </c>
      <c r="G48" s="3">
        <f t="shared" si="1"/>
        <v>309532.87</v>
      </c>
      <c r="I48" s="3">
        <f>SUM(Shift11!M48:N48)</f>
        <v>27336.400000000001</v>
      </c>
      <c r="J48" s="3">
        <f>ROUND(MAX(0,(Levy!R48-Levy!V48)*0.5),2)</f>
        <v>28020.240000000002</v>
      </c>
      <c r="K48" s="3">
        <f t="shared" si="2"/>
        <v>0</v>
      </c>
      <c r="L48" s="3">
        <f t="shared" si="3"/>
        <v>27336.400000000001</v>
      </c>
      <c r="N48" s="3">
        <f t="shared" si="4"/>
        <v>336869.27</v>
      </c>
      <c r="O48" s="2">
        <f>SUM(Levy!F48:J48)</f>
        <v>676431.64</v>
      </c>
      <c r="P48" s="2">
        <f>SUM(Levy!U48:V48)</f>
        <v>1325.43</v>
      </c>
      <c r="Q48" s="2">
        <f t="shared" si="5"/>
        <v>675106.21</v>
      </c>
    </row>
    <row r="49" spans="1:17" x14ac:dyDescent="0.2">
      <c r="A49" s="5">
        <v>129</v>
      </c>
      <c r="B49" s="5">
        <v>1</v>
      </c>
      <c r="C49" s="2" t="s">
        <v>45</v>
      </c>
      <c r="D49" s="3">
        <f>SUM(Shift11!D49:L49)</f>
        <v>625266.72</v>
      </c>
      <c r="E49" s="3">
        <f>ROUND(MAX(0,(Levy!Q49+Data!D49+Data!E49-Levy!U49)*0.5),2)</f>
        <v>574176.62</v>
      </c>
      <c r="F49" s="3">
        <f t="shared" si="6"/>
        <v>51090.099999999977</v>
      </c>
      <c r="G49" s="3">
        <f t="shared" si="1"/>
        <v>574176.62</v>
      </c>
      <c r="I49" s="3">
        <f>SUM(Shift11!M49:N49)</f>
        <v>44228.05</v>
      </c>
      <c r="J49" s="3">
        <f>ROUND(MAX(0,(Levy!R49-Levy!V49)*0.5),2)</f>
        <v>43187.26</v>
      </c>
      <c r="K49" s="3">
        <f t="shared" si="2"/>
        <v>1040.7900000000009</v>
      </c>
      <c r="L49" s="3">
        <f t="shared" si="3"/>
        <v>43187.26</v>
      </c>
      <c r="N49" s="3">
        <f t="shared" si="4"/>
        <v>617363.88</v>
      </c>
      <c r="O49" s="2">
        <f>SUM(Levy!F49:J49)</f>
        <v>1256061.1599999999</v>
      </c>
      <c r="P49" s="2">
        <f>SUM(Levy!U49:V49)</f>
        <v>21333.41</v>
      </c>
      <c r="Q49" s="2">
        <f t="shared" si="5"/>
        <v>1234727.75</v>
      </c>
    </row>
    <row r="50" spans="1:17" x14ac:dyDescent="0.2">
      <c r="A50" s="5">
        <v>138</v>
      </c>
      <c r="B50" s="5">
        <v>1</v>
      </c>
      <c r="C50" s="2" t="s">
        <v>46</v>
      </c>
      <c r="D50" s="3">
        <f>SUM(Shift11!D50:L50)</f>
        <v>1044504.13</v>
      </c>
      <c r="E50" s="3">
        <f>ROUND(MAX(0,(Levy!Q50+Data!D50+Data!E50-Levy!U50)*0.5),2)</f>
        <v>860442.32</v>
      </c>
      <c r="F50" s="3">
        <f t="shared" si="6"/>
        <v>184061.81000000006</v>
      </c>
      <c r="G50" s="3">
        <f t="shared" si="1"/>
        <v>860442.32</v>
      </c>
      <c r="I50" s="3">
        <f>SUM(Shift11!M50:N50)</f>
        <v>97932.44</v>
      </c>
      <c r="J50" s="3">
        <f>ROUND(MAX(0,(Levy!R50-Levy!V50)*0.5),2)</f>
        <v>99900.69</v>
      </c>
      <c r="K50" s="3">
        <f t="shared" si="2"/>
        <v>0</v>
      </c>
      <c r="L50" s="3">
        <f t="shared" si="3"/>
        <v>97932.44</v>
      </c>
      <c r="N50" s="3">
        <f t="shared" si="4"/>
        <v>958374.76</v>
      </c>
      <c r="O50" s="2">
        <f>SUM(Levy!F50:J50)</f>
        <v>1934902.5300000003</v>
      </c>
      <c r="P50" s="2">
        <f>SUM(Levy!U50:V50)</f>
        <v>14216.51</v>
      </c>
      <c r="Q50" s="2">
        <f t="shared" si="5"/>
        <v>1920686.0200000003</v>
      </c>
    </row>
    <row r="51" spans="1:17" x14ac:dyDescent="0.2">
      <c r="A51" s="5">
        <v>139</v>
      </c>
      <c r="B51" s="5">
        <v>1</v>
      </c>
      <c r="C51" s="2" t="s">
        <v>47</v>
      </c>
      <c r="D51" s="3">
        <f>SUM(Shift11!D51:L51)</f>
        <v>238791</v>
      </c>
      <c r="E51" s="3">
        <f>ROUND(MAX(0,(Levy!Q51+Data!D51+Data!E51-Levy!U51)*0.5),2)</f>
        <v>233457.59</v>
      </c>
      <c r="F51" s="3">
        <f t="shared" si="6"/>
        <v>5333.4100000000035</v>
      </c>
      <c r="G51" s="3">
        <f t="shared" si="1"/>
        <v>233457.59</v>
      </c>
      <c r="I51" s="3">
        <f>SUM(Shift11!M51:N51)</f>
        <v>30102.33</v>
      </c>
      <c r="J51" s="3">
        <f>ROUND(MAX(0,(Levy!R51-Levy!V51)*0.5),2)</f>
        <v>30527.71</v>
      </c>
      <c r="K51" s="3">
        <f t="shared" si="2"/>
        <v>0</v>
      </c>
      <c r="L51" s="3">
        <f t="shared" si="3"/>
        <v>30102.33</v>
      </c>
      <c r="N51" s="3">
        <f t="shared" si="4"/>
        <v>263559.92</v>
      </c>
      <c r="O51" s="2">
        <f>SUM(Levy!F51:J51)</f>
        <v>533961.30000000005</v>
      </c>
      <c r="P51" s="2">
        <f>SUM(Levy!U51:V51)</f>
        <v>5990.71</v>
      </c>
      <c r="Q51" s="2">
        <f t="shared" si="5"/>
        <v>527970.59000000008</v>
      </c>
    </row>
    <row r="52" spans="1:17" x14ac:dyDescent="0.2">
      <c r="A52" s="5">
        <v>146</v>
      </c>
      <c r="B52" s="5">
        <v>1</v>
      </c>
      <c r="C52" s="2" t="s">
        <v>48</v>
      </c>
      <c r="D52" s="3">
        <f>SUM(Shift11!D52:L52)</f>
        <v>447096.36999999994</v>
      </c>
      <c r="E52" s="3">
        <f>ROUND(MAX(0,(Levy!Q52+Data!D52+Data!E52-Levy!U52)*0.5),2)</f>
        <v>446395.48</v>
      </c>
      <c r="F52" s="3">
        <f t="shared" si="6"/>
        <v>700.88999999995576</v>
      </c>
      <c r="G52" s="3">
        <f t="shared" si="1"/>
        <v>446395.48</v>
      </c>
      <c r="I52" s="3">
        <f>SUM(Shift11!M52:N52)</f>
        <v>27839.29</v>
      </c>
      <c r="J52" s="3">
        <f>ROUND(MAX(0,(Levy!R52-Levy!V52)*0.5),2)</f>
        <v>27911.040000000001</v>
      </c>
      <c r="K52" s="3">
        <f t="shared" si="2"/>
        <v>0</v>
      </c>
      <c r="L52" s="3">
        <f t="shared" si="3"/>
        <v>27839.29</v>
      </c>
      <c r="N52" s="3">
        <f t="shared" si="4"/>
        <v>474234.76999999996</v>
      </c>
      <c r="O52" s="2">
        <f>SUM(Levy!F52:J52)</f>
        <v>957577.03</v>
      </c>
      <c r="P52" s="2">
        <f>SUM(Levy!U52:V52)</f>
        <v>8964.01</v>
      </c>
      <c r="Q52" s="2">
        <f t="shared" si="5"/>
        <v>948613.02</v>
      </c>
    </row>
    <row r="53" spans="1:17" x14ac:dyDescent="0.2">
      <c r="A53" s="5">
        <v>150</v>
      </c>
      <c r="B53" s="5">
        <v>1</v>
      </c>
      <c r="C53" s="2" t="s">
        <v>49</v>
      </c>
      <c r="D53" s="3">
        <f>SUM(Shift11!D53:L53)</f>
        <v>293042.84999999998</v>
      </c>
      <c r="E53" s="3">
        <f>ROUND(MAX(0,(Levy!Q53+Data!D53+Data!E53-Levy!U53)*0.5),2)</f>
        <v>263616.59000000003</v>
      </c>
      <c r="F53" s="3">
        <f t="shared" si="6"/>
        <v>29426.259999999951</v>
      </c>
      <c r="G53" s="3">
        <f t="shared" si="1"/>
        <v>263616.59000000003</v>
      </c>
      <c r="I53" s="3">
        <f>SUM(Shift11!M53:N53)</f>
        <v>15234.19</v>
      </c>
      <c r="J53" s="3">
        <f>ROUND(MAX(0,(Levy!R53-Levy!V53)*0.5),2)</f>
        <v>15394.59</v>
      </c>
      <c r="K53" s="3">
        <f t="shared" si="2"/>
        <v>0</v>
      </c>
      <c r="L53" s="3">
        <f t="shared" si="3"/>
        <v>15234.19</v>
      </c>
      <c r="N53" s="3">
        <f t="shared" si="4"/>
        <v>278850.78000000003</v>
      </c>
      <c r="O53" s="2">
        <f>SUM(Levy!F53:J53)</f>
        <v>562615.84</v>
      </c>
      <c r="P53" s="2">
        <f>SUM(Levy!U53:V53)</f>
        <v>4593.49</v>
      </c>
      <c r="Q53" s="2">
        <f t="shared" si="5"/>
        <v>558022.35</v>
      </c>
    </row>
    <row r="54" spans="1:17" x14ac:dyDescent="0.2">
      <c r="A54" s="5">
        <v>152</v>
      </c>
      <c r="B54" s="5">
        <v>1</v>
      </c>
      <c r="C54" s="2" t="s">
        <v>50</v>
      </c>
      <c r="D54" s="3">
        <f>SUM(Shift11!D54:L54)</f>
        <v>3509078.02</v>
      </c>
      <c r="E54" s="3">
        <f>ROUND(MAX(0,(Levy!Q54+Data!D54+Data!E54-Levy!U54)*0.5),2)</f>
        <v>3349146.79</v>
      </c>
      <c r="F54" s="3">
        <f t="shared" si="6"/>
        <v>159931.22999999998</v>
      </c>
      <c r="G54" s="3">
        <f t="shared" si="1"/>
        <v>3349146.79</v>
      </c>
      <c r="I54" s="3">
        <f>SUM(Shift11!M54:N54)</f>
        <v>256293.7</v>
      </c>
      <c r="J54" s="3">
        <f>ROUND(MAX(0,(Levy!R54-Levy!V54)*0.5),2)</f>
        <v>226367.28</v>
      </c>
      <c r="K54" s="3">
        <f t="shared" si="2"/>
        <v>29926.420000000013</v>
      </c>
      <c r="L54" s="3">
        <f t="shared" si="3"/>
        <v>226367.28</v>
      </c>
      <c r="N54" s="3">
        <f t="shared" si="4"/>
        <v>3575514.07</v>
      </c>
      <c r="O54" s="2">
        <f>SUM(Levy!F54:J54)</f>
        <v>7487862.9400000004</v>
      </c>
      <c r="P54" s="2">
        <f>SUM(Levy!U54:V54)</f>
        <v>336834.81</v>
      </c>
      <c r="Q54" s="2">
        <f t="shared" si="5"/>
        <v>7151028.1300000008</v>
      </c>
    </row>
    <row r="55" spans="1:17" x14ac:dyDescent="0.2">
      <c r="A55" s="5">
        <v>162</v>
      </c>
      <c r="B55" s="5">
        <v>1</v>
      </c>
      <c r="C55" s="2" t="s">
        <v>51</v>
      </c>
      <c r="D55" s="3">
        <f>SUM(Shift11!D55:L55)</f>
        <v>301692.94</v>
      </c>
      <c r="E55" s="3">
        <f>ROUND(MAX(0,(Levy!Q55+Data!D55+Data!E55-Levy!U55)*0.5),2)</f>
        <v>262281.08</v>
      </c>
      <c r="F55" s="3">
        <f t="shared" si="6"/>
        <v>39411.859999999986</v>
      </c>
      <c r="G55" s="3">
        <f t="shared" si="1"/>
        <v>262281.08</v>
      </c>
      <c r="I55" s="3">
        <f>SUM(Shift11!M55:N55)</f>
        <v>28411.07</v>
      </c>
      <c r="J55" s="3">
        <f>ROUND(MAX(0,(Levy!R55-Levy!V55)*0.5),2)</f>
        <v>27554.46</v>
      </c>
      <c r="K55" s="3">
        <f t="shared" si="2"/>
        <v>856.61000000000058</v>
      </c>
      <c r="L55" s="3">
        <f t="shared" si="3"/>
        <v>27554.46</v>
      </c>
      <c r="N55" s="3">
        <f t="shared" si="4"/>
        <v>289835.54000000004</v>
      </c>
      <c r="O55" s="2">
        <f>SUM(Levy!F55:J55)</f>
        <v>608666</v>
      </c>
      <c r="P55" s="2">
        <f>SUM(Levy!U55:V55)</f>
        <v>28994.93</v>
      </c>
      <c r="Q55" s="2">
        <f t="shared" si="5"/>
        <v>579671.06999999995</v>
      </c>
    </row>
    <row r="56" spans="1:17" x14ac:dyDescent="0.2">
      <c r="A56" s="5">
        <v>166</v>
      </c>
      <c r="B56" s="5">
        <v>1</v>
      </c>
      <c r="C56" s="2" t="s">
        <v>52</v>
      </c>
      <c r="D56" s="3">
        <f>SUM(Shift11!D56:L56)</f>
        <v>266432.46999999997</v>
      </c>
      <c r="E56" s="3">
        <f>ROUND(MAX(0,(Levy!Q56+Data!D56+Data!E56-Levy!U56)*0.5),2)</f>
        <v>247524.44</v>
      </c>
      <c r="F56" s="3">
        <f t="shared" si="6"/>
        <v>18908.02999999997</v>
      </c>
      <c r="G56" s="3">
        <f t="shared" si="1"/>
        <v>247524.44</v>
      </c>
      <c r="I56" s="3">
        <f>SUM(Shift11!M56:N56)</f>
        <v>0</v>
      </c>
      <c r="J56" s="3">
        <f>ROUND(MAX(0,(Levy!R56-Levy!V56)*0.5),2)</f>
        <v>0</v>
      </c>
      <c r="K56" s="3">
        <f t="shared" si="2"/>
        <v>0</v>
      </c>
      <c r="L56" s="3">
        <f t="shared" si="3"/>
        <v>0</v>
      </c>
      <c r="N56" s="3">
        <f t="shared" si="4"/>
        <v>247524.44</v>
      </c>
      <c r="O56" s="2">
        <f>SUM(Levy!F56:J56)</f>
        <v>519743.37</v>
      </c>
      <c r="P56" s="2">
        <f>SUM(Levy!U56:V56)</f>
        <v>24694.49</v>
      </c>
      <c r="Q56" s="2">
        <f t="shared" si="5"/>
        <v>495048.88</v>
      </c>
    </row>
    <row r="57" spans="1:17" x14ac:dyDescent="0.2">
      <c r="A57" s="5">
        <v>173</v>
      </c>
      <c r="B57" s="5">
        <v>1</v>
      </c>
      <c r="C57" s="2" t="s">
        <v>53</v>
      </c>
      <c r="D57" s="3">
        <f>SUM(Shift11!D57:L57)</f>
        <v>394630.88</v>
      </c>
      <c r="E57" s="3">
        <f>ROUND(MAX(0,(Levy!Q57+Data!D57+Data!E57-Levy!U57)*0.5),2)</f>
        <v>382592.97</v>
      </c>
      <c r="F57" s="3">
        <f t="shared" si="6"/>
        <v>12037.910000000033</v>
      </c>
      <c r="G57" s="3">
        <f t="shared" si="1"/>
        <v>382592.97</v>
      </c>
      <c r="I57" s="3">
        <f>SUM(Shift11!M57:N57)</f>
        <v>22863.38</v>
      </c>
      <c r="J57" s="3">
        <f>ROUND(MAX(0,(Levy!R57-Levy!V57)*0.5),2)</f>
        <v>21410.02</v>
      </c>
      <c r="K57" s="3">
        <f t="shared" si="2"/>
        <v>1453.3600000000006</v>
      </c>
      <c r="L57" s="3">
        <f t="shared" si="3"/>
        <v>21410.02</v>
      </c>
      <c r="N57" s="3">
        <f t="shared" si="4"/>
        <v>404002.99</v>
      </c>
      <c r="O57" s="2">
        <f>SUM(Levy!F57:J57)</f>
        <v>832448</v>
      </c>
      <c r="P57" s="2">
        <f>SUM(Levy!U57:V57)</f>
        <v>24442.04</v>
      </c>
      <c r="Q57" s="2">
        <f t="shared" si="5"/>
        <v>808005.96</v>
      </c>
    </row>
    <row r="58" spans="1:17" x14ac:dyDescent="0.2">
      <c r="A58" s="5">
        <v>177</v>
      </c>
      <c r="B58" s="5">
        <v>1</v>
      </c>
      <c r="C58" s="2" t="s">
        <v>54</v>
      </c>
      <c r="D58" s="3">
        <f>SUM(Shift11!D58:L58)</f>
        <v>796740.67999999993</v>
      </c>
      <c r="E58" s="3">
        <f>ROUND(MAX(0,(Levy!Q58+Data!D58+Data!E58-Levy!U58)*0.5),2)</f>
        <v>796537.28</v>
      </c>
      <c r="F58" s="3">
        <f t="shared" si="6"/>
        <v>203.39999999990687</v>
      </c>
      <c r="G58" s="3">
        <f t="shared" si="1"/>
        <v>796537.28</v>
      </c>
      <c r="I58" s="3">
        <f>SUM(Shift11!M58:N58)</f>
        <v>36991.4</v>
      </c>
      <c r="J58" s="3">
        <f>ROUND(MAX(0,(Levy!R58-Levy!V58)*0.5),2)</f>
        <v>36763.53</v>
      </c>
      <c r="K58" s="3">
        <f t="shared" si="2"/>
        <v>227.87000000000262</v>
      </c>
      <c r="L58" s="3">
        <f t="shared" si="3"/>
        <v>36763.53</v>
      </c>
      <c r="N58" s="3">
        <f t="shared" si="4"/>
        <v>833300.81</v>
      </c>
      <c r="O58" s="2">
        <f>SUM(Levy!F58:J58)</f>
        <v>1685643</v>
      </c>
      <c r="P58" s="2">
        <f>SUM(Levy!U58:V58)</f>
        <v>19041.39</v>
      </c>
      <c r="Q58" s="2">
        <f t="shared" si="5"/>
        <v>1666601.61</v>
      </c>
    </row>
    <row r="59" spans="1:17" x14ac:dyDescent="0.2">
      <c r="A59" s="5">
        <v>181</v>
      </c>
      <c r="B59" s="5">
        <v>1</v>
      </c>
      <c r="C59" s="2" t="s">
        <v>55</v>
      </c>
      <c r="D59" s="3">
        <f>SUM(Shift11!D59:L59)</f>
        <v>3749352.2699999996</v>
      </c>
      <c r="E59" s="3">
        <f>ROUND(MAX(0,(Levy!Q59+Data!D59+Data!E59-Levy!U59)*0.5),2)</f>
        <v>3678545.82</v>
      </c>
      <c r="F59" s="3">
        <f t="shared" si="6"/>
        <v>70806.449999999721</v>
      </c>
      <c r="G59" s="3">
        <f t="shared" si="1"/>
        <v>3678545.82</v>
      </c>
      <c r="I59" s="3">
        <f>SUM(Shift11!M59:N59)</f>
        <v>291672.61</v>
      </c>
      <c r="J59" s="3">
        <f>ROUND(MAX(0,(Levy!R59-Levy!V59)*0.5),2)</f>
        <v>298523.15000000002</v>
      </c>
      <c r="K59" s="3">
        <f t="shared" si="2"/>
        <v>0</v>
      </c>
      <c r="L59" s="3">
        <f t="shared" si="3"/>
        <v>291672.61</v>
      </c>
      <c r="N59" s="3">
        <f t="shared" si="4"/>
        <v>3970218.4299999997</v>
      </c>
      <c r="O59" s="2">
        <f>SUM(Levy!F59:J59)</f>
        <v>7975988.1899999995</v>
      </c>
      <c r="P59" s="2">
        <f>SUM(Levy!U59:V59)</f>
        <v>21850.26</v>
      </c>
      <c r="Q59" s="2">
        <f t="shared" si="5"/>
        <v>7954137.9299999997</v>
      </c>
    </row>
    <row r="60" spans="1:17" x14ac:dyDescent="0.2">
      <c r="A60" s="5">
        <v>182</v>
      </c>
      <c r="B60" s="5">
        <v>1</v>
      </c>
      <c r="C60" s="2" t="s">
        <v>56</v>
      </c>
      <c r="D60" s="3">
        <f>SUM(Shift11!D60:L60)</f>
        <v>663200.3899999999</v>
      </c>
      <c r="E60" s="3">
        <f>ROUND(MAX(0,(Levy!Q60+Data!D60+Data!E60-Levy!U60)*0.5),2)</f>
        <v>637205.56000000006</v>
      </c>
      <c r="F60" s="3">
        <f t="shared" si="6"/>
        <v>25994.829999999842</v>
      </c>
      <c r="G60" s="3">
        <f t="shared" si="1"/>
        <v>637205.56000000006</v>
      </c>
      <c r="I60" s="3">
        <f>SUM(Shift11!M60:N60)</f>
        <v>1732.96</v>
      </c>
      <c r="J60" s="3">
        <f>ROUND(MAX(0,(Levy!R60-Levy!V60)*0.5),2)</f>
        <v>1648.38</v>
      </c>
      <c r="K60" s="3">
        <f t="shared" si="2"/>
        <v>84.579999999999927</v>
      </c>
      <c r="L60" s="3">
        <f t="shared" si="3"/>
        <v>1648.38</v>
      </c>
      <c r="N60" s="3">
        <f t="shared" si="4"/>
        <v>638853.94000000006</v>
      </c>
      <c r="O60" s="2">
        <f>SUM(Levy!F60:J60)</f>
        <v>1314703.77</v>
      </c>
      <c r="P60" s="2">
        <f>SUM(Levy!U60:V60)</f>
        <v>36995.910000000003</v>
      </c>
      <c r="Q60" s="2">
        <f t="shared" si="5"/>
        <v>1277707.8600000001</v>
      </c>
    </row>
    <row r="61" spans="1:17" x14ac:dyDescent="0.2">
      <c r="A61" s="5">
        <v>186</v>
      </c>
      <c r="B61" s="5">
        <v>1</v>
      </c>
      <c r="C61" s="2" t="s">
        <v>57</v>
      </c>
      <c r="D61" s="3">
        <f>SUM(Shift11!D61:L61)</f>
        <v>490620.59</v>
      </c>
      <c r="E61" s="3">
        <f>ROUND(MAX(0,(Levy!Q61+Data!D61+Data!E61-Levy!U61)*0.5),2)</f>
        <v>464250.59</v>
      </c>
      <c r="F61" s="3">
        <f t="shared" si="6"/>
        <v>26370</v>
      </c>
      <c r="G61" s="3">
        <f t="shared" si="1"/>
        <v>464250.59</v>
      </c>
      <c r="I61" s="3">
        <f>SUM(Shift11!M61:N61)</f>
        <v>87597.22</v>
      </c>
      <c r="J61" s="3">
        <f>ROUND(MAX(0,(Levy!R61-Levy!V61)*0.5),2)</f>
        <v>90042.67</v>
      </c>
      <c r="K61" s="3">
        <f t="shared" si="2"/>
        <v>0</v>
      </c>
      <c r="L61" s="3">
        <f t="shared" si="3"/>
        <v>87597.22</v>
      </c>
      <c r="N61" s="3">
        <f t="shared" si="4"/>
        <v>551847.81000000006</v>
      </c>
      <c r="O61" s="2">
        <f>SUM(Levy!F61:J61)</f>
        <v>1109224.51</v>
      </c>
      <c r="P61" s="2">
        <f>SUM(Levy!U61:V61)</f>
        <v>638</v>
      </c>
      <c r="Q61" s="2">
        <f t="shared" si="5"/>
        <v>1108586.51</v>
      </c>
    </row>
    <row r="62" spans="1:17" x14ac:dyDescent="0.2">
      <c r="A62" s="5">
        <v>191</v>
      </c>
      <c r="B62" s="5">
        <v>1</v>
      </c>
      <c r="C62" s="2" t="s">
        <v>58</v>
      </c>
      <c r="D62" s="3">
        <f>SUM(Shift11!D62:L62)</f>
        <v>11499965.290000001</v>
      </c>
      <c r="E62" s="3">
        <f>ROUND(MAX(0,(Levy!Q62+Data!D62+Data!E62-Levy!U62)*0.5),2)</f>
        <v>11463986.1</v>
      </c>
      <c r="F62" s="3">
        <f t="shared" si="6"/>
        <v>35979.190000001341</v>
      </c>
      <c r="G62" s="3">
        <f t="shared" si="1"/>
        <v>11463986.1</v>
      </c>
      <c r="I62" s="3">
        <f>SUM(Shift11!M62:N62)</f>
        <v>488995.22</v>
      </c>
      <c r="J62" s="3">
        <f>ROUND(MAX(0,(Levy!R62-Levy!V62)*0.5),2)</f>
        <v>503076.22</v>
      </c>
      <c r="K62" s="3">
        <f t="shared" si="2"/>
        <v>0</v>
      </c>
      <c r="L62" s="3">
        <f t="shared" si="3"/>
        <v>488995.22</v>
      </c>
      <c r="N62" s="3">
        <f t="shared" si="4"/>
        <v>11952981.32</v>
      </c>
      <c r="O62" s="2">
        <f>SUM(Levy!F62:J62)</f>
        <v>23934177</v>
      </c>
      <c r="P62" s="2">
        <f>SUM(Levy!U62:V62)</f>
        <v>52.36</v>
      </c>
      <c r="Q62" s="2">
        <f t="shared" si="5"/>
        <v>23934124.640000001</v>
      </c>
    </row>
    <row r="63" spans="1:17" x14ac:dyDescent="0.2">
      <c r="A63" s="5">
        <v>192</v>
      </c>
      <c r="B63" s="5">
        <v>1</v>
      </c>
      <c r="C63" s="2" t="s">
        <v>59</v>
      </c>
      <c r="D63" s="3">
        <f>SUM(Shift11!D63:L63)</f>
        <v>3068377.4899999998</v>
      </c>
      <c r="E63" s="3">
        <f>ROUND(MAX(0,(Levy!Q63+Data!D63+Data!E63-Levy!U63)*0.5),2)</f>
        <v>3004169.76</v>
      </c>
      <c r="F63" s="3">
        <f t="shared" si="6"/>
        <v>64207.729999999981</v>
      </c>
      <c r="G63" s="3">
        <f t="shared" si="1"/>
        <v>3004169.76</v>
      </c>
      <c r="I63" s="3">
        <f>SUM(Shift11!M63:N63)</f>
        <v>221441.04</v>
      </c>
      <c r="J63" s="3">
        <f>ROUND(MAX(0,(Levy!R63-Levy!V63)*0.5),2)</f>
        <v>226817.99</v>
      </c>
      <c r="K63" s="3">
        <f t="shared" si="2"/>
        <v>0</v>
      </c>
      <c r="L63" s="3">
        <f t="shared" si="3"/>
        <v>221441.04</v>
      </c>
      <c r="N63" s="3">
        <f t="shared" si="4"/>
        <v>3225610.8</v>
      </c>
      <c r="O63" s="2">
        <f>SUM(Levy!F63:J63)</f>
        <v>6473503</v>
      </c>
      <c r="P63" s="2">
        <f>SUM(Levy!U63:V63)</f>
        <v>11527.52</v>
      </c>
      <c r="Q63" s="2">
        <f t="shared" si="5"/>
        <v>6461975.4800000004</v>
      </c>
    </row>
    <row r="64" spans="1:17" x14ac:dyDescent="0.2">
      <c r="A64" s="5">
        <v>194</v>
      </c>
      <c r="B64" s="5">
        <v>1</v>
      </c>
      <c r="C64" s="2" t="s">
        <v>60</v>
      </c>
      <c r="D64" s="3">
        <f>SUM(Shift11!D64:L64)</f>
        <v>7763950.9700000007</v>
      </c>
      <c r="E64" s="3">
        <f>ROUND(MAX(0,(Levy!Q64+Data!D64+Data!E64-Levy!U64)*0.5),2)</f>
        <v>7639804.2000000002</v>
      </c>
      <c r="F64" s="3">
        <f t="shared" si="6"/>
        <v>124146.77000000048</v>
      </c>
      <c r="G64" s="3">
        <f t="shared" si="1"/>
        <v>7639804.2000000002</v>
      </c>
      <c r="I64" s="3">
        <f>SUM(Shift11!M64:N64)</f>
        <v>543909.81999999995</v>
      </c>
      <c r="J64" s="3">
        <f>ROUND(MAX(0,(Levy!R64-Levy!V64)*0.5),2)</f>
        <v>559131.04</v>
      </c>
      <c r="K64" s="3">
        <f t="shared" si="2"/>
        <v>0</v>
      </c>
      <c r="L64" s="3">
        <f t="shared" si="3"/>
        <v>543909.81999999995</v>
      </c>
      <c r="N64" s="3">
        <f t="shared" si="4"/>
        <v>8183714.0200000005</v>
      </c>
      <c r="O64" s="2">
        <f>SUM(Levy!F64:J64)</f>
        <v>16401475</v>
      </c>
      <c r="P64" s="2">
        <f>SUM(Levy!U64:V64)</f>
        <v>3604.5200000000004</v>
      </c>
      <c r="Q64" s="2">
        <f t="shared" si="5"/>
        <v>16397870.48</v>
      </c>
    </row>
    <row r="65" spans="1:17" x14ac:dyDescent="0.2">
      <c r="A65" s="5">
        <v>195</v>
      </c>
      <c r="B65" s="5">
        <v>1</v>
      </c>
      <c r="C65" s="2" t="s">
        <v>61</v>
      </c>
      <c r="D65" s="3">
        <f>SUM(Shift11!D65:L65)</f>
        <v>285476.45999999996</v>
      </c>
      <c r="E65" s="3">
        <f>ROUND(MAX(0,(Levy!Q65+Data!D65+Data!E65-Levy!U65)*0.5),2)</f>
        <v>223349.63</v>
      </c>
      <c r="F65" s="3">
        <f t="shared" si="6"/>
        <v>62126.829999999958</v>
      </c>
      <c r="G65" s="3">
        <f t="shared" si="1"/>
        <v>223349.63</v>
      </c>
      <c r="I65" s="3">
        <f>SUM(Shift11!M65:N65)</f>
        <v>16584.259999999998</v>
      </c>
      <c r="J65" s="3">
        <f>ROUND(MAX(0,(Levy!R65-Levy!V65)*0.5),2)</f>
        <v>16754.68</v>
      </c>
      <c r="K65" s="3">
        <f t="shared" si="2"/>
        <v>0</v>
      </c>
      <c r="L65" s="3">
        <f t="shared" si="3"/>
        <v>16584.259999999998</v>
      </c>
      <c r="N65" s="3">
        <f t="shared" si="4"/>
        <v>239933.89</v>
      </c>
      <c r="O65" s="2">
        <f>SUM(Levy!F65:J65)</f>
        <v>484154</v>
      </c>
      <c r="P65" s="2">
        <f>SUM(Levy!U65:V65)</f>
        <v>3945.3900000000003</v>
      </c>
      <c r="Q65" s="2">
        <f t="shared" si="5"/>
        <v>480208.61</v>
      </c>
    </row>
    <row r="66" spans="1:17" x14ac:dyDescent="0.2">
      <c r="A66" s="5">
        <v>196</v>
      </c>
      <c r="B66" s="5">
        <v>1</v>
      </c>
      <c r="C66" s="2" t="s">
        <v>62</v>
      </c>
      <c r="D66" s="3">
        <f>SUM(Shift11!D66:L66)</f>
        <v>27158749.290000003</v>
      </c>
      <c r="E66" s="3">
        <f>ROUND(MAX(0,(Levy!Q66+Data!D66+Data!E66-Levy!U66)*0.5),2)</f>
        <v>27336892.82</v>
      </c>
      <c r="F66" s="3">
        <f t="shared" si="6"/>
        <v>0</v>
      </c>
      <c r="G66" s="3">
        <f t="shared" si="1"/>
        <v>27158749.290000003</v>
      </c>
      <c r="I66" s="3">
        <f>SUM(Shift11!M66:N66)</f>
        <v>800975.14</v>
      </c>
      <c r="J66" s="3">
        <f>ROUND(MAX(0,(Levy!R66-Levy!V66)*0.5),2)</f>
        <v>823906.09</v>
      </c>
      <c r="K66" s="3">
        <f t="shared" si="2"/>
        <v>0</v>
      </c>
      <c r="L66" s="3">
        <f t="shared" si="3"/>
        <v>800975.14</v>
      </c>
      <c r="N66" s="3">
        <f t="shared" si="4"/>
        <v>27959724.430000003</v>
      </c>
      <c r="O66" s="2">
        <f>SUM(Levy!F66:J66)</f>
        <v>56325482</v>
      </c>
      <c r="P66" s="2">
        <f>SUM(Levy!U66:V66)</f>
        <v>3884.19</v>
      </c>
      <c r="Q66" s="2">
        <f t="shared" si="5"/>
        <v>56321597.810000002</v>
      </c>
    </row>
    <row r="67" spans="1:17" x14ac:dyDescent="0.2">
      <c r="A67" s="5">
        <v>197</v>
      </c>
      <c r="B67" s="5">
        <v>1</v>
      </c>
      <c r="C67" s="2" t="s">
        <v>63</v>
      </c>
      <c r="D67" s="3">
        <f>SUM(Shift11!D67:L67)</f>
        <v>5991970.0300000003</v>
      </c>
      <c r="E67" s="3">
        <f>ROUND(MAX(0,(Levy!Q67+Data!D67+Data!E67-Levy!U67)*0.5),2)</f>
        <v>6079272.4900000002</v>
      </c>
      <c r="F67" s="3">
        <f t="shared" si="6"/>
        <v>0</v>
      </c>
      <c r="G67" s="3">
        <f t="shared" si="1"/>
        <v>5991970.0300000003</v>
      </c>
      <c r="I67" s="3">
        <f>SUM(Shift11!M67:N67)</f>
        <v>377858.68</v>
      </c>
      <c r="J67" s="3">
        <f>ROUND(MAX(0,(Levy!R67-Levy!V67)*0.5),2)</f>
        <v>388721.12</v>
      </c>
      <c r="K67" s="3">
        <f t="shared" si="2"/>
        <v>0</v>
      </c>
      <c r="L67" s="3">
        <f t="shared" si="3"/>
        <v>377858.68</v>
      </c>
      <c r="N67" s="3">
        <f t="shared" si="4"/>
        <v>6369828.71</v>
      </c>
      <c r="O67" s="2">
        <f>SUM(Levy!F67:J67)</f>
        <v>12936216</v>
      </c>
      <c r="P67" s="2">
        <f>SUM(Levy!U67:V67)</f>
        <v>228.8</v>
      </c>
      <c r="Q67" s="2">
        <f t="shared" si="5"/>
        <v>12935987.199999999</v>
      </c>
    </row>
    <row r="68" spans="1:17" x14ac:dyDescent="0.2">
      <c r="A68" s="5">
        <v>199</v>
      </c>
      <c r="B68" s="5">
        <v>1</v>
      </c>
      <c r="C68" s="2" t="s">
        <v>64</v>
      </c>
      <c r="D68" s="3">
        <f>SUM(Shift11!D68:L68)</f>
        <v>3633183.14</v>
      </c>
      <c r="E68" s="3">
        <f>ROUND(MAX(0,(Levy!Q68+Data!D68+Data!E68-Levy!U68)*0.5),2)</f>
        <v>3608380.78</v>
      </c>
      <c r="F68" s="3">
        <f t="shared" si="6"/>
        <v>24802.360000000335</v>
      </c>
      <c r="G68" s="3">
        <f t="shared" si="1"/>
        <v>3608380.78</v>
      </c>
      <c r="I68" s="3">
        <f>SUM(Shift11!M68:N68)</f>
        <v>244133.84</v>
      </c>
      <c r="J68" s="3">
        <f>ROUND(MAX(0,(Levy!R68-Levy!V68)*0.5),2)</f>
        <v>251134.48</v>
      </c>
      <c r="K68" s="3">
        <f t="shared" si="2"/>
        <v>0</v>
      </c>
      <c r="L68" s="3">
        <f t="shared" si="3"/>
        <v>244133.84</v>
      </c>
      <c r="N68" s="3">
        <f t="shared" si="4"/>
        <v>3852514.6199999996</v>
      </c>
      <c r="O68" s="2">
        <f>SUM(Levy!F68:J68)</f>
        <v>7719422</v>
      </c>
      <c r="P68" s="2">
        <f>SUM(Levy!U68:V68)</f>
        <v>391.48</v>
      </c>
      <c r="Q68" s="2">
        <f t="shared" si="5"/>
        <v>7719030.5199999996</v>
      </c>
    </row>
    <row r="69" spans="1:17" x14ac:dyDescent="0.2">
      <c r="A69" s="5">
        <v>200</v>
      </c>
      <c r="B69" s="5">
        <v>1</v>
      </c>
      <c r="C69" s="2" t="s">
        <v>65</v>
      </c>
      <c r="D69" s="3">
        <f>SUM(Shift11!D69:L69)</f>
        <v>5254064.96</v>
      </c>
      <c r="E69" s="3">
        <f>ROUND(MAX(0,(Levy!Q69+Data!D69+Data!E69-Levy!U69)*0.5),2)</f>
        <v>5310890.0199999996</v>
      </c>
      <c r="F69" s="3">
        <f t="shared" si="6"/>
        <v>0</v>
      </c>
      <c r="G69" s="3">
        <f t="shared" si="1"/>
        <v>5254064.96</v>
      </c>
      <c r="I69" s="3">
        <f>SUM(Shift11!M69:N69)</f>
        <v>212193.43</v>
      </c>
      <c r="J69" s="3">
        <f>ROUND(MAX(0,(Levy!R69-Levy!V69)*0.5),2)</f>
        <v>217036.97</v>
      </c>
      <c r="K69" s="3">
        <f t="shared" si="2"/>
        <v>0</v>
      </c>
      <c r="L69" s="3">
        <f t="shared" si="3"/>
        <v>212193.43</v>
      </c>
      <c r="N69" s="3">
        <f t="shared" si="4"/>
        <v>5466258.3899999997</v>
      </c>
      <c r="O69" s="2">
        <f>SUM(Levy!F69:J69)</f>
        <v>11071839</v>
      </c>
      <c r="P69" s="2">
        <f>SUM(Levy!U69:V69)</f>
        <v>15985.03</v>
      </c>
      <c r="Q69" s="2">
        <f t="shared" si="5"/>
        <v>11055853.970000001</v>
      </c>
    </row>
    <row r="70" spans="1:17" x14ac:dyDescent="0.2">
      <c r="A70" s="5">
        <v>203</v>
      </c>
      <c r="B70" s="5">
        <v>1</v>
      </c>
      <c r="C70" s="2" t="s">
        <v>66</v>
      </c>
      <c r="D70" s="3">
        <f>SUM(Shift11!D70:L70)</f>
        <v>501235.16</v>
      </c>
      <c r="E70" s="3">
        <f>ROUND(MAX(0,(Levy!Q70+Data!D70+Data!E70-Levy!U70)*0.5),2)</f>
        <v>492375.52</v>
      </c>
      <c r="F70" s="3">
        <f t="shared" si="6"/>
        <v>8859.6399999999558</v>
      </c>
      <c r="G70" s="3">
        <f t="shared" si="1"/>
        <v>492375.52</v>
      </c>
      <c r="I70" s="3">
        <f>SUM(Shift11!M70:N70)</f>
        <v>32735.89</v>
      </c>
      <c r="J70" s="3">
        <f>ROUND(MAX(0,(Levy!R70-Levy!V70)*0.5),2)</f>
        <v>32355.91</v>
      </c>
      <c r="K70" s="3">
        <f t="shared" si="2"/>
        <v>379.97999999999956</v>
      </c>
      <c r="L70" s="3">
        <f t="shared" si="3"/>
        <v>32355.91</v>
      </c>
      <c r="N70" s="3">
        <f t="shared" si="4"/>
        <v>524731.43000000005</v>
      </c>
      <c r="O70" s="2">
        <f>SUM(Levy!F70:J70)</f>
        <v>1063843.6600000001</v>
      </c>
      <c r="P70" s="2">
        <f>SUM(Levy!U70:V70)</f>
        <v>14380.8</v>
      </c>
      <c r="Q70" s="2">
        <f t="shared" si="5"/>
        <v>1049462.8600000001</v>
      </c>
    </row>
    <row r="71" spans="1:17" x14ac:dyDescent="0.2">
      <c r="A71" s="5">
        <v>204</v>
      </c>
      <c r="B71" s="5">
        <v>1</v>
      </c>
      <c r="C71" s="2" t="s">
        <v>67</v>
      </c>
      <c r="D71" s="3">
        <f>SUM(Shift11!D71:L71)</f>
        <v>437553.47</v>
      </c>
      <c r="E71" s="3">
        <f>ROUND(MAX(0,(Levy!Q71+Data!D71+Data!E71-Levy!U71)*0.5),2)</f>
        <v>398827.34</v>
      </c>
      <c r="F71" s="3">
        <f t="shared" si="6"/>
        <v>38726.129999999946</v>
      </c>
      <c r="G71" s="3">
        <f t="shared" si="1"/>
        <v>398827.34</v>
      </c>
      <c r="I71" s="3">
        <f>SUM(Shift11!M71:N71)</f>
        <v>44567.62</v>
      </c>
      <c r="J71" s="3">
        <f>ROUND(MAX(0,(Levy!R71-Levy!V71)*0.5),2)</f>
        <v>44374.85</v>
      </c>
      <c r="K71" s="3">
        <f t="shared" si="2"/>
        <v>192.77000000000407</v>
      </c>
      <c r="L71" s="3">
        <f t="shared" si="3"/>
        <v>44374.85</v>
      </c>
      <c r="N71" s="3">
        <f t="shared" si="4"/>
        <v>443202.19</v>
      </c>
      <c r="O71" s="2">
        <f>SUM(Levy!F71:J71)</f>
        <v>895820.59000000008</v>
      </c>
      <c r="P71" s="2">
        <f>SUM(Levy!U71:V71)</f>
        <v>9416.2099999999991</v>
      </c>
      <c r="Q71" s="2">
        <f t="shared" si="5"/>
        <v>886404.38000000012</v>
      </c>
    </row>
    <row r="72" spans="1:17" x14ac:dyDescent="0.2">
      <c r="A72" s="5">
        <v>206</v>
      </c>
      <c r="B72" s="5">
        <v>1</v>
      </c>
      <c r="C72" s="2" t="s">
        <v>68</v>
      </c>
      <c r="D72" s="3">
        <f>SUM(Shift11!D72:L72)</f>
        <v>1852110.38</v>
      </c>
      <c r="E72" s="3">
        <f>ROUND(MAX(0,(Levy!Q72+Data!D72+Data!E72-Levy!U72)*0.5),2)</f>
        <v>1845771.41</v>
      </c>
      <c r="F72" s="3">
        <f t="shared" ref="F72:F133" si="7">IF(D72&gt;E72,D72-E72,0)</f>
        <v>6338.9699999999721</v>
      </c>
      <c r="G72" s="3">
        <f t="shared" ref="G72:G133" si="8">MAX(0,MIN(D72,E72))</f>
        <v>1845771.41</v>
      </c>
      <c r="I72" s="3">
        <f>SUM(Shift11!M72:N72)</f>
        <v>198808.51</v>
      </c>
      <c r="J72" s="3">
        <f>ROUND(MAX(0,(Levy!R72-Levy!V72)*0.5),2)</f>
        <v>203490.55</v>
      </c>
      <c r="K72" s="3">
        <f t="shared" ref="K72:K133" si="9">IF(I72&gt;J72,I72-J72,0)</f>
        <v>0</v>
      </c>
      <c r="L72" s="3">
        <f t="shared" ref="L72:L133" si="10">MAX(0,MIN(I72,J72))</f>
        <v>198808.51</v>
      </c>
      <c r="N72" s="3">
        <f t="shared" si="4"/>
        <v>2044579.92</v>
      </c>
      <c r="O72" s="2">
        <f>SUM(Levy!F72:J72)</f>
        <v>4107513</v>
      </c>
      <c r="P72" s="2">
        <f>SUM(Levy!U72:V72)</f>
        <v>8989.09</v>
      </c>
      <c r="Q72" s="2">
        <f t="shared" si="5"/>
        <v>4098523.91</v>
      </c>
    </row>
    <row r="73" spans="1:17" x14ac:dyDescent="0.2">
      <c r="A73" s="5">
        <v>207</v>
      </c>
      <c r="B73" s="5">
        <v>1</v>
      </c>
      <c r="C73" s="2" t="s">
        <v>69</v>
      </c>
      <c r="D73" s="3">
        <f>SUM(Shift11!D73:L73)</f>
        <v>202630.42999999996</v>
      </c>
      <c r="E73" s="3">
        <f>ROUND(MAX(0,(Levy!Q73+Data!D73+Data!E73-Levy!U73)*0.5),2)</f>
        <v>200383.78</v>
      </c>
      <c r="F73" s="3">
        <f t="shared" si="7"/>
        <v>2246.6499999999651</v>
      </c>
      <c r="G73" s="3">
        <f t="shared" si="8"/>
        <v>200383.78</v>
      </c>
      <c r="I73" s="3">
        <f>SUM(Shift11!M73:N73)</f>
        <v>10952.5</v>
      </c>
      <c r="J73" s="3">
        <f>ROUND(MAX(0,(Levy!R73-Levy!V73)*0.5),2)</f>
        <v>11017.95</v>
      </c>
      <c r="K73" s="3">
        <f t="shared" si="9"/>
        <v>0</v>
      </c>
      <c r="L73" s="3">
        <f t="shared" si="10"/>
        <v>10952.5</v>
      </c>
      <c r="N73" s="3">
        <f t="shared" ref="N73:N136" si="11">G73+L73</f>
        <v>211336.28</v>
      </c>
      <c r="O73" s="2">
        <f>SUM(Levy!F73:J73)</f>
        <v>427153</v>
      </c>
      <c r="P73" s="2">
        <f>SUM(Levy!U73:V73)</f>
        <v>4349.54</v>
      </c>
      <c r="Q73" s="2">
        <f t="shared" ref="Q73:Q136" si="12">O73-P73</f>
        <v>422803.46</v>
      </c>
    </row>
    <row r="74" spans="1:17" x14ac:dyDescent="0.2">
      <c r="A74" s="5">
        <v>208</v>
      </c>
      <c r="B74" s="5">
        <v>1</v>
      </c>
      <c r="C74" s="2" t="s">
        <v>70</v>
      </c>
      <c r="D74" s="3">
        <f>SUM(Shift11!D74:L74)</f>
        <v>219651</v>
      </c>
      <c r="E74" s="3">
        <f>ROUND(MAX(0,(Levy!Q74+Data!D74+Data!E74-Levy!U74)*0.5),2)</f>
        <v>210969.39</v>
      </c>
      <c r="F74" s="3">
        <f t="shared" si="7"/>
        <v>8681.609999999986</v>
      </c>
      <c r="G74" s="3">
        <f t="shared" si="8"/>
        <v>210969.39</v>
      </c>
      <c r="I74" s="3">
        <f>SUM(Shift11!M74:N74)</f>
        <v>8800.49</v>
      </c>
      <c r="J74" s="3">
        <f>ROUND(MAX(0,(Levy!R74-Levy!V74)*0.5),2)</f>
        <v>8851.2999999999993</v>
      </c>
      <c r="K74" s="3">
        <f t="shared" si="9"/>
        <v>0</v>
      </c>
      <c r="L74" s="3">
        <f t="shared" si="10"/>
        <v>8800.49</v>
      </c>
      <c r="N74" s="3">
        <f t="shared" si="11"/>
        <v>219769.88</v>
      </c>
      <c r="O74" s="2">
        <f>SUM(Levy!F74:J74)</f>
        <v>442860</v>
      </c>
      <c r="P74" s="2">
        <f>SUM(Levy!U74:V74)</f>
        <v>3218.64</v>
      </c>
      <c r="Q74" s="2">
        <f t="shared" si="12"/>
        <v>439641.36</v>
      </c>
    </row>
    <row r="75" spans="1:17" x14ac:dyDescent="0.2">
      <c r="A75" s="5">
        <v>213</v>
      </c>
      <c r="B75" s="5">
        <v>1</v>
      </c>
      <c r="C75" s="2" t="s">
        <v>71</v>
      </c>
      <c r="D75" s="3">
        <f>SUM(Shift11!D75:L75)</f>
        <v>202778.38</v>
      </c>
      <c r="E75" s="3">
        <f>ROUND(MAX(0,(Levy!Q75+Data!D75+Data!E75-Levy!U75)*0.5),2)</f>
        <v>163674.87</v>
      </c>
      <c r="F75" s="3">
        <f t="shared" si="7"/>
        <v>39103.510000000009</v>
      </c>
      <c r="G75" s="3">
        <f t="shared" si="8"/>
        <v>163674.87</v>
      </c>
      <c r="I75" s="3">
        <f>SUM(Shift11!M75:N75)</f>
        <v>21631.86</v>
      </c>
      <c r="J75" s="3">
        <f>ROUND(MAX(0,(Levy!R75-Levy!V75)*0.5),2)</f>
        <v>21763.52</v>
      </c>
      <c r="K75" s="3">
        <f t="shared" si="9"/>
        <v>0</v>
      </c>
      <c r="L75" s="3">
        <f t="shared" si="10"/>
        <v>21631.86</v>
      </c>
      <c r="N75" s="3">
        <f t="shared" si="11"/>
        <v>185306.72999999998</v>
      </c>
      <c r="O75" s="2">
        <f>SUM(Levy!F75:J75)</f>
        <v>377539</v>
      </c>
      <c r="P75" s="2">
        <f>SUM(Levy!U75:V75)</f>
        <v>6662.2300000000005</v>
      </c>
      <c r="Q75" s="2">
        <f t="shared" si="12"/>
        <v>370876.77</v>
      </c>
    </row>
    <row r="76" spans="1:17" x14ac:dyDescent="0.2">
      <c r="A76" s="5">
        <v>227</v>
      </c>
      <c r="B76" s="5">
        <v>1</v>
      </c>
      <c r="C76" s="2" t="s">
        <v>72</v>
      </c>
      <c r="D76" s="3">
        <f>SUM(Shift11!D76:L76)</f>
        <v>389134.37999999995</v>
      </c>
      <c r="E76" s="3">
        <f>ROUND(MAX(0,(Levy!Q76+Data!D76+Data!E76-Levy!U76)*0.5),2)</f>
        <v>381615.18</v>
      </c>
      <c r="F76" s="3">
        <f t="shared" si="7"/>
        <v>7519.1999999999534</v>
      </c>
      <c r="G76" s="3">
        <f t="shared" si="8"/>
        <v>381615.18</v>
      </c>
      <c r="I76" s="3">
        <f>SUM(Shift11!M76:N76)</f>
        <v>35172.31</v>
      </c>
      <c r="J76" s="3">
        <f>ROUND(MAX(0,(Levy!R76-Levy!V76)*0.5),2)</f>
        <v>35408.86</v>
      </c>
      <c r="K76" s="3">
        <f t="shared" si="9"/>
        <v>0</v>
      </c>
      <c r="L76" s="3">
        <f t="shared" si="10"/>
        <v>35172.31</v>
      </c>
      <c r="N76" s="3">
        <f t="shared" si="11"/>
        <v>416787.49</v>
      </c>
      <c r="O76" s="2">
        <f>SUM(Levy!F76:J76)</f>
        <v>840861</v>
      </c>
      <c r="P76" s="2">
        <f>SUM(Levy!U76:V76)</f>
        <v>6812.9400000000005</v>
      </c>
      <c r="Q76" s="2">
        <f t="shared" si="12"/>
        <v>834048.06</v>
      </c>
    </row>
    <row r="77" spans="1:17" x14ac:dyDescent="0.2">
      <c r="A77" s="5">
        <v>229</v>
      </c>
      <c r="B77" s="5">
        <v>1</v>
      </c>
      <c r="C77" s="2" t="s">
        <v>73</v>
      </c>
      <c r="D77" s="3">
        <f>SUM(Shift11!D77:L77)</f>
        <v>124106.72</v>
      </c>
      <c r="E77" s="3">
        <f>ROUND(MAX(0,(Levy!Q77+Data!D77+Data!E77-Levy!U77)*0.5),2)</f>
        <v>90441.58</v>
      </c>
      <c r="F77" s="3">
        <f t="shared" si="7"/>
        <v>33665.14</v>
      </c>
      <c r="G77" s="3">
        <f t="shared" si="8"/>
        <v>90441.58</v>
      </c>
      <c r="I77" s="3">
        <f>SUM(Shift11!M77:N77)</f>
        <v>10389.77</v>
      </c>
      <c r="J77" s="3">
        <f>ROUND(MAX(0,(Levy!R77-Levy!V77)*0.5),2)</f>
        <v>10123.42</v>
      </c>
      <c r="K77" s="3">
        <f t="shared" si="9"/>
        <v>266.35000000000036</v>
      </c>
      <c r="L77" s="3">
        <f t="shared" si="10"/>
        <v>10123.42</v>
      </c>
      <c r="N77" s="3">
        <f t="shared" si="11"/>
        <v>100565</v>
      </c>
      <c r="O77" s="2">
        <f>SUM(Levy!F77:J77)</f>
        <v>209533.48</v>
      </c>
      <c r="P77" s="2">
        <f>SUM(Levy!U77:V77)</f>
        <v>8403.5</v>
      </c>
      <c r="Q77" s="2">
        <f t="shared" si="12"/>
        <v>201129.98</v>
      </c>
    </row>
    <row r="78" spans="1:17" x14ac:dyDescent="0.2">
      <c r="A78" s="5">
        <v>238</v>
      </c>
      <c r="B78" s="5">
        <v>1</v>
      </c>
      <c r="C78" s="2" t="s">
        <v>74</v>
      </c>
      <c r="D78" s="3">
        <f>SUM(Shift11!D78:L78)</f>
        <v>240721.13</v>
      </c>
      <c r="E78" s="3">
        <f>ROUND(MAX(0,(Levy!Q78+Data!D78+Data!E78-Levy!U78)*0.5),2)</f>
        <v>232892.84</v>
      </c>
      <c r="F78" s="3">
        <f t="shared" si="7"/>
        <v>7828.2900000000081</v>
      </c>
      <c r="G78" s="3">
        <f t="shared" si="8"/>
        <v>232892.84</v>
      </c>
      <c r="I78" s="3">
        <f>SUM(Shift11!M78:N78)</f>
        <v>8945.1</v>
      </c>
      <c r="J78" s="3">
        <f>ROUND(MAX(0,(Levy!R78-Levy!V78)*0.5),2)</f>
        <v>8756.26</v>
      </c>
      <c r="K78" s="3">
        <f t="shared" si="9"/>
        <v>188.84000000000015</v>
      </c>
      <c r="L78" s="3">
        <f t="shared" si="10"/>
        <v>8756.26</v>
      </c>
      <c r="N78" s="3">
        <f t="shared" si="11"/>
        <v>241649.1</v>
      </c>
      <c r="O78" s="2">
        <f>SUM(Levy!F78:J78)</f>
        <v>491703.98</v>
      </c>
      <c r="P78" s="2">
        <f>SUM(Levy!U78:V78)</f>
        <v>8405.7799999999988</v>
      </c>
      <c r="Q78" s="2">
        <f t="shared" si="12"/>
        <v>483298.19999999995</v>
      </c>
    </row>
    <row r="79" spans="1:17" x14ac:dyDescent="0.2">
      <c r="A79" s="5">
        <v>239</v>
      </c>
      <c r="B79" s="5">
        <v>1</v>
      </c>
      <c r="C79" s="2" t="s">
        <v>75</v>
      </c>
      <c r="D79" s="3">
        <f>SUM(Shift11!D79:L79)</f>
        <v>465893.73000000004</v>
      </c>
      <c r="E79" s="3">
        <f>ROUND(MAX(0,(Levy!Q79+Data!D79+Data!E79-Levy!U79)*0.5),2)</f>
        <v>450860.13</v>
      </c>
      <c r="F79" s="3">
        <f t="shared" si="7"/>
        <v>15033.600000000035</v>
      </c>
      <c r="G79" s="3">
        <f t="shared" si="8"/>
        <v>450860.13</v>
      </c>
      <c r="I79" s="3">
        <f>SUM(Shift11!M79:N79)</f>
        <v>21581.63</v>
      </c>
      <c r="J79" s="3">
        <f>ROUND(MAX(0,(Levy!R79-Levy!V79)*0.5),2)</f>
        <v>20414.03</v>
      </c>
      <c r="K79" s="3">
        <f t="shared" si="9"/>
        <v>1167.6000000000022</v>
      </c>
      <c r="L79" s="3">
        <f t="shared" si="10"/>
        <v>20414.03</v>
      </c>
      <c r="N79" s="3">
        <f t="shared" si="11"/>
        <v>471274.16000000003</v>
      </c>
      <c r="O79" s="2">
        <f>SUM(Levy!F79:J79)</f>
        <v>971673.13</v>
      </c>
      <c r="P79" s="2">
        <f>SUM(Levy!U79:V79)</f>
        <v>29124.809999999998</v>
      </c>
      <c r="Q79" s="2">
        <f t="shared" si="12"/>
        <v>942548.32000000007</v>
      </c>
    </row>
    <row r="80" spans="1:17" x14ac:dyDescent="0.2">
      <c r="A80" s="5">
        <v>241</v>
      </c>
      <c r="B80" s="5">
        <v>1</v>
      </c>
      <c r="C80" s="2" t="s">
        <v>76</v>
      </c>
      <c r="D80" s="3">
        <f>SUM(Shift11!D80:L80)</f>
        <v>2369570.2699999996</v>
      </c>
      <c r="E80" s="3">
        <f>ROUND(MAX(0,(Levy!Q80+Data!D80+Data!E80-Levy!U80)*0.5),2)</f>
        <v>2315901.36</v>
      </c>
      <c r="F80" s="3">
        <f t="shared" si="7"/>
        <v>53668.909999999683</v>
      </c>
      <c r="G80" s="3">
        <f t="shared" si="8"/>
        <v>2315901.36</v>
      </c>
      <c r="I80" s="3">
        <f>SUM(Shift11!M80:N80)</f>
        <v>100855.6</v>
      </c>
      <c r="J80" s="3">
        <f>ROUND(MAX(0,(Levy!R80-Levy!V80)*0.5),2)</f>
        <v>102355.57</v>
      </c>
      <c r="K80" s="3">
        <f t="shared" si="9"/>
        <v>0</v>
      </c>
      <c r="L80" s="3">
        <f t="shared" si="10"/>
        <v>100855.6</v>
      </c>
      <c r="N80" s="3">
        <f t="shared" si="11"/>
        <v>2416756.96</v>
      </c>
      <c r="O80" s="2">
        <f>SUM(Levy!F80:J80)</f>
        <v>4858819.1099999994</v>
      </c>
      <c r="P80" s="2">
        <f>SUM(Levy!U80:V80)</f>
        <v>22305.25</v>
      </c>
      <c r="Q80" s="2">
        <f t="shared" si="12"/>
        <v>4836513.8599999994</v>
      </c>
    </row>
    <row r="81" spans="1:17" x14ac:dyDescent="0.2">
      <c r="A81" s="5">
        <v>242</v>
      </c>
      <c r="B81" s="5">
        <v>1</v>
      </c>
      <c r="C81" s="2" t="s">
        <v>77</v>
      </c>
      <c r="D81" s="3">
        <f>SUM(Shift11!D81:L81)</f>
        <v>153729.63999999998</v>
      </c>
      <c r="E81" s="3">
        <f>ROUND(MAX(0,(Levy!Q81+Data!D81+Data!E81-Levy!U81)*0.5),2)</f>
        <v>144605.22</v>
      </c>
      <c r="F81" s="3">
        <f t="shared" si="7"/>
        <v>9124.4199999999837</v>
      </c>
      <c r="G81" s="3">
        <f t="shared" si="8"/>
        <v>144605.22</v>
      </c>
      <c r="I81" s="3">
        <f>SUM(Shift11!M81:N81)</f>
        <v>8772.7900000000009</v>
      </c>
      <c r="J81" s="3">
        <f>ROUND(MAX(0,(Levy!R81-Levy!V81)*0.5),2)</f>
        <v>8706.33</v>
      </c>
      <c r="K81" s="3">
        <f t="shared" si="9"/>
        <v>66.460000000000946</v>
      </c>
      <c r="L81" s="3">
        <f t="shared" si="10"/>
        <v>8706.33</v>
      </c>
      <c r="N81" s="3">
        <f t="shared" si="11"/>
        <v>153311.54999999999</v>
      </c>
      <c r="O81" s="2">
        <f>SUM(Levy!F81:J81)</f>
        <v>316405.92</v>
      </c>
      <c r="P81" s="2">
        <f>SUM(Levy!U81:V81)</f>
        <v>9782.84</v>
      </c>
      <c r="Q81" s="2">
        <f t="shared" si="12"/>
        <v>306623.07999999996</v>
      </c>
    </row>
    <row r="82" spans="1:17" x14ac:dyDescent="0.2">
      <c r="A82" s="5">
        <v>252</v>
      </c>
      <c r="B82" s="5">
        <v>1</v>
      </c>
      <c r="C82" s="2" t="s">
        <v>78</v>
      </c>
      <c r="D82" s="3">
        <f>SUM(Shift11!D82:L82)</f>
        <v>611038.4</v>
      </c>
      <c r="E82" s="3">
        <f>ROUND(MAX(0,(Levy!Q82+Data!D82+Data!E82-Levy!U82)*0.5),2)</f>
        <v>606556.29</v>
      </c>
      <c r="F82" s="3">
        <f t="shared" si="7"/>
        <v>4482.109999999986</v>
      </c>
      <c r="G82" s="3">
        <f t="shared" si="8"/>
        <v>606556.29</v>
      </c>
      <c r="I82" s="3">
        <f>SUM(Shift11!M82:N82)</f>
        <v>74228.72</v>
      </c>
      <c r="J82" s="3">
        <f>ROUND(MAX(0,(Levy!R82-Levy!V82)*0.5),2)</f>
        <v>74906.350000000006</v>
      </c>
      <c r="K82" s="3">
        <f t="shared" si="9"/>
        <v>0</v>
      </c>
      <c r="L82" s="3">
        <f t="shared" si="10"/>
        <v>74228.72</v>
      </c>
      <c r="N82" s="3">
        <f t="shared" si="11"/>
        <v>680785.01</v>
      </c>
      <c r="O82" s="2">
        <f>SUM(Levy!F82:J82)</f>
        <v>1372511</v>
      </c>
      <c r="P82" s="2">
        <f>SUM(Levy!U82:V82)</f>
        <v>9585.7199999999993</v>
      </c>
      <c r="Q82" s="2">
        <f t="shared" si="12"/>
        <v>1362925.28</v>
      </c>
    </row>
    <row r="83" spans="1:17" x14ac:dyDescent="0.2">
      <c r="A83" s="5">
        <v>253</v>
      </c>
      <c r="B83" s="5">
        <v>1</v>
      </c>
      <c r="C83" s="2" t="s">
        <v>79</v>
      </c>
      <c r="D83" s="3">
        <f>SUM(Shift11!D83:L83)</f>
        <v>225333.99999999997</v>
      </c>
      <c r="E83" s="3">
        <f>ROUND(MAX(0,(Levy!Q83+Data!D83+Data!E83-Levy!U83)*0.5),2)</f>
        <v>211670.22</v>
      </c>
      <c r="F83" s="3">
        <f t="shared" si="7"/>
        <v>13663.77999999997</v>
      </c>
      <c r="G83" s="3">
        <f t="shared" si="8"/>
        <v>211670.22</v>
      </c>
      <c r="I83" s="3">
        <f>SUM(Shift11!M83:N83)</f>
        <v>18998.71</v>
      </c>
      <c r="J83" s="3">
        <f>ROUND(MAX(0,(Levy!R83-Levy!V83)*0.5),2)</f>
        <v>19035.05</v>
      </c>
      <c r="K83" s="3">
        <f t="shared" si="9"/>
        <v>0</v>
      </c>
      <c r="L83" s="3">
        <f t="shared" si="10"/>
        <v>18998.71</v>
      </c>
      <c r="N83" s="3">
        <f t="shared" si="11"/>
        <v>230668.93</v>
      </c>
      <c r="O83" s="2">
        <f>SUM(Levy!F83:J83)</f>
        <v>467105</v>
      </c>
      <c r="P83" s="2">
        <f>SUM(Levy!U83:V83)</f>
        <v>5694.47</v>
      </c>
      <c r="Q83" s="2">
        <f t="shared" si="12"/>
        <v>461410.53</v>
      </c>
    </row>
    <row r="84" spans="1:17" x14ac:dyDescent="0.2">
      <c r="A84" s="5">
        <v>255</v>
      </c>
      <c r="B84" s="5">
        <v>1</v>
      </c>
      <c r="C84" s="2" t="s">
        <v>80</v>
      </c>
      <c r="D84" s="3">
        <f>SUM(Shift11!D84:L84)</f>
        <v>713148.77</v>
      </c>
      <c r="E84" s="3">
        <f>ROUND(MAX(0,(Levy!Q84+Data!D84+Data!E84-Levy!U84)*0.5),2)</f>
        <v>691580.79</v>
      </c>
      <c r="F84" s="3">
        <f t="shared" si="7"/>
        <v>21567.979999999981</v>
      </c>
      <c r="G84" s="3">
        <f t="shared" si="8"/>
        <v>691580.79</v>
      </c>
      <c r="I84" s="3">
        <f>SUM(Shift11!M84:N84)</f>
        <v>73096.83</v>
      </c>
      <c r="J84" s="3">
        <f>ROUND(MAX(0,(Levy!R84-Levy!V84)*0.5),2)</f>
        <v>73547.25</v>
      </c>
      <c r="K84" s="3">
        <f t="shared" si="9"/>
        <v>0</v>
      </c>
      <c r="L84" s="3">
        <f t="shared" si="10"/>
        <v>73096.83</v>
      </c>
      <c r="N84" s="3">
        <f t="shared" si="11"/>
        <v>764677.62</v>
      </c>
      <c r="O84" s="2">
        <f>SUM(Levy!F84:J84)</f>
        <v>1546657</v>
      </c>
      <c r="P84" s="2">
        <f>SUM(Levy!U84:V84)</f>
        <v>16400.920000000002</v>
      </c>
      <c r="Q84" s="2">
        <f t="shared" si="12"/>
        <v>1530256.08</v>
      </c>
    </row>
    <row r="85" spans="1:17" x14ac:dyDescent="0.2">
      <c r="A85" s="5">
        <v>256</v>
      </c>
      <c r="B85" s="5">
        <v>1</v>
      </c>
      <c r="C85" s="2" t="s">
        <v>81</v>
      </c>
      <c r="D85" s="3">
        <f>SUM(Shift11!D85:L85)</f>
        <v>2868103.7100000004</v>
      </c>
      <c r="E85" s="3">
        <f>ROUND(MAX(0,(Levy!Q85+Data!D85+Data!E85-Levy!U85)*0.5),2)</f>
        <v>2885165.87</v>
      </c>
      <c r="F85" s="3">
        <f t="shared" si="7"/>
        <v>0</v>
      </c>
      <c r="G85" s="3">
        <f t="shared" si="8"/>
        <v>2868103.7100000004</v>
      </c>
      <c r="I85" s="3">
        <f>SUM(Shift11!M85:N85)</f>
        <v>153147.35</v>
      </c>
      <c r="J85" s="3">
        <f>ROUND(MAX(0,(Levy!R85-Levy!V85)*0.5),2)</f>
        <v>156074.53</v>
      </c>
      <c r="K85" s="3">
        <f t="shared" si="9"/>
        <v>0</v>
      </c>
      <c r="L85" s="3">
        <f t="shared" si="10"/>
        <v>153147.35</v>
      </c>
      <c r="N85" s="3">
        <f t="shared" si="11"/>
        <v>3021251.0600000005</v>
      </c>
      <c r="O85" s="2">
        <f>SUM(Levy!F85:J85)</f>
        <v>6099258</v>
      </c>
      <c r="P85" s="2">
        <f>SUM(Levy!U85:V85)</f>
        <v>16777.21</v>
      </c>
      <c r="Q85" s="2">
        <f t="shared" si="12"/>
        <v>6082480.79</v>
      </c>
    </row>
    <row r="86" spans="1:17" x14ac:dyDescent="0.2">
      <c r="A86" s="5">
        <v>261</v>
      </c>
      <c r="B86" s="5">
        <v>1</v>
      </c>
      <c r="C86" s="2" t="s">
        <v>82</v>
      </c>
      <c r="D86" s="3">
        <f>SUM(Shift11!D86:L86)</f>
        <v>181778.35</v>
      </c>
      <c r="E86" s="3">
        <f>ROUND(MAX(0,(Levy!Q86+Data!D86+Data!E86-Levy!U86)*0.5),2)</f>
        <v>178380.68</v>
      </c>
      <c r="F86" s="3">
        <f t="shared" si="7"/>
        <v>3397.6700000000128</v>
      </c>
      <c r="G86" s="3">
        <f t="shared" si="8"/>
        <v>178380.68</v>
      </c>
      <c r="I86" s="3">
        <f>SUM(Shift11!M86:N86)</f>
        <v>8638.0499999999993</v>
      </c>
      <c r="J86" s="3">
        <f>ROUND(MAX(0,(Levy!R86-Levy!V86)*0.5),2)</f>
        <v>8699.7199999999993</v>
      </c>
      <c r="K86" s="3">
        <f t="shared" si="9"/>
        <v>0</v>
      </c>
      <c r="L86" s="3">
        <f t="shared" si="10"/>
        <v>8638.0499999999993</v>
      </c>
      <c r="N86" s="3">
        <f t="shared" si="11"/>
        <v>187018.72999999998</v>
      </c>
      <c r="O86" s="2">
        <f>SUM(Levy!F86:J86)</f>
        <v>376420.63</v>
      </c>
      <c r="P86" s="2">
        <f>SUM(Levy!U86:V86)</f>
        <v>2259.84</v>
      </c>
      <c r="Q86" s="2">
        <f t="shared" si="12"/>
        <v>374160.79</v>
      </c>
    </row>
    <row r="87" spans="1:17" x14ac:dyDescent="0.2">
      <c r="A87" s="5">
        <v>264</v>
      </c>
      <c r="B87" s="5">
        <v>1</v>
      </c>
      <c r="C87" s="2" t="s">
        <v>83</v>
      </c>
      <c r="D87" s="3">
        <f>SUM(Shift11!D87:L87)</f>
        <v>155417.79999999999</v>
      </c>
      <c r="E87" s="3">
        <f>ROUND(MAX(0,(Levy!Q87+Data!D87+Data!E87-Levy!U87)*0.5),2)</f>
        <v>107740.12</v>
      </c>
      <c r="F87" s="3">
        <f t="shared" si="7"/>
        <v>47677.679999999993</v>
      </c>
      <c r="G87" s="3">
        <f t="shared" si="8"/>
        <v>107740.12</v>
      </c>
      <c r="I87" s="3">
        <f>SUM(Shift11!M87:N87)</f>
        <v>10294.209999999999</v>
      </c>
      <c r="J87" s="3">
        <f>ROUND(MAX(0,(Levy!R87-Levy!V87)*0.5),2)</f>
        <v>10101.219999999999</v>
      </c>
      <c r="K87" s="3">
        <f t="shared" si="9"/>
        <v>192.98999999999978</v>
      </c>
      <c r="L87" s="3">
        <f t="shared" si="10"/>
        <v>10101.219999999999</v>
      </c>
      <c r="N87" s="3">
        <f t="shared" si="11"/>
        <v>117841.34</v>
      </c>
      <c r="O87" s="2">
        <f>SUM(Levy!F87:J87)</f>
        <v>239015.6</v>
      </c>
      <c r="P87" s="2">
        <f>SUM(Levy!U87:V87)</f>
        <v>3332.92</v>
      </c>
      <c r="Q87" s="2">
        <f t="shared" si="12"/>
        <v>235682.68</v>
      </c>
    </row>
    <row r="88" spans="1:17" x14ac:dyDescent="0.2">
      <c r="A88" s="5">
        <v>270</v>
      </c>
      <c r="B88" s="5">
        <v>1</v>
      </c>
      <c r="C88" s="2" t="s">
        <v>84</v>
      </c>
      <c r="D88" s="3">
        <f>SUM(Shift11!D88:L88)</f>
        <v>12837514.74</v>
      </c>
      <c r="E88" s="3">
        <f>ROUND(MAX(0,(Levy!Q88+Data!D88+Data!E88-Levy!U88)*0.5),2)</f>
        <v>13057613.01</v>
      </c>
      <c r="F88" s="3">
        <f t="shared" si="7"/>
        <v>0</v>
      </c>
      <c r="G88" s="3">
        <f t="shared" si="8"/>
        <v>12837514.74</v>
      </c>
      <c r="I88" s="3">
        <f>SUM(Shift11!M88:N88)</f>
        <v>660383.68000000005</v>
      </c>
      <c r="J88" s="3">
        <f>ROUND(MAX(0,(Levy!R88-Levy!V88)*0.5),2)</f>
        <v>679373.79</v>
      </c>
      <c r="K88" s="3">
        <f t="shared" si="9"/>
        <v>0</v>
      </c>
      <c r="L88" s="3">
        <f t="shared" si="10"/>
        <v>660383.68000000005</v>
      </c>
      <c r="N88" s="3">
        <f t="shared" si="11"/>
        <v>13497898.42</v>
      </c>
      <c r="O88" s="2">
        <f>SUM(Levy!F88:J88)</f>
        <v>27474584.07</v>
      </c>
      <c r="P88" s="2">
        <f>SUM(Levy!U88:V88)</f>
        <v>610.48</v>
      </c>
      <c r="Q88" s="2">
        <f t="shared" si="12"/>
        <v>27473973.59</v>
      </c>
    </row>
    <row r="89" spans="1:17" x14ac:dyDescent="0.2">
      <c r="A89" s="5">
        <v>271</v>
      </c>
      <c r="B89" s="5">
        <v>1</v>
      </c>
      <c r="C89" s="2" t="s">
        <v>85</v>
      </c>
      <c r="D89" s="3">
        <f>SUM(Shift11!D89:L89)</f>
        <v>15660597.739999998</v>
      </c>
      <c r="E89" s="3">
        <f>ROUND(MAX(0,(Levy!Q89+Data!D89+Data!E89-Levy!U89)*0.5),2)</f>
        <v>15864932.279999999</v>
      </c>
      <c r="F89" s="3">
        <f t="shared" si="7"/>
        <v>0</v>
      </c>
      <c r="G89" s="3">
        <f t="shared" si="8"/>
        <v>15660597.739999998</v>
      </c>
      <c r="I89" s="3">
        <f>SUM(Shift11!M89:N89)</f>
        <v>778725.42</v>
      </c>
      <c r="J89" s="3">
        <f>ROUND(MAX(0,(Levy!R89-Levy!V89)*0.5),2)</f>
        <v>800899.27</v>
      </c>
      <c r="K89" s="3">
        <f t="shared" si="9"/>
        <v>0</v>
      </c>
      <c r="L89" s="3">
        <f t="shared" si="10"/>
        <v>778725.42</v>
      </c>
      <c r="N89" s="3">
        <f t="shared" si="11"/>
        <v>16439323.159999998</v>
      </c>
      <c r="O89" s="2">
        <f>SUM(Levy!F89:J89)</f>
        <v>33335791.689999998</v>
      </c>
      <c r="P89" s="2">
        <f>SUM(Levy!U89:V89)</f>
        <v>4128.59</v>
      </c>
      <c r="Q89" s="2">
        <f t="shared" si="12"/>
        <v>33331663.099999998</v>
      </c>
    </row>
    <row r="90" spans="1:17" x14ac:dyDescent="0.2">
      <c r="A90" s="5">
        <v>272</v>
      </c>
      <c r="B90" s="5">
        <v>1</v>
      </c>
      <c r="C90" s="2" t="s">
        <v>86</v>
      </c>
      <c r="D90" s="3">
        <f>SUM(Shift11!D90:L90)</f>
        <v>12967766.09</v>
      </c>
      <c r="E90" s="3">
        <f>ROUND(MAX(0,(Levy!Q90+Data!D90+Data!E90-Levy!U90)*0.5),2)</f>
        <v>12987443.699999999</v>
      </c>
      <c r="F90" s="3">
        <f t="shared" si="7"/>
        <v>0</v>
      </c>
      <c r="G90" s="3">
        <f t="shared" si="8"/>
        <v>12967766.09</v>
      </c>
      <c r="I90" s="3">
        <f>SUM(Shift11!M90:N90)</f>
        <v>622655.5</v>
      </c>
      <c r="J90" s="3">
        <f>ROUND(MAX(0,(Levy!R90-Levy!V90)*0.5),2)</f>
        <v>640551.91</v>
      </c>
      <c r="K90" s="3">
        <f t="shared" si="9"/>
        <v>0</v>
      </c>
      <c r="L90" s="3">
        <f t="shared" si="10"/>
        <v>622655.5</v>
      </c>
      <c r="N90" s="3">
        <f t="shared" si="11"/>
        <v>13590421.59</v>
      </c>
      <c r="O90" s="2">
        <f>SUM(Levy!F90:J90)</f>
        <v>27256826.159999996</v>
      </c>
      <c r="P90" s="2">
        <f>SUM(Levy!U90:V90)</f>
        <v>834.95</v>
      </c>
      <c r="Q90" s="2">
        <f t="shared" si="12"/>
        <v>27255991.209999997</v>
      </c>
    </row>
    <row r="91" spans="1:17" x14ac:dyDescent="0.2">
      <c r="A91" s="5">
        <v>273</v>
      </c>
      <c r="B91" s="5">
        <v>1</v>
      </c>
      <c r="C91" s="2" t="s">
        <v>87</v>
      </c>
      <c r="D91" s="3">
        <f>SUM(Shift11!D91:L91)</f>
        <v>13992932.839999998</v>
      </c>
      <c r="E91" s="3">
        <f>ROUND(MAX(0,(Levy!Q91+Data!D91+Data!E91-Levy!U91)*0.5),2)</f>
        <v>14234156.85</v>
      </c>
      <c r="F91" s="3">
        <f t="shared" si="7"/>
        <v>0</v>
      </c>
      <c r="G91" s="3">
        <f t="shared" si="8"/>
        <v>13992932.839999998</v>
      </c>
      <c r="I91" s="3">
        <f>SUM(Shift11!M91:N91)</f>
        <v>511846.49</v>
      </c>
      <c r="J91" s="3">
        <f>ROUND(MAX(0,(Levy!R91-Levy!V91)*0.5),2)</f>
        <v>526584.21</v>
      </c>
      <c r="K91" s="3">
        <f t="shared" si="9"/>
        <v>0</v>
      </c>
      <c r="L91" s="3">
        <f t="shared" si="10"/>
        <v>511846.49</v>
      </c>
      <c r="N91" s="3">
        <f t="shared" si="11"/>
        <v>14504779.329999998</v>
      </c>
      <c r="O91" s="2">
        <f>SUM(Levy!F91:J91)</f>
        <v>29521646.070000004</v>
      </c>
      <c r="P91" s="2">
        <f>SUM(Levy!U91:V91)</f>
        <v>163.97</v>
      </c>
      <c r="Q91" s="2">
        <f t="shared" si="12"/>
        <v>29521482.100000005</v>
      </c>
    </row>
    <row r="92" spans="1:17" x14ac:dyDescent="0.2">
      <c r="A92" s="5">
        <v>276</v>
      </c>
      <c r="B92" s="5">
        <v>1</v>
      </c>
      <c r="C92" s="2" t="s">
        <v>88</v>
      </c>
      <c r="D92" s="3">
        <f>SUM(Shift11!D92:L92)</f>
        <v>12975367.91</v>
      </c>
      <c r="E92" s="3">
        <f>ROUND(MAX(0,(Levy!Q92+Data!D92+Data!E92-Levy!U92)*0.5),2)</f>
        <v>13167143.65</v>
      </c>
      <c r="F92" s="3">
        <f t="shared" si="7"/>
        <v>0</v>
      </c>
      <c r="G92" s="3">
        <f t="shared" si="8"/>
        <v>12975367.91</v>
      </c>
      <c r="I92" s="3">
        <f>SUM(Shift11!M92:N92)</f>
        <v>474493.32</v>
      </c>
      <c r="J92" s="3">
        <f>ROUND(MAX(0,(Levy!R92-Levy!V92)*0.5),2)</f>
        <v>488137.15</v>
      </c>
      <c r="K92" s="3">
        <f t="shared" si="9"/>
        <v>0</v>
      </c>
      <c r="L92" s="3">
        <f t="shared" si="10"/>
        <v>474493.32</v>
      </c>
      <c r="N92" s="3">
        <f t="shared" si="11"/>
        <v>13449861.23</v>
      </c>
      <c r="O92" s="2">
        <f>SUM(Levy!F92:J92)</f>
        <v>27311114.190000001</v>
      </c>
      <c r="P92" s="2">
        <f>SUM(Levy!U92:V92)</f>
        <v>552.59</v>
      </c>
      <c r="Q92" s="2">
        <f t="shared" si="12"/>
        <v>27310561.600000001</v>
      </c>
    </row>
    <row r="93" spans="1:17" x14ac:dyDescent="0.2">
      <c r="A93" s="5">
        <v>277</v>
      </c>
      <c r="B93" s="5">
        <v>1</v>
      </c>
      <c r="C93" s="2" t="s">
        <v>89</v>
      </c>
      <c r="D93" s="3">
        <f>SUM(Shift11!D93:L93)</f>
        <v>3283968.23</v>
      </c>
      <c r="E93" s="3">
        <f>ROUND(MAX(0,(Levy!Q93+Data!D93+Data!E93-Levy!U93)*0.5),2)</f>
        <v>3348279.89</v>
      </c>
      <c r="F93" s="3">
        <f t="shared" si="7"/>
        <v>0</v>
      </c>
      <c r="G93" s="3">
        <f t="shared" si="8"/>
        <v>3283968.23</v>
      </c>
      <c r="I93" s="3">
        <f>SUM(Shift11!M93:N93)</f>
        <v>211072.2</v>
      </c>
      <c r="J93" s="3">
        <f>ROUND(MAX(0,(Levy!R93-Levy!V93)*0.5),2)</f>
        <v>217085.49</v>
      </c>
      <c r="K93" s="3">
        <f t="shared" si="9"/>
        <v>0</v>
      </c>
      <c r="L93" s="3">
        <f t="shared" si="10"/>
        <v>211072.2</v>
      </c>
      <c r="N93" s="3">
        <f t="shared" si="11"/>
        <v>3495040.43</v>
      </c>
      <c r="O93" s="2">
        <f>SUM(Levy!F93:J93)</f>
        <v>7131490.2399999993</v>
      </c>
      <c r="P93" s="2">
        <f>SUM(Levy!U93:V93)</f>
        <v>759.49</v>
      </c>
      <c r="Q93" s="2">
        <f t="shared" si="12"/>
        <v>7130730.7499999991</v>
      </c>
    </row>
    <row r="94" spans="1:17" x14ac:dyDescent="0.2">
      <c r="A94" s="5">
        <v>278</v>
      </c>
      <c r="B94" s="5">
        <v>1</v>
      </c>
      <c r="C94" s="2" t="s">
        <v>90</v>
      </c>
      <c r="D94" s="3">
        <f>SUM(Shift11!D94:L94)</f>
        <v>3341893.46</v>
      </c>
      <c r="E94" s="3">
        <f>ROUND(MAX(0,(Levy!Q94+Data!D94+Data!E94-Levy!U94)*0.5),2)</f>
        <v>3391045.81</v>
      </c>
      <c r="F94" s="3">
        <f t="shared" si="7"/>
        <v>0</v>
      </c>
      <c r="G94" s="3">
        <f t="shared" si="8"/>
        <v>3341893.46</v>
      </c>
      <c r="I94" s="3">
        <f>SUM(Shift11!M94:N94)</f>
        <v>134303.93</v>
      </c>
      <c r="J94" s="3">
        <f>ROUND(MAX(0,(Levy!R94-Levy!V94)*0.5),2)</f>
        <v>138103.69</v>
      </c>
      <c r="K94" s="3">
        <f t="shared" si="9"/>
        <v>0</v>
      </c>
      <c r="L94" s="3">
        <f t="shared" si="10"/>
        <v>134303.93</v>
      </c>
      <c r="N94" s="3">
        <f t="shared" si="11"/>
        <v>3476197.39</v>
      </c>
      <c r="O94" s="2">
        <f>SUM(Levy!F94:J94)</f>
        <v>7059690.2999999998</v>
      </c>
      <c r="P94" s="2">
        <f>SUM(Levy!U94:V94)</f>
        <v>1391.3100000000002</v>
      </c>
      <c r="Q94" s="2">
        <f t="shared" si="12"/>
        <v>7058298.9900000002</v>
      </c>
    </row>
    <row r="95" spans="1:17" x14ac:dyDescent="0.2">
      <c r="A95" s="5">
        <v>279</v>
      </c>
      <c r="B95" s="5">
        <v>1</v>
      </c>
      <c r="C95" s="2" t="s">
        <v>91</v>
      </c>
      <c r="D95" s="3">
        <f>SUM(Shift11!D95:L95)</f>
        <v>24037540.039999999</v>
      </c>
      <c r="E95" s="3">
        <f>ROUND(MAX(0,(Levy!Q95+Data!D95+Data!E95-Levy!U95)*0.5),2)</f>
        <v>24283897.899999999</v>
      </c>
      <c r="F95" s="3">
        <f t="shared" si="7"/>
        <v>0</v>
      </c>
      <c r="G95" s="3">
        <f t="shared" si="8"/>
        <v>24037540.039999999</v>
      </c>
      <c r="I95" s="3">
        <f>SUM(Shift11!M95:N95)</f>
        <v>866943.8</v>
      </c>
      <c r="J95" s="3">
        <f>ROUND(MAX(0,(Levy!R95-Levy!V95)*0.5),2)</f>
        <v>891766.11</v>
      </c>
      <c r="K95" s="3">
        <f t="shared" si="9"/>
        <v>0</v>
      </c>
      <c r="L95" s="3">
        <f t="shared" si="10"/>
        <v>866943.8</v>
      </c>
      <c r="N95" s="3">
        <f t="shared" si="11"/>
        <v>24904483.84</v>
      </c>
      <c r="O95" s="2">
        <f>SUM(Levy!F95:J95)</f>
        <v>50353718.5</v>
      </c>
      <c r="P95" s="2">
        <f>SUM(Levy!U95:V95)</f>
        <v>2390.4800000000005</v>
      </c>
      <c r="Q95" s="2">
        <f t="shared" si="12"/>
        <v>50351328.020000003</v>
      </c>
    </row>
    <row r="96" spans="1:17" x14ac:dyDescent="0.2">
      <c r="A96" s="5">
        <v>280</v>
      </c>
      <c r="B96" s="5">
        <v>1</v>
      </c>
      <c r="C96" s="2" t="s">
        <v>92</v>
      </c>
      <c r="D96" s="3">
        <f>SUM(Shift11!D96:L96)</f>
        <v>5424488.0199999996</v>
      </c>
      <c r="E96" s="3">
        <f>ROUND(MAX(0,(Levy!Q96+Data!D96+Data!E96-Levy!U96)*0.5),2)</f>
        <v>5445829.6799999997</v>
      </c>
      <c r="F96" s="3">
        <f t="shared" si="7"/>
        <v>0</v>
      </c>
      <c r="G96" s="3">
        <f t="shared" si="8"/>
        <v>5424488.0199999996</v>
      </c>
      <c r="I96" s="3">
        <f>SUM(Shift11!M96:N96)</f>
        <v>215317.6</v>
      </c>
      <c r="J96" s="3">
        <f>ROUND(MAX(0,(Levy!R96-Levy!V96)*0.5),2)</f>
        <v>221471.78</v>
      </c>
      <c r="K96" s="3">
        <f t="shared" si="9"/>
        <v>0</v>
      </c>
      <c r="L96" s="3">
        <f t="shared" si="10"/>
        <v>215317.6</v>
      </c>
      <c r="N96" s="3">
        <f t="shared" si="11"/>
        <v>5639805.6199999992</v>
      </c>
      <c r="O96" s="2">
        <f>SUM(Levy!F96:J96)</f>
        <v>11335663.540000001</v>
      </c>
      <c r="P96" s="2">
        <f>SUM(Levy!U96:V96)</f>
        <v>1060.6300000000001</v>
      </c>
      <c r="Q96" s="2">
        <f t="shared" si="12"/>
        <v>11334602.91</v>
      </c>
    </row>
    <row r="97" spans="1:17" x14ac:dyDescent="0.2">
      <c r="A97" s="5">
        <v>281</v>
      </c>
      <c r="B97" s="5">
        <v>1</v>
      </c>
      <c r="C97" s="2" t="s">
        <v>93</v>
      </c>
      <c r="D97" s="3">
        <f>SUM(Shift11!D97:L97)</f>
        <v>17021543.109999999</v>
      </c>
      <c r="E97" s="3">
        <f>ROUND(MAX(0,(Levy!Q97+Data!D97+Data!E97-Levy!U97)*0.5),2)</f>
        <v>17100961.309999999</v>
      </c>
      <c r="F97" s="3">
        <f t="shared" si="7"/>
        <v>0</v>
      </c>
      <c r="G97" s="3">
        <f t="shared" si="8"/>
        <v>17021543.109999999</v>
      </c>
      <c r="I97" s="3">
        <f>SUM(Shift11!M97:N97)</f>
        <v>878923.29</v>
      </c>
      <c r="J97" s="3">
        <f>ROUND(MAX(0,(Levy!R97-Levy!V97)*0.5),2)</f>
        <v>904185.65</v>
      </c>
      <c r="K97" s="3">
        <f t="shared" si="9"/>
        <v>0</v>
      </c>
      <c r="L97" s="3">
        <f t="shared" si="10"/>
        <v>878923.29</v>
      </c>
      <c r="N97" s="3">
        <f t="shared" si="11"/>
        <v>17900466.399999999</v>
      </c>
      <c r="O97" s="2">
        <f>SUM(Levy!F97:J97)</f>
        <v>36010964.269999996</v>
      </c>
      <c r="P97" s="2">
        <f>SUM(Levy!U97:V97)</f>
        <v>670.36</v>
      </c>
      <c r="Q97" s="2">
        <f t="shared" si="12"/>
        <v>36010293.909999996</v>
      </c>
    </row>
    <row r="98" spans="1:17" x14ac:dyDescent="0.2">
      <c r="A98" s="5">
        <v>282</v>
      </c>
      <c r="B98" s="5">
        <v>1</v>
      </c>
      <c r="C98" s="2" t="s">
        <v>94</v>
      </c>
      <c r="D98" s="3">
        <f>SUM(Shift11!D98:L98)</f>
        <v>1497361.56</v>
      </c>
      <c r="E98" s="3">
        <f>ROUND(MAX(0,(Levy!Q98+Data!D98+Data!E98-Levy!U98)*0.5),2)</f>
        <v>1518806.31</v>
      </c>
      <c r="F98" s="3">
        <f t="shared" si="7"/>
        <v>0</v>
      </c>
      <c r="G98" s="3">
        <f t="shared" si="8"/>
        <v>1497361.56</v>
      </c>
      <c r="I98" s="3">
        <f>SUM(Shift11!M98:N98)</f>
        <v>84994.72</v>
      </c>
      <c r="J98" s="3">
        <f>ROUND(MAX(0,(Levy!R98-Levy!V98)*0.5),2)</f>
        <v>87432.86</v>
      </c>
      <c r="K98" s="3">
        <f t="shared" si="9"/>
        <v>0</v>
      </c>
      <c r="L98" s="3">
        <f t="shared" si="10"/>
        <v>84994.72</v>
      </c>
      <c r="N98" s="3">
        <f t="shared" si="11"/>
        <v>1582356.28</v>
      </c>
      <c r="O98" s="2">
        <f>SUM(Levy!F98:J98)</f>
        <v>3212600.6900000004</v>
      </c>
      <c r="P98" s="2">
        <f>SUM(Levy!U98:V98)</f>
        <v>122.35999999999999</v>
      </c>
      <c r="Q98" s="2">
        <f t="shared" si="12"/>
        <v>3212478.3300000005</v>
      </c>
    </row>
    <row r="99" spans="1:17" x14ac:dyDescent="0.2">
      <c r="A99" s="5">
        <v>283</v>
      </c>
      <c r="B99" s="5">
        <v>1</v>
      </c>
      <c r="C99" s="2" t="s">
        <v>95</v>
      </c>
      <c r="D99" s="3">
        <f>SUM(Shift11!D99:L99)</f>
        <v>7264175.1100000003</v>
      </c>
      <c r="E99" s="3">
        <f>ROUND(MAX(0,(Levy!Q99+Data!D99+Data!E99-Levy!U99)*0.5),2)</f>
        <v>7329976.3099999996</v>
      </c>
      <c r="F99" s="3">
        <f t="shared" si="7"/>
        <v>0</v>
      </c>
      <c r="G99" s="3">
        <f t="shared" si="8"/>
        <v>7264175.1100000003</v>
      </c>
      <c r="I99" s="3">
        <f>SUM(Shift11!M99:N99)</f>
        <v>441075.19</v>
      </c>
      <c r="J99" s="3">
        <f>ROUND(MAX(0,(Levy!R99-Levy!V99)*0.5),2)</f>
        <v>453760.9</v>
      </c>
      <c r="K99" s="3">
        <f t="shared" si="9"/>
        <v>0</v>
      </c>
      <c r="L99" s="3">
        <f t="shared" si="10"/>
        <v>441075.19</v>
      </c>
      <c r="N99" s="3">
        <f t="shared" si="11"/>
        <v>7705250.3000000007</v>
      </c>
      <c r="O99" s="2">
        <f>SUM(Levy!F99:J99)</f>
        <v>15567735.449999999</v>
      </c>
      <c r="P99" s="2">
        <f>SUM(Levy!U99:V99)</f>
        <v>261.03999999999996</v>
      </c>
      <c r="Q99" s="2">
        <f t="shared" si="12"/>
        <v>15567474.41</v>
      </c>
    </row>
    <row r="100" spans="1:17" x14ac:dyDescent="0.2">
      <c r="A100" s="5">
        <v>284</v>
      </c>
      <c r="B100" s="5">
        <v>1</v>
      </c>
      <c r="C100" s="2" t="s">
        <v>96</v>
      </c>
      <c r="D100" s="3">
        <f>SUM(Shift11!D100:L100)</f>
        <v>17206690.75</v>
      </c>
      <c r="E100" s="3">
        <f>ROUND(MAX(0,(Levy!Q100+Data!D100+Data!E100-Levy!U100)*0.5),2)</f>
        <v>17580418.949999999</v>
      </c>
      <c r="F100" s="3">
        <f t="shared" si="7"/>
        <v>0</v>
      </c>
      <c r="G100" s="3">
        <f t="shared" si="8"/>
        <v>17206690.75</v>
      </c>
      <c r="I100" s="3">
        <f>SUM(Shift11!M100:N100)</f>
        <v>681372.17</v>
      </c>
      <c r="J100" s="3">
        <f>ROUND(MAX(0,(Levy!R100-Levy!V100)*0.5),2)</f>
        <v>700915.31</v>
      </c>
      <c r="K100" s="3">
        <f t="shared" si="9"/>
        <v>0</v>
      </c>
      <c r="L100" s="3">
        <f t="shared" si="10"/>
        <v>681372.17</v>
      </c>
      <c r="N100" s="3">
        <f t="shared" si="11"/>
        <v>17888062.920000002</v>
      </c>
      <c r="O100" s="2">
        <f>SUM(Levy!F100:J100)</f>
        <v>36564681.969999999</v>
      </c>
      <c r="P100" s="2">
        <f>SUM(Levy!U100:V100)</f>
        <v>2013.46</v>
      </c>
      <c r="Q100" s="2">
        <f t="shared" si="12"/>
        <v>36562668.509999998</v>
      </c>
    </row>
    <row r="101" spans="1:17" x14ac:dyDescent="0.2">
      <c r="A101" s="5">
        <v>286</v>
      </c>
      <c r="B101" s="5">
        <v>1</v>
      </c>
      <c r="C101" s="2" t="s">
        <v>97</v>
      </c>
      <c r="D101" s="3">
        <f>SUM(Shift11!D101:L101)</f>
        <v>934581.86</v>
      </c>
      <c r="E101" s="3">
        <f>ROUND(MAX(0,(Levy!Q101+Data!D101+Data!E101-Levy!U101)*0.5),2)</f>
        <v>762187.91</v>
      </c>
      <c r="F101" s="3">
        <f t="shared" si="7"/>
        <v>172393.94999999995</v>
      </c>
      <c r="G101" s="3">
        <f t="shared" si="8"/>
        <v>762187.91</v>
      </c>
      <c r="I101" s="3">
        <f>SUM(Shift11!M101:N101)</f>
        <v>68581.960000000006</v>
      </c>
      <c r="J101" s="3">
        <f>ROUND(MAX(0,(Levy!R101-Levy!V101)*0.5),2)</f>
        <v>70548.55</v>
      </c>
      <c r="K101" s="3">
        <f t="shared" si="9"/>
        <v>0</v>
      </c>
      <c r="L101" s="3">
        <f t="shared" si="10"/>
        <v>68581.960000000006</v>
      </c>
      <c r="N101" s="3">
        <f t="shared" si="11"/>
        <v>830769.87</v>
      </c>
      <c r="O101" s="2">
        <f>SUM(Levy!F101:J101)</f>
        <v>1665594.7599999998</v>
      </c>
      <c r="P101" s="2">
        <f>SUM(Levy!U101:V101)</f>
        <v>121.86</v>
      </c>
      <c r="Q101" s="2">
        <f t="shared" si="12"/>
        <v>1665472.8999999997</v>
      </c>
    </row>
    <row r="102" spans="1:17" x14ac:dyDescent="0.2">
      <c r="A102" s="5">
        <v>294</v>
      </c>
      <c r="B102" s="5">
        <v>1</v>
      </c>
      <c r="C102" s="2" t="s">
        <v>98</v>
      </c>
      <c r="D102" s="3">
        <f>SUM(Shift11!D102:L102)</f>
        <v>419796.10000000003</v>
      </c>
      <c r="E102" s="3">
        <f>ROUND(MAX(0,(Levy!Q102+Data!D102+Data!E102-Levy!U102)*0.5),2)</f>
        <v>427042.5</v>
      </c>
      <c r="F102" s="3">
        <f t="shared" si="7"/>
        <v>0</v>
      </c>
      <c r="G102" s="3">
        <f t="shared" si="8"/>
        <v>419796.10000000003</v>
      </c>
      <c r="I102" s="3">
        <f>SUM(Shift11!M102:N102)</f>
        <v>16786.439999999999</v>
      </c>
      <c r="J102" s="3">
        <f>ROUND(MAX(0,(Levy!R102-Levy!V102)*0.5),2)</f>
        <v>15790.29</v>
      </c>
      <c r="K102" s="3">
        <f t="shared" si="9"/>
        <v>996.14999999999782</v>
      </c>
      <c r="L102" s="3">
        <f t="shared" si="10"/>
        <v>15790.29</v>
      </c>
      <c r="N102" s="3">
        <f t="shared" si="11"/>
        <v>435586.39</v>
      </c>
      <c r="O102" s="2">
        <f>SUM(Levy!F102:J102)</f>
        <v>898318</v>
      </c>
      <c r="P102" s="2">
        <f>SUM(Levy!U102:V102)</f>
        <v>12652.43</v>
      </c>
      <c r="Q102" s="2">
        <f t="shared" si="12"/>
        <v>885665.57</v>
      </c>
    </row>
    <row r="103" spans="1:17" x14ac:dyDescent="0.2">
      <c r="A103" s="5">
        <v>297</v>
      </c>
      <c r="B103" s="5">
        <v>1</v>
      </c>
      <c r="C103" s="2" t="s">
        <v>99</v>
      </c>
      <c r="D103" s="3">
        <f>SUM(Shift11!D103:L103)</f>
        <v>289972.38999999996</v>
      </c>
      <c r="E103" s="3">
        <f>ROUND(MAX(0,(Levy!Q103+Data!D103+Data!E103-Levy!U103)*0.5),2)</f>
        <v>262398.17</v>
      </c>
      <c r="F103" s="3">
        <f t="shared" si="7"/>
        <v>27574.219999999972</v>
      </c>
      <c r="G103" s="3">
        <f t="shared" si="8"/>
        <v>262398.17</v>
      </c>
      <c r="I103" s="3">
        <f>SUM(Shift11!M103:N103)</f>
        <v>11398.16</v>
      </c>
      <c r="J103" s="3">
        <f>ROUND(MAX(0,(Levy!R103-Levy!V103)*0.5),2)</f>
        <v>9012.7999999999993</v>
      </c>
      <c r="K103" s="3">
        <f t="shared" si="9"/>
        <v>2385.3600000000006</v>
      </c>
      <c r="L103" s="3">
        <f t="shared" si="10"/>
        <v>9012.7999999999993</v>
      </c>
      <c r="N103" s="3">
        <f t="shared" si="11"/>
        <v>271410.96999999997</v>
      </c>
      <c r="O103" s="2">
        <f>SUM(Levy!F103:J103)</f>
        <v>583059</v>
      </c>
      <c r="P103" s="2">
        <f>SUM(Levy!U103:V103)</f>
        <v>40237.08</v>
      </c>
      <c r="Q103" s="2">
        <f t="shared" si="12"/>
        <v>542821.92000000004</v>
      </c>
    </row>
    <row r="104" spans="1:17" x14ac:dyDescent="0.2">
      <c r="A104" s="5">
        <v>299</v>
      </c>
      <c r="B104" s="5">
        <v>1</v>
      </c>
      <c r="C104" s="2" t="s">
        <v>100</v>
      </c>
      <c r="D104" s="3">
        <f>SUM(Shift11!D104:L104)</f>
        <v>487218.1</v>
      </c>
      <c r="E104" s="3">
        <f>ROUND(MAX(0,(Levy!Q104+Data!D104+Data!E104-Levy!U104)*0.5),2)</f>
        <v>463221.97</v>
      </c>
      <c r="F104" s="3">
        <f t="shared" si="7"/>
        <v>23996.130000000005</v>
      </c>
      <c r="G104" s="3">
        <f t="shared" si="8"/>
        <v>463221.97</v>
      </c>
      <c r="I104" s="3">
        <f>SUM(Shift11!M104:N104)</f>
        <v>34516.69</v>
      </c>
      <c r="J104" s="3">
        <f>ROUND(MAX(0,(Levy!R104-Levy!V104)*0.5),2)</f>
        <v>34025.5</v>
      </c>
      <c r="K104" s="3">
        <f t="shared" si="9"/>
        <v>491.19000000000233</v>
      </c>
      <c r="L104" s="3">
        <f t="shared" si="10"/>
        <v>34025.5</v>
      </c>
      <c r="N104" s="3">
        <f t="shared" si="11"/>
        <v>497247.47</v>
      </c>
      <c r="O104" s="2">
        <f>SUM(Levy!F104:J104)</f>
        <v>1013778</v>
      </c>
      <c r="P104" s="2">
        <f>SUM(Levy!U104:V104)</f>
        <v>19283.080000000002</v>
      </c>
      <c r="Q104" s="2">
        <f t="shared" si="12"/>
        <v>994494.92</v>
      </c>
    </row>
    <row r="105" spans="1:17" x14ac:dyDescent="0.2">
      <c r="A105" s="5">
        <v>300</v>
      </c>
      <c r="B105" s="5">
        <v>1</v>
      </c>
      <c r="C105" s="2" t="s">
        <v>101</v>
      </c>
      <c r="D105" s="3">
        <f>SUM(Shift11!D105:L105)</f>
        <v>690581.60000000009</v>
      </c>
      <c r="E105" s="3">
        <f>ROUND(MAX(0,(Levy!Q105+Data!D105+Data!E105-Levy!U105)*0.5),2)</f>
        <v>677520.16</v>
      </c>
      <c r="F105" s="3">
        <f t="shared" si="7"/>
        <v>13061.440000000061</v>
      </c>
      <c r="G105" s="3">
        <f t="shared" si="8"/>
        <v>677520.16</v>
      </c>
      <c r="I105" s="3">
        <f>SUM(Shift11!M105:N105)</f>
        <v>72104.42</v>
      </c>
      <c r="J105" s="3">
        <f>ROUND(MAX(0,(Levy!R105-Levy!V105)*0.5),2)</f>
        <v>71738.58</v>
      </c>
      <c r="K105" s="3">
        <f t="shared" si="9"/>
        <v>365.83999999999651</v>
      </c>
      <c r="L105" s="3">
        <f t="shared" si="10"/>
        <v>71738.58</v>
      </c>
      <c r="N105" s="3">
        <f t="shared" si="11"/>
        <v>749258.74</v>
      </c>
      <c r="O105" s="2">
        <f>SUM(Levy!F105:J105)</f>
        <v>1518123</v>
      </c>
      <c r="P105" s="2">
        <f>SUM(Levy!U105:V105)</f>
        <v>19605.539999999997</v>
      </c>
      <c r="Q105" s="2">
        <f t="shared" si="12"/>
        <v>1498517.46</v>
      </c>
    </row>
    <row r="106" spans="1:17" x14ac:dyDescent="0.2">
      <c r="A106" s="5">
        <v>306</v>
      </c>
      <c r="B106" s="5">
        <v>1</v>
      </c>
      <c r="C106" s="2" t="s">
        <v>102</v>
      </c>
      <c r="D106" s="3">
        <f>SUM(Shift11!D106:L106)</f>
        <v>124921.86000000002</v>
      </c>
      <c r="E106" s="3">
        <f>ROUND(MAX(0,(Levy!Q106+Data!D106+Data!E106-Levy!U106)*0.5),2)</f>
        <v>96697.82</v>
      </c>
      <c r="F106" s="3">
        <f t="shared" si="7"/>
        <v>28224.040000000008</v>
      </c>
      <c r="G106" s="3">
        <f t="shared" si="8"/>
        <v>96697.82</v>
      </c>
      <c r="I106" s="3">
        <f>SUM(Shift11!M106:N106)</f>
        <v>10842.77</v>
      </c>
      <c r="J106" s="3">
        <f>ROUND(MAX(0,(Levy!R106-Levy!V106)*0.5),2)</f>
        <v>11066.75</v>
      </c>
      <c r="K106" s="3">
        <f t="shared" si="9"/>
        <v>0</v>
      </c>
      <c r="L106" s="3">
        <f t="shared" si="10"/>
        <v>10842.77</v>
      </c>
      <c r="N106" s="3">
        <f t="shared" si="11"/>
        <v>107540.59000000001</v>
      </c>
      <c r="O106" s="2">
        <f>SUM(Levy!F106:J106)</f>
        <v>216818.40000000002</v>
      </c>
      <c r="P106" s="2">
        <f>SUM(Levy!U106:V106)</f>
        <v>1289.27</v>
      </c>
      <c r="Q106" s="2">
        <f t="shared" si="12"/>
        <v>215529.13000000003</v>
      </c>
    </row>
    <row r="107" spans="1:17" x14ac:dyDescent="0.2">
      <c r="A107" s="5">
        <v>308</v>
      </c>
      <c r="B107" s="5">
        <v>1</v>
      </c>
      <c r="C107" s="2" t="s">
        <v>103</v>
      </c>
      <c r="D107" s="3">
        <f>SUM(Shift11!D107:L107)</f>
        <v>219132.34000000003</v>
      </c>
      <c r="E107" s="3">
        <f>ROUND(MAX(0,(Levy!Q107+Data!D107+Data!E107-Levy!U107)*0.5),2)</f>
        <v>204884.77</v>
      </c>
      <c r="F107" s="3">
        <f t="shared" si="7"/>
        <v>14247.570000000036</v>
      </c>
      <c r="G107" s="3">
        <f t="shared" si="8"/>
        <v>204884.77</v>
      </c>
      <c r="I107" s="3">
        <f>SUM(Shift11!M107:N107)</f>
        <v>20889.330000000002</v>
      </c>
      <c r="J107" s="3">
        <f>ROUND(MAX(0,(Levy!R107-Levy!V107)*0.5),2)</f>
        <v>21398.23</v>
      </c>
      <c r="K107" s="3">
        <f t="shared" si="9"/>
        <v>0</v>
      </c>
      <c r="L107" s="3">
        <f t="shared" si="10"/>
        <v>20889.330000000002</v>
      </c>
      <c r="N107" s="3">
        <f t="shared" si="11"/>
        <v>225774.09999999998</v>
      </c>
      <c r="O107" s="2">
        <f>SUM(Levy!F107:J107)</f>
        <v>453697.05000000005</v>
      </c>
      <c r="P107" s="2">
        <f>SUM(Levy!U107:V107)</f>
        <v>1131.07</v>
      </c>
      <c r="Q107" s="2">
        <f t="shared" si="12"/>
        <v>452565.98000000004</v>
      </c>
    </row>
    <row r="108" spans="1:17" x14ac:dyDescent="0.2">
      <c r="A108" s="5">
        <v>309</v>
      </c>
      <c r="B108" s="5">
        <v>1</v>
      </c>
      <c r="C108" s="2" t="s">
        <v>104</v>
      </c>
      <c r="D108" s="3">
        <f>SUM(Shift11!D108:L108)</f>
        <v>815216.83</v>
      </c>
      <c r="E108" s="3">
        <f>ROUND(MAX(0,(Levy!Q108+Data!D108+Data!E108-Levy!U108)*0.5),2)</f>
        <v>795286.8</v>
      </c>
      <c r="F108" s="3">
        <f t="shared" si="7"/>
        <v>19930.029999999912</v>
      </c>
      <c r="G108" s="3">
        <f t="shared" si="8"/>
        <v>795286.8</v>
      </c>
      <c r="I108" s="3">
        <f>SUM(Shift11!M108:N108)</f>
        <v>92378.61</v>
      </c>
      <c r="J108" s="3">
        <f>ROUND(MAX(0,(Levy!R108-Levy!V108)*0.5),2)</f>
        <v>94444.51</v>
      </c>
      <c r="K108" s="3">
        <f t="shared" si="9"/>
        <v>0</v>
      </c>
      <c r="L108" s="3">
        <f t="shared" si="10"/>
        <v>92378.61</v>
      </c>
      <c r="N108" s="3">
        <f t="shared" si="11"/>
        <v>887665.41</v>
      </c>
      <c r="O108" s="2">
        <f>SUM(Levy!F108:J108)</f>
        <v>1783728.0699999998</v>
      </c>
      <c r="P108" s="2">
        <f>SUM(Levy!U108:V108)</f>
        <v>4265.46</v>
      </c>
      <c r="Q108" s="2">
        <f t="shared" si="12"/>
        <v>1779462.6099999999</v>
      </c>
    </row>
    <row r="109" spans="1:17" x14ac:dyDescent="0.2">
      <c r="A109" s="5">
        <v>314</v>
      </c>
      <c r="B109" s="5">
        <v>1</v>
      </c>
      <c r="C109" s="2" t="s">
        <v>105</v>
      </c>
      <c r="D109" s="3">
        <f>SUM(Shift11!D109:L109)</f>
        <v>308779.89000000007</v>
      </c>
      <c r="E109" s="3">
        <f>ROUND(MAX(0,(Levy!Q109+Data!D109+Data!E109-Levy!U109)*0.5),2)</f>
        <v>302870.13</v>
      </c>
      <c r="F109" s="3">
        <f t="shared" si="7"/>
        <v>5909.7600000000675</v>
      </c>
      <c r="G109" s="3">
        <f t="shared" si="8"/>
        <v>302870.13</v>
      </c>
      <c r="I109" s="3">
        <f>SUM(Shift11!M109:N109)</f>
        <v>22577.65</v>
      </c>
      <c r="J109" s="3">
        <f>ROUND(MAX(0,(Levy!R109-Levy!V109)*0.5),2)</f>
        <v>22532.07</v>
      </c>
      <c r="K109" s="3">
        <f t="shared" si="9"/>
        <v>45.580000000001746</v>
      </c>
      <c r="L109" s="3">
        <f t="shared" si="10"/>
        <v>22532.07</v>
      </c>
      <c r="N109" s="3">
        <f t="shared" si="11"/>
        <v>325402.2</v>
      </c>
      <c r="O109" s="2">
        <f>SUM(Levy!F109:J109)</f>
        <v>658520.66999999993</v>
      </c>
      <c r="P109" s="2">
        <f>SUM(Levy!U109:V109)</f>
        <v>7716.2799999999988</v>
      </c>
      <c r="Q109" s="2">
        <f t="shared" si="12"/>
        <v>650804.3899999999</v>
      </c>
    </row>
    <row r="110" spans="1:17" x14ac:dyDescent="0.2">
      <c r="A110" s="5">
        <v>316</v>
      </c>
      <c r="B110" s="5">
        <v>1</v>
      </c>
      <c r="C110" s="2" t="s">
        <v>106</v>
      </c>
      <c r="D110" s="3">
        <f>SUM(Shift11!D110:L110)</f>
        <v>634545.37</v>
      </c>
      <c r="E110" s="3">
        <f>ROUND(MAX(0,(Levy!Q110+Data!D110+Data!E110-Levy!U110)*0.5),2)</f>
        <v>200869.7</v>
      </c>
      <c r="F110" s="3">
        <f t="shared" si="7"/>
        <v>433675.67</v>
      </c>
      <c r="G110" s="3">
        <f t="shared" si="8"/>
        <v>200869.7</v>
      </c>
      <c r="I110" s="3">
        <f>SUM(Shift11!M110:N110)</f>
        <v>0</v>
      </c>
      <c r="J110" s="3">
        <f>ROUND(MAX(0,(Levy!R110-Levy!V110)*0.5),2)</f>
        <v>0</v>
      </c>
      <c r="K110" s="3">
        <f t="shared" si="9"/>
        <v>0</v>
      </c>
      <c r="L110" s="3">
        <f t="shared" si="10"/>
        <v>0</v>
      </c>
      <c r="N110" s="3">
        <f t="shared" si="11"/>
        <v>200869.7</v>
      </c>
      <c r="O110" s="2">
        <f>SUM(Levy!F110:J110)</f>
        <v>431634.93</v>
      </c>
      <c r="P110" s="2">
        <f>SUM(Levy!U110:V110)</f>
        <v>29895.54</v>
      </c>
      <c r="Q110" s="2">
        <f t="shared" si="12"/>
        <v>401739.39</v>
      </c>
    </row>
    <row r="111" spans="1:17" x14ac:dyDescent="0.2">
      <c r="A111" s="5">
        <v>317</v>
      </c>
      <c r="B111" s="5">
        <v>1</v>
      </c>
      <c r="C111" s="2" t="s">
        <v>107</v>
      </c>
      <c r="D111" s="3">
        <f>SUM(Shift11!D111:L111)</f>
        <v>141601.34</v>
      </c>
      <c r="E111" s="3">
        <f>ROUND(MAX(0,(Levy!Q111+Data!D111+Data!E111-Levy!U111)*0.5),2)</f>
        <v>71550.61</v>
      </c>
      <c r="F111" s="3">
        <f t="shared" si="7"/>
        <v>70050.73</v>
      </c>
      <c r="G111" s="3">
        <f t="shared" si="8"/>
        <v>71550.61</v>
      </c>
      <c r="I111" s="3">
        <f>SUM(Shift11!M111:N111)</f>
        <v>0</v>
      </c>
      <c r="J111" s="3">
        <f>ROUND(MAX(0,(Levy!R111-Levy!V111)*0.5),2)</f>
        <v>0</v>
      </c>
      <c r="K111" s="3">
        <f t="shared" si="9"/>
        <v>0</v>
      </c>
      <c r="L111" s="3">
        <f t="shared" si="10"/>
        <v>0</v>
      </c>
      <c r="N111" s="3">
        <f t="shared" si="11"/>
        <v>71550.61</v>
      </c>
      <c r="O111" s="2">
        <f>SUM(Levy!F111:J111)</f>
        <v>145127.93</v>
      </c>
      <c r="P111" s="2">
        <f>SUM(Levy!U111:V111)</f>
        <v>2026.71</v>
      </c>
      <c r="Q111" s="2">
        <f t="shared" si="12"/>
        <v>143101.22</v>
      </c>
    </row>
    <row r="112" spans="1:17" x14ac:dyDescent="0.2">
      <c r="A112" s="5">
        <v>318</v>
      </c>
      <c r="B112" s="5">
        <v>1</v>
      </c>
      <c r="C112" s="2" t="s">
        <v>108</v>
      </c>
      <c r="D112" s="3">
        <f>SUM(Shift11!D112:L112)</f>
        <v>1880613.5300000003</v>
      </c>
      <c r="E112" s="3">
        <f>ROUND(MAX(0,(Levy!Q112+Data!D112+Data!E112-Levy!U112)*0.5),2)</f>
        <v>1420599.55</v>
      </c>
      <c r="F112" s="3">
        <f t="shared" si="7"/>
        <v>460013.98000000021</v>
      </c>
      <c r="G112" s="3">
        <f t="shared" si="8"/>
        <v>1420599.55</v>
      </c>
      <c r="I112" s="3">
        <f>SUM(Shift11!M112:N112)</f>
        <v>0</v>
      </c>
      <c r="J112" s="3">
        <f>ROUND(MAX(0,(Levy!R112-Levy!V112)*0.5),2)</f>
        <v>0</v>
      </c>
      <c r="K112" s="3">
        <f t="shared" si="9"/>
        <v>0</v>
      </c>
      <c r="L112" s="3">
        <f t="shared" si="10"/>
        <v>0</v>
      </c>
      <c r="N112" s="3">
        <f t="shared" si="11"/>
        <v>1420599.55</v>
      </c>
      <c r="O112" s="2">
        <f>SUM(Levy!F112:J112)</f>
        <v>3014195.3400000003</v>
      </c>
      <c r="P112" s="2">
        <f>SUM(Levy!U112:V112)</f>
        <v>172996.25</v>
      </c>
      <c r="Q112" s="2">
        <f t="shared" si="12"/>
        <v>2841199.0900000003</v>
      </c>
    </row>
    <row r="113" spans="1:17" x14ac:dyDescent="0.2">
      <c r="A113" s="5">
        <v>319</v>
      </c>
      <c r="B113" s="5">
        <v>1</v>
      </c>
      <c r="C113" s="2" t="s">
        <v>109</v>
      </c>
      <c r="D113" s="3">
        <f>SUM(Shift11!D113:L113)</f>
        <v>355918.35</v>
      </c>
      <c r="E113" s="3">
        <f>ROUND(MAX(0,(Levy!Q113+Data!D113+Data!E113-Levy!U113)*0.5),2)</f>
        <v>281700.78999999998</v>
      </c>
      <c r="F113" s="3">
        <f t="shared" si="7"/>
        <v>74217.56</v>
      </c>
      <c r="G113" s="3">
        <f t="shared" si="8"/>
        <v>281700.78999999998</v>
      </c>
      <c r="I113" s="3">
        <f>SUM(Shift11!M113:N113)</f>
        <v>0</v>
      </c>
      <c r="J113" s="3">
        <f>ROUND(MAX(0,(Levy!R113-Levy!V113)*0.5),2)</f>
        <v>0</v>
      </c>
      <c r="K113" s="3">
        <f t="shared" si="9"/>
        <v>0</v>
      </c>
      <c r="L113" s="3">
        <f t="shared" si="10"/>
        <v>0</v>
      </c>
      <c r="N113" s="3">
        <f t="shared" si="11"/>
        <v>281700.78999999998</v>
      </c>
      <c r="O113" s="2">
        <f>SUM(Levy!F113:J113)</f>
        <v>605753.81999999995</v>
      </c>
      <c r="P113" s="2">
        <f>SUM(Levy!U113:V113)</f>
        <v>42352.25</v>
      </c>
      <c r="Q113" s="2">
        <f t="shared" si="12"/>
        <v>563401.56999999995</v>
      </c>
    </row>
    <row r="114" spans="1:17" x14ac:dyDescent="0.2">
      <c r="A114" s="5">
        <v>323</v>
      </c>
      <c r="B114" s="5">
        <v>2</v>
      </c>
      <c r="C114" s="2" t="s">
        <v>110</v>
      </c>
      <c r="D114" s="3">
        <f>SUM(Shift11!D114:L114)</f>
        <v>34521.83</v>
      </c>
      <c r="E114" s="3">
        <f>ROUND(MAX(0,(Levy!Q114+Data!D114+Data!E114-Levy!U114)*0.5),2)</f>
        <v>35487.64</v>
      </c>
      <c r="F114" s="3">
        <f t="shared" si="7"/>
        <v>0</v>
      </c>
      <c r="G114" s="3">
        <f t="shared" si="8"/>
        <v>34521.83</v>
      </c>
      <c r="I114" s="3">
        <f>SUM(Shift11!M114:N114)</f>
        <v>1264.02</v>
      </c>
      <c r="J114" s="3">
        <f>ROUND(MAX(0,(Levy!R114-Levy!V114)*0.5),2)</f>
        <v>1282.8800000000001</v>
      </c>
      <c r="K114" s="3">
        <f t="shared" si="9"/>
        <v>0</v>
      </c>
      <c r="L114" s="3">
        <f t="shared" si="10"/>
        <v>1264.02</v>
      </c>
      <c r="N114" s="3">
        <f t="shared" si="11"/>
        <v>35785.85</v>
      </c>
      <c r="O114" s="2">
        <f>SUM(Levy!F114:J114)</f>
        <v>73633.430000000008</v>
      </c>
      <c r="P114" s="2">
        <f>SUM(Levy!U114:V114)</f>
        <v>92.4</v>
      </c>
      <c r="Q114" s="2">
        <f t="shared" si="12"/>
        <v>73541.030000000013</v>
      </c>
    </row>
    <row r="115" spans="1:17" x14ac:dyDescent="0.2">
      <c r="A115" s="5">
        <v>330</v>
      </c>
      <c r="B115" s="5">
        <v>1</v>
      </c>
      <c r="C115" s="2" t="s">
        <v>111</v>
      </c>
      <c r="D115" s="3">
        <f>SUM(Shift11!D115:L115)</f>
        <v>327972.36000000004</v>
      </c>
      <c r="E115" s="3">
        <f>ROUND(MAX(0,(Levy!Q115+Data!D115+Data!E115-Levy!U115)*0.5),2)</f>
        <v>314605.59000000003</v>
      </c>
      <c r="F115" s="3">
        <f t="shared" si="7"/>
        <v>13366.770000000019</v>
      </c>
      <c r="G115" s="3">
        <f t="shared" si="8"/>
        <v>314605.59000000003</v>
      </c>
      <c r="I115" s="3">
        <f>SUM(Shift11!M115:N115)</f>
        <v>13089.44</v>
      </c>
      <c r="J115" s="3">
        <f>ROUND(MAX(0,(Levy!R115-Levy!V115)*0.5),2)</f>
        <v>12995.11</v>
      </c>
      <c r="K115" s="3">
        <f t="shared" si="9"/>
        <v>94.329999999999927</v>
      </c>
      <c r="L115" s="3">
        <f t="shared" si="10"/>
        <v>12995.11</v>
      </c>
      <c r="N115" s="3">
        <f t="shared" si="11"/>
        <v>327600.7</v>
      </c>
      <c r="O115" s="2">
        <f>SUM(Levy!F115:J115)</f>
        <v>661101</v>
      </c>
      <c r="P115" s="2">
        <f>SUM(Levy!U115:V115)</f>
        <v>5899.61</v>
      </c>
      <c r="Q115" s="2">
        <f t="shared" si="12"/>
        <v>655201.39</v>
      </c>
    </row>
    <row r="116" spans="1:17" x14ac:dyDescent="0.2">
      <c r="A116" s="5">
        <v>332</v>
      </c>
      <c r="B116" s="5">
        <v>1</v>
      </c>
      <c r="C116" s="2" t="s">
        <v>112</v>
      </c>
      <c r="D116" s="3">
        <f>SUM(Shift11!D116:L116)</f>
        <v>410466.85</v>
      </c>
      <c r="E116" s="3">
        <f>ROUND(MAX(0,(Levy!Q116+Data!D116+Data!E116-Levy!U116)*0.5),2)</f>
        <v>366066.18</v>
      </c>
      <c r="F116" s="3">
        <f t="shared" si="7"/>
        <v>44400.669999999984</v>
      </c>
      <c r="G116" s="3">
        <f t="shared" si="8"/>
        <v>366066.18</v>
      </c>
      <c r="I116" s="3">
        <f>SUM(Shift11!M116:N116)</f>
        <v>49338.34</v>
      </c>
      <c r="J116" s="3">
        <f>ROUND(MAX(0,(Levy!R116-Levy!V116)*0.5),2)</f>
        <v>49899.97</v>
      </c>
      <c r="K116" s="3">
        <f t="shared" si="9"/>
        <v>0</v>
      </c>
      <c r="L116" s="3">
        <f t="shared" si="10"/>
        <v>49338.34</v>
      </c>
      <c r="N116" s="3">
        <f t="shared" si="11"/>
        <v>415404.52</v>
      </c>
      <c r="O116" s="2">
        <f>SUM(Levy!F116:J116)</f>
        <v>840483.45</v>
      </c>
      <c r="P116" s="2">
        <f>SUM(Levy!U116:V116)</f>
        <v>8551.16</v>
      </c>
      <c r="Q116" s="2">
        <f t="shared" si="12"/>
        <v>831932.28999999992</v>
      </c>
    </row>
    <row r="117" spans="1:17" x14ac:dyDescent="0.2">
      <c r="A117" s="5">
        <v>333</v>
      </c>
      <c r="B117" s="5">
        <v>1</v>
      </c>
      <c r="C117" s="2" t="s">
        <v>113</v>
      </c>
      <c r="D117" s="3">
        <f>SUM(Shift11!D117:L117)</f>
        <v>131039.46</v>
      </c>
      <c r="E117" s="3">
        <f>ROUND(MAX(0,(Levy!Q117+Data!D117+Data!E117-Levy!U117)*0.5),2)</f>
        <v>98742.06</v>
      </c>
      <c r="F117" s="3">
        <f t="shared" si="7"/>
        <v>32297.400000000009</v>
      </c>
      <c r="G117" s="3">
        <f t="shared" si="8"/>
        <v>98742.06</v>
      </c>
      <c r="I117" s="3">
        <f>SUM(Shift11!M117:N117)</f>
        <v>14683.69</v>
      </c>
      <c r="J117" s="3">
        <f>ROUND(MAX(0,(Levy!R117-Levy!V117)*0.5),2)</f>
        <v>14610.36</v>
      </c>
      <c r="K117" s="3">
        <f t="shared" si="9"/>
        <v>73.329999999999927</v>
      </c>
      <c r="L117" s="3">
        <f t="shared" si="10"/>
        <v>14610.36</v>
      </c>
      <c r="N117" s="3">
        <f t="shared" si="11"/>
        <v>113352.42</v>
      </c>
      <c r="O117" s="2">
        <f>SUM(Levy!F117:J117)</f>
        <v>232297.55</v>
      </c>
      <c r="P117" s="2">
        <f>SUM(Levy!U117:V117)</f>
        <v>5592.7199999999993</v>
      </c>
      <c r="Q117" s="2">
        <f t="shared" si="12"/>
        <v>226704.83</v>
      </c>
    </row>
    <row r="118" spans="1:17" x14ac:dyDescent="0.2">
      <c r="A118" s="5">
        <v>345</v>
      </c>
      <c r="B118" s="5">
        <v>1</v>
      </c>
      <c r="C118" s="2" t="s">
        <v>114</v>
      </c>
      <c r="D118" s="3">
        <f>SUM(Shift11!D118:L118)</f>
        <v>1119666.81</v>
      </c>
      <c r="E118" s="3">
        <f>ROUND(MAX(0,(Levy!Q118+Data!D118+Data!E118-Levy!U118)*0.5),2)</f>
        <v>1123310.49</v>
      </c>
      <c r="F118" s="3">
        <f t="shared" si="7"/>
        <v>0</v>
      </c>
      <c r="G118" s="3">
        <f t="shared" si="8"/>
        <v>1119666.81</v>
      </c>
      <c r="I118" s="3">
        <f>SUM(Shift11!M118:N118)</f>
        <v>72792.86</v>
      </c>
      <c r="J118" s="3">
        <f>ROUND(MAX(0,(Levy!R118-Levy!V118)*0.5),2)</f>
        <v>74279.77</v>
      </c>
      <c r="K118" s="3">
        <f t="shared" si="9"/>
        <v>0</v>
      </c>
      <c r="L118" s="3">
        <f t="shared" si="10"/>
        <v>72792.86</v>
      </c>
      <c r="N118" s="3">
        <f t="shared" si="11"/>
        <v>1192459.6700000002</v>
      </c>
      <c r="O118" s="2">
        <f>SUM(Levy!F118:J118)</f>
        <v>2405430.0300000003</v>
      </c>
      <c r="P118" s="2">
        <f>SUM(Levy!U118:V118)</f>
        <v>10249.51</v>
      </c>
      <c r="Q118" s="2">
        <f t="shared" si="12"/>
        <v>2395180.5200000005</v>
      </c>
    </row>
    <row r="119" spans="1:17" x14ac:dyDescent="0.2">
      <c r="A119" s="5">
        <v>347</v>
      </c>
      <c r="B119" s="5">
        <v>1</v>
      </c>
      <c r="C119" s="2" t="s">
        <v>115</v>
      </c>
      <c r="D119" s="3">
        <f>SUM(Shift11!D119:L119)</f>
        <v>2121925.0099999998</v>
      </c>
      <c r="E119" s="3">
        <f>ROUND(MAX(0,(Levy!Q119+Data!D119+Data!E119-Levy!U119)*0.5),2)</f>
        <v>2079252.27</v>
      </c>
      <c r="F119" s="3">
        <f t="shared" si="7"/>
        <v>42672.739999999758</v>
      </c>
      <c r="G119" s="3">
        <f t="shared" si="8"/>
        <v>2079252.27</v>
      </c>
      <c r="I119" s="3">
        <f>SUM(Shift11!M119:N119)</f>
        <v>185363.74</v>
      </c>
      <c r="J119" s="3">
        <f>ROUND(MAX(0,(Levy!R119-Levy!V119)*0.5),2)</f>
        <v>189813.06</v>
      </c>
      <c r="K119" s="3">
        <f t="shared" si="9"/>
        <v>0</v>
      </c>
      <c r="L119" s="3">
        <f t="shared" si="10"/>
        <v>185363.74</v>
      </c>
      <c r="N119" s="3">
        <f t="shared" si="11"/>
        <v>2264616.0099999998</v>
      </c>
      <c r="O119" s="2">
        <f>SUM(Levy!F119:J119)</f>
        <v>4547151.93</v>
      </c>
      <c r="P119" s="2">
        <f>SUM(Levy!U119:V119)</f>
        <v>9021.2800000000007</v>
      </c>
      <c r="Q119" s="2">
        <f t="shared" si="12"/>
        <v>4538130.6499999994</v>
      </c>
    </row>
    <row r="120" spans="1:17" x14ac:dyDescent="0.2">
      <c r="A120" s="5">
        <v>356</v>
      </c>
      <c r="B120" s="5">
        <v>1</v>
      </c>
      <c r="C120" s="2" t="s">
        <v>116</v>
      </c>
      <c r="D120" s="3">
        <f>SUM(Shift11!D120:L120)</f>
        <v>103147.9</v>
      </c>
      <c r="E120" s="3">
        <f>ROUND(MAX(0,(Levy!Q120+Data!D120+Data!E120-Levy!U120)*0.5),2)</f>
        <v>98594.41</v>
      </c>
      <c r="F120" s="3">
        <f t="shared" si="7"/>
        <v>4553.4899999999907</v>
      </c>
      <c r="G120" s="3">
        <f t="shared" si="8"/>
        <v>98594.41</v>
      </c>
      <c r="I120" s="3">
        <f>SUM(Shift11!M120:N120)</f>
        <v>5262.36</v>
      </c>
      <c r="J120" s="3">
        <f>ROUND(MAX(0,(Levy!R120-Levy!V120)*0.5),2)</f>
        <v>5106.46</v>
      </c>
      <c r="K120" s="3">
        <f t="shared" si="9"/>
        <v>155.89999999999964</v>
      </c>
      <c r="L120" s="3">
        <f t="shared" si="10"/>
        <v>5106.46</v>
      </c>
      <c r="N120" s="3">
        <f t="shared" si="11"/>
        <v>103700.87000000001</v>
      </c>
      <c r="O120" s="2">
        <f>SUM(Levy!F120:J120)</f>
        <v>210076.59</v>
      </c>
      <c r="P120" s="2">
        <f>SUM(Levy!U120:V120)</f>
        <v>2674.8500000000004</v>
      </c>
      <c r="Q120" s="2">
        <f t="shared" si="12"/>
        <v>207401.74</v>
      </c>
    </row>
    <row r="121" spans="1:17" x14ac:dyDescent="0.2">
      <c r="A121" s="5">
        <v>361</v>
      </c>
      <c r="B121" s="5">
        <v>1</v>
      </c>
      <c r="C121" s="2" t="s">
        <v>117</v>
      </c>
      <c r="D121" s="3">
        <f>SUM(Shift11!D121:L121)</f>
        <v>807283.71999999986</v>
      </c>
      <c r="E121" s="3">
        <f>ROUND(MAX(0,(Levy!Q121+Data!D121+Data!E121-Levy!U121)*0.5),2)</f>
        <v>758869.86</v>
      </c>
      <c r="F121" s="3">
        <f t="shared" si="7"/>
        <v>48413.85999999987</v>
      </c>
      <c r="G121" s="3">
        <f t="shared" si="8"/>
        <v>758869.86</v>
      </c>
      <c r="I121" s="3">
        <f>SUM(Shift11!M121:N121)</f>
        <v>61412.06</v>
      </c>
      <c r="J121" s="3">
        <f>ROUND(MAX(0,(Levy!R121-Levy!V121)*0.5),2)</f>
        <v>54493.35</v>
      </c>
      <c r="K121" s="3">
        <f t="shared" si="9"/>
        <v>6918.7099999999991</v>
      </c>
      <c r="L121" s="3">
        <f t="shared" si="10"/>
        <v>54493.35</v>
      </c>
      <c r="N121" s="3">
        <f t="shared" si="11"/>
        <v>813363.21</v>
      </c>
      <c r="O121" s="2">
        <f>SUM(Levy!F121:J121)</f>
        <v>1766957.41</v>
      </c>
      <c r="P121" s="2">
        <f>SUM(Levy!U121:V121)</f>
        <v>140231</v>
      </c>
      <c r="Q121" s="2">
        <f t="shared" si="12"/>
        <v>1626726.41</v>
      </c>
    </row>
    <row r="122" spans="1:17" x14ac:dyDescent="0.2">
      <c r="A122" s="5">
        <v>362</v>
      </c>
      <c r="B122" s="5">
        <v>1</v>
      </c>
      <c r="C122" s="2" t="s">
        <v>118</v>
      </c>
      <c r="D122" s="3">
        <f>SUM(Shift11!D122:L122)</f>
        <v>54043.66</v>
      </c>
      <c r="E122" s="3">
        <f>ROUND(MAX(0,(Levy!Q122+Data!D122+Data!E122-Levy!U122)*0.5),2)</f>
        <v>53535.8</v>
      </c>
      <c r="F122" s="3">
        <f t="shared" si="7"/>
        <v>507.86000000000058</v>
      </c>
      <c r="G122" s="3">
        <f t="shared" si="8"/>
        <v>53535.8</v>
      </c>
      <c r="I122" s="3">
        <f>SUM(Shift11!M122:N122)</f>
        <v>8385.06</v>
      </c>
      <c r="J122" s="3">
        <f>ROUND(MAX(0,(Levy!R122-Levy!V122)*0.5),2)</f>
        <v>8248.49</v>
      </c>
      <c r="K122" s="3">
        <f t="shared" si="9"/>
        <v>136.56999999999971</v>
      </c>
      <c r="L122" s="3">
        <f t="shared" si="10"/>
        <v>8248.49</v>
      </c>
      <c r="N122" s="3">
        <f t="shared" si="11"/>
        <v>61784.29</v>
      </c>
      <c r="O122" s="2">
        <f>SUM(Levy!F122:J122)</f>
        <v>128378.28999999998</v>
      </c>
      <c r="P122" s="2">
        <f>SUM(Levy!U122:V122)</f>
        <v>4809.7299999999996</v>
      </c>
      <c r="Q122" s="2">
        <f t="shared" si="12"/>
        <v>123568.55999999998</v>
      </c>
    </row>
    <row r="123" spans="1:17" x14ac:dyDescent="0.2">
      <c r="A123" s="5">
        <v>363</v>
      </c>
      <c r="B123" s="5">
        <v>1</v>
      </c>
      <c r="C123" s="2" t="s">
        <v>119</v>
      </c>
      <c r="D123" s="3">
        <f>SUM(Shift11!D123:L123)</f>
        <v>165274.94</v>
      </c>
      <c r="E123" s="3">
        <f>ROUND(MAX(0,(Levy!Q123+Data!D123+Data!E123-Levy!U123)*0.5),2)</f>
        <v>159699.18</v>
      </c>
      <c r="F123" s="3">
        <f t="shared" si="7"/>
        <v>5575.7600000000093</v>
      </c>
      <c r="G123" s="3">
        <f t="shared" si="8"/>
        <v>159699.18</v>
      </c>
      <c r="I123" s="3">
        <f>SUM(Shift11!M123:N123)</f>
        <v>8372.2099999999991</v>
      </c>
      <c r="J123" s="3">
        <f>ROUND(MAX(0,(Levy!R123-Levy!V123)*0.5),2)</f>
        <v>8208.35</v>
      </c>
      <c r="K123" s="3">
        <f t="shared" si="9"/>
        <v>163.85999999999876</v>
      </c>
      <c r="L123" s="3">
        <f t="shared" si="10"/>
        <v>8208.35</v>
      </c>
      <c r="N123" s="3">
        <f t="shared" si="11"/>
        <v>167907.53</v>
      </c>
      <c r="O123" s="2">
        <f>SUM(Levy!F123:J123)</f>
        <v>350829.66</v>
      </c>
      <c r="P123" s="2">
        <f>SUM(Levy!U123:V123)</f>
        <v>15014.619999999999</v>
      </c>
      <c r="Q123" s="2">
        <f t="shared" si="12"/>
        <v>335815.04</v>
      </c>
    </row>
    <row r="124" spans="1:17" x14ac:dyDescent="0.2">
      <c r="A124" s="5">
        <v>378</v>
      </c>
      <c r="B124" s="5">
        <v>1</v>
      </c>
      <c r="C124" s="2" t="s">
        <v>120</v>
      </c>
      <c r="D124" s="3">
        <f>SUM(Shift11!D124:L124)</f>
        <v>279436.41000000003</v>
      </c>
      <c r="E124" s="3">
        <f>ROUND(MAX(0,(Levy!Q124+Data!D124+Data!E124-Levy!U124)*0.5),2)</f>
        <v>265644.31</v>
      </c>
      <c r="F124" s="3">
        <f t="shared" si="7"/>
        <v>13792.100000000035</v>
      </c>
      <c r="G124" s="3">
        <f t="shared" si="8"/>
        <v>265644.31</v>
      </c>
      <c r="I124" s="3">
        <f>SUM(Shift11!M124:N124)</f>
        <v>31516.86</v>
      </c>
      <c r="J124" s="3">
        <f>ROUND(MAX(0,(Levy!R124-Levy!V124)*0.5),2)</f>
        <v>29488.45</v>
      </c>
      <c r="K124" s="3">
        <f t="shared" si="9"/>
        <v>2028.4099999999999</v>
      </c>
      <c r="L124" s="3">
        <f t="shared" si="10"/>
        <v>29488.45</v>
      </c>
      <c r="N124" s="3">
        <f t="shared" si="11"/>
        <v>295132.76</v>
      </c>
      <c r="O124" s="2">
        <f>SUM(Levy!F124:J124)</f>
        <v>620791.41</v>
      </c>
      <c r="P124" s="2">
        <f>SUM(Levy!U124:V124)</f>
        <v>30525.899999999998</v>
      </c>
      <c r="Q124" s="2">
        <f t="shared" si="12"/>
        <v>590265.51</v>
      </c>
    </row>
    <row r="125" spans="1:17" x14ac:dyDescent="0.2">
      <c r="A125" s="5">
        <v>381</v>
      </c>
      <c r="B125" s="5">
        <v>1</v>
      </c>
      <c r="C125" s="2" t="s">
        <v>121</v>
      </c>
      <c r="D125" s="3">
        <f>SUM(Shift11!D125:L125)</f>
        <v>490446.83</v>
      </c>
      <c r="E125" s="3">
        <f>ROUND(MAX(0,(Levy!Q125+Data!D125+Data!E125-Levy!U125)*0.5),2)</f>
        <v>300927.03000000003</v>
      </c>
      <c r="F125" s="3">
        <f t="shared" si="7"/>
        <v>189519.8</v>
      </c>
      <c r="G125" s="3">
        <f t="shared" si="8"/>
        <v>300927.03000000003</v>
      </c>
      <c r="I125" s="3">
        <f>SUM(Shift11!M125:N125)</f>
        <v>0</v>
      </c>
      <c r="J125" s="3">
        <f>ROUND(MAX(0,(Levy!R125-Levy!V125)*0.5),2)</f>
        <v>0</v>
      </c>
      <c r="K125" s="3">
        <f t="shared" si="9"/>
        <v>0</v>
      </c>
      <c r="L125" s="3">
        <f t="shared" si="10"/>
        <v>0</v>
      </c>
      <c r="N125" s="3">
        <f t="shared" si="11"/>
        <v>300927.03000000003</v>
      </c>
      <c r="O125" s="2">
        <f>SUM(Levy!F125:J125)</f>
        <v>636491.58000000007</v>
      </c>
      <c r="P125" s="2">
        <f>SUM(Levy!U125:V125)</f>
        <v>34637.520000000004</v>
      </c>
      <c r="Q125" s="2">
        <f t="shared" si="12"/>
        <v>601854.06000000006</v>
      </c>
    </row>
    <row r="126" spans="1:17" x14ac:dyDescent="0.2">
      <c r="A126" s="5">
        <v>390</v>
      </c>
      <c r="B126" s="5">
        <v>1</v>
      </c>
      <c r="C126" s="2" t="s">
        <v>122</v>
      </c>
      <c r="D126" s="3">
        <f>SUM(Shift11!D126:L126)</f>
        <v>362178.52999999997</v>
      </c>
      <c r="E126" s="3">
        <f>ROUND(MAX(0,(Levy!Q126+Data!D126+Data!E126-Levy!U126)*0.5),2)</f>
        <v>360125.55</v>
      </c>
      <c r="F126" s="3">
        <f t="shared" si="7"/>
        <v>2052.9799999999814</v>
      </c>
      <c r="G126" s="3">
        <f t="shared" si="8"/>
        <v>360125.55</v>
      </c>
      <c r="I126" s="3">
        <f>SUM(Shift11!M126:N126)</f>
        <v>20469.349999999999</v>
      </c>
      <c r="J126" s="3">
        <f>ROUND(MAX(0,(Levy!R126-Levy!V126)*0.5),2)</f>
        <v>20687.52</v>
      </c>
      <c r="K126" s="3">
        <f t="shared" si="9"/>
        <v>0</v>
      </c>
      <c r="L126" s="3">
        <f t="shared" si="10"/>
        <v>20469.349999999999</v>
      </c>
      <c r="N126" s="3">
        <f t="shared" si="11"/>
        <v>380594.89999999997</v>
      </c>
      <c r="O126" s="2">
        <f>SUM(Levy!F126:J126)</f>
        <v>764528</v>
      </c>
      <c r="P126" s="2">
        <f>SUM(Levy!U126:V126)</f>
        <v>2901.87</v>
      </c>
      <c r="Q126" s="2">
        <f t="shared" si="12"/>
        <v>761626.13</v>
      </c>
    </row>
    <row r="127" spans="1:17" x14ac:dyDescent="0.2">
      <c r="A127" s="5">
        <v>391</v>
      </c>
      <c r="B127" s="5">
        <v>1</v>
      </c>
      <c r="C127" s="2" t="s">
        <v>123</v>
      </c>
      <c r="D127" s="3">
        <f>SUM(Shift11!D127:L127)</f>
        <v>366201.76999999996</v>
      </c>
      <c r="E127" s="3">
        <f>ROUND(MAX(0,(Levy!Q127+Data!D127+Data!E127-Levy!U127)*0.5),2)</f>
        <v>364460.77</v>
      </c>
      <c r="F127" s="3">
        <f t="shared" si="7"/>
        <v>1740.9999999999418</v>
      </c>
      <c r="G127" s="3">
        <f t="shared" si="8"/>
        <v>364460.77</v>
      </c>
      <c r="I127" s="3">
        <f>SUM(Shift11!M127:N127)</f>
        <v>16647.439999999999</v>
      </c>
      <c r="J127" s="3">
        <f>ROUND(MAX(0,(Levy!R127-Levy!V127)*0.5),2)</f>
        <v>16576.080000000002</v>
      </c>
      <c r="K127" s="3">
        <f t="shared" si="9"/>
        <v>71.359999999996944</v>
      </c>
      <c r="L127" s="3">
        <f t="shared" si="10"/>
        <v>16576.080000000002</v>
      </c>
      <c r="N127" s="3">
        <f t="shared" si="11"/>
        <v>381036.85000000003</v>
      </c>
      <c r="O127" s="2">
        <f>SUM(Levy!F127:J127)</f>
        <v>772675</v>
      </c>
      <c r="P127" s="2">
        <f>SUM(Levy!U127:V127)</f>
        <v>10601.3</v>
      </c>
      <c r="Q127" s="2">
        <f t="shared" si="12"/>
        <v>762073.7</v>
      </c>
    </row>
    <row r="128" spans="1:17" x14ac:dyDescent="0.2">
      <c r="A128" s="5">
        <v>392</v>
      </c>
      <c r="B128" s="5">
        <v>1</v>
      </c>
      <c r="C128" s="2" t="s">
        <v>124</v>
      </c>
      <c r="D128" s="3">
        <f>SUM(Shift11!D128:L128)</f>
        <v>341687.73</v>
      </c>
      <c r="E128" s="3">
        <f>ROUND(MAX(0,(Levy!Q128+Data!D128+Data!E128-Levy!U128)*0.5),2)</f>
        <v>331800.59999999998</v>
      </c>
      <c r="F128" s="3">
        <f t="shared" si="7"/>
        <v>9887.1300000000047</v>
      </c>
      <c r="G128" s="3">
        <f t="shared" si="8"/>
        <v>331800.59999999998</v>
      </c>
      <c r="I128" s="3">
        <f>SUM(Shift11!M128:N128)</f>
        <v>14960.05</v>
      </c>
      <c r="J128" s="3">
        <f>ROUND(MAX(0,(Levy!R128-Levy!V128)*0.5),2)</f>
        <v>15039.88</v>
      </c>
      <c r="K128" s="3">
        <f t="shared" si="9"/>
        <v>0</v>
      </c>
      <c r="L128" s="3">
        <f t="shared" si="10"/>
        <v>14960.05</v>
      </c>
      <c r="N128" s="3">
        <f t="shared" si="11"/>
        <v>346760.64999999997</v>
      </c>
      <c r="O128" s="2">
        <f>SUM(Levy!F128:J128)</f>
        <v>701236</v>
      </c>
      <c r="P128" s="2">
        <f>SUM(Levy!U128:V128)</f>
        <v>7555.05</v>
      </c>
      <c r="Q128" s="2">
        <f t="shared" si="12"/>
        <v>693680.95</v>
      </c>
    </row>
    <row r="129" spans="1:17" x14ac:dyDescent="0.2">
      <c r="A129" s="5">
        <v>394</v>
      </c>
      <c r="B129" s="5">
        <v>1</v>
      </c>
      <c r="C129" s="2" t="s">
        <v>125</v>
      </c>
      <c r="D129" s="3">
        <f>SUM(Shift11!D129:L129)</f>
        <v>598299.31999999995</v>
      </c>
      <c r="E129" s="3">
        <f>ROUND(MAX(0,(Levy!Q129+Data!D129+Data!E129-Levy!U129)*0.5),2)</f>
        <v>579847.53</v>
      </c>
      <c r="F129" s="3">
        <f t="shared" si="7"/>
        <v>18451.789999999921</v>
      </c>
      <c r="G129" s="3">
        <f t="shared" si="8"/>
        <v>579847.53</v>
      </c>
      <c r="I129" s="3">
        <f>SUM(Shift11!M129:N129)</f>
        <v>50123.12</v>
      </c>
      <c r="J129" s="3">
        <f>ROUND(MAX(0,(Levy!R129-Levy!V129)*0.5),2)</f>
        <v>50395.61</v>
      </c>
      <c r="K129" s="3">
        <f t="shared" si="9"/>
        <v>0</v>
      </c>
      <c r="L129" s="3">
        <f t="shared" si="10"/>
        <v>50123.12</v>
      </c>
      <c r="N129" s="3">
        <f t="shared" si="11"/>
        <v>629970.65</v>
      </c>
      <c r="O129" s="2">
        <f>SUM(Levy!F129:J129)</f>
        <v>1274227</v>
      </c>
      <c r="P129" s="2">
        <f>SUM(Levy!U129:V129)</f>
        <v>13740.720000000001</v>
      </c>
      <c r="Q129" s="2">
        <f t="shared" si="12"/>
        <v>1260486.28</v>
      </c>
    </row>
    <row r="130" spans="1:17" x14ac:dyDescent="0.2">
      <c r="A130" s="5">
        <v>402</v>
      </c>
      <c r="B130" s="5">
        <v>1</v>
      </c>
      <c r="C130" s="2" t="s">
        <v>126</v>
      </c>
      <c r="D130" s="3">
        <f>SUM(Shift11!D130:L130)</f>
        <v>180624.67000000004</v>
      </c>
      <c r="E130" s="3">
        <f>ROUND(MAX(0,(Levy!Q130+Data!D130+Data!E130-Levy!U130)*0.5),2)</f>
        <v>177478.38</v>
      </c>
      <c r="F130" s="3">
        <f t="shared" si="7"/>
        <v>3146.2900000000373</v>
      </c>
      <c r="G130" s="3">
        <f t="shared" si="8"/>
        <v>177478.38</v>
      </c>
      <c r="I130" s="3">
        <f>SUM(Shift11!M130:N130)</f>
        <v>11757.31</v>
      </c>
      <c r="J130" s="3">
        <f>ROUND(MAX(0,(Levy!R130-Levy!V130)*0.5),2)</f>
        <v>11800.28</v>
      </c>
      <c r="K130" s="3">
        <f t="shared" si="9"/>
        <v>0</v>
      </c>
      <c r="L130" s="3">
        <f t="shared" si="10"/>
        <v>11757.31</v>
      </c>
      <c r="N130" s="3">
        <f t="shared" si="11"/>
        <v>189235.69</v>
      </c>
      <c r="O130" s="2">
        <f>SUM(Levy!F130:J130)</f>
        <v>383723</v>
      </c>
      <c r="P130" s="2">
        <f>SUM(Levy!U130:V130)</f>
        <v>5165.6899999999996</v>
      </c>
      <c r="Q130" s="2">
        <f t="shared" si="12"/>
        <v>378557.31</v>
      </c>
    </row>
    <row r="131" spans="1:17" x14ac:dyDescent="0.2">
      <c r="A131" s="5">
        <v>403</v>
      </c>
      <c r="B131" s="5">
        <v>1</v>
      </c>
      <c r="C131" s="2" t="s">
        <v>127</v>
      </c>
      <c r="D131" s="3">
        <f>SUM(Shift11!D131:L131)</f>
        <v>138727.31</v>
      </c>
      <c r="E131" s="3">
        <f>ROUND(MAX(0,(Levy!Q131+Data!D131+Data!E131-Levy!U131)*0.5),2)</f>
        <v>135002.82999999999</v>
      </c>
      <c r="F131" s="3">
        <f t="shared" si="7"/>
        <v>3724.4800000000105</v>
      </c>
      <c r="G131" s="3">
        <f t="shared" si="8"/>
        <v>135002.82999999999</v>
      </c>
      <c r="I131" s="3">
        <f>SUM(Shift11!M131:N131)</f>
        <v>8906.44</v>
      </c>
      <c r="J131" s="3">
        <f>ROUND(MAX(0,(Levy!R131-Levy!V131)*0.5),2)</f>
        <v>8889.7900000000009</v>
      </c>
      <c r="K131" s="3">
        <f t="shared" si="9"/>
        <v>16.649999999999636</v>
      </c>
      <c r="L131" s="3">
        <f t="shared" si="10"/>
        <v>8889.7900000000009</v>
      </c>
      <c r="N131" s="3">
        <f t="shared" si="11"/>
        <v>143892.62</v>
      </c>
      <c r="O131" s="2">
        <f>SUM(Levy!F131:J131)</f>
        <v>291436</v>
      </c>
      <c r="P131" s="2">
        <f>SUM(Levy!U131:V131)</f>
        <v>3650.76</v>
      </c>
      <c r="Q131" s="2">
        <f t="shared" si="12"/>
        <v>287785.24</v>
      </c>
    </row>
    <row r="132" spans="1:17" x14ac:dyDescent="0.2">
      <c r="A132" s="5">
        <v>404</v>
      </c>
      <c r="B132" s="5">
        <v>1</v>
      </c>
      <c r="C132" s="2" t="s">
        <v>128</v>
      </c>
      <c r="D132" s="3">
        <f>SUM(Shift11!D132:L132)</f>
        <v>190200.61000000002</v>
      </c>
      <c r="E132" s="3">
        <f>ROUND(MAX(0,(Levy!Q132+Data!D132+Data!E132-Levy!U132)*0.5),2)</f>
        <v>186289.33</v>
      </c>
      <c r="F132" s="3">
        <f t="shared" si="7"/>
        <v>3911.2800000000279</v>
      </c>
      <c r="G132" s="3">
        <f t="shared" si="8"/>
        <v>186289.33</v>
      </c>
      <c r="I132" s="3">
        <f>SUM(Shift11!M132:N132)</f>
        <v>3209.54</v>
      </c>
      <c r="J132" s="3">
        <f>ROUND(MAX(0,(Levy!R132-Levy!V132)*0.5),2)</f>
        <v>3130.77</v>
      </c>
      <c r="K132" s="3">
        <f t="shared" si="9"/>
        <v>78.769999999999982</v>
      </c>
      <c r="L132" s="3">
        <f t="shared" si="10"/>
        <v>3130.77</v>
      </c>
      <c r="N132" s="3">
        <f t="shared" si="11"/>
        <v>189420.09999999998</v>
      </c>
      <c r="O132" s="2">
        <f>SUM(Levy!F132:J132)</f>
        <v>385477</v>
      </c>
      <c r="P132" s="2">
        <f>SUM(Levy!U132:V132)</f>
        <v>6636.81</v>
      </c>
      <c r="Q132" s="2">
        <f t="shared" si="12"/>
        <v>378840.19</v>
      </c>
    </row>
    <row r="133" spans="1:17" x14ac:dyDescent="0.2">
      <c r="A133" s="5">
        <v>413</v>
      </c>
      <c r="B133" s="5">
        <v>1</v>
      </c>
      <c r="C133" s="2" t="s">
        <v>129</v>
      </c>
      <c r="D133" s="3">
        <f>SUM(Shift11!D133:L133)</f>
        <v>1343876.9899999998</v>
      </c>
      <c r="E133" s="3">
        <f>ROUND(MAX(0,(Levy!Q133+Data!D133+Data!E133-Levy!U133)*0.5),2)</f>
        <v>1330316.68</v>
      </c>
      <c r="F133" s="3">
        <f t="shared" si="7"/>
        <v>13560.309999999823</v>
      </c>
      <c r="G133" s="3">
        <f t="shared" si="8"/>
        <v>1330316.68</v>
      </c>
      <c r="I133" s="3">
        <f>SUM(Shift11!M133:N133)</f>
        <v>83886.03</v>
      </c>
      <c r="J133" s="3">
        <f>ROUND(MAX(0,(Levy!R133-Levy!V133)*0.5),2)</f>
        <v>85818.22</v>
      </c>
      <c r="K133" s="3">
        <f t="shared" si="9"/>
        <v>0</v>
      </c>
      <c r="L133" s="3">
        <f t="shared" si="10"/>
        <v>83886.03</v>
      </c>
      <c r="N133" s="3">
        <f t="shared" si="11"/>
        <v>1414202.71</v>
      </c>
      <c r="O133" s="2">
        <f>SUM(Levy!F133:J133)</f>
        <v>2839344</v>
      </c>
      <c r="P133" s="2">
        <f>SUM(Levy!U133:V133)</f>
        <v>7074.2000000000007</v>
      </c>
      <c r="Q133" s="2">
        <f t="shared" si="12"/>
        <v>2832269.8</v>
      </c>
    </row>
    <row r="134" spans="1:17" x14ac:dyDescent="0.2">
      <c r="A134" s="5">
        <v>414</v>
      </c>
      <c r="B134" s="5">
        <v>1</v>
      </c>
      <c r="C134" s="2" t="s">
        <v>130</v>
      </c>
      <c r="D134" s="3">
        <f>SUM(Shift11!D134:L134)</f>
        <v>209059.11000000002</v>
      </c>
      <c r="E134" s="3">
        <f>ROUND(MAX(0,(Levy!Q134+Data!D134+Data!E134-Levy!U134)*0.5),2)</f>
        <v>199825.43</v>
      </c>
      <c r="F134" s="3">
        <f t="shared" ref="F134:F196" si="13">IF(D134&gt;E134,D134-E134,0)</f>
        <v>9233.6800000000221</v>
      </c>
      <c r="G134" s="3">
        <f t="shared" ref="G134:G196" si="14">MAX(0,MIN(D134,E134))</f>
        <v>199825.43</v>
      </c>
      <c r="I134" s="3">
        <f>SUM(Shift11!M134:N134)</f>
        <v>15615.67</v>
      </c>
      <c r="J134" s="3">
        <f>ROUND(MAX(0,(Levy!R134-Levy!V134)*0.5),2)</f>
        <v>15639.51</v>
      </c>
      <c r="K134" s="3">
        <f t="shared" ref="K134:K196" si="15">IF(I134&gt;J134,I134-J134,0)</f>
        <v>0</v>
      </c>
      <c r="L134" s="3">
        <f t="shared" ref="L134:L196" si="16">MAX(0,MIN(I134,J134))</f>
        <v>15615.67</v>
      </c>
      <c r="N134" s="3">
        <f t="shared" si="11"/>
        <v>215441.1</v>
      </c>
      <c r="O134" s="2">
        <f>SUM(Levy!F134:J134)</f>
        <v>437361</v>
      </c>
      <c r="P134" s="2">
        <f>SUM(Levy!U134:V134)</f>
        <v>6431.1299999999992</v>
      </c>
      <c r="Q134" s="2">
        <f t="shared" si="12"/>
        <v>430929.87</v>
      </c>
    </row>
    <row r="135" spans="1:17" x14ac:dyDescent="0.2">
      <c r="A135" s="5">
        <v>415</v>
      </c>
      <c r="B135" s="5">
        <v>1</v>
      </c>
      <c r="C135" s="2" t="s">
        <v>131</v>
      </c>
      <c r="D135" s="3">
        <f>SUM(Shift11!D135:L135)</f>
        <v>176009.31999999998</v>
      </c>
      <c r="E135" s="3">
        <f>ROUND(MAX(0,(Levy!Q135+Data!D135+Data!E135-Levy!U135)*0.5),2)</f>
        <v>177396.98</v>
      </c>
      <c r="F135" s="3">
        <f t="shared" si="13"/>
        <v>0</v>
      </c>
      <c r="G135" s="3">
        <f t="shared" si="14"/>
        <v>176009.31999999998</v>
      </c>
      <c r="I135" s="3">
        <f>SUM(Shift11!M135:N135)</f>
        <v>24989.15</v>
      </c>
      <c r="J135" s="3">
        <f>ROUND(MAX(0,(Levy!R135-Levy!V135)*0.5),2)</f>
        <v>24778.799999999999</v>
      </c>
      <c r="K135" s="3">
        <f t="shared" si="15"/>
        <v>210.35000000000218</v>
      </c>
      <c r="L135" s="3">
        <f t="shared" si="16"/>
        <v>24778.799999999999</v>
      </c>
      <c r="N135" s="3">
        <f t="shared" si="11"/>
        <v>200788.11999999997</v>
      </c>
      <c r="O135" s="2">
        <f>SUM(Levy!F135:J135)</f>
        <v>408718</v>
      </c>
      <c r="P135" s="2">
        <f>SUM(Levy!U135:V135)</f>
        <v>4366.45</v>
      </c>
      <c r="Q135" s="2">
        <f t="shared" si="12"/>
        <v>404351.55</v>
      </c>
    </row>
    <row r="136" spans="1:17" x14ac:dyDescent="0.2">
      <c r="A136" s="5">
        <v>423</v>
      </c>
      <c r="B136" s="5">
        <v>1</v>
      </c>
      <c r="C136" s="2" t="s">
        <v>132</v>
      </c>
      <c r="D136" s="3">
        <f>SUM(Shift11!D136:L136)</f>
        <v>1753190.9999999998</v>
      </c>
      <c r="E136" s="3">
        <f>ROUND(MAX(0,(Levy!Q136+Data!D136+Data!E136-Levy!U136)*0.5),2)</f>
        <v>1736381.05</v>
      </c>
      <c r="F136" s="3">
        <f t="shared" si="13"/>
        <v>16809.949999999721</v>
      </c>
      <c r="G136" s="3">
        <f t="shared" si="14"/>
        <v>1736381.05</v>
      </c>
      <c r="I136" s="3">
        <f>SUM(Shift11!M136:N136)</f>
        <v>97746.16</v>
      </c>
      <c r="J136" s="3">
        <f>ROUND(MAX(0,(Levy!R136-Levy!V136)*0.5),2)</f>
        <v>98782.720000000001</v>
      </c>
      <c r="K136" s="3">
        <f t="shared" si="15"/>
        <v>0</v>
      </c>
      <c r="L136" s="3">
        <f t="shared" si="16"/>
        <v>97746.16</v>
      </c>
      <c r="N136" s="3">
        <f t="shared" si="11"/>
        <v>1834127.21</v>
      </c>
      <c r="O136" s="2">
        <f>SUM(Levy!F136:J136)</f>
        <v>3693612.23</v>
      </c>
      <c r="P136" s="2">
        <f>SUM(Levy!U136:V136)</f>
        <v>23284.71</v>
      </c>
      <c r="Q136" s="2">
        <f t="shared" si="12"/>
        <v>3670327.52</v>
      </c>
    </row>
    <row r="137" spans="1:17" x14ac:dyDescent="0.2">
      <c r="A137" s="5">
        <v>424</v>
      </c>
      <c r="B137" s="5">
        <v>1</v>
      </c>
      <c r="C137" s="2" t="s">
        <v>133</v>
      </c>
      <c r="D137" s="3">
        <f>SUM(Shift11!D137:L137)</f>
        <v>327790.45</v>
      </c>
      <c r="E137" s="3">
        <f>ROUND(MAX(0,(Levy!Q137+Data!D137+Data!E137-Levy!U137)*0.5),2)</f>
        <v>306498.13</v>
      </c>
      <c r="F137" s="3">
        <f t="shared" si="13"/>
        <v>21292.320000000007</v>
      </c>
      <c r="G137" s="3">
        <f t="shared" si="14"/>
        <v>306498.13</v>
      </c>
      <c r="I137" s="3">
        <f>SUM(Shift11!M137:N137)</f>
        <v>13702.73</v>
      </c>
      <c r="J137" s="3">
        <f>ROUND(MAX(0,(Levy!R137-Levy!V137)*0.5),2)</f>
        <v>13573.37</v>
      </c>
      <c r="K137" s="3">
        <f t="shared" si="15"/>
        <v>129.35999999999876</v>
      </c>
      <c r="L137" s="3">
        <f t="shared" si="16"/>
        <v>13573.37</v>
      </c>
      <c r="N137" s="3">
        <f t="shared" ref="N137:N200" si="17">G137+L137</f>
        <v>320071.5</v>
      </c>
      <c r="O137" s="2">
        <f>SUM(Levy!F137:J137)</f>
        <v>647344.57999999996</v>
      </c>
      <c r="P137" s="2">
        <f>SUM(Levy!U137:V137)</f>
        <v>7201.6</v>
      </c>
      <c r="Q137" s="2">
        <f t="shared" ref="Q137:Q200" si="18">O137-P137</f>
        <v>640142.98</v>
      </c>
    </row>
    <row r="138" spans="1:17" x14ac:dyDescent="0.2">
      <c r="A138" s="5">
        <v>432</v>
      </c>
      <c r="B138" s="5">
        <v>1</v>
      </c>
      <c r="C138" s="2" t="s">
        <v>134</v>
      </c>
      <c r="D138" s="3">
        <f>SUM(Shift11!D138:L138)</f>
        <v>117681.01</v>
      </c>
      <c r="E138" s="3">
        <f>ROUND(MAX(0,(Levy!Q138+Data!D138+Data!E138-Levy!U138)*0.5),2)</f>
        <v>84029.4</v>
      </c>
      <c r="F138" s="3">
        <f t="shared" si="13"/>
        <v>33651.61</v>
      </c>
      <c r="G138" s="3">
        <f t="shared" si="14"/>
        <v>84029.4</v>
      </c>
      <c r="I138" s="3">
        <f>SUM(Shift11!M138:N138)</f>
        <v>14491.41</v>
      </c>
      <c r="J138" s="3">
        <f>ROUND(MAX(0,(Levy!R138-Levy!V138)*0.5),2)</f>
        <v>13532.53</v>
      </c>
      <c r="K138" s="3">
        <f t="shared" si="15"/>
        <v>958.8799999999992</v>
      </c>
      <c r="L138" s="3">
        <f t="shared" si="16"/>
        <v>13532.53</v>
      </c>
      <c r="N138" s="3">
        <f t="shared" si="17"/>
        <v>97561.93</v>
      </c>
      <c r="O138" s="2">
        <f>SUM(Levy!F138:J138)</f>
        <v>210529.12999999998</v>
      </c>
      <c r="P138" s="2">
        <f>SUM(Levy!U138:V138)</f>
        <v>15405.29</v>
      </c>
      <c r="Q138" s="2">
        <f t="shared" si="18"/>
        <v>195123.83999999997</v>
      </c>
    </row>
    <row r="139" spans="1:17" x14ac:dyDescent="0.2">
      <c r="A139" s="5">
        <v>435</v>
      </c>
      <c r="B139" s="5">
        <v>1</v>
      </c>
      <c r="C139" s="2" t="s">
        <v>135</v>
      </c>
      <c r="D139" s="3">
        <f>SUM(Shift11!D139:L139)</f>
        <v>138916.57</v>
      </c>
      <c r="E139" s="3">
        <f>ROUND(MAX(0,(Levy!Q139+Data!D139+Data!E139-Levy!U139)*0.5),2)</f>
        <v>116572.01</v>
      </c>
      <c r="F139" s="3">
        <f t="shared" si="13"/>
        <v>22344.560000000012</v>
      </c>
      <c r="G139" s="3">
        <f t="shared" si="14"/>
        <v>116572.01</v>
      </c>
      <c r="I139" s="3">
        <f>SUM(Shift11!M139:N139)</f>
        <v>14992.04</v>
      </c>
      <c r="J139" s="3">
        <f>ROUND(MAX(0,(Levy!R139-Levy!V139)*0.5),2)</f>
        <v>15064.94</v>
      </c>
      <c r="K139" s="3">
        <f t="shared" si="15"/>
        <v>0</v>
      </c>
      <c r="L139" s="3">
        <f t="shared" si="16"/>
        <v>14992.04</v>
      </c>
      <c r="N139" s="3">
        <f t="shared" si="17"/>
        <v>131564.04999999999</v>
      </c>
      <c r="O139" s="2">
        <f>SUM(Levy!F139:J139)</f>
        <v>267720.77</v>
      </c>
      <c r="P139" s="2">
        <f>SUM(Levy!U139:V139)</f>
        <v>4446.88</v>
      </c>
      <c r="Q139" s="2">
        <f t="shared" si="18"/>
        <v>263273.89</v>
      </c>
    </row>
    <row r="140" spans="1:17" x14ac:dyDescent="0.2">
      <c r="A140" s="5">
        <v>441</v>
      </c>
      <c r="B140" s="5">
        <v>1</v>
      </c>
      <c r="C140" s="2" t="s">
        <v>136</v>
      </c>
      <c r="D140" s="3">
        <f>SUM(Shift11!D140:L140)</f>
        <v>405058.91000000003</v>
      </c>
      <c r="E140" s="3">
        <f>ROUND(MAX(0,(Levy!Q140+Data!D140+Data!E140-Levy!U140)*0.5),2)</f>
        <v>396312.99</v>
      </c>
      <c r="F140" s="3">
        <f t="shared" si="13"/>
        <v>8745.9200000000419</v>
      </c>
      <c r="G140" s="3">
        <f t="shared" si="14"/>
        <v>396312.99</v>
      </c>
      <c r="I140" s="3">
        <f>SUM(Shift11!M140:N140)</f>
        <v>13857.32</v>
      </c>
      <c r="J140" s="3">
        <f>ROUND(MAX(0,(Levy!R140-Levy!V140)*0.5),2)</f>
        <v>13700.64</v>
      </c>
      <c r="K140" s="3">
        <f t="shared" si="15"/>
        <v>156.68000000000029</v>
      </c>
      <c r="L140" s="3">
        <f t="shared" si="16"/>
        <v>13700.64</v>
      </c>
      <c r="N140" s="3">
        <f t="shared" si="17"/>
        <v>410013.63</v>
      </c>
      <c r="O140" s="2">
        <f>SUM(Levy!F140:J140)</f>
        <v>829172</v>
      </c>
      <c r="P140" s="2">
        <f>SUM(Levy!U140:V140)</f>
        <v>9144.75</v>
      </c>
      <c r="Q140" s="2">
        <f t="shared" si="18"/>
        <v>820027.25</v>
      </c>
    </row>
    <row r="141" spans="1:17" x14ac:dyDescent="0.2">
      <c r="A141" s="5">
        <v>447</v>
      </c>
      <c r="B141" s="5">
        <v>1</v>
      </c>
      <c r="C141" s="2" t="s">
        <v>137</v>
      </c>
      <c r="D141" s="3">
        <f>SUM(Shift11!D141:L141)</f>
        <v>74153.710000000006</v>
      </c>
      <c r="E141" s="3">
        <f>ROUND(MAX(0,(Levy!Q141+Data!D141+Data!E141-Levy!U141)*0.5),2)</f>
        <v>66013.59</v>
      </c>
      <c r="F141" s="3">
        <f t="shared" si="13"/>
        <v>8140.1200000000099</v>
      </c>
      <c r="G141" s="3">
        <f t="shared" si="14"/>
        <v>66013.59</v>
      </c>
      <c r="I141" s="3">
        <f>SUM(Shift11!M141:N141)</f>
        <v>6109.02</v>
      </c>
      <c r="J141" s="3">
        <f>ROUND(MAX(0,(Levy!R141-Levy!V141)*0.5),2)</f>
        <v>5876.05</v>
      </c>
      <c r="K141" s="3">
        <f t="shared" si="15"/>
        <v>232.97000000000025</v>
      </c>
      <c r="L141" s="3">
        <f t="shared" si="16"/>
        <v>5876.05</v>
      </c>
      <c r="N141" s="3">
        <f t="shared" si="17"/>
        <v>71889.64</v>
      </c>
      <c r="O141" s="2">
        <f>SUM(Levy!F141:J141)</f>
        <v>148339</v>
      </c>
      <c r="P141" s="2">
        <f>SUM(Levy!U141:V141)</f>
        <v>4559.7299999999996</v>
      </c>
      <c r="Q141" s="2">
        <f t="shared" si="18"/>
        <v>143779.26999999999</v>
      </c>
    </row>
    <row r="142" spans="1:17" x14ac:dyDescent="0.2">
      <c r="A142" s="5">
        <v>458</v>
      </c>
      <c r="B142" s="5">
        <v>1</v>
      </c>
      <c r="C142" s="2" t="s">
        <v>138</v>
      </c>
      <c r="D142" s="3">
        <f>SUM(Shift11!D142:L142)</f>
        <v>281623.90999999997</v>
      </c>
      <c r="E142" s="3">
        <f>ROUND(MAX(0,(Levy!Q142+Data!D142+Data!E142-Levy!U142)*0.5),2)</f>
        <v>259749.66</v>
      </c>
      <c r="F142" s="3">
        <f t="shared" si="13"/>
        <v>21874.249999999971</v>
      </c>
      <c r="G142" s="3">
        <f t="shared" si="14"/>
        <v>259749.66</v>
      </c>
      <c r="I142" s="3">
        <f>SUM(Shift11!M142:N142)</f>
        <v>18913.080000000002</v>
      </c>
      <c r="J142" s="3">
        <f>ROUND(MAX(0,(Levy!R142-Levy!V142)*0.5),2)</f>
        <v>18242.939999999999</v>
      </c>
      <c r="K142" s="3">
        <f t="shared" si="15"/>
        <v>670.14000000000306</v>
      </c>
      <c r="L142" s="3">
        <f t="shared" si="16"/>
        <v>18242.939999999999</v>
      </c>
      <c r="N142" s="3">
        <f t="shared" si="17"/>
        <v>277992.59999999998</v>
      </c>
      <c r="O142" s="2">
        <f>SUM(Levy!F142:J142)</f>
        <v>569839.06000000006</v>
      </c>
      <c r="P142" s="2">
        <f>SUM(Levy!U142:V142)</f>
        <v>13853.880000000001</v>
      </c>
      <c r="Q142" s="2">
        <f t="shared" si="18"/>
        <v>555985.18000000005</v>
      </c>
    </row>
    <row r="143" spans="1:17" x14ac:dyDescent="0.2">
      <c r="A143" s="5">
        <v>463</v>
      </c>
      <c r="B143" s="5">
        <v>1</v>
      </c>
      <c r="C143" s="2" t="s">
        <v>139</v>
      </c>
      <c r="D143" s="3">
        <f>SUM(Shift11!D143:L143)</f>
        <v>338039.33</v>
      </c>
      <c r="E143" s="3">
        <f>ROUND(MAX(0,(Levy!Q143+Data!D143+Data!E143-Levy!U143)*0.5),2)</f>
        <v>336551.32</v>
      </c>
      <c r="F143" s="3">
        <f t="shared" si="13"/>
        <v>1488.0100000000093</v>
      </c>
      <c r="G143" s="3">
        <f t="shared" si="14"/>
        <v>336551.32</v>
      </c>
      <c r="I143" s="3">
        <f>SUM(Shift11!M143:N143)</f>
        <v>29620.42</v>
      </c>
      <c r="J143" s="3">
        <f>ROUND(MAX(0,(Levy!R143-Levy!V143)*0.5),2)</f>
        <v>29953.58</v>
      </c>
      <c r="K143" s="3">
        <f t="shared" si="15"/>
        <v>0</v>
      </c>
      <c r="L143" s="3">
        <f t="shared" si="16"/>
        <v>29620.42</v>
      </c>
      <c r="N143" s="3">
        <f t="shared" si="17"/>
        <v>366171.74</v>
      </c>
      <c r="O143" s="2">
        <f>SUM(Levy!F143:J143)</f>
        <v>736349.33</v>
      </c>
      <c r="P143" s="2">
        <f>SUM(Levy!U143:V143)</f>
        <v>3339.54</v>
      </c>
      <c r="Q143" s="2">
        <f t="shared" si="18"/>
        <v>733009.78999999992</v>
      </c>
    </row>
    <row r="144" spans="1:17" x14ac:dyDescent="0.2">
      <c r="A144" s="5">
        <v>465</v>
      </c>
      <c r="B144" s="5">
        <v>1</v>
      </c>
      <c r="C144" s="2" t="s">
        <v>140</v>
      </c>
      <c r="D144" s="3">
        <f>SUM(Shift11!D144:L144)</f>
        <v>944641.33</v>
      </c>
      <c r="E144" s="3">
        <f>ROUND(MAX(0,(Levy!Q144+Data!D144+Data!E144-Levy!U144)*0.5),2)</f>
        <v>944659.66</v>
      </c>
      <c r="F144" s="3">
        <f t="shared" si="13"/>
        <v>0</v>
      </c>
      <c r="G144" s="3">
        <f t="shared" si="14"/>
        <v>944641.33</v>
      </c>
      <c r="I144" s="3">
        <f>SUM(Shift11!M144:N144)</f>
        <v>67361.94</v>
      </c>
      <c r="J144" s="3">
        <f>ROUND(MAX(0,(Levy!R144-Levy!V144)*0.5),2)</f>
        <v>68538.34</v>
      </c>
      <c r="K144" s="3">
        <f t="shared" si="15"/>
        <v>0</v>
      </c>
      <c r="L144" s="3">
        <f t="shared" si="16"/>
        <v>67361.94</v>
      </c>
      <c r="N144" s="3">
        <f t="shared" si="17"/>
        <v>1012003.27</v>
      </c>
      <c r="O144" s="2">
        <f>SUM(Levy!F144:J144)</f>
        <v>2036789.7999999998</v>
      </c>
      <c r="P144" s="2">
        <f>SUM(Levy!U144:V144)</f>
        <v>10393.82</v>
      </c>
      <c r="Q144" s="2">
        <f t="shared" si="18"/>
        <v>2026395.9799999997</v>
      </c>
    </row>
    <row r="145" spans="1:17" x14ac:dyDescent="0.2">
      <c r="A145" s="5">
        <v>466</v>
      </c>
      <c r="B145" s="5">
        <v>1</v>
      </c>
      <c r="C145" s="2" t="s">
        <v>141</v>
      </c>
      <c r="D145" s="3">
        <f>SUM(Shift11!D145:L145)</f>
        <v>720298.15</v>
      </c>
      <c r="E145" s="3">
        <f>ROUND(MAX(0,(Levy!Q145+Data!D145+Data!E145-Levy!U145)*0.5),2)</f>
        <v>696095.32</v>
      </c>
      <c r="F145" s="3">
        <f t="shared" si="13"/>
        <v>24202.830000000075</v>
      </c>
      <c r="G145" s="3">
        <f t="shared" si="14"/>
        <v>696095.32</v>
      </c>
      <c r="I145" s="3">
        <f>SUM(Shift11!M145:N145)</f>
        <v>60709.78</v>
      </c>
      <c r="J145" s="3">
        <f>ROUND(MAX(0,(Levy!R145-Levy!V145)*0.5),2)</f>
        <v>61352.21</v>
      </c>
      <c r="K145" s="3">
        <f t="shared" si="15"/>
        <v>0</v>
      </c>
      <c r="L145" s="3">
        <f t="shared" si="16"/>
        <v>60709.78</v>
      </c>
      <c r="N145" s="3">
        <f t="shared" si="17"/>
        <v>756805.1</v>
      </c>
      <c r="O145" s="2">
        <f>SUM(Levy!F145:J145)</f>
        <v>1526531.75</v>
      </c>
      <c r="P145" s="2">
        <f>SUM(Levy!U145:V145)</f>
        <v>11636.7</v>
      </c>
      <c r="Q145" s="2">
        <f t="shared" si="18"/>
        <v>1514895.05</v>
      </c>
    </row>
    <row r="146" spans="1:17" x14ac:dyDescent="0.2">
      <c r="A146" s="5">
        <v>473</v>
      </c>
      <c r="B146" s="5">
        <v>1</v>
      </c>
      <c r="C146" s="2" t="s">
        <v>142</v>
      </c>
      <c r="D146" s="3">
        <f>SUM(Shift11!D146:L146)</f>
        <v>179906.59000000003</v>
      </c>
      <c r="E146" s="3">
        <f>ROUND(MAX(0,(Levy!Q146+Data!D146+Data!E146-Levy!U146)*0.5),2)</f>
        <v>149250.63</v>
      </c>
      <c r="F146" s="3">
        <f t="shared" si="13"/>
        <v>30655.960000000021</v>
      </c>
      <c r="G146" s="3">
        <f t="shared" si="14"/>
        <v>149250.63</v>
      </c>
      <c r="I146" s="3">
        <f>SUM(Shift11!M146:N146)</f>
        <v>19087.57</v>
      </c>
      <c r="J146" s="3">
        <f>ROUND(MAX(0,(Levy!R146-Levy!V146)*0.5),2)</f>
        <v>19482.509999999998</v>
      </c>
      <c r="K146" s="3">
        <f t="shared" si="15"/>
        <v>0</v>
      </c>
      <c r="L146" s="3">
        <f t="shared" si="16"/>
        <v>19087.57</v>
      </c>
      <c r="N146" s="3">
        <f t="shared" si="17"/>
        <v>168338.2</v>
      </c>
      <c r="O146" s="2">
        <f>SUM(Levy!F146:J146)</f>
        <v>339377.15</v>
      </c>
      <c r="P146" s="2">
        <f>SUM(Levy!U146:V146)</f>
        <v>1910.8799999999999</v>
      </c>
      <c r="Q146" s="2">
        <f t="shared" si="18"/>
        <v>337466.27</v>
      </c>
    </row>
    <row r="147" spans="1:17" x14ac:dyDescent="0.2">
      <c r="A147" s="5">
        <v>477</v>
      </c>
      <c r="B147" s="5">
        <v>1</v>
      </c>
      <c r="C147" s="2" t="s">
        <v>143</v>
      </c>
      <c r="D147" s="3">
        <f>SUM(Shift11!D147:L147)</f>
        <v>1197655.72</v>
      </c>
      <c r="E147" s="3">
        <f>ROUND(MAX(0,(Levy!Q147+Data!D147+Data!E147-Levy!U147)*0.5),2)</f>
        <v>1134213.27</v>
      </c>
      <c r="F147" s="3">
        <f t="shared" si="13"/>
        <v>63442.449999999953</v>
      </c>
      <c r="G147" s="3">
        <f t="shared" si="14"/>
        <v>1134213.27</v>
      </c>
      <c r="I147" s="3">
        <f>SUM(Shift11!M147:N147)</f>
        <v>129636.55</v>
      </c>
      <c r="J147" s="3">
        <f>ROUND(MAX(0,(Levy!R147-Levy!V147)*0.5),2)</f>
        <v>131034.41</v>
      </c>
      <c r="K147" s="3">
        <f t="shared" si="15"/>
        <v>0</v>
      </c>
      <c r="L147" s="3">
        <f t="shared" si="16"/>
        <v>129636.55</v>
      </c>
      <c r="N147" s="3">
        <f t="shared" si="17"/>
        <v>1263849.82</v>
      </c>
      <c r="O147" s="2">
        <f>SUM(Levy!F147:J147)</f>
        <v>2554680.92</v>
      </c>
      <c r="P147" s="2">
        <f>SUM(Levy!U147:V147)</f>
        <v>24185.579999999998</v>
      </c>
      <c r="Q147" s="2">
        <f t="shared" si="18"/>
        <v>2530495.34</v>
      </c>
    </row>
    <row r="148" spans="1:17" x14ac:dyDescent="0.2">
      <c r="A148" s="5">
        <v>480</v>
      </c>
      <c r="B148" s="5">
        <v>1</v>
      </c>
      <c r="C148" s="2" t="s">
        <v>144</v>
      </c>
      <c r="D148" s="3">
        <f>SUM(Shift11!D148:L148)</f>
        <v>892365.05999999994</v>
      </c>
      <c r="E148" s="3">
        <f>ROUND(MAX(0,(Levy!Q148+Data!D148+Data!E148-Levy!U148)*0.5),2)</f>
        <v>895118.94</v>
      </c>
      <c r="F148" s="3">
        <f t="shared" si="13"/>
        <v>0</v>
      </c>
      <c r="G148" s="3">
        <f t="shared" si="14"/>
        <v>892365.05999999994</v>
      </c>
      <c r="I148" s="3">
        <f>SUM(Shift11!M148:N148)</f>
        <v>37946.18</v>
      </c>
      <c r="J148" s="3">
        <f>ROUND(MAX(0,(Levy!R148-Levy!V148)*0.5),2)</f>
        <v>38677.65</v>
      </c>
      <c r="K148" s="3">
        <f t="shared" si="15"/>
        <v>0</v>
      </c>
      <c r="L148" s="3">
        <f t="shared" si="16"/>
        <v>37946.18</v>
      </c>
      <c r="N148" s="3">
        <f t="shared" si="17"/>
        <v>930311.24</v>
      </c>
      <c r="O148" s="2">
        <f>SUM(Levy!F148:J148)</f>
        <v>1879979.9700000002</v>
      </c>
      <c r="P148" s="2">
        <f>SUM(Levy!U148:V148)</f>
        <v>12386.789999999999</v>
      </c>
      <c r="Q148" s="2">
        <f t="shared" si="18"/>
        <v>1867593.1800000002</v>
      </c>
    </row>
    <row r="149" spans="1:17" x14ac:dyDescent="0.2">
      <c r="A149" s="5">
        <v>482</v>
      </c>
      <c r="B149" s="5">
        <v>1</v>
      </c>
      <c r="C149" s="2" t="s">
        <v>145</v>
      </c>
      <c r="D149" s="3">
        <f>SUM(Shift11!D149:L149)</f>
        <v>1474986.4100000001</v>
      </c>
      <c r="E149" s="3">
        <f>ROUND(MAX(0,(Levy!Q149+Data!D149+Data!E149-Levy!U149)*0.5),2)</f>
        <v>1429672.77</v>
      </c>
      <c r="F149" s="3">
        <f t="shared" si="13"/>
        <v>45313.64000000013</v>
      </c>
      <c r="G149" s="3">
        <f t="shared" si="14"/>
        <v>1429672.77</v>
      </c>
      <c r="I149" s="3">
        <f>SUM(Shift11!M149:N149)</f>
        <v>85256.95</v>
      </c>
      <c r="J149" s="3">
        <f>ROUND(MAX(0,(Levy!R149-Levy!V149)*0.5),2)</f>
        <v>84235.39</v>
      </c>
      <c r="K149" s="3">
        <f t="shared" si="15"/>
        <v>1021.5599999999977</v>
      </c>
      <c r="L149" s="3">
        <f t="shared" si="16"/>
        <v>84235.39</v>
      </c>
      <c r="N149" s="3">
        <f t="shared" si="17"/>
        <v>1513908.16</v>
      </c>
      <c r="O149" s="2">
        <f>SUM(Levy!F149:J149)</f>
        <v>3068307.7800000003</v>
      </c>
      <c r="P149" s="2">
        <f>SUM(Levy!U149:V149)</f>
        <v>40491.479999999996</v>
      </c>
      <c r="Q149" s="2">
        <f t="shared" si="18"/>
        <v>3027816.3000000003</v>
      </c>
    </row>
    <row r="150" spans="1:17" x14ac:dyDescent="0.2">
      <c r="A150" s="5">
        <v>484</v>
      </c>
      <c r="B150" s="5">
        <v>1</v>
      </c>
      <c r="C150" s="2" t="s">
        <v>146</v>
      </c>
      <c r="D150" s="3">
        <f>SUM(Shift11!D150:L150)</f>
        <v>360502.4</v>
      </c>
      <c r="E150" s="3">
        <f>ROUND(MAX(0,(Levy!Q150+Data!D150+Data!E150-Levy!U150)*0.5),2)</f>
        <v>365607.23</v>
      </c>
      <c r="F150" s="3">
        <f t="shared" si="13"/>
        <v>0</v>
      </c>
      <c r="G150" s="3">
        <f t="shared" si="14"/>
        <v>360502.4</v>
      </c>
      <c r="I150" s="3">
        <f>SUM(Shift11!M150:N150)</f>
        <v>27722.36</v>
      </c>
      <c r="J150" s="3">
        <f>ROUND(MAX(0,(Levy!R150-Levy!V150)*0.5),2)</f>
        <v>27408.01</v>
      </c>
      <c r="K150" s="3">
        <f t="shared" si="15"/>
        <v>314.35000000000218</v>
      </c>
      <c r="L150" s="3">
        <f t="shared" si="16"/>
        <v>27408.01</v>
      </c>
      <c r="N150" s="3">
        <f t="shared" si="17"/>
        <v>387910.41000000003</v>
      </c>
      <c r="O150" s="2">
        <f>SUM(Levy!F150:J150)</f>
        <v>798816.36</v>
      </c>
      <c r="P150" s="2">
        <f>SUM(Levy!U150:V150)</f>
        <v>12785.89</v>
      </c>
      <c r="Q150" s="2">
        <f t="shared" si="18"/>
        <v>786030.47</v>
      </c>
    </row>
    <row r="151" spans="1:17" x14ac:dyDescent="0.2">
      <c r="A151" s="5">
        <v>485</v>
      </c>
      <c r="B151" s="5">
        <v>1</v>
      </c>
      <c r="C151" s="2" t="s">
        <v>147</v>
      </c>
      <c r="D151" s="3">
        <f>SUM(Shift11!D151:L151)</f>
        <v>194684.85</v>
      </c>
      <c r="E151" s="3">
        <f>ROUND(MAX(0,(Levy!Q151+Data!D151+Data!E151-Levy!U151)*0.5),2)</f>
        <v>143648.51999999999</v>
      </c>
      <c r="F151" s="3">
        <f t="shared" si="13"/>
        <v>51036.330000000016</v>
      </c>
      <c r="G151" s="3">
        <f t="shared" si="14"/>
        <v>143648.51999999999</v>
      </c>
      <c r="I151" s="3">
        <f>SUM(Shift11!M151:N151)</f>
        <v>18932.98</v>
      </c>
      <c r="J151" s="3">
        <f>ROUND(MAX(0,(Levy!R151-Levy!V151)*0.5),2)</f>
        <v>19029.349999999999</v>
      </c>
      <c r="K151" s="3">
        <f t="shared" si="15"/>
        <v>0</v>
      </c>
      <c r="L151" s="3">
        <f t="shared" si="16"/>
        <v>18932.98</v>
      </c>
      <c r="N151" s="3">
        <f t="shared" si="17"/>
        <v>162581.5</v>
      </c>
      <c r="O151" s="2">
        <f>SUM(Levy!F151:J151)</f>
        <v>330717.01</v>
      </c>
      <c r="P151" s="2">
        <f>SUM(Levy!U151:V151)</f>
        <v>5361.2800000000007</v>
      </c>
      <c r="Q151" s="2">
        <f t="shared" si="18"/>
        <v>325355.73</v>
      </c>
    </row>
    <row r="152" spans="1:17" x14ac:dyDescent="0.2">
      <c r="A152" s="5">
        <v>486</v>
      </c>
      <c r="B152" s="5">
        <v>1</v>
      </c>
      <c r="C152" s="2" t="s">
        <v>148</v>
      </c>
      <c r="D152" s="3">
        <f>SUM(Shift11!D152:L152)</f>
        <v>167091.65</v>
      </c>
      <c r="E152" s="3">
        <f>ROUND(MAX(0,(Levy!Q152+Data!D152+Data!E152-Levy!U152)*0.5),2)</f>
        <v>170256.78</v>
      </c>
      <c r="F152" s="3">
        <f t="shared" si="13"/>
        <v>0</v>
      </c>
      <c r="G152" s="3">
        <f t="shared" si="14"/>
        <v>167091.65</v>
      </c>
      <c r="I152" s="3">
        <f>SUM(Shift11!M152:N152)</f>
        <v>10389.33</v>
      </c>
      <c r="J152" s="3">
        <f>ROUND(MAX(0,(Levy!R152-Levy!V152)*0.5),2)</f>
        <v>10394.16</v>
      </c>
      <c r="K152" s="3">
        <f t="shared" si="15"/>
        <v>0</v>
      </c>
      <c r="L152" s="3">
        <f t="shared" si="16"/>
        <v>10389.33</v>
      </c>
      <c r="N152" s="3">
        <f t="shared" si="17"/>
        <v>177480.97999999998</v>
      </c>
      <c r="O152" s="2">
        <f>SUM(Levy!F152:J152)</f>
        <v>365187.20999999996</v>
      </c>
      <c r="P152" s="2">
        <f>SUM(Levy!U152:V152)</f>
        <v>3885.3299999999995</v>
      </c>
      <c r="Q152" s="2">
        <f t="shared" si="18"/>
        <v>361301.87999999995</v>
      </c>
    </row>
    <row r="153" spans="1:17" x14ac:dyDescent="0.2">
      <c r="A153" s="5">
        <v>487</v>
      </c>
      <c r="B153" s="5">
        <v>1</v>
      </c>
      <c r="C153" s="2" t="s">
        <v>149</v>
      </c>
      <c r="D153" s="3">
        <f>SUM(Shift11!D153:L153)</f>
        <v>164008.50999999998</v>
      </c>
      <c r="E153" s="3">
        <f>ROUND(MAX(0,(Levy!Q153+Data!D153+Data!E153-Levy!U153)*0.5),2)</f>
        <v>161728.23000000001</v>
      </c>
      <c r="F153" s="3">
        <f t="shared" si="13"/>
        <v>2280.2799999999697</v>
      </c>
      <c r="G153" s="3">
        <f t="shared" si="14"/>
        <v>161728.23000000001</v>
      </c>
      <c r="I153" s="3">
        <f>SUM(Shift11!M153:N153)</f>
        <v>4737.45</v>
      </c>
      <c r="J153" s="3">
        <f>ROUND(MAX(0,(Levy!R153-Levy!V153)*0.5),2)</f>
        <v>4657.75</v>
      </c>
      <c r="K153" s="3">
        <f t="shared" si="15"/>
        <v>79.699999999999818</v>
      </c>
      <c r="L153" s="3">
        <f t="shared" si="16"/>
        <v>4657.75</v>
      </c>
      <c r="N153" s="3">
        <f t="shared" si="17"/>
        <v>166385.98000000001</v>
      </c>
      <c r="O153" s="2">
        <f>SUM(Levy!F153:J153)</f>
        <v>336382.52</v>
      </c>
      <c r="P153" s="2">
        <f>SUM(Levy!U153:V153)</f>
        <v>3610.5699999999997</v>
      </c>
      <c r="Q153" s="2">
        <f t="shared" si="18"/>
        <v>332771.95</v>
      </c>
    </row>
    <row r="154" spans="1:17" x14ac:dyDescent="0.2">
      <c r="A154" s="5">
        <v>492</v>
      </c>
      <c r="B154" s="5">
        <v>1</v>
      </c>
      <c r="C154" s="2" t="s">
        <v>150</v>
      </c>
      <c r="D154" s="3">
        <f>SUM(Shift11!D154:L154)</f>
        <v>2040533.56</v>
      </c>
      <c r="E154" s="3">
        <f>ROUND(MAX(0,(Levy!Q154+Data!D154+Data!E154-Levy!U154)*0.5),2)</f>
        <v>1968897.06</v>
      </c>
      <c r="F154" s="3">
        <f t="shared" si="13"/>
        <v>71636.5</v>
      </c>
      <c r="G154" s="3">
        <f t="shared" si="14"/>
        <v>1968897.06</v>
      </c>
      <c r="I154" s="3">
        <f>SUM(Shift11!M154:N154)</f>
        <v>67722.64</v>
      </c>
      <c r="J154" s="3">
        <f>ROUND(MAX(0,(Levy!R154-Levy!V154)*0.5),2)</f>
        <v>67887.520000000004</v>
      </c>
      <c r="K154" s="3">
        <f t="shared" si="15"/>
        <v>0</v>
      </c>
      <c r="L154" s="3">
        <f t="shared" si="16"/>
        <v>67722.64</v>
      </c>
      <c r="N154" s="3">
        <f t="shared" si="17"/>
        <v>2036619.7</v>
      </c>
      <c r="O154" s="2">
        <f>SUM(Levy!F154:J154)</f>
        <v>4100715</v>
      </c>
      <c r="P154" s="2">
        <f>SUM(Levy!U154:V154)</f>
        <v>27145.859999999993</v>
      </c>
      <c r="Q154" s="2">
        <f t="shared" si="18"/>
        <v>4073569.14</v>
      </c>
    </row>
    <row r="155" spans="1:17" x14ac:dyDescent="0.2">
      <c r="A155" s="5">
        <v>495</v>
      </c>
      <c r="B155" s="5">
        <v>1</v>
      </c>
      <c r="C155" s="2" t="s">
        <v>151</v>
      </c>
      <c r="D155" s="3">
        <f>SUM(Shift11!D155:L155)</f>
        <v>264585.57</v>
      </c>
      <c r="E155" s="3">
        <f>ROUND(MAX(0,(Levy!Q155+Data!D155+Data!E155-Levy!U155)*0.5),2)</f>
        <v>264750.31</v>
      </c>
      <c r="F155" s="3">
        <f t="shared" si="13"/>
        <v>0</v>
      </c>
      <c r="G155" s="3">
        <f t="shared" si="14"/>
        <v>264585.57</v>
      </c>
      <c r="I155" s="3">
        <f>SUM(Shift11!M155:N155)</f>
        <v>17044.990000000002</v>
      </c>
      <c r="J155" s="3">
        <f>ROUND(MAX(0,(Levy!R155-Levy!V155)*0.5),2)</f>
        <v>16978.919999999998</v>
      </c>
      <c r="K155" s="3">
        <f t="shared" si="15"/>
        <v>66.070000000003347</v>
      </c>
      <c r="L155" s="3">
        <f t="shared" si="16"/>
        <v>16978.919999999998</v>
      </c>
      <c r="N155" s="3">
        <f t="shared" si="17"/>
        <v>281564.49</v>
      </c>
      <c r="O155" s="2">
        <f>SUM(Levy!F155:J155)</f>
        <v>566690</v>
      </c>
      <c r="P155" s="2">
        <f>SUM(Levy!U155:V155)</f>
        <v>3231.54</v>
      </c>
      <c r="Q155" s="2">
        <f t="shared" si="18"/>
        <v>563458.46</v>
      </c>
    </row>
    <row r="156" spans="1:17" x14ac:dyDescent="0.2">
      <c r="A156" s="5">
        <v>497</v>
      </c>
      <c r="B156" s="5">
        <v>1</v>
      </c>
      <c r="C156" s="2" t="s">
        <v>152</v>
      </c>
      <c r="D156" s="3">
        <f>SUM(Shift11!D156:L156)</f>
        <v>128089.49</v>
      </c>
      <c r="E156" s="3">
        <f>ROUND(MAX(0,(Levy!Q156+Data!D156+Data!E156-Levy!U156)*0.5),2)</f>
        <v>126485.43</v>
      </c>
      <c r="F156" s="3">
        <f t="shared" si="13"/>
        <v>1604.0600000000122</v>
      </c>
      <c r="G156" s="3">
        <f t="shared" si="14"/>
        <v>126485.43</v>
      </c>
      <c r="I156" s="3">
        <f>SUM(Shift11!M156:N156)</f>
        <v>8856.86</v>
      </c>
      <c r="J156" s="3">
        <f>ROUND(MAX(0,(Levy!R156-Levy!V156)*0.5),2)</f>
        <v>8704.85</v>
      </c>
      <c r="K156" s="3">
        <f t="shared" si="15"/>
        <v>152.01000000000022</v>
      </c>
      <c r="L156" s="3">
        <f t="shared" si="16"/>
        <v>8704.85</v>
      </c>
      <c r="N156" s="3">
        <f t="shared" si="17"/>
        <v>135190.28</v>
      </c>
      <c r="O156" s="2">
        <f>SUM(Levy!F156:J156)</f>
        <v>273906</v>
      </c>
      <c r="P156" s="2">
        <f>SUM(Levy!U156:V156)</f>
        <v>3525.4600000000005</v>
      </c>
      <c r="Q156" s="2">
        <f t="shared" si="18"/>
        <v>270380.53999999998</v>
      </c>
    </row>
    <row r="157" spans="1:17" x14ac:dyDescent="0.2">
      <c r="A157" s="5">
        <v>499</v>
      </c>
      <c r="B157" s="5">
        <v>1</v>
      </c>
      <c r="C157" s="2" t="s">
        <v>153</v>
      </c>
      <c r="D157" s="3">
        <f>SUM(Shift11!D157:L157)</f>
        <v>276996.56</v>
      </c>
      <c r="E157" s="3">
        <f>ROUND(MAX(0,(Levy!Q157+Data!D157+Data!E157-Levy!U157)*0.5),2)</f>
        <v>268862.62</v>
      </c>
      <c r="F157" s="3">
        <f t="shared" si="13"/>
        <v>8133.9400000000023</v>
      </c>
      <c r="G157" s="3">
        <f t="shared" si="14"/>
        <v>268862.62</v>
      </c>
      <c r="I157" s="3">
        <f>SUM(Shift11!M157:N157)</f>
        <v>27456.57</v>
      </c>
      <c r="J157" s="3">
        <f>ROUND(MAX(0,(Levy!R157-Levy!V157)*0.5),2)</f>
        <v>27490.45</v>
      </c>
      <c r="K157" s="3">
        <f t="shared" si="15"/>
        <v>0</v>
      </c>
      <c r="L157" s="3">
        <f t="shared" si="16"/>
        <v>27456.57</v>
      </c>
      <c r="N157" s="3">
        <f t="shared" si="17"/>
        <v>296319.19</v>
      </c>
      <c r="O157" s="2">
        <f>SUM(Levy!F157:J157)</f>
        <v>593256</v>
      </c>
      <c r="P157" s="2">
        <f>SUM(Levy!U157:V157)</f>
        <v>549.85999999999967</v>
      </c>
      <c r="Q157" s="2">
        <f t="shared" si="18"/>
        <v>592706.14</v>
      </c>
    </row>
    <row r="158" spans="1:17" x14ac:dyDescent="0.2">
      <c r="A158" s="5">
        <v>500</v>
      </c>
      <c r="B158" s="5">
        <v>1</v>
      </c>
      <c r="C158" s="2" t="s">
        <v>154</v>
      </c>
      <c r="D158" s="3">
        <f>SUM(Shift11!D158:L158)</f>
        <v>303135.7</v>
      </c>
      <c r="E158" s="3">
        <f>ROUND(MAX(0,(Levy!Q158+Data!D158+Data!E158-Levy!U158)*0.5),2)</f>
        <v>294745.59000000003</v>
      </c>
      <c r="F158" s="3">
        <f t="shared" si="13"/>
        <v>8390.109999999986</v>
      </c>
      <c r="G158" s="3">
        <f t="shared" si="14"/>
        <v>294745.59000000003</v>
      </c>
      <c r="I158" s="3">
        <f>SUM(Shift11!M158:N158)</f>
        <v>26601.7</v>
      </c>
      <c r="J158" s="3">
        <f>ROUND(MAX(0,(Levy!R158-Levy!V158)*0.5),2)</f>
        <v>26148.22</v>
      </c>
      <c r="K158" s="3">
        <f t="shared" si="15"/>
        <v>453.47999999999956</v>
      </c>
      <c r="L158" s="3">
        <f t="shared" si="16"/>
        <v>26148.22</v>
      </c>
      <c r="N158" s="3">
        <f t="shared" si="17"/>
        <v>320893.81000000006</v>
      </c>
      <c r="O158" s="2">
        <f>SUM(Levy!F158:J158)</f>
        <v>651599</v>
      </c>
      <c r="P158" s="2">
        <f>SUM(Levy!U158:V158)</f>
        <v>9811.3799999999992</v>
      </c>
      <c r="Q158" s="2">
        <f t="shared" si="18"/>
        <v>641787.62</v>
      </c>
    </row>
    <row r="159" spans="1:17" x14ac:dyDescent="0.2">
      <c r="A159" s="5">
        <v>505</v>
      </c>
      <c r="B159" s="5">
        <v>1</v>
      </c>
      <c r="C159" s="2" t="s">
        <v>155</v>
      </c>
      <c r="D159" s="3">
        <f>SUM(Shift11!D159:L159)</f>
        <v>205996.87</v>
      </c>
      <c r="E159" s="3">
        <f>ROUND(MAX(0,(Levy!Q159+Data!D159+Data!E159-Levy!U159)*0.5),2)</f>
        <v>193321.16</v>
      </c>
      <c r="F159" s="3">
        <f t="shared" si="13"/>
        <v>12675.709999999992</v>
      </c>
      <c r="G159" s="3">
        <f t="shared" si="14"/>
        <v>193321.16</v>
      </c>
      <c r="I159" s="3">
        <f>SUM(Shift11!M159:N159)</f>
        <v>18999.88</v>
      </c>
      <c r="J159" s="3">
        <f>ROUND(MAX(0,(Levy!R159-Levy!V159)*0.5),2)</f>
        <v>17956.86</v>
      </c>
      <c r="K159" s="3">
        <f t="shared" si="15"/>
        <v>1043.0200000000004</v>
      </c>
      <c r="L159" s="3">
        <f t="shared" si="16"/>
        <v>17956.86</v>
      </c>
      <c r="N159" s="3">
        <f t="shared" si="17"/>
        <v>211278.02000000002</v>
      </c>
      <c r="O159" s="2">
        <f>SUM(Levy!F159:J159)</f>
        <v>438878.83000000007</v>
      </c>
      <c r="P159" s="2">
        <f>SUM(Levy!U159:V159)</f>
        <v>16322.810000000001</v>
      </c>
      <c r="Q159" s="2">
        <f t="shared" si="18"/>
        <v>422556.02000000008</v>
      </c>
    </row>
    <row r="160" spans="1:17" x14ac:dyDescent="0.2">
      <c r="A160" s="5">
        <v>507</v>
      </c>
      <c r="B160" s="5">
        <v>1</v>
      </c>
      <c r="C160" s="2" t="s">
        <v>156</v>
      </c>
      <c r="D160" s="3">
        <f>SUM(Shift11!D160:L160)</f>
        <v>264855.98</v>
      </c>
      <c r="E160" s="3">
        <f>ROUND(MAX(0,(Levy!Q160+Data!D160+Data!E160-Levy!U160)*0.5),2)</f>
        <v>255103.96</v>
      </c>
      <c r="F160" s="3">
        <f t="shared" si="13"/>
        <v>9752.0199999999895</v>
      </c>
      <c r="G160" s="3">
        <f t="shared" si="14"/>
        <v>255103.96</v>
      </c>
      <c r="I160" s="3">
        <f>SUM(Shift11!M160:N160)</f>
        <v>17881.88</v>
      </c>
      <c r="J160" s="3">
        <f>ROUND(MAX(0,(Levy!R160-Levy!V160)*0.5),2)</f>
        <v>18076.73</v>
      </c>
      <c r="K160" s="3">
        <f t="shared" si="15"/>
        <v>0</v>
      </c>
      <c r="L160" s="3">
        <f t="shared" si="16"/>
        <v>17881.88</v>
      </c>
      <c r="N160" s="3">
        <f t="shared" si="17"/>
        <v>272985.83999999997</v>
      </c>
      <c r="O160" s="2">
        <f>SUM(Levy!F160:J160)</f>
        <v>546546</v>
      </c>
      <c r="P160" s="2">
        <f>SUM(Levy!U160:V160)</f>
        <v>184.6400000000001</v>
      </c>
      <c r="Q160" s="2">
        <f t="shared" si="18"/>
        <v>546361.36</v>
      </c>
    </row>
    <row r="161" spans="1:17" x14ac:dyDescent="0.2">
      <c r="A161" s="5">
        <v>508</v>
      </c>
      <c r="B161" s="5">
        <v>1</v>
      </c>
      <c r="C161" s="2" t="s">
        <v>157</v>
      </c>
      <c r="D161" s="3">
        <f>SUM(Shift11!D161:L161)</f>
        <v>1449454.21</v>
      </c>
      <c r="E161" s="3">
        <f>ROUND(MAX(0,(Levy!Q161+Data!D161+Data!E161-Levy!U161)*0.5),2)</f>
        <v>1491679.8</v>
      </c>
      <c r="F161" s="3">
        <f t="shared" si="13"/>
        <v>0</v>
      </c>
      <c r="G161" s="3">
        <f t="shared" si="14"/>
        <v>1449454.21</v>
      </c>
      <c r="I161" s="3">
        <f>SUM(Shift11!M161:N161)</f>
        <v>65791.28</v>
      </c>
      <c r="J161" s="3">
        <f>ROUND(MAX(0,(Levy!R161-Levy!V161)*0.5),2)</f>
        <v>67100.67</v>
      </c>
      <c r="K161" s="3">
        <f t="shared" si="15"/>
        <v>0</v>
      </c>
      <c r="L161" s="3">
        <f t="shared" si="16"/>
        <v>65791.28</v>
      </c>
      <c r="N161" s="3">
        <f t="shared" si="17"/>
        <v>1515245.49</v>
      </c>
      <c r="O161" s="2">
        <f>SUM(Levy!F161:J161)</f>
        <v>3120252</v>
      </c>
      <c r="P161" s="2">
        <f>SUM(Levy!U161:V161)</f>
        <v>2691.0699999999997</v>
      </c>
      <c r="Q161" s="2">
        <f t="shared" si="18"/>
        <v>3117560.93</v>
      </c>
    </row>
    <row r="162" spans="1:17" x14ac:dyDescent="0.2">
      <c r="A162" s="5">
        <v>511</v>
      </c>
      <c r="B162" s="5">
        <v>1</v>
      </c>
      <c r="C162" s="2" t="s">
        <v>158</v>
      </c>
      <c r="D162" s="3">
        <f>SUM(Shift11!D162:L162)</f>
        <v>275871.34999999998</v>
      </c>
      <c r="E162" s="3">
        <f>ROUND(MAX(0,(Levy!Q162+Data!D162+Data!E162-Levy!U162)*0.5),2)</f>
        <v>268543.81</v>
      </c>
      <c r="F162" s="3">
        <f t="shared" si="13"/>
        <v>7327.539999999979</v>
      </c>
      <c r="G162" s="3">
        <f t="shared" si="14"/>
        <v>268543.81</v>
      </c>
      <c r="I162" s="3">
        <f>SUM(Shift11!M162:N162)</f>
        <v>3511.89</v>
      </c>
      <c r="J162" s="3">
        <f>ROUND(MAX(0,(Levy!R162-Levy!V162)*0.5),2)</f>
        <v>3476.66</v>
      </c>
      <c r="K162" s="3">
        <f t="shared" si="15"/>
        <v>35.230000000000018</v>
      </c>
      <c r="L162" s="3">
        <f t="shared" si="16"/>
        <v>3476.66</v>
      </c>
      <c r="N162" s="3">
        <f t="shared" si="17"/>
        <v>272020.46999999997</v>
      </c>
      <c r="O162" s="2">
        <f>SUM(Levy!F162:J162)</f>
        <v>551438.96000000008</v>
      </c>
      <c r="P162" s="2">
        <f>SUM(Levy!U162:V162)</f>
        <v>7398.03</v>
      </c>
      <c r="Q162" s="2">
        <f t="shared" si="18"/>
        <v>544040.93000000005</v>
      </c>
    </row>
    <row r="163" spans="1:17" x14ac:dyDescent="0.2">
      <c r="A163" s="5">
        <v>513</v>
      </c>
      <c r="B163" s="5">
        <v>1</v>
      </c>
      <c r="C163" s="2" t="s">
        <v>159</v>
      </c>
      <c r="D163" s="3">
        <f>SUM(Shift11!D163:L163)</f>
        <v>179769.27000000002</v>
      </c>
      <c r="E163" s="3">
        <f>ROUND(MAX(0,(Levy!Q163+Data!D163+Data!E163-Levy!U163)*0.5),2)</f>
        <v>177692.13</v>
      </c>
      <c r="F163" s="3">
        <f t="shared" si="13"/>
        <v>2077.140000000014</v>
      </c>
      <c r="G163" s="3">
        <f t="shared" si="14"/>
        <v>177692.13</v>
      </c>
      <c r="I163" s="3">
        <f>SUM(Shift11!M163:N163)</f>
        <v>8335.15</v>
      </c>
      <c r="J163" s="3">
        <f>ROUND(MAX(0,(Levy!R163-Levy!V163)*0.5),2)</f>
        <v>8247.94</v>
      </c>
      <c r="K163" s="3">
        <f t="shared" si="15"/>
        <v>87.209999999999127</v>
      </c>
      <c r="L163" s="3">
        <f t="shared" si="16"/>
        <v>8247.94</v>
      </c>
      <c r="N163" s="3">
        <f t="shared" si="17"/>
        <v>185940.07</v>
      </c>
      <c r="O163" s="2">
        <f>SUM(Levy!F163:J163)</f>
        <v>378244.17000000004</v>
      </c>
      <c r="P163" s="2">
        <f>SUM(Levy!U163:V163)</f>
        <v>6364.04</v>
      </c>
      <c r="Q163" s="2">
        <f t="shared" si="18"/>
        <v>371880.13000000006</v>
      </c>
    </row>
    <row r="164" spans="1:17" x14ac:dyDescent="0.2">
      <c r="A164" s="5">
        <v>514</v>
      </c>
      <c r="B164" s="5">
        <v>1</v>
      </c>
      <c r="C164" s="2" t="s">
        <v>160</v>
      </c>
      <c r="D164" s="3">
        <f>SUM(Shift11!D164:L164)</f>
        <v>107947.95000000001</v>
      </c>
      <c r="E164" s="3">
        <f>ROUND(MAX(0,(Levy!Q164+Data!D164+Data!E164-Levy!U164)*0.5),2)</f>
        <v>93568.86</v>
      </c>
      <c r="F164" s="3">
        <f t="shared" si="13"/>
        <v>14379.090000000011</v>
      </c>
      <c r="G164" s="3">
        <f t="shared" si="14"/>
        <v>93568.86</v>
      </c>
      <c r="I164" s="3">
        <f>SUM(Shift11!M164:N164)</f>
        <v>5669.35</v>
      </c>
      <c r="J164" s="3">
        <f>ROUND(MAX(0,(Levy!R164-Levy!V164)*0.5),2)</f>
        <v>5563.98</v>
      </c>
      <c r="K164" s="3">
        <f t="shared" si="15"/>
        <v>105.3700000000008</v>
      </c>
      <c r="L164" s="3">
        <f t="shared" si="16"/>
        <v>5563.98</v>
      </c>
      <c r="N164" s="3">
        <f t="shared" si="17"/>
        <v>99132.84</v>
      </c>
      <c r="O164" s="2">
        <f>SUM(Levy!F164:J164)</f>
        <v>202263.87</v>
      </c>
      <c r="P164" s="2">
        <f>SUM(Levy!U164:V164)</f>
        <v>3998.21</v>
      </c>
      <c r="Q164" s="2">
        <f t="shared" si="18"/>
        <v>198265.66</v>
      </c>
    </row>
    <row r="165" spans="1:17" x14ac:dyDescent="0.2">
      <c r="A165" s="5">
        <v>516</v>
      </c>
      <c r="B165" s="5">
        <v>1</v>
      </c>
      <c r="C165" s="2" t="s">
        <v>161</v>
      </c>
      <c r="D165" s="3">
        <f>SUM(Shift11!D165:L165)</f>
        <v>71671.22</v>
      </c>
      <c r="E165" s="3">
        <f>ROUND(MAX(0,(Levy!Q165+Data!D165+Data!E165-Levy!U165)*0.5),2)</f>
        <v>72632.679999999993</v>
      </c>
      <c r="F165" s="3">
        <f t="shared" si="13"/>
        <v>0</v>
      </c>
      <c r="G165" s="3">
        <f t="shared" si="14"/>
        <v>71671.22</v>
      </c>
      <c r="I165" s="3">
        <f>SUM(Shift11!M165:N165)</f>
        <v>8851.86</v>
      </c>
      <c r="J165" s="3">
        <f>ROUND(MAX(0,(Levy!R165-Levy!V165)*0.5),2)</f>
        <v>8713.33</v>
      </c>
      <c r="K165" s="3">
        <f t="shared" si="15"/>
        <v>138.53000000000065</v>
      </c>
      <c r="L165" s="3">
        <f t="shared" si="16"/>
        <v>8713.33</v>
      </c>
      <c r="N165" s="3">
        <f t="shared" si="17"/>
        <v>80384.55</v>
      </c>
      <c r="O165" s="2">
        <f>SUM(Levy!F165:J165)</f>
        <v>165281.85</v>
      </c>
      <c r="P165" s="2">
        <f>SUM(Levy!U165:V165)</f>
        <v>2589.84</v>
      </c>
      <c r="Q165" s="2">
        <f t="shared" si="18"/>
        <v>162692.01</v>
      </c>
    </row>
    <row r="166" spans="1:17" x14ac:dyDescent="0.2">
      <c r="A166" s="5">
        <v>518</v>
      </c>
      <c r="B166" s="5">
        <v>1</v>
      </c>
      <c r="C166" s="2" t="s">
        <v>162</v>
      </c>
      <c r="D166" s="3">
        <f>SUM(Shift11!D166:L166)</f>
        <v>1207192.8400000001</v>
      </c>
      <c r="E166" s="3">
        <f>ROUND(MAX(0,(Levy!Q166+Data!D166+Data!E166-Levy!U166)*0.5),2)</f>
        <v>1191673.1100000001</v>
      </c>
      <c r="F166" s="3">
        <f t="shared" si="13"/>
        <v>15519.729999999981</v>
      </c>
      <c r="G166" s="3">
        <f t="shared" si="14"/>
        <v>1191673.1100000001</v>
      </c>
      <c r="I166" s="3">
        <f>SUM(Shift11!M166:N166)</f>
        <v>82380.789999999994</v>
      </c>
      <c r="J166" s="3">
        <f>ROUND(MAX(0,(Levy!R166-Levy!V166)*0.5),2)</f>
        <v>81879.820000000007</v>
      </c>
      <c r="K166" s="3">
        <f t="shared" si="15"/>
        <v>500.96999999998661</v>
      </c>
      <c r="L166" s="3">
        <f t="shared" si="16"/>
        <v>81879.820000000007</v>
      </c>
      <c r="N166" s="3">
        <f t="shared" si="17"/>
        <v>1273552.9300000002</v>
      </c>
      <c r="O166" s="2">
        <f>SUM(Levy!F166:J166)</f>
        <v>2573209.11</v>
      </c>
      <c r="P166" s="2">
        <f>SUM(Levy!U166:V166)</f>
        <v>26103.25</v>
      </c>
      <c r="Q166" s="2">
        <f t="shared" si="18"/>
        <v>2547105.86</v>
      </c>
    </row>
    <row r="167" spans="1:17" x14ac:dyDescent="0.2">
      <c r="A167" s="5">
        <v>531</v>
      </c>
      <c r="B167" s="5">
        <v>1</v>
      </c>
      <c r="C167" s="2" t="s">
        <v>163</v>
      </c>
      <c r="D167" s="3">
        <f>SUM(Shift11!D167:L167)</f>
        <v>500163.20999999996</v>
      </c>
      <c r="E167" s="3">
        <f>ROUND(MAX(0,(Levy!Q167+Data!D167+Data!E167-Levy!U167)*0.5),2)</f>
        <v>486471.57</v>
      </c>
      <c r="F167" s="3">
        <f t="shared" si="13"/>
        <v>13691.639999999956</v>
      </c>
      <c r="G167" s="3">
        <f t="shared" si="14"/>
        <v>486471.57</v>
      </c>
      <c r="I167" s="3">
        <f>SUM(Shift11!M167:N167)</f>
        <v>47688.75</v>
      </c>
      <c r="J167" s="3">
        <f>ROUND(MAX(0,(Levy!R167-Levy!V167)*0.5),2)</f>
        <v>48624.35</v>
      </c>
      <c r="K167" s="3">
        <f t="shared" si="15"/>
        <v>0</v>
      </c>
      <c r="L167" s="3">
        <f t="shared" si="16"/>
        <v>47688.75</v>
      </c>
      <c r="N167" s="3">
        <f t="shared" si="17"/>
        <v>534160.32000000007</v>
      </c>
      <c r="O167" s="2">
        <f>SUM(Levy!F167:J167)</f>
        <v>1074698</v>
      </c>
      <c r="P167" s="2">
        <f>SUM(Levy!U167:V167)</f>
        <v>4506.17</v>
      </c>
      <c r="Q167" s="2">
        <f t="shared" si="18"/>
        <v>1070191.83</v>
      </c>
    </row>
    <row r="168" spans="1:17" x14ac:dyDescent="0.2">
      <c r="A168" s="5">
        <v>533</v>
      </c>
      <c r="B168" s="5">
        <v>1</v>
      </c>
      <c r="C168" s="2" t="s">
        <v>164</v>
      </c>
      <c r="D168" s="3">
        <f>SUM(Shift11!D168:L168)</f>
        <v>280688.36</v>
      </c>
      <c r="E168" s="3">
        <f>ROUND(MAX(0,(Levy!Q168+Data!D168+Data!E168-Levy!U168)*0.5),2)</f>
        <v>264263.53000000003</v>
      </c>
      <c r="F168" s="3">
        <f t="shared" si="13"/>
        <v>16424.829999999958</v>
      </c>
      <c r="G168" s="3">
        <f t="shared" si="14"/>
        <v>264263.53000000003</v>
      </c>
      <c r="I168" s="3">
        <f>SUM(Shift11!M168:N168)</f>
        <v>15434.87</v>
      </c>
      <c r="J168" s="3">
        <f>ROUND(MAX(0,(Levy!R168-Levy!V168)*0.5),2)</f>
        <v>15623.59</v>
      </c>
      <c r="K168" s="3">
        <f t="shared" si="15"/>
        <v>0</v>
      </c>
      <c r="L168" s="3">
        <f t="shared" si="16"/>
        <v>15434.87</v>
      </c>
      <c r="N168" s="3">
        <f t="shared" si="17"/>
        <v>279698.40000000002</v>
      </c>
      <c r="O168" s="2">
        <f>SUM(Levy!F168:J168)</f>
        <v>566042</v>
      </c>
      <c r="P168" s="2">
        <f>SUM(Levy!U168:V168)</f>
        <v>6267.7699999999995</v>
      </c>
      <c r="Q168" s="2">
        <f t="shared" si="18"/>
        <v>559774.23</v>
      </c>
    </row>
    <row r="169" spans="1:17" x14ac:dyDescent="0.2">
      <c r="A169" s="5">
        <v>534</v>
      </c>
      <c r="B169" s="5">
        <v>1</v>
      </c>
      <c r="C169" s="2" t="s">
        <v>165</v>
      </c>
      <c r="D169" s="3">
        <f>SUM(Shift11!D169:L169)</f>
        <v>924023.22</v>
      </c>
      <c r="E169" s="3">
        <f>ROUND(MAX(0,(Levy!Q169+Data!D169+Data!E169-Levy!U169)*0.5),2)</f>
        <v>908655.78</v>
      </c>
      <c r="F169" s="3">
        <f t="shared" si="13"/>
        <v>15367.439999999944</v>
      </c>
      <c r="G169" s="3">
        <f t="shared" si="14"/>
        <v>908655.78</v>
      </c>
      <c r="I169" s="3">
        <f>SUM(Shift11!M169:N169)</f>
        <v>51614.17</v>
      </c>
      <c r="J169" s="3">
        <f>ROUND(MAX(0,(Levy!R169-Levy!V169)*0.5),2)</f>
        <v>52289.34</v>
      </c>
      <c r="K169" s="3">
        <f t="shared" si="15"/>
        <v>0</v>
      </c>
      <c r="L169" s="3">
        <f t="shared" si="16"/>
        <v>51614.17</v>
      </c>
      <c r="N169" s="3">
        <f t="shared" si="17"/>
        <v>960269.95000000007</v>
      </c>
      <c r="O169" s="2">
        <f>SUM(Levy!F169:J169)</f>
        <v>1930417</v>
      </c>
      <c r="P169" s="2">
        <f>SUM(Levy!U169:V169)</f>
        <v>8526.7699999999986</v>
      </c>
      <c r="Q169" s="2">
        <f t="shared" si="18"/>
        <v>1921890.23</v>
      </c>
    </row>
    <row r="170" spans="1:17" x14ac:dyDescent="0.2">
      <c r="A170" s="5">
        <v>535</v>
      </c>
      <c r="B170" s="5">
        <v>1</v>
      </c>
      <c r="C170" s="2" t="s">
        <v>166</v>
      </c>
      <c r="D170" s="3">
        <f>SUM(Shift11!D170:L170)</f>
        <v>13142289.669999998</v>
      </c>
      <c r="E170" s="3">
        <f>ROUND(MAX(0,(Levy!Q170+Data!D170+Data!E170-Levy!U170)*0.5),2)</f>
        <v>13095457.77</v>
      </c>
      <c r="F170" s="3">
        <f t="shared" si="13"/>
        <v>46831.89999999851</v>
      </c>
      <c r="G170" s="3">
        <f t="shared" si="14"/>
        <v>13095457.77</v>
      </c>
      <c r="I170" s="3">
        <f>SUM(Shift11!M170:N170)</f>
        <v>844987.79</v>
      </c>
      <c r="J170" s="3">
        <f>ROUND(MAX(0,(Levy!R170-Levy!V170)*0.5),2)</f>
        <v>868121.65</v>
      </c>
      <c r="K170" s="3">
        <f t="shared" si="15"/>
        <v>0</v>
      </c>
      <c r="L170" s="3">
        <f t="shared" si="16"/>
        <v>844987.79</v>
      </c>
      <c r="N170" s="3">
        <f t="shared" si="17"/>
        <v>13940445.559999999</v>
      </c>
      <c r="O170" s="2">
        <f>SUM(Levy!F170:J170)</f>
        <v>27949409</v>
      </c>
      <c r="P170" s="2">
        <f>SUM(Levy!U170:V170)</f>
        <v>22250.18</v>
      </c>
      <c r="Q170" s="2">
        <f t="shared" si="18"/>
        <v>27927158.82</v>
      </c>
    </row>
    <row r="171" spans="1:17" x14ac:dyDescent="0.2">
      <c r="A171" s="5">
        <v>542</v>
      </c>
      <c r="B171" s="5">
        <v>1</v>
      </c>
      <c r="C171" s="2" t="s">
        <v>167</v>
      </c>
      <c r="D171" s="3">
        <f>SUM(Shift11!D171:L171)</f>
        <v>185311.69999999998</v>
      </c>
      <c r="E171" s="3">
        <f>ROUND(MAX(0,(Levy!Q171+Data!D171+Data!E171-Levy!U171)*0.5),2)</f>
        <v>179847.55</v>
      </c>
      <c r="F171" s="3">
        <f t="shared" si="13"/>
        <v>5464.1499999999942</v>
      </c>
      <c r="G171" s="3">
        <f t="shared" si="14"/>
        <v>179847.55</v>
      </c>
      <c r="I171" s="3">
        <f>SUM(Shift11!M171:N171)</f>
        <v>24032.12</v>
      </c>
      <c r="J171" s="3">
        <f>ROUND(MAX(0,(Levy!R171-Levy!V171)*0.5),2)</f>
        <v>24500.98</v>
      </c>
      <c r="K171" s="3">
        <f t="shared" si="15"/>
        <v>0</v>
      </c>
      <c r="L171" s="3">
        <f t="shared" si="16"/>
        <v>24032.12</v>
      </c>
      <c r="N171" s="3">
        <f t="shared" si="17"/>
        <v>203879.66999999998</v>
      </c>
      <c r="O171" s="2">
        <f>SUM(Levy!F171:J171)</f>
        <v>411565.47000000003</v>
      </c>
      <c r="P171" s="2">
        <f>SUM(Levy!U171:V171)</f>
        <v>2868.43</v>
      </c>
      <c r="Q171" s="2">
        <f t="shared" si="18"/>
        <v>408697.04000000004</v>
      </c>
    </row>
    <row r="172" spans="1:17" x14ac:dyDescent="0.2">
      <c r="A172" s="5">
        <v>544</v>
      </c>
      <c r="B172" s="5">
        <v>1</v>
      </c>
      <c r="C172" s="2" t="s">
        <v>168</v>
      </c>
      <c r="D172" s="3">
        <f>SUM(Shift11!D172:L172)</f>
        <v>1387963.6800000002</v>
      </c>
      <c r="E172" s="3">
        <f>ROUND(MAX(0,(Levy!Q172+Data!D172+Data!E172-Levy!U172)*0.5),2)</f>
        <v>1370312.36</v>
      </c>
      <c r="F172" s="3">
        <f t="shared" si="13"/>
        <v>17651.320000000065</v>
      </c>
      <c r="G172" s="3">
        <f t="shared" si="14"/>
        <v>1370312.36</v>
      </c>
      <c r="I172" s="3">
        <f>SUM(Shift11!M172:N172)</f>
        <v>127259.54</v>
      </c>
      <c r="J172" s="3">
        <f>ROUND(MAX(0,(Levy!R172-Levy!V172)*0.5),2)</f>
        <v>129658.72</v>
      </c>
      <c r="K172" s="3">
        <f t="shared" si="15"/>
        <v>0</v>
      </c>
      <c r="L172" s="3">
        <f t="shared" si="16"/>
        <v>127259.54</v>
      </c>
      <c r="N172" s="3">
        <f t="shared" si="17"/>
        <v>1497571.9000000001</v>
      </c>
      <c r="O172" s="2">
        <f>SUM(Levy!F172:J172)</f>
        <v>3015334.47</v>
      </c>
      <c r="P172" s="2">
        <f>SUM(Levy!U172:V172)</f>
        <v>15392.309999999998</v>
      </c>
      <c r="Q172" s="2">
        <f t="shared" si="18"/>
        <v>2999942.16</v>
      </c>
    </row>
    <row r="173" spans="1:17" x14ac:dyDescent="0.2">
      <c r="A173" s="5">
        <v>545</v>
      </c>
      <c r="B173" s="5">
        <v>1</v>
      </c>
      <c r="C173" s="2" t="s">
        <v>169</v>
      </c>
      <c r="D173" s="3">
        <f>SUM(Shift11!D173:L173)</f>
        <v>347258.68999999994</v>
      </c>
      <c r="E173" s="3">
        <f>ROUND(MAX(0,(Levy!Q173+Data!D173+Data!E173-Levy!U173)*0.5),2)</f>
        <v>348609.95</v>
      </c>
      <c r="F173" s="3">
        <f t="shared" si="13"/>
        <v>0</v>
      </c>
      <c r="G173" s="3">
        <f t="shared" si="14"/>
        <v>347258.68999999994</v>
      </c>
      <c r="I173" s="3">
        <f>SUM(Shift11!M173:N173)</f>
        <v>20637.61</v>
      </c>
      <c r="J173" s="3">
        <f>ROUND(MAX(0,(Levy!R173-Levy!V173)*0.5),2)</f>
        <v>20691.93</v>
      </c>
      <c r="K173" s="3">
        <f t="shared" si="15"/>
        <v>0</v>
      </c>
      <c r="L173" s="3">
        <f t="shared" si="16"/>
        <v>20637.61</v>
      </c>
      <c r="N173" s="3">
        <f t="shared" si="17"/>
        <v>367896.29999999993</v>
      </c>
      <c r="O173" s="2">
        <f>SUM(Levy!F173:J173)</f>
        <v>744906.96</v>
      </c>
      <c r="P173" s="2">
        <f>SUM(Levy!U173:V173)</f>
        <v>6303.22</v>
      </c>
      <c r="Q173" s="2">
        <f t="shared" si="18"/>
        <v>738603.74</v>
      </c>
    </row>
    <row r="174" spans="1:17" x14ac:dyDescent="0.2">
      <c r="A174" s="5">
        <v>547</v>
      </c>
      <c r="B174" s="5">
        <v>1</v>
      </c>
      <c r="C174" s="2" t="s">
        <v>170</v>
      </c>
      <c r="D174" s="3">
        <f>SUM(Shift11!D174:L174)</f>
        <v>323047.58999999997</v>
      </c>
      <c r="E174" s="3">
        <f>ROUND(MAX(0,(Levy!Q174+Data!D174+Data!E174-Levy!U174)*0.5),2)</f>
        <v>328479.39</v>
      </c>
      <c r="F174" s="3">
        <f t="shared" si="13"/>
        <v>0</v>
      </c>
      <c r="G174" s="3">
        <f t="shared" si="14"/>
        <v>323047.58999999997</v>
      </c>
      <c r="I174" s="3">
        <f>SUM(Shift11!M174:N174)</f>
        <v>23160.35</v>
      </c>
      <c r="J174" s="3">
        <f>ROUND(MAX(0,(Levy!R174-Levy!V174)*0.5),2)</f>
        <v>23066.53</v>
      </c>
      <c r="K174" s="3">
        <f t="shared" si="15"/>
        <v>93.819999999999709</v>
      </c>
      <c r="L174" s="3">
        <f t="shared" si="16"/>
        <v>23066.53</v>
      </c>
      <c r="N174" s="3">
        <f t="shared" si="17"/>
        <v>346114.12</v>
      </c>
      <c r="O174" s="2">
        <f>SUM(Levy!F174:J174)</f>
        <v>707604.81</v>
      </c>
      <c r="P174" s="2">
        <f>SUM(Levy!U174:V174)</f>
        <v>4512.9699999999993</v>
      </c>
      <c r="Q174" s="2">
        <f t="shared" si="18"/>
        <v>703091.84000000008</v>
      </c>
    </row>
    <row r="175" spans="1:17" x14ac:dyDescent="0.2">
      <c r="A175" s="5">
        <v>548</v>
      </c>
      <c r="B175" s="5">
        <v>1</v>
      </c>
      <c r="C175" s="2" t="s">
        <v>171</v>
      </c>
      <c r="D175" s="3">
        <f>SUM(Shift11!D175:L175)</f>
        <v>617802.22</v>
      </c>
      <c r="E175" s="3">
        <f>ROUND(MAX(0,(Levy!Q175+Data!D175+Data!E175-Levy!U175)*0.5),2)</f>
        <v>617426.56000000006</v>
      </c>
      <c r="F175" s="3">
        <f t="shared" si="13"/>
        <v>375.65999999991618</v>
      </c>
      <c r="G175" s="3">
        <f t="shared" si="14"/>
        <v>617426.56000000006</v>
      </c>
      <c r="I175" s="3">
        <f>SUM(Shift11!M175:N175)</f>
        <v>49455.360000000001</v>
      </c>
      <c r="J175" s="3">
        <f>ROUND(MAX(0,(Levy!R175-Levy!V175)*0.5),2)</f>
        <v>50323.69</v>
      </c>
      <c r="K175" s="3">
        <f t="shared" si="15"/>
        <v>0</v>
      </c>
      <c r="L175" s="3">
        <f t="shared" si="16"/>
        <v>49455.360000000001</v>
      </c>
      <c r="N175" s="3">
        <f t="shared" si="17"/>
        <v>666881.92000000004</v>
      </c>
      <c r="O175" s="2">
        <f>SUM(Levy!F175:J175)</f>
        <v>1340676.3700000001</v>
      </c>
      <c r="P175" s="2">
        <f>SUM(Levy!U175:V175)</f>
        <v>5175.8700000000008</v>
      </c>
      <c r="Q175" s="2">
        <f t="shared" si="18"/>
        <v>1335500.5</v>
      </c>
    </row>
    <row r="176" spans="1:17" x14ac:dyDescent="0.2">
      <c r="A176" s="5">
        <v>549</v>
      </c>
      <c r="B176" s="5">
        <v>1</v>
      </c>
      <c r="C176" s="2" t="s">
        <v>172</v>
      </c>
      <c r="D176" s="3">
        <f>SUM(Shift11!D176:L176)</f>
        <v>625161.21000000008</v>
      </c>
      <c r="E176" s="3">
        <f>ROUND(MAX(0,(Levy!Q176+Data!D176+Data!E176-Levy!U176)*0.5),2)</f>
        <v>463752.43</v>
      </c>
      <c r="F176" s="3">
        <f t="shared" si="13"/>
        <v>161408.78000000009</v>
      </c>
      <c r="G176" s="3">
        <f t="shared" si="14"/>
        <v>463752.43</v>
      </c>
      <c r="I176" s="3">
        <f>SUM(Shift11!M176:N176)</f>
        <v>67628.83</v>
      </c>
      <c r="J176" s="3">
        <f>ROUND(MAX(0,(Levy!R176-Levy!V176)*0.5),2)</f>
        <v>68701.509999999995</v>
      </c>
      <c r="K176" s="3">
        <f t="shared" si="15"/>
        <v>0</v>
      </c>
      <c r="L176" s="3">
        <f t="shared" si="16"/>
        <v>67628.83</v>
      </c>
      <c r="N176" s="3">
        <f t="shared" si="17"/>
        <v>531381.26</v>
      </c>
      <c r="O176" s="2">
        <f>SUM(Levy!F176:J176)</f>
        <v>1075710.8</v>
      </c>
      <c r="P176" s="2">
        <f>SUM(Levy!U176:V176)</f>
        <v>10802.939999999999</v>
      </c>
      <c r="Q176" s="2">
        <f t="shared" si="18"/>
        <v>1064907.8600000001</v>
      </c>
    </row>
    <row r="177" spans="1:17" x14ac:dyDescent="0.2">
      <c r="A177" s="5">
        <v>550</v>
      </c>
      <c r="B177" s="5">
        <v>1</v>
      </c>
      <c r="C177" s="2" t="s">
        <v>173</v>
      </c>
      <c r="D177" s="3">
        <f>SUM(Shift11!D177:L177)</f>
        <v>83029.27</v>
      </c>
      <c r="E177" s="3">
        <f>ROUND(MAX(0,(Levy!Q177+Data!D177+Data!E177-Levy!U177)*0.5),2)</f>
        <v>64241.55</v>
      </c>
      <c r="F177" s="3">
        <f t="shared" si="13"/>
        <v>18787.72</v>
      </c>
      <c r="G177" s="3">
        <f t="shared" si="14"/>
        <v>64241.55</v>
      </c>
      <c r="I177" s="3">
        <f>SUM(Shift11!M177:N177)</f>
        <v>15528.9</v>
      </c>
      <c r="J177" s="3">
        <f>ROUND(MAX(0,(Levy!R177-Levy!V177)*0.5),2)</f>
        <v>15551.47</v>
      </c>
      <c r="K177" s="3">
        <f t="shared" si="15"/>
        <v>0</v>
      </c>
      <c r="L177" s="3">
        <f t="shared" si="16"/>
        <v>15528.9</v>
      </c>
      <c r="N177" s="3">
        <f t="shared" si="17"/>
        <v>79770.45</v>
      </c>
      <c r="O177" s="2">
        <f>SUM(Levy!F177:J177)</f>
        <v>162236.45000000001</v>
      </c>
      <c r="P177" s="2">
        <f>SUM(Levy!U177:V177)</f>
        <v>2650.41</v>
      </c>
      <c r="Q177" s="2">
        <f t="shared" si="18"/>
        <v>159586.04</v>
      </c>
    </row>
    <row r="178" spans="1:17" x14ac:dyDescent="0.2">
      <c r="A178" s="5">
        <v>553</v>
      </c>
      <c r="B178" s="5">
        <v>1</v>
      </c>
      <c r="C178" s="2" t="s">
        <v>174</v>
      </c>
      <c r="D178" s="3">
        <f>SUM(Shift11!D178:L178)</f>
        <v>162774.82</v>
      </c>
      <c r="E178" s="3">
        <f>ROUND(MAX(0,(Levy!Q178+Data!D178+Data!E178-Levy!U178)*0.5),2)</f>
        <v>146488</v>
      </c>
      <c r="F178" s="3">
        <f t="shared" si="13"/>
        <v>16286.820000000007</v>
      </c>
      <c r="G178" s="3">
        <f t="shared" si="14"/>
        <v>146488</v>
      </c>
      <c r="I178" s="3">
        <f>SUM(Shift11!M178:N178)</f>
        <v>19140.16</v>
      </c>
      <c r="J178" s="3">
        <f>ROUND(MAX(0,(Levy!R178-Levy!V178)*0.5),2)</f>
        <v>18598.82</v>
      </c>
      <c r="K178" s="3">
        <f t="shared" si="15"/>
        <v>541.34000000000015</v>
      </c>
      <c r="L178" s="3">
        <f t="shared" si="16"/>
        <v>18598.82</v>
      </c>
      <c r="N178" s="3">
        <f t="shared" si="17"/>
        <v>165086.82</v>
      </c>
      <c r="O178" s="2">
        <f>SUM(Levy!F178:J178)</f>
        <v>335446.84999999998</v>
      </c>
      <c r="P178" s="2">
        <f>SUM(Levy!U178:V178)</f>
        <v>5273.2199999999993</v>
      </c>
      <c r="Q178" s="2">
        <f t="shared" si="18"/>
        <v>330173.63</v>
      </c>
    </row>
    <row r="179" spans="1:17" x14ac:dyDescent="0.2">
      <c r="A179" s="5">
        <v>561</v>
      </c>
      <c r="B179" s="5">
        <v>1</v>
      </c>
      <c r="C179" s="2" t="s">
        <v>175</v>
      </c>
      <c r="D179" s="3">
        <f>SUM(Shift11!D179:L179)</f>
        <v>84835.61</v>
      </c>
      <c r="E179" s="3">
        <f>ROUND(MAX(0,(Levy!Q179+Data!D179+Data!E179-Levy!U179)*0.5),2)</f>
        <v>78710.87</v>
      </c>
      <c r="F179" s="3">
        <f t="shared" si="13"/>
        <v>6124.7400000000052</v>
      </c>
      <c r="G179" s="3">
        <f t="shared" si="14"/>
        <v>78710.87</v>
      </c>
      <c r="I179" s="3">
        <f>SUM(Shift11!M179:N179)</f>
        <v>6085.46</v>
      </c>
      <c r="J179" s="3">
        <f>ROUND(MAX(0,(Levy!R179-Levy!V179)*0.5),2)</f>
        <v>4727.1400000000003</v>
      </c>
      <c r="K179" s="3">
        <f t="shared" si="15"/>
        <v>1358.3199999999997</v>
      </c>
      <c r="L179" s="3">
        <f t="shared" si="16"/>
        <v>4727.1400000000003</v>
      </c>
      <c r="N179" s="3">
        <f t="shared" si="17"/>
        <v>83438.009999999995</v>
      </c>
      <c r="O179" s="2">
        <f>SUM(Levy!F179:J179)</f>
        <v>180828.52</v>
      </c>
      <c r="P179" s="2">
        <f>SUM(Levy!U179:V179)</f>
        <v>13952.52</v>
      </c>
      <c r="Q179" s="2">
        <f t="shared" si="18"/>
        <v>166876</v>
      </c>
    </row>
    <row r="180" spans="1:17" x14ac:dyDescent="0.2">
      <c r="A180" s="5">
        <v>564</v>
      </c>
      <c r="B180" s="5">
        <v>1</v>
      </c>
      <c r="C180" s="2" t="s">
        <v>176</v>
      </c>
      <c r="D180" s="3">
        <f>SUM(Shift11!D180:L180)</f>
        <v>1030233.6799999999</v>
      </c>
      <c r="E180" s="3">
        <f>ROUND(MAX(0,(Levy!Q180+Data!D180+Data!E180-Levy!U180)*0.5),2)</f>
        <v>997712.38</v>
      </c>
      <c r="F180" s="3">
        <f t="shared" si="13"/>
        <v>32521.29999999993</v>
      </c>
      <c r="G180" s="3">
        <f t="shared" si="14"/>
        <v>997712.38</v>
      </c>
      <c r="I180" s="3">
        <f>SUM(Shift11!M180:N180)</f>
        <v>62085.73</v>
      </c>
      <c r="J180" s="3">
        <f>ROUND(MAX(0,(Levy!R180-Levy!V180)*0.5),2)</f>
        <v>61791.83</v>
      </c>
      <c r="K180" s="3">
        <f t="shared" si="15"/>
        <v>293.90000000000146</v>
      </c>
      <c r="L180" s="3">
        <f t="shared" si="16"/>
        <v>61791.83</v>
      </c>
      <c r="N180" s="3">
        <f t="shared" si="17"/>
        <v>1059504.21</v>
      </c>
      <c r="O180" s="2">
        <f>SUM(Levy!F180:J180)</f>
        <v>2151849.87</v>
      </c>
      <c r="P180" s="2">
        <f>SUM(Levy!U180:V180)</f>
        <v>32841.449999999997</v>
      </c>
      <c r="Q180" s="2">
        <f t="shared" si="18"/>
        <v>2119008.42</v>
      </c>
    </row>
    <row r="181" spans="1:17" x14ac:dyDescent="0.2">
      <c r="A181" s="5">
        <v>577</v>
      </c>
      <c r="B181" s="5">
        <v>1</v>
      </c>
      <c r="C181" s="2" t="s">
        <v>177</v>
      </c>
      <c r="D181" s="3">
        <f>SUM(Shift11!D181:L181)</f>
        <v>128436.34</v>
      </c>
      <c r="E181" s="3">
        <f>ROUND(MAX(0,(Levy!Q181+Data!D181+Data!E181-Levy!U181)*0.5),2)</f>
        <v>120250.72</v>
      </c>
      <c r="F181" s="3">
        <f t="shared" si="13"/>
        <v>8185.6199999999953</v>
      </c>
      <c r="G181" s="3">
        <f t="shared" si="14"/>
        <v>120250.72</v>
      </c>
      <c r="I181" s="3">
        <f>SUM(Shift11!M181:N181)</f>
        <v>20654.89</v>
      </c>
      <c r="J181" s="3">
        <f>ROUND(MAX(0,(Levy!R181-Levy!V181)*0.5),2)</f>
        <v>20869.2</v>
      </c>
      <c r="K181" s="3">
        <f t="shared" si="15"/>
        <v>0</v>
      </c>
      <c r="L181" s="3">
        <f t="shared" si="16"/>
        <v>20654.89</v>
      </c>
      <c r="N181" s="3">
        <f t="shared" si="17"/>
        <v>140905.60999999999</v>
      </c>
      <c r="O181" s="2">
        <f>SUM(Levy!F181:J181)</f>
        <v>285378</v>
      </c>
      <c r="P181" s="2">
        <f>SUM(Levy!U181:V181)</f>
        <v>3138.1800000000003</v>
      </c>
      <c r="Q181" s="2">
        <f t="shared" si="18"/>
        <v>282239.82</v>
      </c>
    </row>
    <row r="182" spans="1:17" x14ac:dyDescent="0.2">
      <c r="A182" s="5">
        <v>578</v>
      </c>
      <c r="B182" s="5">
        <v>1</v>
      </c>
      <c r="C182" s="2" t="s">
        <v>178</v>
      </c>
      <c r="D182" s="3">
        <f>SUM(Shift11!D182:L182)</f>
        <v>930476.60999999987</v>
      </c>
      <c r="E182" s="3">
        <f>ROUND(MAX(0,(Levy!Q182+Data!D182+Data!E182-Levy!U182)*0.5),2)</f>
        <v>939214.41</v>
      </c>
      <c r="F182" s="3">
        <f t="shared" si="13"/>
        <v>0</v>
      </c>
      <c r="G182" s="3">
        <f t="shared" si="14"/>
        <v>930476.60999999987</v>
      </c>
      <c r="I182" s="3">
        <f>SUM(Shift11!M182:N182)</f>
        <v>60913.69</v>
      </c>
      <c r="J182" s="3">
        <f>ROUND(MAX(0,(Levy!R182-Levy!V182)*0.5),2)</f>
        <v>61675.59</v>
      </c>
      <c r="K182" s="3">
        <f t="shared" si="15"/>
        <v>0</v>
      </c>
      <c r="L182" s="3">
        <f t="shared" si="16"/>
        <v>60913.69</v>
      </c>
      <c r="N182" s="3">
        <f t="shared" si="17"/>
        <v>991390.29999999981</v>
      </c>
      <c r="O182" s="2">
        <f>SUM(Levy!F182:J182)</f>
        <v>2011090.9100000001</v>
      </c>
      <c r="P182" s="2">
        <f>SUM(Levy!U182:V182)</f>
        <v>9310.92</v>
      </c>
      <c r="Q182" s="2">
        <f t="shared" si="18"/>
        <v>2001779.9900000002</v>
      </c>
    </row>
    <row r="183" spans="1:17" x14ac:dyDescent="0.2">
      <c r="A183" s="5">
        <v>581</v>
      </c>
      <c r="B183" s="5">
        <v>1</v>
      </c>
      <c r="C183" s="2" t="s">
        <v>179</v>
      </c>
      <c r="D183" s="3">
        <f>SUM(Shift11!D183:L183)</f>
        <v>219944.24999999997</v>
      </c>
      <c r="E183" s="3">
        <f>ROUND(MAX(0,(Levy!Q183+Data!D183+Data!E183-Levy!U183)*0.5),2)</f>
        <v>212399.28</v>
      </c>
      <c r="F183" s="3">
        <f t="shared" si="13"/>
        <v>7544.9699999999721</v>
      </c>
      <c r="G183" s="3">
        <f t="shared" si="14"/>
        <v>212399.28</v>
      </c>
      <c r="I183" s="3">
        <f>SUM(Shift11!M183:N183)</f>
        <v>14109.07</v>
      </c>
      <c r="J183" s="3">
        <f>ROUND(MAX(0,(Levy!R183-Levy!V183)*0.5),2)</f>
        <v>13056.83</v>
      </c>
      <c r="K183" s="3">
        <f t="shared" si="15"/>
        <v>1052.2399999999998</v>
      </c>
      <c r="L183" s="3">
        <f t="shared" si="16"/>
        <v>13056.83</v>
      </c>
      <c r="N183" s="3">
        <f t="shared" si="17"/>
        <v>225456.11</v>
      </c>
      <c r="O183" s="2">
        <f>SUM(Levy!F183:J183)</f>
        <v>466784</v>
      </c>
      <c r="P183" s="2">
        <f>SUM(Levy!U183:V183)</f>
        <v>15871.78</v>
      </c>
      <c r="Q183" s="2">
        <f t="shared" si="18"/>
        <v>450912.22</v>
      </c>
    </row>
    <row r="184" spans="1:17" x14ac:dyDescent="0.2">
      <c r="A184" s="5">
        <v>592</v>
      </c>
      <c r="B184" s="5">
        <v>1</v>
      </c>
      <c r="C184" s="2" t="s">
        <v>180</v>
      </c>
      <c r="D184" s="3">
        <f>SUM(Shift11!D184:L184)</f>
        <v>114187.22</v>
      </c>
      <c r="E184" s="3">
        <f>ROUND(MAX(0,(Levy!Q184+Data!D184+Data!E184-Levy!U184)*0.5),2)</f>
        <v>107785.94</v>
      </c>
      <c r="F184" s="3">
        <f t="shared" si="13"/>
        <v>6401.2799999999988</v>
      </c>
      <c r="G184" s="3">
        <f t="shared" si="14"/>
        <v>107785.94</v>
      </c>
      <c r="I184" s="3">
        <f>SUM(Shift11!M184:N184)</f>
        <v>6375.15</v>
      </c>
      <c r="J184" s="3">
        <f>ROUND(MAX(0,(Levy!R184-Levy!V184)*0.5),2)</f>
        <v>6523.32</v>
      </c>
      <c r="K184" s="3">
        <f t="shared" si="15"/>
        <v>0</v>
      </c>
      <c r="L184" s="3">
        <f t="shared" si="16"/>
        <v>6375.15</v>
      </c>
      <c r="N184" s="3">
        <f t="shared" si="17"/>
        <v>114161.09</v>
      </c>
      <c r="O184" s="2">
        <f>SUM(Levy!F184:J184)</f>
        <v>232191.91</v>
      </c>
      <c r="P184" s="2">
        <f>SUM(Levy!U184:V184)</f>
        <v>3573.3999999999996</v>
      </c>
      <c r="Q184" s="2">
        <f t="shared" si="18"/>
        <v>228618.51</v>
      </c>
    </row>
    <row r="185" spans="1:17" x14ac:dyDescent="0.2">
      <c r="A185" s="5">
        <v>593</v>
      </c>
      <c r="B185" s="5">
        <v>1</v>
      </c>
      <c r="C185" s="2" t="s">
        <v>181</v>
      </c>
      <c r="D185" s="3">
        <f>SUM(Shift11!D185:L185)</f>
        <v>1064981.19</v>
      </c>
      <c r="E185" s="3">
        <f>ROUND(MAX(0,(Levy!Q185+Data!D185+Data!E185-Levy!U185)*0.5),2)</f>
        <v>1032426.32</v>
      </c>
      <c r="F185" s="3">
        <f t="shared" si="13"/>
        <v>32554.869999999995</v>
      </c>
      <c r="G185" s="3">
        <f t="shared" si="14"/>
        <v>1032426.32</v>
      </c>
      <c r="I185" s="3">
        <f>SUM(Shift11!M185:N185)</f>
        <v>52454.36</v>
      </c>
      <c r="J185" s="3">
        <f>ROUND(MAX(0,(Levy!R185-Levy!V185)*0.5),2)</f>
        <v>53962.45</v>
      </c>
      <c r="K185" s="3">
        <f t="shared" si="15"/>
        <v>0</v>
      </c>
      <c r="L185" s="3">
        <f t="shared" si="16"/>
        <v>52454.36</v>
      </c>
      <c r="N185" s="3">
        <f t="shared" si="17"/>
        <v>1084880.68</v>
      </c>
      <c r="O185" s="2">
        <f>SUM(Levy!F185:J185)</f>
        <v>2207733.4899999998</v>
      </c>
      <c r="P185" s="2">
        <f>SUM(Levy!U185:V185)</f>
        <v>34955.96</v>
      </c>
      <c r="Q185" s="2">
        <f t="shared" si="18"/>
        <v>2172777.5299999998</v>
      </c>
    </row>
    <row r="186" spans="1:17" x14ac:dyDescent="0.2">
      <c r="A186" s="5">
        <v>595</v>
      </c>
      <c r="B186" s="5">
        <v>1</v>
      </c>
      <c r="C186" s="2" t="s">
        <v>182</v>
      </c>
      <c r="D186" s="3">
        <f>SUM(Shift11!D186:L186)</f>
        <v>638802.97</v>
      </c>
      <c r="E186" s="3">
        <f>ROUND(MAX(0,(Levy!Q186+Data!D186+Data!E186-Levy!U186)*0.5),2)</f>
        <v>604720.66</v>
      </c>
      <c r="F186" s="3">
        <f t="shared" si="13"/>
        <v>34082.309999999939</v>
      </c>
      <c r="G186" s="3">
        <f t="shared" si="14"/>
        <v>604720.66</v>
      </c>
      <c r="I186" s="3">
        <f>SUM(Shift11!M186:N186)</f>
        <v>56048.56</v>
      </c>
      <c r="J186" s="3">
        <f>ROUND(MAX(0,(Levy!R186-Levy!V186)*0.5),2)</f>
        <v>57663.13</v>
      </c>
      <c r="K186" s="3">
        <f t="shared" si="15"/>
        <v>0</v>
      </c>
      <c r="L186" s="3">
        <f t="shared" si="16"/>
        <v>56048.56</v>
      </c>
      <c r="N186" s="3">
        <f t="shared" si="17"/>
        <v>660769.22</v>
      </c>
      <c r="O186" s="2">
        <f>SUM(Levy!F186:J186)</f>
        <v>1373960.79</v>
      </c>
      <c r="P186" s="2">
        <f>SUM(Levy!U186:V186)</f>
        <v>49193.229999999996</v>
      </c>
      <c r="Q186" s="2">
        <f t="shared" si="18"/>
        <v>1324767.56</v>
      </c>
    </row>
    <row r="187" spans="1:17" x14ac:dyDescent="0.2">
      <c r="A187" s="5">
        <v>599</v>
      </c>
      <c r="B187" s="5">
        <v>1</v>
      </c>
      <c r="C187" s="2" t="s">
        <v>183</v>
      </c>
      <c r="D187" s="3">
        <f>SUM(Shift11!D187:L187)</f>
        <v>335855.32</v>
      </c>
      <c r="E187" s="3">
        <f>ROUND(MAX(0,(Levy!Q187+Data!D187+Data!E187-Levy!U187)*0.5),2)</f>
        <v>335623.23</v>
      </c>
      <c r="F187" s="3">
        <f t="shared" si="13"/>
        <v>232.09000000002561</v>
      </c>
      <c r="G187" s="3">
        <f t="shared" si="14"/>
        <v>335623.23</v>
      </c>
      <c r="I187" s="3">
        <f>SUM(Shift11!M187:N187)</f>
        <v>19061.77</v>
      </c>
      <c r="J187" s="3">
        <f>ROUND(MAX(0,(Levy!R187-Levy!V187)*0.5),2)</f>
        <v>19515.41</v>
      </c>
      <c r="K187" s="3">
        <f t="shared" si="15"/>
        <v>0</v>
      </c>
      <c r="L187" s="3">
        <f t="shared" si="16"/>
        <v>19061.77</v>
      </c>
      <c r="N187" s="3">
        <f t="shared" si="17"/>
        <v>354685</v>
      </c>
      <c r="O187" s="2">
        <f>SUM(Levy!F187:J187)</f>
        <v>720265.17999999993</v>
      </c>
      <c r="P187" s="2">
        <f>SUM(Levy!U187:V187)</f>
        <v>9987.92</v>
      </c>
      <c r="Q187" s="2">
        <f t="shared" si="18"/>
        <v>710277.25999999989</v>
      </c>
    </row>
    <row r="188" spans="1:17" x14ac:dyDescent="0.2">
      <c r="A188" s="5">
        <v>600</v>
      </c>
      <c r="B188" s="5">
        <v>1</v>
      </c>
      <c r="C188" s="2" t="s">
        <v>184</v>
      </c>
      <c r="D188" s="3">
        <f>SUM(Shift11!D188:L188)</f>
        <v>137823.37</v>
      </c>
      <c r="E188" s="3">
        <f>ROUND(MAX(0,(Levy!Q188+Data!D188+Data!E188-Levy!U188)*0.5),2)</f>
        <v>56834.84</v>
      </c>
      <c r="F188" s="3">
        <f t="shared" si="13"/>
        <v>80988.53</v>
      </c>
      <c r="G188" s="3">
        <f t="shared" si="14"/>
        <v>56834.84</v>
      </c>
      <c r="I188" s="3">
        <f>SUM(Shift11!M188:N188)</f>
        <v>10633.68</v>
      </c>
      <c r="J188" s="3">
        <f>ROUND(MAX(0,(Levy!R188-Levy!V188)*0.5),2)</f>
        <v>10940.01</v>
      </c>
      <c r="K188" s="3">
        <f t="shared" si="15"/>
        <v>0</v>
      </c>
      <c r="L188" s="3">
        <f t="shared" si="16"/>
        <v>10633.68</v>
      </c>
      <c r="N188" s="3">
        <f t="shared" si="17"/>
        <v>67468.51999999999</v>
      </c>
      <c r="O188" s="2">
        <f>SUM(Levy!F188:J188)</f>
        <v>138548.84</v>
      </c>
      <c r="P188" s="2">
        <f>SUM(Levy!U188:V188)</f>
        <v>2999.16</v>
      </c>
      <c r="Q188" s="2">
        <f t="shared" si="18"/>
        <v>135549.68</v>
      </c>
    </row>
    <row r="189" spans="1:17" x14ac:dyDescent="0.2">
      <c r="A189" s="5">
        <v>601</v>
      </c>
      <c r="B189" s="5">
        <v>1</v>
      </c>
      <c r="C189" s="2" t="s">
        <v>185</v>
      </c>
      <c r="D189" s="3">
        <f>SUM(Shift11!D189:L189)</f>
        <v>275653.98</v>
      </c>
      <c r="E189" s="3">
        <f>ROUND(MAX(0,(Levy!Q189+Data!D189+Data!E189-Levy!U189)*0.5),2)</f>
        <v>252334.64</v>
      </c>
      <c r="F189" s="3">
        <f t="shared" si="13"/>
        <v>23319.339999999967</v>
      </c>
      <c r="G189" s="3">
        <f t="shared" si="14"/>
        <v>252334.64</v>
      </c>
      <c r="I189" s="3">
        <f>SUM(Shift11!M189:N189)</f>
        <v>19067.169999999998</v>
      </c>
      <c r="J189" s="3">
        <f>ROUND(MAX(0,(Levy!R189-Levy!V189)*0.5),2)</f>
        <v>19417.13</v>
      </c>
      <c r="K189" s="3">
        <f t="shared" si="15"/>
        <v>0</v>
      </c>
      <c r="L189" s="3">
        <f t="shared" si="16"/>
        <v>19067.169999999998</v>
      </c>
      <c r="N189" s="3">
        <f t="shared" si="17"/>
        <v>271401.81</v>
      </c>
      <c r="O189" s="2">
        <f>SUM(Levy!F189:J189)</f>
        <v>559714.34</v>
      </c>
      <c r="P189" s="2">
        <f>SUM(Levy!U189:V189)</f>
        <v>16210.81</v>
      </c>
      <c r="Q189" s="2">
        <f t="shared" si="18"/>
        <v>543503.52999999991</v>
      </c>
    </row>
    <row r="190" spans="1:17" x14ac:dyDescent="0.2">
      <c r="A190" s="5">
        <v>611</v>
      </c>
      <c r="B190" s="5">
        <v>1</v>
      </c>
      <c r="C190" s="2" t="s">
        <v>186</v>
      </c>
      <c r="D190" s="3">
        <f>SUM(Shift11!D190:L190)</f>
        <v>35113.61</v>
      </c>
      <c r="E190" s="3">
        <f>ROUND(MAX(0,(Levy!Q190+Data!D190+Data!E190-Levy!U190)*0.5),2)</f>
        <v>19418.36</v>
      </c>
      <c r="F190" s="3">
        <f t="shared" si="13"/>
        <v>15695.25</v>
      </c>
      <c r="G190" s="3">
        <f t="shared" si="14"/>
        <v>19418.36</v>
      </c>
      <c r="I190" s="3">
        <f>SUM(Shift11!M190:N190)</f>
        <v>7192.8</v>
      </c>
      <c r="J190" s="3">
        <f>ROUND(MAX(0,(Levy!R190-Levy!V190)*0.5),2)</f>
        <v>7144.07</v>
      </c>
      <c r="K190" s="3">
        <f t="shared" si="15"/>
        <v>48.730000000000473</v>
      </c>
      <c r="L190" s="3">
        <f t="shared" si="16"/>
        <v>7144.07</v>
      </c>
      <c r="N190" s="3">
        <f t="shared" si="17"/>
        <v>26562.43</v>
      </c>
      <c r="O190" s="2">
        <f>SUM(Levy!F190:J190)</f>
        <v>54197</v>
      </c>
      <c r="P190" s="2">
        <f>SUM(Levy!U190:V190)</f>
        <v>1072.1500000000001</v>
      </c>
      <c r="Q190" s="2">
        <f t="shared" si="18"/>
        <v>53124.85</v>
      </c>
    </row>
    <row r="191" spans="1:17" x14ac:dyDescent="0.2">
      <c r="A191" s="5">
        <v>621</v>
      </c>
      <c r="B191" s="5">
        <v>1</v>
      </c>
      <c r="C191" s="2" t="s">
        <v>187</v>
      </c>
      <c r="D191" s="3">
        <f>SUM(Shift11!D191:L191)</f>
        <v>13487220.030000001</v>
      </c>
      <c r="E191" s="3">
        <f>ROUND(MAX(0,(Levy!Q191+Data!D191+Data!E191-Levy!U191)*0.5),2)</f>
        <v>13512210.67</v>
      </c>
      <c r="F191" s="3">
        <f t="shared" si="13"/>
        <v>0</v>
      </c>
      <c r="G191" s="3">
        <f t="shared" si="14"/>
        <v>13487220.030000001</v>
      </c>
      <c r="I191" s="3">
        <f>SUM(Shift11!M191:N191)</f>
        <v>484297.54</v>
      </c>
      <c r="J191" s="3">
        <f>ROUND(MAX(0,(Levy!R191-Levy!V191)*0.5),2)</f>
        <v>498236.19</v>
      </c>
      <c r="K191" s="3">
        <f t="shared" si="15"/>
        <v>0</v>
      </c>
      <c r="L191" s="3">
        <f t="shared" si="16"/>
        <v>484297.54</v>
      </c>
      <c r="N191" s="3">
        <f t="shared" si="17"/>
        <v>13971517.57</v>
      </c>
      <c r="O191" s="2">
        <f>SUM(Levy!F191:J191)</f>
        <v>28021091</v>
      </c>
      <c r="P191" s="2">
        <f>SUM(Levy!U191:V191)</f>
        <v>197.28</v>
      </c>
      <c r="Q191" s="2">
        <f t="shared" si="18"/>
        <v>28020893.719999999</v>
      </c>
    </row>
    <row r="192" spans="1:17" x14ac:dyDescent="0.2">
      <c r="A192" s="5">
        <v>622</v>
      </c>
      <c r="B192" s="5">
        <v>1</v>
      </c>
      <c r="C192" s="2" t="s">
        <v>188</v>
      </c>
      <c r="D192" s="3">
        <f>SUM(Shift11!D192:L192)</f>
        <v>9003717.4199999999</v>
      </c>
      <c r="E192" s="3">
        <f>ROUND(MAX(0,(Levy!Q192+Data!D192+Data!E192-Levy!U192)*0.5),2)</f>
        <v>8900898.2799999993</v>
      </c>
      <c r="F192" s="3">
        <f t="shared" si="13"/>
        <v>102819.1400000006</v>
      </c>
      <c r="G192" s="3">
        <f t="shared" si="14"/>
        <v>8900898.2799999993</v>
      </c>
      <c r="I192" s="3">
        <f>SUM(Shift11!M192:N192)</f>
        <v>734113.21</v>
      </c>
      <c r="J192" s="3">
        <f>ROUND(MAX(0,(Levy!R192-Levy!V192)*0.5),2)</f>
        <v>755237.13</v>
      </c>
      <c r="K192" s="3">
        <f t="shared" si="15"/>
        <v>0</v>
      </c>
      <c r="L192" s="3">
        <f t="shared" si="16"/>
        <v>734113.21</v>
      </c>
      <c r="N192" s="3">
        <f t="shared" si="17"/>
        <v>9635011.4899999984</v>
      </c>
      <c r="O192" s="2">
        <f>SUM(Levy!F192:J192)</f>
        <v>19312502</v>
      </c>
      <c r="P192" s="2">
        <f>SUM(Levy!U192:V192)</f>
        <v>231.18</v>
      </c>
      <c r="Q192" s="2">
        <f t="shared" si="18"/>
        <v>19312270.82</v>
      </c>
    </row>
    <row r="193" spans="1:17" x14ac:dyDescent="0.2">
      <c r="A193" s="5">
        <v>623</v>
      </c>
      <c r="B193" s="5">
        <v>1</v>
      </c>
      <c r="C193" s="2" t="s">
        <v>189</v>
      </c>
      <c r="D193" s="3">
        <f>SUM(Shift11!D193:L193)</f>
        <v>8052627.3200000012</v>
      </c>
      <c r="E193" s="3">
        <f>ROUND(MAX(0,(Levy!Q193+Data!D193+Data!E193-Levy!U193)*0.5),2)</f>
        <v>8109579.5700000003</v>
      </c>
      <c r="F193" s="3">
        <f t="shared" si="13"/>
        <v>0</v>
      </c>
      <c r="G193" s="3">
        <f t="shared" si="14"/>
        <v>8052627.3200000012</v>
      </c>
      <c r="I193" s="3">
        <f>SUM(Shift11!M193:N193)</f>
        <v>422798.62</v>
      </c>
      <c r="J193" s="3">
        <f>ROUND(MAX(0,(Levy!R193-Levy!V193)*0.5),2)</f>
        <v>434970.47</v>
      </c>
      <c r="K193" s="3">
        <f t="shared" si="15"/>
        <v>0</v>
      </c>
      <c r="L193" s="3">
        <f t="shared" si="16"/>
        <v>422798.62</v>
      </c>
      <c r="N193" s="3">
        <f t="shared" si="17"/>
        <v>8475425.9400000013</v>
      </c>
      <c r="O193" s="2">
        <f>SUM(Levy!F193:J193)</f>
        <v>17089196</v>
      </c>
      <c r="P193" s="2">
        <f>SUM(Levy!U193:V193)</f>
        <v>95.93</v>
      </c>
      <c r="Q193" s="2">
        <f t="shared" si="18"/>
        <v>17089100.07</v>
      </c>
    </row>
    <row r="194" spans="1:17" x14ac:dyDescent="0.2">
      <c r="A194" s="5">
        <v>624</v>
      </c>
      <c r="B194" s="5">
        <v>1</v>
      </c>
      <c r="C194" s="2" t="s">
        <v>190</v>
      </c>
      <c r="D194" s="3">
        <f>SUM(Shift11!D194:L194)</f>
        <v>10683232.82</v>
      </c>
      <c r="E194" s="3">
        <f>ROUND(MAX(0,(Levy!Q194+Data!D194+Data!E194-Levy!U194)*0.5),2)</f>
        <v>10850602.52</v>
      </c>
      <c r="F194" s="3">
        <f t="shared" si="13"/>
        <v>0</v>
      </c>
      <c r="G194" s="3">
        <f t="shared" si="14"/>
        <v>10683232.82</v>
      </c>
      <c r="I194" s="3">
        <f>SUM(Shift11!M194:N194)</f>
        <v>472167.95</v>
      </c>
      <c r="J194" s="3">
        <f>ROUND(MAX(0,(Levy!R194-Levy!V194)*0.5),2)</f>
        <v>485692.69</v>
      </c>
      <c r="K194" s="3">
        <f t="shared" si="15"/>
        <v>0</v>
      </c>
      <c r="L194" s="3">
        <f t="shared" si="16"/>
        <v>472167.95</v>
      </c>
      <c r="N194" s="3">
        <f t="shared" si="17"/>
        <v>11155400.77</v>
      </c>
      <c r="O194" s="2">
        <f>SUM(Levy!F194:J194)</f>
        <v>22673443</v>
      </c>
      <c r="P194" s="2">
        <f>SUM(Levy!U194:V194)</f>
        <v>852.59</v>
      </c>
      <c r="Q194" s="2">
        <f t="shared" si="18"/>
        <v>22672590.41</v>
      </c>
    </row>
    <row r="195" spans="1:17" x14ac:dyDescent="0.2">
      <c r="A195" s="5">
        <v>625</v>
      </c>
      <c r="B195" s="5">
        <v>1</v>
      </c>
      <c r="C195" s="2" t="s">
        <v>191</v>
      </c>
      <c r="D195" s="3">
        <f>SUM(Shift11!D195:L195)</f>
        <v>51111850.200000003</v>
      </c>
      <c r="E195" s="3">
        <f>ROUND(MAX(0,(Levy!Q195+Data!D195+Data!E195-Levy!U195)*0.5),2)</f>
        <v>41477290.030000001</v>
      </c>
      <c r="F195" s="3">
        <f t="shared" si="13"/>
        <v>9634560.1700000018</v>
      </c>
      <c r="G195" s="3">
        <f t="shared" si="14"/>
        <v>41477290.030000001</v>
      </c>
      <c r="I195" s="3">
        <f>SUM(Shift11!M195:N195)</f>
        <v>1675467.99</v>
      </c>
      <c r="J195" s="3">
        <f>ROUND(MAX(0,(Levy!R195-Levy!V195)*0.5),2)</f>
        <v>1717371.04</v>
      </c>
      <c r="K195" s="3">
        <f t="shared" si="15"/>
        <v>0</v>
      </c>
      <c r="L195" s="3">
        <f t="shared" si="16"/>
        <v>1675467.99</v>
      </c>
      <c r="N195" s="3">
        <f t="shared" si="17"/>
        <v>43152758.020000003</v>
      </c>
      <c r="O195" s="2">
        <f>SUM(Levy!F195:J195)</f>
        <v>86574515</v>
      </c>
      <c r="P195" s="2">
        <f>SUM(Levy!U195:V195)</f>
        <v>185192.88</v>
      </c>
      <c r="Q195" s="2">
        <f t="shared" si="18"/>
        <v>86389322.120000005</v>
      </c>
    </row>
    <row r="196" spans="1:17" x14ac:dyDescent="0.2">
      <c r="A196" s="5">
        <v>627</v>
      </c>
      <c r="B196" s="5">
        <v>1</v>
      </c>
      <c r="C196" s="2" t="s">
        <v>192</v>
      </c>
      <c r="D196" s="3">
        <f>SUM(Shift11!D196:L196)</f>
        <v>155426.97999999998</v>
      </c>
      <c r="E196" s="3">
        <f>ROUND(MAX(0,(Levy!Q196+Data!D196+Data!E196-Levy!U196)*0.5),2)</f>
        <v>134090.91</v>
      </c>
      <c r="F196" s="3">
        <f t="shared" si="13"/>
        <v>21336.069999999978</v>
      </c>
      <c r="G196" s="3">
        <f t="shared" si="14"/>
        <v>134090.91</v>
      </c>
      <c r="I196" s="3">
        <f>SUM(Shift11!M196:N196)</f>
        <v>10853.84</v>
      </c>
      <c r="J196" s="3">
        <f>ROUND(MAX(0,(Levy!R196-Levy!V196)*0.5),2)</f>
        <v>10595.51</v>
      </c>
      <c r="K196" s="3">
        <f t="shared" si="15"/>
        <v>258.32999999999993</v>
      </c>
      <c r="L196" s="3">
        <f t="shared" si="16"/>
        <v>10595.51</v>
      </c>
      <c r="N196" s="3">
        <f t="shared" si="17"/>
        <v>144686.42000000001</v>
      </c>
      <c r="O196" s="2">
        <f>SUM(Levy!F196:J196)</f>
        <v>297421</v>
      </c>
      <c r="P196" s="2">
        <f>SUM(Levy!U196:V196)</f>
        <v>8048.17</v>
      </c>
      <c r="Q196" s="2">
        <f t="shared" si="18"/>
        <v>289372.83</v>
      </c>
    </row>
    <row r="197" spans="1:17" x14ac:dyDescent="0.2">
      <c r="A197" s="5">
        <v>628</v>
      </c>
      <c r="B197" s="5">
        <v>1</v>
      </c>
      <c r="C197" s="2" t="s">
        <v>193</v>
      </c>
      <c r="D197" s="3">
        <f>SUM(Shift11!D197:L197)</f>
        <v>135942.09999999998</v>
      </c>
      <c r="E197" s="3">
        <f>ROUND(MAX(0,(Levy!Q197+Data!D197+Data!E197-Levy!U197)*0.5),2)</f>
        <v>134104.56</v>
      </c>
      <c r="F197" s="3">
        <f t="shared" ref="F197:F260" si="19">IF(D197&gt;E197,D197-E197,0)</f>
        <v>1837.539999999979</v>
      </c>
      <c r="G197" s="3">
        <f t="shared" ref="G197:G260" si="20">MAX(0,MIN(D197,E197))</f>
        <v>134104.56</v>
      </c>
      <c r="I197" s="3">
        <f>SUM(Shift11!M197:N197)</f>
        <v>15072.8</v>
      </c>
      <c r="J197" s="3">
        <f>ROUND(MAX(0,(Levy!R197-Levy!V197)*0.5),2)</f>
        <v>14826.21</v>
      </c>
      <c r="K197" s="3">
        <f t="shared" ref="K197:K260" si="21">IF(I197&gt;J197,I197-J197,0)</f>
        <v>246.59000000000015</v>
      </c>
      <c r="L197" s="3">
        <f t="shared" ref="L197:L260" si="22">MAX(0,MIN(I197,J197))</f>
        <v>14826.21</v>
      </c>
      <c r="N197" s="3">
        <f t="shared" si="17"/>
        <v>148930.76999999999</v>
      </c>
      <c r="O197" s="2">
        <f>SUM(Levy!F197:J197)</f>
        <v>301000</v>
      </c>
      <c r="P197" s="2">
        <f>SUM(Levy!U197:V197)</f>
        <v>3138.47</v>
      </c>
      <c r="Q197" s="2">
        <f t="shared" si="18"/>
        <v>297861.53000000003</v>
      </c>
    </row>
    <row r="198" spans="1:17" x14ac:dyDescent="0.2">
      <c r="A198" s="5">
        <v>630</v>
      </c>
      <c r="B198" s="5">
        <v>1</v>
      </c>
      <c r="C198" s="2" t="s">
        <v>194</v>
      </c>
      <c r="D198" s="3">
        <f>SUM(Shift11!D198:L198)</f>
        <v>223607.05000000002</v>
      </c>
      <c r="E198" s="3">
        <f>ROUND(MAX(0,(Levy!Q198+Data!D198+Data!E198-Levy!U198)*0.5),2)</f>
        <v>216286.21</v>
      </c>
      <c r="F198" s="3">
        <f t="shared" si="19"/>
        <v>7320.8400000000256</v>
      </c>
      <c r="G198" s="3">
        <f t="shared" si="20"/>
        <v>216286.21</v>
      </c>
      <c r="I198" s="3">
        <f>SUM(Shift11!M198:N198)</f>
        <v>9272.8799999999992</v>
      </c>
      <c r="J198" s="3">
        <f>ROUND(MAX(0,(Levy!R198-Levy!V198)*0.5),2)</f>
        <v>8514.4</v>
      </c>
      <c r="K198" s="3">
        <f t="shared" si="21"/>
        <v>758.47999999999956</v>
      </c>
      <c r="L198" s="3">
        <f t="shared" si="22"/>
        <v>8514.4</v>
      </c>
      <c r="N198" s="3">
        <f t="shared" si="17"/>
        <v>224800.61</v>
      </c>
      <c r="O198" s="2">
        <f>SUM(Levy!F198:J198)</f>
        <v>465535</v>
      </c>
      <c r="P198" s="2">
        <f>SUM(Levy!U198:V198)</f>
        <v>15933.779999999999</v>
      </c>
      <c r="Q198" s="2">
        <f t="shared" si="18"/>
        <v>449601.22</v>
      </c>
    </row>
    <row r="199" spans="1:17" x14ac:dyDescent="0.2">
      <c r="A199" s="5">
        <v>635</v>
      </c>
      <c r="B199" s="5">
        <v>1</v>
      </c>
      <c r="C199" s="2" t="s">
        <v>195</v>
      </c>
      <c r="D199" s="3">
        <f>SUM(Shift11!D199:L199)</f>
        <v>94672.91</v>
      </c>
      <c r="E199" s="3">
        <f>ROUND(MAX(0,(Levy!Q199+Data!D199+Data!E199-Levy!U199)*0.5),2)</f>
        <v>95729.24</v>
      </c>
      <c r="F199" s="3">
        <f t="shared" si="19"/>
        <v>0</v>
      </c>
      <c r="G199" s="3">
        <f t="shared" si="20"/>
        <v>94672.91</v>
      </c>
      <c r="I199" s="3">
        <f>SUM(Shift11!M199:N199)</f>
        <v>6953.2</v>
      </c>
      <c r="J199" s="3">
        <f>ROUND(MAX(0,(Levy!R199-Levy!V199)*0.5),2)</f>
        <v>6961.35</v>
      </c>
      <c r="K199" s="3">
        <f t="shared" si="21"/>
        <v>0</v>
      </c>
      <c r="L199" s="3">
        <f t="shared" si="22"/>
        <v>6953.2</v>
      </c>
      <c r="N199" s="3">
        <f t="shared" si="17"/>
        <v>101626.11</v>
      </c>
      <c r="O199" s="2">
        <f>SUM(Levy!F199:J199)</f>
        <v>206992</v>
      </c>
      <c r="P199" s="2">
        <f>SUM(Levy!U199:V199)</f>
        <v>1610.83</v>
      </c>
      <c r="Q199" s="2">
        <f t="shared" si="18"/>
        <v>205381.17</v>
      </c>
    </row>
    <row r="200" spans="1:17" x14ac:dyDescent="0.2">
      <c r="A200" s="5">
        <v>640</v>
      </c>
      <c r="B200" s="5">
        <v>1</v>
      </c>
      <c r="C200" s="2" t="s">
        <v>196</v>
      </c>
      <c r="D200" s="3">
        <f>SUM(Shift11!D200:L200)</f>
        <v>231500.38999999996</v>
      </c>
      <c r="E200" s="3">
        <f>ROUND(MAX(0,(Levy!Q200+Data!D200+Data!E200-Levy!U200)*0.5),2)</f>
        <v>227143.16</v>
      </c>
      <c r="F200" s="3">
        <f t="shared" si="19"/>
        <v>4357.2299999999523</v>
      </c>
      <c r="G200" s="3">
        <f t="shared" si="20"/>
        <v>227143.16</v>
      </c>
      <c r="I200" s="3">
        <f>SUM(Shift11!M200:N200)</f>
        <v>20122.830000000002</v>
      </c>
      <c r="J200" s="3">
        <f>ROUND(MAX(0,(Levy!R200-Levy!V200)*0.5),2)</f>
        <v>19956.7</v>
      </c>
      <c r="K200" s="3">
        <f t="shared" si="21"/>
        <v>166.13000000000102</v>
      </c>
      <c r="L200" s="3">
        <f t="shared" si="22"/>
        <v>19956.7</v>
      </c>
      <c r="N200" s="3">
        <f t="shared" si="17"/>
        <v>247099.86000000002</v>
      </c>
      <c r="O200" s="2">
        <f>SUM(Levy!F200:J200)</f>
        <v>503628</v>
      </c>
      <c r="P200" s="2">
        <f>SUM(Levy!U200:V200)</f>
        <v>9428.2800000000007</v>
      </c>
      <c r="Q200" s="2">
        <f t="shared" si="18"/>
        <v>494199.72</v>
      </c>
    </row>
    <row r="201" spans="1:17" x14ac:dyDescent="0.2">
      <c r="A201" s="5">
        <v>656</v>
      </c>
      <c r="B201" s="5">
        <v>1</v>
      </c>
      <c r="C201" s="2" t="s">
        <v>197</v>
      </c>
      <c r="D201" s="3">
        <f>SUM(Shift11!D201:L201)</f>
        <v>1671631.03</v>
      </c>
      <c r="E201" s="3">
        <f>ROUND(MAX(0,(Levy!Q201+Data!D201+Data!E201-Levy!U201)*0.5),2)</f>
        <v>1642690.11</v>
      </c>
      <c r="F201" s="3">
        <f t="shared" si="19"/>
        <v>28940.919999999925</v>
      </c>
      <c r="G201" s="3">
        <f t="shared" si="20"/>
        <v>1642690.11</v>
      </c>
      <c r="I201" s="3">
        <f>SUM(Shift11!M201:N201)</f>
        <v>178740.27</v>
      </c>
      <c r="J201" s="3">
        <f>ROUND(MAX(0,(Levy!R201-Levy!V201)*0.5),2)</f>
        <v>181877.47</v>
      </c>
      <c r="K201" s="3">
        <f t="shared" si="21"/>
        <v>0</v>
      </c>
      <c r="L201" s="3">
        <f t="shared" si="22"/>
        <v>178740.27</v>
      </c>
      <c r="N201" s="3">
        <f t="shared" ref="N201:N264" si="23">G201+L201</f>
        <v>1821430.3800000001</v>
      </c>
      <c r="O201" s="2">
        <f>SUM(Levy!F201:J201)</f>
        <v>3664399.4699999997</v>
      </c>
      <c r="P201" s="2">
        <f>SUM(Levy!U201:V201)</f>
        <v>15264.329999999998</v>
      </c>
      <c r="Q201" s="2">
        <f t="shared" ref="Q201:Q264" si="24">O201-P201</f>
        <v>3649135.1399999997</v>
      </c>
    </row>
    <row r="202" spans="1:17" x14ac:dyDescent="0.2">
      <c r="A202" s="5">
        <v>659</v>
      </c>
      <c r="B202" s="5">
        <v>1</v>
      </c>
      <c r="C202" s="2" t="s">
        <v>198</v>
      </c>
      <c r="D202" s="3">
        <f>SUM(Shift11!D202:L202)</f>
        <v>4402104.6499999985</v>
      </c>
      <c r="E202" s="3">
        <f>ROUND(MAX(0,(Levy!Q202+Data!D202+Data!E202-Levy!U202)*0.5),2)</f>
        <v>4475447.1100000003</v>
      </c>
      <c r="F202" s="3">
        <f t="shared" si="19"/>
        <v>0</v>
      </c>
      <c r="G202" s="3">
        <f t="shared" si="20"/>
        <v>4402104.6499999985</v>
      </c>
      <c r="I202" s="3">
        <f>SUM(Shift11!M202:N202)</f>
        <v>205543.89</v>
      </c>
      <c r="J202" s="3">
        <f>ROUND(MAX(0,(Levy!R202-Levy!V202)*0.5),2)</f>
        <v>209412.55</v>
      </c>
      <c r="K202" s="3">
        <f t="shared" si="21"/>
        <v>0</v>
      </c>
      <c r="L202" s="3">
        <f t="shared" si="22"/>
        <v>205543.89</v>
      </c>
      <c r="N202" s="3">
        <f t="shared" si="23"/>
        <v>4607648.5399999982</v>
      </c>
      <c r="O202" s="2">
        <f>SUM(Levy!F202:J202)</f>
        <v>9390078.5199999996</v>
      </c>
      <c r="P202" s="2">
        <f>SUM(Levy!U202:V202)</f>
        <v>20359.21</v>
      </c>
      <c r="Q202" s="2">
        <f t="shared" si="24"/>
        <v>9369719.3099999987</v>
      </c>
    </row>
    <row r="203" spans="1:17" x14ac:dyDescent="0.2">
      <c r="A203" s="5">
        <v>671</v>
      </c>
      <c r="B203" s="5">
        <v>1</v>
      </c>
      <c r="C203" s="2" t="s">
        <v>199</v>
      </c>
      <c r="D203" s="3">
        <f>SUM(Shift11!D203:L203)</f>
        <v>182082.43</v>
      </c>
      <c r="E203" s="3">
        <f>ROUND(MAX(0,(Levy!Q203+Data!D203+Data!E203-Levy!U203)*0.5),2)</f>
        <v>178695.85</v>
      </c>
      <c r="F203" s="3">
        <f t="shared" si="19"/>
        <v>3386.5799999999872</v>
      </c>
      <c r="G203" s="3">
        <f t="shared" si="20"/>
        <v>178695.85</v>
      </c>
      <c r="I203" s="3">
        <f>SUM(Shift11!M203:N203)</f>
        <v>12315.42</v>
      </c>
      <c r="J203" s="3">
        <f>ROUND(MAX(0,(Levy!R203-Levy!V203)*0.5),2)</f>
        <v>12316.22</v>
      </c>
      <c r="K203" s="3">
        <f t="shared" si="21"/>
        <v>0</v>
      </c>
      <c r="L203" s="3">
        <f t="shared" si="22"/>
        <v>12315.42</v>
      </c>
      <c r="N203" s="3">
        <f t="shared" si="23"/>
        <v>191011.27000000002</v>
      </c>
      <c r="O203" s="2">
        <f>SUM(Levy!F203:J203)</f>
        <v>387632.45</v>
      </c>
      <c r="P203" s="2">
        <f>SUM(Levy!U203:V203)</f>
        <v>5608.3099999999995</v>
      </c>
      <c r="Q203" s="2">
        <f t="shared" si="24"/>
        <v>382024.14</v>
      </c>
    </row>
    <row r="204" spans="1:17" x14ac:dyDescent="0.2">
      <c r="A204" s="5">
        <v>676</v>
      </c>
      <c r="B204" s="5">
        <v>1</v>
      </c>
      <c r="C204" s="2" t="s">
        <v>200</v>
      </c>
      <c r="D204" s="3">
        <f>SUM(Shift11!D204:L204)</f>
        <v>153597.44</v>
      </c>
      <c r="E204" s="3">
        <f>ROUND(MAX(0,(Levy!Q204+Data!D204+Data!E204-Levy!U204)*0.5),2)</f>
        <v>149378.79999999999</v>
      </c>
      <c r="F204" s="3">
        <f t="shared" si="19"/>
        <v>4218.640000000014</v>
      </c>
      <c r="G204" s="3">
        <f t="shared" si="20"/>
        <v>149378.79999999999</v>
      </c>
      <c r="I204" s="3">
        <f>SUM(Shift11!M204:N204)</f>
        <v>4401.7</v>
      </c>
      <c r="J204" s="3">
        <f>ROUND(MAX(0,(Levy!R204-Levy!V204)*0.5),2)</f>
        <v>4289.99</v>
      </c>
      <c r="K204" s="3">
        <f t="shared" si="21"/>
        <v>111.71000000000004</v>
      </c>
      <c r="L204" s="3">
        <f t="shared" si="22"/>
        <v>4289.99</v>
      </c>
      <c r="N204" s="3">
        <f t="shared" si="23"/>
        <v>153668.78999999998</v>
      </c>
      <c r="O204" s="2">
        <f>SUM(Levy!F204:J204)</f>
        <v>312257</v>
      </c>
      <c r="P204" s="2">
        <f>SUM(Levy!U204:V204)</f>
        <v>4919.42</v>
      </c>
      <c r="Q204" s="2">
        <f t="shared" si="24"/>
        <v>307337.58</v>
      </c>
    </row>
    <row r="205" spans="1:17" x14ac:dyDescent="0.2">
      <c r="A205" s="5">
        <v>682</v>
      </c>
      <c r="B205" s="5">
        <v>1</v>
      </c>
      <c r="C205" s="2" t="s">
        <v>201</v>
      </c>
      <c r="D205" s="3">
        <f>SUM(Shift11!D205:L205)</f>
        <v>476930.95999999996</v>
      </c>
      <c r="E205" s="3">
        <f>ROUND(MAX(0,(Levy!Q205+Data!D205+Data!E205-Levy!U205)*0.5),2)</f>
        <v>448975.19</v>
      </c>
      <c r="F205" s="3">
        <f t="shared" si="19"/>
        <v>27955.76999999996</v>
      </c>
      <c r="G205" s="3">
        <f t="shared" si="20"/>
        <v>448975.19</v>
      </c>
      <c r="I205" s="3">
        <f>SUM(Shift11!M205:N205)</f>
        <v>36725.56</v>
      </c>
      <c r="J205" s="3">
        <f>ROUND(MAX(0,(Levy!R205-Levy!V205)*0.5),2)</f>
        <v>36831.43</v>
      </c>
      <c r="K205" s="3">
        <f t="shared" si="21"/>
        <v>0</v>
      </c>
      <c r="L205" s="3">
        <f t="shared" si="22"/>
        <v>36725.56</v>
      </c>
      <c r="N205" s="3">
        <f t="shared" si="23"/>
        <v>485700.75</v>
      </c>
      <c r="O205" s="2">
        <f>SUM(Levy!F205:J205)</f>
        <v>983283</v>
      </c>
      <c r="P205" s="2">
        <f>SUM(Levy!U205:V205)</f>
        <v>11669.78</v>
      </c>
      <c r="Q205" s="2">
        <f t="shared" si="24"/>
        <v>971613.22</v>
      </c>
    </row>
    <row r="206" spans="1:17" x14ac:dyDescent="0.2">
      <c r="A206" s="5">
        <v>690</v>
      </c>
      <c r="B206" s="5">
        <v>1</v>
      </c>
      <c r="C206" s="2" t="s">
        <v>202</v>
      </c>
      <c r="D206" s="3">
        <f>SUM(Shift11!D206:L206)</f>
        <v>483140.24</v>
      </c>
      <c r="E206" s="3">
        <f>ROUND(MAX(0,(Levy!Q206+Data!D206+Data!E206-Levy!U206)*0.5),2)</f>
        <v>453983.78</v>
      </c>
      <c r="F206" s="3">
        <f t="shared" si="19"/>
        <v>29156.459999999963</v>
      </c>
      <c r="G206" s="3">
        <f t="shared" si="20"/>
        <v>453983.78</v>
      </c>
      <c r="I206" s="3">
        <f>SUM(Shift11!M206:N206)</f>
        <v>37722.83</v>
      </c>
      <c r="J206" s="3">
        <f>ROUND(MAX(0,(Levy!R206-Levy!V206)*0.5),2)</f>
        <v>38433.919999999998</v>
      </c>
      <c r="K206" s="3">
        <f t="shared" si="21"/>
        <v>0</v>
      </c>
      <c r="L206" s="3">
        <f t="shared" si="22"/>
        <v>37722.83</v>
      </c>
      <c r="N206" s="3">
        <f t="shared" si="23"/>
        <v>491706.61000000004</v>
      </c>
      <c r="O206" s="2">
        <f>SUM(Levy!F206:J206)</f>
        <v>990275</v>
      </c>
      <c r="P206" s="2">
        <f>SUM(Levy!U206:V206)</f>
        <v>5439.61</v>
      </c>
      <c r="Q206" s="2">
        <f t="shared" si="24"/>
        <v>984835.39</v>
      </c>
    </row>
    <row r="207" spans="1:17" x14ac:dyDescent="0.2">
      <c r="A207" s="5">
        <v>695</v>
      </c>
      <c r="B207" s="5">
        <v>1</v>
      </c>
      <c r="C207" s="2" t="s">
        <v>203</v>
      </c>
      <c r="D207" s="3">
        <f>SUM(Shift11!D207:L207)</f>
        <v>373831.68000000005</v>
      </c>
      <c r="E207" s="3">
        <f>ROUND(MAX(0,(Levy!Q207+Data!D207+Data!E207-Levy!U207)*0.5),2)</f>
        <v>253661.2</v>
      </c>
      <c r="F207" s="3">
        <f t="shared" si="19"/>
        <v>120170.48000000004</v>
      </c>
      <c r="G207" s="3">
        <f t="shared" si="20"/>
        <v>253661.2</v>
      </c>
      <c r="I207" s="3">
        <f>SUM(Shift11!M207:N207)</f>
        <v>0</v>
      </c>
      <c r="J207" s="3">
        <f>ROUND(MAX(0,(Levy!R207-Levy!V207)*0.5),2)</f>
        <v>0</v>
      </c>
      <c r="K207" s="3">
        <f t="shared" si="21"/>
        <v>0</v>
      </c>
      <c r="L207" s="3">
        <f t="shared" si="22"/>
        <v>0</v>
      </c>
      <c r="N207" s="3">
        <f t="shared" si="23"/>
        <v>253661.2</v>
      </c>
      <c r="O207" s="2">
        <f>SUM(Levy!F207:J207)</f>
        <v>535601</v>
      </c>
      <c r="P207" s="2">
        <f>SUM(Levy!U207:V207)</f>
        <v>28278.6</v>
      </c>
      <c r="Q207" s="2">
        <f t="shared" si="24"/>
        <v>507322.4</v>
      </c>
    </row>
    <row r="208" spans="1:17" x14ac:dyDescent="0.2">
      <c r="A208" s="5">
        <v>696</v>
      </c>
      <c r="B208" s="5">
        <v>1</v>
      </c>
      <c r="C208" s="2" t="s">
        <v>204</v>
      </c>
      <c r="D208" s="3">
        <f>SUM(Shift11!D208:L208)</f>
        <v>709923.52</v>
      </c>
      <c r="E208" s="3">
        <f>ROUND(MAX(0,(Levy!Q208+Data!D208+Data!E208-Levy!U208)*0.5),2)</f>
        <v>601626.36</v>
      </c>
      <c r="F208" s="3">
        <f t="shared" si="19"/>
        <v>108297.16000000003</v>
      </c>
      <c r="G208" s="3">
        <f t="shared" si="20"/>
        <v>601626.36</v>
      </c>
      <c r="I208" s="3">
        <f>SUM(Shift11!M208:N208)</f>
        <v>4133.6499999999996</v>
      </c>
      <c r="J208" s="3">
        <f>ROUND(MAX(0,(Levy!R208-Levy!V208)*0.5),2)</f>
        <v>3748.17</v>
      </c>
      <c r="K208" s="3">
        <f t="shared" si="21"/>
        <v>385.47999999999956</v>
      </c>
      <c r="L208" s="3">
        <f t="shared" si="22"/>
        <v>3748.17</v>
      </c>
      <c r="N208" s="3">
        <f t="shared" si="23"/>
        <v>605374.53</v>
      </c>
      <c r="O208" s="2">
        <f>SUM(Levy!F208:J208)</f>
        <v>1291276.23</v>
      </c>
      <c r="P208" s="2">
        <f>SUM(Levy!U208:V208)</f>
        <v>80527.179999999993</v>
      </c>
      <c r="Q208" s="2">
        <f t="shared" si="24"/>
        <v>1210749.05</v>
      </c>
    </row>
    <row r="209" spans="1:17" x14ac:dyDescent="0.2">
      <c r="A209" s="5">
        <v>698</v>
      </c>
      <c r="B209" s="5">
        <v>1</v>
      </c>
      <c r="C209" s="2" t="s">
        <v>205</v>
      </c>
      <c r="D209" s="3">
        <f>SUM(Shift11!D209:L209)</f>
        <v>155898.45000000001</v>
      </c>
      <c r="E209" s="3">
        <f>ROUND(MAX(0,(Levy!Q209+Data!D209+Data!E209-Levy!U209)*0.5),2)</f>
        <v>113342.9</v>
      </c>
      <c r="F209" s="3">
        <f t="shared" si="19"/>
        <v>42555.550000000017</v>
      </c>
      <c r="G209" s="3">
        <f t="shared" si="20"/>
        <v>113342.9</v>
      </c>
      <c r="I209" s="3">
        <f>SUM(Shift11!M209:N209)</f>
        <v>10743.17</v>
      </c>
      <c r="J209" s="3">
        <f>ROUND(MAX(0,(Levy!R209-Levy!V209)*0.5),2)</f>
        <v>10465.89</v>
      </c>
      <c r="K209" s="3">
        <f t="shared" si="21"/>
        <v>277.28000000000065</v>
      </c>
      <c r="L209" s="3">
        <f t="shared" si="22"/>
        <v>10465.89</v>
      </c>
      <c r="N209" s="3">
        <f t="shared" si="23"/>
        <v>123808.79</v>
      </c>
      <c r="O209" s="2">
        <f>SUM(Levy!F209:J209)</f>
        <v>259022.73</v>
      </c>
      <c r="P209" s="2">
        <f>SUM(Levy!U209:V209)</f>
        <v>11405.15</v>
      </c>
      <c r="Q209" s="2">
        <f t="shared" si="24"/>
        <v>247617.58000000002</v>
      </c>
    </row>
    <row r="210" spans="1:17" x14ac:dyDescent="0.2">
      <c r="A210" s="5">
        <v>700</v>
      </c>
      <c r="B210" s="5">
        <v>1</v>
      </c>
      <c r="C210" s="2" t="s">
        <v>206</v>
      </c>
      <c r="D210" s="3">
        <f>SUM(Shift11!D210:L210)</f>
        <v>728511.53999999992</v>
      </c>
      <c r="E210" s="3">
        <f>ROUND(MAX(0,(Levy!Q210+Data!D210+Data!E210-Levy!U210)*0.5),2)</f>
        <v>633082.1</v>
      </c>
      <c r="F210" s="3">
        <f t="shared" si="19"/>
        <v>95429.439999999944</v>
      </c>
      <c r="G210" s="3">
        <f t="shared" si="20"/>
        <v>633082.1</v>
      </c>
      <c r="I210" s="3">
        <f>SUM(Shift11!M210:N210)</f>
        <v>77238.58</v>
      </c>
      <c r="J210" s="3">
        <f>ROUND(MAX(0,(Levy!R210-Levy!V210)*0.5),2)</f>
        <v>75784.5</v>
      </c>
      <c r="K210" s="3">
        <f t="shared" si="21"/>
        <v>1454.0800000000017</v>
      </c>
      <c r="L210" s="3">
        <f t="shared" si="22"/>
        <v>75784.5</v>
      </c>
      <c r="N210" s="3">
        <f t="shared" si="23"/>
        <v>708866.6</v>
      </c>
      <c r="O210" s="2">
        <f>SUM(Levy!F210:J210)</f>
        <v>1465863.81</v>
      </c>
      <c r="P210" s="2">
        <f>SUM(Levy!U210:V210)</f>
        <v>48130.62000000001</v>
      </c>
      <c r="Q210" s="2">
        <f t="shared" si="24"/>
        <v>1417733.19</v>
      </c>
    </row>
    <row r="211" spans="1:17" x14ac:dyDescent="0.2">
      <c r="A211" s="5">
        <v>701</v>
      </c>
      <c r="B211" s="5">
        <v>1</v>
      </c>
      <c r="C211" s="2" t="s">
        <v>207</v>
      </c>
      <c r="D211" s="3">
        <f>SUM(Shift11!D211:L211)</f>
        <v>1312885</v>
      </c>
      <c r="E211" s="3">
        <f>ROUND(MAX(0,(Levy!Q211+Data!D211+Data!E211-Levy!U211)*0.5),2)</f>
        <v>913296.39</v>
      </c>
      <c r="F211" s="3">
        <f t="shared" si="19"/>
        <v>399588.61</v>
      </c>
      <c r="G211" s="3">
        <f t="shared" si="20"/>
        <v>913296.39</v>
      </c>
      <c r="I211" s="3">
        <f>SUM(Shift11!M211:N211)</f>
        <v>0</v>
      </c>
      <c r="J211" s="3">
        <f>ROUND(MAX(0,(Levy!R211-Levy!V211)*0.5),2)</f>
        <v>0</v>
      </c>
      <c r="K211" s="3">
        <f t="shared" si="21"/>
        <v>0</v>
      </c>
      <c r="L211" s="3">
        <f t="shared" si="22"/>
        <v>0</v>
      </c>
      <c r="N211" s="3">
        <f t="shared" si="23"/>
        <v>913296.39</v>
      </c>
      <c r="O211" s="2">
        <f>SUM(Levy!F211:J211)</f>
        <v>2077313.2600000002</v>
      </c>
      <c r="P211" s="2">
        <f>SUM(Levy!U211:V211)</f>
        <v>250720.48000000004</v>
      </c>
      <c r="Q211" s="2">
        <f t="shared" si="24"/>
        <v>1826592.7800000003</v>
      </c>
    </row>
    <row r="212" spans="1:17" x14ac:dyDescent="0.2">
      <c r="A212" s="5">
        <v>704</v>
      </c>
      <c r="B212" s="5">
        <v>1</v>
      </c>
      <c r="C212" s="2" t="s">
        <v>208</v>
      </c>
      <c r="D212" s="3">
        <f>SUM(Shift11!D212:L212)</f>
        <v>777761.72</v>
      </c>
      <c r="E212" s="3">
        <f>ROUND(MAX(0,(Levy!Q212+Data!D212+Data!E212-Levy!U212)*0.5),2)</f>
        <v>659665.11</v>
      </c>
      <c r="F212" s="3">
        <f t="shared" si="19"/>
        <v>118096.60999999999</v>
      </c>
      <c r="G212" s="3">
        <f t="shared" si="20"/>
        <v>659665.11</v>
      </c>
      <c r="I212" s="3">
        <f>SUM(Shift11!M212:N212)</f>
        <v>70000.41</v>
      </c>
      <c r="J212" s="3">
        <f>ROUND(MAX(0,(Levy!R212-Levy!V212)*0.5),2)</f>
        <v>69082.3</v>
      </c>
      <c r="K212" s="3">
        <f t="shared" si="21"/>
        <v>918.11000000000058</v>
      </c>
      <c r="L212" s="3">
        <f t="shared" si="22"/>
        <v>69082.3</v>
      </c>
      <c r="N212" s="3">
        <f t="shared" si="23"/>
        <v>728747.41</v>
      </c>
      <c r="O212" s="2">
        <f>SUM(Levy!F212:J212)</f>
        <v>1504058.6099999999</v>
      </c>
      <c r="P212" s="2">
        <f>SUM(Levy!U212:V212)</f>
        <v>46563.8</v>
      </c>
      <c r="Q212" s="2">
        <f t="shared" si="24"/>
        <v>1457494.8099999998</v>
      </c>
    </row>
    <row r="213" spans="1:17" x14ac:dyDescent="0.2">
      <c r="A213" s="5">
        <v>706</v>
      </c>
      <c r="B213" s="5">
        <v>1</v>
      </c>
      <c r="C213" s="2" t="s">
        <v>209</v>
      </c>
      <c r="D213" s="3">
        <f>SUM(Shift11!D213:L213)</f>
        <v>1066087.8599999999</v>
      </c>
      <c r="E213" s="3">
        <f>ROUND(MAX(0,(Levy!Q213+Data!D213+Data!E213-Levy!U213)*0.5),2)</f>
        <v>675526.75</v>
      </c>
      <c r="F213" s="3">
        <f t="shared" si="19"/>
        <v>390561.10999999987</v>
      </c>
      <c r="G213" s="3">
        <f t="shared" si="20"/>
        <v>675526.75</v>
      </c>
      <c r="I213" s="3">
        <f>SUM(Shift11!M213:N213)</f>
        <v>0</v>
      </c>
      <c r="J213" s="3">
        <f>ROUND(MAX(0,(Levy!R213-Levy!V213)*0.5),2)</f>
        <v>0</v>
      </c>
      <c r="K213" s="3">
        <f t="shared" si="21"/>
        <v>0</v>
      </c>
      <c r="L213" s="3">
        <f t="shared" si="22"/>
        <v>0</v>
      </c>
      <c r="N213" s="3">
        <f t="shared" si="23"/>
        <v>675526.75</v>
      </c>
      <c r="O213" s="2">
        <f>SUM(Levy!F213:J213)</f>
        <v>1532739.8399999999</v>
      </c>
      <c r="P213" s="2">
        <f>SUM(Levy!U213:V213)</f>
        <v>181686.34</v>
      </c>
      <c r="Q213" s="2">
        <f t="shared" si="24"/>
        <v>1351053.4999999998</v>
      </c>
    </row>
    <row r="214" spans="1:17" x14ac:dyDescent="0.2">
      <c r="A214" s="5">
        <v>707</v>
      </c>
      <c r="B214" s="5">
        <v>1</v>
      </c>
      <c r="C214" s="2" t="s">
        <v>210</v>
      </c>
      <c r="D214" s="3">
        <f>SUM(Shift11!D214:L214)</f>
        <v>16051.6</v>
      </c>
      <c r="E214" s="3">
        <f>ROUND(MAX(0,(Levy!Q214+Data!D214+Data!E214-Levy!U214)*0.5),2)</f>
        <v>16284.36</v>
      </c>
      <c r="F214" s="3">
        <f t="shared" si="19"/>
        <v>0</v>
      </c>
      <c r="G214" s="3">
        <f t="shared" si="20"/>
        <v>16051.6</v>
      </c>
      <c r="I214" s="3">
        <f>SUM(Shift11!M214:N214)</f>
        <v>873.46</v>
      </c>
      <c r="J214" s="3">
        <f>ROUND(MAX(0,(Levy!R214-Levy!V214)*0.5),2)</f>
        <v>897.94</v>
      </c>
      <c r="K214" s="3">
        <f t="shared" si="21"/>
        <v>0</v>
      </c>
      <c r="L214" s="3">
        <f t="shared" si="22"/>
        <v>873.46</v>
      </c>
      <c r="N214" s="3">
        <f t="shared" si="23"/>
        <v>16925.060000000001</v>
      </c>
      <c r="O214" s="2">
        <f>SUM(Levy!F214:J214)</f>
        <v>34390.089999999997</v>
      </c>
      <c r="P214" s="2">
        <f>SUM(Levy!U214:V214)</f>
        <v>25.49</v>
      </c>
      <c r="Q214" s="2">
        <f t="shared" si="24"/>
        <v>34364.6</v>
      </c>
    </row>
    <row r="215" spans="1:17" x14ac:dyDescent="0.2">
      <c r="A215" s="5">
        <v>709</v>
      </c>
      <c r="B215" s="5">
        <v>1</v>
      </c>
      <c r="C215" s="2" t="s">
        <v>211</v>
      </c>
      <c r="D215" s="3">
        <f>SUM(Shift11!D215:L215)</f>
        <v>6202683.7600000007</v>
      </c>
      <c r="E215" s="3">
        <f>ROUND(MAX(0,(Levy!Q215+Data!D215+Data!E215-Levy!U215)*0.5),2)</f>
        <v>5155733.13</v>
      </c>
      <c r="F215" s="3">
        <f t="shared" si="19"/>
        <v>1046950.6300000008</v>
      </c>
      <c r="G215" s="3">
        <f t="shared" si="20"/>
        <v>5155733.13</v>
      </c>
      <c r="I215" s="3">
        <f>SUM(Shift11!M215:N215)</f>
        <v>524654.71</v>
      </c>
      <c r="J215" s="3">
        <f>ROUND(MAX(0,(Levy!R215-Levy!V215)*0.5),2)</f>
        <v>490669.04</v>
      </c>
      <c r="K215" s="3">
        <f t="shared" si="21"/>
        <v>33985.669999999984</v>
      </c>
      <c r="L215" s="3">
        <f t="shared" si="22"/>
        <v>490669.04</v>
      </c>
      <c r="N215" s="3">
        <f t="shared" si="23"/>
        <v>5646402.1699999999</v>
      </c>
      <c r="O215" s="2">
        <f>SUM(Levy!F215:J215)</f>
        <v>11893390.389999999</v>
      </c>
      <c r="P215" s="2">
        <f>SUM(Levy!U215:V215)</f>
        <v>600586.07000000007</v>
      </c>
      <c r="Q215" s="2">
        <f t="shared" si="24"/>
        <v>11292804.319999998</v>
      </c>
    </row>
    <row r="216" spans="1:17" x14ac:dyDescent="0.2">
      <c r="A216" s="5">
        <v>712</v>
      </c>
      <c r="B216" s="5">
        <v>1</v>
      </c>
      <c r="C216" s="2" t="s">
        <v>212</v>
      </c>
      <c r="D216" s="3">
        <f>SUM(Shift11!D216:L216)</f>
        <v>251242.48</v>
      </c>
      <c r="E216" s="3">
        <f>ROUND(MAX(0,(Levy!Q216+Data!D216+Data!E216-Levy!U216)*0.5),2)</f>
        <v>142123.18</v>
      </c>
      <c r="F216" s="3">
        <f t="shared" si="19"/>
        <v>109119.30000000002</v>
      </c>
      <c r="G216" s="3">
        <f t="shared" si="20"/>
        <v>142123.18</v>
      </c>
      <c r="I216" s="3">
        <f>SUM(Shift11!M216:N216)</f>
        <v>0</v>
      </c>
      <c r="J216" s="3">
        <f>ROUND(MAX(0,(Levy!R216-Levy!V216)*0.5),2)</f>
        <v>0</v>
      </c>
      <c r="K216" s="3">
        <f t="shared" si="21"/>
        <v>0</v>
      </c>
      <c r="L216" s="3">
        <f t="shared" si="22"/>
        <v>0</v>
      </c>
      <c r="N216" s="3">
        <f t="shared" si="23"/>
        <v>142123.18</v>
      </c>
      <c r="O216" s="2">
        <f>SUM(Levy!F216:J216)</f>
        <v>284411.96999999997</v>
      </c>
      <c r="P216" s="2">
        <f>SUM(Levy!U216:V216)</f>
        <v>165.61</v>
      </c>
      <c r="Q216" s="2">
        <f t="shared" si="24"/>
        <v>284246.36</v>
      </c>
    </row>
    <row r="217" spans="1:17" x14ac:dyDescent="0.2">
      <c r="A217" s="5">
        <v>716</v>
      </c>
      <c r="B217" s="5">
        <v>1</v>
      </c>
      <c r="C217" s="2" t="s">
        <v>213</v>
      </c>
      <c r="D217" s="3">
        <f>SUM(Shift11!D217:L217)</f>
        <v>550896.24</v>
      </c>
      <c r="E217" s="3">
        <f>ROUND(MAX(0,(Levy!Q217+Data!D217+Data!E217-Levy!U217)*0.5),2)</f>
        <v>546740.52</v>
      </c>
      <c r="F217" s="3">
        <f t="shared" si="19"/>
        <v>4155.7199999999721</v>
      </c>
      <c r="G217" s="3">
        <f t="shared" si="20"/>
        <v>546740.52</v>
      </c>
      <c r="I217" s="3">
        <f>SUM(Shift11!M217:N217)</f>
        <v>58363.74</v>
      </c>
      <c r="J217" s="3">
        <f>ROUND(MAX(0,(Levy!R217-Levy!V217)*0.5),2)</f>
        <v>59255.41</v>
      </c>
      <c r="K217" s="3">
        <f t="shared" si="21"/>
        <v>0</v>
      </c>
      <c r="L217" s="3">
        <f t="shared" si="22"/>
        <v>58363.74</v>
      </c>
      <c r="N217" s="3">
        <f t="shared" si="23"/>
        <v>605104.26</v>
      </c>
      <c r="O217" s="2">
        <f>SUM(Levy!F217:J217)</f>
        <v>1218942</v>
      </c>
      <c r="P217" s="2">
        <f>SUM(Levy!U217:V217)</f>
        <v>6950.15</v>
      </c>
      <c r="Q217" s="2">
        <f t="shared" si="24"/>
        <v>1211991.8500000001</v>
      </c>
    </row>
    <row r="218" spans="1:17" x14ac:dyDescent="0.2">
      <c r="A218" s="5">
        <v>717</v>
      </c>
      <c r="B218" s="5">
        <v>1</v>
      </c>
      <c r="C218" s="2" t="s">
        <v>214</v>
      </c>
      <c r="D218" s="3">
        <f>SUM(Shift11!D218:L218)</f>
        <v>1090936.3400000001</v>
      </c>
      <c r="E218" s="3">
        <f>ROUND(MAX(0,(Levy!Q218+Data!D218+Data!E218-Levy!U218)*0.5),2)</f>
        <v>1079619.3999999999</v>
      </c>
      <c r="F218" s="3">
        <f t="shared" si="19"/>
        <v>11316.940000000177</v>
      </c>
      <c r="G218" s="3">
        <f t="shared" si="20"/>
        <v>1079619.3999999999</v>
      </c>
      <c r="I218" s="3">
        <f>SUM(Shift11!M218:N218)</f>
        <v>62086.5</v>
      </c>
      <c r="J218" s="3">
        <f>ROUND(MAX(0,(Levy!R218-Levy!V218)*0.5),2)</f>
        <v>63436.04</v>
      </c>
      <c r="K218" s="3">
        <f t="shared" si="21"/>
        <v>0</v>
      </c>
      <c r="L218" s="3">
        <f t="shared" si="22"/>
        <v>62086.5</v>
      </c>
      <c r="N218" s="3">
        <f t="shared" si="23"/>
        <v>1141705.8999999999</v>
      </c>
      <c r="O218" s="2">
        <f>SUM(Levy!F218:J218)</f>
        <v>2293563</v>
      </c>
      <c r="P218" s="2">
        <f>SUM(Levy!U218:V218)</f>
        <v>7452.14</v>
      </c>
      <c r="Q218" s="2">
        <f t="shared" si="24"/>
        <v>2286110.86</v>
      </c>
    </row>
    <row r="219" spans="1:17" x14ac:dyDescent="0.2">
      <c r="A219" s="5">
        <v>719</v>
      </c>
      <c r="B219" s="5">
        <v>1</v>
      </c>
      <c r="C219" s="2" t="s">
        <v>342</v>
      </c>
      <c r="D219" s="3">
        <f>SUM(Shift11!D219:L219)</f>
        <v>6086751.21</v>
      </c>
      <c r="E219" s="3">
        <f>ROUND(MAX(0,(Levy!Q219+Data!D219+Data!E219-Levy!U219)*0.5),2)</f>
        <v>6178914.4299999997</v>
      </c>
      <c r="F219" s="3">
        <f t="shared" si="19"/>
        <v>0</v>
      </c>
      <c r="G219" s="3">
        <f t="shared" si="20"/>
        <v>6086751.21</v>
      </c>
      <c r="I219" s="3">
        <f>SUM(Shift11!M219:N219)</f>
        <v>291617.01</v>
      </c>
      <c r="J219" s="3">
        <f>ROUND(MAX(0,(Levy!R219-Levy!V219)*0.5),2)</f>
        <v>299871.90000000002</v>
      </c>
      <c r="K219" s="3">
        <f t="shared" si="21"/>
        <v>0</v>
      </c>
      <c r="L219" s="3">
        <f t="shared" si="22"/>
        <v>291617.01</v>
      </c>
      <c r="N219" s="3">
        <f t="shared" si="23"/>
        <v>6378368.2199999997</v>
      </c>
      <c r="O219" s="2">
        <f>SUM(Levy!F219:J219)</f>
        <v>12959362</v>
      </c>
      <c r="P219" s="2">
        <f>SUM(Levy!U219:V219)</f>
        <v>1789.35</v>
      </c>
      <c r="Q219" s="2">
        <f t="shared" si="24"/>
        <v>12957572.65</v>
      </c>
    </row>
    <row r="220" spans="1:17" x14ac:dyDescent="0.2">
      <c r="A220" s="5">
        <v>720</v>
      </c>
      <c r="B220" s="5">
        <v>1</v>
      </c>
      <c r="C220" s="2" t="s">
        <v>216</v>
      </c>
      <c r="D220" s="3">
        <f>SUM(Shift11!D220:L220)</f>
        <v>3582684.1</v>
      </c>
      <c r="E220" s="3">
        <f>ROUND(MAX(0,(Levy!Q220+Data!D220+Data!E220-Levy!U220)*0.5),2)</f>
        <v>3599367</v>
      </c>
      <c r="F220" s="3">
        <f t="shared" si="19"/>
        <v>0</v>
      </c>
      <c r="G220" s="3">
        <f t="shared" si="20"/>
        <v>3582684.1</v>
      </c>
      <c r="I220" s="3">
        <f>SUM(Shift11!M220:N220)</f>
        <v>248195.34</v>
      </c>
      <c r="J220" s="3">
        <f>ROUND(MAX(0,(Levy!R220-Levy!V220)*0.5),2)</f>
        <v>255228.78</v>
      </c>
      <c r="K220" s="3">
        <f t="shared" si="21"/>
        <v>0</v>
      </c>
      <c r="L220" s="3">
        <f t="shared" si="22"/>
        <v>248195.34</v>
      </c>
      <c r="N220" s="3">
        <f t="shared" si="23"/>
        <v>3830879.44</v>
      </c>
      <c r="O220" s="2">
        <f>SUM(Levy!F220:J220)</f>
        <v>7710126</v>
      </c>
      <c r="P220" s="2">
        <f>SUM(Levy!U220:V220)</f>
        <v>934.45</v>
      </c>
      <c r="Q220" s="2">
        <f t="shared" si="24"/>
        <v>7709191.5499999998</v>
      </c>
    </row>
    <row r="221" spans="1:17" x14ac:dyDescent="0.2">
      <c r="A221" s="5">
        <v>721</v>
      </c>
      <c r="B221" s="5">
        <v>1</v>
      </c>
      <c r="C221" s="2" t="s">
        <v>217</v>
      </c>
      <c r="D221" s="3">
        <f>SUM(Shift11!D221:L221)</f>
        <v>1999432.65</v>
      </c>
      <c r="E221" s="3">
        <f>ROUND(MAX(0,(Levy!Q221+Data!D221+Data!E221-Levy!U221)*0.5),2)</f>
        <v>1990742.84</v>
      </c>
      <c r="F221" s="3">
        <f t="shared" si="19"/>
        <v>8689.809999999823</v>
      </c>
      <c r="G221" s="3">
        <f t="shared" si="20"/>
        <v>1990742.84</v>
      </c>
      <c r="I221" s="3">
        <f>SUM(Shift11!M221:N221)</f>
        <v>106298.89</v>
      </c>
      <c r="J221" s="3">
        <f>ROUND(MAX(0,(Levy!R221-Levy!V221)*0.5),2)</f>
        <v>108124.33</v>
      </c>
      <c r="K221" s="3">
        <f t="shared" si="21"/>
        <v>0</v>
      </c>
      <c r="L221" s="3">
        <f t="shared" si="22"/>
        <v>106298.89</v>
      </c>
      <c r="N221" s="3">
        <f t="shared" si="23"/>
        <v>2097041.73</v>
      </c>
      <c r="O221" s="2">
        <f>SUM(Levy!F221:J221)</f>
        <v>4209200</v>
      </c>
      <c r="P221" s="2">
        <f>SUM(Levy!U221:V221)</f>
        <v>11465.660000000002</v>
      </c>
      <c r="Q221" s="2">
        <f t="shared" si="24"/>
        <v>4197734.34</v>
      </c>
    </row>
    <row r="222" spans="1:17" x14ac:dyDescent="0.2">
      <c r="A222" s="5">
        <v>726</v>
      </c>
      <c r="B222" s="5">
        <v>1</v>
      </c>
      <c r="C222" s="2" t="s">
        <v>218</v>
      </c>
      <c r="D222" s="3">
        <f>SUM(Shift11!D222:L222)</f>
        <v>1936058.93</v>
      </c>
      <c r="E222" s="3">
        <f>ROUND(MAX(0,(Levy!Q222+Data!D222+Data!E222-Levy!U222)*0.5),2)</f>
        <v>1931409.14</v>
      </c>
      <c r="F222" s="3">
        <f t="shared" si="19"/>
        <v>4649.7900000000373</v>
      </c>
      <c r="G222" s="3">
        <f t="shared" si="20"/>
        <v>1931409.14</v>
      </c>
      <c r="I222" s="3">
        <f>SUM(Shift11!M222:N222)</f>
        <v>97971.24</v>
      </c>
      <c r="J222" s="3">
        <f>ROUND(MAX(0,(Levy!R222-Levy!V222)*0.5),2)</f>
        <v>100595.91</v>
      </c>
      <c r="K222" s="3">
        <f t="shared" si="21"/>
        <v>0</v>
      </c>
      <c r="L222" s="3">
        <f t="shared" si="22"/>
        <v>97971.24</v>
      </c>
      <c r="N222" s="3">
        <f t="shared" si="23"/>
        <v>2029380.38</v>
      </c>
      <c r="O222" s="2">
        <f>SUM(Levy!F222:J222)</f>
        <v>4067071.51</v>
      </c>
      <c r="P222" s="2">
        <f>SUM(Levy!U222:V222)</f>
        <v>3061.42</v>
      </c>
      <c r="Q222" s="2">
        <f t="shared" si="24"/>
        <v>4064010.09</v>
      </c>
    </row>
    <row r="223" spans="1:17" x14ac:dyDescent="0.2">
      <c r="A223" s="5">
        <v>727</v>
      </c>
      <c r="B223" s="5">
        <v>1</v>
      </c>
      <c r="C223" s="2" t="s">
        <v>219</v>
      </c>
      <c r="D223" s="3">
        <f>SUM(Shift11!D223:L223)</f>
        <v>1427221.77</v>
      </c>
      <c r="E223" s="3">
        <f>ROUND(MAX(0,(Levy!Q223+Data!D223+Data!E223-Levy!U223)*0.5),2)</f>
        <v>1413918.39</v>
      </c>
      <c r="F223" s="3">
        <f t="shared" si="19"/>
        <v>13303.380000000121</v>
      </c>
      <c r="G223" s="3">
        <f t="shared" si="20"/>
        <v>1413918.39</v>
      </c>
      <c r="I223" s="3">
        <f>SUM(Shift11!M223:N223)</f>
        <v>116041.5</v>
      </c>
      <c r="J223" s="3">
        <f>ROUND(MAX(0,(Levy!R223-Levy!V223)*0.5),2)</f>
        <v>119192.34</v>
      </c>
      <c r="K223" s="3">
        <f t="shared" si="21"/>
        <v>0</v>
      </c>
      <c r="L223" s="3">
        <f t="shared" si="22"/>
        <v>116041.5</v>
      </c>
      <c r="N223" s="3">
        <f t="shared" si="23"/>
        <v>1529959.89</v>
      </c>
      <c r="O223" s="2">
        <f>SUM(Levy!F223:J223)</f>
        <v>3068524.55</v>
      </c>
      <c r="P223" s="2">
        <f>SUM(Levy!U223:V223)</f>
        <v>2303.11</v>
      </c>
      <c r="Q223" s="2">
        <f t="shared" si="24"/>
        <v>3066221.44</v>
      </c>
    </row>
    <row r="224" spans="1:17" x14ac:dyDescent="0.2">
      <c r="A224" s="5">
        <v>728</v>
      </c>
      <c r="B224" s="5">
        <v>1</v>
      </c>
      <c r="C224" s="2" t="s">
        <v>220</v>
      </c>
      <c r="D224" s="3">
        <f>SUM(Shift11!D224:L224)</f>
        <v>9491517.3000000007</v>
      </c>
      <c r="E224" s="3">
        <f>ROUND(MAX(0,(Levy!Q224+Data!D224+Data!E224-Levy!U224)*0.5),2)</f>
        <v>9468510.5700000003</v>
      </c>
      <c r="F224" s="3">
        <f t="shared" si="19"/>
        <v>23006.730000000447</v>
      </c>
      <c r="G224" s="3">
        <f t="shared" si="20"/>
        <v>9468510.5700000003</v>
      </c>
      <c r="I224" s="3">
        <f>SUM(Shift11!M224:N224)</f>
        <v>402185.77</v>
      </c>
      <c r="J224" s="3">
        <f>ROUND(MAX(0,(Levy!R224-Levy!V224)*0.5),2)</f>
        <v>413301.01</v>
      </c>
      <c r="K224" s="3">
        <f t="shared" si="21"/>
        <v>0</v>
      </c>
      <c r="L224" s="3">
        <f t="shared" si="22"/>
        <v>402185.77</v>
      </c>
      <c r="N224" s="3">
        <f t="shared" si="23"/>
        <v>9870696.3399999999</v>
      </c>
      <c r="O224" s="2">
        <f>SUM(Levy!F224:J224)</f>
        <v>19774644.73</v>
      </c>
      <c r="P224" s="2">
        <f>SUM(Levy!U224:V224)</f>
        <v>11021.59</v>
      </c>
      <c r="Q224" s="2">
        <f t="shared" si="24"/>
        <v>19763623.140000001</v>
      </c>
    </row>
    <row r="225" spans="1:17" x14ac:dyDescent="0.2">
      <c r="A225" s="5">
        <v>738</v>
      </c>
      <c r="B225" s="5">
        <v>1</v>
      </c>
      <c r="C225" s="2" t="s">
        <v>221</v>
      </c>
      <c r="D225" s="3">
        <f>SUM(Shift11!D225:L225)</f>
        <v>316832.27</v>
      </c>
      <c r="E225" s="3">
        <f>ROUND(MAX(0,(Levy!Q225+Data!D225+Data!E225-Levy!U225)*0.5),2)</f>
        <v>307658.65999999997</v>
      </c>
      <c r="F225" s="3">
        <f t="shared" si="19"/>
        <v>9173.6100000000442</v>
      </c>
      <c r="G225" s="3">
        <f t="shared" si="20"/>
        <v>307658.65999999997</v>
      </c>
      <c r="I225" s="3">
        <f>SUM(Shift11!M225:N225)</f>
        <v>24133.439999999999</v>
      </c>
      <c r="J225" s="3">
        <f>ROUND(MAX(0,(Levy!R225-Levy!V225)*0.5),2)</f>
        <v>23901.64</v>
      </c>
      <c r="K225" s="3">
        <f t="shared" si="21"/>
        <v>231.79999999999927</v>
      </c>
      <c r="L225" s="3">
        <f t="shared" si="22"/>
        <v>23901.64</v>
      </c>
      <c r="N225" s="3">
        <f t="shared" si="23"/>
        <v>331560.3</v>
      </c>
      <c r="O225" s="2">
        <f>SUM(Levy!F225:J225)</f>
        <v>673549.12</v>
      </c>
      <c r="P225" s="2">
        <f>SUM(Levy!U225:V225)</f>
        <v>10428.539999999999</v>
      </c>
      <c r="Q225" s="2">
        <f t="shared" si="24"/>
        <v>663120.57999999996</v>
      </c>
    </row>
    <row r="226" spans="1:17" x14ac:dyDescent="0.2">
      <c r="A226" s="5">
        <v>739</v>
      </c>
      <c r="B226" s="5">
        <v>1</v>
      </c>
      <c r="C226" s="2" t="s">
        <v>222</v>
      </c>
      <c r="D226" s="3">
        <f>SUM(Shift11!D226:L226)</f>
        <v>487644</v>
      </c>
      <c r="E226" s="3">
        <f>ROUND(MAX(0,(Levy!Q226+Data!D226+Data!E226-Levy!U226)*0.5),2)</f>
        <v>487204.17</v>
      </c>
      <c r="F226" s="3">
        <f t="shared" si="19"/>
        <v>439.8300000000163</v>
      </c>
      <c r="G226" s="3">
        <f t="shared" si="20"/>
        <v>487204.17</v>
      </c>
      <c r="I226" s="3">
        <f>SUM(Shift11!M226:N226)</f>
        <v>32088.38</v>
      </c>
      <c r="J226" s="3">
        <f>ROUND(MAX(0,(Levy!R226-Levy!V226)*0.5),2)</f>
        <v>32295.54</v>
      </c>
      <c r="K226" s="3">
        <f t="shared" si="21"/>
        <v>0</v>
      </c>
      <c r="L226" s="3">
        <f t="shared" si="22"/>
        <v>32088.38</v>
      </c>
      <c r="N226" s="3">
        <f t="shared" si="23"/>
        <v>519292.55</v>
      </c>
      <c r="O226" s="2">
        <f>SUM(Levy!F226:J226)</f>
        <v>1046090.6299999999</v>
      </c>
      <c r="P226" s="2">
        <f>SUM(Levy!U226:V226)</f>
        <v>7091.2100000000009</v>
      </c>
      <c r="Q226" s="2">
        <f t="shared" si="24"/>
        <v>1038999.4199999999</v>
      </c>
    </row>
    <row r="227" spans="1:17" x14ac:dyDescent="0.2">
      <c r="A227" s="5">
        <v>740</v>
      </c>
      <c r="B227" s="5">
        <v>1</v>
      </c>
      <c r="C227" s="2" t="s">
        <v>223</v>
      </c>
      <c r="D227" s="3">
        <f>SUM(Shift11!D227:L227)</f>
        <v>641914.57000000018</v>
      </c>
      <c r="E227" s="3">
        <f>ROUND(MAX(0,(Levy!Q227+Data!D227+Data!E227-Levy!U227)*0.5),2)</f>
        <v>627191.97</v>
      </c>
      <c r="F227" s="3">
        <f t="shared" si="19"/>
        <v>14722.60000000021</v>
      </c>
      <c r="G227" s="3">
        <f t="shared" si="20"/>
        <v>627191.97</v>
      </c>
      <c r="I227" s="3">
        <f>SUM(Shift11!M227:N227)</f>
        <v>50177.88</v>
      </c>
      <c r="J227" s="3">
        <f>ROUND(MAX(0,(Levy!R227-Levy!V227)*0.5),2)</f>
        <v>50368.23</v>
      </c>
      <c r="K227" s="3">
        <f t="shared" si="21"/>
        <v>0</v>
      </c>
      <c r="L227" s="3">
        <f t="shared" si="22"/>
        <v>50177.88</v>
      </c>
      <c r="N227" s="3">
        <f t="shared" si="23"/>
        <v>677369.85</v>
      </c>
      <c r="O227" s="2">
        <f>SUM(Levy!F227:J227)</f>
        <v>1368239.8699999999</v>
      </c>
      <c r="P227" s="2">
        <f>SUM(Levy!U227:V227)</f>
        <v>13119.48</v>
      </c>
      <c r="Q227" s="2">
        <f t="shared" si="24"/>
        <v>1355120.39</v>
      </c>
    </row>
    <row r="228" spans="1:17" x14ac:dyDescent="0.2">
      <c r="A228" s="5">
        <v>741</v>
      </c>
      <c r="B228" s="5">
        <v>1</v>
      </c>
      <c r="C228" s="2" t="s">
        <v>224</v>
      </c>
      <c r="D228" s="3">
        <f>SUM(Shift11!D228:L228)</f>
        <v>445566.56</v>
      </c>
      <c r="E228" s="3">
        <f>ROUND(MAX(0,(Levy!Q228+Data!D228+Data!E228-Levy!U228)*0.5),2)</f>
        <v>430997.01</v>
      </c>
      <c r="F228" s="3">
        <f t="shared" si="19"/>
        <v>14569.549999999988</v>
      </c>
      <c r="G228" s="3">
        <f t="shared" si="20"/>
        <v>430997.01</v>
      </c>
      <c r="I228" s="3">
        <f>SUM(Shift11!M228:N228)</f>
        <v>37279.85</v>
      </c>
      <c r="J228" s="3">
        <f>ROUND(MAX(0,(Levy!R228-Levy!V228)*0.5),2)</f>
        <v>37749.019999999997</v>
      </c>
      <c r="K228" s="3">
        <f t="shared" si="21"/>
        <v>0</v>
      </c>
      <c r="L228" s="3">
        <f t="shared" si="22"/>
        <v>37279.85</v>
      </c>
      <c r="N228" s="3">
        <f t="shared" si="23"/>
        <v>468276.86</v>
      </c>
      <c r="O228" s="2">
        <f>SUM(Levy!F228:J228)</f>
        <v>944887.2</v>
      </c>
      <c r="P228" s="2">
        <f>SUM(Levy!U228:V228)</f>
        <v>7395.14</v>
      </c>
      <c r="Q228" s="2">
        <f t="shared" si="24"/>
        <v>937492.05999999994</v>
      </c>
    </row>
    <row r="229" spans="1:17" x14ac:dyDescent="0.2">
      <c r="A229" s="5">
        <v>742</v>
      </c>
      <c r="B229" s="5">
        <v>1</v>
      </c>
      <c r="C229" s="2" t="s">
        <v>225</v>
      </c>
      <c r="D229" s="3">
        <f>SUM(Shift11!D229:L229)</f>
        <v>8240727.1000000006</v>
      </c>
      <c r="E229" s="3">
        <f>ROUND(MAX(0,(Levy!Q229+Data!D229+Data!E229-Levy!U229)*0.5),2)</f>
        <v>8178438.8099999996</v>
      </c>
      <c r="F229" s="3">
        <f t="shared" si="19"/>
        <v>62288.290000000969</v>
      </c>
      <c r="G229" s="3">
        <f t="shared" si="20"/>
        <v>8178438.8099999996</v>
      </c>
      <c r="I229" s="3">
        <f>SUM(Shift11!M229:N229)</f>
        <v>625765.65</v>
      </c>
      <c r="J229" s="3">
        <f>ROUND(MAX(0,(Levy!R229-Levy!V229)*0.5),2)</f>
        <v>641179.30000000005</v>
      </c>
      <c r="K229" s="3">
        <f t="shared" si="21"/>
        <v>0</v>
      </c>
      <c r="L229" s="3">
        <f t="shared" si="22"/>
        <v>625765.65</v>
      </c>
      <c r="N229" s="3">
        <f t="shared" si="23"/>
        <v>8804204.459999999</v>
      </c>
      <c r="O229" s="2">
        <f>SUM(Levy!F229:J229)</f>
        <v>17678849.739999998</v>
      </c>
      <c r="P229" s="2">
        <f>SUM(Levy!U229:V229)</f>
        <v>39613.520000000004</v>
      </c>
      <c r="Q229" s="2">
        <f t="shared" si="24"/>
        <v>17639236.219999999</v>
      </c>
    </row>
    <row r="230" spans="1:17" x14ac:dyDescent="0.2">
      <c r="A230" s="5">
        <v>743</v>
      </c>
      <c r="B230" s="5">
        <v>1</v>
      </c>
      <c r="C230" s="2" t="s">
        <v>226</v>
      </c>
      <c r="D230" s="3">
        <f>SUM(Shift11!D230:L230)</f>
        <v>700425.83000000007</v>
      </c>
      <c r="E230" s="3">
        <f>ROUND(MAX(0,(Levy!Q230+Data!D230+Data!E230-Levy!U230)*0.5),2)</f>
        <v>704389.91</v>
      </c>
      <c r="F230" s="3">
        <f t="shared" si="19"/>
        <v>0</v>
      </c>
      <c r="G230" s="3">
        <f t="shared" si="20"/>
        <v>700425.83000000007</v>
      </c>
      <c r="I230" s="3">
        <f>SUM(Shift11!M230:N230)</f>
        <v>44551.33</v>
      </c>
      <c r="J230" s="3">
        <f>ROUND(MAX(0,(Levy!R230-Levy!V230)*0.5),2)</f>
        <v>44986.86</v>
      </c>
      <c r="K230" s="3">
        <f t="shared" si="21"/>
        <v>0</v>
      </c>
      <c r="L230" s="3">
        <f t="shared" si="22"/>
        <v>44551.33</v>
      </c>
      <c r="N230" s="3">
        <f t="shared" si="23"/>
        <v>744977.16</v>
      </c>
      <c r="O230" s="2">
        <f>SUM(Levy!F230:J230)</f>
        <v>1503497.45</v>
      </c>
      <c r="P230" s="2">
        <f>SUM(Levy!U230:V230)</f>
        <v>4743.92</v>
      </c>
      <c r="Q230" s="2">
        <f t="shared" si="24"/>
        <v>1498753.53</v>
      </c>
    </row>
    <row r="231" spans="1:17" x14ac:dyDescent="0.2">
      <c r="A231" s="5">
        <v>745</v>
      </c>
      <c r="B231" s="5">
        <v>1</v>
      </c>
      <c r="C231" s="2" t="s">
        <v>227</v>
      </c>
      <c r="D231" s="3">
        <f>SUM(Shift11!D231:L231)</f>
        <v>490289.49000000005</v>
      </c>
      <c r="E231" s="3">
        <f>ROUND(MAX(0,(Levy!Q231+Data!D231+Data!E231-Levy!U231)*0.5),2)</f>
        <v>482390.63</v>
      </c>
      <c r="F231" s="3">
        <f t="shared" si="19"/>
        <v>7898.8600000000442</v>
      </c>
      <c r="G231" s="3">
        <f t="shared" si="20"/>
        <v>482390.63</v>
      </c>
      <c r="I231" s="3">
        <f>SUM(Shift11!M231:N231)</f>
        <v>49647.4</v>
      </c>
      <c r="J231" s="3">
        <f>ROUND(MAX(0,(Levy!R231-Levy!V231)*0.5),2)</f>
        <v>50158.81</v>
      </c>
      <c r="K231" s="3">
        <f t="shared" si="21"/>
        <v>0</v>
      </c>
      <c r="L231" s="3">
        <f t="shared" si="22"/>
        <v>49647.4</v>
      </c>
      <c r="N231" s="3">
        <f t="shared" si="23"/>
        <v>532038.03</v>
      </c>
      <c r="O231" s="2">
        <f>SUM(Levy!F231:J231)</f>
        <v>1071971.49</v>
      </c>
      <c r="P231" s="2">
        <f>SUM(Levy!U231:V231)</f>
        <v>6872.62</v>
      </c>
      <c r="Q231" s="2">
        <f t="shared" si="24"/>
        <v>1065098.8699999999</v>
      </c>
    </row>
    <row r="232" spans="1:17" x14ac:dyDescent="0.2">
      <c r="A232" s="5">
        <v>748</v>
      </c>
      <c r="B232" s="5">
        <v>1</v>
      </c>
      <c r="C232" s="2" t="s">
        <v>228</v>
      </c>
      <c r="D232" s="3">
        <f>SUM(Shift11!D232:L232)</f>
        <v>1460804.3099999998</v>
      </c>
      <c r="E232" s="3">
        <f>ROUND(MAX(0,(Levy!Q232+Data!D232+Data!E232-Levy!U232)*0.5),2)</f>
        <v>1475111.66</v>
      </c>
      <c r="F232" s="3">
        <f t="shared" si="19"/>
        <v>0</v>
      </c>
      <c r="G232" s="3">
        <f t="shared" si="20"/>
        <v>1460804.3099999998</v>
      </c>
      <c r="I232" s="3">
        <f>SUM(Shift11!M232:N232)</f>
        <v>91776.36</v>
      </c>
      <c r="J232" s="3">
        <f>ROUND(MAX(0,(Levy!R232-Levy!V232)*0.5),2)</f>
        <v>94110.76</v>
      </c>
      <c r="K232" s="3">
        <f t="shared" si="21"/>
        <v>0</v>
      </c>
      <c r="L232" s="3">
        <f t="shared" si="22"/>
        <v>91776.36</v>
      </c>
      <c r="N232" s="3">
        <f t="shared" si="23"/>
        <v>1552580.67</v>
      </c>
      <c r="O232" s="2">
        <f>SUM(Levy!F232:J232)</f>
        <v>3141525.4699999997</v>
      </c>
      <c r="P232" s="2">
        <f>SUM(Levy!U232:V232)</f>
        <v>3080.6400000000003</v>
      </c>
      <c r="Q232" s="2">
        <f t="shared" si="24"/>
        <v>3138444.8299999996</v>
      </c>
    </row>
    <row r="233" spans="1:17" x14ac:dyDescent="0.2">
      <c r="A233" s="5">
        <v>750</v>
      </c>
      <c r="B233" s="5">
        <v>1</v>
      </c>
      <c r="C233" s="2" t="s">
        <v>229</v>
      </c>
      <c r="D233" s="3">
        <f>SUM(Shift11!D233:L233)</f>
        <v>934761.23</v>
      </c>
      <c r="E233" s="3">
        <f>ROUND(MAX(0,(Levy!Q233+Data!D233+Data!E233-Levy!U233)*0.5),2)</f>
        <v>931465.04</v>
      </c>
      <c r="F233" s="3">
        <f t="shared" si="19"/>
        <v>3296.1899999999441</v>
      </c>
      <c r="G233" s="3">
        <f t="shared" si="20"/>
        <v>931465.04</v>
      </c>
      <c r="I233" s="3">
        <f>SUM(Shift11!M233:N233)</f>
        <v>67653.850000000006</v>
      </c>
      <c r="J233" s="3">
        <f>ROUND(MAX(0,(Levy!R233-Levy!V233)*0.5),2)</f>
        <v>69038.5</v>
      </c>
      <c r="K233" s="3">
        <f t="shared" si="21"/>
        <v>0</v>
      </c>
      <c r="L233" s="3">
        <f t="shared" si="22"/>
        <v>67653.850000000006</v>
      </c>
      <c r="N233" s="3">
        <f t="shared" si="23"/>
        <v>999118.89</v>
      </c>
      <c r="O233" s="2">
        <f>SUM(Levy!F233:J233)</f>
        <v>2008659.01</v>
      </c>
      <c r="P233" s="2">
        <f>SUM(Levy!U233:V233)</f>
        <v>7651.9400000000005</v>
      </c>
      <c r="Q233" s="2">
        <f t="shared" si="24"/>
        <v>2001007.07</v>
      </c>
    </row>
    <row r="234" spans="1:17" x14ac:dyDescent="0.2">
      <c r="A234" s="5">
        <v>756</v>
      </c>
      <c r="B234" s="5">
        <v>1</v>
      </c>
      <c r="C234" s="2" t="s">
        <v>230</v>
      </c>
      <c r="D234" s="3">
        <f>SUM(Shift11!D234:L234)</f>
        <v>352135.03</v>
      </c>
      <c r="E234" s="3">
        <f>ROUND(MAX(0,(Levy!Q234+Data!D234+Data!E234-Levy!U234)*0.5),2)</f>
        <v>345435.63</v>
      </c>
      <c r="F234" s="3">
        <f t="shared" si="19"/>
        <v>6699.4000000000233</v>
      </c>
      <c r="G234" s="3">
        <f t="shared" si="20"/>
        <v>345435.63</v>
      </c>
      <c r="I234" s="3">
        <f>SUM(Shift11!M234:N234)</f>
        <v>22558.66</v>
      </c>
      <c r="J234" s="3">
        <f>ROUND(MAX(0,(Levy!R234-Levy!V234)*0.5),2)</f>
        <v>22500.48</v>
      </c>
      <c r="K234" s="3">
        <f t="shared" si="21"/>
        <v>58.180000000000291</v>
      </c>
      <c r="L234" s="3">
        <f t="shared" si="22"/>
        <v>22500.48</v>
      </c>
      <c r="N234" s="3">
        <f t="shared" si="23"/>
        <v>367936.11</v>
      </c>
      <c r="O234" s="2">
        <f>SUM(Levy!F234:J234)</f>
        <v>746645</v>
      </c>
      <c r="P234" s="2">
        <f>SUM(Levy!U234:V234)</f>
        <v>10772.8</v>
      </c>
      <c r="Q234" s="2">
        <f t="shared" si="24"/>
        <v>735872.2</v>
      </c>
    </row>
    <row r="235" spans="1:17" x14ac:dyDescent="0.2">
      <c r="A235" s="5">
        <v>761</v>
      </c>
      <c r="B235" s="5">
        <v>1</v>
      </c>
      <c r="C235" s="2" t="s">
        <v>231</v>
      </c>
      <c r="D235" s="3">
        <f>SUM(Shift11!D235:L235)</f>
        <v>2574940.67</v>
      </c>
      <c r="E235" s="3">
        <f>ROUND(MAX(0,(Levy!Q235+Data!D235+Data!E235-Levy!U235)*0.5),2)</f>
        <v>2518608.5</v>
      </c>
      <c r="F235" s="3">
        <f t="shared" si="19"/>
        <v>56332.169999999925</v>
      </c>
      <c r="G235" s="3">
        <f t="shared" si="20"/>
        <v>2518608.5</v>
      </c>
      <c r="I235" s="3">
        <f>SUM(Shift11!M235:N235)</f>
        <v>154311.79999999999</v>
      </c>
      <c r="J235" s="3">
        <f>ROUND(MAX(0,(Levy!R235-Levy!V235)*0.5),2)</f>
        <v>156729.01</v>
      </c>
      <c r="K235" s="3">
        <f t="shared" si="21"/>
        <v>0</v>
      </c>
      <c r="L235" s="3">
        <f t="shared" si="22"/>
        <v>154311.79999999999</v>
      </c>
      <c r="N235" s="3">
        <f t="shared" si="23"/>
        <v>2672920.2999999998</v>
      </c>
      <c r="O235" s="2">
        <f>SUM(Levy!F235:J235)</f>
        <v>5376078</v>
      </c>
      <c r="P235" s="2">
        <f>SUM(Levy!U235:V235)</f>
        <v>25402.99</v>
      </c>
      <c r="Q235" s="2">
        <f t="shared" si="24"/>
        <v>5350675.01</v>
      </c>
    </row>
    <row r="236" spans="1:17" x14ac:dyDescent="0.2">
      <c r="A236" s="5">
        <v>763</v>
      </c>
      <c r="B236" s="5">
        <v>1</v>
      </c>
      <c r="C236" s="2" t="s">
        <v>232</v>
      </c>
      <c r="D236" s="3">
        <f>SUM(Shift11!D236:L236)</f>
        <v>231003.71999999997</v>
      </c>
      <c r="E236" s="3">
        <f>ROUND(MAX(0,(Levy!Q236+Data!D236+Data!E236-Levy!U236)*0.5),2)</f>
        <v>123602.65</v>
      </c>
      <c r="F236" s="3">
        <f t="shared" si="19"/>
        <v>107401.06999999998</v>
      </c>
      <c r="G236" s="3">
        <f t="shared" si="20"/>
        <v>123602.65</v>
      </c>
      <c r="I236" s="3">
        <f>SUM(Shift11!M236:N236)</f>
        <v>17382.759999999998</v>
      </c>
      <c r="J236" s="3">
        <f>ROUND(MAX(0,(Levy!R236-Levy!V236)*0.5),2)</f>
        <v>17587.939999999999</v>
      </c>
      <c r="K236" s="3">
        <f t="shared" si="21"/>
        <v>0</v>
      </c>
      <c r="L236" s="3">
        <f t="shared" si="22"/>
        <v>17382.759999999998</v>
      </c>
      <c r="N236" s="3">
        <f t="shared" si="23"/>
        <v>140985.41</v>
      </c>
      <c r="O236" s="2">
        <f>SUM(Levy!F236:J236)</f>
        <v>285799</v>
      </c>
      <c r="P236" s="2">
        <f>SUM(Levy!U236:V236)</f>
        <v>3417.83</v>
      </c>
      <c r="Q236" s="2">
        <f t="shared" si="24"/>
        <v>282381.17</v>
      </c>
    </row>
    <row r="237" spans="1:17" x14ac:dyDescent="0.2">
      <c r="A237" s="5">
        <v>768</v>
      </c>
      <c r="B237" s="5">
        <v>1</v>
      </c>
      <c r="C237" s="2" t="s">
        <v>233</v>
      </c>
      <c r="D237" s="3">
        <f>SUM(Shift11!D237:L237)</f>
        <v>134024.38</v>
      </c>
      <c r="E237" s="3">
        <f>ROUND(MAX(0,(Levy!Q237+Data!D237+Data!E237-Levy!U237)*0.5),2)</f>
        <v>125771.98</v>
      </c>
      <c r="F237" s="3">
        <f t="shared" si="19"/>
        <v>8252.4000000000087</v>
      </c>
      <c r="G237" s="3">
        <f t="shared" si="20"/>
        <v>125771.98</v>
      </c>
      <c r="I237" s="3">
        <f>SUM(Shift11!M237:N237)</f>
        <v>7266.93</v>
      </c>
      <c r="J237" s="3">
        <f>ROUND(MAX(0,(Levy!R237-Levy!V237)*0.5),2)</f>
        <v>7184.65</v>
      </c>
      <c r="K237" s="3">
        <f t="shared" si="21"/>
        <v>82.280000000000655</v>
      </c>
      <c r="L237" s="3">
        <f t="shared" si="22"/>
        <v>7184.65</v>
      </c>
      <c r="N237" s="3">
        <f t="shared" si="23"/>
        <v>132956.63</v>
      </c>
      <c r="O237" s="2">
        <f>SUM(Levy!F237:J237)</f>
        <v>269848.28999999998</v>
      </c>
      <c r="P237" s="2">
        <f>SUM(Levy!U237:V237)</f>
        <v>3935.04</v>
      </c>
      <c r="Q237" s="2">
        <f t="shared" si="24"/>
        <v>265913.25</v>
      </c>
    </row>
    <row r="238" spans="1:17" x14ac:dyDescent="0.2">
      <c r="A238" s="5">
        <v>769</v>
      </c>
      <c r="B238" s="5">
        <v>1</v>
      </c>
      <c r="C238" s="2" t="s">
        <v>234</v>
      </c>
      <c r="D238" s="3">
        <f>SUM(Shift11!D238:L238)</f>
        <v>499513.06</v>
      </c>
      <c r="E238" s="3">
        <f>ROUND(MAX(0,(Levy!Q238+Data!D238+Data!E238-Levy!U238)*0.5),2)</f>
        <v>494095.02</v>
      </c>
      <c r="F238" s="3">
        <f t="shared" si="19"/>
        <v>5418.039999999979</v>
      </c>
      <c r="G238" s="3">
        <f t="shared" si="20"/>
        <v>494095.02</v>
      </c>
      <c r="I238" s="3">
        <f>SUM(Shift11!M238:N238)</f>
        <v>44897</v>
      </c>
      <c r="J238" s="3">
        <f>ROUND(MAX(0,(Levy!R238-Levy!V238)*0.5),2)</f>
        <v>44777.71</v>
      </c>
      <c r="K238" s="3">
        <f t="shared" si="21"/>
        <v>119.29000000000087</v>
      </c>
      <c r="L238" s="3">
        <f t="shared" si="22"/>
        <v>44777.71</v>
      </c>
      <c r="N238" s="3">
        <f t="shared" si="23"/>
        <v>538872.73</v>
      </c>
      <c r="O238" s="2">
        <f>SUM(Levy!F238:J238)</f>
        <v>1089003.4099999999</v>
      </c>
      <c r="P238" s="2">
        <f>SUM(Levy!U238:V238)</f>
        <v>11257.96</v>
      </c>
      <c r="Q238" s="2">
        <f t="shared" si="24"/>
        <v>1077745.45</v>
      </c>
    </row>
    <row r="239" spans="1:17" x14ac:dyDescent="0.2">
      <c r="A239" s="5">
        <v>771</v>
      </c>
      <c r="B239" s="5">
        <v>1</v>
      </c>
      <c r="C239" s="2" t="s">
        <v>235</v>
      </c>
      <c r="D239" s="3">
        <f>SUM(Shift11!D239:L239)</f>
        <v>238158.37</v>
      </c>
      <c r="E239" s="3">
        <f>ROUND(MAX(0,(Levy!Q239+Data!D239+Data!E239-Levy!U239)*0.5),2)</f>
        <v>235578.4</v>
      </c>
      <c r="F239" s="3">
        <f t="shared" si="19"/>
        <v>2579.9700000000012</v>
      </c>
      <c r="G239" s="3">
        <f t="shared" si="20"/>
        <v>235578.4</v>
      </c>
      <c r="I239" s="3">
        <f>SUM(Shift11!M239:N239)</f>
        <v>10924.48</v>
      </c>
      <c r="J239" s="3">
        <f>ROUND(MAX(0,(Levy!R239-Levy!V239)*0.5),2)</f>
        <v>10630.74</v>
      </c>
      <c r="K239" s="3">
        <f t="shared" si="21"/>
        <v>293.73999999999978</v>
      </c>
      <c r="L239" s="3">
        <f t="shared" si="22"/>
        <v>10630.74</v>
      </c>
      <c r="N239" s="3">
        <f t="shared" si="23"/>
        <v>246209.13999999998</v>
      </c>
      <c r="O239" s="2">
        <f>SUM(Levy!F239:J239)</f>
        <v>498078.51</v>
      </c>
      <c r="P239" s="2">
        <f>SUM(Levy!U239:V239)</f>
        <v>5660.24</v>
      </c>
      <c r="Q239" s="2">
        <f t="shared" si="24"/>
        <v>492418.27</v>
      </c>
    </row>
    <row r="240" spans="1:17" x14ac:dyDescent="0.2">
      <c r="A240" s="5">
        <v>775</v>
      </c>
      <c r="B240" s="5">
        <v>1</v>
      </c>
      <c r="C240" s="2" t="s">
        <v>236</v>
      </c>
      <c r="D240" s="3">
        <f>SUM(Shift11!D240:L240)</f>
        <v>293672.98</v>
      </c>
      <c r="E240" s="3">
        <f>ROUND(MAX(0,(Levy!Q240+Data!D240+Data!E240-Levy!U240)*0.5),2)</f>
        <v>284180.18</v>
      </c>
      <c r="F240" s="3">
        <f t="shared" si="19"/>
        <v>9492.7999999999884</v>
      </c>
      <c r="G240" s="3">
        <f t="shared" si="20"/>
        <v>284180.18</v>
      </c>
      <c r="I240" s="3">
        <f>SUM(Shift11!M240:N240)</f>
        <v>19127.21</v>
      </c>
      <c r="J240" s="3">
        <f>ROUND(MAX(0,(Levy!R240-Levy!V240)*0.5),2)</f>
        <v>19310.7</v>
      </c>
      <c r="K240" s="3">
        <f t="shared" si="21"/>
        <v>0</v>
      </c>
      <c r="L240" s="3">
        <f t="shared" si="22"/>
        <v>19127.21</v>
      </c>
      <c r="N240" s="3">
        <f t="shared" si="23"/>
        <v>303307.39</v>
      </c>
      <c r="O240" s="2">
        <f>SUM(Levy!F240:J240)</f>
        <v>613383.99000000011</v>
      </c>
      <c r="P240" s="2">
        <f>SUM(Levy!U240:V240)</f>
        <v>6402.24</v>
      </c>
      <c r="Q240" s="2">
        <f t="shared" si="24"/>
        <v>606981.75000000012</v>
      </c>
    </row>
    <row r="241" spans="1:17" x14ac:dyDescent="0.2">
      <c r="A241" s="5">
        <v>777</v>
      </c>
      <c r="B241" s="5">
        <v>1</v>
      </c>
      <c r="C241" s="2" t="s">
        <v>237</v>
      </c>
      <c r="D241" s="3">
        <f>SUM(Shift11!D241:L241)</f>
        <v>448632.73</v>
      </c>
      <c r="E241" s="3">
        <f>ROUND(MAX(0,(Levy!Q241+Data!D241+Data!E241-Levy!U241)*0.5),2)</f>
        <v>435950.71</v>
      </c>
      <c r="F241" s="3">
        <f t="shared" si="19"/>
        <v>12682.01999999996</v>
      </c>
      <c r="G241" s="3">
        <f t="shared" si="20"/>
        <v>435950.71</v>
      </c>
      <c r="I241" s="3">
        <f>SUM(Shift11!M241:N241)</f>
        <v>31685.119999999999</v>
      </c>
      <c r="J241" s="3">
        <f>ROUND(MAX(0,(Levy!R241-Levy!V241)*0.5),2)</f>
        <v>31848.080000000002</v>
      </c>
      <c r="K241" s="3">
        <f t="shared" si="21"/>
        <v>0</v>
      </c>
      <c r="L241" s="3">
        <f t="shared" si="22"/>
        <v>31685.119999999999</v>
      </c>
      <c r="N241" s="3">
        <f t="shared" si="23"/>
        <v>467635.83</v>
      </c>
      <c r="O241" s="2">
        <f>SUM(Levy!F241:J241)</f>
        <v>946288.75</v>
      </c>
      <c r="P241" s="2">
        <f>SUM(Levy!U241:V241)</f>
        <v>10691.179999999998</v>
      </c>
      <c r="Q241" s="2">
        <f t="shared" si="24"/>
        <v>935597.57</v>
      </c>
    </row>
    <row r="242" spans="1:17" x14ac:dyDescent="0.2">
      <c r="A242" s="5">
        <v>786</v>
      </c>
      <c r="B242" s="5">
        <v>1</v>
      </c>
      <c r="C242" s="2" t="s">
        <v>238</v>
      </c>
      <c r="D242" s="3">
        <f>SUM(Shift11!D242:L242)</f>
        <v>134510.65</v>
      </c>
      <c r="E242" s="3">
        <f>ROUND(MAX(0,(Levy!Q242+Data!D242+Data!E242-Levy!U242)*0.5),2)</f>
        <v>122409.97</v>
      </c>
      <c r="F242" s="3">
        <f t="shared" si="19"/>
        <v>12100.679999999993</v>
      </c>
      <c r="G242" s="3">
        <f t="shared" si="20"/>
        <v>122409.97</v>
      </c>
      <c r="I242" s="3">
        <f>SUM(Shift11!M242:N242)</f>
        <v>11039.49</v>
      </c>
      <c r="J242" s="3">
        <f>ROUND(MAX(0,(Levy!R242-Levy!V242)*0.5),2)</f>
        <v>10538.08</v>
      </c>
      <c r="K242" s="3">
        <f t="shared" si="21"/>
        <v>501.40999999999985</v>
      </c>
      <c r="L242" s="3">
        <f t="shared" si="22"/>
        <v>10538.08</v>
      </c>
      <c r="N242" s="3">
        <f t="shared" si="23"/>
        <v>132948.04999999999</v>
      </c>
      <c r="O242" s="2">
        <f>SUM(Levy!F242:J242)</f>
        <v>276294</v>
      </c>
      <c r="P242" s="2">
        <f>SUM(Levy!U242:V242)</f>
        <v>10397.920000000002</v>
      </c>
      <c r="Q242" s="2">
        <f t="shared" si="24"/>
        <v>265896.08</v>
      </c>
    </row>
    <row r="243" spans="1:17" x14ac:dyDescent="0.2">
      <c r="A243" s="5">
        <v>787</v>
      </c>
      <c r="B243" s="5">
        <v>1</v>
      </c>
      <c r="C243" s="2" t="s">
        <v>239</v>
      </c>
      <c r="D243" s="3">
        <f>SUM(Shift11!D243:L243)</f>
        <v>110333.71999999999</v>
      </c>
      <c r="E243" s="3">
        <f>ROUND(MAX(0,(Levy!Q243+Data!D243+Data!E243-Levy!U243)*0.5),2)</f>
        <v>93113.96</v>
      </c>
      <c r="F243" s="3">
        <f t="shared" si="19"/>
        <v>17219.75999999998</v>
      </c>
      <c r="G243" s="3">
        <f t="shared" si="20"/>
        <v>93113.96</v>
      </c>
      <c r="I243" s="3">
        <f>SUM(Shift11!M243:N243)</f>
        <v>2819.29</v>
      </c>
      <c r="J243" s="3">
        <f>ROUND(MAX(0,(Levy!R243-Levy!V243)*0.5),2)</f>
        <v>2734.6</v>
      </c>
      <c r="K243" s="3">
        <f t="shared" si="21"/>
        <v>84.690000000000055</v>
      </c>
      <c r="L243" s="3">
        <f t="shared" si="22"/>
        <v>2734.6</v>
      </c>
      <c r="N243" s="3">
        <f t="shared" si="23"/>
        <v>95848.560000000012</v>
      </c>
      <c r="O243" s="2">
        <f>SUM(Levy!F243:J243)</f>
        <v>199500</v>
      </c>
      <c r="P243" s="2">
        <f>SUM(Levy!U243:V243)</f>
        <v>7802.89</v>
      </c>
      <c r="Q243" s="2">
        <f t="shared" si="24"/>
        <v>191697.11</v>
      </c>
    </row>
    <row r="244" spans="1:17" x14ac:dyDescent="0.2">
      <c r="A244" s="5">
        <v>801</v>
      </c>
      <c r="B244" s="5">
        <v>1</v>
      </c>
      <c r="C244" s="2" t="s">
        <v>240</v>
      </c>
      <c r="D244" s="3">
        <f>SUM(Shift11!D244:L244)</f>
        <v>64078.950000000004</v>
      </c>
      <c r="E244" s="3">
        <f>ROUND(MAX(0,(Levy!Q244+Data!D244+Data!E244-Levy!U244)*0.5),2)</f>
        <v>64505.120000000003</v>
      </c>
      <c r="F244" s="3">
        <f t="shared" si="19"/>
        <v>0</v>
      </c>
      <c r="G244" s="3">
        <f t="shared" si="20"/>
        <v>64078.950000000004</v>
      </c>
      <c r="I244" s="3">
        <f>SUM(Shift11!M244:N244)</f>
        <v>6215.75</v>
      </c>
      <c r="J244" s="3">
        <f>ROUND(MAX(0,(Levy!R244-Levy!V244)*0.5),2)</f>
        <v>6285.94</v>
      </c>
      <c r="K244" s="3">
        <f t="shared" si="21"/>
        <v>0</v>
      </c>
      <c r="L244" s="3">
        <f t="shared" si="22"/>
        <v>6215.75</v>
      </c>
      <c r="N244" s="3">
        <f t="shared" si="23"/>
        <v>70294.700000000012</v>
      </c>
      <c r="O244" s="2">
        <f>SUM(Levy!F244:J244)</f>
        <v>142628.32</v>
      </c>
      <c r="P244" s="2">
        <f>SUM(Levy!U244:V244)</f>
        <v>1046.21</v>
      </c>
      <c r="Q244" s="2">
        <f t="shared" si="24"/>
        <v>141582.11000000002</v>
      </c>
    </row>
    <row r="245" spans="1:17" x14ac:dyDescent="0.2">
      <c r="A245" s="5">
        <v>803</v>
      </c>
      <c r="B245" s="5">
        <v>1</v>
      </c>
      <c r="C245" s="2" t="s">
        <v>241</v>
      </c>
      <c r="D245" s="3">
        <f>SUM(Shift11!D245:L245)</f>
        <v>315476.66000000003</v>
      </c>
      <c r="E245" s="3">
        <f>ROUND(MAX(0,(Levy!Q245+Data!D245+Data!E245-Levy!U245)*0.5),2)</f>
        <v>309142.03000000003</v>
      </c>
      <c r="F245" s="3">
        <f t="shared" si="19"/>
        <v>6334.6300000000047</v>
      </c>
      <c r="G245" s="3">
        <f t="shared" si="20"/>
        <v>309142.03000000003</v>
      </c>
      <c r="I245" s="3">
        <f>SUM(Shift11!M245:N245)</f>
        <v>14542.58</v>
      </c>
      <c r="J245" s="3">
        <f>ROUND(MAX(0,(Levy!R245-Levy!V245)*0.5),2)</f>
        <v>13734.47</v>
      </c>
      <c r="K245" s="3">
        <f t="shared" si="21"/>
        <v>808.11000000000058</v>
      </c>
      <c r="L245" s="3">
        <f t="shared" si="22"/>
        <v>13734.47</v>
      </c>
      <c r="N245" s="3">
        <f t="shared" si="23"/>
        <v>322876.5</v>
      </c>
      <c r="O245" s="2">
        <f>SUM(Levy!F245:J245)</f>
        <v>664599.56000000006</v>
      </c>
      <c r="P245" s="2">
        <f>SUM(Levy!U245:V245)</f>
        <v>18846.580000000002</v>
      </c>
      <c r="Q245" s="2">
        <f t="shared" si="24"/>
        <v>645752.9800000001</v>
      </c>
    </row>
    <row r="246" spans="1:17" x14ac:dyDescent="0.2">
      <c r="A246" s="5">
        <v>811</v>
      </c>
      <c r="B246" s="5">
        <v>1</v>
      </c>
      <c r="C246" s="2" t="s">
        <v>242</v>
      </c>
      <c r="D246" s="3">
        <f>SUM(Shift11!D246:L246)</f>
        <v>449341.21</v>
      </c>
      <c r="E246" s="3">
        <f>ROUND(MAX(0,(Levy!Q246+Data!D246+Data!E246-Levy!U246)*0.5),2)</f>
        <v>448496.2</v>
      </c>
      <c r="F246" s="3">
        <f t="shared" si="19"/>
        <v>845.01000000000931</v>
      </c>
      <c r="G246" s="3">
        <f t="shared" si="20"/>
        <v>448496.2</v>
      </c>
      <c r="I246" s="3">
        <f>SUM(Shift11!M246:N246)</f>
        <v>34578.410000000003</v>
      </c>
      <c r="J246" s="3">
        <f>ROUND(MAX(0,(Levy!R246-Levy!V246)*0.5),2)</f>
        <v>34790.370000000003</v>
      </c>
      <c r="K246" s="3">
        <f t="shared" si="21"/>
        <v>0</v>
      </c>
      <c r="L246" s="3">
        <f t="shared" si="22"/>
        <v>34578.410000000003</v>
      </c>
      <c r="N246" s="3">
        <f t="shared" si="23"/>
        <v>483074.61</v>
      </c>
      <c r="O246" s="2">
        <f>SUM(Levy!F246:J246)</f>
        <v>971498</v>
      </c>
      <c r="P246" s="2">
        <f>SUM(Levy!U246:V246)</f>
        <v>4924.88</v>
      </c>
      <c r="Q246" s="2">
        <f t="shared" si="24"/>
        <v>966573.12</v>
      </c>
    </row>
    <row r="247" spans="1:17" x14ac:dyDescent="0.2">
      <c r="A247" s="5">
        <v>813</v>
      </c>
      <c r="B247" s="5">
        <v>1</v>
      </c>
      <c r="C247" s="2" t="s">
        <v>243</v>
      </c>
      <c r="D247" s="3">
        <f>SUM(Shift11!D247:L247)</f>
        <v>895283.41999999993</v>
      </c>
      <c r="E247" s="3">
        <f>ROUND(MAX(0,(Levy!Q247+Data!D247+Data!E247-Levy!U247)*0.5),2)</f>
        <v>884637.03</v>
      </c>
      <c r="F247" s="3">
        <f t="shared" si="19"/>
        <v>10646.389999999898</v>
      </c>
      <c r="G247" s="3">
        <f t="shared" si="20"/>
        <v>884637.03</v>
      </c>
      <c r="I247" s="3">
        <f>SUM(Shift11!M247:N247)</f>
        <v>55490.51</v>
      </c>
      <c r="J247" s="3">
        <f>ROUND(MAX(0,(Levy!R247-Levy!V247)*0.5),2)</f>
        <v>56306.54</v>
      </c>
      <c r="K247" s="3">
        <f t="shared" si="21"/>
        <v>0</v>
      </c>
      <c r="L247" s="3">
        <f t="shared" si="22"/>
        <v>55490.51</v>
      </c>
      <c r="N247" s="3">
        <f t="shared" si="23"/>
        <v>940127.54</v>
      </c>
      <c r="O247" s="2">
        <f>SUM(Levy!F247:J247)</f>
        <v>1889290</v>
      </c>
      <c r="P247" s="2">
        <f>SUM(Levy!U247:V247)</f>
        <v>7402.880000000001</v>
      </c>
      <c r="Q247" s="2">
        <f t="shared" si="24"/>
        <v>1881887.12</v>
      </c>
    </row>
    <row r="248" spans="1:17" x14ac:dyDescent="0.2">
      <c r="A248" s="5">
        <v>815</v>
      </c>
      <c r="B248" s="5">
        <v>2</v>
      </c>
      <c r="C248" s="2" t="s">
        <v>244</v>
      </c>
      <c r="D248" s="3">
        <f>SUM(Shift11!D248:L248)</f>
        <v>3477.81</v>
      </c>
      <c r="E248" s="3">
        <f>ROUND(MAX(0,(Levy!Q248+Data!D248+Data!E248-Levy!U248)*0.5),2)</f>
        <v>28175.19</v>
      </c>
      <c r="F248" s="3">
        <f t="shared" si="19"/>
        <v>0</v>
      </c>
      <c r="G248" s="3">
        <f t="shared" si="20"/>
        <v>3477.81</v>
      </c>
      <c r="I248" s="3">
        <f>SUM(Shift11!M248:N248)</f>
        <v>0</v>
      </c>
      <c r="J248" s="3">
        <f>ROUND(MAX(0,(Levy!R248-Levy!V248)*0.5),2)</f>
        <v>0</v>
      </c>
      <c r="K248" s="3">
        <f t="shared" si="21"/>
        <v>0</v>
      </c>
      <c r="L248" s="3">
        <f t="shared" si="22"/>
        <v>0</v>
      </c>
      <c r="N248" s="3">
        <f t="shared" si="23"/>
        <v>3477.81</v>
      </c>
      <c r="O248" s="2">
        <f>SUM(Levy!F248:J248)</f>
        <v>57155.990000000005</v>
      </c>
      <c r="P248" s="2">
        <f>SUM(Levy!U248:V248)</f>
        <v>805.61</v>
      </c>
      <c r="Q248" s="2">
        <f t="shared" si="24"/>
        <v>56350.380000000005</v>
      </c>
    </row>
    <row r="249" spans="1:17" x14ac:dyDescent="0.2">
      <c r="A249" s="5">
        <v>818</v>
      </c>
      <c r="B249" s="5">
        <v>1</v>
      </c>
      <c r="C249" s="2" t="s">
        <v>245</v>
      </c>
      <c r="D249" s="3">
        <f>SUM(Shift11!D249:L249)</f>
        <v>85987.010000000009</v>
      </c>
      <c r="E249" s="3">
        <f>ROUND(MAX(0,(Levy!Q249+Data!D249+Data!E249-Levy!U249)*0.5),2)</f>
        <v>69684.22</v>
      </c>
      <c r="F249" s="3">
        <f t="shared" si="19"/>
        <v>16302.790000000008</v>
      </c>
      <c r="G249" s="3">
        <f t="shared" si="20"/>
        <v>69684.22</v>
      </c>
      <c r="I249" s="3">
        <f>SUM(Shift11!M249:N249)</f>
        <v>8284.84</v>
      </c>
      <c r="J249" s="3">
        <f>ROUND(MAX(0,(Levy!R249-Levy!V249)*0.5),2)</f>
        <v>8181.03</v>
      </c>
      <c r="K249" s="3">
        <f t="shared" si="21"/>
        <v>103.8100000000004</v>
      </c>
      <c r="L249" s="3">
        <f t="shared" si="22"/>
        <v>8181.03</v>
      </c>
      <c r="N249" s="3">
        <f t="shared" si="23"/>
        <v>77865.25</v>
      </c>
      <c r="O249" s="2">
        <f>SUM(Levy!F249:J249)</f>
        <v>161302</v>
      </c>
      <c r="P249" s="2">
        <f>SUM(Levy!U249:V249)</f>
        <v>5571.51</v>
      </c>
      <c r="Q249" s="2">
        <f t="shared" si="24"/>
        <v>155730.49</v>
      </c>
    </row>
    <row r="250" spans="1:17" x14ac:dyDescent="0.2">
      <c r="A250" s="5">
        <v>820</v>
      </c>
      <c r="B250" s="5">
        <v>1</v>
      </c>
      <c r="C250" s="2" t="s">
        <v>246</v>
      </c>
      <c r="D250" s="3">
        <f>SUM(Shift11!D250:L250)</f>
        <v>211519.22</v>
      </c>
      <c r="E250" s="3">
        <f>ROUND(MAX(0,(Levy!Q250+Data!D250+Data!E250-Levy!U250)*0.5),2)</f>
        <v>197943.25</v>
      </c>
      <c r="F250" s="3">
        <f t="shared" si="19"/>
        <v>13575.970000000001</v>
      </c>
      <c r="G250" s="3">
        <f t="shared" si="20"/>
        <v>197943.25</v>
      </c>
      <c r="I250" s="3">
        <f>SUM(Shift11!M250:N250)</f>
        <v>16904.54</v>
      </c>
      <c r="J250" s="3">
        <f>ROUND(MAX(0,(Levy!R250-Levy!V250)*0.5),2)</f>
        <v>15994.06</v>
      </c>
      <c r="K250" s="3">
        <f t="shared" si="21"/>
        <v>910.48000000000138</v>
      </c>
      <c r="L250" s="3">
        <f t="shared" si="22"/>
        <v>15994.06</v>
      </c>
      <c r="N250" s="3">
        <f t="shared" si="23"/>
        <v>213937.31</v>
      </c>
      <c r="O250" s="2">
        <f>SUM(Levy!F250:J250)</f>
        <v>444111</v>
      </c>
      <c r="P250" s="2">
        <f>SUM(Levy!U250:V250)</f>
        <v>16236.39</v>
      </c>
      <c r="Q250" s="2">
        <f t="shared" si="24"/>
        <v>427874.61</v>
      </c>
    </row>
    <row r="251" spans="1:17" x14ac:dyDescent="0.2">
      <c r="A251" s="5">
        <v>821</v>
      </c>
      <c r="B251" s="5">
        <v>1</v>
      </c>
      <c r="C251" s="2" t="s">
        <v>247</v>
      </c>
      <c r="D251" s="3">
        <f>SUM(Shift11!D251:L251)</f>
        <v>174857.34</v>
      </c>
      <c r="E251" s="3">
        <f>ROUND(MAX(0,(Levy!Q251+Data!D251+Data!E251-Levy!U251)*0.5),2)</f>
        <v>160253.79</v>
      </c>
      <c r="F251" s="3">
        <f t="shared" si="19"/>
        <v>14603.549999999988</v>
      </c>
      <c r="G251" s="3">
        <f t="shared" si="20"/>
        <v>160253.79</v>
      </c>
      <c r="I251" s="3">
        <f>SUM(Shift11!M251:N251)</f>
        <v>21103.58</v>
      </c>
      <c r="J251" s="3">
        <f>ROUND(MAX(0,(Levy!R251-Levy!V251)*0.5),2)</f>
        <v>21066.16</v>
      </c>
      <c r="K251" s="3">
        <f t="shared" si="21"/>
        <v>37.420000000001892</v>
      </c>
      <c r="L251" s="3">
        <f t="shared" si="22"/>
        <v>21066.16</v>
      </c>
      <c r="N251" s="3">
        <f t="shared" si="23"/>
        <v>181319.95</v>
      </c>
      <c r="O251" s="2">
        <f>SUM(Levy!F251:J251)</f>
        <v>371707</v>
      </c>
      <c r="P251" s="2">
        <f>SUM(Levy!U251:V251)</f>
        <v>9067.1200000000008</v>
      </c>
      <c r="Q251" s="2">
        <f t="shared" si="24"/>
        <v>362639.88</v>
      </c>
    </row>
    <row r="252" spans="1:17" x14ac:dyDescent="0.2">
      <c r="A252" s="5">
        <v>829</v>
      </c>
      <c r="B252" s="5">
        <v>1</v>
      </c>
      <c r="C252" s="2" t="s">
        <v>248</v>
      </c>
      <c r="D252" s="3">
        <f>SUM(Shift11!D252:L252)</f>
        <v>913682.88</v>
      </c>
      <c r="E252" s="3">
        <f>ROUND(MAX(0,(Levy!Q252+Data!D252+Data!E252-Levy!U252)*0.5),2)</f>
        <v>889729.61</v>
      </c>
      <c r="F252" s="3">
        <f t="shared" si="19"/>
        <v>23953.270000000019</v>
      </c>
      <c r="G252" s="3">
        <f t="shared" si="20"/>
        <v>889729.61</v>
      </c>
      <c r="I252" s="3">
        <f>SUM(Shift11!M252:N252)</f>
        <v>80901.5</v>
      </c>
      <c r="J252" s="3">
        <f>ROUND(MAX(0,(Levy!R252-Levy!V252)*0.5),2)</f>
        <v>81811.22</v>
      </c>
      <c r="K252" s="3">
        <f t="shared" si="21"/>
        <v>0</v>
      </c>
      <c r="L252" s="3">
        <f t="shared" si="22"/>
        <v>80901.5</v>
      </c>
      <c r="N252" s="3">
        <f t="shared" si="23"/>
        <v>970631.11</v>
      </c>
      <c r="O252" s="2">
        <f>SUM(Levy!F252:J252)</f>
        <v>1956453</v>
      </c>
      <c r="P252" s="2">
        <f>SUM(Levy!U252:V252)</f>
        <v>13371.35</v>
      </c>
      <c r="Q252" s="2">
        <f t="shared" si="24"/>
        <v>1943081.65</v>
      </c>
    </row>
    <row r="253" spans="1:17" x14ac:dyDescent="0.2">
      <c r="A253" s="5">
        <v>831</v>
      </c>
      <c r="B253" s="5">
        <v>1</v>
      </c>
      <c r="C253" s="2" t="s">
        <v>249</v>
      </c>
      <c r="D253" s="3">
        <f>SUM(Shift11!D253:L253)</f>
        <v>4990301.59</v>
      </c>
      <c r="E253" s="3">
        <f>ROUND(MAX(0,(Levy!Q253+Data!D253+Data!E253-Levy!U253)*0.5),2)</f>
        <v>4944909.2</v>
      </c>
      <c r="F253" s="3">
        <f t="shared" si="19"/>
        <v>45392.389999999665</v>
      </c>
      <c r="G253" s="3">
        <f t="shared" si="20"/>
        <v>4944909.2</v>
      </c>
      <c r="I253" s="3">
        <f>SUM(Shift11!M253:N253)</f>
        <v>439662.82</v>
      </c>
      <c r="J253" s="3">
        <f>ROUND(MAX(0,(Levy!R253-Levy!V253)*0.5),2)</f>
        <v>451394.96</v>
      </c>
      <c r="K253" s="3">
        <f t="shared" si="21"/>
        <v>0</v>
      </c>
      <c r="L253" s="3">
        <f t="shared" si="22"/>
        <v>439662.82</v>
      </c>
      <c r="N253" s="3">
        <f t="shared" si="23"/>
        <v>5384572.0200000005</v>
      </c>
      <c r="O253" s="2">
        <f>SUM(Levy!F253:J253)</f>
        <v>10799832</v>
      </c>
      <c r="P253" s="2">
        <f>SUM(Levy!U253:V253)</f>
        <v>7223.7000000000007</v>
      </c>
      <c r="Q253" s="2">
        <f t="shared" si="24"/>
        <v>10792608.300000001</v>
      </c>
    </row>
    <row r="254" spans="1:17" x14ac:dyDescent="0.2">
      <c r="A254" s="5">
        <v>832</v>
      </c>
      <c r="B254" s="5">
        <v>1</v>
      </c>
      <c r="C254" s="2" t="s">
        <v>250</v>
      </c>
      <c r="D254" s="3">
        <f>SUM(Shift11!D254:L254)</f>
        <v>2982734.09</v>
      </c>
      <c r="E254" s="3">
        <f>ROUND(MAX(0,(Levy!Q254+Data!D254+Data!E254-Levy!U254)*0.5),2)</f>
        <v>2992582.01</v>
      </c>
      <c r="F254" s="3">
        <f t="shared" si="19"/>
        <v>0</v>
      </c>
      <c r="G254" s="3">
        <f t="shared" si="20"/>
        <v>2982734.09</v>
      </c>
      <c r="I254" s="3">
        <f>SUM(Shift11!M254:N254)</f>
        <v>128677.73</v>
      </c>
      <c r="J254" s="3">
        <f>ROUND(MAX(0,(Levy!R254-Levy!V254)*0.5),2)</f>
        <v>132299.65</v>
      </c>
      <c r="K254" s="3">
        <f t="shared" si="21"/>
        <v>0</v>
      </c>
      <c r="L254" s="3">
        <f t="shared" si="22"/>
        <v>128677.73</v>
      </c>
      <c r="N254" s="3">
        <f t="shared" si="23"/>
        <v>3111411.82</v>
      </c>
      <c r="O254" s="2">
        <f>SUM(Levy!F254:J254)</f>
        <v>6251367</v>
      </c>
      <c r="P254" s="2">
        <f>SUM(Levy!U254:V254)</f>
        <v>1603.6899999999998</v>
      </c>
      <c r="Q254" s="2">
        <f t="shared" si="24"/>
        <v>6249763.3099999996</v>
      </c>
    </row>
    <row r="255" spans="1:17" x14ac:dyDescent="0.2">
      <c r="A255" s="5">
        <v>833</v>
      </c>
      <c r="B255" s="5">
        <v>1</v>
      </c>
      <c r="C255" s="2" t="s">
        <v>251</v>
      </c>
      <c r="D255" s="3">
        <f>SUM(Shift11!D255:L255)</f>
        <v>13828503.73</v>
      </c>
      <c r="E255" s="3">
        <f>ROUND(MAX(0,(Levy!Q255+Data!D255+Data!E255-Levy!U255)*0.5),2)</f>
        <v>13915321.01</v>
      </c>
      <c r="F255" s="3">
        <f t="shared" si="19"/>
        <v>0</v>
      </c>
      <c r="G255" s="3">
        <f t="shared" si="20"/>
        <v>13828503.73</v>
      </c>
      <c r="I255" s="3">
        <f>SUM(Shift11!M255:N255)</f>
        <v>638184.1</v>
      </c>
      <c r="J255" s="3">
        <f>ROUND(MAX(0,(Levy!R255-Levy!V255)*0.5),2)</f>
        <v>656407.80000000005</v>
      </c>
      <c r="K255" s="3">
        <f t="shared" si="21"/>
        <v>0</v>
      </c>
      <c r="L255" s="3">
        <f t="shared" si="22"/>
        <v>638184.1</v>
      </c>
      <c r="N255" s="3">
        <f t="shared" si="23"/>
        <v>14466687.83</v>
      </c>
      <c r="O255" s="2">
        <f>SUM(Levy!F255:J255)</f>
        <v>29145982</v>
      </c>
      <c r="P255" s="2">
        <f>SUM(Levy!U255:V255)</f>
        <v>2524.38</v>
      </c>
      <c r="Q255" s="2">
        <f t="shared" si="24"/>
        <v>29143457.620000001</v>
      </c>
    </row>
    <row r="256" spans="1:17" x14ac:dyDescent="0.2">
      <c r="A256" s="5">
        <v>834</v>
      </c>
      <c r="B256" s="5">
        <v>1</v>
      </c>
      <c r="C256" s="2" t="s">
        <v>252</v>
      </c>
      <c r="D256" s="3">
        <f>SUM(Shift11!D256:L256)</f>
        <v>10393698.259999998</v>
      </c>
      <c r="E256" s="3">
        <f>ROUND(MAX(0,(Levy!Q256+Data!D256+Data!E256-Levy!U256)*0.5),2)</f>
        <v>10431186.550000001</v>
      </c>
      <c r="F256" s="3">
        <f t="shared" si="19"/>
        <v>0</v>
      </c>
      <c r="G256" s="3">
        <f t="shared" si="20"/>
        <v>10393698.259999998</v>
      </c>
      <c r="I256" s="3">
        <f>SUM(Shift11!M256:N256)</f>
        <v>429342.61</v>
      </c>
      <c r="J256" s="3">
        <f>ROUND(MAX(0,(Levy!R256-Levy!V256)*0.5),2)</f>
        <v>441231.07</v>
      </c>
      <c r="K256" s="3">
        <f t="shared" si="21"/>
        <v>0</v>
      </c>
      <c r="L256" s="3">
        <f t="shared" si="22"/>
        <v>429342.61</v>
      </c>
      <c r="N256" s="3">
        <f t="shared" si="23"/>
        <v>10823040.869999997</v>
      </c>
      <c r="O256" s="2">
        <f>SUM(Levy!F256:J256)</f>
        <v>21753715</v>
      </c>
      <c r="P256" s="2">
        <f>SUM(Levy!U256:V256)</f>
        <v>8879.77</v>
      </c>
      <c r="Q256" s="2">
        <f t="shared" si="24"/>
        <v>21744835.23</v>
      </c>
    </row>
    <row r="257" spans="1:17" x14ac:dyDescent="0.2">
      <c r="A257" s="5">
        <v>836</v>
      </c>
      <c r="B257" s="5">
        <v>1</v>
      </c>
      <c r="C257" s="2" t="s">
        <v>253</v>
      </c>
      <c r="D257" s="3">
        <f>SUM(Shift11!D257:L257)</f>
        <v>176883.15</v>
      </c>
      <c r="E257" s="3">
        <f>ROUND(MAX(0,(Levy!Q257+Data!D257+Data!E257-Levy!U257)*0.5),2)</f>
        <v>160248.57</v>
      </c>
      <c r="F257" s="3">
        <f t="shared" si="19"/>
        <v>16634.579999999987</v>
      </c>
      <c r="G257" s="3">
        <f t="shared" si="20"/>
        <v>160248.57</v>
      </c>
      <c r="I257" s="3">
        <f>SUM(Shift11!M257:N257)</f>
        <v>14269.93</v>
      </c>
      <c r="J257" s="3">
        <f>ROUND(MAX(0,(Levy!R257-Levy!V257)*0.5),2)</f>
        <v>14296.5</v>
      </c>
      <c r="K257" s="3">
        <f t="shared" si="21"/>
        <v>0</v>
      </c>
      <c r="L257" s="3">
        <f t="shared" si="22"/>
        <v>14269.93</v>
      </c>
      <c r="N257" s="3">
        <f t="shared" si="23"/>
        <v>174518.5</v>
      </c>
      <c r="O257" s="2">
        <f>SUM(Levy!F257:J257)</f>
        <v>354560</v>
      </c>
      <c r="P257" s="2">
        <f>SUM(Levy!U257:V257)</f>
        <v>5469.87</v>
      </c>
      <c r="Q257" s="2">
        <f t="shared" si="24"/>
        <v>349090.13</v>
      </c>
    </row>
    <row r="258" spans="1:17" x14ac:dyDescent="0.2">
      <c r="A258" s="5">
        <v>837</v>
      </c>
      <c r="B258" s="5">
        <v>1</v>
      </c>
      <c r="C258" s="2" t="s">
        <v>254</v>
      </c>
      <c r="D258" s="3">
        <f>SUM(Shift11!D258:L258)</f>
        <v>262351.68</v>
      </c>
      <c r="E258" s="3">
        <f>ROUND(MAX(0,(Levy!Q258+Data!D258+Data!E258-Levy!U258)*0.5),2)</f>
        <v>251286.88</v>
      </c>
      <c r="F258" s="3">
        <f t="shared" si="19"/>
        <v>11064.799999999988</v>
      </c>
      <c r="G258" s="3">
        <f t="shared" si="20"/>
        <v>251286.88</v>
      </c>
      <c r="I258" s="3">
        <f>SUM(Shift11!M258:N258)</f>
        <v>22732.16</v>
      </c>
      <c r="J258" s="3">
        <f>ROUND(MAX(0,(Levy!R258-Levy!V258)*0.5),2)</f>
        <v>23013.83</v>
      </c>
      <c r="K258" s="3">
        <f t="shared" si="21"/>
        <v>0</v>
      </c>
      <c r="L258" s="3">
        <f t="shared" si="22"/>
        <v>22732.16</v>
      </c>
      <c r="N258" s="3">
        <f t="shared" si="23"/>
        <v>274019.03999999998</v>
      </c>
      <c r="O258" s="2">
        <f>SUM(Levy!F258:J258)</f>
        <v>553196</v>
      </c>
      <c r="P258" s="2">
        <f>SUM(Levy!U258:V258)</f>
        <v>4594.58</v>
      </c>
      <c r="Q258" s="2">
        <f t="shared" si="24"/>
        <v>548601.42000000004</v>
      </c>
    </row>
    <row r="259" spans="1:17" x14ac:dyDescent="0.2">
      <c r="A259" s="5">
        <v>840</v>
      </c>
      <c r="B259" s="5">
        <v>1</v>
      </c>
      <c r="C259" s="2" t="s">
        <v>255</v>
      </c>
      <c r="D259" s="3">
        <f>SUM(Shift11!D259:L259)</f>
        <v>579630.73999999987</v>
      </c>
      <c r="E259" s="3">
        <f>ROUND(MAX(0,(Levy!Q259+Data!D259+Data!E259-Levy!U259)*0.5),2)</f>
        <v>565842.25</v>
      </c>
      <c r="F259" s="3">
        <f t="shared" si="19"/>
        <v>13788.489999999874</v>
      </c>
      <c r="G259" s="3">
        <f t="shared" si="20"/>
        <v>565842.25</v>
      </c>
      <c r="I259" s="3">
        <f>SUM(Shift11!M259:N259)</f>
        <v>56002.75</v>
      </c>
      <c r="J259" s="3">
        <f>ROUND(MAX(0,(Levy!R259-Levy!V259)*0.5),2)</f>
        <v>56611.46</v>
      </c>
      <c r="K259" s="3">
        <f t="shared" si="21"/>
        <v>0</v>
      </c>
      <c r="L259" s="3">
        <f t="shared" si="22"/>
        <v>56002.75</v>
      </c>
      <c r="N259" s="3">
        <f t="shared" si="23"/>
        <v>621845</v>
      </c>
      <c r="O259" s="2">
        <f>SUM(Levy!F259:J259)</f>
        <v>1256580</v>
      </c>
      <c r="P259" s="2">
        <f>SUM(Levy!U259:V259)</f>
        <v>11672.58</v>
      </c>
      <c r="Q259" s="2">
        <f t="shared" si="24"/>
        <v>1244907.42</v>
      </c>
    </row>
    <row r="260" spans="1:17" x14ac:dyDescent="0.2">
      <c r="A260" s="5">
        <v>846</v>
      </c>
      <c r="B260" s="5">
        <v>1</v>
      </c>
      <c r="C260" s="2" t="s">
        <v>256</v>
      </c>
      <c r="D260" s="3">
        <f>SUM(Shift11!D260:L260)</f>
        <v>323986.61</v>
      </c>
      <c r="E260" s="3">
        <f>ROUND(MAX(0,(Levy!Q260+Data!D260+Data!E260-Levy!U260)*0.5),2)</f>
        <v>308806.34000000003</v>
      </c>
      <c r="F260" s="3">
        <f t="shared" si="19"/>
        <v>15180.26999999996</v>
      </c>
      <c r="G260" s="3">
        <f t="shared" si="20"/>
        <v>308806.34000000003</v>
      </c>
      <c r="I260" s="3">
        <f>SUM(Shift11!M260:N260)</f>
        <v>37651.300000000003</v>
      </c>
      <c r="J260" s="3">
        <f>ROUND(MAX(0,(Levy!R260-Levy!V260)*0.5),2)</f>
        <v>36658.69</v>
      </c>
      <c r="K260" s="3">
        <f t="shared" si="21"/>
        <v>992.61000000000058</v>
      </c>
      <c r="L260" s="3">
        <f t="shared" si="22"/>
        <v>36658.69</v>
      </c>
      <c r="N260" s="3">
        <f t="shared" si="23"/>
        <v>345465.03</v>
      </c>
      <c r="O260" s="2">
        <f>SUM(Levy!F260:J260)</f>
        <v>710940.69000000018</v>
      </c>
      <c r="P260" s="2">
        <f>SUM(Levy!U260:V260)</f>
        <v>20010.64</v>
      </c>
      <c r="Q260" s="2">
        <f t="shared" si="24"/>
        <v>690930.05000000016</v>
      </c>
    </row>
    <row r="261" spans="1:17" x14ac:dyDescent="0.2">
      <c r="A261" s="5">
        <v>850</v>
      </c>
      <c r="B261" s="5">
        <v>1</v>
      </c>
      <c r="C261" s="2" t="s">
        <v>257</v>
      </c>
      <c r="D261" s="3">
        <f>SUM(Shift11!D261:L261)</f>
        <v>223031.69</v>
      </c>
      <c r="E261" s="3">
        <f>ROUND(MAX(0,(Levy!Q261+Data!D261+Data!E261-Levy!U261)*0.5),2)</f>
        <v>223875.04</v>
      </c>
      <c r="F261" s="3">
        <f t="shared" ref="F261:F324" si="25">IF(D261&gt;E261,D261-E261,0)</f>
        <v>0</v>
      </c>
      <c r="G261" s="3">
        <f t="shared" ref="G261:G324" si="26">MAX(0,MIN(D261,E261))</f>
        <v>223031.69</v>
      </c>
      <c r="I261" s="3">
        <f>SUM(Shift11!M261:N261)</f>
        <v>9354.09</v>
      </c>
      <c r="J261" s="3">
        <f>ROUND(MAX(0,(Levy!R261-Levy!V261)*0.5),2)</f>
        <v>9349.5400000000009</v>
      </c>
      <c r="K261" s="3">
        <f t="shared" ref="K261:K324" si="27">IF(I261&gt;J261,I261-J261,0)</f>
        <v>4.5499999999992724</v>
      </c>
      <c r="L261" s="3">
        <f t="shared" ref="L261:L324" si="28">MAX(0,MIN(I261,J261))</f>
        <v>9349.5400000000009</v>
      </c>
      <c r="N261" s="3">
        <f t="shared" si="23"/>
        <v>232381.23</v>
      </c>
      <c r="O261" s="2">
        <f>SUM(Levy!F261:J261)</f>
        <v>469351.64000000007</v>
      </c>
      <c r="P261" s="2">
        <f>SUM(Levy!U261:V261)</f>
        <v>2902.4900000000002</v>
      </c>
      <c r="Q261" s="2">
        <f t="shared" si="24"/>
        <v>466449.15000000008</v>
      </c>
    </row>
    <row r="262" spans="1:17" x14ac:dyDescent="0.2">
      <c r="A262" s="5">
        <v>852</v>
      </c>
      <c r="B262" s="5">
        <v>1</v>
      </c>
      <c r="C262" s="2" t="s">
        <v>258</v>
      </c>
      <c r="D262" s="3">
        <f>SUM(Shift11!D262:L262)</f>
        <v>139270.5</v>
      </c>
      <c r="E262" s="3">
        <f>ROUND(MAX(0,(Levy!Q262+Data!D262+Data!E262-Levy!U262)*0.5),2)</f>
        <v>136777.92000000001</v>
      </c>
      <c r="F262" s="3">
        <f t="shared" si="25"/>
        <v>2492.5799999999872</v>
      </c>
      <c r="G262" s="3">
        <f t="shared" si="26"/>
        <v>136777.92000000001</v>
      </c>
      <c r="I262" s="3">
        <f>SUM(Shift11!M262:N262)</f>
        <v>12295.33</v>
      </c>
      <c r="J262" s="3">
        <f>ROUND(MAX(0,(Levy!R262-Levy!V262)*0.5),2)</f>
        <v>12539.81</v>
      </c>
      <c r="K262" s="3">
        <f t="shared" si="27"/>
        <v>0</v>
      </c>
      <c r="L262" s="3">
        <f t="shared" si="28"/>
        <v>12295.33</v>
      </c>
      <c r="N262" s="3">
        <f t="shared" si="23"/>
        <v>149073.25</v>
      </c>
      <c r="O262" s="2">
        <f>SUM(Levy!F262:J262)</f>
        <v>299420.64</v>
      </c>
      <c r="P262" s="2">
        <f>SUM(Levy!U262:V262)</f>
        <v>785.19</v>
      </c>
      <c r="Q262" s="2">
        <f t="shared" si="24"/>
        <v>298635.45</v>
      </c>
    </row>
    <row r="263" spans="1:17" x14ac:dyDescent="0.2">
      <c r="A263" s="5">
        <v>857</v>
      </c>
      <c r="B263" s="5">
        <v>1</v>
      </c>
      <c r="C263" s="2" t="s">
        <v>259</v>
      </c>
      <c r="D263" s="3">
        <f>SUM(Shift11!D263:L263)</f>
        <v>350160.18000000005</v>
      </c>
      <c r="E263" s="3">
        <f>ROUND(MAX(0,(Levy!Q263+Data!D263+Data!E263-Levy!U263)*0.5),2)</f>
        <v>338900.46</v>
      </c>
      <c r="F263" s="3">
        <f t="shared" si="25"/>
        <v>11259.72000000003</v>
      </c>
      <c r="G263" s="3">
        <f t="shared" si="26"/>
        <v>338900.46</v>
      </c>
      <c r="I263" s="3">
        <f>SUM(Shift11!M263:N263)</f>
        <v>24905.07</v>
      </c>
      <c r="J263" s="3">
        <f>ROUND(MAX(0,(Levy!R263-Levy!V263)*0.5),2)</f>
        <v>24766.6</v>
      </c>
      <c r="K263" s="3">
        <f t="shared" si="27"/>
        <v>138.47000000000116</v>
      </c>
      <c r="L263" s="3">
        <f t="shared" si="28"/>
        <v>24766.6</v>
      </c>
      <c r="N263" s="3">
        <f t="shared" si="23"/>
        <v>363667.06</v>
      </c>
      <c r="O263" s="2">
        <f>SUM(Levy!F263:J263)</f>
        <v>735538</v>
      </c>
      <c r="P263" s="2">
        <f>SUM(Levy!U263:V263)</f>
        <v>8203.89</v>
      </c>
      <c r="Q263" s="2">
        <f t="shared" si="24"/>
        <v>727334.11</v>
      </c>
    </row>
    <row r="264" spans="1:17" x14ac:dyDescent="0.2">
      <c r="A264" s="5">
        <v>858</v>
      </c>
      <c r="B264" s="5">
        <v>1</v>
      </c>
      <c r="C264" s="2" t="s">
        <v>260</v>
      </c>
      <c r="D264" s="3">
        <f>SUM(Shift11!D264:L264)</f>
        <v>266951.25</v>
      </c>
      <c r="E264" s="3">
        <f>ROUND(MAX(0,(Levy!Q264+Data!D264+Data!E264-Levy!U264)*0.5),2)</f>
        <v>252626.6</v>
      </c>
      <c r="F264" s="3">
        <f t="shared" si="25"/>
        <v>14324.649999999994</v>
      </c>
      <c r="G264" s="3">
        <f t="shared" si="26"/>
        <v>252626.6</v>
      </c>
      <c r="I264" s="3">
        <f>SUM(Shift11!M264:N264)</f>
        <v>28120.45</v>
      </c>
      <c r="J264" s="3">
        <f>ROUND(MAX(0,(Levy!R264-Levy!V264)*0.5),2)</f>
        <v>28257.8</v>
      </c>
      <c r="K264" s="3">
        <f t="shared" si="27"/>
        <v>0</v>
      </c>
      <c r="L264" s="3">
        <f t="shared" si="28"/>
        <v>28120.45</v>
      </c>
      <c r="N264" s="3">
        <f t="shared" si="23"/>
        <v>280747.05</v>
      </c>
      <c r="O264" s="2">
        <f>SUM(Levy!F264:J264)</f>
        <v>567892</v>
      </c>
      <c r="P264" s="2">
        <f>SUM(Levy!U264:V264)</f>
        <v>6123.2</v>
      </c>
      <c r="Q264" s="2">
        <f t="shared" si="24"/>
        <v>561768.80000000005</v>
      </c>
    </row>
    <row r="265" spans="1:17" x14ac:dyDescent="0.2">
      <c r="A265" s="5">
        <v>861</v>
      </c>
      <c r="B265" s="5">
        <v>1</v>
      </c>
      <c r="C265" s="2" t="s">
        <v>261</v>
      </c>
      <c r="D265" s="3">
        <f>SUM(Shift11!D265:L265)</f>
        <v>4399804.7</v>
      </c>
      <c r="E265" s="3">
        <f>ROUND(MAX(0,(Levy!Q265+Data!D265+Data!E265-Levy!U265)*0.5),2)</f>
        <v>4453913.8600000003</v>
      </c>
      <c r="F265" s="3">
        <f t="shared" si="25"/>
        <v>0</v>
      </c>
      <c r="G265" s="3">
        <f t="shared" si="26"/>
        <v>4399804.7</v>
      </c>
      <c r="I265" s="3">
        <f>SUM(Shift11!M265:N265)</f>
        <v>232286.62</v>
      </c>
      <c r="J265" s="3">
        <f>ROUND(MAX(0,(Levy!R265-Levy!V265)*0.5),2)</f>
        <v>235194.58</v>
      </c>
      <c r="K265" s="3">
        <f t="shared" si="27"/>
        <v>0</v>
      </c>
      <c r="L265" s="3">
        <f t="shared" si="28"/>
        <v>232286.62</v>
      </c>
      <c r="N265" s="3">
        <f t="shared" ref="N265:N328" si="29">G265+L265</f>
        <v>4632091.32</v>
      </c>
      <c r="O265" s="2">
        <f>SUM(Levy!F265:J265)</f>
        <v>9417861</v>
      </c>
      <c r="P265" s="2">
        <f>SUM(Levy!U265:V265)</f>
        <v>39644.119999999995</v>
      </c>
      <c r="Q265" s="2">
        <f t="shared" ref="Q265:Q328" si="30">O265-P265</f>
        <v>9378216.8800000008</v>
      </c>
    </row>
    <row r="266" spans="1:17" x14ac:dyDescent="0.2">
      <c r="A266" s="5">
        <v>876</v>
      </c>
      <c r="B266" s="5">
        <v>1</v>
      </c>
      <c r="C266" s="2" t="s">
        <v>262</v>
      </c>
      <c r="D266" s="3">
        <f>SUM(Shift11!D266:L266)</f>
        <v>1181172.57</v>
      </c>
      <c r="E266" s="3">
        <f>ROUND(MAX(0,(Levy!Q266+Data!D266+Data!E266-Levy!U266)*0.5),2)</f>
        <v>1131979.01</v>
      </c>
      <c r="F266" s="3">
        <f t="shared" si="25"/>
        <v>49193.560000000056</v>
      </c>
      <c r="G266" s="3">
        <f t="shared" si="26"/>
        <v>1131979.01</v>
      </c>
      <c r="I266" s="3">
        <f>SUM(Shift11!M266:N266)</f>
        <v>77317.25</v>
      </c>
      <c r="J266" s="3">
        <f>ROUND(MAX(0,(Levy!R266-Levy!V266)*0.5),2)</f>
        <v>78916.91</v>
      </c>
      <c r="K266" s="3">
        <f t="shared" si="27"/>
        <v>0</v>
      </c>
      <c r="L266" s="3">
        <f t="shared" si="28"/>
        <v>77317.25</v>
      </c>
      <c r="N266" s="3">
        <f t="shared" si="29"/>
        <v>1209296.26</v>
      </c>
      <c r="O266" s="2">
        <f>SUM(Levy!F266:J266)</f>
        <v>2429540</v>
      </c>
      <c r="P266" s="2">
        <f>SUM(Levy!U266:V266)</f>
        <v>7748.1699999999992</v>
      </c>
      <c r="Q266" s="2">
        <f t="shared" si="30"/>
        <v>2421791.83</v>
      </c>
    </row>
    <row r="267" spans="1:17" x14ac:dyDescent="0.2">
      <c r="A267" s="5">
        <v>877</v>
      </c>
      <c r="B267" s="5">
        <v>1</v>
      </c>
      <c r="C267" s="2" t="s">
        <v>263</v>
      </c>
      <c r="D267" s="3">
        <f>SUM(Shift11!D267:L267)</f>
        <v>2766275.38</v>
      </c>
      <c r="E267" s="3">
        <f>ROUND(MAX(0,(Levy!Q267+Data!D267+Data!E267-Levy!U267)*0.5),2)</f>
        <v>2697773.93</v>
      </c>
      <c r="F267" s="3">
        <f t="shared" si="25"/>
        <v>68501.449999999721</v>
      </c>
      <c r="G267" s="3">
        <f t="shared" si="26"/>
        <v>2697773.93</v>
      </c>
      <c r="I267" s="3">
        <f>SUM(Shift11!M267:N267)</f>
        <v>272628.02</v>
      </c>
      <c r="J267" s="3">
        <f>ROUND(MAX(0,(Levy!R267-Levy!V267)*0.5),2)</f>
        <v>278944.75</v>
      </c>
      <c r="K267" s="3">
        <f t="shared" si="27"/>
        <v>0</v>
      </c>
      <c r="L267" s="3">
        <f t="shared" si="28"/>
        <v>272628.02</v>
      </c>
      <c r="N267" s="3">
        <f t="shared" si="29"/>
        <v>2970401.95</v>
      </c>
      <c r="O267" s="2">
        <f>SUM(Levy!F267:J267)</f>
        <v>5968081</v>
      </c>
      <c r="P267" s="2">
        <f>SUM(Levy!U267:V267)</f>
        <v>14643.65</v>
      </c>
      <c r="Q267" s="2">
        <f t="shared" si="30"/>
        <v>5953437.3499999996</v>
      </c>
    </row>
    <row r="268" spans="1:17" x14ac:dyDescent="0.2">
      <c r="A268" s="5">
        <v>879</v>
      </c>
      <c r="B268" s="5">
        <v>1</v>
      </c>
      <c r="C268" s="2" t="s">
        <v>264</v>
      </c>
      <c r="D268" s="3">
        <f>SUM(Shift11!D268:L268)</f>
        <v>1057182.3700000001</v>
      </c>
      <c r="E268" s="3">
        <f>ROUND(MAX(0,(Levy!Q268+Data!D268+Data!E268-Levy!U268)*0.5),2)</f>
        <v>1040959.14</v>
      </c>
      <c r="F268" s="3">
        <f t="shared" si="25"/>
        <v>16223.230000000098</v>
      </c>
      <c r="G268" s="3">
        <f t="shared" si="26"/>
        <v>1040959.14</v>
      </c>
      <c r="I268" s="3">
        <f>SUM(Shift11!M268:N268)</f>
        <v>101588.09</v>
      </c>
      <c r="J268" s="3">
        <f>ROUND(MAX(0,(Levy!R268-Levy!V268)*0.5),2)</f>
        <v>103856.1</v>
      </c>
      <c r="K268" s="3">
        <f t="shared" si="27"/>
        <v>0</v>
      </c>
      <c r="L268" s="3">
        <f t="shared" si="28"/>
        <v>101588.09</v>
      </c>
      <c r="N268" s="3">
        <f t="shared" si="29"/>
        <v>1142547.23</v>
      </c>
      <c r="O268" s="2">
        <f>SUM(Levy!F268:J268)</f>
        <v>2295715</v>
      </c>
      <c r="P268" s="2">
        <f>SUM(Levy!U268:V268)</f>
        <v>6084.5400000000009</v>
      </c>
      <c r="Q268" s="2">
        <f t="shared" si="30"/>
        <v>2289630.46</v>
      </c>
    </row>
    <row r="269" spans="1:17" x14ac:dyDescent="0.2">
      <c r="A269" s="5">
        <v>881</v>
      </c>
      <c r="B269" s="5">
        <v>1</v>
      </c>
      <c r="C269" s="2" t="s">
        <v>265</v>
      </c>
      <c r="D269" s="3">
        <f>SUM(Shift11!D269:L269)</f>
        <v>461501.73</v>
      </c>
      <c r="E269" s="3">
        <f>ROUND(MAX(0,(Levy!Q269+Data!D269+Data!E269-Levy!U269)*0.5),2)</f>
        <v>451513.22</v>
      </c>
      <c r="F269" s="3">
        <f t="shared" si="25"/>
        <v>9988.5100000000093</v>
      </c>
      <c r="G269" s="3">
        <f t="shared" si="26"/>
        <v>451513.22</v>
      </c>
      <c r="I269" s="3">
        <f>SUM(Shift11!M269:N269)</f>
        <v>33892.67</v>
      </c>
      <c r="J269" s="3">
        <f>ROUND(MAX(0,(Levy!R269-Levy!V269)*0.5),2)</f>
        <v>34517.85</v>
      </c>
      <c r="K269" s="3">
        <f t="shared" si="27"/>
        <v>0</v>
      </c>
      <c r="L269" s="3">
        <f t="shared" si="28"/>
        <v>33892.67</v>
      </c>
      <c r="N269" s="3">
        <f t="shared" si="29"/>
        <v>485405.88999999996</v>
      </c>
      <c r="O269" s="2">
        <f>SUM(Levy!F269:J269)</f>
        <v>974850</v>
      </c>
      <c r="P269" s="2">
        <f>SUM(Levy!U269:V269)</f>
        <v>2787.8599999999997</v>
      </c>
      <c r="Q269" s="2">
        <f t="shared" si="30"/>
        <v>972062.14</v>
      </c>
    </row>
    <row r="270" spans="1:17" x14ac:dyDescent="0.2">
      <c r="A270" s="5">
        <v>882</v>
      </c>
      <c r="B270" s="5">
        <v>1</v>
      </c>
      <c r="C270" s="2" t="s">
        <v>266</v>
      </c>
      <c r="D270" s="3">
        <f>SUM(Shift11!D270:L270)</f>
        <v>3003043.3099999996</v>
      </c>
      <c r="E270" s="3">
        <f>ROUND(MAX(0,(Levy!Q270+Data!D270+Data!E270-Levy!U270)*0.5),2)</f>
        <v>2947168.81</v>
      </c>
      <c r="F270" s="3">
        <f t="shared" si="25"/>
        <v>55874.499999999534</v>
      </c>
      <c r="G270" s="3">
        <f t="shared" si="26"/>
        <v>2947168.81</v>
      </c>
      <c r="I270" s="3">
        <f>SUM(Shift11!M270:N270)</f>
        <v>126372.64</v>
      </c>
      <c r="J270" s="3">
        <f>ROUND(MAX(0,(Levy!R270-Levy!V270)*0.5),2)</f>
        <v>129593.89</v>
      </c>
      <c r="K270" s="3">
        <f t="shared" si="27"/>
        <v>0</v>
      </c>
      <c r="L270" s="3">
        <f t="shared" si="28"/>
        <v>126372.64</v>
      </c>
      <c r="N270" s="3">
        <f t="shared" si="29"/>
        <v>3073541.45</v>
      </c>
      <c r="O270" s="2">
        <f>SUM(Levy!F270:J270)</f>
        <v>6160452</v>
      </c>
      <c r="P270" s="2">
        <f>SUM(Levy!U270:V270)</f>
        <v>6926.6200000000008</v>
      </c>
      <c r="Q270" s="2">
        <f t="shared" si="30"/>
        <v>6153525.3799999999</v>
      </c>
    </row>
    <row r="271" spans="1:17" x14ac:dyDescent="0.2">
      <c r="A271" s="5">
        <v>883</v>
      </c>
      <c r="B271" s="5">
        <v>1</v>
      </c>
      <c r="C271" s="2" t="s">
        <v>267</v>
      </c>
      <c r="D271" s="3">
        <f>SUM(Shift11!D271:L271)</f>
        <v>757509.3899999999</v>
      </c>
      <c r="E271" s="3">
        <f>ROUND(MAX(0,(Levy!Q271+Data!D271+Data!E271-Levy!U271)*0.5),2)</f>
        <v>758318.56</v>
      </c>
      <c r="F271" s="3">
        <f t="shared" si="25"/>
        <v>0</v>
      </c>
      <c r="G271" s="3">
        <f t="shared" si="26"/>
        <v>757509.3899999999</v>
      </c>
      <c r="I271" s="3">
        <f>SUM(Shift11!M271:N271)</f>
        <v>58821.55</v>
      </c>
      <c r="J271" s="3">
        <f>ROUND(MAX(0,(Levy!R271-Levy!V271)*0.5),2)</f>
        <v>60286.27</v>
      </c>
      <c r="K271" s="3">
        <f t="shared" si="27"/>
        <v>0</v>
      </c>
      <c r="L271" s="3">
        <f t="shared" si="28"/>
        <v>58821.55</v>
      </c>
      <c r="N271" s="3">
        <f t="shared" si="29"/>
        <v>816330.94</v>
      </c>
      <c r="O271" s="2">
        <f>SUM(Levy!F271:J271)</f>
        <v>1639504</v>
      </c>
      <c r="P271" s="2">
        <f>SUM(Levy!U271:V271)</f>
        <v>2294.34</v>
      </c>
      <c r="Q271" s="2">
        <f t="shared" si="30"/>
        <v>1637209.66</v>
      </c>
    </row>
    <row r="272" spans="1:17" x14ac:dyDescent="0.2">
      <c r="A272" s="5">
        <v>885</v>
      </c>
      <c r="B272" s="5">
        <v>1</v>
      </c>
      <c r="C272" s="2" t="s">
        <v>268</v>
      </c>
      <c r="D272" s="3">
        <f>SUM(Shift11!D272:L272)</f>
        <v>1844384.1100000003</v>
      </c>
      <c r="E272" s="3">
        <f>ROUND(MAX(0,(Levy!Q272+Data!D272+Data!E272-Levy!U272)*0.5),2)</f>
        <v>1840275.97</v>
      </c>
      <c r="F272" s="3">
        <f t="shared" si="25"/>
        <v>4108.1400000003632</v>
      </c>
      <c r="G272" s="3">
        <f t="shared" si="26"/>
        <v>1840275.97</v>
      </c>
      <c r="I272" s="3">
        <f>SUM(Shift11!M272:N272)</f>
        <v>122223.17</v>
      </c>
      <c r="J272" s="3">
        <f>ROUND(MAX(0,(Levy!R272-Levy!V272)*0.5),2)</f>
        <v>125593.91</v>
      </c>
      <c r="K272" s="3">
        <f t="shared" si="27"/>
        <v>0</v>
      </c>
      <c r="L272" s="3">
        <f t="shared" si="28"/>
        <v>122223.17</v>
      </c>
      <c r="N272" s="3">
        <f t="shared" si="29"/>
        <v>1962499.14</v>
      </c>
      <c r="O272" s="2">
        <f>SUM(Levy!F272:J272)</f>
        <v>3933059</v>
      </c>
      <c r="P272" s="2">
        <f>SUM(Levy!U272:V272)</f>
        <v>1319.24</v>
      </c>
      <c r="Q272" s="2">
        <f t="shared" si="30"/>
        <v>3931739.76</v>
      </c>
    </row>
    <row r="273" spans="1:17" x14ac:dyDescent="0.2">
      <c r="A273" s="5">
        <v>891</v>
      </c>
      <c r="B273" s="5">
        <v>1</v>
      </c>
      <c r="C273" s="2" t="s">
        <v>269</v>
      </c>
      <c r="D273" s="3">
        <f>SUM(Shift11!D273:L273)</f>
        <v>263315.45999999996</v>
      </c>
      <c r="E273" s="3">
        <f>ROUND(MAX(0,(Levy!Q273+Data!D273+Data!E273-Levy!U273)*0.5),2)</f>
        <v>245962.7</v>
      </c>
      <c r="F273" s="3">
        <f t="shared" si="25"/>
        <v>17352.759999999951</v>
      </c>
      <c r="G273" s="3">
        <f t="shared" si="26"/>
        <v>245962.7</v>
      </c>
      <c r="I273" s="3">
        <f>SUM(Shift11!M273:N273)</f>
        <v>25118.42</v>
      </c>
      <c r="J273" s="3">
        <f>ROUND(MAX(0,(Levy!R273-Levy!V273)*0.5),2)</f>
        <v>24209.54</v>
      </c>
      <c r="K273" s="3">
        <f t="shared" si="27"/>
        <v>908.87999999999738</v>
      </c>
      <c r="L273" s="3">
        <f t="shared" si="28"/>
        <v>24209.54</v>
      </c>
      <c r="N273" s="3">
        <f t="shared" si="29"/>
        <v>270172.24</v>
      </c>
      <c r="O273" s="2">
        <f>SUM(Levy!F273:J273)</f>
        <v>562113</v>
      </c>
      <c r="P273" s="2">
        <f>SUM(Levy!U273:V273)</f>
        <v>21768.53</v>
      </c>
      <c r="Q273" s="2">
        <f t="shared" si="30"/>
        <v>540344.47</v>
      </c>
    </row>
    <row r="274" spans="1:17" x14ac:dyDescent="0.2">
      <c r="A274" s="5">
        <v>911</v>
      </c>
      <c r="B274" s="5">
        <v>1</v>
      </c>
      <c r="C274" s="2" t="s">
        <v>270</v>
      </c>
      <c r="D274" s="3">
        <f>SUM(Shift11!D274:L274)</f>
        <v>1259984.51</v>
      </c>
      <c r="E274" s="3">
        <f>ROUND(MAX(0,(Levy!Q274+Data!D274+Data!E274-Levy!U274)*0.5),2)</f>
        <v>923081.34</v>
      </c>
      <c r="F274" s="3">
        <f t="shared" si="25"/>
        <v>336903.17000000004</v>
      </c>
      <c r="G274" s="3">
        <f t="shared" si="26"/>
        <v>923081.34</v>
      </c>
      <c r="I274" s="3">
        <f>SUM(Shift11!M274:N274)</f>
        <v>168248.11</v>
      </c>
      <c r="J274" s="3">
        <f>ROUND(MAX(0,(Levy!R274-Levy!V274)*0.5),2)</f>
        <v>170524.68</v>
      </c>
      <c r="K274" s="3">
        <f t="shared" si="27"/>
        <v>0</v>
      </c>
      <c r="L274" s="3">
        <f t="shared" si="28"/>
        <v>168248.11</v>
      </c>
      <c r="N274" s="3">
        <f t="shared" si="29"/>
        <v>1091329.45</v>
      </c>
      <c r="O274" s="2">
        <f>SUM(Levy!F274:J274)</f>
        <v>2216206.0499999998</v>
      </c>
      <c r="P274" s="2">
        <f>SUM(Levy!U274:V274)</f>
        <v>28994.02</v>
      </c>
      <c r="Q274" s="2">
        <f t="shared" si="30"/>
        <v>2187212.0299999998</v>
      </c>
    </row>
    <row r="275" spans="1:17" x14ac:dyDescent="0.2">
      <c r="A275" s="5">
        <v>912</v>
      </c>
      <c r="B275" s="5">
        <v>1</v>
      </c>
      <c r="C275" s="2" t="s">
        <v>271</v>
      </c>
      <c r="D275" s="3">
        <f>SUM(Shift11!D275:L275)</f>
        <v>240347.43</v>
      </c>
      <c r="E275" s="3">
        <f>ROUND(MAX(0,(Levy!Q275+Data!D275+Data!E275-Levy!U275)*0.5),2)</f>
        <v>175752.23</v>
      </c>
      <c r="F275" s="3">
        <f t="shared" si="25"/>
        <v>64595.199999999983</v>
      </c>
      <c r="G275" s="3">
        <f t="shared" si="26"/>
        <v>175752.23</v>
      </c>
      <c r="I275" s="3">
        <f>SUM(Shift11!M275:N275)</f>
        <v>38064.870000000003</v>
      </c>
      <c r="J275" s="3">
        <f>ROUND(MAX(0,(Levy!R275-Levy!V275)*0.5),2)</f>
        <v>38276.239999999998</v>
      </c>
      <c r="K275" s="3">
        <f t="shared" si="27"/>
        <v>0</v>
      </c>
      <c r="L275" s="3">
        <f t="shared" si="28"/>
        <v>38064.870000000003</v>
      </c>
      <c r="N275" s="3">
        <f t="shared" si="29"/>
        <v>213817.1</v>
      </c>
      <c r="O275" s="2">
        <f>SUM(Levy!F275:J275)</f>
        <v>433257.31000000006</v>
      </c>
      <c r="P275" s="2">
        <f>SUM(Levy!U275:V275)</f>
        <v>5200.3899999999994</v>
      </c>
      <c r="Q275" s="2">
        <f t="shared" si="30"/>
        <v>428056.92000000004</v>
      </c>
    </row>
    <row r="276" spans="1:17" x14ac:dyDescent="0.2">
      <c r="A276" s="5">
        <v>914</v>
      </c>
      <c r="B276" s="5">
        <v>1</v>
      </c>
      <c r="C276" s="2" t="s">
        <v>272</v>
      </c>
      <c r="D276" s="3">
        <f>SUM(Shift11!D276:L276)</f>
        <v>231197.09</v>
      </c>
      <c r="E276" s="3">
        <f>ROUND(MAX(0,(Levy!Q276+Data!D276+Data!E276-Levy!U276)*0.5),2)</f>
        <v>231136</v>
      </c>
      <c r="F276" s="3">
        <f t="shared" si="25"/>
        <v>61.089999999996508</v>
      </c>
      <c r="G276" s="3">
        <f t="shared" si="26"/>
        <v>231136</v>
      </c>
      <c r="I276" s="3">
        <f>SUM(Shift11!M276:N276)</f>
        <v>8674.51</v>
      </c>
      <c r="J276" s="3">
        <f>ROUND(MAX(0,(Levy!R276-Levy!V276)*0.5),2)</f>
        <v>8729.2199999999993</v>
      </c>
      <c r="K276" s="3">
        <f t="shared" si="27"/>
        <v>0</v>
      </c>
      <c r="L276" s="3">
        <f t="shared" si="28"/>
        <v>8674.51</v>
      </c>
      <c r="N276" s="3">
        <f t="shared" si="29"/>
        <v>239810.51</v>
      </c>
      <c r="O276" s="2">
        <f>SUM(Levy!F276:J276)</f>
        <v>482092.17999999993</v>
      </c>
      <c r="P276" s="2">
        <f>SUM(Levy!U276:V276)</f>
        <v>2361.7399999999998</v>
      </c>
      <c r="Q276" s="2">
        <f t="shared" si="30"/>
        <v>479730.43999999994</v>
      </c>
    </row>
    <row r="277" spans="1:17" x14ac:dyDescent="0.2">
      <c r="A277" s="5">
        <v>2071</v>
      </c>
      <c r="B277" s="5">
        <v>1</v>
      </c>
      <c r="C277" s="2" t="s">
        <v>273</v>
      </c>
      <c r="D277" s="3">
        <f>SUM(Shift11!D277:L277)</f>
        <v>481441.86</v>
      </c>
      <c r="E277" s="3">
        <f>ROUND(MAX(0,(Levy!Q277+Data!D277+Data!E277-Levy!U277)*0.5),2)</f>
        <v>480903.06</v>
      </c>
      <c r="F277" s="3">
        <f t="shared" si="25"/>
        <v>538.79999999998836</v>
      </c>
      <c r="G277" s="3">
        <f t="shared" si="26"/>
        <v>480903.06</v>
      </c>
      <c r="I277" s="3">
        <f>SUM(Shift11!M277:N277)</f>
        <v>39137.050000000003</v>
      </c>
      <c r="J277" s="3">
        <f>ROUND(MAX(0,(Levy!R277-Levy!V277)*0.5),2)</f>
        <v>39545.65</v>
      </c>
      <c r="K277" s="3">
        <f t="shared" si="27"/>
        <v>0</v>
      </c>
      <c r="L277" s="3">
        <f t="shared" si="28"/>
        <v>39137.050000000003</v>
      </c>
      <c r="N277" s="3">
        <f t="shared" si="29"/>
        <v>520040.11</v>
      </c>
      <c r="O277" s="2">
        <f>SUM(Levy!F277:J277)</f>
        <v>1049480.97</v>
      </c>
      <c r="P277" s="2">
        <f>SUM(Levy!U277:V277)</f>
        <v>8583.56</v>
      </c>
      <c r="Q277" s="2">
        <f t="shared" si="30"/>
        <v>1040897.4099999999</v>
      </c>
    </row>
    <row r="278" spans="1:17" x14ac:dyDescent="0.2">
      <c r="A278" s="5">
        <v>2125</v>
      </c>
      <c r="B278" s="5">
        <v>1</v>
      </c>
      <c r="C278" s="2" t="s">
        <v>274</v>
      </c>
      <c r="D278" s="3">
        <f>SUM(Shift11!D278:L278)</f>
        <v>600201.09</v>
      </c>
      <c r="E278" s="3">
        <f>ROUND(MAX(0,(Levy!Q278+Data!D278+Data!E278-Levy!U278)*0.5),2)</f>
        <v>585259.31999999995</v>
      </c>
      <c r="F278" s="3">
        <f t="shared" si="25"/>
        <v>14941.770000000019</v>
      </c>
      <c r="G278" s="3">
        <f t="shared" si="26"/>
        <v>585259.31999999995</v>
      </c>
      <c r="I278" s="3">
        <f>SUM(Shift11!M278:N278)</f>
        <v>53305.85</v>
      </c>
      <c r="J278" s="3">
        <f>ROUND(MAX(0,(Levy!R278-Levy!V278)*0.5),2)</f>
        <v>52340.62</v>
      </c>
      <c r="K278" s="3">
        <f t="shared" si="27"/>
        <v>965.22999999999593</v>
      </c>
      <c r="L278" s="3">
        <f t="shared" si="28"/>
        <v>52340.62</v>
      </c>
      <c r="N278" s="3">
        <f t="shared" si="29"/>
        <v>637599.93999999994</v>
      </c>
      <c r="O278" s="2">
        <f>SUM(Levy!F278:J278)</f>
        <v>1305527.7000000002</v>
      </c>
      <c r="P278" s="2">
        <f>SUM(Levy!U278:V278)</f>
        <v>30327.82</v>
      </c>
      <c r="Q278" s="2">
        <f t="shared" si="30"/>
        <v>1275199.8800000001</v>
      </c>
    </row>
    <row r="279" spans="1:17" x14ac:dyDescent="0.2">
      <c r="A279" s="5">
        <v>2134</v>
      </c>
      <c r="B279" s="5">
        <v>1</v>
      </c>
      <c r="C279" s="2" t="s">
        <v>275</v>
      </c>
      <c r="D279" s="3">
        <f>SUM(Shift11!D279:L279)</f>
        <v>642587.45000000007</v>
      </c>
      <c r="E279" s="3">
        <f>ROUND(MAX(0,(Levy!Q279+Data!D279+Data!E279-Levy!U279)*0.5),2)</f>
        <v>624930.57999999996</v>
      </c>
      <c r="F279" s="3">
        <f t="shared" si="25"/>
        <v>17656.870000000112</v>
      </c>
      <c r="G279" s="3">
        <f t="shared" si="26"/>
        <v>624930.57999999996</v>
      </c>
      <c r="I279" s="3">
        <f>SUM(Shift11!M279:N279)</f>
        <v>40824.839999999997</v>
      </c>
      <c r="J279" s="3">
        <f>ROUND(MAX(0,(Levy!R279-Levy!V279)*0.5),2)</f>
        <v>40001.03</v>
      </c>
      <c r="K279" s="3">
        <f t="shared" si="27"/>
        <v>823.80999999999767</v>
      </c>
      <c r="L279" s="3">
        <f t="shared" si="28"/>
        <v>40001.03</v>
      </c>
      <c r="N279" s="3">
        <f t="shared" si="29"/>
        <v>664931.61</v>
      </c>
      <c r="O279" s="2">
        <f>SUM(Levy!F279:J279)</f>
        <v>1355866.93</v>
      </c>
      <c r="P279" s="2">
        <f>SUM(Levy!U279:V279)</f>
        <v>26003.72</v>
      </c>
      <c r="Q279" s="2">
        <f t="shared" si="30"/>
        <v>1329863.21</v>
      </c>
    </row>
    <row r="280" spans="1:17" x14ac:dyDescent="0.2">
      <c r="A280" s="5">
        <v>2135</v>
      </c>
      <c r="B280" s="5">
        <v>1</v>
      </c>
      <c r="C280" s="2" t="s">
        <v>276</v>
      </c>
      <c r="D280" s="3">
        <f>SUM(Shift11!D280:L280)</f>
        <v>572576.82999999996</v>
      </c>
      <c r="E280" s="3">
        <f>ROUND(MAX(0,(Levy!Q280+Data!D280+Data!E280-Levy!U280)*0.5),2)</f>
        <v>548784.25</v>
      </c>
      <c r="F280" s="3">
        <f t="shared" si="25"/>
        <v>23792.579999999958</v>
      </c>
      <c r="G280" s="3">
        <f t="shared" si="26"/>
        <v>548784.25</v>
      </c>
      <c r="I280" s="3">
        <f>SUM(Shift11!M280:N280)</f>
        <v>41441.75</v>
      </c>
      <c r="J280" s="3">
        <f>ROUND(MAX(0,(Levy!R280-Levy!V280)*0.5),2)</f>
        <v>39537.61</v>
      </c>
      <c r="K280" s="3">
        <f t="shared" si="27"/>
        <v>1904.1399999999994</v>
      </c>
      <c r="L280" s="3">
        <f t="shared" si="28"/>
        <v>39537.61</v>
      </c>
      <c r="N280" s="3">
        <f t="shared" si="29"/>
        <v>588321.86</v>
      </c>
      <c r="O280" s="2">
        <f>SUM(Levy!F280:J280)</f>
        <v>1210038.8899999999</v>
      </c>
      <c r="P280" s="2">
        <f>SUM(Levy!U280:V280)</f>
        <v>33395.19</v>
      </c>
      <c r="Q280" s="2">
        <f t="shared" si="30"/>
        <v>1176643.7</v>
      </c>
    </row>
    <row r="281" spans="1:17" x14ac:dyDescent="0.2">
      <c r="A281" s="5">
        <v>2137</v>
      </c>
      <c r="B281" s="5">
        <v>1</v>
      </c>
      <c r="C281" s="2" t="s">
        <v>277</v>
      </c>
      <c r="D281" s="3">
        <f>SUM(Shift11!D281:L281)</f>
        <v>430876.95</v>
      </c>
      <c r="E281" s="3">
        <f>ROUND(MAX(0,(Levy!Q281+Data!D281+Data!E281-Levy!U281)*0.5),2)</f>
        <v>409909.03</v>
      </c>
      <c r="F281" s="3">
        <f t="shared" si="25"/>
        <v>20967.919999999984</v>
      </c>
      <c r="G281" s="3">
        <f t="shared" si="26"/>
        <v>409909.03</v>
      </c>
      <c r="I281" s="3">
        <f>SUM(Shift11!M281:N281)</f>
        <v>35661.660000000003</v>
      </c>
      <c r="J281" s="3">
        <f>ROUND(MAX(0,(Levy!R281-Levy!V281)*0.5),2)</f>
        <v>34617.89</v>
      </c>
      <c r="K281" s="3">
        <f t="shared" si="27"/>
        <v>1043.7700000000041</v>
      </c>
      <c r="L281" s="3">
        <f t="shared" si="28"/>
        <v>34617.89</v>
      </c>
      <c r="N281" s="3">
        <f t="shared" si="29"/>
        <v>444526.92000000004</v>
      </c>
      <c r="O281" s="2">
        <f>SUM(Levy!F281:J281)</f>
        <v>912983.05999999994</v>
      </c>
      <c r="P281" s="2">
        <f>SUM(Levy!U281:V281)</f>
        <v>23929.239999999998</v>
      </c>
      <c r="Q281" s="2">
        <f t="shared" si="30"/>
        <v>889053.82</v>
      </c>
    </row>
    <row r="282" spans="1:17" x14ac:dyDescent="0.2">
      <c r="A282" s="5">
        <v>2142</v>
      </c>
      <c r="B282" s="5">
        <v>1</v>
      </c>
      <c r="C282" s="2" t="s">
        <v>278</v>
      </c>
      <c r="D282" s="3">
        <f>SUM(Shift11!D282:L282)</f>
        <v>1337798.9799999997</v>
      </c>
      <c r="E282" s="3">
        <f>ROUND(MAX(0,(Levy!Q282+Data!D282+Data!E282-Levy!U282)*0.5),2)</f>
        <v>882569.74</v>
      </c>
      <c r="F282" s="3">
        <f t="shared" si="25"/>
        <v>455229.23999999976</v>
      </c>
      <c r="G282" s="3">
        <f t="shared" si="26"/>
        <v>882569.74</v>
      </c>
      <c r="I282" s="3">
        <f>SUM(Shift11!M282:N282)</f>
        <v>0</v>
      </c>
      <c r="J282" s="3">
        <f>ROUND(MAX(0,(Levy!R282-Levy!V282)*0.5),2)</f>
        <v>0</v>
      </c>
      <c r="K282" s="3">
        <f t="shared" si="27"/>
        <v>0</v>
      </c>
      <c r="L282" s="3">
        <f t="shared" si="28"/>
        <v>0</v>
      </c>
      <c r="N282" s="3">
        <f t="shared" si="29"/>
        <v>882569.74</v>
      </c>
      <c r="O282" s="2">
        <f>SUM(Levy!F282:J282)</f>
        <v>1883232.48</v>
      </c>
      <c r="P282" s="2">
        <f>SUM(Levy!U282:V282)</f>
        <v>118093</v>
      </c>
      <c r="Q282" s="2">
        <f t="shared" si="30"/>
        <v>1765139.48</v>
      </c>
    </row>
    <row r="283" spans="1:17" x14ac:dyDescent="0.2">
      <c r="A283" s="5">
        <v>2143</v>
      </c>
      <c r="B283" s="5">
        <v>1</v>
      </c>
      <c r="C283" s="2" t="s">
        <v>279</v>
      </c>
      <c r="D283" s="3">
        <f>SUM(Shift11!D283:L283)</f>
        <v>841707.04999999993</v>
      </c>
      <c r="E283" s="3">
        <f>ROUND(MAX(0,(Levy!Q283+Data!D283+Data!E283-Levy!U283)*0.5),2)</f>
        <v>834159.59</v>
      </c>
      <c r="F283" s="3">
        <f t="shared" si="25"/>
        <v>7547.4599999999627</v>
      </c>
      <c r="G283" s="3">
        <f t="shared" si="26"/>
        <v>834159.59</v>
      </c>
      <c r="I283" s="3">
        <f>SUM(Shift11!M283:N283)</f>
        <v>35820.629999999997</v>
      </c>
      <c r="J283" s="3">
        <f>ROUND(MAX(0,(Levy!R283-Levy!V283)*0.5),2)</f>
        <v>34206.5</v>
      </c>
      <c r="K283" s="3">
        <f t="shared" si="27"/>
        <v>1614.1299999999974</v>
      </c>
      <c r="L283" s="3">
        <f t="shared" si="28"/>
        <v>34206.5</v>
      </c>
      <c r="N283" s="3">
        <f t="shared" si="29"/>
        <v>868366.09</v>
      </c>
      <c r="O283" s="2">
        <f>SUM(Levy!F283:J283)</f>
        <v>1764361</v>
      </c>
      <c r="P283" s="2">
        <f>SUM(Levy!U283:V283)</f>
        <v>27628.83</v>
      </c>
      <c r="Q283" s="2">
        <f t="shared" si="30"/>
        <v>1736732.17</v>
      </c>
    </row>
    <row r="284" spans="1:17" x14ac:dyDescent="0.2">
      <c r="A284" s="5">
        <v>2144</v>
      </c>
      <c r="B284" s="5">
        <v>1</v>
      </c>
      <c r="C284" s="2" t="s">
        <v>280</v>
      </c>
      <c r="D284" s="3">
        <f>SUM(Shift11!D284:L284)</f>
        <v>1929516.96</v>
      </c>
      <c r="E284" s="3">
        <f>ROUND(MAX(0,(Levy!Q284+Data!D284+Data!E284-Levy!U284)*0.5),2)</f>
        <v>1895070.42</v>
      </c>
      <c r="F284" s="3">
        <f t="shared" si="25"/>
        <v>34446.540000000037</v>
      </c>
      <c r="G284" s="3">
        <f t="shared" si="26"/>
        <v>1895070.42</v>
      </c>
      <c r="I284" s="3">
        <f>SUM(Shift11!M284:N284)</f>
        <v>142167.85999999999</v>
      </c>
      <c r="J284" s="3">
        <f>ROUND(MAX(0,(Levy!R284-Levy!V284)*0.5),2)</f>
        <v>145387.99</v>
      </c>
      <c r="K284" s="3">
        <f t="shared" si="27"/>
        <v>0</v>
      </c>
      <c r="L284" s="3">
        <f t="shared" si="28"/>
        <v>142167.85999999999</v>
      </c>
      <c r="N284" s="3">
        <f t="shared" si="29"/>
        <v>2037238.2799999998</v>
      </c>
      <c r="O284" s="2">
        <f>SUM(Levy!F284:J284)</f>
        <v>4092853.3200000003</v>
      </c>
      <c r="P284" s="2">
        <f>SUM(Levy!U284:V284)</f>
        <v>11936.52</v>
      </c>
      <c r="Q284" s="2">
        <f t="shared" si="30"/>
        <v>4080916.8000000003</v>
      </c>
    </row>
    <row r="285" spans="1:17" x14ac:dyDescent="0.2">
      <c r="A285" s="5">
        <v>2149</v>
      </c>
      <c r="B285" s="5">
        <v>1</v>
      </c>
      <c r="C285" s="2" t="s">
        <v>281</v>
      </c>
      <c r="D285" s="3">
        <f>SUM(Shift11!D285:L285)</f>
        <v>844812.14999999991</v>
      </c>
      <c r="E285" s="3">
        <f>ROUND(MAX(0,(Levy!Q285+Data!D285+Data!E285-Levy!U285)*0.5),2)</f>
        <v>821349.3</v>
      </c>
      <c r="F285" s="3">
        <f t="shared" si="25"/>
        <v>23462.84999999986</v>
      </c>
      <c r="G285" s="3">
        <f t="shared" si="26"/>
        <v>821349.3</v>
      </c>
      <c r="I285" s="3">
        <f>SUM(Shift11!M285:N285)</f>
        <v>70077.31</v>
      </c>
      <c r="J285" s="3">
        <f>ROUND(MAX(0,(Levy!R285-Levy!V285)*0.5),2)</f>
        <v>70119.34</v>
      </c>
      <c r="K285" s="3">
        <f t="shared" si="27"/>
        <v>0</v>
      </c>
      <c r="L285" s="3">
        <f t="shared" si="28"/>
        <v>70077.31</v>
      </c>
      <c r="N285" s="3">
        <f t="shared" si="29"/>
        <v>891426.6100000001</v>
      </c>
      <c r="O285" s="2">
        <f>SUM(Levy!F285:J285)</f>
        <v>1805571</v>
      </c>
      <c r="P285" s="2">
        <f>SUM(Levy!U285:V285)</f>
        <v>22633.730000000003</v>
      </c>
      <c r="Q285" s="2">
        <f t="shared" si="30"/>
        <v>1782937.27</v>
      </c>
    </row>
    <row r="286" spans="1:17" x14ac:dyDescent="0.2">
      <c r="A286" s="5">
        <v>2154</v>
      </c>
      <c r="B286" s="5">
        <v>1</v>
      </c>
      <c r="C286" s="2" t="s">
        <v>282</v>
      </c>
      <c r="D286" s="3">
        <f>SUM(Shift11!D286:L286)</f>
        <v>418316.51</v>
      </c>
      <c r="E286" s="3">
        <f>ROUND(MAX(0,(Levy!Q286+Data!D286+Data!E286-Levy!U286)*0.5),2)</f>
        <v>321053.78999999998</v>
      </c>
      <c r="F286" s="3">
        <f t="shared" si="25"/>
        <v>97262.72000000003</v>
      </c>
      <c r="G286" s="3">
        <f t="shared" si="26"/>
        <v>321053.78999999998</v>
      </c>
      <c r="I286" s="3">
        <f>SUM(Shift11!M286:N286)</f>
        <v>0</v>
      </c>
      <c r="J286" s="3">
        <f>ROUND(MAX(0,(Levy!R286-Levy!V286)*0.5),2)</f>
        <v>0</v>
      </c>
      <c r="K286" s="3">
        <f t="shared" si="27"/>
        <v>0</v>
      </c>
      <c r="L286" s="3">
        <f t="shared" si="28"/>
        <v>0</v>
      </c>
      <c r="N286" s="3">
        <f t="shared" si="29"/>
        <v>321053.78999999998</v>
      </c>
      <c r="O286" s="2">
        <f>SUM(Levy!F286:J286)</f>
        <v>642374.54</v>
      </c>
      <c r="P286" s="2">
        <f>SUM(Levy!U286:V286)</f>
        <v>266.97000000000003</v>
      </c>
      <c r="Q286" s="2">
        <f t="shared" si="30"/>
        <v>642107.57000000007</v>
      </c>
    </row>
    <row r="287" spans="1:17" x14ac:dyDescent="0.2">
      <c r="A287" s="5">
        <v>2155</v>
      </c>
      <c r="B287" s="5">
        <v>1</v>
      </c>
      <c r="C287" s="2" t="s">
        <v>283</v>
      </c>
      <c r="D287" s="3">
        <f>SUM(Shift11!D287:L287)</f>
        <v>458773.18</v>
      </c>
      <c r="E287" s="3">
        <f>ROUND(MAX(0,(Levy!Q287+Data!D287+Data!E287-Levy!U287)*0.5),2)</f>
        <v>436601.06</v>
      </c>
      <c r="F287" s="3">
        <f t="shared" si="25"/>
        <v>22172.119999999995</v>
      </c>
      <c r="G287" s="3">
        <f t="shared" si="26"/>
        <v>436601.06</v>
      </c>
      <c r="I287" s="3">
        <f>SUM(Shift11!M287:N287)</f>
        <v>33305.58</v>
      </c>
      <c r="J287" s="3">
        <f>ROUND(MAX(0,(Levy!R287-Levy!V287)*0.5),2)</f>
        <v>32300.799999999999</v>
      </c>
      <c r="K287" s="3">
        <f t="shared" si="27"/>
        <v>1004.7800000000025</v>
      </c>
      <c r="L287" s="3">
        <f t="shared" si="28"/>
        <v>32300.799999999999</v>
      </c>
      <c r="N287" s="3">
        <f t="shared" si="29"/>
        <v>468901.86</v>
      </c>
      <c r="O287" s="2">
        <f>SUM(Levy!F287:J287)</f>
        <v>956054</v>
      </c>
      <c r="P287" s="2">
        <f>SUM(Levy!U287:V287)</f>
        <v>18250.3</v>
      </c>
      <c r="Q287" s="2">
        <f t="shared" si="30"/>
        <v>937803.7</v>
      </c>
    </row>
    <row r="288" spans="1:17" x14ac:dyDescent="0.2">
      <c r="A288" s="5">
        <v>2159</v>
      </c>
      <c r="B288" s="5">
        <v>1</v>
      </c>
      <c r="C288" s="2" t="s">
        <v>284</v>
      </c>
      <c r="D288" s="3">
        <f>SUM(Shift11!D288:L288)</f>
        <v>442719.77999999997</v>
      </c>
      <c r="E288" s="3">
        <f>ROUND(MAX(0,(Levy!Q288+Data!D288+Data!E288-Levy!U288)*0.5),2)</f>
        <v>416000.22</v>
      </c>
      <c r="F288" s="3">
        <f t="shared" si="25"/>
        <v>26719.559999999998</v>
      </c>
      <c r="G288" s="3">
        <f t="shared" si="26"/>
        <v>416000.22</v>
      </c>
      <c r="I288" s="3">
        <f>SUM(Shift11!M288:N288)</f>
        <v>22173.65</v>
      </c>
      <c r="J288" s="3">
        <f>ROUND(MAX(0,(Levy!R288-Levy!V288)*0.5),2)</f>
        <v>21807.02</v>
      </c>
      <c r="K288" s="3">
        <f t="shared" si="27"/>
        <v>366.63000000000102</v>
      </c>
      <c r="L288" s="3">
        <f t="shared" si="28"/>
        <v>21807.02</v>
      </c>
      <c r="N288" s="3">
        <f t="shared" si="29"/>
        <v>437807.24</v>
      </c>
      <c r="O288" s="2">
        <f>SUM(Levy!F288:J288)</f>
        <v>890399.71</v>
      </c>
      <c r="P288" s="2">
        <f>SUM(Levy!U288:V288)</f>
        <v>14785.23</v>
      </c>
      <c r="Q288" s="2">
        <f t="shared" si="30"/>
        <v>875614.48</v>
      </c>
    </row>
    <row r="289" spans="1:17" x14ac:dyDescent="0.2">
      <c r="A289" s="5">
        <v>2164</v>
      </c>
      <c r="B289" s="5">
        <v>1</v>
      </c>
      <c r="C289" s="2" t="s">
        <v>285</v>
      </c>
      <c r="D289" s="3">
        <f>SUM(Shift11!D289:L289)</f>
        <v>293619.18</v>
      </c>
      <c r="E289" s="3">
        <f>ROUND(MAX(0,(Levy!Q289+Data!D289+Data!E289-Levy!U289)*0.5),2)</f>
        <v>288780.01</v>
      </c>
      <c r="F289" s="3">
        <f t="shared" si="25"/>
        <v>4839.1699999999837</v>
      </c>
      <c r="G289" s="3">
        <f t="shared" si="26"/>
        <v>288780.01</v>
      </c>
      <c r="I289" s="3">
        <f>SUM(Shift11!M289:N289)</f>
        <v>36750.65</v>
      </c>
      <c r="J289" s="3">
        <f>ROUND(MAX(0,(Levy!R289-Levy!V289)*0.5),2)</f>
        <v>36063.870000000003</v>
      </c>
      <c r="K289" s="3">
        <f t="shared" si="27"/>
        <v>686.77999999999884</v>
      </c>
      <c r="L289" s="3">
        <f t="shared" si="28"/>
        <v>36063.870000000003</v>
      </c>
      <c r="N289" s="3">
        <f t="shared" si="29"/>
        <v>324843.88</v>
      </c>
      <c r="O289" s="2">
        <f>SUM(Levy!F289:J289)</f>
        <v>660025.04999999993</v>
      </c>
      <c r="P289" s="2">
        <f>SUM(Levy!U289:V289)</f>
        <v>10337.289999999999</v>
      </c>
      <c r="Q289" s="2">
        <f t="shared" si="30"/>
        <v>649687.75999999989</v>
      </c>
    </row>
    <row r="290" spans="1:17" x14ac:dyDescent="0.2">
      <c r="A290" s="5">
        <v>2165</v>
      </c>
      <c r="B290" s="5">
        <v>1</v>
      </c>
      <c r="C290" s="2" t="s">
        <v>286</v>
      </c>
      <c r="D290" s="3">
        <f>SUM(Shift11!D290:L290)</f>
        <v>340321.66999999993</v>
      </c>
      <c r="E290" s="3">
        <f>ROUND(MAX(0,(Levy!Q290+Data!D290+Data!E290-Levy!U290)*0.5),2)</f>
        <v>336500.77</v>
      </c>
      <c r="F290" s="3">
        <f t="shared" si="25"/>
        <v>3820.8999999999069</v>
      </c>
      <c r="G290" s="3">
        <f t="shared" si="26"/>
        <v>336500.77</v>
      </c>
      <c r="I290" s="3">
        <f>SUM(Shift11!M290:N290)</f>
        <v>36073.56</v>
      </c>
      <c r="J290" s="3">
        <f>ROUND(MAX(0,(Levy!R290-Levy!V290)*0.5),2)</f>
        <v>36297.4</v>
      </c>
      <c r="K290" s="3">
        <f t="shared" si="27"/>
        <v>0</v>
      </c>
      <c r="L290" s="3">
        <f t="shared" si="28"/>
        <v>36073.56</v>
      </c>
      <c r="N290" s="3">
        <f t="shared" si="29"/>
        <v>372574.33</v>
      </c>
      <c r="O290" s="2">
        <f>SUM(Levy!F290:J290)</f>
        <v>753911.14999999991</v>
      </c>
      <c r="P290" s="2">
        <f>SUM(Levy!U290:V290)</f>
        <v>8314.81</v>
      </c>
      <c r="Q290" s="2">
        <f t="shared" si="30"/>
        <v>745596.33999999985</v>
      </c>
    </row>
    <row r="291" spans="1:17" x14ac:dyDescent="0.2">
      <c r="A291" s="5">
        <v>2167</v>
      </c>
      <c r="B291" s="5">
        <v>1</v>
      </c>
      <c r="C291" s="2" t="s">
        <v>287</v>
      </c>
      <c r="D291" s="3">
        <f>SUM(Shift11!D291:L291)</f>
        <v>286861.86</v>
      </c>
      <c r="E291" s="3">
        <f>ROUND(MAX(0,(Levy!Q291+Data!D291+Data!E291-Levy!U291)*0.5),2)</f>
        <v>286101.56</v>
      </c>
      <c r="F291" s="3">
        <f t="shared" si="25"/>
        <v>760.29999999998836</v>
      </c>
      <c r="G291" s="3">
        <f t="shared" si="26"/>
        <v>286101.56</v>
      </c>
      <c r="I291" s="3">
        <f>SUM(Shift11!M291:N291)</f>
        <v>18680.38</v>
      </c>
      <c r="J291" s="3">
        <f>ROUND(MAX(0,(Levy!R291-Levy!V291)*0.5),2)</f>
        <v>18864.22</v>
      </c>
      <c r="K291" s="3">
        <f t="shared" si="27"/>
        <v>0</v>
      </c>
      <c r="L291" s="3">
        <f t="shared" si="28"/>
        <v>18680.38</v>
      </c>
      <c r="N291" s="3">
        <f t="shared" si="29"/>
        <v>304781.94</v>
      </c>
      <c r="O291" s="2">
        <f>SUM(Levy!F291:J291)</f>
        <v>615929</v>
      </c>
      <c r="P291" s="2">
        <f>SUM(Levy!U291:V291)</f>
        <v>5997.4500000000007</v>
      </c>
      <c r="Q291" s="2">
        <f t="shared" si="30"/>
        <v>609931.55000000005</v>
      </c>
    </row>
    <row r="292" spans="1:17" x14ac:dyDescent="0.2">
      <c r="A292" s="5">
        <v>2168</v>
      </c>
      <c r="B292" s="5">
        <v>1</v>
      </c>
      <c r="C292" s="2" t="s">
        <v>288</v>
      </c>
      <c r="D292" s="3">
        <f>SUM(Shift11!D292:L292)</f>
        <v>405337.7</v>
      </c>
      <c r="E292" s="3">
        <f>ROUND(MAX(0,(Levy!Q292+Data!D292+Data!E292-Levy!U292)*0.5),2)</f>
        <v>375122.23</v>
      </c>
      <c r="F292" s="3">
        <f t="shared" si="25"/>
        <v>30215.47000000003</v>
      </c>
      <c r="G292" s="3">
        <f t="shared" si="26"/>
        <v>375122.23</v>
      </c>
      <c r="I292" s="3">
        <f>SUM(Shift11!M292:N292)</f>
        <v>32524.09</v>
      </c>
      <c r="J292" s="3">
        <f>ROUND(MAX(0,(Levy!R292-Levy!V292)*0.5),2)</f>
        <v>32590.52</v>
      </c>
      <c r="K292" s="3">
        <f t="shared" si="27"/>
        <v>0</v>
      </c>
      <c r="L292" s="3">
        <f t="shared" si="28"/>
        <v>32524.09</v>
      </c>
      <c r="N292" s="3">
        <f t="shared" si="29"/>
        <v>407646.32</v>
      </c>
      <c r="O292" s="2">
        <f>SUM(Levy!F292:J292)</f>
        <v>827629</v>
      </c>
      <c r="P292" s="2">
        <f>SUM(Levy!U292:V292)</f>
        <v>12203.519999999999</v>
      </c>
      <c r="Q292" s="2">
        <f t="shared" si="30"/>
        <v>815425.48</v>
      </c>
    </row>
    <row r="293" spans="1:17" x14ac:dyDescent="0.2">
      <c r="A293" s="5">
        <v>2169</v>
      </c>
      <c r="B293" s="5">
        <v>1</v>
      </c>
      <c r="C293" s="2" t="s">
        <v>289</v>
      </c>
      <c r="D293" s="3">
        <f>SUM(Shift11!D293:L293)</f>
        <v>567872.21</v>
      </c>
      <c r="E293" s="3">
        <f>ROUND(MAX(0,(Levy!Q293+Data!D293+Data!E293-Levy!U293)*0.5),2)</f>
        <v>560952.28</v>
      </c>
      <c r="F293" s="3">
        <f t="shared" si="25"/>
        <v>6919.9299999999348</v>
      </c>
      <c r="G293" s="3">
        <f t="shared" si="26"/>
        <v>560952.28</v>
      </c>
      <c r="I293" s="3">
        <f>SUM(Shift11!M293:N293)</f>
        <v>35433.879999999997</v>
      </c>
      <c r="J293" s="3">
        <f>ROUND(MAX(0,(Levy!R293-Levy!V293)*0.5),2)</f>
        <v>34346.79</v>
      </c>
      <c r="K293" s="3">
        <f t="shared" si="27"/>
        <v>1087.0899999999965</v>
      </c>
      <c r="L293" s="3">
        <f t="shared" si="28"/>
        <v>34346.79</v>
      </c>
      <c r="N293" s="3">
        <f t="shared" si="29"/>
        <v>595299.07000000007</v>
      </c>
      <c r="O293" s="2">
        <f>SUM(Levy!F293:J293)</f>
        <v>1214591.32</v>
      </c>
      <c r="P293" s="2">
        <f>SUM(Levy!U293:V293)</f>
        <v>23993.190000000002</v>
      </c>
      <c r="Q293" s="2">
        <f t="shared" si="30"/>
        <v>1190598.1300000001</v>
      </c>
    </row>
    <row r="294" spans="1:17" x14ac:dyDescent="0.2">
      <c r="A294" s="5">
        <v>2170</v>
      </c>
      <c r="B294" s="5">
        <v>1</v>
      </c>
      <c r="C294" s="2" t="s">
        <v>290</v>
      </c>
      <c r="D294" s="3">
        <f>SUM(Shift11!D294:L294)</f>
        <v>528257.80999999994</v>
      </c>
      <c r="E294" s="3">
        <f>ROUND(MAX(0,(Levy!Q294+Data!D294+Data!E294-Levy!U294)*0.5),2)</f>
        <v>491847.69</v>
      </c>
      <c r="F294" s="3">
        <f t="shared" si="25"/>
        <v>36410.119999999937</v>
      </c>
      <c r="G294" s="3">
        <f t="shared" si="26"/>
        <v>491847.69</v>
      </c>
      <c r="I294" s="3">
        <f>SUM(Shift11!M294:N294)</f>
        <v>61592.24</v>
      </c>
      <c r="J294" s="3">
        <f>ROUND(MAX(0,(Levy!R294-Levy!V294)*0.5),2)</f>
        <v>59717.47</v>
      </c>
      <c r="K294" s="3">
        <f t="shared" si="27"/>
        <v>1874.7699999999968</v>
      </c>
      <c r="L294" s="3">
        <f t="shared" si="28"/>
        <v>59717.47</v>
      </c>
      <c r="N294" s="3">
        <f t="shared" si="29"/>
        <v>551565.16</v>
      </c>
      <c r="O294" s="2">
        <f>SUM(Levy!F294:J294)</f>
        <v>1129772</v>
      </c>
      <c r="P294" s="2">
        <f>SUM(Levy!U294:V294)</f>
        <v>26641.68</v>
      </c>
      <c r="Q294" s="2">
        <f t="shared" si="30"/>
        <v>1103130.32</v>
      </c>
    </row>
    <row r="295" spans="1:17" x14ac:dyDescent="0.2">
      <c r="A295" s="5">
        <v>2171</v>
      </c>
      <c r="B295" s="5">
        <v>1</v>
      </c>
      <c r="C295" s="2" t="s">
        <v>291</v>
      </c>
      <c r="D295" s="3">
        <f>SUM(Shift11!D295:L295)</f>
        <v>401076.14</v>
      </c>
      <c r="E295" s="3">
        <f>ROUND(MAX(0,(Levy!Q295+Data!D295+Data!E295-Levy!U295)*0.5),2)</f>
        <v>260550.62</v>
      </c>
      <c r="F295" s="3">
        <f t="shared" si="25"/>
        <v>140525.52000000002</v>
      </c>
      <c r="G295" s="3">
        <f t="shared" si="26"/>
        <v>260550.62</v>
      </c>
      <c r="I295" s="3">
        <f>SUM(Shift11!M295:N295)</f>
        <v>14147.95</v>
      </c>
      <c r="J295" s="3">
        <f>ROUND(MAX(0,(Levy!R295-Levy!V295)*0.5),2)</f>
        <v>14282.34</v>
      </c>
      <c r="K295" s="3">
        <f t="shared" si="27"/>
        <v>0</v>
      </c>
      <c r="L295" s="3">
        <f t="shared" si="28"/>
        <v>14147.95</v>
      </c>
      <c r="N295" s="3">
        <f t="shared" si="29"/>
        <v>274698.57</v>
      </c>
      <c r="O295" s="2">
        <f>SUM(Levy!F295:J295)</f>
        <v>553215.75</v>
      </c>
      <c r="P295" s="2">
        <f>SUM(Levy!U295:V295)</f>
        <v>3549.84</v>
      </c>
      <c r="Q295" s="2">
        <f t="shared" si="30"/>
        <v>549665.91</v>
      </c>
    </row>
    <row r="296" spans="1:17" x14ac:dyDescent="0.2">
      <c r="A296" s="5">
        <v>2172</v>
      </c>
      <c r="B296" s="5">
        <v>1</v>
      </c>
      <c r="C296" s="2" t="s">
        <v>292</v>
      </c>
      <c r="D296" s="3">
        <f>SUM(Shift11!D296:L296)</f>
        <v>604429</v>
      </c>
      <c r="E296" s="3">
        <f>ROUND(MAX(0,(Levy!Q296+Data!D296+Data!E296-Levy!U296)*0.5),2)</f>
        <v>595159.62</v>
      </c>
      <c r="F296" s="3">
        <f t="shared" si="25"/>
        <v>9269.3800000000047</v>
      </c>
      <c r="G296" s="3">
        <f t="shared" si="26"/>
        <v>595159.62</v>
      </c>
      <c r="I296" s="3">
        <f>SUM(Shift11!M296:N296)</f>
        <v>51235.58</v>
      </c>
      <c r="J296" s="3">
        <f>ROUND(MAX(0,(Levy!R296-Levy!V296)*0.5),2)</f>
        <v>51439.93</v>
      </c>
      <c r="K296" s="3">
        <f t="shared" si="27"/>
        <v>0</v>
      </c>
      <c r="L296" s="3">
        <f t="shared" si="28"/>
        <v>51235.58</v>
      </c>
      <c r="N296" s="3">
        <f t="shared" si="29"/>
        <v>646395.19999999995</v>
      </c>
      <c r="O296" s="2">
        <f>SUM(Levy!F296:J296)</f>
        <v>1304691</v>
      </c>
      <c r="P296" s="2">
        <f>SUM(Levy!U296:V296)</f>
        <v>11491.91</v>
      </c>
      <c r="Q296" s="2">
        <f t="shared" si="30"/>
        <v>1293199.0900000001</v>
      </c>
    </row>
    <row r="297" spans="1:17" x14ac:dyDescent="0.2">
      <c r="A297" s="5">
        <v>2174</v>
      </c>
      <c r="B297" s="5">
        <v>1</v>
      </c>
      <c r="C297" s="2" t="s">
        <v>293</v>
      </c>
      <c r="D297" s="3">
        <f>SUM(Shift11!D297:L297)</f>
        <v>194099.32999999996</v>
      </c>
      <c r="E297" s="3">
        <f>ROUND(MAX(0,(Levy!Q297+Data!D297+Data!E297-Levy!U297)*0.5),2)</f>
        <v>177103.47</v>
      </c>
      <c r="F297" s="3">
        <f t="shared" si="25"/>
        <v>16995.859999999957</v>
      </c>
      <c r="G297" s="3">
        <f t="shared" si="26"/>
        <v>177103.47</v>
      </c>
      <c r="I297" s="3">
        <f>SUM(Shift11!M297:N297)</f>
        <v>59632.81</v>
      </c>
      <c r="J297" s="3">
        <f>ROUND(MAX(0,(Levy!R297-Levy!V297)*0.5),2)</f>
        <v>60607.4</v>
      </c>
      <c r="K297" s="3">
        <f t="shared" si="27"/>
        <v>0</v>
      </c>
      <c r="L297" s="3">
        <f t="shared" si="28"/>
        <v>59632.81</v>
      </c>
      <c r="N297" s="3">
        <f t="shared" si="29"/>
        <v>236736.28</v>
      </c>
      <c r="O297" s="2">
        <f>SUM(Levy!F297:J297)</f>
        <v>478641.77</v>
      </c>
      <c r="P297" s="2">
        <f>SUM(Levy!U297:V297)</f>
        <v>3220.0299999999997</v>
      </c>
      <c r="Q297" s="2">
        <f t="shared" si="30"/>
        <v>475421.74</v>
      </c>
    </row>
    <row r="298" spans="1:17" x14ac:dyDescent="0.2">
      <c r="A298" s="5">
        <v>2176</v>
      </c>
      <c r="B298" s="5">
        <v>1</v>
      </c>
      <c r="C298" s="2" t="s">
        <v>294</v>
      </c>
      <c r="D298" s="3">
        <f>SUM(Shift11!D298:L298)</f>
        <v>418414.06000000006</v>
      </c>
      <c r="E298" s="3">
        <f>ROUND(MAX(0,(Levy!Q298+Data!D298+Data!E298-Levy!U298)*0.5),2)</f>
        <v>412073.83</v>
      </c>
      <c r="F298" s="3">
        <f t="shared" si="25"/>
        <v>6340.2300000000396</v>
      </c>
      <c r="G298" s="3">
        <f t="shared" si="26"/>
        <v>412073.83</v>
      </c>
      <c r="I298" s="3">
        <f>SUM(Shift11!M298:N298)</f>
        <v>26607.040000000001</v>
      </c>
      <c r="J298" s="3">
        <f>ROUND(MAX(0,(Levy!R298-Levy!V298)*0.5),2)</f>
        <v>26671.59</v>
      </c>
      <c r="K298" s="3">
        <f t="shared" si="27"/>
        <v>0</v>
      </c>
      <c r="L298" s="3">
        <f t="shared" si="28"/>
        <v>26607.040000000001</v>
      </c>
      <c r="N298" s="3">
        <f t="shared" si="29"/>
        <v>438680.87</v>
      </c>
      <c r="O298" s="2">
        <f>SUM(Levy!F298:J298)</f>
        <v>892615</v>
      </c>
      <c r="P298" s="2">
        <f>SUM(Levy!U298:V298)</f>
        <v>15124.16</v>
      </c>
      <c r="Q298" s="2">
        <f t="shared" si="30"/>
        <v>877490.84</v>
      </c>
    </row>
    <row r="299" spans="1:17" x14ac:dyDescent="0.2">
      <c r="A299" s="5">
        <v>2180</v>
      </c>
      <c r="B299" s="5">
        <v>1</v>
      </c>
      <c r="C299" s="2" t="s">
        <v>295</v>
      </c>
      <c r="D299" s="3">
        <f>SUM(Shift11!D299:L299)</f>
        <v>764615.25</v>
      </c>
      <c r="E299" s="3">
        <f>ROUND(MAX(0,(Levy!Q299+Data!D299+Data!E299-Levy!U299)*0.5),2)</f>
        <v>762829.65</v>
      </c>
      <c r="F299" s="3">
        <f t="shared" si="25"/>
        <v>1785.5999999999767</v>
      </c>
      <c r="G299" s="3">
        <f t="shared" si="26"/>
        <v>762829.65</v>
      </c>
      <c r="I299" s="3">
        <f>SUM(Shift11!M299:N299)</f>
        <v>19260.63</v>
      </c>
      <c r="J299" s="3">
        <f>ROUND(MAX(0,(Levy!R299-Levy!V299)*0.5),2)</f>
        <v>19207.04</v>
      </c>
      <c r="K299" s="3">
        <f t="shared" si="27"/>
        <v>53.590000000000146</v>
      </c>
      <c r="L299" s="3">
        <f t="shared" si="28"/>
        <v>19207.04</v>
      </c>
      <c r="N299" s="3">
        <f t="shared" si="29"/>
        <v>782036.69000000006</v>
      </c>
      <c r="O299" s="2">
        <f>SUM(Levy!F299:J299)</f>
        <v>1574926.2399999998</v>
      </c>
      <c r="P299" s="2">
        <f>SUM(Levy!U299:V299)</f>
        <v>10852.860000000002</v>
      </c>
      <c r="Q299" s="2">
        <f t="shared" si="30"/>
        <v>1564073.3799999997</v>
      </c>
    </row>
    <row r="300" spans="1:17" x14ac:dyDescent="0.2">
      <c r="A300" s="5">
        <v>2184</v>
      </c>
      <c r="B300" s="5">
        <v>1</v>
      </c>
      <c r="C300" s="2" t="s">
        <v>296</v>
      </c>
      <c r="D300" s="3">
        <f>SUM(Shift11!D300:L300)</f>
        <v>669623.24000000011</v>
      </c>
      <c r="E300" s="3">
        <f>ROUND(MAX(0,(Levy!Q300+Data!D300+Data!E300-Levy!U300)*0.5),2)</f>
        <v>669860.25</v>
      </c>
      <c r="F300" s="3">
        <f t="shared" si="25"/>
        <v>0</v>
      </c>
      <c r="G300" s="3">
        <f t="shared" si="26"/>
        <v>669623.24000000011</v>
      </c>
      <c r="I300" s="3">
        <f>SUM(Shift11!M300:N300)</f>
        <v>38971.050000000003</v>
      </c>
      <c r="J300" s="3">
        <f>ROUND(MAX(0,(Levy!R300-Levy!V300)*0.5),2)</f>
        <v>39206.61</v>
      </c>
      <c r="K300" s="3">
        <f t="shared" si="27"/>
        <v>0</v>
      </c>
      <c r="L300" s="3">
        <f t="shared" si="28"/>
        <v>38971.050000000003</v>
      </c>
      <c r="N300" s="3">
        <f t="shared" si="29"/>
        <v>708594.29000000015</v>
      </c>
      <c r="O300" s="2">
        <f>SUM(Levy!F300:J300)</f>
        <v>1427998.6400000001</v>
      </c>
      <c r="P300" s="2">
        <f>SUM(Levy!U300:V300)</f>
        <v>9864.93</v>
      </c>
      <c r="Q300" s="2">
        <f t="shared" si="30"/>
        <v>1418133.7100000002</v>
      </c>
    </row>
    <row r="301" spans="1:17" x14ac:dyDescent="0.2">
      <c r="A301" s="5">
        <v>2190</v>
      </c>
      <c r="B301" s="5">
        <v>1</v>
      </c>
      <c r="C301" s="2" t="s">
        <v>297</v>
      </c>
      <c r="D301" s="3">
        <f>SUM(Shift11!D301:L301)</f>
        <v>613494.61</v>
      </c>
      <c r="E301" s="3">
        <f>ROUND(MAX(0,(Levy!Q301+Data!D301+Data!E301-Levy!U301)*0.5),2)</f>
        <v>587434.93000000005</v>
      </c>
      <c r="F301" s="3">
        <f t="shared" si="25"/>
        <v>26059.679999999935</v>
      </c>
      <c r="G301" s="3">
        <f t="shared" si="26"/>
        <v>587434.93000000005</v>
      </c>
      <c r="I301" s="3">
        <f>SUM(Shift11!M301:N301)</f>
        <v>76324.84</v>
      </c>
      <c r="J301" s="3">
        <f>ROUND(MAX(0,(Levy!R301-Levy!V301)*0.5),2)</f>
        <v>75723.149999999994</v>
      </c>
      <c r="K301" s="3">
        <f t="shared" si="27"/>
        <v>601.69000000000233</v>
      </c>
      <c r="L301" s="3">
        <f t="shared" si="28"/>
        <v>75723.149999999994</v>
      </c>
      <c r="N301" s="3">
        <f t="shared" si="29"/>
        <v>663158.08000000007</v>
      </c>
      <c r="O301" s="2">
        <f>SUM(Levy!F301:J301)</f>
        <v>1341732</v>
      </c>
      <c r="P301" s="2">
        <f>SUM(Levy!U301:V301)</f>
        <v>15415.84</v>
      </c>
      <c r="Q301" s="2">
        <f t="shared" si="30"/>
        <v>1326316.1599999999</v>
      </c>
    </row>
    <row r="302" spans="1:17" x14ac:dyDescent="0.2">
      <c r="A302" s="5">
        <v>2198</v>
      </c>
      <c r="B302" s="5">
        <v>1</v>
      </c>
      <c r="C302" s="2" t="s">
        <v>298</v>
      </c>
      <c r="D302" s="3">
        <f>SUM(Shift11!D302:L302)</f>
        <v>471892.33</v>
      </c>
      <c r="E302" s="3">
        <f>ROUND(MAX(0,(Levy!Q302+Data!D302+Data!E302-Levy!U302)*0.5),2)</f>
        <v>453094.62</v>
      </c>
      <c r="F302" s="3">
        <f t="shared" si="25"/>
        <v>18797.710000000021</v>
      </c>
      <c r="G302" s="3">
        <f t="shared" si="26"/>
        <v>453094.62</v>
      </c>
      <c r="I302" s="3">
        <f>SUM(Shift11!M302:N302)</f>
        <v>36206.089999999997</v>
      </c>
      <c r="J302" s="3">
        <f>ROUND(MAX(0,(Levy!R302-Levy!V302)*0.5),2)</f>
        <v>34521.410000000003</v>
      </c>
      <c r="K302" s="3">
        <f t="shared" si="27"/>
        <v>1684.679999999993</v>
      </c>
      <c r="L302" s="3">
        <f t="shared" si="28"/>
        <v>34521.410000000003</v>
      </c>
      <c r="N302" s="3">
        <f t="shared" si="29"/>
        <v>487616.03</v>
      </c>
      <c r="O302" s="2">
        <f>SUM(Levy!F302:J302)</f>
        <v>1003325.52</v>
      </c>
      <c r="P302" s="2">
        <f>SUM(Levy!U302:V302)</f>
        <v>28093.48</v>
      </c>
      <c r="Q302" s="2">
        <f t="shared" si="30"/>
        <v>975232.04</v>
      </c>
    </row>
    <row r="303" spans="1:17" x14ac:dyDescent="0.2">
      <c r="A303" s="5">
        <v>2215</v>
      </c>
      <c r="B303" s="5">
        <v>1</v>
      </c>
      <c r="C303" s="2" t="s">
        <v>299</v>
      </c>
      <c r="D303" s="3">
        <f>SUM(Shift11!D303:L303)</f>
        <v>217448.73</v>
      </c>
      <c r="E303" s="3">
        <f>ROUND(MAX(0,(Levy!Q303+Data!D303+Data!E303-Levy!U303)*0.5),2)</f>
        <v>207378.5</v>
      </c>
      <c r="F303" s="3">
        <f t="shared" si="25"/>
        <v>10070.23000000001</v>
      </c>
      <c r="G303" s="3">
        <f t="shared" si="26"/>
        <v>207378.5</v>
      </c>
      <c r="I303" s="3">
        <f>SUM(Shift11!M303:N303)</f>
        <v>10171.82</v>
      </c>
      <c r="J303" s="3">
        <f>ROUND(MAX(0,(Levy!R303-Levy!V303)*0.5),2)</f>
        <v>9890.5</v>
      </c>
      <c r="K303" s="3">
        <f t="shared" si="27"/>
        <v>281.31999999999971</v>
      </c>
      <c r="L303" s="3">
        <f t="shared" si="28"/>
        <v>9890.5</v>
      </c>
      <c r="N303" s="3">
        <f t="shared" si="29"/>
        <v>217269</v>
      </c>
      <c r="O303" s="2">
        <f>SUM(Levy!F303:J303)</f>
        <v>442136.39999999997</v>
      </c>
      <c r="P303" s="2">
        <f>SUM(Levy!U303:V303)</f>
        <v>7598.4000000000005</v>
      </c>
      <c r="Q303" s="2">
        <f t="shared" si="30"/>
        <v>434537.99999999994</v>
      </c>
    </row>
    <row r="304" spans="1:17" x14ac:dyDescent="0.2">
      <c r="A304" s="5">
        <v>2310</v>
      </c>
      <c r="B304" s="5">
        <v>1</v>
      </c>
      <c r="C304" s="2" t="s">
        <v>300</v>
      </c>
      <c r="D304" s="3">
        <f>SUM(Shift11!D304:L304)</f>
        <v>569232.16</v>
      </c>
      <c r="E304" s="3">
        <f>ROUND(MAX(0,(Levy!Q304+Data!D304+Data!E304-Levy!U304)*0.5),2)</f>
        <v>551542.56999999995</v>
      </c>
      <c r="F304" s="3">
        <f t="shared" si="25"/>
        <v>17689.590000000084</v>
      </c>
      <c r="G304" s="3">
        <f t="shared" si="26"/>
        <v>551542.56999999995</v>
      </c>
      <c r="I304" s="3">
        <f>SUM(Shift11!M304:N304)</f>
        <v>48206.52</v>
      </c>
      <c r="J304" s="3">
        <f>ROUND(MAX(0,(Levy!R304-Levy!V304)*0.5),2)</f>
        <v>45945.56</v>
      </c>
      <c r="K304" s="3">
        <f t="shared" si="27"/>
        <v>2260.9599999999991</v>
      </c>
      <c r="L304" s="3">
        <f t="shared" si="28"/>
        <v>45945.56</v>
      </c>
      <c r="N304" s="3">
        <f t="shared" si="29"/>
        <v>597488.12999999989</v>
      </c>
      <c r="O304" s="2">
        <f>SUM(Levy!F304:J304)</f>
        <v>1241872.79</v>
      </c>
      <c r="P304" s="2">
        <f>SUM(Levy!U304:V304)</f>
        <v>46896.53</v>
      </c>
      <c r="Q304" s="2">
        <f t="shared" si="30"/>
        <v>1194976.26</v>
      </c>
    </row>
    <row r="305" spans="1:17" x14ac:dyDescent="0.2">
      <c r="A305" s="5">
        <v>2311</v>
      </c>
      <c r="B305" s="5">
        <v>1</v>
      </c>
      <c r="C305" s="2" t="s">
        <v>301</v>
      </c>
      <c r="D305" s="3">
        <f>SUM(Shift11!D305:L305)</f>
        <v>304074.12999999995</v>
      </c>
      <c r="E305" s="3">
        <f>ROUND(MAX(0,(Levy!Q305+Data!D305+Data!E305-Levy!U305)*0.5),2)</f>
        <v>293369.7</v>
      </c>
      <c r="F305" s="3">
        <f t="shared" si="25"/>
        <v>10704.429999999935</v>
      </c>
      <c r="G305" s="3">
        <f t="shared" si="26"/>
        <v>293369.7</v>
      </c>
      <c r="I305" s="3">
        <f>SUM(Shift11!M305:N305)</f>
        <v>22573.73</v>
      </c>
      <c r="J305" s="3">
        <f>ROUND(MAX(0,(Levy!R305-Levy!V305)*0.5),2)</f>
        <v>22560.02</v>
      </c>
      <c r="K305" s="3">
        <f t="shared" si="27"/>
        <v>13.709999999999127</v>
      </c>
      <c r="L305" s="3">
        <f t="shared" si="28"/>
        <v>22560.02</v>
      </c>
      <c r="N305" s="3">
        <f t="shared" si="29"/>
        <v>315929.72000000003</v>
      </c>
      <c r="O305" s="2">
        <f>SUM(Levy!F305:J305)</f>
        <v>640018</v>
      </c>
      <c r="P305" s="2">
        <f>SUM(Levy!U305:V305)</f>
        <v>8158.5599999999995</v>
      </c>
      <c r="Q305" s="2">
        <f t="shared" si="30"/>
        <v>631859.43999999994</v>
      </c>
    </row>
    <row r="306" spans="1:17" x14ac:dyDescent="0.2">
      <c r="A306" s="5">
        <v>2342</v>
      </c>
      <c r="B306" s="5">
        <v>1</v>
      </c>
      <c r="C306" s="2" t="s">
        <v>302</v>
      </c>
      <c r="D306" s="3">
        <f>SUM(Shift11!D306:L306)</f>
        <v>748094.27999999991</v>
      </c>
      <c r="E306" s="3">
        <f>ROUND(MAX(0,(Levy!Q306+Data!D306+Data!E306-Levy!U306)*0.5),2)</f>
        <v>743553.29</v>
      </c>
      <c r="F306" s="3">
        <f t="shared" si="25"/>
        <v>4540.9899999998743</v>
      </c>
      <c r="G306" s="3">
        <f t="shared" si="26"/>
        <v>743553.29</v>
      </c>
      <c r="I306" s="3">
        <f>SUM(Shift11!M306:N306)</f>
        <v>36020.870000000003</v>
      </c>
      <c r="J306" s="3">
        <f>ROUND(MAX(0,(Levy!R306-Levy!V306)*0.5),2)</f>
        <v>36197.29</v>
      </c>
      <c r="K306" s="3">
        <f t="shared" si="27"/>
        <v>0</v>
      </c>
      <c r="L306" s="3">
        <f t="shared" si="28"/>
        <v>36020.870000000003</v>
      </c>
      <c r="N306" s="3">
        <f t="shared" si="29"/>
        <v>779574.16</v>
      </c>
      <c r="O306" s="2">
        <f>SUM(Levy!F306:J306)</f>
        <v>1573699.93</v>
      </c>
      <c r="P306" s="2">
        <f>SUM(Levy!U306:V306)</f>
        <v>14198.77</v>
      </c>
      <c r="Q306" s="2">
        <f t="shared" si="30"/>
        <v>1559501.16</v>
      </c>
    </row>
    <row r="307" spans="1:17" x14ac:dyDescent="0.2">
      <c r="A307" s="5">
        <v>2358</v>
      </c>
      <c r="B307" s="5">
        <v>1</v>
      </c>
      <c r="C307" s="2" t="s">
        <v>303</v>
      </c>
      <c r="D307" s="3">
        <f>SUM(Shift11!D307:L307)</f>
        <v>181736.25999999998</v>
      </c>
      <c r="E307" s="3">
        <f>ROUND(MAX(0,(Levy!Q307+Data!D307+Data!E307-Levy!U307)*0.5),2)</f>
        <v>176637.9</v>
      </c>
      <c r="F307" s="3">
        <f t="shared" si="25"/>
        <v>5098.359999999986</v>
      </c>
      <c r="G307" s="3">
        <f t="shared" si="26"/>
        <v>176637.9</v>
      </c>
      <c r="I307" s="3">
        <f>SUM(Shift11!M307:N307)</f>
        <v>9130.2199999999993</v>
      </c>
      <c r="J307" s="3">
        <f>ROUND(MAX(0,(Levy!R307-Levy!V307)*0.5),2)</f>
        <v>8961.82</v>
      </c>
      <c r="K307" s="3">
        <f t="shared" si="27"/>
        <v>168.39999999999964</v>
      </c>
      <c r="L307" s="3">
        <f t="shared" si="28"/>
        <v>8961.82</v>
      </c>
      <c r="N307" s="3">
        <f t="shared" si="29"/>
        <v>185599.72</v>
      </c>
      <c r="O307" s="2">
        <f>SUM(Levy!F307:J307)</f>
        <v>380720.82999999996</v>
      </c>
      <c r="P307" s="2">
        <f>SUM(Levy!U307:V307)</f>
        <v>9521.39</v>
      </c>
      <c r="Q307" s="2">
        <f t="shared" si="30"/>
        <v>371199.43999999994</v>
      </c>
    </row>
    <row r="308" spans="1:17" x14ac:dyDescent="0.2">
      <c r="A308" s="5">
        <v>2364</v>
      </c>
      <c r="B308" s="5">
        <v>1</v>
      </c>
      <c r="C308" s="2" t="s">
        <v>304</v>
      </c>
      <c r="D308" s="3">
        <f>SUM(Shift11!D308:L308)</f>
        <v>279836.61</v>
      </c>
      <c r="E308" s="3">
        <f>ROUND(MAX(0,(Levy!Q308+Data!D308+Data!E308-Levy!U308)*0.5),2)</f>
        <v>272944.96999999997</v>
      </c>
      <c r="F308" s="3">
        <f t="shared" si="25"/>
        <v>6891.640000000014</v>
      </c>
      <c r="G308" s="3">
        <f t="shared" si="26"/>
        <v>272944.96999999997</v>
      </c>
      <c r="I308" s="3">
        <f>SUM(Shift11!M308:N308)</f>
        <v>27735.8</v>
      </c>
      <c r="J308" s="3">
        <f>ROUND(MAX(0,(Levy!R308-Levy!V308)*0.5),2)</f>
        <v>27743.09</v>
      </c>
      <c r="K308" s="3">
        <f t="shared" si="27"/>
        <v>0</v>
      </c>
      <c r="L308" s="3">
        <f t="shared" si="28"/>
        <v>27735.8</v>
      </c>
      <c r="N308" s="3">
        <f t="shared" si="29"/>
        <v>300680.76999999996</v>
      </c>
      <c r="O308" s="2">
        <f>SUM(Levy!F308:J308)</f>
        <v>605019.28</v>
      </c>
      <c r="P308" s="2">
        <f>SUM(Levy!U308:V308)</f>
        <v>3643.16</v>
      </c>
      <c r="Q308" s="2">
        <f t="shared" si="30"/>
        <v>601376.12</v>
      </c>
    </row>
    <row r="309" spans="1:17" x14ac:dyDescent="0.2">
      <c r="A309" s="5">
        <v>2365</v>
      </c>
      <c r="B309" s="5">
        <v>1</v>
      </c>
      <c r="C309" s="2" t="s">
        <v>305</v>
      </c>
      <c r="D309" s="3">
        <f>SUM(Shift11!D309:L309)</f>
        <v>649701.24</v>
      </c>
      <c r="E309" s="3">
        <f>ROUND(MAX(0,(Levy!Q309+Data!D309+Data!E309-Levy!U309)*0.5),2)</f>
        <v>640553.36</v>
      </c>
      <c r="F309" s="3">
        <f t="shared" si="25"/>
        <v>9147.8800000000047</v>
      </c>
      <c r="G309" s="3">
        <f t="shared" si="26"/>
        <v>640553.36</v>
      </c>
      <c r="I309" s="3">
        <f>SUM(Shift11!M309:N309)</f>
        <v>46548.85</v>
      </c>
      <c r="J309" s="3">
        <f>ROUND(MAX(0,(Levy!R309-Levy!V309)*0.5),2)</f>
        <v>45560.98</v>
      </c>
      <c r="K309" s="3">
        <f t="shared" si="27"/>
        <v>987.86999999999534</v>
      </c>
      <c r="L309" s="3">
        <f t="shared" si="28"/>
        <v>45560.98</v>
      </c>
      <c r="N309" s="3">
        <f t="shared" si="29"/>
        <v>686114.34</v>
      </c>
      <c r="O309" s="2">
        <f>SUM(Levy!F309:J309)</f>
        <v>1402778.5799999998</v>
      </c>
      <c r="P309" s="2">
        <f>SUM(Levy!U309:V309)</f>
        <v>30549.920000000006</v>
      </c>
      <c r="Q309" s="2">
        <f t="shared" si="30"/>
        <v>1372228.66</v>
      </c>
    </row>
    <row r="310" spans="1:17" x14ac:dyDescent="0.2">
      <c r="A310" s="5">
        <v>2396</v>
      </c>
      <c r="B310" s="5">
        <v>1</v>
      </c>
      <c r="C310" s="2" t="s">
        <v>306</v>
      </c>
      <c r="D310" s="3">
        <f>SUM(Shift11!D310:L310)</f>
        <v>720202.33000000007</v>
      </c>
      <c r="E310" s="3">
        <f>ROUND(MAX(0,(Levy!Q310+Data!D310+Data!E310-Levy!U310)*0.5),2)</f>
        <v>723853.18</v>
      </c>
      <c r="F310" s="3">
        <f t="shared" si="25"/>
        <v>0</v>
      </c>
      <c r="G310" s="3">
        <f t="shared" si="26"/>
        <v>720202.33000000007</v>
      </c>
      <c r="I310" s="3">
        <f>SUM(Shift11!M310:N310)</f>
        <v>59018.28</v>
      </c>
      <c r="J310" s="3">
        <f>ROUND(MAX(0,(Levy!R310-Levy!V310)*0.5),2)</f>
        <v>58987.68</v>
      </c>
      <c r="K310" s="3">
        <f t="shared" si="27"/>
        <v>30.599999999998545</v>
      </c>
      <c r="L310" s="3">
        <f t="shared" si="28"/>
        <v>58987.68</v>
      </c>
      <c r="N310" s="3">
        <f t="shared" si="29"/>
        <v>779190.01000000013</v>
      </c>
      <c r="O310" s="2">
        <f>SUM(Levy!F310:J310)</f>
        <v>1583883.74</v>
      </c>
      <c r="P310" s="2">
        <f>SUM(Levy!U310:V310)</f>
        <v>18202.03</v>
      </c>
      <c r="Q310" s="2">
        <f t="shared" si="30"/>
        <v>1565681.71</v>
      </c>
    </row>
    <row r="311" spans="1:17" x14ac:dyDescent="0.2">
      <c r="A311" s="5">
        <v>2397</v>
      </c>
      <c r="B311" s="5">
        <v>1</v>
      </c>
      <c r="C311" s="2" t="s">
        <v>307</v>
      </c>
      <c r="D311" s="3">
        <f>SUM(Shift11!D311:L311)</f>
        <v>752023.59000000008</v>
      </c>
      <c r="E311" s="3">
        <f>ROUND(MAX(0,(Levy!Q311+Data!D311+Data!E311-Levy!U311)*0.5),2)</f>
        <v>748867.19</v>
      </c>
      <c r="F311" s="3">
        <f t="shared" si="25"/>
        <v>3156.4000000001397</v>
      </c>
      <c r="G311" s="3">
        <f t="shared" si="26"/>
        <v>748867.19</v>
      </c>
      <c r="I311" s="3">
        <f>SUM(Shift11!M311:N311)</f>
        <v>47114.3</v>
      </c>
      <c r="J311" s="3">
        <f>ROUND(MAX(0,(Levy!R311-Levy!V311)*0.5),2)</f>
        <v>47472.639999999999</v>
      </c>
      <c r="K311" s="3">
        <f t="shared" si="27"/>
        <v>0</v>
      </c>
      <c r="L311" s="3">
        <f t="shared" si="28"/>
        <v>47114.3</v>
      </c>
      <c r="N311" s="3">
        <f t="shared" si="29"/>
        <v>795981.49</v>
      </c>
      <c r="O311" s="2">
        <f>SUM(Levy!F311:J311)</f>
        <v>1605497</v>
      </c>
      <c r="P311" s="2">
        <f>SUM(Levy!U311:V311)</f>
        <v>12817.349999999999</v>
      </c>
      <c r="Q311" s="2">
        <f t="shared" si="30"/>
        <v>1592679.65</v>
      </c>
    </row>
    <row r="312" spans="1:17" x14ac:dyDescent="0.2">
      <c r="A312" s="5">
        <v>2448</v>
      </c>
      <c r="B312" s="5">
        <v>1</v>
      </c>
      <c r="C312" s="2" t="s">
        <v>308</v>
      </c>
      <c r="D312" s="3">
        <f>SUM(Shift11!D312:L312)</f>
        <v>731814.67999999993</v>
      </c>
      <c r="E312" s="3">
        <f>ROUND(MAX(0,(Levy!Q312+Data!D312+Data!E312-Levy!U312)*0.5),2)</f>
        <v>725720.77</v>
      </c>
      <c r="F312" s="3">
        <f t="shared" si="25"/>
        <v>6093.9099999999162</v>
      </c>
      <c r="G312" s="3">
        <f t="shared" si="26"/>
        <v>725720.77</v>
      </c>
      <c r="I312" s="3">
        <f>SUM(Shift11!M312:N312)</f>
        <v>30915.71</v>
      </c>
      <c r="J312" s="3">
        <f>ROUND(MAX(0,(Levy!R312-Levy!V312)*0.5),2)</f>
        <v>30324.79</v>
      </c>
      <c r="K312" s="3">
        <f t="shared" si="27"/>
        <v>590.91999999999825</v>
      </c>
      <c r="L312" s="3">
        <f t="shared" si="28"/>
        <v>30324.79</v>
      </c>
      <c r="N312" s="3">
        <f t="shared" si="29"/>
        <v>756045.56</v>
      </c>
      <c r="O312" s="2">
        <f>SUM(Levy!F312:J312)</f>
        <v>1537022.1300000001</v>
      </c>
      <c r="P312" s="2">
        <f>SUM(Levy!U312:V312)</f>
        <v>24931.010000000002</v>
      </c>
      <c r="Q312" s="2">
        <f t="shared" si="30"/>
        <v>1512091.12</v>
      </c>
    </row>
    <row r="313" spans="1:17" x14ac:dyDescent="0.2">
      <c r="A313" s="5">
        <v>2527</v>
      </c>
      <c r="B313" s="5">
        <v>1</v>
      </c>
      <c r="C313" s="2" t="s">
        <v>309</v>
      </c>
      <c r="D313" s="3">
        <f>SUM(Shift11!D313:L313)</f>
        <v>217740.87</v>
      </c>
      <c r="E313" s="3">
        <f>ROUND(MAX(0,(Levy!Q313+Data!D313+Data!E313-Levy!U313)*0.5),2)</f>
        <v>215618.27</v>
      </c>
      <c r="F313" s="3">
        <f t="shared" si="25"/>
        <v>2122.6000000000058</v>
      </c>
      <c r="G313" s="3">
        <f t="shared" si="26"/>
        <v>215618.27</v>
      </c>
      <c r="I313" s="3">
        <f>SUM(Shift11!M313:N313)</f>
        <v>10204.030000000001</v>
      </c>
      <c r="J313" s="3">
        <f>ROUND(MAX(0,(Levy!R313-Levy!V313)*0.5),2)</f>
        <v>10267.790000000001</v>
      </c>
      <c r="K313" s="3">
        <f t="shared" si="27"/>
        <v>0</v>
      </c>
      <c r="L313" s="3">
        <f t="shared" si="28"/>
        <v>10204.030000000001</v>
      </c>
      <c r="N313" s="3">
        <f t="shared" si="29"/>
        <v>225822.3</v>
      </c>
      <c r="O313" s="2">
        <f>SUM(Levy!F313:J313)</f>
        <v>456103.89999999997</v>
      </c>
      <c r="P313" s="2">
        <f>SUM(Levy!U313:V313)</f>
        <v>4331.78</v>
      </c>
      <c r="Q313" s="2">
        <f t="shared" si="30"/>
        <v>451772.11999999994</v>
      </c>
    </row>
    <row r="314" spans="1:17" x14ac:dyDescent="0.2">
      <c r="A314" s="5">
        <v>2534</v>
      </c>
      <c r="B314" s="5">
        <v>1</v>
      </c>
      <c r="C314" s="2" t="s">
        <v>310</v>
      </c>
      <c r="D314" s="3">
        <f>SUM(Shift11!D314:L314)</f>
        <v>410671.76</v>
      </c>
      <c r="E314" s="3">
        <f>ROUND(MAX(0,(Levy!Q314+Data!D314+Data!E314-Levy!U314)*0.5),2)</f>
        <v>390661.68</v>
      </c>
      <c r="F314" s="3">
        <f t="shared" si="25"/>
        <v>20010.080000000016</v>
      </c>
      <c r="G314" s="3">
        <f t="shared" si="26"/>
        <v>390661.68</v>
      </c>
      <c r="I314" s="3">
        <f>SUM(Shift11!M314:N314)</f>
        <v>36206.120000000003</v>
      </c>
      <c r="J314" s="3">
        <f>ROUND(MAX(0,(Levy!R314-Levy!V314)*0.5),2)</f>
        <v>35540.11</v>
      </c>
      <c r="K314" s="3">
        <f t="shared" si="27"/>
        <v>666.01000000000204</v>
      </c>
      <c r="L314" s="3">
        <f t="shared" si="28"/>
        <v>35540.11</v>
      </c>
      <c r="N314" s="3">
        <f t="shared" si="29"/>
        <v>426201.79</v>
      </c>
      <c r="O314" s="2">
        <f>SUM(Levy!F314:J314)</f>
        <v>872560.02</v>
      </c>
      <c r="P314" s="2">
        <f>SUM(Levy!U314:V314)</f>
        <v>20156.45</v>
      </c>
      <c r="Q314" s="2">
        <f t="shared" si="30"/>
        <v>852403.57000000007</v>
      </c>
    </row>
    <row r="315" spans="1:17" x14ac:dyDescent="0.2">
      <c r="A315" s="5">
        <v>2536</v>
      </c>
      <c r="B315" s="5">
        <v>1</v>
      </c>
      <c r="C315" s="2" t="s">
        <v>311</v>
      </c>
      <c r="D315" s="3">
        <f>SUM(Shift11!D315:L315)</f>
        <v>385155.58</v>
      </c>
      <c r="E315" s="3">
        <f>ROUND(MAX(0,(Levy!Q315+Data!D315+Data!E315-Levy!U315)*0.5),2)</f>
        <v>390646.89</v>
      </c>
      <c r="F315" s="3">
        <f t="shared" si="25"/>
        <v>0</v>
      </c>
      <c r="G315" s="3">
        <f t="shared" si="26"/>
        <v>385155.58</v>
      </c>
      <c r="I315" s="3">
        <f>SUM(Shift11!M315:N315)</f>
        <v>17742.02</v>
      </c>
      <c r="J315" s="3">
        <f>ROUND(MAX(0,(Levy!R315-Levy!V315)*0.5),2)</f>
        <v>17790.36</v>
      </c>
      <c r="K315" s="3">
        <f t="shared" si="27"/>
        <v>0</v>
      </c>
      <c r="L315" s="3">
        <f t="shared" si="28"/>
        <v>17742.02</v>
      </c>
      <c r="N315" s="3">
        <f t="shared" si="29"/>
        <v>402897.60000000003</v>
      </c>
      <c r="O315" s="2">
        <f>SUM(Levy!F315:J315)</f>
        <v>820379.24</v>
      </c>
      <c r="P315" s="2">
        <f>SUM(Levy!U315:V315)</f>
        <v>3504.75</v>
      </c>
      <c r="Q315" s="2">
        <f t="shared" si="30"/>
        <v>816874.49</v>
      </c>
    </row>
    <row r="316" spans="1:17" x14ac:dyDescent="0.2">
      <c r="A316" s="5">
        <v>2580</v>
      </c>
      <c r="B316" s="5">
        <v>1</v>
      </c>
      <c r="C316" s="2" t="s">
        <v>312</v>
      </c>
      <c r="D316" s="3">
        <f>SUM(Shift11!D316:L316)</f>
        <v>236904.24</v>
      </c>
      <c r="E316" s="3">
        <f>ROUND(MAX(0,(Levy!Q316+Data!D316+Data!E316-Levy!U316)*0.5),2)</f>
        <v>214700.32</v>
      </c>
      <c r="F316" s="3">
        <f t="shared" si="25"/>
        <v>22203.919999999984</v>
      </c>
      <c r="G316" s="3">
        <f t="shared" si="26"/>
        <v>214700.32</v>
      </c>
      <c r="I316" s="3">
        <f>SUM(Shift11!M316:N316)</f>
        <v>37381.050000000003</v>
      </c>
      <c r="J316" s="3">
        <f>ROUND(MAX(0,(Levy!R316-Levy!V316)*0.5),2)</f>
        <v>37780.080000000002</v>
      </c>
      <c r="K316" s="3">
        <f t="shared" si="27"/>
        <v>0</v>
      </c>
      <c r="L316" s="3">
        <f t="shared" si="28"/>
        <v>37381.050000000003</v>
      </c>
      <c r="N316" s="3">
        <f t="shared" si="29"/>
        <v>252081.37</v>
      </c>
      <c r="O316" s="2">
        <f>SUM(Levy!F316:J316)</f>
        <v>510603.32999999996</v>
      </c>
      <c r="P316" s="2">
        <f>SUM(Levy!U316:V316)</f>
        <v>5642.5400000000009</v>
      </c>
      <c r="Q316" s="2">
        <f t="shared" si="30"/>
        <v>504960.79</v>
      </c>
    </row>
    <row r="317" spans="1:17" x14ac:dyDescent="0.2">
      <c r="A317" s="5">
        <v>2609</v>
      </c>
      <c r="B317" s="5">
        <v>1</v>
      </c>
      <c r="C317" s="2" t="s">
        <v>313</v>
      </c>
      <c r="D317" s="3">
        <f>SUM(Shift11!D317:L317)</f>
        <v>258545.50999999998</v>
      </c>
      <c r="E317" s="3">
        <f>ROUND(MAX(0,(Levy!Q317+Data!D317+Data!E317-Levy!U317)*0.5),2)</f>
        <v>251802.39</v>
      </c>
      <c r="F317" s="3">
        <f t="shared" si="25"/>
        <v>6743.1199999999662</v>
      </c>
      <c r="G317" s="3">
        <f t="shared" si="26"/>
        <v>251802.39</v>
      </c>
      <c r="I317" s="3">
        <f>SUM(Shift11!M317:N317)</f>
        <v>3422.73</v>
      </c>
      <c r="J317" s="3">
        <f>ROUND(MAX(0,(Levy!R317-Levy!V317)*0.5),2)</f>
        <v>3478.46</v>
      </c>
      <c r="K317" s="3">
        <f t="shared" si="27"/>
        <v>0</v>
      </c>
      <c r="L317" s="3">
        <f t="shared" si="28"/>
        <v>3422.73</v>
      </c>
      <c r="N317" s="3">
        <f t="shared" si="29"/>
        <v>255225.12000000002</v>
      </c>
      <c r="O317" s="2">
        <f>SUM(Levy!F317:J317)</f>
        <v>521331.16000000003</v>
      </c>
      <c r="P317" s="2">
        <f>SUM(Levy!U317:V317)</f>
        <v>10769.470000000001</v>
      </c>
      <c r="Q317" s="2">
        <f t="shared" si="30"/>
        <v>510561.69000000006</v>
      </c>
    </row>
    <row r="318" spans="1:17" x14ac:dyDescent="0.2">
      <c r="A318" s="5">
        <v>2683</v>
      </c>
      <c r="B318" s="5">
        <v>1</v>
      </c>
      <c r="C318" s="2" t="s">
        <v>314</v>
      </c>
      <c r="D318" s="3">
        <f>SUM(Shift11!D318:L318)</f>
        <v>144966.42000000001</v>
      </c>
      <c r="E318" s="3">
        <f>ROUND(MAX(0,(Levy!Q318+Data!D318+Data!E318-Levy!U318)*0.5),2)</f>
        <v>140121.54999999999</v>
      </c>
      <c r="F318" s="3">
        <f t="shared" si="25"/>
        <v>4844.8700000000244</v>
      </c>
      <c r="G318" s="3">
        <f t="shared" si="26"/>
        <v>140121.54999999999</v>
      </c>
      <c r="I318" s="3">
        <f>SUM(Shift11!M318:N318)</f>
        <v>10881.54</v>
      </c>
      <c r="J318" s="3">
        <f>ROUND(MAX(0,(Levy!R318-Levy!V318)*0.5),2)</f>
        <v>10584.84</v>
      </c>
      <c r="K318" s="3">
        <f t="shared" si="27"/>
        <v>296.70000000000073</v>
      </c>
      <c r="L318" s="3">
        <f t="shared" si="28"/>
        <v>10584.84</v>
      </c>
      <c r="N318" s="3">
        <f t="shared" si="29"/>
        <v>150706.38999999998</v>
      </c>
      <c r="O318" s="2">
        <f>SUM(Levy!F318:J318)</f>
        <v>307974</v>
      </c>
      <c r="P318" s="2">
        <f>SUM(Levy!U318:V318)</f>
        <v>6561.22</v>
      </c>
      <c r="Q318" s="2">
        <f t="shared" si="30"/>
        <v>301412.78000000003</v>
      </c>
    </row>
    <row r="319" spans="1:17" x14ac:dyDescent="0.2">
      <c r="A319" s="5">
        <v>2687</v>
      </c>
      <c r="B319" s="5">
        <v>1</v>
      </c>
      <c r="C319" s="2" t="s">
        <v>315</v>
      </c>
      <c r="D319" s="3">
        <f>SUM(Shift11!D319:L319)</f>
        <v>671761.27</v>
      </c>
      <c r="E319" s="3">
        <f>ROUND(MAX(0,(Levy!Q319+Data!D319+Data!E319-Levy!U319)*0.5),2)</f>
        <v>674900.65</v>
      </c>
      <c r="F319" s="3">
        <f t="shared" si="25"/>
        <v>0</v>
      </c>
      <c r="G319" s="3">
        <f t="shared" si="26"/>
        <v>671761.27</v>
      </c>
      <c r="I319" s="3">
        <f>SUM(Shift11!M319:N319)</f>
        <v>51915.49</v>
      </c>
      <c r="J319" s="3">
        <f>ROUND(MAX(0,(Levy!R319-Levy!V319)*0.5),2)</f>
        <v>52522.53</v>
      </c>
      <c r="K319" s="3">
        <f t="shared" si="27"/>
        <v>0</v>
      </c>
      <c r="L319" s="3">
        <f t="shared" si="28"/>
        <v>51915.49</v>
      </c>
      <c r="N319" s="3">
        <f t="shared" si="29"/>
        <v>723676.76</v>
      </c>
      <c r="O319" s="2">
        <f>SUM(Levy!F319:J319)</f>
        <v>1465130</v>
      </c>
      <c r="P319" s="2">
        <f>SUM(Levy!U319:V319)</f>
        <v>10283.640000000001</v>
      </c>
      <c r="Q319" s="2">
        <f t="shared" si="30"/>
        <v>1454846.36</v>
      </c>
    </row>
    <row r="320" spans="1:17" x14ac:dyDescent="0.2">
      <c r="A320" s="5">
        <v>2689</v>
      </c>
      <c r="B320" s="5">
        <v>1</v>
      </c>
      <c r="C320" s="2" t="s">
        <v>316</v>
      </c>
      <c r="D320" s="3">
        <f>SUM(Shift11!D320:L320)</f>
        <v>609964.7300000001</v>
      </c>
      <c r="E320" s="3">
        <f>ROUND(MAX(0,(Levy!Q320+Data!D320+Data!E320-Levy!U320)*0.5),2)</f>
        <v>611297.72</v>
      </c>
      <c r="F320" s="3">
        <f t="shared" si="25"/>
        <v>0</v>
      </c>
      <c r="G320" s="3">
        <f t="shared" si="26"/>
        <v>609964.7300000001</v>
      </c>
      <c r="I320" s="3">
        <f>SUM(Shift11!M320:N320)</f>
        <v>52540.97</v>
      </c>
      <c r="J320" s="3">
        <f>ROUND(MAX(0,(Levy!R320-Levy!V320)*0.5),2)</f>
        <v>51535.93</v>
      </c>
      <c r="K320" s="3">
        <f t="shared" si="27"/>
        <v>1005.0400000000009</v>
      </c>
      <c r="L320" s="3">
        <f t="shared" si="28"/>
        <v>51535.93</v>
      </c>
      <c r="N320" s="3">
        <f t="shared" si="29"/>
        <v>661500.66000000015</v>
      </c>
      <c r="O320" s="2">
        <f>SUM(Levy!F320:J320)</f>
        <v>1349535</v>
      </c>
      <c r="P320" s="2">
        <f>SUM(Levy!U320:V320)</f>
        <v>23867.710000000003</v>
      </c>
      <c r="Q320" s="2">
        <f t="shared" si="30"/>
        <v>1325667.29</v>
      </c>
    </row>
    <row r="321" spans="1:17" x14ac:dyDescent="0.2">
      <c r="A321" s="5">
        <v>2711</v>
      </c>
      <c r="B321" s="5">
        <v>1</v>
      </c>
      <c r="C321" s="2" t="s">
        <v>317</v>
      </c>
      <c r="D321" s="3">
        <f>SUM(Shift11!D321:L321)</f>
        <v>448663.2</v>
      </c>
      <c r="E321" s="3">
        <f>ROUND(MAX(0,(Levy!Q321+Data!D321+Data!E321-Levy!U321)*0.5),2)</f>
        <v>95393.87</v>
      </c>
      <c r="F321" s="3">
        <f t="shared" si="25"/>
        <v>353269.33</v>
      </c>
      <c r="G321" s="3">
        <f t="shared" si="26"/>
        <v>95393.87</v>
      </c>
      <c r="I321" s="3">
        <f>SUM(Shift11!M321:N321)</f>
        <v>0</v>
      </c>
      <c r="J321" s="3">
        <f>ROUND(MAX(0,(Levy!R321-Levy!V321)*0.5),2)</f>
        <v>0</v>
      </c>
      <c r="K321" s="3">
        <f t="shared" si="27"/>
        <v>0</v>
      </c>
      <c r="L321" s="3">
        <f t="shared" si="28"/>
        <v>0</v>
      </c>
      <c r="N321" s="3">
        <f t="shared" si="29"/>
        <v>95393.87</v>
      </c>
      <c r="O321" s="2">
        <f>SUM(Levy!F321:J321)</f>
        <v>209009.88</v>
      </c>
      <c r="P321" s="2">
        <f>SUM(Levy!U321:V321)</f>
        <v>18222.14</v>
      </c>
      <c r="Q321" s="2">
        <f t="shared" si="30"/>
        <v>190787.74</v>
      </c>
    </row>
    <row r="322" spans="1:17" x14ac:dyDescent="0.2">
      <c r="A322" s="5">
        <v>2752</v>
      </c>
      <c r="B322" s="5">
        <v>1</v>
      </c>
      <c r="C322" s="2" t="s">
        <v>318</v>
      </c>
      <c r="D322" s="3">
        <f>SUM(Shift11!D322:L322)</f>
        <v>895558.40000000014</v>
      </c>
      <c r="E322" s="3">
        <f>ROUND(MAX(0,(Levy!Q322+Data!D322+Data!E322-Levy!U322)*0.5),2)</f>
        <v>869917.64</v>
      </c>
      <c r="F322" s="3">
        <f t="shared" si="25"/>
        <v>25640.760000000126</v>
      </c>
      <c r="G322" s="3">
        <f t="shared" si="26"/>
        <v>869917.64</v>
      </c>
      <c r="I322" s="3">
        <f>SUM(Shift11!M322:N322)</f>
        <v>66629.73</v>
      </c>
      <c r="J322" s="3">
        <f>ROUND(MAX(0,(Levy!R322-Levy!V322)*0.5),2)</f>
        <v>67466.320000000007</v>
      </c>
      <c r="K322" s="3">
        <f t="shared" si="27"/>
        <v>0</v>
      </c>
      <c r="L322" s="3">
        <f t="shared" si="28"/>
        <v>66629.73</v>
      </c>
      <c r="N322" s="3">
        <f t="shared" si="29"/>
        <v>936547.37</v>
      </c>
      <c r="O322" s="2">
        <f>SUM(Levy!F322:J322)</f>
        <v>1890044.4999999998</v>
      </c>
      <c r="P322" s="2">
        <f>SUM(Levy!U322:V322)</f>
        <v>15276.59</v>
      </c>
      <c r="Q322" s="2">
        <f t="shared" si="30"/>
        <v>1874767.9099999997</v>
      </c>
    </row>
    <row r="323" spans="1:17" x14ac:dyDescent="0.2">
      <c r="A323" s="5">
        <v>2753</v>
      </c>
      <c r="B323" s="5">
        <v>1</v>
      </c>
      <c r="C323" s="2" t="s">
        <v>319</v>
      </c>
      <c r="D323" s="3">
        <f>SUM(Shift11!D323:L323)</f>
        <v>612206.02</v>
      </c>
      <c r="E323" s="3">
        <f>ROUND(MAX(0,(Levy!Q323+Data!D323+Data!E323-Levy!U323)*0.5),2)</f>
        <v>576626.93000000005</v>
      </c>
      <c r="F323" s="3">
        <f t="shared" si="25"/>
        <v>35579.089999999967</v>
      </c>
      <c r="G323" s="3">
        <f t="shared" si="26"/>
        <v>576626.93000000005</v>
      </c>
      <c r="I323" s="3">
        <f>SUM(Shift11!M323:N323)</f>
        <v>40434.230000000003</v>
      </c>
      <c r="J323" s="3">
        <f>ROUND(MAX(0,(Levy!R323-Levy!V323)*0.5),2)</f>
        <v>40350.76</v>
      </c>
      <c r="K323" s="3">
        <f t="shared" si="27"/>
        <v>83.470000000001164</v>
      </c>
      <c r="L323" s="3">
        <f t="shared" si="28"/>
        <v>40350.76</v>
      </c>
      <c r="N323" s="3">
        <f t="shared" si="29"/>
        <v>616977.69000000006</v>
      </c>
      <c r="O323" s="2">
        <f>SUM(Levy!F323:J323)</f>
        <v>1252406</v>
      </c>
      <c r="P323" s="2">
        <f>SUM(Levy!U323:V323)</f>
        <v>18450.63</v>
      </c>
      <c r="Q323" s="2">
        <f t="shared" si="30"/>
        <v>1233955.3700000001</v>
      </c>
    </row>
    <row r="324" spans="1:17" x14ac:dyDescent="0.2">
      <c r="A324" s="5">
        <v>2754</v>
      </c>
      <c r="B324" s="5">
        <v>1</v>
      </c>
      <c r="C324" s="2" t="s">
        <v>320</v>
      </c>
      <c r="D324" s="3">
        <f>SUM(Shift11!D324:L324)</f>
        <v>209820.06000000003</v>
      </c>
      <c r="E324" s="3">
        <f>ROUND(MAX(0,(Levy!Q324+Data!D324+Data!E324-Levy!U324)*0.5),2)</f>
        <v>163557.76999999999</v>
      </c>
      <c r="F324" s="3">
        <f t="shared" si="25"/>
        <v>46262.290000000037</v>
      </c>
      <c r="G324" s="3">
        <f t="shared" si="26"/>
        <v>163557.76999999999</v>
      </c>
      <c r="I324" s="3">
        <f>SUM(Shift11!M324:N324)</f>
        <v>22929.97</v>
      </c>
      <c r="J324" s="3">
        <f>ROUND(MAX(0,(Levy!R324-Levy!V324)*0.5),2)</f>
        <v>22233.8</v>
      </c>
      <c r="K324" s="3">
        <f t="shared" si="27"/>
        <v>696.17000000000189</v>
      </c>
      <c r="L324" s="3">
        <f t="shared" si="28"/>
        <v>22233.8</v>
      </c>
      <c r="N324" s="3">
        <f t="shared" si="29"/>
        <v>185791.56999999998</v>
      </c>
      <c r="O324" s="2">
        <f>SUM(Levy!F324:J324)</f>
        <v>385009</v>
      </c>
      <c r="P324" s="2">
        <f>SUM(Levy!U324:V324)</f>
        <v>13425.88</v>
      </c>
      <c r="Q324" s="2">
        <f t="shared" si="30"/>
        <v>371583.12</v>
      </c>
    </row>
    <row r="325" spans="1:17" x14ac:dyDescent="0.2">
      <c r="A325" s="5">
        <v>2759</v>
      </c>
      <c r="B325" s="5">
        <v>1</v>
      </c>
      <c r="C325" s="2" t="s">
        <v>321</v>
      </c>
      <c r="D325" s="3">
        <f>SUM(Shift11!D325:L325)</f>
        <v>153868.06</v>
      </c>
      <c r="E325" s="3">
        <f>ROUND(MAX(0,(Levy!Q325+Data!D325+Data!E325-Levy!U325)*0.5),2)</f>
        <v>132637.35999999999</v>
      </c>
      <c r="F325" s="3">
        <f t="shared" ref="F325:F342" si="31">IF(D325&gt;E325,D325-E325,0)</f>
        <v>21230.700000000012</v>
      </c>
      <c r="G325" s="3">
        <f t="shared" ref="G325:G342" si="32">MAX(0,MIN(D325,E325))</f>
        <v>132637.35999999999</v>
      </c>
      <c r="I325" s="3">
        <f>SUM(Shift11!M325:N325)</f>
        <v>10273.549999999999</v>
      </c>
      <c r="J325" s="3">
        <f>ROUND(MAX(0,(Levy!R325-Levy!V325)*0.5),2)</f>
        <v>8392.2199999999993</v>
      </c>
      <c r="K325" s="3">
        <f t="shared" ref="K325:K342" si="33">IF(I325&gt;J325,I325-J325,0)</f>
        <v>1881.33</v>
      </c>
      <c r="L325" s="3">
        <f t="shared" ref="L325:L342" si="34">MAX(0,MIN(I325,J325))</f>
        <v>8392.2199999999993</v>
      </c>
      <c r="N325" s="3">
        <f t="shared" si="29"/>
        <v>141029.57999999999</v>
      </c>
      <c r="O325" s="2">
        <f>SUM(Levy!F325:J325)</f>
        <v>307469</v>
      </c>
      <c r="P325" s="2">
        <f>SUM(Levy!U325:V325)</f>
        <v>25409.85</v>
      </c>
      <c r="Q325" s="2">
        <f t="shared" si="30"/>
        <v>282059.15000000002</v>
      </c>
    </row>
    <row r="326" spans="1:17" x14ac:dyDescent="0.2">
      <c r="A326" s="5">
        <v>2805</v>
      </c>
      <c r="B326" s="5">
        <v>1</v>
      </c>
      <c r="C326" s="2" t="s">
        <v>322</v>
      </c>
      <c r="D326" s="3">
        <f>SUM(Shift11!D326:L326)</f>
        <v>817069.9800000001</v>
      </c>
      <c r="E326" s="3">
        <f>ROUND(MAX(0,(Levy!Q326+Data!D326+Data!E326-Levy!U326)*0.5),2)</f>
        <v>801995.14</v>
      </c>
      <c r="F326" s="3">
        <f t="shared" si="31"/>
        <v>15074.840000000084</v>
      </c>
      <c r="G326" s="3">
        <f t="shared" si="32"/>
        <v>801995.14</v>
      </c>
      <c r="I326" s="3">
        <f>SUM(Shift11!M326:N326)</f>
        <v>79405.11</v>
      </c>
      <c r="J326" s="3">
        <f>ROUND(MAX(0,(Levy!R326-Levy!V326)*0.5),2)</f>
        <v>79557.490000000005</v>
      </c>
      <c r="K326" s="3">
        <f t="shared" si="33"/>
        <v>0</v>
      </c>
      <c r="L326" s="3">
        <f t="shared" si="34"/>
        <v>79405.11</v>
      </c>
      <c r="N326" s="3">
        <f t="shared" si="29"/>
        <v>881400.25</v>
      </c>
      <c r="O326" s="2">
        <f>SUM(Levy!F326:J326)</f>
        <v>1779754</v>
      </c>
      <c r="P326" s="2">
        <f>SUM(Levy!U326:V326)</f>
        <v>16648.75</v>
      </c>
      <c r="Q326" s="2">
        <f t="shared" si="30"/>
        <v>1763105.25</v>
      </c>
    </row>
    <row r="327" spans="1:17" x14ac:dyDescent="0.2">
      <c r="A327" s="5">
        <v>2835</v>
      </c>
      <c r="B327" s="5">
        <v>1</v>
      </c>
      <c r="C327" s="2" t="s">
        <v>323</v>
      </c>
      <c r="D327" s="3">
        <f>SUM(Shift11!D327:L327)</f>
        <v>682702.16</v>
      </c>
      <c r="E327" s="3">
        <f>ROUND(MAX(0,(Levy!Q327+Data!D327+Data!E327-Levy!U327)*0.5),2)</f>
        <v>689489.79</v>
      </c>
      <c r="F327" s="3">
        <f t="shared" si="31"/>
        <v>0</v>
      </c>
      <c r="G327" s="3">
        <f t="shared" si="32"/>
        <v>682702.16</v>
      </c>
      <c r="I327" s="3">
        <f>SUM(Shift11!M327:N327)</f>
        <v>27009.94</v>
      </c>
      <c r="J327" s="3">
        <f>ROUND(MAX(0,(Levy!R327-Levy!V327)*0.5),2)</f>
        <v>26971.71</v>
      </c>
      <c r="K327" s="3">
        <f t="shared" si="33"/>
        <v>38.229999999999563</v>
      </c>
      <c r="L327" s="3">
        <f t="shared" si="34"/>
        <v>26971.71</v>
      </c>
      <c r="N327" s="3">
        <f t="shared" si="29"/>
        <v>709673.87</v>
      </c>
      <c r="O327" s="2">
        <f>SUM(Levy!F327:J327)</f>
        <v>1440908</v>
      </c>
      <c r="P327" s="2">
        <f>SUM(Levy!U327:V327)</f>
        <v>7985</v>
      </c>
      <c r="Q327" s="2">
        <f t="shared" si="30"/>
        <v>1432923</v>
      </c>
    </row>
    <row r="328" spans="1:17" x14ac:dyDescent="0.2">
      <c r="A328" s="5">
        <v>2853</v>
      </c>
      <c r="B328" s="5">
        <v>1</v>
      </c>
      <c r="C328" s="2" t="s">
        <v>324</v>
      </c>
      <c r="D328" s="3">
        <f>SUM(Shift11!D328:L328)</f>
        <v>671547.22999999986</v>
      </c>
      <c r="E328" s="3">
        <f>ROUND(MAX(0,(Levy!Q328+Data!D328+Data!E328-Levy!U328)*0.5),2)</f>
        <v>655985.14</v>
      </c>
      <c r="F328" s="3">
        <f t="shared" si="31"/>
        <v>15562.089999999851</v>
      </c>
      <c r="G328" s="3">
        <f t="shared" si="32"/>
        <v>655985.14</v>
      </c>
      <c r="I328" s="3">
        <f>SUM(Shift11!M328:N328)</f>
        <v>50487.76</v>
      </c>
      <c r="J328" s="3">
        <f>ROUND(MAX(0,(Levy!R328-Levy!V328)*0.5),2)</f>
        <v>49366.39</v>
      </c>
      <c r="K328" s="3">
        <f t="shared" si="33"/>
        <v>1121.3700000000026</v>
      </c>
      <c r="L328" s="3">
        <f t="shared" si="34"/>
        <v>49366.39</v>
      </c>
      <c r="N328" s="3">
        <f t="shared" si="29"/>
        <v>705351.53</v>
      </c>
      <c r="O328" s="2">
        <f>SUM(Levy!F328:J328)</f>
        <v>1447434.87</v>
      </c>
      <c r="P328" s="2">
        <f>SUM(Levy!U328:V328)</f>
        <v>36731.83</v>
      </c>
      <c r="Q328" s="2">
        <f t="shared" si="30"/>
        <v>1410703.04</v>
      </c>
    </row>
    <row r="329" spans="1:17" x14ac:dyDescent="0.2">
      <c r="A329" s="5">
        <v>2854</v>
      </c>
      <c r="B329" s="5">
        <v>1</v>
      </c>
      <c r="C329" s="2" t="s">
        <v>325</v>
      </c>
      <c r="D329" s="3">
        <f>SUM(Shift11!D329:L329)</f>
        <v>174813.38999999998</v>
      </c>
      <c r="E329" s="3">
        <f>ROUND(MAX(0,(Levy!Q329+Data!D329+Data!E329-Levy!U329)*0.5),2)</f>
        <v>172939.05</v>
      </c>
      <c r="F329" s="3">
        <f t="shared" si="31"/>
        <v>1874.3399999999965</v>
      </c>
      <c r="G329" s="3">
        <f t="shared" si="32"/>
        <v>172939.05</v>
      </c>
      <c r="I329" s="3">
        <f>SUM(Shift11!M329:N329)</f>
        <v>18258.02</v>
      </c>
      <c r="J329" s="3">
        <f>ROUND(MAX(0,(Levy!R329-Levy!V329)*0.5),2)</f>
        <v>17543.53</v>
      </c>
      <c r="K329" s="3">
        <f t="shared" si="33"/>
        <v>714.4900000000016</v>
      </c>
      <c r="L329" s="3">
        <f t="shared" si="34"/>
        <v>17543.53</v>
      </c>
      <c r="N329" s="3">
        <f t="shared" ref="N329:N344" si="35">G329+L329</f>
        <v>190482.58</v>
      </c>
      <c r="O329" s="2">
        <f>SUM(Levy!F329:J329)</f>
        <v>393969.29</v>
      </c>
      <c r="P329" s="2">
        <f>SUM(Levy!U329:V329)</f>
        <v>13004.130000000001</v>
      </c>
      <c r="Q329" s="2">
        <f t="shared" ref="Q329:Q344" si="36">O329-P329</f>
        <v>380965.16</v>
      </c>
    </row>
    <row r="330" spans="1:17" x14ac:dyDescent="0.2">
      <c r="A330" s="5">
        <v>2856</v>
      </c>
      <c r="B330" s="5">
        <v>1</v>
      </c>
      <c r="C330" s="2" t="s">
        <v>326</v>
      </c>
      <c r="D330" s="3">
        <f>SUM(Shift11!D330:L330)</f>
        <v>228248.58</v>
      </c>
      <c r="E330" s="3">
        <f>ROUND(MAX(0,(Levy!Q330+Data!D330+Data!E330-Levy!U330)*0.5),2)</f>
        <v>225832.28</v>
      </c>
      <c r="F330" s="3">
        <f t="shared" si="31"/>
        <v>2416.2999999999884</v>
      </c>
      <c r="G330" s="3">
        <f t="shared" si="32"/>
        <v>225832.28</v>
      </c>
      <c r="I330" s="3">
        <f>SUM(Shift11!M330:N330)</f>
        <v>28969.97</v>
      </c>
      <c r="J330" s="3">
        <f>ROUND(MAX(0,(Levy!R330-Levy!V330)*0.5),2)</f>
        <v>29198.98</v>
      </c>
      <c r="K330" s="3">
        <f t="shared" si="33"/>
        <v>0</v>
      </c>
      <c r="L330" s="3">
        <f t="shared" si="34"/>
        <v>28969.97</v>
      </c>
      <c r="N330" s="3">
        <f t="shared" si="35"/>
        <v>254802.25</v>
      </c>
      <c r="O330" s="2">
        <f>SUM(Levy!F330:J330)</f>
        <v>515143</v>
      </c>
      <c r="P330" s="2">
        <f>SUM(Levy!U330:V330)</f>
        <v>5080.49</v>
      </c>
      <c r="Q330" s="2">
        <f t="shared" si="36"/>
        <v>510062.51</v>
      </c>
    </row>
    <row r="331" spans="1:17" x14ac:dyDescent="0.2">
      <c r="A331" s="5">
        <v>2859</v>
      </c>
      <c r="B331" s="5">
        <v>1</v>
      </c>
      <c r="C331" s="2" t="s">
        <v>327</v>
      </c>
      <c r="D331" s="3">
        <f>SUM(Shift11!D331:L331)</f>
        <v>1031953.46</v>
      </c>
      <c r="E331" s="3">
        <f>ROUND(MAX(0,(Levy!Q331+Data!D331+Data!E331-Levy!U331)*0.5),2)</f>
        <v>1002619.43</v>
      </c>
      <c r="F331" s="3">
        <f t="shared" si="31"/>
        <v>29334.029999999912</v>
      </c>
      <c r="G331" s="3">
        <f t="shared" si="32"/>
        <v>1002619.43</v>
      </c>
      <c r="I331" s="3">
        <f>SUM(Shift11!M331:N331)</f>
        <v>78115.899999999994</v>
      </c>
      <c r="J331" s="3">
        <f>ROUND(MAX(0,(Levy!R331-Levy!V331)*0.5),2)</f>
        <v>75371.02</v>
      </c>
      <c r="K331" s="3">
        <f t="shared" si="33"/>
        <v>2744.8799999999901</v>
      </c>
      <c r="L331" s="3">
        <f t="shared" si="34"/>
        <v>75371.02</v>
      </c>
      <c r="N331" s="3">
        <f t="shared" si="35"/>
        <v>1077990.45</v>
      </c>
      <c r="O331" s="2">
        <f>SUM(Levy!F331:J331)</f>
        <v>2199325.7199999997</v>
      </c>
      <c r="P331" s="2">
        <f>SUM(Levy!U331:V331)</f>
        <v>43344.84</v>
      </c>
      <c r="Q331" s="2">
        <f t="shared" si="36"/>
        <v>2155980.88</v>
      </c>
    </row>
    <row r="332" spans="1:17" x14ac:dyDescent="0.2">
      <c r="A332" s="5">
        <v>2860</v>
      </c>
      <c r="B332" s="5">
        <v>1</v>
      </c>
      <c r="C332" s="2" t="s">
        <v>328</v>
      </c>
      <c r="D332" s="3">
        <f>SUM(Shift11!D332:L332)</f>
        <v>494165.15999999992</v>
      </c>
      <c r="E332" s="3">
        <f>ROUND(MAX(0,(Levy!Q332+Data!D332+Data!E332-Levy!U332)*0.5),2)</f>
        <v>491493.5</v>
      </c>
      <c r="F332" s="3">
        <f t="shared" si="31"/>
        <v>2671.6599999999162</v>
      </c>
      <c r="G332" s="3">
        <f t="shared" si="32"/>
        <v>491493.5</v>
      </c>
      <c r="I332" s="3">
        <f>SUM(Shift11!M332:N332)</f>
        <v>61991.16</v>
      </c>
      <c r="J332" s="3">
        <f>ROUND(MAX(0,(Levy!R332-Levy!V332)*0.5),2)</f>
        <v>59146.53</v>
      </c>
      <c r="K332" s="3">
        <f t="shared" si="33"/>
        <v>2844.6300000000047</v>
      </c>
      <c r="L332" s="3">
        <f t="shared" si="34"/>
        <v>59146.53</v>
      </c>
      <c r="N332" s="3">
        <f t="shared" si="35"/>
        <v>550640.03</v>
      </c>
      <c r="O332" s="2">
        <f>SUM(Levy!F332:J332)</f>
        <v>1144354.57</v>
      </c>
      <c r="P332" s="2">
        <f>SUM(Levy!U332:V332)</f>
        <v>43074.509999999995</v>
      </c>
      <c r="Q332" s="2">
        <f t="shared" si="36"/>
        <v>1101280.06</v>
      </c>
    </row>
    <row r="333" spans="1:17" x14ac:dyDescent="0.2">
      <c r="A333" s="5">
        <v>2884</v>
      </c>
      <c r="B333" s="5">
        <v>1</v>
      </c>
      <c r="C333" s="2" t="s">
        <v>329</v>
      </c>
      <c r="D333" s="3">
        <f>SUM(Shift11!D333:L333)</f>
        <v>412772.96</v>
      </c>
      <c r="E333" s="3">
        <f>ROUND(MAX(0,(Levy!Q333+Data!D333+Data!E333-Levy!U333)*0.5),2)</f>
        <v>408760.83</v>
      </c>
      <c r="F333" s="3">
        <f t="shared" si="31"/>
        <v>4012.1300000000047</v>
      </c>
      <c r="G333" s="3">
        <f t="shared" si="32"/>
        <v>408760.83</v>
      </c>
      <c r="I333" s="3">
        <f>SUM(Shift11!M333:N333)</f>
        <v>15860.61</v>
      </c>
      <c r="J333" s="3">
        <f>ROUND(MAX(0,(Levy!R333-Levy!V333)*0.5),2)</f>
        <v>15419.75</v>
      </c>
      <c r="K333" s="3">
        <f t="shared" si="33"/>
        <v>440.86000000000058</v>
      </c>
      <c r="L333" s="3">
        <f t="shared" si="34"/>
        <v>15419.75</v>
      </c>
      <c r="N333" s="3">
        <f t="shared" si="35"/>
        <v>424180.58</v>
      </c>
      <c r="O333" s="2">
        <f>SUM(Levy!F333:J333)</f>
        <v>864444</v>
      </c>
      <c r="P333" s="2">
        <f>SUM(Levy!U333:V333)</f>
        <v>16082.85</v>
      </c>
      <c r="Q333" s="2">
        <f t="shared" si="36"/>
        <v>848361.15</v>
      </c>
    </row>
    <row r="334" spans="1:17" x14ac:dyDescent="0.2">
      <c r="A334" s="5">
        <v>2886</v>
      </c>
      <c r="B334" s="5">
        <v>1</v>
      </c>
      <c r="C334" s="2" t="s">
        <v>330</v>
      </c>
      <c r="D334" s="3">
        <f>SUM(Shift11!D334:L334)</f>
        <v>224261.02</v>
      </c>
      <c r="E334" s="3">
        <f>ROUND(MAX(0,(Levy!Q334+Data!D334+Data!E334-Levy!U334)*0.5),2)</f>
        <v>210920.49</v>
      </c>
      <c r="F334" s="3">
        <f t="shared" si="31"/>
        <v>13340.529999999999</v>
      </c>
      <c r="G334" s="3">
        <f t="shared" si="32"/>
        <v>210920.49</v>
      </c>
      <c r="I334" s="3">
        <f>SUM(Shift11!M334:N334)</f>
        <v>9769.58</v>
      </c>
      <c r="J334" s="3">
        <f>ROUND(MAX(0,(Levy!R334-Levy!V334)*0.5),2)</f>
        <v>9683.77</v>
      </c>
      <c r="K334" s="3">
        <f t="shared" si="33"/>
        <v>85.809999999999491</v>
      </c>
      <c r="L334" s="3">
        <f t="shared" si="34"/>
        <v>9683.77</v>
      </c>
      <c r="N334" s="3">
        <f t="shared" si="35"/>
        <v>220604.25999999998</v>
      </c>
      <c r="O334" s="2">
        <f>SUM(Levy!F334:J334)</f>
        <v>447678.97</v>
      </c>
      <c r="P334" s="2">
        <f>SUM(Levy!U334:V334)</f>
        <v>6470.46</v>
      </c>
      <c r="Q334" s="2">
        <f t="shared" si="36"/>
        <v>441208.50999999995</v>
      </c>
    </row>
    <row r="335" spans="1:17" x14ac:dyDescent="0.2">
      <c r="A335" s="5">
        <v>2888</v>
      </c>
      <c r="B335" s="5">
        <v>1</v>
      </c>
      <c r="C335" s="2" t="s">
        <v>331</v>
      </c>
      <c r="D335" s="3">
        <f>SUM(Shift11!D335:L335)</f>
        <v>198522.92</v>
      </c>
      <c r="E335" s="3">
        <f>ROUND(MAX(0,(Levy!Q335+Data!D335+Data!E335-Levy!U335)*0.5),2)</f>
        <v>191385.93</v>
      </c>
      <c r="F335" s="3">
        <f t="shared" si="31"/>
        <v>7136.9900000000198</v>
      </c>
      <c r="G335" s="3">
        <f t="shared" si="32"/>
        <v>191385.93</v>
      </c>
      <c r="I335" s="3">
        <f>SUM(Shift11!M335:N335)</f>
        <v>13532.01</v>
      </c>
      <c r="J335" s="3">
        <f>ROUND(MAX(0,(Levy!R335-Levy!V335)*0.5),2)</f>
        <v>13393.47</v>
      </c>
      <c r="K335" s="3">
        <f t="shared" si="33"/>
        <v>138.54000000000087</v>
      </c>
      <c r="L335" s="3">
        <f t="shared" si="34"/>
        <v>13393.47</v>
      </c>
      <c r="N335" s="3">
        <f t="shared" si="35"/>
        <v>204779.4</v>
      </c>
      <c r="O335" s="2">
        <f>SUM(Levy!F335:J335)</f>
        <v>417339.69000000006</v>
      </c>
      <c r="P335" s="2">
        <f>SUM(Levy!U335:V335)</f>
        <v>7780.89</v>
      </c>
      <c r="Q335" s="2">
        <f t="shared" si="36"/>
        <v>409558.80000000005</v>
      </c>
    </row>
    <row r="336" spans="1:17" x14ac:dyDescent="0.2">
      <c r="A336" s="5">
        <v>2889</v>
      </c>
      <c r="B336" s="5">
        <v>1</v>
      </c>
      <c r="C336" s="2" t="s">
        <v>332</v>
      </c>
      <c r="D336" s="3">
        <f>SUM(Shift11!D336:L336)</f>
        <v>467034.61</v>
      </c>
      <c r="E336" s="3">
        <f>ROUND(MAX(0,(Levy!Q336+Data!D336+Data!E336-Levy!U336)*0.5),2)</f>
        <v>465225.77</v>
      </c>
      <c r="F336" s="3">
        <f t="shared" si="31"/>
        <v>1808.8399999999674</v>
      </c>
      <c r="G336" s="3">
        <f t="shared" si="32"/>
        <v>465225.77</v>
      </c>
      <c r="I336" s="3">
        <f>SUM(Shift11!M336:N336)</f>
        <v>37799.620000000003</v>
      </c>
      <c r="J336" s="3">
        <f>ROUND(MAX(0,(Levy!R336-Levy!V336)*0.5),2)</f>
        <v>38508.43</v>
      </c>
      <c r="K336" s="3">
        <f t="shared" si="33"/>
        <v>0</v>
      </c>
      <c r="L336" s="3">
        <f t="shared" si="34"/>
        <v>37799.620000000003</v>
      </c>
      <c r="N336" s="3">
        <f t="shared" si="35"/>
        <v>503025.39</v>
      </c>
      <c r="O336" s="2">
        <f>SUM(Levy!F336:J336)</f>
        <v>1010457</v>
      </c>
      <c r="P336" s="2">
        <f>SUM(Levy!U336:V336)</f>
        <v>2988.6000000000004</v>
      </c>
      <c r="Q336" s="2">
        <f t="shared" si="36"/>
        <v>1007468.4</v>
      </c>
    </row>
    <row r="337" spans="1:17" x14ac:dyDescent="0.2">
      <c r="A337" s="5">
        <v>2890</v>
      </c>
      <c r="B337" s="5">
        <v>1</v>
      </c>
      <c r="C337" s="2" t="s">
        <v>333</v>
      </c>
      <c r="D337" s="3">
        <f>SUM(Shift11!D337:L337)</f>
        <v>697870.42999999993</v>
      </c>
      <c r="E337" s="3">
        <f>ROUND(MAX(0,(Levy!Q337+Data!D337+Data!E337-Levy!U337)*0.5),2)</f>
        <v>702449.13</v>
      </c>
      <c r="F337" s="3">
        <f t="shared" si="31"/>
        <v>0</v>
      </c>
      <c r="G337" s="3">
        <f t="shared" si="32"/>
        <v>697870.42999999993</v>
      </c>
      <c r="I337" s="3">
        <f>SUM(Shift11!M337:N337)</f>
        <v>30424.98</v>
      </c>
      <c r="J337" s="3">
        <f>ROUND(MAX(0,(Levy!R337-Levy!V337)*0.5),2)</f>
        <v>29965.65</v>
      </c>
      <c r="K337" s="3">
        <f t="shared" si="33"/>
        <v>459.32999999999811</v>
      </c>
      <c r="L337" s="3">
        <f t="shared" si="34"/>
        <v>29965.65</v>
      </c>
      <c r="N337" s="3">
        <f t="shared" si="35"/>
        <v>727836.08</v>
      </c>
      <c r="O337" s="2">
        <f>SUM(Levy!F337:J337)</f>
        <v>1485019.3800000001</v>
      </c>
      <c r="P337" s="2">
        <f>SUM(Levy!U337:V337)</f>
        <v>20189.82</v>
      </c>
      <c r="Q337" s="2">
        <f t="shared" si="36"/>
        <v>1464829.56</v>
      </c>
    </row>
    <row r="338" spans="1:17" x14ac:dyDescent="0.2">
      <c r="A338" s="5">
        <v>2895</v>
      </c>
      <c r="B338" s="5">
        <v>1</v>
      </c>
      <c r="C338" s="2" t="s">
        <v>334</v>
      </c>
      <c r="D338" s="3">
        <f>SUM(Shift11!D338:L338)</f>
        <v>892776.07000000007</v>
      </c>
      <c r="E338" s="3">
        <f>ROUND(MAX(0,(Levy!Q338+Data!D338+Data!E338-Levy!U338)*0.5),2)</f>
        <v>858283.13</v>
      </c>
      <c r="F338" s="3">
        <f t="shared" si="31"/>
        <v>34492.940000000061</v>
      </c>
      <c r="G338" s="3">
        <f t="shared" si="32"/>
        <v>858283.13</v>
      </c>
      <c r="I338" s="3">
        <f>SUM(Shift11!M338:N338)</f>
        <v>55074.01</v>
      </c>
      <c r="J338" s="3">
        <f>ROUND(MAX(0,(Levy!R338-Levy!V338)*0.5),2)</f>
        <v>54151.57</v>
      </c>
      <c r="K338" s="3">
        <f t="shared" si="33"/>
        <v>922.44000000000233</v>
      </c>
      <c r="L338" s="3">
        <f t="shared" si="34"/>
        <v>54151.57</v>
      </c>
      <c r="N338" s="3">
        <f t="shared" si="35"/>
        <v>912434.7</v>
      </c>
      <c r="O338" s="2">
        <f>SUM(Levy!F338:J338)</f>
        <v>1864465</v>
      </c>
      <c r="P338" s="2">
        <f>SUM(Levy!U338:V338)</f>
        <v>39595.599999999999</v>
      </c>
      <c r="Q338" s="2">
        <f t="shared" si="36"/>
        <v>1824869.4</v>
      </c>
    </row>
    <row r="339" spans="1:17" x14ac:dyDescent="0.2">
      <c r="A339" s="5">
        <v>2897</v>
      </c>
      <c r="B339" s="5">
        <v>1</v>
      </c>
      <c r="C339" s="2" t="s">
        <v>335</v>
      </c>
      <c r="D339" s="3">
        <f>SUM(Shift11!D339:L339)</f>
        <v>627463.89</v>
      </c>
      <c r="E339" s="3">
        <f>ROUND(MAX(0,(Levy!Q339+Data!D339+Data!E339-Levy!U339)*0.5),2)</f>
        <v>633351.86</v>
      </c>
      <c r="F339" s="3">
        <f t="shared" si="31"/>
        <v>0</v>
      </c>
      <c r="G339" s="3">
        <f t="shared" si="32"/>
        <v>627463.89</v>
      </c>
      <c r="I339" s="3">
        <f>SUM(Shift11!M339:N339)</f>
        <v>51297.3</v>
      </c>
      <c r="J339" s="3">
        <f>ROUND(MAX(0,(Levy!R339-Levy!V339)*0.5),2)</f>
        <v>51508.85</v>
      </c>
      <c r="K339" s="3">
        <f t="shared" si="33"/>
        <v>0</v>
      </c>
      <c r="L339" s="3">
        <f t="shared" si="34"/>
        <v>51297.3</v>
      </c>
      <c r="N339" s="3">
        <f t="shared" si="35"/>
        <v>678761.19000000006</v>
      </c>
      <c r="O339" s="2">
        <f>SUM(Levy!F339:J339)</f>
        <v>1381886</v>
      </c>
      <c r="P339" s="2">
        <f>SUM(Levy!U339:V339)</f>
        <v>12164.580000000002</v>
      </c>
      <c r="Q339" s="2">
        <f t="shared" si="36"/>
        <v>1369721.42</v>
      </c>
    </row>
    <row r="340" spans="1:17" x14ac:dyDescent="0.2">
      <c r="A340" s="5">
        <v>2898</v>
      </c>
      <c r="B340" s="5">
        <v>1</v>
      </c>
      <c r="C340" s="2" t="s">
        <v>336</v>
      </c>
      <c r="D340" s="3">
        <f>SUM(Shift11!D340:L340)</f>
        <v>247328.75</v>
      </c>
      <c r="E340" s="3">
        <f>ROUND(MAX(0,(Levy!Q340+Data!D340+Data!E340-Levy!U340)*0.5),2)</f>
        <v>201926.54</v>
      </c>
      <c r="F340" s="3">
        <f t="shared" si="31"/>
        <v>45402.209999999992</v>
      </c>
      <c r="G340" s="3">
        <f t="shared" si="32"/>
        <v>201926.54</v>
      </c>
      <c r="I340" s="3">
        <f>SUM(Shift11!M340:N340)</f>
        <v>16547.810000000001</v>
      </c>
      <c r="J340" s="3">
        <f>ROUND(MAX(0,(Levy!R340-Levy!V340)*0.5),2)</f>
        <v>16156.35</v>
      </c>
      <c r="K340" s="3">
        <f t="shared" si="33"/>
        <v>391.46000000000095</v>
      </c>
      <c r="L340" s="3">
        <f t="shared" si="34"/>
        <v>16156.35</v>
      </c>
      <c r="N340" s="3">
        <f t="shared" si="35"/>
        <v>218082.89</v>
      </c>
      <c r="O340" s="2">
        <f>SUM(Levy!F340:J340)</f>
        <v>449680</v>
      </c>
      <c r="P340" s="2">
        <f>SUM(Levy!U340:V340)</f>
        <v>13514.229999999998</v>
      </c>
      <c r="Q340" s="2">
        <f t="shared" si="36"/>
        <v>436165.77</v>
      </c>
    </row>
    <row r="341" spans="1:17" x14ac:dyDescent="0.2">
      <c r="A341" s="5">
        <v>2899</v>
      </c>
      <c r="B341" s="5">
        <v>1</v>
      </c>
      <c r="C341" s="2" t="s">
        <v>498</v>
      </c>
      <c r="D341" s="3">
        <f>SUM(Shift11!D341:L341)</f>
        <v>503080.7</v>
      </c>
      <c r="E341" s="3">
        <f>ROUND(MAX(0,(Levy!Q341+Data!D341+Data!E341-Levy!U341)*0.5),2)</f>
        <v>461710.19</v>
      </c>
      <c r="F341" s="3">
        <f t="shared" si="31"/>
        <v>41370.510000000009</v>
      </c>
      <c r="G341" s="3">
        <f t="shared" si="32"/>
        <v>461710.19</v>
      </c>
      <c r="I341" s="3">
        <f>SUM(Shift11!M341:N341)</f>
        <v>41673.53</v>
      </c>
      <c r="J341" s="3">
        <f>ROUND(MAX(0,(Levy!R341-Levy!V341)*0.5),2)</f>
        <v>41797.5</v>
      </c>
      <c r="K341" s="3">
        <f t="shared" si="33"/>
        <v>0</v>
      </c>
      <c r="L341" s="3">
        <f t="shared" si="34"/>
        <v>41673.53</v>
      </c>
      <c r="N341" s="3">
        <f t="shared" si="35"/>
        <v>503383.72</v>
      </c>
      <c r="O341" s="2">
        <f>SUM(Levy!F341:J341)</f>
        <v>1021607</v>
      </c>
      <c r="P341" s="2">
        <f>SUM(Levy!U341:V341)</f>
        <v>14591.630000000001</v>
      </c>
      <c r="Q341" s="2">
        <f t="shared" si="36"/>
        <v>1007015.37</v>
      </c>
    </row>
    <row r="342" spans="1:17" x14ac:dyDescent="0.2">
      <c r="A342" s="5">
        <v>2902</v>
      </c>
      <c r="B342" s="5">
        <v>1</v>
      </c>
      <c r="C342" s="2" t="s">
        <v>497</v>
      </c>
      <c r="D342" s="3">
        <f>SUM(Shift11!D342:L342)</f>
        <v>355984.82</v>
      </c>
      <c r="E342" s="3">
        <f>ROUND(MAX(0,(Levy!Q342+Data!D342+Data!E342-Levy!U342)*0.5),2)</f>
        <v>332664.64</v>
      </c>
      <c r="F342" s="3">
        <f t="shared" si="31"/>
        <v>23320.179999999993</v>
      </c>
      <c r="G342" s="3">
        <f t="shared" si="32"/>
        <v>332664.64</v>
      </c>
      <c r="I342" s="3">
        <f>SUM(Shift11!M342:N342)</f>
        <v>17300.63</v>
      </c>
      <c r="J342" s="3">
        <f>ROUND(MAX(0,(Levy!R342-Levy!V342)*0.5),2)</f>
        <v>16635.84</v>
      </c>
      <c r="K342" s="3">
        <f t="shared" si="33"/>
        <v>664.79000000000087</v>
      </c>
      <c r="L342" s="3">
        <f t="shared" si="34"/>
        <v>16635.84</v>
      </c>
      <c r="N342" s="3">
        <f t="shared" si="35"/>
        <v>349300.48000000004</v>
      </c>
      <c r="O342" s="2">
        <f>SUM(Levy!F342:J342)</f>
        <v>731739</v>
      </c>
      <c r="P342" s="2">
        <f>SUM(Levy!U342:V342)</f>
        <v>33138.06</v>
      </c>
      <c r="Q342" s="2">
        <f t="shared" si="36"/>
        <v>698600.94</v>
      </c>
    </row>
    <row r="343" spans="1:17" x14ac:dyDescent="0.2">
      <c r="A343" s="5">
        <v>2903</v>
      </c>
      <c r="B343" s="5">
        <v>1</v>
      </c>
      <c r="C343" s="2" t="s">
        <v>640</v>
      </c>
      <c r="D343" s="3">
        <f>SUM(Shift11!D343:L343)</f>
        <v>310288.31000000006</v>
      </c>
      <c r="E343" s="3">
        <f>ROUND(MAX(0,(Levy!Q343+Data!D343+Data!E343-Levy!U343)*0.5),2)</f>
        <v>306256.86</v>
      </c>
      <c r="F343" s="3">
        <f>IF(D343&gt;E343,D343-E343,0)</f>
        <v>4031.4500000000698</v>
      </c>
      <c r="G343" s="3">
        <f>MAX(0,MIN(D343,E343))</f>
        <v>306256.86</v>
      </c>
      <c r="I343" s="3">
        <f>SUM(Shift11!M343:N343)</f>
        <v>22984.17</v>
      </c>
      <c r="J343" s="3">
        <f>ROUND(MAX(0,(Levy!R343-Levy!V343)*0.5),2)</f>
        <v>21822.41</v>
      </c>
      <c r="K343" s="3">
        <f>IF(I343&gt;J343,I343-J343,0)</f>
        <v>1161.7599999999984</v>
      </c>
      <c r="L343" s="3">
        <f>MAX(0,MIN(I343,J343))</f>
        <v>21822.41</v>
      </c>
      <c r="N343" s="3">
        <f t="shared" si="35"/>
        <v>328079.26999999996</v>
      </c>
      <c r="O343" s="2">
        <f>SUM(Levy!F343:J343)</f>
        <v>672097.33000000007</v>
      </c>
      <c r="P343" s="2">
        <f>SUM(Levy!U343:V343)</f>
        <v>15938.81</v>
      </c>
      <c r="Q343" s="2">
        <f t="shared" si="36"/>
        <v>656158.52</v>
      </c>
    </row>
    <row r="344" spans="1:17" x14ac:dyDescent="0.2">
      <c r="A344" s="5">
        <v>2904</v>
      </c>
      <c r="B344" s="5">
        <v>1</v>
      </c>
      <c r="C344" s="2" t="s">
        <v>641</v>
      </c>
      <c r="D344" s="3">
        <f>SUM(Shift11!D344:L344)</f>
        <v>470652.80000000005</v>
      </c>
      <c r="E344" s="3">
        <f>ROUND(MAX(0,(Levy!Q344+Data!D344+Data!E344-Levy!U344)*0.5),2)</f>
        <v>463368.54</v>
      </c>
      <c r="F344" s="3">
        <f>IF(D344&gt;E344,D344-E344,0)</f>
        <v>7284.2600000000675</v>
      </c>
      <c r="G344" s="3">
        <f>MAX(0,MIN(D344,E344))</f>
        <v>463368.54</v>
      </c>
      <c r="I344" s="3">
        <f>SUM(Shift11!M344:N344)</f>
        <v>34228.49</v>
      </c>
      <c r="J344" s="3">
        <f>ROUND(MAX(0,(Levy!R344-Levy!V344)*0.5),2)</f>
        <v>32615.200000000001</v>
      </c>
      <c r="K344" s="3">
        <f>IF(I344&gt;J344,I344-J344,0)</f>
        <v>1613.2899999999972</v>
      </c>
      <c r="L344" s="3">
        <f>MAX(0,MIN(I344,J344))</f>
        <v>32615.200000000001</v>
      </c>
      <c r="N344" s="3">
        <f t="shared" si="35"/>
        <v>495983.74</v>
      </c>
      <c r="O344" s="2">
        <f>SUM(Levy!F344:J344)</f>
        <v>1020512</v>
      </c>
      <c r="P344" s="2">
        <f>SUM(Levy!U344:V344)</f>
        <v>28544.53</v>
      </c>
      <c r="Q344" s="2">
        <f t="shared" si="36"/>
        <v>991967.47</v>
      </c>
    </row>
  </sheetData>
  <mergeCells count="4">
    <mergeCell ref="D3:G3"/>
    <mergeCell ref="I3:L3"/>
    <mergeCell ref="O3:Q3"/>
    <mergeCell ref="N3:N4"/>
  </mergeCells>
  <phoneticPr fontId="0" type="noConversion"/>
  <pageMargins left="0.75" right="0.75" top="1" bottom="1" header="0.5" footer="0.5"/>
  <pageSetup scale="67" fitToHeight="7" orientation="portrait" r:id="rId1"/>
  <headerFooter alignWithMargins="0">
    <oddFooter>&amp;C&amp;P of &amp;N</oddFooter>
  </headerFooter>
  <ignoredErrors>
    <ignoredError sqref="O8:O344" formulaRange="1"/>
  </ignoredError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5"/>
  <sheetViews>
    <sheetView workbookViewId="0">
      <selection activeCell="A2" sqref="A2"/>
    </sheetView>
  </sheetViews>
  <sheetFormatPr defaultRowHeight="11.25" x14ac:dyDescent="0.2"/>
  <cols>
    <col min="1" max="1" width="7" style="5" customWidth="1"/>
    <col min="2" max="2" width="6.83203125" style="5" customWidth="1"/>
    <col min="3" max="3" width="18.33203125" style="2" customWidth="1"/>
    <col min="4" max="4" width="16.83203125" style="3" customWidth="1"/>
    <col min="5" max="5" width="15" style="3" bestFit="1" customWidth="1"/>
    <col min="6" max="6" width="15.5" style="3" customWidth="1"/>
    <col min="7" max="8" width="14.83203125" style="3" customWidth="1"/>
    <col min="9" max="16384" width="9.33203125" style="2"/>
  </cols>
  <sheetData>
    <row r="1" spans="1:8" x14ac:dyDescent="0.2">
      <c r="A1" s="172" t="s">
        <v>715</v>
      </c>
      <c r="E1" s="3">
        <v>-1</v>
      </c>
    </row>
    <row r="2" spans="1:8" x14ac:dyDescent="0.2">
      <c r="A2" s="172" t="s">
        <v>717</v>
      </c>
    </row>
    <row r="3" spans="1:8" x14ac:dyDescent="0.2">
      <c r="H3" s="144">
        <f>Report!I1</f>
        <v>41115</v>
      </c>
    </row>
    <row r="4" spans="1:8" ht="22.5" customHeight="1" x14ac:dyDescent="0.2">
      <c r="D4" s="197" t="str">
        <f>"Est Aid Reductions (Payments) in "&amp;Instructions!R2&amp;" for Shift"</f>
        <v>Est Aid Reductions (Payments) in FY 2012 for Shift</v>
      </c>
      <c r="E4" s="198"/>
      <c r="G4" s="197" t="str">
        <f>"GNL 214 Account "&amp;Instructions!S3</f>
        <v>GNL 214 Account 06/30/11</v>
      </c>
      <c r="H4" s="197"/>
    </row>
    <row r="5" spans="1:8" s="8" customFormat="1" ht="11.25" customHeight="1" x14ac:dyDescent="0.2">
      <c r="A5" s="6"/>
      <c r="B5" s="6"/>
      <c r="D5" s="9" t="s">
        <v>463</v>
      </c>
      <c r="E5" s="148" t="s">
        <v>464</v>
      </c>
      <c r="F5" s="148"/>
      <c r="G5" s="9" t="s">
        <v>463</v>
      </c>
      <c r="H5" s="148" t="s">
        <v>464</v>
      </c>
    </row>
    <row r="7" spans="1:8" x14ac:dyDescent="0.2">
      <c r="C7" s="2" t="s">
        <v>344</v>
      </c>
      <c r="D7" s="2">
        <f>SUM(D9:D345)</f>
        <v>-8278445.560000007</v>
      </c>
      <c r="E7" s="2">
        <f>SUM(E9:E345)</f>
        <v>-534548.43999999994</v>
      </c>
      <c r="F7" s="3">
        <f>E7+D7</f>
        <v>-8812994.0000000075</v>
      </c>
      <c r="G7" s="2">
        <f>SUM(G9:G345)</f>
        <v>-13711510.319999998</v>
      </c>
      <c r="H7" s="2">
        <f>SUM(H9:H345)</f>
        <v>-559570.82000000007</v>
      </c>
    </row>
    <row r="9" spans="1:8" x14ac:dyDescent="0.2">
      <c r="A9" s="5">
        <v>1</v>
      </c>
      <c r="B9" s="5">
        <v>1</v>
      </c>
      <c r="C9" s="2" t="s">
        <v>5</v>
      </c>
      <c r="D9" s="2">
        <v>17940.47</v>
      </c>
      <c r="E9" s="2">
        <v>0</v>
      </c>
      <c r="G9" s="3">
        <f>SUMIF(Query1!$B$4:$B$146,A9,Query1!$F$4:$F$146)</f>
        <v>-125447.35</v>
      </c>
      <c r="H9" s="3">
        <f>SUMIF(Query4!$B$4:$B$138,A9,Query4!$F$4:$F$138)</f>
        <v>-113.8</v>
      </c>
    </row>
    <row r="10" spans="1:8" x14ac:dyDescent="0.2">
      <c r="A10" s="5">
        <v>1.2</v>
      </c>
      <c r="B10" s="5">
        <v>3</v>
      </c>
      <c r="C10" s="2" t="s">
        <v>6</v>
      </c>
      <c r="D10" s="2">
        <v>1703911.26</v>
      </c>
      <c r="E10" s="2">
        <v>0</v>
      </c>
      <c r="G10" s="3">
        <f>SUMIF(Query1!$B$4:$B$146,A10,Query1!$F$4:$F$146)</f>
        <v>-4894482</v>
      </c>
      <c r="H10" s="3">
        <f>SUMIF(Query4!$B$4:$B$138,A10,Query4!$F$4:$F$138)</f>
        <v>0</v>
      </c>
    </row>
    <row r="11" spans="1:8" x14ac:dyDescent="0.2">
      <c r="A11" s="5">
        <v>2</v>
      </c>
      <c r="B11" s="5">
        <v>1</v>
      </c>
      <c r="C11" s="2" t="s">
        <v>7</v>
      </c>
      <c r="D11" s="2">
        <v>-14104.02</v>
      </c>
      <c r="E11" s="2">
        <v>0</v>
      </c>
      <c r="G11" s="3">
        <f>SUMIF(Query1!$B$4:$B$146,A11,Query1!$F$4:$F$146)</f>
        <v>-5838.56</v>
      </c>
      <c r="H11" s="3">
        <f>SUMIF(Query4!$B$4:$B$138,A11,Query4!$F$4:$F$138)</f>
        <v>0</v>
      </c>
    </row>
    <row r="12" spans="1:8" x14ac:dyDescent="0.2">
      <c r="A12" s="5">
        <v>4</v>
      </c>
      <c r="B12" s="5">
        <v>1</v>
      </c>
      <c r="C12" s="2" t="s">
        <v>8</v>
      </c>
      <c r="D12" s="2">
        <v>85584.94</v>
      </c>
      <c r="E12" s="2">
        <v>0</v>
      </c>
      <c r="G12" s="3">
        <f>SUMIF(Query1!$B$4:$B$146,A12,Query1!$F$4:$F$146)</f>
        <v>-61827.11</v>
      </c>
      <c r="H12" s="3">
        <f>SUMIF(Query4!$B$4:$B$138,A12,Query4!$F$4:$F$138)</f>
        <v>0</v>
      </c>
    </row>
    <row r="13" spans="1:8" x14ac:dyDescent="0.2">
      <c r="A13" s="5">
        <v>6</v>
      </c>
      <c r="B13" s="5">
        <v>3</v>
      </c>
      <c r="C13" s="2" t="s">
        <v>9</v>
      </c>
      <c r="D13" s="2">
        <v>62940.56</v>
      </c>
      <c r="E13" s="2">
        <v>0</v>
      </c>
      <c r="G13" s="3">
        <f>SUMIF(Query1!$B$4:$B$146,A13,Query1!$F$4:$F$146)</f>
        <v>0</v>
      </c>
      <c r="H13" s="3">
        <f>SUMIF(Query4!$B$4:$B$138,A13,Query4!$F$4:$F$138)</f>
        <v>0</v>
      </c>
    </row>
    <row r="14" spans="1:8" x14ac:dyDescent="0.2">
      <c r="A14" s="5">
        <v>11</v>
      </c>
      <c r="B14" s="5">
        <v>1</v>
      </c>
      <c r="C14" s="2" t="s">
        <v>10</v>
      </c>
      <c r="D14" s="2">
        <v>1965750.08</v>
      </c>
      <c r="E14" s="2">
        <v>0</v>
      </c>
      <c r="G14" s="3">
        <f>SUMIF(Query1!$B$4:$B$146,A14,Query1!$F$4:$F$146)</f>
        <v>0</v>
      </c>
      <c r="H14" s="3">
        <f>SUMIF(Query4!$B$4:$B$138,A14,Query4!$F$4:$F$138)</f>
        <v>0</v>
      </c>
    </row>
    <row r="15" spans="1:8" x14ac:dyDescent="0.2">
      <c r="A15" s="5">
        <v>12</v>
      </c>
      <c r="B15" s="5">
        <v>1</v>
      </c>
      <c r="C15" s="2" t="s">
        <v>11</v>
      </c>
      <c r="D15" s="2">
        <v>-728153.9</v>
      </c>
      <c r="E15" s="2">
        <v>0</v>
      </c>
      <c r="G15" s="3">
        <f>SUMIF(Query1!$B$4:$B$146,A15,Query1!$F$4:$F$146)</f>
        <v>0</v>
      </c>
      <c r="H15" s="3">
        <f>SUMIF(Query4!$B$4:$B$138,A15,Query4!$F$4:$F$138)</f>
        <v>0</v>
      </c>
    </row>
    <row r="16" spans="1:8" x14ac:dyDescent="0.2">
      <c r="A16" s="5">
        <v>13</v>
      </c>
      <c r="B16" s="5">
        <v>1</v>
      </c>
      <c r="C16" s="2" t="s">
        <v>12</v>
      </c>
      <c r="D16" s="2">
        <v>-105184.86000000002</v>
      </c>
      <c r="E16" s="2">
        <v>-51387.519999999997</v>
      </c>
      <c r="G16" s="3">
        <f>SUMIF(Query1!$B$4:$B$146,A16,Query1!$F$4:$F$146)</f>
        <v>0</v>
      </c>
      <c r="H16" s="3">
        <f>SUMIF(Query4!$B$4:$B$138,A16,Query4!$F$4:$F$138)</f>
        <v>0</v>
      </c>
    </row>
    <row r="17" spans="1:8" x14ac:dyDescent="0.2">
      <c r="A17" s="5">
        <v>14</v>
      </c>
      <c r="B17" s="5">
        <v>1</v>
      </c>
      <c r="C17" s="2" t="s">
        <v>13</v>
      </c>
      <c r="D17" s="2">
        <v>290079.56</v>
      </c>
      <c r="E17" s="2">
        <v>0</v>
      </c>
      <c r="G17" s="3">
        <f>SUMIF(Query1!$B$4:$B$146,A17,Query1!$F$4:$F$146)</f>
        <v>0</v>
      </c>
      <c r="H17" s="3">
        <f>SUMIF(Query4!$B$4:$B$138,A17,Query4!$F$4:$F$138)</f>
        <v>0</v>
      </c>
    </row>
    <row r="18" spans="1:8" x14ac:dyDescent="0.2">
      <c r="A18" s="5">
        <v>15</v>
      </c>
      <c r="B18" s="5">
        <v>1</v>
      </c>
      <c r="C18" s="2" t="s">
        <v>14</v>
      </c>
      <c r="D18" s="2">
        <v>465886.52</v>
      </c>
      <c r="E18" s="2">
        <v>0</v>
      </c>
      <c r="G18" s="3">
        <f>SUMIF(Query1!$B$4:$B$146,A18,Query1!$F$4:$F$146)</f>
        <v>0</v>
      </c>
      <c r="H18" s="3">
        <f>SUMIF(Query4!$B$4:$B$138,A18,Query4!$F$4:$F$138)</f>
        <v>0</v>
      </c>
    </row>
    <row r="19" spans="1:8" x14ac:dyDescent="0.2">
      <c r="A19" s="5">
        <v>16</v>
      </c>
      <c r="B19" s="5">
        <v>1</v>
      </c>
      <c r="C19" s="2" t="s">
        <v>15</v>
      </c>
      <c r="D19" s="2">
        <v>-419679.08</v>
      </c>
      <c r="E19" s="2">
        <v>0</v>
      </c>
      <c r="G19" s="3">
        <f>SUMIF(Query1!$B$4:$B$146,A19,Query1!$F$4:$F$146)</f>
        <v>0</v>
      </c>
      <c r="H19" s="3">
        <f>SUMIF(Query4!$B$4:$B$138,A19,Query4!$F$4:$F$138)</f>
        <v>0</v>
      </c>
    </row>
    <row r="20" spans="1:8" x14ac:dyDescent="0.2">
      <c r="A20" s="5">
        <v>22</v>
      </c>
      <c r="B20" s="5">
        <v>1</v>
      </c>
      <c r="C20" s="2" t="s">
        <v>16</v>
      </c>
      <c r="D20" s="2">
        <v>4072.2</v>
      </c>
      <c r="E20" s="2">
        <v>0</v>
      </c>
      <c r="G20" s="3">
        <f>SUMIF(Query1!$B$4:$B$146,A20,Query1!$F$4:$F$146)</f>
        <v>0</v>
      </c>
      <c r="H20" s="3">
        <f>SUMIF(Query4!$B$4:$B$138,A20,Query4!$F$4:$F$138)</f>
        <v>0</v>
      </c>
    </row>
    <row r="21" spans="1:8" x14ac:dyDescent="0.2">
      <c r="A21" s="5">
        <v>23</v>
      </c>
      <c r="B21" s="5">
        <v>1</v>
      </c>
      <c r="C21" s="2" t="s">
        <v>17</v>
      </c>
      <c r="D21" s="2">
        <v>359.83</v>
      </c>
      <c r="E21" s="2">
        <v>0</v>
      </c>
      <c r="G21" s="3">
        <f>SUMIF(Query1!$B$4:$B$146,A21,Query1!$F$4:$F$146)</f>
        <v>-7125.39</v>
      </c>
      <c r="H21" s="3">
        <f>SUMIF(Query4!$B$4:$B$138,A21,Query4!$F$4:$F$138)</f>
        <v>-1621.2</v>
      </c>
    </row>
    <row r="22" spans="1:8" x14ac:dyDescent="0.2">
      <c r="A22" s="5">
        <v>25</v>
      </c>
      <c r="B22" s="5">
        <v>1</v>
      </c>
      <c r="C22" s="2" t="s">
        <v>345</v>
      </c>
      <c r="D22" s="2">
        <v>0</v>
      </c>
      <c r="E22" s="2">
        <v>0</v>
      </c>
      <c r="G22" s="3">
        <f>SUMIF(Query1!$B$4:$B$146,A22,Query1!$F$4:$F$146)</f>
        <v>0</v>
      </c>
      <c r="H22" s="3">
        <f>SUMIF(Query4!$B$4:$B$138,A22,Query4!$F$4:$F$138)</f>
        <v>0</v>
      </c>
    </row>
    <row r="23" spans="1:8" x14ac:dyDescent="0.2">
      <c r="A23" s="5">
        <v>31</v>
      </c>
      <c r="B23" s="5">
        <v>1</v>
      </c>
      <c r="C23" s="2" t="s">
        <v>18</v>
      </c>
      <c r="D23" s="2">
        <v>-23157.06</v>
      </c>
      <c r="E23" s="2">
        <v>0</v>
      </c>
      <c r="G23" s="3">
        <f>SUMIF(Query1!$B$4:$B$146,A23,Query1!$F$4:$F$146)</f>
        <v>0</v>
      </c>
      <c r="H23" s="3">
        <f>SUMIF(Query4!$B$4:$B$138,A23,Query4!$F$4:$F$138)</f>
        <v>0</v>
      </c>
    </row>
    <row r="24" spans="1:8" x14ac:dyDescent="0.2">
      <c r="A24" s="5">
        <v>32</v>
      </c>
      <c r="B24" s="5">
        <v>1</v>
      </c>
      <c r="C24" s="2" t="s">
        <v>19</v>
      </c>
      <c r="D24" s="2">
        <v>2848.74</v>
      </c>
      <c r="E24" s="2">
        <v>0</v>
      </c>
      <c r="G24" s="3">
        <f>SUMIF(Query1!$B$4:$B$146,A24,Query1!$F$4:$F$146)</f>
        <v>0</v>
      </c>
      <c r="H24" s="3">
        <f>SUMIF(Query4!$B$4:$B$138,A24,Query4!$F$4:$F$138)</f>
        <v>0</v>
      </c>
    </row>
    <row r="25" spans="1:8" x14ac:dyDescent="0.2">
      <c r="A25" s="5">
        <v>36</v>
      </c>
      <c r="B25" s="5">
        <v>1</v>
      </c>
      <c r="C25" s="2" t="s">
        <v>20</v>
      </c>
      <c r="D25" s="2">
        <v>-12422.3</v>
      </c>
      <c r="E25" s="2">
        <v>0</v>
      </c>
      <c r="G25" s="3">
        <f>SUMIF(Query1!$B$4:$B$146,A25,Query1!$F$4:$F$146)</f>
        <v>0</v>
      </c>
      <c r="H25" s="3">
        <f>SUMIF(Query4!$B$4:$B$138,A25,Query4!$F$4:$F$138)</f>
        <v>0</v>
      </c>
    </row>
    <row r="26" spans="1:8" x14ac:dyDescent="0.2">
      <c r="A26" s="5">
        <v>38</v>
      </c>
      <c r="B26" s="5">
        <v>1</v>
      </c>
      <c r="C26" s="2" t="s">
        <v>21</v>
      </c>
      <c r="D26" s="2">
        <v>929.2</v>
      </c>
      <c r="E26" s="2">
        <v>0</v>
      </c>
      <c r="G26" s="3">
        <f>SUMIF(Query1!$B$4:$B$146,A26,Query1!$F$4:$F$146)</f>
        <v>0</v>
      </c>
      <c r="H26" s="3">
        <f>SUMIF(Query4!$B$4:$B$138,A26,Query4!$F$4:$F$138)</f>
        <v>0</v>
      </c>
    </row>
    <row r="27" spans="1:8" x14ac:dyDescent="0.2">
      <c r="A27" s="5">
        <v>47</v>
      </c>
      <c r="B27" s="5">
        <v>1</v>
      </c>
      <c r="C27" s="2" t="s">
        <v>22</v>
      </c>
      <c r="D27" s="2">
        <v>-90952.01</v>
      </c>
      <c r="E27" s="2">
        <v>0</v>
      </c>
      <c r="G27" s="3">
        <f>SUMIF(Query1!$B$4:$B$146,A27,Query1!$F$4:$F$146)</f>
        <v>-171125.86</v>
      </c>
      <c r="H27" s="3">
        <f>SUMIF(Query4!$B$4:$B$138,A27,Query4!$F$4:$F$138)</f>
        <v>0</v>
      </c>
    </row>
    <row r="28" spans="1:8" x14ac:dyDescent="0.2">
      <c r="A28" s="5">
        <v>51</v>
      </c>
      <c r="B28" s="5">
        <v>1</v>
      </c>
      <c r="C28" s="2" t="s">
        <v>23</v>
      </c>
      <c r="D28" s="2">
        <v>2818.72</v>
      </c>
      <c r="E28" s="2">
        <v>0</v>
      </c>
      <c r="G28" s="3">
        <f>SUMIF(Query1!$B$4:$B$146,A28,Query1!$F$4:$F$146)</f>
        <v>0</v>
      </c>
      <c r="H28" s="3">
        <f>SUMIF(Query4!$B$4:$B$138,A28,Query4!$F$4:$F$138)</f>
        <v>0</v>
      </c>
    </row>
    <row r="29" spans="1:8" x14ac:dyDescent="0.2">
      <c r="A29" s="5">
        <v>75</v>
      </c>
      <c r="B29" s="5">
        <v>1</v>
      </c>
      <c r="C29" s="2" t="s">
        <v>24</v>
      </c>
      <c r="D29" s="2">
        <v>6631.51</v>
      </c>
      <c r="E29" s="2">
        <v>0</v>
      </c>
      <c r="G29" s="3">
        <f>SUMIF(Query1!$B$4:$B$146,A29,Query1!$F$4:$F$146)</f>
        <v>0</v>
      </c>
      <c r="H29" s="3">
        <f>SUMIF(Query4!$B$4:$B$138,A29,Query4!$F$4:$F$138)</f>
        <v>0</v>
      </c>
    </row>
    <row r="30" spans="1:8" x14ac:dyDescent="0.2">
      <c r="A30" s="5">
        <v>77</v>
      </c>
      <c r="B30" s="5">
        <v>1</v>
      </c>
      <c r="C30" s="2" t="s">
        <v>25</v>
      </c>
      <c r="D30" s="2">
        <v>-98141.41</v>
      </c>
      <c r="E30" s="2">
        <v>0</v>
      </c>
      <c r="G30" s="3">
        <f>SUMIF(Query1!$B$4:$B$146,A30,Query1!$F$4:$F$146)</f>
        <v>0</v>
      </c>
      <c r="H30" s="3">
        <f>SUMIF(Query4!$B$4:$B$138,A30,Query4!$F$4:$F$138)</f>
        <v>-5226</v>
      </c>
    </row>
    <row r="31" spans="1:8" x14ac:dyDescent="0.2">
      <c r="A31" s="5">
        <v>81</v>
      </c>
      <c r="B31" s="5">
        <v>1</v>
      </c>
      <c r="C31" s="2" t="s">
        <v>26</v>
      </c>
      <c r="D31" s="2">
        <v>-15978.35</v>
      </c>
      <c r="E31" s="2">
        <v>0</v>
      </c>
      <c r="G31" s="3">
        <f>SUMIF(Query1!$B$4:$B$146,A31,Query1!$F$4:$F$146)</f>
        <v>-2913.65</v>
      </c>
      <c r="H31" s="3">
        <f>SUMIF(Query4!$B$4:$B$138,A31,Query4!$F$4:$F$138)</f>
        <v>-452.49</v>
      </c>
    </row>
    <row r="32" spans="1:8" x14ac:dyDescent="0.2">
      <c r="A32" s="5">
        <v>84</v>
      </c>
      <c r="B32" s="5">
        <v>1</v>
      </c>
      <c r="C32" s="2" t="s">
        <v>27</v>
      </c>
      <c r="D32" s="2">
        <v>9213.67</v>
      </c>
      <c r="E32" s="2">
        <v>0</v>
      </c>
      <c r="G32" s="3">
        <f>SUMIF(Query1!$B$4:$B$146,A32,Query1!$F$4:$F$146)</f>
        <v>-81174.179999999993</v>
      </c>
      <c r="H32" s="3">
        <f>SUMIF(Query4!$B$4:$B$138,A32,Query4!$F$4:$F$138)</f>
        <v>-1939.95</v>
      </c>
    </row>
    <row r="33" spans="1:8" x14ac:dyDescent="0.2">
      <c r="A33" s="5">
        <v>85</v>
      </c>
      <c r="B33" s="5">
        <v>1</v>
      </c>
      <c r="C33" s="2" t="s">
        <v>28</v>
      </c>
      <c r="D33" s="2">
        <v>7381.96</v>
      </c>
      <c r="E33" s="2">
        <v>0</v>
      </c>
      <c r="G33" s="3">
        <f>SUMIF(Query1!$B$4:$B$146,A33,Query1!$F$4:$F$146)</f>
        <v>-10735.31</v>
      </c>
      <c r="H33" s="3">
        <f>SUMIF(Query4!$B$4:$B$138,A33,Query4!$F$4:$F$138)</f>
        <v>-660.03</v>
      </c>
    </row>
    <row r="34" spans="1:8" x14ac:dyDescent="0.2">
      <c r="A34" s="5">
        <v>88</v>
      </c>
      <c r="B34" s="5">
        <v>1</v>
      </c>
      <c r="C34" s="2" t="s">
        <v>29</v>
      </c>
      <c r="D34" s="2">
        <v>5804.6</v>
      </c>
      <c r="E34" s="2">
        <v>0</v>
      </c>
      <c r="G34" s="3">
        <f>SUMIF(Query1!$B$4:$B$146,A34,Query1!$F$4:$F$146)</f>
        <v>-28539</v>
      </c>
      <c r="H34" s="3">
        <f>SUMIF(Query4!$B$4:$B$138,A34,Query4!$F$4:$F$138)</f>
        <v>-2693</v>
      </c>
    </row>
    <row r="35" spans="1:8" x14ac:dyDescent="0.2">
      <c r="A35" s="5">
        <v>91</v>
      </c>
      <c r="B35" s="5">
        <v>1</v>
      </c>
      <c r="C35" s="2" t="s">
        <v>30</v>
      </c>
      <c r="D35" s="2">
        <v>27356.46</v>
      </c>
      <c r="E35" s="2">
        <v>0</v>
      </c>
      <c r="G35" s="3">
        <f>SUMIF(Query1!$B$4:$B$146,A35,Query1!$F$4:$F$146)</f>
        <v>-345.04</v>
      </c>
      <c r="H35" s="3">
        <f>SUMIF(Query4!$B$4:$B$138,A35,Query4!$F$4:$F$138)</f>
        <v>0</v>
      </c>
    </row>
    <row r="36" spans="1:8" x14ac:dyDescent="0.2">
      <c r="A36" s="5">
        <v>93</v>
      </c>
      <c r="B36" s="5">
        <v>1</v>
      </c>
      <c r="C36" s="2" t="s">
        <v>31</v>
      </c>
      <c r="D36" s="2">
        <v>44782.02</v>
      </c>
      <c r="E36" s="2">
        <v>0</v>
      </c>
      <c r="G36" s="3">
        <f>SUMIF(Query1!$B$4:$B$146,A36,Query1!$F$4:$F$146)</f>
        <v>0</v>
      </c>
      <c r="H36" s="3">
        <f>SUMIF(Query4!$B$4:$B$138,A36,Query4!$F$4:$F$138)</f>
        <v>0</v>
      </c>
    </row>
    <row r="37" spans="1:8" x14ac:dyDescent="0.2">
      <c r="A37" s="5">
        <v>94</v>
      </c>
      <c r="B37" s="5">
        <v>1</v>
      </c>
      <c r="C37" s="2" t="s">
        <v>32</v>
      </c>
      <c r="D37" s="2">
        <v>-23061.08</v>
      </c>
      <c r="E37" s="2">
        <v>0</v>
      </c>
      <c r="G37" s="3">
        <f>SUMIF(Query1!$B$4:$B$146,A37,Query1!$F$4:$F$146)</f>
        <v>-1231.83</v>
      </c>
      <c r="H37" s="3">
        <f>SUMIF(Query4!$B$4:$B$138,A37,Query4!$F$4:$F$138)</f>
        <v>0</v>
      </c>
    </row>
    <row r="38" spans="1:8" x14ac:dyDescent="0.2">
      <c r="A38" s="5">
        <v>95</v>
      </c>
      <c r="B38" s="5">
        <v>1</v>
      </c>
      <c r="C38" s="2" t="s">
        <v>33</v>
      </c>
      <c r="D38" s="2">
        <v>-7063.23</v>
      </c>
      <c r="E38" s="2">
        <v>0</v>
      </c>
      <c r="G38" s="3">
        <f>SUMIF(Query1!$B$4:$B$146,A38,Query1!$F$4:$F$146)</f>
        <v>-4104.42</v>
      </c>
      <c r="H38" s="3">
        <f>SUMIF(Query4!$B$4:$B$138,A38,Query4!$F$4:$F$138)</f>
        <v>0</v>
      </c>
    </row>
    <row r="39" spans="1:8" x14ac:dyDescent="0.2">
      <c r="A39" s="5">
        <v>97</v>
      </c>
      <c r="B39" s="5">
        <v>1</v>
      </c>
      <c r="C39" s="2" t="s">
        <v>34</v>
      </c>
      <c r="D39" s="2">
        <v>-24102.97</v>
      </c>
      <c r="E39" s="2">
        <v>0</v>
      </c>
      <c r="G39" s="3">
        <f>SUMIF(Query1!$B$4:$B$146,A39,Query1!$F$4:$F$146)</f>
        <v>-1532.83</v>
      </c>
      <c r="H39" s="3">
        <f>SUMIF(Query4!$B$4:$B$138,A39,Query4!$F$4:$F$138)</f>
        <v>-649.96</v>
      </c>
    </row>
    <row r="40" spans="1:8" x14ac:dyDescent="0.2">
      <c r="A40" s="5">
        <v>99</v>
      </c>
      <c r="B40" s="5">
        <v>1</v>
      </c>
      <c r="C40" s="2" t="s">
        <v>35</v>
      </c>
      <c r="D40" s="2">
        <v>-2540.15</v>
      </c>
      <c r="E40" s="2">
        <v>0</v>
      </c>
      <c r="G40" s="3">
        <f>SUMIF(Query1!$B$4:$B$146,A40,Query1!$F$4:$F$146)</f>
        <v>-45267.89</v>
      </c>
      <c r="H40" s="3">
        <f>SUMIF(Query4!$B$4:$B$138,A40,Query4!$F$4:$F$138)</f>
        <v>-795.9</v>
      </c>
    </row>
    <row r="41" spans="1:8" x14ac:dyDescent="0.2">
      <c r="A41" s="5">
        <v>100</v>
      </c>
      <c r="B41" s="5">
        <v>1</v>
      </c>
      <c r="C41" s="2" t="s">
        <v>36</v>
      </c>
      <c r="D41" s="2">
        <v>-1535.8</v>
      </c>
      <c r="E41" s="2">
        <v>0</v>
      </c>
      <c r="G41" s="3">
        <f>SUMIF(Query1!$B$4:$B$146,A41,Query1!$F$4:$F$146)</f>
        <v>0</v>
      </c>
      <c r="H41" s="3">
        <f>SUMIF(Query4!$B$4:$B$138,A41,Query4!$F$4:$F$138)</f>
        <v>0</v>
      </c>
    </row>
    <row r="42" spans="1:8" x14ac:dyDescent="0.2">
      <c r="A42" s="5">
        <v>108</v>
      </c>
      <c r="B42" s="5">
        <v>1</v>
      </c>
      <c r="C42" s="2" t="s">
        <v>37</v>
      </c>
      <c r="D42" s="2">
        <v>-74493.009999999995</v>
      </c>
      <c r="E42" s="2">
        <v>-13963.919999999998</v>
      </c>
      <c r="G42" s="3">
        <f>SUMIF(Query1!$B$4:$B$146,A42,Query1!$F$4:$F$146)</f>
        <v>-5215</v>
      </c>
      <c r="H42" s="3">
        <f>SUMIF(Query4!$B$4:$B$138,A42,Query4!$F$4:$F$138)</f>
        <v>-2926</v>
      </c>
    </row>
    <row r="43" spans="1:8" x14ac:dyDescent="0.2">
      <c r="A43" s="5">
        <v>110</v>
      </c>
      <c r="B43" s="5">
        <v>1</v>
      </c>
      <c r="C43" s="2" t="s">
        <v>38</v>
      </c>
      <c r="D43" s="2">
        <v>329494.01</v>
      </c>
      <c r="E43" s="2">
        <v>0</v>
      </c>
      <c r="G43" s="3">
        <f>SUMIF(Query1!$B$4:$B$146,A43,Query1!$F$4:$F$146)</f>
        <v>0</v>
      </c>
      <c r="H43" s="3">
        <f>SUMIF(Query4!$B$4:$B$138,A43,Query4!$F$4:$F$138)</f>
        <v>0</v>
      </c>
    </row>
    <row r="44" spans="1:8" x14ac:dyDescent="0.2">
      <c r="A44" s="5">
        <v>111</v>
      </c>
      <c r="B44" s="5">
        <v>1</v>
      </c>
      <c r="C44" s="2" t="s">
        <v>39</v>
      </c>
      <c r="D44" s="2">
        <v>-137115.75</v>
      </c>
      <c r="E44" s="2">
        <v>-17026.060000000001</v>
      </c>
      <c r="G44" s="3">
        <f>SUMIF(Query1!$B$4:$B$146,A44,Query1!$F$4:$F$146)</f>
        <v>-42998</v>
      </c>
      <c r="H44" s="3">
        <f>SUMIF(Query4!$B$4:$B$138,A44,Query4!$F$4:$F$138)</f>
        <v>-1384</v>
      </c>
    </row>
    <row r="45" spans="1:8" x14ac:dyDescent="0.2">
      <c r="A45" s="5">
        <v>112</v>
      </c>
      <c r="B45" s="5">
        <v>1</v>
      </c>
      <c r="C45" s="2" t="s">
        <v>40</v>
      </c>
      <c r="D45" s="2">
        <v>362343.41</v>
      </c>
      <c r="E45" s="2">
        <v>0</v>
      </c>
      <c r="G45" s="3">
        <f>SUMIF(Query1!$B$4:$B$146,A45,Query1!$F$4:$F$146)</f>
        <v>0</v>
      </c>
      <c r="H45" s="3">
        <f>SUMIF(Query4!$B$4:$B$138,A45,Query4!$F$4:$F$138)</f>
        <v>0</v>
      </c>
    </row>
    <row r="46" spans="1:8" x14ac:dyDescent="0.2">
      <c r="A46" s="5">
        <v>113</v>
      </c>
      <c r="B46" s="5">
        <v>1</v>
      </c>
      <c r="C46" s="2" t="s">
        <v>41</v>
      </c>
      <c r="D46" s="2">
        <v>18648.25</v>
      </c>
      <c r="E46" s="2">
        <v>0</v>
      </c>
      <c r="G46" s="3">
        <f>SUMIF(Query1!$B$4:$B$146,A46,Query1!$F$4:$F$146)</f>
        <v>-1977.43</v>
      </c>
      <c r="H46" s="3">
        <f>SUMIF(Query4!$B$4:$B$138,A46,Query4!$F$4:$F$138)</f>
        <v>0</v>
      </c>
    </row>
    <row r="47" spans="1:8" x14ac:dyDescent="0.2">
      <c r="A47" s="5">
        <v>115</v>
      </c>
      <c r="B47" s="5">
        <v>1</v>
      </c>
      <c r="C47" s="2" t="s">
        <v>42</v>
      </c>
      <c r="D47" s="2">
        <v>-20803.39</v>
      </c>
      <c r="E47" s="2">
        <v>0</v>
      </c>
      <c r="G47" s="3">
        <f>SUMIF(Query1!$B$4:$B$146,A47,Query1!$F$4:$F$146)</f>
        <v>0</v>
      </c>
      <c r="H47" s="3">
        <f>SUMIF(Query4!$B$4:$B$138,A47,Query4!$F$4:$F$138)</f>
        <v>0</v>
      </c>
    </row>
    <row r="48" spans="1:8" x14ac:dyDescent="0.2">
      <c r="A48" s="5">
        <v>116</v>
      </c>
      <c r="B48" s="5">
        <v>1</v>
      </c>
      <c r="C48" s="2" t="s">
        <v>43</v>
      </c>
      <c r="D48" s="2">
        <v>20546.88</v>
      </c>
      <c r="E48" s="2">
        <v>0</v>
      </c>
      <c r="G48" s="3">
        <f>SUMIF(Query1!$B$4:$B$146,A48,Query1!$F$4:$F$146)</f>
        <v>-8640.81</v>
      </c>
      <c r="H48" s="3">
        <f>SUMIF(Query4!$B$4:$B$138,A48,Query4!$F$4:$F$138)</f>
        <v>0</v>
      </c>
    </row>
    <row r="49" spans="1:8" x14ac:dyDescent="0.2">
      <c r="A49" s="5">
        <v>118</v>
      </c>
      <c r="B49" s="5">
        <v>1</v>
      </c>
      <c r="C49" s="2" t="s">
        <v>44</v>
      </c>
      <c r="D49" s="2">
        <v>-14498.82</v>
      </c>
      <c r="E49" s="2">
        <v>-6715.77</v>
      </c>
      <c r="G49" s="3">
        <f>SUMIF(Query1!$B$4:$B$146,A49,Query1!$F$4:$F$146)</f>
        <v>0</v>
      </c>
      <c r="H49" s="3">
        <f>SUMIF(Query4!$B$4:$B$138,A49,Query4!$F$4:$F$138)</f>
        <v>0</v>
      </c>
    </row>
    <row r="50" spans="1:8" x14ac:dyDescent="0.2">
      <c r="A50" s="5">
        <v>129</v>
      </c>
      <c r="B50" s="5">
        <v>1</v>
      </c>
      <c r="C50" s="2" t="s">
        <v>45</v>
      </c>
      <c r="D50" s="2">
        <v>-150779.85999999999</v>
      </c>
      <c r="E50" s="2">
        <v>0</v>
      </c>
      <c r="G50" s="3">
        <f>SUMIF(Query1!$B$4:$B$146,A50,Query1!$F$4:$F$146)</f>
        <v>-50421.7</v>
      </c>
      <c r="H50" s="3">
        <f>SUMIF(Query4!$B$4:$B$138,A50,Query4!$F$4:$F$138)</f>
        <v>-2779.51</v>
      </c>
    </row>
    <row r="51" spans="1:8" x14ac:dyDescent="0.2">
      <c r="A51" s="5">
        <v>138</v>
      </c>
      <c r="B51" s="5">
        <v>1</v>
      </c>
      <c r="C51" s="2" t="s">
        <v>46</v>
      </c>
      <c r="D51" s="2">
        <v>-76863.13</v>
      </c>
      <c r="E51" s="2">
        <v>0</v>
      </c>
      <c r="G51" s="3">
        <f>SUMIF(Query1!$B$4:$B$146,A51,Query1!$F$4:$F$146)</f>
        <v>0</v>
      </c>
      <c r="H51" s="3">
        <f>SUMIF(Query4!$B$4:$B$138,A51,Query4!$F$4:$F$138)</f>
        <v>0</v>
      </c>
    </row>
    <row r="52" spans="1:8" x14ac:dyDescent="0.2">
      <c r="A52" s="5">
        <v>139</v>
      </c>
      <c r="B52" s="5">
        <v>1</v>
      </c>
      <c r="C52" s="2" t="s">
        <v>47</v>
      </c>
      <c r="D52" s="2">
        <v>26676.28</v>
      </c>
      <c r="E52" s="2">
        <v>0</v>
      </c>
      <c r="G52" s="3">
        <f>SUMIF(Query1!$B$4:$B$146,A52,Query1!$F$4:$F$146)</f>
        <v>0</v>
      </c>
      <c r="H52" s="3">
        <f>SUMIF(Query4!$B$4:$B$138,A52,Query4!$F$4:$F$138)</f>
        <v>0</v>
      </c>
    </row>
    <row r="53" spans="1:8" x14ac:dyDescent="0.2">
      <c r="A53" s="5">
        <v>146</v>
      </c>
      <c r="B53" s="5">
        <v>1</v>
      </c>
      <c r="C53" s="2" t="s">
        <v>48</v>
      </c>
      <c r="D53" s="2">
        <v>-23232.69</v>
      </c>
      <c r="E53" s="2">
        <v>0</v>
      </c>
      <c r="G53" s="3">
        <f>SUMIF(Query1!$B$4:$B$146,A53,Query1!$F$4:$F$146)</f>
        <v>-9653</v>
      </c>
      <c r="H53" s="3">
        <f>SUMIF(Query4!$B$4:$B$138,A53,Query4!$F$4:$F$138)</f>
        <v>-958</v>
      </c>
    </row>
    <row r="54" spans="1:8" x14ac:dyDescent="0.2">
      <c r="A54" s="5">
        <v>150</v>
      </c>
      <c r="B54" s="5">
        <v>1</v>
      </c>
      <c r="C54" s="2" t="s">
        <v>49</v>
      </c>
      <c r="D54" s="2">
        <v>657.33</v>
      </c>
      <c r="E54" s="2">
        <v>0</v>
      </c>
      <c r="G54" s="3">
        <f>SUMIF(Query1!$B$4:$B$146,A54,Query1!$F$4:$F$146)</f>
        <v>-13266.7</v>
      </c>
      <c r="H54" s="3">
        <f>SUMIF(Query4!$B$4:$B$138,A54,Query4!$F$4:$F$138)</f>
        <v>-442.88</v>
      </c>
    </row>
    <row r="55" spans="1:8" x14ac:dyDescent="0.2">
      <c r="A55" s="5">
        <v>152</v>
      </c>
      <c r="B55" s="5">
        <v>1</v>
      </c>
      <c r="C55" s="2" t="s">
        <v>50</v>
      </c>
      <c r="D55" s="2">
        <v>-302643.62</v>
      </c>
      <c r="E55" s="2">
        <v>0</v>
      </c>
      <c r="G55" s="3">
        <f>SUMIF(Query1!$B$4:$B$146,A55,Query1!$F$4:$F$146)</f>
        <v>-187109</v>
      </c>
      <c r="H55" s="3">
        <f>SUMIF(Query4!$B$4:$B$138,A55,Query4!$F$4:$F$138)</f>
        <v>-39378</v>
      </c>
    </row>
    <row r="56" spans="1:8" x14ac:dyDescent="0.2">
      <c r="A56" s="5">
        <v>162</v>
      </c>
      <c r="B56" s="5">
        <v>1</v>
      </c>
      <c r="C56" s="2" t="s">
        <v>51</v>
      </c>
      <c r="D56" s="2">
        <v>-27732.43</v>
      </c>
      <c r="E56" s="2">
        <v>0</v>
      </c>
      <c r="G56" s="3">
        <f>SUMIF(Query1!$B$4:$B$146,A56,Query1!$F$4:$F$146)</f>
        <v>0</v>
      </c>
      <c r="H56" s="3">
        <f>SUMIF(Query4!$B$4:$B$138,A56,Query4!$F$4:$F$138)</f>
        <v>0</v>
      </c>
    </row>
    <row r="57" spans="1:8" x14ac:dyDescent="0.2">
      <c r="A57" s="5">
        <v>166</v>
      </c>
      <c r="B57" s="5">
        <v>1</v>
      </c>
      <c r="C57" s="2" t="s">
        <v>52</v>
      </c>
      <c r="D57" s="2">
        <v>-19344.43</v>
      </c>
      <c r="E57" s="2">
        <v>0</v>
      </c>
      <c r="G57" s="3">
        <f>SUMIF(Query1!$B$4:$B$146,A57,Query1!$F$4:$F$146)</f>
        <v>-11490.03</v>
      </c>
      <c r="H57" s="3">
        <f>SUMIF(Query4!$B$4:$B$138,A57,Query4!$F$4:$F$138)</f>
        <v>0</v>
      </c>
    </row>
    <row r="58" spans="1:8" x14ac:dyDescent="0.2">
      <c r="A58" s="5">
        <v>173</v>
      </c>
      <c r="B58" s="5">
        <v>1</v>
      </c>
      <c r="C58" s="2" t="s">
        <v>53</v>
      </c>
      <c r="D58" s="2">
        <v>-28938.16</v>
      </c>
      <c r="E58" s="2">
        <v>0</v>
      </c>
      <c r="G58" s="3">
        <f>SUMIF(Query1!$B$4:$B$146,A58,Query1!$F$4:$F$146)</f>
        <v>0</v>
      </c>
      <c r="H58" s="3">
        <f>SUMIF(Query4!$B$4:$B$138,A58,Query4!$F$4:$F$138)</f>
        <v>-1795.91</v>
      </c>
    </row>
    <row r="59" spans="1:8" x14ac:dyDescent="0.2">
      <c r="A59" s="5">
        <v>177</v>
      </c>
      <c r="B59" s="5">
        <v>1</v>
      </c>
      <c r="C59" s="2" t="s">
        <v>54</v>
      </c>
      <c r="D59" s="2">
        <v>-97703.01999999999</v>
      </c>
      <c r="E59" s="2">
        <v>-4342.1299999999992</v>
      </c>
      <c r="G59" s="3">
        <f>SUMIF(Query1!$B$4:$B$146,A59,Query1!$F$4:$F$146)</f>
        <v>0</v>
      </c>
      <c r="H59" s="3">
        <f>SUMIF(Query4!$B$4:$B$138,A59,Query4!$F$4:$F$138)</f>
        <v>544</v>
      </c>
    </row>
    <row r="60" spans="1:8" x14ac:dyDescent="0.2">
      <c r="A60" s="5">
        <v>181</v>
      </c>
      <c r="B60" s="5">
        <v>1</v>
      </c>
      <c r="C60" s="2" t="s">
        <v>55</v>
      </c>
      <c r="D60" s="2">
        <v>-461198.33</v>
      </c>
      <c r="E60" s="2">
        <v>-87988.92</v>
      </c>
      <c r="G60" s="3">
        <f>SUMIF(Query1!$B$4:$B$146,A60,Query1!$F$4:$F$146)</f>
        <v>-6639.07</v>
      </c>
      <c r="H60" s="3">
        <f>SUMIF(Query4!$B$4:$B$138,A60,Query4!$F$4:$F$138)</f>
        <v>0</v>
      </c>
    </row>
    <row r="61" spans="1:8" x14ac:dyDescent="0.2">
      <c r="A61" s="5">
        <v>182</v>
      </c>
      <c r="B61" s="5">
        <v>1</v>
      </c>
      <c r="C61" s="2" t="s">
        <v>56</v>
      </c>
      <c r="D61" s="2">
        <v>-9849.1</v>
      </c>
      <c r="E61" s="2">
        <v>0</v>
      </c>
      <c r="G61" s="3">
        <f>SUMIF(Query1!$B$4:$B$146,A61,Query1!$F$4:$F$146)</f>
        <v>0</v>
      </c>
      <c r="H61" s="3">
        <f>SUMIF(Query4!$B$4:$B$138,A61,Query4!$F$4:$F$138)</f>
        <v>0</v>
      </c>
    </row>
    <row r="62" spans="1:8" x14ac:dyDescent="0.2">
      <c r="A62" s="5">
        <v>186</v>
      </c>
      <c r="B62" s="5">
        <v>1</v>
      </c>
      <c r="C62" s="2" t="s">
        <v>57</v>
      </c>
      <c r="D62" s="2">
        <v>151833.35999999999</v>
      </c>
      <c r="E62" s="2">
        <v>0</v>
      </c>
      <c r="G62" s="3">
        <f>SUMIF(Query1!$B$4:$B$146,A62,Query1!$F$4:$F$146)</f>
        <v>0</v>
      </c>
      <c r="H62" s="3">
        <f>SUMIF(Query4!$B$4:$B$138,A62,Query4!$F$4:$F$138)</f>
        <v>0</v>
      </c>
    </row>
    <row r="63" spans="1:8" x14ac:dyDescent="0.2">
      <c r="A63" s="5">
        <v>191</v>
      </c>
      <c r="B63" s="5">
        <v>1</v>
      </c>
      <c r="C63" s="2" t="s">
        <v>58</v>
      </c>
      <c r="D63" s="2">
        <v>582444.80000000005</v>
      </c>
      <c r="E63" s="2">
        <v>0</v>
      </c>
      <c r="G63" s="3">
        <f>SUMIF(Query1!$B$4:$B$146,A63,Query1!$F$4:$F$146)</f>
        <v>0</v>
      </c>
      <c r="H63" s="3">
        <f>SUMIF(Query4!$B$4:$B$138,A63,Query4!$F$4:$F$138)</f>
        <v>0</v>
      </c>
    </row>
    <row r="64" spans="1:8" x14ac:dyDescent="0.2">
      <c r="A64" s="5">
        <v>192</v>
      </c>
      <c r="B64" s="5">
        <v>1</v>
      </c>
      <c r="C64" s="2" t="s">
        <v>59</v>
      </c>
      <c r="D64" s="2">
        <v>89164.45</v>
      </c>
      <c r="E64" s="2">
        <v>0</v>
      </c>
      <c r="G64" s="3">
        <f>SUMIF(Query1!$B$4:$B$146,A64,Query1!$F$4:$F$146)</f>
        <v>-41198.410000000003</v>
      </c>
      <c r="H64" s="3">
        <f>SUMIF(Query4!$B$4:$B$138,A64,Query4!$F$4:$F$138)</f>
        <v>0</v>
      </c>
    </row>
    <row r="65" spans="1:8" x14ac:dyDescent="0.2">
      <c r="A65" s="5">
        <v>194</v>
      </c>
      <c r="B65" s="5">
        <v>1</v>
      </c>
      <c r="C65" s="2" t="s">
        <v>60</v>
      </c>
      <c r="D65" s="2">
        <v>529641.82999999996</v>
      </c>
      <c r="E65" s="2">
        <v>0</v>
      </c>
      <c r="G65" s="3">
        <f>SUMIF(Query1!$B$4:$B$146,A65,Query1!$F$4:$F$146)</f>
        <v>0</v>
      </c>
      <c r="H65" s="3">
        <f>SUMIF(Query4!$B$4:$B$138,A65,Query4!$F$4:$F$138)</f>
        <v>0</v>
      </c>
    </row>
    <row r="66" spans="1:8" x14ac:dyDescent="0.2">
      <c r="A66" s="5">
        <v>195</v>
      </c>
      <c r="B66" s="5">
        <v>1</v>
      </c>
      <c r="C66" s="2" t="s">
        <v>61</v>
      </c>
      <c r="D66" s="2">
        <v>-4082.98</v>
      </c>
      <c r="E66" s="2">
        <v>0</v>
      </c>
      <c r="G66" s="3">
        <f>SUMIF(Query1!$B$4:$B$146,A66,Query1!$F$4:$F$146)</f>
        <v>0</v>
      </c>
      <c r="H66" s="3">
        <f>SUMIF(Query4!$B$4:$B$138,A66,Query4!$F$4:$F$138)</f>
        <v>0</v>
      </c>
    </row>
    <row r="67" spans="1:8" x14ac:dyDescent="0.2">
      <c r="A67" s="5">
        <v>196</v>
      </c>
      <c r="B67" s="5">
        <v>1</v>
      </c>
      <c r="C67" s="2" t="s">
        <v>62</v>
      </c>
      <c r="D67" s="2">
        <v>1413303.36</v>
      </c>
      <c r="E67" s="2">
        <v>0</v>
      </c>
      <c r="G67" s="3">
        <f>SUMIF(Query1!$B$4:$B$146,A67,Query1!$F$4:$F$146)</f>
        <v>0</v>
      </c>
      <c r="H67" s="3">
        <f>SUMIF(Query4!$B$4:$B$138,A67,Query4!$F$4:$F$138)</f>
        <v>-569.12</v>
      </c>
    </row>
    <row r="68" spans="1:8" x14ac:dyDescent="0.2">
      <c r="A68" s="5">
        <v>197</v>
      </c>
      <c r="B68" s="5">
        <v>1</v>
      </c>
      <c r="C68" s="2" t="s">
        <v>63</v>
      </c>
      <c r="D68" s="2">
        <v>-1219367.6400000001</v>
      </c>
      <c r="E68" s="2">
        <v>-30034.630000000005</v>
      </c>
      <c r="G68" s="3">
        <f>SUMIF(Query1!$B$4:$B$146,A68,Query1!$F$4:$F$146)</f>
        <v>0</v>
      </c>
      <c r="H68" s="3">
        <f>SUMIF(Query4!$B$4:$B$138,A68,Query4!$F$4:$F$138)</f>
        <v>0</v>
      </c>
    </row>
    <row r="69" spans="1:8" x14ac:dyDescent="0.2">
      <c r="A69" s="5">
        <v>199</v>
      </c>
      <c r="B69" s="5">
        <v>1</v>
      </c>
      <c r="C69" s="2" t="s">
        <v>64</v>
      </c>
      <c r="D69" s="2">
        <v>-120221.41</v>
      </c>
      <c r="E69" s="2">
        <v>0</v>
      </c>
      <c r="G69" s="3">
        <f>SUMIF(Query1!$B$4:$B$146,A69,Query1!$F$4:$F$146)</f>
        <v>0</v>
      </c>
      <c r="H69" s="3">
        <f>SUMIF(Query4!$B$4:$B$138,A69,Query4!$F$4:$F$138)</f>
        <v>0</v>
      </c>
    </row>
    <row r="70" spans="1:8" x14ac:dyDescent="0.2">
      <c r="A70" s="5">
        <v>200</v>
      </c>
      <c r="B70" s="5">
        <v>1</v>
      </c>
      <c r="C70" s="2" t="s">
        <v>65</v>
      </c>
      <c r="D70" s="2">
        <v>-171983.11</v>
      </c>
      <c r="E70" s="2">
        <v>0</v>
      </c>
      <c r="G70" s="3">
        <f>SUMIF(Query1!$B$4:$B$146,A70,Query1!$F$4:$F$146)</f>
        <v>0</v>
      </c>
      <c r="H70" s="3">
        <f>SUMIF(Query4!$B$4:$B$138,A70,Query4!$F$4:$F$138)</f>
        <v>0</v>
      </c>
    </row>
    <row r="71" spans="1:8" x14ac:dyDescent="0.2">
      <c r="A71" s="5">
        <v>203</v>
      </c>
      <c r="B71" s="5">
        <v>1</v>
      </c>
      <c r="C71" s="2" t="s">
        <v>66</v>
      </c>
      <c r="D71" s="2">
        <v>-96287.89</v>
      </c>
      <c r="E71" s="2">
        <v>-9741.42</v>
      </c>
      <c r="G71" s="3">
        <f>SUMIF(Query1!$B$4:$B$146,A71,Query1!$F$4:$F$146)</f>
        <v>0</v>
      </c>
      <c r="H71" s="3">
        <f>SUMIF(Query4!$B$4:$B$138,A71,Query4!$F$4:$F$138)</f>
        <v>0</v>
      </c>
    </row>
    <row r="72" spans="1:8" x14ac:dyDescent="0.2">
      <c r="A72" s="5">
        <v>204</v>
      </c>
      <c r="B72" s="5">
        <v>1</v>
      </c>
      <c r="C72" s="2" t="s">
        <v>67</v>
      </c>
      <c r="D72" s="2">
        <v>179371.58</v>
      </c>
      <c r="E72" s="2">
        <v>0</v>
      </c>
      <c r="G72" s="3">
        <f>SUMIF(Query1!$B$4:$B$146,A72,Query1!$F$4:$F$146)</f>
        <v>-23121</v>
      </c>
      <c r="H72" s="3">
        <f>SUMIF(Query4!$B$4:$B$138,A72,Query4!$F$4:$F$138)</f>
        <v>-716</v>
      </c>
    </row>
    <row r="73" spans="1:8" x14ac:dyDescent="0.2">
      <c r="A73" s="5">
        <v>206</v>
      </c>
      <c r="B73" s="5">
        <v>1</v>
      </c>
      <c r="C73" s="2" t="s">
        <v>68</v>
      </c>
      <c r="D73" s="2">
        <v>102802.24000000001</v>
      </c>
      <c r="E73" s="2">
        <v>0</v>
      </c>
      <c r="G73" s="3">
        <f>SUMIF(Query1!$B$4:$B$146,A73,Query1!$F$4:$F$146)</f>
        <v>0</v>
      </c>
      <c r="H73" s="3">
        <f>SUMIF(Query4!$B$4:$B$138,A73,Query4!$F$4:$F$138)</f>
        <v>0</v>
      </c>
    </row>
    <row r="74" spans="1:8" x14ac:dyDescent="0.2">
      <c r="A74" s="5">
        <v>207</v>
      </c>
      <c r="B74" s="5">
        <v>1</v>
      </c>
      <c r="C74" s="2" t="s">
        <v>69</v>
      </c>
      <c r="D74" s="2">
        <v>-5357.32</v>
      </c>
      <c r="E74" s="2">
        <v>0</v>
      </c>
      <c r="G74" s="3">
        <f>SUMIF(Query1!$B$4:$B$146,A74,Query1!$F$4:$F$146)</f>
        <v>0</v>
      </c>
      <c r="H74" s="3">
        <f>SUMIF(Query4!$B$4:$B$138,A74,Query4!$F$4:$F$138)</f>
        <v>0</v>
      </c>
    </row>
    <row r="75" spans="1:8" x14ac:dyDescent="0.2">
      <c r="A75" s="5">
        <v>208</v>
      </c>
      <c r="B75" s="5">
        <v>1</v>
      </c>
      <c r="C75" s="2" t="s">
        <v>70</v>
      </c>
      <c r="D75" s="2">
        <v>-1612.71</v>
      </c>
      <c r="E75" s="2">
        <v>0</v>
      </c>
      <c r="G75" s="3">
        <f>SUMIF(Query1!$B$4:$B$146,A75,Query1!$F$4:$F$146)</f>
        <v>-2250.4299999999998</v>
      </c>
      <c r="H75" s="3">
        <f>SUMIF(Query4!$B$4:$B$138,A75,Query4!$F$4:$F$138)</f>
        <v>-348.24</v>
      </c>
    </row>
    <row r="76" spans="1:8" x14ac:dyDescent="0.2">
      <c r="A76" s="5">
        <v>213</v>
      </c>
      <c r="B76" s="5">
        <v>1</v>
      </c>
      <c r="C76" s="2" t="s">
        <v>71</v>
      </c>
      <c r="D76" s="2">
        <v>17727.02</v>
      </c>
      <c r="E76" s="2">
        <v>0</v>
      </c>
      <c r="G76" s="3">
        <f>SUMIF(Query1!$B$4:$B$146,A76,Query1!$F$4:$F$146)</f>
        <v>0</v>
      </c>
      <c r="H76" s="3">
        <f>SUMIF(Query4!$B$4:$B$138,A76,Query4!$F$4:$F$138)</f>
        <v>0</v>
      </c>
    </row>
    <row r="77" spans="1:8" x14ac:dyDescent="0.2">
      <c r="A77" s="5">
        <v>227</v>
      </c>
      <c r="B77" s="5">
        <v>1</v>
      </c>
      <c r="C77" s="2" t="s">
        <v>72</v>
      </c>
      <c r="D77" s="2">
        <v>-72080.87</v>
      </c>
      <c r="E77" s="2">
        <v>-6527.52</v>
      </c>
      <c r="G77" s="3">
        <f>SUMIF(Query1!$B$4:$B$146,A77,Query1!$F$4:$F$146)</f>
        <v>0</v>
      </c>
      <c r="H77" s="3">
        <f>SUMIF(Query4!$B$4:$B$138,A77,Query4!$F$4:$F$138)</f>
        <v>0</v>
      </c>
    </row>
    <row r="78" spans="1:8" x14ac:dyDescent="0.2">
      <c r="A78" s="5">
        <v>229</v>
      </c>
      <c r="B78" s="5">
        <v>1</v>
      </c>
      <c r="C78" s="2" t="s">
        <v>73</v>
      </c>
      <c r="D78" s="2">
        <v>22609.279999999999</v>
      </c>
      <c r="E78" s="2">
        <v>0</v>
      </c>
      <c r="G78" s="3">
        <f>SUMIF(Query1!$B$4:$B$146,A78,Query1!$F$4:$F$146)</f>
        <v>-13658.39</v>
      </c>
      <c r="H78" s="3">
        <f>SUMIF(Query4!$B$4:$B$138,A78,Query4!$F$4:$F$138)</f>
        <v>-694.2</v>
      </c>
    </row>
    <row r="79" spans="1:8" x14ac:dyDescent="0.2">
      <c r="A79" s="5">
        <v>238</v>
      </c>
      <c r="B79" s="5">
        <v>1</v>
      </c>
      <c r="C79" s="2" t="s">
        <v>74</v>
      </c>
      <c r="D79" s="2">
        <v>-14106.5</v>
      </c>
      <c r="E79" s="2">
        <v>0</v>
      </c>
      <c r="G79" s="3">
        <f>SUMIF(Query1!$B$4:$B$146,A79,Query1!$F$4:$F$146)</f>
        <v>0</v>
      </c>
      <c r="H79" s="3">
        <f>SUMIF(Query4!$B$4:$B$138,A79,Query4!$F$4:$F$138)</f>
        <v>0</v>
      </c>
    </row>
    <row r="80" spans="1:8" x14ac:dyDescent="0.2">
      <c r="A80" s="5">
        <v>239</v>
      </c>
      <c r="B80" s="5">
        <v>1</v>
      </c>
      <c r="C80" s="2" t="s">
        <v>75</v>
      </c>
      <c r="D80" s="2">
        <v>-14016.05</v>
      </c>
      <c r="E80" s="2">
        <v>-2033.87</v>
      </c>
      <c r="G80" s="3">
        <f>SUMIF(Query1!$B$4:$B$146,A80,Query1!$F$4:$F$146)</f>
        <v>0</v>
      </c>
      <c r="H80" s="3">
        <f>SUMIF(Query4!$B$4:$B$138,A80,Query4!$F$4:$F$138)</f>
        <v>0</v>
      </c>
    </row>
    <row r="81" spans="1:8" x14ac:dyDescent="0.2">
      <c r="A81" s="5">
        <v>241</v>
      </c>
      <c r="B81" s="5">
        <v>1</v>
      </c>
      <c r="C81" s="2" t="s">
        <v>76</v>
      </c>
      <c r="D81" s="2">
        <v>114906.48</v>
      </c>
      <c r="E81" s="2">
        <v>0</v>
      </c>
      <c r="G81" s="3">
        <f>SUMIF(Query1!$B$4:$B$146,A81,Query1!$F$4:$F$146)</f>
        <v>0</v>
      </c>
      <c r="H81" s="3">
        <f>SUMIF(Query4!$B$4:$B$138,A81,Query4!$F$4:$F$138)</f>
        <v>0</v>
      </c>
    </row>
    <row r="82" spans="1:8" x14ac:dyDescent="0.2">
      <c r="A82" s="5">
        <v>242</v>
      </c>
      <c r="B82" s="5">
        <v>1</v>
      </c>
      <c r="C82" s="2" t="s">
        <v>77</v>
      </c>
      <c r="D82" s="2">
        <v>-27983.94</v>
      </c>
      <c r="E82" s="2">
        <v>0</v>
      </c>
      <c r="G82" s="3">
        <f>SUMIF(Query1!$B$4:$B$146,A82,Query1!$F$4:$F$146)</f>
        <v>-7634.4</v>
      </c>
      <c r="H82" s="3">
        <f>SUMIF(Query4!$B$4:$B$138,A82,Query4!$F$4:$F$138)</f>
        <v>-286.41000000000003</v>
      </c>
    </row>
    <row r="83" spans="1:8" x14ac:dyDescent="0.2">
      <c r="A83" s="5">
        <v>252</v>
      </c>
      <c r="B83" s="5">
        <v>1</v>
      </c>
      <c r="C83" s="2" t="s">
        <v>78</v>
      </c>
      <c r="D83" s="2">
        <v>47300.36</v>
      </c>
      <c r="E83" s="2">
        <v>0</v>
      </c>
      <c r="G83" s="3">
        <f>SUMIF(Query1!$B$4:$B$146,A83,Query1!$F$4:$F$146)</f>
        <v>0</v>
      </c>
      <c r="H83" s="3">
        <f>SUMIF(Query4!$B$4:$B$138,A83,Query4!$F$4:$F$138)</f>
        <v>-1718.5</v>
      </c>
    </row>
    <row r="84" spans="1:8" x14ac:dyDescent="0.2">
      <c r="A84" s="5">
        <v>253</v>
      </c>
      <c r="B84" s="5">
        <v>1</v>
      </c>
      <c r="C84" s="2" t="s">
        <v>79</v>
      </c>
      <c r="D84" s="2">
        <v>-42669.11</v>
      </c>
      <c r="E84" s="2">
        <v>0</v>
      </c>
      <c r="G84" s="3">
        <f>SUMIF(Query1!$B$4:$B$146,A84,Query1!$F$4:$F$146)</f>
        <v>-12649</v>
      </c>
      <c r="H84" s="3">
        <f>SUMIF(Query4!$B$4:$B$138,A84,Query4!$F$4:$F$138)</f>
        <v>0</v>
      </c>
    </row>
    <row r="85" spans="1:8" x14ac:dyDescent="0.2">
      <c r="A85" s="5">
        <v>255</v>
      </c>
      <c r="B85" s="5">
        <v>1</v>
      </c>
      <c r="C85" s="2" t="s">
        <v>80</v>
      </c>
      <c r="D85" s="2">
        <v>-50297.18</v>
      </c>
      <c r="E85" s="2">
        <v>0</v>
      </c>
      <c r="G85" s="3">
        <f>SUMIF(Query1!$B$4:$B$146,A85,Query1!$F$4:$F$146)</f>
        <v>-33794</v>
      </c>
      <c r="H85" s="3">
        <f>SUMIF(Query4!$B$4:$B$138,A85,Query4!$F$4:$F$138)</f>
        <v>-1781</v>
      </c>
    </row>
    <row r="86" spans="1:8" x14ac:dyDescent="0.2">
      <c r="A86" s="5">
        <v>256</v>
      </c>
      <c r="B86" s="5">
        <v>1</v>
      </c>
      <c r="C86" s="2" t="s">
        <v>81</v>
      </c>
      <c r="D86" s="2">
        <v>-386736.23</v>
      </c>
      <c r="E86" s="2">
        <v>0</v>
      </c>
      <c r="G86" s="3">
        <f>SUMIF(Query1!$B$4:$B$146,A86,Query1!$F$4:$F$146)</f>
        <v>0</v>
      </c>
      <c r="H86" s="3">
        <f>SUMIF(Query4!$B$4:$B$138,A86,Query4!$F$4:$F$138)</f>
        <v>-1246</v>
      </c>
    </row>
    <row r="87" spans="1:8" x14ac:dyDescent="0.2">
      <c r="A87" s="5">
        <v>261</v>
      </c>
      <c r="B87" s="5">
        <v>1</v>
      </c>
      <c r="C87" s="2" t="s">
        <v>82</v>
      </c>
      <c r="D87" s="2">
        <v>2189.9</v>
      </c>
      <c r="E87" s="2">
        <v>0</v>
      </c>
      <c r="G87" s="3">
        <f>SUMIF(Query1!$B$4:$B$146,A87,Query1!$F$4:$F$146)</f>
        <v>-5276.65</v>
      </c>
      <c r="H87" s="3">
        <f>SUMIF(Query4!$B$4:$B$138,A87,Query4!$F$4:$F$138)</f>
        <v>-265.42</v>
      </c>
    </row>
    <row r="88" spans="1:8" x14ac:dyDescent="0.2">
      <c r="A88" s="5">
        <v>264</v>
      </c>
      <c r="B88" s="5">
        <v>1</v>
      </c>
      <c r="C88" s="2" t="s">
        <v>83</v>
      </c>
      <c r="D88" s="2">
        <v>-17851.52</v>
      </c>
      <c r="E88" s="2">
        <v>-2515.87</v>
      </c>
      <c r="G88" s="3">
        <f>SUMIF(Query1!$B$4:$B$146,A88,Query1!$F$4:$F$146)</f>
        <v>-123300.97</v>
      </c>
      <c r="H88" s="3">
        <f>SUMIF(Query4!$B$4:$B$138,A88,Query4!$F$4:$F$138)</f>
        <v>0</v>
      </c>
    </row>
    <row r="89" spans="1:8" x14ac:dyDescent="0.2">
      <c r="A89" s="5">
        <v>270</v>
      </c>
      <c r="B89" s="5">
        <v>1</v>
      </c>
      <c r="C89" s="2" t="s">
        <v>84</v>
      </c>
      <c r="D89" s="2">
        <v>-246199.83</v>
      </c>
      <c r="E89" s="2">
        <v>0</v>
      </c>
      <c r="G89" s="3">
        <f>SUMIF(Query1!$B$4:$B$146,A89,Query1!$F$4:$F$146)</f>
        <v>0</v>
      </c>
      <c r="H89" s="3">
        <f>SUMIF(Query4!$B$4:$B$138,A89,Query4!$F$4:$F$138)</f>
        <v>0</v>
      </c>
    </row>
    <row r="90" spans="1:8" x14ac:dyDescent="0.2">
      <c r="A90" s="5">
        <v>271</v>
      </c>
      <c r="B90" s="5">
        <v>1</v>
      </c>
      <c r="C90" s="2" t="s">
        <v>85</v>
      </c>
      <c r="D90" s="2">
        <v>-285508.53000000003</v>
      </c>
      <c r="E90" s="2">
        <v>0</v>
      </c>
      <c r="G90" s="3">
        <f>SUMIF(Query1!$B$4:$B$146,A90,Query1!$F$4:$F$146)</f>
        <v>0</v>
      </c>
      <c r="H90" s="3">
        <f>SUMIF(Query4!$B$4:$B$138,A90,Query4!$F$4:$F$138)</f>
        <v>0</v>
      </c>
    </row>
    <row r="91" spans="1:8" x14ac:dyDescent="0.2">
      <c r="A91" s="5">
        <v>272</v>
      </c>
      <c r="B91" s="5">
        <v>1</v>
      </c>
      <c r="C91" s="2" t="s">
        <v>86</v>
      </c>
      <c r="D91" s="2">
        <v>351589.36</v>
      </c>
      <c r="E91" s="2">
        <v>0</v>
      </c>
      <c r="G91" s="3">
        <f>SUMIF(Query1!$B$4:$B$146,A91,Query1!$F$4:$F$146)</f>
        <v>0</v>
      </c>
      <c r="H91" s="3">
        <f>SUMIF(Query4!$B$4:$B$138,A91,Query4!$F$4:$F$138)</f>
        <v>0</v>
      </c>
    </row>
    <row r="92" spans="1:8" x14ac:dyDescent="0.2">
      <c r="A92" s="5">
        <v>273</v>
      </c>
      <c r="B92" s="5">
        <v>1</v>
      </c>
      <c r="C92" s="2" t="s">
        <v>87</v>
      </c>
      <c r="D92" s="2">
        <v>-2486695.2900000005</v>
      </c>
      <c r="E92" s="2">
        <v>-38866.28</v>
      </c>
      <c r="G92" s="3">
        <f>SUMIF(Query1!$B$4:$B$146,A92,Query1!$F$4:$F$146)</f>
        <v>0</v>
      </c>
      <c r="H92" s="3">
        <f>SUMIF(Query4!$B$4:$B$138,A92,Query4!$F$4:$F$138)</f>
        <v>0</v>
      </c>
    </row>
    <row r="93" spans="1:8" x14ac:dyDescent="0.2">
      <c r="A93" s="5">
        <v>276</v>
      </c>
      <c r="B93" s="5">
        <v>1</v>
      </c>
      <c r="C93" s="2" t="s">
        <v>88</v>
      </c>
      <c r="D93" s="2">
        <v>315024.24</v>
      </c>
      <c r="E93" s="2">
        <v>0</v>
      </c>
      <c r="G93" s="3">
        <f>SUMIF(Query1!$B$4:$B$146,A93,Query1!$F$4:$F$146)</f>
        <v>0</v>
      </c>
      <c r="H93" s="3">
        <f>SUMIF(Query4!$B$4:$B$138,A93,Query4!$F$4:$F$138)</f>
        <v>0</v>
      </c>
    </row>
    <row r="94" spans="1:8" x14ac:dyDescent="0.2">
      <c r="A94" s="5">
        <v>277</v>
      </c>
      <c r="B94" s="5">
        <v>1</v>
      </c>
      <c r="C94" s="2" t="s">
        <v>89</v>
      </c>
      <c r="D94" s="2">
        <v>-46792.160000000003</v>
      </c>
      <c r="E94" s="2">
        <v>-15070.48</v>
      </c>
      <c r="G94" s="3">
        <f>SUMIF(Query1!$B$4:$B$146,A94,Query1!$F$4:$F$146)</f>
        <v>0</v>
      </c>
      <c r="H94" s="3">
        <f>SUMIF(Query4!$B$4:$B$138,A94,Query4!$F$4:$F$138)</f>
        <v>0</v>
      </c>
    </row>
    <row r="95" spans="1:8" x14ac:dyDescent="0.2">
      <c r="A95" s="5">
        <v>278</v>
      </c>
      <c r="B95" s="5">
        <v>1</v>
      </c>
      <c r="C95" s="2" t="s">
        <v>90</v>
      </c>
      <c r="D95" s="2">
        <v>22709.52</v>
      </c>
      <c r="E95" s="2">
        <v>0</v>
      </c>
      <c r="G95" s="3">
        <f>SUMIF(Query1!$B$4:$B$146,A95,Query1!$F$4:$F$146)</f>
        <v>0</v>
      </c>
      <c r="H95" s="3">
        <f>SUMIF(Query4!$B$4:$B$138,A95,Query4!$F$4:$F$138)</f>
        <v>0</v>
      </c>
    </row>
    <row r="96" spans="1:8" x14ac:dyDescent="0.2">
      <c r="A96" s="5">
        <v>279</v>
      </c>
      <c r="B96" s="5">
        <v>1</v>
      </c>
      <c r="C96" s="2" t="s">
        <v>91</v>
      </c>
      <c r="D96" s="2">
        <v>-401148.51</v>
      </c>
      <c r="E96" s="2">
        <v>0</v>
      </c>
      <c r="G96" s="3">
        <f>SUMIF(Query1!$B$4:$B$146,A96,Query1!$F$4:$F$146)</f>
        <v>0</v>
      </c>
      <c r="H96" s="3">
        <f>SUMIF(Query4!$B$4:$B$138,A96,Query4!$F$4:$F$138)</f>
        <v>0</v>
      </c>
    </row>
    <row r="97" spans="1:8" x14ac:dyDescent="0.2">
      <c r="A97" s="5">
        <v>280</v>
      </c>
      <c r="B97" s="5">
        <v>1</v>
      </c>
      <c r="C97" s="2" t="s">
        <v>92</v>
      </c>
      <c r="D97" s="2">
        <v>-5784.47</v>
      </c>
      <c r="E97" s="2">
        <v>0</v>
      </c>
      <c r="G97" s="3">
        <f>SUMIF(Query1!$B$4:$B$146,A97,Query1!$F$4:$F$146)</f>
        <v>0</v>
      </c>
      <c r="H97" s="3">
        <f>SUMIF(Query4!$B$4:$B$138,A97,Query4!$F$4:$F$138)</f>
        <v>0</v>
      </c>
    </row>
    <row r="98" spans="1:8" x14ac:dyDescent="0.2">
      <c r="A98" s="5">
        <v>281</v>
      </c>
      <c r="B98" s="5">
        <v>1</v>
      </c>
      <c r="C98" s="2" t="s">
        <v>93</v>
      </c>
      <c r="D98" s="2">
        <v>-100501.14</v>
      </c>
      <c r="E98" s="2">
        <v>0</v>
      </c>
      <c r="G98" s="3">
        <f>SUMIF(Query1!$B$4:$B$146,A98,Query1!$F$4:$F$146)</f>
        <v>0</v>
      </c>
      <c r="H98" s="3">
        <f>SUMIF(Query4!$B$4:$B$138,A98,Query4!$F$4:$F$138)</f>
        <v>0</v>
      </c>
    </row>
    <row r="99" spans="1:8" x14ac:dyDescent="0.2">
      <c r="A99" s="5">
        <v>282</v>
      </c>
      <c r="B99" s="5">
        <v>1</v>
      </c>
      <c r="C99" s="2" t="s">
        <v>94</v>
      </c>
      <c r="D99" s="2">
        <v>172561.57</v>
      </c>
      <c r="E99" s="2">
        <v>0</v>
      </c>
      <c r="G99" s="3">
        <f>SUMIF(Query1!$B$4:$B$146,A99,Query1!$F$4:$F$146)</f>
        <v>0</v>
      </c>
      <c r="H99" s="3">
        <f>SUMIF(Query4!$B$4:$B$138,A99,Query4!$F$4:$F$138)</f>
        <v>0</v>
      </c>
    </row>
    <row r="100" spans="1:8" x14ac:dyDescent="0.2">
      <c r="A100" s="5">
        <v>283</v>
      </c>
      <c r="B100" s="5">
        <v>1</v>
      </c>
      <c r="C100" s="2" t="s">
        <v>95</v>
      </c>
      <c r="D100" s="2">
        <v>-701178.54</v>
      </c>
      <c r="E100" s="2">
        <v>0</v>
      </c>
      <c r="G100" s="3">
        <f>SUMIF(Query1!$B$4:$B$146,A100,Query1!$F$4:$F$146)</f>
        <v>0</v>
      </c>
      <c r="H100" s="3">
        <f>SUMIF(Query4!$B$4:$B$138,A100,Query4!$F$4:$F$138)</f>
        <v>0</v>
      </c>
    </row>
    <row r="101" spans="1:8" x14ac:dyDescent="0.2">
      <c r="A101" s="5">
        <v>284</v>
      </c>
      <c r="B101" s="5">
        <v>1</v>
      </c>
      <c r="C101" s="2" t="s">
        <v>96</v>
      </c>
      <c r="D101" s="2">
        <v>-549822.69999999995</v>
      </c>
      <c r="E101" s="2">
        <v>0</v>
      </c>
      <c r="G101" s="3">
        <f>SUMIF(Query1!$B$4:$B$146,A101,Query1!$F$4:$F$146)</f>
        <v>0</v>
      </c>
      <c r="H101" s="3">
        <f>SUMIF(Query4!$B$4:$B$138,A101,Query4!$F$4:$F$138)</f>
        <v>0</v>
      </c>
    </row>
    <row r="102" spans="1:8" x14ac:dyDescent="0.2">
      <c r="A102" s="5">
        <v>286</v>
      </c>
      <c r="B102" s="5">
        <v>1</v>
      </c>
      <c r="C102" s="2" t="s">
        <v>97</v>
      </c>
      <c r="D102" s="2">
        <v>46021.5</v>
      </c>
      <c r="E102" s="2">
        <v>0</v>
      </c>
      <c r="G102" s="3">
        <f>SUMIF(Query1!$B$4:$B$146,A102,Query1!$F$4:$F$146)</f>
        <v>0</v>
      </c>
      <c r="H102" s="3">
        <f>SUMIF(Query4!$B$4:$B$138,A102,Query4!$F$4:$F$138)</f>
        <v>0</v>
      </c>
    </row>
    <row r="103" spans="1:8" x14ac:dyDescent="0.2">
      <c r="A103" s="5">
        <v>294</v>
      </c>
      <c r="B103" s="5">
        <v>1</v>
      </c>
      <c r="C103" s="2" t="s">
        <v>98</v>
      </c>
      <c r="D103" s="2">
        <v>-68534.009999999995</v>
      </c>
      <c r="E103" s="2">
        <v>0</v>
      </c>
      <c r="G103" s="3">
        <f>SUMIF(Query1!$B$4:$B$146,A103,Query1!$F$4:$F$146)</f>
        <v>0</v>
      </c>
      <c r="H103" s="3">
        <f>SUMIF(Query4!$B$4:$B$138,A103,Query4!$F$4:$F$138)</f>
        <v>-1351.51</v>
      </c>
    </row>
    <row r="104" spans="1:8" x14ac:dyDescent="0.2">
      <c r="A104" s="5">
        <v>297</v>
      </c>
      <c r="B104" s="5">
        <v>1</v>
      </c>
      <c r="C104" s="2" t="s">
        <v>99</v>
      </c>
      <c r="D104" s="2">
        <v>3791.48</v>
      </c>
      <c r="E104" s="2">
        <v>0</v>
      </c>
      <c r="G104" s="3">
        <f>SUMIF(Query1!$B$4:$B$146,A104,Query1!$F$4:$F$146)</f>
        <v>-9560</v>
      </c>
      <c r="H104" s="3">
        <f>SUMIF(Query4!$B$4:$B$138,A104,Query4!$F$4:$F$138)</f>
        <v>-3894</v>
      </c>
    </row>
    <row r="105" spans="1:8" x14ac:dyDescent="0.2">
      <c r="A105" s="5">
        <v>299</v>
      </c>
      <c r="B105" s="5">
        <v>1</v>
      </c>
      <c r="C105" s="2" t="s">
        <v>100</v>
      </c>
      <c r="D105" s="2">
        <v>-26072.42</v>
      </c>
      <c r="E105" s="2">
        <v>0</v>
      </c>
      <c r="G105" s="3">
        <f>SUMIF(Query1!$B$4:$B$146,A105,Query1!$F$4:$F$146)</f>
        <v>0</v>
      </c>
      <c r="H105" s="3">
        <f>SUMIF(Query4!$B$4:$B$138,A105,Query4!$F$4:$F$138)</f>
        <v>-1834</v>
      </c>
    </row>
    <row r="106" spans="1:8" x14ac:dyDescent="0.2">
      <c r="A106" s="5">
        <v>300</v>
      </c>
      <c r="B106" s="5">
        <v>1</v>
      </c>
      <c r="C106" s="2" t="s">
        <v>101</v>
      </c>
      <c r="D106" s="2">
        <v>-15684.8</v>
      </c>
      <c r="E106" s="2">
        <v>0</v>
      </c>
      <c r="G106" s="3">
        <f>SUMIF(Query1!$B$4:$B$146,A106,Query1!$F$4:$F$146)</f>
        <v>0</v>
      </c>
      <c r="H106" s="3">
        <f>SUMIF(Query4!$B$4:$B$138,A106,Query4!$F$4:$F$138)</f>
        <v>0</v>
      </c>
    </row>
    <row r="107" spans="1:8" x14ac:dyDescent="0.2">
      <c r="A107" s="5">
        <v>306</v>
      </c>
      <c r="B107" s="5">
        <v>1</v>
      </c>
      <c r="C107" s="2" t="s">
        <v>102</v>
      </c>
      <c r="D107" s="2">
        <v>-5011.4399999999996</v>
      </c>
      <c r="E107" s="2">
        <v>0</v>
      </c>
      <c r="G107" s="3">
        <f>SUMIF(Query1!$B$4:$B$146,A107,Query1!$F$4:$F$146)</f>
        <v>-26298.99</v>
      </c>
      <c r="H107" s="3">
        <f>SUMIF(Query4!$B$4:$B$138,A107,Query4!$F$4:$F$138)</f>
        <v>0</v>
      </c>
    </row>
    <row r="108" spans="1:8" x14ac:dyDescent="0.2">
      <c r="A108" s="5">
        <v>308</v>
      </c>
      <c r="B108" s="5">
        <v>1</v>
      </c>
      <c r="C108" s="2" t="s">
        <v>103</v>
      </c>
      <c r="D108" s="2">
        <v>-284.45</v>
      </c>
      <c r="E108" s="2">
        <v>0</v>
      </c>
      <c r="G108" s="3">
        <f>SUMIF(Query1!$B$4:$B$146,A108,Query1!$F$4:$F$146)</f>
        <v>-22504.9</v>
      </c>
      <c r="H108" s="3">
        <f>SUMIF(Query4!$B$4:$B$138,A108,Query4!$F$4:$F$138)</f>
        <v>0</v>
      </c>
    </row>
    <row r="109" spans="1:8" x14ac:dyDescent="0.2">
      <c r="A109" s="5">
        <v>309</v>
      </c>
      <c r="B109" s="5">
        <v>1</v>
      </c>
      <c r="C109" s="2" t="s">
        <v>104</v>
      </c>
      <c r="D109" s="2">
        <v>41512.400000000001</v>
      </c>
      <c r="E109" s="2">
        <v>0</v>
      </c>
      <c r="G109" s="3">
        <f>SUMIF(Query1!$B$4:$B$146,A109,Query1!$F$4:$F$146)</f>
        <v>0</v>
      </c>
      <c r="H109" s="3">
        <f>SUMIF(Query4!$B$4:$B$138,A109,Query4!$F$4:$F$138)</f>
        <v>0</v>
      </c>
    </row>
    <row r="110" spans="1:8" x14ac:dyDescent="0.2">
      <c r="A110" s="5">
        <v>314</v>
      </c>
      <c r="B110" s="5">
        <v>1</v>
      </c>
      <c r="C110" s="2" t="s">
        <v>105</v>
      </c>
      <c r="D110" s="2">
        <v>43309.81</v>
      </c>
      <c r="E110" s="2">
        <v>0</v>
      </c>
      <c r="G110" s="3">
        <f>SUMIF(Query1!$B$4:$B$146,A110,Query1!$F$4:$F$146)</f>
        <v>-144434.15</v>
      </c>
      <c r="H110" s="3">
        <f>SUMIF(Query4!$B$4:$B$138,A110,Query4!$F$4:$F$138)</f>
        <v>-19359.57</v>
      </c>
    </row>
    <row r="111" spans="1:8" x14ac:dyDescent="0.2">
      <c r="A111" s="5">
        <v>316</v>
      </c>
      <c r="B111" s="5">
        <v>1</v>
      </c>
      <c r="C111" s="2" t="s">
        <v>106</v>
      </c>
      <c r="D111" s="2">
        <v>-32114.62</v>
      </c>
      <c r="E111" s="2">
        <v>0</v>
      </c>
      <c r="G111" s="3">
        <f>SUMIF(Query1!$B$4:$B$146,A111,Query1!$F$4:$F$146)</f>
        <v>-374354.18</v>
      </c>
      <c r="H111" s="3">
        <f>SUMIF(Query4!$B$4:$B$138,A111,Query4!$F$4:$F$138)</f>
        <v>0</v>
      </c>
    </row>
    <row r="112" spans="1:8" x14ac:dyDescent="0.2">
      <c r="A112" s="5">
        <v>317</v>
      </c>
      <c r="B112" s="5">
        <v>1</v>
      </c>
      <c r="C112" s="2" t="s">
        <v>107</v>
      </c>
      <c r="D112" s="2">
        <v>-615.57000000000005</v>
      </c>
      <c r="E112" s="2">
        <v>0</v>
      </c>
      <c r="G112" s="3">
        <f>SUMIF(Query1!$B$4:$B$146,A112,Query1!$F$4:$F$146)</f>
        <v>-56680.59</v>
      </c>
      <c r="H112" s="3">
        <f>SUMIF(Query4!$B$4:$B$138,A112,Query4!$F$4:$F$138)</f>
        <v>0</v>
      </c>
    </row>
    <row r="113" spans="1:8" x14ac:dyDescent="0.2">
      <c r="A113" s="5">
        <v>318</v>
      </c>
      <c r="B113" s="5">
        <v>1</v>
      </c>
      <c r="C113" s="2" t="s">
        <v>108</v>
      </c>
      <c r="D113" s="2">
        <v>-121078.86</v>
      </c>
      <c r="E113" s="2">
        <v>0</v>
      </c>
      <c r="G113" s="3">
        <f>SUMIF(Query1!$B$4:$B$146,A113,Query1!$F$4:$F$146)</f>
        <v>0</v>
      </c>
      <c r="H113" s="3">
        <f>SUMIF(Query4!$B$4:$B$138,A113,Query4!$F$4:$F$138)</f>
        <v>0</v>
      </c>
    </row>
    <row r="114" spans="1:8" x14ac:dyDescent="0.2">
      <c r="A114" s="5">
        <v>319</v>
      </c>
      <c r="B114" s="5">
        <v>1</v>
      </c>
      <c r="C114" s="2" t="s">
        <v>109</v>
      </c>
      <c r="D114" s="2">
        <v>105900.68</v>
      </c>
      <c r="E114" s="2">
        <v>0</v>
      </c>
      <c r="G114" s="3">
        <f>SUMIF(Query1!$B$4:$B$146,A114,Query1!$F$4:$F$146)</f>
        <v>0</v>
      </c>
      <c r="H114" s="3">
        <f>SUMIF(Query4!$B$4:$B$138,A114,Query4!$F$4:$F$138)</f>
        <v>0</v>
      </c>
    </row>
    <row r="115" spans="1:8" x14ac:dyDescent="0.2">
      <c r="A115" s="5">
        <v>323</v>
      </c>
      <c r="B115" s="5">
        <v>2</v>
      </c>
      <c r="C115" s="2" t="s">
        <v>110</v>
      </c>
      <c r="D115" s="2">
        <v>-1147.0700000000002</v>
      </c>
      <c r="E115" s="2">
        <v>0</v>
      </c>
      <c r="G115" s="3">
        <f>SUMIF(Query1!$B$4:$B$146,A115,Query1!$F$4:$F$146)</f>
        <v>0</v>
      </c>
      <c r="H115" s="3">
        <f>SUMIF(Query4!$B$4:$B$138,A115,Query4!$F$4:$F$138)</f>
        <v>0</v>
      </c>
    </row>
    <row r="116" spans="1:8" x14ac:dyDescent="0.2">
      <c r="A116" s="5">
        <v>330</v>
      </c>
      <c r="B116" s="5">
        <v>1</v>
      </c>
      <c r="C116" s="2" t="s">
        <v>111</v>
      </c>
      <c r="D116" s="2">
        <v>-2233.67</v>
      </c>
      <c r="E116" s="2">
        <v>0</v>
      </c>
      <c r="G116" s="3">
        <f>SUMIF(Query1!$B$4:$B$146,A116,Query1!$F$4:$F$146)</f>
        <v>0</v>
      </c>
      <c r="H116" s="3">
        <f>SUMIF(Query4!$B$4:$B$138,A116,Query4!$F$4:$F$138)</f>
        <v>0</v>
      </c>
    </row>
    <row r="117" spans="1:8" x14ac:dyDescent="0.2">
      <c r="A117" s="5">
        <v>332</v>
      </c>
      <c r="B117" s="5">
        <v>1</v>
      </c>
      <c r="C117" s="2" t="s">
        <v>112</v>
      </c>
      <c r="D117" s="2">
        <v>153337.65</v>
      </c>
      <c r="E117" s="2">
        <v>0</v>
      </c>
      <c r="G117" s="3">
        <f>SUMIF(Query1!$B$4:$B$146,A117,Query1!$F$4:$F$146)</f>
        <v>-54054.11</v>
      </c>
      <c r="H117" s="3">
        <f>SUMIF(Query4!$B$4:$B$138,A117,Query4!$F$4:$F$138)</f>
        <v>-2574.11</v>
      </c>
    </row>
    <row r="118" spans="1:8" x14ac:dyDescent="0.2">
      <c r="A118" s="5">
        <v>333</v>
      </c>
      <c r="B118" s="5">
        <v>1</v>
      </c>
      <c r="C118" s="2" t="s">
        <v>113</v>
      </c>
      <c r="D118" s="2">
        <v>24601.919999999998</v>
      </c>
      <c r="E118" s="2">
        <v>0</v>
      </c>
      <c r="G118" s="3">
        <f>SUMIF(Query1!$B$4:$B$146,A118,Query1!$F$4:$F$146)</f>
        <v>-23181.040000000001</v>
      </c>
      <c r="H118" s="3">
        <f>SUMIF(Query4!$B$4:$B$138,A118,Query4!$F$4:$F$138)</f>
        <v>0</v>
      </c>
    </row>
    <row r="119" spans="1:8" x14ac:dyDescent="0.2">
      <c r="A119" s="5">
        <v>345</v>
      </c>
      <c r="B119" s="5">
        <v>1</v>
      </c>
      <c r="C119" s="2" t="s">
        <v>114</v>
      </c>
      <c r="D119" s="2">
        <v>-269951.40000000002</v>
      </c>
      <c r="E119" s="2">
        <v>0</v>
      </c>
      <c r="G119" s="3">
        <f>SUMIF(Query1!$B$4:$B$146,A119,Query1!$F$4:$F$146)</f>
        <v>0</v>
      </c>
      <c r="H119" s="3">
        <f>SUMIF(Query4!$B$4:$B$138,A119,Query4!$F$4:$F$138)</f>
        <v>0</v>
      </c>
    </row>
    <row r="120" spans="1:8" x14ac:dyDescent="0.2">
      <c r="A120" s="5">
        <v>347</v>
      </c>
      <c r="B120" s="5">
        <v>1</v>
      </c>
      <c r="C120" s="2" t="s">
        <v>115</v>
      </c>
      <c r="D120" s="2">
        <v>-98465.109999999986</v>
      </c>
      <c r="E120" s="2">
        <v>0</v>
      </c>
      <c r="G120" s="3">
        <f>SUMIF(Query1!$B$4:$B$146,A120,Query1!$F$4:$F$146)</f>
        <v>0</v>
      </c>
      <c r="H120" s="3">
        <f>SUMIF(Query4!$B$4:$B$138,A120,Query4!$F$4:$F$138)</f>
        <v>0</v>
      </c>
    </row>
    <row r="121" spans="1:8" x14ac:dyDescent="0.2">
      <c r="A121" s="5">
        <v>356</v>
      </c>
      <c r="B121" s="5">
        <v>1</v>
      </c>
      <c r="C121" s="2" t="s">
        <v>116</v>
      </c>
      <c r="D121" s="2">
        <v>33788.07</v>
      </c>
      <c r="E121" s="2">
        <v>0</v>
      </c>
      <c r="G121" s="3">
        <f>SUMIF(Query1!$B$4:$B$146,A121,Query1!$F$4:$F$146)</f>
        <v>0</v>
      </c>
      <c r="H121" s="3">
        <f>SUMIF(Query4!$B$4:$B$138,A121,Query4!$F$4:$F$138)</f>
        <v>0</v>
      </c>
    </row>
    <row r="122" spans="1:8" x14ac:dyDescent="0.2">
      <c r="A122" s="5">
        <v>361</v>
      </c>
      <c r="B122" s="5">
        <v>1</v>
      </c>
      <c r="C122" s="2" t="s">
        <v>117</v>
      </c>
      <c r="D122" s="2">
        <v>113728.75</v>
      </c>
      <c r="E122" s="2">
        <v>0</v>
      </c>
      <c r="G122" s="3">
        <f>SUMIF(Query1!$B$4:$B$146,A122,Query1!$F$4:$F$146)</f>
        <v>-37968.949999999997</v>
      </c>
      <c r="H122" s="3">
        <f>SUMIF(Query4!$B$4:$B$138,A122,Query4!$F$4:$F$138)</f>
        <v>-7152.36</v>
      </c>
    </row>
    <row r="123" spans="1:8" x14ac:dyDescent="0.2">
      <c r="A123" s="5">
        <v>362</v>
      </c>
      <c r="B123" s="5">
        <v>1</v>
      </c>
      <c r="C123" s="2" t="s">
        <v>118</v>
      </c>
      <c r="D123" s="2">
        <v>21984.28</v>
      </c>
      <c r="E123" s="2">
        <v>0</v>
      </c>
      <c r="G123" s="3">
        <f>SUMIF(Query1!$B$4:$B$146,A123,Query1!$F$4:$F$146)</f>
        <v>0</v>
      </c>
      <c r="H123" s="3">
        <f>SUMIF(Query4!$B$4:$B$138,A123,Query4!$F$4:$F$138)</f>
        <v>0</v>
      </c>
    </row>
    <row r="124" spans="1:8" x14ac:dyDescent="0.2">
      <c r="A124" s="5">
        <v>363</v>
      </c>
      <c r="B124" s="5">
        <v>1</v>
      </c>
      <c r="C124" s="2" t="s">
        <v>119</v>
      </c>
      <c r="D124" s="2">
        <v>-118931.33</v>
      </c>
      <c r="E124" s="2">
        <v>0</v>
      </c>
      <c r="G124" s="3">
        <f>SUMIF(Query1!$B$4:$B$146,A124,Query1!$F$4:$F$146)</f>
        <v>0</v>
      </c>
      <c r="H124" s="3">
        <f>SUMIF(Query4!$B$4:$B$138,A124,Query4!$F$4:$F$138)</f>
        <v>0</v>
      </c>
    </row>
    <row r="125" spans="1:8" x14ac:dyDescent="0.2">
      <c r="A125" s="5">
        <v>378</v>
      </c>
      <c r="B125" s="5">
        <v>1</v>
      </c>
      <c r="C125" s="2" t="s">
        <v>120</v>
      </c>
      <c r="D125" s="2">
        <v>14410.28</v>
      </c>
      <c r="E125" s="2">
        <v>0</v>
      </c>
      <c r="G125" s="3">
        <f>SUMIF(Query1!$B$4:$B$146,A125,Query1!$F$4:$F$146)</f>
        <v>-10982.82</v>
      </c>
      <c r="H125" s="3">
        <f>SUMIF(Query4!$B$4:$B$138,A125,Query4!$F$4:$F$138)</f>
        <v>-1788.55</v>
      </c>
    </row>
    <row r="126" spans="1:8" x14ac:dyDescent="0.2">
      <c r="A126" s="5">
        <v>381</v>
      </c>
      <c r="B126" s="5">
        <v>1</v>
      </c>
      <c r="C126" s="2" t="s">
        <v>121</v>
      </c>
      <c r="D126" s="2">
        <v>-92007.89</v>
      </c>
      <c r="E126" s="2">
        <v>0</v>
      </c>
      <c r="G126" s="3">
        <f>SUMIF(Query1!$B$4:$B$146,A126,Query1!$F$4:$F$146)</f>
        <v>0</v>
      </c>
      <c r="H126" s="3">
        <f>SUMIF(Query4!$B$4:$B$138,A126,Query4!$F$4:$F$138)</f>
        <v>0</v>
      </c>
    </row>
    <row r="127" spans="1:8" x14ac:dyDescent="0.2">
      <c r="A127" s="5">
        <v>390</v>
      </c>
      <c r="B127" s="5">
        <v>1</v>
      </c>
      <c r="C127" s="2" t="s">
        <v>122</v>
      </c>
      <c r="D127" s="2">
        <v>17663.919999999998</v>
      </c>
      <c r="E127" s="2">
        <v>0</v>
      </c>
      <c r="G127" s="3">
        <f>SUMIF(Query1!$B$4:$B$146,A127,Query1!$F$4:$F$146)</f>
        <v>0</v>
      </c>
      <c r="H127" s="3">
        <f>SUMIF(Query4!$B$4:$B$138,A127,Query4!$F$4:$F$138)</f>
        <v>0</v>
      </c>
    </row>
    <row r="128" spans="1:8" x14ac:dyDescent="0.2">
      <c r="A128" s="5">
        <v>391</v>
      </c>
      <c r="B128" s="5">
        <v>1</v>
      </c>
      <c r="C128" s="2" t="s">
        <v>123</v>
      </c>
      <c r="D128" s="2">
        <v>784.46</v>
      </c>
      <c r="E128" s="2">
        <v>0</v>
      </c>
      <c r="G128" s="3">
        <f>SUMIF(Query1!$B$4:$B$146,A128,Query1!$F$4:$F$146)</f>
        <v>-859</v>
      </c>
      <c r="H128" s="3">
        <f>SUMIF(Query4!$B$4:$B$138,A128,Query4!$F$4:$F$138)</f>
        <v>0</v>
      </c>
    </row>
    <row r="129" spans="1:8" x14ac:dyDescent="0.2">
      <c r="A129" s="5">
        <v>392</v>
      </c>
      <c r="B129" s="5">
        <v>1</v>
      </c>
      <c r="C129" s="2" t="s">
        <v>124</v>
      </c>
      <c r="D129" s="2">
        <v>55856.71</v>
      </c>
      <c r="E129" s="2">
        <v>0</v>
      </c>
      <c r="G129" s="3">
        <f>SUMIF(Query1!$B$4:$B$146,A129,Query1!$F$4:$F$146)</f>
        <v>-15208</v>
      </c>
      <c r="H129" s="3">
        <f>SUMIF(Query4!$B$4:$B$138,A129,Query4!$F$4:$F$138)</f>
        <v>-1194</v>
      </c>
    </row>
    <row r="130" spans="1:8" x14ac:dyDescent="0.2">
      <c r="A130" s="5">
        <v>394</v>
      </c>
      <c r="B130" s="5">
        <v>1</v>
      </c>
      <c r="C130" s="2" t="s">
        <v>125</v>
      </c>
      <c r="D130" s="2">
        <v>22586.3</v>
      </c>
      <c r="E130" s="2">
        <v>0</v>
      </c>
      <c r="G130" s="3">
        <f>SUMIF(Query1!$B$4:$B$146,A130,Query1!$F$4:$F$146)</f>
        <v>-36995.96</v>
      </c>
      <c r="H130" s="3">
        <f>SUMIF(Query4!$B$4:$B$138,A130,Query4!$F$4:$F$138)</f>
        <v>-964.59</v>
      </c>
    </row>
    <row r="131" spans="1:8" x14ac:dyDescent="0.2">
      <c r="A131" s="5">
        <v>402</v>
      </c>
      <c r="B131" s="5">
        <v>1</v>
      </c>
      <c r="C131" s="2" t="s">
        <v>126</v>
      </c>
      <c r="D131" s="2">
        <v>-56875.259999999995</v>
      </c>
      <c r="E131" s="2">
        <v>-2982.94</v>
      </c>
      <c r="G131" s="3">
        <f>SUMIF(Query1!$B$4:$B$146,A131,Query1!$F$4:$F$146)</f>
        <v>0</v>
      </c>
      <c r="H131" s="3">
        <f>SUMIF(Query4!$B$4:$B$138,A131,Query4!$F$4:$F$138)</f>
        <v>0</v>
      </c>
    </row>
    <row r="132" spans="1:8" x14ac:dyDescent="0.2">
      <c r="A132" s="5">
        <v>403</v>
      </c>
      <c r="B132" s="5">
        <v>1</v>
      </c>
      <c r="C132" s="2" t="s">
        <v>127</v>
      </c>
      <c r="D132" s="2">
        <v>65898.149999999994</v>
      </c>
      <c r="E132" s="2">
        <v>0</v>
      </c>
      <c r="G132" s="3">
        <f>SUMIF(Query1!$B$4:$B$146,A132,Query1!$F$4:$F$146)</f>
        <v>0</v>
      </c>
      <c r="H132" s="3">
        <f>SUMIF(Query4!$B$4:$B$138,A132,Query4!$F$4:$F$138)</f>
        <v>0</v>
      </c>
    </row>
    <row r="133" spans="1:8" x14ac:dyDescent="0.2">
      <c r="A133" s="5">
        <v>404</v>
      </c>
      <c r="B133" s="5">
        <v>1</v>
      </c>
      <c r="C133" s="2" t="s">
        <v>128</v>
      </c>
      <c r="D133" s="2">
        <v>-2128.48</v>
      </c>
      <c r="E133" s="2">
        <v>0</v>
      </c>
      <c r="G133" s="3">
        <f>SUMIF(Query1!$B$4:$B$146,A133,Query1!$F$4:$F$146)</f>
        <v>0</v>
      </c>
      <c r="H133" s="3">
        <f>SUMIF(Query4!$B$4:$B$138,A133,Query4!$F$4:$F$138)</f>
        <v>0</v>
      </c>
    </row>
    <row r="134" spans="1:8" x14ac:dyDescent="0.2">
      <c r="A134" s="5">
        <v>413</v>
      </c>
      <c r="B134" s="5">
        <v>1</v>
      </c>
      <c r="C134" s="2" t="s">
        <v>129</v>
      </c>
      <c r="D134" s="2">
        <v>-7808.989999999998</v>
      </c>
      <c r="E134" s="2">
        <v>-18377.29</v>
      </c>
      <c r="G134" s="3">
        <f>SUMIF(Query1!$B$4:$B$146,A134,Query1!$F$4:$F$146)</f>
        <v>0</v>
      </c>
      <c r="H134" s="3">
        <f>SUMIF(Query4!$B$4:$B$138,A134,Query4!$F$4:$F$138)</f>
        <v>-516.21</v>
      </c>
    </row>
    <row r="135" spans="1:8" x14ac:dyDescent="0.2">
      <c r="A135" s="5">
        <v>414</v>
      </c>
      <c r="B135" s="5">
        <v>1</v>
      </c>
      <c r="C135" s="2" t="s">
        <v>130</v>
      </c>
      <c r="D135" s="2">
        <v>51262.55</v>
      </c>
      <c r="E135" s="2">
        <v>0</v>
      </c>
      <c r="G135" s="3">
        <f>SUMIF(Query1!$B$4:$B$146,A135,Query1!$F$4:$F$146)</f>
        <v>-10274.57</v>
      </c>
      <c r="H135" s="3">
        <f>SUMIF(Query4!$B$4:$B$138,A135,Query4!$F$4:$F$138)</f>
        <v>-287.08999999999997</v>
      </c>
    </row>
    <row r="136" spans="1:8" x14ac:dyDescent="0.2">
      <c r="A136" s="5">
        <v>415</v>
      </c>
      <c r="B136" s="5">
        <v>1</v>
      </c>
      <c r="C136" s="2" t="s">
        <v>131</v>
      </c>
      <c r="D136" s="2">
        <v>-37052.68</v>
      </c>
      <c r="E136" s="2">
        <v>0</v>
      </c>
      <c r="G136" s="3">
        <f>SUMIF(Query1!$B$4:$B$146,A136,Query1!$F$4:$F$146)</f>
        <v>0</v>
      </c>
      <c r="H136" s="3">
        <f>SUMIF(Query4!$B$4:$B$138,A136,Query4!$F$4:$F$138)</f>
        <v>-343.5</v>
      </c>
    </row>
    <row r="137" spans="1:8" x14ac:dyDescent="0.2">
      <c r="A137" s="5">
        <v>423</v>
      </c>
      <c r="B137" s="5">
        <v>1</v>
      </c>
      <c r="C137" s="2" t="s">
        <v>132</v>
      </c>
      <c r="D137" s="2">
        <v>123644.98</v>
      </c>
      <c r="E137" s="2">
        <v>0</v>
      </c>
      <c r="G137" s="3">
        <f>SUMIF(Query1!$B$4:$B$146,A137,Query1!$F$4:$F$146)</f>
        <v>0</v>
      </c>
      <c r="H137" s="3">
        <f>SUMIF(Query4!$B$4:$B$138,A137,Query4!$F$4:$F$138)</f>
        <v>0</v>
      </c>
    </row>
    <row r="138" spans="1:8" x14ac:dyDescent="0.2">
      <c r="A138" s="5">
        <v>424</v>
      </c>
      <c r="B138" s="5">
        <v>1</v>
      </c>
      <c r="C138" s="2" t="s">
        <v>133</v>
      </c>
      <c r="D138" s="2">
        <v>18553.39</v>
      </c>
      <c r="E138" s="2">
        <v>0</v>
      </c>
      <c r="G138" s="3">
        <f>SUMIF(Query1!$B$4:$B$146,A138,Query1!$F$4:$F$146)</f>
        <v>-2989.15</v>
      </c>
      <c r="H138" s="3">
        <f>SUMIF(Query4!$B$4:$B$138,A138,Query4!$F$4:$F$138)</f>
        <v>-365.27</v>
      </c>
    </row>
    <row r="139" spans="1:8" x14ac:dyDescent="0.2">
      <c r="A139" s="5">
        <v>432</v>
      </c>
      <c r="B139" s="5">
        <v>1</v>
      </c>
      <c r="C139" s="2" t="s">
        <v>134</v>
      </c>
      <c r="D139" s="2">
        <v>-4453.08</v>
      </c>
      <c r="E139" s="2">
        <v>0</v>
      </c>
      <c r="G139" s="3">
        <f>SUMIF(Query1!$B$4:$B$146,A139,Query1!$F$4:$F$146)</f>
        <v>0</v>
      </c>
      <c r="H139" s="3">
        <f>SUMIF(Query4!$B$4:$B$138,A139,Query4!$F$4:$F$138)</f>
        <v>0</v>
      </c>
    </row>
    <row r="140" spans="1:8" x14ac:dyDescent="0.2">
      <c r="A140" s="5">
        <v>435</v>
      </c>
      <c r="B140" s="5">
        <v>1</v>
      </c>
      <c r="C140" s="2" t="s">
        <v>135</v>
      </c>
      <c r="D140" s="2">
        <v>-13078.53</v>
      </c>
      <c r="E140" s="2">
        <v>0</v>
      </c>
      <c r="G140" s="3">
        <f>SUMIF(Query1!$B$4:$B$146,A140,Query1!$F$4:$F$146)</f>
        <v>0</v>
      </c>
      <c r="H140" s="3">
        <f>SUMIF(Query4!$B$4:$B$138,A140,Query4!$F$4:$F$138)</f>
        <v>0</v>
      </c>
    </row>
    <row r="141" spans="1:8" x14ac:dyDescent="0.2">
      <c r="A141" s="5">
        <v>441</v>
      </c>
      <c r="B141" s="5">
        <v>1</v>
      </c>
      <c r="C141" s="2" t="s">
        <v>136</v>
      </c>
      <c r="D141" s="2">
        <v>-174020.30999999997</v>
      </c>
      <c r="E141" s="2">
        <v>-5325.22</v>
      </c>
      <c r="G141" s="3">
        <f>SUMIF(Query1!$B$4:$B$146,A141,Query1!$F$4:$F$146)</f>
        <v>0</v>
      </c>
      <c r="H141" s="3">
        <f>SUMIF(Query4!$B$4:$B$138,A141,Query4!$F$4:$F$138)</f>
        <v>0</v>
      </c>
    </row>
    <row r="142" spans="1:8" x14ac:dyDescent="0.2">
      <c r="A142" s="5">
        <v>447</v>
      </c>
      <c r="B142" s="5">
        <v>1</v>
      </c>
      <c r="C142" s="2" t="s">
        <v>137</v>
      </c>
      <c r="D142" s="2">
        <v>-28137.34</v>
      </c>
      <c r="E142" s="2">
        <v>0</v>
      </c>
      <c r="G142" s="3">
        <f>SUMIF(Query1!$B$4:$B$146,A142,Query1!$F$4:$F$146)</f>
        <v>-3694.43</v>
      </c>
      <c r="H142" s="3">
        <f>SUMIF(Query4!$B$4:$B$138,A142,Query4!$F$4:$F$138)</f>
        <v>0</v>
      </c>
    </row>
    <row r="143" spans="1:8" x14ac:dyDescent="0.2">
      <c r="A143" s="5">
        <v>458</v>
      </c>
      <c r="B143" s="5">
        <v>1</v>
      </c>
      <c r="C143" s="2" t="s">
        <v>138</v>
      </c>
      <c r="D143" s="2">
        <v>23637.35</v>
      </c>
      <c r="E143" s="2">
        <v>0</v>
      </c>
      <c r="G143" s="3">
        <f>SUMIF(Query1!$B$4:$B$146,A143,Query1!$F$4:$F$146)</f>
        <v>-3492.07</v>
      </c>
      <c r="H143" s="3">
        <f>SUMIF(Query4!$B$4:$B$138,A143,Query4!$F$4:$F$138)</f>
        <v>-1559.97</v>
      </c>
    </row>
    <row r="144" spans="1:8" x14ac:dyDescent="0.2">
      <c r="A144" s="5">
        <v>463</v>
      </c>
      <c r="B144" s="5">
        <v>1</v>
      </c>
      <c r="C144" s="2" t="s">
        <v>139</v>
      </c>
      <c r="D144" s="2">
        <v>-13235.29</v>
      </c>
      <c r="E144" s="2">
        <v>0</v>
      </c>
      <c r="G144" s="3">
        <f>SUMIF(Query1!$B$4:$B$146,A144,Query1!$F$4:$F$146)</f>
        <v>0</v>
      </c>
      <c r="H144" s="3">
        <f>SUMIF(Query4!$B$4:$B$138,A144,Query4!$F$4:$F$138)</f>
        <v>0</v>
      </c>
    </row>
    <row r="145" spans="1:8" x14ac:dyDescent="0.2">
      <c r="A145" s="5">
        <v>465</v>
      </c>
      <c r="B145" s="5">
        <v>1</v>
      </c>
      <c r="C145" s="2" t="s">
        <v>140</v>
      </c>
      <c r="D145" s="2">
        <v>57871.86</v>
      </c>
      <c r="E145" s="2">
        <v>0</v>
      </c>
      <c r="G145" s="3">
        <f>SUMIF(Query1!$B$4:$B$146,A145,Query1!$F$4:$F$146)</f>
        <v>0</v>
      </c>
      <c r="H145" s="3">
        <f>SUMIF(Query4!$B$4:$B$138,A145,Query4!$F$4:$F$138)</f>
        <v>0</v>
      </c>
    </row>
    <row r="146" spans="1:8" x14ac:dyDescent="0.2">
      <c r="A146" s="5">
        <v>466</v>
      </c>
      <c r="B146" s="5">
        <v>1</v>
      </c>
      <c r="C146" s="2" t="s">
        <v>141</v>
      </c>
      <c r="D146" s="2">
        <v>32354.02</v>
      </c>
      <c r="E146" s="2">
        <v>0</v>
      </c>
      <c r="G146" s="3">
        <f>SUMIF(Query1!$B$4:$B$146,A146,Query1!$F$4:$F$146)</f>
        <v>0</v>
      </c>
      <c r="H146" s="3">
        <f>SUMIF(Query4!$B$4:$B$138,A146,Query4!$F$4:$F$138)</f>
        <v>0</v>
      </c>
    </row>
    <row r="147" spans="1:8" x14ac:dyDescent="0.2">
      <c r="A147" s="5">
        <v>473</v>
      </c>
      <c r="B147" s="5">
        <v>1</v>
      </c>
      <c r="C147" s="2" t="s">
        <v>142</v>
      </c>
      <c r="D147" s="2">
        <v>-2988.55</v>
      </c>
      <c r="E147" s="2">
        <v>0</v>
      </c>
      <c r="G147" s="3">
        <f>SUMIF(Query1!$B$4:$B$146,A147,Query1!$F$4:$F$146)</f>
        <v>-5416.61</v>
      </c>
      <c r="H147" s="3">
        <f>SUMIF(Query4!$B$4:$B$138,A147,Query4!$F$4:$F$138)</f>
        <v>0</v>
      </c>
    </row>
    <row r="148" spans="1:8" x14ac:dyDescent="0.2">
      <c r="A148" s="5">
        <v>477</v>
      </c>
      <c r="B148" s="5">
        <v>1</v>
      </c>
      <c r="C148" s="2" t="s">
        <v>143</v>
      </c>
      <c r="D148" s="2">
        <v>135667.07999999999</v>
      </c>
      <c r="E148" s="2">
        <v>0</v>
      </c>
      <c r="G148" s="3">
        <f>SUMIF(Query1!$B$4:$B$146,A148,Query1!$F$4:$F$146)</f>
        <v>0</v>
      </c>
      <c r="H148" s="3">
        <f>SUMIF(Query4!$B$4:$B$138,A148,Query4!$F$4:$F$138)</f>
        <v>0</v>
      </c>
    </row>
    <row r="149" spans="1:8" x14ac:dyDescent="0.2">
      <c r="A149" s="5">
        <v>480</v>
      </c>
      <c r="B149" s="5">
        <v>1</v>
      </c>
      <c r="C149" s="2" t="s">
        <v>144</v>
      </c>
      <c r="D149" s="2">
        <v>-383504.26</v>
      </c>
      <c r="E149" s="2">
        <v>-11638.14</v>
      </c>
      <c r="G149" s="3">
        <f>SUMIF(Query1!$B$4:$B$146,A149,Query1!$F$4:$F$146)</f>
        <v>-9662</v>
      </c>
      <c r="H149" s="3">
        <f>SUMIF(Query4!$B$4:$B$138,A149,Query4!$F$4:$F$138)</f>
        <v>-1201</v>
      </c>
    </row>
    <row r="150" spans="1:8" x14ac:dyDescent="0.2">
      <c r="A150" s="5">
        <v>482</v>
      </c>
      <c r="B150" s="5">
        <v>1</v>
      </c>
      <c r="C150" s="2" t="s">
        <v>145</v>
      </c>
      <c r="D150" s="2">
        <v>-76535.47</v>
      </c>
      <c r="E150" s="2">
        <v>0</v>
      </c>
      <c r="G150" s="3">
        <f>SUMIF(Query1!$B$4:$B$146,A150,Query1!$F$4:$F$146)</f>
        <v>0</v>
      </c>
      <c r="H150" s="3">
        <f>SUMIF(Query4!$B$4:$B$138,A150,Query4!$F$4:$F$138)</f>
        <v>-4656.87</v>
      </c>
    </row>
    <row r="151" spans="1:8" x14ac:dyDescent="0.2">
      <c r="A151" s="5">
        <v>484</v>
      </c>
      <c r="B151" s="5">
        <v>1</v>
      </c>
      <c r="C151" s="2" t="s">
        <v>146</v>
      </c>
      <c r="D151" s="2">
        <v>-13572.29</v>
      </c>
      <c r="E151" s="2">
        <v>0</v>
      </c>
      <c r="G151" s="3">
        <f>SUMIF(Query1!$B$4:$B$146,A151,Query1!$F$4:$F$146)</f>
        <v>0</v>
      </c>
      <c r="H151" s="3">
        <f>SUMIF(Query4!$B$4:$B$138,A151,Query4!$F$4:$F$138)</f>
        <v>-489.62</v>
      </c>
    </row>
    <row r="152" spans="1:8" x14ac:dyDescent="0.2">
      <c r="A152" s="5">
        <v>485</v>
      </c>
      <c r="B152" s="5">
        <v>1</v>
      </c>
      <c r="C152" s="2" t="s">
        <v>147</v>
      </c>
      <c r="D152" s="2">
        <v>300.76</v>
      </c>
      <c r="E152" s="2">
        <v>0</v>
      </c>
      <c r="G152" s="3">
        <f>SUMIF(Query1!$B$4:$B$146,A152,Query1!$F$4:$F$146)</f>
        <v>-46763.29</v>
      </c>
      <c r="H152" s="3">
        <f>SUMIF(Query4!$B$4:$B$138,A152,Query4!$F$4:$F$138)</f>
        <v>-918.22</v>
      </c>
    </row>
    <row r="153" spans="1:8" x14ac:dyDescent="0.2">
      <c r="A153" s="5">
        <v>486</v>
      </c>
      <c r="B153" s="5">
        <v>1</v>
      </c>
      <c r="C153" s="2" t="s">
        <v>148</v>
      </c>
      <c r="D153" s="2">
        <v>-24859.07</v>
      </c>
      <c r="E153" s="2">
        <v>-3697.18</v>
      </c>
      <c r="G153" s="3">
        <f>SUMIF(Query1!$B$4:$B$146,A153,Query1!$F$4:$F$146)</f>
        <v>0</v>
      </c>
      <c r="H153" s="3">
        <f>SUMIF(Query4!$B$4:$B$138,A153,Query4!$F$4:$F$138)</f>
        <v>0</v>
      </c>
    </row>
    <row r="154" spans="1:8" x14ac:dyDescent="0.2">
      <c r="A154" s="5">
        <v>487</v>
      </c>
      <c r="B154" s="5">
        <v>1</v>
      </c>
      <c r="C154" s="2" t="s">
        <v>149</v>
      </c>
      <c r="D154" s="2">
        <v>-88584.94</v>
      </c>
      <c r="E154" s="2">
        <v>-3912.27</v>
      </c>
      <c r="G154" s="3">
        <f>SUMIF(Query1!$B$4:$B$146,A154,Query1!$F$4:$F$146)</f>
        <v>0</v>
      </c>
      <c r="H154" s="3">
        <f>SUMIF(Query4!$B$4:$B$138,A154,Query4!$F$4:$F$138)</f>
        <v>0</v>
      </c>
    </row>
    <row r="155" spans="1:8" x14ac:dyDescent="0.2">
      <c r="A155" s="5">
        <v>492</v>
      </c>
      <c r="B155" s="5">
        <v>1</v>
      </c>
      <c r="C155" s="2" t="s">
        <v>150</v>
      </c>
      <c r="D155" s="2">
        <v>-163367.6</v>
      </c>
      <c r="E155" s="2">
        <v>0</v>
      </c>
      <c r="G155" s="3">
        <f>SUMIF(Query1!$B$4:$B$146,A155,Query1!$F$4:$F$146)</f>
        <v>-56999.45</v>
      </c>
      <c r="H155" s="3">
        <f>SUMIF(Query4!$B$4:$B$138,A155,Query4!$F$4:$F$138)</f>
        <v>-10411.94</v>
      </c>
    </row>
    <row r="156" spans="1:8" x14ac:dyDescent="0.2">
      <c r="A156" s="5">
        <v>495</v>
      </c>
      <c r="B156" s="5">
        <v>1</v>
      </c>
      <c r="C156" s="2" t="s">
        <v>151</v>
      </c>
      <c r="D156" s="2">
        <v>-23242.61</v>
      </c>
      <c r="E156" s="2">
        <v>0</v>
      </c>
      <c r="G156" s="3">
        <f>SUMIF(Query1!$B$4:$B$146,A156,Query1!$F$4:$F$146)</f>
        <v>0</v>
      </c>
      <c r="H156" s="3">
        <f>SUMIF(Query4!$B$4:$B$138,A156,Query4!$F$4:$F$138)</f>
        <v>0</v>
      </c>
    </row>
    <row r="157" spans="1:8" x14ac:dyDescent="0.2">
      <c r="A157" s="5">
        <v>497</v>
      </c>
      <c r="B157" s="5">
        <v>1</v>
      </c>
      <c r="C157" s="2" t="s">
        <v>152</v>
      </c>
      <c r="D157" s="2">
        <v>-25776.73</v>
      </c>
      <c r="E157" s="2">
        <v>0</v>
      </c>
      <c r="G157" s="3">
        <f>SUMIF(Query1!$B$4:$B$146,A157,Query1!$F$4:$F$146)</f>
        <v>-15022.67</v>
      </c>
      <c r="H157" s="3">
        <f>SUMIF(Query4!$B$4:$B$138,A157,Query4!$F$4:$F$138)</f>
        <v>0</v>
      </c>
    </row>
    <row r="158" spans="1:8" x14ac:dyDescent="0.2">
      <c r="A158" s="5">
        <v>499</v>
      </c>
      <c r="B158" s="5">
        <v>1</v>
      </c>
      <c r="C158" s="2" t="s">
        <v>153</v>
      </c>
      <c r="D158" s="2">
        <v>75612.960000000006</v>
      </c>
      <c r="E158" s="2">
        <v>0</v>
      </c>
      <c r="G158" s="3">
        <f>SUMIF(Query1!$B$4:$B$146,A158,Query1!$F$4:$F$146)</f>
        <v>0</v>
      </c>
      <c r="H158" s="3">
        <f>SUMIF(Query4!$B$4:$B$138,A158,Query4!$F$4:$F$138)</f>
        <v>0</v>
      </c>
    </row>
    <row r="159" spans="1:8" x14ac:dyDescent="0.2">
      <c r="A159" s="5">
        <v>500</v>
      </c>
      <c r="B159" s="5">
        <v>1</v>
      </c>
      <c r="C159" s="2" t="s">
        <v>154</v>
      </c>
      <c r="D159" s="2">
        <v>180394.11</v>
      </c>
      <c r="E159" s="2">
        <v>0</v>
      </c>
      <c r="G159" s="3">
        <f>SUMIF(Query1!$B$4:$B$146,A159,Query1!$F$4:$F$146)</f>
        <v>0</v>
      </c>
      <c r="H159" s="3">
        <f>SUMIF(Query4!$B$4:$B$138,A159,Query4!$F$4:$F$138)</f>
        <v>0</v>
      </c>
    </row>
    <row r="160" spans="1:8" x14ac:dyDescent="0.2">
      <c r="A160" s="5">
        <v>505</v>
      </c>
      <c r="B160" s="5">
        <v>1</v>
      </c>
      <c r="C160" s="2" t="s">
        <v>155</v>
      </c>
      <c r="D160" s="2">
        <v>133257.75</v>
      </c>
      <c r="E160" s="2">
        <v>0</v>
      </c>
      <c r="G160" s="3">
        <f>SUMIF(Query1!$B$4:$B$146,A160,Query1!$F$4:$F$146)</f>
        <v>-882.38</v>
      </c>
      <c r="H160" s="3">
        <f>SUMIF(Query4!$B$4:$B$138,A160,Query4!$F$4:$F$138)</f>
        <v>0</v>
      </c>
    </row>
    <row r="161" spans="1:8" x14ac:dyDescent="0.2">
      <c r="A161" s="5">
        <v>507</v>
      </c>
      <c r="B161" s="5">
        <v>1</v>
      </c>
      <c r="C161" s="2" t="s">
        <v>156</v>
      </c>
      <c r="D161" s="2">
        <v>-13108.92</v>
      </c>
      <c r="E161" s="2">
        <v>0</v>
      </c>
      <c r="G161" s="3">
        <f>SUMIF(Query1!$B$4:$B$146,A161,Query1!$F$4:$F$146)</f>
        <v>-32097</v>
      </c>
      <c r="H161" s="3">
        <f>SUMIF(Query4!$B$4:$B$138,A161,Query4!$F$4:$F$138)</f>
        <v>0</v>
      </c>
    </row>
    <row r="162" spans="1:8" x14ac:dyDescent="0.2">
      <c r="A162" s="5">
        <v>508</v>
      </c>
      <c r="B162" s="5">
        <v>1</v>
      </c>
      <c r="C162" s="2" t="s">
        <v>157</v>
      </c>
      <c r="D162" s="2">
        <v>-223289.54000000004</v>
      </c>
      <c r="E162" s="2">
        <v>-24008.850000000002</v>
      </c>
      <c r="G162" s="3">
        <f>SUMIF(Query1!$B$4:$B$146,A162,Query1!$F$4:$F$146)</f>
        <v>0</v>
      </c>
      <c r="H162" s="3">
        <f>SUMIF(Query4!$B$4:$B$138,A162,Query4!$F$4:$F$138)</f>
        <v>-878</v>
      </c>
    </row>
    <row r="163" spans="1:8" x14ac:dyDescent="0.2">
      <c r="A163" s="5">
        <v>511</v>
      </c>
      <c r="B163" s="5">
        <v>1</v>
      </c>
      <c r="C163" s="2" t="s">
        <v>158</v>
      </c>
      <c r="D163" s="2">
        <v>25097.19</v>
      </c>
      <c r="E163" s="2">
        <v>0</v>
      </c>
      <c r="G163" s="3">
        <f>SUMIF(Query1!$B$4:$B$146,A163,Query1!$F$4:$F$146)</f>
        <v>0</v>
      </c>
      <c r="H163" s="3">
        <f>SUMIF(Query4!$B$4:$B$138,A163,Query4!$F$4:$F$138)</f>
        <v>-32.700000000000003</v>
      </c>
    </row>
    <row r="164" spans="1:8" x14ac:dyDescent="0.2">
      <c r="A164" s="5">
        <v>513</v>
      </c>
      <c r="B164" s="5">
        <v>1</v>
      </c>
      <c r="C164" s="2" t="s">
        <v>159</v>
      </c>
      <c r="D164" s="2">
        <v>-29052.720000000001</v>
      </c>
      <c r="E164" s="2">
        <v>0</v>
      </c>
      <c r="G164" s="3">
        <f>SUMIF(Query1!$B$4:$B$146,A164,Query1!$F$4:$F$146)</f>
        <v>0</v>
      </c>
      <c r="H164" s="3">
        <f>SUMIF(Query4!$B$4:$B$138,A164,Query4!$F$4:$F$138)</f>
        <v>-2201.62</v>
      </c>
    </row>
    <row r="165" spans="1:8" x14ac:dyDescent="0.2">
      <c r="A165" s="5">
        <v>514</v>
      </c>
      <c r="B165" s="5">
        <v>1</v>
      </c>
      <c r="C165" s="2" t="s">
        <v>160</v>
      </c>
      <c r="D165" s="2">
        <v>11704.88</v>
      </c>
      <c r="E165" s="2">
        <v>0</v>
      </c>
      <c r="G165" s="3">
        <f>SUMIF(Query1!$B$4:$B$146,A165,Query1!$F$4:$F$146)</f>
        <v>-9894.75</v>
      </c>
      <c r="H165" s="3">
        <f>SUMIF(Query4!$B$4:$B$138,A165,Query4!$F$4:$F$138)</f>
        <v>-30.04</v>
      </c>
    </row>
    <row r="166" spans="1:8" x14ac:dyDescent="0.2">
      <c r="A166" s="5">
        <v>516</v>
      </c>
      <c r="B166" s="5">
        <v>1</v>
      </c>
      <c r="C166" s="2" t="s">
        <v>161</v>
      </c>
      <c r="D166" s="2">
        <v>3062.2</v>
      </c>
      <c r="E166" s="2">
        <v>0</v>
      </c>
      <c r="G166" s="3">
        <f>SUMIF(Query1!$B$4:$B$146,A166,Query1!$F$4:$F$146)</f>
        <v>0</v>
      </c>
      <c r="H166" s="3">
        <f>SUMIF(Query4!$B$4:$B$138,A166,Query4!$F$4:$F$138)</f>
        <v>-2635.48</v>
      </c>
    </row>
    <row r="167" spans="1:8" x14ac:dyDescent="0.2">
      <c r="A167" s="5">
        <v>518</v>
      </c>
      <c r="B167" s="5">
        <v>1</v>
      </c>
      <c r="C167" s="2" t="s">
        <v>162</v>
      </c>
      <c r="D167" s="2">
        <v>-126686.85</v>
      </c>
      <c r="E167" s="2">
        <v>0</v>
      </c>
      <c r="G167" s="3">
        <f>SUMIF(Query1!$B$4:$B$146,A167,Query1!$F$4:$F$146)</f>
        <v>0</v>
      </c>
      <c r="H167" s="3">
        <f>SUMIF(Query4!$B$4:$B$138,A167,Query4!$F$4:$F$138)</f>
        <v>-2231.5300000000002</v>
      </c>
    </row>
    <row r="168" spans="1:8" x14ac:dyDescent="0.2">
      <c r="A168" s="5">
        <v>531</v>
      </c>
      <c r="B168" s="5">
        <v>1</v>
      </c>
      <c r="C168" s="2" t="s">
        <v>163</v>
      </c>
      <c r="D168" s="2">
        <v>-126266.07</v>
      </c>
      <c r="E168" s="2">
        <v>0</v>
      </c>
      <c r="G168" s="3">
        <f>SUMIF(Query1!$B$4:$B$146,A168,Query1!$F$4:$F$146)</f>
        <v>0</v>
      </c>
      <c r="H168" s="3">
        <f>SUMIF(Query4!$B$4:$B$138,A168,Query4!$F$4:$F$138)</f>
        <v>0</v>
      </c>
    </row>
    <row r="169" spans="1:8" x14ac:dyDescent="0.2">
      <c r="A169" s="5">
        <v>533</v>
      </c>
      <c r="B169" s="5">
        <v>1</v>
      </c>
      <c r="C169" s="2" t="s">
        <v>164</v>
      </c>
      <c r="D169" s="2">
        <v>-30824.720000000001</v>
      </c>
      <c r="E169" s="2">
        <v>0</v>
      </c>
      <c r="G169" s="3">
        <f>SUMIF(Query1!$B$4:$B$146,A169,Query1!$F$4:$F$146)</f>
        <v>-10171</v>
      </c>
      <c r="H169" s="3">
        <f>SUMIF(Query4!$B$4:$B$138,A169,Query4!$F$4:$F$138)</f>
        <v>-1100</v>
      </c>
    </row>
    <row r="170" spans="1:8" x14ac:dyDescent="0.2">
      <c r="A170" s="5">
        <v>534</v>
      </c>
      <c r="B170" s="5">
        <v>1</v>
      </c>
      <c r="C170" s="2" t="s">
        <v>165</v>
      </c>
      <c r="D170" s="2">
        <v>91568.18</v>
      </c>
      <c r="E170" s="2">
        <v>0</v>
      </c>
      <c r="G170" s="3">
        <f>SUMIF(Query1!$B$4:$B$146,A170,Query1!$F$4:$F$146)</f>
        <v>0</v>
      </c>
      <c r="H170" s="3">
        <f>SUMIF(Query4!$B$4:$B$138,A170,Query4!$F$4:$F$138)</f>
        <v>0</v>
      </c>
    </row>
    <row r="171" spans="1:8" x14ac:dyDescent="0.2">
      <c r="A171" s="5">
        <v>535</v>
      </c>
      <c r="B171" s="5">
        <v>1</v>
      </c>
      <c r="C171" s="2" t="s">
        <v>166</v>
      </c>
      <c r="D171" s="2">
        <v>-14777.93</v>
      </c>
      <c r="E171" s="2">
        <v>0</v>
      </c>
      <c r="G171" s="3">
        <f>SUMIF(Query1!$B$4:$B$146,A171,Query1!$F$4:$F$146)</f>
        <v>-508187.91</v>
      </c>
      <c r="H171" s="3">
        <f>SUMIF(Query4!$B$4:$B$138,A171,Query4!$F$4:$F$138)</f>
        <v>-5989.99</v>
      </c>
    </row>
    <row r="172" spans="1:8" x14ac:dyDescent="0.2">
      <c r="A172" s="5">
        <v>542</v>
      </c>
      <c r="B172" s="5">
        <v>1</v>
      </c>
      <c r="C172" s="2" t="s">
        <v>167</v>
      </c>
      <c r="D172" s="2">
        <v>1323.43</v>
      </c>
      <c r="E172" s="2">
        <v>0</v>
      </c>
      <c r="G172" s="3">
        <f>SUMIF(Query1!$B$4:$B$146,A172,Query1!$F$4:$F$146)</f>
        <v>0</v>
      </c>
      <c r="H172" s="3">
        <f>SUMIF(Query4!$B$4:$B$138,A172,Query4!$F$4:$F$138)</f>
        <v>0</v>
      </c>
    </row>
    <row r="173" spans="1:8" x14ac:dyDescent="0.2">
      <c r="A173" s="5">
        <v>544</v>
      </c>
      <c r="B173" s="5">
        <v>1</v>
      </c>
      <c r="C173" s="2" t="s">
        <v>168</v>
      </c>
      <c r="D173" s="2">
        <v>54148.17</v>
      </c>
      <c r="E173" s="2">
        <v>0</v>
      </c>
      <c r="G173" s="3">
        <f>SUMIF(Query1!$B$4:$B$146,A173,Query1!$F$4:$F$146)</f>
        <v>-1279428.31</v>
      </c>
      <c r="H173" s="3">
        <f>SUMIF(Query4!$B$4:$B$138,A173,Query4!$F$4:$F$138)</f>
        <v>-98667.839999999997</v>
      </c>
    </row>
    <row r="174" spans="1:8" x14ac:dyDescent="0.2">
      <c r="A174" s="5">
        <v>545</v>
      </c>
      <c r="B174" s="5">
        <v>1</v>
      </c>
      <c r="C174" s="2" t="s">
        <v>169</v>
      </c>
      <c r="D174" s="2">
        <v>-19328.55</v>
      </c>
      <c r="E174" s="2">
        <v>0</v>
      </c>
      <c r="G174" s="3">
        <f>SUMIF(Query1!$B$4:$B$146,A174,Query1!$F$4:$F$146)</f>
        <v>0</v>
      </c>
      <c r="H174" s="3">
        <f>SUMIF(Query4!$B$4:$B$138,A174,Query4!$F$4:$F$138)</f>
        <v>-272.68</v>
      </c>
    </row>
    <row r="175" spans="1:8" x14ac:dyDescent="0.2">
      <c r="A175" s="5">
        <v>547</v>
      </c>
      <c r="B175" s="5">
        <v>1</v>
      </c>
      <c r="C175" s="2" t="s">
        <v>170</v>
      </c>
      <c r="D175" s="2">
        <v>13135.79</v>
      </c>
      <c r="E175" s="2">
        <v>0</v>
      </c>
      <c r="G175" s="3">
        <f>SUMIF(Query1!$B$4:$B$146,A175,Query1!$F$4:$F$146)</f>
        <v>0</v>
      </c>
      <c r="H175" s="3">
        <f>SUMIF(Query4!$B$4:$B$138,A175,Query4!$F$4:$F$138)</f>
        <v>-1201</v>
      </c>
    </row>
    <row r="176" spans="1:8" x14ac:dyDescent="0.2">
      <c r="A176" s="5">
        <v>548</v>
      </c>
      <c r="B176" s="5">
        <v>1</v>
      </c>
      <c r="C176" s="2" t="s">
        <v>171</v>
      </c>
      <c r="D176" s="2">
        <v>-341258.36000000004</v>
      </c>
      <c r="E176" s="2">
        <v>-11601.97</v>
      </c>
      <c r="G176" s="3">
        <f>SUMIF(Query1!$B$4:$B$146,A176,Query1!$F$4:$F$146)</f>
        <v>-2529.2800000000002</v>
      </c>
      <c r="H176" s="3">
        <f>SUMIF(Query4!$B$4:$B$138,A176,Query4!$F$4:$F$138)</f>
        <v>-414.45</v>
      </c>
    </row>
    <row r="177" spans="1:8" x14ac:dyDescent="0.2">
      <c r="A177" s="5">
        <v>549</v>
      </c>
      <c r="B177" s="5">
        <v>1</v>
      </c>
      <c r="C177" s="2" t="s">
        <v>172</v>
      </c>
      <c r="D177" s="2">
        <v>24125.9</v>
      </c>
      <c r="E177" s="2">
        <v>0</v>
      </c>
      <c r="G177" s="3">
        <f>SUMIF(Query1!$B$4:$B$146,A177,Query1!$F$4:$F$146)</f>
        <v>-154557.47</v>
      </c>
      <c r="H177" s="3">
        <f>SUMIF(Query4!$B$4:$B$138,A177,Query4!$F$4:$F$138)</f>
        <v>0</v>
      </c>
    </row>
    <row r="178" spans="1:8" x14ac:dyDescent="0.2">
      <c r="A178" s="5">
        <v>550</v>
      </c>
      <c r="B178" s="5">
        <v>1</v>
      </c>
      <c r="C178" s="2" t="s">
        <v>173</v>
      </c>
      <c r="D178" s="2">
        <v>-4934.6499999999996</v>
      </c>
      <c r="E178" s="2">
        <v>0</v>
      </c>
      <c r="G178" s="3">
        <f>SUMIF(Query1!$B$4:$B$146,A178,Query1!$F$4:$F$146)</f>
        <v>-16814.89</v>
      </c>
      <c r="H178" s="3">
        <f>SUMIF(Query4!$B$4:$B$138,A178,Query4!$F$4:$F$138)</f>
        <v>-405.81</v>
      </c>
    </row>
    <row r="179" spans="1:8" x14ac:dyDescent="0.2">
      <c r="A179" s="5">
        <v>553</v>
      </c>
      <c r="B179" s="5">
        <v>1</v>
      </c>
      <c r="C179" s="2" t="s">
        <v>174</v>
      </c>
      <c r="D179" s="2">
        <v>4714.6400000000003</v>
      </c>
      <c r="E179" s="2">
        <v>0</v>
      </c>
      <c r="G179" s="3">
        <f>SUMIF(Query1!$B$4:$B$146,A179,Query1!$F$4:$F$146)</f>
        <v>-9804.7900000000009</v>
      </c>
      <c r="H179" s="3">
        <f>SUMIF(Query4!$B$4:$B$138,A179,Query4!$F$4:$F$138)</f>
        <v>-1131.77</v>
      </c>
    </row>
    <row r="180" spans="1:8" x14ac:dyDescent="0.2">
      <c r="A180" s="5">
        <v>561</v>
      </c>
      <c r="B180" s="5">
        <v>1</v>
      </c>
      <c r="C180" s="2" t="s">
        <v>175</v>
      </c>
      <c r="D180" s="2">
        <v>-497.41</v>
      </c>
      <c r="E180" s="2">
        <v>0</v>
      </c>
      <c r="G180" s="3">
        <f>SUMIF(Query1!$B$4:$B$146,A180,Query1!$F$4:$F$146)</f>
        <v>-2467.89</v>
      </c>
      <c r="H180" s="3">
        <f>SUMIF(Query4!$B$4:$B$138,A180,Query4!$F$4:$F$138)</f>
        <v>-87.47</v>
      </c>
    </row>
    <row r="181" spans="1:8" x14ac:dyDescent="0.2">
      <c r="A181" s="5">
        <v>564</v>
      </c>
      <c r="B181" s="5">
        <v>1</v>
      </c>
      <c r="C181" s="2" t="s">
        <v>176</v>
      </c>
      <c r="D181" s="2">
        <v>-78290.600000000006</v>
      </c>
      <c r="E181" s="2">
        <v>0</v>
      </c>
      <c r="G181" s="3">
        <f>SUMIF(Query1!$B$4:$B$146,A181,Query1!$F$4:$F$146)</f>
        <v>0</v>
      </c>
      <c r="H181" s="3">
        <f>SUMIF(Query4!$B$4:$B$138,A181,Query4!$F$4:$F$138)</f>
        <v>0</v>
      </c>
    </row>
    <row r="182" spans="1:8" x14ac:dyDescent="0.2">
      <c r="A182" s="5">
        <v>577</v>
      </c>
      <c r="B182" s="5">
        <v>1</v>
      </c>
      <c r="C182" s="2" t="s">
        <v>177</v>
      </c>
      <c r="D182" s="2">
        <v>39942.5</v>
      </c>
      <c r="E182" s="2">
        <v>0</v>
      </c>
      <c r="G182" s="3">
        <f>SUMIF(Query1!$B$4:$B$146,A182,Query1!$F$4:$F$146)</f>
        <v>-4869.95</v>
      </c>
      <c r="H182" s="3">
        <f>SUMIF(Query4!$B$4:$B$138,A182,Query4!$F$4:$F$138)</f>
        <v>0</v>
      </c>
    </row>
    <row r="183" spans="1:8" x14ac:dyDescent="0.2">
      <c r="A183" s="5">
        <v>578</v>
      </c>
      <c r="B183" s="5">
        <v>1</v>
      </c>
      <c r="C183" s="2" t="s">
        <v>178</v>
      </c>
      <c r="D183" s="2">
        <v>93799.95</v>
      </c>
      <c r="E183" s="2">
        <v>0</v>
      </c>
      <c r="G183" s="3">
        <f>SUMIF(Query1!$B$4:$B$146,A183,Query1!$F$4:$F$146)</f>
        <v>0</v>
      </c>
      <c r="H183" s="3">
        <f>SUMIF(Query4!$B$4:$B$138,A183,Query4!$F$4:$F$138)</f>
        <v>0</v>
      </c>
    </row>
    <row r="184" spans="1:8" x14ac:dyDescent="0.2">
      <c r="A184" s="5">
        <v>581</v>
      </c>
      <c r="B184" s="5">
        <v>1</v>
      </c>
      <c r="C184" s="2" t="s">
        <v>179</v>
      </c>
      <c r="D184" s="2">
        <v>-979.65</v>
      </c>
      <c r="E184" s="2">
        <v>0</v>
      </c>
      <c r="G184" s="3">
        <f>SUMIF(Query1!$B$4:$B$146,A184,Query1!$F$4:$F$146)</f>
        <v>0</v>
      </c>
      <c r="H184" s="3">
        <f>SUMIF(Query4!$B$4:$B$138,A184,Query4!$F$4:$F$138)</f>
        <v>-1692.17</v>
      </c>
    </row>
    <row r="185" spans="1:8" x14ac:dyDescent="0.2">
      <c r="A185" s="5">
        <v>592</v>
      </c>
      <c r="B185" s="5">
        <v>1</v>
      </c>
      <c r="C185" s="2" t="s">
        <v>180</v>
      </c>
      <c r="D185" s="2">
        <v>-1928.92</v>
      </c>
      <c r="E185" s="2">
        <v>0</v>
      </c>
      <c r="G185" s="3">
        <f>SUMIF(Query1!$B$4:$B$146,A185,Query1!$F$4:$F$146)</f>
        <v>-5601.87</v>
      </c>
      <c r="H185" s="3">
        <f>SUMIF(Query4!$B$4:$B$138,A185,Query4!$F$4:$F$138)</f>
        <v>-97.94</v>
      </c>
    </row>
    <row r="186" spans="1:8" x14ac:dyDescent="0.2">
      <c r="A186" s="5">
        <v>593</v>
      </c>
      <c r="B186" s="5">
        <v>1</v>
      </c>
      <c r="C186" s="2" t="s">
        <v>181</v>
      </c>
      <c r="D186" s="2">
        <v>-444964.94</v>
      </c>
      <c r="E186" s="2">
        <v>-12678.1</v>
      </c>
      <c r="G186" s="3">
        <f>SUMIF(Query1!$B$4:$B$146,A186,Query1!$F$4:$F$146)</f>
        <v>-18117.990000000002</v>
      </c>
      <c r="H186" s="3">
        <f>SUMIF(Query4!$B$4:$B$138,A186,Query4!$F$4:$F$138)</f>
        <v>-3641.94</v>
      </c>
    </row>
    <row r="187" spans="1:8" x14ac:dyDescent="0.2">
      <c r="A187" s="5">
        <v>595</v>
      </c>
      <c r="B187" s="5">
        <v>1</v>
      </c>
      <c r="C187" s="2" t="s">
        <v>182</v>
      </c>
      <c r="D187" s="2">
        <v>52480.19</v>
      </c>
      <c r="E187" s="2">
        <v>0</v>
      </c>
      <c r="G187" s="3">
        <f>SUMIF(Query1!$B$4:$B$146,A187,Query1!$F$4:$F$146)</f>
        <v>-30726.06</v>
      </c>
      <c r="H187" s="3">
        <f>SUMIF(Query4!$B$4:$B$138,A187,Query4!$F$4:$F$138)</f>
        <v>-5649.55</v>
      </c>
    </row>
    <row r="188" spans="1:8" x14ac:dyDescent="0.2">
      <c r="A188" s="5">
        <v>599</v>
      </c>
      <c r="B188" s="5">
        <v>1</v>
      </c>
      <c r="C188" s="2" t="s">
        <v>183</v>
      </c>
      <c r="D188" s="2">
        <v>-440.96</v>
      </c>
      <c r="E188" s="2">
        <v>0</v>
      </c>
      <c r="G188" s="3">
        <f>SUMIF(Query1!$B$4:$B$146,A188,Query1!$F$4:$F$146)</f>
        <v>-8422.64</v>
      </c>
      <c r="H188" s="3">
        <f>SUMIF(Query4!$B$4:$B$138,A188,Query4!$F$4:$F$138)</f>
        <v>-1073.8800000000001</v>
      </c>
    </row>
    <row r="189" spans="1:8" x14ac:dyDescent="0.2">
      <c r="A189" s="5">
        <v>600</v>
      </c>
      <c r="B189" s="5">
        <v>1</v>
      </c>
      <c r="C189" s="2" t="s">
        <v>184</v>
      </c>
      <c r="D189" s="2">
        <v>-2788.76</v>
      </c>
      <c r="E189" s="2">
        <v>0</v>
      </c>
      <c r="G189" s="3">
        <f>SUMIF(Query1!$B$4:$B$146,A189,Query1!$F$4:$F$146)</f>
        <v>-41627.81</v>
      </c>
      <c r="H189" s="3">
        <f>SUMIF(Query4!$B$4:$B$138,A189,Query4!$F$4:$F$138)</f>
        <v>0</v>
      </c>
    </row>
    <row r="190" spans="1:8" x14ac:dyDescent="0.2">
      <c r="A190" s="5">
        <v>601</v>
      </c>
      <c r="B190" s="5">
        <v>1</v>
      </c>
      <c r="C190" s="2" t="s">
        <v>185</v>
      </c>
      <c r="D190" s="2">
        <v>14954.03</v>
      </c>
      <c r="E190" s="2">
        <v>0</v>
      </c>
      <c r="G190" s="3">
        <f>SUMIF(Query1!$B$4:$B$146,A190,Query1!$F$4:$F$146)</f>
        <v>-7305.14</v>
      </c>
      <c r="H190" s="3">
        <f>SUMIF(Query4!$B$4:$B$138,A190,Query4!$F$4:$F$138)</f>
        <v>-764.79</v>
      </c>
    </row>
    <row r="191" spans="1:8" x14ac:dyDescent="0.2">
      <c r="A191" s="5">
        <v>611</v>
      </c>
      <c r="B191" s="5">
        <v>1</v>
      </c>
      <c r="C191" s="2" t="s">
        <v>186</v>
      </c>
      <c r="D191" s="2">
        <v>4474.2299999999996</v>
      </c>
      <c r="E191" s="2">
        <v>0</v>
      </c>
      <c r="G191" s="3">
        <f>SUMIF(Query1!$B$4:$B$146,A191,Query1!$F$4:$F$146)</f>
        <v>0</v>
      </c>
      <c r="H191" s="3">
        <f>SUMIF(Query4!$B$4:$B$138,A191,Query4!$F$4:$F$138)</f>
        <v>0</v>
      </c>
    </row>
    <row r="192" spans="1:8" x14ac:dyDescent="0.2">
      <c r="A192" s="5">
        <v>621</v>
      </c>
      <c r="B192" s="5">
        <v>1</v>
      </c>
      <c r="C192" s="2" t="s">
        <v>187</v>
      </c>
      <c r="D192" s="2">
        <v>-569021.93000000005</v>
      </c>
      <c r="E192" s="2">
        <v>0</v>
      </c>
      <c r="G192" s="3">
        <f>SUMIF(Query1!$B$4:$B$146,A192,Query1!$F$4:$F$146)</f>
        <v>0</v>
      </c>
      <c r="H192" s="3">
        <f>SUMIF(Query4!$B$4:$B$138,A192,Query4!$F$4:$F$138)</f>
        <v>0</v>
      </c>
    </row>
    <row r="193" spans="1:8" x14ac:dyDescent="0.2">
      <c r="A193" s="5">
        <v>622</v>
      </c>
      <c r="B193" s="5">
        <v>1</v>
      </c>
      <c r="C193" s="2" t="s">
        <v>188</v>
      </c>
      <c r="D193" s="2">
        <v>707036.54</v>
      </c>
      <c r="E193" s="2">
        <v>0</v>
      </c>
      <c r="G193" s="3">
        <f>SUMIF(Query1!$B$4:$B$146,A193,Query1!$F$4:$F$146)</f>
        <v>0</v>
      </c>
      <c r="H193" s="3">
        <f>SUMIF(Query4!$B$4:$B$138,A193,Query4!$F$4:$F$138)</f>
        <v>0</v>
      </c>
    </row>
    <row r="194" spans="1:8" x14ac:dyDescent="0.2">
      <c r="A194" s="5">
        <v>623</v>
      </c>
      <c r="B194" s="5">
        <v>1</v>
      </c>
      <c r="C194" s="2" t="s">
        <v>189</v>
      </c>
      <c r="D194" s="2">
        <v>105557.91</v>
      </c>
      <c r="E194" s="2">
        <v>0</v>
      </c>
      <c r="G194" s="3">
        <f>SUMIF(Query1!$B$4:$B$146,A194,Query1!$F$4:$F$146)</f>
        <v>0</v>
      </c>
      <c r="H194" s="3">
        <f>SUMIF(Query4!$B$4:$B$138,A194,Query4!$F$4:$F$138)</f>
        <v>0</v>
      </c>
    </row>
    <row r="195" spans="1:8" x14ac:dyDescent="0.2">
      <c r="A195" s="5">
        <v>624</v>
      </c>
      <c r="B195" s="5">
        <v>1</v>
      </c>
      <c r="C195" s="2" t="s">
        <v>190</v>
      </c>
      <c r="D195" s="2">
        <v>-48624.56</v>
      </c>
      <c r="E195" s="2">
        <v>0</v>
      </c>
      <c r="G195" s="3">
        <f>SUMIF(Query1!$B$4:$B$146,A195,Query1!$F$4:$F$146)</f>
        <v>0</v>
      </c>
      <c r="H195" s="3">
        <f>SUMIF(Query4!$B$4:$B$138,A195,Query4!$F$4:$F$138)</f>
        <v>0</v>
      </c>
    </row>
    <row r="196" spans="1:8" x14ac:dyDescent="0.2">
      <c r="A196" s="5">
        <v>625</v>
      </c>
      <c r="B196" s="5">
        <v>1</v>
      </c>
      <c r="C196" s="2" t="s">
        <v>191</v>
      </c>
      <c r="D196" s="2">
        <v>-2263278.89</v>
      </c>
      <c r="E196" s="2">
        <v>0</v>
      </c>
      <c r="G196" s="3">
        <f>SUMIF(Query1!$B$4:$B$146,A196,Query1!$F$4:$F$146)</f>
        <v>0</v>
      </c>
      <c r="H196" s="3">
        <f>SUMIF(Query4!$B$4:$B$138,A196,Query4!$F$4:$F$138)</f>
        <v>0</v>
      </c>
    </row>
    <row r="197" spans="1:8" x14ac:dyDescent="0.2">
      <c r="A197" s="5">
        <v>627</v>
      </c>
      <c r="B197" s="5">
        <v>1</v>
      </c>
      <c r="C197" s="2" t="s">
        <v>192</v>
      </c>
      <c r="D197" s="2">
        <v>8620.9</v>
      </c>
      <c r="E197" s="2">
        <v>0</v>
      </c>
      <c r="G197" s="3">
        <f>SUMIF(Query1!$B$4:$B$146,A197,Query1!$F$4:$F$146)</f>
        <v>0</v>
      </c>
      <c r="H197" s="3">
        <f>SUMIF(Query4!$B$4:$B$138,A197,Query4!$F$4:$F$138)</f>
        <v>0</v>
      </c>
    </row>
    <row r="198" spans="1:8" x14ac:dyDescent="0.2">
      <c r="A198" s="5">
        <v>628</v>
      </c>
      <c r="B198" s="5">
        <v>1</v>
      </c>
      <c r="C198" s="2" t="s">
        <v>193</v>
      </c>
      <c r="D198" s="2">
        <v>-16325.85</v>
      </c>
      <c r="E198" s="2">
        <v>0</v>
      </c>
      <c r="G198" s="3">
        <f>SUMIF(Query1!$B$4:$B$146,A198,Query1!$F$4:$F$146)</f>
        <v>0</v>
      </c>
      <c r="H198" s="3">
        <f>SUMIF(Query4!$B$4:$B$138,A198,Query4!$F$4:$F$138)</f>
        <v>0</v>
      </c>
    </row>
    <row r="199" spans="1:8" x14ac:dyDescent="0.2">
      <c r="A199" s="5">
        <v>630</v>
      </c>
      <c r="B199" s="5">
        <v>1</v>
      </c>
      <c r="C199" s="2" t="s">
        <v>194</v>
      </c>
      <c r="D199" s="2">
        <v>-9048.66</v>
      </c>
      <c r="E199" s="2">
        <v>0</v>
      </c>
      <c r="G199" s="3">
        <f>SUMIF(Query1!$B$4:$B$146,A199,Query1!$F$4:$F$146)</f>
        <v>0</v>
      </c>
      <c r="H199" s="3">
        <f>SUMIF(Query4!$B$4:$B$138,A199,Query4!$F$4:$F$138)</f>
        <v>-1065.05</v>
      </c>
    </row>
    <row r="200" spans="1:8" x14ac:dyDescent="0.2">
      <c r="A200" s="5">
        <v>635</v>
      </c>
      <c r="B200" s="5">
        <v>1</v>
      </c>
      <c r="C200" s="2" t="s">
        <v>195</v>
      </c>
      <c r="D200" s="2">
        <v>-16509.11</v>
      </c>
      <c r="E200" s="2">
        <v>-1487.91</v>
      </c>
      <c r="G200" s="3">
        <f>SUMIF(Query1!$B$4:$B$146,A200,Query1!$F$4:$F$146)</f>
        <v>0</v>
      </c>
      <c r="H200" s="3">
        <f>SUMIF(Query4!$B$4:$B$138,A200,Query4!$F$4:$F$138)</f>
        <v>-113.86</v>
      </c>
    </row>
    <row r="201" spans="1:8" x14ac:dyDescent="0.2">
      <c r="A201" s="5">
        <v>640</v>
      </c>
      <c r="B201" s="5">
        <v>1</v>
      </c>
      <c r="C201" s="2" t="s">
        <v>196</v>
      </c>
      <c r="D201" s="2">
        <v>-843.22000000000025</v>
      </c>
      <c r="E201" s="2">
        <v>-2177.27</v>
      </c>
      <c r="G201" s="3">
        <f>SUMIF(Query1!$B$4:$B$146,A201,Query1!$F$4:$F$146)</f>
        <v>-3394.34</v>
      </c>
      <c r="H201" s="3">
        <f>SUMIF(Query4!$B$4:$B$138,A201,Query4!$F$4:$F$138)</f>
        <v>-289.69</v>
      </c>
    </row>
    <row r="202" spans="1:8" x14ac:dyDescent="0.2">
      <c r="A202" s="5">
        <v>656</v>
      </c>
      <c r="B202" s="5">
        <v>1</v>
      </c>
      <c r="C202" s="2" t="s">
        <v>197</v>
      </c>
      <c r="D202" s="2">
        <v>217035.81</v>
      </c>
      <c r="E202" s="2">
        <v>0</v>
      </c>
      <c r="G202" s="3">
        <f>SUMIF(Query1!$B$4:$B$146,A202,Query1!$F$4:$F$146)</f>
        <v>0</v>
      </c>
      <c r="H202" s="3">
        <f>SUMIF(Query4!$B$4:$B$138,A202,Query4!$F$4:$F$138)</f>
        <v>0</v>
      </c>
    </row>
    <row r="203" spans="1:8" x14ac:dyDescent="0.2">
      <c r="A203" s="5">
        <v>659</v>
      </c>
      <c r="B203" s="5">
        <v>1</v>
      </c>
      <c r="C203" s="2" t="s">
        <v>198</v>
      </c>
      <c r="D203" s="2">
        <v>-347768.15</v>
      </c>
      <c r="E203" s="2">
        <v>0</v>
      </c>
      <c r="G203" s="3">
        <f>SUMIF(Query1!$B$4:$B$146,A203,Query1!$F$4:$F$146)</f>
        <v>0</v>
      </c>
      <c r="H203" s="3">
        <f>SUMIF(Query4!$B$4:$B$138,A203,Query4!$F$4:$F$138)</f>
        <v>0</v>
      </c>
    </row>
    <row r="204" spans="1:8" x14ac:dyDescent="0.2">
      <c r="A204" s="5">
        <v>671</v>
      </c>
      <c r="B204" s="5">
        <v>1</v>
      </c>
      <c r="C204" s="2" t="s">
        <v>199</v>
      </c>
      <c r="D204" s="2">
        <v>-8829.15</v>
      </c>
      <c r="E204" s="2">
        <v>0</v>
      </c>
      <c r="G204" s="3">
        <f>SUMIF(Query1!$B$4:$B$146,A204,Query1!$F$4:$F$146)</f>
        <v>0</v>
      </c>
      <c r="H204" s="3">
        <f>SUMIF(Query4!$B$4:$B$138,A204,Query4!$F$4:$F$138)</f>
        <v>0</v>
      </c>
    </row>
    <row r="205" spans="1:8" x14ac:dyDescent="0.2">
      <c r="A205" s="5">
        <v>676</v>
      </c>
      <c r="B205" s="5">
        <v>1</v>
      </c>
      <c r="C205" s="2" t="s">
        <v>200</v>
      </c>
      <c r="D205" s="2">
        <v>-7746.94</v>
      </c>
      <c r="E205" s="2">
        <v>-2725.3599999999997</v>
      </c>
      <c r="G205" s="3">
        <f>SUMIF(Query1!$B$4:$B$146,A205,Query1!$F$4:$F$146)</f>
        <v>-16847.36</v>
      </c>
      <c r="H205" s="3">
        <f>SUMIF(Query4!$B$4:$B$138,A205,Query4!$F$4:$F$138)</f>
        <v>-334.03</v>
      </c>
    </row>
    <row r="206" spans="1:8" x14ac:dyDescent="0.2">
      <c r="A206" s="5">
        <v>682</v>
      </c>
      <c r="B206" s="5">
        <v>1</v>
      </c>
      <c r="C206" s="2" t="s">
        <v>201</v>
      </c>
      <c r="D206" s="2">
        <v>-47702.61</v>
      </c>
      <c r="E206" s="2">
        <v>0</v>
      </c>
      <c r="G206" s="3">
        <f>SUMIF(Query1!$B$4:$B$146,A206,Query1!$F$4:$F$146)</f>
        <v>-11892.44</v>
      </c>
      <c r="H206" s="3">
        <f>SUMIF(Query4!$B$4:$B$138,A206,Query4!$F$4:$F$138)</f>
        <v>0</v>
      </c>
    </row>
    <row r="207" spans="1:8" x14ac:dyDescent="0.2">
      <c r="A207" s="5">
        <v>690</v>
      </c>
      <c r="B207" s="5">
        <v>1</v>
      </c>
      <c r="C207" s="2" t="s">
        <v>202</v>
      </c>
      <c r="D207" s="2">
        <v>-6473.89</v>
      </c>
      <c r="E207" s="2">
        <v>0</v>
      </c>
      <c r="G207" s="3">
        <f>SUMIF(Query1!$B$4:$B$146,A207,Query1!$F$4:$F$146)</f>
        <v>-12357.23</v>
      </c>
      <c r="H207" s="3">
        <f>SUMIF(Query4!$B$4:$B$138,A207,Query4!$F$4:$F$138)</f>
        <v>0</v>
      </c>
    </row>
    <row r="208" spans="1:8" x14ac:dyDescent="0.2">
      <c r="A208" s="5">
        <v>695</v>
      </c>
      <c r="B208" s="5">
        <v>1</v>
      </c>
      <c r="C208" s="2" t="s">
        <v>203</v>
      </c>
      <c r="D208" s="2">
        <v>-5251.99</v>
      </c>
      <c r="E208" s="2">
        <v>0</v>
      </c>
      <c r="G208" s="3">
        <f>SUMIF(Query1!$B$4:$B$146,A208,Query1!$F$4:$F$146)</f>
        <v>-111698.45</v>
      </c>
      <c r="H208" s="3">
        <f>SUMIF(Query4!$B$4:$B$138,A208,Query4!$F$4:$F$138)</f>
        <v>0</v>
      </c>
    </row>
    <row r="209" spans="1:8" x14ac:dyDescent="0.2">
      <c r="A209" s="5">
        <v>696</v>
      </c>
      <c r="B209" s="5">
        <v>1</v>
      </c>
      <c r="C209" s="2" t="s">
        <v>204</v>
      </c>
      <c r="D209" s="2">
        <v>1270.99</v>
      </c>
      <c r="E209" s="2">
        <v>0</v>
      </c>
      <c r="G209" s="3">
        <f>SUMIF(Query1!$B$4:$B$146,A209,Query1!$F$4:$F$146)</f>
        <v>-50293.67</v>
      </c>
      <c r="H209" s="3">
        <f>SUMIF(Query4!$B$4:$B$138,A209,Query4!$F$4:$F$138)</f>
        <v>-183.09</v>
      </c>
    </row>
    <row r="210" spans="1:8" x14ac:dyDescent="0.2">
      <c r="A210" s="5">
        <v>698</v>
      </c>
      <c r="B210" s="5">
        <v>1</v>
      </c>
      <c r="C210" s="2" t="s">
        <v>205</v>
      </c>
      <c r="D210" s="2">
        <v>-2110.62</v>
      </c>
      <c r="E210" s="2">
        <v>0</v>
      </c>
      <c r="G210" s="3">
        <f>SUMIF(Query1!$B$4:$B$146,A210,Query1!$F$4:$F$146)</f>
        <v>-28863.19</v>
      </c>
      <c r="H210" s="3">
        <f>SUMIF(Query4!$B$4:$B$138,A210,Query4!$F$4:$F$138)</f>
        <v>0</v>
      </c>
    </row>
    <row r="211" spans="1:8" x14ac:dyDescent="0.2">
      <c r="A211" s="5">
        <v>700</v>
      </c>
      <c r="B211" s="5">
        <v>1</v>
      </c>
      <c r="C211" s="2" t="s">
        <v>206</v>
      </c>
      <c r="D211" s="2">
        <v>-18088.009999999998</v>
      </c>
      <c r="E211" s="2">
        <v>0</v>
      </c>
      <c r="G211" s="3">
        <f>SUMIF(Query1!$B$4:$B$146,A211,Query1!$F$4:$F$146)</f>
        <v>0</v>
      </c>
      <c r="H211" s="3">
        <f>SUMIF(Query4!$B$4:$B$138,A211,Query4!$F$4:$F$138)</f>
        <v>0</v>
      </c>
    </row>
    <row r="212" spans="1:8" x14ac:dyDescent="0.2">
      <c r="A212" s="5">
        <v>701</v>
      </c>
      <c r="B212" s="5">
        <v>1</v>
      </c>
      <c r="C212" s="2" t="s">
        <v>207</v>
      </c>
      <c r="D212" s="2">
        <v>-109720.49</v>
      </c>
      <c r="E212" s="2">
        <v>0</v>
      </c>
      <c r="G212" s="3">
        <f>SUMIF(Query1!$B$4:$B$146,A212,Query1!$F$4:$F$146)</f>
        <v>-217984.63</v>
      </c>
      <c r="H212" s="3">
        <f>SUMIF(Query4!$B$4:$B$138,A212,Query4!$F$4:$F$138)</f>
        <v>0</v>
      </c>
    </row>
    <row r="213" spans="1:8" x14ac:dyDescent="0.2">
      <c r="A213" s="5">
        <v>704</v>
      </c>
      <c r="B213" s="5">
        <v>1</v>
      </c>
      <c r="C213" s="2" t="s">
        <v>208</v>
      </c>
      <c r="D213" s="2">
        <v>-80506.02</v>
      </c>
      <c r="E213" s="2">
        <v>0</v>
      </c>
      <c r="G213" s="3">
        <f>SUMIF(Query1!$B$4:$B$146,A213,Query1!$F$4:$F$146)</f>
        <v>-30200.43</v>
      </c>
      <c r="H213" s="3">
        <f>SUMIF(Query4!$B$4:$B$138,A213,Query4!$F$4:$F$138)</f>
        <v>-788.4</v>
      </c>
    </row>
    <row r="214" spans="1:8" x14ac:dyDescent="0.2">
      <c r="A214" s="5">
        <v>706</v>
      </c>
      <c r="B214" s="5">
        <v>1</v>
      </c>
      <c r="C214" s="2" t="s">
        <v>209</v>
      </c>
      <c r="D214" s="2">
        <v>-5129.7700000000004</v>
      </c>
      <c r="E214" s="2">
        <v>0</v>
      </c>
      <c r="G214" s="3">
        <f>SUMIF(Query1!$B$4:$B$146,A214,Query1!$F$4:$F$146)</f>
        <v>-55649.36</v>
      </c>
      <c r="H214" s="3">
        <f>SUMIF(Query4!$B$4:$B$138,A214,Query4!$F$4:$F$138)</f>
        <v>0</v>
      </c>
    </row>
    <row r="215" spans="1:8" x14ac:dyDescent="0.2">
      <c r="A215" s="5">
        <v>707</v>
      </c>
      <c r="B215" s="5">
        <v>1</v>
      </c>
      <c r="C215" s="2" t="s">
        <v>210</v>
      </c>
      <c r="D215" s="2">
        <v>-6628.3600000000006</v>
      </c>
      <c r="E215" s="2">
        <v>0</v>
      </c>
      <c r="G215" s="3">
        <f>SUMIF(Query1!$B$4:$B$146,A215,Query1!$F$4:$F$146)</f>
        <v>0</v>
      </c>
      <c r="H215" s="3">
        <f>SUMIF(Query4!$B$4:$B$138,A215,Query4!$F$4:$F$138)</f>
        <v>0</v>
      </c>
    </row>
    <row r="216" spans="1:8" x14ac:dyDescent="0.2">
      <c r="A216" s="5">
        <v>709</v>
      </c>
      <c r="B216" s="5">
        <v>1</v>
      </c>
      <c r="C216" s="2" t="s">
        <v>211</v>
      </c>
      <c r="D216" s="2">
        <v>2217.4899999999998</v>
      </c>
      <c r="E216" s="2">
        <v>0</v>
      </c>
      <c r="G216" s="3">
        <f>SUMIF(Query1!$B$4:$B$146,A216,Query1!$F$4:$F$146)</f>
        <v>0</v>
      </c>
      <c r="H216" s="3">
        <f>SUMIF(Query4!$B$4:$B$138,A216,Query4!$F$4:$F$138)</f>
        <v>0</v>
      </c>
    </row>
    <row r="217" spans="1:8" x14ac:dyDescent="0.2">
      <c r="A217" s="5">
        <v>712</v>
      </c>
      <c r="B217" s="5">
        <v>1</v>
      </c>
      <c r="C217" s="2" t="s">
        <v>212</v>
      </c>
      <c r="D217" s="2">
        <v>6189.85</v>
      </c>
      <c r="E217" s="2">
        <v>0</v>
      </c>
      <c r="G217" s="3">
        <f>SUMIF(Query1!$B$4:$B$146,A217,Query1!$F$4:$F$146)</f>
        <v>0</v>
      </c>
      <c r="H217" s="3">
        <f>SUMIF(Query4!$B$4:$B$138,A217,Query4!$F$4:$F$138)</f>
        <v>0</v>
      </c>
    </row>
    <row r="218" spans="1:8" x14ac:dyDescent="0.2">
      <c r="A218" s="5">
        <v>716</v>
      </c>
      <c r="B218" s="5">
        <v>1</v>
      </c>
      <c r="C218" s="2" t="s">
        <v>213</v>
      </c>
      <c r="D218" s="2">
        <v>27540.02</v>
      </c>
      <c r="E218" s="2">
        <v>0</v>
      </c>
      <c r="G218" s="3">
        <f>SUMIF(Query1!$B$4:$B$146,A218,Query1!$F$4:$F$146)</f>
        <v>-5209.24</v>
      </c>
      <c r="H218" s="3">
        <f>SUMIF(Query4!$B$4:$B$138,A218,Query4!$F$4:$F$138)</f>
        <v>-656.17</v>
      </c>
    </row>
    <row r="219" spans="1:8" x14ac:dyDescent="0.2">
      <c r="A219" s="5">
        <v>717</v>
      </c>
      <c r="B219" s="5">
        <v>1</v>
      </c>
      <c r="C219" s="2" t="s">
        <v>214</v>
      </c>
      <c r="D219" s="2">
        <v>-128684.34</v>
      </c>
      <c r="E219" s="2">
        <v>-16004.06</v>
      </c>
      <c r="G219" s="3">
        <f>SUMIF(Query1!$B$4:$B$146,A219,Query1!$F$4:$F$146)</f>
        <v>-9044.99</v>
      </c>
      <c r="H219" s="3">
        <f>SUMIF(Query4!$B$4:$B$138,A219,Query4!$F$4:$F$138)</f>
        <v>0</v>
      </c>
    </row>
    <row r="220" spans="1:8" x14ac:dyDescent="0.2">
      <c r="A220" s="5">
        <v>719</v>
      </c>
      <c r="B220" s="5">
        <v>1</v>
      </c>
      <c r="C220" s="2" t="s">
        <v>215</v>
      </c>
      <c r="D220" s="2">
        <v>-287887.90999999997</v>
      </c>
      <c r="E220" s="2">
        <v>0</v>
      </c>
      <c r="G220" s="3">
        <f>SUMIF(Query1!$B$4:$B$146,A220,Query1!$F$4:$F$146)</f>
        <v>0</v>
      </c>
      <c r="H220" s="3">
        <f>SUMIF(Query4!$B$4:$B$138,A220,Query4!$F$4:$F$138)</f>
        <v>0</v>
      </c>
    </row>
    <row r="221" spans="1:8" x14ac:dyDescent="0.2">
      <c r="A221" s="5">
        <v>720</v>
      </c>
      <c r="B221" s="5">
        <v>1</v>
      </c>
      <c r="C221" s="2" t="s">
        <v>216</v>
      </c>
      <c r="D221" s="2">
        <v>205406.68</v>
      </c>
      <c r="E221" s="2">
        <v>0</v>
      </c>
      <c r="G221" s="3">
        <f>SUMIF(Query1!$B$4:$B$146,A221,Query1!$F$4:$F$146)</f>
        <v>0</v>
      </c>
      <c r="H221" s="3">
        <f>SUMIF(Query4!$B$4:$B$138,A221,Query4!$F$4:$F$138)</f>
        <v>-1737.34</v>
      </c>
    </row>
    <row r="222" spans="1:8" x14ac:dyDescent="0.2">
      <c r="A222" s="5">
        <v>721</v>
      </c>
      <c r="B222" s="5">
        <v>1</v>
      </c>
      <c r="C222" s="2" t="s">
        <v>217</v>
      </c>
      <c r="D222" s="2">
        <v>375339.5</v>
      </c>
      <c r="E222" s="2">
        <v>0</v>
      </c>
      <c r="G222" s="3">
        <f>SUMIF(Query1!$B$4:$B$146,A222,Query1!$F$4:$F$146)</f>
        <v>0</v>
      </c>
      <c r="H222" s="3">
        <f>SUMIF(Query4!$B$4:$B$138,A222,Query4!$F$4:$F$138)</f>
        <v>0</v>
      </c>
    </row>
    <row r="223" spans="1:8" x14ac:dyDescent="0.2">
      <c r="A223" s="5">
        <v>726</v>
      </c>
      <c r="B223" s="5">
        <v>1</v>
      </c>
      <c r="C223" s="2" t="s">
        <v>218</v>
      </c>
      <c r="D223" s="2">
        <v>166590.79</v>
      </c>
      <c r="E223" s="2">
        <v>0</v>
      </c>
      <c r="G223" s="3">
        <f>SUMIF(Query1!$B$4:$B$146,A223,Query1!$F$4:$F$146)</f>
        <v>0</v>
      </c>
      <c r="H223" s="3">
        <f>SUMIF(Query4!$B$4:$B$138,A223,Query4!$F$4:$F$138)</f>
        <v>0</v>
      </c>
    </row>
    <row r="224" spans="1:8" x14ac:dyDescent="0.2">
      <c r="A224" s="5">
        <v>727</v>
      </c>
      <c r="B224" s="5">
        <v>1</v>
      </c>
      <c r="C224" s="2" t="s">
        <v>219</v>
      </c>
      <c r="D224" s="2">
        <v>-128668.74</v>
      </c>
      <c r="E224" s="2">
        <v>0</v>
      </c>
      <c r="G224" s="3">
        <f>SUMIF(Query1!$B$4:$B$146,A224,Query1!$F$4:$F$146)</f>
        <v>-22612.48</v>
      </c>
      <c r="H224" s="3">
        <f>SUMIF(Query4!$B$4:$B$138,A224,Query4!$F$4:$F$138)</f>
        <v>-1523.24</v>
      </c>
    </row>
    <row r="225" spans="1:8" x14ac:dyDescent="0.2">
      <c r="A225" s="5">
        <v>728</v>
      </c>
      <c r="B225" s="5">
        <v>1</v>
      </c>
      <c r="C225" s="2" t="s">
        <v>220</v>
      </c>
      <c r="D225" s="2">
        <v>-583274.41</v>
      </c>
      <c r="E225" s="2">
        <v>0</v>
      </c>
      <c r="G225" s="3">
        <f>SUMIF(Query1!$B$4:$B$146,A225,Query1!$F$4:$F$146)</f>
        <v>0</v>
      </c>
      <c r="H225" s="3">
        <f>SUMIF(Query4!$B$4:$B$138,A225,Query4!$F$4:$F$138)</f>
        <v>0</v>
      </c>
    </row>
    <row r="226" spans="1:8" x14ac:dyDescent="0.2">
      <c r="A226" s="5">
        <v>738</v>
      </c>
      <c r="B226" s="5">
        <v>1</v>
      </c>
      <c r="C226" s="2" t="s">
        <v>221</v>
      </c>
      <c r="D226" s="2">
        <v>-77484.639999999985</v>
      </c>
      <c r="E226" s="2">
        <v>-10004.52</v>
      </c>
      <c r="G226" s="3">
        <f>SUMIF(Query1!$B$4:$B$146,A226,Query1!$F$4:$F$146)</f>
        <v>-6602.19</v>
      </c>
      <c r="H226" s="3">
        <f>SUMIF(Query4!$B$4:$B$138,A226,Query4!$F$4:$F$138)</f>
        <v>-2389.6</v>
      </c>
    </row>
    <row r="227" spans="1:8" x14ac:dyDescent="0.2">
      <c r="A227" s="5">
        <v>739</v>
      </c>
      <c r="B227" s="5">
        <v>1</v>
      </c>
      <c r="C227" s="2" t="s">
        <v>222</v>
      </c>
      <c r="D227" s="2">
        <v>17264.36</v>
      </c>
      <c r="E227" s="2">
        <v>0</v>
      </c>
      <c r="G227" s="3">
        <f>SUMIF(Query1!$B$4:$B$146,A227,Query1!$F$4:$F$146)</f>
        <v>0</v>
      </c>
      <c r="H227" s="3">
        <f>SUMIF(Query4!$B$4:$B$138,A227,Query4!$F$4:$F$138)</f>
        <v>0</v>
      </c>
    </row>
    <row r="228" spans="1:8" x14ac:dyDescent="0.2">
      <c r="A228" s="5">
        <v>740</v>
      </c>
      <c r="B228" s="5">
        <v>1</v>
      </c>
      <c r="C228" s="2" t="s">
        <v>223</v>
      </c>
      <c r="D228" s="2">
        <v>29817.67</v>
      </c>
      <c r="E228" s="2">
        <v>0</v>
      </c>
      <c r="G228" s="3">
        <f>SUMIF(Query1!$B$4:$B$146,A228,Query1!$F$4:$F$146)</f>
        <v>-1309.31</v>
      </c>
      <c r="H228" s="3">
        <f>SUMIF(Query4!$B$4:$B$138,A228,Query4!$F$4:$F$138)</f>
        <v>-1050.57</v>
      </c>
    </row>
    <row r="229" spans="1:8" x14ac:dyDescent="0.2">
      <c r="A229" s="5">
        <v>741</v>
      </c>
      <c r="B229" s="5">
        <v>1</v>
      </c>
      <c r="C229" s="2" t="s">
        <v>224</v>
      </c>
      <c r="D229" s="2">
        <v>5363.24</v>
      </c>
      <c r="E229" s="2">
        <v>0</v>
      </c>
      <c r="G229" s="3">
        <f>SUMIF(Query1!$B$4:$B$146,A229,Query1!$F$4:$F$146)</f>
        <v>0</v>
      </c>
      <c r="H229" s="3">
        <f>SUMIF(Query4!$B$4:$B$138,A229,Query4!$F$4:$F$138)</f>
        <v>0</v>
      </c>
    </row>
    <row r="230" spans="1:8" x14ac:dyDescent="0.2">
      <c r="A230" s="5">
        <v>742</v>
      </c>
      <c r="B230" s="5">
        <v>1</v>
      </c>
      <c r="C230" s="2" t="s">
        <v>225</v>
      </c>
      <c r="D230" s="2">
        <v>-1155795.6499999999</v>
      </c>
      <c r="E230" s="2">
        <v>0</v>
      </c>
      <c r="G230" s="3">
        <f>SUMIF(Query1!$B$4:$B$146,A230,Query1!$F$4:$F$146)</f>
        <v>0</v>
      </c>
      <c r="H230" s="3">
        <f>SUMIF(Query4!$B$4:$B$138,A230,Query4!$F$4:$F$138)</f>
        <v>0</v>
      </c>
    </row>
    <row r="231" spans="1:8" x14ac:dyDescent="0.2">
      <c r="A231" s="5">
        <v>743</v>
      </c>
      <c r="B231" s="5">
        <v>1</v>
      </c>
      <c r="C231" s="2" t="s">
        <v>226</v>
      </c>
      <c r="D231" s="2">
        <v>-28616.94</v>
      </c>
      <c r="E231" s="2">
        <v>0</v>
      </c>
      <c r="G231" s="3">
        <f>SUMIF(Query1!$B$4:$B$146,A231,Query1!$F$4:$F$146)</f>
        <v>0</v>
      </c>
      <c r="H231" s="3">
        <f>SUMIF(Query4!$B$4:$B$138,A231,Query4!$F$4:$F$138)</f>
        <v>-796.56</v>
      </c>
    </row>
    <row r="232" spans="1:8" x14ac:dyDescent="0.2">
      <c r="A232" s="5">
        <v>745</v>
      </c>
      <c r="B232" s="5">
        <v>1</v>
      </c>
      <c r="C232" s="2" t="s">
        <v>227</v>
      </c>
      <c r="D232" s="2">
        <v>34990.410000000003</v>
      </c>
      <c r="E232" s="2">
        <v>0</v>
      </c>
      <c r="G232" s="3">
        <f>SUMIF(Query1!$B$4:$B$146,A232,Query1!$F$4:$F$146)</f>
        <v>0</v>
      </c>
      <c r="H232" s="3">
        <f>SUMIF(Query4!$B$4:$B$138,A232,Query4!$F$4:$F$138)</f>
        <v>0</v>
      </c>
    </row>
    <row r="233" spans="1:8" x14ac:dyDescent="0.2">
      <c r="A233" s="5">
        <v>748</v>
      </c>
      <c r="B233" s="5">
        <v>1</v>
      </c>
      <c r="C233" s="2" t="s">
        <v>228</v>
      </c>
      <c r="D233" s="2">
        <v>-463803.27999999997</v>
      </c>
      <c r="E233" s="2">
        <v>-25653.840000000004</v>
      </c>
      <c r="G233" s="3">
        <f>SUMIF(Query1!$B$4:$B$146,A233,Query1!$F$4:$F$146)</f>
        <v>0</v>
      </c>
      <c r="H233" s="3">
        <f>SUMIF(Query4!$B$4:$B$138,A233,Query4!$F$4:$F$138)</f>
        <v>0</v>
      </c>
    </row>
    <row r="234" spans="1:8" x14ac:dyDescent="0.2">
      <c r="A234" s="5">
        <v>750</v>
      </c>
      <c r="B234" s="5">
        <v>1</v>
      </c>
      <c r="C234" s="2" t="s">
        <v>229</v>
      </c>
      <c r="D234" s="2">
        <v>137624.79</v>
      </c>
      <c r="E234" s="2">
        <v>0</v>
      </c>
      <c r="G234" s="3">
        <f>SUMIF(Query1!$B$4:$B$146,A234,Query1!$F$4:$F$146)</f>
        <v>0</v>
      </c>
      <c r="H234" s="3">
        <f>SUMIF(Query4!$B$4:$B$138,A234,Query4!$F$4:$F$138)</f>
        <v>0</v>
      </c>
    </row>
    <row r="235" spans="1:8" x14ac:dyDescent="0.2">
      <c r="A235" s="5">
        <v>756</v>
      </c>
      <c r="B235" s="5">
        <v>1</v>
      </c>
      <c r="C235" s="2" t="s">
        <v>230</v>
      </c>
      <c r="D235" s="2">
        <v>-1575.3</v>
      </c>
      <c r="E235" s="2">
        <v>0</v>
      </c>
      <c r="G235" s="3">
        <f>SUMIF(Query1!$B$4:$B$146,A235,Query1!$F$4:$F$146)</f>
        <v>0</v>
      </c>
      <c r="H235" s="3">
        <f>SUMIF(Query4!$B$4:$B$138,A235,Query4!$F$4:$F$138)</f>
        <v>0</v>
      </c>
    </row>
    <row r="236" spans="1:8" x14ac:dyDescent="0.2">
      <c r="A236" s="5">
        <v>761</v>
      </c>
      <c r="B236" s="5">
        <v>1</v>
      </c>
      <c r="C236" s="2" t="s">
        <v>231</v>
      </c>
      <c r="D236" s="2">
        <v>65645.89</v>
      </c>
      <c r="E236" s="2">
        <v>0</v>
      </c>
      <c r="G236" s="3">
        <f>SUMIF(Query1!$B$4:$B$146,A236,Query1!$F$4:$F$146)</f>
        <v>0</v>
      </c>
      <c r="H236" s="3">
        <f>SUMIF(Query4!$B$4:$B$138,A236,Query4!$F$4:$F$138)</f>
        <v>-3399</v>
      </c>
    </row>
    <row r="237" spans="1:8" x14ac:dyDescent="0.2">
      <c r="A237" s="5">
        <v>763</v>
      </c>
      <c r="B237" s="5">
        <v>1</v>
      </c>
      <c r="C237" s="2" t="s">
        <v>232</v>
      </c>
      <c r="D237" s="2">
        <v>13314.11</v>
      </c>
      <c r="E237" s="2">
        <v>0</v>
      </c>
      <c r="G237" s="3">
        <f>SUMIF(Query1!$B$4:$B$146,A237,Query1!$F$4:$F$146)</f>
        <v>-98433</v>
      </c>
      <c r="H237" s="3">
        <f>SUMIF(Query4!$B$4:$B$138,A237,Query4!$F$4:$F$138)</f>
        <v>0</v>
      </c>
    </row>
    <row r="238" spans="1:8" x14ac:dyDescent="0.2">
      <c r="A238" s="5">
        <v>768</v>
      </c>
      <c r="B238" s="5">
        <v>1</v>
      </c>
      <c r="C238" s="2" t="s">
        <v>233</v>
      </c>
      <c r="D238" s="2">
        <v>-9470.98</v>
      </c>
      <c r="E238" s="2">
        <v>0</v>
      </c>
      <c r="G238" s="3">
        <f>SUMIF(Query1!$B$4:$B$146,A238,Query1!$F$4:$F$146)</f>
        <v>0</v>
      </c>
      <c r="H238" s="3">
        <f>SUMIF(Query4!$B$4:$B$138,A238,Query4!$F$4:$F$138)</f>
        <v>-22</v>
      </c>
    </row>
    <row r="239" spans="1:8" x14ac:dyDescent="0.2">
      <c r="A239" s="5">
        <v>769</v>
      </c>
      <c r="B239" s="5">
        <v>1</v>
      </c>
      <c r="C239" s="2" t="s">
        <v>234</v>
      </c>
      <c r="D239" s="2">
        <v>-35141.880000000005</v>
      </c>
      <c r="E239" s="2">
        <v>-11907.16</v>
      </c>
      <c r="G239" s="3">
        <f>SUMIF(Query1!$B$4:$B$146,A239,Query1!$F$4:$F$146)</f>
        <v>0</v>
      </c>
      <c r="H239" s="3">
        <f>SUMIF(Query4!$B$4:$B$138,A239,Query4!$F$4:$F$138)</f>
        <v>-55.5</v>
      </c>
    </row>
    <row r="240" spans="1:8" x14ac:dyDescent="0.2">
      <c r="A240" s="5">
        <v>771</v>
      </c>
      <c r="B240" s="5">
        <v>1</v>
      </c>
      <c r="C240" s="2" t="s">
        <v>235</v>
      </c>
      <c r="D240" s="2">
        <v>-29151.32</v>
      </c>
      <c r="E240" s="2">
        <v>-3028.52</v>
      </c>
      <c r="G240" s="3">
        <f>SUMIF(Query1!$B$4:$B$146,A240,Query1!$F$4:$F$146)</f>
        <v>0</v>
      </c>
      <c r="H240" s="3">
        <f>SUMIF(Query4!$B$4:$B$138,A240,Query4!$F$4:$F$138)</f>
        <v>0</v>
      </c>
    </row>
    <row r="241" spans="1:8" x14ac:dyDescent="0.2">
      <c r="A241" s="5">
        <v>775</v>
      </c>
      <c r="B241" s="5">
        <v>1</v>
      </c>
      <c r="C241" s="2" t="s">
        <v>236</v>
      </c>
      <c r="D241" s="2">
        <v>1834.14</v>
      </c>
      <c r="E241" s="2">
        <v>0</v>
      </c>
      <c r="G241" s="3">
        <f>SUMIF(Query1!$B$4:$B$146,A241,Query1!$F$4:$F$146)</f>
        <v>0</v>
      </c>
      <c r="H241" s="3">
        <f>SUMIF(Query4!$B$4:$B$138,A241,Query4!$F$4:$F$138)</f>
        <v>0</v>
      </c>
    </row>
    <row r="242" spans="1:8" x14ac:dyDescent="0.2">
      <c r="A242" s="5">
        <v>777</v>
      </c>
      <c r="B242" s="5">
        <v>1</v>
      </c>
      <c r="C242" s="2" t="s">
        <v>237</v>
      </c>
      <c r="D242" s="2">
        <v>-47076.76</v>
      </c>
      <c r="E242" s="2">
        <v>0</v>
      </c>
      <c r="G242" s="3">
        <f>SUMIF(Query1!$B$4:$B$146,A242,Query1!$F$4:$F$146)</f>
        <v>0</v>
      </c>
      <c r="H242" s="3">
        <f>SUMIF(Query4!$B$4:$B$138,A242,Query4!$F$4:$F$138)</f>
        <v>0</v>
      </c>
    </row>
    <row r="243" spans="1:8" x14ac:dyDescent="0.2">
      <c r="A243" s="5">
        <v>786</v>
      </c>
      <c r="B243" s="5">
        <v>1</v>
      </c>
      <c r="C243" s="2" t="s">
        <v>238</v>
      </c>
      <c r="D243" s="2">
        <v>20642.04</v>
      </c>
      <c r="E243" s="2">
        <v>0</v>
      </c>
      <c r="G243" s="3">
        <f>SUMIF(Query1!$B$4:$B$146,A243,Query1!$F$4:$F$146)</f>
        <v>0</v>
      </c>
      <c r="H243" s="3">
        <f>SUMIF(Query4!$B$4:$B$138,A243,Query4!$F$4:$F$138)</f>
        <v>-15418.61</v>
      </c>
    </row>
    <row r="244" spans="1:8" x14ac:dyDescent="0.2">
      <c r="A244" s="5">
        <v>787</v>
      </c>
      <c r="B244" s="5">
        <v>1</v>
      </c>
      <c r="C244" s="2" t="s">
        <v>239</v>
      </c>
      <c r="D244" s="2">
        <v>11900.24</v>
      </c>
      <c r="E244" s="2">
        <v>0</v>
      </c>
      <c r="G244" s="3">
        <f>SUMIF(Query1!$B$4:$B$146,A244,Query1!$F$4:$F$146)</f>
        <v>-14087.88</v>
      </c>
      <c r="H244" s="3">
        <f>SUMIF(Query4!$B$4:$B$138,A244,Query4!$F$4:$F$138)</f>
        <v>-689.77</v>
      </c>
    </row>
    <row r="245" spans="1:8" x14ac:dyDescent="0.2">
      <c r="A245" s="5">
        <v>801</v>
      </c>
      <c r="B245" s="5">
        <v>1</v>
      </c>
      <c r="C245" s="2" t="s">
        <v>240</v>
      </c>
      <c r="D245" s="2">
        <v>-3392.1899999999996</v>
      </c>
      <c r="E245" s="2">
        <v>-648.21</v>
      </c>
      <c r="G245" s="3">
        <f>SUMIF(Query1!$B$4:$B$146,A245,Query1!$F$4:$F$146)</f>
        <v>-521</v>
      </c>
      <c r="H245" s="3">
        <f>SUMIF(Query4!$B$4:$B$138,A245,Query4!$F$4:$F$138)</f>
        <v>-257</v>
      </c>
    </row>
    <row r="246" spans="1:8" x14ac:dyDescent="0.2">
      <c r="A246" s="5">
        <v>803</v>
      </c>
      <c r="B246" s="5">
        <v>1</v>
      </c>
      <c r="C246" s="2" t="s">
        <v>241</v>
      </c>
      <c r="D246" s="2">
        <v>-128237.20999999996</v>
      </c>
      <c r="E246" s="2">
        <v>-4928.6000000000004</v>
      </c>
      <c r="G246" s="3">
        <f>SUMIF(Query1!$B$4:$B$146,A246,Query1!$F$4:$F$146)</f>
        <v>0</v>
      </c>
      <c r="H246" s="3">
        <f>SUMIF(Query4!$B$4:$B$138,A246,Query4!$F$4:$F$138)</f>
        <v>0</v>
      </c>
    </row>
    <row r="247" spans="1:8" x14ac:dyDescent="0.2">
      <c r="A247" s="5">
        <v>811</v>
      </c>
      <c r="B247" s="5">
        <v>1</v>
      </c>
      <c r="C247" s="2" t="s">
        <v>242</v>
      </c>
      <c r="D247" s="2">
        <v>146162.89000000001</v>
      </c>
      <c r="E247" s="2">
        <v>0</v>
      </c>
      <c r="G247" s="3">
        <f>SUMIF(Query1!$B$4:$B$146,A247,Query1!$F$4:$F$146)</f>
        <v>0</v>
      </c>
      <c r="H247" s="3">
        <f>SUMIF(Query4!$B$4:$B$138,A247,Query4!$F$4:$F$138)</f>
        <v>0</v>
      </c>
    </row>
    <row r="248" spans="1:8" x14ac:dyDescent="0.2">
      <c r="A248" s="5">
        <v>813</v>
      </c>
      <c r="B248" s="5">
        <v>1</v>
      </c>
      <c r="C248" s="2" t="s">
        <v>243</v>
      </c>
      <c r="D248" s="2">
        <v>-63195.27</v>
      </c>
      <c r="E248" s="2">
        <v>0</v>
      </c>
      <c r="G248" s="3">
        <f>SUMIF(Query1!$B$4:$B$146,A248,Query1!$F$4:$F$146)</f>
        <v>-4430</v>
      </c>
      <c r="H248" s="3">
        <f>SUMIF(Query4!$B$4:$B$138,A248,Query4!$F$4:$F$138)</f>
        <v>-1991</v>
      </c>
    </row>
    <row r="249" spans="1:8" x14ac:dyDescent="0.2">
      <c r="A249" s="5">
        <v>815</v>
      </c>
      <c r="B249" s="5">
        <v>2</v>
      </c>
      <c r="C249" s="2" t="s">
        <v>244</v>
      </c>
      <c r="D249" s="2">
        <v>7415.1</v>
      </c>
      <c r="E249" s="2">
        <v>0</v>
      </c>
      <c r="G249" s="3">
        <f>SUMIF(Query1!$B$4:$B$146,A249,Query1!$F$4:$F$146)</f>
        <v>0</v>
      </c>
      <c r="H249" s="3">
        <f>SUMIF(Query4!$B$4:$B$138,A249,Query4!$F$4:$F$138)</f>
        <v>0</v>
      </c>
    </row>
    <row r="250" spans="1:8" x14ac:dyDescent="0.2">
      <c r="A250" s="5">
        <v>818</v>
      </c>
      <c r="B250" s="5">
        <v>1</v>
      </c>
      <c r="C250" s="2" t="s">
        <v>245</v>
      </c>
      <c r="D250" s="2">
        <v>-4826.2700000000004</v>
      </c>
      <c r="E250" s="2">
        <v>0</v>
      </c>
      <c r="G250" s="3">
        <f>SUMIF(Query1!$B$4:$B$146,A250,Query1!$F$4:$F$146)</f>
        <v>-10313.99</v>
      </c>
      <c r="H250" s="3">
        <f>SUMIF(Query4!$B$4:$B$138,A250,Query4!$F$4:$F$138)</f>
        <v>0</v>
      </c>
    </row>
    <row r="251" spans="1:8" x14ac:dyDescent="0.2">
      <c r="A251" s="5">
        <v>820</v>
      </c>
      <c r="B251" s="5">
        <v>1</v>
      </c>
      <c r="C251" s="2" t="s">
        <v>246</v>
      </c>
      <c r="D251" s="2">
        <v>8822.34</v>
      </c>
      <c r="E251" s="2">
        <v>0</v>
      </c>
      <c r="G251" s="3">
        <f>SUMIF(Query1!$B$4:$B$146,A251,Query1!$F$4:$F$146)</f>
        <v>0</v>
      </c>
      <c r="H251" s="3">
        <f>SUMIF(Query4!$B$4:$B$138,A251,Query4!$F$4:$F$138)</f>
        <v>-422.15</v>
      </c>
    </row>
    <row r="252" spans="1:8" x14ac:dyDescent="0.2">
      <c r="A252" s="5">
        <v>821</v>
      </c>
      <c r="B252" s="5">
        <v>1</v>
      </c>
      <c r="C252" s="2" t="s">
        <v>247</v>
      </c>
      <c r="D252" s="2">
        <v>143499.72</v>
      </c>
      <c r="E252" s="2">
        <v>0</v>
      </c>
      <c r="G252" s="3">
        <f>SUMIF(Query1!$B$4:$B$146,A252,Query1!$F$4:$F$146)</f>
        <v>-8151</v>
      </c>
      <c r="H252" s="3">
        <f>SUMIF(Query4!$B$4:$B$138,A252,Query4!$F$4:$F$138)</f>
        <v>-58</v>
      </c>
    </row>
    <row r="253" spans="1:8" x14ac:dyDescent="0.2">
      <c r="A253" s="5">
        <v>829</v>
      </c>
      <c r="B253" s="5">
        <v>1</v>
      </c>
      <c r="C253" s="2" t="s">
        <v>248</v>
      </c>
      <c r="D253" s="2">
        <v>-421246.58</v>
      </c>
      <c r="E253" s="2">
        <v>0</v>
      </c>
      <c r="G253" s="3">
        <f>SUMIF(Query1!$B$4:$B$146,A253,Query1!$F$4:$F$146)</f>
        <v>-153299</v>
      </c>
      <c r="H253" s="3">
        <f>SUMIF(Query4!$B$4:$B$138,A253,Query4!$F$4:$F$138)</f>
        <v>-5713</v>
      </c>
    </row>
    <row r="254" spans="1:8" x14ac:dyDescent="0.2">
      <c r="A254" s="5">
        <v>831</v>
      </c>
      <c r="B254" s="5">
        <v>1</v>
      </c>
      <c r="C254" s="2" t="s">
        <v>249</v>
      </c>
      <c r="D254" s="2">
        <v>266067.31</v>
      </c>
      <c r="E254" s="2">
        <v>0</v>
      </c>
      <c r="G254" s="3">
        <f>SUMIF(Query1!$B$4:$B$146,A254,Query1!$F$4:$F$146)</f>
        <v>0</v>
      </c>
      <c r="H254" s="3">
        <f>SUMIF(Query4!$B$4:$B$138,A254,Query4!$F$4:$F$138)</f>
        <v>0</v>
      </c>
    </row>
    <row r="255" spans="1:8" x14ac:dyDescent="0.2">
      <c r="A255" s="5">
        <v>832</v>
      </c>
      <c r="B255" s="5">
        <v>1</v>
      </c>
      <c r="C255" s="2" t="s">
        <v>250</v>
      </c>
      <c r="D255" s="2">
        <v>154207.62</v>
      </c>
      <c r="E255" s="2">
        <v>0</v>
      </c>
      <c r="G255" s="3">
        <f>SUMIF(Query1!$B$4:$B$146,A255,Query1!$F$4:$F$146)</f>
        <v>0</v>
      </c>
      <c r="H255" s="3">
        <f>SUMIF(Query4!$B$4:$B$138,A255,Query4!$F$4:$F$138)</f>
        <v>0</v>
      </c>
    </row>
    <row r="256" spans="1:8" x14ac:dyDescent="0.2">
      <c r="A256" s="5">
        <v>833</v>
      </c>
      <c r="B256" s="5">
        <v>1</v>
      </c>
      <c r="C256" s="2" t="s">
        <v>251</v>
      </c>
      <c r="D256" s="2">
        <v>-6214.82</v>
      </c>
      <c r="E256" s="2">
        <v>0</v>
      </c>
      <c r="G256" s="3">
        <f>SUMIF(Query1!$B$4:$B$146,A256,Query1!$F$4:$F$146)</f>
        <v>0</v>
      </c>
      <c r="H256" s="3">
        <f>SUMIF(Query4!$B$4:$B$138,A256,Query4!$F$4:$F$138)</f>
        <v>0</v>
      </c>
    </row>
    <row r="257" spans="1:8" x14ac:dyDescent="0.2">
      <c r="A257" s="5">
        <v>834</v>
      </c>
      <c r="B257" s="5">
        <v>1</v>
      </c>
      <c r="C257" s="2" t="s">
        <v>252</v>
      </c>
      <c r="D257" s="2">
        <v>-567762.81999999995</v>
      </c>
      <c r="E257" s="2">
        <v>0</v>
      </c>
      <c r="G257" s="3">
        <f>SUMIF(Query1!$B$4:$B$146,A257,Query1!$F$4:$F$146)</f>
        <v>0</v>
      </c>
      <c r="H257" s="3">
        <f>SUMIF(Query4!$B$4:$B$138,A257,Query4!$F$4:$F$138)</f>
        <v>0</v>
      </c>
    </row>
    <row r="258" spans="1:8" x14ac:dyDescent="0.2">
      <c r="A258" s="5">
        <v>836</v>
      </c>
      <c r="B258" s="5">
        <v>1</v>
      </c>
      <c r="C258" s="2" t="s">
        <v>253</v>
      </c>
      <c r="D258" s="2">
        <v>29208.15</v>
      </c>
      <c r="E258" s="2">
        <v>0</v>
      </c>
      <c r="G258" s="3">
        <f>SUMIF(Query1!$B$4:$B$146,A258,Query1!$F$4:$F$146)</f>
        <v>-4318</v>
      </c>
      <c r="H258" s="3">
        <f>SUMIF(Query4!$B$4:$B$138,A258,Query4!$F$4:$F$138)</f>
        <v>-24</v>
      </c>
    </row>
    <row r="259" spans="1:8" x14ac:dyDescent="0.2">
      <c r="A259" s="5">
        <v>837</v>
      </c>
      <c r="B259" s="5">
        <v>1</v>
      </c>
      <c r="C259" s="2" t="s">
        <v>254</v>
      </c>
      <c r="D259" s="2">
        <v>-55468.91</v>
      </c>
      <c r="E259" s="2">
        <v>-7393.0499999999993</v>
      </c>
      <c r="G259" s="3">
        <f>SUMIF(Query1!$B$4:$B$146,A259,Query1!$F$4:$F$146)</f>
        <v>-17554</v>
      </c>
      <c r="H259" s="3">
        <f>SUMIF(Query4!$B$4:$B$138,A259,Query4!$F$4:$F$138)</f>
        <v>-388</v>
      </c>
    </row>
    <row r="260" spans="1:8" x14ac:dyDescent="0.2">
      <c r="A260" s="5">
        <v>840</v>
      </c>
      <c r="B260" s="5">
        <v>1</v>
      </c>
      <c r="C260" s="2" t="s">
        <v>255</v>
      </c>
      <c r="D260" s="2">
        <v>-10979.15</v>
      </c>
      <c r="E260" s="2">
        <v>0</v>
      </c>
      <c r="G260" s="3">
        <f>SUMIF(Query1!$B$4:$B$146,A260,Query1!$F$4:$F$146)</f>
        <v>-38158</v>
      </c>
      <c r="H260" s="3">
        <f>SUMIF(Query4!$B$4:$B$138,A260,Query4!$F$4:$F$138)</f>
        <v>-3791</v>
      </c>
    </row>
    <row r="261" spans="1:8" x14ac:dyDescent="0.2">
      <c r="A261" s="5">
        <v>846</v>
      </c>
      <c r="B261" s="5">
        <v>1</v>
      </c>
      <c r="C261" s="2" t="s">
        <v>256</v>
      </c>
      <c r="D261" s="2">
        <v>24527.61</v>
      </c>
      <c r="E261" s="2">
        <v>0</v>
      </c>
      <c r="G261" s="3">
        <f>SUMIF(Query1!$B$4:$B$146,A261,Query1!$F$4:$F$146)</f>
        <v>0</v>
      </c>
      <c r="H261" s="3">
        <f>SUMIF(Query4!$B$4:$B$138,A261,Query4!$F$4:$F$138)</f>
        <v>0</v>
      </c>
    </row>
    <row r="262" spans="1:8" x14ac:dyDescent="0.2">
      <c r="A262" s="5">
        <v>850</v>
      </c>
      <c r="B262" s="5">
        <v>1</v>
      </c>
      <c r="C262" s="2" t="s">
        <v>257</v>
      </c>
      <c r="D262" s="2">
        <v>10837.08</v>
      </c>
      <c r="E262" s="2">
        <v>0</v>
      </c>
      <c r="G262" s="3">
        <f>SUMIF(Query1!$B$4:$B$146,A262,Query1!$F$4:$F$146)</f>
        <v>0</v>
      </c>
      <c r="H262" s="3">
        <f>SUMIF(Query4!$B$4:$B$138,A262,Query4!$F$4:$F$138)</f>
        <v>0</v>
      </c>
    </row>
    <row r="263" spans="1:8" x14ac:dyDescent="0.2">
      <c r="A263" s="5">
        <v>852</v>
      </c>
      <c r="B263" s="5">
        <v>1</v>
      </c>
      <c r="C263" s="2" t="s">
        <v>258</v>
      </c>
      <c r="D263" s="2">
        <v>65719.86</v>
      </c>
      <c r="E263" s="2">
        <v>0</v>
      </c>
      <c r="G263" s="3">
        <f>SUMIF(Query1!$B$4:$B$146,A263,Query1!$F$4:$F$146)</f>
        <v>0</v>
      </c>
      <c r="H263" s="3">
        <f>SUMIF(Query4!$B$4:$B$138,A263,Query4!$F$4:$F$138)</f>
        <v>0</v>
      </c>
    </row>
    <row r="264" spans="1:8" x14ac:dyDescent="0.2">
      <c r="A264" s="5">
        <v>857</v>
      </c>
      <c r="B264" s="5">
        <v>1</v>
      </c>
      <c r="C264" s="2" t="s">
        <v>259</v>
      </c>
      <c r="D264" s="2">
        <v>68914.34</v>
      </c>
      <c r="E264" s="2">
        <v>0</v>
      </c>
      <c r="G264" s="3">
        <f>SUMIF(Query1!$B$4:$B$146,A264,Query1!$F$4:$F$146)</f>
        <v>-15849</v>
      </c>
      <c r="H264" s="3">
        <f>SUMIF(Query4!$B$4:$B$138,A264,Query4!$F$4:$F$138)</f>
        <v>-1205</v>
      </c>
    </row>
    <row r="265" spans="1:8" x14ac:dyDescent="0.2">
      <c r="A265" s="5">
        <v>858</v>
      </c>
      <c r="B265" s="5">
        <v>1</v>
      </c>
      <c r="C265" s="2" t="s">
        <v>260</v>
      </c>
      <c r="D265" s="2">
        <v>-93112.47</v>
      </c>
      <c r="E265" s="2">
        <v>0</v>
      </c>
      <c r="G265" s="3">
        <f>SUMIF(Query1!$B$4:$B$146,A265,Query1!$F$4:$F$146)</f>
        <v>-6453</v>
      </c>
      <c r="H265" s="3">
        <f>SUMIF(Query4!$B$4:$B$138,A265,Query4!$F$4:$F$138)</f>
        <v>0</v>
      </c>
    </row>
    <row r="266" spans="1:8" x14ac:dyDescent="0.2">
      <c r="A266" s="5">
        <v>861</v>
      </c>
      <c r="B266" s="5">
        <v>1</v>
      </c>
      <c r="C266" s="2" t="s">
        <v>261</v>
      </c>
      <c r="D266" s="2">
        <v>-11784.13</v>
      </c>
      <c r="E266" s="2">
        <v>0</v>
      </c>
      <c r="G266" s="3">
        <f>SUMIF(Query1!$B$4:$B$146,A266,Query1!$F$4:$F$146)</f>
        <v>0</v>
      </c>
      <c r="H266" s="3">
        <f>SUMIF(Query4!$B$4:$B$138,A266,Query4!$F$4:$F$138)</f>
        <v>-6656</v>
      </c>
    </row>
    <row r="267" spans="1:8" x14ac:dyDescent="0.2">
      <c r="A267" s="5">
        <v>876</v>
      </c>
      <c r="B267" s="5">
        <v>1</v>
      </c>
      <c r="C267" s="2" t="s">
        <v>262</v>
      </c>
      <c r="D267" s="2">
        <v>76124.100000000006</v>
      </c>
      <c r="E267" s="2">
        <v>0</v>
      </c>
      <c r="G267" s="3">
        <f>SUMIF(Query1!$B$4:$B$146,A267,Query1!$F$4:$F$146)</f>
        <v>0</v>
      </c>
      <c r="H267" s="3">
        <f>SUMIF(Query4!$B$4:$B$138,A267,Query4!$F$4:$F$138)</f>
        <v>0</v>
      </c>
    </row>
    <row r="268" spans="1:8" x14ac:dyDescent="0.2">
      <c r="A268" s="5">
        <v>877</v>
      </c>
      <c r="B268" s="5">
        <v>1</v>
      </c>
      <c r="C268" s="2" t="s">
        <v>263</v>
      </c>
      <c r="D268" s="2">
        <v>117602.01</v>
      </c>
      <c r="E268" s="2">
        <v>0</v>
      </c>
      <c r="G268" s="3">
        <f>SUMIF(Query1!$B$4:$B$146,A268,Query1!$F$4:$F$146)</f>
        <v>-291232.27</v>
      </c>
      <c r="H268" s="3">
        <f>SUMIF(Query4!$B$4:$B$138,A268,Query4!$F$4:$F$138)</f>
        <v>-27674.28</v>
      </c>
    </row>
    <row r="269" spans="1:8" x14ac:dyDescent="0.2">
      <c r="A269" s="5">
        <v>879</v>
      </c>
      <c r="B269" s="5">
        <v>1</v>
      </c>
      <c r="C269" s="2" t="s">
        <v>264</v>
      </c>
      <c r="D269" s="2">
        <v>151360.01</v>
      </c>
      <c r="E269" s="2">
        <v>0</v>
      </c>
      <c r="G269" s="3">
        <f>SUMIF(Query1!$B$4:$B$146,A269,Query1!$F$4:$F$146)</f>
        <v>0</v>
      </c>
      <c r="H269" s="3">
        <f>SUMIF(Query4!$B$4:$B$138,A269,Query4!$F$4:$F$138)</f>
        <v>0</v>
      </c>
    </row>
    <row r="270" spans="1:8" x14ac:dyDescent="0.2">
      <c r="A270" s="5">
        <v>881</v>
      </c>
      <c r="B270" s="5">
        <v>1</v>
      </c>
      <c r="C270" s="2" t="s">
        <v>265</v>
      </c>
      <c r="D270" s="2">
        <v>57634.38</v>
      </c>
      <c r="E270" s="2">
        <v>0</v>
      </c>
      <c r="G270" s="3">
        <f>SUMIF(Query1!$B$4:$B$146,A270,Query1!$F$4:$F$146)</f>
        <v>0</v>
      </c>
      <c r="H270" s="3">
        <f>SUMIF(Query4!$B$4:$B$138,A270,Query4!$F$4:$F$138)</f>
        <v>0</v>
      </c>
    </row>
    <row r="271" spans="1:8" x14ac:dyDescent="0.2">
      <c r="A271" s="5">
        <v>882</v>
      </c>
      <c r="B271" s="5">
        <v>1</v>
      </c>
      <c r="C271" s="2" t="s">
        <v>266</v>
      </c>
      <c r="D271" s="2">
        <v>-151964.92000000001</v>
      </c>
      <c r="E271" s="2">
        <v>0</v>
      </c>
      <c r="G271" s="3">
        <f>SUMIF(Query1!$B$4:$B$146,A271,Query1!$F$4:$F$146)</f>
        <v>0</v>
      </c>
      <c r="H271" s="3">
        <f>SUMIF(Query4!$B$4:$B$138,A271,Query4!$F$4:$F$138)</f>
        <v>0</v>
      </c>
    </row>
    <row r="272" spans="1:8" x14ac:dyDescent="0.2">
      <c r="A272" s="5">
        <v>883</v>
      </c>
      <c r="B272" s="5">
        <v>1</v>
      </c>
      <c r="C272" s="2" t="s">
        <v>267</v>
      </c>
      <c r="D272" s="2">
        <v>-85656.7</v>
      </c>
      <c r="E272" s="2">
        <v>0</v>
      </c>
      <c r="G272" s="3">
        <f>SUMIF(Query1!$B$4:$B$146,A272,Query1!$F$4:$F$146)</f>
        <v>0</v>
      </c>
      <c r="H272" s="3">
        <f>SUMIF(Query4!$B$4:$B$138,A272,Query4!$F$4:$F$138)</f>
        <v>0</v>
      </c>
    </row>
    <row r="273" spans="1:8" x14ac:dyDescent="0.2">
      <c r="A273" s="5">
        <v>885</v>
      </c>
      <c r="B273" s="5">
        <v>1</v>
      </c>
      <c r="C273" s="2" t="s">
        <v>268</v>
      </c>
      <c r="D273" s="2">
        <v>-146323.13</v>
      </c>
      <c r="E273" s="2">
        <v>0</v>
      </c>
      <c r="G273" s="3">
        <f>SUMIF(Query1!$B$4:$B$146,A273,Query1!$F$4:$F$146)</f>
        <v>-1658816.88</v>
      </c>
      <c r="H273" s="3">
        <f>SUMIF(Query4!$B$4:$B$138,A273,Query4!$F$4:$F$138)</f>
        <v>-117130.8</v>
      </c>
    </row>
    <row r="274" spans="1:8" x14ac:dyDescent="0.2">
      <c r="A274" s="5">
        <v>891</v>
      </c>
      <c r="B274" s="5">
        <v>1</v>
      </c>
      <c r="C274" s="2" t="s">
        <v>269</v>
      </c>
      <c r="D274" s="2">
        <v>2335.02</v>
      </c>
      <c r="E274" s="2">
        <v>0</v>
      </c>
      <c r="G274" s="3">
        <f>SUMIF(Query1!$B$4:$B$146,A274,Query1!$F$4:$F$146)</f>
        <v>-20040.8</v>
      </c>
      <c r="H274" s="3">
        <f>SUMIF(Query4!$B$4:$B$138,A274,Query4!$F$4:$F$138)</f>
        <v>-957.97</v>
      </c>
    </row>
    <row r="275" spans="1:8" x14ac:dyDescent="0.2">
      <c r="A275" s="5">
        <v>911</v>
      </c>
      <c r="B275" s="5">
        <v>1</v>
      </c>
      <c r="C275" s="2" t="s">
        <v>270</v>
      </c>
      <c r="D275" s="2">
        <v>-8841.68</v>
      </c>
      <c r="E275" s="2">
        <v>0</v>
      </c>
      <c r="G275" s="3">
        <f>SUMIF(Query1!$B$4:$B$146,A275,Query1!$F$4:$F$146)</f>
        <v>0</v>
      </c>
      <c r="H275" s="3">
        <f>SUMIF(Query4!$B$4:$B$138,A275,Query4!$F$4:$F$138)</f>
        <v>0</v>
      </c>
    </row>
    <row r="276" spans="1:8" x14ac:dyDescent="0.2">
      <c r="A276" s="5">
        <v>912</v>
      </c>
      <c r="B276" s="5">
        <v>1</v>
      </c>
      <c r="C276" s="2" t="s">
        <v>271</v>
      </c>
      <c r="D276" s="2">
        <v>48230.29</v>
      </c>
      <c r="E276" s="2">
        <v>0</v>
      </c>
      <c r="G276" s="3">
        <f>SUMIF(Query1!$B$4:$B$146,A276,Query1!$F$4:$F$146)</f>
        <v>-101168.03</v>
      </c>
      <c r="H276" s="3">
        <f>SUMIF(Query4!$B$4:$B$138,A276,Query4!$F$4:$F$138)</f>
        <v>-5067.43</v>
      </c>
    </row>
    <row r="277" spans="1:8" x14ac:dyDescent="0.2">
      <c r="A277" s="5">
        <v>914</v>
      </c>
      <c r="B277" s="5">
        <v>1</v>
      </c>
      <c r="C277" s="2" t="s">
        <v>272</v>
      </c>
      <c r="D277" s="2">
        <v>-6391.19</v>
      </c>
      <c r="E277" s="2">
        <v>0</v>
      </c>
      <c r="G277" s="3">
        <f>SUMIF(Query1!$B$4:$B$146,A277,Query1!$F$4:$F$146)</f>
        <v>0</v>
      </c>
      <c r="H277" s="3">
        <f>SUMIF(Query4!$B$4:$B$138,A277,Query4!$F$4:$F$138)</f>
        <v>-87.09</v>
      </c>
    </row>
    <row r="278" spans="1:8" x14ac:dyDescent="0.2">
      <c r="A278" s="5">
        <v>2071</v>
      </c>
      <c r="B278" s="5">
        <v>1</v>
      </c>
      <c r="C278" s="2" t="s">
        <v>273</v>
      </c>
      <c r="D278" s="2">
        <v>48509.1</v>
      </c>
      <c r="E278" s="2">
        <v>0</v>
      </c>
      <c r="G278" s="3">
        <f>SUMIF(Query1!$B$4:$B$146,A278,Query1!$F$4:$F$146)</f>
        <v>0</v>
      </c>
      <c r="H278" s="3">
        <f>SUMIF(Query4!$B$4:$B$138,A278,Query4!$F$4:$F$138)</f>
        <v>-517</v>
      </c>
    </row>
    <row r="279" spans="1:8" x14ac:dyDescent="0.2">
      <c r="A279" s="5">
        <v>2125</v>
      </c>
      <c r="B279" s="5">
        <v>1</v>
      </c>
      <c r="C279" s="2" t="s">
        <v>274</v>
      </c>
      <c r="D279" s="2">
        <v>-9879.6</v>
      </c>
      <c r="E279" s="2">
        <v>0</v>
      </c>
      <c r="G279" s="3">
        <f>SUMIF(Query1!$B$4:$B$146,A279,Query1!$F$4:$F$146)</f>
        <v>-38844.910000000003</v>
      </c>
      <c r="H279" s="3">
        <f>SUMIF(Query4!$B$4:$B$138,A279,Query4!$F$4:$F$138)</f>
        <v>-3285</v>
      </c>
    </row>
    <row r="280" spans="1:8" x14ac:dyDescent="0.2">
      <c r="A280" s="5">
        <v>2134</v>
      </c>
      <c r="B280" s="5">
        <v>1</v>
      </c>
      <c r="C280" s="2" t="s">
        <v>275</v>
      </c>
      <c r="D280" s="2">
        <v>-18890.93</v>
      </c>
      <c r="E280" s="2">
        <v>0</v>
      </c>
      <c r="G280" s="3">
        <f>SUMIF(Query1!$B$4:$B$146,A280,Query1!$F$4:$F$146)</f>
        <v>0</v>
      </c>
      <c r="H280" s="3">
        <f>SUMIF(Query4!$B$4:$B$138,A280,Query4!$F$4:$F$138)</f>
        <v>0</v>
      </c>
    </row>
    <row r="281" spans="1:8" x14ac:dyDescent="0.2">
      <c r="A281" s="5">
        <v>2135</v>
      </c>
      <c r="B281" s="5">
        <v>1</v>
      </c>
      <c r="C281" s="2" t="s">
        <v>276</v>
      </c>
      <c r="D281" s="2">
        <v>46722.32</v>
      </c>
      <c r="E281" s="2">
        <v>0</v>
      </c>
      <c r="G281" s="3">
        <f>SUMIF(Query1!$B$4:$B$146,A281,Query1!$F$4:$F$146)</f>
        <v>-9859</v>
      </c>
      <c r="H281" s="3">
        <f>SUMIF(Query4!$B$4:$B$138,A281,Query4!$F$4:$F$138)</f>
        <v>-4241</v>
      </c>
    </row>
    <row r="282" spans="1:8" x14ac:dyDescent="0.2">
      <c r="A282" s="5">
        <v>2137</v>
      </c>
      <c r="B282" s="5">
        <v>1</v>
      </c>
      <c r="C282" s="2" t="s">
        <v>277</v>
      </c>
      <c r="D282" s="2">
        <v>-28883.480000000003</v>
      </c>
      <c r="E282" s="2">
        <v>0</v>
      </c>
      <c r="G282" s="3">
        <f>SUMIF(Query1!$B$4:$B$146,A282,Query1!$F$4:$F$146)</f>
        <v>-9562</v>
      </c>
      <c r="H282" s="3">
        <f>SUMIF(Query4!$B$4:$B$138,A282,Query4!$F$4:$F$138)</f>
        <v>-1634</v>
      </c>
    </row>
    <row r="283" spans="1:8" x14ac:dyDescent="0.2">
      <c r="A283" s="5">
        <v>2142</v>
      </c>
      <c r="B283" s="5">
        <v>1</v>
      </c>
      <c r="C283" s="2" t="s">
        <v>278</v>
      </c>
      <c r="D283" s="2">
        <v>-149761.04</v>
      </c>
      <c r="E283" s="2">
        <v>0</v>
      </c>
      <c r="G283" s="3">
        <f>SUMIF(Query1!$B$4:$B$146,A283,Query1!$F$4:$F$146)</f>
        <v>0</v>
      </c>
      <c r="H283" s="3">
        <f>SUMIF(Query4!$B$4:$B$138,A283,Query4!$F$4:$F$138)</f>
        <v>0</v>
      </c>
    </row>
    <row r="284" spans="1:8" x14ac:dyDescent="0.2">
      <c r="A284" s="5">
        <v>2143</v>
      </c>
      <c r="B284" s="5">
        <v>1</v>
      </c>
      <c r="C284" s="2" t="s">
        <v>279</v>
      </c>
      <c r="D284" s="2">
        <v>85166.81</v>
      </c>
      <c r="E284" s="2">
        <v>0</v>
      </c>
      <c r="G284" s="3">
        <f>SUMIF(Query1!$B$4:$B$146,A284,Query1!$F$4:$F$146)</f>
        <v>0</v>
      </c>
      <c r="H284" s="3">
        <f>SUMIF(Query4!$B$4:$B$138,A284,Query4!$F$4:$F$138)</f>
        <v>-1530</v>
      </c>
    </row>
    <row r="285" spans="1:8" x14ac:dyDescent="0.2">
      <c r="A285" s="5">
        <v>2144</v>
      </c>
      <c r="B285" s="5">
        <v>1</v>
      </c>
      <c r="C285" s="2" t="s">
        <v>280</v>
      </c>
      <c r="D285" s="2">
        <v>-136515.53</v>
      </c>
      <c r="E285" s="2">
        <v>0</v>
      </c>
      <c r="G285" s="3">
        <f>SUMIF(Query1!$B$4:$B$146,A285,Query1!$F$4:$F$146)</f>
        <v>-0.35</v>
      </c>
      <c r="H285" s="3">
        <f>SUMIF(Query4!$B$4:$B$138,A285,Query4!$F$4:$F$138)</f>
        <v>-0.42</v>
      </c>
    </row>
    <row r="286" spans="1:8" x14ac:dyDescent="0.2">
      <c r="A286" s="5">
        <v>2149</v>
      </c>
      <c r="B286" s="5">
        <v>1</v>
      </c>
      <c r="C286" s="2" t="s">
        <v>281</v>
      </c>
      <c r="D286" s="2">
        <v>-43423.12</v>
      </c>
      <c r="E286" s="2">
        <v>0</v>
      </c>
      <c r="G286" s="3">
        <f>SUMIF(Query1!$B$4:$B$146,A286,Query1!$F$4:$F$146)</f>
        <v>0</v>
      </c>
      <c r="H286" s="3">
        <f>SUMIF(Query4!$B$4:$B$138,A286,Query4!$F$4:$F$138)</f>
        <v>0</v>
      </c>
    </row>
    <row r="287" spans="1:8" x14ac:dyDescent="0.2">
      <c r="A287" s="5">
        <v>2154</v>
      </c>
      <c r="B287" s="5">
        <v>1</v>
      </c>
      <c r="C287" s="2" t="s">
        <v>282</v>
      </c>
      <c r="D287" s="2">
        <v>-141278.90000000002</v>
      </c>
      <c r="E287" s="2">
        <v>0</v>
      </c>
      <c r="G287" s="3">
        <f>SUMIF(Query1!$B$4:$B$146,A287,Query1!$F$4:$F$146)</f>
        <v>-71242.66</v>
      </c>
      <c r="H287" s="3">
        <f>SUMIF(Query4!$B$4:$B$138,A287,Query4!$F$4:$F$138)</f>
        <v>0</v>
      </c>
    </row>
    <row r="288" spans="1:8" x14ac:dyDescent="0.2">
      <c r="A288" s="5">
        <v>2155</v>
      </c>
      <c r="B288" s="5">
        <v>1</v>
      </c>
      <c r="C288" s="2" t="s">
        <v>283</v>
      </c>
      <c r="D288" s="2">
        <v>42581.27</v>
      </c>
      <c r="E288" s="2">
        <v>0</v>
      </c>
      <c r="G288" s="3">
        <f>SUMIF(Query1!$B$4:$B$146,A288,Query1!$F$4:$F$146)</f>
        <v>-279292.2</v>
      </c>
      <c r="H288" s="3">
        <f>SUMIF(Query4!$B$4:$B$138,A288,Query4!$F$4:$F$138)</f>
        <v>-28992.11</v>
      </c>
    </row>
    <row r="289" spans="1:8" x14ac:dyDescent="0.2">
      <c r="A289" s="5">
        <v>2159</v>
      </c>
      <c r="B289" s="5">
        <v>1</v>
      </c>
      <c r="C289" s="2" t="s">
        <v>284</v>
      </c>
      <c r="D289" s="2">
        <v>-19480.97</v>
      </c>
      <c r="E289" s="2">
        <v>-9553.93</v>
      </c>
      <c r="G289" s="3">
        <f>SUMIF(Query1!$B$4:$B$146,A289,Query1!$F$4:$F$146)</f>
        <v>0</v>
      </c>
      <c r="H289" s="3">
        <f>SUMIF(Query4!$B$4:$B$138,A289,Query4!$F$4:$F$138)</f>
        <v>-1345.58</v>
      </c>
    </row>
    <row r="290" spans="1:8" x14ac:dyDescent="0.2">
      <c r="A290" s="5">
        <v>2164</v>
      </c>
      <c r="B290" s="5">
        <v>1</v>
      </c>
      <c r="C290" s="2" t="s">
        <v>285</v>
      </c>
      <c r="D290" s="2">
        <v>53060.27</v>
      </c>
      <c r="E290" s="2">
        <v>0</v>
      </c>
      <c r="G290" s="3">
        <f>SUMIF(Query1!$B$4:$B$146,A290,Query1!$F$4:$F$146)</f>
        <v>-2532</v>
      </c>
      <c r="H290" s="3">
        <f>SUMIF(Query4!$B$4:$B$138,A290,Query4!$F$4:$F$138)</f>
        <v>-1219</v>
      </c>
    </row>
    <row r="291" spans="1:8" x14ac:dyDescent="0.2">
      <c r="A291" s="5">
        <v>2165</v>
      </c>
      <c r="B291" s="5">
        <v>1</v>
      </c>
      <c r="C291" s="2" t="s">
        <v>286</v>
      </c>
      <c r="D291" s="2">
        <v>34474.5</v>
      </c>
      <c r="E291" s="2">
        <v>0</v>
      </c>
      <c r="G291" s="3">
        <f>SUMIF(Query1!$B$4:$B$146,A291,Query1!$F$4:$F$146)</f>
        <v>-5775.3</v>
      </c>
      <c r="H291" s="3">
        <f>SUMIF(Query4!$B$4:$B$138,A291,Query4!$F$4:$F$138)</f>
        <v>-2773.7</v>
      </c>
    </row>
    <row r="292" spans="1:8" x14ac:dyDescent="0.2">
      <c r="A292" s="5">
        <v>2167</v>
      </c>
      <c r="B292" s="5">
        <v>1</v>
      </c>
      <c r="C292" s="2" t="s">
        <v>287</v>
      </c>
      <c r="D292" s="2">
        <v>-4751.38</v>
      </c>
      <c r="E292" s="2">
        <v>0</v>
      </c>
      <c r="G292" s="3">
        <f>SUMIF(Query1!$B$4:$B$146,A292,Query1!$F$4:$F$146)</f>
        <v>0</v>
      </c>
      <c r="H292" s="3">
        <f>SUMIF(Query4!$B$4:$B$138,A292,Query4!$F$4:$F$138)</f>
        <v>0</v>
      </c>
    </row>
    <row r="293" spans="1:8" x14ac:dyDescent="0.2">
      <c r="A293" s="5">
        <v>2168</v>
      </c>
      <c r="B293" s="5">
        <v>1</v>
      </c>
      <c r="C293" s="2" t="s">
        <v>288</v>
      </c>
      <c r="D293" s="2">
        <v>-42027.79</v>
      </c>
      <c r="E293" s="2">
        <v>0</v>
      </c>
      <c r="G293" s="3">
        <f>SUMIF(Query1!$B$4:$B$146,A293,Query1!$F$4:$F$146)</f>
        <v>-5464.46</v>
      </c>
      <c r="H293" s="3">
        <f>SUMIF(Query4!$B$4:$B$138,A293,Query4!$F$4:$F$138)</f>
        <v>-575.04999999999995</v>
      </c>
    </row>
    <row r="294" spans="1:8" x14ac:dyDescent="0.2">
      <c r="A294" s="5">
        <v>2169</v>
      </c>
      <c r="B294" s="5">
        <v>1</v>
      </c>
      <c r="C294" s="2" t="s">
        <v>289</v>
      </c>
      <c r="D294" s="2">
        <v>-5693.87</v>
      </c>
      <c r="E294" s="2">
        <v>0</v>
      </c>
      <c r="G294" s="3">
        <f>SUMIF(Query1!$B$4:$B$146,A294,Query1!$F$4:$F$146)</f>
        <v>0</v>
      </c>
      <c r="H294" s="3">
        <f>SUMIF(Query4!$B$4:$B$138,A294,Query4!$F$4:$F$138)</f>
        <v>0</v>
      </c>
    </row>
    <row r="295" spans="1:8" x14ac:dyDescent="0.2">
      <c r="A295" s="5">
        <v>2170</v>
      </c>
      <c r="B295" s="5">
        <v>1</v>
      </c>
      <c r="C295" s="2" t="s">
        <v>290</v>
      </c>
      <c r="D295" s="2">
        <v>71374.77</v>
      </c>
      <c r="E295" s="2">
        <v>0</v>
      </c>
      <c r="G295" s="3">
        <f>SUMIF(Query1!$B$4:$B$146,A295,Query1!$F$4:$F$146)</f>
        <v>0</v>
      </c>
      <c r="H295" s="3">
        <f>SUMIF(Query4!$B$4:$B$138,A295,Query4!$F$4:$F$138)</f>
        <v>0</v>
      </c>
    </row>
    <row r="296" spans="1:8" x14ac:dyDescent="0.2">
      <c r="A296" s="5">
        <v>2171</v>
      </c>
      <c r="B296" s="5">
        <v>1</v>
      </c>
      <c r="C296" s="2" t="s">
        <v>291</v>
      </c>
      <c r="D296" s="2">
        <v>-3065.5</v>
      </c>
      <c r="E296" s="2">
        <v>0</v>
      </c>
      <c r="G296" s="3">
        <f>SUMIF(Query1!$B$4:$B$146,A296,Query1!$F$4:$F$146)</f>
        <v>-16173.76</v>
      </c>
      <c r="H296" s="3">
        <f>SUMIF(Query4!$B$4:$B$138,A296,Query4!$F$4:$F$138)</f>
        <v>0</v>
      </c>
    </row>
    <row r="297" spans="1:8" x14ac:dyDescent="0.2">
      <c r="A297" s="5">
        <v>2172</v>
      </c>
      <c r="B297" s="5">
        <v>1</v>
      </c>
      <c r="C297" s="2" t="s">
        <v>292</v>
      </c>
      <c r="D297" s="2">
        <v>-88409.91</v>
      </c>
      <c r="E297" s="2">
        <v>0</v>
      </c>
      <c r="G297" s="3">
        <f>SUMIF(Query1!$B$4:$B$146,A297,Query1!$F$4:$F$146)</f>
        <v>-37827.019999999997</v>
      </c>
      <c r="H297" s="3">
        <f>SUMIF(Query4!$B$4:$B$138,A297,Query4!$F$4:$F$138)</f>
        <v>-2779.06</v>
      </c>
    </row>
    <row r="298" spans="1:8" x14ac:dyDescent="0.2">
      <c r="A298" s="5">
        <v>2174</v>
      </c>
      <c r="B298" s="5">
        <v>1</v>
      </c>
      <c r="C298" s="2" t="s">
        <v>293</v>
      </c>
      <c r="D298" s="2">
        <v>18653.5</v>
      </c>
      <c r="E298" s="2">
        <v>0</v>
      </c>
      <c r="G298" s="3">
        <f>SUMIF(Query1!$B$4:$B$146,A298,Query1!$F$4:$F$146)</f>
        <v>0</v>
      </c>
      <c r="H298" s="3">
        <f>SUMIF(Query4!$B$4:$B$138,A298,Query4!$F$4:$F$138)</f>
        <v>0</v>
      </c>
    </row>
    <row r="299" spans="1:8" x14ac:dyDescent="0.2">
      <c r="A299" s="5">
        <v>2176</v>
      </c>
      <c r="B299" s="5">
        <v>1</v>
      </c>
      <c r="C299" s="2" t="s">
        <v>294</v>
      </c>
      <c r="D299" s="2">
        <v>-37409.980000000003</v>
      </c>
      <c r="E299" s="2">
        <v>0</v>
      </c>
      <c r="G299" s="3">
        <f>SUMIF(Query1!$B$4:$B$146,A299,Query1!$F$4:$F$146)</f>
        <v>0</v>
      </c>
      <c r="H299" s="3">
        <f>SUMIF(Query4!$B$4:$B$138,A299,Query4!$F$4:$F$138)</f>
        <v>0</v>
      </c>
    </row>
    <row r="300" spans="1:8" x14ac:dyDescent="0.2">
      <c r="A300" s="5">
        <v>2180</v>
      </c>
      <c r="B300" s="5">
        <v>1</v>
      </c>
      <c r="C300" s="2" t="s">
        <v>295</v>
      </c>
      <c r="D300" s="2">
        <v>-52075.5</v>
      </c>
      <c r="E300" s="2">
        <v>0</v>
      </c>
      <c r="G300" s="3">
        <f>SUMIF(Query1!$B$4:$B$146,A300,Query1!$F$4:$F$146)</f>
        <v>0</v>
      </c>
      <c r="H300" s="3">
        <f>SUMIF(Query4!$B$4:$B$138,A300,Query4!$F$4:$F$138)</f>
        <v>0</v>
      </c>
    </row>
    <row r="301" spans="1:8" x14ac:dyDescent="0.2">
      <c r="A301" s="5">
        <v>2184</v>
      </c>
      <c r="B301" s="5">
        <v>1</v>
      </c>
      <c r="C301" s="2" t="s">
        <v>296</v>
      </c>
      <c r="D301" s="2">
        <v>33887.33</v>
      </c>
      <c r="E301" s="2">
        <v>0</v>
      </c>
      <c r="G301" s="3">
        <f>SUMIF(Query1!$B$4:$B$146,A301,Query1!$F$4:$F$146)</f>
        <v>0</v>
      </c>
      <c r="H301" s="3">
        <f>SUMIF(Query4!$B$4:$B$138,A301,Query4!$F$4:$F$138)</f>
        <v>0</v>
      </c>
    </row>
    <row r="302" spans="1:8" x14ac:dyDescent="0.2">
      <c r="A302" s="5">
        <v>2190</v>
      </c>
      <c r="B302" s="5">
        <v>1</v>
      </c>
      <c r="C302" s="2" t="s">
        <v>297</v>
      </c>
      <c r="D302" s="2">
        <v>-81147.009999999995</v>
      </c>
      <c r="E302" s="2">
        <v>0</v>
      </c>
      <c r="G302" s="3">
        <f>SUMIF(Query1!$B$4:$B$146,A302,Query1!$F$4:$F$146)</f>
        <v>-23304.39</v>
      </c>
      <c r="H302" s="3">
        <f>SUMIF(Query4!$B$4:$B$138,A302,Query4!$F$4:$F$138)</f>
        <v>-209.11</v>
      </c>
    </row>
    <row r="303" spans="1:8" x14ac:dyDescent="0.2">
      <c r="A303" s="5">
        <v>2198</v>
      </c>
      <c r="B303" s="5">
        <v>1</v>
      </c>
      <c r="C303" s="2" t="s">
        <v>298</v>
      </c>
      <c r="D303" s="2">
        <v>-30969.03</v>
      </c>
      <c r="E303" s="2">
        <v>0</v>
      </c>
      <c r="G303" s="3">
        <f>SUMIF(Query1!$B$4:$B$146,A303,Query1!$F$4:$F$146)</f>
        <v>0</v>
      </c>
      <c r="H303" s="3">
        <f>SUMIF(Query4!$B$4:$B$138,A303,Query4!$F$4:$F$138)</f>
        <v>0</v>
      </c>
    </row>
    <row r="304" spans="1:8" x14ac:dyDescent="0.2">
      <c r="A304" s="5">
        <v>2215</v>
      </c>
      <c r="B304" s="5">
        <v>1</v>
      </c>
      <c r="C304" s="2" t="s">
        <v>299</v>
      </c>
      <c r="D304" s="2">
        <v>-1936.88</v>
      </c>
      <c r="E304" s="2">
        <v>0</v>
      </c>
      <c r="G304" s="3">
        <f>SUMIF(Query1!$B$4:$B$146,A304,Query1!$F$4:$F$146)</f>
        <v>-9455.5400000000009</v>
      </c>
      <c r="H304" s="3">
        <f>SUMIF(Query4!$B$4:$B$138,A304,Query4!$F$4:$F$138)</f>
        <v>-864.21</v>
      </c>
    </row>
    <row r="305" spans="1:8" x14ac:dyDescent="0.2">
      <c r="A305" s="5">
        <v>2310</v>
      </c>
      <c r="B305" s="5">
        <v>1</v>
      </c>
      <c r="C305" s="2" t="s">
        <v>300</v>
      </c>
      <c r="D305" s="2">
        <v>31193.919999999998</v>
      </c>
      <c r="E305" s="2">
        <v>0</v>
      </c>
      <c r="G305" s="3">
        <f>SUMIF(Query1!$B$4:$B$146,A305,Query1!$F$4:$F$146)</f>
        <v>-17062.54</v>
      </c>
      <c r="H305" s="3">
        <f>SUMIF(Query4!$B$4:$B$138,A305,Query4!$F$4:$F$138)</f>
        <v>-3253.91</v>
      </c>
    </row>
    <row r="306" spans="1:8" x14ac:dyDescent="0.2">
      <c r="A306" s="5">
        <v>2311</v>
      </c>
      <c r="B306" s="5">
        <v>1</v>
      </c>
      <c r="C306" s="2" t="s">
        <v>301</v>
      </c>
      <c r="D306" s="2">
        <v>-95537.31</v>
      </c>
      <c r="E306" s="2">
        <v>-6036.06</v>
      </c>
      <c r="G306" s="3">
        <f>SUMIF(Query1!$B$4:$B$146,A306,Query1!$F$4:$F$146)</f>
        <v>0</v>
      </c>
      <c r="H306" s="3">
        <f>SUMIF(Query4!$B$4:$B$138,A306,Query4!$F$4:$F$138)</f>
        <v>0</v>
      </c>
    </row>
    <row r="307" spans="1:8" x14ac:dyDescent="0.2">
      <c r="A307" s="5">
        <v>2342</v>
      </c>
      <c r="B307" s="5">
        <v>1</v>
      </c>
      <c r="C307" s="2" t="s">
        <v>302</v>
      </c>
      <c r="D307" s="2">
        <v>-53204.09</v>
      </c>
      <c r="E307" s="2">
        <v>0</v>
      </c>
      <c r="G307" s="3">
        <f>SUMIF(Query1!$B$4:$B$146,A307,Query1!$F$4:$F$146)</f>
        <v>0</v>
      </c>
      <c r="H307" s="3">
        <f>SUMIF(Query4!$B$4:$B$138,A307,Query4!$F$4:$F$138)</f>
        <v>0</v>
      </c>
    </row>
    <row r="308" spans="1:8" x14ac:dyDescent="0.2">
      <c r="A308" s="5">
        <v>2358</v>
      </c>
      <c r="B308" s="5">
        <v>1</v>
      </c>
      <c r="C308" s="2" t="s">
        <v>303</v>
      </c>
      <c r="D308" s="2">
        <v>-61901.16</v>
      </c>
      <c r="E308" s="2">
        <v>-3526.2</v>
      </c>
      <c r="G308" s="3">
        <f>SUMIF(Query1!$B$4:$B$146,A308,Query1!$F$4:$F$146)</f>
        <v>0</v>
      </c>
      <c r="H308" s="3">
        <f>SUMIF(Query4!$B$4:$B$138,A308,Query4!$F$4:$F$138)</f>
        <v>0</v>
      </c>
    </row>
    <row r="309" spans="1:8" x14ac:dyDescent="0.2">
      <c r="A309" s="5">
        <v>2364</v>
      </c>
      <c r="B309" s="5">
        <v>1</v>
      </c>
      <c r="C309" s="2" t="s">
        <v>304</v>
      </c>
      <c r="D309" s="2">
        <v>37557.370000000003</v>
      </c>
      <c r="E309" s="2">
        <v>0</v>
      </c>
      <c r="G309" s="3">
        <f>SUMIF(Query1!$B$4:$B$146,A309,Query1!$F$4:$F$146)</f>
        <v>0</v>
      </c>
      <c r="H309" s="3">
        <f>SUMIF(Query4!$B$4:$B$138,A309,Query4!$F$4:$F$138)</f>
        <v>0</v>
      </c>
    </row>
    <row r="310" spans="1:8" x14ac:dyDescent="0.2">
      <c r="A310" s="5">
        <v>2365</v>
      </c>
      <c r="B310" s="5">
        <v>1</v>
      </c>
      <c r="C310" s="2" t="s">
        <v>305</v>
      </c>
      <c r="D310" s="2">
        <v>-178909.33</v>
      </c>
      <c r="E310" s="2">
        <v>0</v>
      </c>
      <c r="G310" s="3">
        <f>SUMIF(Query1!$B$4:$B$146,A310,Query1!$F$4:$F$146)</f>
        <v>-18278.560000000001</v>
      </c>
      <c r="H310" s="3">
        <f>SUMIF(Query4!$B$4:$B$138,A310,Query4!$F$4:$F$138)</f>
        <v>-137.58000000000001</v>
      </c>
    </row>
    <row r="311" spans="1:8" x14ac:dyDescent="0.2">
      <c r="A311" s="5">
        <v>2396</v>
      </c>
      <c r="B311" s="5">
        <v>1</v>
      </c>
      <c r="C311" s="2" t="s">
        <v>306</v>
      </c>
      <c r="D311" s="2">
        <v>-9891.59</v>
      </c>
      <c r="E311" s="2">
        <v>0</v>
      </c>
      <c r="G311" s="3">
        <f>SUMIF(Query1!$B$4:$B$146,A311,Query1!$F$4:$F$146)</f>
        <v>0</v>
      </c>
      <c r="H311" s="3">
        <f>SUMIF(Query4!$B$4:$B$138,A311,Query4!$F$4:$F$138)</f>
        <v>0</v>
      </c>
    </row>
    <row r="312" spans="1:8" x14ac:dyDescent="0.2">
      <c r="A312" s="5">
        <v>2397</v>
      </c>
      <c r="B312" s="5">
        <v>1</v>
      </c>
      <c r="C312" s="2" t="s">
        <v>307</v>
      </c>
      <c r="D312" s="2">
        <v>-217168.49000000002</v>
      </c>
      <c r="E312" s="2">
        <v>-8334.7099999999991</v>
      </c>
      <c r="G312" s="3">
        <f>SUMIF(Query1!$B$4:$B$146,A312,Query1!$F$4:$F$146)</f>
        <v>-19584</v>
      </c>
      <c r="H312" s="3">
        <f>SUMIF(Query4!$B$4:$B$138,A312,Query4!$F$4:$F$138)</f>
        <v>-1638</v>
      </c>
    </row>
    <row r="313" spans="1:8" x14ac:dyDescent="0.2">
      <c r="A313" s="5">
        <v>2448</v>
      </c>
      <c r="B313" s="5">
        <v>1</v>
      </c>
      <c r="C313" s="2" t="s">
        <v>308</v>
      </c>
      <c r="D313" s="2">
        <v>-12781.42</v>
      </c>
      <c r="E313" s="2">
        <v>0</v>
      </c>
      <c r="G313" s="3">
        <f>SUMIF(Query1!$B$4:$B$146,A313,Query1!$F$4:$F$146)</f>
        <v>0</v>
      </c>
      <c r="H313" s="3">
        <f>SUMIF(Query4!$B$4:$B$138,A313,Query4!$F$4:$F$138)</f>
        <v>0</v>
      </c>
    </row>
    <row r="314" spans="1:8" x14ac:dyDescent="0.2">
      <c r="A314" s="5">
        <v>2527</v>
      </c>
      <c r="B314" s="5">
        <v>1</v>
      </c>
      <c r="C314" s="2" t="s">
        <v>309</v>
      </c>
      <c r="D314" s="2">
        <v>6911.54</v>
      </c>
      <c r="E314" s="2">
        <v>0</v>
      </c>
      <c r="G314" s="3">
        <f>SUMIF(Query1!$B$4:$B$146,A314,Query1!$F$4:$F$146)</f>
        <v>-2478.46</v>
      </c>
      <c r="H314" s="3">
        <f>SUMIF(Query4!$B$4:$B$138,A314,Query4!$F$4:$F$138)</f>
        <v>0</v>
      </c>
    </row>
    <row r="315" spans="1:8" x14ac:dyDescent="0.2">
      <c r="A315" s="5">
        <v>2534</v>
      </c>
      <c r="B315" s="5">
        <v>1</v>
      </c>
      <c r="C315" s="2" t="s">
        <v>310</v>
      </c>
      <c r="D315" s="2">
        <v>29736.15</v>
      </c>
      <c r="E315" s="2">
        <v>0</v>
      </c>
      <c r="G315" s="3">
        <f>SUMIF(Query1!$B$4:$B$146,A315,Query1!$F$4:$F$146)</f>
        <v>0</v>
      </c>
      <c r="H315" s="3">
        <f>SUMIF(Query4!$B$4:$B$138,A315,Query4!$F$4:$F$138)</f>
        <v>0</v>
      </c>
    </row>
    <row r="316" spans="1:8" x14ac:dyDescent="0.2">
      <c r="A316" s="5">
        <v>2536</v>
      </c>
      <c r="B316" s="5">
        <v>1</v>
      </c>
      <c r="C316" s="2" t="s">
        <v>311</v>
      </c>
      <c r="D316" s="2">
        <v>-75295.960000000006</v>
      </c>
      <c r="E316" s="2">
        <v>0</v>
      </c>
      <c r="G316" s="3">
        <f>SUMIF(Query1!$B$4:$B$146,A316,Query1!$F$4:$F$146)</f>
        <v>0</v>
      </c>
      <c r="H316" s="3">
        <f>SUMIF(Query4!$B$4:$B$138,A316,Query4!$F$4:$F$138)</f>
        <v>-112.04</v>
      </c>
    </row>
    <row r="317" spans="1:8" x14ac:dyDescent="0.2">
      <c r="A317" s="5">
        <v>2580</v>
      </c>
      <c r="B317" s="5">
        <v>1</v>
      </c>
      <c r="C317" s="2" t="s">
        <v>312</v>
      </c>
      <c r="D317" s="2">
        <v>-20023.259999999998</v>
      </c>
      <c r="E317" s="2">
        <v>0</v>
      </c>
      <c r="G317" s="3">
        <f>SUMIF(Query1!$B$4:$B$146,A317,Query1!$F$4:$F$146)</f>
        <v>0</v>
      </c>
      <c r="H317" s="3">
        <f>SUMIF(Query4!$B$4:$B$138,A317,Query4!$F$4:$F$138)</f>
        <v>0</v>
      </c>
    </row>
    <row r="318" spans="1:8" x14ac:dyDescent="0.2">
      <c r="A318" s="5">
        <v>2609</v>
      </c>
      <c r="B318" s="5">
        <v>1</v>
      </c>
      <c r="C318" s="2" t="s">
        <v>313</v>
      </c>
      <c r="D318" s="2">
        <v>-14404.52</v>
      </c>
      <c r="E318" s="2">
        <v>0</v>
      </c>
      <c r="G318" s="3">
        <f>SUMIF(Query1!$B$4:$B$146,A318,Query1!$F$4:$F$146)</f>
        <v>-20903.310000000001</v>
      </c>
      <c r="H318" s="3">
        <f>SUMIF(Query4!$B$4:$B$138,A318,Query4!$F$4:$F$138)</f>
        <v>0</v>
      </c>
    </row>
    <row r="319" spans="1:8" x14ac:dyDescent="0.2">
      <c r="A319" s="5">
        <v>2683</v>
      </c>
      <c r="B319" s="5">
        <v>1</v>
      </c>
      <c r="C319" s="2" t="s">
        <v>314</v>
      </c>
      <c r="D319" s="2">
        <v>3024.51</v>
      </c>
      <c r="E319" s="2">
        <v>0</v>
      </c>
      <c r="G319" s="3">
        <f>SUMIF(Query1!$B$4:$B$146,A319,Query1!$F$4:$F$146)</f>
        <v>-4964.0200000000004</v>
      </c>
      <c r="H319" s="3">
        <f>SUMIF(Query4!$B$4:$B$138,A319,Query4!$F$4:$F$138)</f>
        <v>0</v>
      </c>
    </row>
    <row r="320" spans="1:8" x14ac:dyDescent="0.2">
      <c r="A320" s="5">
        <v>2687</v>
      </c>
      <c r="B320" s="5">
        <v>1</v>
      </c>
      <c r="C320" s="2" t="s">
        <v>315</v>
      </c>
      <c r="D320" s="2">
        <v>-14161.75</v>
      </c>
      <c r="E320" s="2">
        <v>0</v>
      </c>
      <c r="G320" s="3">
        <f>SUMIF(Query1!$B$4:$B$146,A320,Query1!$F$4:$F$146)</f>
        <v>-52086</v>
      </c>
      <c r="H320" s="3">
        <f>SUMIF(Query4!$B$4:$B$138,A320,Query4!$F$4:$F$138)</f>
        <v>-5410</v>
      </c>
    </row>
    <row r="321" spans="1:8" x14ac:dyDescent="0.2">
      <c r="A321" s="5">
        <v>2689</v>
      </c>
      <c r="B321" s="5">
        <v>1</v>
      </c>
      <c r="C321" s="2" t="s">
        <v>316</v>
      </c>
      <c r="D321" s="2">
        <v>-13069.04</v>
      </c>
      <c r="E321" s="2">
        <v>0</v>
      </c>
      <c r="G321" s="3">
        <f>SUMIF(Query1!$B$4:$B$146,A321,Query1!$F$4:$F$146)</f>
        <v>0</v>
      </c>
      <c r="H321" s="3">
        <f>SUMIF(Query4!$B$4:$B$138,A321,Query4!$F$4:$F$138)</f>
        <v>-724.21</v>
      </c>
    </row>
    <row r="322" spans="1:8" x14ac:dyDescent="0.2">
      <c r="A322" s="5">
        <v>2711</v>
      </c>
      <c r="B322" s="5">
        <v>1</v>
      </c>
      <c r="C322" s="2" t="s">
        <v>317</v>
      </c>
      <c r="D322" s="2">
        <v>0</v>
      </c>
      <c r="E322" s="2">
        <v>0</v>
      </c>
      <c r="G322" s="3">
        <f>SUMIF(Query1!$B$4:$B$146,A322,Query1!$F$4:$F$146)</f>
        <v>-613743.12</v>
      </c>
      <c r="H322" s="3">
        <f>SUMIF(Query4!$B$4:$B$138,A322,Query4!$F$4:$F$138)</f>
        <v>0</v>
      </c>
    </row>
    <row r="323" spans="1:8" x14ac:dyDescent="0.2">
      <c r="A323" s="5">
        <v>2752</v>
      </c>
      <c r="B323" s="5">
        <v>1</v>
      </c>
      <c r="C323" s="2" t="s">
        <v>318</v>
      </c>
      <c r="D323" s="2">
        <v>234054.25</v>
      </c>
      <c r="E323" s="2">
        <v>0</v>
      </c>
      <c r="G323" s="3">
        <f>SUMIF(Query1!$B$4:$B$146,A323,Query1!$F$4:$F$146)</f>
        <v>-19847.12</v>
      </c>
      <c r="H323" s="3">
        <f>SUMIF(Query4!$B$4:$B$138,A323,Query4!$F$4:$F$138)</f>
        <v>-2907.91</v>
      </c>
    </row>
    <row r="324" spans="1:8" x14ac:dyDescent="0.2">
      <c r="A324" s="5">
        <v>2753</v>
      </c>
      <c r="B324" s="5">
        <v>1</v>
      </c>
      <c r="C324" s="2" t="s">
        <v>319</v>
      </c>
      <c r="D324" s="2">
        <v>-5514.22</v>
      </c>
      <c r="E324" s="2">
        <v>0</v>
      </c>
      <c r="G324" s="3">
        <f>SUMIF(Query1!$B$4:$B$146,A324,Query1!$F$4:$F$146)</f>
        <v>-2814.7</v>
      </c>
      <c r="H324" s="3">
        <f>SUMIF(Query4!$B$4:$B$138,A324,Query4!$F$4:$F$138)</f>
        <v>0</v>
      </c>
    </row>
    <row r="325" spans="1:8" x14ac:dyDescent="0.2">
      <c r="A325" s="5">
        <v>2754</v>
      </c>
      <c r="B325" s="5">
        <v>1</v>
      </c>
      <c r="C325" s="2" t="s">
        <v>320</v>
      </c>
      <c r="D325" s="2">
        <v>18101.46</v>
      </c>
      <c r="E325" s="2">
        <v>0</v>
      </c>
      <c r="G325" s="3">
        <f>SUMIF(Query1!$B$4:$B$146,A325,Query1!$F$4:$F$146)</f>
        <v>-37577.019999999997</v>
      </c>
      <c r="H325" s="3">
        <f>SUMIF(Query4!$B$4:$B$138,A325,Query4!$F$4:$F$138)</f>
        <v>-633.67999999999995</v>
      </c>
    </row>
    <row r="326" spans="1:8" x14ac:dyDescent="0.2">
      <c r="A326" s="5">
        <v>2759</v>
      </c>
      <c r="B326" s="5">
        <v>1</v>
      </c>
      <c r="C326" s="2" t="s">
        <v>321</v>
      </c>
      <c r="D326" s="2">
        <v>20460.36</v>
      </c>
      <c r="E326" s="2">
        <v>0</v>
      </c>
      <c r="G326" s="3">
        <f>SUMIF(Query1!$B$4:$B$146,A326,Query1!$F$4:$F$146)</f>
        <v>-29625.87</v>
      </c>
      <c r="H326" s="3">
        <f>SUMIF(Query4!$B$4:$B$138,A326,Query4!$F$4:$F$138)</f>
        <v>-2813.56</v>
      </c>
    </row>
    <row r="327" spans="1:8" x14ac:dyDescent="0.2">
      <c r="A327" s="5">
        <v>2805</v>
      </c>
      <c r="B327" s="5">
        <v>1</v>
      </c>
      <c r="C327" s="2" t="s">
        <v>322</v>
      </c>
      <c r="D327" s="2">
        <v>-23065.41</v>
      </c>
      <c r="E327" s="2">
        <v>0</v>
      </c>
      <c r="G327" s="3">
        <f>SUMIF(Query1!$B$4:$B$146,A327,Query1!$F$4:$F$146)</f>
        <v>-21286</v>
      </c>
      <c r="H327" s="3">
        <f>SUMIF(Query4!$B$4:$B$138,A327,Query4!$F$4:$F$138)</f>
        <v>-3821</v>
      </c>
    </row>
    <row r="328" spans="1:8" x14ac:dyDescent="0.2">
      <c r="A328" s="5">
        <v>2835</v>
      </c>
      <c r="B328" s="5">
        <v>1</v>
      </c>
      <c r="C328" s="2" t="s">
        <v>323</v>
      </c>
      <c r="D328" s="2">
        <v>-379960.54999999993</v>
      </c>
      <c r="E328" s="2">
        <v>-8062.82</v>
      </c>
      <c r="G328" s="3">
        <f>SUMIF(Query1!$B$4:$B$146,A328,Query1!$F$4:$F$146)</f>
        <v>-30907</v>
      </c>
      <c r="H328" s="3">
        <f>SUMIF(Query4!$B$4:$B$138,A328,Query4!$F$4:$F$138)</f>
        <v>-1305</v>
      </c>
    </row>
    <row r="329" spans="1:8" x14ac:dyDescent="0.2">
      <c r="A329" s="5">
        <v>2853</v>
      </c>
      <c r="B329" s="5">
        <v>1</v>
      </c>
      <c r="C329" s="2" t="s">
        <v>324</v>
      </c>
      <c r="D329" s="2">
        <v>-20422.12</v>
      </c>
      <c r="E329" s="2">
        <v>0</v>
      </c>
      <c r="G329" s="3">
        <f>SUMIF(Query1!$B$4:$B$146,A329,Query1!$F$4:$F$146)</f>
        <v>0</v>
      </c>
      <c r="H329" s="3">
        <f>SUMIF(Query4!$B$4:$B$138,A329,Query4!$F$4:$F$138)</f>
        <v>-1470.58</v>
      </c>
    </row>
    <row r="330" spans="1:8" x14ac:dyDescent="0.2">
      <c r="A330" s="5">
        <v>2854</v>
      </c>
      <c r="B330" s="5">
        <v>1</v>
      </c>
      <c r="C330" s="2" t="s">
        <v>325</v>
      </c>
      <c r="D330" s="2">
        <v>-8351.23</v>
      </c>
      <c r="E330" s="2">
        <v>0</v>
      </c>
      <c r="G330" s="3">
        <f>SUMIF(Query1!$B$4:$B$146,A330,Query1!$F$4:$F$146)</f>
        <v>0</v>
      </c>
      <c r="H330" s="3">
        <f>SUMIF(Query4!$B$4:$B$138,A330,Query4!$F$4:$F$138)</f>
        <v>-68.680000000000007</v>
      </c>
    </row>
    <row r="331" spans="1:8" x14ac:dyDescent="0.2">
      <c r="A331" s="5">
        <v>2856</v>
      </c>
      <c r="B331" s="5">
        <v>1</v>
      </c>
      <c r="C331" s="2" t="s">
        <v>326</v>
      </c>
      <c r="D331" s="2">
        <v>175.68</v>
      </c>
      <c r="E331" s="2">
        <v>0</v>
      </c>
      <c r="G331" s="3">
        <f>SUMIF(Query1!$B$4:$B$146,A331,Query1!$F$4:$F$146)</f>
        <v>0</v>
      </c>
      <c r="H331" s="3">
        <f>SUMIF(Query4!$B$4:$B$138,A331,Query4!$F$4:$F$138)</f>
        <v>0</v>
      </c>
    </row>
    <row r="332" spans="1:8" x14ac:dyDescent="0.2">
      <c r="A332" s="5">
        <v>2859</v>
      </c>
      <c r="B332" s="5">
        <v>1</v>
      </c>
      <c r="C332" s="2" t="s">
        <v>327</v>
      </c>
      <c r="D332" s="2">
        <v>-7244.329999999999</v>
      </c>
      <c r="E332" s="2">
        <v>-4257.95</v>
      </c>
      <c r="G332" s="3">
        <f>SUMIF(Query1!$B$4:$B$146,A332,Query1!$F$4:$F$146)</f>
        <v>0</v>
      </c>
      <c r="H332" s="3">
        <f>SUMIF(Query4!$B$4:$B$138,A332,Query4!$F$4:$F$138)</f>
        <v>-5269</v>
      </c>
    </row>
    <row r="333" spans="1:8" x14ac:dyDescent="0.2">
      <c r="A333" s="5">
        <v>2860</v>
      </c>
      <c r="B333" s="5">
        <v>1</v>
      </c>
      <c r="C333" s="2" t="s">
        <v>328</v>
      </c>
      <c r="D333" s="2">
        <v>2655.9</v>
      </c>
      <c r="E333" s="2">
        <v>0</v>
      </c>
      <c r="G333" s="3">
        <f>SUMIF(Query1!$B$4:$B$146,A333,Query1!$F$4:$F$146)</f>
        <v>0</v>
      </c>
      <c r="H333" s="3">
        <f>SUMIF(Query4!$B$4:$B$138,A333,Query4!$F$4:$F$138)</f>
        <v>-5663</v>
      </c>
    </row>
    <row r="334" spans="1:8" x14ac:dyDescent="0.2">
      <c r="A334" s="5">
        <v>2884</v>
      </c>
      <c r="B334" s="5">
        <v>1</v>
      </c>
      <c r="C334" s="2" t="s">
        <v>329</v>
      </c>
      <c r="D334" s="2">
        <v>-5715.84</v>
      </c>
      <c r="E334" s="2">
        <v>0</v>
      </c>
      <c r="G334" s="3">
        <f>SUMIF(Query1!$B$4:$B$146,A334,Query1!$F$4:$F$146)</f>
        <v>0</v>
      </c>
      <c r="H334" s="3">
        <f>SUMIF(Query4!$B$4:$B$138,A334,Query4!$F$4:$F$138)</f>
        <v>-85.51</v>
      </c>
    </row>
    <row r="335" spans="1:8" x14ac:dyDescent="0.2">
      <c r="A335" s="5">
        <v>2886</v>
      </c>
      <c r="B335" s="5">
        <v>1</v>
      </c>
      <c r="C335" s="2" t="s">
        <v>330</v>
      </c>
      <c r="D335" s="2">
        <v>29600.36</v>
      </c>
      <c r="E335" s="2">
        <v>0</v>
      </c>
      <c r="G335" s="3">
        <f>SUMIF(Query1!$B$4:$B$146,A335,Query1!$F$4:$F$146)</f>
        <v>0</v>
      </c>
      <c r="H335" s="3">
        <f>SUMIF(Query4!$B$4:$B$138,A335,Query4!$F$4:$F$138)</f>
        <v>0</v>
      </c>
    </row>
    <row r="336" spans="1:8" x14ac:dyDescent="0.2">
      <c r="A336" s="5">
        <v>2888</v>
      </c>
      <c r="B336" s="5">
        <v>1</v>
      </c>
      <c r="C336" s="2" t="s">
        <v>331</v>
      </c>
      <c r="D336" s="2">
        <v>11055.02</v>
      </c>
      <c r="E336" s="2">
        <v>0</v>
      </c>
      <c r="G336" s="3">
        <f>SUMIF(Query1!$B$4:$B$146,A336,Query1!$F$4:$F$146)</f>
        <v>-98.71</v>
      </c>
      <c r="H336" s="3">
        <f>SUMIF(Query4!$B$4:$B$138,A336,Query4!$F$4:$F$138)</f>
        <v>0</v>
      </c>
    </row>
    <row r="337" spans="1:8" x14ac:dyDescent="0.2">
      <c r="A337" s="5">
        <v>2889</v>
      </c>
      <c r="B337" s="5">
        <v>1</v>
      </c>
      <c r="C337" s="2" t="s">
        <v>332</v>
      </c>
      <c r="D337" s="2">
        <v>-25460.240000000002</v>
      </c>
      <c r="E337" s="2">
        <v>0</v>
      </c>
      <c r="G337" s="3">
        <f>SUMIF(Query1!$B$4:$B$146,A337,Query1!$F$4:$F$146)</f>
        <v>0</v>
      </c>
      <c r="H337" s="3">
        <f>SUMIF(Query4!$B$4:$B$138,A337,Query4!$F$4:$F$138)</f>
        <v>0</v>
      </c>
    </row>
    <row r="338" spans="1:8" x14ac:dyDescent="0.2">
      <c r="A338" s="5">
        <v>2890</v>
      </c>
      <c r="B338" s="5">
        <v>1</v>
      </c>
      <c r="C338" s="2" t="s">
        <v>333</v>
      </c>
      <c r="D338" s="2">
        <v>-50379.45</v>
      </c>
      <c r="E338" s="2">
        <v>0</v>
      </c>
      <c r="G338" s="3">
        <f>SUMIF(Query1!$B$4:$B$146,A338,Query1!$F$4:$F$146)</f>
        <v>0</v>
      </c>
      <c r="H338" s="3">
        <f>SUMIF(Query4!$B$4:$B$138,A338,Query4!$F$4:$F$138)</f>
        <v>-2160.6999999999998</v>
      </c>
    </row>
    <row r="339" spans="1:8" x14ac:dyDescent="0.2">
      <c r="A339" s="5">
        <v>2895</v>
      </c>
      <c r="B339" s="5">
        <v>1</v>
      </c>
      <c r="C339" s="2" t="s">
        <v>334</v>
      </c>
      <c r="D339" s="2">
        <v>-77990.890000000014</v>
      </c>
      <c r="E339" s="2">
        <v>0</v>
      </c>
      <c r="G339" s="3">
        <f>SUMIF(Query1!$B$4:$B$146,A339,Query1!$F$4:$F$146)</f>
        <v>0</v>
      </c>
      <c r="H339" s="3">
        <f>SUMIF(Query4!$B$4:$B$138,A339,Query4!$F$4:$F$138)</f>
        <v>0</v>
      </c>
    </row>
    <row r="340" spans="1:8" x14ac:dyDescent="0.2">
      <c r="A340" s="5">
        <v>2897</v>
      </c>
      <c r="B340" s="5">
        <v>1</v>
      </c>
      <c r="C340" s="2" t="s">
        <v>335</v>
      </c>
      <c r="D340" s="2">
        <v>-236003.39</v>
      </c>
      <c r="E340" s="2">
        <v>-16140.85</v>
      </c>
      <c r="G340" s="3">
        <f>SUMIF(Query1!$B$4:$B$146,A340,Query1!$F$4:$F$146)</f>
        <v>0</v>
      </c>
      <c r="H340" s="3">
        <f>SUMIF(Query4!$B$4:$B$138,A340,Query4!$F$4:$F$138)</f>
        <v>-2113.92</v>
      </c>
    </row>
    <row r="341" spans="1:8" x14ac:dyDescent="0.2">
      <c r="A341" s="5">
        <v>2898</v>
      </c>
      <c r="B341" s="5">
        <v>1</v>
      </c>
      <c r="C341" s="2" t="s">
        <v>336</v>
      </c>
      <c r="D341" s="2">
        <v>-10877.3</v>
      </c>
      <c r="E341" s="2">
        <v>0</v>
      </c>
      <c r="G341" s="3">
        <f>SUMIF(Query1!$B$4:$B$146,A341,Query1!$F$4:$F$146)</f>
        <v>-46519.67</v>
      </c>
      <c r="H341" s="3">
        <f>SUMIF(Query4!$B$4:$B$138,A341,Query4!$F$4:$F$138)</f>
        <v>0</v>
      </c>
    </row>
    <row r="342" spans="1:8" x14ac:dyDescent="0.2">
      <c r="A342" s="5">
        <v>2899</v>
      </c>
      <c r="B342" s="5">
        <v>1</v>
      </c>
      <c r="C342" s="2" t="s">
        <v>498</v>
      </c>
      <c r="D342" s="2">
        <v>-7292.32</v>
      </c>
      <c r="E342" s="2">
        <v>0</v>
      </c>
      <c r="G342" s="3">
        <f>SUMIF(Query1!$B$4:$B$146,A342,Query1!$F$4:$F$146)</f>
        <v>0</v>
      </c>
      <c r="H342" s="3">
        <f>SUMIF(Query4!$B$4:$B$138,A342,Query4!$F$4:$F$138)</f>
        <v>-816</v>
      </c>
    </row>
    <row r="343" spans="1:8" x14ac:dyDescent="0.2">
      <c r="A343" s="5">
        <v>2902</v>
      </c>
      <c r="B343" s="5">
        <v>1</v>
      </c>
      <c r="C343" s="2" t="s">
        <v>497</v>
      </c>
      <c r="D343" s="2">
        <v>-59927.69999999999</v>
      </c>
      <c r="E343" s="2">
        <v>-12241.07</v>
      </c>
      <c r="G343" s="3">
        <f>SUMIF(Query1!$B$4:$B$146,A343,Query1!$F$4:$F$146)</f>
        <v>0</v>
      </c>
      <c r="H343" s="3">
        <f>SUMIF(Query4!$B$4:$B$138,A343,Query4!$F$4:$F$138)</f>
        <v>-903.09</v>
      </c>
    </row>
    <row r="344" spans="1:8" x14ac:dyDescent="0.2">
      <c r="A344" s="5">
        <v>2903</v>
      </c>
      <c r="B344" s="5">
        <v>1</v>
      </c>
      <c r="C344" s="2" t="s">
        <v>640</v>
      </c>
      <c r="D344" s="2">
        <v>124332.56</v>
      </c>
      <c r="E344" s="2">
        <v>0</v>
      </c>
      <c r="G344" s="3">
        <f>SUMIF(Query1!$B$4:$B$146,A344,Query1!$F$4:$F$146)</f>
        <v>-84727</v>
      </c>
      <c r="H344" s="3">
        <f>SUMIF(Query4!$B$4:$B$138,A344,Query4!$F$4:$F$138)</f>
        <v>-3550</v>
      </c>
    </row>
    <row r="345" spans="1:8" x14ac:dyDescent="0.2">
      <c r="A345" s="5">
        <v>2904</v>
      </c>
      <c r="B345" s="5">
        <v>1</v>
      </c>
      <c r="C345" s="2" t="s">
        <v>641</v>
      </c>
      <c r="D345" s="2">
        <v>10414.43</v>
      </c>
      <c r="E345" s="2">
        <v>0</v>
      </c>
      <c r="G345" s="3">
        <f>SUMIF(Query1!$B$4:$B$146,A345,Query1!$F$4:$F$146)</f>
        <v>0</v>
      </c>
      <c r="H345" s="3">
        <f>SUMIF(Query4!$B$4:$B$138,A345,Query4!$F$4:$F$138)</f>
        <v>-852.46</v>
      </c>
    </row>
  </sheetData>
  <mergeCells count="2">
    <mergeCell ref="D4:E4"/>
    <mergeCell ref="G4:H4"/>
  </mergeCells>
  <phoneticPr fontId="0" type="noConversion"/>
  <pageMargins left="0.75" right="0.75" top="1" bottom="1" header="0.5" footer="0.5"/>
  <pageSetup scale="80" orientation="portrait" horizontalDpi="300" verticalDpi="300" r:id="rId1"/>
  <headerFooter alignWithMargins="0">
    <oddFooter>&amp;C&amp;P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8"/>
  <sheetViews>
    <sheetView workbookViewId="0">
      <selection activeCell="H1" sqref="H1"/>
    </sheetView>
  </sheetViews>
  <sheetFormatPr defaultRowHeight="11.25" x14ac:dyDescent="0.2"/>
  <cols>
    <col min="1" max="1" width="8" bestFit="1" customWidth="1"/>
    <col min="2" max="2" width="9.33203125" style="143"/>
    <col min="3" max="3" width="8" style="143" bestFit="1" customWidth="1"/>
    <col min="4" max="4" width="13.5" bestFit="1" customWidth="1"/>
    <col min="5" max="5" width="9.33203125" style="143"/>
    <col min="6" max="6" width="14.1640625" customWidth="1"/>
    <col min="8" max="9" width="13" bestFit="1" customWidth="1"/>
  </cols>
  <sheetData>
    <row r="1" spans="1:8" x14ac:dyDescent="0.2">
      <c r="H1" s="146" t="s">
        <v>714</v>
      </c>
    </row>
    <row r="2" spans="1:8" x14ac:dyDescent="0.2">
      <c r="H2" s="146" t="s">
        <v>642</v>
      </c>
    </row>
    <row r="3" spans="1:8" x14ac:dyDescent="0.2">
      <c r="A3" s="10" t="s">
        <v>630</v>
      </c>
      <c r="B3" s="11" t="s">
        <v>631</v>
      </c>
      <c r="C3" s="11" t="s">
        <v>632</v>
      </c>
      <c r="D3" s="10" t="s">
        <v>633</v>
      </c>
      <c r="E3" s="11" t="s">
        <v>634</v>
      </c>
      <c r="F3" s="10" t="s">
        <v>635</v>
      </c>
    </row>
    <row r="4" spans="1:8" x14ac:dyDescent="0.2">
      <c r="A4" t="s">
        <v>713</v>
      </c>
      <c r="B4" s="143">
        <v>1</v>
      </c>
      <c r="C4" s="143">
        <v>1</v>
      </c>
      <c r="D4">
        <v>2.14</v>
      </c>
      <c r="E4" s="143">
        <v>1</v>
      </c>
      <c r="F4">
        <v>-125447.35</v>
      </c>
    </row>
    <row r="5" spans="1:8" x14ac:dyDescent="0.2">
      <c r="A5" t="s">
        <v>713</v>
      </c>
      <c r="B5" s="179">
        <v>1.2</v>
      </c>
      <c r="C5" s="143">
        <v>3</v>
      </c>
      <c r="D5">
        <v>2.14</v>
      </c>
      <c r="E5" s="143">
        <v>1</v>
      </c>
      <c r="F5">
        <v>-4894482</v>
      </c>
    </row>
    <row r="6" spans="1:8" x14ac:dyDescent="0.2">
      <c r="A6" t="s">
        <v>713</v>
      </c>
      <c r="B6" s="143">
        <v>2</v>
      </c>
      <c r="C6" s="143">
        <v>1</v>
      </c>
      <c r="D6">
        <v>2.14</v>
      </c>
      <c r="E6" s="143">
        <v>1</v>
      </c>
      <c r="F6">
        <v>-5838.56</v>
      </c>
    </row>
    <row r="7" spans="1:8" x14ac:dyDescent="0.2">
      <c r="A7" t="s">
        <v>713</v>
      </c>
      <c r="B7" s="143">
        <v>4</v>
      </c>
      <c r="C7" s="143">
        <v>1</v>
      </c>
      <c r="D7">
        <v>2.14</v>
      </c>
      <c r="E7" s="143">
        <v>1</v>
      </c>
      <c r="F7">
        <v>-61827.11</v>
      </c>
    </row>
    <row r="8" spans="1:8" x14ac:dyDescent="0.2">
      <c r="A8" t="s">
        <v>713</v>
      </c>
      <c r="B8" s="143">
        <v>23</v>
      </c>
      <c r="C8" s="143">
        <v>1</v>
      </c>
      <c r="D8">
        <v>2.14</v>
      </c>
      <c r="E8" s="143">
        <v>1</v>
      </c>
      <c r="F8">
        <v>-7125.39</v>
      </c>
    </row>
    <row r="9" spans="1:8" x14ac:dyDescent="0.2">
      <c r="A9" t="s">
        <v>713</v>
      </c>
      <c r="B9" s="143">
        <v>47</v>
      </c>
      <c r="C9" s="143">
        <v>1</v>
      </c>
      <c r="D9">
        <v>2.14</v>
      </c>
      <c r="E9" s="143">
        <v>1</v>
      </c>
      <c r="F9">
        <v>-171125.86</v>
      </c>
    </row>
    <row r="10" spans="1:8" x14ac:dyDescent="0.2">
      <c r="A10" t="s">
        <v>713</v>
      </c>
      <c r="B10" s="143">
        <v>81</v>
      </c>
      <c r="C10" s="143">
        <v>1</v>
      </c>
      <c r="D10">
        <v>2.14</v>
      </c>
      <c r="E10" s="143">
        <v>1</v>
      </c>
      <c r="F10">
        <v>-2913.65</v>
      </c>
    </row>
    <row r="11" spans="1:8" x14ac:dyDescent="0.2">
      <c r="A11" t="s">
        <v>713</v>
      </c>
      <c r="B11" s="143">
        <v>84</v>
      </c>
      <c r="C11" s="143">
        <v>1</v>
      </c>
      <c r="D11">
        <v>2.14</v>
      </c>
      <c r="E11" s="143">
        <v>1</v>
      </c>
      <c r="F11">
        <v>-81174.179999999993</v>
      </c>
    </row>
    <row r="12" spans="1:8" x14ac:dyDescent="0.2">
      <c r="A12" t="s">
        <v>713</v>
      </c>
      <c r="B12" s="143">
        <v>85</v>
      </c>
      <c r="C12" s="143">
        <v>1</v>
      </c>
      <c r="D12">
        <v>2.14</v>
      </c>
      <c r="E12" s="143">
        <v>1</v>
      </c>
      <c r="F12">
        <v>-10735.31</v>
      </c>
    </row>
    <row r="13" spans="1:8" x14ac:dyDescent="0.2">
      <c r="A13" t="s">
        <v>713</v>
      </c>
      <c r="B13" s="143">
        <v>88</v>
      </c>
      <c r="C13" s="143">
        <v>1</v>
      </c>
      <c r="D13">
        <v>2.14</v>
      </c>
      <c r="E13" s="143">
        <v>1</v>
      </c>
      <c r="F13">
        <v>-28539</v>
      </c>
    </row>
    <row r="14" spans="1:8" x14ac:dyDescent="0.2">
      <c r="A14" t="s">
        <v>713</v>
      </c>
      <c r="B14" s="143">
        <v>91</v>
      </c>
      <c r="C14" s="143">
        <v>1</v>
      </c>
      <c r="D14">
        <v>2.14</v>
      </c>
      <c r="E14" s="143">
        <v>1</v>
      </c>
      <c r="F14">
        <v>-345.04</v>
      </c>
    </row>
    <row r="15" spans="1:8" x14ac:dyDescent="0.2">
      <c r="A15" t="s">
        <v>713</v>
      </c>
      <c r="B15" s="143">
        <v>94</v>
      </c>
      <c r="C15" s="143">
        <v>1</v>
      </c>
      <c r="D15">
        <v>2.14</v>
      </c>
      <c r="E15" s="143">
        <v>1</v>
      </c>
      <c r="F15">
        <v>-1231.83</v>
      </c>
    </row>
    <row r="16" spans="1:8" x14ac:dyDescent="0.2">
      <c r="A16" t="s">
        <v>713</v>
      </c>
      <c r="B16" s="143">
        <v>95</v>
      </c>
      <c r="C16" s="143">
        <v>1</v>
      </c>
      <c r="D16">
        <v>2.14</v>
      </c>
      <c r="E16" s="143">
        <v>1</v>
      </c>
      <c r="F16">
        <v>-4104.42</v>
      </c>
    </row>
    <row r="17" spans="1:6" x14ac:dyDescent="0.2">
      <c r="A17" t="s">
        <v>713</v>
      </c>
      <c r="B17" s="143">
        <v>97</v>
      </c>
      <c r="C17" s="143">
        <v>1</v>
      </c>
      <c r="D17">
        <v>2.14</v>
      </c>
      <c r="E17" s="143">
        <v>1</v>
      </c>
      <c r="F17">
        <v>-1532.83</v>
      </c>
    </row>
    <row r="18" spans="1:6" x14ac:dyDescent="0.2">
      <c r="A18" t="s">
        <v>713</v>
      </c>
      <c r="B18" s="143">
        <v>99</v>
      </c>
      <c r="C18" s="143">
        <v>1</v>
      </c>
      <c r="D18">
        <v>2.14</v>
      </c>
      <c r="E18" s="143">
        <v>1</v>
      </c>
      <c r="F18">
        <v>-45267.89</v>
      </c>
    </row>
    <row r="19" spans="1:6" x14ac:dyDescent="0.2">
      <c r="A19" t="s">
        <v>713</v>
      </c>
      <c r="B19" s="143">
        <v>108</v>
      </c>
      <c r="C19" s="143">
        <v>1</v>
      </c>
      <c r="D19">
        <v>2.14</v>
      </c>
      <c r="E19" s="143">
        <v>1</v>
      </c>
      <c r="F19">
        <v>-5215</v>
      </c>
    </row>
    <row r="20" spans="1:6" x14ac:dyDescent="0.2">
      <c r="A20" t="s">
        <v>713</v>
      </c>
      <c r="B20" s="143">
        <v>111</v>
      </c>
      <c r="C20" s="143">
        <v>1</v>
      </c>
      <c r="D20">
        <v>2.14</v>
      </c>
      <c r="E20" s="143">
        <v>1</v>
      </c>
      <c r="F20">
        <v>-42998</v>
      </c>
    </row>
    <row r="21" spans="1:6" x14ac:dyDescent="0.2">
      <c r="A21" t="s">
        <v>713</v>
      </c>
      <c r="B21" s="143">
        <v>113</v>
      </c>
      <c r="C21" s="143">
        <v>1</v>
      </c>
      <c r="D21">
        <v>2.14</v>
      </c>
      <c r="E21" s="143">
        <v>1</v>
      </c>
      <c r="F21">
        <v>-1977.43</v>
      </c>
    </row>
    <row r="22" spans="1:6" x14ac:dyDescent="0.2">
      <c r="A22" t="s">
        <v>713</v>
      </c>
      <c r="B22" s="143">
        <v>116</v>
      </c>
      <c r="C22" s="143">
        <v>1</v>
      </c>
      <c r="D22">
        <v>2.14</v>
      </c>
      <c r="E22" s="143">
        <v>1</v>
      </c>
      <c r="F22">
        <v>-8640.81</v>
      </c>
    </row>
    <row r="23" spans="1:6" x14ac:dyDescent="0.2">
      <c r="A23" t="s">
        <v>713</v>
      </c>
      <c r="B23" s="143">
        <v>129</v>
      </c>
      <c r="C23" s="143">
        <v>1</v>
      </c>
      <c r="D23">
        <v>2.14</v>
      </c>
      <c r="E23" s="143">
        <v>1</v>
      </c>
      <c r="F23">
        <v>-50421.7</v>
      </c>
    </row>
    <row r="24" spans="1:6" x14ac:dyDescent="0.2">
      <c r="A24" t="s">
        <v>713</v>
      </c>
      <c r="B24" s="143">
        <v>146</v>
      </c>
      <c r="C24" s="143">
        <v>1</v>
      </c>
      <c r="D24">
        <v>2.14</v>
      </c>
      <c r="E24" s="143">
        <v>1</v>
      </c>
      <c r="F24">
        <v>-9653</v>
      </c>
    </row>
    <row r="25" spans="1:6" x14ac:dyDescent="0.2">
      <c r="A25" t="s">
        <v>713</v>
      </c>
      <c r="B25" s="143">
        <v>150</v>
      </c>
      <c r="C25" s="143">
        <v>1</v>
      </c>
      <c r="D25">
        <v>2.14</v>
      </c>
      <c r="E25" s="143">
        <v>1</v>
      </c>
      <c r="F25">
        <v>-13266.7</v>
      </c>
    </row>
    <row r="26" spans="1:6" x14ac:dyDescent="0.2">
      <c r="A26" t="s">
        <v>713</v>
      </c>
      <c r="B26" s="143">
        <v>152</v>
      </c>
      <c r="C26" s="143">
        <v>1</v>
      </c>
      <c r="D26">
        <v>2.14</v>
      </c>
      <c r="E26" s="143">
        <v>1</v>
      </c>
      <c r="F26">
        <v>-187109</v>
      </c>
    </row>
    <row r="27" spans="1:6" x14ac:dyDescent="0.2">
      <c r="A27" t="s">
        <v>713</v>
      </c>
      <c r="B27" s="143">
        <v>166</v>
      </c>
      <c r="C27" s="143">
        <v>1</v>
      </c>
      <c r="D27">
        <v>2.14</v>
      </c>
      <c r="E27" s="143">
        <v>1</v>
      </c>
      <c r="F27">
        <v>-11490.03</v>
      </c>
    </row>
    <row r="28" spans="1:6" x14ac:dyDescent="0.2">
      <c r="A28" t="s">
        <v>713</v>
      </c>
      <c r="B28" s="143">
        <v>181</v>
      </c>
      <c r="C28" s="143">
        <v>1</v>
      </c>
      <c r="D28">
        <v>2.14</v>
      </c>
      <c r="E28" s="143">
        <v>1</v>
      </c>
      <c r="F28">
        <v>-6639.07</v>
      </c>
    </row>
    <row r="29" spans="1:6" x14ac:dyDescent="0.2">
      <c r="A29" t="s">
        <v>713</v>
      </c>
      <c r="B29" s="143">
        <v>192</v>
      </c>
      <c r="C29" s="143">
        <v>1</v>
      </c>
      <c r="D29">
        <v>2.14</v>
      </c>
      <c r="E29" s="143">
        <v>1</v>
      </c>
      <c r="F29">
        <v>-41198.410000000003</v>
      </c>
    </row>
    <row r="30" spans="1:6" x14ac:dyDescent="0.2">
      <c r="A30" t="s">
        <v>713</v>
      </c>
      <c r="B30" s="143">
        <v>204</v>
      </c>
      <c r="C30" s="143">
        <v>1</v>
      </c>
      <c r="D30">
        <v>2.14</v>
      </c>
      <c r="E30" s="143">
        <v>1</v>
      </c>
      <c r="F30">
        <v>-23121</v>
      </c>
    </row>
    <row r="31" spans="1:6" x14ac:dyDescent="0.2">
      <c r="A31" t="s">
        <v>713</v>
      </c>
      <c r="B31" s="143">
        <v>208</v>
      </c>
      <c r="C31" s="143">
        <v>1</v>
      </c>
      <c r="D31">
        <v>2.14</v>
      </c>
      <c r="E31" s="143">
        <v>1</v>
      </c>
      <c r="F31">
        <v>-2250.4299999999998</v>
      </c>
    </row>
    <row r="32" spans="1:6" x14ac:dyDescent="0.2">
      <c r="A32" t="s">
        <v>713</v>
      </c>
      <c r="B32" s="143">
        <v>229</v>
      </c>
      <c r="C32" s="143">
        <v>1</v>
      </c>
      <c r="D32">
        <v>2.14</v>
      </c>
      <c r="E32" s="143">
        <v>1</v>
      </c>
      <c r="F32">
        <v>-13658.39</v>
      </c>
    </row>
    <row r="33" spans="1:6" x14ac:dyDescent="0.2">
      <c r="A33" t="s">
        <v>713</v>
      </c>
      <c r="B33" s="143">
        <v>241</v>
      </c>
      <c r="C33" s="143">
        <v>1</v>
      </c>
      <c r="D33">
        <v>2.14</v>
      </c>
      <c r="E33" s="143">
        <v>1</v>
      </c>
      <c r="F33">
        <v>0</v>
      </c>
    </row>
    <row r="34" spans="1:6" x14ac:dyDescent="0.2">
      <c r="A34" t="s">
        <v>713</v>
      </c>
      <c r="B34" s="143">
        <v>242</v>
      </c>
      <c r="C34" s="143">
        <v>1</v>
      </c>
      <c r="D34">
        <v>2.14</v>
      </c>
      <c r="E34" s="143">
        <v>1</v>
      </c>
      <c r="F34">
        <v>-7634.4</v>
      </c>
    </row>
    <row r="35" spans="1:6" x14ac:dyDescent="0.2">
      <c r="A35" t="s">
        <v>713</v>
      </c>
      <c r="B35" s="143">
        <v>253</v>
      </c>
      <c r="C35" s="143">
        <v>1</v>
      </c>
      <c r="D35">
        <v>2.14</v>
      </c>
      <c r="E35" s="143">
        <v>1</v>
      </c>
      <c r="F35">
        <v>-12649</v>
      </c>
    </row>
    <row r="36" spans="1:6" x14ac:dyDescent="0.2">
      <c r="A36" t="s">
        <v>713</v>
      </c>
      <c r="B36" s="143">
        <v>255</v>
      </c>
      <c r="C36" s="143">
        <v>1</v>
      </c>
      <c r="D36">
        <v>2.14</v>
      </c>
      <c r="E36" s="143">
        <v>1</v>
      </c>
      <c r="F36">
        <v>-33794</v>
      </c>
    </row>
    <row r="37" spans="1:6" x14ac:dyDescent="0.2">
      <c r="A37" t="s">
        <v>713</v>
      </c>
      <c r="B37" s="143">
        <v>261</v>
      </c>
      <c r="C37" s="143">
        <v>1</v>
      </c>
      <c r="D37">
        <v>2.14</v>
      </c>
      <c r="E37" s="143">
        <v>1</v>
      </c>
      <c r="F37">
        <v>-5276.65</v>
      </c>
    </row>
    <row r="38" spans="1:6" x14ac:dyDescent="0.2">
      <c r="A38" t="s">
        <v>713</v>
      </c>
      <c r="B38" s="143">
        <v>264</v>
      </c>
      <c r="C38" s="143">
        <v>1</v>
      </c>
      <c r="D38">
        <v>2.14</v>
      </c>
      <c r="E38" s="143">
        <v>1</v>
      </c>
      <c r="F38">
        <v>-123300.97</v>
      </c>
    </row>
    <row r="39" spans="1:6" x14ac:dyDescent="0.2">
      <c r="A39" t="s">
        <v>713</v>
      </c>
      <c r="B39" s="143">
        <v>281</v>
      </c>
      <c r="C39" s="143">
        <v>1</v>
      </c>
      <c r="D39">
        <v>2.14</v>
      </c>
      <c r="E39" s="143">
        <v>1</v>
      </c>
      <c r="F39">
        <v>0</v>
      </c>
    </row>
    <row r="40" spans="1:6" x14ac:dyDescent="0.2">
      <c r="A40" t="s">
        <v>713</v>
      </c>
      <c r="B40" s="143">
        <v>297</v>
      </c>
      <c r="C40" s="143">
        <v>1</v>
      </c>
      <c r="D40">
        <v>2.14</v>
      </c>
      <c r="E40" s="143">
        <v>1</v>
      </c>
      <c r="F40">
        <v>-9560</v>
      </c>
    </row>
    <row r="41" spans="1:6" x14ac:dyDescent="0.2">
      <c r="A41" t="s">
        <v>713</v>
      </c>
      <c r="B41" s="143">
        <v>306</v>
      </c>
      <c r="C41" s="143">
        <v>1</v>
      </c>
      <c r="D41">
        <v>2.14</v>
      </c>
      <c r="E41" s="143">
        <v>1</v>
      </c>
      <c r="F41">
        <v>-26298.99</v>
      </c>
    </row>
    <row r="42" spans="1:6" x14ac:dyDescent="0.2">
      <c r="A42" t="s">
        <v>713</v>
      </c>
      <c r="B42" s="143">
        <v>308</v>
      </c>
      <c r="C42" s="143">
        <v>1</v>
      </c>
      <c r="D42">
        <v>2.14</v>
      </c>
      <c r="E42" s="143">
        <v>1</v>
      </c>
      <c r="F42">
        <v>-22504.9</v>
      </c>
    </row>
    <row r="43" spans="1:6" x14ac:dyDescent="0.2">
      <c r="A43" t="s">
        <v>713</v>
      </c>
      <c r="B43" s="143">
        <v>314</v>
      </c>
      <c r="C43" s="143">
        <v>1</v>
      </c>
      <c r="D43">
        <v>2.14</v>
      </c>
      <c r="E43" s="143">
        <v>1</v>
      </c>
      <c r="F43">
        <v>-144434.15</v>
      </c>
    </row>
    <row r="44" spans="1:6" x14ac:dyDescent="0.2">
      <c r="A44" t="s">
        <v>713</v>
      </c>
      <c r="B44" s="143">
        <v>316</v>
      </c>
      <c r="C44" s="143">
        <v>1</v>
      </c>
      <c r="D44">
        <v>2.14</v>
      </c>
      <c r="E44" s="143">
        <v>1</v>
      </c>
      <c r="F44">
        <v>-374354.18</v>
      </c>
    </row>
    <row r="45" spans="1:6" x14ac:dyDescent="0.2">
      <c r="A45" t="s">
        <v>713</v>
      </c>
      <c r="B45" s="143">
        <v>317</v>
      </c>
      <c r="C45" s="143">
        <v>1</v>
      </c>
      <c r="D45">
        <v>2.14</v>
      </c>
      <c r="E45" s="143">
        <v>1</v>
      </c>
      <c r="F45">
        <v>-56680.59</v>
      </c>
    </row>
    <row r="46" spans="1:6" x14ac:dyDescent="0.2">
      <c r="A46" t="s">
        <v>713</v>
      </c>
      <c r="B46" s="143">
        <v>319</v>
      </c>
      <c r="C46" s="143">
        <v>1</v>
      </c>
      <c r="D46">
        <v>2.14</v>
      </c>
      <c r="E46" s="143">
        <v>1</v>
      </c>
      <c r="F46">
        <v>0</v>
      </c>
    </row>
    <row r="47" spans="1:6" x14ac:dyDescent="0.2">
      <c r="A47" t="s">
        <v>713</v>
      </c>
      <c r="B47" s="143">
        <v>332</v>
      </c>
      <c r="C47" s="143">
        <v>1</v>
      </c>
      <c r="D47">
        <v>2.14</v>
      </c>
      <c r="E47" s="143">
        <v>1</v>
      </c>
      <c r="F47">
        <v>-54054.11</v>
      </c>
    </row>
    <row r="48" spans="1:6" x14ac:dyDescent="0.2">
      <c r="A48" t="s">
        <v>713</v>
      </c>
      <c r="B48" s="143">
        <v>333</v>
      </c>
      <c r="C48" s="143">
        <v>1</v>
      </c>
      <c r="D48">
        <v>2.14</v>
      </c>
      <c r="E48" s="143">
        <v>1</v>
      </c>
      <c r="F48">
        <v>-23181.040000000001</v>
      </c>
    </row>
    <row r="49" spans="1:6" x14ac:dyDescent="0.2">
      <c r="A49" t="s">
        <v>713</v>
      </c>
      <c r="B49" s="143">
        <v>361</v>
      </c>
      <c r="C49" s="143">
        <v>1</v>
      </c>
      <c r="D49">
        <v>2.14</v>
      </c>
      <c r="E49" s="143">
        <v>1</v>
      </c>
      <c r="F49">
        <v>-37968.949999999997</v>
      </c>
    </row>
    <row r="50" spans="1:6" x14ac:dyDescent="0.2">
      <c r="A50" t="s">
        <v>713</v>
      </c>
      <c r="B50" s="143">
        <v>378</v>
      </c>
      <c r="C50" s="143">
        <v>1</v>
      </c>
      <c r="D50">
        <v>2.14</v>
      </c>
      <c r="E50" s="143">
        <v>1</v>
      </c>
      <c r="F50">
        <v>-10982.82</v>
      </c>
    </row>
    <row r="51" spans="1:6" x14ac:dyDescent="0.2">
      <c r="A51" t="s">
        <v>713</v>
      </c>
      <c r="B51" s="143">
        <v>381</v>
      </c>
      <c r="C51" s="143">
        <v>1</v>
      </c>
      <c r="D51">
        <v>2.14</v>
      </c>
      <c r="E51" s="143">
        <v>1</v>
      </c>
      <c r="F51">
        <v>0</v>
      </c>
    </row>
    <row r="52" spans="1:6" x14ac:dyDescent="0.2">
      <c r="A52" t="s">
        <v>713</v>
      </c>
      <c r="B52" s="143">
        <v>391</v>
      </c>
      <c r="C52" s="143">
        <v>1</v>
      </c>
      <c r="D52">
        <v>2.14</v>
      </c>
      <c r="E52" s="143">
        <v>1</v>
      </c>
      <c r="F52">
        <v>-859</v>
      </c>
    </row>
    <row r="53" spans="1:6" x14ac:dyDescent="0.2">
      <c r="A53" t="s">
        <v>713</v>
      </c>
      <c r="B53" s="143">
        <v>392</v>
      </c>
      <c r="C53" s="143">
        <v>1</v>
      </c>
      <c r="D53">
        <v>2.14</v>
      </c>
      <c r="E53" s="143">
        <v>1</v>
      </c>
      <c r="F53">
        <v>-15208</v>
      </c>
    </row>
    <row r="54" spans="1:6" x14ac:dyDescent="0.2">
      <c r="A54" t="s">
        <v>713</v>
      </c>
      <c r="B54" s="143">
        <v>394</v>
      </c>
      <c r="C54" s="143">
        <v>1</v>
      </c>
      <c r="D54">
        <v>2.14</v>
      </c>
      <c r="E54" s="143">
        <v>1</v>
      </c>
      <c r="F54">
        <v>-36995.96</v>
      </c>
    </row>
    <row r="55" spans="1:6" x14ac:dyDescent="0.2">
      <c r="A55" t="s">
        <v>713</v>
      </c>
      <c r="B55" s="143">
        <v>414</v>
      </c>
      <c r="C55" s="143">
        <v>1</v>
      </c>
      <c r="D55">
        <v>2.14</v>
      </c>
      <c r="E55" s="143">
        <v>1</v>
      </c>
      <c r="F55">
        <v>-10274.57</v>
      </c>
    </row>
    <row r="56" spans="1:6" x14ac:dyDescent="0.2">
      <c r="A56" t="s">
        <v>713</v>
      </c>
      <c r="B56" s="143">
        <v>424</v>
      </c>
      <c r="C56" s="143">
        <v>1</v>
      </c>
      <c r="D56">
        <v>2.14</v>
      </c>
      <c r="E56" s="143">
        <v>1</v>
      </c>
      <c r="F56">
        <v>-2989.15</v>
      </c>
    </row>
    <row r="57" spans="1:6" x14ac:dyDescent="0.2">
      <c r="A57" t="s">
        <v>713</v>
      </c>
      <c r="B57" s="143">
        <v>432</v>
      </c>
      <c r="C57" s="143">
        <v>1</v>
      </c>
      <c r="D57">
        <v>2.14</v>
      </c>
      <c r="E57" s="143">
        <v>1</v>
      </c>
      <c r="F57">
        <v>0</v>
      </c>
    </row>
    <row r="58" spans="1:6" x14ac:dyDescent="0.2">
      <c r="A58" t="s">
        <v>713</v>
      </c>
      <c r="B58" s="143">
        <v>447</v>
      </c>
      <c r="C58" s="143">
        <v>1</v>
      </c>
      <c r="D58">
        <v>2.14</v>
      </c>
      <c r="E58" s="143">
        <v>1</v>
      </c>
      <c r="F58">
        <v>-3694.43</v>
      </c>
    </row>
    <row r="59" spans="1:6" x14ac:dyDescent="0.2">
      <c r="A59" t="s">
        <v>713</v>
      </c>
      <c r="B59" s="143">
        <v>458</v>
      </c>
      <c r="C59" s="143">
        <v>1</v>
      </c>
      <c r="D59">
        <v>2.14</v>
      </c>
      <c r="E59" s="143">
        <v>1</v>
      </c>
      <c r="F59">
        <v>-3492.07</v>
      </c>
    </row>
    <row r="60" spans="1:6" x14ac:dyDescent="0.2">
      <c r="A60" t="s">
        <v>713</v>
      </c>
      <c r="B60" s="143">
        <v>473</v>
      </c>
      <c r="C60" s="143">
        <v>1</v>
      </c>
      <c r="D60">
        <v>2.14</v>
      </c>
      <c r="E60" s="143">
        <v>1</v>
      </c>
      <c r="F60">
        <v>-5416.61</v>
      </c>
    </row>
    <row r="61" spans="1:6" x14ac:dyDescent="0.2">
      <c r="A61" t="s">
        <v>713</v>
      </c>
      <c r="B61" s="143">
        <v>480</v>
      </c>
      <c r="C61" s="143">
        <v>1</v>
      </c>
      <c r="D61">
        <v>2.14</v>
      </c>
      <c r="E61" s="143">
        <v>1</v>
      </c>
      <c r="F61">
        <v>-9662</v>
      </c>
    </row>
    <row r="62" spans="1:6" x14ac:dyDescent="0.2">
      <c r="A62" t="s">
        <v>713</v>
      </c>
      <c r="B62" s="143">
        <v>485</v>
      </c>
      <c r="C62" s="143">
        <v>1</v>
      </c>
      <c r="D62">
        <v>2.14</v>
      </c>
      <c r="E62" s="143">
        <v>1</v>
      </c>
      <c r="F62">
        <v>-46763.29</v>
      </c>
    </row>
    <row r="63" spans="1:6" x14ac:dyDescent="0.2">
      <c r="A63" t="s">
        <v>713</v>
      </c>
      <c r="B63" s="143">
        <v>492</v>
      </c>
      <c r="C63" s="143">
        <v>1</v>
      </c>
      <c r="D63">
        <v>2.14</v>
      </c>
      <c r="E63" s="143">
        <v>1</v>
      </c>
      <c r="F63">
        <v>-56999.45</v>
      </c>
    </row>
    <row r="64" spans="1:6" x14ac:dyDescent="0.2">
      <c r="A64" t="s">
        <v>713</v>
      </c>
      <c r="B64" s="143">
        <v>497</v>
      </c>
      <c r="C64" s="143">
        <v>1</v>
      </c>
      <c r="D64">
        <v>2.14</v>
      </c>
      <c r="E64" s="143">
        <v>1</v>
      </c>
      <c r="F64">
        <v>-15022.67</v>
      </c>
    </row>
    <row r="65" spans="1:6" x14ac:dyDescent="0.2">
      <c r="A65" t="s">
        <v>713</v>
      </c>
      <c r="B65" s="143">
        <v>505</v>
      </c>
      <c r="C65" s="143">
        <v>1</v>
      </c>
      <c r="D65">
        <v>2.14</v>
      </c>
      <c r="E65" s="143">
        <v>1</v>
      </c>
      <c r="F65">
        <v>-882.38</v>
      </c>
    </row>
    <row r="66" spans="1:6" x14ac:dyDescent="0.2">
      <c r="A66" t="s">
        <v>713</v>
      </c>
      <c r="B66" s="143">
        <v>507</v>
      </c>
      <c r="C66" s="143">
        <v>1</v>
      </c>
      <c r="D66">
        <v>2.14</v>
      </c>
      <c r="E66" s="143">
        <v>1</v>
      </c>
      <c r="F66">
        <v>-32097</v>
      </c>
    </row>
    <row r="67" spans="1:6" x14ac:dyDescent="0.2">
      <c r="A67" t="s">
        <v>713</v>
      </c>
      <c r="B67" s="143">
        <v>514</v>
      </c>
      <c r="C67" s="143">
        <v>1</v>
      </c>
      <c r="D67">
        <v>2.14</v>
      </c>
      <c r="E67" s="143">
        <v>1</v>
      </c>
      <c r="F67">
        <v>-9894.75</v>
      </c>
    </row>
    <row r="68" spans="1:6" x14ac:dyDescent="0.2">
      <c r="A68" t="s">
        <v>713</v>
      </c>
      <c r="B68" s="143">
        <v>533</v>
      </c>
      <c r="C68" s="143">
        <v>1</v>
      </c>
      <c r="D68">
        <v>2.14</v>
      </c>
      <c r="E68" s="143">
        <v>1</v>
      </c>
      <c r="F68">
        <v>-10171</v>
      </c>
    </row>
    <row r="69" spans="1:6" x14ac:dyDescent="0.2">
      <c r="A69" t="s">
        <v>713</v>
      </c>
      <c r="B69" s="143">
        <v>535</v>
      </c>
      <c r="C69" s="143">
        <v>1</v>
      </c>
      <c r="D69">
        <v>2.14</v>
      </c>
      <c r="E69" s="143">
        <v>1</v>
      </c>
      <c r="F69">
        <v>-508187.91</v>
      </c>
    </row>
    <row r="70" spans="1:6" x14ac:dyDescent="0.2">
      <c r="A70" t="s">
        <v>713</v>
      </c>
      <c r="B70" s="143">
        <v>542</v>
      </c>
      <c r="C70" s="143">
        <v>1</v>
      </c>
      <c r="D70">
        <v>2.14</v>
      </c>
      <c r="E70" s="143">
        <v>1</v>
      </c>
      <c r="F70">
        <v>0</v>
      </c>
    </row>
    <row r="71" spans="1:6" x14ac:dyDescent="0.2">
      <c r="A71" t="s">
        <v>713</v>
      </c>
      <c r="B71" s="143">
        <v>544</v>
      </c>
      <c r="C71" s="143">
        <v>1</v>
      </c>
      <c r="D71">
        <v>2.14</v>
      </c>
      <c r="E71" s="143">
        <v>1</v>
      </c>
      <c r="F71">
        <v>-1279428.31</v>
      </c>
    </row>
    <row r="72" spans="1:6" x14ac:dyDescent="0.2">
      <c r="A72" t="s">
        <v>713</v>
      </c>
      <c r="B72" s="143">
        <v>548</v>
      </c>
      <c r="C72" s="143">
        <v>1</v>
      </c>
      <c r="D72">
        <v>2.14</v>
      </c>
      <c r="E72" s="143">
        <v>1</v>
      </c>
      <c r="F72">
        <v>-2529.2800000000002</v>
      </c>
    </row>
    <row r="73" spans="1:6" x14ac:dyDescent="0.2">
      <c r="A73" t="s">
        <v>713</v>
      </c>
      <c r="B73" s="143">
        <v>549</v>
      </c>
      <c r="C73" s="143">
        <v>1</v>
      </c>
      <c r="D73">
        <v>2.14</v>
      </c>
      <c r="E73" s="143">
        <v>1</v>
      </c>
      <c r="F73">
        <v>-154557.47</v>
      </c>
    </row>
    <row r="74" spans="1:6" x14ac:dyDescent="0.2">
      <c r="A74" t="s">
        <v>713</v>
      </c>
      <c r="B74" s="143">
        <v>550</v>
      </c>
      <c r="C74" s="143">
        <v>1</v>
      </c>
      <c r="D74">
        <v>2.14</v>
      </c>
      <c r="E74" s="143">
        <v>1</v>
      </c>
      <c r="F74">
        <v>-16814.89</v>
      </c>
    </row>
    <row r="75" spans="1:6" x14ac:dyDescent="0.2">
      <c r="A75" t="s">
        <v>713</v>
      </c>
      <c r="B75" s="143">
        <v>553</v>
      </c>
      <c r="C75" s="143">
        <v>1</v>
      </c>
      <c r="D75">
        <v>2.14</v>
      </c>
      <c r="E75" s="143">
        <v>1</v>
      </c>
      <c r="F75">
        <v>-9804.7900000000009</v>
      </c>
    </row>
    <row r="76" spans="1:6" x14ac:dyDescent="0.2">
      <c r="A76" t="s">
        <v>713</v>
      </c>
      <c r="B76" s="143">
        <v>561</v>
      </c>
      <c r="C76" s="143">
        <v>1</v>
      </c>
      <c r="D76">
        <v>2.14</v>
      </c>
      <c r="E76" s="143">
        <v>1</v>
      </c>
      <c r="F76">
        <v>-2467.89</v>
      </c>
    </row>
    <row r="77" spans="1:6" x14ac:dyDescent="0.2">
      <c r="A77" t="s">
        <v>713</v>
      </c>
      <c r="B77" s="143">
        <v>577</v>
      </c>
      <c r="C77" s="143">
        <v>1</v>
      </c>
      <c r="D77">
        <v>2.14</v>
      </c>
      <c r="E77" s="143">
        <v>1</v>
      </c>
      <c r="F77">
        <v>-4869.95</v>
      </c>
    </row>
    <row r="78" spans="1:6" x14ac:dyDescent="0.2">
      <c r="A78" t="s">
        <v>713</v>
      </c>
      <c r="B78" s="143">
        <v>592</v>
      </c>
      <c r="C78" s="143">
        <v>1</v>
      </c>
      <c r="D78">
        <v>2.14</v>
      </c>
      <c r="E78" s="143">
        <v>1</v>
      </c>
      <c r="F78">
        <v>-5601.87</v>
      </c>
    </row>
    <row r="79" spans="1:6" x14ac:dyDescent="0.2">
      <c r="A79" t="s">
        <v>713</v>
      </c>
      <c r="B79" s="143">
        <v>593</v>
      </c>
      <c r="C79" s="143">
        <v>1</v>
      </c>
      <c r="D79">
        <v>2.14</v>
      </c>
      <c r="E79" s="143">
        <v>1</v>
      </c>
      <c r="F79">
        <v>-18117.990000000002</v>
      </c>
    </row>
    <row r="80" spans="1:6" x14ac:dyDescent="0.2">
      <c r="A80" t="s">
        <v>713</v>
      </c>
      <c r="B80" s="143">
        <v>595</v>
      </c>
      <c r="C80" s="143">
        <v>1</v>
      </c>
      <c r="D80">
        <v>2.14</v>
      </c>
      <c r="E80" s="143">
        <v>1</v>
      </c>
      <c r="F80">
        <v>-30726.06</v>
      </c>
    </row>
    <row r="81" spans="1:6" x14ac:dyDescent="0.2">
      <c r="A81" t="s">
        <v>713</v>
      </c>
      <c r="B81" s="143">
        <v>599</v>
      </c>
      <c r="C81" s="143">
        <v>1</v>
      </c>
      <c r="D81">
        <v>2.14</v>
      </c>
      <c r="E81" s="143">
        <v>1</v>
      </c>
      <c r="F81">
        <v>-8422.64</v>
      </c>
    </row>
    <row r="82" spans="1:6" x14ac:dyDescent="0.2">
      <c r="A82" t="s">
        <v>713</v>
      </c>
      <c r="B82" s="143">
        <v>600</v>
      </c>
      <c r="C82" s="143">
        <v>1</v>
      </c>
      <c r="D82">
        <v>2.14</v>
      </c>
      <c r="E82" s="143">
        <v>1</v>
      </c>
      <c r="F82">
        <v>-41627.81</v>
      </c>
    </row>
    <row r="83" spans="1:6" x14ac:dyDescent="0.2">
      <c r="A83" t="s">
        <v>713</v>
      </c>
      <c r="B83" s="143">
        <v>601</v>
      </c>
      <c r="C83" s="143">
        <v>1</v>
      </c>
      <c r="D83">
        <v>2.14</v>
      </c>
      <c r="E83" s="143">
        <v>1</v>
      </c>
      <c r="F83">
        <v>-7305.14</v>
      </c>
    </row>
    <row r="84" spans="1:6" x14ac:dyDescent="0.2">
      <c r="A84" t="s">
        <v>713</v>
      </c>
      <c r="B84" s="143">
        <v>640</v>
      </c>
      <c r="C84" s="143">
        <v>1</v>
      </c>
      <c r="D84">
        <v>2.14</v>
      </c>
      <c r="E84" s="143">
        <v>1</v>
      </c>
      <c r="F84">
        <v>-3394.34</v>
      </c>
    </row>
    <row r="85" spans="1:6" x14ac:dyDescent="0.2">
      <c r="A85" t="s">
        <v>713</v>
      </c>
      <c r="B85" s="143">
        <v>676</v>
      </c>
      <c r="C85" s="143">
        <v>1</v>
      </c>
      <c r="D85">
        <v>2.14</v>
      </c>
      <c r="E85" s="143">
        <v>1</v>
      </c>
      <c r="F85">
        <v>-16847.36</v>
      </c>
    </row>
    <row r="86" spans="1:6" x14ac:dyDescent="0.2">
      <c r="A86" t="s">
        <v>713</v>
      </c>
      <c r="B86" s="143">
        <v>682</v>
      </c>
      <c r="C86" s="143">
        <v>1</v>
      </c>
      <c r="D86">
        <v>2.14</v>
      </c>
      <c r="E86" s="143">
        <v>1</v>
      </c>
      <c r="F86">
        <v>-11892.44</v>
      </c>
    </row>
    <row r="87" spans="1:6" x14ac:dyDescent="0.2">
      <c r="A87" t="s">
        <v>713</v>
      </c>
      <c r="B87" s="143">
        <v>690</v>
      </c>
      <c r="C87" s="143">
        <v>1</v>
      </c>
      <c r="D87">
        <v>2.14</v>
      </c>
      <c r="E87" s="143">
        <v>1</v>
      </c>
      <c r="F87">
        <v>-12357.23</v>
      </c>
    </row>
    <row r="88" spans="1:6" x14ac:dyDescent="0.2">
      <c r="A88" t="s">
        <v>713</v>
      </c>
      <c r="B88" s="143">
        <v>695</v>
      </c>
      <c r="C88" s="143">
        <v>1</v>
      </c>
      <c r="D88">
        <v>2.14</v>
      </c>
      <c r="E88" s="143">
        <v>1</v>
      </c>
      <c r="F88">
        <v>-111698.45</v>
      </c>
    </row>
    <row r="89" spans="1:6" x14ac:dyDescent="0.2">
      <c r="A89" t="s">
        <v>713</v>
      </c>
      <c r="B89" s="143">
        <v>696</v>
      </c>
      <c r="C89" s="143">
        <v>1</v>
      </c>
      <c r="D89">
        <v>2.14</v>
      </c>
      <c r="E89" s="143">
        <v>1</v>
      </c>
      <c r="F89">
        <v>-50293.67</v>
      </c>
    </row>
    <row r="90" spans="1:6" x14ac:dyDescent="0.2">
      <c r="A90" t="s">
        <v>713</v>
      </c>
      <c r="B90" s="143">
        <v>698</v>
      </c>
      <c r="C90" s="143">
        <v>1</v>
      </c>
      <c r="D90">
        <v>2.14</v>
      </c>
      <c r="E90" s="143">
        <v>1</v>
      </c>
      <c r="F90">
        <v>-28863.19</v>
      </c>
    </row>
    <row r="91" spans="1:6" x14ac:dyDescent="0.2">
      <c r="A91" t="s">
        <v>713</v>
      </c>
      <c r="B91" s="143">
        <v>701</v>
      </c>
      <c r="C91" s="143">
        <v>1</v>
      </c>
      <c r="D91">
        <v>2.14</v>
      </c>
      <c r="E91" s="143">
        <v>1</v>
      </c>
      <c r="F91">
        <v>-217984.63</v>
      </c>
    </row>
    <row r="92" spans="1:6" x14ac:dyDescent="0.2">
      <c r="A92" t="s">
        <v>713</v>
      </c>
      <c r="B92" s="143">
        <v>704</v>
      </c>
      <c r="C92" s="143">
        <v>1</v>
      </c>
      <c r="D92">
        <v>2.14</v>
      </c>
      <c r="E92" s="143">
        <v>1</v>
      </c>
      <c r="F92">
        <v>-30200.43</v>
      </c>
    </row>
    <row r="93" spans="1:6" x14ac:dyDescent="0.2">
      <c r="A93" t="s">
        <v>713</v>
      </c>
      <c r="B93" s="143">
        <v>706</v>
      </c>
      <c r="C93" s="143">
        <v>1</v>
      </c>
      <c r="D93">
        <v>2.14</v>
      </c>
      <c r="E93" s="143">
        <v>1</v>
      </c>
      <c r="F93">
        <v>-55649.36</v>
      </c>
    </row>
    <row r="94" spans="1:6" x14ac:dyDescent="0.2">
      <c r="A94" t="s">
        <v>713</v>
      </c>
      <c r="B94" s="143">
        <v>716</v>
      </c>
      <c r="C94" s="143">
        <v>1</v>
      </c>
      <c r="D94">
        <v>2.14</v>
      </c>
      <c r="E94" s="143">
        <v>1</v>
      </c>
      <c r="F94">
        <v>-5209.24</v>
      </c>
    </row>
    <row r="95" spans="1:6" x14ac:dyDescent="0.2">
      <c r="A95" t="s">
        <v>713</v>
      </c>
      <c r="B95" s="143">
        <v>717</v>
      </c>
      <c r="C95" s="143">
        <v>1</v>
      </c>
      <c r="D95">
        <v>2.14</v>
      </c>
      <c r="E95" s="143">
        <v>1</v>
      </c>
      <c r="F95">
        <v>-9044.99</v>
      </c>
    </row>
    <row r="96" spans="1:6" x14ac:dyDescent="0.2">
      <c r="A96" t="s">
        <v>713</v>
      </c>
      <c r="B96" s="143">
        <v>727</v>
      </c>
      <c r="C96" s="143">
        <v>1</v>
      </c>
      <c r="D96">
        <v>2.14</v>
      </c>
      <c r="E96" s="143">
        <v>1</v>
      </c>
      <c r="F96">
        <v>-22612.48</v>
      </c>
    </row>
    <row r="97" spans="1:6" x14ac:dyDescent="0.2">
      <c r="A97" t="s">
        <v>713</v>
      </c>
      <c r="B97" s="143">
        <v>738</v>
      </c>
      <c r="C97" s="143">
        <v>1</v>
      </c>
      <c r="D97">
        <v>2.14</v>
      </c>
      <c r="E97" s="143">
        <v>1</v>
      </c>
      <c r="F97">
        <v>-6602.19</v>
      </c>
    </row>
    <row r="98" spans="1:6" x14ac:dyDescent="0.2">
      <c r="A98" t="s">
        <v>713</v>
      </c>
      <c r="B98" s="143">
        <v>740</v>
      </c>
      <c r="C98" s="143">
        <v>1</v>
      </c>
      <c r="D98">
        <v>2.14</v>
      </c>
      <c r="E98" s="143">
        <v>1</v>
      </c>
      <c r="F98">
        <v>-1309.31</v>
      </c>
    </row>
    <row r="99" spans="1:6" x14ac:dyDescent="0.2">
      <c r="A99" t="s">
        <v>713</v>
      </c>
      <c r="B99" s="143">
        <v>763</v>
      </c>
      <c r="C99" s="143">
        <v>1</v>
      </c>
      <c r="D99">
        <v>2.14</v>
      </c>
      <c r="E99" s="143">
        <v>1</v>
      </c>
      <c r="F99">
        <v>-98433</v>
      </c>
    </row>
    <row r="100" spans="1:6" x14ac:dyDescent="0.2">
      <c r="A100" t="s">
        <v>713</v>
      </c>
      <c r="B100" s="143">
        <v>787</v>
      </c>
      <c r="C100" s="143">
        <v>1</v>
      </c>
      <c r="D100">
        <v>2.14</v>
      </c>
      <c r="E100" s="143">
        <v>1</v>
      </c>
      <c r="F100">
        <v>-14087.88</v>
      </c>
    </row>
    <row r="101" spans="1:6" x14ac:dyDescent="0.2">
      <c r="A101" t="s">
        <v>713</v>
      </c>
      <c r="B101" s="143">
        <v>801</v>
      </c>
      <c r="C101" s="143">
        <v>1</v>
      </c>
      <c r="D101">
        <v>2.14</v>
      </c>
      <c r="E101" s="143">
        <v>1</v>
      </c>
      <c r="F101">
        <v>-521</v>
      </c>
    </row>
    <row r="102" spans="1:6" x14ac:dyDescent="0.2">
      <c r="A102" t="s">
        <v>713</v>
      </c>
      <c r="B102" s="143">
        <v>813</v>
      </c>
      <c r="C102" s="143">
        <v>1</v>
      </c>
      <c r="D102">
        <v>2.14</v>
      </c>
      <c r="E102" s="143">
        <v>1</v>
      </c>
      <c r="F102">
        <v>-4430</v>
      </c>
    </row>
    <row r="103" spans="1:6" x14ac:dyDescent="0.2">
      <c r="A103" t="s">
        <v>713</v>
      </c>
      <c r="B103" s="143">
        <v>818</v>
      </c>
      <c r="C103" s="143">
        <v>1</v>
      </c>
      <c r="D103">
        <v>2.14</v>
      </c>
      <c r="E103" s="143">
        <v>1</v>
      </c>
      <c r="F103">
        <v>-10313.99</v>
      </c>
    </row>
    <row r="104" spans="1:6" x14ac:dyDescent="0.2">
      <c r="A104" t="s">
        <v>713</v>
      </c>
      <c r="B104" s="143">
        <v>820</v>
      </c>
      <c r="C104" s="143">
        <v>1</v>
      </c>
      <c r="D104">
        <v>2.14</v>
      </c>
      <c r="E104" s="143">
        <v>1</v>
      </c>
      <c r="F104">
        <v>0</v>
      </c>
    </row>
    <row r="105" spans="1:6" x14ac:dyDescent="0.2">
      <c r="A105" t="s">
        <v>713</v>
      </c>
      <c r="B105" s="143">
        <v>821</v>
      </c>
      <c r="C105" s="143">
        <v>1</v>
      </c>
      <c r="D105">
        <v>2.14</v>
      </c>
      <c r="E105" s="143">
        <v>1</v>
      </c>
      <c r="F105">
        <v>-8151</v>
      </c>
    </row>
    <row r="106" spans="1:6" x14ac:dyDescent="0.2">
      <c r="A106" t="s">
        <v>713</v>
      </c>
      <c r="B106" s="143">
        <v>829</v>
      </c>
      <c r="C106" s="143">
        <v>1</v>
      </c>
      <c r="D106">
        <v>2.14</v>
      </c>
      <c r="E106" s="143">
        <v>1</v>
      </c>
      <c r="F106">
        <v>-153299</v>
      </c>
    </row>
    <row r="107" spans="1:6" x14ac:dyDescent="0.2">
      <c r="A107" t="s">
        <v>713</v>
      </c>
      <c r="B107" s="143">
        <v>836</v>
      </c>
      <c r="C107" s="143">
        <v>1</v>
      </c>
      <c r="D107">
        <v>2.14</v>
      </c>
      <c r="E107" s="143">
        <v>1</v>
      </c>
      <c r="F107">
        <v>-4318</v>
      </c>
    </row>
    <row r="108" spans="1:6" x14ac:dyDescent="0.2">
      <c r="A108" t="s">
        <v>713</v>
      </c>
      <c r="B108" s="143">
        <v>837</v>
      </c>
      <c r="C108" s="143">
        <v>1</v>
      </c>
      <c r="D108">
        <v>2.14</v>
      </c>
      <c r="E108" s="143">
        <v>1</v>
      </c>
      <c r="F108">
        <v>-17554</v>
      </c>
    </row>
    <row r="109" spans="1:6" x14ac:dyDescent="0.2">
      <c r="A109" t="s">
        <v>713</v>
      </c>
      <c r="B109" s="143">
        <v>840</v>
      </c>
      <c r="C109" s="143">
        <v>1</v>
      </c>
      <c r="D109">
        <v>2.14</v>
      </c>
      <c r="E109" s="143">
        <v>1</v>
      </c>
      <c r="F109">
        <v>-38158</v>
      </c>
    </row>
    <row r="110" spans="1:6" x14ac:dyDescent="0.2">
      <c r="A110" t="s">
        <v>713</v>
      </c>
      <c r="B110" s="143">
        <v>857</v>
      </c>
      <c r="C110" s="143">
        <v>1</v>
      </c>
      <c r="D110">
        <v>2.14</v>
      </c>
      <c r="E110" s="143">
        <v>1</v>
      </c>
      <c r="F110">
        <v>-15849</v>
      </c>
    </row>
    <row r="111" spans="1:6" x14ac:dyDescent="0.2">
      <c r="A111" t="s">
        <v>713</v>
      </c>
      <c r="B111" s="143">
        <v>858</v>
      </c>
      <c r="C111" s="143">
        <v>1</v>
      </c>
      <c r="D111">
        <v>2.14</v>
      </c>
      <c r="E111" s="143">
        <v>1</v>
      </c>
      <c r="F111">
        <v>-6453</v>
      </c>
    </row>
    <row r="112" spans="1:6" x14ac:dyDescent="0.2">
      <c r="A112" t="s">
        <v>713</v>
      </c>
      <c r="B112" s="143">
        <v>877</v>
      </c>
      <c r="C112" s="143">
        <v>1</v>
      </c>
      <c r="D112">
        <v>2.14</v>
      </c>
      <c r="E112" s="143">
        <v>1</v>
      </c>
      <c r="F112">
        <v>-291232.27</v>
      </c>
    </row>
    <row r="113" spans="1:6" x14ac:dyDescent="0.2">
      <c r="A113" t="s">
        <v>713</v>
      </c>
      <c r="B113" s="143">
        <v>885</v>
      </c>
      <c r="C113" s="143">
        <v>1</v>
      </c>
      <c r="D113">
        <v>2.14</v>
      </c>
      <c r="E113" s="143">
        <v>1</v>
      </c>
      <c r="F113">
        <v>-1658816.88</v>
      </c>
    </row>
    <row r="114" spans="1:6" x14ac:dyDescent="0.2">
      <c r="A114" t="s">
        <v>713</v>
      </c>
      <c r="B114" s="143">
        <v>891</v>
      </c>
      <c r="C114" s="143">
        <v>1</v>
      </c>
      <c r="D114">
        <v>2.14</v>
      </c>
      <c r="E114" s="143">
        <v>1</v>
      </c>
      <c r="F114">
        <v>-20040.8</v>
      </c>
    </row>
    <row r="115" spans="1:6" x14ac:dyDescent="0.2">
      <c r="A115" t="s">
        <v>713</v>
      </c>
      <c r="B115" s="143">
        <v>912</v>
      </c>
      <c r="C115" s="143">
        <v>1</v>
      </c>
      <c r="D115">
        <v>2.14</v>
      </c>
      <c r="E115" s="143">
        <v>1</v>
      </c>
      <c r="F115">
        <v>-101168.03</v>
      </c>
    </row>
    <row r="116" spans="1:6" x14ac:dyDescent="0.2">
      <c r="A116" t="s">
        <v>713</v>
      </c>
      <c r="B116" s="143">
        <v>2125</v>
      </c>
      <c r="C116" s="143">
        <v>1</v>
      </c>
      <c r="D116">
        <v>2.14</v>
      </c>
      <c r="E116" s="143">
        <v>1</v>
      </c>
      <c r="F116">
        <v>-38844.910000000003</v>
      </c>
    </row>
    <row r="117" spans="1:6" x14ac:dyDescent="0.2">
      <c r="A117" t="s">
        <v>713</v>
      </c>
      <c r="B117" s="143">
        <v>2135</v>
      </c>
      <c r="C117" s="143">
        <v>1</v>
      </c>
      <c r="D117">
        <v>2.14</v>
      </c>
      <c r="E117" s="143">
        <v>1</v>
      </c>
      <c r="F117">
        <v>-9859</v>
      </c>
    </row>
    <row r="118" spans="1:6" x14ac:dyDescent="0.2">
      <c r="A118" t="s">
        <v>713</v>
      </c>
      <c r="B118" s="143">
        <v>2137</v>
      </c>
      <c r="C118" s="143">
        <v>1</v>
      </c>
      <c r="D118">
        <v>2.14</v>
      </c>
      <c r="E118" s="143">
        <v>1</v>
      </c>
      <c r="F118">
        <v>-9562</v>
      </c>
    </row>
    <row r="119" spans="1:6" x14ac:dyDescent="0.2">
      <c r="A119" t="s">
        <v>713</v>
      </c>
      <c r="B119" s="143">
        <v>2144</v>
      </c>
      <c r="C119" s="143">
        <v>1</v>
      </c>
      <c r="D119">
        <v>2.14</v>
      </c>
      <c r="E119" s="143">
        <v>1</v>
      </c>
      <c r="F119">
        <v>-0.35</v>
      </c>
    </row>
    <row r="120" spans="1:6" x14ac:dyDescent="0.2">
      <c r="A120" t="s">
        <v>713</v>
      </c>
      <c r="B120" s="143">
        <v>2154</v>
      </c>
      <c r="C120" s="143">
        <v>1</v>
      </c>
      <c r="D120">
        <v>2.14</v>
      </c>
      <c r="E120" s="143">
        <v>1</v>
      </c>
      <c r="F120">
        <v>-71242.66</v>
      </c>
    </row>
    <row r="121" spans="1:6" x14ac:dyDescent="0.2">
      <c r="A121" t="s">
        <v>713</v>
      </c>
      <c r="B121" s="143">
        <v>2155</v>
      </c>
      <c r="C121" s="143">
        <v>1</v>
      </c>
      <c r="D121">
        <v>2.14</v>
      </c>
      <c r="E121" s="143">
        <v>1</v>
      </c>
      <c r="F121">
        <v>-279292.2</v>
      </c>
    </row>
    <row r="122" spans="1:6" x14ac:dyDescent="0.2">
      <c r="A122" t="s">
        <v>713</v>
      </c>
      <c r="B122" s="143">
        <v>2159</v>
      </c>
      <c r="C122" s="143">
        <v>1</v>
      </c>
      <c r="D122">
        <v>2.14</v>
      </c>
      <c r="E122" s="143">
        <v>1</v>
      </c>
      <c r="F122">
        <v>0</v>
      </c>
    </row>
    <row r="123" spans="1:6" x14ac:dyDescent="0.2">
      <c r="A123" t="s">
        <v>713</v>
      </c>
      <c r="B123" s="143">
        <v>2164</v>
      </c>
      <c r="C123" s="143">
        <v>1</v>
      </c>
      <c r="D123">
        <v>2.14</v>
      </c>
      <c r="E123" s="143">
        <v>1</v>
      </c>
      <c r="F123">
        <v>-2532</v>
      </c>
    </row>
    <row r="124" spans="1:6" x14ac:dyDescent="0.2">
      <c r="A124" t="s">
        <v>713</v>
      </c>
      <c r="B124" s="143">
        <v>2165</v>
      </c>
      <c r="C124" s="143">
        <v>1</v>
      </c>
      <c r="D124">
        <v>2.14</v>
      </c>
      <c r="E124" s="143">
        <v>1</v>
      </c>
      <c r="F124">
        <v>-5775.3</v>
      </c>
    </row>
    <row r="125" spans="1:6" x14ac:dyDescent="0.2">
      <c r="A125" t="s">
        <v>713</v>
      </c>
      <c r="B125" s="143">
        <v>2168</v>
      </c>
      <c r="C125" s="143">
        <v>1</v>
      </c>
      <c r="D125">
        <v>2.14</v>
      </c>
      <c r="E125" s="143">
        <v>1</v>
      </c>
      <c r="F125">
        <v>-5464.46</v>
      </c>
    </row>
    <row r="126" spans="1:6" x14ac:dyDescent="0.2">
      <c r="A126" t="s">
        <v>713</v>
      </c>
      <c r="B126" s="143">
        <v>2171</v>
      </c>
      <c r="C126" s="143">
        <v>1</v>
      </c>
      <c r="D126">
        <v>2.14</v>
      </c>
      <c r="E126" s="143">
        <v>1</v>
      </c>
      <c r="F126">
        <v>-16173.76</v>
      </c>
    </row>
    <row r="127" spans="1:6" x14ac:dyDescent="0.2">
      <c r="A127" t="s">
        <v>713</v>
      </c>
      <c r="B127" s="143">
        <v>2172</v>
      </c>
      <c r="C127" s="143">
        <v>1</v>
      </c>
      <c r="D127">
        <v>2.14</v>
      </c>
      <c r="E127" s="143">
        <v>1</v>
      </c>
      <c r="F127">
        <v>-37827.019999999997</v>
      </c>
    </row>
    <row r="128" spans="1:6" x14ac:dyDescent="0.2">
      <c r="A128" t="s">
        <v>713</v>
      </c>
      <c r="B128" s="143">
        <v>2190</v>
      </c>
      <c r="C128" s="143">
        <v>1</v>
      </c>
      <c r="D128">
        <v>2.14</v>
      </c>
      <c r="E128" s="143">
        <v>1</v>
      </c>
      <c r="F128">
        <v>-23304.39</v>
      </c>
    </row>
    <row r="129" spans="1:6" x14ac:dyDescent="0.2">
      <c r="A129" t="s">
        <v>713</v>
      </c>
      <c r="B129" s="143">
        <v>2215</v>
      </c>
      <c r="C129" s="143">
        <v>1</v>
      </c>
      <c r="D129">
        <v>2.14</v>
      </c>
      <c r="E129" s="143">
        <v>1</v>
      </c>
      <c r="F129">
        <v>-9455.5400000000009</v>
      </c>
    </row>
    <row r="130" spans="1:6" x14ac:dyDescent="0.2">
      <c r="A130" t="s">
        <v>713</v>
      </c>
      <c r="B130" s="143">
        <v>2310</v>
      </c>
      <c r="C130" s="143">
        <v>1</v>
      </c>
      <c r="D130">
        <v>2.14</v>
      </c>
      <c r="E130" s="143">
        <v>1</v>
      </c>
      <c r="F130">
        <v>-17062.54</v>
      </c>
    </row>
    <row r="131" spans="1:6" x14ac:dyDescent="0.2">
      <c r="A131" t="s">
        <v>713</v>
      </c>
      <c r="B131" s="143">
        <v>2365</v>
      </c>
      <c r="C131" s="143">
        <v>1</v>
      </c>
      <c r="D131">
        <v>2.14</v>
      </c>
      <c r="E131" s="143">
        <v>1</v>
      </c>
      <c r="F131">
        <v>-18278.560000000001</v>
      </c>
    </row>
    <row r="132" spans="1:6" x14ac:dyDescent="0.2">
      <c r="A132" t="s">
        <v>713</v>
      </c>
      <c r="B132" s="143">
        <v>2397</v>
      </c>
      <c r="C132" s="143">
        <v>1</v>
      </c>
      <c r="D132">
        <v>2.14</v>
      </c>
      <c r="E132" s="143">
        <v>1</v>
      </c>
      <c r="F132">
        <v>-19584</v>
      </c>
    </row>
    <row r="133" spans="1:6" x14ac:dyDescent="0.2">
      <c r="A133" t="s">
        <v>713</v>
      </c>
      <c r="B133" s="143">
        <v>2527</v>
      </c>
      <c r="C133" s="143">
        <v>1</v>
      </c>
      <c r="D133">
        <v>2.14</v>
      </c>
      <c r="E133" s="143">
        <v>1</v>
      </c>
      <c r="F133">
        <v>-2478.46</v>
      </c>
    </row>
    <row r="134" spans="1:6" x14ac:dyDescent="0.2">
      <c r="A134" t="s">
        <v>713</v>
      </c>
      <c r="B134" s="143">
        <v>2609</v>
      </c>
      <c r="C134" s="143">
        <v>1</v>
      </c>
      <c r="D134">
        <v>2.14</v>
      </c>
      <c r="E134" s="143">
        <v>1</v>
      </c>
      <c r="F134">
        <v>-20903.310000000001</v>
      </c>
    </row>
    <row r="135" spans="1:6" x14ac:dyDescent="0.2">
      <c r="A135" t="s">
        <v>713</v>
      </c>
      <c r="B135" s="143">
        <v>2683</v>
      </c>
      <c r="C135" s="143">
        <v>1</v>
      </c>
      <c r="D135">
        <v>2.14</v>
      </c>
      <c r="E135" s="143">
        <v>1</v>
      </c>
      <c r="F135">
        <v>-4964.0200000000004</v>
      </c>
    </row>
    <row r="136" spans="1:6" x14ac:dyDescent="0.2">
      <c r="A136" t="s">
        <v>713</v>
      </c>
      <c r="B136" s="143">
        <v>2687</v>
      </c>
      <c r="C136" s="143">
        <v>1</v>
      </c>
      <c r="D136">
        <v>2.14</v>
      </c>
      <c r="E136" s="143">
        <v>1</v>
      </c>
      <c r="F136">
        <v>-52086</v>
      </c>
    </row>
    <row r="137" spans="1:6" x14ac:dyDescent="0.2">
      <c r="A137" t="s">
        <v>713</v>
      </c>
      <c r="B137" s="143">
        <v>2711</v>
      </c>
      <c r="C137" s="143">
        <v>1</v>
      </c>
      <c r="D137">
        <v>2.14</v>
      </c>
      <c r="E137" s="143">
        <v>1</v>
      </c>
      <c r="F137">
        <v>-613743.12</v>
      </c>
    </row>
    <row r="138" spans="1:6" x14ac:dyDescent="0.2">
      <c r="A138" t="s">
        <v>713</v>
      </c>
      <c r="B138" s="143">
        <v>2752</v>
      </c>
      <c r="C138" s="143">
        <v>1</v>
      </c>
      <c r="D138">
        <v>2.14</v>
      </c>
      <c r="E138" s="143">
        <v>1</v>
      </c>
      <c r="F138">
        <v>-19847.12</v>
      </c>
    </row>
    <row r="139" spans="1:6" x14ac:dyDescent="0.2">
      <c r="A139" t="s">
        <v>713</v>
      </c>
      <c r="B139" s="143">
        <v>2753</v>
      </c>
      <c r="C139" s="143">
        <v>1</v>
      </c>
      <c r="D139">
        <v>2.14</v>
      </c>
      <c r="E139" s="143">
        <v>1</v>
      </c>
      <c r="F139">
        <v>-2814.7</v>
      </c>
    </row>
    <row r="140" spans="1:6" x14ac:dyDescent="0.2">
      <c r="A140" t="s">
        <v>713</v>
      </c>
      <c r="B140" s="143">
        <v>2754</v>
      </c>
      <c r="C140" s="143">
        <v>1</v>
      </c>
      <c r="D140">
        <v>2.14</v>
      </c>
      <c r="E140" s="143">
        <v>1</v>
      </c>
      <c r="F140">
        <v>-37577.019999999997</v>
      </c>
    </row>
    <row r="141" spans="1:6" x14ac:dyDescent="0.2">
      <c r="A141" t="s">
        <v>713</v>
      </c>
      <c r="B141" s="143">
        <v>2759</v>
      </c>
      <c r="C141" s="143">
        <v>1</v>
      </c>
      <c r="D141">
        <v>2.14</v>
      </c>
      <c r="E141" s="143">
        <v>1</v>
      </c>
      <c r="F141">
        <v>-29625.87</v>
      </c>
    </row>
    <row r="142" spans="1:6" x14ac:dyDescent="0.2">
      <c r="A142" t="s">
        <v>713</v>
      </c>
      <c r="B142" s="143">
        <v>2805</v>
      </c>
      <c r="C142" s="143">
        <v>1</v>
      </c>
      <c r="D142">
        <v>2.14</v>
      </c>
      <c r="E142" s="143">
        <v>1</v>
      </c>
      <c r="F142">
        <v>-21286</v>
      </c>
    </row>
    <row r="143" spans="1:6" x14ac:dyDescent="0.2">
      <c r="A143" t="s">
        <v>713</v>
      </c>
      <c r="B143" s="143">
        <v>2835</v>
      </c>
      <c r="C143" s="143">
        <v>1</v>
      </c>
      <c r="D143">
        <v>2.14</v>
      </c>
      <c r="E143" s="143">
        <v>1</v>
      </c>
      <c r="F143">
        <v>-30907</v>
      </c>
    </row>
    <row r="144" spans="1:6" x14ac:dyDescent="0.2">
      <c r="A144" t="s">
        <v>713</v>
      </c>
      <c r="B144" s="143">
        <v>2888</v>
      </c>
      <c r="C144" s="143">
        <v>1</v>
      </c>
      <c r="D144">
        <v>2.14</v>
      </c>
      <c r="E144" s="143">
        <v>1</v>
      </c>
      <c r="F144">
        <v>-98.71</v>
      </c>
    </row>
    <row r="145" spans="1:6" x14ac:dyDescent="0.2">
      <c r="A145" t="s">
        <v>713</v>
      </c>
      <c r="B145" s="143">
        <v>2898</v>
      </c>
      <c r="C145" s="143">
        <v>1</v>
      </c>
      <c r="D145">
        <v>2.14</v>
      </c>
      <c r="E145" s="143">
        <v>1</v>
      </c>
      <c r="F145">
        <v>-46519.67</v>
      </c>
    </row>
    <row r="146" spans="1:6" x14ac:dyDescent="0.2">
      <c r="A146" t="s">
        <v>713</v>
      </c>
      <c r="B146" s="143">
        <v>2903</v>
      </c>
      <c r="C146" s="143">
        <v>1</v>
      </c>
      <c r="D146">
        <v>2.14</v>
      </c>
      <c r="E146" s="143">
        <v>1</v>
      </c>
      <c r="F146">
        <v>-84727</v>
      </c>
    </row>
    <row r="148" spans="1:6" x14ac:dyDescent="0.2">
      <c r="F148">
        <f>SUM(F4:F147)</f>
        <v>-13711510.319999998</v>
      </c>
    </row>
  </sheetData>
  <phoneticPr fontId="0" type="noConversion"/>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0"/>
  <sheetViews>
    <sheetView workbookViewId="0"/>
  </sheetViews>
  <sheetFormatPr defaultRowHeight="11.25" x14ac:dyDescent="0.2"/>
  <cols>
    <col min="1" max="1" width="8" bestFit="1" customWidth="1"/>
    <col min="2" max="2" width="9.33203125" style="143"/>
    <col min="3" max="3" width="8" style="143" bestFit="1" customWidth="1"/>
    <col min="4" max="4" width="13.5" bestFit="1" customWidth="1"/>
    <col min="5" max="5" width="9.33203125" style="143"/>
    <col min="6" max="6" width="12.83203125" customWidth="1"/>
    <col min="8" max="8" width="10.5" bestFit="1" customWidth="1"/>
  </cols>
  <sheetData>
    <row r="1" spans="1:8" x14ac:dyDescent="0.2">
      <c r="H1" s="146" t="s">
        <v>714</v>
      </c>
    </row>
    <row r="2" spans="1:8" x14ac:dyDescent="0.2">
      <c r="H2" s="146" t="s">
        <v>642</v>
      </c>
    </row>
    <row r="3" spans="1:8" x14ac:dyDescent="0.2">
      <c r="A3" s="10" t="s">
        <v>630</v>
      </c>
      <c r="B3" s="11" t="s">
        <v>631</v>
      </c>
      <c r="C3" s="11" t="s">
        <v>632</v>
      </c>
      <c r="D3" s="10" t="s">
        <v>633</v>
      </c>
      <c r="E3" s="11" t="s">
        <v>634</v>
      </c>
      <c r="F3" s="10" t="s">
        <v>635</v>
      </c>
    </row>
    <row r="4" spans="1:8" x14ac:dyDescent="0.2">
      <c r="A4" t="s">
        <v>713</v>
      </c>
      <c r="B4" s="143">
        <v>1</v>
      </c>
      <c r="C4" s="143">
        <v>1</v>
      </c>
      <c r="D4">
        <v>2.14</v>
      </c>
      <c r="E4" s="143">
        <v>4</v>
      </c>
      <c r="F4">
        <v>-113.8</v>
      </c>
    </row>
    <row r="5" spans="1:8" x14ac:dyDescent="0.2">
      <c r="A5" t="s">
        <v>713</v>
      </c>
      <c r="B5" s="143">
        <v>23</v>
      </c>
      <c r="C5" s="143">
        <v>1</v>
      </c>
      <c r="D5">
        <v>2.14</v>
      </c>
      <c r="E5" s="143">
        <v>4</v>
      </c>
      <c r="F5">
        <v>-1621.2</v>
      </c>
    </row>
    <row r="6" spans="1:8" x14ac:dyDescent="0.2">
      <c r="A6" t="s">
        <v>713</v>
      </c>
      <c r="B6" s="143">
        <v>77</v>
      </c>
      <c r="C6" s="143">
        <v>1</v>
      </c>
      <c r="D6">
        <v>2.14</v>
      </c>
      <c r="E6" s="143">
        <v>4</v>
      </c>
      <c r="F6">
        <v>-5226</v>
      </c>
    </row>
    <row r="7" spans="1:8" x14ac:dyDescent="0.2">
      <c r="A7" t="s">
        <v>713</v>
      </c>
      <c r="B7" s="143">
        <v>81</v>
      </c>
      <c r="C7" s="143">
        <v>1</v>
      </c>
      <c r="D7">
        <v>2.14</v>
      </c>
      <c r="E7" s="143">
        <v>4</v>
      </c>
      <c r="F7">
        <v>-452.49</v>
      </c>
    </row>
    <row r="8" spans="1:8" x14ac:dyDescent="0.2">
      <c r="A8" t="s">
        <v>713</v>
      </c>
      <c r="B8" s="143">
        <v>84</v>
      </c>
      <c r="C8" s="143">
        <v>1</v>
      </c>
      <c r="D8">
        <v>2.14</v>
      </c>
      <c r="E8" s="143">
        <v>4</v>
      </c>
      <c r="F8">
        <v>-1939.95</v>
      </c>
    </row>
    <row r="9" spans="1:8" x14ac:dyDescent="0.2">
      <c r="A9" t="s">
        <v>713</v>
      </c>
      <c r="B9" s="143">
        <v>85</v>
      </c>
      <c r="C9" s="143">
        <v>1</v>
      </c>
      <c r="D9">
        <v>2.14</v>
      </c>
      <c r="E9" s="143">
        <v>4</v>
      </c>
      <c r="F9">
        <v>-660.03</v>
      </c>
    </row>
    <row r="10" spans="1:8" x14ac:dyDescent="0.2">
      <c r="A10" t="s">
        <v>713</v>
      </c>
      <c r="B10" s="143">
        <v>88</v>
      </c>
      <c r="C10" s="143">
        <v>1</v>
      </c>
      <c r="D10">
        <v>2.14</v>
      </c>
      <c r="E10" s="143">
        <v>4</v>
      </c>
      <c r="F10">
        <v>-2693</v>
      </c>
    </row>
    <row r="11" spans="1:8" x14ac:dyDescent="0.2">
      <c r="A11" t="s">
        <v>713</v>
      </c>
      <c r="B11" s="143">
        <v>94</v>
      </c>
      <c r="C11" s="143">
        <v>1</v>
      </c>
      <c r="D11">
        <v>2.14</v>
      </c>
      <c r="E11" s="143">
        <v>4</v>
      </c>
      <c r="F11">
        <v>0</v>
      </c>
    </row>
    <row r="12" spans="1:8" x14ac:dyDescent="0.2">
      <c r="A12" t="s">
        <v>713</v>
      </c>
      <c r="B12" s="143">
        <v>97</v>
      </c>
      <c r="C12" s="143">
        <v>1</v>
      </c>
      <c r="D12">
        <v>2.14</v>
      </c>
      <c r="E12" s="143">
        <v>4</v>
      </c>
      <c r="F12">
        <v>-649.96</v>
      </c>
    </row>
    <row r="13" spans="1:8" x14ac:dyDescent="0.2">
      <c r="A13" t="s">
        <v>713</v>
      </c>
      <c r="B13" s="143">
        <v>99</v>
      </c>
      <c r="C13" s="143">
        <v>1</v>
      </c>
      <c r="D13">
        <v>2.14</v>
      </c>
      <c r="E13" s="143">
        <v>4</v>
      </c>
      <c r="F13">
        <v>-795.9</v>
      </c>
    </row>
    <row r="14" spans="1:8" x14ac:dyDescent="0.2">
      <c r="A14" t="s">
        <v>713</v>
      </c>
      <c r="B14" s="143">
        <v>108</v>
      </c>
      <c r="C14" s="143">
        <v>1</v>
      </c>
      <c r="D14">
        <v>2.14</v>
      </c>
      <c r="E14" s="143">
        <v>4</v>
      </c>
      <c r="F14">
        <v>-2926</v>
      </c>
    </row>
    <row r="15" spans="1:8" x14ac:dyDescent="0.2">
      <c r="A15" t="s">
        <v>713</v>
      </c>
      <c r="B15" s="143">
        <v>111</v>
      </c>
      <c r="C15" s="143">
        <v>1</v>
      </c>
      <c r="D15">
        <v>2.14</v>
      </c>
      <c r="E15" s="143">
        <v>4</v>
      </c>
      <c r="F15">
        <v>-1384</v>
      </c>
    </row>
    <row r="16" spans="1:8" x14ac:dyDescent="0.2">
      <c r="A16" t="s">
        <v>713</v>
      </c>
      <c r="B16" s="143">
        <v>129</v>
      </c>
      <c r="C16" s="143">
        <v>1</v>
      </c>
      <c r="D16">
        <v>2.14</v>
      </c>
      <c r="E16" s="143">
        <v>4</v>
      </c>
      <c r="F16">
        <v>-2779.51</v>
      </c>
    </row>
    <row r="17" spans="1:6" x14ac:dyDescent="0.2">
      <c r="A17" t="s">
        <v>713</v>
      </c>
      <c r="B17" s="143">
        <v>146</v>
      </c>
      <c r="C17" s="143">
        <v>1</v>
      </c>
      <c r="D17">
        <v>2.14</v>
      </c>
      <c r="E17" s="143">
        <v>4</v>
      </c>
      <c r="F17">
        <v>-958</v>
      </c>
    </row>
    <row r="18" spans="1:6" x14ac:dyDescent="0.2">
      <c r="A18" t="s">
        <v>713</v>
      </c>
      <c r="B18" s="143">
        <v>150</v>
      </c>
      <c r="C18" s="143">
        <v>1</v>
      </c>
      <c r="D18">
        <v>2.14</v>
      </c>
      <c r="E18" s="143">
        <v>4</v>
      </c>
      <c r="F18">
        <v>-442.88</v>
      </c>
    </row>
    <row r="19" spans="1:6" x14ac:dyDescent="0.2">
      <c r="A19" t="s">
        <v>713</v>
      </c>
      <c r="B19" s="143">
        <v>152</v>
      </c>
      <c r="C19" s="143">
        <v>1</v>
      </c>
      <c r="D19">
        <v>2.14</v>
      </c>
      <c r="E19" s="143">
        <v>4</v>
      </c>
      <c r="F19">
        <v>-39378</v>
      </c>
    </row>
    <row r="20" spans="1:6" x14ac:dyDescent="0.2">
      <c r="A20" t="s">
        <v>713</v>
      </c>
      <c r="B20" s="143">
        <v>173</v>
      </c>
      <c r="C20" s="143">
        <v>1</v>
      </c>
      <c r="D20">
        <v>2.14</v>
      </c>
      <c r="E20" s="143">
        <v>4</v>
      </c>
      <c r="F20">
        <v>-1795.91</v>
      </c>
    </row>
    <row r="21" spans="1:6" x14ac:dyDescent="0.2">
      <c r="A21" t="s">
        <v>713</v>
      </c>
      <c r="B21" s="143">
        <v>177</v>
      </c>
      <c r="C21" s="143">
        <v>1</v>
      </c>
      <c r="D21">
        <v>2.14</v>
      </c>
      <c r="E21" s="143">
        <v>4</v>
      </c>
      <c r="F21">
        <v>544</v>
      </c>
    </row>
    <row r="22" spans="1:6" x14ac:dyDescent="0.2">
      <c r="A22" t="s">
        <v>713</v>
      </c>
      <c r="B22" s="143">
        <v>196</v>
      </c>
      <c r="C22" s="143">
        <v>1</v>
      </c>
      <c r="D22">
        <v>2.14</v>
      </c>
      <c r="E22" s="143">
        <v>4</v>
      </c>
      <c r="F22">
        <v>-569.12</v>
      </c>
    </row>
    <row r="23" spans="1:6" x14ac:dyDescent="0.2">
      <c r="A23" t="s">
        <v>713</v>
      </c>
      <c r="B23" s="143">
        <v>204</v>
      </c>
      <c r="C23" s="143">
        <v>1</v>
      </c>
      <c r="D23">
        <v>2.14</v>
      </c>
      <c r="E23" s="143">
        <v>4</v>
      </c>
      <c r="F23">
        <v>-716</v>
      </c>
    </row>
    <row r="24" spans="1:6" x14ac:dyDescent="0.2">
      <c r="A24" t="s">
        <v>713</v>
      </c>
      <c r="B24" s="143">
        <v>208</v>
      </c>
      <c r="C24" s="143">
        <v>1</v>
      </c>
      <c r="D24">
        <v>2.14</v>
      </c>
      <c r="E24" s="143">
        <v>4</v>
      </c>
      <c r="F24">
        <v>-348.24</v>
      </c>
    </row>
    <row r="25" spans="1:6" x14ac:dyDescent="0.2">
      <c r="A25" t="s">
        <v>713</v>
      </c>
      <c r="B25" s="143">
        <v>229</v>
      </c>
      <c r="C25" s="143">
        <v>1</v>
      </c>
      <c r="D25">
        <v>2.14</v>
      </c>
      <c r="E25" s="143">
        <v>4</v>
      </c>
      <c r="F25">
        <v>-694.2</v>
      </c>
    </row>
    <row r="26" spans="1:6" x14ac:dyDescent="0.2">
      <c r="A26" t="s">
        <v>713</v>
      </c>
      <c r="B26" s="143">
        <v>242</v>
      </c>
      <c r="C26" s="143">
        <v>1</v>
      </c>
      <c r="D26">
        <v>2.14</v>
      </c>
      <c r="E26" s="143">
        <v>4</v>
      </c>
      <c r="F26">
        <v>-286.41000000000003</v>
      </c>
    </row>
    <row r="27" spans="1:6" x14ac:dyDescent="0.2">
      <c r="A27" t="s">
        <v>713</v>
      </c>
      <c r="B27" s="143">
        <v>252</v>
      </c>
      <c r="C27" s="143">
        <v>1</v>
      </c>
      <c r="D27">
        <v>2.14</v>
      </c>
      <c r="E27" s="143">
        <v>4</v>
      </c>
      <c r="F27">
        <v>-1718.5</v>
      </c>
    </row>
    <row r="28" spans="1:6" x14ac:dyDescent="0.2">
      <c r="A28" t="s">
        <v>713</v>
      </c>
      <c r="B28" s="143">
        <v>255</v>
      </c>
      <c r="C28" s="143">
        <v>1</v>
      </c>
      <c r="D28">
        <v>2.14</v>
      </c>
      <c r="E28" s="143">
        <v>4</v>
      </c>
      <c r="F28">
        <v>-1781</v>
      </c>
    </row>
    <row r="29" spans="1:6" x14ac:dyDescent="0.2">
      <c r="A29" t="s">
        <v>713</v>
      </c>
      <c r="B29" s="143">
        <v>256</v>
      </c>
      <c r="C29" s="143">
        <v>1</v>
      </c>
      <c r="D29">
        <v>2.14</v>
      </c>
      <c r="E29" s="143">
        <v>4</v>
      </c>
      <c r="F29">
        <v>-1246</v>
      </c>
    </row>
    <row r="30" spans="1:6" x14ac:dyDescent="0.2">
      <c r="A30" t="s">
        <v>713</v>
      </c>
      <c r="B30" s="143">
        <v>261</v>
      </c>
      <c r="C30" s="143">
        <v>1</v>
      </c>
      <c r="D30">
        <v>2.14</v>
      </c>
      <c r="E30" s="143">
        <v>4</v>
      </c>
      <c r="F30">
        <v>-265.42</v>
      </c>
    </row>
    <row r="31" spans="1:6" x14ac:dyDescent="0.2">
      <c r="A31" t="s">
        <v>713</v>
      </c>
      <c r="B31" s="143">
        <v>294</v>
      </c>
      <c r="C31" s="143">
        <v>1</v>
      </c>
      <c r="D31">
        <v>2.14</v>
      </c>
      <c r="E31" s="143">
        <v>4</v>
      </c>
      <c r="F31">
        <v>-1351.51</v>
      </c>
    </row>
    <row r="32" spans="1:6" x14ac:dyDescent="0.2">
      <c r="A32" t="s">
        <v>713</v>
      </c>
      <c r="B32" s="143">
        <v>297</v>
      </c>
      <c r="C32" s="143">
        <v>1</v>
      </c>
      <c r="D32">
        <v>2.14</v>
      </c>
      <c r="E32" s="143">
        <v>4</v>
      </c>
      <c r="F32">
        <v>-3894</v>
      </c>
    </row>
    <row r="33" spans="1:6" x14ac:dyDescent="0.2">
      <c r="A33" t="s">
        <v>713</v>
      </c>
      <c r="B33" s="143">
        <v>299</v>
      </c>
      <c r="C33" s="143">
        <v>1</v>
      </c>
      <c r="D33">
        <v>2.14</v>
      </c>
      <c r="E33" s="143">
        <v>4</v>
      </c>
      <c r="F33">
        <v>-1834</v>
      </c>
    </row>
    <row r="34" spans="1:6" x14ac:dyDescent="0.2">
      <c r="A34" t="s">
        <v>713</v>
      </c>
      <c r="B34" s="143">
        <v>314</v>
      </c>
      <c r="C34" s="143">
        <v>1</v>
      </c>
      <c r="D34">
        <v>2.14</v>
      </c>
      <c r="E34" s="143">
        <v>4</v>
      </c>
      <c r="F34">
        <v>-19359.57</v>
      </c>
    </row>
    <row r="35" spans="1:6" x14ac:dyDescent="0.2">
      <c r="A35" t="s">
        <v>713</v>
      </c>
      <c r="B35" s="143">
        <v>332</v>
      </c>
      <c r="C35" s="143">
        <v>1</v>
      </c>
      <c r="D35">
        <v>2.14</v>
      </c>
      <c r="E35" s="143">
        <v>4</v>
      </c>
      <c r="F35">
        <v>-2574.11</v>
      </c>
    </row>
    <row r="36" spans="1:6" x14ac:dyDescent="0.2">
      <c r="A36" t="s">
        <v>713</v>
      </c>
      <c r="B36" s="143">
        <v>361</v>
      </c>
      <c r="C36" s="143">
        <v>1</v>
      </c>
      <c r="D36">
        <v>2.14</v>
      </c>
      <c r="E36" s="143">
        <v>4</v>
      </c>
      <c r="F36">
        <v>-7152.36</v>
      </c>
    </row>
    <row r="37" spans="1:6" x14ac:dyDescent="0.2">
      <c r="A37" t="s">
        <v>713</v>
      </c>
      <c r="B37" s="143">
        <v>378</v>
      </c>
      <c r="C37" s="143">
        <v>1</v>
      </c>
      <c r="D37">
        <v>2.14</v>
      </c>
      <c r="E37" s="143">
        <v>4</v>
      </c>
      <c r="F37">
        <v>-1788.55</v>
      </c>
    </row>
    <row r="38" spans="1:6" x14ac:dyDescent="0.2">
      <c r="A38" t="s">
        <v>713</v>
      </c>
      <c r="B38" s="143">
        <v>392</v>
      </c>
      <c r="C38" s="143">
        <v>1</v>
      </c>
      <c r="D38">
        <v>2.14</v>
      </c>
      <c r="E38" s="143">
        <v>4</v>
      </c>
      <c r="F38">
        <v>-1194</v>
      </c>
    </row>
    <row r="39" spans="1:6" x14ac:dyDescent="0.2">
      <c r="A39" t="s">
        <v>713</v>
      </c>
      <c r="B39" s="143">
        <v>394</v>
      </c>
      <c r="C39" s="143">
        <v>1</v>
      </c>
      <c r="D39">
        <v>2.14</v>
      </c>
      <c r="E39" s="143">
        <v>4</v>
      </c>
      <c r="F39">
        <v>-964.59</v>
      </c>
    </row>
    <row r="40" spans="1:6" x14ac:dyDescent="0.2">
      <c r="A40" t="s">
        <v>713</v>
      </c>
      <c r="B40" s="143">
        <v>413</v>
      </c>
      <c r="C40" s="143">
        <v>1</v>
      </c>
      <c r="D40">
        <v>2.14</v>
      </c>
      <c r="E40" s="143">
        <v>4</v>
      </c>
      <c r="F40">
        <v>-516.21</v>
      </c>
    </row>
    <row r="41" spans="1:6" x14ac:dyDescent="0.2">
      <c r="A41" t="s">
        <v>713</v>
      </c>
      <c r="B41" s="143">
        <v>414</v>
      </c>
      <c r="C41" s="143">
        <v>1</v>
      </c>
      <c r="D41">
        <v>2.14</v>
      </c>
      <c r="E41" s="143">
        <v>4</v>
      </c>
      <c r="F41">
        <v>-287.08999999999997</v>
      </c>
    </row>
    <row r="42" spans="1:6" x14ac:dyDescent="0.2">
      <c r="A42" t="s">
        <v>713</v>
      </c>
      <c r="B42" s="143">
        <v>415</v>
      </c>
      <c r="C42" s="143">
        <v>1</v>
      </c>
      <c r="D42">
        <v>2.14</v>
      </c>
      <c r="E42" s="143">
        <v>4</v>
      </c>
      <c r="F42">
        <v>-343.5</v>
      </c>
    </row>
    <row r="43" spans="1:6" x14ac:dyDescent="0.2">
      <c r="A43" t="s">
        <v>713</v>
      </c>
      <c r="B43" s="143">
        <v>424</v>
      </c>
      <c r="C43" s="143">
        <v>1</v>
      </c>
      <c r="D43">
        <v>2.14</v>
      </c>
      <c r="E43" s="143">
        <v>4</v>
      </c>
      <c r="F43">
        <v>-365.27</v>
      </c>
    </row>
    <row r="44" spans="1:6" x14ac:dyDescent="0.2">
      <c r="A44" t="s">
        <v>713</v>
      </c>
      <c r="B44" s="143">
        <v>458</v>
      </c>
      <c r="C44" s="143">
        <v>1</v>
      </c>
      <c r="D44">
        <v>2.14</v>
      </c>
      <c r="E44" s="143">
        <v>4</v>
      </c>
      <c r="F44">
        <v>-1559.97</v>
      </c>
    </row>
    <row r="45" spans="1:6" x14ac:dyDescent="0.2">
      <c r="A45" t="s">
        <v>713</v>
      </c>
      <c r="B45" s="143">
        <v>480</v>
      </c>
      <c r="C45" s="143">
        <v>1</v>
      </c>
      <c r="D45">
        <v>2.14</v>
      </c>
      <c r="E45" s="143">
        <v>4</v>
      </c>
      <c r="F45">
        <v>-1201</v>
      </c>
    </row>
    <row r="46" spans="1:6" x14ac:dyDescent="0.2">
      <c r="A46" t="s">
        <v>713</v>
      </c>
      <c r="B46" s="143">
        <v>482</v>
      </c>
      <c r="C46" s="143">
        <v>1</v>
      </c>
      <c r="D46">
        <v>2.14</v>
      </c>
      <c r="E46" s="143">
        <v>4</v>
      </c>
      <c r="F46">
        <v>-4656.87</v>
      </c>
    </row>
    <row r="47" spans="1:6" x14ac:dyDescent="0.2">
      <c r="A47" t="s">
        <v>713</v>
      </c>
      <c r="B47" s="143">
        <v>484</v>
      </c>
      <c r="C47" s="143">
        <v>1</v>
      </c>
      <c r="D47">
        <v>2.14</v>
      </c>
      <c r="E47" s="143">
        <v>4</v>
      </c>
      <c r="F47">
        <v>-489.62</v>
      </c>
    </row>
    <row r="48" spans="1:6" x14ac:dyDescent="0.2">
      <c r="A48" t="s">
        <v>713</v>
      </c>
      <c r="B48" s="143">
        <v>485</v>
      </c>
      <c r="C48" s="143">
        <v>1</v>
      </c>
      <c r="D48">
        <v>2.14</v>
      </c>
      <c r="E48" s="143">
        <v>4</v>
      </c>
      <c r="F48">
        <v>-918.22</v>
      </c>
    </row>
    <row r="49" spans="1:6" x14ac:dyDescent="0.2">
      <c r="A49" t="s">
        <v>713</v>
      </c>
      <c r="B49" s="143">
        <v>492</v>
      </c>
      <c r="C49" s="143">
        <v>1</v>
      </c>
      <c r="D49">
        <v>2.14</v>
      </c>
      <c r="E49" s="143">
        <v>4</v>
      </c>
      <c r="F49">
        <v>-10411.94</v>
      </c>
    </row>
    <row r="50" spans="1:6" x14ac:dyDescent="0.2">
      <c r="A50" t="s">
        <v>713</v>
      </c>
      <c r="B50" s="143">
        <v>508</v>
      </c>
      <c r="C50" s="143">
        <v>1</v>
      </c>
      <c r="D50">
        <v>2.14</v>
      </c>
      <c r="E50" s="143">
        <v>4</v>
      </c>
      <c r="F50">
        <v>-878</v>
      </c>
    </row>
    <row r="51" spans="1:6" x14ac:dyDescent="0.2">
      <c r="A51" t="s">
        <v>713</v>
      </c>
      <c r="B51" s="143">
        <v>511</v>
      </c>
      <c r="C51" s="143">
        <v>1</v>
      </c>
      <c r="D51">
        <v>2.14</v>
      </c>
      <c r="E51" s="143">
        <v>4</v>
      </c>
      <c r="F51">
        <v>-32.700000000000003</v>
      </c>
    </row>
    <row r="52" spans="1:6" x14ac:dyDescent="0.2">
      <c r="A52" t="s">
        <v>713</v>
      </c>
      <c r="B52" s="143">
        <v>513</v>
      </c>
      <c r="C52" s="143">
        <v>1</v>
      </c>
      <c r="D52">
        <v>2.14</v>
      </c>
      <c r="E52" s="143">
        <v>4</v>
      </c>
      <c r="F52">
        <v>-2201.62</v>
      </c>
    </row>
    <row r="53" spans="1:6" x14ac:dyDescent="0.2">
      <c r="A53" t="s">
        <v>713</v>
      </c>
      <c r="B53" s="143">
        <v>514</v>
      </c>
      <c r="C53" s="143">
        <v>1</v>
      </c>
      <c r="D53">
        <v>2.14</v>
      </c>
      <c r="E53" s="143">
        <v>4</v>
      </c>
      <c r="F53">
        <v>-30.04</v>
      </c>
    </row>
    <row r="54" spans="1:6" x14ac:dyDescent="0.2">
      <c r="A54" t="s">
        <v>713</v>
      </c>
      <c r="B54" s="143">
        <v>516</v>
      </c>
      <c r="C54" s="143">
        <v>1</v>
      </c>
      <c r="D54">
        <v>2.14</v>
      </c>
      <c r="E54" s="143">
        <v>4</v>
      </c>
      <c r="F54">
        <v>-2635.48</v>
      </c>
    </row>
    <row r="55" spans="1:6" x14ac:dyDescent="0.2">
      <c r="A55" t="s">
        <v>713</v>
      </c>
      <c r="B55" s="143">
        <v>518</v>
      </c>
      <c r="C55" s="143">
        <v>1</v>
      </c>
      <c r="D55">
        <v>2.14</v>
      </c>
      <c r="E55" s="143">
        <v>4</v>
      </c>
      <c r="F55">
        <v>-2231.5300000000002</v>
      </c>
    </row>
    <row r="56" spans="1:6" x14ac:dyDescent="0.2">
      <c r="A56" t="s">
        <v>713</v>
      </c>
      <c r="B56" s="143">
        <v>533</v>
      </c>
      <c r="C56" s="143">
        <v>1</v>
      </c>
      <c r="D56">
        <v>2.14</v>
      </c>
      <c r="E56" s="143">
        <v>4</v>
      </c>
      <c r="F56">
        <v>-1100</v>
      </c>
    </row>
    <row r="57" spans="1:6" x14ac:dyDescent="0.2">
      <c r="A57" t="s">
        <v>713</v>
      </c>
      <c r="B57" s="143">
        <v>535</v>
      </c>
      <c r="C57" s="143">
        <v>1</v>
      </c>
      <c r="D57">
        <v>2.14</v>
      </c>
      <c r="E57" s="143">
        <v>4</v>
      </c>
      <c r="F57">
        <v>-5989.99</v>
      </c>
    </row>
    <row r="58" spans="1:6" x14ac:dyDescent="0.2">
      <c r="A58" t="s">
        <v>713</v>
      </c>
      <c r="B58" s="143">
        <v>544</v>
      </c>
      <c r="C58" s="143">
        <v>1</v>
      </c>
      <c r="D58">
        <v>2.14</v>
      </c>
      <c r="E58" s="143">
        <v>4</v>
      </c>
      <c r="F58">
        <v>-98667.839999999997</v>
      </c>
    </row>
    <row r="59" spans="1:6" x14ac:dyDescent="0.2">
      <c r="A59" t="s">
        <v>713</v>
      </c>
      <c r="B59" s="143">
        <v>545</v>
      </c>
      <c r="C59" s="143">
        <v>1</v>
      </c>
      <c r="D59">
        <v>2.14</v>
      </c>
      <c r="E59" s="143">
        <v>4</v>
      </c>
      <c r="F59">
        <v>-272.68</v>
      </c>
    </row>
    <row r="60" spans="1:6" x14ac:dyDescent="0.2">
      <c r="A60" t="s">
        <v>713</v>
      </c>
      <c r="B60" s="143">
        <v>547</v>
      </c>
      <c r="C60" s="143">
        <v>1</v>
      </c>
      <c r="D60">
        <v>2.14</v>
      </c>
      <c r="E60" s="143">
        <v>4</v>
      </c>
      <c r="F60">
        <v>-1201</v>
      </c>
    </row>
    <row r="61" spans="1:6" x14ac:dyDescent="0.2">
      <c r="A61" t="s">
        <v>713</v>
      </c>
      <c r="B61" s="143">
        <v>548</v>
      </c>
      <c r="C61" s="143">
        <v>1</v>
      </c>
      <c r="D61">
        <v>2.14</v>
      </c>
      <c r="E61" s="143">
        <v>4</v>
      </c>
      <c r="F61">
        <v>-414.45</v>
      </c>
    </row>
    <row r="62" spans="1:6" x14ac:dyDescent="0.2">
      <c r="A62" t="s">
        <v>713</v>
      </c>
      <c r="B62" s="143">
        <v>550</v>
      </c>
      <c r="C62" s="143">
        <v>1</v>
      </c>
      <c r="D62">
        <v>2.14</v>
      </c>
      <c r="E62" s="143">
        <v>4</v>
      </c>
      <c r="F62">
        <v>-405.81</v>
      </c>
    </row>
    <row r="63" spans="1:6" x14ac:dyDescent="0.2">
      <c r="A63" t="s">
        <v>713</v>
      </c>
      <c r="B63" s="143">
        <v>553</v>
      </c>
      <c r="C63" s="143">
        <v>1</v>
      </c>
      <c r="D63">
        <v>2.14</v>
      </c>
      <c r="E63" s="143">
        <v>4</v>
      </c>
      <c r="F63">
        <v>-1131.77</v>
      </c>
    </row>
    <row r="64" spans="1:6" x14ac:dyDescent="0.2">
      <c r="A64" t="s">
        <v>713</v>
      </c>
      <c r="B64" s="143">
        <v>561</v>
      </c>
      <c r="C64" s="143">
        <v>1</v>
      </c>
      <c r="D64">
        <v>2.14</v>
      </c>
      <c r="E64" s="143">
        <v>4</v>
      </c>
      <c r="F64">
        <v>-87.47</v>
      </c>
    </row>
    <row r="65" spans="1:6" x14ac:dyDescent="0.2">
      <c r="A65" t="s">
        <v>713</v>
      </c>
      <c r="B65" s="143">
        <v>581</v>
      </c>
      <c r="C65" s="143">
        <v>1</v>
      </c>
      <c r="D65">
        <v>2.14</v>
      </c>
      <c r="E65" s="143">
        <v>4</v>
      </c>
      <c r="F65">
        <v>-1692.17</v>
      </c>
    </row>
    <row r="66" spans="1:6" x14ac:dyDescent="0.2">
      <c r="A66" t="s">
        <v>713</v>
      </c>
      <c r="B66" s="143">
        <v>592</v>
      </c>
      <c r="C66" s="143">
        <v>1</v>
      </c>
      <c r="D66">
        <v>2.14</v>
      </c>
      <c r="E66" s="143">
        <v>4</v>
      </c>
      <c r="F66">
        <v>-97.94</v>
      </c>
    </row>
    <row r="67" spans="1:6" x14ac:dyDescent="0.2">
      <c r="A67" t="s">
        <v>713</v>
      </c>
      <c r="B67" s="143">
        <v>593</v>
      </c>
      <c r="C67" s="143">
        <v>1</v>
      </c>
      <c r="D67">
        <v>2.14</v>
      </c>
      <c r="E67" s="143">
        <v>4</v>
      </c>
      <c r="F67">
        <v>-3641.94</v>
      </c>
    </row>
    <row r="68" spans="1:6" x14ac:dyDescent="0.2">
      <c r="A68" t="s">
        <v>713</v>
      </c>
      <c r="B68" s="143">
        <v>595</v>
      </c>
      <c r="C68" s="143">
        <v>1</v>
      </c>
      <c r="D68">
        <v>2.14</v>
      </c>
      <c r="E68" s="143">
        <v>4</v>
      </c>
      <c r="F68">
        <v>-5649.55</v>
      </c>
    </row>
    <row r="69" spans="1:6" x14ac:dyDescent="0.2">
      <c r="A69" t="s">
        <v>713</v>
      </c>
      <c r="B69" s="143">
        <v>599</v>
      </c>
      <c r="C69" s="143">
        <v>1</v>
      </c>
      <c r="D69">
        <v>2.14</v>
      </c>
      <c r="E69" s="143">
        <v>4</v>
      </c>
      <c r="F69">
        <v>-1073.8800000000001</v>
      </c>
    </row>
    <row r="70" spans="1:6" x14ac:dyDescent="0.2">
      <c r="A70" t="s">
        <v>713</v>
      </c>
      <c r="B70" s="143">
        <v>601</v>
      </c>
      <c r="C70" s="143">
        <v>1</v>
      </c>
      <c r="D70">
        <v>2.14</v>
      </c>
      <c r="E70" s="143">
        <v>4</v>
      </c>
      <c r="F70">
        <v>-764.79</v>
      </c>
    </row>
    <row r="71" spans="1:6" x14ac:dyDescent="0.2">
      <c r="A71" t="s">
        <v>713</v>
      </c>
      <c r="B71" s="143">
        <v>630</v>
      </c>
      <c r="C71" s="143">
        <v>1</v>
      </c>
      <c r="D71">
        <v>2.14</v>
      </c>
      <c r="E71" s="143">
        <v>4</v>
      </c>
      <c r="F71">
        <v>-1065.05</v>
      </c>
    </row>
    <row r="72" spans="1:6" x14ac:dyDescent="0.2">
      <c r="A72" t="s">
        <v>713</v>
      </c>
      <c r="B72" s="143">
        <v>635</v>
      </c>
      <c r="C72" s="143">
        <v>1</v>
      </c>
      <c r="D72">
        <v>2.14</v>
      </c>
      <c r="E72" s="143">
        <v>4</v>
      </c>
      <c r="F72">
        <v>-113.86</v>
      </c>
    </row>
    <row r="73" spans="1:6" x14ac:dyDescent="0.2">
      <c r="A73" t="s">
        <v>713</v>
      </c>
      <c r="B73" s="143">
        <v>640</v>
      </c>
      <c r="C73" s="143">
        <v>1</v>
      </c>
      <c r="D73">
        <v>2.14</v>
      </c>
      <c r="E73" s="143">
        <v>4</v>
      </c>
      <c r="F73">
        <v>-289.69</v>
      </c>
    </row>
    <row r="74" spans="1:6" x14ac:dyDescent="0.2">
      <c r="A74" t="s">
        <v>713</v>
      </c>
      <c r="B74" s="143">
        <v>676</v>
      </c>
      <c r="C74" s="143">
        <v>1</v>
      </c>
      <c r="D74">
        <v>2.14</v>
      </c>
      <c r="E74" s="143">
        <v>4</v>
      </c>
      <c r="F74">
        <v>-334.03</v>
      </c>
    </row>
    <row r="75" spans="1:6" x14ac:dyDescent="0.2">
      <c r="A75" t="s">
        <v>713</v>
      </c>
      <c r="B75" s="143">
        <v>696</v>
      </c>
      <c r="C75" s="143">
        <v>1</v>
      </c>
      <c r="D75">
        <v>2.14</v>
      </c>
      <c r="E75" s="143">
        <v>4</v>
      </c>
      <c r="F75">
        <v>-183.09</v>
      </c>
    </row>
    <row r="76" spans="1:6" x14ac:dyDescent="0.2">
      <c r="A76" t="s">
        <v>713</v>
      </c>
      <c r="B76" s="143">
        <v>704</v>
      </c>
      <c r="C76" s="143">
        <v>1</v>
      </c>
      <c r="D76">
        <v>2.14</v>
      </c>
      <c r="E76" s="143">
        <v>4</v>
      </c>
      <c r="F76">
        <v>-788.4</v>
      </c>
    </row>
    <row r="77" spans="1:6" x14ac:dyDescent="0.2">
      <c r="A77" t="s">
        <v>713</v>
      </c>
      <c r="B77" s="143">
        <v>716</v>
      </c>
      <c r="C77" s="143">
        <v>1</v>
      </c>
      <c r="D77">
        <v>2.14</v>
      </c>
      <c r="E77" s="143">
        <v>4</v>
      </c>
      <c r="F77">
        <v>-656.17</v>
      </c>
    </row>
    <row r="78" spans="1:6" x14ac:dyDescent="0.2">
      <c r="A78" t="s">
        <v>713</v>
      </c>
      <c r="B78" s="143">
        <v>720</v>
      </c>
      <c r="C78" s="143">
        <v>1</v>
      </c>
      <c r="D78">
        <v>2.14</v>
      </c>
      <c r="E78" s="143">
        <v>4</v>
      </c>
      <c r="F78">
        <v>-1737.34</v>
      </c>
    </row>
    <row r="79" spans="1:6" x14ac:dyDescent="0.2">
      <c r="A79" t="s">
        <v>713</v>
      </c>
      <c r="B79" s="143">
        <v>727</v>
      </c>
      <c r="C79" s="143">
        <v>1</v>
      </c>
      <c r="D79">
        <v>2.14</v>
      </c>
      <c r="E79" s="143">
        <v>4</v>
      </c>
      <c r="F79">
        <v>-1523.24</v>
      </c>
    </row>
    <row r="80" spans="1:6" x14ac:dyDescent="0.2">
      <c r="A80" t="s">
        <v>713</v>
      </c>
      <c r="B80" s="143">
        <v>738</v>
      </c>
      <c r="C80" s="143">
        <v>1</v>
      </c>
      <c r="D80">
        <v>2.14</v>
      </c>
      <c r="E80" s="143">
        <v>4</v>
      </c>
      <c r="F80">
        <v>-2389.6</v>
      </c>
    </row>
    <row r="81" spans="1:6" x14ac:dyDescent="0.2">
      <c r="A81" t="s">
        <v>713</v>
      </c>
      <c r="B81" s="143">
        <v>740</v>
      </c>
      <c r="C81" s="143">
        <v>1</v>
      </c>
      <c r="D81">
        <v>2.14</v>
      </c>
      <c r="E81" s="143">
        <v>4</v>
      </c>
      <c r="F81">
        <v>-1050.57</v>
      </c>
    </row>
    <row r="82" spans="1:6" x14ac:dyDescent="0.2">
      <c r="A82" t="s">
        <v>713</v>
      </c>
      <c r="B82" s="143">
        <v>743</v>
      </c>
      <c r="C82" s="143">
        <v>1</v>
      </c>
      <c r="D82">
        <v>2.14</v>
      </c>
      <c r="E82" s="143">
        <v>4</v>
      </c>
      <c r="F82">
        <v>-796.56</v>
      </c>
    </row>
    <row r="83" spans="1:6" x14ac:dyDescent="0.2">
      <c r="A83" t="s">
        <v>713</v>
      </c>
      <c r="B83" s="143">
        <v>761</v>
      </c>
      <c r="C83" s="143">
        <v>1</v>
      </c>
      <c r="D83">
        <v>2.14</v>
      </c>
      <c r="E83" s="143">
        <v>4</v>
      </c>
      <c r="F83">
        <v>-3399</v>
      </c>
    </row>
    <row r="84" spans="1:6" x14ac:dyDescent="0.2">
      <c r="A84" t="s">
        <v>713</v>
      </c>
      <c r="B84" s="143">
        <v>768</v>
      </c>
      <c r="C84" s="143">
        <v>1</v>
      </c>
      <c r="D84">
        <v>2.14</v>
      </c>
      <c r="E84" s="143">
        <v>4</v>
      </c>
      <c r="F84">
        <v>-22</v>
      </c>
    </row>
    <row r="85" spans="1:6" x14ac:dyDescent="0.2">
      <c r="A85" t="s">
        <v>713</v>
      </c>
      <c r="B85" s="143">
        <v>769</v>
      </c>
      <c r="C85" s="143">
        <v>1</v>
      </c>
      <c r="D85">
        <v>2.14</v>
      </c>
      <c r="E85" s="143">
        <v>4</v>
      </c>
      <c r="F85">
        <v>-55.5</v>
      </c>
    </row>
    <row r="86" spans="1:6" x14ac:dyDescent="0.2">
      <c r="A86" t="s">
        <v>713</v>
      </c>
      <c r="B86" s="143">
        <v>786</v>
      </c>
      <c r="C86" s="143">
        <v>1</v>
      </c>
      <c r="D86">
        <v>2.14</v>
      </c>
      <c r="E86" s="143">
        <v>4</v>
      </c>
      <c r="F86">
        <v>-15418.61</v>
      </c>
    </row>
    <row r="87" spans="1:6" x14ac:dyDescent="0.2">
      <c r="A87" t="s">
        <v>713</v>
      </c>
      <c r="B87" s="143">
        <v>787</v>
      </c>
      <c r="C87" s="143">
        <v>1</v>
      </c>
      <c r="D87">
        <v>2.14</v>
      </c>
      <c r="E87" s="143">
        <v>4</v>
      </c>
      <c r="F87">
        <v>-689.77</v>
      </c>
    </row>
    <row r="88" spans="1:6" x14ac:dyDescent="0.2">
      <c r="A88" t="s">
        <v>713</v>
      </c>
      <c r="B88" s="143">
        <v>801</v>
      </c>
      <c r="C88" s="143">
        <v>1</v>
      </c>
      <c r="D88">
        <v>2.14</v>
      </c>
      <c r="E88" s="143">
        <v>4</v>
      </c>
      <c r="F88">
        <v>-257</v>
      </c>
    </row>
    <row r="89" spans="1:6" x14ac:dyDescent="0.2">
      <c r="A89" t="s">
        <v>713</v>
      </c>
      <c r="B89" s="143">
        <v>813</v>
      </c>
      <c r="C89" s="143">
        <v>1</v>
      </c>
      <c r="D89">
        <v>2.14</v>
      </c>
      <c r="E89" s="143">
        <v>4</v>
      </c>
      <c r="F89">
        <v>-1991</v>
      </c>
    </row>
    <row r="90" spans="1:6" x14ac:dyDescent="0.2">
      <c r="A90" t="s">
        <v>713</v>
      </c>
      <c r="B90" s="143">
        <v>820</v>
      </c>
      <c r="C90" s="143">
        <v>1</v>
      </c>
      <c r="D90">
        <v>2.14</v>
      </c>
      <c r="E90" s="143">
        <v>4</v>
      </c>
      <c r="F90">
        <v>-422.15</v>
      </c>
    </row>
    <row r="91" spans="1:6" x14ac:dyDescent="0.2">
      <c r="A91" t="s">
        <v>713</v>
      </c>
      <c r="B91" s="143">
        <v>821</v>
      </c>
      <c r="C91" s="143">
        <v>1</v>
      </c>
      <c r="D91">
        <v>2.14</v>
      </c>
      <c r="E91" s="143">
        <v>4</v>
      </c>
      <c r="F91">
        <v>-58</v>
      </c>
    </row>
    <row r="92" spans="1:6" x14ac:dyDescent="0.2">
      <c r="A92" t="s">
        <v>713</v>
      </c>
      <c r="B92" s="143">
        <v>829</v>
      </c>
      <c r="C92" s="143">
        <v>1</v>
      </c>
      <c r="D92">
        <v>2.14</v>
      </c>
      <c r="E92" s="143">
        <v>4</v>
      </c>
      <c r="F92">
        <v>-5713</v>
      </c>
    </row>
    <row r="93" spans="1:6" x14ac:dyDescent="0.2">
      <c r="A93" t="s">
        <v>713</v>
      </c>
      <c r="B93" s="143">
        <v>836</v>
      </c>
      <c r="C93" s="143">
        <v>1</v>
      </c>
      <c r="D93">
        <v>2.14</v>
      </c>
      <c r="E93" s="143">
        <v>4</v>
      </c>
      <c r="F93">
        <v>-24</v>
      </c>
    </row>
    <row r="94" spans="1:6" x14ac:dyDescent="0.2">
      <c r="A94" t="s">
        <v>713</v>
      </c>
      <c r="B94" s="143">
        <v>837</v>
      </c>
      <c r="C94" s="143">
        <v>1</v>
      </c>
      <c r="D94">
        <v>2.14</v>
      </c>
      <c r="E94" s="143">
        <v>4</v>
      </c>
      <c r="F94">
        <v>-388</v>
      </c>
    </row>
    <row r="95" spans="1:6" x14ac:dyDescent="0.2">
      <c r="A95" t="s">
        <v>713</v>
      </c>
      <c r="B95" s="143">
        <v>840</v>
      </c>
      <c r="C95" s="143">
        <v>1</v>
      </c>
      <c r="D95">
        <v>2.14</v>
      </c>
      <c r="E95" s="143">
        <v>4</v>
      </c>
      <c r="F95">
        <v>-3791</v>
      </c>
    </row>
    <row r="96" spans="1:6" x14ac:dyDescent="0.2">
      <c r="A96" t="s">
        <v>713</v>
      </c>
      <c r="B96" s="143">
        <v>857</v>
      </c>
      <c r="C96" s="143">
        <v>1</v>
      </c>
      <c r="D96">
        <v>2.14</v>
      </c>
      <c r="E96" s="143">
        <v>4</v>
      </c>
      <c r="F96">
        <v>-1205</v>
      </c>
    </row>
    <row r="97" spans="1:6" x14ac:dyDescent="0.2">
      <c r="A97" t="s">
        <v>713</v>
      </c>
      <c r="B97" s="143">
        <v>861</v>
      </c>
      <c r="C97" s="143">
        <v>1</v>
      </c>
      <c r="D97">
        <v>2.14</v>
      </c>
      <c r="E97" s="143">
        <v>4</v>
      </c>
      <c r="F97">
        <v>-6656</v>
      </c>
    </row>
    <row r="98" spans="1:6" x14ac:dyDescent="0.2">
      <c r="A98" t="s">
        <v>713</v>
      </c>
      <c r="B98" s="143">
        <v>877</v>
      </c>
      <c r="C98" s="143">
        <v>1</v>
      </c>
      <c r="D98">
        <v>2.14</v>
      </c>
      <c r="E98" s="143">
        <v>4</v>
      </c>
      <c r="F98">
        <v>-27674.28</v>
      </c>
    </row>
    <row r="99" spans="1:6" x14ac:dyDescent="0.2">
      <c r="A99" t="s">
        <v>713</v>
      </c>
      <c r="B99" s="143">
        <v>885</v>
      </c>
      <c r="C99" s="143">
        <v>1</v>
      </c>
      <c r="D99">
        <v>2.14</v>
      </c>
      <c r="E99" s="143">
        <v>4</v>
      </c>
      <c r="F99">
        <v>-117130.8</v>
      </c>
    </row>
    <row r="100" spans="1:6" x14ac:dyDescent="0.2">
      <c r="A100" t="s">
        <v>713</v>
      </c>
      <c r="B100" s="143">
        <v>891</v>
      </c>
      <c r="C100" s="143">
        <v>1</v>
      </c>
      <c r="D100">
        <v>2.14</v>
      </c>
      <c r="E100" s="143">
        <v>4</v>
      </c>
      <c r="F100">
        <v>-957.97</v>
      </c>
    </row>
    <row r="101" spans="1:6" x14ac:dyDescent="0.2">
      <c r="A101" t="s">
        <v>713</v>
      </c>
      <c r="B101" s="143">
        <v>912</v>
      </c>
      <c r="C101" s="143">
        <v>1</v>
      </c>
      <c r="D101">
        <v>2.14</v>
      </c>
      <c r="E101" s="143">
        <v>4</v>
      </c>
      <c r="F101">
        <v>-5067.43</v>
      </c>
    </row>
    <row r="102" spans="1:6" x14ac:dyDescent="0.2">
      <c r="A102" t="s">
        <v>713</v>
      </c>
      <c r="B102" s="143">
        <v>914</v>
      </c>
      <c r="C102" s="143">
        <v>1</v>
      </c>
      <c r="D102">
        <v>2.14</v>
      </c>
      <c r="E102" s="143">
        <v>4</v>
      </c>
      <c r="F102">
        <v>-87.09</v>
      </c>
    </row>
    <row r="103" spans="1:6" x14ac:dyDescent="0.2">
      <c r="A103" t="s">
        <v>713</v>
      </c>
      <c r="B103" s="143">
        <v>2071</v>
      </c>
      <c r="C103" s="143">
        <v>1</v>
      </c>
      <c r="D103">
        <v>2.14</v>
      </c>
      <c r="E103" s="143">
        <v>4</v>
      </c>
      <c r="F103">
        <v>-517</v>
      </c>
    </row>
    <row r="104" spans="1:6" x14ac:dyDescent="0.2">
      <c r="A104" t="s">
        <v>713</v>
      </c>
      <c r="B104" s="143">
        <v>2125</v>
      </c>
      <c r="C104" s="143">
        <v>1</v>
      </c>
      <c r="D104">
        <v>2.14</v>
      </c>
      <c r="E104" s="143">
        <v>4</v>
      </c>
      <c r="F104">
        <v>-3285</v>
      </c>
    </row>
    <row r="105" spans="1:6" x14ac:dyDescent="0.2">
      <c r="A105" t="s">
        <v>713</v>
      </c>
      <c r="B105" s="143">
        <v>2135</v>
      </c>
      <c r="C105" s="143">
        <v>1</v>
      </c>
      <c r="D105">
        <v>2.14</v>
      </c>
      <c r="E105" s="143">
        <v>4</v>
      </c>
      <c r="F105">
        <v>-4241</v>
      </c>
    </row>
    <row r="106" spans="1:6" x14ac:dyDescent="0.2">
      <c r="A106" t="s">
        <v>713</v>
      </c>
      <c r="B106" s="143">
        <v>2137</v>
      </c>
      <c r="C106" s="143">
        <v>1</v>
      </c>
      <c r="D106">
        <v>2.14</v>
      </c>
      <c r="E106" s="143">
        <v>4</v>
      </c>
      <c r="F106">
        <v>-1634</v>
      </c>
    </row>
    <row r="107" spans="1:6" x14ac:dyDescent="0.2">
      <c r="A107" t="s">
        <v>713</v>
      </c>
      <c r="B107" s="143">
        <v>2143</v>
      </c>
      <c r="C107" s="143">
        <v>1</v>
      </c>
      <c r="D107">
        <v>2.14</v>
      </c>
      <c r="E107" s="143">
        <v>4</v>
      </c>
      <c r="F107">
        <v>-1530</v>
      </c>
    </row>
    <row r="108" spans="1:6" x14ac:dyDescent="0.2">
      <c r="A108" t="s">
        <v>713</v>
      </c>
      <c r="B108" s="143">
        <v>2144</v>
      </c>
      <c r="C108" s="143">
        <v>1</v>
      </c>
      <c r="D108">
        <v>2.14</v>
      </c>
      <c r="E108" s="143">
        <v>4</v>
      </c>
      <c r="F108">
        <v>-0.42</v>
      </c>
    </row>
    <row r="109" spans="1:6" x14ac:dyDescent="0.2">
      <c r="A109" t="s">
        <v>713</v>
      </c>
      <c r="B109" s="143">
        <v>2155</v>
      </c>
      <c r="C109" s="143">
        <v>1</v>
      </c>
      <c r="D109">
        <v>2.14</v>
      </c>
      <c r="E109" s="143">
        <v>4</v>
      </c>
      <c r="F109">
        <v>-28992.11</v>
      </c>
    </row>
    <row r="110" spans="1:6" x14ac:dyDescent="0.2">
      <c r="A110" t="s">
        <v>713</v>
      </c>
      <c r="B110" s="143">
        <v>2159</v>
      </c>
      <c r="C110" s="143">
        <v>1</v>
      </c>
      <c r="D110">
        <v>2.14</v>
      </c>
      <c r="E110" s="143">
        <v>4</v>
      </c>
      <c r="F110">
        <v>-1345.58</v>
      </c>
    </row>
    <row r="111" spans="1:6" x14ac:dyDescent="0.2">
      <c r="A111" t="s">
        <v>713</v>
      </c>
      <c r="B111" s="143">
        <v>2164</v>
      </c>
      <c r="C111" s="143">
        <v>1</v>
      </c>
      <c r="D111">
        <v>2.14</v>
      </c>
      <c r="E111" s="143">
        <v>4</v>
      </c>
      <c r="F111">
        <v>-1219</v>
      </c>
    </row>
    <row r="112" spans="1:6" x14ac:dyDescent="0.2">
      <c r="A112" t="s">
        <v>713</v>
      </c>
      <c r="B112" s="143">
        <v>2165</v>
      </c>
      <c r="C112" s="143">
        <v>1</v>
      </c>
      <c r="D112">
        <v>2.14</v>
      </c>
      <c r="E112" s="143">
        <v>4</v>
      </c>
      <c r="F112">
        <v>-2773.7</v>
      </c>
    </row>
    <row r="113" spans="1:6" x14ac:dyDescent="0.2">
      <c r="A113" t="s">
        <v>713</v>
      </c>
      <c r="B113" s="143">
        <v>2168</v>
      </c>
      <c r="C113" s="143">
        <v>1</v>
      </c>
      <c r="D113">
        <v>2.14</v>
      </c>
      <c r="E113" s="143">
        <v>4</v>
      </c>
      <c r="F113">
        <v>-575.04999999999995</v>
      </c>
    </row>
    <row r="114" spans="1:6" x14ac:dyDescent="0.2">
      <c r="A114" t="s">
        <v>713</v>
      </c>
      <c r="B114" s="143">
        <v>2172</v>
      </c>
      <c r="C114" s="143">
        <v>1</v>
      </c>
      <c r="D114">
        <v>2.14</v>
      </c>
      <c r="E114" s="143">
        <v>4</v>
      </c>
      <c r="F114">
        <v>-2779.06</v>
      </c>
    </row>
    <row r="115" spans="1:6" x14ac:dyDescent="0.2">
      <c r="A115" t="s">
        <v>713</v>
      </c>
      <c r="B115" s="143">
        <v>2190</v>
      </c>
      <c r="C115" s="143">
        <v>1</v>
      </c>
      <c r="D115">
        <v>2.14</v>
      </c>
      <c r="E115" s="143">
        <v>4</v>
      </c>
      <c r="F115">
        <v>-209.11</v>
      </c>
    </row>
    <row r="116" spans="1:6" x14ac:dyDescent="0.2">
      <c r="A116" t="s">
        <v>713</v>
      </c>
      <c r="B116" s="143">
        <v>2215</v>
      </c>
      <c r="C116" s="143">
        <v>1</v>
      </c>
      <c r="D116">
        <v>2.14</v>
      </c>
      <c r="E116" s="143">
        <v>4</v>
      </c>
      <c r="F116">
        <v>-864.21</v>
      </c>
    </row>
    <row r="117" spans="1:6" x14ac:dyDescent="0.2">
      <c r="A117" t="s">
        <v>713</v>
      </c>
      <c r="B117" s="143">
        <v>2310</v>
      </c>
      <c r="C117" s="143">
        <v>1</v>
      </c>
      <c r="D117">
        <v>2.14</v>
      </c>
      <c r="E117" s="143">
        <v>4</v>
      </c>
      <c r="F117">
        <v>-3253.91</v>
      </c>
    </row>
    <row r="118" spans="1:6" x14ac:dyDescent="0.2">
      <c r="A118" t="s">
        <v>713</v>
      </c>
      <c r="B118" s="143">
        <v>2365</v>
      </c>
      <c r="C118" s="143">
        <v>1</v>
      </c>
      <c r="D118">
        <v>2.14</v>
      </c>
      <c r="E118" s="143">
        <v>4</v>
      </c>
      <c r="F118">
        <v>-137.58000000000001</v>
      </c>
    </row>
    <row r="119" spans="1:6" x14ac:dyDescent="0.2">
      <c r="A119" t="s">
        <v>713</v>
      </c>
      <c r="B119" s="143">
        <v>2397</v>
      </c>
      <c r="C119" s="143">
        <v>1</v>
      </c>
      <c r="D119">
        <v>2.14</v>
      </c>
      <c r="E119" s="143">
        <v>4</v>
      </c>
      <c r="F119">
        <v>-1638</v>
      </c>
    </row>
    <row r="120" spans="1:6" x14ac:dyDescent="0.2">
      <c r="A120" t="s">
        <v>713</v>
      </c>
      <c r="B120" s="143">
        <v>2536</v>
      </c>
      <c r="C120" s="143">
        <v>1</v>
      </c>
      <c r="D120">
        <v>2.14</v>
      </c>
      <c r="E120" s="143">
        <v>4</v>
      </c>
      <c r="F120">
        <v>-112.04</v>
      </c>
    </row>
    <row r="121" spans="1:6" x14ac:dyDescent="0.2">
      <c r="A121" t="s">
        <v>713</v>
      </c>
      <c r="B121" s="143">
        <v>2687</v>
      </c>
      <c r="C121" s="143">
        <v>1</v>
      </c>
      <c r="D121">
        <v>2.14</v>
      </c>
      <c r="E121" s="143">
        <v>4</v>
      </c>
      <c r="F121">
        <v>-5410</v>
      </c>
    </row>
    <row r="122" spans="1:6" x14ac:dyDescent="0.2">
      <c r="A122" t="s">
        <v>713</v>
      </c>
      <c r="B122" s="143">
        <v>2689</v>
      </c>
      <c r="C122" s="143">
        <v>1</v>
      </c>
      <c r="D122">
        <v>2.14</v>
      </c>
      <c r="E122" s="143">
        <v>4</v>
      </c>
      <c r="F122">
        <v>-724.21</v>
      </c>
    </row>
    <row r="123" spans="1:6" x14ac:dyDescent="0.2">
      <c r="A123" t="s">
        <v>713</v>
      </c>
      <c r="B123" s="143">
        <v>2752</v>
      </c>
      <c r="C123" s="143">
        <v>1</v>
      </c>
      <c r="D123">
        <v>2.14</v>
      </c>
      <c r="E123" s="143">
        <v>4</v>
      </c>
      <c r="F123">
        <v>-2907.91</v>
      </c>
    </row>
    <row r="124" spans="1:6" x14ac:dyDescent="0.2">
      <c r="A124" t="s">
        <v>713</v>
      </c>
      <c r="B124" s="143">
        <v>2754</v>
      </c>
      <c r="C124" s="143">
        <v>1</v>
      </c>
      <c r="D124">
        <v>2.14</v>
      </c>
      <c r="E124" s="143">
        <v>4</v>
      </c>
      <c r="F124">
        <v>-633.67999999999995</v>
      </c>
    </row>
    <row r="125" spans="1:6" x14ac:dyDescent="0.2">
      <c r="A125" t="s">
        <v>713</v>
      </c>
      <c r="B125" s="143">
        <v>2759</v>
      </c>
      <c r="C125" s="143">
        <v>1</v>
      </c>
      <c r="D125">
        <v>2.14</v>
      </c>
      <c r="E125" s="143">
        <v>4</v>
      </c>
      <c r="F125">
        <v>-2813.56</v>
      </c>
    </row>
    <row r="126" spans="1:6" x14ac:dyDescent="0.2">
      <c r="A126" t="s">
        <v>713</v>
      </c>
      <c r="B126" s="143">
        <v>2805</v>
      </c>
      <c r="C126" s="143">
        <v>1</v>
      </c>
      <c r="D126">
        <v>2.14</v>
      </c>
      <c r="E126" s="143">
        <v>4</v>
      </c>
      <c r="F126">
        <v>-3821</v>
      </c>
    </row>
    <row r="127" spans="1:6" x14ac:dyDescent="0.2">
      <c r="A127" t="s">
        <v>713</v>
      </c>
      <c r="B127" s="143">
        <v>2835</v>
      </c>
      <c r="C127" s="143">
        <v>1</v>
      </c>
      <c r="D127">
        <v>2.14</v>
      </c>
      <c r="E127" s="143">
        <v>4</v>
      </c>
      <c r="F127">
        <v>-1305</v>
      </c>
    </row>
    <row r="128" spans="1:6" x14ac:dyDescent="0.2">
      <c r="A128" t="s">
        <v>713</v>
      </c>
      <c r="B128" s="143">
        <v>2853</v>
      </c>
      <c r="C128" s="143">
        <v>1</v>
      </c>
      <c r="D128">
        <v>2.14</v>
      </c>
      <c r="E128" s="143">
        <v>4</v>
      </c>
      <c r="F128">
        <v>-1470.58</v>
      </c>
    </row>
    <row r="129" spans="1:6" x14ac:dyDescent="0.2">
      <c r="A129" t="s">
        <v>713</v>
      </c>
      <c r="B129" s="143">
        <v>2854</v>
      </c>
      <c r="C129" s="143">
        <v>1</v>
      </c>
      <c r="D129">
        <v>2.14</v>
      </c>
      <c r="E129" s="143">
        <v>4</v>
      </c>
      <c r="F129">
        <v>-68.680000000000007</v>
      </c>
    </row>
    <row r="130" spans="1:6" x14ac:dyDescent="0.2">
      <c r="A130" t="s">
        <v>713</v>
      </c>
      <c r="B130" s="143">
        <v>2859</v>
      </c>
      <c r="C130" s="143">
        <v>1</v>
      </c>
      <c r="D130">
        <v>2.14</v>
      </c>
      <c r="E130" s="143">
        <v>4</v>
      </c>
      <c r="F130">
        <v>-5269</v>
      </c>
    </row>
    <row r="131" spans="1:6" x14ac:dyDescent="0.2">
      <c r="A131" t="s">
        <v>713</v>
      </c>
      <c r="B131" s="143">
        <v>2860</v>
      </c>
      <c r="C131" s="143">
        <v>1</v>
      </c>
      <c r="D131">
        <v>2.14</v>
      </c>
      <c r="E131" s="143">
        <v>4</v>
      </c>
      <c r="F131">
        <v>-5663</v>
      </c>
    </row>
    <row r="132" spans="1:6" x14ac:dyDescent="0.2">
      <c r="A132" t="s">
        <v>713</v>
      </c>
      <c r="B132" s="143">
        <v>2884</v>
      </c>
      <c r="C132" s="143">
        <v>1</v>
      </c>
      <c r="D132">
        <v>2.14</v>
      </c>
      <c r="E132" s="143">
        <v>4</v>
      </c>
      <c r="F132">
        <v>-85.51</v>
      </c>
    </row>
    <row r="133" spans="1:6" x14ac:dyDescent="0.2">
      <c r="A133" t="s">
        <v>713</v>
      </c>
      <c r="B133" s="143">
        <v>2890</v>
      </c>
      <c r="C133" s="143">
        <v>1</v>
      </c>
      <c r="D133">
        <v>2.14</v>
      </c>
      <c r="E133" s="143">
        <v>4</v>
      </c>
      <c r="F133">
        <v>-2160.6999999999998</v>
      </c>
    </row>
    <row r="134" spans="1:6" x14ac:dyDescent="0.2">
      <c r="A134" t="s">
        <v>713</v>
      </c>
      <c r="B134" s="143">
        <v>2897</v>
      </c>
      <c r="C134" s="143">
        <v>1</v>
      </c>
      <c r="D134">
        <v>2.14</v>
      </c>
      <c r="E134" s="143">
        <v>4</v>
      </c>
      <c r="F134">
        <v>-2113.92</v>
      </c>
    </row>
    <row r="135" spans="1:6" x14ac:dyDescent="0.2">
      <c r="A135" t="s">
        <v>713</v>
      </c>
      <c r="B135" s="143">
        <v>2899</v>
      </c>
      <c r="C135" s="143">
        <v>1</v>
      </c>
      <c r="D135">
        <v>2.14</v>
      </c>
      <c r="E135" s="143">
        <v>4</v>
      </c>
      <c r="F135">
        <v>-816</v>
      </c>
    </row>
    <row r="136" spans="1:6" x14ac:dyDescent="0.2">
      <c r="A136" t="s">
        <v>713</v>
      </c>
      <c r="B136" s="143">
        <v>2902</v>
      </c>
      <c r="C136" s="143">
        <v>1</v>
      </c>
      <c r="D136">
        <v>2.14</v>
      </c>
      <c r="E136" s="143">
        <v>4</v>
      </c>
      <c r="F136">
        <v>-903.09</v>
      </c>
    </row>
    <row r="137" spans="1:6" x14ac:dyDescent="0.2">
      <c r="A137" t="s">
        <v>713</v>
      </c>
      <c r="B137" s="143">
        <v>2903</v>
      </c>
      <c r="C137" s="143">
        <v>1</v>
      </c>
      <c r="D137">
        <v>2.14</v>
      </c>
      <c r="E137" s="143">
        <v>4</v>
      </c>
      <c r="F137">
        <v>-3550</v>
      </c>
    </row>
    <row r="138" spans="1:6" x14ac:dyDescent="0.2">
      <c r="A138" t="s">
        <v>713</v>
      </c>
      <c r="B138" s="143">
        <v>2904</v>
      </c>
      <c r="C138" s="143">
        <v>1</v>
      </c>
      <c r="D138">
        <v>2.14</v>
      </c>
      <c r="E138" s="143">
        <v>4</v>
      </c>
      <c r="F138">
        <v>-852.46</v>
      </c>
    </row>
    <row r="140" spans="1:6" x14ac:dyDescent="0.2">
      <c r="F140">
        <f>SUM(F4:F139)</f>
        <v>-559570.82000000007</v>
      </c>
    </row>
  </sheetData>
  <phoneticPr fontId="2"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24</vt:i4>
      </vt:variant>
    </vt:vector>
  </HeadingPairs>
  <TitlesOfParts>
    <vt:vector size="39" baseType="lpstr">
      <vt:lpstr>Instructions</vt:lpstr>
      <vt:lpstr>Report</vt:lpstr>
      <vt:lpstr>Funds</vt:lpstr>
      <vt:lpstr>Accounts</vt:lpstr>
      <vt:lpstr>Entries</vt:lpstr>
      <vt:lpstr>Aid Adjust</vt:lpstr>
      <vt:lpstr>Shift11</vt:lpstr>
      <vt:lpstr>Data</vt:lpstr>
      <vt:lpstr>Shift10</vt:lpstr>
      <vt:lpstr>Levy</vt:lpstr>
      <vt:lpstr>Credits</vt:lpstr>
      <vt:lpstr>Receipts</vt:lpstr>
      <vt:lpstr>Ideas</vt:lpstr>
      <vt:lpstr>Query1</vt:lpstr>
      <vt:lpstr>Query4</vt:lpstr>
      <vt:lpstr>Aid</vt:lpstr>
      <vt:lpstr>Credits!Ideas</vt:lpstr>
      <vt:lpstr>Levy!Ideas</vt:lpstr>
      <vt:lpstr>Ideas</vt:lpstr>
      <vt:lpstr>Credits!Print_Area</vt:lpstr>
      <vt:lpstr>Instructions!Print_Area</vt:lpstr>
      <vt:lpstr>Levy!Print_Area</vt:lpstr>
      <vt:lpstr>Accounts!Print_Titles</vt:lpstr>
      <vt:lpstr>'Aid Adjust'!Print_Titles</vt:lpstr>
      <vt:lpstr>Credits!Print_Titles</vt:lpstr>
      <vt:lpstr>Data!Print_Titles</vt:lpstr>
      <vt:lpstr>Entries!Print_Titles</vt:lpstr>
      <vt:lpstr>Ideas!Print_Titles</vt:lpstr>
      <vt:lpstr>Levy!Print_Titles</vt:lpstr>
      <vt:lpstr>Query1!Print_Titles</vt:lpstr>
      <vt:lpstr>Query4!Print_Titles</vt:lpstr>
      <vt:lpstr>Receipts!Print_Titles</vt:lpstr>
      <vt:lpstr>Shift10!Print_Titles</vt:lpstr>
      <vt:lpstr>Shift11!Print_Titles</vt:lpstr>
      <vt:lpstr>Query1!Query_from_Databridge</vt:lpstr>
      <vt:lpstr>Query4!Query_from_Databridge</vt:lpstr>
      <vt:lpstr>Receipts!Shift05</vt:lpstr>
      <vt:lpstr>ShiftCY</vt:lpstr>
      <vt:lpstr>ShiftPY</vt:lpstr>
    </vt:vector>
  </TitlesOfParts>
  <Company>State of Minnesota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Audrey</dc:creator>
  <cp:lastModifiedBy>Kostelecky, Teri</cp:lastModifiedBy>
  <cp:lastPrinted>2012-07-06T21:31:41Z</cp:lastPrinted>
  <dcterms:created xsi:type="dcterms:W3CDTF">2004-01-23T01:17:39Z</dcterms:created>
  <dcterms:modified xsi:type="dcterms:W3CDTF">2012-07-26T14:00:32Z</dcterms:modified>
</cp:coreProperties>
</file>