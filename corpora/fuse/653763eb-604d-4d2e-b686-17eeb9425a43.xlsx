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activeTab="4"/>
  </bookViews>
  <sheets>
    <sheet name="Information" sheetId="5" r:id="rId1"/>
    <sheet name="Concerns" sheetId="4" r:id="rId2"/>
    <sheet name="Premiums" sheetId="2" r:id="rId3"/>
    <sheet name="Basic" sheetId="1" r:id="rId4"/>
    <sheet name="Diagnostics" sheetId="3" r:id="rId5"/>
  </sheets>
  <calcPr calcId="125725"/>
</workbook>
</file>

<file path=xl/calcChain.xml><?xml version="1.0" encoding="utf-8"?>
<calcChain xmlns="http://schemas.openxmlformats.org/spreadsheetml/2006/main">
  <c r="B79" i="3"/>
  <c r="C78"/>
  <c r="B78"/>
  <c r="D77"/>
  <c r="C77"/>
  <c r="B77"/>
  <c r="E76"/>
  <c r="D76"/>
  <c r="C76"/>
  <c r="B76"/>
  <c r="F75"/>
  <c r="E75"/>
  <c r="D75"/>
  <c r="C75"/>
  <c r="B75"/>
  <c r="G74"/>
  <c r="F74"/>
  <c r="E74"/>
  <c r="D74"/>
  <c r="C74"/>
  <c r="B74"/>
  <c r="H73"/>
  <c r="G73"/>
  <c r="F73"/>
  <c r="E73"/>
  <c r="D73"/>
  <c r="C73"/>
  <c r="B73"/>
  <c r="A75"/>
  <c r="A76" s="1"/>
  <c r="A77" s="1"/>
  <c r="A78" s="1"/>
  <c r="A79" s="1"/>
  <c r="A74"/>
  <c r="C72"/>
  <c r="D72" s="1"/>
  <c r="E72" s="1"/>
  <c r="F72" s="1"/>
  <c r="G72" s="1"/>
  <c r="H72" s="1"/>
  <c r="B63"/>
  <c r="B69"/>
  <c r="C68"/>
  <c r="B68"/>
  <c r="D67"/>
  <c r="C67"/>
  <c r="B67"/>
  <c r="E66"/>
  <c r="D66"/>
  <c r="C66"/>
  <c r="B66"/>
  <c r="F65"/>
  <c r="E65"/>
  <c r="D65"/>
  <c r="C65"/>
  <c r="B65"/>
  <c r="G64"/>
  <c r="F64"/>
  <c r="E64"/>
  <c r="D64"/>
  <c r="C64"/>
  <c r="B64"/>
  <c r="A64"/>
  <c r="A65" s="1"/>
  <c r="A66" s="1"/>
  <c r="A67" s="1"/>
  <c r="A68" s="1"/>
  <c r="A69" s="1"/>
  <c r="H63"/>
  <c r="G63"/>
  <c r="F63"/>
  <c r="E63"/>
  <c r="D63"/>
  <c r="C63"/>
  <c r="C62"/>
  <c r="D62" s="1"/>
  <c r="E62" s="1"/>
  <c r="F62" s="1"/>
  <c r="G62" s="1"/>
  <c r="H62" s="1"/>
  <c r="B59"/>
  <c r="C58"/>
  <c r="B58"/>
  <c r="D57"/>
  <c r="C57"/>
  <c r="B57"/>
  <c r="E56"/>
  <c r="D56"/>
  <c r="C56"/>
  <c r="B56"/>
  <c r="F55"/>
  <c r="E55"/>
  <c r="D55"/>
  <c r="C55"/>
  <c r="B55"/>
  <c r="G54"/>
  <c r="F54"/>
  <c r="E54"/>
  <c r="D54"/>
  <c r="C54"/>
  <c r="B54"/>
  <c r="H53"/>
  <c r="G53"/>
  <c r="F53"/>
  <c r="E53"/>
  <c r="D53"/>
  <c r="C53"/>
  <c r="B53"/>
  <c r="A54"/>
  <c r="A55" s="1"/>
  <c r="A56" s="1"/>
  <c r="A57" s="1"/>
  <c r="A58" s="1"/>
  <c r="A59" s="1"/>
  <c r="D52"/>
  <c r="E52" s="1"/>
  <c r="F52" s="1"/>
  <c r="G52" s="1"/>
  <c r="H52" s="1"/>
  <c r="C52"/>
  <c r="B49"/>
  <c r="C48"/>
  <c r="B48"/>
  <c r="D47"/>
  <c r="C47"/>
  <c r="B47"/>
  <c r="E46"/>
  <c r="D46"/>
  <c r="C46"/>
  <c r="B46"/>
  <c r="F45"/>
  <c r="E45"/>
  <c r="D45"/>
  <c r="C45"/>
  <c r="B45"/>
  <c r="G44"/>
  <c r="F44"/>
  <c r="E44"/>
  <c r="D44"/>
  <c r="C44"/>
  <c r="B44"/>
  <c r="H43"/>
  <c r="G43"/>
  <c r="F43"/>
  <c r="E43"/>
  <c r="D43"/>
  <c r="C43"/>
  <c r="B43"/>
  <c r="A45"/>
  <c r="A46" s="1"/>
  <c r="A47" s="1"/>
  <c r="A48" s="1"/>
  <c r="A49" s="1"/>
  <c r="A44"/>
  <c r="C42"/>
  <c r="D42" s="1"/>
  <c r="E42" s="1"/>
  <c r="F42" s="1"/>
  <c r="G42" s="1"/>
  <c r="H42" s="1"/>
  <c r="H33" i="4"/>
  <c r="H29"/>
  <c r="H32"/>
  <c r="H31"/>
  <c r="H28"/>
  <c r="H27"/>
  <c r="A34" i="1"/>
  <c r="A35" s="1"/>
  <c r="A36" s="1"/>
  <c r="A37" s="1"/>
  <c r="A38" s="1"/>
  <c r="A39" s="1"/>
  <c r="C32"/>
  <c r="D32" s="1"/>
  <c r="E32" s="1"/>
  <c r="F32" s="1"/>
  <c r="G32" s="1"/>
  <c r="H32" s="1"/>
  <c r="A26"/>
  <c r="A27" s="1"/>
  <c r="A28" s="1"/>
  <c r="A29" s="1"/>
  <c r="A25"/>
  <c r="A24"/>
  <c r="E22"/>
  <c r="F22" s="1"/>
  <c r="G22" s="1"/>
  <c r="H22" s="1"/>
  <c r="D22"/>
  <c r="C22"/>
  <c r="C22" i="3"/>
  <c r="D22" s="1"/>
  <c r="E22" s="1"/>
  <c r="F22" s="1"/>
  <c r="G22" s="1"/>
  <c r="H22" s="1"/>
  <c r="B23"/>
  <c r="C23"/>
  <c r="D23"/>
  <c r="E23"/>
  <c r="F23"/>
  <c r="G23"/>
  <c r="H23"/>
  <c r="A24"/>
  <c r="B24"/>
  <c r="C24"/>
  <c r="D24"/>
  <c r="E24"/>
  <c r="F24"/>
  <c r="G24"/>
  <c r="A25"/>
  <c r="B25"/>
  <c r="C25"/>
  <c r="D25"/>
  <c r="E25"/>
  <c r="F25"/>
  <c r="A26"/>
  <c r="A27" s="1"/>
  <c r="A28" s="1"/>
  <c r="A29" s="1"/>
  <c r="B26"/>
  <c r="C26"/>
  <c r="D26"/>
  <c r="E26"/>
  <c r="B27"/>
  <c r="C27"/>
  <c r="D27"/>
  <c r="B28"/>
  <c r="C28"/>
  <c r="B29"/>
  <c r="B33"/>
  <c r="B39"/>
  <c r="C38"/>
  <c r="B38"/>
  <c r="D37"/>
  <c r="C37"/>
  <c r="B37"/>
  <c r="E36"/>
  <c r="D36"/>
  <c r="C36"/>
  <c r="B36"/>
  <c r="F35"/>
  <c r="E35"/>
  <c r="D35"/>
  <c r="C35"/>
  <c r="B35"/>
  <c r="G34"/>
  <c r="F34"/>
  <c r="E34"/>
  <c r="D34"/>
  <c r="C34"/>
  <c r="B34"/>
  <c r="H33"/>
  <c r="G33"/>
  <c r="F33"/>
  <c r="E33"/>
  <c r="D33"/>
  <c r="C33"/>
  <c r="A35"/>
  <c r="A36" s="1"/>
  <c r="A37" s="1"/>
  <c r="A38" s="1"/>
  <c r="A39" s="1"/>
  <c r="A34"/>
  <c r="C32"/>
  <c r="D32" s="1"/>
  <c r="E32" s="1"/>
  <c r="F32" s="1"/>
  <c r="G32" s="1"/>
  <c r="H32" s="1"/>
  <c r="D41" i="4"/>
  <c r="D40"/>
  <c r="C40"/>
  <c r="C41"/>
  <c r="F10" i="2"/>
  <c r="F9"/>
  <c r="F8"/>
  <c r="F7"/>
  <c r="F6"/>
  <c r="F5"/>
  <c r="C18" i="3"/>
  <c r="B18"/>
  <c r="D17"/>
  <c r="C17"/>
  <c r="B17"/>
  <c r="E16"/>
  <c r="D16"/>
  <c r="C16"/>
  <c r="B16"/>
  <c r="F15"/>
  <c r="E15"/>
  <c r="D15"/>
  <c r="C15"/>
  <c r="B15"/>
  <c r="G14"/>
  <c r="F14"/>
  <c r="E14"/>
  <c r="D14"/>
  <c r="C14"/>
  <c r="B14"/>
  <c r="H13"/>
  <c r="G13"/>
  <c r="F13"/>
  <c r="E13"/>
  <c r="D13"/>
  <c r="C13"/>
  <c r="B19"/>
  <c r="B13"/>
  <c r="A14"/>
  <c r="A15" s="1"/>
  <c r="A16" s="1"/>
  <c r="A17" s="1"/>
  <c r="A18" s="1"/>
  <c r="A19" s="1"/>
  <c r="D12"/>
  <c r="E12" s="1"/>
  <c r="F12" s="1"/>
  <c r="G12" s="1"/>
  <c r="H12" s="1"/>
  <c r="C12"/>
  <c r="B9"/>
  <c r="C8"/>
  <c r="B8"/>
  <c r="D7"/>
  <c r="C7"/>
  <c r="B7"/>
  <c r="E6"/>
  <c r="D6"/>
  <c r="C6"/>
  <c r="B6"/>
  <c r="F5"/>
  <c r="E5"/>
  <c r="D5"/>
  <c r="C5"/>
  <c r="B5"/>
  <c r="G4"/>
  <c r="F4"/>
  <c r="E4"/>
  <c r="D4"/>
  <c r="C4"/>
  <c r="B4"/>
  <c r="H3"/>
  <c r="G3"/>
  <c r="F3"/>
  <c r="E3"/>
  <c r="D3"/>
  <c r="C3"/>
  <c r="B3"/>
  <c r="A4"/>
  <c r="A5" s="1"/>
  <c r="A6" s="1"/>
  <c r="A7" s="1"/>
  <c r="A8" s="1"/>
  <c r="A9" s="1"/>
  <c r="C2"/>
  <c r="D2" s="1"/>
  <c r="E2" s="1"/>
  <c r="F2" s="1"/>
  <c r="G2" s="1"/>
  <c r="H2" s="1"/>
  <c r="E6" i="2"/>
  <c r="E7"/>
  <c r="E8"/>
  <c r="E9"/>
  <c r="E10"/>
  <c r="E5"/>
  <c r="D7"/>
  <c r="D8" s="1"/>
  <c r="D9" s="1"/>
  <c r="D10" s="1"/>
  <c r="D6"/>
  <c r="D5"/>
  <c r="A6"/>
  <c r="A7" s="1"/>
  <c r="A8" s="1"/>
  <c r="A9" s="1"/>
  <c r="A10" s="1"/>
  <c r="A5"/>
  <c r="A14" i="1"/>
  <c r="A15" s="1"/>
  <c r="A16" s="1"/>
  <c r="A17" s="1"/>
  <c r="A18" s="1"/>
  <c r="A19" s="1"/>
  <c r="C12"/>
  <c r="D12" s="1"/>
  <c r="E12" s="1"/>
  <c r="F12" s="1"/>
  <c r="G12" s="1"/>
  <c r="H12" s="1"/>
  <c r="C2"/>
  <c r="D2" s="1"/>
  <c r="E2" s="1"/>
  <c r="F2" s="1"/>
  <c r="G2" s="1"/>
  <c r="H2" s="1"/>
  <c r="A5"/>
  <c r="A6" s="1"/>
  <c r="A7" s="1"/>
  <c r="A8" s="1"/>
  <c r="A9" s="1"/>
  <c r="A4"/>
</calcChain>
</file>

<file path=xl/sharedStrings.xml><?xml version="1.0" encoding="utf-8"?>
<sst xmlns="http://schemas.openxmlformats.org/spreadsheetml/2006/main" count="94" uniqueCount="75">
  <si>
    <t>AY</t>
  </si>
  <si>
    <t>Table 2 - Reported Claim Development Triangle ($000)</t>
  </si>
  <si>
    <t>Table 3 - Paid Claim Development Triangle ($000)</t>
  </si>
  <si>
    <t>Table 1 - Summary of Earned Premium and Rate Changes</t>
  </si>
  <si>
    <t>CY</t>
  </si>
  <si>
    <t>EP</t>
  </si>
  <si>
    <t>Rate</t>
  </si>
  <si>
    <t>Change</t>
  </si>
  <si>
    <t>Cumul Avg</t>
  </si>
  <si>
    <t>Rate Level</t>
  </si>
  <si>
    <t>Annual</t>
  </si>
  <si>
    <t>Exp. Chg</t>
  </si>
  <si>
    <t>Table 4 - Ratio of Reported Claims to Earned Premium</t>
  </si>
  <si>
    <t>Table 5 - Ratio of Reported Claims to On-Level Earned Premium</t>
  </si>
  <si>
    <t>What happened in AY 2003?</t>
  </si>
  <si>
    <t>7.7% increase in exposures.</t>
  </si>
  <si>
    <t>Lower paid and reported at these periods is strange.</t>
  </si>
  <si>
    <t>What is driving this?</t>
  </si>
  <si>
    <t>Change in systems processing?</t>
  </si>
  <si>
    <t>Unusually good loss experience?</t>
  </si>
  <si>
    <t>Both down 25% from prior AY</t>
  </si>
  <si>
    <t>Prem Chg</t>
  </si>
  <si>
    <t>Spike in earned premium (and exposures)</t>
  </si>
  <si>
    <t>Larger spike in paid losses</t>
  </si>
  <si>
    <t>Huge spike in reported losses</t>
  </si>
  <si>
    <t>Large loss activity?</t>
  </si>
  <si>
    <t>More claim counts?</t>
  </si>
  <si>
    <t>Change in reserve adequacy at 12/31/2005 valuation?</t>
  </si>
  <si>
    <t>What happened in AY 2005 and 2006?</t>
  </si>
  <si>
    <t>Reported losses are unusually high at 12 months.</t>
  </si>
  <si>
    <t>Changes in senior management in the Claims department.</t>
  </si>
  <si>
    <t>Priority set to maintain adequate case outstanding.</t>
  </si>
  <si>
    <t>Management says that strength of current case outstanding is much greater than prior years.</t>
  </si>
  <si>
    <t>New information systems implementing during last 3 years have sped up reporting and settlement process.</t>
  </si>
  <si>
    <t>Tort reforms - management is reducing presence in this geographic area</t>
  </si>
  <si>
    <t>Rept/EP</t>
  </si>
  <si>
    <t>Large after 24 months</t>
  </si>
  <si>
    <t>Check premium growth</t>
  </si>
  <si>
    <t>Premium</t>
  </si>
  <si>
    <t>Paid</t>
  </si>
  <si>
    <t>Reported</t>
  </si>
  <si>
    <t>Severity</t>
  </si>
  <si>
    <t>Counts</t>
  </si>
  <si>
    <t>Rsv/Open</t>
  </si>
  <si>
    <t>Low at 12 and 24 month valuations</t>
  </si>
  <si>
    <t>Check exposure growth</t>
  </si>
  <si>
    <t>Exposures</t>
  </si>
  <si>
    <t>Paid &amp; Rept</t>
  </si>
  <si>
    <t>Counts &amp; Avgs</t>
  </si>
  <si>
    <t>What happened in AY 2004?</t>
  </si>
  <si>
    <t>2004-2005</t>
  </si>
  <si>
    <t>2004-2006</t>
  </si>
  <si>
    <t>Tort Reform?</t>
  </si>
  <si>
    <t>Observe 24 month valuation</t>
  </si>
  <si>
    <t>Higher reported and paid</t>
  </si>
  <si>
    <t>Exposures also increasing between 2004 and 2005</t>
  </si>
  <si>
    <t>Dropping levels of exposures, reported, and paids after 2005.</t>
  </si>
  <si>
    <t>Table 6 - Ratio of Paid Claims-to-Reported Claims</t>
  </si>
  <si>
    <t>Table 7 - Ratio of Cumulative Paid Claims to On-Level Earned Premium</t>
  </si>
  <si>
    <t>Table 8 - Reported Claim Count Development Triangle</t>
  </si>
  <si>
    <t>Table 9 - Closed Claim Count Development Triangle (Excludes closed non-pay (CNP))</t>
  </si>
  <si>
    <t>Rept'd Count</t>
  </si>
  <si>
    <t>Reported count change 03 to 04 at 12:</t>
  </si>
  <si>
    <t>Closed count change 03 to 04 at 12:</t>
  </si>
  <si>
    <t>Reported count change 03 to 04 at 24:</t>
  </si>
  <si>
    <t>Closed count change 03 to 04 at 24:</t>
  </si>
  <si>
    <t>Reported claim change 03 to 04 at 12:</t>
  </si>
  <si>
    <t>Reported claim change 03 to 04 at 24:</t>
  </si>
  <si>
    <t>Why are claims increasing so much more</t>
  </si>
  <si>
    <t>than the number of claims?  Could it be</t>
  </si>
  <si>
    <t>due to large losses?</t>
  </si>
  <si>
    <t>Table 10 - Ratio of Closed-to-Reported Claim Counts</t>
  </si>
  <si>
    <t>Table 12 - Average Reported Claim Development Table</t>
  </si>
  <si>
    <t>Table 13 - Average Paid Claim Development Table</t>
  </si>
  <si>
    <t>Table 14 - Average Case Outstanding Devlopment Triangle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</si>
</sst>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_);_(* \(#,##0.00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165" fontId="0" fillId="0" borderId="0" xfId="2" applyNumberFormat="1" applyFont="1"/>
    <xf numFmtId="165" fontId="0" fillId="0" borderId="0" xfId="0" applyNumberFormat="1"/>
    <xf numFmtId="166" fontId="0" fillId="0" borderId="0" xfId="1" applyNumberFormat="1" applyFont="1"/>
    <xf numFmtId="0" fontId="0" fillId="4" borderId="0" xfId="0" applyFill="1"/>
    <xf numFmtId="0" fontId="2" fillId="2" borderId="0" xfId="0" applyFont="1" applyFill="1"/>
    <xf numFmtId="166" fontId="2" fillId="2" borderId="0" xfId="1" applyNumberFormat="1" applyFont="1" applyFill="1"/>
    <xf numFmtId="165" fontId="2" fillId="2" borderId="0" xfId="2" applyNumberFormat="1" applyFont="1" applyFill="1"/>
    <xf numFmtId="0" fontId="2" fillId="3" borderId="0" xfId="0" applyFont="1" applyFill="1"/>
    <xf numFmtId="166" fontId="2" fillId="3" borderId="0" xfId="1" applyNumberFormat="1" applyFont="1" applyFill="1"/>
    <xf numFmtId="0" fontId="2" fillId="4" borderId="0" xfId="0" applyFont="1" applyFill="1"/>
    <xf numFmtId="9" fontId="0" fillId="0" borderId="0" xfId="2" applyFont="1"/>
    <xf numFmtId="9" fontId="0" fillId="0" borderId="0" xfId="2" applyNumberFormat="1" applyFont="1"/>
    <xf numFmtId="16" fontId="0" fillId="0" borderId="0" xfId="0" applyNumberFormat="1" applyAlignment="1">
      <alignment horizontal="center"/>
    </xf>
    <xf numFmtId="164" fontId="2" fillId="4" borderId="0" xfId="1" applyNumberFormat="1" applyFont="1" applyFill="1"/>
    <xf numFmtId="164" fontId="3" fillId="0" borderId="0" xfId="1" applyNumberFormat="1" applyFont="1" applyFill="1"/>
    <xf numFmtId="9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10"/>
  <sheetViews>
    <sheetView workbookViewId="0">
      <selection activeCell="A2" sqref="A2"/>
    </sheetView>
  </sheetViews>
  <sheetFormatPr defaultRowHeight="15"/>
  <sheetData>
    <row r="2" spans="1:1">
      <c r="A2" t="s">
        <v>30</v>
      </c>
    </row>
    <row r="4" spans="1:1">
      <c r="A4" t="s">
        <v>31</v>
      </c>
    </row>
    <row r="6" spans="1:1">
      <c r="A6" t="s">
        <v>32</v>
      </c>
    </row>
    <row r="8" spans="1:1">
      <c r="A8" t="s">
        <v>33</v>
      </c>
    </row>
    <row r="10" spans="1:1">
      <c r="A1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selection activeCell="J34" sqref="J34"/>
    </sheetView>
  </sheetViews>
  <sheetFormatPr defaultRowHeight="15"/>
  <cols>
    <col min="2" max="2" width="12.28515625" customWidth="1"/>
    <col min="3" max="3" width="13.42578125" customWidth="1"/>
  </cols>
  <sheetData>
    <row r="1" spans="1:5" s="7" customFormat="1">
      <c r="A1" s="7" t="s">
        <v>14</v>
      </c>
    </row>
    <row r="2" spans="1:5">
      <c r="A2" t="s">
        <v>35</v>
      </c>
      <c r="B2" t="s">
        <v>44</v>
      </c>
    </row>
    <row r="4" spans="1:5">
      <c r="B4" t="s">
        <v>46</v>
      </c>
      <c r="C4" t="s">
        <v>45</v>
      </c>
    </row>
    <row r="5" spans="1:5">
      <c r="D5" t="s">
        <v>15</v>
      </c>
    </row>
    <row r="7" spans="1:5">
      <c r="B7" t="s">
        <v>47</v>
      </c>
      <c r="C7" t="s">
        <v>16</v>
      </c>
    </row>
    <row r="8" spans="1:5">
      <c r="B8" t="s">
        <v>42</v>
      </c>
      <c r="D8" t="s">
        <v>18</v>
      </c>
    </row>
    <row r="9" spans="1:5">
      <c r="B9" t="s">
        <v>48</v>
      </c>
      <c r="D9" t="s">
        <v>19</v>
      </c>
    </row>
    <row r="10" spans="1:5">
      <c r="E10" t="s">
        <v>20</v>
      </c>
    </row>
    <row r="12" spans="1:5" s="10" customFormat="1">
      <c r="A12" s="10" t="s">
        <v>49</v>
      </c>
    </row>
    <row r="13" spans="1:5">
      <c r="A13" t="s">
        <v>35</v>
      </c>
      <c r="B13" t="s">
        <v>36</v>
      </c>
    </row>
    <row r="15" spans="1:5">
      <c r="B15" t="s">
        <v>38</v>
      </c>
      <c r="C15" t="s">
        <v>37</v>
      </c>
    </row>
    <row r="17" spans="2:10">
      <c r="B17" t="s">
        <v>38</v>
      </c>
      <c r="C17" t="s">
        <v>22</v>
      </c>
    </row>
    <row r="18" spans="2:10">
      <c r="B18" t="s">
        <v>39</v>
      </c>
      <c r="C18" t="s">
        <v>23</v>
      </c>
    </row>
    <row r="19" spans="2:10">
      <c r="B19" t="s">
        <v>40</v>
      </c>
      <c r="C19" t="s">
        <v>24</v>
      </c>
    </row>
    <row r="21" spans="2:10">
      <c r="D21" t="s">
        <v>17</v>
      </c>
    </row>
    <row r="23" spans="2:10">
      <c r="B23" t="s">
        <v>41</v>
      </c>
      <c r="E23" t="s">
        <v>25</v>
      </c>
    </row>
    <row r="24" spans="2:10">
      <c r="B24" t="s">
        <v>42</v>
      </c>
      <c r="E24" t="s">
        <v>26</v>
      </c>
    </row>
    <row r="25" spans="2:10">
      <c r="B25" t="s">
        <v>43</v>
      </c>
      <c r="E25" t="s">
        <v>27</v>
      </c>
    </row>
    <row r="27" spans="2:10">
      <c r="B27" t="s">
        <v>61</v>
      </c>
      <c r="D27" t="s">
        <v>62</v>
      </c>
      <c r="H27" s="14">
        <f>Basic!B25/Basic!B24-1</f>
        <v>0.4071376547705754</v>
      </c>
    </row>
    <row r="28" spans="2:10">
      <c r="D28" t="s">
        <v>63</v>
      </c>
      <c r="H28" s="14">
        <f>Basic!B35/Basic!B34-1</f>
        <v>0.29834254143646399</v>
      </c>
    </row>
    <row r="29" spans="2:10">
      <c r="D29" t="s">
        <v>66</v>
      </c>
      <c r="H29" s="14">
        <f>Basic!B5/Basic!B4-1</f>
        <v>0.76095741373950876</v>
      </c>
    </row>
    <row r="30" spans="2:10">
      <c r="H30" s="18"/>
    </row>
    <row r="31" spans="2:10">
      <c r="D31" t="s">
        <v>64</v>
      </c>
      <c r="H31" s="14">
        <f>Basic!C25/Basic!C24-1</f>
        <v>0.34158415841584167</v>
      </c>
      <c r="J31" t="s">
        <v>68</v>
      </c>
    </row>
    <row r="32" spans="2:10">
      <c r="D32" t="s">
        <v>65</v>
      </c>
      <c r="H32" s="14">
        <f>Basic!C35/Basic!C34-1</f>
        <v>0.38110749185667747</v>
      </c>
      <c r="J32" t="s">
        <v>69</v>
      </c>
    </row>
    <row r="33" spans="1:10">
      <c r="D33" t="s">
        <v>67</v>
      </c>
      <c r="H33" s="13">
        <f>Basic!C15/Basic!C14-1</f>
        <v>0.58621794871794863</v>
      </c>
      <c r="J33" t="s">
        <v>70</v>
      </c>
    </row>
    <row r="35" spans="1:10" s="6" customFormat="1">
      <c r="A35" s="12" t="s">
        <v>28</v>
      </c>
    </row>
    <row r="36" spans="1:10">
      <c r="B36" t="s">
        <v>29</v>
      </c>
    </row>
    <row r="37" spans="1:10">
      <c r="B37" t="s">
        <v>55</v>
      </c>
    </row>
    <row r="39" spans="1:10">
      <c r="C39" s="15" t="s">
        <v>50</v>
      </c>
      <c r="D39" s="2" t="s">
        <v>51</v>
      </c>
    </row>
    <row r="40" spans="1:10">
      <c r="B40" t="s">
        <v>46</v>
      </c>
      <c r="C40" s="14">
        <f>Premiums!E7</f>
        <v>0.20951354531549993</v>
      </c>
      <c r="D40" s="14">
        <f>(Premiums!B8/Premiums!B6)/((1+Premiums!C8)*(1+Premiums!C7))-1</f>
        <v>-0.14377582778033471</v>
      </c>
    </row>
    <row r="41" spans="1:10">
      <c r="B41" t="s">
        <v>40</v>
      </c>
      <c r="C41" s="14">
        <f>Basic!B6/Basic!B5-1</f>
        <v>0.68720211827007938</v>
      </c>
      <c r="D41" s="14">
        <f>Basic!B7/Basic!B5-1</f>
        <v>0.59258605472197701</v>
      </c>
    </row>
    <row r="43" spans="1:10">
      <c r="C43" t="s">
        <v>52</v>
      </c>
    </row>
    <row r="44" spans="1:10">
      <c r="B44" t="s">
        <v>40</v>
      </c>
      <c r="D44" t="s">
        <v>53</v>
      </c>
    </row>
    <row r="45" spans="1:10">
      <c r="B45" t="s">
        <v>39</v>
      </c>
      <c r="D45" t="s">
        <v>54</v>
      </c>
    </row>
    <row r="47" spans="1:10">
      <c r="B4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selection activeCell="B8" sqref="B8"/>
    </sheetView>
  </sheetViews>
  <sheetFormatPr defaultRowHeight="15"/>
  <cols>
    <col min="2" max="2" width="11.5703125" bestFit="1" customWidth="1"/>
    <col min="4" max="4" width="14" bestFit="1" customWidth="1"/>
  </cols>
  <sheetData>
    <row r="1" spans="1:6">
      <c r="A1" t="s">
        <v>3</v>
      </c>
    </row>
    <row r="2" spans="1:6">
      <c r="A2" s="2"/>
      <c r="B2" s="2"/>
      <c r="C2" s="2" t="s">
        <v>6</v>
      </c>
      <c r="D2" s="2" t="s">
        <v>8</v>
      </c>
      <c r="E2" s="2" t="s">
        <v>10</v>
      </c>
      <c r="F2" s="2" t="s">
        <v>10</v>
      </c>
    </row>
    <row r="3" spans="1:6">
      <c r="A3" s="2" t="s">
        <v>4</v>
      </c>
      <c r="B3" s="2" t="s">
        <v>5</v>
      </c>
      <c r="C3" s="2" t="s">
        <v>7</v>
      </c>
      <c r="D3" s="2" t="s">
        <v>9</v>
      </c>
      <c r="E3" s="2" t="s">
        <v>11</v>
      </c>
      <c r="F3" s="2" t="s">
        <v>21</v>
      </c>
    </row>
    <row r="4" spans="1:6">
      <c r="A4">
        <v>2002</v>
      </c>
      <c r="B4" s="1">
        <v>61183</v>
      </c>
      <c r="D4" s="3">
        <v>0</v>
      </c>
    </row>
    <row r="5" spans="1:6">
      <c r="A5">
        <f>A4+1</f>
        <v>2003</v>
      </c>
      <c r="B5" s="1">
        <v>69175</v>
      </c>
      <c r="C5" s="3">
        <v>0.05</v>
      </c>
      <c r="D5" s="4">
        <f>(1+C5)-1</f>
        <v>5.0000000000000044E-2</v>
      </c>
      <c r="E5" s="9">
        <f>(B5/B4)/(1+C5)-1</f>
        <v>7.678525703140382E-2</v>
      </c>
      <c r="F5" s="3">
        <f>B5/B4-1</f>
        <v>0.13062451988297408</v>
      </c>
    </row>
    <row r="6" spans="1:6">
      <c r="A6">
        <f t="shared" ref="A6:A10" si="0">A5+1</f>
        <v>2004</v>
      </c>
      <c r="B6" s="1">
        <v>99322</v>
      </c>
      <c r="C6" s="3">
        <v>7.4999999999999997E-2</v>
      </c>
      <c r="D6" s="3">
        <f>(1+D5)*(1+C6)-1</f>
        <v>0.12874999999999992</v>
      </c>
      <c r="E6" s="3">
        <f t="shared" ref="E6:E10" si="1">(B6/B5)/(1+C6)-1</f>
        <v>0.335635101402745</v>
      </c>
      <c r="F6" s="3">
        <f t="shared" ref="F6:F10" si="2">B6/B5-1</f>
        <v>0.43580773400795092</v>
      </c>
    </row>
    <row r="7" spans="1:6">
      <c r="A7">
        <f t="shared" si="0"/>
        <v>2005</v>
      </c>
      <c r="B7" s="1">
        <v>138151</v>
      </c>
      <c r="C7" s="3">
        <v>0.15</v>
      </c>
      <c r="D7" s="3">
        <f t="shared" ref="D7:D10" si="3">(1+D6)*(1+C7)-1</f>
        <v>0.2980624999999999</v>
      </c>
      <c r="E7" s="3">
        <f t="shared" si="1"/>
        <v>0.20951354531549993</v>
      </c>
      <c r="F7" s="3">
        <f t="shared" si="2"/>
        <v>0.39094057711282493</v>
      </c>
    </row>
    <row r="8" spans="1:6">
      <c r="A8">
        <f t="shared" si="0"/>
        <v>2006</v>
      </c>
      <c r="B8" s="1">
        <v>107578</v>
      </c>
      <c r="C8" s="3">
        <v>0.1</v>
      </c>
      <c r="D8" s="3">
        <f t="shared" si="3"/>
        <v>0.42786875000000002</v>
      </c>
      <c r="E8" s="3">
        <f t="shared" si="1"/>
        <v>-0.29209211791313994</v>
      </c>
      <c r="F8" s="3">
        <f t="shared" si="2"/>
        <v>-0.22130132970445382</v>
      </c>
    </row>
    <row r="9" spans="1:6">
      <c r="A9">
        <f t="shared" si="0"/>
        <v>2007</v>
      </c>
      <c r="B9" s="1">
        <v>62438</v>
      </c>
      <c r="C9" s="3">
        <v>-0.2</v>
      </c>
      <c r="D9" s="3">
        <f t="shared" si="3"/>
        <v>0.14229500000000006</v>
      </c>
      <c r="E9" s="3">
        <f t="shared" si="1"/>
        <v>-0.2745031512019187</v>
      </c>
      <c r="F9" s="3">
        <f t="shared" si="2"/>
        <v>-0.41960252096153494</v>
      </c>
    </row>
    <row r="10" spans="1:6">
      <c r="A10">
        <f t="shared" si="0"/>
        <v>2008</v>
      </c>
      <c r="B10" s="1">
        <v>47797</v>
      </c>
      <c r="C10" s="3">
        <v>-0.2</v>
      </c>
      <c r="D10" s="3">
        <f t="shared" si="3"/>
        <v>-8.6163999999999907E-2</v>
      </c>
      <c r="E10" s="3">
        <f t="shared" si="1"/>
        <v>-4.311076587975271E-2</v>
      </c>
      <c r="F10" s="3">
        <f t="shared" si="2"/>
        <v>-0.23448861270380217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9"/>
  <sheetViews>
    <sheetView workbookViewId="0">
      <selection activeCell="F51" sqref="F51"/>
    </sheetView>
  </sheetViews>
  <sheetFormatPr defaultRowHeight="15"/>
  <cols>
    <col min="2" max="8" width="10.5703125" bestFit="1" customWidth="1"/>
  </cols>
  <sheetData>
    <row r="1" spans="1:8">
      <c r="A1" t="s">
        <v>1</v>
      </c>
    </row>
    <row r="2" spans="1:8">
      <c r="A2" t="s">
        <v>0</v>
      </c>
      <c r="B2">
        <v>12</v>
      </c>
      <c r="C2">
        <f>B2+12</f>
        <v>24</v>
      </c>
      <c r="D2">
        <f t="shared" ref="D2:H2" si="0">C2+12</f>
        <v>36</v>
      </c>
      <c r="E2">
        <f t="shared" si="0"/>
        <v>48</v>
      </c>
      <c r="F2">
        <f t="shared" si="0"/>
        <v>60</v>
      </c>
      <c r="G2">
        <f t="shared" si="0"/>
        <v>72</v>
      </c>
      <c r="H2">
        <f t="shared" si="0"/>
        <v>84</v>
      </c>
    </row>
    <row r="3" spans="1:8">
      <c r="A3">
        <v>2002</v>
      </c>
      <c r="B3" s="1">
        <v>12811</v>
      </c>
      <c r="C3" s="1">
        <v>20370</v>
      </c>
      <c r="D3" s="1">
        <v>26656</v>
      </c>
      <c r="E3" s="1">
        <v>37667</v>
      </c>
      <c r="F3" s="1">
        <v>44414</v>
      </c>
      <c r="G3" s="1">
        <v>48701</v>
      </c>
      <c r="H3" s="1">
        <v>48169</v>
      </c>
    </row>
    <row r="4" spans="1:8">
      <c r="A4">
        <f>A3+1</f>
        <v>2003</v>
      </c>
      <c r="B4" s="1">
        <v>9651</v>
      </c>
      <c r="C4" s="1">
        <v>16995</v>
      </c>
      <c r="D4" s="1">
        <v>30354</v>
      </c>
      <c r="E4" s="1">
        <v>40594</v>
      </c>
      <c r="F4" s="1">
        <v>44231</v>
      </c>
      <c r="G4" s="1">
        <v>44373</v>
      </c>
      <c r="H4" s="1"/>
    </row>
    <row r="5" spans="1:8">
      <c r="A5">
        <f t="shared" ref="A5:A8" si="1">A4+1</f>
        <v>2004</v>
      </c>
      <c r="B5" s="1">
        <v>16995</v>
      </c>
      <c r="C5" s="16">
        <v>40180</v>
      </c>
      <c r="D5" s="1">
        <v>58866</v>
      </c>
      <c r="E5" s="1">
        <v>71707</v>
      </c>
      <c r="F5" s="1">
        <v>70288</v>
      </c>
      <c r="G5" s="1"/>
      <c r="H5" s="1"/>
    </row>
    <row r="6" spans="1:8">
      <c r="A6">
        <f t="shared" si="1"/>
        <v>2005</v>
      </c>
      <c r="B6" s="1">
        <v>28674</v>
      </c>
      <c r="C6" s="16">
        <v>47432</v>
      </c>
      <c r="D6" s="1">
        <v>70340</v>
      </c>
      <c r="E6" s="1">
        <v>70655</v>
      </c>
      <c r="F6" s="1"/>
      <c r="G6" s="1"/>
      <c r="H6" s="1"/>
    </row>
    <row r="7" spans="1:8">
      <c r="A7">
        <f t="shared" si="1"/>
        <v>2006</v>
      </c>
      <c r="B7" s="1">
        <v>27066</v>
      </c>
      <c r="C7" s="16">
        <v>46783</v>
      </c>
      <c r="D7" s="1">
        <v>48804</v>
      </c>
      <c r="E7" s="1"/>
      <c r="F7" s="1"/>
      <c r="G7" s="1"/>
      <c r="H7" s="1"/>
    </row>
    <row r="8" spans="1:8">
      <c r="A8">
        <f t="shared" si="1"/>
        <v>2007</v>
      </c>
      <c r="B8" s="1">
        <v>19477</v>
      </c>
      <c r="C8" s="1">
        <v>31732</v>
      </c>
      <c r="D8" s="1"/>
      <c r="E8" s="1"/>
      <c r="F8" s="1"/>
      <c r="G8" s="1"/>
      <c r="H8" s="1"/>
    </row>
    <row r="9" spans="1:8">
      <c r="A9">
        <f>A8+1</f>
        <v>2008</v>
      </c>
      <c r="B9" s="1">
        <v>18632</v>
      </c>
      <c r="C9" s="1"/>
      <c r="D9" s="1"/>
      <c r="E9" s="1"/>
      <c r="F9" s="1"/>
      <c r="G9" s="1"/>
      <c r="H9" s="1"/>
    </row>
    <row r="11" spans="1:8">
      <c r="A11" t="s">
        <v>2</v>
      </c>
    </row>
    <row r="12" spans="1:8">
      <c r="A12" t="s">
        <v>0</v>
      </c>
      <c r="B12">
        <v>12</v>
      </c>
      <c r="C12">
        <f>B12+12</f>
        <v>24</v>
      </c>
      <c r="D12">
        <f t="shared" ref="D12:H12" si="2">C12+12</f>
        <v>36</v>
      </c>
      <c r="E12">
        <f t="shared" si="2"/>
        <v>48</v>
      </c>
      <c r="F12">
        <f t="shared" si="2"/>
        <v>60</v>
      </c>
      <c r="G12">
        <f t="shared" si="2"/>
        <v>72</v>
      </c>
      <c r="H12">
        <f t="shared" si="2"/>
        <v>84</v>
      </c>
    </row>
    <row r="13" spans="1:8">
      <c r="A13">
        <v>2002</v>
      </c>
      <c r="B13" s="1">
        <v>2318</v>
      </c>
      <c r="C13" s="1">
        <v>7932</v>
      </c>
      <c r="D13" s="1">
        <v>13822</v>
      </c>
      <c r="E13" s="1">
        <v>22095</v>
      </c>
      <c r="F13" s="1">
        <v>31945</v>
      </c>
      <c r="G13" s="1">
        <v>40629</v>
      </c>
      <c r="H13" s="1">
        <v>44437</v>
      </c>
    </row>
    <row r="14" spans="1:8">
      <c r="A14">
        <f>A13+1</f>
        <v>2003</v>
      </c>
      <c r="B14" s="1">
        <v>1743</v>
      </c>
      <c r="C14" s="1">
        <v>6240</v>
      </c>
      <c r="D14" s="1">
        <v>12683</v>
      </c>
      <c r="E14" s="1">
        <v>22892</v>
      </c>
      <c r="F14" s="1">
        <v>34505</v>
      </c>
      <c r="G14" s="1">
        <v>39320</v>
      </c>
      <c r="H14" s="1"/>
    </row>
    <row r="15" spans="1:8">
      <c r="A15">
        <f t="shared" ref="A15:A18" si="3">A14+1</f>
        <v>2004</v>
      </c>
      <c r="B15" s="1">
        <v>2221</v>
      </c>
      <c r="C15" s="16">
        <v>9898</v>
      </c>
      <c r="D15" s="1">
        <v>25950</v>
      </c>
      <c r="E15" s="1">
        <v>43439</v>
      </c>
      <c r="F15" s="1">
        <v>52811</v>
      </c>
      <c r="G15" s="1"/>
      <c r="H15" s="1"/>
    </row>
    <row r="16" spans="1:8">
      <c r="A16">
        <f t="shared" si="3"/>
        <v>2005</v>
      </c>
      <c r="B16" s="1">
        <v>3043</v>
      </c>
      <c r="C16" s="16">
        <v>12219</v>
      </c>
      <c r="D16" s="1">
        <v>27073</v>
      </c>
      <c r="E16" s="1">
        <v>40026</v>
      </c>
      <c r="F16" s="1"/>
      <c r="G16" s="1"/>
      <c r="H16" s="1"/>
    </row>
    <row r="17" spans="1:8">
      <c r="A17">
        <f t="shared" si="3"/>
        <v>2006</v>
      </c>
      <c r="B17" s="1">
        <v>3531</v>
      </c>
      <c r="C17" s="16">
        <v>11778</v>
      </c>
      <c r="D17" s="1">
        <v>22819</v>
      </c>
      <c r="E17" s="1"/>
      <c r="F17" s="1"/>
      <c r="G17" s="1"/>
      <c r="H17" s="1"/>
    </row>
    <row r="18" spans="1:8">
      <c r="A18">
        <f t="shared" si="3"/>
        <v>2007</v>
      </c>
      <c r="B18" s="1">
        <v>3529</v>
      </c>
      <c r="C18" s="1">
        <v>11865</v>
      </c>
      <c r="D18" s="1"/>
      <c r="E18" s="1"/>
      <c r="F18" s="1"/>
      <c r="G18" s="1"/>
      <c r="H18" s="1"/>
    </row>
    <row r="19" spans="1:8">
      <c r="A19">
        <f>A18+1</f>
        <v>2008</v>
      </c>
      <c r="B19" s="1">
        <v>3409</v>
      </c>
      <c r="C19" s="1"/>
      <c r="D19" s="1"/>
      <c r="E19" s="1"/>
      <c r="F19" s="1"/>
      <c r="G19" s="1"/>
      <c r="H19" s="1"/>
    </row>
    <row r="21" spans="1:8">
      <c r="A21" t="s">
        <v>59</v>
      </c>
    </row>
    <row r="22" spans="1:8">
      <c r="A22" t="s">
        <v>0</v>
      </c>
      <c r="B22">
        <v>12</v>
      </c>
      <c r="C22">
        <f>B22+12</f>
        <v>24</v>
      </c>
      <c r="D22">
        <f t="shared" ref="D22" si="4">C22+12</f>
        <v>36</v>
      </c>
      <c r="E22">
        <f t="shared" ref="E22" si="5">D22+12</f>
        <v>48</v>
      </c>
      <c r="F22">
        <f t="shared" ref="F22" si="6">E22+12</f>
        <v>60</v>
      </c>
      <c r="G22">
        <f t="shared" ref="G22" si="7">F22+12</f>
        <v>72</v>
      </c>
      <c r="H22">
        <f t="shared" ref="H22" si="8">G22+12</f>
        <v>84</v>
      </c>
    </row>
    <row r="23" spans="1:8">
      <c r="A23">
        <v>2002</v>
      </c>
      <c r="B23" s="17">
        <v>1342</v>
      </c>
      <c r="C23" s="17">
        <v>1514</v>
      </c>
      <c r="D23" s="17">
        <v>1548</v>
      </c>
      <c r="E23" s="17">
        <v>1557</v>
      </c>
      <c r="F23" s="17">
        <v>1549</v>
      </c>
      <c r="G23" s="17">
        <v>1552</v>
      </c>
      <c r="H23" s="17">
        <v>1554</v>
      </c>
    </row>
    <row r="24" spans="1:8">
      <c r="A24">
        <f>A23+1</f>
        <v>2003</v>
      </c>
      <c r="B24" s="17">
        <v>1373</v>
      </c>
      <c r="C24" s="17">
        <v>1616</v>
      </c>
      <c r="D24" s="17">
        <v>1630</v>
      </c>
      <c r="E24" s="17">
        <v>1626</v>
      </c>
      <c r="F24" s="17">
        <v>1629</v>
      </c>
      <c r="G24" s="17">
        <v>1629</v>
      </c>
      <c r="H24" s="17"/>
    </row>
    <row r="25" spans="1:8">
      <c r="A25">
        <f t="shared" ref="A25:A28" si="9">A24+1</f>
        <v>2004</v>
      </c>
      <c r="B25" s="17">
        <v>1932</v>
      </c>
      <c r="C25" s="17">
        <v>2168</v>
      </c>
      <c r="D25" s="17">
        <v>2234</v>
      </c>
      <c r="E25" s="17">
        <v>2249</v>
      </c>
      <c r="F25" s="17">
        <v>2258</v>
      </c>
      <c r="G25" s="17"/>
      <c r="H25" s="17"/>
    </row>
    <row r="26" spans="1:8">
      <c r="A26">
        <f t="shared" si="9"/>
        <v>2005</v>
      </c>
      <c r="B26" s="17">
        <v>2067</v>
      </c>
      <c r="C26" s="17">
        <v>2293</v>
      </c>
      <c r="D26" s="17">
        <v>2367</v>
      </c>
      <c r="E26" s="17">
        <v>2390</v>
      </c>
      <c r="F26" s="17"/>
      <c r="G26" s="17"/>
      <c r="H26" s="17"/>
    </row>
    <row r="27" spans="1:8">
      <c r="A27">
        <f t="shared" si="9"/>
        <v>2006</v>
      </c>
      <c r="B27" s="17">
        <v>1473</v>
      </c>
      <c r="C27" s="17">
        <v>1645</v>
      </c>
      <c r="D27" s="17">
        <v>1657</v>
      </c>
      <c r="E27" s="17"/>
      <c r="F27" s="17"/>
      <c r="G27" s="17"/>
      <c r="H27" s="17"/>
    </row>
    <row r="28" spans="1:8">
      <c r="A28">
        <f t="shared" si="9"/>
        <v>2007</v>
      </c>
      <c r="B28" s="17">
        <v>1192</v>
      </c>
      <c r="C28" s="17">
        <v>1264</v>
      </c>
      <c r="D28" s="17"/>
      <c r="E28" s="17"/>
      <c r="F28" s="17"/>
      <c r="G28" s="17"/>
      <c r="H28" s="17"/>
    </row>
    <row r="29" spans="1:8">
      <c r="A29">
        <f>A28+1</f>
        <v>2008</v>
      </c>
      <c r="B29" s="17">
        <v>1036</v>
      </c>
      <c r="C29" s="17"/>
      <c r="D29" s="17"/>
      <c r="E29" s="17"/>
      <c r="F29" s="17"/>
      <c r="G29" s="17"/>
      <c r="H29" s="17"/>
    </row>
    <row r="31" spans="1:8">
      <c r="A31" t="s">
        <v>60</v>
      </c>
    </row>
    <row r="32" spans="1:8">
      <c r="A32" t="s">
        <v>0</v>
      </c>
      <c r="B32">
        <v>12</v>
      </c>
      <c r="C32">
        <f>B32+12</f>
        <v>24</v>
      </c>
      <c r="D32">
        <f t="shared" ref="D32" si="10">C32+12</f>
        <v>36</v>
      </c>
      <c r="E32">
        <f t="shared" ref="E32" si="11">D32+12</f>
        <v>48</v>
      </c>
      <c r="F32">
        <f t="shared" ref="F32" si="12">E32+12</f>
        <v>60</v>
      </c>
      <c r="G32">
        <f t="shared" ref="G32" si="13">F32+12</f>
        <v>72</v>
      </c>
      <c r="H32">
        <f t="shared" ref="H32" si="14">G32+12</f>
        <v>84</v>
      </c>
    </row>
    <row r="33" spans="1:8">
      <c r="A33">
        <v>2002</v>
      </c>
      <c r="B33" s="17">
        <v>203</v>
      </c>
      <c r="C33" s="17">
        <v>607</v>
      </c>
      <c r="D33" s="17">
        <v>841</v>
      </c>
      <c r="E33" s="17">
        <v>1089</v>
      </c>
      <c r="F33" s="17">
        <v>1327</v>
      </c>
      <c r="G33" s="17">
        <v>1464</v>
      </c>
      <c r="H33" s="17">
        <v>1523</v>
      </c>
    </row>
    <row r="34" spans="1:8">
      <c r="A34">
        <f>A33+1</f>
        <v>2003</v>
      </c>
      <c r="B34" s="17">
        <v>181</v>
      </c>
      <c r="C34" s="17">
        <v>614</v>
      </c>
      <c r="D34" s="17">
        <v>941</v>
      </c>
      <c r="E34" s="17">
        <v>1263</v>
      </c>
      <c r="F34" s="17">
        <v>1507</v>
      </c>
      <c r="G34" s="17">
        <v>1568</v>
      </c>
      <c r="H34" s="17"/>
    </row>
    <row r="35" spans="1:8">
      <c r="A35">
        <f t="shared" ref="A35:A38" si="15">A34+1</f>
        <v>2004</v>
      </c>
      <c r="B35" s="17">
        <v>235</v>
      </c>
      <c r="C35" s="17">
        <v>848</v>
      </c>
      <c r="D35" s="17">
        <v>1442</v>
      </c>
      <c r="E35" s="17">
        <v>1852</v>
      </c>
      <c r="F35" s="17">
        <v>2029</v>
      </c>
      <c r="G35" s="17"/>
      <c r="H35" s="17"/>
    </row>
    <row r="36" spans="1:8">
      <c r="A36">
        <f t="shared" si="15"/>
        <v>2005</v>
      </c>
      <c r="B36" s="17">
        <v>295</v>
      </c>
      <c r="C36" s="17">
        <v>1119</v>
      </c>
      <c r="D36" s="17">
        <v>1664</v>
      </c>
      <c r="E36" s="17">
        <v>1946</v>
      </c>
      <c r="F36" s="17"/>
      <c r="G36" s="17"/>
      <c r="H36" s="17"/>
    </row>
    <row r="37" spans="1:8">
      <c r="A37">
        <f t="shared" si="15"/>
        <v>2006</v>
      </c>
      <c r="B37" s="17">
        <v>307</v>
      </c>
      <c r="C37" s="17">
        <v>906</v>
      </c>
      <c r="D37" s="17">
        <v>1201</v>
      </c>
      <c r="E37" s="17"/>
      <c r="F37" s="17"/>
      <c r="G37" s="17"/>
      <c r="H37" s="17"/>
    </row>
    <row r="38" spans="1:8">
      <c r="A38">
        <f t="shared" si="15"/>
        <v>2007</v>
      </c>
      <c r="B38" s="17">
        <v>329</v>
      </c>
      <c r="C38" s="17">
        <v>791</v>
      </c>
      <c r="D38" s="17"/>
      <c r="E38" s="17"/>
      <c r="F38" s="17"/>
      <c r="G38" s="17"/>
      <c r="H38" s="17"/>
    </row>
    <row r="39" spans="1:8">
      <c r="A39">
        <f>A38+1</f>
        <v>2008</v>
      </c>
      <c r="B39" s="17">
        <v>276</v>
      </c>
      <c r="C39" s="17"/>
      <c r="D39" s="17"/>
      <c r="E39" s="17"/>
      <c r="F39" s="17"/>
      <c r="G39" s="17"/>
      <c r="H39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9"/>
  <sheetViews>
    <sheetView tabSelected="1" topLeftCell="A46" workbookViewId="0">
      <selection activeCell="M72" sqref="M72"/>
    </sheetView>
  </sheetViews>
  <sheetFormatPr defaultRowHeight="15"/>
  <cols>
    <col min="2" max="2" width="10.7109375" bestFit="1" customWidth="1"/>
    <col min="3" max="8" width="10.5703125" bestFit="1" customWidth="1"/>
  </cols>
  <sheetData>
    <row r="1" spans="1:8">
      <c r="A1" t="s">
        <v>12</v>
      </c>
    </row>
    <row r="2" spans="1:8">
      <c r="A2" t="s">
        <v>0</v>
      </c>
      <c r="B2">
        <v>12</v>
      </c>
      <c r="C2">
        <f>B2+12</f>
        <v>24</v>
      </c>
      <c r="D2">
        <f t="shared" ref="D2:H2" si="0">C2+12</f>
        <v>36</v>
      </c>
      <c r="E2">
        <f t="shared" si="0"/>
        <v>48</v>
      </c>
      <c r="F2">
        <f t="shared" si="0"/>
        <v>60</v>
      </c>
      <c r="G2">
        <f t="shared" si="0"/>
        <v>72</v>
      </c>
      <c r="H2">
        <f t="shared" si="0"/>
        <v>84</v>
      </c>
    </row>
    <row r="3" spans="1:8">
      <c r="A3">
        <v>2002</v>
      </c>
      <c r="B3" s="5">
        <f>Basic!B3/Premiums!$B4</f>
        <v>0.20938822875635388</v>
      </c>
      <c r="C3" s="5">
        <f>Basic!C3/Premiums!$B4</f>
        <v>0.33293561937139399</v>
      </c>
      <c r="D3" s="5">
        <f>Basic!D3/Premiums!$B4</f>
        <v>0.43567657682689637</v>
      </c>
      <c r="E3" s="5">
        <f>Basic!E3/Premiums!$B4</f>
        <v>0.61564486867267054</v>
      </c>
      <c r="F3" s="5">
        <f>Basic!F3/Premiums!$B4</f>
        <v>0.72592059885916027</v>
      </c>
      <c r="G3" s="5">
        <f>Basic!G3/Premiums!$B4</f>
        <v>0.79598908193452433</v>
      </c>
      <c r="H3" s="5">
        <f>Basic!H3/Premiums!$B4</f>
        <v>0.78729385613650849</v>
      </c>
    </row>
    <row r="4" spans="1:8">
      <c r="A4">
        <f>A3+1</f>
        <v>2003</v>
      </c>
      <c r="B4" s="8">
        <f>Basic!B4/Premiums!$B5</f>
        <v>0.13951572099747017</v>
      </c>
      <c r="C4" s="8">
        <f>Basic!C4/Premiums!$B5</f>
        <v>0.24568124322370799</v>
      </c>
      <c r="D4" s="5">
        <f>Basic!D4/Premiums!$B5</f>
        <v>0.43880014456089628</v>
      </c>
      <c r="E4" s="5">
        <f>Basic!E4/Premiums!$B5</f>
        <v>0.5868305023491146</v>
      </c>
      <c r="F4" s="5">
        <f>Basic!F4/Premiums!$B5</f>
        <v>0.63940730032526205</v>
      </c>
      <c r="G4" s="5">
        <f>Basic!G4/Premiums!$B5</f>
        <v>0.64146006505240327</v>
      </c>
      <c r="H4" s="1"/>
    </row>
    <row r="5" spans="1:8">
      <c r="A5">
        <f t="shared" ref="A5:A8" si="1">A4+1</f>
        <v>2004</v>
      </c>
      <c r="B5" s="5">
        <f>Basic!B5/Premiums!$B6</f>
        <v>0.17111012665874631</v>
      </c>
      <c r="C5" s="11">
        <f>Basic!C5/Premiums!$B6</f>
        <v>0.40454280018525601</v>
      </c>
      <c r="D5" s="11">
        <f>Basic!D5/Premiums!$B6</f>
        <v>0.59267835927589052</v>
      </c>
      <c r="E5" s="11">
        <f>Basic!E5/Premiums!$B6</f>
        <v>0.72196492217232844</v>
      </c>
      <c r="F5" s="11">
        <f>Basic!F5/Premiums!$B6</f>
        <v>0.70767805722800592</v>
      </c>
      <c r="G5" s="1"/>
      <c r="H5" s="1"/>
    </row>
    <row r="6" spans="1:8">
      <c r="A6">
        <f t="shared" si="1"/>
        <v>2005</v>
      </c>
      <c r="B6" s="5">
        <f>Basic!B6/Premiums!$B7</f>
        <v>0.20755550086499555</v>
      </c>
      <c r="C6" s="5">
        <f>Basic!C6/Premiums!$B7</f>
        <v>0.34333446735818052</v>
      </c>
      <c r="D6" s="5">
        <f>Basic!D6/Premiums!$B7</f>
        <v>0.50915302820826491</v>
      </c>
      <c r="E6" s="5">
        <f>Basic!E6/Premiums!$B7</f>
        <v>0.51143314199680057</v>
      </c>
      <c r="F6" s="1"/>
      <c r="G6" s="1"/>
      <c r="H6" s="1"/>
    </row>
    <row r="7" spans="1:8">
      <c r="A7">
        <f t="shared" si="1"/>
        <v>2006</v>
      </c>
      <c r="B7" s="5">
        <f>Basic!B7/Premiums!$B8</f>
        <v>0.25159419212106565</v>
      </c>
      <c r="C7" s="5">
        <f>Basic!C7/Premiums!$B8</f>
        <v>0.43487516034877022</v>
      </c>
      <c r="D7" s="5">
        <f>Basic!D7/Premiums!$B8</f>
        <v>0.45366152930896653</v>
      </c>
      <c r="E7" s="1"/>
      <c r="F7" s="1"/>
      <c r="G7" s="1"/>
      <c r="H7" s="1"/>
    </row>
    <row r="8" spans="1:8">
      <c r="A8">
        <f t="shared" si="1"/>
        <v>2007</v>
      </c>
      <c r="B8" s="5">
        <f>Basic!B8/Premiums!$B9</f>
        <v>0.31194144591434703</v>
      </c>
      <c r="C8" s="5">
        <f>Basic!C8/Premiums!$B9</f>
        <v>0.50821615042121782</v>
      </c>
      <c r="D8" s="1"/>
      <c r="E8" s="1"/>
      <c r="F8" s="1"/>
      <c r="G8" s="1"/>
      <c r="H8" s="1"/>
    </row>
    <row r="9" spans="1:8">
      <c r="A9">
        <f>A8+1</f>
        <v>2008</v>
      </c>
      <c r="B9" s="5">
        <f>Basic!B9/Premiums!$B10</f>
        <v>0.38981526037198988</v>
      </c>
      <c r="C9" s="1"/>
      <c r="D9" s="1"/>
      <c r="E9" s="1"/>
      <c r="F9" s="1"/>
      <c r="G9" s="1"/>
      <c r="H9" s="1"/>
    </row>
    <row r="11" spans="1:8">
      <c r="A11" t="s">
        <v>13</v>
      </c>
    </row>
    <row r="12" spans="1:8">
      <c r="A12" t="s">
        <v>0</v>
      </c>
      <c r="B12">
        <v>12</v>
      </c>
      <c r="C12">
        <f>B12+12</f>
        <v>24</v>
      </c>
      <c r="D12">
        <f t="shared" ref="D12:H12" si="2">C12+12</f>
        <v>36</v>
      </c>
      <c r="E12">
        <f t="shared" si="2"/>
        <v>48</v>
      </c>
      <c r="F12">
        <f t="shared" si="2"/>
        <v>60</v>
      </c>
      <c r="G12">
        <f t="shared" si="2"/>
        <v>72</v>
      </c>
      <c r="H12">
        <f t="shared" si="2"/>
        <v>84</v>
      </c>
    </row>
    <row r="13" spans="1:8">
      <c r="A13">
        <v>2002</v>
      </c>
      <c r="B13" s="5">
        <f>Basic!B3/(Premiums!$B4*(1+Premiums!$D$10)/(1+Premiums!$D4))</f>
        <v>0.22913107905177063</v>
      </c>
      <c r="C13" s="5">
        <f>Basic!C3/(Premiums!$B4*(1+Premiums!$D$10)/(1+Premiums!$D4))</f>
        <v>0.36432753729486905</v>
      </c>
      <c r="D13" s="5">
        <f>Basic!D3/(Premiums!$B4*(1+Premiums!$D$10)/(1+Premiums!$D4))</f>
        <v>0.47675576014393867</v>
      </c>
      <c r="E13" s="5">
        <f>Basic!E3/(Premiums!$B4*(1+Premiums!$D$10)/(1+Premiums!$D4))</f>
        <v>0.67369294782944689</v>
      </c>
      <c r="F13" s="5">
        <f>Basic!F3/(Premiums!$B4*(1+Premiums!$D$10)/(1+Premiums!$D4))</f>
        <v>0.79436638396732029</v>
      </c>
      <c r="G13" s="5">
        <f>Basic!G3/(Premiums!$B4*(1+Premiums!$D$10)/(1+Premiums!$D4))</f>
        <v>0.87104150190463525</v>
      </c>
      <c r="H13" s="5">
        <f>Basic!H3/(Premiums!$B4*(1+Premiums!$D$10)/(1+Premiums!$D4))</f>
        <v>0.86152641845638434</v>
      </c>
    </row>
    <row r="14" spans="1:8">
      <c r="A14">
        <f>A13+1</f>
        <v>2003</v>
      </c>
      <c r="B14" s="8">
        <f>Basic!B4/(Premiums!$B5*(1+Premiums!$D$10)/(1+Premiums!$D5))</f>
        <v>0.16030393533122322</v>
      </c>
      <c r="C14" s="8">
        <f>Basic!C4/(Premiums!$B5*(1+Premiums!$D$10)/(1+Premiums!$D5))</f>
        <v>0.28228840337313632</v>
      </c>
      <c r="D14" s="5">
        <f>Basic!D4/(Premiums!$B5*(1+Premiums!$D$10)/(1+Premiums!$D5))</f>
        <v>0.50418253580395289</v>
      </c>
      <c r="E14" s="5">
        <f>Basic!E4/(Premiums!$B5*(1+Premiums!$D$10)/(1+Premiums!$D5))</f>
        <v>0.67426981150509535</v>
      </c>
      <c r="F14" s="5">
        <f>Basic!F4/(Premiums!$B5*(1+Premiums!$D$10)/(1+Premiums!$D5))</f>
        <v>0.73468069253293278</v>
      </c>
      <c r="G14" s="5">
        <f>Basic!G4/(Premiums!$B5*(1+Premiums!$D$10)/(1+Premiums!$D5))</f>
        <v>0.73703932467644473</v>
      </c>
      <c r="H14" s="1"/>
    </row>
    <row r="15" spans="1:8">
      <c r="A15">
        <f t="shared" ref="A15:A18" si="3">A14+1</f>
        <v>2004</v>
      </c>
      <c r="B15" s="5">
        <f>Basic!B5/(Premiums!$B6*(1+Premiums!$D$10)/(1+Premiums!$D6))</f>
        <v>0.21135144103106013</v>
      </c>
      <c r="C15" s="11">
        <f>Basic!C5/(Premiums!$B6*(1+Premiums!$D$10)/(1+Premiums!$D6))</f>
        <v>0.49968231248178852</v>
      </c>
      <c r="D15" s="11">
        <f>Basic!D5/(Premiums!$B6*(1+Premiums!$D$10)/(1+Premiums!$D6))</f>
        <v>0.73206319080520066</v>
      </c>
      <c r="E15" s="11">
        <f>Basic!E5/(Premiums!$B6*(1+Premiums!$D$10)/(1+Premiums!$D6))</f>
        <v>0.89175509161601818</v>
      </c>
      <c r="F15" s="11">
        <f>Basic!F5/(Premiums!$B6*(1+Premiums!$D$10)/(1+Premiums!$D6))</f>
        <v>0.87410827226779375</v>
      </c>
      <c r="G15" s="1"/>
      <c r="H15" s="1"/>
    </row>
    <row r="16" spans="1:8">
      <c r="A16">
        <f t="shared" si="3"/>
        <v>2005</v>
      </c>
      <c r="B16" s="5">
        <f>Basic!B6/(Premiums!$B7*(1+Premiums!$D$10)/(1+Premiums!$D7))</f>
        <v>0.2948231546377777</v>
      </c>
      <c r="C16" s="5">
        <f>Basic!C6/(Premiums!$B7*(1+Premiums!$D$10)/(1+Premiums!$D7))</f>
        <v>0.48769100477014271</v>
      </c>
      <c r="D16" s="5">
        <f>Basic!D6/(Premiums!$B7*(1+Premiums!$D$10)/(1+Premiums!$D7))</f>
        <v>0.72322873325037607</v>
      </c>
      <c r="E16" s="5">
        <f>Basic!E6/(Premiums!$B7*(1+Premiums!$D$10)/(1+Premiums!$D7))</f>
        <v>0.72646753124545527</v>
      </c>
      <c r="F16" s="1"/>
      <c r="G16" s="1"/>
      <c r="H16" s="1"/>
    </row>
    <row r="17" spans="1:8">
      <c r="A17">
        <f t="shared" si="3"/>
        <v>2006</v>
      </c>
      <c r="B17" s="5">
        <f>Basic!B7/(Premiums!$B8*(1+Premiums!$D$10)/(1+Premiums!$D8))</f>
        <v>0.39311592518916499</v>
      </c>
      <c r="C17" s="5">
        <f>Basic!C7/(Premiums!$B8*(1+Premiums!$D$10)/(1+Premiums!$D8))</f>
        <v>0.6794924380449533</v>
      </c>
      <c r="D17" s="5">
        <f>Basic!D7/(Premiums!$B8*(1+Premiums!$D$10)/(1+Premiums!$D8))</f>
        <v>0.7088461395452601</v>
      </c>
      <c r="E17" s="1"/>
      <c r="F17" s="1"/>
      <c r="G17" s="1"/>
      <c r="H17" s="1"/>
    </row>
    <row r="18" spans="1:8">
      <c r="A18">
        <f t="shared" si="3"/>
        <v>2007</v>
      </c>
      <c r="B18" s="5">
        <f>Basic!B8/(Premiums!$B9*(1+Premiums!$D$10)/(1+Premiums!$D9))</f>
        <v>0.38992680739293378</v>
      </c>
      <c r="C18" s="5">
        <f>Basic!C8/(Premiums!$B9*(1+Premiums!$D$10)/(1+Premiums!$D9))</f>
        <v>0.63527018802652224</v>
      </c>
      <c r="D18" s="1"/>
      <c r="E18" s="1"/>
      <c r="F18" s="1"/>
      <c r="G18" s="1"/>
      <c r="H18" s="1"/>
    </row>
    <row r="19" spans="1:8">
      <c r="A19">
        <f>A18+1</f>
        <v>2008</v>
      </c>
      <c r="B19" s="5">
        <f>Basic!B9/(Premiums!$B10*(1+Premiums!$D$10)/(1+Premiums!$D10))</f>
        <v>0.38981526037198988</v>
      </c>
      <c r="C19" s="1"/>
      <c r="D19" s="1"/>
      <c r="E19" s="1"/>
      <c r="F19" s="1"/>
      <c r="G19" s="1"/>
      <c r="H19" s="1"/>
    </row>
    <row r="21" spans="1:8">
      <c r="A21" t="s">
        <v>57</v>
      </c>
    </row>
    <row r="22" spans="1:8">
      <c r="A22" t="s">
        <v>0</v>
      </c>
      <c r="B22">
        <v>12</v>
      </c>
      <c r="C22">
        <f t="shared" ref="C22:H22" si="4">B22+12</f>
        <v>24</v>
      </c>
      <c r="D22">
        <f t="shared" si="4"/>
        <v>36</v>
      </c>
      <c r="E22">
        <f t="shared" si="4"/>
        <v>48</v>
      </c>
      <c r="F22">
        <f t="shared" si="4"/>
        <v>60</v>
      </c>
      <c r="G22">
        <f t="shared" si="4"/>
        <v>72</v>
      </c>
      <c r="H22">
        <f t="shared" si="4"/>
        <v>84</v>
      </c>
    </row>
    <row r="23" spans="1:8">
      <c r="A23">
        <v>2002</v>
      </c>
      <c r="B23" s="5">
        <f>Basic!B13/Basic!B3</f>
        <v>0.18093825618609008</v>
      </c>
      <c r="C23" s="5">
        <f>Basic!C13/Basic!C3</f>
        <v>0.38939617083946981</v>
      </c>
      <c r="D23" s="5">
        <f>Basic!D13/Basic!D3</f>
        <v>0.51853241296518604</v>
      </c>
      <c r="E23" s="5">
        <f>Basic!E13/Basic!E3</f>
        <v>0.58658772931212999</v>
      </c>
      <c r="F23" s="5">
        <f>Basic!F13/Basic!F3</f>
        <v>0.71925518980501646</v>
      </c>
      <c r="G23" s="5">
        <f>Basic!G13/Basic!G3</f>
        <v>0.83425391675735616</v>
      </c>
      <c r="H23" s="5">
        <f>Basic!H13/Basic!H3</f>
        <v>0.92252278436338719</v>
      </c>
    </row>
    <row r="24" spans="1:8">
      <c r="A24">
        <f t="shared" ref="A24:A29" si="5">A23+1</f>
        <v>2003</v>
      </c>
      <c r="B24" s="5">
        <f>Basic!B14/Basic!B4</f>
        <v>0.18060304631644389</v>
      </c>
      <c r="C24" s="5">
        <f>Basic!C14/Basic!C4</f>
        <v>0.36716681376875554</v>
      </c>
      <c r="D24" s="5">
        <f>Basic!D14/Basic!D4</f>
        <v>0.41783619951242013</v>
      </c>
      <c r="E24" s="5">
        <f>Basic!E14/Basic!E4</f>
        <v>0.5639257033059073</v>
      </c>
      <c r="F24" s="5">
        <f>Basic!F14/Basic!F4</f>
        <v>0.78010897334448692</v>
      </c>
      <c r="G24" s="5">
        <f>Basic!G14/Basic!G4</f>
        <v>0.88612444504541055</v>
      </c>
      <c r="H24" s="1"/>
    </row>
    <row r="25" spans="1:8">
      <c r="A25">
        <f t="shared" si="5"/>
        <v>2004</v>
      </c>
      <c r="B25" s="5">
        <f>Basic!B15/Basic!B5</f>
        <v>0.13068549573403943</v>
      </c>
      <c r="C25" s="5">
        <f>Basic!C15/Basic!C5</f>
        <v>0.24634146341463414</v>
      </c>
      <c r="D25" s="5">
        <f>Basic!D15/Basic!D5</f>
        <v>0.44083171949852207</v>
      </c>
      <c r="E25" s="5">
        <f>Basic!E15/Basic!E5</f>
        <v>0.60578465142873084</v>
      </c>
      <c r="F25" s="5">
        <f>Basic!F15/Basic!F5</f>
        <v>0.75135158206237196</v>
      </c>
      <c r="G25" s="1"/>
      <c r="H25" s="1"/>
    </row>
    <row r="26" spans="1:8">
      <c r="A26">
        <f t="shared" si="5"/>
        <v>2005</v>
      </c>
      <c r="B26" s="5">
        <f>Basic!B16/Basic!B6</f>
        <v>0.10612401478691498</v>
      </c>
      <c r="C26" s="5">
        <f>Basic!C16/Basic!C6</f>
        <v>0.25761089559790856</v>
      </c>
      <c r="D26" s="5">
        <f>Basic!D16/Basic!D6</f>
        <v>0.38488768837077053</v>
      </c>
      <c r="E26" s="5">
        <f>Basic!E16/Basic!E6</f>
        <v>0.56649918618639872</v>
      </c>
      <c r="F26" s="1"/>
      <c r="G26" s="1"/>
      <c r="H26" s="1"/>
    </row>
    <row r="27" spans="1:8">
      <c r="A27">
        <f t="shared" si="5"/>
        <v>2006</v>
      </c>
      <c r="B27" s="5">
        <f>Basic!B17/Basic!B7</f>
        <v>0.130458878297495</v>
      </c>
      <c r="C27" s="5">
        <f>Basic!C17/Basic!C7</f>
        <v>0.25175811726481839</v>
      </c>
      <c r="D27" s="5">
        <f>Basic!D17/Basic!D7</f>
        <v>0.46756413408736991</v>
      </c>
      <c r="E27" s="1"/>
      <c r="F27" s="1"/>
      <c r="G27" s="1"/>
      <c r="H27" s="1"/>
    </row>
    <row r="28" spans="1:8">
      <c r="A28">
        <f t="shared" si="5"/>
        <v>2007</v>
      </c>
      <c r="B28" s="5">
        <f>Basic!B18/Basic!B8</f>
        <v>0.18118806797761461</v>
      </c>
      <c r="C28" s="5">
        <f>Basic!C18/Basic!C8</f>
        <v>0.3739127694440943</v>
      </c>
      <c r="D28" s="1"/>
      <c r="E28" s="1"/>
      <c r="F28" s="1"/>
      <c r="G28" s="1"/>
      <c r="H28" s="1"/>
    </row>
    <row r="29" spans="1:8">
      <c r="A29">
        <f t="shared" si="5"/>
        <v>2008</v>
      </c>
      <c r="B29" s="5">
        <f>Basic!B19/Basic!B9</f>
        <v>0.18296479175611852</v>
      </c>
      <c r="C29" s="1"/>
      <c r="D29" s="1"/>
      <c r="E29" s="1"/>
      <c r="F29" s="1"/>
      <c r="G29" s="1"/>
      <c r="H29" s="1"/>
    </row>
    <row r="31" spans="1:8">
      <c r="A31" t="s">
        <v>58</v>
      </c>
    </row>
    <row r="32" spans="1:8">
      <c r="A32" t="s">
        <v>0</v>
      </c>
      <c r="B32">
        <v>12</v>
      </c>
      <c r="C32">
        <f>B32+12</f>
        <v>24</v>
      </c>
      <c r="D32">
        <f t="shared" ref="D32" si="6">C32+12</f>
        <v>36</v>
      </c>
      <c r="E32">
        <f t="shared" ref="E32" si="7">D32+12</f>
        <v>48</v>
      </c>
      <c r="F32">
        <f t="shared" ref="F32" si="8">E32+12</f>
        <v>60</v>
      </c>
      <c r="G32">
        <f t="shared" ref="G32" si="9">F32+12</f>
        <v>72</v>
      </c>
      <c r="H32">
        <f t="shared" ref="H32" si="10">G32+12</f>
        <v>84</v>
      </c>
    </row>
    <row r="33" spans="1:8">
      <c r="A33">
        <v>2002</v>
      </c>
      <c r="B33" s="5">
        <f>Basic!B13/(Premiums!$B4*(1+Premiums!$D$10)/(1+Premiums!$D4))</f>
        <v>4.145857788166453E-2</v>
      </c>
      <c r="C33" s="5">
        <f>Basic!C13/(Premiums!$B4*(1+Premiums!$D$10)/(1+Premiums!$D4))</f>
        <v>0.14186774795399615</v>
      </c>
      <c r="D33" s="5">
        <f>Basic!D13/(Premiums!$B4*(1+Premiums!$D$10)/(1+Premiums!$D4))</f>
        <v>0.247213314702488</v>
      </c>
      <c r="E33" s="5">
        <f>Basic!E13/(Premiums!$B4*(1+Premiums!$D$10)/(1+Premiums!$D4))</f>
        <v>0.39518001652087054</v>
      </c>
      <c r="F33" s="5">
        <f>Basic!F13/(Premiums!$B4*(1+Premiums!$D$10)/(1+Premiums!$D4))</f>
        <v>0.57135214427513958</v>
      </c>
      <c r="G33" s="5">
        <f>Basic!G13/(Premiums!$B4*(1+Premiums!$D$10)/(1+Premiums!$D4))</f>
        <v>0.72666978462215193</v>
      </c>
      <c r="H33" s="5">
        <f>Basic!H13/(Premiums!$B4*(1+Premiums!$D$10)/(1+Premiums!$D4))</f>
        <v>0.79477775035700038</v>
      </c>
    </row>
    <row r="34" spans="1:8">
      <c r="A34">
        <f>A33+1</f>
        <v>2003</v>
      </c>
      <c r="B34" s="5">
        <f>Basic!B14/(Premiums!$B5*(1+Premiums!$D$10)/(1+Premiums!$D5))</f>
        <v>2.8951379057333134E-2</v>
      </c>
      <c r="C34" s="5">
        <f>Basic!C14/(Premiums!$B5*(1+Premiums!$D$10)/(1+Premiums!$D5))</f>
        <v>0.10364693363038367</v>
      </c>
      <c r="D34" s="5">
        <f>Basic!D14/(Premiums!$B5*(1+Premiums!$D$10)/(1+Premiums!$D5))</f>
        <v>0.21066571462085837</v>
      </c>
      <c r="E34" s="5">
        <f>Basic!E14/(Premiums!$B5*(1+Premiums!$D$10)/(1+Premiums!$D5))</f>
        <v>0.38023807767095241</v>
      </c>
      <c r="F34" s="5">
        <f>Basic!F14/(Premiums!$B5*(1+Premiums!$D$10)/(1+Premiums!$D5))</f>
        <v>0.57313100078788282</v>
      </c>
      <c r="G34" s="5">
        <f>Basic!G14/(Premiums!$B5*(1+Premiums!$D$10)/(1+Premiums!$D5))</f>
        <v>0.65310856255555871</v>
      </c>
      <c r="H34" s="1"/>
    </row>
    <row r="35" spans="1:8">
      <c r="A35">
        <f t="shared" ref="A35:A38" si="11">A34+1</f>
        <v>2004</v>
      </c>
      <c r="B35" s="5">
        <f>Basic!B15/(Premiums!$B6*(1+Premiums!$D$10)/(1+Premiums!$D6))</f>
        <v>2.7620567845247693E-2</v>
      </c>
      <c r="C35" s="5">
        <f>Basic!C15/(Premiums!$B6*(1+Premiums!$D$10)/(1+Premiums!$D6))</f>
        <v>0.12309247209917229</v>
      </c>
      <c r="D35" s="5">
        <f>Basic!D15/(Premiums!$B6*(1+Premiums!$D$10)/(1+Premiums!$D6))</f>
        <v>0.32271667518423125</v>
      </c>
      <c r="E35" s="5">
        <f>Basic!E15/(Premiums!$B6*(1+Premiums!$D$10)/(1+Premiums!$D6))</f>
        <v>0.54021154733440546</v>
      </c>
      <c r="F35" s="5">
        <f>Basic!F15/(Premiums!$B6*(1+Premiums!$D$10)/(1+Premiums!$D6))</f>
        <v>0.6567626332622134</v>
      </c>
      <c r="G35" s="5"/>
      <c r="H35" s="1"/>
    </row>
    <row r="36" spans="1:8">
      <c r="A36">
        <f t="shared" si="11"/>
        <v>2005</v>
      </c>
      <c r="B36" s="5">
        <f>Basic!B16/(Premiums!$B7*(1+Premiums!$D$10)/(1+Premiums!$D7))</f>
        <v>3.1287816822304443E-2</v>
      </c>
      <c r="C36" s="5">
        <f>Basic!C16/(Premiums!$B7*(1+Premiums!$D$10)/(1+Premiums!$D7))</f>
        <v>0.12563451651388038</v>
      </c>
      <c r="D36" s="5">
        <f>Basic!D16/(Premiums!$B7*(1+Premiums!$D$10)/(1+Premiums!$D7))</f>
        <v>0.27836183530405789</v>
      </c>
      <c r="E36" s="5">
        <f>Basic!E16/(Premiums!$B7*(1+Premiums!$D$10)/(1+Premiums!$D7))</f>
        <v>0.41154326524139256</v>
      </c>
      <c r="F36" s="1"/>
      <c r="G36" s="1"/>
      <c r="H36" s="1"/>
    </row>
    <row r="37" spans="1:8">
      <c r="A37">
        <f t="shared" si="11"/>
        <v>2006</v>
      </c>
      <c r="B37" s="5">
        <f>Basic!B17/(Premiums!$B8*(1+Premiums!$D$10)/(1+Premiums!$D8))</f>
        <v>5.1285462641060431E-2</v>
      </c>
      <c r="C37" s="5">
        <f>Basic!C17/(Premiums!$B8*(1+Premiums!$D$10)/(1+Premiums!$D8))</f>
        <v>0.17106773689787871</v>
      </c>
      <c r="D37" s="5">
        <f>Basic!D17/(Premiums!$B8*(1+Premiums!$D$10)/(1+Premiums!$D8))</f>
        <v>0.33143103143765446</v>
      </c>
      <c r="E37" s="1"/>
      <c r="F37" s="1"/>
      <c r="G37" s="1"/>
      <c r="H37" s="1"/>
    </row>
    <row r="38" spans="1:8">
      <c r="A38">
        <f t="shared" si="11"/>
        <v>2007</v>
      </c>
      <c r="B38" s="5">
        <f>Basic!B18/(Premiums!$B9*(1+Premiums!$D$10)/(1+Premiums!$D9))</f>
        <v>7.0650084884205128E-2</v>
      </c>
      <c r="C38" s="5">
        <f>Basic!C18/(Premiums!$B9*(1+Premiums!$D$10)/(1+Premiums!$D9))</f>
        <v>0.23753563535026745</v>
      </c>
      <c r="D38" s="1"/>
      <c r="E38" s="1"/>
      <c r="F38" s="1"/>
      <c r="G38" s="1"/>
      <c r="H38" s="1"/>
    </row>
    <row r="39" spans="1:8">
      <c r="A39">
        <f>A38+1</f>
        <v>2008</v>
      </c>
      <c r="B39" s="5">
        <f>Basic!B19/(Premiums!$B10*(1+Premiums!$D$10)/(1+Premiums!$D10))</f>
        <v>7.1322467937318237E-2</v>
      </c>
      <c r="C39" s="1"/>
      <c r="D39" s="1"/>
      <c r="E39" s="1"/>
      <c r="F39" s="1"/>
      <c r="G39" s="1"/>
      <c r="H39" s="1"/>
    </row>
    <row r="41" spans="1:8">
      <c r="A41" t="s">
        <v>71</v>
      </c>
    </row>
    <row r="42" spans="1:8">
      <c r="A42" t="s">
        <v>0</v>
      </c>
      <c r="B42">
        <v>12</v>
      </c>
      <c r="C42">
        <f>B42+12</f>
        <v>24</v>
      </c>
      <c r="D42">
        <f t="shared" ref="D42" si="12">C42+12</f>
        <v>36</v>
      </c>
      <c r="E42">
        <f t="shared" ref="E42" si="13">D42+12</f>
        <v>48</v>
      </c>
      <c r="F42">
        <f t="shared" ref="F42" si="14">E42+12</f>
        <v>60</v>
      </c>
      <c r="G42">
        <f t="shared" ref="G42" si="15">F42+12</f>
        <v>72</v>
      </c>
      <c r="H42">
        <f t="shared" ref="H42" si="16">G42+12</f>
        <v>84</v>
      </c>
    </row>
    <row r="43" spans="1:8">
      <c r="A43">
        <v>2002</v>
      </c>
      <c r="B43" s="5">
        <f>Basic!B33/Basic!B23</f>
        <v>0.15126676602086439</v>
      </c>
      <c r="C43" s="5">
        <f>Basic!C33/Basic!C23</f>
        <v>0.4009247027741083</v>
      </c>
      <c r="D43" s="5">
        <f>Basic!D33/Basic!D23</f>
        <v>0.54328165374677007</v>
      </c>
      <c r="E43" s="5">
        <f>Basic!E33/Basic!E23</f>
        <v>0.69942196531791911</v>
      </c>
      <c r="F43" s="5">
        <f>Basic!F33/Basic!F23</f>
        <v>0.85668173014848292</v>
      </c>
      <c r="G43" s="5">
        <f>Basic!G33/Basic!G23</f>
        <v>0.94329896907216493</v>
      </c>
      <c r="H43" s="5">
        <f>Basic!H33/Basic!H23</f>
        <v>0.98005148005148002</v>
      </c>
    </row>
    <row r="44" spans="1:8">
      <c r="A44">
        <f>A43+1</f>
        <v>2003</v>
      </c>
      <c r="B44" s="5">
        <f>Basic!B34/Basic!B24</f>
        <v>0.13182811361981064</v>
      </c>
      <c r="C44" s="5">
        <f>Basic!C34/Basic!C24</f>
        <v>0.37995049504950495</v>
      </c>
      <c r="D44" s="5">
        <f>Basic!D34/Basic!D24</f>
        <v>0.57730061349693251</v>
      </c>
      <c r="E44" s="5">
        <f>Basic!E34/Basic!E24</f>
        <v>0.7767527675276753</v>
      </c>
      <c r="F44" s="5">
        <f>Basic!F34/Basic!F24</f>
        <v>0.92510742786985878</v>
      </c>
      <c r="G44" s="5">
        <f>Basic!G34/Basic!G24</f>
        <v>0.96255371393492939</v>
      </c>
      <c r="H44" s="1"/>
    </row>
    <row r="45" spans="1:8">
      <c r="A45">
        <f t="shared" ref="A45:A48" si="17">A44+1</f>
        <v>2004</v>
      </c>
      <c r="B45" s="5">
        <f>Basic!B35/Basic!B25</f>
        <v>0.12163561076604555</v>
      </c>
      <c r="C45" s="5">
        <f>Basic!C35/Basic!C25</f>
        <v>0.39114391143911437</v>
      </c>
      <c r="D45" s="5">
        <f>Basic!D35/Basic!D25</f>
        <v>0.64547896150402861</v>
      </c>
      <c r="E45" s="5">
        <f>Basic!E35/Basic!E25</f>
        <v>0.82347710093374837</v>
      </c>
      <c r="F45" s="5">
        <f>Basic!F35/Basic!F25</f>
        <v>0.89858281665190431</v>
      </c>
      <c r="G45" s="5"/>
      <c r="H45" s="1"/>
    </row>
    <row r="46" spans="1:8">
      <c r="A46">
        <f t="shared" si="17"/>
        <v>2005</v>
      </c>
      <c r="B46" s="5">
        <f>Basic!B36/Basic!B26</f>
        <v>0.14271891630382197</v>
      </c>
      <c r="C46" s="5">
        <f>Basic!C36/Basic!C26</f>
        <v>0.48800697775839513</v>
      </c>
      <c r="D46" s="5">
        <f>Basic!D36/Basic!D26</f>
        <v>0.70299957752429232</v>
      </c>
      <c r="E46" s="5">
        <f>Basic!E36/Basic!E26</f>
        <v>0.81422594142259419</v>
      </c>
      <c r="F46" s="1"/>
      <c r="G46" s="1"/>
      <c r="H46" s="1"/>
    </row>
    <row r="47" spans="1:8">
      <c r="A47">
        <f t="shared" si="17"/>
        <v>2006</v>
      </c>
      <c r="B47" s="5">
        <f>Basic!B37/Basic!B27</f>
        <v>0.208418194161575</v>
      </c>
      <c r="C47" s="5">
        <f>Basic!C37/Basic!C27</f>
        <v>0.55075987841945284</v>
      </c>
      <c r="D47" s="5">
        <f>Basic!D37/Basic!D27</f>
        <v>0.72480386240193118</v>
      </c>
      <c r="E47" s="1"/>
      <c r="F47" s="1"/>
      <c r="G47" s="1"/>
      <c r="H47" s="1"/>
    </row>
    <row r="48" spans="1:8">
      <c r="A48">
        <f t="shared" si="17"/>
        <v>2007</v>
      </c>
      <c r="B48" s="5">
        <f>Basic!B38/Basic!B28</f>
        <v>0.27600671140939598</v>
      </c>
      <c r="C48" s="5">
        <f>Basic!C38/Basic!C28</f>
        <v>0.62579113924050633</v>
      </c>
      <c r="D48" s="1"/>
      <c r="E48" s="1"/>
      <c r="F48" s="1"/>
      <c r="G48" s="1"/>
      <c r="H48" s="1"/>
    </row>
    <row r="49" spans="1:8">
      <c r="A49">
        <f>A48+1</f>
        <v>2008</v>
      </c>
      <c r="B49" s="5">
        <f>Basic!B39/Basic!B29</f>
        <v>0.26640926640926643</v>
      </c>
      <c r="C49" s="1"/>
      <c r="D49" s="1"/>
      <c r="E49" s="1"/>
      <c r="F49" s="1"/>
      <c r="G49" s="1"/>
      <c r="H49" s="1"/>
    </row>
    <row r="51" spans="1:8">
      <c r="A51" t="s">
        <v>72</v>
      </c>
    </row>
    <row r="52" spans="1:8">
      <c r="A52" t="s">
        <v>0</v>
      </c>
      <c r="B52">
        <v>12</v>
      </c>
      <c r="C52">
        <f>B52+12</f>
        <v>24</v>
      </c>
      <c r="D52">
        <f t="shared" ref="D52" si="18">C52+12</f>
        <v>36</v>
      </c>
      <c r="E52">
        <f t="shared" ref="E52" si="19">D52+12</f>
        <v>48</v>
      </c>
      <c r="F52">
        <f t="shared" ref="F52" si="20">E52+12</f>
        <v>60</v>
      </c>
      <c r="G52">
        <f t="shared" ref="G52" si="21">F52+12</f>
        <v>72</v>
      </c>
      <c r="H52">
        <f t="shared" ref="H52" si="22">G52+12</f>
        <v>84</v>
      </c>
    </row>
    <row r="53" spans="1:8">
      <c r="A53">
        <v>2002</v>
      </c>
      <c r="B53" s="1">
        <f>Basic!B3/Basic!B23*1000</f>
        <v>9546.1997019374066</v>
      </c>
      <c r="C53" s="1">
        <f>Basic!C3/Basic!C23*1000</f>
        <v>13454.42536327609</v>
      </c>
      <c r="D53" s="1">
        <f>Basic!D3/Basic!D23*1000</f>
        <v>17219.638242894056</v>
      </c>
      <c r="E53" s="1">
        <f>Basic!E3/Basic!E23*1000</f>
        <v>24192.035966602438</v>
      </c>
      <c r="F53" s="1">
        <f>Basic!F3/Basic!F23*1000</f>
        <v>28672.692059393157</v>
      </c>
      <c r="G53" s="1">
        <f>Basic!G3/Basic!G23*1000</f>
        <v>31379.510309278354</v>
      </c>
      <c r="H53" s="1">
        <f>Basic!H3/Basic!H23*1000</f>
        <v>30996.782496782496</v>
      </c>
    </row>
    <row r="54" spans="1:8">
      <c r="A54">
        <f>A53+1</f>
        <v>2003</v>
      </c>
      <c r="B54" s="1">
        <f>Basic!B4/Basic!B24*1000</f>
        <v>7029.1332847778585</v>
      </c>
      <c r="C54" s="1">
        <f>Basic!C4/Basic!C24*1000</f>
        <v>10516.70792079208</v>
      </c>
      <c r="D54" s="1">
        <f>Basic!D4/Basic!D24*1000</f>
        <v>18622.085889570553</v>
      </c>
      <c r="E54" s="1">
        <f>Basic!E4/Basic!E24*1000</f>
        <v>24965.559655596557</v>
      </c>
      <c r="F54" s="1">
        <f>Basic!F4/Basic!F24*1000</f>
        <v>27152.240638428484</v>
      </c>
      <c r="G54" s="1">
        <f>Basic!G4/Basic!G24*1000</f>
        <v>27239.410681399633</v>
      </c>
      <c r="H54" s="1"/>
    </row>
    <row r="55" spans="1:8">
      <c r="A55">
        <f t="shared" ref="A55:A58" si="23">A54+1</f>
        <v>2004</v>
      </c>
      <c r="B55" s="1">
        <f>Basic!B5/Basic!B25*1000</f>
        <v>8796.5838509316764</v>
      </c>
      <c r="C55" s="1">
        <f>Basic!C5/Basic!C25*1000</f>
        <v>18533.210332103321</v>
      </c>
      <c r="D55" s="1">
        <f>Basic!D5/Basic!D25*1000</f>
        <v>26350.044762757385</v>
      </c>
      <c r="E55" s="1">
        <f>Basic!E5/Basic!E25*1000</f>
        <v>31883.948421520676</v>
      </c>
      <c r="F55" s="1">
        <f>Basic!F5/Basic!F25*1000</f>
        <v>31128.432240921167</v>
      </c>
      <c r="G55" s="1"/>
      <c r="H55" s="1"/>
    </row>
    <row r="56" spans="1:8">
      <c r="A56">
        <f t="shared" si="23"/>
        <v>2005</v>
      </c>
      <c r="B56" s="1">
        <f>Basic!B6/Basic!B26*1000</f>
        <v>13872.278664731495</v>
      </c>
      <c r="C56" s="1">
        <f>Basic!C6/Basic!C26*1000</f>
        <v>20685.564762320104</v>
      </c>
      <c r="D56" s="1">
        <f>Basic!D6/Basic!D26*1000</f>
        <v>29716.941275876634</v>
      </c>
      <c r="E56" s="1">
        <f>Basic!E6/Basic!E26*1000</f>
        <v>29562.761506276151</v>
      </c>
      <c r="F56" s="1"/>
      <c r="G56" s="1"/>
      <c r="H56" s="1"/>
    </row>
    <row r="57" spans="1:8">
      <c r="A57">
        <f t="shared" si="23"/>
        <v>2006</v>
      </c>
      <c r="B57" s="1">
        <f>Basic!B7/Basic!B27*1000</f>
        <v>18374.745417515274</v>
      </c>
      <c r="C57" s="1">
        <f>Basic!C7/Basic!C27*1000</f>
        <v>28439.513677811552</v>
      </c>
      <c r="D57" s="1">
        <f>Basic!D7/Basic!D27*1000</f>
        <v>29453.228726614361</v>
      </c>
      <c r="E57" s="1"/>
      <c r="F57" s="1"/>
      <c r="G57" s="1"/>
      <c r="H57" s="1"/>
    </row>
    <row r="58" spans="1:8">
      <c r="A58">
        <f t="shared" si="23"/>
        <v>2007</v>
      </c>
      <c r="B58" s="1">
        <f>Basic!B8/Basic!B28*1000</f>
        <v>16339.76510067114</v>
      </c>
      <c r="C58" s="1">
        <f>Basic!C8/Basic!C28*1000</f>
        <v>25104.430379746835</v>
      </c>
      <c r="D58" s="1"/>
      <c r="E58" s="1"/>
      <c r="F58" s="1"/>
      <c r="G58" s="1"/>
      <c r="H58" s="1"/>
    </row>
    <row r="59" spans="1:8">
      <c r="A59">
        <f>A58+1</f>
        <v>2008</v>
      </c>
      <c r="B59" s="1">
        <f>Basic!B9/Basic!B29*1000</f>
        <v>17984.555984555984</v>
      </c>
      <c r="C59" s="1"/>
      <c r="D59" s="1"/>
      <c r="E59" s="1"/>
      <c r="F59" s="1"/>
      <c r="G59" s="1"/>
      <c r="H59" s="1"/>
    </row>
    <row r="61" spans="1:8">
      <c r="A61" t="s">
        <v>73</v>
      </c>
    </row>
    <row r="62" spans="1:8">
      <c r="A62" t="s">
        <v>0</v>
      </c>
      <c r="B62">
        <v>12</v>
      </c>
      <c r="C62">
        <f>B62+12</f>
        <v>24</v>
      </c>
      <c r="D62">
        <f t="shared" ref="D62" si="24">C62+12</f>
        <v>36</v>
      </c>
      <c r="E62">
        <f t="shared" ref="E62" si="25">D62+12</f>
        <v>48</v>
      </c>
      <c r="F62">
        <f t="shared" ref="F62" si="26">E62+12</f>
        <v>60</v>
      </c>
      <c r="G62">
        <f t="shared" ref="G62" si="27">F62+12</f>
        <v>72</v>
      </c>
      <c r="H62">
        <f t="shared" ref="H62" si="28">G62+12</f>
        <v>84</v>
      </c>
    </row>
    <row r="63" spans="1:8">
      <c r="A63">
        <v>2002</v>
      </c>
      <c r="B63" s="1">
        <f>Basic!B13/Basic!B33*1000</f>
        <v>11418.719211822659</v>
      </c>
      <c r="C63" s="1">
        <f>Basic!C13/Basic!C33*1000</f>
        <v>13067.545304777594</v>
      </c>
      <c r="D63" s="1">
        <f>Basic!D13/Basic!D33*1000</f>
        <v>16435.196195005949</v>
      </c>
      <c r="E63" s="1">
        <f>Basic!E13/Basic!E33*1000</f>
        <v>20289.256198347106</v>
      </c>
      <c r="F63" s="1">
        <f>Basic!F13/Basic!F33*1000</f>
        <v>24073.097211755841</v>
      </c>
      <c r="G63" s="1">
        <f>Basic!G13/Basic!G33*1000</f>
        <v>27752.049180327871</v>
      </c>
      <c r="H63" s="1">
        <f>Basic!H13/Basic!H33*1000</f>
        <v>29177.281680892975</v>
      </c>
    </row>
    <row r="64" spans="1:8">
      <c r="A64">
        <f>A63+1</f>
        <v>2003</v>
      </c>
      <c r="B64" s="1">
        <f>Basic!B14/Basic!B34*1000</f>
        <v>9629.8342541436468</v>
      </c>
      <c r="C64" s="1">
        <f>Basic!C14/Basic!C34*1000</f>
        <v>10162.866449511399</v>
      </c>
      <c r="D64" s="1">
        <f>Basic!D14/Basic!D34*1000</f>
        <v>13478.214665249734</v>
      </c>
      <c r="E64" s="1">
        <f>Basic!E14/Basic!E34*1000</f>
        <v>18125.098970704668</v>
      </c>
      <c r="F64" s="1">
        <f>Basic!F14/Basic!F34*1000</f>
        <v>22896.483078964829</v>
      </c>
      <c r="G64" s="1">
        <f>Basic!G14/Basic!G34*1000</f>
        <v>25076.5306122449</v>
      </c>
      <c r="H64" s="1"/>
    </row>
    <row r="65" spans="1:8">
      <c r="A65">
        <f t="shared" ref="A65:A68" si="29">A64+1</f>
        <v>2004</v>
      </c>
      <c r="B65" s="1">
        <f>Basic!B15/Basic!B35*1000</f>
        <v>9451.0638297872338</v>
      </c>
      <c r="C65" s="1">
        <f>Basic!C15/Basic!C35*1000</f>
        <v>11672.169811320755</v>
      </c>
      <c r="D65" s="1">
        <f>Basic!D15/Basic!D35*1000</f>
        <v>17995.839112343965</v>
      </c>
      <c r="E65" s="1">
        <f>Basic!E15/Basic!E35*1000</f>
        <v>23455.183585313174</v>
      </c>
      <c r="F65" s="1">
        <f>Basic!F15/Basic!F35*1000</f>
        <v>26028.092656481025</v>
      </c>
      <c r="G65" s="1"/>
      <c r="H65" s="1"/>
    </row>
    <row r="66" spans="1:8">
      <c r="A66">
        <f t="shared" si="29"/>
        <v>2005</v>
      </c>
      <c r="B66" s="1">
        <f>Basic!B16/Basic!B36*1000</f>
        <v>10315.254237288134</v>
      </c>
      <c r="C66" s="1">
        <f>Basic!C16/Basic!C36*1000</f>
        <v>10919.571045576407</v>
      </c>
      <c r="D66" s="1">
        <f>Basic!D16/Basic!D36*1000</f>
        <v>16269.83173076923</v>
      </c>
      <c r="E66" s="1">
        <f>Basic!E16/Basic!E36*1000</f>
        <v>20568.345323741007</v>
      </c>
      <c r="F66" s="1"/>
      <c r="G66" s="1"/>
      <c r="H66" s="1"/>
    </row>
    <row r="67" spans="1:8">
      <c r="A67">
        <f t="shared" si="29"/>
        <v>2006</v>
      </c>
      <c r="B67" s="1">
        <f>Basic!B17/Basic!B37*1000</f>
        <v>11501.628664495114</v>
      </c>
      <c r="C67" s="1">
        <f>Basic!C17/Basic!C37*1000</f>
        <v>13000</v>
      </c>
      <c r="D67" s="1">
        <f>Basic!D17/Basic!D37*1000</f>
        <v>19000</v>
      </c>
      <c r="E67" s="1"/>
      <c r="F67" s="1"/>
      <c r="G67" s="1"/>
      <c r="H67" s="1"/>
    </row>
    <row r="68" spans="1:8">
      <c r="A68">
        <f t="shared" si="29"/>
        <v>2007</v>
      </c>
      <c r="B68" s="1">
        <f>Basic!B18/Basic!B38*1000</f>
        <v>10726.44376899696</v>
      </c>
      <c r="C68" s="1">
        <f>Basic!C18/Basic!C38*1000</f>
        <v>15000</v>
      </c>
      <c r="D68" s="1"/>
      <c r="E68" s="1"/>
      <c r="F68" s="1"/>
      <c r="G68" s="1"/>
      <c r="H68" s="1"/>
    </row>
    <row r="69" spans="1:8">
      <c r="A69">
        <f>A68+1</f>
        <v>2008</v>
      </c>
      <c r="B69" s="1">
        <f>Basic!B19/Basic!B39*1000</f>
        <v>12351.449275362318</v>
      </c>
      <c r="C69" s="1"/>
      <c r="D69" s="1"/>
      <c r="E69" s="1"/>
      <c r="F69" s="1"/>
      <c r="G69" s="1"/>
      <c r="H69" s="1"/>
    </row>
    <row r="71" spans="1:8">
      <c r="A71" t="s">
        <v>74</v>
      </c>
    </row>
    <row r="72" spans="1:8">
      <c r="A72" t="s">
        <v>0</v>
      </c>
      <c r="B72">
        <v>12</v>
      </c>
      <c r="C72">
        <f>B72+12</f>
        <v>24</v>
      </c>
      <c r="D72">
        <f t="shared" ref="D72" si="30">C72+12</f>
        <v>36</v>
      </c>
      <c r="E72">
        <f t="shared" ref="E72" si="31">D72+12</f>
        <v>48</v>
      </c>
      <c r="F72">
        <f t="shared" ref="F72" si="32">E72+12</f>
        <v>60</v>
      </c>
      <c r="G72">
        <f t="shared" ref="G72" si="33">F72+12</f>
        <v>72</v>
      </c>
      <c r="H72">
        <f t="shared" ref="H72" si="34">G72+12</f>
        <v>84</v>
      </c>
    </row>
    <row r="73" spans="1:8">
      <c r="A73">
        <v>2002</v>
      </c>
      <c r="B73" s="1">
        <f>(Basic!B3-Basic!B13)/(Basic!B23-Basic!B33)*1000</f>
        <v>9212.4670763827926</v>
      </c>
      <c r="C73" s="1">
        <f>(Basic!C3-Basic!C13)/(Basic!C23-Basic!C33)*1000</f>
        <v>13713.340683572216</v>
      </c>
      <c r="D73" s="1">
        <f>(Basic!D3-Basic!D13)/(Basic!D23-Basic!D33)*1000</f>
        <v>18152.758132956151</v>
      </c>
      <c r="E73" s="1">
        <f>(Basic!E3-Basic!E13)/(Basic!E23-Basic!E33)*1000</f>
        <v>33273.504273504273</v>
      </c>
      <c r="F73" s="1">
        <f>(Basic!F3-Basic!F13)/(Basic!F23-Basic!F33)*1000</f>
        <v>56166.666666666664</v>
      </c>
      <c r="G73" s="1">
        <f>(Basic!G3-Basic!G13)/(Basic!G23-Basic!G33)*1000</f>
        <v>91727.272727272735</v>
      </c>
      <c r="H73" s="1">
        <f>(Basic!H3-Basic!H13)/(Basic!H23-Basic!H33)*1000</f>
        <v>120387.09677419355</v>
      </c>
    </row>
    <row r="74" spans="1:8">
      <c r="A74">
        <f>A73+1</f>
        <v>2003</v>
      </c>
      <c r="B74" s="1">
        <f>(Basic!B4-Basic!B14)/(Basic!B24-Basic!B34)*1000</f>
        <v>6634.2281879194634</v>
      </c>
      <c r="C74" s="1">
        <f>(Basic!C4-Basic!C14)/(Basic!C24-Basic!C34)*1000</f>
        <v>10733.532934131736</v>
      </c>
      <c r="D74" s="1">
        <f>(Basic!D4-Basic!D14)/(Basic!D24-Basic!D34)*1000</f>
        <v>25647.314949201744</v>
      </c>
      <c r="E74" s="1">
        <f>(Basic!E4-Basic!E14)/(Basic!E24-Basic!E34)*1000</f>
        <v>48765.840220385675</v>
      </c>
      <c r="F74" s="1">
        <f>(Basic!F4-Basic!F14)/(Basic!F24-Basic!F34)*1000</f>
        <v>79721.311475409835</v>
      </c>
      <c r="G74" s="1">
        <f>(Basic!G4-Basic!G14)/(Basic!G24-Basic!G34)*1000</f>
        <v>82836.065573770495</v>
      </c>
      <c r="H74" s="1"/>
    </row>
    <row r="75" spans="1:8">
      <c r="A75">
        <f t="shared" ref="A75:A78" si="35">A74+1</f>
        <v>2004</v>
      </c>
      <c r="B75" s="1">
        <f>(Basic!B5-Basic!B15)/(Basic!B25-Basic!B35)*1000</f>
        <v>8705.9516794342962</v>
      </c>
      <c r="C75" s="1">
        <f>(Basic!C5-Basic!C15)/(Basic!C25-Basic!C35)*1000</f>
        <v>22940.909090909092</v>
      </c>
      <c r="D75" s="1">
        <f>(Basic!D5-Basic!D15)/(Basic!D25-Basic!D35)*1000</f>
        <v>41560.606060606064</v>
      </c>
      <c r="E75" s="1">
        <f>(Basic!E5-Basic!E15)/(Basic!E25-Basic!E35)*1000</f>
        <v>71204.030226700255</v>
      </c>
      <c r="F75" s="1">
        <f>(Basic!F5-Basic!F15)/(Basic!F25-Basic!F35)*1000</f>
        <v>76318.777292576415</v>
      </c>
      <c r="G75" s="1"/>
      <c r="H75" s="1"/>
    </row>
    <row r="76" spans="1:8">
      <c r="A76">
        <f t="shared" si="35"/>
        <v>2005</v>
      </c>
      <c r="B76" s="1">
        <f>(Basic!B6-Basic!B16)/(Basic!B26-Basic!B36)*1000</f>
        <v>14464.446952595938</v>
      </c>
      <c r="C76" s="1">
        <f>(Basic!C6-Basic!C16)/(Basic!C26-Basic!C36)*1000</f>
        <v>29994.037478705279</v>
      </c>
      <c r="D76" s="1">
        <f>(Basic!D6-Basic!D16)/(Basic!D26-Basic!D36)*1000</f>
        <v>61546.230440967287</v>
      </c>
      <c r="E76" s="1">
        <f>(Basic!E6-Basic!E16)/(Basic!E26-Basic!E36)*1000</f>
        <v>68984.234234234231</v>
      </c>
      <c r="F76" s="1"/>
      <c r="G76" s="1"/>
      <c r="H76" s="1"/>
    </row>
    <row r="77" spans="1:8">
      <c r="A77">
        <f t="shared" si="35"/>
        <v>2006</v>
      </c>
      <c r="B77" s="1">
        <f>(Basic!B7-Basic!B17)/(Basic!B27-Basic!B37)*1000</f>
        <v>20184.391080617494</v>
      </c>
      <c r="C77" s="1">
        <f>(Basic!C7-Basic!C17)/(Basic!C27-Basic!C37)*1000</f>
        <v>47368.064952638706</v>
      </c>
      <c r="D77" s="1">
        <f>(Basic!D7-Basic!D17)/(Basic!D27-Basic!D37)*1000</f>
        <v>56984.649122807023</v>
      </c>
      <c r="E77" s="1"/>
      <c r="F77" s="1"/>
      <c r="G77" s="1"/>
      <c r="H77" s="1"/>
    </row>
    <row r="78" spans="1:8">
      <c r="A78">
        <f t="shared" si="35"/>
        <v>2007</v>
      </c>
      <c r="B78" s="1">
        <f>(Basic!B8-Basic!B18)/(Basic!B28-Basic!B38)*1000</f>
        <v>18479.721900347624</v>
      </c>
      <c r="C78" s="1">
        <f>(Basic!C8-Basic!C18)/(Basic!C28-Basic!C38)*1000</f>
        <v>42002.114164904859</v>
      </c>
      <c r="D78" s="1"/>
      <c r="E78" s="1"/>
      <c r="F78" s="1"/>
      <c r="G78" s="1"/>
      <c r="H78" s="1"/>
    </row>
    <row r="79" spans="1:8">
      <c r="A79">
        <f>A78+1</f>
        <v>2008</v>
      </c>
      <c r="B79" s="1">
        <f>(Basic!B9-Basic!B19)/(Basic!B29-Basic!B39)*1000</f>
        <v>20030.263157894737</v>
      </c>
      <c r="C79" s="1"/>
      <c r="D79" s="1"/>
      <c r="E79" s="1"/>
      <c r="F79" s="1"/>
      <c r="G79" s="1"/>
      <c r="H7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Information</vt:lpstr>
      <vt:lpstr>Concerns</vt:lpstr>
      <vt:lpstr>Premiums</vt:lpstr>
      <vt:lpstr>Basic</vt:lpstr>
      <vt:lpstr>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antisyst3m</dc:creator>
  <cp:lastModifiedBy/>
  <dcterms:created xsi:type="dcterms:W3CDTF">2006-09-16T00:00:00Z</dcterms:created>
  <dcterms:modified xsi:type="dcterms:W3CDTF">2009-06-08T21:05:38Z</dcterms:modified>
</cp:coreProperties>
</file>