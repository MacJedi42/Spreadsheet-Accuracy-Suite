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Fields 1-4" sheetId="1" r:id="rId1"/>
    <sheet name="Fields 5-A" sheetId="13" r:id="rId2"/>
    <sheet name="Fields B-E" sheetId="14" r:id="rId3"/>
    <sheet name="Field F" sheetId="15" r:id="rId4"/>
    <sheet name="Certification Page" sheetId="9" r:id="rId5"/>
    <sheet name="Formulas &amp; Weather Codes" sheetId="7" r:id="rId6"/>
    <sheet name="Dropdown Menu" sheetId="8" state="hidden" r:id="rId7"/>
  </sheets>
  <definedNames>
    <definedName name="County">'Dropdown Menu'!$B$1:$B$101</definedName>
    <definedName name="Flow" localSheetId="4">'Dropdown Menu'!#REF!</definedName>
    <definedName name="Flow" localSheetId="3">'Dropdown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4">'Formulas &amp; Weather Codes'!#REF!</definedName>
    <definedName name="Parameters" localSheetId="3">'Formulas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4">'Formulas &amp; Weather Codes'!#REF!</definedName>
    <definedName name="PCS" localSheetId="3">'Formulas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4">'Formulas &amp; Weather Codes'!#REF!</definedName>
    <definedName name="PCSCODE" localSheetId="3">'Formulas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4">'Dropdown Menu'!#REF!</definedName>
    <definedName name="PPI" localSheetId="3">'Dropdown Menu'!#REF!</definedName>
    <definedName name="PPI" localSheetId="1">'Dropdown Menu'!#REF!</definedName>
    <definedName name="PPI" localSheetId="2">'Dropdown Menu'!#REF!</definedName>
    <definedName name="PPI">'Dropdown Menu'!#REF!</definedName>
    <definedName name="_xlnm.Print_Area" localSheetId="4">'Certification Page'!$A$1:$V$23</definedName>
    <definedName name="_xlnm.Print_Area" localSheetId="3">'Field F'!$A$1:$W$42</definedName>
    <definedName name="_xlnm.Print_Area" localSheetId="0">'Fields 1-4'!$A$1:$W$42</definedName>
    <definedName name="_xlnm.Print_Area" localSheetId="1">'Fields 5-A'!$A$1:$W$42</definedName>
    <definedName name="_xlnm.Print_Area" localSheetId="2">'Fields B-E'!$A$1:$W$42</definedName>
    <definedName name="_xlnm.Print_Area" localSheetId="5">'Formulas &amp; Weather Codes'!#REF!</definedName>
    <definedName name="SamplingType" localSheetId="4">'Dropdown Menu'!#REF!</definedName>
    <definedName name="SamplingType" localSheetId="3">'Dropdown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V41" i="15"/>
  <c r="T41"/>
  <c r="R41"/>
  <c r="P41"/>
  <c r="N41"/>
  <c r="L41"/>
  <c r="J41"/>
  <c r="H41"/>
  <c r="W40"/>
  <c r="V40"/>
  <c r="S40"/>
  <c r="R40"/>
  <c r="O40"/>
  <c r="N40"/>
  <c r="K40"/>
  <c r="J40"/>
  <c r="W39"/>
  <c r="V39"/>
  <c r="S39"/>
  <c r="R39"/>
  <c r="O39"/>
  <c r="N39"/>
  <c r="K39"/>
  <c r="J39"/>
  <c r="W38"/>
  <c r="V38"/>
  <c r="S38"/>
  <c r="R38"/>
  <c r="O38"/>
  <c r="N38"/>
  <c r="K38"/>
  <c r="J38"/>
  <c r="W37"/>
  <c r="V37"/>
  <c r="S37"/>
  <c r="R37"/>
  <c r="O37"/>
  <c r="N37"/>
  <c r="K37"/>
  <c r="J37"/>
  <c r="W36"/>
  <c r="V36"/>
  <c r="S36"/>
  <c r="R36"/>
  <c r="O36"/>
  <c r="N36"/>
  <c r="K36"/>
  <c r="J36"/>
  <c r="W35"/>
  <c r="V35"/>
  <c r="S35"/>
  <c r="R35"/>
  <c r="O35"/>
  <c r="N35"/>
  <c r="K35"/>
  <c r="J35"/>
  <c r="W34"/>
  <c r="V34"/>
  <c r="S34"/>
  <c r="R34"/>
  <c r="O34"/>
  <c r="N34"/>
  <c r="K34"/>
  <c r="J34"/>
  <c r="W33"/>
  <c r="V33"/>
  <c r="S33"/>
  <c r="R33"/>
  <c r="O33"/>
  <c r="N33"/>
  <c r="K33"/>
  <c r="J33"/>
  <c r="W32"/>
  <c r="V32"/>
  <c r="S32"/>
  <c r="R32"/>
  <c r="O32"/>
  <c r="N32"/>
  <c r="K32"/>
  <c r="J32"/>
  <c r="W31"/>
  <c r="V31"/>
  <c r="S31"/>
  <c r="R31"/>
  <c r="O31"/>
  <c r="N31"/>
  <c r="K31"/>
  <c r="J31"/>
  <c r="W30"/>
  <c r="V30"/>
  <c r="S30"/>
  <c r="R30"/>
  <c r="O30"/>
  <c r="N30"/>
  <c r="K30"/>
  <c r="J30"/>
  <c r="W29"/>
  <c r="V29"/>
  <c r="S29"/>
  <c r="R29"/>
  <c r="O29"/>
  <c r="N29"/>
  <c r="K29"/>
  <c r="J29"/>
  <c r="W28"/>
  <c r="V28"/>
  <c r="S28"/>
  <c r="R28"/>
  <c r="O28"/>
  <c r="N28"/>
  <c r="K28"/>
  <c r="J28"/>
  <c r="W27"/>
  <c r="V27"/>
  <c r="S27"/>
  <c r="R27"/>
  <c r="O27"/>
  <c r="N27"/>
  <c r="K27"/>
  <c r="J27"/>
  <c r="W26"/>
  <c r="V26"/>
  <c r="S26"/>
  <c r="R26"/>
  <c r="O26"/>
  <c r="N26"/>
  <c r="K26"/>
  <c r="J26"/>
  <c r="W25"/>
  <c r="V25"/>
  <c r="S25"/>
  <c r="R25"/>
  <c r="O25"/>
  <c r="N25"/>
  <c r="K25"/>
  <c r="J25"/>
  <c r="W24"/>
  <c r="V24"/>
  <c r="S24"/>
  <c r="R24"/>
  <c r="O24"/>
  <c r="N24"/>
  <c r="K24"/>
  <c r="J24"/>
  <c r="W23"/>
  <c r="V23"/>
  <c r="S23"/>
  <c r="R23"/>
  <c r="O23"/>
  <c r="N23"/>
  <c r="K23"/>
  <c r="J23"/>
  <c r="W22"/>
  <c r="V22"/>
  <c r="S22"/>
  <c r="R22"/>
  <c r="O22"/>
  <c r="N22"/>
  <c r="K22"/>
  <c r="J22"/>
  <c r="W21"/>
  <c r="V21"/>
  <c r="S21"/>
  <c r="R21"/>
  <c r="O21"/>
  <c r="N21"/>
  <c r="K21"/>
  <c r="J21"/>
  <c r="W20"/>
  <c r="V20"/>
  <c r="S20"/>
  <c r="R20"/>
  <c r="O20"/>
  <c r="N20"/>
  <c r="K20"/>
  <c r="J20"/>
  <c r="W19"/>
  <c r="V19"/>
  <c r="S19"/>
  <c r="R19"/>
  <c r="O19"/>
  <c r="N19"/>
  <c r="K19"/>
  <c r="J19"/>
  <c r="W18"/>
  <c r="V18"/>
  <c r="S18"/>
  <c r="R18"/>
  <c r="O18"/>
  <c r="N18"/>
  <c r="K18"/>
  <c r="J18"/>
  <c r="W17"/>
  <c r="V17"/>
  <c r="S17"/>
  <c r="R17"/>
  <c r="O17"/>
  <c r="N17"/>
  <c r="K17"/>
  <c r="J17"/>
  <c r="W16"/>
  <c r="V16"/>
  <c r="S16"/>
  <c r="R16"/>
  <c r="O16"/>
  <c r="N16"/>
  <c r="K16"/>
  <c r="J16"/>
  <c r="W15"/>
  <c r="V15"/>
  <c r="S15"/>
  <c r="R15"/>
  <c r="O15"/>
  <c r="N15"/>
  <c r="K15"/>
  <c r="J15"/>
  <c r="W14"/>
  <c r="V14"/>
  <c r="S14"/>
  <c r="R14"/>
  <c r="O14"/>
  <c r="N14"/>
  <c r="K14"/>
  <c r="J14"/>
  <c r="W13"/>
  <c r="V13"/>
  <c r="S13"/>
  <c r="R13"/>
  <c r="O13"/>
  <c r="N13"/>
  <c r="K13"/>
  <c r="J13"/>
  <c r="W12"/>
  <c r="V12"/>
  <c r="S12"/>
  <c r="R12"/>
  <c r="O12"/>
  <c r="N12"/>
  <c r="K12"/>
  <c r="J12"/>
  <c r="W11"/>
  <c r="V11"/>
  <c r="S11"/>
  <c r="R11"/>
  <c r="O11"/>
  <c r="N11"/>
  <c r="K11"/>
  <c r="J11"/>
  <c r="W10"/>
  <c r="V10"/>
  <c r="S10"/>
  <c r="R10"/>
  <c r="O10"/>
  <c r="N10"/>
  <c r="K10"/>
  <c r="J10"/>
  <c r="V41" i="14"/>
  <c r="T41"/>
  <c r="R41"/>
  <c r="P41"/>
  <c r="N41"/>
  <c r="L41"/>
  <c r="J41"/>
  <c r="H41"/>
  <c r="W40"/>
  <c r="V40"/>
  <c r="S40"/>
  <c r="R40"/>
  <c r="O40"/>
  <c r="N40"/>
  <c r="K40"/>
  <c r="J40"/>
  <c r="W39"/>
  <c r="V39"/>
  <c r="S39"/>
  <c r="R39"/>
  <c r="O39"/>
  <c r="N39"/>
  <c r="K39"/>
  <c r="J39"/>
  <c r="W38"/>
  <c r="V38"/>
  <c r="S38"/>
  <c r="R38"/>
  <c r="O38"/>
  <c r="N38"/>
  <c r="K38"/>
  <c r="J38"/>
  <c r="W37"/>
  <c r="V37"/>
  <c r="S37"/>
  <c r="R37"/>
  <c r="O37"/>
  <c r="N37"/>
  <c r="K37"/>
  <c r="J37"/>
  <c r="W36"/>
  <c r="V36"/>
  <c r="S36"/>
  <c r="R36"/>
  <c r="O36"/>
  <c r="N36"/>
  <c r="K36"/>
  <c r="J36"/>
  <c r="W35"/>
  <c r="V35"/>
  <c r="S35"/>
  <c r="R35"/>
  <c r="O35"/>
  <c r="N35"/>
  <c r="K35"/>
  <c r="J35"/>
  <c r="W34"/>
  <c r="V34"/>
  <c r="S34"/>
  <c r="R34"/>
  <c r="O34"/>
  <c r="N34"/>
  <c r="K34"/>
  <c r="J34"/>
  <c r="W33"/>
  <c r="V33"/>
  <c r="S33"/>
  <c r="R33"/>
  <c r="O33"/>
  <c r="N33"/>
  <c r="K33"/>
  <c r="J33"/>
  <c r="W32"/>
  <c r="V32"/>
  <c r="S32"/>
  <c r="R32"/>
  <c r="O32"/>
  <c r="N32"/>
  <c r="K32"/>
  <c r="J32"/>
  <c r="W31"/>
  <c r="V31"/>
  <c r="S31"/>
  <c r="R31"/>
  <c r="O31"/>
  <c r="N31"/>
  <c r="K31"/>
  <c r="J31"/>
  <c r="W30"/>
  <c r="V30"/>
  <c r="S30"/>
  <c r="R30"/>
  <c r="O30"/>
  <c r="N30"/>
  <c r="K30"/>
  <c r="J30"/>
  <c r="W29"/>
  <c r="V29"/>
  <c r="S29"/>
  <c r="R29"/>
  <c r="O29"/>
  <c r="N29"/>
  <c r="K29"/>
  <c r="J29"/>
  <c r="W28"/>
  <c r="V28"/>
  <c r="S28"/>
  <c r="R28"/>
  <c r="O28"/>
  <c r="N28"/>
  <c r="K28"/>
  <c r="J28"/>
  <c r="W27"/>
  <c r="V27"/>
  <c r="S27"/>
  <c r="R27"/>
  <c r="O27"/>
  <c r="N27"/>
  <c r="K27"/>
  <c r="J27"/>
  <c r="W26"/>
  <c r="V26"/>
  <c r="S26"/>
  <c r="R26"/>
  <c r="O26"/>
  <c r="N26"/>
  <c r="K26"/>
  <c r="J26"/>
  <c r="W25"/>
  <c r="V25"/>
  <c r="S25"/>
  <c r="R25"/>
  <c r="O25"/>
  <c r="N25"/>
  <c r="K25"/>
  <c r="J25"/>
  <c r="W24"/>
  <c r="V24"/>
  <c r="S24"/>
  <c r="R24"/>
  <c r="O24"/>
  <c r="N24"/>
  <c r="K24"/>
  <c r="J24"/>
  <c r="W23"/>
  <c r="V23"/>
  <c r="S23"/>
  <c r="R23"/>
  <c r="O23"/>
  <c r="N23"/>
  <c r="K23"/>
  <c r="J23"/>
  <c r="W22"/>
  <c r="V22"/>
  <c r="S22"/>
  <c r="R22"/>
  <c r="O22"/>
  <c r="N22"/>
  <c r="K22"/>
  <c r="J22"/>
  <c r="W21"/>
  <c r="V21"/>
  <c r="S21"/>
  <c r="R21"/>
  <c r="O21"/>
  <c r="N21"/>
  <c r="K21"/>
  <c r="J21"/>
  <c r="W20"/>
  <c r="V20"/>
  <c r="S20"/>
  <c r="R20"/>
  <c r="O20"/>
  <c r="N20"/>
  <c r="K20"/>
  <c r="J20"/>
  <c r="W19"/>
  <c r="V19"/>
  <c r="S19"/>
  <c r="R19"/>
  <c r="O19"/>
  <c r="N19"/>
  <c r="K19"/>
  <c r="J19"/>
  <c r="W18"/>
  <c r="V18"/>
  <c r="S18"/>
  <c r="R18"/>
  <c r="O18"/>
  <c r="N18"/>
  <c r="K18"/>
  <c r="J18"/>
  <c r="W17"/>
  <c r="V17"/>
  <c r="S17"/>
  <c r="R17"/>
  <c r="O17"/>
  <c r="N17"/>
  <c r="K17"/>
  <c r="J17"/>
  <c r="W16"/>
  <c r="V16"/>
  <c r="S16"/>
  <c r="R16"/>
  <c r="O16"/>
  <c r="N16"/>
  <c r="K16"/>
  <c r="J16"/>
  <c r="W15"/>
  <c r="V15"/>
  <c r="S15"/>
  <c r="R15"/>
  <c r="O15"/>
  <c r="N15"/>
  <c r="K15"/>
  <c r="J15"/>
  <c r="W14"/>
  <c r="V14"/>
  <c r="S14"/>
  <c r="R14"/>
  <c r="O14"/>
  <c r="N14"/>
  <c r="K14"/>
  <c r="J14"/>
  <c r="W13"/>
  <c r="V13"/>
  <c r="S13"/>
  <c r="R13"/>
  <c r="O13"/>
  <c r="N13"/>
  <c r="K13"/>
  <c r="J13"/>
  <c r="W12"/>
  <c r="V12"/>
  <c r="S12"/>
  <c r="R12"/>
  <c r="O12"/>
  <c r="N12"/>
  <c r="K12"/>
  <c r="J12"/>
  <c r="W11"/>
  <c r="V11"/>
  <c r="S11"/>
  <c r="R11"/>
  <c r="O11"/>
  <c r="N11"/>
  <c r="K11"/>
  <c r="J11"/>
  <c r="W10"/>
  <c r="V10"/>
  <c r="S10"/>
  <c r="R10"/>
  <c r="O10"/>
  <c r="N10"/>
  <c r="K10"/>
  <c r="J10"/>
  <c r="V41" i="13"/>
  <c r="T41"/>
  <c r="R41"/>
  <c r="P41"/>
  <c r="N41"/>
  <c r="L41"/>
  <c r="J41"/>
  <c r="H41"/>
  <c r="W40"/>
  <c r="V40"/>
  <c r="S40"/>
  <c r="R40"/>
  <c r="O40"/>
  <c r="N40"/>
  <c r="K40"/>
  <c r="J40"/>
  <c r="W39"/>
  <c r="V39"/>
  <c r="S39"/>
  <c r="R39"/>
  <c r="O39"/>
  <c r="N39"/>
  <c r="K39"/>
  <c r="J39"/>
  <c r="W38"/>
  <c r="V38"/>
  <c r="S38"/>
  <c r="R38"/>
  <c r="O38"/>
  <c r="N38"/>
  <c r="K38"/>
  <c r="J38"/>
  <c r="W37"/>
  <c r="V37"/>
  <c r="S37"/>
  <c r="R37"/>
  <c r="O37"/>
  <c r="N37"/>
  <c r="K37"/>
  <c r="J37"/>
  <c r="W36"/>
  <c r="V36"/>
  <c r="S36"/>
  <c r="R36"/>
  <c r="O36"/>
  <c r="N36"/>
  <c r="K36"/>
  <c r="J36"/>
  <c r="W35"/>
  <c r="V35"/>
  <c r="S35"/>
  <c r="R35"/>
  <c r="O35"/>
  <c r="N35"/>
  <c r="K35"/>
  <c r="J35"/>
  <c r="W34"/>
  <c r="V34"/>
  <c r="S34"/>
  <c r="R34"/>
  <c r="O34"/>
  <c r="N34"/>
  <c r="K34"/>
  <c r="J34"/>
  <c r="W33"/>
  <c r="V33"/>
  <c r="S33"/>
  <c r="R33"/>
  <c r="O33"/>
  <c r="N33"/>
  <c r="K33"/>
  <c r="J33"/>
  <c r="W32"/>
  <c r="V32"/>
  <c r="S32"/>
  <c r="R32"/>
  <c r="O32"/>
  <c r="N32"/>
  <c r="K32"/>
  <c r="J32"/>
  <c r="W31"/>
  <c r="V31"/>
  <c r="S31"/>
  <c r="R31"/>
  <c r="O31"/>
  <c r="N31"/>
  <c r="K31"/>
  <c r="J31"/>
  <c r="W30"/>
  <c r="V30"/>
  <c r="S30"/>
  <c r="R30"/>
  <c r="O30"/>
  <c r="N30"/>
  <c r="K30"/>
  <c r="J30"/>
  <c r="W29"/>
  <c r="V29"/>
  <c r="S29"/>
  <c r="R29"/>
  <c r="O29"/>
  <c r="N29"/>
  <c r="K29"/>
  <c r="J29"/>
  <c r="W28"/>
  <c r="V28"/>
  <c r="S28"/>
  <c r="R28"/>
  <c r="O28"/>
  <c r="N28"/>
  <c r="K28"/>
  <c r="J28"/>
  <c r="W27"/>
  <c r="V27"/>
  <c r="S27"/>
  <c r="R27"/>
  <c r="O27"/>
  <c r="N27"/>
  <c r="K27"/>
  <c r="J27"/>
  <c r="W26"/>
  <c r="V26"/>
  <c r="S26"/>
  <c r="R26"/>
  <c r="O26"/>
  <c r="N26"/>
  <c r="K26"/>
  <c r="J26"/>
  <c r="W25"/>
  <c r="V25"/>
  <c r="S25"/>
  <c r="R25"/>
  <c r="O25"/>
  <c r="N25"/>
  <c r="K25"/>
  <c r="J25"/>
  <c r="W24"/>
  <c r="V24"/>
  <c r="S24"/>
  <c r="R24"/>
  <c r="O24"/>
  <c r="N24"/>
  <c r="K24"/>
  <c r="J24"/>
  <c r="W23"/>
  <c r="V23"/>
  <c r="S23"/>
  <c r="R23"/>
  <c r="O23"/>
  <c r="N23"/>
  <c r="K23"/>
  <c r="J23"/>
  <c r="W22"/>
  <c r="V22"/>
  <c r="S22"/>
  <c r="R22"/>
  <c r="O22"/>
  <c r="N22"/>
  <c r="K22"/>
  <c r="J22"/>
  <c r="W21"/>
  <c r="V21"/>
  <c r="S21"/>
  <c r="R21"/>
  <c r="O21"/>
  <c r="N21"/>
  <c r="K21"/>
  <c r="J21"/>
  <c r="W20"/>
  <c r="V20"/>
  <c r="S20"/>
  <c r="R20"/>
  <c r="O20"/>
  <c r="N20"/>
  <c r="K20"/>
  <c r="J20"/>
  <c r="W19"/>
  <c r="V19"/>
  <c r="S19"/>
  <c r="R19"/>
  <c r="O19"/>
  <c r="N19"/>
  <c r="K19"/>
  <c r="J19"/>
  <c r="W18"/>
  <c r="V18"/>
  <c r="S18"/>
  <c r="R18"/>
  <c r="O18"/>
  <c r="N18"/>
  <c r="K18"/>
  <c r="J18"/>
  <c r="W17"/>
  <c r="V17"/>
  <c r="S17"/>
  <c r="R17"/>
  <c r="O17"/>
  <c r="N17"/>
  <c r="K17"/>
  <c r="J17"/>
  <c r="W16"/>
  <c r="V16"/>
  <c r="S16"/>
  <c r="R16"/>
  <c r="O16"/>
  <c r="N16"/>
  <c r="K16"/>
  <c r="J16"/>
  <c r="W15"/>
  <c r="V15"/>
  <c r="S15"/>
  <c r="R15"/>
  <c r="O15"/>
  <c r="N15"/>
  <c r="K15"/>
  <c r="J15"/>
  <c r="W14"/>
  <c r="V14"/>
  <c r="S14"/>
  <c r="R14"/>
  <c r="O14"/>
  <c r="N14"/>
  <c r="K14"/>
  <c r="J14"/>
  <c r="W13"/>
  <c r="V13"/>
  <c r="S13"/>
  <c r="R13"/>
  <c r="O13"/>
  <c r="N13"/>
  <c r="K13"/>
  <c r="J13"/>
  <c r="W12"/>
  <c r="V12"/>
  <c r="S12"/>
  <c r="R12"/>
  <c r="O12"/>
  <c r="N12"/>
  <c r="K12"/>
  <c r="J12"/>
  <c r="W11"/>
  <c r="V11"/>
  <c r="S11"/>
  <c r="R11"/>
  <c r="O11"/>
  <c r="N11"/>
  <c r="K11"/>
  <c r="J11"/>
  <c r="W10"/>
  <c r="V10"/>
  <c r="S10"/>
  <c r="R10"/>
  <c r="O10"/>
  <c r="N10"/>
  <c r="K10"/>
  <c r="J10"/>
  <c r="V41" i="1" l="1"/>
  <c r="T41"/>
  <c r="R41"/>
  <c r="P41"/>
  <c r="N41"/>
  <c r="L41"/>
  <c r="J41"/>
  <c r="H41"/>
  <c r="O10"/>
  <c r="O11"/>
  <c r="O12"/>
  <c r="O13"/>
  <c r="O14"/>
  <c r="O15"/>
  <c r="O16"/>
  <c r="O17"/>
  <c r="O18"/>
  <c r="O19"/>
  <c r="O20"/>
  <c r="O21"/>
  <c r="O22"/>
  <c r="O23"/>
  <c r="O24"/>
  <c r="O25"/>
  <c r="O26"/>
  <c r="O27"/>
  <c r="O28"/>
  <c r="O29"/>
  <c r="O30"/>
  <c r="O31"/>
  <c r="O32"/>
  <c r="O33"/>
  <c r="O34"/>
  <c r="O35"/>
  <c r="O36"/>
  <c r="O37"/>
  <c r="O38"/>
  <c r="O39"/>
  <c r="O40"/>
  <c r="S40" l="1"/>
  <c r="S39"/>
  <c r="S38"/>
  <c r="S37"/>
  <c r="S36"/>
  <c r="S35"/>
  <c r="S34"/>
  <c r="S33"/>
  <c r="S32"/>
  <c r="S31"/>
  <c r="S30"/>
  <c r="S29"/>
  <c r="S28"/>
  <c r="S27"/>
  <c r="S26"/>
  <c r="S25"/>
  <c r="S24"/>
  <c r="S23"/>
  <c r="S22"/>
  <c r="S21"/>
  <c r="S20"/>
  <c r="S19"/>
  <c r="S18"/>
  <c r="S17"/>
  <c r="S16"/>
  <c r="S15"/>
  <c r="S14"/>
  <c r="S13"/>
  <c r="S12"/>
  <c r="S11"/>
  <c r="W40"/>
  <c r="W39"/>
  <c r="W38"/>
  <c r="W37"/>
  <c r="W36"/>
  <c r="W35"/>
  <c r="W34"/>
  <c r="W33"/>
  <c r="W32"/>
  <c r="W31"/>
  <c r="W30"/>
  <c r="W29"/>
  <c r="W28"/>
  <c r="W27"/>
  <c r="W26"/>
  <c r="W25"/>
  <c r="W24"/>
  <c r="W23"/>
  <c r="W22"/>
  <c r="W21"/>
  <c r="W20"/>
  <c r="W19"/>
  <c r="W18"/>
  <c r="W17"/>
  <c r="W16"/>
  <c r="W15"/>
  <c r="W14"/>
  <c r="W13"/>
  <c r="W12"/>
  <c r="W11"/>
  <c r="W10"/>
  <c r="K40"/>
  <c r="K39"/>
  <c r="K38"/>
  <c r="K37"/>
  <c r="K36"/>
  <c r="K35"/>
  <c r="K34"/>
  <c r="K33"/>
  <c r="K32"/>
  <c r="K31"/>
  <c r="K30"/>
  <c r="K29"/>
  <c r="K28"/>
  <c r="K27"/>
  <c r="K26"/>
  <c r="K25"/>
  <c r="K24"/>
  <c r="K23"/>
  <c r="K22"/>
  <c r="K21"/>
  <c r="K20"/>
  <c r="K19"/>
  <c r="K18"/>
  <c r="K17"/>
  <c r="K16"/>
  <c r="K15"/>
  <c r="K14"/>
  <c r="K13"/>
  <c r="K12"/>
  <c r="K11"/>
  <c r="K10"/>
  <c r="N40"/>
  <c r="N39"/>
  <c r="N38"/>
  <c r="N37"/>
  <c r="N36"/>
  <c r="N35"/>
  <c r="N34"/>
  <c r="N33"/>
  <c r="N32"/>
  <c r="N31"/>
  <c r="N30"/>
  <c r="N29"/>
  <c r="N28"/>
  <c r="N27"/>
  <c r="N26"/>
  <c r="N25"/>
  <c r="N24"/>
  <c r="N23"/>
  <c r="N22"/>
  <c r="N21"/>
  <c r="N20"/>
  <c r="N19"/>
  <c r="N18"/>
  <c r="N17"/>
  <c r="N16"/>
  <c r="N15"/>
  <c r="N14"/>
  <c r="N13"/>
  <c r="N12"/>
  <c r="N11"/>
  <c r="N10"/>
  <c r="V40"/>
  <c r="V39"/>
  <c r="V38"/>
  <c r="V37"/>
  <c r="V36"/>
  <c r="V35"/>
  <c r="V34"/>
  <c r="V33"/>
  <c r="V32"/>
  <c r="V31"/>
  <c r="V30"/>
  <c r="V29"/>
  <c r="V28"/>
  <c r="V27"/>
  <c r="V26"/>
  <c r="V25"/>
  <c r="V24"/>
  <c r="V23"/>
  <c r="V22"/>
  <c r="V21"/>
  <c r="V20"/>
  <c r="V19"/>
  <c r="V18"/>
  <c r="V17"/>
  <c r="V16"/>
  <c r="V15"/>
  <c r="V14"/>
  <c r="V13"/>
  <c r="V12"/>
  <c r="V11"/>
  <c r="V10"/>
  <c r="R40"/>
  <c r="R39"/>
  <c r="R38"/>
  <c r="R37"/>
  <c r="R36"/>
  <c r="R35"/>
  <c r="R34"/>
  <c r="R33"/>
  <c r="R32"/>
  <c r="R31"/>
  <c r="R30"/>
  <c r="R29"/>
  <c r="R28"/>
  <c r="R27"/>
  <c r="R26"/>
  <c r="R25"/>
  <c r="R24"/>
  <c r="R23"/>
  <c r="R22"/>
  <c r="R21"/>
  <c r="R20"/>
  <c r="R19"/>
  <c r="R18"/>
  <c r="R17"/>
  <c r="R16"/>
  <c r="R15"/>
  <c r="R14"/>
  <c r="R13"/>
  <c r="R12"/>
  <c r="R11"/>
  <c r="R10"/>
  <c r="S10" s="1"/>
  <c r="J40"/>
  <c r="J39"/>
  <c r="J38"/>
  <c r="J37"/>
  <c r="J36"/>
  <c r="J35"/>
  <c r="J34"/>
  <c r="J33"/>
  <c r="J32"/>
  <c r="J31"/>
  <c r="J30"/>
  <c r="J29"/>
  <c r="J28"/>
  <c r="J27"/>
  <c r="J26"/>
  <c r="J25"/>
  <c r="J24"/>
  <c r="J23"/>
  <c r="J22"/>
  <c r="J21"/>
  <c r="J20"/>
  <c r="J19"/>
  <c r="J18"/>
  <c r="J17"/>
  <c r="J16"/>
  <c r="J15"/>
  <c r="J14"/>
  <c r="J13"/>
  <c r="J12"/>
  <c r="J11"/>
  <c r="J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<sst xmlns="http://schemas.openxmlformats.org/spreadsheetml/2006/main" count="506" uniqueCount="196">
  <si>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</si>
  <si>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</si>
  <si>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</si>
  <si>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</si>
  <si>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</si>
  <si>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</si>
  <si>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</si>
  <si>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</si>
  <si>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</si>
  <si>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</si>
  <si>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</si>
  <si>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</si>
  <si>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</si>
  <si>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</si>
  <si>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</si>
  <si>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</si>
  <si>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</si>
  <si>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</si>
  <si>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</si>
  <si>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</si>
  <si>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</si>
  <si>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</si>
  <si>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</si>
  <si>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</si>
  <si>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</si>
  <si>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</si>
  <si>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</si>
  <si>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</si>
  <si>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</si>
  <si>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</si>
  <si>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</si>
  <si>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</si>
  <si>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</si>
  <si>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</si>
  <si>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</si>
  <si>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</si>
  <si>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</si>
  <si>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</si>
  <si>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</si>
  <si>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</si>
  <si>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</si>
  <si>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</si>
  <si>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</si>
  <si>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</si>
  <si>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</si>
  <si>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</si>
  <si>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</si>
  <si>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</si>
  <si>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</si>
  <si>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</si>
  <si>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</si>
  <si>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</si>
  <si>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</si>
  <si>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</si>
  <si>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</si>
  <si>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</si>
  <si>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</si>
  <si>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</si>
  <si>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</si>
  <si>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</si>
  <si>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</si>
  <si>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</si>
  <si>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</si>
  <si>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</si>
  <si>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</si>
  <si>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</si>
  <si>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</si>
  <si>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</si>
  <si>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</si>
  <si>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</si>
  <si>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</si>
  <si>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</si>
  <si>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</si>
  <si>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</si>
  <si>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</si>
  <si>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</si>
  <si>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</si>
  <si>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</si>
  <si>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</si>
  <si>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</si>
  <si>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</si>
  <si>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</si>
  <si>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</si>
  <si>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</si>
  <si>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</si>
  <si>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</si>
  <si>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</si>
  <si>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</si>
  <si>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</si>
  <si>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</si>
  <si>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</si>
  <si>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</si>
  <si>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</si>
  <si>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</si>
  <si>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</si>
  <si>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</si>
  <si>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</si>
  <si>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</si>
  <si>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</si>
  <si>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</si>
  <si>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</si>
  <si>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</si>
  <si>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</si>
  <si>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</si>
  <si>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</si>
  <si>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</si>
  <si>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</si>
  <si>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</si>
  <si>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</si>
  <si>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</si>
  <si>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</si>
  <si>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</si>
  <si>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</si>
  <si>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</si>
  <si>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</si>
  <si>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</si>
  <si>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</si>
  <si>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</si>
  <si>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</si>
  <si>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</si>
  <si>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</si>
  <si>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</si>
  <si>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</si>
  <si>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</si>
  <si>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</si>
  <si>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</si>
  <si>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</si>
  <si>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</si>
  <si>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</si>
  <si>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</si>
  <si>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</si>
  <si>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</si>
  <si>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</si>
  <si>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</si>
  <si>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</si>
  <si>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</si>
  <si>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</si>
  <si>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</si>
  <si>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</si>
  <si>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</si>
  <si>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</si>
  <si>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</si>
  <si>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</si>
  <si>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</si>
  <si>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</si>
  <si>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</si>
  <si>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</si>
  <si>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</si>
  <si>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</si>
  <si>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</si>
  <si>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</si>
  <si>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</si>
  <si>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</si>
  <si>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</si>
  <si>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</si>
  <si>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</si>
  <si>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</si>
  <si>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</si>
  <si>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</si>
  <si>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</si>
  <si>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</si>
  <si>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</si>
  <si>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</si>
  <si>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</si>
  <si>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</si>
  <si>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</si>
  <si>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</si>
  <si>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</si>
  <si>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</si>
  <si>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</si>
  <si>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</si>
  <si>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</si>
  <si>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</si>
  <si>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</si>
  <si>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</si>
  <si>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</si>
  <si>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Time   Irrigated</t>
  </si>
  <si>
    <t>Formulas</t>
  </si>
  <si>
    <t>If Time Irrigated is &lt; 60 minutes:</t>
  </si>
  <si>
    <t>If Time Irrigated is ≥ 60 minutes:</t>
  </si>
  <si>
    <t xml:space="preserve"> Permit No.:</t>
  </si>
  <si>
    <t>Freeboard</t>
  </si>
  <si>
    <t>Weather</t>
  </si>
  <si>
    <t>WQ0003405</t>
  </si>
  <si>
    <t>Elm City WWTP</t>
  </si>
  <si>
    <t>Fescue</t>
  </si>
  <si>
    <t>A</t>
  </si>
  <si>
    <t>B</t>
  </si>
  <si>
    <t>D</t>
  </si>
  <si>
    <t>E</t>
  </si>
  <si>
    <t>F</t>
  </si>
  <si>
    <t>Max Hourly Loading</t>
  </si>
  <si>
    <t>Did irrigation occur at this facility?</t>
  </si>
  <si>
    <t>Primary Lagoon</t>
  </si>
  <si>
    <t>301 Lagoon</t>
  </si>
  <si>
    <t>Secondary Lagoon</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</si>
</sst>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2">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77" xfId="0" applyNumberFormat="1" applyFont="1" applyFill="1" applyBorder="1" applyAlignment="1" applyProtection="1">
      <alignment horizontal="center" vertical="center"/>
    </xf>
    <xf numFmtId="0" fontId="3" fillId="2" borderId="19" xfId="0" applyNumberFormat="1"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164" fontId="4" fillId="2" borderId="34"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3" fillId="3" borderId="5" xfId="0" quotePrefix="1"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X42"/>
  <sheetViews>
    <sheetView tabSelected="1" zoomScale="80" zoomScaleNormal="80" workbookViewId="0">
      <selection activeCell="D1" sqref="D1:G1"/>
    </sheetView>
  </sheetViews>
  <sheetFormatPr defaultRowHeight="12.75"/>
  <cols>
    <col min="1" max="1" width="3.140625" style="27" customWidth="1"/>
    <col min="2" max="2" width="5.7109375" style="27" customWidth="1"/>
    <col min="3" max="7" width="5.7109375" style="1" customWidth="1"/>
    <col min="8" max="8" width="9.42578125" style="1" customWidth="1"/>
    <col min="9" max="9" width="7.85546875" style="1" customWidth="1"/>
    <col min="10" max="11" width="7.140625" style="1" customWidth="1"/>
    <col min="12" max="12" width="9.42578125" style="1" customWidth="1"/>
    <col min="13" max="13" width="7.85546875" style="1" customWidth="1"/>
    <col min="14" max="15" width="7.140625" style="1" customWidth="1"/>
    <col min="16" max="16" width="9.42578125" style="1" customWidth="1"/>
    <col min="17" max="17" width="7.85546875" style="1" customWidth="1"/>
    <col min="18" max="18" width="7.140625" style="1" customWidth="1"/>
    <col min="19" max="19" width="7.85546875" style="1" customWidth="1"/>
    <col min="20" max="20" width="9.42578125" style="1" customWidth="1"/>
    <col min="21" max="21" width="7.85546875" style="1" customWidth="1"/>
    <col min="22" max="23" width="7.140625" style="1" customWidth="1"/>
    <col min="24" max="16384" width="9.140625" style="1"/>
  </cols>
  <sheetData>
    <row r="1" spans="1:24" ht="22.5" customHeight="1" thickBot="1">
      <c r="A1" s="162" t="s">
        <v>180</v>
      </c>
      <c r="B1" s="163"/>
      <c r="C1" s="163"/>
      <c r="D1" s="164" t="s">
        <v>183</v>
      </c>
      <c r="E1" s="164"/>
      <c r="F1" s="164"/>
      <c r="G1" s="165"/>
      <c r="H1" s="176" t="s">
        <v>4</v>
      </c>
      <c r="I1" s="177"/>
      <c r="J1" s="164" t="s">
        <v>184</v>
      </c>
      <c r="K1" s="164"/>
      <c r="L1" s="164"/>
      <c r="M1" s="164"/>
      <c r="N1" s="164"/>
      <c r="O1" s="165"/>
      <c r="P1" s="43" t="s">
        <v>7</v>
      </c>
      <c r="Q1" s="174" t="s">
        <v>115</v>
      </c>
      <c r="R1" s="175"/>
      <c r="S1" s="43" t="s">
        <v>5</v>
      </c>
      <c r="T1" s="174"/>
      <c r="U1" s="175"/>
      <c r="V1" s="14" t="s">
        <v>6</v>
      </c>
      <c r="W1" s="44"/>
      <c r="X1" s="2"/>
    </row>
    <row r="2" spans="1:24" ht="18.75" customHeight="1">
      <c r="A2" s="146" t="s">
        <v>192</v>
      </c>
      <c r="B2" s="147"/>
      <c r="C2" s="147"/>
      <c r="D2" s="147"/>
      <c r="E2" s="147"/>
      <c r="F2" s="147"/>
      <c r="G2" s="147"/>
      <c r="H2" s="169" t="s">
        <v>143</v>
      </c>
      <c r="I2" s="170"/>
      <c r="J2" s="156">
        <v>1</v>
      </c>
      <c r="K2" s="157"/>
      <c r="L2" s="132" t="s">
        <v>143</v>
      </c>
      <c r="M2" s="133"/>
      <c r="N2" s="134">
        <v>2</v>
      </c>
      <c r="O2" s="178"/>
      <c r="P2" s="169" t="s">
        <v>143</v>
      </c>
      <c r="Q2" s="170"/>
      <c r="R2" s="156">
        <v>3</v>
      </c>
      <c r="S2" s="157"/>
      <c r="T2" s="132" t="s">
        <v>143</v>
      </c>
      <c r="U2" s="133"/>
      <c r="V2" s="134">
        <v>4</v>
      </c>
      <c r="W2" s="135"/>
    </row>
    <row r="3" spans="1:24" ht="18.75" customHeight="1">
      <c r="A3" s="148"/>
      <c r="B3" s="147"/>
      <c r="C3" s="147"/>
      <c r="D3" s="147"/>
      <c r="E3" s="147"/>
      <c r="F3" s="147"/>
      <c r="G3" s="147"/>
      <c r="H3" s="142" t="s">
        <v>144</v>
      </c>
      <c r="I3" s="158"/>
      <c r="J3" s="143">
        <v>5</v>
      </c>
      <c r="K3" s="144"/>
      <c r="L3" s="136" t="s">
        <v>144</v>
      </c>
      <c r="M3" s="137"/>
      <c r="N3" s="138">
        <v>4.7699999999999996</v>
      </c>
      <c r="O3" s="161"/>
      <c r="P3" s="142" t="s">
        <v>144</v>
      </c>
      <c r="Q3" s="158"/>
      <c r="R3" s="143">
        <v>4.96</v>
      </c>
      <c r="S3" s="144"/>
      <c r="T3" s="136" t="s">
        <v>144</v>
      </c>
      <c r="U3" s="137"/>
      <c r="V3" s="138">
        <v>4.2699999999999996</v>
      </c>
      <c r="W3" s="139"/>
    </row>
    <row r="4" spans="1:24" ht="18.75" customHeight="1">
      <c r="A4" s="148"/>
      <c r="B4" s="147"/>
      <c r="C4" s="147"/>
      <c r="D4" s="147"/>
      <c r="E4" s="147"/>
      <c r="F4" s="147"/>
      <c r="G4" s="147"/>
      <c r="H4" s="142" t="s">
        <v>145</v>
      </c>
      <c r="I4" s="131"/>
      <c r="J4" s="143" t="s">
        <v>185</v>
      </c>
      <c r="K4" s="144"/>
      <c r="L4" s="136" t="s">
        <v>145</v>
      </c>
      <c r="M4" s="140"/>
      <c r="N4" s="138" t="s">
        <v>185</v>
      </c>
      <c r="O4" s="161"/>
      <c r="P4" s="142" t="s">
        <v>145</v>
      </c>
      <c r="Q4" s="131"/>
      <c r="R4" s="143" t="s">
        <v>185</v>
      </c>
      <c r="S4" s="144"/>
      <c r="T4" s="136" t="s">
        <v>145</v>
      </c>
      <c r="U4" s="140"/>
      <c r="V4" s="138" t="s">
        <v>185</v>
      </c>
      <c r="W4" s="139"/>
    </row>
    <row r="5" spans="1:24" ht="18.75" customHeight="1">
      <c r="A5" s="149"/>
      <c r="B5" s="150"/>
      <c r="C5" s="150"/>
      <c r="D5" s="150"/>
      <c r="E5" s="150"/>
      <c r="F5" s="150"/>
      <c r="G5" s="150"/>
      <c r="H5" s="142" t="s">
        <v>150</v>
      </c>
      <c r="I5" s="131"/>
      <c r="J5" s="143">
        <v>0.5</v>
      </c>
      <c r="K5" s="144"/>
      <c r="L5" s="136" t="s">
        <v>150</v>
      </c>
      <c r="M5" s="140"/>
      <c r="N5" s="138">
        <v>0.5</v>
      </c>
      <c r="O5" s="161"/>
      <c r="P5" s="142" t="s">
        <v>150</v>
      </c>
      <c r="Q5" s="131"/>
      <c r="R5" s="143">
        <v>0.5</v>
      </c>
      <c r="S5" s="144"/>
      <c r="T5" s="136" t="s">
        <v>150</v>
      </c>
      <c r="U5" s="140"/>
      <c r="V5" s="138">
        <v>0.5</v>
      </c>
      <c r="W5" s="139"/>
    </row>
    <row r="6" spans="1:24" ht="18.75" customHeight="1" thickBot="1">
      <c r="A6" s="151"/>
      <c r="B6" s="152"/>
      <c r="C6" s="152"/>
      <c r="D6" s="152"/>
      <c r="E6" s="152"/>
      <c r="F6" s="152"/>
      <c r="G6" s="152"/>
      <c r="H6" s="130" t="s">
        <v>151</v>
      </c>
      <c r="I6" s="131"/>
      <c r="J6" s="143">
        <v>126.88</v>
      </c>
      <c r="K6" s="145"/>
      <c r="L6" s="141" t="s">
        <v>151</v>
      </c>
      <c r="M6" s="140"/>
      <c r="N6" s="138">
        <v>102.96</v>
      </c>
      <c r="O6" s="161"/>
      <c r="P6" s="130" t="s">
        <v>151</v>
      </c>
      <c r="Q6" s="131"/>
      <c r="R6" s="143">
        <v>102.96</v>
      </c>
      <c r="S6" s="144"/>
      <c r="T6" s="141" t="s">
        <v>151</v>
      </c>
      <c r="U6" s="140"/>
      <c r="V6" s="138">
        <v>126.88</v>
      </c>
      <c r="W6" s="139"/>
    </row>
    <row r="7" spans="1:24" ht="18.75" customHeight="1" thickBot="1">
      <c r="A7" s="166" t="s">
        <v>9</v>
      </c>
      <c r="B7" s="127" t="s">
        <v>182</v>
      </c>
      <c r="C7" s="128"/>
      <c r="D7" s="129"/>
      <c r="E7" s="171" t="s">
        <v>181</v>
      </c>
      <c r="F7" s="172"/>
      <c r="G7" s="173"/>
      <c r="H7" s="130" t="s">
        <v>152</v>
      </c>
      <c r="I7" s="131"/>
      <c r="J7" s="26"/>
      <c r="K7" s="45"/>
      <c r="L7" s="141" t="s">
        <v>152</v>
      </c>
      <c r="M7" s="140"/>
      <c r="N7" s="20"/>
      <c r="O7" s="46"/>
      <c r="P7" s="130" t="s">
        <v>152</v>
      </c>
      <c r="Q7" s="131"/>
      <c r="R7" s="26"/>
      <c r="S7" s="45"/>
      <c r="T7" s="141" t="s">
        <v>152</v>
      </c>
      <c r="U7" s="140"/>
      <c r="V7" s="20"/>
      <c r="W7" s="47"/>
    </row>
    <row r="8" spans="1:24" ht="75" customHeight="1">
      <c r="A8" s="167"/>
      <c r="B8" s="159" t="s">
        <v>139</v>
      </c>
      <c r="C8" s="15" t="s">
        <v>3</v>
      </c>
      <c r="D8" s="16" t="s">
        <v>140</v>
      </c>
      <c r="E8" s="116" t="s">
        <v>193</v>
      </c>
      <c r="F8" s="15" t="s">
        <v>194</v>
      </c>
      <c r="G8" s="108" t="s">
        <v>195</v>
      </c>
      <c r="H8" s="28" t="s">
        <v>146</v>
      </c>
      <c r="I8" s="11" t="s">
        <v>176</v>
      </c>
      <c r="J8" s="11" t="s">
        <v>148</v>
      </c>
      <c r="K8" s="29" t="s">
        <v>191</v>
      </c>
      <c r="L8" s="32" t="s">
        <v>146</v>
      </c>
      <c r="M8" s="10" t="s">
        <v>175</v>
      </c>
      <c r="N8" s="10" t="s">
        <v>148</v>
      </c>
      <c r="O8" s="33" t="s">
        <v>191</v>
      </c>
      <c r="P8" s="28" t="s">
        <v>146</v>
      </c>
      <c r="Q8" s="11" t="s">
        <v>176</v>
      </c>
      <c r="R8" s="11" t="s">
        <v>148</v>
      </c>
      <c r="S8" s="29" t="s">
        <v>191</v>
      </c>
      <c r="T8" s="32" t="s">
        <v>146</v>
      </c>
      <c r="U8" s="10" t="s">
        <v>176</v>
      </c>
      <c r="V8" s="10" t="s">
        <v>148</v>
      </c>
      <c r="W8" s="36" t="s">
        <v>191</v>
      </c>
    </row>
    <row r="9" spans="1:24" ht="15.75" customHeight="1" thickBot="1">
      <c r="A9" s="168"/>
      <c r="B9" s="160"/>
      <c r="C9" s="19" t="s">
        <v>142</v>
      </c>
      <c r="D9" s="8" t="s">
        <v>141</v>
      </c>
      <c r="E9" s="117" t="s">
        <v>138</v>
      </c>
      <c r="F9" s="119" t="s">
        <v>138</v>
      </c>
      <c r="G9" s="115" t="s">
        <v>138</v>
      </c>
      <c r="H9" s="30" t="s">
        <v>149</v>
      </c>
      <c r="I9" s="9" t="s">
        <v>147</v>
      </c>
      <c r="J9" s="9" t="s">
        <v>141</v>
      </c>
      <c r="K9" s="31" t="s">
        <v>141</v>
      </c>
      <c r="L9" s="34" t="s">
        <v>149</v>
      </c>
      <c r="M9" s="7" t="s">
        <v>147</v>
      </c>
      <c r="N9" s="7" t="s">
        <v>141</v>
      </c>
      <c r="O9" s="35" t="s">
        <v>141</v>
      </c>
      <c r="P9" s="30" t="s">
        <v>149</v>
      </c>
      <c r="Q9" s="9" t="s">
        <v>147</v>
      </c>
      <c r="R9" s="9" t="s">
        <v>141</v>
      </c>
      <c r="S9" s="31" t="s">
        <v>141</v>
      </c>
      <c r="T9" s="34" t="s">
        <v>149</v>
      </c>
      <c r="U9" s="7" t="s">
        <v>147</v>
      </c>
      <c r="V9" s="42" t="s">
        <v>141</v>
      </c>
      <c r="W9" s="101" t="s">
        <v>141</v>
      </c>
    </row>
    <row r="10" spans="1:24" ht="15" customHeight="1">
      <c r="A10" s="5">
        <v>1</v>
      </c>
      <c r="B10" s="17"/>
      <c r="C10" s="18"/>
      <c r="D10" s="48"/>
      <c r="E10" s="112"/>
      <c r="F10" s="120"/>
      <c r="G10" s="111"/>
      <c r="H10" s="51"/>
      <c r="I10" s="21"/>
      <c r="J10" s="55" t="str">
        <f t="shared" ref="J10:J17" si="0">IF((ISBLANK($H10))," ",($H10)/($J$3*27152))</f>
        <v xml:space="preserve"> </v>
      </c>
      <c r="K10" s="66" t="str">
        <f>IF((ISBLANK(I10)), " ", IF(I10&lt;60, J10, (J10/I10)*60))</f>
        <v xml:space="preserve"> </v>
      </c>
      <c r="L10" s="92"/>
      <c r="M10" s="93"/>
      <c r="N10" s="63" t="str">
        <f>IF((ISBLANK($L10))," ",($L10)/($N$3*27152))</f>
        <v xml:space="preserve"> </v>
      </c>
      <c r="O10" s="98" t="str">
        <f>IF((ISBLANK(M10)), " ", IF(M10&lt;60, N10, (N10/M10)*60))</f>
        <v xml:space="preserve"> </v>
      </c>
      <c r="P10" s="51"/>
      <c r="Q10" s="21"/>
      <c r="R10" s="55" t="str">
        <f>IF((ISBLANK($P10))," ",($P10)/($R$3*27152))</f>
        <v xml:space="preserve"> </v>
      </c>
      <c r="S10" s="66" t="str">
        <f>IF((ISBLANK(Q10)), " ", IF(Q10&lt;60, R10, (R10/Q10)*60))</f>
        <v xml:space="preserve"> </v>
      </c>
      <c r="T10" s="59"/>
      <c r="U10" s="23"/>
      <c r="V10" s="63" t="str">
        <f>IF((ISBLANK($T10))," ",($T10)/($V$3*27152))</f>
        <v xml:space="preserve"> </v>
      </c>
      <c r="W10" s="102" t="str">
        <f>IF((ISBLANK(U10)), " ", IF(U10&lt;60, V10, (V10/U10)*60))</f>
        <v xml:space="preserve"> </v>
      </c>
    </row>
    <row r="11" spans="1:24" ht="15" customHeight="1">
      <c r="A11" s="5">
        <v>2</v>
      </c>
      <c r="B11" s="17"/>
      <c r="C11" s="3"/>
      <c r="D11" s="49"/>
      <c r="E11" s="113"/>
      <c r="F11" s="3"/>
      <c r="G11" s="109"/>
      <c r="H11" s="52"/>
      <c r="I11" s="13"/>
      <c r="J11" s="56" t="str">
        <f t="shared" si="0"/>
        <v xml:space="preserve"> </v>
      </c>
      <c r="K11" s="67" t="str">
        <f t="shared" ref="K11:K40" si="1">IF((ISBLANK(I11)), " ", IF(I11&lt;60, J11, (J11/I11)*60))</f>
        <v xml:space="preserve"> </v>
      </c>
      <c r="L11" s="95"/>
      <c r="M11" s="3"/>
      <c r="N11" s="64" t="str">
        <f t="shared" ref="N11:N40" si="2">IF((ISBLANK($L11))," ",($L11)/($N$3*27152))</f>
        <v xml:space="preserve"> </v>
      </c>
      <c r="O11" s="100" t="str">
        <f t="shared" ref="O11:O40" si="3">IF((ISBLANK(M11)), " ", IF(M11&lt;60, N11, (N11/M11)*60))</f>
        <v xml:space="preserve"> </v>
      </c>
      <c r="P11" s="52"/>
      <c r="Q11" s="13"/>
      <c r="R11" s="56" t="str">
        <f>IF((ISBLANK($P11))," ",($P11)/($R$3*27152))</f>
        <v xml:space="preserve"> </v>
      </c>
      <c r="S11" s="67" t="str">
        <f t="shared" ref="S11:S40" si="4">IF((ISBLANK(Q11)), " ", IF(Q11&lt;60, R11, (R11/Q11)*60))</f>
        <v xml:space="preserve"> </v>
      </c>
      <c r="T11" s="60"/>
      <c r="U11" s="24"/>
      <c r="V11" s="64" t="str">
        <f>IF((ISBLANK($T11))," ",($T11)/($V$3*27152))</f>
        <v xml:space="preserve"> </v>
      </c>
      <c r="W11" s="103" t="str">
        <f t="shared" ref="W11:W40" si="5">IF((ISBLANK(U11)), " ", IF(U11&lt;60, V11, (V11/U11)*60))</f>
        <v xml:space="preserve"> </v>
      </c>
    </row>
    <row r="12" spans="1:24" ht="15" customHeight="1">
      <c r="A12" s="5">
        <v>3</v>
      </c>
      <c r="B12" s="17"/>
      <c r="C12" s="3"/>
      <c r="D12" s="49"/>
      <c r="E12" s="113"/>
      <c r="F12" s="3"/>
      <c r="G12" s="109"/>
      <c r="H12" s="52"/>
      <c r="I12" s="13"/>
      <c r="J12" s="56" t="str">
        <f t="shared" si="0"/>
        <v xml:space="preserve"> </v>
      </c>
      <c r="K12" s="67" t="str">
        <f t="shared" si="1"/>
        <v xml:space="preserve"> </v>
      </c>
      <c r="L12" s="95"/>
      <c r="M12" s="3"/>
      <c r="N12" s="64" t="str">
        <f t="shared" si="2"/>
        <v xml:space="preserve"> </v>
      </c>
      <c r="O12" s="100" t="str">
        <f t="shared" si="3"/>
        <v xml:space="preserve"> </v>
      </c>
      <c r="P12" s="52"/>
      <c r="Q12" s="13"/>
      <c r="R12" s="56" t="str">
        <f t="shared" ref="R12:R40" si="6">IF((ISBLANK($P12))," ",($P12)/($R$3*27152))</f>
        <v xml:space="preserve"> </v>
      </c>
      <c r="S12" s="67" t="str">
        <f t="shared" si="4"/>
        <v xml:space="preserve"> </v>
      </c>
      <c r="T12" s="60"/>
      <c r="U12" s="24"/>
      <c r="V12" s="64" t="str">
        <f t="shared" ref="V12:V40" si="7">IF((ISBLANK($T12))," ",($T12)/($V$3*27152))</f>
        <v xml:space="preserve"> </v>
      </c>
      <c r="W12" s="103" t="str">
        <f t="shared" si="5"/>
        <v xml:space="preserve"> </v>
      </c>
    </row>
    <row r="13" spans="1:24" ht="15" customHeight="1">
      <c r="A13" s="5">
        <v>4</v>
      </c>
      <c r="B13" s="17"/>
      <c r="C13" s="3"/>
      <c r="D13" s="49"/>
      <c r="E13" s="113"/>
      <c r="F13" s="3"/>
      <c r="G13" s="109"/>
      <c r="H13" s="52"/>
      <c r="I13" s="13"/>
      <c r="J13" s="56" t="str">
        <f t="shared" si="0"/>
        <v xml:space="preserve"> </v>
      </c>
      <c r="K13" s="67" t="str">
        <f t="shared" si="1"/>
        <v xml:space="preserve"> </v>
      </c>
      <c r="L13" s="95"/>
      <c r="M13" s="3"/>
      <c r="N13" s="64" t="str">
        <f t="shared" si="2"/>
        <v xml:space="preserve"> </v>
      </c>
      <c r="O13" s="100" t="str">
        <f t="shared" si="3"/>
        <v xml:space="preserve"> </v>
      </c>
      <c r="P13" s="52"/>
      <c r="Q13" s="13"/>
      <c r="R13" s="56" t="str">
        <f t="shared" si="6"/>
        <v xml:space="preserve"> </v>
      </c>
      <c r="S13" s="67" t="str">
        <f t="shared" si="4"/>
        <v xml:space="preserve"> </v>
      </c>
      <c r="T13" s="60"/>
      <c r="U13" s="24"/>
      <c r="V13" s="64" t="str">
        <f t="shared" si="7"/>
        <v xml:space="preserve"> </v>
      </c>
      <c r="W13" s="103" t="str">
        <f t="shared" si="5"/>
        <v xml:space="preserve"> </v>
      </c>
    </row>
    <row r="14" spans="1:24" ht="15" customHeight="1">
      <c r="A14" s="5">
        <v>5</v>
      </c>
      <c r="B14" s="17"/>
      <c r="C14" s="3"/>
      <c r="D14" s="49"/>
      <c r="E14" s="113"/>
      <c r="F14" s="3"/>
      <c r="G14" s="109"/>
      <c r="H14" s="52"/>
      <c r="I14" s="13"/>
      <c r="J14" s="56" t="str">
        <f t="shared" si="0"/>
        <v xml:space="preserve"> </v>
      </c>
      <c r="K14" s="67" t="str">
        <f t="shared" si="1"/>
        <v xml:space="preserve"> </v>
      </c>
      <c r="L14" s="95"/>
      <c r="M14" s="3"/>
      <c r="N14" s="64" t="str">
        <f t="shared" si="2"/>
        <v xml:space="preserve"> </v>
      </c>
      <c r="O14" s="100" t="str">
        <f t="shared" si="3"/>
        <v xml:space="preserve"> </v>
      </c>
      <c r="P14" s="52"/>
      <c r="Q14" s="13"/>
      <c r="R14" s="56" t="str">
        <f t="shared" si="6"/>
        <v xml:space="preserve"> </v>
      </c>
      <c r="S14" s="67" t="str">
        <f t="shared" si="4"/>
        <v xml:space="preserve"> </v>
      </c>
      <c r="T14" s="60"/>
      <c r="U14" s="24"/>
      <c r="V14" s="64" t="str">
        <f t="shared" si="7"/>
        <v xml:space="preserve"> </v>
      </c>
      <c r="W14" s="103" t="str">
        <f t="shared" si="5"/>
        <v xml:space="preserve"> </v>
      </c>
    </row>
    <row r="15" spans="1:24" ht="15" customHeight="1">
      <c r="A15" s="5">
        <v>6</v>
      </c>
      <c r="B15" s="17"/>
      <c r="C15" s="3"/>
      <c r="D15" s="49"/>
      <c r="E15" s="113"/>
      <c r="F15" s="3"/>
      <c r="G15" s="109"/>
      <c r="H15" s="52"/>
      <c r="I15" s="13"/>
      <c r="J15" s="56" t="str">
        <f t="shared" si="0"/>
        <v xml:space="preserve"> </v>
      </c>
      <c r="K15" s="67" t="str">
        <f t="shared" si="1"/>
        <v xml:space="preserve"> </v>
      </c>
      <c r="L15" s="95"/>
      <c r="M15" s="3"/>
      <c r="N15" s="64" t="str">
        <f t="shared" si="2"/>
        <v xml:space="preserve"> </v>
      </c>
      <c r="O15" s="100" t="str">
        <f t="shared" si="3"/>
        <v xml:space="preserve"> </v>
      </c>
      <c r="P15" s="52"/>
      <c r="Q15" s="13"/>
      <c r="R15" s="56" t="str">
        <f t="shared" si="6"/>
        <v xml:space="preserve"> </v>
      </c>
      <c r="S15" s="67" t="str">
        <f t="shared" si="4"/>
        <v xml:space="preserve"> </v>
      </c>
      <c r="T15" s="60"/>
      <c r="U15" s="24"/>
      <c r="V15" s="64" t="str">
        <f t="shared" si="7"/>
        <v xml:space="preserve"> </v>
      </c>
      <c r="W15" s="103" t="str">
        <f t="shared" si="5"/>
        <v xml:space="preserve"> </v>
      </c>
    </row>
    <row r="16" spans="1:24" ht="15" customHeight="1">
      <c r="A16" s="5">
        <v>7</v>
      </c>
      <c r="B16" s="17"/>
      <c r="C16" s="3"/>
      <c r="D16" s="49"/>
      <c r="E16" s="113"/>
      <c r="F16" s="3"/>
      <c r="G16" s="109"/>
      <c r="H16" s="52"/>
      <c r="I16" s="13"/>
      <c r="J16" s="56" t="str">
        <f t="shared" si="0"/>
        <v xml:space="preserve"> </v>
      </c>
      <c r="K16" s="67" t="str">
        <f t="shared" si="1"/>
        <v xml:space="preserve"> </v>
      </c>
      <c r="L16" s="95"/>
      <c r="M16" s="3"/>
      <c r="N16" s="64" t="str">
        <f t="shared" si="2"/>
        <v xml:space="preserve"> </v>
      </c>
      <c r="O16" s="100" t="str">
        <f t="shared" si="3"/>
        <v xml:space="preserve"> </v>
      </c>
      <c r="P16" s="52"/>
      <c r="Q16" s="13"/>
      <c r="R16" s="56" t="str">
        <f t="shared" si="6"/>
        <v xml:space="preserve"> </v>
      </c>
      <c r="S16" s="67" t="str">
        <f t="shared" si="4"/>
        <v xml:space="preserve"> </v>
      </c>
      <c r="T16" s="60"/>
      <c r="U16" s="24"/>
      <c r="V16" s="64" t="str">
        <f t="shared" si="7"/>
        <v xml:space="preserve"> </v>
      </c>
      <c r="W16" s="103" t="str">
        <f t="shared" si="5"/>
        <v xml:space="preserve"> </v>
      </c>
    </row>
    <row r="17" spans="1:23" ht="15" customHeight="1">
      <c r="A17" s="5">
        <v>8</v>
      </c>
      <c r="B17" s="17"/>
      <c r="C17" s="3"/>
      <c r="D17" s="49"/>
      <c r="E17" s="113"/>
      <c r="F17" s="3"/>
      <c r="G17" s="109"/>
      <c r="H17" s="52"/>
      <c r="I17" s="13"/>
      <c r="J17" s="57" t="str">
        <f t="shared" si="0"/>
        <v xml:space="preserve"> </v>
      </c>
      <c r="K17" s="67" t="str">
        <f t="shared" si="1"/>
        <v xml:space="preserve"> </v>
      </c>
      <c r="L17" s="95"/>
      <c r="M17" s="3"/>
      <c r="N17" s="64" t="str">
        <f t="shared" si="2"/>
        <v xml:space="preserve"> </v>
      </c>
      <c r="O17" s="100" t="str">
        <f t="shared" si="3"/>
        <v xml:space="preserve"> </v>
      </c>
      <c r="P17" s="52"/>
      <c r="Q17" s="13"/>
      <c r="R17" s="56" t="str">
        <f t="shared" si="6"/>
        <v xml:space="preserve"> </v>
      </c>
      <c r="S17" s="67" t="str">
        <f t="shared" si="4"/>
        <v xml:space="preserve"> </v>
      </c>
      <c r="T17" s="60"/>
      <c r="U17" s="24"/>
      <c r="V17" s="64" t="str">
        <f t="shared" si="7"/>
        <v xml:space="preserve"> </v>
      </c>
      <c r="W17" s="103" t="str">
        <f t="shared" si="5"/>
        <v xml:space="preserve"> </v>
      </c>
    </row>
    <row r="18" spans="1:23" ht="15" customHeight="1">
      <c r="A18" s="5">
        <v>9</v>
      </c>
      <c r="B18" s="17"/>
      <c r="C18" s="3"/>
      <c r="D18" s="49"/>
      <c r="E18" s="113"/>
      <c r="F18" s="3"/>
      <c r="G18" s="109"/>
      <c r="H18" s="52"/>
      <c r="I18" s="13"/>
      <c r="J18" s="57" t="str">
        <f t="shared" ref="J18:J40" si="8">IF((ISBLANK($H18))," ",($H18)/($J$3*27152))</f>
        <v xml:space="preserve"> </v>
      </c>
      <c r="K18" s="67" t="str">
        <f t="shared" si="1"/>
        <v xml:space="preserve"> </v>
      </c>
      <c r="L18" s="95"/>
      <c r="M18" s="3"/>
      <c r="N18" s="64" t="str">
        <f t="shared" si="2"/>
        <v xml:space="preserve"> </v>
      </c>
      <c r="O18" s="100" t="str">
        <f t="shared" si="3"/>
        <v xml:space="preserve"> </v>
      </c>
      <c r="P18" s="52"/>
      <c r="Q18" s="13"/>
      <c r="R18" s="56" t="str">
        <f t="shared" si="6"/>
        <v xml:space="preserve"> </v>
      </c>
      <c r="S18" s="67" t="str">
        <f t="shared" si="4"/>
        <v xml:space="preserve"> </v>
      </c>
      <c r="T18" s="60"/>
      <c r="U18" s="24"/>
      <c r="V18" s="64" t="str">
        <f t="shared" si="7"/>
        <v xml:space="preserve"> </v>
      </c>
      <c r="W18" s="103" t="str">
        <f t="shared" si="5"/>
        <v xml:space="preserve"> </v>
      </c>
    </row>
    <row r="19" spans="1:23" ht="15" customHeight="1">
      <c r="A19" s="5">
        <v>10</v>
      </c>
      <c r="B19" s="17"/>
      <c r="C19" s="3"/>
      <c r="D19" s="49"/>
      <c r="E19" s="113"/>
      <c r="F19" s="3"/>
      <c r="G19" s="109"/>
      <c r="H19" s="52"/>
      <c r="I19" s="13"/>
      <c r="J19" s="57" t="str">
        <f t="shared" si="8"/>
        <v xml:space="preserve"> </v>
      </c>
      <c r="K19" s="67" t="str">
        <f t="shared" si="1"/>
        <v xml:space="preserve"> </v>
      </c>
      <c r="L19" s="95"/>
      <c r="M19" s="3"/>
      <c r="N19" s="64" t="str">
        <f t="shared" si="2"/>
        <v xml:space="preserve"> </v>
      </c>
      <c r="O19" s="100" t="str">
        <f t="shared" si="3"/>
        <v xml:space="preserve"> </v>
      </c>
      <c r="P19" s="52"/>
      <c r="Q19" s="13"/>
      <c r="R19" s="56" t="str">
        <f t="shared" si="6"/>
        <v xml:space="preserve"> </v>
      </c>
      <c r="S19" s="67" t="str">
        <f t="shared" si="4"/>
        <v xml:space="preserve"> </v>
      </c>
      <c r="T19" s="60"/>
      <c r="U19" s="24"/>
      <c r="V19" s="64" t="str">
        <f t="shared" si="7"/>
        <v xml:space="preserve"> </v>
      </c>
      <c r="W19" s="103" t="str">
        <f t="shared" si="5"/>
        <v xml:space="preserve"> </v>
      </c>
    </row>
    <row r="20" spans="1:23" ht="15" customHeight="1">
      <c r="A20" s="5">
        <v>11</v>
      </c>
      <c r="B20" s="17"/>
      <c r="C20" s="3"/>
      <c r="D20" s="49"/>
      <c r="E20" s="113"/>
      <c r="F20" s="3"/>
      <c r="G20" s="109"/>
      <c r="H20" s="52"/>
      <c r="I20" s="13"/>
      <c r="J20" s="57" t="str">
        <f t="shared" si="8"/>
        <v xml:space="preserve"> </v>
      </c>
      <c r="K20" s="67" t="str">
        <f t="shared" si="1"/>
        <v xml:space="preserve"> </v>
      </c>
      <c r="L20" s="95"/>
      <c r="M20" s="3"/>
      <c r="N20" s="64" t="str">
        <f t="shared" si="2"/>
        <v xml:space="preserve"> </v>
      </c>
      <c r="O20" s="100" t="str">
        <f t="shared" si="3"/>
        <v xml:space="preserve"> </v>
      </c>
      <c r="P20" s="52"/>
      <c r="Q20" s="13"/>
      <c r="R20" s="56" t="str">
        <f t="shared" si="6"/>
        <v xml:space="preserve"> </v>
      </c>
      <c r="S20" s="67" t="str">
        <f t="shared" si="4"/>
        <v xml:space="preserve"> </v>
      </c>
      <c r="T20" s="60"/>
      <c r="U20" s="24"/>
      <c r="V20" s="64" t="str">
        <f t="shared" si="7"/>
        <v xml:space="preserve"> </v>
      </c>
      <c r="W20" s="103" t="str">
        <f t="shared" si="5"/>
        <v xml:space="preserve"> </v>
      </c>
    </row>
    <row r="21" spans="1:23" ht="15" customHeight="1">
      <c r="A21" s="5">
        <v>12</v>
      </c>
      <c r="B21" s="17"/>
      <c r="C21" s="3"/>
      <c r="D21" s="49"/>
      <c r="E21" s="113"/>
      <c r="F21" s="3"/>
      <c r="G21" s="109"/>
      <c r="H21" s="52"/>
      <c r="I21" s="13"/>
      <c r="J21" s="57" t="str">
        <f t="shared" si="8"/>
        <v xml:space="preserve"> </v>
      </c>
      <c r="K21" s="67" t="str">
        <f t="shared" si="1"/>
        <v xml:space="preserve"> </v>
      </c>
      <c r="L21" s="95"/>
      <c r="M21" s="3"/>
      <c r="N21" s="64" t="str">
        <f t="shared" si="2"/>
        <v xml:space="preserve"> </v>
      </c>
      <c r="O21" s="100" t="str">
        <f t="shared" si="3"/>
        <v xml:space="preserve"> </v>
      </c>
      <c r="P21" s="52"/>
      <c r="Q21" s="13"/>
      <c r="R21" s="56" t="str">
        <f t="shared" si="6"/>
        <v xml:space="preserve"> </v>
      </c>
      <c r="S21" s="67" t="str">
        <f t="shared" si="4"/>
        <v xml:space="preserve"> </v>
      </c>
      <c r="T21" s="60"/>
      <c r="U21" s="24"/>
      <c r="V21" s="64" t="str">
        <f t="shared" si="7"/>
        <v xml:space="preserve"> </v>
      </c>
      <c r="W21" s="103" t="str">
        <f t="shared" si="5"/>
        <v xml:space="preserve"> </v>
      </c>
    </row>
    <row r="22" spans="1:23" ht="15" customHeight="1">
      <c r="A22" s="5">
        <v>13</v>
      </c>
      <c r="B22" s="17"/>
      <c r="C22" s="3"/>
      <c r="D22" s="49"/>
      <c r="E22" s="113"/>
      <c r="F22" s="3"/>
      <c r="G22" s="109"/>
      <c r="H22" s="52"/>
      <c r="I22" s="13"/>
      <c r="J22" s="57" t="str">
        <f t="shared" si="8"/>
        <v xml:space="preserve"> </v>
      </c>
      <c r="K22" s="67" t="str">
        <f t="shared" si="1"/>
        <v xml:space="preserve"> </v>
      </c>
      <c r="L22" s="95"/>
      <c r="M22" s="3"/>
      <c r="N22" s="64" t="str">
        <f t="shared" si="2"/>
        <v xml:space="preserve"> </v>
      </c>
      <c r="O22" s="100" t="str">
        <f t="shared" si="3"/>
        <v xml:space="preserve"> </v>
      </c>
      <c r="P22" s="52"/>
      <c r="Q22" s="13"/>
      <c r="R22" s="56" t="str">
        <f t="shared" si="6"/>
        <v xml:space="preserve"> </v>
      </c>
      <c r="S22" s="67" t="str">
        <f t="shared" si="4"/>
        <v xml:space="preserve"> </v>
      </c>
      <c r="T22" s="60"/>
      <c r="U22" s="24"/>
      <c r="V22" s="64" t="str">
        <f t="shared" si="7"/>
        <v xml:space="preserve"> </v>
      </c>
      <c r="W22" s="103" t="str">
        <f t="shared" si="5"/>
        <v xml:space="preserve"> </v>
      </c>
    </row>
    <row r="23" spans="1:23" ht="15" customHeight="1">
      <c r="A23" s="5">
        <v>14</v>
      </c>
      <c r="B23" s="17"/>
      <c r="C23" s="3"/>
      <c r="D23" s="49"/>
      <c r="E23" s="113"/>
      <c r="F23" s="3"/>
      <c r="G23" s="109"/>
      <c r="H23" s="52"/>
      <c r="I23" s="13"/>
      <c r="J23" s="57" t="str">
        <f t="shared" si="8"/>
        <v xml:space="preserve"> </v>
      </c>
      <c r="K23" s="67" t="str">
        <f t="shared" si="1"/>
        <v xml:space="preserve"> </v>
      </c>
      <c r="L23" s="95"/>
      <c r="M23" s="3"/>
      <c r="N23" s="64" t="str">
        <f t="shared" si="2"/>
        <v xml:space="preserve"> </v>
      </c>
      <c r="O23" s="100" t="str">
        <f t="shared" si="3"/>
        <v xml:space="preserve"> </v>
      </c>
      <c r="P23" s="52"/>
      <c r="Q23" s="13"/>
      <c r="R23" s="56" t="str">
        <f t="shared" si="6"/>
        <v xml:space="preserve"> </v>
      </c>
      <c r="S23" s="67" t="str">
        <f t="shared" si="4"/>
        <v xml:space="preserve"> </v>
      </c>
      <c r="T23" s="60"/>
      <c r="U23" s="24"/>
      <c r="V23" s="64" t="str">
        <f t="shared" si="7"/>
        <v xml:space="preserve"> </v>
      </c>
      <c r="W23" s="103" t="str">
        <f t="shared" si="5"/>
        <v xml:space="preserve"> </v>
      </c>
    </row>
    <row r="24" spans="1:23" ht="15" customHeight="1">
      <c r="A24" s="5">
        <v>15</v>
      </c>
      <c r="B24" s="17"/>
      <c r="C24" s="3"/>
      <c r="D24" s="49"/>
      <c r="E24" s="113"/>
      <c r="F24" s="3"/>
      <c r="G24" s="109"/>
      <c r="H24" s="52"/>
      <c r="I24" s="13"/>
      <c r="J24" s="57" t="str">
        <f t="shared" si="8"/>
        <v xml:space="preserve"> </v>
      </c>
      <c r="K24" s="67" t="str">
        <f t="shared" si="1"/>
        <v xml:space="preserve"> </v>
      </c>
      <c r="L24" s="95"/>
      <c r="M24" s="3"/>
      <c r="N24" s="64" t="str">
        <f t="shared" si="2"/>
        <v xml:space="preserve"> </v>
      </c>
      <c r="O24" s="100" t="str">
        <f t="shared" si="3"/>
        <v xml:space="preserve"> </v>
      </c>
      <c r="P24" s="52"/>
      <c r="Q24" s="13"/>
      <c r="R24" s="56" t="str">
        <f t="shared" si="6"/>
        <v xml:space="preserve"> </v>
      </c>
      <c r="S24" s="67" t="str">
        <f t="shared" si="4"/>
        <v xml:space="preserve"> </v>
      </c>
      <c r="T24" s="60"/>
      <c r="U24" s="24"/>
      <c r="V24" s="64" t="str">
        <f t="shared" si="7"/>
        <v xml:space="preserve"> </v>
      </c>
      <c r="W24" s="103" t="str">
        <f t="shared" si="5"/>
        <v xml:space="preserve"> </v>
      </c>
    </row>
    <row r="25" spans="1:23" ht="15" customHeight="1">
      <c r="A25" s="5">
        <v>16</v>
      </c>
      <c r="B25" s="17"/>
      <c r="C25" s="3"/>
      <c r="D25" s="49"/>
      <c r="E25" s="113"/>
      <c r="F25" s="3"/>
      <c r="G25" s="109"/>
      <c r="H25" s="52"/>
      <c r="I25" s="13"/>
      <c r="J25" s="57" t="str">
        <f t="shared" si="8"/>
        <v xml:space="preserve"> </v>
      </c>
      <c r="K25" s="67" t="str">
        <f t="shared" si="1"/>
        <v xml:space="preserve"> </v>
      </c>
      <c r="L25" s="95"/>
      <c r="M25" s="3"/>
      <c r="N25" s="64" t="str">
        <f t="shared" si="2"/>
        <v xml:space="preserve"> </v>
      </c>
      <c r="O25" s="100" t="str">
        <f t="shared" si="3"/>
        <v xml:space="preserve"> </v>
      </c>
      <c r="P25" s="52"/>
      <c r="Q25" s="13"/>
      <c r="R25" s="56" t="str">
        <f t="shared" si="6"/>
        <v xml:space="preserve"> </v>
      </c>
      <c r="S25" s="67" t="str">
        <f t="shared" si="4"/>
        <v xml:space="preserve"> </v>
      </c>
      <c r="T25" s="60"/>
      <c r="U25" s="24"/>
      <c r="V25" s="64" t="str">
        <f t="shared" si="7"/>
        <v xml:space="preserve"> </v>
      </c>
      <c r="W25" s="103" t="str">
        <f t="shared" si="5"/>
        <v xml:space="preserve"> </v>
      </c>
    </row>
    <row r="26" spans="1:23" ht="15" customHeight="1">
      <c r="A26" s="5">
        <v>17</v>
      </c>
      <c r="B26" s="17"/>
      <c r="C26" s="3"/>
      <c r="D26" s="49"/>
      <c r="E26" s="113"/>
      <c r="F26" s="3"/>
      <c r="G26" s="109"/>
      <c r="H26" s="52"/>
      <c r="I26" s="13"/>
      <c r="J26" s="57" t="str">
        <f t="shared" si="8"/>
        <v xml:space="preserve"> </v>
      </c>
      <c r="K26" s="67" t="str">
        <f t="shared" si="1"/>
        <v xml:space="preserve"> </v>
      </c>
      <c r="L26" s="95"/>
      <c r="M26" s="3"/>
      <c r="N26" s="64" t="str">
        <f t="shared" si="2"/>
        <v xml:space="preserve"> </v>
      </c>
      <c r="O26" s="100" t="str">
        <f t="shared" si="3"/>
        <v xml:space="preserve"> </v>
      </c>
      <c r="P26" s="52"/>
      <c r="Q26" s="13"/>
      <c r="R26" s="56" t="str">
        <f t="shared" si="6"/>
        <v xml:space="preserve"> </v>
      </c>
      <c r="S26" s="67" t="str">
        <f t="shared" si="4"/>
        <v xml:space="preserve"> </v>
      </c>
      <c r="T26" s="60"/>
      <c r="U26" s="24"/>
      <c r="V26" s="64" t="str">
        <f t="shared" si="7"/>
        <v xml:space="preserve"> </v>
      </c>
      <c r="W26" s="103" t="str">
        <f t="shared" si="5"/>
        <v xml:space="preserve"> </v>
      </c>
    </row>
    <row r="27" spans="1:23" ht="15" customHeight="1">
      <c r="A27" s="5">
        <v>18</v>
      </c>
      <c r="B27" s="17"/>
      <c r="C27" s="3"/>
      <c r="D27" s="49"/>
      <c r="E27" s="113"/>
      <c r="F27" s="3"/>
      <c r="G27" s="109"/>
      <c r="H27" s="52"/>
      <c r="I27" s="13"/>
      <c r="J27" s="57" t="str">
        <f t="shared" si="8"/>
        <v xml:space="preserve"> </v>
      </c>
      <c r="K27" s="67" t="str">
        <f t="shared" si="1"/>
        <v xml:space="preserve"> </v>
      </c>
      <c r="L27" s="95"/>
      <c r="M27" s="3"/>
      <c r="N27" s="64" t="str">
        <f t="shared" si="2"/>
        <v xml:space="preserve"> </v>
      </c>
      <c r="O27" s="100" t="str">
        <f t="shared" si="3"/>
        <v xml:space="preserve"> </v>
      </c>
      <c r="P27" s="52"/>
      <c r="Q27" s="13"/>
      <c r="R27" s="56" t="str">
        <f t="shared" si="6"/>
        <v xml:space="preserve"> </v>
      </c>
      <c r="S27" s="67" t="str">
        <f t="shared" si="4"/>
        <v xml:space="preserve"> </v>
      </c>
      <c r="T27" s="60"/>
      <c r="U27" s="24"/>
      <c r="V27" s="64" t="str">
        <f t="shared" si="7"/>
        <v xml:space="preserve"> </v>
      </c>
      <c r="W27" s="103" t="str">
        <f t="shared" si="5"/>
        <v xml:space="preserve"> </v>
      </c>
    </row>
    <row r="28" spans="1:23" ht="15" customHeight="1">
      <c r="A28" s="5">
        <v>19</v>
      </c>
      <c r="B28" s="17"/>
      <c r="C28" s="3"/>
      <c r="D28" s="49"/>
      <c r="E28" s="113"/>
      <c r="F28" s="3"/>
      <c r="G28" s="109"/>
      <c r="H28" s="52"/>
      <c r="I28" s="13"/>
      <c r="J28" s="57" t="str">
        <f t="shared" si="8"/>
        <v xml:space="preserve"> </v>
      </c>
      <c r="K28" s="67" t="str">
        <f t="shared" si="1"/>
        <v xml:space="preserve"> </v>
      </c>
      <c r="L28" s="95"/>
      <c r="M28" s="3"/>
      <c r="N28" s="64" t="str">
        <f t="shared" si="2"/>
        <v xml:space="preserve"> </v>
      </c>
      <c r="O28" s="100" t="str">
        <f t="shared" si="3"/>
        <v xml:space="preserve"> </v>
      </c>
      <c r="P28" s="52"/>
      <c r="Q28" s="13"/>
      <c r="R28" s="56" t="str">
        <f t="shared" si="6"/>
        <v xml:space="preserve"> </v>
      </c>
      <c r="S28" s="67" t="str">
        <f t="shared" si="4"/>
        <v xml:space="preserve"> </v>
      </c>
      <c r="T28" s="60"/>
      <c r="U28" s="24"/>
      <c r="V28" s="64" t="str">
        <f t="shared" si="7"/>
        <v xml:space="preserve"> </v>
      </c>
      <c r="W28" s="103" t="str">
        <f t="shared" si="5"/>
        <v xml:space="preserve"> </v>
      </c>
    </row>
    <row r="29" spans="1:23" ht="15" customHeight="1">
      <c r="A29" s="5">
        <v>20</v>
      </c>
      <c r="B29" s="17"/>
      <c r="C29" s="3"/>
      <c r="D29" s="49"/>
      <c r="E29" s="113"/>
      <c r="F29" s="3"/>
      <c r="G29" s="109"/>
      <c r="H29" s="52"/>
      <c r="I29" s="13"/>
      <c r="J29" s="57" t="str">
        <f t="shared" si="8"/>
        <v xml:space="preserve"> </v>
      </c>
      <c r="K29" s="67" t="str">
        <f t="shared" si="1"/>
        <v xml:space="preserve"> </v>
      </c>
      <c r="L29" s="95"/>
      <c r="M29" s="3"/>
      <c r="N29" s="64" t="str">
        <f t="shared" si="2"/>
        <v xml:space="preserve"> </v>
      </c>
      <c r="O29" s="100" t="str">
        <f t="shared" si="3"/>
        <v xml:space="preserve"> </v>
      </c>
      <c r="P29" s="52"/>
      <c r="Q29" s="13"/>
      <c r="R29" s="56" t="str">
        <f t="shared" si="6"/>
        <v xml:space="preserve"> </v>
      </c>
      <c r="S29" s="67" t="str">
        <f t="shared" si="4"/>
        <v xml:space="preserve"> </v>
      </c>
      <c r="T29" s="60"/>
      <c r="U29" s="24"/>
      <c r="V29" s="64" t="str">
        <f t="shared" si="7"/>
        <v xml:space="preserve"> </v>
      </c>
      <c r="W29" s="103" t="str">
        <f t="shared" si="5"/>
        <v xml:space="preserve"> </v>
      </c>
    </row>
    <row r="30" spans="1:23" ht="15" customHeight="1">
      <c r="A30" s="5">
        <v>21</v>
      </c>
      <c r="B30" s="17"/>
      <c r="C30" s="3"/>
      <c r="D30" s="49"/>
      <c r="E30" s="113"/>
      <c r="F30" s="3"/>
      <c r="G30" s="109"/>
      <c r="H30" s="52"/>
      <c r="I30" s="13"/>
      <c r="J30" s="57" t="str">
        <f t="shared" si="8"/>
        <v xml:space="preserve"> </v>
      </c>
      <c r="K30" s="67" t="str">
        <f t="shared" si="1"/>
        <v xml:space="preserve"> </v>
      </c>
      <c r="L30" s="95"/>
      <c r="M30" s="3"/>
      <c r="N30" s="64" t="str">
        <f t="shared" si="2"/>
        <v xml:space="preserve"> </v>
      </c>
      <c r="O30" s="100" t="str">
        <f t="shared" si="3"/>
        <v xml:space="preserve"> </v>
      </c>
      <c r="P30" s="52"/>
      <c r="Q30" s="13"/>
      <c r="R30" s="56" t="str">
        <f t="shared" si="6"/>
        <v xml:space="preserve"> </v>
      </c>
      <c r="S30" s="67" t="str">
        <f t="shared" si="4"/>
        <v xml:space="preserve"> </v>
      </c>
      <c r="T30" s="60"/>
      <c r="U30" s="24"/>
      <c r="V30" s="64" t="str">
        <f t="shared" si="7"/>
        <v xml:space="preserve"> </v>
      </c>
      <c r="W30" s="103" t="str">
        <f t="shared" si="5"/>
        <v xml:space="preserve"> </v>
      </c>
    </row>
    <row r="31" spans="1:23" ht="15" customHeight="1">
      <c r="A31" s="5">
        <v>22</v>
      </c>
      <c r="B31" s="17"/>
      <c r="C31" s="3"/>
      <c r="D31" s="49"/>
      <c r="E31" s="113"/>
      <c r="F31" s="3"/>
      <c r="G31" s="109"/>
      <c r="H31" s="52"/>
      <c r="I31" s="13"/>
      <c r="J31" s="57" t="str">
        <f t="shared" si="8"/>
        <v xml:space="preserve"> </v>
      </c>
      <c r="K31" s="67" t="str">
        <f t="shared" si="1"/>
        <v xml:space="preserve"> </v>
      </c>
      <c r="L31" s="95"/>
      <c r="M31" s="3"/>
      <c r="N31" s="64" t="str">
        <f t="shared" si="2"/>
        <v xml:space="preserve"> </v>
      </c>
      <c r="O31" s="100" t="str">
        <f t="shared" si="3"/>
        <v xml:space="preserve"> </v>
      </c>
      <c r="P31" s="52"/>
      <c r="Q31" s="13"/>
      <c r="R31" s="56" t="str">
        <f t="shared" si="6"/>
        <v xml:space="preserve"> </v>
      </c>
      <c r="S31" s="67" t="str">
        <f t="shared" si="4"/>
        <v xml:space="preserve"> </v>
      </c>
      <c r="T31" s="60"/>
      <c r="U31" s="24"/>
      <c r="V31" s="64" t="str">
        <f t="shared" si="7"/>
        <v xml:space="preserve"> </v>
      </c>
      <c r="W31" s="103" t="str">
        <f t="shared" si="5"/>
        <v xml:space="preserve"> </v>
      </c>
    </row>
    <row r="32" spans="1:23" ht="15" customHeight="1">
      <c r="A32" s="5">
        <v>23</v>
      </c>
      <c r="B32" s="17"/>
      <c r="C32" s="3"/>
      <c r="D32" s="49"/>
      <c r="E32" s="113"/>
      <c r="F32" s="3"/>
      <c r="G32" s="109"/>
      <c r="H32" s="52"/>
      <c r="I32" s="13"/>
      <c r="J32" s="57" t="str">
        <f t="shared" si="8"/>
        <v xml:space="preserve"> </v>
      </c>
      <c r="K32" s="67" t="str">
        <f t="shared" si="1"/>
        <v xml:space="preserve"> </v>
      </c>
      <c r="L32" s="95"/>
      <c r="M32" s="3"/>
      <c r="N32" s="64" t="str">
        <f t="shared" si="2"/>
        <v xml:space="preserve"> </v>
      </c>
      <c r="O32" s="100" t="str">
        <f t="shared" si="3"/>
        <v xml:space="preserve"> </v>
      </c>
      <c r="P32" s="52"/>
      <c r="Q32" s="13"/>
      <c r="R32" s="56" t="str">
        <f t="shared" si="6"/>
        <v xml:space="preserve"> </v>
      </c>
      <c r="S32" s="67" t="str">
        <f t="shared" si="4"/>
        <v xml:space="preserve"> </v>
      </c>
      <c r="T32" s="60"/>
      <c r="U32" s="24"/>
      <c r="V32" s="64" t="str">
        <f t="shared" si="7"/>
        <v xml:space="preserve"> </v>
      </c>
      <c r="W32" s="103" t="str">
        <f t="shared" si="5"/>
        <v xml:space="preserve"> </v>
      </c>
    </row>
    <row r="33" spans="1:23" ht="15" customHeight="1">
      <c r="A33" s="5">
        <v>24</v>
      </c>
      <c r="B33" s="17"/>
      <c r="C33" s="3"/>
      <c r="D33" s="49"/>
      <c r="E33" s="113"/>
      <c r="F33" s="3"/>
      <c r="G33" s="109"/>
      <c r="H33" s="52"/>
      <c r="I33" s="13"/>
      <c r="J33" s="57" t="str">
        <f t="shared" si="8"/>
        <v xml:space="preserve"> </v>
      </c>
      <c r="K33" s="67" t="str">
        <f t="shared" si="1"/>
        <v xml:space="preserve"> </v>
      </c>
      <c r="L33" s="95"/>
      <c r="M33" s="3"/>
      <c r="N33" s="64" t="str">
        <f t="shared" si="2"/>
        <v xml:space="preserve"> </v>
      </c>
      <c r="O33" s="100" t="str">
        <f t="shared" si="3"/>
        <v xml:space="preserve"> </v>
      </c>
      <c r="P33" s="52"/>
      <c r="Q33" s="13"/>
      <c r="R33" s="56" t="str">
        <f t="shared" si="6"/>
        <v xml:space="preserve"> </v>
      </c>
      <c r="S33" s="67" t="str">
        <f t="shared" si="4"/>
        <v xml:space="preserve"> </v>
      </c>
      <c r="T33" s="60"/>
      <c r="U33" s="24"/>
      <c r="V33" s="64" t="str">
        <f t="shared" si="7"/>
        <v xml:space="preserve"> </v>
      </c>
      <c r="W33" s="103" t="str">
        <f t="shared" si="5"/>
        <v xml:space="preserve"> </v>
      </c>
    </row>
    <row r="34" spans="1:23" ht="15" customHeight="1">
      <c r="A34" s="5">
        <v>25</v>
      </c>
      <c r="B34" s="17"/>
      <c r="C34" s="3"/>
      <c r="D34" s="49"/>
      <c r="E34" s="113"/>
      <c r="F34" s="3"/>
      <c r="G34" s="109"/>
      <c r="H34" s="52"/>
      <c r="I34" s="13"/>
      <c r="J34" s="57" t="str">
        <f t="shared" si="8"/>
        <v xml:space="preserve"> </v>
      </c>
      <c r="K34" s="67" t="str">
        <f t="shared" si="1"/>
        <v xml:space="preserve"> </v>
      </c>
      <c r="L34" s="95"/>
      <c r="M34" s="3"/>
      <c r="N34" s="64" t="str">
        <f t="shared" si="2"/>
        <v xml:space="preserve"> </v>
      </c>
      <c r="O34" s="100" t="str">
        <f t="shared" si="3"/>
        <v xml:space="preserve"> </v>
      </c>
      <c r="P34" s="52"/>
      <c r="Q34" s="13"/>
      <c r="R34" s="56" t="str">
        <f t="shared" si="6"/>
        <v xml:space="preserve"> </v>
      </c>
      <c r="S34" s="67" t="str">
        <f t="shared" si="4"/>
        <v xml:space="preserve"> </v>
      </c>
      <c r="T34" s="60"/>
      <c r="U34" s="24"/>
      <c r="V34" s="64" t="str">
        <f t="shared" si="7"/>
        <v xml:space="preserve"> </v>
      </c>
      <c r="W34" s="103" t="str">
        <f t="shared" si="5"/>
        <v xml:space="preserve"> </v>
      </c>
    </row>
    <row r="35" spans="1:23" ht="15" customHeight="1">
      <c r="A35" s="5">
        <v>26</v>
      </c>
      <c r="B35" s="17"/>
      <c r="C35" s="3"/>
      <c r="D35" s="49"/>
      <c r="E35" s="113"/>
      <c r="F35" s="3"/>
      <c r="G35" s="109"/>
      <c r="H35" s="52"/>
      <c r="I35" s="13"/>
      <c r="J35" s="57" t="str">
        <f t="shared" si="8"/>
        <v xml:space="preserve"> </v>
      </c>
      <c r="K35" s="67" t="str">
        <f t="shared" si="1"/>
        <v xml:space="preserve"> </v>
      </c>
      <c r="L35" s="95"/>
      <c r="M35" s="3"/>
      <c r="N35" s="64" t="str">
        <f t="shared" si="2"/>
        <v xml:space="preserve"> </v>
      </c>
      <c r="O35" s="100" t="str">
        <f t="shared" si="3"/>
        <v xml:space="preserve"> </v>
      </c>
      <c r="P35" s="52"/>
      <c r="Q35" s="13"/>
      <c r="R35" s="56" t="str">
        <f t="shared" si="6"/>
        <v xml:space="preserve"> </v>
      </c>
      <c r="S35" s="67" t="str">
        <f t="shared" si="4"/>
        <v xml:space="preserve"> </v>
      </c>
      <c r="T35" s="60"/>
      <c r="U35" s="24"/>
      <c r="V35" s="64" t="str">
        <f t="shared" si="7"/>
        <v xml:space="preserve"> </v>
      </c>
      <c r="W35" s="103" t="str">
        <f t="shared" si="5"/>
        <v xml:space="preserve"> </v>
      </c>
    </row>
    <row r="36" spans="1:23" ht="15" customHeight="1">
      <c r="A36" s="5">
        <v>27</v>
      </c>
      <c r="B36" s="17"/>
      <c r="C36" s="3"/>
      <c r="D36" s="49"/>
      <c r="E36" s="113"/>
      <c r="F36" s="3"/>
      <c r="G36" s="109"/>
      <c r="H36" s="52"/>
      <c r="I36" s="13"/>
      <c r="J36" s="57" t="str">
        <f t="shared" si="8"/>
        <v xml:space="preserve"> </v>
      </c>
      <c r="K36" s="67" t="str">
        <f t="shared" si="1"/>
        <v xml:space="preserve"> </v>
      </c>
      <c r="L36" s="95"/>
      <c r="M36" s="3"/>
      <c r="N36" s="64" t="str">
        <f t="shared" si="2"/>
        <v xml:space="preserve"> </v>
      </c>
      <c r="O36" s="100" t="str">
        <f t="shared" si="3"/>
        <v xml:space="preserve"> </v>
      </c>
      <c r="P36" s="52"/>
      <c r="Q36" s="13"/>
      <c r="R36" s="56" t="str">
        <f t="shared" si="6"/>
        <v xml:space="preserve"> </v>
      </c>
      <c r="S36" s="67" t="str">
        <f t="shared" si="4"/>
        <v xml:space="preserve"> </v>
      </c>
      <c r="T36" s="60"/>
      <c r="U36" s="24"/>
      <c r="V36" s="64" t="str">
        <f t="shared" si="7"/>
        <v xml:space="preserve"> </v>
      </c>
      <c r="W36" s="103" t="str">
        <f t="shared" si="5"/>
        <v xml:space="preserve"> </v>
      </c>
    </row>
    <row r="37" spans="1:23" ht="15" customHeight="1">
      <c r="A37" s="5">
        <v>28</v>
      </c>
      <c r="B37" s="17"/>
      <c r="C37" s="3"/>
      <c r="D37" s="49"/>
      <c r="E37" s="113"/>
      <c r="F37" s="3"/>
      <c r="G37" s="109"/>
      <c r="H37" s="52"/>
      <c r="I37" s="13"/>
      <c r="J37" s="57" t="str">
        <f t="shared" si="8"/>
        <v xml:space="preserve"> </v>
      </c>
      <c r="K37" s="67" t="str">
        <f t="shared" si="1"/>
        <v xml:space="preserve"> </v>
      </c>
      <c r="L37" s="95"/>
      <c r="M37" s="3"/>
      <c r="N37" s="64" t="str">
        <f t="shared" si="2"/>
        <v xml:space="preserve"> </v>
      </c>
      <c r="O37" s="100" t="str">
        <f t="shared" si="3"/>
        <v xml:space="preserve"> </v>
      </c>
      <c r="P37" s="52"/>
      <c r="Q37" s="13"/>
      <c r="R37" s="56" t="str">
        <f t="shared" si="6"/>
        <v xml:space="preserve"> </v>
      </c>
      <c r="S37" s="67" t="str">
        <f t="shared" si="4"/>
        <v xml:space="preserve"> </v>
      </c>
      <c r="T37" s="60"/>
      <c r="U37" s="24"/>
      <c r="V37" s="64" t="str">
        <f t="shared" si="7"/>
        <v xml:space="preserve"> </v>
      </c>
      <c r="W37" s="103" t="str">
        <f t="shared" si="5"/>
        <v xml:space="preserve"> </v>
      </c>
    </row>
    <row r="38" spans="1:23" ht="15" customHeight="1">
      <c r="A38" s="5">
        <v>29</v>
      </c>
      <c r="B38" s="17"/>
      <c r="C38" s="3"/>
      <c r="D38" s="49"/>
      <c r="E38" s="113"/>
      <c r="F38" s="3"/>
      <c r="G38" s="109"/>
      <c r="H38" s="52"/>
      <c r="I38" s="13"/>
      <c r="J38" s="57" t="str">
        <f t="shared" si="8"/>
        <v xml:space="preserve"> </v>
      </c>
      <c r="K38" s="67" t="str">
        <f t="shared" si="1"/>
        <v xml:space="preserve"> </v>
      </c>
      <c r="L38" s="95"/>
      <c r="M38" s="3"/>
      <c r="N38" s="64" t="str">
        <f t="shared" si="2"/>
        <v xml:space="preserve"> </v>
      </c>
      <c r="O38" s="100" t="str">
        <f t="shared" si="3"/>
        <v xml:space="preserve"> </v>
      </c>
      <c r="P38" s="52"/>
      <c r="Q38" s="13"/>
      <c r="R38" s="56" t="str">
        <f t="shared" si="6"/>
        <v xml:space="preserve"> </v>
      </c>
      <c r="S38" s="67" t="str">
        <f t="shared" si="4"/>
        <v xml:space="preserve"> </v>
      </c>
      <c r="T38" s="60"/>
      <c r="U38" s="24"/>
      <c r="V38" s="64" t="str">
        <f t="shared" si="7"/>
        <v xml:space="preserve"> </v>
      </c>
      <c r="W38" s="103" t="str">
        <f t="shared" si="5"/>
        <v xml:space="preserve"> </v>
      </c>
    </row>
    <row r="39" spans="1:23" ht="15" customHeight="1">
      <c r="A39" s="5">
        <v>30</v>
      </c>
      <c r="B39" s="17"/>
      <c r="C39" s="3"/>
      <c r="D39" s="49"/>
      <c r="E39" s="113"/>
      <c r="F39" s="3"/>
      <c r="G39" s="109"/>
      <c r="H39" s="52"/>
      <c r="I39" s="13"/>
      <c r="J39" s="57" t="str">
        <f t="shared" si="8"/>
        <v xml:space="preserve"> </v>
      </c>
      <c r="K39" s="67" t="str">
        <f t="shared" si="1"/>
        <v xml:space="preserve"> </v>
      </c>
      <c r="L39" s="95"/>
      <c r="M39" s="3"/>
      <c r="N39" s="64" t="str">
        <f t="shared" si="2"/>
        <v xml:space="preserve"> </v>
      </c>
      <c r="O39" s="100" t="str">
        <f t="shared" si="3"/>
        <v xml:space="preserve"> </v>
      </c>
      <c r="P39" s="52"/>
      <c r="Q39" s="13"/>
      <c r="R39" s="56" t="str">
        <f t="shared" si="6"/>
        <v xml:space="preserve"> </v>
      </c>
      <c r="S39" s="67" t="str">
        <f t="shared" si="4"/>
        <v xml:space="preserve"> </v>
      </c>
      <c r="T39" s="60"/>
      <c r="U39" s="24"/>
      <c r="V39" s="64" t="str">
        <f t="shared" si="7"/>
        <v xml:space="preserve"> </v>
      </c>
      <c r="W39" s="103" t="str">
        <f t="shared" si="5"/>
        <v xml:space="preserve"> </v>
      </c>
    </row>
    <row r="40" spans="1:23" ht="15" customHeight="1" thickBot="1">
      <c r="A40" s="5">
        <v>31</v>
      </c>
      <c r="B40" s="17"/>
      <c r="C40" s="12"/>
      <c r="D40" s="50"/>
      <c r="E40" s="114"/>
      <c r="F40" s="12"/>
      <c r="G40" s="110"/>
      <c r="H40" s="53"/>
      <c r="I40" s="22"/>
      <c r="J40" s="57" t="str">
        <f t="shared" si="8"/>
        <v xml:space="preserve"> </v>
      </c>
      <c r="K40" s="97" t="str">
        <f t="shared" si="1"/>
        <v xml:space="preserve"> </v>
      </c>
      <c r="L40" s="96"/>
      <c r="M40" s="18"/>
      <c r="N40" s="94" t="str">
        <f t="shared" si="2"/>
        <v xml:space="preserve"> </v>
      </c>
      <c r="O40" s="99" t="str">
        <f t="shared" si="3"/>
        <v xml:space="preserve"> </v>
      </c>
      <c r="P40" s="53"/>
      <c r="Q40" s="22"/>
      <c r="R40" s="56" t="str">
        <f t="shared" si="6"/>
        <v xml:space="preserve"> </v>
      </c>
      <c r="S40" s="97" t="str">
        <f t="shared" si="4"/>
        <v xml:space="preserve"> </v>
      </c>
      <c r="T40" s="61"/>
      <c r="U40" s="25"/>
      <c r="V40" s="64" t="str">
        <f t="shared" si="7"/>
        <v xml:space="preserve"> </v>
      </c>
      <c r="W40" s="104" t="str">
        <f t="shared" si="5"/>
        <v xml:space="preserve"> </v>
      </c>
    </row>
    <row r="41" spans="1:23" ht="15" customHeight="1">
      <c r="A41" s="153" t="s">
        <v>154</v>
      </c>
      <c r="B41" s="154"/>
      <c r="C41" s="154"/>
      <c r="D41" s="155"/>
      <c r="E41" s="155"/>
      <c r="F41" s="155"/>
      <c r="G41" s="155"/>
      <c r="H41" s="54" t="str">
        <f>IF(ISBLANK($T1)," ",SUM(H10:H40))</f>
        <v xml:space="preserve"> </v>
      </c>
      <c r="I41" s="37"/>
      <c r="J41" s="58" t="str">
        <f>IF(ISBLANK($T1)," ",SUM(J10:J40))</f>
        <v xml:space="preserve"> </v>
      </c>
      <c r="K41" s="38"/>
      <c r="L41" s="62" t="str">
        <f>IF(ISBLANK($T1)," ",SUM(L10:L40))</f>
        <v xml:space="preserve"> </v>
      </c>
      <c r="M41" s="39"/>
      <c r="N41" s="65" t="str">
        <f>IF(ISBLANK($T1)," ",SUM(N10:N40))</f>
        <v xml:space="preserve"> </v>
      </c>
      <c r="O41" s="40"/>
      <c r="P41" s="54" t="str">
        <f>IF(ISBLANK($T1)," ",SUM(P10:P40))</f>
        <v xml:space="preserve"> </v>
      </c>
      <c r="Q41" s="37"/>
      <c r="R41" s="58" t="str">
        <f>IF(ISBLANK($T1)," ",SUM(R10:R40))</f>
        <v xml:space="preserve"> </v>
      </c>
      <c r="S41" s="38"/>
      <c r="T41" s="62" t="str">
        <f>IF(ISBLANK($T1)," ",SUM(T10:T40))</f>
        <v xml:space="preserve"> </v>
      </c>
      <c r="U41" s="39"/>
      <c r="V41" s="65" t="str">
        <f>IF(ISBLANK($T1)," ",SUM(V10:V40))</f>
        <v xml:space="preserve"> </v>
      </c>
      <c r="W41" s="41"/>
    </row>
    <row r="42" spans="1:23" ht="15" customHeight="1" thickBot="1">
      <c r="A42" s="124" t="s">
        <v>153</v>
      </c>
      <c r="B42" s="125"/>
      <c r="C42" s="125"/>
      <c r="D42" s="126"/>
      <c r="E42" s="126"/>
      <c r="F42" s="126"/>
      <c r="G42" s="126"/>
      <c r="H42" s="82"/>
      <c r="I42" s="83"/>
      <c r="J42" s="84"/>
      <c r="K42" s="85"/>
      <c r="L42" s="86"/>
      <c r="M42" s="87"/>
      <c r="N42" s="88"/>
      <c r="O42" s="89"/>
      <c r="P42" s="82"/>
      <c r="Q42" s="83"/>
      <c r="R42" s="84"/>
      <c r="S42" s="85"/>
      <c r="T42" s="86"/>
      <c r="U42" s="87"/>
      <c r="V42" s="90"/>
      <c r="W42" s="91"/>
    </row>
  </sheetData>
  <sheetProtection password="CD14" sheet="1" objects="1" scenarios="1" selectLockedCells="1"/>
  <mergeCells count="59">
    <mergeCell ref="T6:U6"/>
    <mergeCell ref="P6:Q6"/>
    <mergeCell ref="R6:S6"/>
    <mergeCell ref="L3:M3"/>
    <mergeCell ref="N3:O3"/>
    <mergeCell ref="L4:M4"/>
    <mergeCell ref="N4:O4"/>
    <mergeCell ref="N5:O5"/>
    <mergeCell ref="Q1:R1"/>
    <mergeCell ref="T1:U1"/>
    <mergeCell ref="H1:I1"/>
    <mergeCell ref="J1:O1"/>
    <mergeCell ref="N2:O2"/>
    <mergeCell ref="P2:Q2"/>
    <mergeCell ref="A1:C1"/>
    <mergeCell ref="D1:G1"/>
    <mergeCell ref="A7:A9"/>
    <mergeCell ref="H2:I2"/>
    <mergeCell ref="J2:K2"/>
    <mergeCell ref="H3:I3"/>
    <mergeCell ref="J3:K3"/>
    <mergeCell ref="J4:K4"/>
    <mergeCell ref="J5:K5"/>
    <mergeCell ref="H4:I4"/>
    <mergeCell ref="H5:I5"/>
    <mergeCell ref="H7:I7"/>
    <mergeCell ref="E7:G7"/>
    <mergeCell ref="V6:W6"/>
    <mergeCell ref="A2:G4"/>
    <mergeCell ref="A5:C6"/>
    <mergeCell ref="D5:G6"/>
    <mergeCell ref="A41:G41"/>
    <mergeCell ref="L6:M6"/>
    <mergeCell ref="L5:M5"/>
    <mergeCell ref="L7:M7"/>
    <mergeCell ref="L2:M2"/>
    <mergeCell ref="R2:S2"/>
    <mergeCell ref="P3:Q3"/>
    <mergeCell ref="R3:S3"/>
    <mergeCell ref="P4:Q4"/>
    <mergeCell ref="R4:S4"/>
    <mergeCell ref="B8:B9"/>
    <mergeCell ref="N6:O6"/>
    <mergeCell ref="A42:G42"/>
    <mergeCell ref="B7:D7"/>
    <mergeCell ref="H6:I6"/>
    <mergeCell ref="T2:U2"/>
    <mergeCell ref="V2:W2"/>
    <mergeCell ref="T3:U3"/>
    <mergeCell ref="V3:W3"/>
    <mergeCell ref="T4:U4"/>
    <mergeCell ref="V4:W4"/>
    <mergeCell ref="T5:U5"/>
    <mergeCell ref="V5:W5"/>
    <mergeCell ref="T7:U7"/>
    <mergeCell ref="P5:Q5"/>
    <mergeCell ref="R5:S5"/>
    <mergeCell ref="P7:Q7"/>
    <mergeCell ref="J6:K6"/>
  </mergeCells>
  <phoneticPr fontId="0" type="noConversion"/>
  <dataValidations count="5">
    <dataValidation showInputMessage="1" showErrorMessage="1" sqref="T6:T7 P6:P7 H6:H7 L6:L7 D8:G8"/>
    <dataValidation type="list" showInputMessage="1" showErrorMessage="1" sqref="Q1:R1">
      <formula1>County</formula1>
    </dataValidation>
    <dataValidation type="list" showInputMessage="1" showErrorMessage="1" sqref="T1:U1">
      <formula1>Month</formula1>
    </dataValidation>
    <dataValidation type="list" showInputMessage="1" showErrorMessage="1" sqref="W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X42"/>
  <sheetViews>
    <sheetView zoomScale="80" zoomScaleNormal="80" workbookViewId="0">
      <selection activeCell="V2" sqref="V2:W6"/>
    </sheetView>
  </sheetViews>
  <sheetFormatPr defaultRowHeight="12.75"/>
  <cols>
    <col min="1" max="1" width="3.140625" style="123" customWidth="1"/>
    <col min="2" max="2" width="5.7109375" style="123" customWidth="1"/>
    <col min="3" max="7" width="5.7109375" style="1" customWidth="1"/>
    <col min="8" max="8" width="9.42578125" style="1" customWidth="1"/>
    <col min="9" max="9" width="7.85546875" style="1" customWidth="1"/>
    <col min="10" max="11" width="7.140625" style="1" customWidth="1"/>
    <col min="12" max="12" width="9.42578125" style="1" customWidth="1"/>
    <col min="13" max="13" width="7.85546875" style="1" customWidth="1"/>
    <col min="14" max="15" width="7.140625" style="1" customWidth="1"/>
    <col min="16" max="16" width="9.42578125" style="1" customWidth="1"/>
    <col min="17" max="17" width="7.85546875" style="1" customWidth="1"/>
    <col min="18" max="18" width="7.140625" style="1" customWidth="1"/>
    <col min="19" max="19" width="7.85546875" style="1" customWidth="1"/>
    <col min="20" max="20" width="9.42578125" style="1" customWidth="1"/>
    <col min="21" max="21" width="7.85546875" style="1" customWidth="1"/>
    <col min="22" max="23" width="7.140625" style="1" customWidth="1"/>
    <col min="24" max="16384" width="9.140625" style="1"/>
  </cols>
  <sheetData>
    <row r="1" spans="1:24" ht="22.5" customHeight="1" thickBot="1">
      <c r="A1" s="162" t="s">
        <v>180</v>
      </c>
      <c r="B1" s="163"/>
      <c r="C1" s="163"/>
      <c r="D1" s="164" t="s">
        <v>183</v>
      </c>
      <c r="E1" s="164"/>
      <c r="F1" s="164"/>
      <c r="G1" s="165"/>
      <c r="H1" s="176" t="s">
        <v>4</v>
      </c>
      <c r="I1" s="177"/>
      <c r="J1" s="164" t="s">
        <v>184</v>
      </c>
      <c r="K1" s="164"/>
      <c r="L1" s="164"/>
      <c r="M1" s="164"/>
      <c r="N1" s="164"/>
      <c r="O1" s="165"/>
      <c r="P1" s="43" t="s">
        <v>7</v>
      </c>
      <c r="Q1" s="174" t="s">
        <v>115</v>
      </c>
      <c r="R1" s="175"/>
      <c r="S1" s="43" t="s">
        <v>5</v>
      </c>
      <c r="T1" s="174"/>
      <c r="U1" s="175"/>
      <c r="V1" s="122" t="s">
        <v>6</v>
      </c>
      <c r="W1" s="121"/>
      <c r="X1" s="2"/>
    </row>
    <row r="2" spans="1:24" ht="18.75" customHeight="1">
      <c r="A2" s="146" t="s">
        <v>192</v>
      </c>
      <c r="B2" s="147"/>
      <c r="C2" s="147"/>
      <c r="D2" s="147"/>
      <c r="E2" s="147"/>
      <c r="F2" s="147"/>
      <c r="G2" s="147"/>
      <c r="H2" s="169" t="s">
        <v>143</v>
      </c>
      <c r="I2" s="170"/>
      <c r="J2" s="156">
        <v>5</v>
      </c>
      <c r="K2" s="157"/>
      <c r="L2" s="132" t="s">
        <v>143</v>
      </c>
      <c r="M2" s="133"/>
      <c r="N2" s="134">
        <v>6</v>
      </c>
      <c r="O2" s="178"/>
      <c r="P2" s="169" t="s">
        <v>143</v>
      </c>
      <c r="Q2" s="170"/>
      <c r="R2" s="156">
        <v>7</v>
      </c>
      <c r="S2" s="157"/>
      <c r="T2" s="132" t="s">
        <v>143</v>
      </c>
      <c r="U2" s="133"/>
      <c r="V2" s="134" t="s">
        <v>186</v>
      </c>
      <c r="W2" s="135"/>
    </row>
    <row r="3" spans="1:24" ht="18.75" customHeight="1">
      <c r="A3" s="148"/>
      <c r="B3" s="147"/>
      <c r="C3" s="147"/>
      <c r="D3" s="147"/>
      <c r="E3" s="147"/>
      <c r="F3" s="147"/>
      <c r="G3" s="147"/>
      <c r="H3" s="142" t="s">
        <v>144</v>
      </c>
      <c r="I3" s="158"/>
      <c r="J3" s="143">
        <v>7.4</v>
      </c>
      <c r="K3" s="144"/>
      <c r="L3" s="136" t="s">
        <v>144</v>
      </c>
      <c r="M3" s="137"/>
      <c r="N3" s="138">
        <v>7.3</v>
      </c>
      <c r="O3" s="161"/>
      <c r="P3" s="142" t="s">
        <v>144</v>
      </c>
      <c r="Q3" s="158"/>
      <c r="R3" s="143">
        <v>8.75</v>
      </c>
      <c r="S3" s="144"/>
      <c r="T3" s="136" t="s">
        <v>144</v>
      </c>
      <c r="U3" s="137"/>
      <c r="V3" s="138">
        <v>6.09</v>
      </c>
      <c r="W3" s="139"/>
    </row>
    <row r="4" spans="1:24" ht="18.75" customHeight="1">
      <c r="A4" s="148"/>
      <c r="B4" s="147"/>
      <c r="C4" s="147"/>
      <c r="D4" s="147"/>
      <c r="E4" s="147"/>
      <c r="F4" s="147"/>
      <c r="G4" s="147"/>
      <c r="H4" s="142" t="s">
        <v>145</v>
      </c>
      <c r="I4" s="131"/>
      <c r="J4" s="143" t="s">
        <v>185</v>
      </c>
      <c r="K4" s="144"/>
      <c r="L4" s="136" t="s">
        <v>145</v>
      </c>
      <c r="M4" s="140"/>
      <c r="N4" s="138" t="s">
        <v>185</v>
      </c>
      <c r="O4" s="161"/>
      <c r="P4" s="142" t="s">
        <v>145</v>
      </c>
      <c r="Q4" s="131"/>
      <c r="R4" s="143" t="s">
        <v>185</v>
      </c>
      <c r="S4" s="144"/>
      <c r="T4" s="136" t="s">
        <v>145</v>
      </c>
      <c r="U4" s="140"/>
      <c r="V4" s="138" t="s">
        <v>185</v>
      </c>
      <c r="W4" s="139"/>
    </row>
    <row r="5" spans="1:24" ht="18.75" customHeight="1">
      <c r="A5" s="149"/>
      <c r="B5" s="150"/>
      <c r="C5" s="150"/>
      <c r="D5" s="150"/>
      <c r="E5" s="150"/>
      <c r="F5" s="150"/>
      <c r="G5" s="150"/>
      <c r="H5" s="142" t="s">
        <v>150</v>
      </c>
      <c r="I5" s="131"/>
      <c r="J5" s="143">
        <v>0.35</v>
      </c>
      <c r="K5" s="144"/>
      <c r="L5" s="136" t="s">
        <v>150</v>
      </c>
      <c r="M5" s="140"/>
      <c r="N5" s="138">
        <v>0.35</v>
      </c>
      <c r="O5" s="161"/>
      <c r="P5" s="142" t="s">
        <v>150</v>
      </c>
      <c r="Q5" s="131"/>
      <c r="R5" s="143">
        <v>0.35</v>
      </c>
      <c r="S5" s="144"/>
      <c r="T5" s="136" t="s">
        <v>150</v>
      </c>
      <c r="U5" s="140"/>
      <c r="V5" s="138">
        <v>0.1</v>
      </c>
      <c r="W5" s="139"/>
    </row>
    <row r="6" spans="1:24" ht="18.75" customHeight="1" thickBot="1">
      <c r="A6" s="151"/>
      <c r="B6" s="152"/>
      <c r="C6" s="152"/>
      <c r="D6" s="152"/>
      <c r="E6" s="152"/>
      <c r="F6" s="152"/>
      <c r="G6" s="152"/>
      <c r="H6" s="130" t="s">
        <v>151</v>
      </c>
      <c r="I6" s="131"/>
      <c r="J6" s="143">
        <v>78.52</v>
      </c>
      <c r="K6" s="145"/>
      <c r="L6" s="141" t="s">
        <v>151</v>
      </c>
      <c r="M6" s="140"/>
      <c r="N6" s="138">
        <v>78.52</v>
      </c>
      <c r="O6" s="161"/>
      <c r="P6" s="130" t="s">
        <v>151</v>
      </c>
      <c r="Q6" s="131"/>
      <c r="R6" s="143">
        <v>78.52</v>
      </c>
      <c r="S6" s="144"/>
      <c r="T6" s="141" t="s">
        <v>151</v>
      </c>
      <c r="U6" s="140"/>
      <c r="V6" s="138">
        <v>14.58</v>
      </c>
      <c r="W6" s="139"/>
    </row>
    <row r="7" spans="1:24" ht="18.75" customHeight="1" thickBot="1">
      <c r="A7" s="166" t="s">
        <v>9</v>
      </c>
      <c r="B7" s="127" t="s">
        <v>182</v>
      </c>
      <c r="C7" s="128"/>
      <c r="D7" s="129"/>
      <c r="E7" s="171" t="s">
        <v>181</v>
      </c>
      <c r="F7" s="172"/>
      <c r="G7" s="173"/>
      <c r="H7" s="130" t="s">
        <v>152</v>
      </c>
      <c r="I7" s="131"/>
      <c r="J7" s="26"/>
      <c r="K7" s="45"/>
      <c r="L7" s="141" t="s">
        <v>152</v>
      </c>
      <c r="M7" s="140"/>
      <c r="N7" s="20"/>
      <c r="O7" s="46"/>
      <c r="P7" s="130" t="s">
        <v>152</v>
      </c>
      <c r="Q7" s="131"/>
      <c r="R7" s="26"/>
      <c r="S7" s="45"/>
      <c r="T7" s="141" t="s">
        <v>152</v>
      </c>
      <c r="U7" s="140"/>
      <c r="V7" s="20"/>
      <c r="W7" s="47"/>
    </row>
    <row r="8" spans="1:24" ht="75" customHeight="1">
      <c r="A8" s="167"/>
      <c r="B8" s="159" t="s">
        <v>139</v>
      </c>
      <c r="C8" s="15" t="s">
        <v>3</v>
      </c>
      <c r="D8" s="16" t="s">
        <v>140</v>
      </c>
      <c r="E8" s="116" t="s">
        <v>193</v>
      </c>
      <c r="F8" s="15" t="s">
        <v>194</v>
      </c>
      <c r="G8" s="108" t="s">
        <v>195</v>
      </c>
      <c r="H8" s="28" t="s">
        <v>146</v>
      </c>
      <c r="I8" s="11" t="s">
        <v>176</v>
      </c>
      <c r="J8" s="11" t="s">
        <v>148</v>
      </c>
      <c r="K8" s="29" t="s">
        <v>191</v>
      </c>
      <c r="L8" s="32" t="s">
        <v>146</v>
      </c>
      <c r="M8" s="10" t="s">
        <v>175</v>
      </c>
      <c r="N8" s="10" t="s">
        <v>148</v>
      </c>
      <c r="O8" s="33" t="s">
        <v>191</v>
      </c>
      <c r="P8" s="28" t="s">
        <v>146</v>
      </c>
      <c r="Q8" s="11" t="s">
        <v>176</v>
      </c>
      <c r="R8" s="11" t="s">
        <v>148</v>
      </c>
      <c r="S8" s="29" t="s">
        <v>191</v>
      </c>
      <c r="T8" s="32" t="s">
        <v>146</v>
      </c>
      <c r="U8" s="10" t="s">
        <v>176</v>
      </c>
      <c r="V8" s="10" t="s">
        <v>148</v>
      </c>
      <c r="W8" s="36" t="s">
        <v>191</v>
      </c>
    </row>
    <row r="9" spans="1:24" ht="15.75" customHeight="1" thickBot="1">
      <c r="A9" s="168"/>
      <c r="B9" s="160"/>
      <c r="C9" s="19" t="s">
        <v>142</v>
      </c>
      <c r="D9" s="8" t="s">
        <v>141</v>
      </c>
      <c r="E9" s="117" t="s">
        <v>138</v>
      </c>
      <c r="F9" s="119" t="s">
        <v>138</v>
      </c>
      <c r="G9" s="115" t="s">
        <v>138</v>
      </c>
      <c r="H9" s="30" t="s">
        <v>149</v>
      </c>
      <c r="I9" s="9" t="s">
        <v>147</v>
      </c>
      <c r="J9" s="9" t="s">
        <v>141</v>
      </c>
      <c r="K9" s="31" t="s">
        <v>141</v>
      </c>
      <c r="L9" s="34" t="s">
        <v>149</v>
      </c>
      <c r="M9" s="7" t="s">
        <v>147</v>
      </c>
      <c r="N9" s="7" t="s">
        <v>141</v>
      </c>
      <c r="O9" s="35" t="s">
        <v>141</v>
      </c>
      <c r="P9" s="30" t="s">
        <v>149</v>
      </c>
      <c r="Q9" s="9" t="s">
        <v>147</v>
      </c>
      <c r="R9" s="9" t="s">
        <v>141</v>
      </c>
      <c r="S9" s="31" t="s">
        <v>141</v>
      </c>
      <c r="T9" s="34" t="s">
        <v>149</v>
      </c>
      <c r="U9" s="7" t="s">
        <v>147</v>
      </c>
      <c r="V9" s="42" t="s">
        <v>141</v>
      </c>
      <c r="W9" s="101" t="s">
        <v>141</v>
      </c>
    </row>
    <row r="10" spans="1:24" ht="15" customHeight="1">
      <c r="A10" s="5">
        <v>1</v>
      </c>
      <c r="B10" s="17"/>
      <c r="C10" s="18"/>
      <c r="D10" s="48"/>
      <c r="E10" s="112"/>
      <c r="F10" s="120"/>
      <c r="G10" s="111"/>
      <c r="H10" s="51"/>
      <c r="I10" s="21"/>
      <c r="J10" s="55" t="str">
        <f t="shared" ref="J10:J40" si="0">IF((ISBLANK($H10))," ",($H10)/($J$3*27152))</f>
        <v xml:space="preserve"> </v>
      </c>
      <c r="K10" s="66" t="str">
        <f>IF((ISBLANK(I10)), " ", IF(I10&lt;60, J10, (J10/I10)*60))</f>
        <v xml:space="preserve"> </v>
      </c>
      <c r="L10" s="92"/>
      <c r="M10" s="93"/>
      <c r="N10" s="63" t="str">
        <f>IF((ISBLANK($L10))," ",($L10)/($N$3*27152))</f>
        <v xml:space="preserve"> </v>
      </c>
      <c r="O10" s="98" t="str">
        <f>IF((ISBLANK(M10)), " ", IF(M10&lt;60, N10, (N10/M10)*60))</f>
        <v xml:space="preserve"> </v>
      </c>
      <c r="P10" s="51"/>
      <c r="Q10" s="21"/>
      <c r="R10" s="55" t="str">
        <f>IF((ISBLANK($P10))," ",($P10)/($R$3*27152))</f>
        <v xml:space="preserve"> </v>
      </c>
      <c r="S10" s="66" t="str">
        <f>IF((ISBLANK(Q10)), " ", IF(Q10&lt;60, R10, (R10/Q10)*60))</f>
        <v xml:space="preserve"> </v>
      </c>
      <c r="T10" s="59"/>
      <c r="U10" s="23"/>
      <c r="V10" s="63" t="str">
        <f>IF((ISBLANK($T10))," ",($T10)/($V$3*27152))</f>
        <v xml:space="preserve"> </v>
      </c>
      <c r="W10" s="102" t="str">
        <f>IF((ISBLANK(U10)), " ", IF(U10&lt;60, V10, (V10/U10)*60))</f>
        <v xml:space="preserve"> </v>
      </c>
    </row>
    <row r="11" spans="1:24" ht="15" customHeight="1">
      <c r="A11" s="5">
        <v>2</v>
      </c>
      <c r="B11" s="17"/>
      <c r="C11" s="3"/>
      <c r="D11" s="49"/>
      <c r="E11" s="113"/>
      <c r="F11" s="3"/>
      <c r="G11" s="109"/>
      <c r="H11" s="52"/>
      <c r="I11" s="13"/>
      <c r="J11" s="56" t="str">
        <f t="shared" si="0"/>
        <v xml:space="preserve"> </v>
      </c>
      <c r="K11" s="67" t="str">
        <f t="shared" ref="K11:K40" si="1">IF((ISBLANK(I11)), " ", IF(I11&lt;60, J11, (J11/I11)*60))</f>
        <v xml:space="preserve"> </v>
      </c>
      <c r="L11" s="95"/>
      <c r="M11" s="3"/>
      <c r="N11" s="64" t="str">
        <f t="shared" ref="N11:N40" si="2">IF((ISBLANK($L11))," ",($L11)/($N$3*27152))</f>
        <v xml:space="preserve"> </v>
      </c>
      <c r="O11" s="100" t="str">
        <f t="shared" ref="O11:O40" si="3">IF((ISBLANK(M11)), " ", IF(M11&lt;60, N11, (N11/M11)*60))</f>
        <v xml:space="preserve"> </v>
      </c>
      <c r="P11" s="52"/>
      <c r="Q11" s="13"/>
      <c r="R11" s="56" t="str">
        <f>IF((ISBLANK($P11))," ",($P11)/($R$3*27152))</f>
        <v xml:space="preserve"> </v>
      </c>
      <c r="S11" s="67" t="str">
        <f t="shared" ref="S11:S40" si="4">IF((ISBLANK(Q11)), " ", IF(Q11&lt;60, R11, (R11/Q11)*60))</f>
        <v xml:space="preserve"> </v>
      </c>
      <c r="T11" s="60"/>
      <c r="U11" s="24"/>
      <c r="V11" s="64" t="str">
        <f>IF((ISBLANK($T11))," ",($T11)/($V$3*27152))</f>
        <v xml:space="preserve"> </v>
      </c>
      <c r="W11" s="103" t="str">
        <f t="shared" ref="W11:W40" si="5">IF((ISBLANK(U11)), " ", IF(U11&lt;60, V11, (V11/U11)*60))</f>
        <v xml:space="preserve"> </v>
      </c>
    </row>
    <row r="12" spans="1:24" ht="15" customHeight="1">
      <c r="A12" s="5">
        <v>3</v>
      </c>
      <c r="B12" s="17"/>
      <c r="C12" s="3"/>
      <c r="D12" s="49"/>
      <c r="E12" s="113"/>
      <c r="F12" s="3"/>
      <c r="G12" s="109"/>
      <c r="H12" s="52"/>
      <c r="I12" s="13"/>
      <c r="J12" s="56" t="str">
        <f t="shared" si="0"/>
        <v xml:space="preserve"> </v>
      </c>
      <c r="K12" s="67" t="str">
        <f t="shared" si="1"/>
        <v xml:space="preserve"> </v>
      </c>
      <c r="L12" s="95"/>
      <c r="M12" s="3"/>
      <c r="N12" s="64" t="str">
        <f t="shared" si="2"/>
        <v xml:space="preserve"> </v>
      </c>
      <c r="O12" s="100" t="str">
        <f t="shared" si="3"/>
        <v xml:space="preserve"> </v>
      </c>
      <c r="P12" s="52"/>
      <c r="Q12" s="13"/>
      <c r="R12" s="56" t="str">
        <f t="shared" ref="R12:R40" si="6">IF((ISBLANK($P12))," ",($P12)/($R$3*27152))</f>
        <v xml:space="preserve"> </v>
      </c>
      <c r="S12" s="67" t="str">
        <f t="shared" si="4"/>
        <v xml:space="preserve"> </v>
      </c>
      <c r="T12" s="60"/>
      <c r="U12" s="24"/>
      <c r="V12" s="64" t="str">
        <f t="shared" ref="V12:V40" si="7">IF((ISBLANK($T12))," ",($T12)/($V$3*27152))</f>
        <v xml:space="preserve"> </v>
      </c>
      <c r="W12" s="103" t="str">
        <f t="shared" si="5"/>
        <v xml:space="preserve"> </v>
      </c>
    </row>
    <row r="13" spans="1:24" ht="15" customHeight="1">
      <c r="A13" s="5">
        <v>4</v>
      </c>
      <c r="B13" s="17"/>
      <c r="C13" s="3"/>
      <c r="D13" s="49"/>
      <c r="E13" s="113"/>
      <c r="F13" s="3"/>
      <c r="G13" s="109"/>
      <c r="H13" s="52"/>
      <c r="I13" s="13"/>
      <c r="J13" s="56" t="str">
        <f t="shared" si="0"/>
        <v xml:space="preserve"> </v>
      </c>
      <c r="K13" s="67" t="str">
        <f t="shared" si="1"/>
        <v xml:space="preserve"> </v>
      </c>
      <c r="L13" s="95"/>
      <c r="M13" s="3"/>
      <c r="N13" s="64" t="str">
        <f t="shared" si="2"/>
        <v xml:space="preserve"> </v>
      </c>
      <c r="O13" s="100" t="str">
        <f t="shared" si="3"/>
        <v xml:space="preserve"> </v>
      </c>
      <c r="P13" s="52"/>
      <c r="Q13" s="13"/>
      <c r="R13" s="56" t="str">
        <f t="shared" si="6"/>
        <v xml:space="preserve"> </v>
      </c>
      <c r="S13" s="67" t="str">
        <f t="shared" si="4"/>
        <v xml:space="preserve"> </v>
      </c>
      <c r="T13" s="60"/>
      <c r="U13" s="24"/>
      <c r="V13" s="64" t="str">
        <f t="shared" si="7"/>
        <v xml:space="preserve"> </v>
      </c>
      <c r="W13" s="103" t="str">
        <f t="shared" si="5"/>
        <v xml:space="preserve"> </v>
      </c>
    </row>
    <row r="14" spans="1:24" ht="15" customHeight="1">
      <c r="A14" s="5">
        <v>5</v>
      </c>
      <c r="B14" s="17"/>
      <c r="C14" s="3"/>
      <c r="D14" s="49"/>
      <c r="E14" s="113"/>
      <c r="F14" s="3"/>
      <c r="G14" s="109"/>
      <c r="H14" s="52"/>
      <c r="I14" s="13"/>
      <c r="J14" s="56" t="str">
        <f t="shared" si="0"/>
        <v xml:space="preserve"> </v>
      </c>
      <c r="K14" s="67" t="str">
        <f t="shared" si="1"/>
        <v xml:space="preserve"> </v>
      </c>
      <c r="L14" s="95"/>
      <c r="M14" s="3"/>
      <c r="N14" s="64" t="str">
        <f t="shared" si="2"/>
        <v xml:space="preserve"> </v>
      </c>
      <c r="O14" s="100" t="str">
        <f t="shared" si="3"/>
        <v xml:space="preserve"> </v>
      </c>
      <c r="P14" s="52"/>
      <c r="Q14" s="13"/>
      <c r="R14" s="56" t="str">
        <f t="shared" si="6"/>
        <v xml:space="preserve"> </v>
      </c>
      <c r="S14" s="67" t="str">
        <f t="shared" si="4"/>
        <v xml:space="preserve"> </v>
      </c>
      <c r="T14" s="60"/>
      <c r="U14" s="24"/>
      <c r="V14" s="64" t="str">
        <f t="shared" si="7"/>
        <v xml:space="preserve"> </v>
      </c>
      <c r="W14" s="103" t="str">
        <f t="shared" si="5"/>
        <v xml:space="preserve"> </v>
      </c>
    </row>
    <row r="15" spans="1:24" ht="15" customHeight="1">
      <c r="A15" s="5">
        <v>6</v>
      </c>
      <c r="B15" s="17"/>
      <c r="C15" s="3"/>
      <c r="D15" s="49"/>
      <c r="E15" s="113"/>
      <c r="F15" s="3"/>
      <c r="G15" s="109"/>
      <c r="H15" s="52"/>
      <c r="I15" s="13"/>
      <c r="J15" s="56" t="str">
        <f t="shared" si="0"/>
        <v xml:space="preserve"> </v>
      </c>
      <c r="K15" s="67" t="str">
        <f t="shared" si="1"/>
        <v xml:space="preserve"> </v>
      </c>
      <c r="L15" s="95"/>
      <c r="M15" s="3"/>
      <c r="N15" s="64" t="str">
        <f t="shared" si="2"/>
        <v xml:space="preserve"> </v>
      </c>
      <c r="O15" s="100" t="str">
        <f t="shared" si="3"/>
        <v xml:space="preserve"> </v>
      </c>
      <c r="P15" s="52"/>
      <c r="Q15" s="13"/>
      <c r="R15" s="56" t="str">
        <f t="shared" si="6"/>
        <v xml:space="preserve"> </v>
      </c>
      <c r="S15" s="67" t="str">
        <f t="shared" si="4"/>
        <v xml:space="preserve"> </v>
      </c>
      <c r="T15" s="60"/>
      <c r="U15" s="24"/>
      <c r="V15" s="64" t="str">
        <f t="shared" si="7"/>
        <v xml:space="preserve"> </v>
      </c>
      <c r="W15" s="103" t="str">
        <f t="shared" si="5"/>
        <v xml:space="preserve"> </v>
      </c>
    </row>
    <row r="16" spans="1:24" ht="15" customHeight="1">
      <c r="A16" s="5">
        <v>7</v>
      </c>
      <c r="B16" s="17"/>
      <c r="C16" s="3"/>
      <c r="D16" s="49"/>
      <c r="E16" s="113"/>
      <c r="F16" s="3"/>
      <c r="G16" s="109"/>
      <c r="H16" s="52"/>
      <c r="I16" s="13"/>
      <c r="J16" s="56" t="str">
        <f t="shared" si="0"/>
        <v xml:space="preserve"> </v>
      </c>
      <c r="K16" s="67" t="str">
        <f t="shared" si="1"/>
        <v xml:space="preserve"> </v>
      </c>
      <c r="L16" s="95"/>
      <c r="M16" s="3"/>
      <c r="N16" s="64" t="str">
        <f t="shared" si="2"/>
        <v xml:space="preserve"> </v>
      </c>
      <c r="O16" s="100" t="str">
        <f t="shared" si="3"/>
        <v xml:space="preserve"> </v>
      </c>
      <c r="P16" s="52"/>
      <c r="Q16" s="13"/>
      <c r="R16" s="56" t="str">
        <f t="shared" si="6"/>
        <v xml:space="preserve"> </v>
      </c>
      <c r="S16" s="67" t="str">
        <f t="shared" si="4"/>
        <v xml:space="preserve"> </v>
      </c>
      <c r="T16" s="60"/>
      <c r="U16" s="24"/>
      <c r="V16" s="64" t="str">
        <f t="shared" si="7"/>
        <v xml:space="preserve"> </v>
      </c>
      <c r="W16" s="103" t="str">
        <f t="shared" si="5"/>
        <v xml:space="preserve"> </v>
      </c>
    </row>
    <row r="17" spans="1:23" ht="15" customHeight="1">
      <c r="A17" s="5">
        <v>8</v>
      </c>
      <c r="B17" s="17"/>
      <c r="C17" s="3"/>
      <c r="D17" s="49"/>
      <c r="E17" s="113"/>
      <c r="F17" s="3"/>
      <c r="G17" s="109"/>
      <c r="H17" s="52"/>
      <c r="I17" s="13"/>
      <c r="J17" s="57" t="str">
        <f t="shared" si="0"/>
        <v xml:space="preserve"> </v>
      </c>
      <c r="K17" s="67" t="str">
        <f t="shared" si="1"/>
        <v xml:space="preserve"> </v>
      </c>
      <c r="L17" s="95"/>
      <c r="M17" s="3"/>
      <c r="N17" s="64" t="str">
        <f t="shared" si="2"/>
        <v xml:space="preserve"> </v>
      </c>
      <c r="O17" s="100" t="str">
        <f t="shared" si="3"/>
        <v xml:space="preserve"> </v>
      </c>
      <c r="P17" s="52"/>
      <c r="Q17" s="13"/>
      <c r="R17" s="56" t="str">
        <f t="shared" si="6"/>
        <v xml:space="preserve"> </v>
      </c>
      <c r="S17" s="67" t="str">
        <f t="shared" si="4"/>
        <v xml:space="preserve"> </v>
      </c>
      <c r="T17" s="60"/>
      <c r="U17" s="24"/>
      <c r="V17" s="64" t="str">
        <f t="shared" si="7"/>
        <v xml:space="preserve"> </v>
      </c>
      <c r="W17" s="103" t="str">
        <f t="shared" si="5"/>
        <v xml:space="preserve"> </v>
      </c>
    </row>
    <row r="18" spans="1:23" ht="15" customHeight="1">
      <c r="A18" s="5">
        <v>9</v>
      </c>
      <c r="B18" s="17"/>
      <c r="C18" s="3"/>
      <c r="D18" s="49"/>
      <c r="E18" s="113"/>
      <c r="F18" s="3"/>
      <c r="G18" s="109"/>
      <c r="H18" s="52"/>
      <c r="I18" s="13"/>
      <c r="J18" s="57" t="str">
        <f t="shared" si="0"/>
        <v xml:space="preserve"> </v>
      </c>
      <c r="K18" s="67" t="str">
        <f t="shared" si="1"/>
        <v xml:space="preserve"> </v>
      </c>
      <c r="L18" s="95"/>
      <c r="M18" s="3"/>
      <c r="N18" s="64" t="str">
        <f t="shared" si="2"/>
        <v xml:space="preserve"> </v>
      </c>
      <c r="O18" s="100" t="str">
        <f t="shared" si="3"/>
        <v xml:space="preserve"> </v>
      </c>
      <c r="P18" s="52"/>
      <c r="Q18" s="13"/>
      <c r="R18" s="56" t="str">
        <f t="shared" si="6"/>
        <v xml:space="preserve"> </v>
      </c>
      <c r="S18" s="67" t="str">
        <f t="shared" si="4"/>
        <v xml:space="preserve"> </v>
      </c>
      <c r="T18" s="60"/>
      <c r="U18" s="24"/>
      <c r="V18" s="64" t="str">
        <f t="shared" si="7"/>
        <v xml:space="preserve"> </v>
      </c>
      <c r="W18" s="103" t="str">
        <f t="shared" si="5"/>
        <v xml:space="preserve"> </v>
      </c>
    </row>
    <row r="19" spans="1:23" ht="15" customHeight="1">
      <c r="A19" s="5">
        <v>10</v>
      </c>
      <c r="B19" s="17"/>
      <c r="C19" s="3"/>
      <c r="D19" s="49"/>
      <c r="E19" s="113"/>
      <c r="F19" s="3"/>
      <c r="G19" s="109"/>
      <c r="H19" s="52"/>
      <c r="I19" s="13"/>
      <c r="J19" s="57" t="str">
        <f t="shared" si="0"/>
        <v xml:space="preserve"> </v>
      </c>
      <c r="K19" s="67" t="str">
        <f t="shared" si="1"/>
        <v xml:space="preserve"> </v>
      </c>
      <c r="L19" s="95"/>
      <c r="M19" s="3"/>
      <c r="N19" s="64" t="str">
        <f t="shared" si="2"/>
        <v xml:space="preserve"> </v>
      </c>
      <c r="O19" s="100" t="str">
        <f t="shared" si="3"/>
        <v xml:space="preserve"> </v>
      </c>
      <c r="P19" s="52"/>
      <c r="Q19" s="13"/>
      <c r="R19" s="56" t="str">
        <f t="shared" si="6"/>
        <v xml:space="preserve"> </v>
      </c>
      <c r="S19" s="67" t="str">
        <f t="shared" si="4"/>
        <v xml:space="preserve"> </v>
      </c>
      <c r="T19" s="60"/>
      <c r="U19" s="24"/>
      <c r="V19" s="64" t="str">
        <f t="shared" si="7"/>
        <v xml:space="preserve"> </v>
      </c>
      <c r="W19" s="103" t="str">
        <f t="shared" si="5"/>
        <v xml:space="preserve"> </v>
      </c>
    </row>
    <row r="20" spans="1:23" ht="15" customHeight="1">
      <c r="A20" s="5">
        <v>11</v>
      </c>
      <c r="B20" s="17"/>
      <c r="C20" s="3"/>
      <c r="D20" s="49"/>
      <c r="E20" s="113"/>
      <c r="F20" s="3"/>
      <c r="G20" s="109"/>
      <c r="H20" s="52"/>
      <c r="I20" s="13"/>
      <c r="J20" s="57" t="str">
        <f t="shared" si="0"/>
        <v xml:space="preserve"> </v>
      </c>
      <c r="K20" s="67" t="str">
        <f t="shared" si="1"/>
        <v xml:space="preserve"> </v>
      </c>
      <c r="L20" s="95"/>
      <c r="M20" s="3"/>
      <c r="N20" s="64" t="str">
        <f t="shared" si="2"/>
        <v xml:space="preserve"> </v>
      </c>
      <c r="O20" s="100" t="str">
        <f t="shared" si="3"/>
        <v xml:space="preserve"> </v>
      </c>
      <c r="P20" s="52"/>
      <c r="Q20" s="13"/>
      <c r="R20" s="56" t="str">
        <f t="shared" si="6"/>
        <v xml:space="preserve"> </v>
      </c>
      <c r="S20" s="67" t="str">
        <f t="shared" si="4"/>
        <v xml:space="preserve"> </v>
      </c>
      <c r="T20" s="60"/>
      <c r="U20" s="24"/>
      <c r="V20" s="64" t="str">
        <f t="shared" si="7"/>
        <v xml:space="preserve"> </v>
      </c>
      <c r="W20" s="103" t="str">
        <f t="shared" si="5"/>
        <v xml:space="preserve"> </v>
      </c>
    </row>
    <row r="21" spans="1:23" ht="15" customHeight="1">
      <c r="A21" s="5">
        <v>12</v>
      </c>
      <c r="B21" s="17"/>
      <c r="C21" s="3"/>
      <c r="D21" s="49"/>
      <c r="E21" s="113"/>
      <c r="F21" s="3"/>
      <c r="G21" s="109"/>
      <c r="H21" s="52"/>
      <c r="I21" s="13"/>
      <c r="J21" s="57" t="str">
        <f t="shared" si="0"/>
        <v xml:space="preserve"> </v>
      </c>
      <c r="K21" s="67" t="str">
        <f t="shared" si="1"/>
        <v xml:space="preserve"> </v>
      </c>
      <c r="L21" s="95"/>
      <c r="M21" s="3"/>
      <c r="N21" s="64" t="str">
        <f t="shared" si="2"/>
        <v xml:space="preserve"> </v>
      </c>
      <c r="O21" s="100" t="str">
        <f t="shared" si="3"/>
        <v xml:space="preserve"> </v>
      </c>
      <c r="P21" s="52"/>
      <c r="Q21" s="13"/>
      <c r="R21" s="56" t="str">
        <f t="shared" si="6"/>
        <v xml:space="preserve"> </v>
      </c>
      <c r="S21" s="67" t="str">
        <f t="shared" si="4"/>
        <v xml:space="preserve"> </v>
      </c>
      <c r="T21" s="60"/>
      <c r="U21" s="24"/>
      <c r="V21" s="64" t="str">
        <f t="shared" si="7"/>
        <v xml:space="preserve"> </v>
      </c>
      <c r="W21" s="103" t="str">
        <f t="shared" si="5"/>
        <v xml:space="preserve"> </v>
      </c>
    </row>
    <row r="22" spans="1:23" ht="15" customHeight="1">
      <c r="A22" s="5">
        <v>13</v>
      </c>
      <c r="B22" s="17"/>
      <c r="C22" s="3"/>
      <c r="D22" s="49"/>
      <c r="E22" s="113"/>
      <c r="F22" s="3"/>
      <c r="G22" s="109"/>
      <c r="H22" s="52"/>
      <c r="I22" s="13"/>
      <c r="J22" s="57" t="str">
        <f t="shared" si="0"/>
        <v xml:space="preserve"> </v>
      </c>
      <c r="K22" s="67" t="str">
        <f t="shared" si="1"/>
        <v xml:space="preserve"> </v>
      </c>
      <c r="L22" s="95"/>
      <c r="M22" s="3"/>
      <c r="N22" s="64" t="str">
        <f t="shared" si="2"/>
        <v xml:space="preserve"> </v>
      </c>
      <c r="O22" s="100" t="str">
        <f t="shared" si="3"/>
        <v xml:space="preserve"> </v>
      </c>
      <c r="P22" s="52"/>
      <c r="Q22" s="13"/>
      <c r="R22" s="56" t="str">
        <f t="shared" si="6"/>
        <v xml:space="preserve"> </v>
      </c>
      <c r="S22" s="67" t="str">
        <f t="shared" si="4"/>
        <v xml:space="preserve"> </v>
      </c>
      <c r="T22" s="60"/>
      <c r="U22" s="24"/>
      <c r="V22" s="64" t="str">
        <f t="shared" si="7"/>
        <v xml:space="preserve"> </v>
      </c>
      <c r="W22" s="103" t="str">
        <f t="shared" si="5"/>
        <v xml:space="preserve"> </v>
      </c>
    </row>
    <row r="23" spans="1:23" ht="15" customHeight="1">
      <c r="A23" s="5">
        <v>14</v>
      </c>
      <c r="B23" s="17"/>
      <c r="C23" s="3"/>
      <c r="D23" s="49"/>
      <c r="E23" s="113"/>
      <c r="F23" s="3"/>
      <c r="G23" s="109"/>
      <c r="H23" s="52"/>
      <c r="I23" s="13"/>
      <c r="J23" s="57" t="str">
        <f t="shared" si="0"/>
        <v xml:space="preserve"> </v>
      </c>
      <c r="K23" s="67" t="str">
        <f t="shared" si="1"/>
        <v xml:space="preserve"> </v>
      </c>
      <c r="L23" s="95"/>
      <c r="M23" s="3"/>
      <c r="N23" s="64" t="str">
        <f t="shared" si="2"/>
        <v xml:space="preserve"> </v>
      </c>
      <c r="O23" s="100" t="str">
        <f t="shared" si="3"/>
        <v xml:space="preserve"> </v>
      </c>
      <c r="P23" s="52"/>
      <c r="Q23" s="13"/>
      <c r="R23" s="56" t="str">
        <f t="shared" si="6"/>
        <v xml:space="preserve"> </v>
      </c>
      <c r="S23" s="67" t="str">
        <f t="shared" si="4"/>
        <v xml:space="preserve"> </v>
      </c>
      <c r="T23" s="60"/>
      <c r="U23" s="24"/>
      <c r="V23" s="64" t="str">
        <f t="shared" si="7"/>
        <v xml:space="preserve"> </v>
      </c>
      <c r="W23" s="103" t="str">
        <f t="shared" si="5"/>
        <v xml:space="preserve"> </v>
      </c>
    </row>
    <row r="24" spans="1:23" ht="15" customHeight="1">
      <c r="A24" s="5">
        <v>15</v>
      </c>
      <c r="B24" s="17"/>
      <c r="C24" s="3"/>
      <c r="D24" s="49"/>
      <c r="E24" s="113"/>
      <c r="F24" s="3"/>
      <c r="G24" s="109"/>
      <c r="H24" s="52"/>
      <c r="I24" s="13"/>
      <c r="J24" s="57" t="str">
        <f t="shared" si="0"/>
        <v xml:space="preserve"> </v>
      </c>
      <c r="K24" s="67" t="str">
        <f t="shared" si="1"/>
        <v xml:space="preserve"> </v>
      </c>
      <c r="L24" s="95"/>
      <c r="M24" s="3"/>
      <c r="N24" s="64" t="str">
        <f t="shared" si="2"/>
        <v xml:space="preserve"> </v>
      </c>
      <c r="O24" s="100" t="str">
        <f t="shared" si="3"/>
        <v xml:space="preserve"> </v>
      </c>
      <c r="P24" s="52"/>
      <c r="Q24" s="13"/>
      <c r="R24" s="56" t="str">
        <f t="shared" si="6"/>
        <v xml:space="preserve"> </v>
      </c>
      <c r="S24" s="67" t="str">
        <f t="shared" si="4"/>
        <v xml:space="preserve"> </v>
      </c>
      <c r="T24" s="60"/>
      <c r="U24" s="24"/>
      <c r="V24" s="64" t="str">
        <f t="shared" si="7"/>
        <v xml:space="preserve"> </v>
      </c>
      <c r="W24" s="103" t="str">
        <f t="shared" si="5"/>
        <v xml:space="preserve"> </v>
      </c>
    </row>
    <row r="25" spans="1:23" ht="15" customHeight="1">
      <c r="A25" s="5">
        <v>16</v>
      </c>
      <c r="B25" s="17"/>
      <c r="C25" s="3"/>
      <c r="D25" s="49"/>
      <c r="E25" s="113"/>
      <c r="F25" s="3"/>
      <c r="G25" s="109"/>
      <c r="H25" s="52"/>
      <c r="I25" s="13"/>
      <c r="J25" s="57" t="str">
        <f t="shared" si="0"/>
        <v xml:space="preserve"> </v>
      </c>
      <c r="K25" s="67" t="str">
        <f t="shared" si="1"/>
        <v xml:space="preserve"> </v>
      </c>
      <c r="L25" s="95"/>
      <c r="M25" s="3"/>
      <c r="N25" s="64" t="str">
        <f t="shared" si="2"/>
        <v xml:space="preserve"> </v>
      </c>
      <c r="O25" s="100" t="str">
        <f t="shared" si="3"/>
        <v xml:space="preserve"> </v>
      </c>
      <c r="P25" s="52"/>
      <c r="Q25" s="13"/>
      <c r="R25" s="56" t="str">
        <f t="shared" si="6"/>
        <v xml:space="preserve"> </v>
      </c>
      <c r="S25" s="67" t="str">
        <f t="shared" si="4"/>
        <v xml:space="preserve"> </v>
      </c>
      <c r="T25" s="60"/>
      <c r="U25" s="24"/>
      <c r="V25" s="64" t="str">
        <f t="shared" si="7"/>
        <v xml:space="preserve"> </v>
      </c>
      <c r="W25" s="103" t="str">
        <f t="shared" si="5"/>
        <v xml:space="preserve"> </v>
      </c>
    </row>
    <row r="26" spans="1:23" ht="15" customHeight="1">
      <c r="A26" s="5">
        <v>17</v>
      </c>
      <c r="B26" s="17"/>
      <c r="C26" s="3"/>
      <c r="D26" s="49"/>
      <c r="E26" s="113"/>
      <c r="F26" s="3"/>
      <c r="G26" s="109"/>
      <c r="H26" s="52"/>
      <c r="I26" s="13"/>
      <c r="J26" s="57" t="str">
        <f t="shared" si="0"/>
        <v xml:space="preserve"> </v>
      </c>
      <c r="K26" s="67" t="str">
        <f t="shared" si="1"/>
        <v xml:space="preserve"> </v>
      </c>
      <c r="L26" s="95"/>
      <c r="M26" s="3"/>
      <c r="N26" s="64" t="str">
        <f t="shared" si="2"/>
        <v xml:space="preserve"> </v>
      </c>
      <c r="O26" s="100" t="str">
        <f t="shared" si="3"/>
        <v xml:space="preserve"> </v>
      </c>
      <c r="P26" s="52"/>
      <c r="Q26" s="13"/>
      <c r="R26" s="56" t="str">
        <f t="shared" si="6"/>
        <v xml:space="preserve"> </v>
      </c>
      <c r="S26" s="67" t="str">
        <f t="shared" si="4"/>
        <v xml:space="preserve"> </v>
      </c>
      <c r="T26" s="60"/>
      <c r="U26" s="24"/>
      <c r="V26" s="64" t="str">
        <f t="shared" si="7"/>
        <v xml:space="preserve"> </v>
      </c>
      <c r="W26" s="103" t="str">
        <f t="shared" si="5"/>
        <v xml:space="preserve"> </v>
      </c>
    </row>
    <row r="27" spans="1:23" ht="15" customHeight="1">
      <c r="A27" s="5">
        <v>18</v>
      </c>
      <c r="B27" s="17"/>
      <c r="C27" s="3"/>
      <c r="D27" s="49"/>
      <c r="E27" s="113"/>
      <c r="F27" s="3"/>
      <c r="G27" s="109"/>
      <c r="H27" s="52"/>
      <c r="I27" s="13"/>
      <c r="J27" s="57" t="str">
        <f t="shared" si="0"/>
        <v xml:space="preserve"> </v>
      </c>
      <c r="K27" s="67" t="str">
        <f t="shared" si="1"/>
        <v xml:space="preserve"> </v>
      </c>
      <c r="L27" s="95"/>
      <c r="M27" s="3"/>
      <c r="N27" s="64" t="str">
        <f t="shared" si="2"/>
        <v xml:space="preserve"> </v>
      </c>
      <c r="O27" s="100" t="str">
        <f t="shared" si="3"/>
        <v xml:space="preserve"> </v>
      </c>
      <c r="P27" s="52"/>
      <c r="Q27" s="13"/>
      <c r="R27" s="56" t="str">
        <f t="shared" si="6"/>
        <v xml:space="preserve"> </v>
      </c>
      <c r="S27" s="67" t="str">
        <f t="shared" si="4"/>
        <v xml:space="preserve"> </v>
      </c>
      <c r="T27" s="60"/>
      <c r="U27" s="24"/>
      <c r="V27" s="64" t="str">
        <f t="shared" si="7"/>
        <v xml:space="preserve"> </v>
      </c>
      <c r="W27" s="103" t="str">
        <f t="shared" si="5"/>
        <v xml:space="preserve"> </v>
      </c>
    </row>
    <row r="28" spans="1:23" ht="15" customHeight="1">
      <c r="A28" s="5">
        <v>19</v>
      </c>
      <c r="B28" s="17"/>
      <c r="C28" s="3"/>
      <c r="D28" s="49"/>
      <c r="E28" s="113"/>
      <c r="F28" s="3"/>
      <c r="G28" s="109"/>
      <c r="H28" s="52"/>
      <c r="I28" s="13"/>
      <c r="J28" s="57" t="str">
        <f t="shared" si="0"/>
        <v xml:space="preserve"> </v>
      </c>
      <c r="K28" s="67" t="str">
        <f t="shared" si="1"/>
        <v xml:space="preserve"> </v>
      </c>
      <c r="L28" s="95"/>
      <c r="M28" s="3"/>
      <c r="N28" s="64" t="str">
        <f t="shared" si="2"/>
        <v xml:space="preserve"> </v>
      </c>
      <c r="O28" s="100" t="str">
        <f t="shared" si="3"/>
        <v xml:space="preserve"> </v>
      </c>
      <c r="P28" s="52"/>
      <c r="Q28" s="13"/>
      <c r="R28" s="56" t="str">
        <f t="shared" si="6"/>
        <v xml:space="preserve"> </v>
      </c>
      <c r="S28" s="67" t="str">
        <f t="shared" si="4"/>
        <v xml:space="preserve"> </v>
      </c>
      <c r="T28" s="60"/>
      <c r="U28" s="24"/>
      <c r="V28" s="64" t="str">
        <f t="shared" si="7"/>
        <v xml:space="preserve"> </v>
      </c>
      <c r="W28" s="103" t="str">
        <f t="shared" si="5"/>
        <v xml:space="preserve"> </v>
      </c>
    </row>
    <row r="29" spans="1:23" ht="15" customHeight="1">
      <c r="A29" s="5">
        <v>20</v>
      </c>
      <c r="B29" s="17"/>
      <c r="C29" s="3"/>
      <c r="D29" s="49"/>
      <c r="E29" s="113"/>
      <c r="F29" s="3"/>
      <c r="G29" s="109"/>
      <c r="H29" s="52"/>
      <c r="I29" s="13"/>
      <c r="J29" s="57" t="str">
        <f t="shared" si="0"/>
        <v xml:space="preserve"> </v>
      </c>
      <c r="K29" s="67" t="str">
        <f t="shared" si="1"/>
        <v xml:space="preserve"> </v>
      </c>
      <c r="L29" s="95"/>
      <c r="M29" s="3"/>
      <c r="N29" s="64" t="str">
        <f t="shared" si="2"/>
        <v xml:space="preserve"> </v>
      </c>
      <c r="O29" s="100" t="str">
        <f t="shared" si="3"/>
        <v xml:space="preserve"> </v>
      </c>
      <c r="P29" s="52"/>
      <c r="Q29" s="13"/>
      <c r="R29" s="56" t="str">
        <f t="shared" si="6"/>
        <v xml:space="preserve"> </v>
      </c>
      <c r="S29" s="67" t="str">
        <f t="shared" si="4"/>
        <v xml:space="preserve"> </v>
      </c>
      <c r="T29" s="60"/>
      <c r="U29" s="24"/>
      <c r="V29" s="64" t="str">
        <f t="shared" si="7"/>
        <v xml:space="preserve"> </v>
      </c>
      <c r="W29" s="103" t="str">
        <f t="shared" si="5"/>
        <v xml:space="preserve"> </v>
      </c>
    </row>
    <row r="30" spans="1:23" ht="15" customHeight="1">
      <c r="A30" s="5">
        <v>21</v>
      </c>
      <c r="B30" s="17"/>
      <c r="C30" s="3"/>
      <c r="D30" s="49"/>
      <c r="E30" s="113"/>
      <c r="F30" s="3"/>
      <c r="G30" s="109"/>
      <c r="H30" s="52"/>
      <c r="I30" s="13"/>
      <c r="J30" s="57" t="str">
        <f t="shared" si="0"/>
        <v xml:space="preserve"> </v>
      </c>
      <c r="K30" s="67" t="str">
        <f t="shared" si="1"/>
        <v xml:space="preserve"> </v>
      </c>
      <c r="L30" s="95"/>
      <c r="M30" s="3"/>
      <c r="N30" s="64" t="str">
        <f t="shared" si="2"/>
        <v xml:space="preserve"> </v>
      </c>
      <c r="O30" s="100" t="str">
        <f t="shared" si="3"/>
        <v xml:space="preserve"> </v>
      </c>
      <c r="P30" s="52"/>
      <c r="Q30" s="13"/>
      <c r="R30" s="56" t="str">
        <f t="shared" si="6"/>
        <v xml:space="preserve"> </v>
      </c>
      <c r="S30" s="67" t="str">
        <f t="shared" si="4"/>
        <v xml:space="preserve"> </v>
      </c>
      <c r="T30" s="60"/>
      <c r="U30" s="24"/>
      <c r="V30" s="64" t="str">
        <f t="shared" si="7"/>
        <v xml:space="preserve"> </v>
      </c>
      <c r="W30" s="103" t="str">
        <f t="shared" si="5"/>
        <v xml:space="preserve"> </v>
      </c>
    </row>
    <row r="31" spans="1:23" ht="15" customHeight="1">
      <c r="A31" s="5">
        <v>22</v>
      </c>
      <c r="B31" s="17"/>
      <c r="C31" s="3"/>
      <c r="D31" s="49"/>
      <c r="E31" s="113"/>
      <c r="F31" s="3"/>
      <c r="G31" s="109"/>
      <c r="H31" s="52"/>
      <c r="I31" s="13"/>
      <c r="J31" s="57" t="str">
        <f t="shared" si="0"/>
        <v xml:space="preserve"> </v>
      </c>
      <c r="K31" s="67" t="str">
        <f t="shared" si="1"/>
        <v xml:space="preserve"> </v>
      </c>
      <c r="L31" s="95"/>
      <c r="M31" s="3"/>
      <c r="N31" s="64" t="str">
        <f t="shared" si="2"/>
        <v xml:space="preserve"> </v>
      </c>
      <c r="O31" s="100" t="str">
        <f t="shared" si="3"/>
        <v xml:space="preserve"> </v>
      </c>
      <c r="P31" s="52"/>
      <c r="Q31" s="13"/>
      <c r="R31" s="56" t="str">
        <f t="shared" si="6"/>
        <v xml:space="preserve"> </v>
      </c>
      <c r="S31" s="67" t="str">
        <f t="shared" si="4"/>
        <v xml:space="preserve"> </v>
      </c>
      <c r="T31" s="60"/>
      <c r="U31" s="24"/>
      <c r="V31" s="64" t="str">
        <f t="shared" si="7"/>
        <v xml:space="preserve"> </v>
      </c>
      <c r="W31" s="103" t="str">
        <f t="shared" si="5"/>
        <v xml:space="preserve"> </v>
      </c>
    </row>
    <row r="32" spans="1:23" ht="15" customHeight="1">
      <c r="A32" s="5">
        <v>23</v>
      </c>
      <c r="B32" s="17"/>
      <c r="C32" s="3"/>
      <c r="D32" s="49"/>
      <c r="E32" s="113"/>
      <c r="F32" s="3"/>
      <c r="G32" s="109"/>
      <c r="H32" s="52"/>
      <c r="I32" s="13"/>
      <c r="J32" s="57" t="str">
        <f t="shared" si="0"/>
        <v xml:space="preserve"> </v>
      </c>
      <c r="K32" s="67" t="str">
        <f t="shared" si="1"/>
        <v xml:space="preserve"> </v>
      </c>
      <c r="L32" s="95"/>
      <c r="M32" s="3"/>
      <c r="N32" s="64" t="str">
        <f t="shared" si="2"/>
        <v xml:space="preserve"> </v>
      </c>
      <c r="O32" s="100" t="str">
        <f t="shared" si="3"/>
        <v xml:space="preserve"> </v>
      </c>
      <c r="P32" s="52"/>
      <c r="Q32" s="13"/>
      <c r="R32" s="56" t="str">
        <f t="shared" si="6"/>
        <v xml:space="preserve"> </v>
      </c>
      <c r="S32" s="67" t="str">
        <f t="shared" si="4"/>
        <v xml:space="preserve"> </v>
      </c>
      <c r="T32" s="60"/>
      <c r="U32" s="24"/>
      <c r="V32" s="64" t="str">
        <f t="shared" si="7"/>
        <v xml:space="preserve"> </v>
      </c>
      <c r="W32" s="103" t="str">
        <f t="shared" si="5"/>
        <v xml:space="preserve"> </v>
      </c>
    </row>
    <row r="33" spans="1:23" ht="15" customHeight="1">
      <c r="A33" s="5">
        <v>24</v>
      </c>
      <c r="B33" s="17"/>
      <c r="C33" s="3"/>
      <c r="D33" s="49"/>
      <c r="E33" s="113"/>
      <c r="F33" s="3"/>
      <c r="G33" s="109"/>
      <c r="H33" s="52"/>
      <c r="I33" s="13"/>
      <c r="J33" s="57" t="str">
        <f t="shared" si="0"/>
        <v xml:space="preserve"> </v>
      </c>
      <c r="K33" s="67" t="str">
        <f t="shared" si="1"/>
        <v xml:space="preserve"> </v>
      </c>
      <c r="L33" s="95"/>
      <c r="M33" s="3"/>
      <c r="N33" s="64" t="str">
        <f t="shared" si="2"/>
        <v xml:space="preserve"> </v>
      </c>
      <c r="O33" s="100" t="str">
        <f t="shared" si="3"/>
        <v xml:space="preserve"> </v>
      </c>
      <c r="P33" s="52"/>
      <c r="Q33" s="13"/>
      <c r="R33" s="56" t="str">
        <f t="shared" si="6"/>
        <v xml:space="preserve"> </v>
      </c>
      <c r="S33" s="67" t="str">
        <f t="shared" si="4"/>
        <v xml:space="preserve"> </v>
      </c>
      <c r="T33" s="60"/>
      <c r="U33" s="24"/>
      <c r="V33" s="64" t="str">
        <f t="shared" si="7"/>
        <v xml:space="preserve"> </v>
      </c>
      <c r="W33" s="103" t="str">
        <f t="shared" si="5"/>
        <v xml:space="preserve"> </v>
      </c>
    </row>
    <row r="34" spans="1:23" ht="15" customHeight="1">
      <c r="A34" s="5">
        <v>25</v>
      </c>
      <c r="B34" s="17"/>
      <c r="C34" s="3"/>
      <c r="D34" s="49"/>
      <c r="E34" s="113"/>
      <c r="F34" s="3"/>
      <c r="G34" s="109"/>
      <c r="H34" s="52"/>
      <c r="I34" s="13"/>
      <c r="J34" s="57" t="str">
        <f t="shared" si="0"/>
        <v xml:space="preserve"> </v>
      </c>
      <c r="K34" s="67" t="str">
        <f t="shared" si="1"/>
        <v xml:space="preserve"> </v>
      </c>
      <c r="L34" s="95"/>
      <c r="M34" s="3"/>
      <c r="N34" s="64" t="str">
        <f t="shared" si="2"/>
        <v xml:space="preserve"> </v>
      </c>
      <c r="O34" s="100" t="str">
        <f t="shared" si="3"/>
        <v xml:space="preserve"> </v>
      </c>
      <c r="P34" s="52"/>
      <c r="Q34" s="13"/>
      <c r="R34" s="56" t="str">
        <f t="shared" si="6"/>
        <v xml:space="preserve"> </v>
      </c>
      <c r="S34" s="67" t="str">
        <f t="shared" si="4"/>
        <v xml:space="preserve"> </v>
      </c>
      <c r="T34" s="60"/>
      <c r="U34" s="24"/>
      <c r="V34" s="64" t="str">
        <f t="shared" si="7"/>
        <v xml:space="preserve"> </v>
      </c>
      <c r="W34" s="103" t="str">
        <f t="shared" si="5"/>
        <v xml:space="preserve"> </v>
      </c>
    </row>
    <row r="35" spans="1:23" ht="15" customHeight="1">
      <c r="A35" s="5">
        <v>26</v>
      </c>
      <c r="B35" s="17"/>
      <c r="C35" s="3"/>
      <c r="D35" s="49"/>
      <c r="E35" s="113"/>
      <c r="F35" s="3"/>
      <c r="G35" s="109"/>
      <c r="H35" s="52"/>
      <c r="I35" s="13"/>
      <c r="J35" s="57" t="str">
        <f t="shared" si="0"/>
        <v xml:space="preserve"> </v>
      </c>
      <c r="K35" s="67" t="str">
        <f t="shared" si="1"/>
        <v xml:space="preserve"> </v>
      </c>
      <c r="L35" s="95"/>
      <c r="M35" s="3"/>
      <c r="N35" s="64" t="str">
        <f t="shared" si="2"/>
        <v xml:space="preserve"> </v>
      </c>
      <c r="O35" s="100" t="str">
        <f t="shared" si="3"/>
        <v xml:space="preserve"> </v>
      </c>
      <c r="P35" s="52"/>
      <c r="Q35" s="13"/>
      <c r="R35" s="56" t="str">
        <f t="shared" si="6"/>
        <v xml:space="preserve"> </v>
      </c>
      <c r="S35" s="67" t="str">
        <f t="shared" si="4"/>
        <v xml:space="preserve"> </v>
      </c>
      <c r="T35" s="60"/>
      <c r="U35" s="24"/>
      <c r="V35" s="64" t="str">
        <f t="shared" si="7"/>
        <v xml:space="preserve"> </v>
      </c>
      <c r="W35" s="103" t="str">
        <f t="shared" si="5"/>
        <v xml:space="preserve"> </v>
      </c>
    </row>
    <row r="36" spans="1:23" ht="15" customHeight="1">
      <c r="A36" s="5">
        <v>27</v>
      </c>
      <c r="B36" s="17"/>
      <c r="C36" s="3"/>
      <c r="D36" s="49"/>
      <c r="E36" s="113"/>
      <c r="F36" s="3"/>
      <c r="G36" s="109"/>
      <c r="H36" s="52"/>
      <c r="I36" s="13"/>
      <c r="J36" s="57" t="str">
        <f t="shared" si="0"/>
        <v xml:space="preserve"> </v>
      </c>
      <c r="K36" s="67" t="str">
        <f t="shared" si="1"/>
        <v xml:space="preserve"> </v>
      </c>
      <c r="L36" s="95"/>
      <c r="M36" s="3"/>
      <c r="N36" s="64" t="str">
        <f t="shared" si="2"/>
        <v xml:space="preserve"> </v>
      </c>
      <c r="O36" s="100" t="str">
        <f t="shared" si="3"/>
        <v xml:space="preserve"> </v>
      </c>
      <c r="P36" s="52"/>
      <c r="Q36" s="13"/>
      <c r="R36" s="56" t="str">
        <f t="shared" si="6"/>
        <v xml:space="preserve"> </v>
      </c>
      <c r="S36" s="67" t="str">
        <f t="shared" si="4"/>
        <v xml:space="preserve"> </v>
      </c>
      <c r="T36" s="60"/>
      <c r="U36" s="24"/>
      <c r="V36" s="64" t="str">
        <f t="shared" si="7"/>
        <v xml:space="preserve"> </v>
      </c>
      <c r="W36" s="103" t="str">
        <f t="shared" si="5"/>
        <v xml:space="preserve"> </v>
      </c>
    </row>
    <row r="37" spans="1:23" ht="15" customHeight="1">
      <c r="A37" s="5">
        <v>28</v>
      </c>
      <c r="B37" s="17"/>
      <c r="C37" s="3"/>
      <c r="D37" s="49"/>
      <c r="E37" s="113"/>
      <c r="F37" s="3"/>
      <c r="G37" s="109"/>
      <c r="H37" s="52"/>
      <c r="I37" s="13"/>
      <c r="J37" s="57" t="str">
        <f t="shared" si="0"/>
        <v xml:space="preserve"> </v>
      </c>
      <c r="K37" s="67" t="str">
        <f t="shared" si="1"/>
        <v xml:space="preserve"> </v>
      </c>
      <c r="L37" s="95"/>
      <c r="M37" s="3"/>
      <c r="N37" s="64" t="str">
        <f t="shared" si="2"/>
        <v xml:space="preserve"> </v>
      </c>
      <c r="O37" s="100" t="str">
        <f t="shared" si="3"/>
        <v xml:space="preserve"> </v>
      </c>
      <c r="P37" s="52"/>
      <c r="Q37" s="13"/>
      <c r="R37" s="56" t="str">
        <f t="shared" si="6"/>
        <v xml:space="preserve"> </v>
      </c>
      <c r="S37" s="67" t="str">
        <f t="shared" si="4"/>
        <v xml:space="preserve"> </v>
      </c>
      <c r="T37" s="60"/>
      <c r="U37" s="24"/>
      <c r="V37" s="64" t="str">
        <f t="shared" si="7"/>
        <v xml:space="preserve"> </v>
      </c>
      <c r="W37" s="103" t="str">
        <f t="shared" si="5"/>
        <v xml:space="preserve"> </v>
      </c>
    </row>
    <row r="38" spans="1:23" ht="15" customHeight="1">
      <c r="A38" s="5">
        <v>29</v>
      </c>
      <c r="B38" s="17"/>
      <c r="C38" s="3"/>
      <c r="D38" s="49"/>
      <c r="E38" s="113"/>
      <c r="F38" s="3"/>
      <c r="G38" s="109"/>
      <c r="H38" s="52"/>
      <c r="I38" s="13"/>
      <c r="J38" s="57" t="str">
        <f t="shared" si="0"/>
        <v xml:space="preserve"> </v>
      </c>
      <c r="K38" s="67" t="str">
        <f t="shared" si="1"/>
        <v xml:space="preserve"> </v>
      </c>
      <c r="L38" s="95"/>
      <c r="M38" s="3"/>
      <c r="N38" s="64" t="str">
        <f t="shared" si="2"/>
        <v xml:space="preserve"> </v>
      </c>
      <c r="O38" s="100" t="str">
        <f t="shared" si="3"/>
        <v xml:space="preserve"> </v>
      </c>
      <c r="P38" s="52"/>
      <c r="Q38" s="13"/>
      <c r="R38" s="56" t="str">
        <f t="shared" si="6"/>
        <v xml:space="preserve"> </v>
      </c>
      <c r="S38" s="67" t="str">
        <f t="shared" si="4"/>
        <v xml:space="preserve"> </v>
      </c>
      <c r="T38" s="60"/>
      <c r="U38" s="24"/>
      <c r="V38" s="64" t="str">
        <f t="shared" si="7"/>
        <v xml:space="preserve"> </v>
      </c>
      <c r="W38" s="103" t="str">
        <f t="shared" si="5"/>
        <v xml:space="preserve"> </v>
      </c>
    </row>
    <row r="39" spans="1:23" ht="15" customHeight="1">
      <c r="A39" s="5">
        <v>30</v>
      </c>
      <c r="B39" s="17"/>
      <c r="C39" s="3"/>
      <c r="D39" s="49"/>
      <c r="E39" s="113"/>
      <c r="F39" s="3"/>
      <c r="G39" s="109"/>
      <c r="H39" s="52"/>
      <c r="I39" s="13"/>
      <c r="J39" s="57" t="str">
        <f t="shared" si="0"/>
        <v xml:space="preserve"> </v>
      </c>
      <c r="K39" s="67" t="str">
        <f t="shared" si="1"/>
        <v xml:space="preserve"> </v>
      </c>
      <c r="L39" s="95"/>
      <c r="M39" s="3"/>
      <c r="N39" s="64" t="str">
        <f t="shared" si="2"/>
        <v xml:space="preserve"> </v>
      </c>
      <c r="O39" s="100" t="str">
        <f t="shared" si="3"/>
        <v xml:space="preserve"> </v>
      </c>
      <c r="P39" s="52"/>
      <c r="Q39" s="13"/>
      <c r="R39" s="56" t="str">
        <f t="shared" si="6"/>
        <v xml:space="preserve"> </v>
      </c>
      <c r="S39" s="67" t="str">
        <f t="shared" si="4"/>
        <v xml:space="preserve"> </v>
      </c>
      <c r="T39" s="60"/>
      <c r="U39" s="24"/>
      <c r="V39" s="64" t="str">
        <f t="shared" si="7"/>
        <v xml:space="preserve"> </v>
      </c>
      <c r="W39" s="103" t="str">
        <f t="shared" si="5"/>
        <v xml:space="preserve"> </v>
      </c>
    </row>
    <row r="40" spans="1:23" ht="15" customHeight="1" thickBot="1">
      <c r="A40" s="5">
        <v>31</v>
      </c>
      <c r="B40" s="17"/>
      <c r="C40" s="12"/>
      <c r="D40" s="50"/>
      <c r="E40" s="114"/>
      <c r="F40" s="12"/>
      <c r="G40" s="110"/>
      <c r="H40" s="53"/>
      <c r="I40" s="22"/>
      <c r="J40" s="57" t="str">
        <f t="shared" si="0"/>
        <v xml:space="preserve"> </v>
      </c>
      <c r="K40" s="97" t="str">
        <f t="shared" si="1"/>
        <v xml:space="preserve"> </v>
      </c>
      <c r="L40" s="96"/>
      <c r="M40" s="18"/>
      <c r="N40" s="94" t="str">
        <f t="shared" si="2"/>
        <v xml:space="preserve"> </v>
      </c>
      <c r="O40" s="99" t="str">
        <f t="shared" si="3"/>
        <v xml:space="preserve"> </v>
      </c>
      <c r="P40" s="53"/>
      <c r="Q40" s="22"/>
      <c r="R40" s="56" t="str">
        <f t="shared" si="6"/>
        <v xml:space="preserve"> </v>
      </c>
      <c r="S40" s="97" t="str">
        <f t="shared" si="4"/>
        <v xml:space="preserve"> </v>
      </c>
      <c r="T40" s="61"/>
      <c r="U40" s="25"/>
      <c r="V40" s="64" t="str">
        <f t="shared" si="7"/>
        <v xml:space="preserve"> </v>
      </c>
      <c r="W40" s="104" t="str">
        <f t="shared" si="5"/>
        <v xml:space="preserve"> </v>
      </c>
    </row>
    <row r="41" spans="1:23" ht="15" customHeight="1">
      <c r="A41" s="153" t="s">
        <v>154</v>
      </c>
      <c r="B41" s="154"/>
      <c r="C41" s="154"/>
      <c r="D41" s="155"/>
      <c r="E41" s="155"/>
      <c r="F41" s="155"/>
      <c r="G41" s="155"/>
      <c r="H41" s="54" t="str">
        <f>IF(ISBLANK($T1)," ",SUM(H10:H40))</f>
        <v xml:space="preserve"> </v>
      </c>
      <c r="I41" s="37"/>
      <c r="J41" s="58" t="str">
        <f>IF(ISBLANK($T1)," ",SUM(J10:J40))</f>
        <v xml:space="preserve"> </v>
      </c>
      <c r="K41" s="38"/>
      <c r="L41" s="62" t="str">
        <f>IF(ISBLANK($T1)," ",SUM(L10:L40))</f>
        <v xml:space="preserve"> </v>
      </c>
      <c r="M41" s="39"/>
      <c r="N41" s="65" t="str">
        <f>IF(ISBLANK($T1)," ",SUM(N10:N40))</f>
        <v xml:space="preserve"> </v>
      </c>
      <c r="O41" s="40"/>
      <c r="P41" s="54" t="str">
        <f>IF(ISBLANK($T1)," ",SUM(P10:P40))</f>
        <v xml:space="preserve"> </v>
      </c>
      <c r="Q41" s="37"/>
      <c r="R41" s="58" t="str">
        <f>IF(ISBLANK($T1)," ",SUM(R10:R40))</f>
        <v xml:space="preserve"> </v>
      </c>
      <c r="S41" s="38"/>
      <c r="T41" s="62" t="str">
        <f>IF(ISBLANK($T1)," ",SUM(T10:T40))</f>
        <v xml:space="preserve"> </v>
      </c>
      <c r="U41" s="39"/>
      <c r="V41" s="65" t="str">
        <f>IF(ISBLANK($T1)," ",SUM(V10:V40))</f>
        <v xml:space="preserve"> </v>
      </c>
      <c r="W41" s="41"/>
    </row>
    <row r="42" spans="1:23" ht="15" customHeight="1" thickBot="1">
      <c r="A42" s="124" t="s">
        <v>153</v>
      </c>
      <c r="B42" s="125"/>
      <c r="C42" s="125"/>
      <c r="D42" s="126"/>
      <c r="E42" s="126"/>
      <c r="F42" s="126"/>
      <c r="G42" s="126"/>
      <c r="H42" s="82"/>
      <c r="I42" s="83"/>
      <c r="J42" s="84"/>
      <c r="K42" s="85"/>
      <c r="L42" s="86"/>
      <c r="M42" s="87"/>
      <c r="N42" s="88"/>
      <c r="O42" s="89"/>
      <c r="P42" s="82"/>
      <c r="Q42" s="83"/>
      <c r="R42" s="84"/>
      <c r="S42" s="85"/>
      <c r="T42" s="86"/>
      <c r="U42" s="87"/>
      <c r="V42" s="90"/>
      <c r="W42" s="91"/>
    </row>
  </sheetData>
  <sheetProtection password="CD14" sheet="1" objects="1" scenarios="1" selectLockedCells="1"/>
  <mergeCells count="59">
    <mergeCell ref="A41:G41"/>
    <mergeCell ref="A42:G42"/>
    <mergeCell ref="T6:U6"/>
    <mergeCell ref="V6:W6"/>
    <mergeCell ref="A7:A9"/>
    <mergeCell ref="B7:D7"/>
    <mergeCell ref="E7:G7"/>
    <mergeCell ref="H7:I7"/>
    <mergeCell ref="L7:M7"/>
    <mergeCell ref="P7:Q7"/>
    <mergeCell ref="T7:U7"/>
    <mergeCell ref="B8:B9"/>
    <mergeCell ref="P5:Q5"/>
    <mergeCell ref="R5:S5"/>
    <mergeCell ref="T5:U5"/>
    <mergeCell ref="V5:W5"/>
    <mergeCell ref="H6:I6"/>
    <mergeCell ref="J6:K6"/>
    <mergeCell ref="L6:M6"/>
    <mergeCell ref="N6:O6"/>
    <mergeCell ref="P6:Q6"/>
    <mergeCell ref="R6:S6"/>
    <mergeCell ref="A5:C6"/>
    <mergeCell ref="D5:G6"/>
    <mergeCell ref="H5:I5"/>
    <mergeCell ref="J5:K5"/>
    <mergeCell ref="L5:M5"/>
    <mergeCell ref="N5:O5"/>
    <mergeCell ref="V3:W3"/>
    <mergeCell ref="H4:I4"/>
    <mergeCell ref="J4:K4"/>
    <mergeCell ref="L4:M4"/>
    <mergeCell ref="N4:O4"/>
    <mergeCell ref="P4:Q4"/>
    <mergeCell ref="R4:S4"/>
    <mergeCell ref="T4:U4"/>
    <mergeCell ref="V4:W4"/>
    <mergeCell ref="R2:S2"/>
    <mergeCell ref="T2:U2"/>
    <mergeCell ref="V2:W2"/>
    <mergeCell ref="H3:I3"/>
    <mergeCell ref="J3:K3"/>
    <mergeCell ref="L3:M3"/>
    <mergeCell ref="N3:O3"/>
    <mergeCell ref="P3:Q3"/>
    <mergeCell ref="R3:S3"/>
    <mergeCell ref="T3:U3"/>
    <mergeCell ref="A2:G4"/>
    <mergeCell ref="H2:I2"/>
    <mergeCell ref="J2:K2"/>
    <mergeCell ref="L2:M2"/>
    <mergeCell ref="N2:O2"/>
    <mergeCell ref="P2:Q2"/>
    <mergeCell ref="A1:C1"/>
    <mergeCell ref="D1:G1"/>
    <mergeCell ref="H1:I1"/>
    <mergeCell ref="J1:O1"/>
    <mergeCell ref="Q1:R1"/>
    <mergeCell ref="T1:U1"/>
  </mergeCells>
  <dataValidations count="5">
    <dataValidation type="list" showInputMessage="1" showErrorMessage="1" sqref="B10:B40">
      <formula1>Weather</formula1>
    </dataValidation>
    <dataValidation type="list" showInputMessage="1" showErrorMessage="1" sqref="W1">
      <formula1>Year</formula1>
    </dataValidation>
    <dataValidation type="list" showInputMessage="1" showErrorMessage="1" sqref="T1:U1">
      <formula1>Month</formula1>
    </dataValidation>
    <dataValidation type="list" showInputMessage="1" showErrorMessage="1" sqref="Q1:R1">
      <formula1>County</formula1>
    </dataValidation>
    <dataValidation showInputMessage="1" showErrorMessage="1" sqref="T6:T7 P6:P7 H6:H7 L6:L7 D8:G8"/>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X42"/>
  <sheetViews>
    <sheetView zoomScale="80" zoomScaleNormal="80" workbookViewId="0">
      <selection activeCell="D1" sqref="D1:G1"/>
    </sheetView>
  </sheetViews>
  <sheetFormatPr defaultRowHeight="12.75"/>
  <cols>
    <col min="1" max="1" width="3.140625" style="123" customWidth="1"/>
    <col min="2" max="2" width="5.7109375" style="123" customWidth="1"/>
    <col min="3" max="7" width="5.7109375" style="1" customWidth="1"/>
    <col min="8" max="8" width="9.42578125" style="1" customWidth="1"/>
    <col min="9" max="9" width="7.85546875" style="1" customWidth="1"/>
    <col min="10" max="11" width="7.140625" style="1" customWidth="1"/>
    <col min="12" max="12" width="9.42578125" style="1" customWidth="1"/>
    <col min="13" max="13" width="7.85546875" style="1" customWidth="1"/>
    <col min="14" max="15" width="7.140625" style="1" customWidth="1"/>
    <col min="16" max="16" width="9.42578125" style="1" customWidth="1"/>
    <col min="17" max="17" width="7.85546875" style="1" customWidth="1"/>
    <col min="18" max="18" width="7.140625" style="1" customWidth="1"/>
    <col min="19" max="19" width="7.85546875" style="1" customWidth="1"/>
    <col min="20" max="20" width="9.42578125" style="1" customWidth="1"/>
    <col min="21" max="21" width="7.85546875" style="1" customWidth="1"/>
    <col min="22" max="23" width="7.140625" style="1" customWidth="1"/>
    <col min="24" max="16384" width="9.140625" style="1"/>
  </cols>
  <sheetData>
    <row r="1" spans="1:24" ht="22.5" customHeight="1" thickBot="1">
      <c r="A1" s="162" t="s">
        <v>180</v>
      </c>
      <c r="B1" s="163"/>
      <c r="C1" s="163"/>
      <c r="D1" s="164" t="s">
        <v>183</v>
      </c>
      <c r="E1" s="164"/>
      <c r="F1" s="164"/>
      <c r="G1" s="165"/>
      <c r="H1" s="176" t="s">
        <v>4</v>
      </c>
      <c r="I1" s="177"/>
      <c r="J1" s="164" t="s">
        <v>184</v>
      </c>
      <c r="K1" s="164"/>
      <c r="L1" s="164"/>
      <c r="M1" s="164"/>
      <c r="N1" s="164"/>
      <c r="O1" s="165"/>
      <c r="P1" s="43" t="s">
        <v>7</v>
      </c>
      <c r="Q1" s="174" t="s">
        <v>115</v>
      </c>
      <c r="R1" s="175"/>
      <c r="S1" s="43" t="s">
        <v>5</v>
      </c>
      <c r="T1" s="174"/>
      <c r="U1" s="175"/>
      <c r="V1" s="122" t="s">
        <v>6</v>
      </c>
      <c r="W1" s="121"/>
      <c r="X1" s="2"/>
    </row>
    <row r="2" spans="1:24" ht="18.75" customHeight="1">
      <c r="A2" s="146" t="s">
        <v>192</v>
      </c>
      <c r="B2" s="147"/>
      <c r="C2" s="147"/>
      <c r="D2" s="147"/>
      <c r="E2" s="147"/>
      <c r="F2" s="147"/>
      <c r="G2" s="147"/>
      <c r="H2" s="169" t="s">
        <v>143</v>
      </c>
      <c r="I2" s="170"/>
      <c r="J2" s="179" t="s">
        <v>187</v>
      </c>
      <c r="K2" s="157"/>
      <c r="L2" s="132" t="s">
        <v>143</v>
      </c>
      <c r="M2" s="133"/>
      <c r="N2" s="134" t="s">
        <v>159</v>
      </c>
      <c r="O2" s="178"/>
      <c r="P2" s="169" t="s">
        <v>143</v>
      </c>
      <c r="Q2" s="170"/>
      <c r="R2" s="156" t="s">
        <v>188</v>
      </c>
      <c r="S2" s="157"/>
      <c r="T2" s="132" t="s">
        <v>143</v>
      </c>
      <c r="U2" s="133"/>
      <c r="V2" s="134" t="s">
        <v>189</v>
      </c>
      <c r="W2" s="135"/>
    </row>
    <row r="3" spans="1:24" ht="18.75" customHeight="1">
      <c r="A3" s="148"/>
      <c r="B3" s="147"/>
      <c r="C3" s="147"/>
      <c r="D3" s="147"/>
      <c r="E3" s="147"/>
      <c r="F3" s="147"/>
      <c r="G3" s="147"/>
      <c r="H3" s="142" t="s">
        <v>144</v>
      </c>
      <c r="I3" s="158"/>
      <c r="J3" s="143">
        <v>13.63</v>
      </c>
      <c r="K3" s="144"/>
      <c r="L3" s="136" t="s">
        <v>144</v>
      </c>
      <c r="M3" s="137"/>
      <c r="N3" s="138">
        <v>7.62</v>
      </c>
      <c r="O3" s="161"/>
      <c r="P3" s="142" t="s">
        <v>144</v>
      </c>
      <c r="Q3" s="158"/>
      <c r="R3" s="143">
        <v>8.5</v>
      </c>
      <c r="S3" s="144"/>
      <c r="T3" s="136" t="s">
        <v>144</v>
      </c>
      <c r="U3" s="137"/>
      <c r="V3" s="138">
        <v>3.64</v>
      </c>
      <c r="W3" s="139"/>
    </row>
    <row r="4" spans="1:24" ht="18.75" customHeight="1">
      <c r="A4" s="148"/>
      <c r="B4" s="147"/>
      <c r="C4" s="147"/>
      <c r="D4" s="147"/>
      <c r="E4" s="147"/>
      <c r="F4" s="147"/>
      <c r="G4" s="147"/>
      <c r="H4" s="142" t="s">
        <v>145</v>
      </c>
      <c r="I4" s="131"/>
      <c r="J4" s="143" t="s">
        <v>185</v>
      </c>
      <c r="K4" s="144"/>
      <c r="L4" s="136" t="s">
        <v>145</v>
      </c>
      <c r="M4" s="140"/>
      <c r="N4" s="138" t="s">
        <v>185</v>
      </c>
      <c r="O4" s="161"/>
      <c r="P4" s="142" t="s">
        <v>145</v>
      </c>
      <c r="Q4" s="131"/>
      <c r="R4" s="143" t="s">
        <v>185</v>
      </c>
      <c r="S4" s="144"/>
      <c r="T4" s="136" t="s">
        <v>145</v>
      </c>
      <c r="U4" s="140"/>
      <c r="V4" s="138" t="s">
        <v>185</v>
      </c>
      <c r="W4" s="139"/>
    </row>
    <row r="5" spans="1:24" ht="18.75" customHeight="1">
      <c r="A5" s="149"/>
      <c r="B5" s="150"/>
      <c r="C5" s="150"/>
      <c r="D5" s="150"/>
      <c r="E5" s="150"/>
      <c r="F5" s="150"/>
      <c r="G5" s="150"/>
      <c r="H5" s="142" t="s">
        <v>150</v>
      </c>
      <c r="I5" s="131"/>
      <c r="J5" s="143">
        <v>0.1</v>
      </c>
      <c r="K5" s="144"/>
      <c r="L5" s="136" t="s">
        <v>150</v>
      </c>
      <c r="M5" s="140"/>
      <c r="N5" s="138">
        <v>0.3</v>
      </c>
      <c r="O5" s="161"/>
      <c r="P5" s="142" t="s">
        <v>150</v>
      </c>
      <c r="Q5" s="131"/>
      <c r="R5" s="143">
        <v>0.3</v>
      </c>
      <c r="S5" s="144"/>
      <c r="T5" s="136" t="s">
        <v>150</v>
      </c>
      <c r="U5" s="140"/>
      <c r="V5" s="138">
        <v>0.3</v>
      </c>
      <c r="W5" s="139"/>
    </row>
    <row r="6" spans="1:24" ht="18.75" customHeight="1" thickBot="1">
      <c r="A6" s="151"/>
      <c r="B6" s="152"/>
      <c r="C6" s="152"/>
      <c r="D6" s="152"/>
      <c r="E6" s="152"/>
      <c r="F6" s="152"/>
      <c r="G6" s="152"/>
      <c r="H6" s="130" t="s">
        <v>151</v>
      </c>
      <c r="I6" s="131"/>
      <c r="J6" s="143">
        <v>14.58</v>
      </c>
      <c r="K6" s="145"/>
      <c r="L6" s="141" t="s">
        <v>151</v>
      </c>
      <c r="M6" s="140"/>
      <c r="N6" s="138">
        <v>36.19</v>
      </c>
      <c r="O6" s="161"/>
      <c r="P6" s="130" t="s">
        <v>151</v>
      </c>
      <c r="Q6" s="131"/>
      <c r="R6" s="143">
        <v>46.57</v>
      </c>
      <c r="S6" s="144"/>
      <c r="T6" s="141" t="s">
        <v>151</v>
      </c>
      <c r="U6" s="140"/>
      <c r="V6" s="138">
        <v>36.19</v>
      </c>
      <c r="W6" s="139"/>
    </row>
    <row r="7" spans="1:24" ht="18.75" customHeight="1" thickBot="1">
      <c r="A7" s="166" t="s">
        <v>9</v>
      </c>
      <c r="B7" s="127" t="s">
        <v>182</v>
      </c>
      <c r="C7" s="128"/>
      <c r="D7" s="129"/>
      <c r="E7" s="171" t="s">
        <v>181</v>
      </c>
      <c r="F7" s="172"/>
      <c r="G7" s="173"/>
      <c r="H7" s="130" t="s">
        <v>152</v>
      </c>
      <c r="I7" s="131"/>
      <c r="J7" s="26"/>
      <c r="K7" s="45"/>
      <c r="L7" s="141" t="s">
        <v>152</v>
      </c>
      <c r="M7" s="140"/>
      <c r="N7" s="20"/>
      <c r="O7" s="46"/>
      <c r="P7" s="130" t="s">
        <v>152</v>
      </c>
      <c r="Q7" s="131"/>
      <c r="R7" s="26"/>
      <c r="S7" s="45"/>
      <c r="T7" s="141" t="s">
        <v>152</v>
      </c>
      <c r="U7" s="140"/>
      <c r="V7" s="20"/>
      <c r="W7" s="47"/>
    </row>
    <row r="8" spans="1:24" ht="75" customHeight="1">
      <c r="A8" s="167"/>
      <c r="B8" s="159" t="s">
        <v>139</v>
      </c>
      <c r="C8" s="15" t="s">
        <v>3</v>
      </c>
      <c r="D8" s="16" t="s">
        <v>140</v>
      </c>
      <c r="E8" s="116" t="s">
        <v>193</v>
      </c>
      <c r="F8" s="15" t="s">
        <v>194</v>
      </c>
      <c r="G8" s="108" t="s">
        <v>195</v>
      </c>
      <c r="H8" s="28" t="s">
        <v>146</v>
      </c>
      <c r="I8" s="11" t="s">
        <v>176</v>
      </c>
      <c r="J8" s="11" t="s">
        <v>148</v>
      </c>
      <c r="K8" s="29" t="s">
        <v>191</v>
      </c>
      <c r="L8" s="32" t="s">
        <v>146</v>
      </c>
      <c r="M8" s="10" t="s">
        <v>175</v>
      </c>
      <c r="N8" s="10" t="s">
        <v>148</v>
      </c>
      <c r="O8" s="33" t="s">
        <v>191</v>
      </c>
      <c r="P8" s="28" t="s">
        <v>146</v>
      </c>
      <c r="Q8" s="11" t="s">
        <v>176</v>
      </c>
      <c r="R8" s="11" t="s">
        <v>148</v>
      </c>
      <c r="S8" s="29" t="s">
        <v>191</v>
      </c>
      <c r="T8" s="32" t="s">
        <v>146</v>
      </c>
      <c r="U8" s="10" t="s">
        <v>176</v>
      </c>
      <c r="V8" s="10" t="s">
        <v>148</v>
      </c>
      <c r="W8" s="36" t="s">
        <v>191</v>
      </c>
    </row>
    <row r="9" spans="1:24" ht="15.75" customHeight="1" thickBot="1">
      <c r="A9" s="168"/>
      <c r="B9" s="160"/>
      <c r="C9" s="19" t="s">
        <v>142</v>
      </c>
      <c r="D9" s="8" t="s">
        <v>141</v>
      </c>
      <c r="E9" s="117" t="s">
        <v>138</v>
      </c>
      <c r="F9" s="119" t="s">
        <v>138</v>
      </c>
      <c r="G9" s="115" t="s">
        <v>138</v>
      </c>
      <c r="H9" s="30" t="s">
        <v>149</v>
      </c>
      <c r="I9" s="9" t="s">
        <v>147</v>
      </c>
      <c r="J9" s="9" t="s">
        <v>141</v>
      </c>
      <c r="K9" s="31" t="s">
        <v>141</v>
      </c>
      <c r="L9" s="34" t="s">
        <v>149</v>
      </c>
      <c r="M9" s="7" t="s">
        <v>147</v>
      </c>
      <c r="N9" s="7" t="s">
        <v>141</v>
      </c>
      <c r="O9" s="35" t="s">
        <v>141</v>
      </c>
      <c r="P9" s="30" t="s">
        <v>149</v>
      </c>
      <c r="Q9" s="9" t="s">
        <v>147</v>
      </c>
      <c r="R9" s="9" t="s">
        <v>141</v>
      </c>
      <c r="S9" s="31" t="s">
        <v>141</v>
      </c>
      <c r="T9" s="34" t="s">
        <v>149</v>
      </c>
      <c r="U9" s="7" t="s">
        <v>147</v>
      </c>
      <c r="V9" s="42" t="s">
        <v>141</v>
      </c>
      <c r="W9" s="101" t="s">
        <v>141</v>
      </c>
    </row>
    <row r="10" spans="1:24" ht="15" customHeight="1">
      <c r="A10" s="5">
        <v>1</v>
      </c>
      <c r="B10" s="17"/>
      <c r="C10" s="18"/>
      <c r="D10" s="48"/>
      <c r="E10" s="112"/>
      <c r="F10" s="120"/>
      <c r="G10" s="111"/>
      <c r="H10" s="51"/>
      <c r="I10" s="21"/>
      <c r="J10" s="55" t="str">
        <f t="shared" ref="J10:J40" si="0">IF((ISBLANK($H10))," ",($H10)/($J$3*27152))</f>
        <v xml:space="preserve"> </v>
      </c>
      <c r="K10" s="66" t="str">
        <f>IF((ISBLANK(I10)), " ", IF(I10&lt;60, J10, (J10/I10)*60))</f>
        <v xml:space="preserve"> </v>
      </c>
      <c r="L10" s="92"/>
      <c r="M10" s="93"/>
      <c r="N10" s="63" t="str">
        <f>IF((ISBLANK($L10))," ",($L10)/($N$3*27152))</f>
        <v xml:space="preserve"> </v>
      </c>
      <c r="O10" s="98" t="str">
        <f>IF((ISBLANK(M10)), " ", IF(M10&lt;60, N10, (N10/M10)*60))</f>
        <v xml:space="preserve"> </v>
      </c>
      <c r="P10" s="51"/>
      <c r="Q10" s="21"/>
      <c r="R10" s="55" t="str">
        <f>IF((ISBLANK($P10))," ",($P10)/($R$3*27152))</f>
        <v xml:space="preserve"> </v>
      </c>
      <c r="S10" s="66" t="str">
        <f>IF((ISBLANK(Q10)), " ", IF(Q10&lt;60, R10, (R10/Q10)*60))</f>
        <v xml:space="preserve"> </v>
      </c>
      <c r="T10" s="59"/>
      <c r="U10" s="23"/>
      <c r="V10" s="63" t="str">
        <f>IF((ISBLANK($T10))," ",($T10)/($V$3*27152))</f>
        <v xml:space="preserve"> </v>
      </c>
      <c r="W10" s="102" t="str">
        <f>IF((ISBLANK(U10)), " ", IF(U10&lt;60, V10, (V10/U10)*60))</f>
        <v xml:space="preserve"> </v>
      </c>
    </row>
    <row r="11" spans="1:24" ht="15" customHeight="1">
      <c r="A11" s="5">
        <v>2</v>
      </c>
      <c r="B11" s="17"/>
      <c r="C11" s="3"/>
      <c r="D11" s="49"/>
      <c r="E11" s="113"/>
      <c r="F11" s="3"/>
      <c r="G11" s="109"/>
      <c r="H11" s="52"/>
      <c r="I11" s="13"/>
      <c r="J11" s="56" t="str">
        <f t="shared" si="0"/>
        <v xml:space="preserve"> </v>
      </c>
      <c r="K11" s="67" t="str">
        <f t="shared" ref="K11:K40" si="1">IF((ISBLANK(I11)), " ", IF(I11&lt;60, J11, (J11/I11)*60))</f>
        <v xml:space="preserve"> </v>
      </c>
      <c r="L11" s="95"/>
      <c r="M11" s="3"/>
      <c r="N11" s="64" t="str">
        <f t="shared" ref="N11:N40" si="2">IF((ISBLANK($L11))," ",($L11)/($N$3*27152))</f>
        <v xml:space="preserve"> </v>
      </c>
      <c r="O11" s="100" t="str">
        <f t="shared" ref="O11:O40" si="3">IF((ISBLANK(M11)), " ", IF(M11&lt;60, N11, (N11/M11)*60))</f>
        <v xml:space="preserve"> </v>
      </c>
      <c r="P11" s="52"/>
      <c r="Q11" s="13"/>
      <c r="R11" s="56" t="str">
        <f>IF((ISBLANK($P11))," ",($P11)/($R$3*27152))</f>
        <v xml:space="preserve"> </v>
      </c>
      <c r="S11" s="67" t="str">
        <f t="shared" ref="S11:S40" si="4">IF((ISBLANK(Q11)), " ", IF(Q11&lt;60, R11, (R11/Q11)*60))</f>
        <v xml:space="preserve"> </v>
      </c>
      <c r="T11" s="60"/>
      <c r="U11" s="24"/>
      <c r="V11" s="64" t="str">
        <f>IF((ISBLANK($T11))," ",($T11)/($V$3*27152))</f>
        <v xml:space="preserve"> </v>
      </c>
      <c r="W11" s="103" t="str">
        <f t="shared" ref="W11:W40" si="5">IF((ISBLANK(U11)), " ", IF(U11&lt;60, V11, (V11/U11)*60))</f>
        <v xml:space="preserve"> </v>
      </c>
    </row>
    <row r="12" spans="1:24" ht="15" customHeight="1">
      <c r="A12" s="5">
        <v>3</v>
      </c>
      <c r="B12" s="17"/>
      <c r="C12" s="3"/>
      <c r="D12" s="49"/>
      <c r="E12" s="113"/>
      <c r="F12" s="3"/>
      <c r="G12" s="109"/>
      <c r="H12" s="52"/>
      <c r="I12" s="13"/>
      <c r="J12" s="56" t="str">
        <f t="shared" si="0"/>
        <v xml:space="preserve"> </v>
      </c>
      <c r="K12" s="67" t="str">
        <f t="shared" si="1"/>
        <v xml:space="preserve"> </v>
      </c>
      <c r="L12" s="95"/>
      <c r="M12" s="3"/>
      <c r="N12" s="64" t="str">
        <f t="shared" si="2"/>
        <v xml:space="preserve"> </v>
      </c>
      <c r="O12" s="100" t="str">
        <f t="shared" si="3"/>
        <v xml:space="preserve"> </v>
      </c>
      <c r="P12" s="52"/>
      <c r="Q12" s="13"/>
      <c r="R12" s="56" t="str">
        <f t="shared" ref="R12:R40" si="6">IF((ISBLANK($P12))," ",($P12)/($R$3*27152))</f>
        <v xml:space="preserve"> </v>
      </c>
      <c r="S12" s="67" t="str">
        <f t="shared" si="4"/>
        <v xml:space="preserve"> </v>
      </c>
      <c r="T12" s="60"/>
      <c r="U12" s="24"/>
      <c r="V12" s="64" t="str">
        <f t="shared" ref="V12:V40" si="7">IF((ISBLANK($T12))," ",($T12)/($V$3*27152))</f>
        <v xml:space="preserve"> </v>
      </c>
      <c r="W12" s="103" t="str">
        <f t="shared" si="5"/>
        <v xml:space="preserve"> </v>
      </c>
    </row>
    <row r="13" spans="1:24" ht="15" customHeight="1">
      <c r="A13" s="5">
        <v>4</v>
      </c>
      <c r="B13" s="17"/>
      <c r="C13" s="3"/>
      <c r="D13" s="49"/>
      <c r="E13" s="113"/>
      <c r="F13" s="3"/>
      <c r="G13" s="109"/>
      <c r="H13" s="52"/>
      <c r="I13" s="13"/>
      <c r="J13" s="56" t="str">
        <f t="shared" si="0"/>
        <v xml:space="preserve"> </v>
      </c>
      <c r="K13" s="67" t="str">
        <f t="shared" si="1"/>
        <v xml:space="preserve"> </v>
      </c>
      <c r="L13" s="95"/>
      <c r="M13" s="3"/>
      <c r="N13" s="64" t="str">
        <f t="shared" si="2"/>
        <v xml:space="preserve"> </v>
      </c>
      <c r="O13" s="100" t="str">
        <f t="shared" si="3"/>
        <v xml:space="preserve"> </v>
      </c>
      <c r="P13" s="52"/>
      <c r="Q13" s="13"/>
      <c r="R13" s="56" t="str">
        <f t="shared" si="6"/>
        <v xml:space="preserve"> </v>
      </c>
      <c r="S13" s="67" t="str">
        <f t="shared" si="4"/>
        <v xml:space="preserve"> </v>
      </c>
      <c r="T13" s="60"/>
      <c r="U13" s="24"/>
      <c r="V13" s="64" t="str">
        <f t="shared" si="7"/>
        <v xml:space="preserve"> </v>
      </c>
      <c r="W13" s="103" t="str">
        <f t="shared" si="5"/>
        <v xml:space="preserve"> </v>
      </c>
    </row>
    <row r="14" spans="1:24" ht="15" customHeight="1">
      <c r="A14" s="5">
        <v>5</v>
      </c>
      <c r="B14" s="17"/>
      <c r="C14" s="3"/>
      <c r="D14" s="49"/>
      <c r="E14" s="113"/>
      <c r="F14" s="3"/>
      <c r="G14" s="109"/>
      <c r="H14" s="52"/>
      <c r="I14" s="13"/>
      <c r="J14" s="56" t="str">
        <f t="shared" si="0"/>
        <v xml:space="preserve"> </v>
      </c>
      <c r="K14" s="67" t="str">
        <f t="shared" si="1"/>
        <v xml:space="preserve"> </v>
      </c>
      <c r="L14" s="95"/>
      <c r="M14" s="3"/>
      <c r="N14" s="64" t="str">
        <f t="shared" si="2"/>
        <v xml:space="preserve"> </v>
      </c>
      <c r="O14" s="100" t="str">
        <f t="shared" si="3"/>
        <v xml:space="preserve"> </v>
      </c>
      <c r="P14" s="52"/>
      <c r="Q14" s="13"/>
      <c r="R14" s="56" t="str">
        <f t="shared" si="6"/>
        <v xml:space="preserve"> </v>
      </c>
      <c r="S14" s="67" t="str">
        <f t="shared" si="4"/>
        <v xml:space="preserve"> </v>
      </c>
      <c r="T14" s="60"/>
      <c r="U14" s="24"/>
      <c r="V14" s="64" t="str">
        <f t="shared" si="7"/>
        <v xml:space="preserve"> </v>
      </c>
      <c r="W14" s="103" t="str">
        <f t="shared" si="5"/>
        <v xml:space="preserve"> </v>
      </c>
    </row>
    <row r="15" spans="1:24" ht="15" customHeight="1">
      <c r="A15" s="5">
        <v>6</v>
      </c>
      <c r="B15" s="17"/>
      <c r="C15" s="3"/>
      <c r="D15" s="49"/>
      <c r="E15" s="113"/>
      <c r="F15" s="3"/>
      <c r="G15" s="109"/>
      <c r="H15" s="52"/>
      <c r="I15" s="13"/>
      <c r="J15" s="56" t="str">
        <f t="shared" si="0"/>
        <v xml:space="preserve"> </v>
      </c>
      <c r="K15" s="67" t="str">
        <f t="shared" si="1"/>
        <v xml:space="preserve"> </v>
      </c>
      <c r="L15" s="95"/>
      <c r="M15" s="3"/>
      <c r="N15" s="64" t="str">
        <f t="shared" si="2"/>
        <v xml:space="preserve"> </v>
      </c>
      <c r="O15" s="100" t="str">
        <f t="shared" si="3"/>
        <v xml:space="preserve"> </v>
      </c>
      <c r="P15" s="52"/>
      <c r="Q15" s="13"/>
      <c r="R15" s="56" t="str">
        <f t="shared" si="6"/>
        <v xml:space="preserve"> </v>
      </c>
      <c r="S15" s="67" t="str">
        <f t="shared" si="4"/>
        <v xml:space="preserve"> </v>
      </c>
      <c r="T15" s="60"/>
      <c r="U15" s="24"/>
      <c r="V15" s="64" t="str">
        <f t="shared" si="7"/>
        <v xml:space="preserve"> </v>
      </c>
      <c r="W15" s="103" t="str">
        <f t="shared" si="5"/>
        <v xml:space="preserve"> </v>
      </c>
    </row>
    <row r="16" spans="1:24" ht="15" customHeight="1">
      <c r="A16" s="5">
        <v>7</v>
      </c>
      <c r="B16" s="17"/>
      <c r="C16" s="3"/>
      <c r="D16" s="49"/>
      <c r="E16" s="113"/>
      <c r="F16" s="3"/>
      <c r="G16" s="109"/>
      <c r="H16" s="52"/>
      <c r="I16" s="13"/>
      <c r="J16" s="56" t="str">
        <f t="shared" si="0"/>
        <v xml:space="preserve"> </v>
      </c>
      <c r="K16" s="67" t="str">
        <f t="shared" si="1"/>
        <v xml:space="preserve"> </v>
      </c>
      <c r="L16" s="95"/>
      <c r="M16" s="3"/>
      <c r="N16" s="64" t="str">
        <f t="shared" si="2"/>
        <v xml:space="preserve"> </v>
      </c>
      <c r="O16" s="100" t="str">
        <f t="shared" si="3"/>
        <v xml:space="preserve"> </v>
      </c>
      <c r="P16" s="52"/>
      <c r="Q16" s="13"/>
      <c r="R16" s="56" t="str">
        <f t="shared" si="6"/>
        <v xml:space="preserve"> </v>
      </c>
      <c r="S16" s="67" t="str">
        <f t="shared" si="4"/>
        <v xml:space="preserve"> </v>
      </c>
      <c r="T16" s="60"/>
      <c r="U16" s="24"/>
      <c r="V16" s="64" t="str">
        <f t="shared" si="7"/>
        <v xml:space="preserve"> </v>
      </c>
      <c r="W16" s="103" t="str">
        <f t="shared" si="5"/>
        <v xml:space="preserve"> </v>
      </c>
    </row>
    <row r="17" spans="1:23" ht="15" customHeight="1">
      <c r="A17" s="5">
        <v>8</v>
      </c>
      <c r="B17" s="17"/>
      <c r="C17" s="3"/>
      <c r="D17" s="49"/>
      <c r="E17" s="113"/>
      <c r="F17" s="3"/>
      <c r="G17" s="109"/>
      <c r="H17" s="52"/>
      <c r="I17" s="13"/>
      <c r="J17" s="57" t="str">
        <f t="shared" si="0"/>
        <v xml:space="preserve"> </v>
      </c>
      <c r="K17" s="67" t="str">
        <f t="shared" si="1"/>
        <v xml:space="preserve"> </v>
      </c>
      <c r="L17" s="95"/>
      <c r="M17" s="3"/>
      <c r="N17" s="64" t="str">
        <f t="shared" si="2"/>
        <v xml:space="preserve"> </v>
      </c>
      <c r="O17" s="100" t="str">
        <f t="shared" si="3"/>
        <v xml:space="preserve"> </v>
      </c>
      <c r="P17" s="52"/>
      <c r="Q17" s="13"/>
      <c r="R17" s="56" t="str">
        <f t="shared" si="6"/>
        <v xml:space="preserve"> </v>
      </c>
      <c r="S17" s="67" t="str">
        <f t="shared" si="4"/>
        <v xml:space="preserve"> </v>
      </c>
      <c r="T17" s="60"/>
      <c r="U17" s="24"/>
      <c r="V17" s="64" t="str">
        <f t="shared" si="7"/>
        <v xml:space="preserve"> </v>
      </c>
      <c r="W17" s="103" t="str">
        <f t="shared" si="5"/>
        <v xml:space="preserve"> </v>
      </c>
    </row>
    <row r="18" spans="1:23" ht="15" customHeight="1">
      <c r="A18" s="5">
        <v>9</v>
      </c>
      <c r="B18" s="17"/>
      <c r="C18" s="3"/>
      <c r="D18" s="49"/>
      <c r="E18" s="113"/>
      <c r="F18" s="3"/>
      <c r="G18" s="109"/>
      <c r="H18" s="52"/>
      <c r="I18" s="13"/>
      <c r="J18" s="57" t="str">
        <f t="shared" si="0"/>
        <v xml:space="preserve"> </v>
      </c>
      <c r="K18" s="67" t="str">
        <f t="shared" si="1"/>
        <v xml:space="preserve"> </v>
      </c>
      <c r="L18" s="95"/>
      <c r="M18" s="3"/>
      <c r="N18" s="64" t="str">
        <f t="shared" si="2"/>
        <v xml:space="preserve"> </v>
      </c>
      <c r="O18" s="100" t="str">
        <f t="shared" si="3"/>
        <v xml:space="preserve"> </v>
      </c>
      <c r="P18" s="52"/>
      <c r="Q18" s="13"/>
      <c r="R18" s="56" t="str">
        <f t="shared" si="6"/>
        <v xml:space="preserve"> </v>
      </c>
      <c r="S18" s="67" t="str">
        <f t="shared" si="4"/>
        <v xml:space="preserve"> </v>
      </c>
      <c r="T18" s="60"/>
      <c r="U18" s="24"/>
      <c r="V18" s="64" t="str">
        <f t="shared" si="7"/>
        <v xml:space="preserve"> </v>
      </c>
      <c r="W18" s="103" t="str">
        <f t="shared" si="5"/>
        <v xml:space="preserve"> </v>
      </c>
    </row>
    <row r="19" spans="1:23" ht="15" customHeight="1">
      <c r="A19" s="5">
        <v>10</v>
      </c>
      <c r="B19" s="17"/>
      <c r="C19" s="3"/>
      <c r="D19" s="49"/>
      <c r="E19" s="113"/>
      <c r="F19" s="3"/>
      <c r="G19" s="109"/>
      <c r="H19" s="52"/>
      <c r="I19" s="13"/>
      <c r="J19" s="57" t="str">
        <f t="shared" si="0"/>
        <v xml:space="preserve"> </v>
      </c>
      <c r="K19" s="67" t="str">
        <f t="shared" si="1"/>
        <v xml:space="preserve"> </v>
      </c>
      <c r="L19" s="95"/>
      <c r="M19" s="3"/>
      <c r="N19" s="64" t="str">
        <f t="shared" si="2"/>
        <v xml:space="preserve"> </v>
      </c>
      <c r="O19" s="100" t="str">
        <f t="shared" si="3"/>
        <v xml:space="preserve"> </v>
      </c>
      <c r="P19" s="52"/>
      <c r="Q19" s="13"/>
      <c r="R19" s="56" t="str">
        <f t="shared" si="6"/>
        <v xml:space="preserve"> </v>
      </c>
      <c r="S19" s="67" t="str">
        <f t="shared" si="4"/>
        <v xml:space="preserve"> </v>
      </c>
      <c r="T19" s="60"/>
      <c r="U19" s="24"/>
      <c r="V19" s="64" t="str">
        <f t="shared" si="7"/>
        <v xml:space="preserve"> </v>
      </c>
      <c r="W19" s="103" t="str">
        <f t="shared" si="5"/>
        <v xml:space="preserve"> </v>
      </c>
    </row>
    <row r="20" spans="1:23" ht="15" customHeight="1">
      <c r="A20" s="5">
        <v>11</v>
      </c>
      <c r="B20" s="17"/>
      <c r="C20" s="3"/>
      <c r="D20" s="49"/>
      <c r="E20" s="113"/>
      <c r="F20" s="3"/>
      <c r="G20" s="109"/>
      <c r="H20" s="52"/>
      <c r="I20" s="13"/>
      <c r="J20" s="57" t="str">
        <f t="shared" si="0"/>
        <v xml:space="preserve"> </v>
      </c>
      <c r="K20" s="67" t="str">
        <f t="shared" si="1"/>
        <v xml:space="preserve"> </v>
      </c>
      <c r="L20" s="95"/>
      <c r="M20" s="3"/>
      <c r="N20" s="64" t="str">
        <f t="shared" si="2"/>
        <v xml:space="preserve"> </v>
      </c>
      <c r="O20" s="100" t="str">
        <f t="shared" si="3"/>
        <v xml:space="preserve"> </v>
      </c>
      <c r="P20" s="52"/>
      <c r="Q20" s="13"/>
      <c r="R20" s="56" t="str">
        <f t="shared" si="6"/>
        <v xml:space="preserve"> </v>
      </c>
      <c r="S20" s="67" t="str">
        <f t="shared" si="4"/>
        <v xml:space="preserve"> </v>
      </c>
      <c r="T20" s="60"/>
      <c r="U20" s="24"/>
      <c r="V20" s="64" t="str">
        <f t="shared" si="7"/>
        <v xml:space="preserve"> </v>
      </c>
      <c r="W20" s="103" t="str">
        <f t="shared" si="5"/>
        <v xml:space="preserve"> </v>
      </c>
    </row>
    <row r="21" spans="1:23" ht="15" customHeight="1">
      <c r="A21" s="5">
        <v>12</v>
      </c>
      <c r="B21" s="17"/>
      <c r="C21" s="3"/>
      <c r="D21" s="49"/>
      <c r="E21" s="113"/>
      <c r="F21" s="3"/>
      <c r="G21" s="109"/>
      <c r="H21" s="52"/>
      <c r="I21" s="13"/>
      <c r="J21" s="57" t="str">
        <f t="shared" si="0"/>
        <v xml:space="preserve"> </v>
      </c>
      <c r="K21" s="67" t="str">
        <f t="shared" si="1"/>
        <v xml:space="preserve"> </v>
      </c>
      <c r="L21" s="95"/>
      <c r="M21" s="3"/>
      <c r="N21" s="64" t="str">
        <f t="shared" si="2"/>
        <v xml:space="preserve"> </v>
      </c>
      <c r="O21" s="100" t="str">
        <f t="shared" si="3"/>
        <v xml:space="preserve"> </v>
      </c>
      <c r="P21" s="52"/>
      <c r="Q21" s="13"/>
      <c r="R21" s="56" t="str">
        <f t="shared" si="6"/>
        <v xml:space="preserve"> </v>
      </c>
      <c r="S21" s="67" t="str">
        <f t="shared" si="4"/>
        <v xml:space="preserve"> </v>
      </c>
      <c r="T21" s="60"/>
      <c r="U21" s="24"/>
      <c r="V21" s="64" t="str">
        <f t="shared" si="7"/>
        <v xml:space="preserve"> </v>
      </c>
      <c r="W21" s="103" t="str">
        <f t="shared" si="5"/>
        <v xml:space="preserve"> </v>
      </c>
    </row>
    <row r="22" spans="1:23" ht="15" customHeight="1">
      <c r="A22" s="5">
        <v>13</v>
      </c>
      <c r="B22" s="17"/>
      <c r="C22" s="3"/>
      <c r="D22" s="49"/>
      <c r="E22" s="113"/>
      <c r="F22" s="3"/>
      <c r="G22" s="109"/>
      <c r="H22" s="52"/>
      <c r="I22" s="13"/>
      <c r="J22" s="57" t="str">
        <f t="shared" si="0"/>
        <v xml:space="preserve"> </v>
      </c>
      <c r="K22" s="67" t="str">
        <f t="shared" si="1"/>
        <v xml:space="preserve"> </v>
      </c>
      <c r="L22" s="95"/>
      <c r="M22" s="3"/>
      <c r="N22" s="64" t="str">
        <f t="shared" si="2"/>
        <v xml:space="preserve"> </v>
      </c>
      <c r="O22" s="100" t="str">
        <f t="shared" si="3"/>
        <v xml:space="preserve"> </v>
      </c>
      <c r="P22" s="52"/>
      <c r="Q22" s="13"/>
      <c r="R22" s="56" t="str">
        <f t="shared" si="6"/>
        <v xml:space="preserve"> </v>
      </c>
      <c r="S22" s="67" t="str">
        <f t="shared" si="4"/>
        <v xml:space="preserve"> </v>
      </c>
      <c r="T22" s="60"/>
      <c r="U22" s="24"/>
      <c r="V22" s="64" t="str">
        <f t="shared" si="7"/>
        <v xml:space="preserve"> </v>
      </c>
      <c r="W22" s="103" t="str">
        <f t="shared" si="5"/>
        <v xml:space="preserve"> </v>
      </c>
    </row>
    <row r="23" spans="1:23" ht="15" customHeight="1">
      <c r="A23" s="5">
        <v>14</v>
      </c>
      <c r="B23" s="17"/>
      <c r="C23" s="3"/>
      <c r="D23" s="49"/>
      <c r="E23" s="113"/>
      <c r="F23" s="3"/>
      <c r="G23" s="109"/>
      <c r="H23" s="52"/>
      <c r="I23" s="13"/>
      <c r="J23" s="57" t="str">
        <f t="shared" si="0"/>
        <v xml:space="preserve"> </v>
      </c>
      <c r="K23" s="67" t="str">
        <f t="shared" si="1"/>
        <v xml:space="preserve"> </v>
      </c>
      <c r="L23" s="95"/>
      <c r="M23" s="3"/>
      <c r="N23" s="64" t="str">
        <f t="shared" si="2"/>
        <v xml:space="preserve"> </v>
      </c>
      <c r="O23" s="100" t="str">
        <f t="shared" si="3"/>
        <v xml:space="preserve"> </v>
      </c>
      <c r="P23" s="52"/>
      <c r="Q23" s="13"/>
      <c r="R23" s="56" t="str">
        <f t="shared" si="6"/>
        <v xml:space="preserve"> </v>
      </c>
      <c r="S23" s="67" t="str">
        <f t="shared" si="4"/>
        <v xml:space="preserve"> </v>
      </c>
      <c r="T23" s="60"/>
      <c r="U23" s="24"/>
      <c r="V23" s="64" t="str">
        <f t="shared" si="7"/>
        <v xml:space="preserve"> </v>
      </c>
      <c r="W23" s="103" t="str">
        <f t="shared" si="5"/>
        <v xml:space="preserve"> </v>
      </c>
    </row>
    <row r="24" spans="1:23" ht="15" customHeight="1">
      <c r="A24" s="5">
        <v>15</v>
      </c>
      <c r="B24" s="17"/>
      <c r="C24" s="3"/>
      <c r="D24" s="49"/>
      <c r="E24" s="113"/>
      <c r="F24" s="3"/>
      <c r="G24" s="109"/>
      <c r="H24" s="52"/>
      <c r="I24" s="13"/>
      <c r="J24" s="57" t="str">
        <f t="shared" si="0"/>
        <v xml:space="preserve"> </v>
      </c>
      <c r="K24" s="67" t="str">
        <f t="shared" si="1"/>
        <v xml:space="preserve"> </v>
      </c>
      <c r="L24" s="95"/>
      <c r="M24" s="3"/>
      <c r="N24" s="64" t="str">
        <f t="shared" si="2"/>
        <v xml:space="preserve"> </v>
      </c>
      <c r="O24" s="100" t="str">
        <f t="shared" si="3"/>
        <v xml:space="preserve"> </v>
      </c>
      <c r="P24" s="52"/>
      <c r="Q24" s="13"/>
      <c r="R24" s="56" t="str">
        <f t="shared" si="6"/>
        <v xml:space="preserve"> </v>
      </c>
      <c r="S24" s="67" t="str">
        <f t="shared" si="4"/>
        <v xml:space="preserve"> </v>
      </c>
      <c r="T24" s="60"/>
      <c r="U24" s="24"/>
      <c r="V24" s="64" t="str">
        <f t="shared" si="7"/>
        <v xml:space="preserve"> </v>
      </c>
      <c r="W24" s="103" t="str">
        <f t="shared" si="5"/>
        <v xml:space="preserve"> </v>
      </c>
    </row>
    <row r="25" spans="1:23" ht="15" customHeight="1">
      <c r="A25" s="5">
        <v>16</v>
      </c>
      <c r="B25" s="17"/>
      <c r="C25" s="3"/>
      <c r="D25" s="49"/>
      <c r="E25" s="113"/>
      <c r="F25" s="3"/>
      <c r="G25" s="109"/>
      <c r="H25" s="52"/>
      <c r="I25" s="13"/>
      <c r="J25" s="57" t="str">
        <f t="shared" si="0"/>
        <v xml:space="preserve"> </v>
      </c>
      <c r="K25" s="67" t="str">
        <f t="shared" si="1"/>
        <v xml:space="preserve"> </v>
      </c>
      <c r="L25" s="95"/>
      <c r="M25" s="3"/>
      <c r="N25" s="64" t="str">
        <f t="shared" si="2"/>
        <v xml:space="preserve"> </v>
      </c>
      <c r="O25" s="100" t="str">
        <f t="shared" si="3"/>
        <v xml:space="preserve"> </v>
      </c>
      <c r="P25" s="52"/>
      <c r="Q25" s="13"/>
      <c r="R25" s="56" t="str">
        <f t="shared" si="6"/>
        <v xml:space="preserve"> </v>
      </c>
      <c r="S25" s="67" t="str">
        <f t="shared" si="4"/>
        <v xml:space="preserve"> </v>
      </c>
      <c r="T25" s="60"/>
      <c r="U25" s="24"/>
      <c r="V25" s="64" t="str">
        <f t="shared" si="7"/>
        <v xml:space="preserve"> </v>
      </c>
      <c r="W25" s="103" t="str">
        <f t="shared" si="5"/>
        <v xml:space="preserve"> </v>
      </c>
    </row>
    <row r="26" spans="1:23" ht="15" customHeight="1">
      <c r="A26" s="5">
        <v>17</v>
      </c>
      <c r="B26" s="17"/>
      <c r="C26" s="3"/>
      <c r="D26" s="49"/>
      <c r="E26" s="113"/>
      <c r="F26" s="3"/>
      <c r="G26" s="109"/>
      <c r="H26" s="52"/>
      <c r="I26" s="13"/>
      <c r="J26" s="57" t="str">
        <f t="shared" si="0"/>
        <v xml:space="preserve"> </v>
      </c>
      <c r="K26" s="67" t="str">
        <f t="shared" si="1"/>
        <v xml:space="preserve"> </v>
      </c>
      <c r="L26" s="95"/>
      <c r="M26" s="3"/>
      <c r="N26" s="64" t="str">
        <f t="shared" si="2"/>
        <v xml:space="preserve"> </v>
      </c>
      <c r="O26" s="100" t="str">
        <f t="shared" si="3"/>
        <v xml:space="preserve"> </v>
      </c>
      <c r="P26" s="52"/>
      <c r="Q26" s="13"/>
      <c r="R26" s="56" t="str">
        <f t="shared" si="6"/>
        <v xml:space="preserve"> </v>
      </c>
      <c r="S26" s="67" t="str">
        <f t="shared" si="4"/>
        <v xml:space="preserve"> </v>
      </c>
      <c r="T26" s="60"/>
      <c r="U26" s="24"/>
      <c r="V26" s="64" t="str">
        <f t="shared" si="7"/>
        <v xml:space="preserve"> </v>
      </c>
      <c r="W26" s="103" t="str">
        <f t="shared" si="5"/>
        <v xml:space="preserve"> </v>
      </c>
    </row>
    <row r="27" spans="1:23" ht="15" customHeight="1">
      <c r="A27" s="5">
        <v>18</v>
      </c>
      <c r="B27" s="17"/>
      <c r="C27" s="3"/>
      <c r="D27" s="49"/>
      <c r="E27" s="113"/>
      <c r="F27" s="3"/>
      <c r="G27" s="109"/>
      <c r="H27" s="52"/>
      <c r="I27" s="13"/>
      <c r="J27" s="57" t="str">
        <f t="shared" si="0"/>
        <v xml:space="preserve"> </v>
      </c>
      <c r="K27" s="67" t="str">
        <f t="shared" si="1"/>
        <v xml:space="preserve"> </v>
      </c>
      <c r="L27" s="95"/>
      <c r="M27" s="3"/>
      <c r="N27" s="64" t="str">
        <f t="shared" si="2"/>
        <v xml:space="preserve"> </v>
      </c>
      <c r="O27" s="100" t="str">
        <f t="shared" si="3"/>
        <v xml:space="preserve"> </v>
      </c>
      <c r="P27" s="52"/>
      <c r="Q27" s="13"/>
      <c r="R27" s="56" t="str">
        <f t="shared" si="6"/>
        <v xml:space="preserve"> </v>
      </c>
      <c r="S27" s="67" t="str">
        <f t="shared" si="4"/>
        <v xml:space="preserve"> </v>
      </c>
      <c r="T27" s="60"/>
      <c r="U27" s="24"/>
      <c r="V27" s="64" t="str">
        <f t="shared" si="7"/>
        <v xml:space="preserve"> </v>
      </c>
      <c r="W27" s="103" t="str">
        <f t="shared" si="5"/>
        <v xml:space="preserve"> </v>
      </c>
    </row>
    <row r="28" spans="1:23" ht="15" customHeight="1">
      <c r="A28" s="5">
        <v>19</v>
      </c>
      <c r="B28" s="17"/>
      <c r="C28" s="3"/>
      <c r="D28" s="49"/>
      <c r="E28" s="113"/>
      <c r="F28" s="3"/>
      <c r="G28" s="109"/>
      <c r="H28" s="52"/>
      <c r="I28" s="13"/>
      <c r="J28" s="57" t="str">
        <f t="shared" si="0"/>
        <v xml:space="preserve"> </v>
      </c>
      <c r="K28" s="67" t="str">
        <f t="shared" si="1"/>
        <v xml:space="preserve"> </v>
      </c>
      <c r="L28" s="95"/>
      <c r="M28" s="3"/>
      <c r="N28" s="64" t="str">
        <f t="shared" si="2"/>
        <v xml:space="preserve"> </v>
      </c>
      <c r="O28" s="100" t="str">
        <f t="shared" si="3"/>
        <v xml:space="preserve"> </v>
      </c>
      <c r="P28" s="52"/>
      <c r="Q28" s="13"/>
      <c r="R28" s="56" t="str">
        <f t="shared" si="6"/>
        <v xml:space="preserve"> </v>
      </c>
      <c r="S28" s="67" t="str">
        <f t="shared" si="4"/>
        <v xml:space="preserve"> </v>
      </c>
      <c r="T28" s="60"/>
      <c r="U28" s="24"/>
      <c r="V28" s="64" t="str">
        <f t="shared" si="7"/>
        <v xml:space="preserve"> </v>
      </c>
      <c r="W28" s="103" t="str">
        <f t="shared" si="5"/>
        <v xml:space="preserve"> </v>
      </c>
    </row>
    <row r="29" spans="1:23" ht="15" customHeight="1">
      <c r="A29" s="5">
        <v>20</v>
      </c>
      <c r="B29" s="17"/>
      <c r="C29" s="3"/>
      <c r="D29" s="49"/>
      <c r="E29" s="113"/>
      <c r="F29" s="3"/>
      <c r="G29" s="109"/>
      <c r="H29" s="52"/>
      <c r="I29" s="13"/>
      <c r="J29" s="57" t="str">
        <f t="shared" si="0"/>
        <v xml:space="preserve"> </v>
      </c>
      <c r="K29" s="67" t="str">
        <f t="shared" si="1"/>
        <v xml:space="preserve"> </v>
      </c>
      <c r="L29" s="95"/>
      <c r="M29" s="3"/>
      <c r="N29" s="64" t="str">
        <f t="shared" si="2"/>
        <v xml:space="preserve"> </v>
      </c>
      <c r="O29" s="100" t="str">
        <f t="shared" si="3"/>
        <v xml:space="preserve"> </v>
      </c>
      <c r="P29" s="52"/>
      <c r="Q29" s="13"/>
      <c r="R29" s="56" t="str">
        <f t="shared" si="6"/>
        <v xml:space="preserve"> </v>
      </c>
      <c r="S29" s="67" t="str">
        <f t="shared" si="4"/>
        <v xml:space="preserve"> </v>
      </c>
      <c r="T29" s="60"/>
      <c r="U29" s="24"/>
      <c r="V29" s="64" t="str">
        <f t="shared" si="7"/>
        <v xml:space="preserve"> </v>
      </c>
      <c r="W29" s="103" t="str">
        <f t="shared" si="5"/>
        <v xml:space="preserve"> </v>
      </c>
    </row>
    <row r="30" spans="1:23" ht="15" customHeight="1">
      <c r="A30" s="5">
        <v>21</v>
      </c>
      <c r="B30" s="17"/>
      <c r="C30" s="3"/>
      <c r="D30" s="49"/>
      <c r="E30" s="113"/>
      <c r="F30" s="3"/>
      <c r="G30" s="109"/>
      <c r="H30" s="52"/>
      <c r="I30" s="13"/>
      <c r="J30" s="57" t="str">
        <f t="shared" si="0"/>
        <v xml:space="preserve"> </v>
      </c>
      <c r="K30" s="67" t="str">
        <f t="shared" si="1"/>
        <v xml:space="preserve"> </v>
      </c>
      <c r="L30" s="95"/>
      <c r="M30" s="3"/>
      <c r="N30" s="64" t="str">
        <f t="shared" si="2"/>
        <v xml:space="preserve"> </v>
      </c>
      <c r="O30" s="100" t="str">
        <f t="shared" si="3"/>
        <v xml:space="preserve"> </v>
      </c>
      <c r="P30" s="52"/>
      <c r="Q30" s="13"/>
      <c r="R30" s="56" t="str">
        <f t="shared" si="6"/>
        <v xml:space="preserve"> </v>
      </c>
      <c r="S30" s="67" t="str">
        <f t="shared" si="4"/>
        <v xml:space="preserve"> </v>
      </c>
      <c r="T30" s="60"/>
      <c r="U30" s="24"/>
      <c r="V30" s="64" t="str">
        <f t="shared" si="7"/>
        <v xml:space="preserve"> </v>
      </c>
      <c r="W30" s="103" t="str">
        <f t="shared" si="5"/>
        <v xml:space="preserve"> </v>
      </c>
    </row>
    <row r="31" spans="1:23" ht="15" customHeight="1">
      <c r="A31" s="5">
        <v>22</v>
      </c>
      <c r="B31" s="17"/>
      <c r="C31" s="3"/>
      <c r="D31" s="49"/>
      <c r="E31" s="113"/>
      <c r="F31" s="3"/>
      <c r="G31" s="109"/>
      <c r="H31" s="52"/>
      <c r="I31" s="13"/>
      <c r="J31" s="57" t="str">
        <f t="shared" si="0"/>
        <v xml:space="preserve"> </v>
      </c>
      <c r="K31" s="67" t="str">
        <f t="shared" si="1"/>
        <v xml:space="preserve"> </v>
      </c>
      <c r="L31" s="95"/>
      <c r="M31" s="3"/>
      <c r="N31" s="64" t="str">
        <f t="shared" si="2"/>
        <v xml:space="preserve"> </v>
      </c>
      <c r="O31" s="100" t="str">
        <f t="shared" si="3"/>
        <v xml:space="preserve"> </v>
      </c>
      <c r="P31" s="52"/>
      <c r="Q31" s="13"/>
      <c r="R31" s="56" t="str">
        <f t="shared" si="6"/>
        <v xml:space="preserve"> </v>
      </c>
      <c r="S31" s="67" t="str">
        <f t="shared" si="4"/>
        <v xml:space="preserve"> </v>
      </c>
      <c r="T31" s="60"/>
      <c r="U31" s="24"/>
      <c r="V31" s="64" t="str">
        <f t="shared" si="7"/>
        <v xml:space="preserve"> </v>
      </c>
      <c r="W31" s="103" t="str">
        <f t="shared" si="5"/>
        <v xml:space="preserve"> </v>
      </c>
    </row>
    <row r="32" spans="1:23" ht="15" customHeight="1">
      <c r="A32" s="5">
        <v>23</v>
      </c>
      <c r="B32" s="17"/>
      <c r="C32" s="3"/>
      <c r="D32" s="49"/>
      <c r="E32" s="113"/>
      <c r="F32" s="3"/>
      <c r="G32" s="109"/>
      <c r="H32" s="52"/>
      <c r="I32" s="13"/>
      <c r="J32" s="57" t="str">
        <f t="shared" si="0"/>
        <v xml:space="preserve"> </v>
      </c>
      <c r="K32" s="67" t="str">
        <f t="shared" si="1"/>
        <v xml:space="preserve"> </v>
      </c>
      <c r="L32" s="95"/>
      <c r="M32" s="3"/>
      <c r="N32" s="64" t="str">
        <f t="shared" si="2"/>
        <v xml:space="preserve"> </v>
      </c>
      <c r="O32" s="100" t="str">
        <f t="shared" si="3"/>
        <v xml:space="preserve"> </v>
      </c>
      <c r="P32" s="52"/>
      <c r="Q32" s="13"/>
      <c r="R32" s="56" t="str">
        <f t="shared" si="6"/>
        <v xml:space="preserve"> </v>
      </c>
      <c r="S32" s="67" t="str">
        <f t="shared" si="4"/>
        <v xml:space="preserve"> </v>
      </c>
      <c r="T32" s="60"/>
      <c r="U32" s="24"/>
      <c r="V32" s="64" t="str">
        <f t="shared" si="7"/>
        <v xml:space="preserve"> </v>
      </c>
      <c r="W32" s="103" t="str">
        <f t="shared" si="5"/>
        <v xml:space="preserve"> </v>
      </c>
    </row>
    <row r="33" spans="1:23" ht="15" customHeight="1">
      <c r="A33" s="5">
        <v>24</v>
      </c>
      <c r="B33" s="17"/>
      <c r="C33" s="3"/>
      <c r="D33" s="49"/>
      <c r="E33" s="113"/>
      <c r="F33" s="3"/>
      <c r="G33" s="109"/>
      <c r="H33" s="52"/>
      <c r="I33" s="13"/>
      <c r="J33" s="57" t="str">
        <f t="shared" si="0"/>
        <v xml:space="preserve"> </v>
      </c>
      <c r="K33" s="67" t="str">
        <f t="shared" si="1"/>
        <v xml:space="preserve"> </v>
      </c>
      <c r="L33" s="95"/>
      <c r="M33" s="3"/>
      <c r="N33" s="64" t="str">
        <f t="shared" si="2"/>
        <v xml:space="preserve"> </v>
      </c>
      <c r="O33" s="100" t="str">
        <f t="shared" si="3"/>
        <v xml:space="preserve"> </v>
      </c>
      <c r="P33" s="52"/>
      <c r="Q33" s="13"/>
      <c r="R33" s="56" t="str">
        <f t="shared" si="6"/>
        <v xml:space="preserve"> </v>
      </c>
      <c r="S33" s="67" t="str">
        <f t="shared" si="4"/>
        <v xml:space="preserve"> </v>
      </c>
      <c r="T33" s="60"/>
      <c r="U33" s="24"/>
      <c r="V33" s="64" t="str">
        <f t="shared" si="7"/>
        <v xml:space="preserve"> </v>
      </c>
      <c r="W33" s="103" t="str">
        <f t="shared" si="5"/>
        <v xml:space="preserve"> </v>
      </c>
    </row>
    <row r="34" spans="1:23" ht="15" customHeight="1">
      <c r="A34" s="5">
        <v>25</v>
      </c>
      <c r="B34" s="17"/>
      <c r="C34" s="3"/>
      <c r="D34" s="49"/>
      <c r="E34" s="113"/>
      <c r="F34" s="3"/>
      <c r="G34" s="109"/>
      <c r="H34" s="52"/>
      <c r="I34" s="13"/>
      <c r="J34" s="57" t="str">
        <f t="shared" si="0"/>
        <v xml:space="preserve"> </v>
      </c>
      <c r="K34" s="67" t="str">
        <f t="shared" si="1"/>
        <v xml:space="preserve"> </v>
      </c>
      <c r="L34" s="95"/>
      <c r="M34" s="3"/>
      <c r="N34" s="64" t="str">
        <f t="shared" si="2"/>
        <v xml:space="preserve"> </v>
      </c>
      <c r="O34" s="100" t="str">
        <f t="shared" si="3"/>
        <v xml:space="preserve"> </v>
      </c>
      <c r="P34" s="52"/>
      <c r="Q34" s="13"/>
      <c r="R34" s="56" t="str">
        <f t="shared" si="6"/>
        <v xml:space="preserve"> </v>
      </c>
      <c r="S34" s="67" t="str">
        <f t="shared" si="4"/>
        <v xml:space="preserve"> </v>
      </c>
      <c r="T34" s="60"/>
      <c r="U34" s="24"/>
      <c r="V34" s="64" t="str">
        <f t="shared" si="7"/>
        <v xml:space="preserve"> </v>
      </c>
      <c r="W34" s="103" t="str">
        <f t="shared" si="5"/>
        <v xml:space="preserve"> </v>
      </c>
    </row>
    <row r="35" spans="1:23" ht="15" customHeight="1">
      <c r="A35" s="5">
        <v>26</v>
      </c>
      <c r="B35" s="17"/>
      <c r="C35" s="3"/>
      <c r="D35" s="49"/>
      <c r="E35" s="113"/>
      <c r="F35" s="3"/>
      <c r="G35" s="109"/>
      <c r="H35" s="52"/>
      <c r="I35" s="13"/>
      <c r="J35" s="57" t="str">
        <f t="shared" si="0"/>
        <v xml:space="preserve"> </v>
      </c>
      <c r="K35" s="67" t="str">
        <f t="shared" si="1"/>
        <v xml:space="preserve"> </v>
      </c>
      <c r="L35" s="95"/>
      <c r="M35" s="3"/>
      <c r="N35" s="64" t="str">
        <f t="shared" si="2"/>
        <v xml:space="preserve"> </v>
      </c>
      <c r="O35" s="100" t="str">
        <f t="shared" si="3"/>
        <v xml:space="preserve"> </v>
      </c>
      <c r="P35" s="52"/>
      <c r="Q35" s="13"/>
      <c r="R35" s="56" t="str">
        <f t="shared" si="6"/>
        <v xml:space="preserve"> </v>
      </c>
      <c r="S35" s="67" t="str">
        <f t="shared" si="4"/>
        <v xml:space="preserve"> </v>
      </c>
      <c r="T35" s="60"/>
      <c r="U35" s="24"/>
      <c r="V35" s="64" t="str">
        <f t="shared" si="7"/>
        <v xml:space="preserve"> </v>
      </c>
      <c r="W35" s="103" t="str">
        <f t="shared" si="5"/>
        <v xml:space="preserve"> </v>
      </c>
    </row>
    <row r="36" spans="1:23" ht="15" customHeight="1">
      <c r="A36" s="5">
        <v>27</v>
      </c>
      <c r="B36" s="17"/>
      <c r="C36" s="3"/>
      <c r="D36" s="49"/>
      <c r="E36" s="113"/>
      <c r="F36" s="3"/>
      <c r="G36" s="109"/>
      <c r="H36" s="52"/>
      <c r="I36" s="13"/>
      <c r="J36" s="57" t="str">
        <f t="shared" si="0"/>
        <v xml:space="preserve"> </v>
      </c>
      <c r="K36" s="67" t="str">
        <f t="shared" si="1"/>
        <v xml:space="preserve"> </v>
      </c>
      <c r="L36" s="95"/>
      <c r="M36" s="3"/>
      <c r="N36" s="64" t="str">
        <f t="shared" si="2"/>
        <v xml:space="preserve"> </v>
      </c>
      <c r="O36" s="100" t="str">
        <f t="shared" si="3"/>
        <v xml:space="preserve"> </v>
      </c>
      <c r="P36" s="52"/>
      <c r="Q36" s="13"/>
      <c r="R36" s="56" t="str">
        <f t="shared" si="6"/>
        <v xml:space="preserve"> </v>
      </c>
      <c r="S36" s="67" t="str">
        <f t="shared" si="4"/>
        <v xml:space="preserve"> </v>
      </c>
      <c r="T36" s="60"/>
      <c r="U36" s="24"/>
      <c r="V36" s="64" t="str">
        <f t="shared" si="7"/>
        <v xml:space="preserve"> </v>
      </c>
      <c r="W36" s="103" t="str">
        <f t="shared" si="5"/>
        <v xml:space="preserve"> </v>
      </c>
    </row>
    <row r="37" spans="1:23" ht="15" customHeight="1">
      <c r="A37" s="5">
        <v>28</v>
      </c>
      <c r="B37" s="17"/>
      <c r="C37" s="3"/>
      <c r="D37" s="49"/>
      <c r="E37" s="113"/>
      <c r="F37" s="3"/>
      <c r="G37" s="109"/>
      <c r="H37" s="52"/>
      <c r="I37" s="13"/>
      <c r="J37" s="57" t="str">
        <f t="shared" si="0"/>
        <v xml:space="preserve"> </v>
      </c>
      <c r="K37" s="67" t="str">
        <f t="shared" si="1"/>
        <v xml:space="preserve"> </v>
      </c>
      <c r="L37" s="95"/>
      <c r="M37" s="3"/>
      <c r="N37" s="64" t="str">
        <f t="shared" si="2"/>
        <v xml:space="preserve"> </v>
      </c>
      <c r="O37" s="100" t="str">
        <f t="shared" si="3"/>
        <v xml:space="preserve"> </v>
      </c>
      <c r="P37" s="52"/>
      <c r="Q37" s="13"/>
      <c r="R37" s="56" t="str">
        <f t="shared" si="6"/>
        <v xml:space="preserve"> </v>
      </c>
      <c r="S37" s="67" t="str">
        <f t="shared" si="4"/>
        <v xml:space="preserve"> </v>
      </c>
      <c r="T37" s="60"/>
      <c r="U37" s="24"/>
      <c r="V37" s="64" t="str">
        <f t="shared" si="7"/>
        <v xml:space="preserve"> </v>
      </c>
      <c r="W37" s="103" t="str">
        <f t="shared" si="5"/>
        <v xml:space="preserve"> </v>
      </c>
    </row>
    <row r="38" spans="1:23" ht="15" customHeight="1">
      <c r="A38" s="5">
        <v>29</v>
      </c>
      <c r="B38" s="17"/>
      <c r="C38" s="3"/>
      <c r="D38" s="49"/>
      <c r="E38" s="113"/>
      <c r="F38" s="3"/>
      <c r="G38" s="109"/>
      <c r="H38" s="52"/>
      <c r="I38" s="13"/>
      <c r="J38" s="57" t="str">
        <f t="shared" si="0"/>
        <v xml:space="preserve"> </v>
      </c>
      <c r="K38" s="67" t="str">
        <f t="shared" si="1"/>
        <v xml:space="preserve"> </v>
      </c>
      <c r="L38" s="95"/>
      <c r="M38" s="3"/>
      <c r="N38" s="64" t="str">
        <f t="shared" si="2"/>
        <v xml:space="preserve"> </v>
      </c>
      <c r="O38" s="100" t="str">
        <f t="shared" si="3"/>
        <v xml:space="preserve"> </v>
      </c>
      <c r="P38" s="52"/>
      <c r="Q38" s="13"/>
      <c r="R38" s="56" t="str">
        <f t="shared" si="6"/>
        <v xml:space="preserve"> </v>
      </c>
      <c r="S38" s="67" t="str">
        <f t="shared" si="4"/>
        <v xml:space="preserve"> </v>
      </c>
      <c r="T38" s="60"/>
      <c r="U38" s="24"/>
      <c r="V38" s="64" t="str">
        <f t="shared" si="7"/>
        <v xml:space="preserve"> </v>
      </c>
      <c r="W38" s="103" t="str">
        <f t="shared" si="5"/>
        <v xml:space="preserve"> </v>
      </c>
    </row>
    <row r="39" spans="1:23" ht="15" customHeight="1">
      <c r="A39" s="5">
        <v>30</v>
      </c>
      <c r="B39" s="17"/>
      <c r="C39" s="3"/>
      <c r="D39" s="49"/>
      <c r="E39" s="113"/>
      <c r="F39" s="3"/>
      <c r="G39" s="109"/>
      <c r="H39" s="52"/>
      <c r="I39" s="13"/>
      <c r="J39" s="57" t="str">
        <f t="shared" si="0"/>
        <v xml:space="preserve"> </v>
      </c>
      <c r="K39" s="67" t="str">
        <f t="shared" si="1"/>
        <v xml:space="preserve"> </v>
      </c>
      <c r="L39" s="95"/>
      <c r="M39" s="3"/>
      <c r="N39" s="64" t="str">
        <f t="shared" si="2"/>
        <v xml:space="preserve"> </v>
      </c>
      <c r="O39" s="100" t="str">
        <f t="shared" si="3"/>
        <v xml:space="preserve"> </v>
      </c>
      <c r="P39" s="52"/>
      <c r="Q39" s="13"/>
      <c r="R39" s="56" t="str">
        <f t="shared" si="6"/>
        <v xml:space="preserve"> </v>
      </c>
      <c r="S39" s="67" t="str">
        <f t="shared" si="4"/>
        <v xml:space="preserve"> </v>
      </c>
      <c r="T39" s="60"/>
      <c r="U39" s="24"/>
      <c r="V39" s="64" t="str">
        <f t="shared" si="7"/>
        <v xml:space="preserve"> </v>
      </c>
      <c r="W39" s="103" t="str">
        <f t="shared" si="5"/>
        <v xml:space="preserve"> </v>
      </c>
    </row>
    <row r="40" spans="1:23" ht="15" customHeight="1" thickBot="1">
      <c r="A40" s="5">
        <v>31</v>
      </c>
      <c r="B40" s="17"/>
      <c r="C40" s="12"/>
      <c r="D40" s="50"/>
      <c r="E40" s="114"/>
      <c r="F40" s="12"/>
      <c r="G40" s="110"/>
      <c r="H40" s="53"/>
      <c r="I40" s="22"/>
      <c r="J40" s="57" t="str">
        <f t="shared" si="0"/>
        <v xml:space="preserve"> </v>
      </c>
      <c r="K40" s="97" t="str">
        <f t="shared" si="1"/>
        <v xml:space="preserve"> </v>
      </c>
      <c r="L40" s="96"/>
      <c r="M40" s="18"/>
      <c r="N40" s="94" t="str">
        <f t="shared" si="2"/>
        <v xml:space="preserve"> </v>
      </c>
      <c r="O40" s="99" t="str">
        <f t="shared" si="3"/>
        <v xml:space="preserve"> </v>
      </c>
      <c r="P40" s="53"/>
      <c r="Q40" s="22"/>
      <c r="R40" s="56" t="str">
        <f t="shared" si="6"/>
        <v xml:space="preserve"> </v>
      </c>
      <c r="S40" s="97" t="str">
        <f t="shared" si="4"/>
        <v xml:space="preserve"> </v>
      </c>
      <c r="T40" s="61"/>
      <c r="U40" s="25"/>
      <c r="V40" s="64" t="str">
        <f t="shared" si="7"/>
        <v xml:space="preserve"> </v>
      </c>
      <c r="W40" s="104" t="str">
        <f t="shared" si="5"/>
        <v xml:space="preserve"> </v>
      </c>
    </row>
    <row r="41" spans="1:23" ht="15" customHeight="1">
      <c r="A41" s="153" t="s">
        <v>154</v>
      </c>
      <c r="B41" s="154"/>
      <c r="C41" s="154"/>
      <c r="D41" s="155"/>
      <c r="E41" s="155"/>
      <c r="F41" s="155"/>
      <c r="G41" s="155"/>
      <c r="H41" s="54" t="str">
        <f>IF(ISBLANK($T1)," ",SUM(H10:H40))</f>
        <v xml:space="preserve"> </v>
      </c>
      <c r="I41" s="37"/>
      <c r="J41" s="58" t="str">
        <f>IF(ISBLANK($T1)," ",SUM(J10:J40))</f>
        <v xml:space="preserve"> </v>
      </c>
      <c r="K41" s="38"/>
      <c r="L41" s="62" t="str">
        <f>IF(ISBLANK($T1)," ",SUM(L10:L40))</f>
        <v xml:space="preserve"> </v>
      </c>
      <c r="M41" s="39"/>
      <c r="N41" s="65" t="str">
        <f>IF(ISBLANK($T1)," ",SUM(N10:N40))</f>
        <v xml:space="preserve"> </v>
      </c>
      <c r="O41" s="40"/>
      <c r="P41" s="54" t="str">
        <f>IF(ISBLANK($T1)," ",SUM(P10:P40))</f>
        <v xml:space="preserve"> </v>
      </c>
      <c r="Q41" s="37"/>
      <c r="R41" s="58" t="str">
        <f>IF(ISBLANK($T1)," ",SUM(R10:R40))</f>
        <v xml:space="preserve"> </v>
      </c>
      <c r="S41" s="38"/>
      <c r="T41" s="62" t="str">
        <f>IF(ISBLANK($T1)," ",SUM(T10:T40))</f>
        <v xml:space="preserve"> </v>
      </c>
      <c r="U41" s="39"/>
      <c r="V41" s="65" t="str">
        <f>IF(ISBLANK($T1)," ",SUM(V10:V40))</f>
        <v xml:space="preserve"> </v>
      </c>
      <c r="W41" s="41"/>
    </row>
    <row r="42" spans="1:23" ht="15" customHeight="1" thickBot="1">
      <c r="A42" s="124" t="s">
        <v>153</v>
      </c>
      <c r="B42" s="125"/>
      <c r="C42" s="125"/>
      <c r="D42" s="126"/>
      <c r="E42" s="126"/>
      <c r="F42" s="126"/>
      <c r="G42" s="126"/>
      <c r="H42" s="82"/>
      <c r="I42" s="83"/>
      <c r="J42" s="84"/>
      <c r="K42" s="85"/>
      <c r="L42" s="86"/>
      <c r="M42" s="87"/>
      <c r="N42" s="88"/>
      <c r="O42" s="89"/>
      <c r="P42" s="82"/>
      <c r="Q42" s="83"/>
      <c r="R42" s="84"/>
      <c r="S42" s="85"/>
      <c r="T42" s="86"/>
      <c r="U42" s="87"/>
      <c r="V42" s="90"/>
      <c r="W42" s="91"/>
    </row>
  </sheetData>
  <sheetProtection password="CD14" sheet="1" objects="1" scenarios="1" selectLockedCells="1"/>
  <mergeCells count="59">
    <mergeCell ref="A41:G41"/>
    <mergeCell ref="A42:G42"/>
    <mergeCell ref="T6:U6"/>
    <mergeCell ref="V6:W6"/>
    <mergeCell ref="A7:A9"/>
    <mergeCell ref="B7:D7"/>
    <mergeCell ref="E7:G7"/>
    <mergeCell ref="H7:I7"/>
    <mergeCell ref="L7:M7"/>
    <mergeCell ref="P7:Q7"/>
    <mergeCell ref="T7:U7"/>
    <mergeCell ref="B8:B9"/>
    <mergeCell ref="P5:Q5"/>
    <mergeCell ref="R5:S5"/>
    <mergeCell ref="T5:U5"/>
    <mergeCell ref="V5:W5"/>
    <mergeCell ref="H6:I6"/>
    <mergeCell ref="J6:K6"/>
    <mergeCell ref="L6:M6"/>
    <mergeCell ref="N6:O6"/>
    <mergeCell ref="P6:Q6"/>
    <mergeCell ref="R6:S6"/>
    <mergeCell ref="A5:C6"/>
    <mergeCell ref="D5:G6"/>
    <mergeCell ref="H5:I5"/>
    <mergeCell ref="J5:K5"/>
    <mergeCell ref="L5:M5"/>
    <mergeCell ref="N5:O5"/>
    <mergeCell ref="V3:W3"/>
    <mergeCell ref="H4:I4"/>
    <mergeCell ref="J4:K4"/>
    <mergeCell ref="L4:M4"/>
    <mergeCell ref="N4:O4"/>
    <mergeCell ref="P4:Q4"/>
    <mergeCell ref="R4:S4"/>
    <mergeCell ref="T4:U4"/>
    <mergeCell ref="V4:W4"/>
    <mergeCell ref="R2:S2"/>
    <mergeCell ref="T2:U2"/>
    <mergeCell ref="V2:W2"/>
    <mergeCell ref="H3:I3"/>
    <mergeCell ref="J3:K3"/>
    <mergeCell ref="L3:M3"/>
    <mergeCell ref="N3:O3"/>
    <mergeCell ref="P3:Q3"/>
    <mergeCell ref="R3:S3"/>
    <mergeCell ref="T3:U3"/>
    <mergeCell ref="A2:G4"/>
    <mergeCell ref="H2:I2"/>
    <mergeCell ref="J2:K2"/>
    <mergeCell ref="L2:M2"/>
    <mergeCell ref="N2:O2"/>
    <mergeCell ref="P2:Q2"/>
    <mergeCell ref="A1:C1"/>
    <mergeCell ref="D1:G1"/>
    <mergeCell ref="H1:I1"/>
    <mergeCell ref="J1:O1"/>
    <mergeCell ref="Q1:R1"/>
    <mergeCell ref="T1:U1"/>
  </mergeCells>
  <dataValidations count="5">
    <dataValidation type="list" showInputMessage="1" showErrorMessage="1" sqref="B10:B40">
      <formula1>Weather</formula1>
    </dataValidation>
    <dataValidation type="list" showInputMessage="1" showErrorMessage="1" sqref="W1">
      <formula1>Year</formula1>
    </dataValidation>
    <dataValidation type="list" showInputMessage="1" showErrorMessage="1" sqref="T1:U1">
      <formula1>Month</formula1>
    </dataValidation>
    <dataValidation type="list" showInputMessage="1" showErrorMessage="1" sqref="Q1:R1">
      <formula1>County</formula1>
    </dataValidation>
    <dataValidation showInputMessage="1" showErrorMessage="1" sqref="T6:T7 P6:P7 H6:H7 L6:L7 D8:G8"/>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X42"/>
  <sheetViews>
    <sheetView zoomScale="80" zoomScaleNormal="80" workbookViewId="0">
      <selection activeCell="D1" sqref="D1:G1"/>
    </sheetView>
  </sheetViews>
  <sheetFormatPr defaultRowHeight="12.75"/>
  <cols>
    <col min="1" max="1" width="3.140625" style="123" customWidth="1"/>
    <col min="2" max="2" width="5.7109375" style="123" customWidth="1"/>
    <col min="3" max="7" width="5.7109375" style="1" customWidth="1"/>
    <col min="8" max="8" width="9.42578125" style="1" customWidth="1"/>
    <col min="9" max="9" width="7.85546875" style="1" customWidth="1"/>
    <col min="10" max="11" width="7.140625" style="1" customWidth="1"/>
    <col min="12" max="12" width="9.42578125" style="1" customWidth="1"/>
    <col min="13" max="13" width="7.85546875" style="1" customWidth="1"/>
    <col min="14" max="15" width="7.140625" style="1" customWidth="1"/>
    <col min="16" max="16" width="9.42578125" style="1" customWidth="1"/>
    <col min="17" max="17" width="7.85546875" style="1" customWidth="1"/>
    <col min="18" max="18" width="7.140625" style="1" customWidth="1"/>
    <col min="19" max="19" width="7.85546875" style="1" customWidth="1"/>
    <col min="20" max="20" width="9.42578125" style="1" customWidth="1"/>
    <col min="21" max="21" width="7.85546875" style="1" customWidth="1"/>
    <col min="22" max="23" width="7.140625" style="1" customWidth="1"/>
    <col min="24" max="16384" width="9.140625" style="1"/>
  </cols>
  <sheetData>
    <row r="1" spans="1:24" ht="22.5" customHeight="1" thickBot="1">
      <c r="A1" s="162" t="s">
        <v>180</v>
      </c>
      <c r="B1" s="163"/>
      <c r="C1" s="163"/>
      <c r="D1" s="164" t="s">
        <v>183</v>
      </c>
      <c r="E1" s="164"/>
      <c r="F1" s="164"/>
      <c r="G1" s="165"/>
      <c r="H1" s="176" t="s">
        <v>4</v>
      </c>
      <c r="I1" s="177"/>
      <c r="J1" s="164" t="s">
        <v>184</v>
      </c>
      <c r="K1" s="164"/>
      <c r="L1" s="164"/>
      <c r="M1" s="164"/>
      <c r="N1" s="164"/>
      <c r="O1" s="165"/>
      <c r="P1" s="43" t="s">
        <v>7</v>
      </c>
      <c r="Q1" s="174" t="s">
        <v>115</v>
      </c>
      <c r="R1" s="175"/>
      <c r="S1" s="43" t="s">
        <v>5</v>
      </c>
      <c r="T1" s="174"/>
      <c r="U1" s="175"/>
      <c r="V1" s="122" t="s">
        <v>6</v>
      </c>
      <c r="W1" s="121"/>
      <c r="X1" s="2"/>
    </row>
    <row r="2" spans="1:24" ht="18.75" customHeight="1">
      <c r="A2" s="146" t="s">
        <v>192</v>
      </c>
      <c r="B2" s="147"/>
      <c r="C2" s="147"/>
      <c r="D2" s="147"/>
      <c r="E2" s="147"/>
      <c r="F2" s="147"/>
      <c r="G2" s="147"/>
      <c r="H2" s="169" t="s">
        <v>143</v>
      </c>
      <c r="I2" s="170"/>
      <c r="J2" s="156" t="s">
        <v>190</v>
      </c>
      <c r="K2" s="157"/>
      <c r="L2" s="132" t="s">
        <v>143</v>
      </c>
      <c r="M2" s="133"/>
      <c r="N2" s="134"/>
      <c r="O2" s="178"/>
      <c r="P2" s="169" t="s">
        <v>143</v>
      </c>
      <c r="Q2" s="170"/>
      <c r="R2" s="156"/>
      <c r="S2" s="157"/>
      <c r="T2" s="132" t="s">
        <v>143</v>
      </c>
      <c r="U2" s="133"/>
      <c r="V2" s="134"/>
      <c r="W2" s="135"/>
    </row>
    <row r="3" spans="1:24" ht="18.75" customHeight="1">
      <c r="A3" s="148"/>
      <c r="B3" s="147"/>
      <c r="C3" s="147"/>
      <c r="D3" s="147"/>
      <c r="E3" s="147"/>
      <c r="F3" s="147"/>
      <c r="G3" s="147"/>
      <c r="H3" s="142" t="s">
        <v>144</v>
      </c>
      <c r="I3" s="158"/>
      <c r="J3" s="143">
        <v>3.21</v>
      </c>
      <c r="K3" s="144"/>
      <c r="L3" s="136" t="s">
        <v>144</v>
      </c>
      <c r="M3" s="137"/>
      <c r="N3" s="138"/>
      <c r="O3" s="161"/>
      <c r="P3" s="142" t="s">
        <v>144</v>
      </c>
      <c r="Q3" s="158"/>
      <c r="R3" s="143"/>
      <c r="S3" s="144"/>
      <c r="T3" s="136" t="s">
        <v>144</v>
      </c>
      <c r="U3" s="137"/>
      <c r="V3" s="138"/>
      <c r="W3" s="139"/>
    </row>
    <row r="4" spans="1:24" ht="18.75" customHeight="1">
      <c r="A4" s="148"/>
      <c r="B4" s="147"/>
      <c r="C4" s="147"/>
      <c r="D4" s="147"/>
      <c r="E4" s="147"/>
      <c r="F4" s="147"/>
      <c r="G4" s="147"/>
      <c r="H4" s="142" t="s">
        <v>145</v>
      </c>
      <c r="I4" s="131"/>
      <c r="J4" s="143" t="s">
        <v>185</v>
      </c>
      <c r="K4" s="144"/>
      <c r="L4" s="136" t="s">
        <v>145</v>
      </c>
      <c r="M4" s="140"/>
      <c r="N4" s="138"/>
      <c r="O4" s="161"/>
      <c r="P4" s="142" t="s">
        <v>145</v>
      </c>
      <c r="Q4" s="131"/>
      <c r="R4" s="143"/>
      <c r="S4" s="144"/>
      <c r="T4" s="136" t="s">
        <v>145</v>
      </c>
      <c r="U4" s="140"/>
      <c r="V4" s="138"/>
      <c r="W4" s="139"/>
    </row>
    <row r="5" spans="1:24" ht="18.75" customHeight="1">
      <c r="A5" s="149"/>
      <c r="B5" s="150"/>
      <c r="C5" s="150"/>
      <c r="D5" s="150"/>
      <c r="E5" s="150"/>
      <c r="F5" s="150"/>
      <c r="G5" s="150"/>
      <c r="H5" s="142" t="s">
        <v>150</v>
      </c>
      <c r="I5" s="131"/>
      <c r="J5" s="143">
        <v>0.3</v>
      </c>
      <c r="K5" s="144"/>
      <c r="L5" s="136" t="s">
        <v>150</v>
      </c>
      <c r="M5" s="140"/>
      <c r="N5" s="138"/>
      <c r="O5" s="161"/>
      <c r="P5" s="142" t="s">
        <v>150</v>
      </c>
      <c r="Q5" s="131"/>
      <c r="R5" s="143"/>
      <c r="S5" s="144"/>
      <c r="T5" s="136" t="s">
        <v>150</v>
      </c>
      <c r="U5" s="140"/>
      <c r="V5" s="138"/>
      <c r="W5" s="139"/>
    </row>
    <row r="6" spans="1:24" ht="18.75" customHeight="1" thickBot="1">
      <c r="A6" s="151"/>
      <c r="B6" s="152"/>
      <c r="C6" s="152"/>
      <c r="D6" s="152"/>
      <c r="E6" s="152"/>
      <c r="F6" s="152"/>
      <c r="G6" s="152"/>
      <c r="H6" s="130" t="s">
        <v>151</v>
      </c>
      <c r="I6" s="131"/>
      <c r="J6" s="143">
        <v>36.19</v>
      </c>
      <c r="K6" s="145"/>
      <c r="L6" s="141" t="s">
        <v>151</v>
      </c>
      <c r="M6" s="140"/>
      <c r="N6" s="138"/>
      <c r="O6" s="161"/>
      <c r="P6" s="130" t="s">
        <v>151</v>
      </c>
      <c r="Q6" s="131"/>
      <c r="R6" s="143"/>
      <c r="S6" s="144"/>
      <c r="T6" s="141" t="s">
        <v>151</v>
      </c>
      <c r="U6" s="140"/>
      <c r="V6" s="138"/>
      <c r="W6" s="139"/>
    </row>
    <row r="7" spans="1:24" ht="18.75" customHeight="1" thickBot="1">
      <c r="A7" s="166" t="s">
        <v>9</v>
      </c>
      <c r="B7" s="127" t="s">
        <v>182</v>
      </c>
      <c r="C7" s="128"/>
      <c r="D7" s="129"/>
      <c r="E7" s="171" t="s">
        <v>181</v>
      </c>
      <c r="F7" s="172"/>
      <c r="G7" s="173"/>
      <c r="H7" s="130" t="s">
        <v>152</v>
      </c>
      <c r="I7" s="131"/>
      <c r="J7" s="26"/>
      <c r="K7" s="45"/>
      <c r="L7" s="141" t="s">
        <v>152</v>
      </c>
      <c r="M7" s="140"/>
      <c r="N7" s="20"/>
      <c r="O7" s="46"/>
      <c r="P7" s="130" t="s">
        <v>152</v>
      </c>
      <c r="Q7" s="131"/>
      <c r="R7" s="26"/>
      <c r="S7" s="45"/>
      <c r="T7" s="141" t="s">
        <v>152</v>
      </c>
      <c r="U7" s="140"/>
      <c r="V7" s="20"/>
      <c r="W7" s="47"/>
    </row>
    <row r="8" spans="1:24" ht="75" customHeight="1">
      <c r="A8" s="167"/>
      <c r="B8" s="159" t="s">
        <v>139</v>
      </c>
      <c r="C8" s="15" t="s">
        <v>3</v>
      </c>
      <c r="D8" s="16" t="s">
        <v>140</v>
      </c>
      <c r="E8" s="116" t="s">
        <v>193</v>
      </c>
      <c r="F8" s="15" t="s">
        <v>194</v>
      </c>
      <c r="G8" s="108" t="s">
        <v>195</v>
      </c>
      <c r="H8" s="28" t="s">
        <v>146</v>
      </c>
      <c r="I8" s="11" t="s">
        <v>176</v>
      </c>
      <c r="J8" s="11" t="s">
        <v>148</v>
      </c>
      <c r="K8" s="29" t="s">
        <v>191</v>
      </c>
      <c r="L8" s="32" t="s">
        <v>146</v>
      </c>
      <c r="M8" s="10" t="s">
        <v>175</v>
      </c>
      <c r="N8" s="10" t="s">
        <v>148</v>
      </c>
      <c r="O8" s="33" t="s">
        <v>191</v>
      </c>
      <c r="P8" s="28" t="s">
        <v>146</v>
      </c>
      <c r="Q8" s="11" t="s">
        <v>176</v>
      </c>
      <c r="R8" s="11" t="s">
        <v>148</v>
      </c>
      <c r="S8" s="29" t="s">
        <v>191</v>
      </c>
      <c r="T8" s="32" t="s">
        <v>146</v>
      </c>
      <c r="U8" s="10" t="s">
        <v>176</v>
      </c>
      <c r="V8" s="10" t="s">
        <v>148</v>
      </c>
      <c r="W8" s="36" t="s">
        <v>191</v>
      </c>
    </row>
    <row r="9" spans="1:24" ht="15.75" customHeight="1" thickBot="1">
      <c r="A9" s="168"/>
      <c r="B9" s="160"/>
      <c r="C9" s="19" t="s">
        <v>142</v>
      </c>
      <c r="D9" s="8" t="s">
        <v>141</v>
      </c>
      <c r="E9" s="117" t="s">
        <v>138</v>
      </c>
      <c r="F9" s="119" t="s">
        <v>138</v>
      </c>
      <c r="G9" s="115" t="s">
        <v>138</v>
      </c>
      <c r="H9" s="30" t="s">
        <v>149</v>
      </c>
      <c r="I9" s="9" t="s">
        <v>147</v>
      </c>
      <c r="J9" s="9" t="s">
        <v>141</v>
      </c>
      <c r="K9" s="31" t="s">
        <v>141</v>
      </c>
      <c r="L9" s="34" t="s">
        <v>149</v>
      </c>
      <c r="M9" s="7" t="s">
        <v>147</v>
      </c>
      <c r="N9" s="7" t="s">
        <v>141</v>
      </c>
      <c r="O9" s="35" t="s">
        <v>141</v>
      </c>
      <c r="P9" s="30" t="s">
        <v>149</v>
      </c>
      <c r="Q9" s="9" t="s">
        <v>147</v>
      </c>
      <c r="R9" s="9" t="s">
        <v>141</v>
      </c>
      <c r="S9" s="31" t="s">
        <v>141</v>
      </c>
      <c r="T9" s="34" t="s">
        <v>149</v>
      </c>
      <c r="U9" s="7" t="s">
        <v>147</v>
      </c>
      <c r="V9" s="42" t="s">
        <v>141</v>
      </c>
      <c r="W9" s="101" t="s">
        <v>141</v>
      </c>
    </row>
    <row r="10" spans="1:24" ht="15" customHeight="1">
      <c r="A10" s="5">
        <v>1</v>
      </c>
      <c r="B10" s="17"/>
      <c r="C10" s="18"/>
      <c r="D10" s="48"/>
      <c r="E10" s="112"/>
      <c r="F10" s="120"/>
      <c r="G10" s="111"/>
      <c r="H10" s="51"/>
      <c r="I10" s="21"/>
      <c r="J10" s="55" t="str">
        <f t="shared" ref="J10:J40" si="0">IF((ISBLANK($H10))," ",($H10)/($J$3*27152))</f>
        <v xml:space="preserve"> </v>
      </c>
      <c r="K10" s="66" t="str">
        <f>IF((ISBLANK(I10)), " ", IF(I10&lt;60, J10, (J10/I10)*60))</f>
        <v xml:space="preserve"> </v>
      </c>
      <c r="L10" s="92"/>
      <c r="M10" s="93"/>
      <c r="N10" s="63" t="str">
        <f>IF((ISBLANK($L10))," ",($L10)/($N$3*27152))</f>
        <v xml:space="preserve"> </v>
      </c>
      <c r="O10" s="98" t="str">
        <f>IF((ISBLANK(M10)), " ", IF(M10&lt;60, N10, (N10/M10)*60))</f>
        <v xml:space="preserve"> </v>
      </c>
      <c r="P10" s="51"/>
      <c r="Q10" s="21"/>
      <c r="R10" s="55" t="str">
        <f>IF((ISBLANK($P10))," ",($P10)/($R$3*27152))</f>
        <v xml:space="preserve"> </v>
      </c>
      <c r="S10" s="66" t="str">
        <f>IF((ISBLANK(Q10)), " ", IF(Q10&lt;60, R10, (R10/Q10)*60))</f>
        <v xml:space="preserve"> </v>
      </c>
      <c r="T10" s="59"/>
      <c r="U10" s="23"/>
      <c r="V10" s="63" t="str">
        <f>IF((ISBLANK($T10))," ",($T10)/($V$3*27152))</f>
        <v xml:space="preserve"> </v>
      </c>
      <c r="W10" s="102" t="str">
        <f>IF((ISBLANK(U10)), " ", IF(U10&lt;60, V10, (V10/U10)*60))</f>
        <v xml:space="preserve"> </v>
      </c>
    </row>
    <row r="11" spans="1:24" ht="15" customHeight="1">
      <c r="A11" s="5">
        <v>2</v>
      </c>
      <c r="B11" s="17"/>
      <c r="C11" s="3"/>
      <c r="D11" s="49"/>
      <c r="E11" s="113"/>
      <c r="F11" s="3"/>
      <c r="G11" s="109"/>
      <c r="H11" s="52"/>
      <c r="I11" s="13"/>
      <c r="J11" s="56" t="str">
        <f t="shared" si="0"/>
        <v xml:space="preserve"> </v>
      </c>
      <c r="K11" s="67" t="str">
        <f t="shared" ref="K11:K40" si="1">IF((ISBLANK(I11)), " ", IF(I11&lt;60, J11, (J11/I11)*60))</f>
        <v xml:space="preserve"> </v>
      </c>
      <c r="L11" s="95"/>
      <c r="M11" s="3"/>
      <c r="N11" s="64" t="str">
        <f t="shared" ref="N11:N40" si="2">IF((ISBLANK($L11))," ",($L11)/($N$3*27152))</f>
        <v xml:space="preserve"> </v>
      </c>
      <c r="O11" s="100" t="str">
        <f t="shared" ref="O11:O40" si="3">IF((ISBLANK(M11)), " ", IF(M11&lt;60, N11, (N11/M11)*60))</f>
        <v xml:space="preserve"> </v>
      </c>
      <c r="P11" s="52"/>
      <c r="Q11" s="13"/>
      <c r="R11" s="56" t="str">
        <f>IF((ISBLANK($P11))," ",($P11)/($R$3*27152))</f>
        <v xml:space="preserve"> </v>
      </c>
      <c r="S11" s="67" t="str">
        <f t="shared" ref="S11:S40" si="4">IF((ISBLANK(Q11)), " ", IF(Q11&lt;60, R11, (R11/Q11)*60))</f>
        <v xml:space="preserve"> </v>
      </c>
      <c r="T11" s="60"/>
      <c r="U11" s="24"/>
      <c r="V11" s="64" t="str">
        <f>IF((ISBLANK($T11))," ",($T11)/($V$3*27152))</f>
        <v xml:space="preserve"> </v>
      </c>
      <c r="W11" s="103" t="str">
        <f t="shared" ref="W11:W40" si="5">IF((ISBLANK(U11)), " ", IF(U11&lt;60, V11, (V11/U11)*60))</f>
        <v xml:space="preserve"> </v>
      </c>
    </row>
    <row r="12" spans="1:24" ht="15" customHeight="1">
      <c r="A12" s="5">
        <v>3</v>
      </c>
      <c r="B12" s="17"/>
      <c r="C12" s="3"/>
      <c r="D12" s="49"/>
      <c r="E12" s="113"/>
      <c r="F12" s="3"/>
      <c r="G12" s="109"/>
      <c r="H12" s="52"/>
      <c r="I12" s="13"/>
      <c r="J12" s="56" t="str">
        <f t="shared" si="0"/>
        <v xml:space="preserve"> </v>
      </c>
      <c r="K12" s="67" t="str">
        <f t="shared" si="1"/>
        <v xml:space="preserve"> </v>
      </c>
      <c r="L12" s="95"/>
      <c r="M12" s="3"/>
      <c r="N12" s="64" t="str">
        <f t="shared" si="2"/>
        <v xml:space="preserve"> </v>
      </c>
      <c r="O12" s="100" t="str">
        <f t="shared" si="3"/>
        <v xml:space="preserve"> </v>
      </c>
      <c r="P12" s="52"/>
      <c r="Q12" s="13"/>
      <c r="R12" s="56" t="str">
        <f t="shared" ref="R12:R40" si="6">IF((ISBLANK($P12))," ",($P12)/($R$3*27152))</f>
        <v xml:space="preserve"> </v>
      </c>
      <c r="S12" s="67" t="str">
        <f t="shared" si="4"/>
        <v xml:space="preserve"> </v>
      </c>
      <c r="T12" s="60"/>
      <c r="U12" s="24"/>
      <c r="V12" s="64" t="str">
        <f t="shared" ref="V12:V40" si="7">IF((ISBLANK($T12))," ",($T12)/($V$3*27152))</f>
        <v xml:space="preserve"> </v>
      </c>
      <c r="W12" s="103" t="str">
        <f t="shared" si="5"/>
        <v xml:space="preserve"> </v>
      </c>
    </row>
    <row r="13" spans="1:24" ht="15" customHeight="1">
      <c r="A13" s="5">
        <v>4</v>
      </c>
      <c r="B13" s="17"/>
      <c r="C13" s="3"/>
      <c r="D13" s="49"/>
      <c r="E13" s="113"/>
      <c r="F13" s="3"/>
      <c r="G13" s="109"/>
      <c r="H13" s="52"/>
      <c r="I13" s="13"/>
      <c r="J13" s="56" t="str">
        <f t="shared" si="0"/>
        <v xml:space="preserve"> </v>
      </c>
      <c r="K13" s="67" t="str">
        <f t="shared" si="1"/>
        <v xml:space="preserve"> </v>
      </c>
      <c r="L13" s="95"/>
      <c r="M13" s="3"/>
      <c r="N13" s="64" t="str">
        <f t="shared" si="2"/>
        <v xml:space="preserve"> </v>
      </c>
      <c r="O13" s="100" t="str">
        <f t="shared" si="3"/>
        <v xml:space="preserve"> </v>
      </c>
      <c r="P13" s="52"/>
      <c r="Q13" s="13"/>
      <c r="R13" s="56" t="str">
        <f t="shared" si="6"/>
        <v xml:space="preserve"> </v>
      </c>
      <c r="S13" s="67" t="str">
        <f t="shared" si="4"/>
        <v xml:space="preserve"> </v>
      </c>
      <c r="T13" s="60"/>
      <c r="U13" s="24"/>
      <c r="V13" s="64" t="str">
        <f t="shared" si="7"/>
        <v xml:space="preserve"> </v>
      </c>
      <c r="W13" s="103" t="str">
        <f t="shared" si="5"/>
        <v xml:space="preserve"> </v>
      </c>
    </row>
    <row r="14" spans="1:24" ht="15" customHeight="1">
      <c r="A14" s="5">
        <v>5</v>
      </c>
      <c r="B14" s="17"/>
      <c r="C14" s="3"/>
      <c r="D14" s="49"/>
      <c r="E14" s="113"/>
      <c r="F14" s="3"/>
      <c r="G14" s="109"/>
      <c r="H14" s="52"/>
      <c r="I14" s="13"/>
      <c r="J14" s="56" t="str">
        <f t="shared" si="0"/>
        <v xml:space="preserve"> </v>
      </c>
      <c r="K14" s="67" t="str">
        <f t="shared" si="1"/>
        <v xml:space="preserve"> </v>
      </c>
      <c r="L14" s="95"/>
      <c r="M14" s="3"/>
      <c r="N14" s="64" t="str">
        <f t="shared" si="2"/>
        <v xml:space="preserve"> </v>
      </c>
      <c r="O14" s="100" t="str">
        <f t="shared" si="3"/>
        <v xml:space="preserve"> </v>
      </c>
      <c r="P14" s="52"/>
      <c r="Q14" s="13"/>
      <c r="R14" s="56" t="str">
        <f t="shared" si="6"/>
        <v xml:space="preserve"> </v>
      </c>
      <c r="S14" s="67" t="str">
        <f t="shared" si="4"/>
        <v xml:space="preserve"> </v>
      </c>
      <c r="T14" s="60"/>
      <c r="U14" s="24"/>
      <c r="V14" s="64" t="str">
        <f t="shared" si="7"/>
        <v xml:space="preserve"> </v>
      </c>
      <c r="W14" s="103" t="str">
        <f t="shared" si="5"/>
        <v xml:space="preserve"> </v>
      </c>
    </row>
    <row r="15" spans="1:24" ht="15" customHeight="1">
      <c r="A15" s="5">
        <v>6</v>
      </c>
      <c r="B15" s="17"/>
      <c r="C15" s="3"/>
      <c r="D15" s="49"/>
      <c r="E15" s="113"/>
      <c r="F15" s="3"/>
      <c r="G15" s="109"/>
      <c r="H15" s="52"/>
      <c r="I15" s="13"/>
      <c r="J15" s="56" t="str">
        <f t="shared" si="0"/>
        <v xml:space="preserve"> </v>
      </c>
      <c r="K15" s="67" t="str">
        <f t="shared" si="1"/>
        <v xml:space="preserve"> </v>
      </c>
      <c r="L15" s="95"/>
      <c r="M15" s="3"/>
      <c r="N15" s="64" t="str">
        <f t="shared" si="2"/>
        <v xml:space="preserve"> </v>
      </c>
      <c r="O15" s="100" t="str">
        <f t="shared" si="3"/>
        <v xml:space="preserve"> </v>
      </c>
      <c r="P15" s="52"/>
      <c r="Q15" s="13"/>
      <c r="R15" s="56" t="str">
        <f t="shared" si="6"/>
        <v xml:space="preserve"> </v>
      </c>
      <c r="S15" s="67" t="str">
        <f t="shared" si="4"/>
        <v xml:space="preserve"> </v>
      </c>
      <c r="T15" s="60"/>
      <c r="U15" s="24"/>
      <c r="V15" s="64" t="str">
        <f t="shared" si="7"/>
        <v xml:space="preserve"> </v>
      </c>
      <c r="W15" s="103" t="str">
        <f t="shared" si="5"/>
        <v xml:space="preserve"> </v>
      </c>
    </row>
    <row r="16" spans="1:24" ht="15" customHeight="1">
      <c r="A16" s="5">
        <v>7</v>
      </c>
      <c r="B16" s="17"/>
      <c r="C16" s="3"/>
      <c r="D16" s="49"/>
      <c r="E16" s="113"/>
      <c r="F16" s="3"/>
      <c r="G16" s="109"/>
      <c r="H16" s="52"/>
      <c r="I16" s="13"/>
      <c r="J16" s="56" t="str">
        <f t="shared" si="0"/>
        <v xml:space="preserve"> </v>
      </c>
      <c r="K16" s="67" t="str">
        <f t="shared" si="1"/>
        <v xml:space="preserve"> </v>
      </c>
      <c r="L16" s="95"/>
      <c r="M16" s="3"/>
      <c r="N16" s="64" t="str">
        <f t="shared" si="2"/>
        <v xml:space="preserve"> </v>
      </c>
      <c r="O16" s="100" t="str">
        <f t="shared" si="3"/>
        <v xml:space="preserve"> </v>
      </c>
      <c r="P16" s="52"/>
      <c r="Q16" s="13"/>
      <c r="R16" s="56" t="str">
        <f t="shared" si="6"/>
        <v xml:space="preserve"> </v>
      </c>
      <c r="S16" s="67" t="str">
        <f t="shared" si="4"/>
        <v xml:space="preserve"> </v>
      </c>
      <c r="T16" s="60"/>
      <c r="U16" s="24"/>
      <c r="V16" s="64" t="str">
        <f t="shared" si="7"/>
        <v xml:space="preserve"> </v>
      </c>
      <c r="W16" s="103" t="str">
        <f t="shared" si="5"/>
        <v xml:space="preserve"> </v>
      </c>
    </row>
    <row r="17" spans="1:23" ht="15" customHeight="1">
      <c r="A17" s="5">
        <v>8</v>
      </c>
      <c r="B17" s="17"/>
      <c r="C17" s="3"/>
      <c r="D17" s="49"/>
      <c r="E17" s="113"/>
      <c r="F17" s="3"/>
      <c r="G17" s="109"/>
      <c r="H17" s="52"/>
      <c r="I17" s="13"/>
      <c r="J17" s="57" t="str">
        <f t="shared" si="0"/>
        <v xml:space="preserve"> </v>
      </c>
      <c r="K17" s="67" t="str">
        <f t="shared" si="1"/>
        <v xml:space="preserve"> </v>
      </c>
      <c r="L17" s="95"/>
      <c r="M17" s="3"/>
      <c r="N17" s="64" t="str">
        <f t="shared" si="2"/>
        <v xml:space="preserve"> </v>
      </c>
      <c r="O17" s="100" t="str">
        <f t="shared" si="3"/>
        <v xml:space="preserve"> </v>
      </c>
      <c r="P17" s="52"/>
      <c r="Q17" s="13"/>
      <c r="R17" s="56" t="str">
        <f t="shared" si="6"/>
        <v xml:space="preserve"> </v>
      </c>
      <c r="S17" s="67" t="str">
        <f t="shared" si="4"/>
        <v xml:space="preserve"> </v>
      </c>
      <c r="T17" s="60"/>
      <c r="U17" s="24"/>
      <c r="V17" s="64" t="str">
        <f t="shared" si="7"/>
        <v xml:space="preserve"> </v>
      </c>
      <c r="W17" s="103" t="str">
        <f t="shared" si="5"/>
        <v xml:space="preserve"> </v>
      </c>
    </row>
    <row r="18" spans="1:23" ht="15" customHeight="1">
      <c r="A18" s="5">
        <v>9</v>
      </c>
      <c r="B18" s="17"/>
      <c r="C18" s="3"/>
      <c r="D18" s="49"/>
      <c r="E18" s="113"/>
      <c r="F18" s="3"/>
      <c r="G18" s="109"/>
      <c r="H18" s="52"/>
      <c r="I18" s="13"/>
      <c r="J18" s="57" t="str">
        <f t="shared" si="0"/>
        <v xml:space="preserve"> </v>
      </c>
      <c r="K18" s="67" t="str">
        <f t="shared" si="1"/>
        <v xml:space="preserve"> </v>
      </c>
      <c r="L18" s="95"/>
      <c r="M18" s="3"/>
      <c r="N18" s="64" t="str">
        <f t="shared" si="2"/>
        <v xml:space="preserve"> </v>
      </c>
      <c r="O18" s="100" t="str">
        <f t="shared" si="3"/>
        <v xml:space="preserve"> </v>
      </c>
      <c r="P18" s="52"/>
      <c r="Q18" s="13"/>
      <c r="R18" s="56" t="str">
        <f t="shared" si="6"/>
        <v xml:space="preserve"> </v>
      </c>
      <c r="S18" s="67" t="str">
        <f t="shared" si="4"/>
        <v xml:space="preserve"> </v>
      </c>
      <c r="T18" s="60"/>
      <c r="U18" s="24"/>
      <c r="V18" s="64" t="str">
        <f t="shared" si="7"/>
        <v xml:space="preserve"> </v>
      </c>
      <c r="W18" s="103" t="str">
        <f t="shared" si="5"/>
        <v xml:space="preserve"> </v>
      </c>
    </row>
    <row r="19" spans="1:23" ht="15" customHeight="1">
      <c r="A19" s="5">
        <v>10</v>
      </c>
      <c r="B19" s="17"/>
      <c r="C19" s="3"/>
      <c r="D19" s="49"/>
      <c r="E19" s="113"/>
      <c r="F19" s="3"/>
      <c r="G19" s="109"/>
      <c r="H19" s="52"/>
      <c r="I19" s="13"/>
      <c r="J19" s="57" t="str">
        <f t="shared" si="0"/>
        <v xml:space="preserve"> </v>
      </c>
      <c r="K19" s="67" t="str">
        <f t="shared" si="1"/>
        <v xml:space="preserve"> </v>
      </c>
      <c r="L19" s="95"/>
      <c r="M19" s="3"/>
      <c r="N19" s="64" t="str">
        <f t="shared" si="2"/>
        <v xml:space="preserve"> </v>
      </c>
      <c r="O19" s="100" t="str">
        <f t="shared" si="3"/>
        <v xml:space="preserve"> </v>
      </c>
      <c r="P19" s="52"/>
      <c r="Q19" s="13"/>
      <c r="R19" s="56" t="str">
        <f t="shared" si="6"/>
        <v xml:space="preserve"> </v>
      </c>
      <c r="S19" s="67" t="str">
        <f t="shared" si="4"/>
        <v xml:space="preserve"> </v>
      </c>
      <c r="T19" s="60"/>
      <c r="U19" s="24"/>
      <c r="V19" s="64" t="str">
        <f t="shared" si="7"/>
        <v xml:space="preserve"> </v>
      </c>
      <c r="W19" s="103" t="str">
        <f t="shared" si="5"/>
        <v xml:space="preserve"> </v>
      </c>
    </row>
    <row r="20" spans="1:23" ht="15" customHeight="1">
      <c r="A20" s="5">
        <v>11</v>
      </c>
      <c r="B20" s="17"/>
      <c r="C20" s="3"/>
      <c r="D20" s="49"/>
      <c r="E20" s="113"/>
      <c r="F20" s="3"/>
      <c r="G20" s="109"/>
      <c r="H20" s="52"/>
      <c r="I20" s="13"/>
      <c r="J20" s="57" t="str">
        <f t="shared" si="0"/>
        <v xml:space="preserve"> </v>
      </c>
      <c r="K20" s="67" t="str">
        <f t="shared" si="1"/>
        <v xml:space="preserve"> </v>
      </c>
      <c r="L20" s="95"/>
      <c r="M20" s="3"/>
      <c r="N20" s="64" t="str">
        <f t="shared" si="2"/>
        <v xml:space="preserve"> </v>
      </c>
      <c r="O20" s="100" t="str">
        <f t="shared" si="3"/>
        <v xml:space="preserve"> </v>
      </c>
      <c r="P20" s="52"/>
      <c r="Q20" s="13"/>
      <c r="R20" s="56" t="str">
        <f t="shared" si="6"/>
        <v xml:space="preserve"> </v>
      </c>
      <c r="S20" s="67" t="str">
        <f t="shared" si="4"/>
        <v xml:space="preserve"> </v>
      </c>
      <c r="T20" s="60"/>
      <c r="U20" s="24"/>
      <c r="V20" s="64" t="str">
        <f t="shared" si="7"/>
        <v xml:space="preserve"> </v>
      </c>
      <c r="W20" s="103" t="str">
        <f t="shared" si="5"/>
        <v xml:space="preserve"> </v>
      </c>
    </row>
    <row r="21" spans="1:23" ht="15" customHeight="1">
      <c r="A21" s="5">
        <v>12</v>
      </c>
      <c r="B21" s="17"/>
      <c r="C21" s="3"/>
      <c r="D21" s="49"/>
      <c r="E21" s="113"/>
      <c r="F21" s="3"/>
      <c r="G21" s="109"/>
      <c r="H21" s="52"/>
      <c r="I21" s="13"/>
      <c r="J21" s="57" t="str">
        <f t="shared" si="0"/>
        <v xml:space="preserve"> </v>
      </c>
      <c r="K21" s="67" t="str">
        <f t="shared" si="1"/>
        <v xml:space="preserve"> </v>
      </c>
      <c r="L21" s="95"/>
      <c r="M21" s="3"/>
      <c r="N21" s="64" t="str">
        <f t="shared" si="2"/>
        <v xml:space="preserve"> </v>
      </c>
      <c r="O21" s="100" t="str">
        <f t="shared" si="3"/>
        <v xml:space="preserve"> </v>
      </c>
      <c r="P21" s="52"/>
      <c r="Q21" s="13"/>
      <c r="R21" s="56" t="str">
        <f t="shared" si="6"/>
        <v xml:space="preserve"> </v>
      </c>
      <c r="S21" s="67" t="str">
        <f t="shared" si="4"/>
        <v xml:space="preserve"> </v>
      </c>
      <c r="T21" s="60"/>
      <c r="U21" s="24"/>
      <c r="V21" s="64" t="str">
        <f t="shared" si="7"/>
        <v xml:space="preserve"> </v>
      </c>
      <c r="W21" s="103" t="str">
        <f t="shared" si="5"/>
        <v xml:space="preserve"> </v>
      </c>
    </row>
    <row r="22" spans="1:23" ht="15" customHeight="1">
      <c r="A22" s="5">
        <v>13</v>
      </c>
      <c r="B22" s="17"/>
      <c r="C22" s="3"/>
      <c r="D22" s="49"/>
      <c r="E22" s="113"/>
      <c r="F22" s="3"/>
      <c r="G22" s="109"/>
      <c r="H22" s="52"/>
      <c r="I22" s="13"/>
      <c r="J22" s="57" t="str">
        <f t="shared" si="0"/>
        <v xml:space="preserve"> </v>
      </c>
      <c r="K22" s="67" t="str">
        <f t="shared" si="1"/>
        <v xml:space="preserve"> </v>
      </c>
      <c r="L22" s="95"/>
      <c r="M22" s="3"/>
      <c r="N22" s="64" t="str">
        <f t="shared" si="2"/>
        <v xml:space="preserve"> </v>
      </c>
      <c r="O22" s="100" t="str">
        <f t="shared" si="3"/>
        <v xml:space="preserve"> </v>
      </c>
      <c r="P22" s="52"/>
      <c r="Q22" s="13"/>
      <c r="R22" s="56" t="str">
        <f t="shared" si="6"/>
        <v xml:space="preserve"> </v>
      </c>
      <c r="S22" s="67" t="str">
        <f t="shared" si="4"/>
        <v xml:space="preserve"> </v>
      </c>
      <c r="T22" s="60"/>
      <c r="U22" s="24"/>
      <c r="V22" s="64" t="str">
        <f t="shared" si="7"/>
        <v xml:space="preserve"> </v>
      </c>
      <c r="W22" s="103" t="str">
        <f t="shared" si="5"/>
        <v xml:space="preserve"> </v>
      </c>
    </row>
    <row r="23" spans="1:23" ht="15" customHeight="1">
      <c r="A23" s="5">
        <v>14</v>
      </c>
      <c r="B23" s="17"/>
      <c r="C23" s="3"/>
      <c r="D23" s="49"/>
      <c r="E23" s="113"/>
      <c r="F23" s="3"/>
      <c r="G23" s="109"/>
      <c r="H23" s="52"/>
      <c r="I23" s="13"/>
      <c r="J23" s="57" t="str">
        <f t="shared" si="0"/>
        <v xml:space="preserve"> </v>
      </c>
      <c r="K23" s="67" t="str">
        <f t="shared" si="1"/>
        <v xml:space="preserve"> </v>
      </c>
      <c r="L23" s="95"/>
      <c r="M23" s="3"/>
      <c r="N23" s="64" t="str">
        <f t="shared" si="2"/>
        <v xml:space="preserve"> </v>
      </c>
      <c r="O23" s="100" t="str">
        <f t="shared" si="3"/>
        <v xml:space="preserve"> </v>
      </c>
      <c r="P23" s="52"/>
      <c r="Q23" s="13"/>
      <c r="R23" s="56" t="str">
        <f t="shared" si="6"/>
        <v xml:space="preserve"> </v>
      </c>
      <c r="S23" s="67" t="str">
        <f t="shared" si="4"/>
        <v xml:space="preserve"> </v>
      </c>
      <c r="T23" s="60"/>
      <c r="U23" s="24"/>
      <c r="V23" s="64" t="str">
        <f t="shared" si="7"/>
        <v xml:space="preserve"> </v>
      </c>
      <c r="W23" s="103" t="str">
        <f t="shared" si="5"/>
        <v xml:space="preserve"> </v>
      </c>
    </row>
    <row r="24" spans="1:23" ht="15" customHeight="1">
      <c r="A24" s="5">
        <v>15</v>
      </c>
      <c r="B24" s="17"/>
      <c r="C24" s="3"/>
      <c r="D24" s="49"/>
      <c r="E24" s="113"/>
      <c r="F24" s="3"/>
      <c r="G24" s="109"/>
      <c r="H24" s="52"/>
      <c r="I24" s="13"/>
      <c r="J24" s="57" t="str">
        <f t="shared" si="0"/>
        <v xml:space="preserve"> </v>
      </c>
      <c r="K24" s="67" t="str">
        <f t="shared" si="1"/>
        <v xml:space="preserve"> </v>
      </c>
      <c r="L24" s="95"/>
      <c r="M24" s="3"/>
      <c r="N24" s="64" t="str">
        <f t="shared" si="2"/>
        <v xml:space="preserve"> </v>
      </c>
      <c r="O24" s="100" t="str">
        <f t="shared" si="3"/>
        <v xml:space="preserve"> </v>
      </c>
      <c r="P24" s="52"/>
      <c r="Q24" s="13"/>
      <c r="R24" s="56" t="str">
        <f t="shared" si="6"/>
        <v xml:space="preserve"> </v>
      </c>
      <c r="S24" s="67" t="str">
        <f t="shared" si="4"/>
        <v xml:space="preserve"> </v>
      </c>
      <c r="T24" s="60"/>
      <c r="U24" s="24"/>
      <c r="V24" s="64" t="str">
        <f t="shared" si="7"/>
        <v xml:space="preserve"> </v>
      </c>
      <c r="W24" s="103" t="str">
        <f t="shared" si="5"/>
        <v xml:space="preserve"> </v>
      </c>
    </row>
    <row r="25" spans="1:23" ht="15" customHeight="1">
      <c r="A25" s="5">
        <v>16</v>
      </c>
      <c r="B25" s="17"/>
      <c r="C25" s="3"/>
      <c r="D25" s="49"/>
      <c r="E25" s="113"/>
      <c r="F25" s="3"/>
      <c r="G25" s="109"/>
      <c r="H25" s="52"/>
      <c r="I25" s="13"/>
      <c r="J25" s="57" t="str">
        <f t="shared" si="0"/>
        <v xml:space="preserve"> </v>
      </c>
      <c r="K25" s="67" t="str">
        <f t="shared" si="1"/>
        <v xml:space="preserve"> </v>
      </c>
      <c r="L25" s="95"/>
      <c r="M25" s="3"/>
      <c r="N25" s="64" t="str">
        <f t="shared" si="2"/>
        <v xml:space="preserve"> </v>
      </c>
      <c r="O25" s="100" t="str">
        <f t="shared" si="3"/>
        <v xml:space="preserve"> </v>
      </c>
      <c r="P25" s="52"/>
      <c r="Q25" s="13"/>
      <c r="R25" s="56" t="str">
        <f t="shared" si="6"/>
        <v xml:space="preserve"> </v>
      </c>
      <c r="S25" s="67" t="str">
        <f t="shared" si="4"/>
        <v xml:space="preserve"> </v>
      </c>
      <c r="T25" s="60"/>
      <c r="U25" s="24"/>
      <c r="V25" s="64" t="str">
        <f t="shared" si="7"/>
        <v xml:space="preserve"> </v>
      </c>
      <c r="W25" s="103" t="str">
        <f t="shared" si="5"/>
        <v xml:space="preserve"> </v>
      </c>
    </row>
    <row r="26" spans="1:23" ht="15" customHeight="1">
      <c r="A26" s="5">
        <v>17</v>
      </c>
      <c r="B26" s="17"/>
      <c r="C26" s="3"/>
      <c r="D26" s="49"/>
      <c r="E26" s="113"/>
      <c r="F26" s="3"/>
      <c r="G26" s="109"/>
      <c r="H26" s="52"/>
      <c r="I26" s="13"/>
      <c r="J26" s="57" t="str">
        <f t="shared" si="0"/>
        <v xml:space="preserve"> </v>
      </c>
      <c r="K26" s="67" t="str">
        <f t="shared" si="1"/>
        <v xml:space="preserve"> </v>
      </c>
      <c r="L26" s="95"/>
      <c r="M26" s="3"/>
      <c r="N26" s="64" t="str">
        <f t="shared" si="2"/>
        <v xml:space="preserve"> </v>
      </c>
      <c r="O26" s="100" t="str">
        <f t="shared" si="3"/>
        <v xml:space="preserve"> </v>
      </c>
      <c r="P26" s="52"/>
      <c r="Q26" s="13"/>
      <c r="R26" s="56" t="str">
        <f t="shared" si="6"/>
        <v xml:space="preserve"> </v>
      </c>
      <c r="S26" s="67" t="str">
        <f t="shared" si="4"/>
        <v xml:space="preserve"> </v>
      </c>
      <c r="T26" s="60"/>
      <c r="U26" s="24"/>
      <c r="V26" s="64" t="str">
        <f t="shared" si="7"/>
        <v xml:space="preserve"> </v>
      </c>
      <c r="W26" s="103" t="str">
        <f t="shared" si="5"/>
        <v xml:space="preserve"> </v>
      </c>
    </row>
    <row r="27" spans="1:23" ht="15" customHeight="1">
      <c r="A27" s="5">
        <v>18</v>
      </c>
      <c r="B27" s="17"/>
      <c r="C27" s="3"/>
      <c r="D27" s="49"/>
      <c r="E27" s="113"/>
      <c r="F27" s="3"/>
      <c r="G27" s="109"/>
      <c r="H27" s="52"/>
      <c r="I27" s="13"/>
      <c r="J27" s="57" t="str">
        <f t="shared" si="0"/>
        <v xml:space="preserve"> </v>
      </c>
      <c r="K27" s="67" t="str">
        <f t="shared" si="1"/>
        <v xml:space="preserve"> </v>
      </c>
      <c r="L27" s="95"/>
      <c r="M27" s="3"/>
      <c r="N27" s="64" t="str">
        <f t="shared" si="2"/>
        <v xml:space="preserve"> </v>
      </c>
      <c r="O27" s="100" t="str">
        <f t="shared" si="3"/>
        <v xml:space="preserve"> </v>
      </c>
      <c r="P27" s="52"/>
      <c r="Q27" s="13"/>
      <c r="R27" s="56" t="str">
        <f t="shared" si="6"/>
        <v xml:space="preserve"> </v>
      </c>
      <c r="S27" s="67" t="str">
        <f t="shared" si="4"/>
        <v xml:space="preserve"> </v>
      </c>
      <c r="T27" s="60"/>
      <c r="U27" s="24"/>
      <c r="V27" s="64" t="str">
        <f t="shared" si="7"/>
        <v xml:space="preserve"> </v>
      </c>
      <c r="W27" s="103" t="str">
        <f t="shared" si="5"/>
        <v xml:space="preserve"> </v>
      </c>
    </row>
    <row r="28" spans="1:23" ht="15" customHeight="1">
      <c r="A28" s="5">
        <v>19</v>
      </c>
      <c r="B28" s="17"/>
      <c r="C28" s="3"/>
      <c r="D28" s="49"/>
      <c r="E28" s="113"/>
      <c r="F28" s="3"/>
      <c r="G28" s="109"/>
      <c r="H28" s="52"/>
      <c r="I28" s="13"/>
      <c r="J28" s="57" t="str">
        <f t="shared" si="0"/>
        <v xml:space="preserve"> </v>
      </c>
      <c r="K28" s="67" t="str">
        <f t="shared" si="1"/>
        <v xml:space="preserve"> </v>
      </c>
      <c r="L28" s="95"/>
      <c r="M28" s="3"/>
      <c r="N28" s="64" t="str">
        <f t="shared" si="2"/>
        <v xml:space="preserve"> </v>
      </c>
      <c r="O28" s="100" t="str">
        <f t="shared" si="3"/>
        <v xml:space="preserve"> </v>
      </c>
      <c r="P28" s="52"/>
      <c r="Q28" s="13"/>
      <c r="R28" s="56" t="str">
        <f t="shared" si="6"/>
        <v xml:space="preserve"> </v>
      </c>
      <c r="S28" s="67" t="str">
        <f t="shared" si="4"/>
        <v xml:space="preserve"> </v>
      </c>
      <c r="T28" s="60"/>
      <c r="U28" s="24"/>
      <c r="V28" s="64" t="str">
        <f t="shared" si="7"/>
        <v xml:space="preserve"> </v>
      </c>
      <c r="W28" s="103" t="str">
        <f t="shared" si="5"/>
        <v xml:space="preserve"> </v>
      </c>
    </row>
    <row r="29" spans="1:23" ht="15" customHeight="1">
      <c r="A29" s="5">
        <v>20</v>
      </c>
      <c r="B29" s="17"/>
      <c r="C29" s="3"/>
      <c r="D29" s="49"/>
      <c r="E29" s="113"/>
      <c r="F29" s="3"/>
      <c r="G29" s="109"/>
      <c r="H29" s="52"/>
      <c r="I29" s="13"/>
      <c r="J29" s="57" t="str">
        <f t="shared" si="0"/>
        <v xml:space="preserve"> </v>
      </c>
      <c r="K29" s="67" t="str">
        <f t="shared" si="1"/>
        <v xml:space="preserve"> </v>
      </c>
      <c r="L29" s="95"/>
      <c r="M29" s="3"/>
      <c r="N29" s="64" t="str">
        <f t="shared" si="2"/>
        <v xml:space="preserve"> </v>
      </c>
      <c r="O29" s="100" t="str">
        <f t="shared" si="3"/>
        <v xml:space="preserve"> </v>
      </c>
      <c r="P29" s="52"/>
      <c r="Q29" s="13"/>
      <c r="R29" s="56" t="str">
        <f t="shared" si="6"/>
        <v xml:space="preserve"> </v>
      </c>
      <c r="S29" s="67" t="str">
        <f t="shared" si="4"/>
        <v xml:space="preserve"> </v>
      </c>
      <c r="T29" s="60"/>
      <c r="U29" s="24"/>
      <c r="V29" s="64" t="str">
        <f t="shared" si="7"/>
        <v xml:space="preserve"> </v>
      </c>
      <c r="W29" s="103" t="str">
        <f t="shared" si="5"/>
        <v xml:space="preserve"> </v>
      </c>
    </row>
    <row r="30" spans="1:23" ht="15" customHeight="1">
      <c r="A30" s="5">
        <v>21</v>
      </c>
      <c r="B30" s="17"/>
      <c r="C30" s="3"/>
      <c r="D30" s="49"/>
      <c r="E30" s="113"/>
      <c r="F30" s="3"/>
      <c r="G30" s="109"/>
      <c r="H30" s="52"/>
      <c r="I30" s="13"/>
      <c r="J30" s="57" t="str">
        <f t="shared" si="0"/>
        <v xml:space="preserve"> </v>
      </c>
      <c r="K30" s="67" t="str">
        <f t="shared" si="1"/>
        <v xml:space="preserve"> </v>
      </c>
      <c r="L30" s="95"/>
      <c r="M30" s="3"/>
      <c r="N30" s="64" t="str">
        <f t="shared" si="2"/>
        <v xml:space="preserve"> </v>
      </c>
      <c r="O30" s="100" t="str">
        <f t="shared" si="3"/>
        <v xml:space="preserve"> </v>
      </c>
      <c r="P30" s="52"/>
      <c r="Q30" s="13"/>
      <c r="R30" s="56" t="str">
        <f t="shared" si="6"/>
        <v xml:space="preserve"> </v>
      </c>
      <c r="S30" s="67" t="str">
        <f t="shared" si="4"/>
        <v xml:space="preserve"> </v>
      </c>
      <c r="T30" s="60"/>
      <c r="U30" s="24"/>
      <c r="V30" s="64" t="str">
        <f t="shared" si="7"/>
        <v xml:space="preserve"> </v>
      </c>
      <c r="W30" s="103" t="str">
        <f t="shared" si="5"/>
        <v xml:space="preserve"> </v>
      </c>
    </row>
    <row r="31" spans="1:23" ht="15" customHeight="1">
      <c r="A31" s="5">
        <v>22</v>
      </c>
      <c r="B31" s="17"/>
      <c r="C31" s="3"/>
      <c r="D31" s="49"/>
      <c r="E31" s="113"/>
      <c r="F31" s="3"/>
      <c r="G31" s="109"/>
      <c r="H31" s="52"/>
      <c r="I31" s="13"/>
      <c r="J31" s="57" t="str">
        <f t="shared" si="0"/>
        <v xml:space="preserve"> </v>
      </c>
      <c r="K31" s="67" t="str">
        <f t="shared" si="1"/>
        <v xml:space="preserve"> </v>
      </c>
      <c r="L31" s="95"/>
      <c r="M31" s="3"/>
      <c r="N31" s="64" t="str">
        <f t="shared" si="2"/>
        <v xml:space="preserve"> </v>
      </c>
      <c r="O31" s="100" t="str">
        <f t="shared" si="3"/>
        <v xml:space="preserve"> </v>
      </c>
      <c r="P31" s="52"/>
      <c r="Q31" s="13"/>
      <c r="R31" s="56" t="str">
        <f t="shared" si="6"/>
        <v xml:space="preserve"> </v>
      </c>
      <c r="S31" s="67" t="str">
        <f t="shared" si="4"/>
        <v xml:space="preserve"> </v>
      </c>
      <c r="T31" s="60"/>
      <c r="U31" s="24"/>
      <c r="V31" s="64" t="str">
        <f t="shared" si="7"/>
        <v xml:space="preserve"> </v>
      </c>
      <c r="W31" s="103" t="str">
        <f t="shared" si="5"/>
        <v xml:space="preserve"> </v>
      </c>
    </row>
    <row r="32" spans="1:23" ht="15" customHeight="1">
      <c r="A32" s="5">
        <v>23</v>
      </c>
      <c r="B32" s="17"/>
      <c r="C32" s="3"/>
      <c r="D32" s="49"/>
      <c r="E32" s="113"/>
      <c r="F32" s="3"/>
      <c r="G32" s="109"/>
      <c r="H32" s="52"/>
      <c r="I32" s="13"/>
      <c r="J32" s="57" t="str">
        <f t="shared" si="0"/>
        <v xml:space="preserve"> </v>
      </c>
      <c r="K32" s="67" t="str">
        <f t="shared" si="1"/>
        <v xml:space="preserve"> </v>
      </c>
      <c r="L32" s="95"/>
      <c r="M32" s="3"/>
      <c r="N32" s="64" t="str">
        <f t="shared" si="2"/>
        <v xml:space="preserve"> </v>
      </c>
      <c r="O32" s="100" t="str">
        <f t="shared" si="3"/>
        <v xml:space="preserve"> </v>
      </c>
      <c r="P32" s="52"/>
      <c r="Q32" s="13"/>
      <c r="R32" s="56" t="str">
        <f t="shared" si="6"/>
        <v xml:space="preserve"> </v>
      </c>
      <c r="S32" s="67" t="str">
        <f t="shared" si="4"/>
        <v xml:space="preserve"> </v>
      </c>
      <c r="T32" s="60"/>
      <c r="U32" s="24"/>
      <c r="V32" s="64" t="str">
        <f t="shared" si="7"/>
        <v xml:space="preserve"> </v>
      </c>
      <c r="W32" s="103" t="str">
        <f t="shared" si="5"/>
        <v xml:space="preserve"> </v>
      </c>
    </row>
    <row r="33" spans="1:23" ht="15" customHeight="1">
      <c r="A33" s="5">
        <v>24</v>
      </c>
      <c r="B33" s="17"/>
      <c r="C33" s="3"/>
      <c r="D33" s="49"/>
      <c r="E33" s="113"/>
      <c r="F33" s="3"/>
      <c r="G33" s="109"/>
      <c r="H33" s="52"/>
      <c r="I33" s="13"/>
      <c r="J33" s="57" t="str">
        <f t="shared" si="0"/>
        <v xml:space="preserve"> </v>
      </c>
      <c r="K33" s="67" t="str">
        <f t="shared" si="1"/>
        <v xml:space="preserve"> </v>
      </c>
      <c r="L33" s="95"/>
      <c r="M33" s="3"/>
      <c r="N33" s="64" t="str">
        <f t="shared" si="2"/>
        <v xml:space="preserve"> </v>
      </c>
      <c r="O33" s="100" t="str">
        <f t="shared" si="3"/>
        <v xml:space="preserve"> </v>
      </c>
      <c r="P33" s="52"/>
      <c r="Q33" s="13"/>
      <c r="R33" s="56" t="str">
        <f t="shared" si="6"/>
        <v xml:space="preserve"> </v>
      </c>
      <c r="S33" s="67" t="str">
        <f t="shared" si="4"/>
        <v xml:space="preserve"> </v>
      </c>
      <c r="T33" s="60"/>
      <c r="U33" s="24"/>
      <c r="V33" s="64" t="str">
        <f t="shared" si="7"/>
        <v xml:space="preserve"> </v>
      </c>
      <c r="W33" s="103" t="str">
        <f t="shared" si="5"/>
        <v xml:space="preserve"> </v>
      </c>
    </row>
    <row r="34" spans="1:23" ht="15" customHeight="1">
      <c r="A34" s="5">
        <v>25</v>
      </c>
      <c r="B34" s="17"/>
      <c r="C34" s="3"/>
      <c r="D34" s="49"/>
      <c r="E34" s="113"/>
      <c r="F34" s="3"/>
      <c r="G34" s="109"/>
      <c r="H34" s="52"/>
      <c r="I34" s="13"/>
      <c r="J34" s="57" t="str">
        <f t="shared" si="0"/>
        <v xml:space="preserve"> </v>
      </c>
      <c r="K34" s="67" t="str">
        <f t="shared" si="1"/>
        <v xml:space="preserve"> </v>
      </c>
      <c r="L34" s="95"/>
      <c r="M34" s="3"/>
      <c r="N34" s="64" t="str">
        <f t="shared" si="2"/>
        <v xml:space="preserve"> </v>
      </c>
      <c r="O34" s="100" t="str">
        <f t="shared" si="3"/>
        <v xml:space="preserve"> </v>
      </c>
      <c r="P34" s="52"/>
      <c r="Q34" s="13"/>
      <c r="R34" s="56" t="str">
        <f t="shared" si="6"/>
        <v xml:space="preserve"> </v>
      </c>
      <c r="S34" s="67" t="str">
        <f t="shared" si="4"/>
        <v xml:space="preserve"> </v>
      </c>
      <c r="T34" s="60"/>
      <c r="U34" s="24"/>
      <c r="V34" s="64" t="str">
        <f t="shared" si="7"/>
        <v xml:space="preserve"> </v>
      </c>
      <c r="W34" s="103" t="str">
        <f t="shared" si="5"/>
        <v xml:space="preserve"> </v>
      </c>
    </row>
    <row r="35" spans="1:23" ht="15" customHeight="1">
      <c r="A35" s="5">
        <v>26</v>
      </c>
      <c r="B35" s="17"/>
      <c r="C35" s="3"/>
      <c r="D35" s="49"/>
      <c r="E35" s="113"/>
      <c r="F35" s="3"/>
      <c r="G35" s="109"/>
      <c r="H35" s="52"/>
      <c r="I35" s="13"/>
      <c r="J35" s="57" t="str">
        <f t="shared" si="0"/>
        <v xml:space="preserve"> </v>
      </c>
      <c r="K35" s="67" t="str">
        <f t="shared" si="1"/>
        <v xml:space="preserve"> </v>
      </c>
      <c r="L35" s="95"/>
      <c r="M35" s="3"/>
      <c r="N35" s="64" t="str">
        <f t="shared" si="2"/>
        <v xml:space="preserve"> </v>
      </c>
      <c r="O35" s="100" t="str">
        <f t="shared" si="3"/>
        <v xml:space="preserve"> </v>
      </c>
      <c r="P35" s="52"/>
      <c r="Q35" s="13"/>
      <c r="R35" s="56" t="str">
        <f t="shared" si="6"/>
        <v xml:space="preserve"> </v>
      </c>
      <c r="S35" s="67" t="str">
        <f t="shared" si="4"/>
        <v xml:space="preserve"> </v>
      </c>
      <c r="T35" s="60"/>
      <c r="U35" s="24"/>
      <c r="V35" s="64" t="str">
        <f t="shared" si="7"/>
        <v xml:space="preserve"> </v>
      </c>
      <c r="W35" s="103" t="str">
        <f t="shared" si="5"/>
        <v xml:space="preserve"> </v>
      </c>
    </row>
    <row r="36" spans="1:23" ht="15" customHeight="1">
      <c r="A36" s="5">
        <v>27</v>
      </c>
      <c r="B36" s="17"/>
      <c r="C36" s="3"/>
      <c r="D36" s="49"/>
      <c r="E36" s="113"/>
      <c r="F36" s="3"/>
      <c r="G36" s="109"/>
      <c r="H36" s="52"/>
      <c r="I36" s="13"/>
      <c r="J36" s="57" t="str">
        <f t="shared" si="0"/>
        <v xml:space="preserve"> </v>
      </c>
      <c r="K36" s="67" t="str">
        <f t="shared" si="1"/>
        <v xml:space="preserve"> </v>
      </c>
      <c r="L36" s="95"/>
      <c r="M36" s="3"/>
      <c r="N36" s="64" t="str">
        <f t="shared" si="2"/>
        <v xml:space="preserve"> </v>
      </c>
      <c r="O36" s="100" t="str">
        <f t="shared" si="3"/>
        <v xml:space="preserve"> </v>
      </c>
      <c r="P36" s="52"/>
      <c r="Q36" s="13"/>
      <c r="R36" s="56" t="str">
        <f t="shared" si="6"/>
        <v xml:space="preserve"> </v>
      </c>
      <c r="S36" s="67" t="str">
        <f t="shared" si="4"/>
        <v xml:space="preserve"> </v>
      </c>
      <c r="T36" s="60"/>
      <c r="U36" s="24"/>
      <c r="V36" s="64" t="str">
        <f t="shared" si="7"/>
        <v xml:space="preserve"> </v>
      </c>
      <c r="W36" s="103" t="str">
        <f t="shared" si="5"/>
        <v xml:space="preserve"> </v>
      </c>
    </row>
    <row r="37" spans="1:23" ht="15" customHeight="1">
      <c r="A37" s="5">
        <v>28</v>
      </c>
      <c r="B37" s="17"/>
      <c r="C37" s="3"/>
      <c r="D37" s="49"/>
      <c r="E37" s="113"/>
      <c r="F37" s="3"/>
      <c r="G37" s="109"/>
      <c r="H37" s="52"/>
      <c r="I37" s="13"/>
      <c r="J37" s="57" t="str">
        <f t="shared" si="0"/>
        <v xml:space="preserve"> </v>
      </c>
      <c r="K37" s="67" t="str">
        <f t="shared" si="1"/>
        <v xml:space="preserve"> </v>
      </c>
      <c r="L37" s="95"/>
      <c r="M37" s="3"/>
      <c r="N37" s="64" t="str">
        <f t="shared" si="2"/>
        <v xml:space="preserve"> </v>
      </c>
      <c r="O37" s="100" t="str">
        <f t="shared" si="3"/>
        <v xml:space="preserve"> </v>
      </c>
      <c r="P37" s="52"/>
      <c r="Q37" s="13"/>
      <c r="R37" s="56" t="str">
        <f t="shared" si="6"/>
        <v xml:space="preserve"> </v>
      </c>
      <c r="S37" s="67" t="str">
        <f t="shared" si="4"/>
        <v xml:space="preserve"> </v>
      </c>
      <c r="T37" s="60"/>
      <c r="U37" s="24"/>
      <c r="V37" s="64" t="str">
        <f t="shared" si="7"/>
        <v xml:space="preserve"> </v>
      </c>
      <c r="W37" s="103" t="str">
        <f t="shared" si="5"/>
        <v xml:space="preserve"> </v>
      </c>
    </row>
    <row r="38" spans="1:23" ht="15" customHeight="1">
      <c r="A38" s="5">
        <v>29</v>
      </c>
      <c r="B38" s="17"/>
      <c r="C38" s="3"/>
      <c r="D38" s="49"/>
      <c r="E38" s="113"/>
      <c r="F38" s="3"/>
      <c r="G38" s="109"/>
      <c r="H38" s="52"/>
      <c r="I38" s="13"/>
      <c r="J38" s="57" t="str">
        <f t="shared" si="0"/>
        <v xml:space="preserve"> </v>
      </c>
      <c r="K38" s="67" t="str">
        <f t="shared" si="1"/>
        <v xml:space="preserve"> </v>
      </c>
      <c r="L38" s="95"/>
      <c r="M38" s="3"/>
      <c r="N38" s="64" t="str">
        <f t="shared" si="2"/>
        <v xml:space="preserve"> </v>
      </c>
      <c r="O38" s="100" t="str">
        <f t="shared" si="3"/>
        <v xml:space="preserve"> </v>
      </c>
      <c r="P38" s="52"/>
      <c r="Q38" s="13"/>
      <c r="R38" s="56" t="str">
        <f t="shared" si="6"/>
        <v xml:space="preserve"> </v>
      </c>
      <c r="S38" s="67" t="str">
        <f t="shared" si="4"/>
        <v xml:space="preserve"> </v>
      </c>
      <c r="T38" s="60"/>
      <c r="U38" s="24"/>
      <c r="V38" s="64" t="str">
        <f t="shared" si="7"/>
        <v xml:space="preserve"> </v>
      </c>
      <c r="W38" s="103" t="str">
        <f t="shared" si="5"/>
        <v xml:space="preserve"> </v>
      </c>
    </row>
    <row r="39" spans="1:23" ht="15" customHeight="1">
      <c r="A39" s="5">
        <v>30</v>
      </c>
      <c r="B39" s="17"/>
      <c r="C39" s="3"/>
      <c r="D39" s="49"/>
      <c r="E39" s="113"/>
      <c r="F39" s="3"/>
      <c r="G39" s="109"/>
      <c r="H39" s="52"/>
      <c r="I39" s="13"/>
      <c r="J39" s="57" t="str">
        <f t="shared" si="0"/>
        <v xml:space="preserve"> </v>
      </c>
      <c r="K39" s="67" t="str">
        <f t="shared" si="1"/>
        <v xml:space="preserve"> </v>
      </c>
      <c r="L39" s="95"/>
      <c r="M39" s="3"/>
      <c r="N39" s="64" t="str">
        <f t="shared" si="2"/>
        <v xml:space="preserve"> </v>
      </c>
      <c r="O39" s="100" t="str">
        <f t="shared" si="3"/>
        <v xml:space="preserve"> </v>
      </c>
      <c r="P39" s="52"/>
      <c r="Q39" s="13"/>
      <c r="R39" s="56" t="str">
        <f t="shared" si="6"/>
        <v xml:space="preserve"> </v>
      </c>
      <c r="S39" s="67" t="str">
        <f t="shared" si="4"/>
        <v xml:space="preserve"> </v>
      </c>
      <c r="T39" s="60"/>
      <c r="U39" s="24"/>
      <c r="V39" s="64" t="str">
        <f t="shared" si="7"/>
        <v xml:space="preserve"> </v>
      </c>
      <c r="W39" s="103" t="str">
        <f t="shared" si="5"/>
        <v xml:space="preserve"> </v>
      </c>
    </row>
    <row r="40" spans="1:23" ht="15" customHeight="1" thickBot="1">
      <c r="A40" s="5">
        <v>31</v>
      </c>
      <c r="B40" s="17"/>
      <c r="C40" s="12"/>
      <c r="D40" s="50"/>
      <c r="E40" s="114"/>
      <c r="F40" s="12"/>
      <c r="G40" s="110"/>
      <c r="H40" s="53"/>
      <c r="I40" s="22"/>
      <c r="J40" s="57" t="str">
        <f t="shared" si="0"/>
        <v xml:space="preserve"> </v>
      </c>
      <c r="K40" s="97" t="str">
        <f t="shared" si="1"/>
        <v xml:space="preserve"> </v>
      </c>
      <c r="L40" s="96"/>
      <c r="M40" s="18"/>
      <c r="N40" s="94" t="str">
        <f t="shared" si="2"/>
        <v xml:space="preserve"> </v>
      </c>
      <c r="O40" s="99" t="str">
        <f t="shared" si="3"/>
        <v xml:space="preserve"> </v>
      </c>
      <c r="P40" s="53"/>
      <c r="Q40" s="22"/>
      <c r="R40" s="56" t="str">
        <f t="shared" si="6"/>
        <v xml:space="preserve"> </v>
      </c>
      <c r="S40" s="97" t="str">
        <f t="shared" si="4"/>
        <v xml:space="preserve"> </v>
      </c>
      <c r="T40" s="61"/>
      <c r="U40" s="25"/>
      <c r="V40" s="64" t="str">
        <f t="shared" si="7"/>
        <v xml:space="preserve"> </v>
      </c>
      <c r="W40" s="104" t="str">
        <f t="shared" si="5"/>
        <v xml:space="preserve"> </v>
      </c>
    </row>
    <row r="41" spans="1:23" ht="15" customHeight="1">
      <c r="A41" s="153" t="s">
        <v>154</v>
      </c>
      <c r="B41" s="154"/>
      <c r="C41" s="154"/>
      <c r="D41" s="155"/>
      <c r="E41" s="155"/>
      <c r="F41" s="155"/>
      <c r="G41" s="155"/>
      <c r="H41" s="54" t="str">
        <f>IF(ISBLANK($T1)," ",SUM(H10:H40))</f>
        <v xml:space="preserve"> </v>
      </c>
      <c r="I41" s="37"/>
      <c r="J41" s="58" t="str">
        <f>IF(ISBLANK($T1)," ",SUM(J10:J40))</f>
        <v xml:space="preserve"> </v>
      </c>
      <c r="K41" s="38"/>
      <c r="L41" s="62" t="str">
        <f>IF(ISBLANK($T1)," ",SUM(L10:L40))</f>
        <v xml:space="preserve"> </v>
      </c>
      <c r="M41" s="39"/>
      <c r="N41" s="65" t="str">
        <f>IF(ISBLANK($T1)," ",SUM(N10:N40))</f>
        <v xml:space="preserve"> </v>
      </c>
      <c r="O41" s="40"/>
      <c r="P41" s="54" t="str">
        <f>IF(ISBLANK($T1)," ",SUM(P10:P40))</f>
        <v xml:space="preserve"> </v>
      </c>
      <c r="Q41" s="37"/>
      <c r="R41" s="58" t="str">
        <f>IF(ISBLANK($T1)," ",SUM(R10:R40))</f>
        <v xml:space="preserve"> </v>
      </c>
      <c r="S41" s="38"/>
      <c r="T41" s="62" t="str">
        <f>IF(ISBLANK($T1)," ",SUM(T10:T40))</f>
        <v xml:space="preserve"> </v>
      </c>
      <c r="U41" s="39"/>
      <c r="V41" s="65" t="str">
        <f>IF(ISBLANK($T1)," ",SUM(V10:V40))</f>
        <v xml:space="preserve"> </v>
      </c>
      <c r="W41" s="41"/>
    </row>
    <row r="42" spans="1:23" ht="15" customHeight="1" thickBot="1">
      <c r="A42" s="124" t="s">
        <v>153</v>
      </c>
      <c r="B42" s="125"/>
      <c r="C42" s="125"/>
      <c r="D42" s="126"/>
      <c r="E42" s="126"/>
      <c r="F42" s="126"/>
      <c r="G42" s="126"/>
      <c r="H42" s="82"/>
      <c r="I42" s="83"/>
      <c r="J42" s="84"/>
      <c r="K42" s="85"/>
      <c r="L42" s="86"/>
      <c r="M42" s="87"/>
      <c r="N42" s="88"/>
      <c r="O42" s="89"/>
      <c r="P42" s="82"/>
      <c r="Q42" s="83"/>
      <c r="R42" s="84"/>
      <c r="S42" s="85"/>
      <c r="T42" s="86"/>
      <c r="U42" s="87"/>
      <c r="V42" s="90"/>
      <c r="W42" s="91"/>
    </row>
  </sheetData>
  <sheetProtection password="CD14" sheet="1" objects="1" scenarios="1" selectLockedCells="1"/>
  <mergeCells count="59">
    <mergeCell ref="A41:G41"/>
    <mergeCell ref="A42:G42"/>
    <mergeCell ref="T6:U6"/>
    <mergeCell ref="V6:W6"/>
    <mergeCell ref="A7:A9"/>
    <mergeCell ref="B7:D7"/>
    <mergeCell ref="E7:G7"/>
    <mergeCell ref="H7:I7"/>
    <mergeCell ref="L7:M7"/>
    <mergeCell ref="P7:Q7"/>
    <mergeCell ref="T7:U7"/>
    <mergeCell ref="B8:B9"/>
    <mergeCell ref="P5:Q5"/>
    <mergeCell ref="R5:S5"/>
    <mergeCell ref="T5:U5"/>
    <mergeCell ref="V5:W5"/>
    <mergeCell ref="H6:I6"/>
    <mergeCell ref="J6:K6"/>
    <mergeCell ref="L6:M6"/>
    <mergeCell ref="N6:O6"/>
    <mergeCell ref="P6:Q6"/>
    <mergeCell ref="R6:S6"/>
    <mergeCell ref="A5:C6"/>
    <mergeCell ref="D5:G6"/>
    <mergeCell ref="H5:I5"/>
    <mergeCell ref="J5:K5"/>
    <mergeCell ref="L5:M5"/>
    <mergeCell ref="N5:O5"/>
    <mergeCell ref="V3:W3"/>
    <mergeCell ref="H4:I4"/>
    <mergeCell ref="J4:K4"/>
    <mergeCell ref="L4:M4"/>
    <mergeCell ref="N4:O4"/>
    <mergeCell ref="P4:Q4"/>
    <mergeCell ref="R4:S4"/>
    <mergeCell ref="T4:U4"/>
    <mergeCell ref="V4:W4"/>
    <mergeCell ref="R2:S2"/>
    <mergeCell ref="T2:U2"/>
    <mergeCell ref="V2:W2"/>
    <mergeCell ref="H3:I3"/>
    <mergeCell ref="J3:K3"/>
    <mergeCell ref="L3:M3"/>
    <mergeCell ref="N3:O3"/>
    <mergeCell ref="P3:Q3"/>
    <mergeCell ref="R3:S3"/>
    <mergeCell ref="T3:U3"/>
    <mergeCell ref="A2:G4"/>
    <mergeCell ref="H2:I2"/>
    <mergeCell ref="J2:K2"/>
    <mergeCell ref="L2:M2"/>
    <mergeCell ref="N2:O2"/>
    <mergeCell ref="P2:Q2"/>
    <mergeCell ref="A1:C1"/>
    <mergeCell ref="D1:G1"/>
    <mergeCell ref="H1:I1"/>
    <mergeCell ref="J1:O1"/>
    <mergeCell ref="Q1:R1"/>
    <mergeCell ref="T1:U1"/>
  </mergeCells>
  <dataValidations count="5">
    <dataValidation type="list" showInputMessage="1" showErrorMessage="1" sqref="B10:B40">
      <formula1>Weather</formula1>
    </dataValidation>
    <dataValidation type="list" showInputMessage="1" showErrorMessage="1" sqref="W1">
      <formula1>Year</formula1>
    </dataValidation>
    <dataValidation type="list" showInputMessage="1" showErrorMessage="1" sqref="T1:U1">
      <formula1>Month</formula1>
    </dataValidation>
    <dataValidation type="list" showInputMessage="1" showErrorMessage="1" sqref="Q1:R1">
      <formula1>County</formula1>
    </dataValidation>
    <dataValidation showInputMessage="1" showErrorMessage="1" sqref="T6:T7 P6:P7 H6:H7 L6:L7 D8:G8"/>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80" t="s">
        <v>165</v>
      </c>
      <c r="B1" s="180"/>
      <c r="C1" s="180"/>
      <c r="D1" s="180"/>
      <c r="E1" s="180"/>
      <c r="F1" s="180"/>
      <c r="G1" s="180"/>
      <c r="H1" s="180"/>
      <c r="I1" s="180"/>
      <c r="J1" s="180"/>
      <c r="K1" s="180"/>
      <c r="L1" s="180"/>
      <c r="M1" s="180"/>
      <c r="N1" s="180"/>
      <c r="O1" s="180"/>
      <c r="P1" s="180"/>
      <c r="Q1" s="180"/>
      <c r="R1" s="180"/>
      <c r="S1" s="180"/>
      <c r="T1" s="180"/>
      <c r="U1" s="181"/>
      <c r="V1" s="181"/>
    </row>
    <row r="2" spans="1:22" ht="30" customHeight="1">
      <c r="A2" s="180" t="s">
        <v>166</v>
      </c>
      <c r="B2" s="180"/>
      <c r="C2" s="180"/>
      <c r="D2" s="180"/>
      <c r="E2" s="180"/>
      <c r="F2" s="180"/>
      <c r="G2" s="180"/>
      <c r="H2" s="180"/>
      <c r="I2" s="180"/>
      <c r="J2" s="180"/>
      <c r="K2" s="180"/>
      <c r="L2" s="180"/>
      <c r="M2" s="180"/>
      <c r="N2" s="180"/>
      <c r="O2" s="180"/>
      <c r="P2" s="180"/>
      <c r="Q2" s="180"/>
      <c r="R2" s="180"/>
      <c r="S2" s="180"/>
      <c r="T2" s="180"/>
      <c r="U2" s="181"/>
      <c r="V2" s="181"/>
    </row>
    <row r="3" spans="1:22" ht="30" customHeight="1">
      <c r="A3" s="180" t="s">
        <v>167</v>
      </c>
      <c r="B3" s="180"/>
      <c r="C3" s="180"/>
      <c r="D3" s="180"/>
      <c r="E3" s="180"/>
      <c r="F3" s="180"/>
      <c r="G3" s="180"/>
      <c r="H3" s="180"/>
      <c r="I3" s="180"/>
      <c r="J3" s="180"/>
      <c r="K3" s="180"/>
      <c r="L3" s="180"/>
      <c r="M3" s="180"/>
      <c r="N3" s="180"/>
      <c r="O3" s="180"/>
      <c r="P3" s="180"/>
      <c r="Q3" s="180"/>
      <c r="R3" s="180"/>
      <c r="S3" s="180"/>
      <c r="T3" s="180"/>
      <c r="U3" s="181"/>
      <c r="V3" s="181"/>
    </row>
    <row r="4" spans="1:22" ht="30" customHeight="1">
      <c r="A4" s="180" t="s">
        <v>168</v>
      </c>
      <c r="B4" s="180"/>
      <c r="C4" s="180"/>
      <c r="D4" s="180"/>
      <c r="E4" s="180"/>
      <c r="F4" s="180"/>
      <c r="G4" s="180"/>
      <c r="H4" s="180"/>
      <c r="I4" s="180"/>
      <c r="J4" s="180"/>
      <c r="K4" s="180"/>
      <c r="L4" s="180"/>
      <c r="M4" s="180"/>
      <c r="N4" s="180"/>
      <c r="O4" s="180"/>
      <c r="P4" s="180"/>
      <c r="Q4" s="180"/>
      <c r="R4" s="180"/>
      <c r="S4" s="180"/>
      <c r="T4" s="180"/>
      <c r="U4" s="181"/>
      <c r="V4" s="181"/>
    </row>
    <row r="5" spans="1:22" ht="30" customHeight="1">
      <c r="A5" s="180" t="s">
        <v>169</v>
      </c>
      <c r="B5" s="180"/>
      <c r="C5" s="180"/>
      <c r="D5" s="180"/>
      <c r="E5" s="180"/>
      <c r="F5" s="180"/>
      <c r="G5" s="180"/>
      <c r="H5" s="180"/>
      <c r="I5" s="180"/>
      <c r="J5" s="180"/>
      <c r="K5" s="180"/>
      <c r="L5" s="180"/>
      <c r="M5" s="180"/>
      <c r="N5" s="180"/>
      <c r="O5" s="180"/>
      <c r="P5" s="180"/>
      <c r="Q5" s="180"/>
      <c r="R5" s="180"/>
      <c r="S5" s="180"/>
      <c r="T5" s="180"/>
      <c r="U5" s="181"/>
      <c r="V5" s="181"/>
    </row>
    <row r="6" spans="1:22" ht="30" customHeight="1" thickBot="1">
      <c r="A6" s="182" t="s">
        <v>130</v>
      </c>
      <c r="B6" s="183"/>
      <c r="C6" s="183"/>
      <c r="D6" s="183"/>
      <c r="E6" s="183"/>
      <c r="F6" s="183"/>
      <c r="G6" s="183"/>
      <c r="H6" s="183"/>
      <c r="I6" s="183"/>
      <c r="J6" s="183"/>
      <c r="K6" s="183"/>
      <c r="L6" s="183"/>
      <c r="M6" s="183"/>
      <c r="N6" s="183"/>
      <c r="O6" s="183"/>
      <c r="P6" s="183"/>
      <c r="Q6" s="183"/>
      <c r="R6" s="183"/>
      <c r="S6" s="183"/>
      <c r="T6" s="183"/>
      <c r="U6" s="183"/>
      <c r="V6" s="183"/>
    </row>
    <row r="7" spans="1:22" ht="138.75" customHeight="1" thickBot="1">
      <c r="A7" s="184"/>
      <c r="B7" s="185"/>
      <c r="C7" s="185"/>
      <c r="D7" s="185"/>
      <c r="E7" s="185"/>
      <c r="F7" s="185"/>
      <c r="G7" s="185"/>
      <c r="H7" s="185"/>
      <c r="I7" s="185"/>
      <c r="J7" s="185"/>
      <c r="K7" s="185"/>
      <c r="L7" s="185"/>
      <c r="M7" s="185"/>
      <c r="N7" s="185"/>
      <c r="O7" s="185"/>
      <c r="P7" s="185"/>
      <c r="Q7" s="185"/>
      <c r="R7" s="185"/>
      <c r="S7" s="185"/>
      <c r="T7" s="185"/>
      <c r="U7" s="185"/>
      <c r="V7" s="186"/>
    </row>
    <row r="8" spans="1:22" ht="15" customHeight="1" thickBot="1">
      <c r="A8" s="187"/>
      <c r="B8" s="188"/>
      <c r="C8" s="188"/>
      <c r="D8" s="188"/>
      <c r="E8" s="188"/>
      <c r="F8" s="188"/>
      <c r="G8" s="188"/>
      <c r="H8" s="188"/>
      <c r="I8" s="188"/>
      <c r="J8" s="188"/>
      <c r="K8" s="188"/>
      <c r="L8" s="188"/>
      <c r="M8" s="188"/>
      <c r="N8" s="188"/>
      <c r="O8" s="188"/>
      <c r="P8" s="188"/>
      <c r="Q8" s="188"/>
      <c r="R8" s="188"/>
      <c r="S8" s="188"/>
      <c r="T8" s="188"/>
      <c r="U8" s="188"/>
      <c r="V8" s="188"/>
    </row>
    <row r="9" spans="1:22" ht="30.75" customHeight="1" thickBot="1">
      <c r="A9" s="162" t="s">
        <v>10</v>
      </c>
      <c r="B9" s="188"/>
      <c r="C9" s="188"/>
      <c r="D9" s="188"/>
      <c r="E9" s="188"/>
      <c r="F9" s="188"/>
      <c r="G9" s="188"/>
      <c r="H9" s="188"/>
      <c r="I9" s="188"/>
      <c r="J9" s="188"/>
      <c r="K9" s="188"/>
      <c r="L9" s="189"/>
      <c r="M9" s="190" t="s">
        <v>11</v>
      </c>
      <c r="N9" s="188"/>
      <c r="O9" s="188"/>
      <c r="P9" s="188"/>
      <c r="Q9" s="188"/>
      <c r="R9" s="188"/>
      <c r="S9" s="188"/>
      <c r="T9" s="188"/>
      <c r="U9" s="188"/>
      <c r="V9" s="191"/>
    </row>
    <row r="10" spans="1:22" ht="30.75" customHeight="1">
      <c r="A10" s="194" t="s">
        <v>135</v>
      </c>
      <c r="B10" s="195"/>
      <c r="C10" s="196"/>
      <c r="D10" s="197"/>
      <c r="E10" s="197"/>
      <c r="F10" s="197"/>
      <c r="G10" s="197"/>
      <c r="H10" s="197"/>
      <c r="I10" s="197"/>
      <c r="J10" s="197"/>
      <c r="K10" s="197"/>
      <c r="L10" s="198"/>
      <c r="M10" s="199" t="s">
        <v>131</v>
      </c>
      <c r="N10" s="195"/>
      <c r="O10" s="200"/>
      <c r="P10" s="200"/>
      <c r="Q10" s="200"/>
      <c r="R10" s="200"/>
      <c r="S10" s="200"/>
      <c r="T10" s="200"/>
      <c r="U10" s="200"/>
      <c r="V10" s="201"/>
    </row>
    <row r="11" spans="1:22" ht="30.75" customHeight="1">
      <c r="A11" s="202" t="s">
        <v>136</v>
      </c>
      <c r="B11" s="203"/>
      <c r="C11" s="203"/>
      <c r="D11" s="204"/>
      <c r="E11" s="205"/>
      <c r="F11" s="206"/>
      <c r="G11" s="206"/>
      <c r="H11" s="206"/>
      <c r="I11" s="206"/>
      <c r="J11" s="206"/>
      <c r="K11" s="206"/>
      <c r="L11" s="105"/>
      <c r="M11" s="207" t="s">
        <v>132</v>
      </c>
      <c r="N11" s="203"/>
      <c r="O11" s="208"/>
      <c r="P11" s="209"/>
      <c r="Q11" s="209"/>
      <c r="R11" s="209"/>
      <c r="S11" s="209"/>
      <c r="T11" s="209"/>
      <c r="U11" s="209"/>
      <c r="V11" s="210"/>
    </row>
    <row r="12" spans="1:22" ht="30.75" customHeight="1">
      <c r="A12" s="202" t="s">
        <v>137</v>
      </c>
      <c r="B12" s="203"/>
      <c r="C12" s="208"/>
      <c r="D12" s="208"/>
      <c r="E12" s="211"/>
      <c r="F12" s="212" t="s">
        <v>12</v>
      </c>
      <c r="G12" s="203"/>
      <c r="H12" s="203"/>
      <c r="I12" s="205"/>
      <c r="J12" s="213"/>
      <c r="K12" s="213"/>
      <c r="L12" s="214"/>
      <c r="M12" s="207" t="s">
        <v>133</v>
      </c>
      <c r="N12" s="203"/>
      <c r="O12" s="203"/>
      <c r="P12" s="192"/>
      <c r="Q12" s="181"/>
      <c r="R12" s="181"/>
      <c r="S12" s="181"/>
      <c r="T12" s="181"/>
      <c r="U12" s="181"/>
      <c r="V12" s="193"/>
    </row>
    <row r="13" spans="1:22" ht="30.75" customHeight="1">
      <c r="A13" s="218" t="s">
        <v>156</v>
      </c>
      <c r="B13" s="213"/>
      <c r="C13" s="213"/>
      <c r="D13" s="213"/>
      <c r="E13" s="213"/>
      <c r="F13" s="213"/>
      <c r="G13" s="213"/>
      <c r="H13" s="213"/>
      <c r="I13" s="213"/>
      <c r="J13" s="213"/>
      <c r="K13" s="213"/>
      <c r="L13" s="214"/>
      <c r="M13" s="207" t="s">
        <v>134</v>
      </c>
      <c r="N13" s="219"/>
      <c r="O13" s="205"/>
      <c r="P13" s="213"/>
      <c r="Q13" s="213"/>
      <c r="R13" s="220" t="s">
        <v>155</v>
      </c>
      <c r="S13" s="219"/>
      <c r="T13" s="221"/>
      <c r="U13" s="222"/>
      <c r="V13" s="223"/>
    </row>
    <row r="14" spans="1:22" ht="22.5" customHeight="1">
      <c r="A14" s="240"/>
      <c r="B14" s="217"/>
      <c r="C14" s="217"/>
      <c r="D14" s="217"/>
      <c r="E14" s="217"/>
      <c r="F14" s="217"/>
      <c r="G14" s="217"/>
      <c r="H14" s="217"/>
      <c r="I14" s="217"/>
      <c r="J14" s="243"/>
      <c r="K14" s="224"/>
      <c r="L14" s="244"/>
      <c r="M14" s="246"/>
      <c r="N14" s="217"/>
      <c r="O14" s="217"/>
      <c r="P14" s="217"/>
      <c r="Q14" s="217"/>
      <c r="R14" s="217"/>
      <c r="S14" s="217"/>
      <c r="T14" s="243"/>
      <c r="U14" s="224"/>
      <c r="V14" s="225"/>
    </row>
    <row r="15" spans="1:22" ht="22.5" customHeight="1">
      <c r="A15" s="241"/>
      <c r="B15" s="242"/>
      <c r="C15" s="242"/>
      <c r="D15" s="242"/>
      <c r="E15" s="242"/>
      <c r="F15" s="242"/>
      <c r="G15" s="242"/>
      <c r="H15" s="242"/>
      <c r="I15" s="242"/>
      <c r="J15" s="243"/>
      <c r="K15" s="226"/>
      <c r="L15" s="245"/>
      <c r="M15" s="247"/>
      <c r="N15" s="242"/>
      <c r="O15" s="242"/>
      <c r="P15" s="242"/>
      <c r="Q15" s="242"/>
      <c r="R15" s="242"/>
      <c r="S15" s="242"/>
      <c r="T15" s="243"/>
      <c r="U15" s="226"/>
      <c r="V15" s="227"/>
    </row>
    <row r="16" spans="1:22" ht="30" customHeight="1">
      <c r="A16" s="228" t="s">
        <v>13</v>
      </c>
      <c r="B16" s="229"/>
      <c r="C16" s="229"/>
      <c r="D16" s="229"/>
      <c r="E16" s="229"/>
      <c r="F16" s="229"/>
      <c r="G16" s="229"/>
      <c r="H16" s="229"/>
      <c r="I16" s="229"/>
      <c r="J16" s="243"/>
      <c r="K16" s="230" t="s">
        <v>1</v>
      </c>
      <c r="L16" s="231"/>
      <c r="M16" s="232" t="s">
        <v>13</v>
      </c>
      <c r="N16" s="229"/>
      <c r="O16" s="229"/>
      <c r="P16" s="229"/>
      <c r="Q16" s="229"/>
      <c r="R16" s="229"/>
      <c r="S16" s="229"/>
      <c r="T16" s="243"/>
      <c r="U16" s="230" t="s">
        <v>1</v>
      </c>
      <c r="V16" s="233"/>
    </row>
    <row r="17" spans="1:22" ht="68.25" customHeight="1" thickBot="1">
      <c r="A17" s="234" t="s">
        <v>14</v>
      </c>
      <c r="B17" s="235"/>
      <c r="C17" s="235"/>
      <c r="D17" s="235"/>
      <c r="E17" s="235"/>
      <c r="F17" s="235"/>
      <c r="G17" s="235"/>
      <c r="H17" s="235"/>
      <c r="I17" s="235"/>
      <c r="J17" s="235"/>
      <c r="K17" s="235"/>
      <c r="L17" s="236"/>
      <c r="M17" s="237" t="s">
        <v>15</v>
      </c>
      <c r="N17" s="238"/>
      <c r="O17" s="238"/>
      <c r="P17" s="238"/>
      <c r="Q17" s="238"/>
      <c r="R17" s="238"/>
      <c r="S17" s="238"/>
      <c r="T17" s="238"/>
      <c r="U17" s="238"/>
      <c r="V17" s="239"/>
    </row>
    <row r="18" spans="1:22" ht="15" customHeight="1">
      <c r="A18" s="248"/>
      <c r="B18" s="248"/>
      <c r="C18" s="248"/>
      <c r="D18" s="248"/>
      <c r="E18" s="248"/>
      <c r="F18" s="248"/>
      <c r="G18" s="248"/>
      <c r="H18" s="248"/>
      <c r="I18" s="248"/>
      <c r="J18" s="248"/>
      <c r="K18" s="248"/>
      <c r="L18" s="248"/>
      <c r="M18" s="248"/>
      <c r="N18" s="248"/>
      <c r="O18" s="248"/>
      <c r="P18" s="248"/>
      <c r="Q18" s="248"/>
      <c r="R18" s="248"/>
      <c r="S18" s="248"/>
      <c r="T18" s="248"/>
      <c r="U18" s="249"/>
      <c r="V18" s="249"/>
    </row>
    <row r="19" spans="1:22" ht="15" customHeight="1">
      <c r="A19" s="215" t="s">
        <v>17</v>
      </c>
      <c r="B19" s="216"/>
      <c r="C19" s="216"/>
      <c r="D19" s="216"/>
      <c r="E19" s="216"/>
      <c r="F19" s="216"/>
      <c r="G19" s="216"/>
      <c r="H19" s="216"/>
      <c r="I19" s="216"/>
      <c r="J19" s="216"/>
      <c r="K19" s="216"/>
      <c r="L19" s="216"/>
      <c r="M19" s="216"/>
      <c r="N19" s="216"/>
      <c r="O19" s="216"/>
      <c r="P19" s="216"/>
      <c r="Q19" s="216"/>
      <c r="R19" s="216"/>
      <c r="S19" s="216"/>
      <c r="T19" s="216"/>
      <c r="U19" s="217"/>
      <c r="V19" s="217"/>
    </row>
    <row r="20" spans="1:22" ht="15" customHeight="1">
      <c r="A20" s="215" t="s">
        <v>2</v>
      </c>
      <c r="B20" s="216"/>
      <c r="C20" s="216"/>
      <c r="D20" s="216"/>
      <c r="E20" s="216"/>
      <c r="F20" s="216"/>
      <c r="G20" s="216"/>
      <c r="H20" s="216"/>
      <c r="I20" s="216"/>
      <c r="J20" s="216"/>
      <c r="K20" s="216"/>
      <c r="L20" s="216"/>
      <c r="M20" s="216"/>
      <c r="N20" s="216"/>
      <c r="O20" s="216"/>
      <c r="P20" s="216"/>
      <c r="Q20" s="216"/>
      <c r="R20" s="216"/>
      <c r="S20" s="216"/>
      <c r="T20" s="216"/>
      <c r="U20" s="217"/>
      <c r="V20" s="217"/>
    </row>
    <row r="21" spans="1:22" ht="15" customHeight="1">
      <c r="A21" s="215" t="s">
        <v>8</v>
      </c>
      <c r="B21" s="216"/>
      <c r="C21" s="216"/>
      <c r="D21" s="216"/>
      <c r="E21" s="216"/>
      <c r="F21" s="216"/>
      <c r="G21" s="216"/>
      <c r="H21" s="216"/>
      <c r="I21" s="216"/>
      <c r="J21" s="216"/>
      <c r="K21" s="216"/>
      <c r="L21" s="216"/>
      <c r="M21" s="216"/>
      <c r="N21" s="216"/>
      <c r="O21" s="216"/>
      <c r="P21" s="216"/>
      <c r="Q21" s="216"/>
      <c r="R21" s="216"/>
      <c r="S21" s="216"/>
      <c r="T21" s="216"/>
      <c r="U21" s="217"/>
      <c r="V21" s="217"/>
    </row>
    <row r="22" spans="1:22" ht="15" customHeight="1">
      <c r="A22" s="215" t="s">
        <v>0</v>
      </c>
      <c r="B22" s="216"/>
      <c r="C22" s="216"/>
      <c r="D22" s="216"/>
      <c r="E22" s="216"/>
      <c r="F22" s="216"/>
      <c r="G22" s="216"/>
      <c r="H22" s="216"/>
      <c r="I22" s="216"/>
      <c r="J22" s="216"/>
      <c r="K22" s="216"/>
      <c r="L22" s="216"/>
      <c r="M22" s="216"/>
      <c r="N22" s="216"/>
      <c r="O22" s="216"/>
      <c r="P22" s="216"/>
      <c r="Q22" s="216"/>
      <c r="R22" s="216"/>
      <c r="S22" s="216"/>
      <c r="T22" s="216"/>
      <c r="U22" s="217"/>
      <c r="V22" s="217"/>
    </row>
    <row r="23" spans="1:22" ht="15" customHeight="1">
      <c r="A23" s="215" t="s">
        <v>16</v>
      </c>
      <c r="B23" s="216"/>
      <c r="C23" s="216"/>
      <c r="D23" s="216"/>
      <c r="E23" s="216"/>
      <c r="F23" s="216"/>
      <c r="G23" s="216"/>
      <c r="H23" s="216"/>
      <c r="I23" s="216"/>
      <c r="J23" s="216"/>
      <c r="K23" s="216"/>
      <c r="L23" s="216"/>
      <c r="M23" s="216"/>
      <c r="N23" s="216"/>
      <c r="O23" s="216"/>
      <c r="P23" s="216"/>
      <c r="Q23" s="216"/>
      <c r="R23" s="216"/>
      <c r="S23" s="216"/>
      <c r="T23" s="216"/>
      <c r="U23" s="217"/>
      <c r="V23" s="217"/>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177</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178</v>
      </c>
      <c r="B6" s="75"/>
      <c r="C6" s="75"/>
      <c r="D6" s="75"/>
      <c r="E6" s="75"/>
      <c r="F6" s="76"/>
    </row>
    <row r="7" spans="1:6" ht="15">
      <c r="A7" s="106"/>
      <c r="B7" s="75"/>
      <c r="C7" s="75"/>
      <c r="D7" s="75"/>
      <c r="E7" s="75"/>
      <c r="F7" s="76"/>
    </row>
    <row r="8" spans="1:6">
      <c r="A8" s="107"/>
      <c r="B8" s="75"/>
      <c r="C8" s="75"/>
      <c r="D8" s="75"/>
      <c r="E8" s="75"/>
      <c r="F8" s="76"/>
    </row>
    <row r="9" spans="1:6" ht="15">
      <c r="A9" s="106" t="s">
        <v>179</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50" t="s">
        <v>170</v>
      </c>
      <c r="B18" s="251"/>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159</v>
      </c>
    </row>
    <row r="3" spans="1:4">
      <c r="A3" s="4" t="s">
        <v>119</v>
      </c>
      <c r="B3" s="4" t="s">
        <v>19</v>
      </c>
      <c r="C3" s="4">
        <f>1+C2</f>
        <v>2012</v>
      </c>
      <c r="D3" s="4" t="s">
        <v>160</v>
      </c>
    </row>
    <row r="4" spans="1:4">
      <c r="A4" s="4" t="s">
        <v>120</v>
      </c>
      <c r="B4" s="4" t="s">
        <v>20</v>
      </c>
      <c r="C4" s="4">
        <f t="shared" ref="C4:C21" si="0">1+C3</f>
        <v>2013</v>
      </c>
      <c r="D4" s="4" t="s">
        <v>161</v>
      </c>
    </row>
    <row r="5" spans="1:4">
      <c r="A5" s="4" t="s">
        <v>121</v>
      </c>
      <c r="B5" s="4" t="s">
        <v>21</v>
      </c>
      <c r="C5" s="4">
        <f t="shared" si="0"/>
        <v>2014</v>
      </c>
      <c r="D5" s="4" t="s">
        <v>162</v>
      </c>
    </row>
    <row r="6" spans="1:4">
      <c r="A6" s="4" t="s">
        <v>122</v>
      </c>
      <c r="B6" s="4" t="s">
        <v>22</v>
      </c>
      <c r="C6" s="4">
        <f t="shared" si="0"/>
        <v>2015</v>
      </c>
      <c r="D6" s="4" t="s">
        <v>163</v>
      </c>
    </row>
    <row r="7" spans="1:4">
      <c r="A7" s="4" t="s">
        <v>123</v>
      </c>
      <c r="B7" s="4" t="s">
        <v>23</v>
      </c>
      <c r="C7" s="4">
        <f t="shared" si="0"/>
        <v>2016</v>
      </c>
      <c r="D7" s="4" t="s">
        <v>164</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Fields 1-4</vt:lpstr>
      <vt:lpstr>Fields 5-A</vt:lpstr>
      <vt:lpstr>Fields B-E</vt:lpstr>
      <vt:lpstr>Field F</vt:lpstr>
      <vt:lpstr>Certification Page</vt:lpstr>
      <vt:lpstr>Formulas &amp; Weather Codes</vt:lpstr>
      <vt:lpstr>Dropdown Menu</vt:lpstr>
      <vt:lpstr>County</vt:lpstr>
      <vt:lpstr>Month</vt:lpstr>
      <vt:lpstr>'Certification Page'!Print_Area</vt:lpstr>
      <vt:lpstr>'Field F'!Print_Area</vt:lpstr>
      <vt:lpstr>'Fields 1-4'!Print_Area</vt:lpstr>
      <vt:lpstr>'Fields 5-A'!Print_Area</vt:lpstr>
      <vt:lpstr>'Fields B-E'!Print_Area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2012-03-06T16:20:15Z</cp:lastPrinted>
  <dcterms:created xsi:type="dcterms:W3CDTF">2003-04-30T19:20:22Z</dcterms:created>
  <dcterms:modified xsi:type="dcterms:W3CDTF">2012-03-06T16:24:18Z</dcterms:modified>
</cp:coreProperties>
</file>