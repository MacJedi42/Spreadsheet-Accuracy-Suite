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541" activeTab="34"/>
  </bookViews>
  <sheets>
    <sheet name="1" sheetId="1" r:id="rId1"/>
    <sheet name="2" sheetId="2" r:id="rId2"/>
    <sheet name="3" sheetId="3" r:id="rId3"/>
    <sheet name="4" sheetId="4" state="hidden" r:id="rId4"/>
    <sheet name="10" sheetId="5" r:id="rId5"/>
    <sheet name="11" sheetId="6" r:id="rId6"/>
    <sheet name="12" sheetId="7" r:id="rId7"/>
    <sheet name="13" sheetId="8" r:id="rId8"/>
    <sheet name="14" sheetId="9" r:id="rId9"/>
    <sheet name="15" sheetId="10" r:id="rId10"/>
    <sheet name="16" sheetId="11" r:id="rId11"/>
    <sheet name="17" sheetId="12" r:id="rId12"/>
    <sheet name="18" sheetId="13" r:id="rId13"/>
    <sheet name="19" sheetId="16" r:id="rId14"/>
    <sheet name="20" sheetId="18" r:id="rId15"/>
    <sheet name="21" sheetId="19" r:id="rId16"/>
    <sheet name="22" sheetId="20" r:id="rId17"/>
    <sheet name="23" sheetId="21" r:id="rId18"/>
    <sheet name="24" sheetId="23" r:id="rId19"/>
    <sheet name="25" sheetId="24" r:id="rId20"/>
    <sheet name="26" sheetId="25" r:id="rId21"/>
    <sheet name="27" sheetId="26" r:id="rId22"/>
    <sheet name="28" sheetId="27" r:id="rId23"/>
    <sheet name="29" sheetId="28" r:id="rId24"/>
    <sheet name="30" sheetId="29" r:id="rId25"/>
    <sheet name="31" sheetId="30" r:id="rId26"/>
    <sheet name="32" sheetId="31" r:id="rId27"/>
    <sheet name="33" sheetId="32" r:id="rId28"/>
    <sheet name="34" sheetId="33" r:id="rId29"/>
    <sheet name="35" sheetId="34" r:id="rId30"/>
    <sheet name="36" sheetId="35" r:id="rId31"/>
    <sheet name="37" sheetId="36" r:id="rId32"/>
    <sheet name="38" sheetId="37" r:id="rId33"/>
    <sheet name="39" sheetId="38" state="hidden" r:id="rId34"/>
    <sheet name="40" sheetId="40" r:id="rId35"/>
    <sheet name="41" sheetId="42" r:id="rId36"/>
    <sheet name="Sheet1" sheetId="43" r:id="rId37"/>
    <sheet name="Sheet2" sheetId="44" r:id="rId38"/>
    <sheet name="Sheet3" sheetId="45" r:id="rId39"/>
  </sheets>
  <definedNames>
    <definedName name="_xlnm.Print_Area" localSheetId="8">'14'!$A$1:$I$38</definedName>
    <definedName name="_xlnm.Print_Area" localSheetId="13">'19'!$A$1:$K$48</definedName>
    <definedName name="_xlnm.Print_Area" localSheetId="25">'31'!$A$1:$H$54</definedName>
    <definedName name="_xlnm.Print_Area" localSheetId="34">'40'!$A$1:$H$47</definedName>
  </definedNames>
  <calcPr calcId="124519"/>
</workbook>
</file>

<file path=xl/calcChain.xml><?xml version="1.0" encoding="utf-8"?>
<calcChain xmlns="http://schemas.openxmlformats.org/spreadsheetml/2006/main">
  <c r="F39" i="35"/>
  <c r="X15" i="18"/>
  <c r="R18"/>
  <c r="X18"/>
  <c r="F20" i="25"/>
  <c r="E19" i="16"/>
  <c r="E36"/>
  <c r="E26" s="1"/>
  <c r="E43"/>
  <c r="E27" s="1"/>
  <c r="E48"/>
  <c r="G48"/>
  <c r="G28" s="1"/>
  <c r="G29" s="1"/>
  <c r="G36" s="1"/>
  <c r="G43" s="1"/>
  <c r="E18" i="3"/>
  <c r="E7"/>
  <c r="E19" i="35"/>
  <c r="N49" i="8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F9" i="37"/>
  <c r="F29"/>
  <c r="G36" i="38"/>
  <c r="G19"/>
  <c r="E19"/>
  <c r="F33" i="30"/>
  <c r="F14" i="28" s="1"/>
  <c r="R22" i="18"/>
  <c r="N51" i="8"/>
  <c r="D9" i="37"/>
  <c r="E15" i="32"/>
  <c r="I15" s="1"/>
  <c r="K19" i="16"/>
  <c r="L50" i="8"/>
  <c r="F50"/>
  <c r="D50"/>
  <c r="B50"/>
  <c r="O38" i="35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M39"/>
  <c r="M38"/>
  <c r="M21"/>
  <c r="M14"/>
  <c r="M13"/>
  <c r="N50" i="8" l="1"/>
  <c r="E29" i="16"/>
  <c r="G13" i="2" s="1"/>
  <c r="N52" i="8"/>
  <c r="K15" i="18"/>
  <c r="K39" i="35"/>
  <c r="J39"/>
  <c r="L22"/>
  <c r="L38"/>
  <c r="L37"/>
  <c r="L35"/>
  <c r="L34"/>
  <c r="L33"/>
  <c r="L32"/>
  <c r="L31"/>
  <c r="L30"/>
  <c r="L29"/>
  <c r="L28"/>
  <c r="L27"/>
  <c r="L26"/>
  <c r="L25"/>
  <c r="L24"/>
  <c r="L23"/>
  <c r="L21"/>
  <c r="L20"/>
  <c r="L19"/>
  <c r="L18"/>
  <c r="L17"/>
  <c r="L16"/>
  <c r="L15"/>
  <c r="L14"/>
  <c r="L13"/>
  <c r="L12"/>
  <c r="L11"/>
  <c r="L10"/>
  <c r="L9"/>
  <c r="L8"/>
  <c r="K30" i="38"/>
  <c r="F33" i="4"/>
  <c r="K32" i="38"/>
  <c r="K31"/>
  <c r="K34"/>
  <c r="K33"/>
  <c r="K29"/>
  <c r="G36" i="3"/>
  <c r="G34"/>
  <c r="G30"/>
  <c r="G20"/>
  <c r="G22" s="1"/>
  <c r="G14"/>
  <c r="G11"/>
  <c r="G9"/>
  <c r="I18" i="2" l="1"/>
  <c r="G37" i="9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D33" i="13"/>
  <c r="I38" i="9"/>
  <c r="G9"/>
  <c r="I12"/>
  <c r="I11" i="32"/>
  <c r="J16"/>
  <c r="J18" s="1"/>
  <c r="I14"/>
  <c r="I13"/>
  <c r="I10"/>
  <c r="I16" s="1"/>
  <c r="I18" s="1"/>
  <c r="E57" i="12"/>
  <c r="C26" i="21"/>
  <c r="C33"/>
  <c r="P14" i="23"/>
  <c r="N14"/>
  <c r="I34" i="3"/>
  <c r="E9"/>
  <c r="H18" i="18"/>
  <c r="I19" i="16"/>
  <c r="I17"/>
  <c r="I16"/>
  <c r="I15"/>
  <c r="I14"/>
  <c r="I13"/>
  <c r="I12"/>
  <c r="I11"/>
  <c r="I10"/>
  <c r="I9"/>
  <c r="I55" i="12"/>
  <c r="I54"/>
  <c r="I53"/>
  <c r="I52"/>
  <c r="I51"/>
  <c r="I50"/>
  <c r="I49"/>
  <c r="I30" i="11"/>
  <c r="K30"/>
  <c r="E38" i="9"/>
  <c r="C38"/>
  <c r="F24" i="13"/>
  <c r="H24"/>
  <c r="I42" i="16"/>
  <c r="I41"/>
  <c r="I40"/>
  <c r="K43"/>
  <c r="I35"/>
  <c r="I34"/>
  <c r="I33"/>
  <c r="K36"/>
  <c r="F32" i="24"/>
  <c r="F33"/>
  <c r="F31"/>
  <c r="G40" i="20"/>
  <c r="E40"/>
  <c r="G21"/>
  <c r="E21"/>
  <c r="C19" i="21"/>
  <c r="C13"/>
  <c r="H34" i="19"/>
  <c r="F34"/>
  <c r="H13"/>
  <c r="F13"/>
  <c r="N19" i="18"/>
  <c r="AB18"/>
  <c r="V18"/>
  <c r="V22" s="1"/>
  <c r="T18"/>
  <c r="T22" s="1"/>
  <c r="P18"/>
  <c r="P22" s="1"/>
  <c r="L18"/>
  <c r="L22" s="1"/>
  <c r="J18"/>
  <c r="J22" s="1"/>
  <c r="H22"/>
  <c r="F18"/>
  <c r="F22" s="1"/>
  <c r="N17"/>
  <c r="Z17" s="1"/>
  <c r="N16"/>
  <c r="Z16" s="1"/>
  <c r="N15"/>
  <c r="Z15" s="1"/>
  <c r="N14"/>
  <c r="Z14" s="1"/>
  <c r="O13"/>
  <c r="N13"/>
  <c r="Z12"/>
  <c r="X22"/>
  <c r="Z11"/>
  <c r="Y11"/>
  <c r="F26" i="28"/>
  <c r="H36" i="36"/>
  <c r="G36"/>
  <c r="F36"/>
  <c r="E36"/>
  <c r="D36"/>
  <c r="C36"/>
  <c r="B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F54" i="30"/>
  <c r="D29" i="37"/>
  <c r="N39" i="35"/>
  <c r="E8"/>
  <c r="G39"/>
  <c r="F38"/>
  <c r="I38" s="1"/>
  <c r="H39"/>
  <c r="C39"/>
  <c r="D39"/>
  <c r="K34" i="6"/>
  <c r="I34"/>
  <c r="G11" i="5" s="1"/>
  <c r="E12" i="11"/>
  <c r="F47" i="40"/>
  <c r="F10" s="1"/>
  <c r="H47"/>
  <c r="F32"/>
  <c r="F9" s="1"/>
  <c r="F21"/>
  <c r="F8" s="1"/>
  <c r="E33" i="31"/>
  <c r="E9" s="1"/>
  <c r="E11" s="1"/>
  <c r="G33"/>
  <c r="I36" i="16" l="1"/>
  <c r="I26" s="1"/>
  <c r="I36" i="36"/>
  <c r="N18" i="18"/>
  <c r="N22" s="1"/>
  <c r="Z13"/>
  <c r="Z18" s="1"/>
  <c r="Z22" s="1"/>
  <c r="G18" i="2" s="1"/>
  <c r="G12"/>
  <c r="I43" i="16"/>
  <c r="I27" s="1"/>
  <c r="F11" i="40"/>
  <c r="XFD47"/>
  <c r="I19" i="38"/>
  <c r="R25" i="2"/>
  <c r="R24"/>
  <c r="R13"/>
  <c r="R11"/>
  <c r="F35" i="24"/>
  <c r="F34"/>
  <c r="E14" i="11"/>
  <c r="I36" i="38"/>
  <c r="H29" i="37"/>
  <c r="G10" i="33"/>
  <c r="H54" i="30"/>
  <c r="R10" i="2" s="1"/>
  <c r="I21" i="24"/>
  <c r="K12" i="11"/>
  <c r="P30" i="2" l="1"/>
  <c r="G30"/>
  <c r="I18" i="16"/>
  <c r="I25"/>
  <c r="I46"/>
  <c r="I47"/>
  <c r="K48"/>
  <c r="K28" s="1"/>
  <c r="K29" s="1"/>
  <c r="I13" i="2" s="1"/>
  <c r="E34" i="13"/>
  <c r="I9" i="3"/>
  <c r="I32" i="5"/>
  <c r="I18" s="1"/>
  <c r="I21" s="1"/>
  <c r="I10" s="1"/>
  <c r="I14" s="1"/>
  <c r="I8" i="2" s="1"/>
  <c r="G31" i="7"/>
  <c r="G11" s="1"/>
  <c r="H15" i="10"/>
  <c r="G15"/>
  <c r="G38" i="7" s="1"/>
  <c r="I11" i="2"/>
  <c r="H36" i="24"/>
  <c r="I10" s="1"/>
  <c r="H20" i="25"/>
  <c r="G40" i="26"/>
  <c r="G9" s="1"/>
  <c r="H36" i="28"/>
  <c r="H22" s="1"/>
  <c r="H26" s="1"/>
  <c r="H11" s="1"/>
  <c r="F29" i="29"/>
  <c r="H12" i="28" s="1"/>
  <c r="H46" i="30"/>
  <c r="H15" i="28" s="1"/>
  <c r="H9" i="37"/>
  <c r="I10" i="3" s="1"/>
  <c r="H21" i="40"/>
  <c r="H32"/>
  <c r="E10" i="33"/>
  <c r="P32" i="23"/>
  <c r="L32"/>
  <c r="G32"/>
  <c r="D32"/>
  <c r="J31"/>
  <c r="N31" s="1"/>
  <c r="J30"/>
  <c r="N30" s="1"/>
  <c r="J29"/>
  <c r="J27"/>
  <c r="P21"/>
  <c r="N21"/>
  <c r="E39" i="35"/>
  <c r="F37"/>
  <c r="E37"/>
  <c r="I37" s="1"/>
  <c r="F36"/>
  <c r="E36"/>
  <c r="I36" s="1"/>
  <c r="F35"/>
  <c r="E35"/>
  <c r="I35" s="1"/>
  <c r="F34"/>
  <c r="E34"/>
  <c r="I34" s="1"/>
  <c r="F33"/>
  <c r="E33"/>
  <c r="I33" s="1"/>
  <c r="F32"/>
  <c r="E32"/>
  <c r="I32" s="1"/>
  <c r="F31"/>
  <c r="E31"/>
  <c r="F30"/>
  <c r="E30"/>
  <c r="I30" s="1"/>
  <c r="F29"/>
  <c r="E29"/>
  <c r="F28"/>
  <c r="E28"/>
  <c r="I28" s="1"/>
  <c r="F27"/>
  <c r="E27"/>
  <c r="I27" s="1"/>
  <c r="F26"/>
  <c r="E26"/>
  <c r="I26" s="1"/>
  <c r="F25"/>
  <c r="E25"/>
  <c r="I25" s="1"/>
  <c r="F24"/>
  <c r="E24"/>
  <c r="I24" s="1"/>
  <c r="F23"/>
  <c r="E23"/>
  <c r="I23" s="1"/>
  <c r="F22"/>
  <c r="E22"/>
  <c r="I22" s="1"/>
  <c r="F21"/>
  <c r="E21"/>
  <c r="I21" s="1"/>
  <c r="F20"/>
  <c r="E20"/>
  <c r="I20" s="1"/>
  <c r="F19"/>
  <c r="I19"/>
  <c r="F18"/>
  <c r="E18"/>
  <c r="I18" s="1"/>
  <c r="F17"/>
  <c r="E17"/>
  <c r="I17" s="1"/>
  <c r="F15"/>
  <c r="E15"/>
  <c r="I15" s="1"/>
  <c r="F14"/>
  <c r="E14"/>
  <c r="I14" s="1"/>
  <c r="F13"/>
  <c r="E13"/>
  <c r="I13" s="1"/>
  <c r="F12"/>
  <c r="E12"/>
  <c r="I12" s="1"/>
  <c r="F11"/>
  <c r="E11"/>
  <c r="I11" s="1"/>
  <c r="F9"/>
  <c r="E9"/>
  <c r="I9" s="1"/>
  <c r="F8"/>
  <c r="I8" s="1"/>
  <c r="I31" l="1"/>
  <c r="I29"/>
  <c r="I39" s="1"/>
  <c r="I28" i="16"/>
  <c r="I29" s="1"/>
  <c r="I48"/>
  <c r="J32" i="23"/>
  <c r="N27"/>
  <c r="N32" s="1"/>
  <c r="I34" i="34"/>
  <c r="H34"/>
  <c r="G17"/>
  <c r="I17"/>
  <c r="R23" i="2" s="1"/>
  <c r="D15" i="10"/>
  <c r="E15"/>
  <c r="F15"/>
  <c r="C15"/>
  <c r="G32" i="5"/>
  <c r="G18" s="1"/>
  <c r="E31" i="7"/>
  <c r="G12" i="5" s="1"/>
  <c r="I20" i="6"/>
  <c r="G19" i="5" s="1"/>
  <c r="F26" i="4"/>
  <c r="F31"/>
  <c r="F14"/>
  <c r="J50" i="8"/>
  <c r="H50"/>
  <c r="H52" s="1"/>
  <c r="J52" l="1"/>
  <c r="E8" i="7"/>
  <c r="E11" s="1"/>
  <c r="L52" i="8"/>
  <c r="P14"/>
  <c r="P50" s="1"/>
  <c r="I47" i="12"/>
  <c r="I11"/>
  <c r="I22"/>
  <c r="I56"/>
  <c r="G33"/>
  <c r="P52" i="8" l="1"/>
  <c r="G37" i="7" s="1"/>
  <c r="E18" i="33"/>
  <c r="G38" i="9"/>
  <c r="F36" i="24"/>
  <c r="G10" s="1"/>
  <c r="G21"/>
  <c r="G9" s="1"/>
  <c r="F13" i="25"/>
  <c r="G20" i="2" s="1"/>
  <c r="P13"/>
  <c r="P10"/>
  <c r="G9" i="31"/>
  <c r="P11" i="2"/>
  <c r="F46" i="30"/>
  <c r="F15" i="28" s="1"/>
  <c r="F16" s="1"/>
  <c r="P9" i="2" s="1"/>
  <c r="D29" i="29"/>
  <c r="F12" i="28" s="1"/>
  <c r="F36"/>
  <c r="F22" s="1"/>
  <c r="C39" i="27"/>
  <c r="E12" i="26" s="1"/>
  <c r="B52" i="8" l="1"/>
  <c r="F52"/>
  <c r="G39" i="7" l="1"/>
  <c r="I9" i="2" s="1"/>
  <c r="D52" i="8"/>
  <c r="C14" i="27"/>
  <c r="E10" i="26" s="1"/>
  <c r="E40"/>
  <c r="E9" s="1"/>
  <c r="G11" i="2"/>
  <c r="I13" i="11"/>
  <c r="I11"/>
  <c r="I15" i="12"/>
  <c r="I16"/>
  <c r="I17"/>
  <c r="I18"/>
  <c r="I19"/>
  <c r="I20"/>
  <c r="I21"/>
  <c r="I23"/>
  <c r="I24"/>
  <c r="I25"/>
  <c r="I26"/>
  <c r="I27"/>
  <c r="I28"/>
  <c r="I29"/>
  <c r="I30"/>
  <c r="I31"/>
  <c r="I32"/>
  <c r="I33"/>
  <c r="I34"/>
  <c r="I35"/>
  <c r="I37"/>
  <c r="I38"/>
  <c r="I39"/>
  <c r="I40"/>
  <c r="I41"/>
  <c r="I42"/>
  <c r="I43"/>
  <c r="I44"/>
  <c r="I45"/>
  <c r="I46"/>
  <c r="I48"/>
  <c r="I14"/>
  <c r="I13"/>
  <c r="I10"/>
  <c r="I12"/>
  <c r="K57" s="1"/>
  <c r="K14" i="11" s="1"/>
  <c r="K15" s="1"/>
  <c r="I10" i="2" s="1"/>
  <c r="I9" i="12"/>
  <c r="G57"/>
  <c r="G14" i="11" s="1"/>
  <c r="G15" s="1"/>
  <c r="H10" i="40"/>
  <c r="H9"/>
  <c r="H8"/>
  <c r="K20" i="6"/>
  <c r="G29" i="33"/>
  <c r="G18"/>
  <c r="G11" i="31"/>
  <c r="H33" i="30"/>
  <c r="H14" i="28" s="1"/>
  <c r="H16" s="1"/>
  <c r="R9" i="2" s="1"/>
  <c r="E39" i="27"/>
  <c r="G12" i="26" s="1"/>
  <c r="E14" i="27"/>
  <c r="G10" i="26" s="1"/>
  <c r="H13" i="25"/>
  <c r="I20" i="2" s="1"/>
  <c r="I11" i="3"/>
  <c r="I9" i="24"/>
  <c r="I11" s="1"/>
  <c r="I19" i="2" s="1"/>
  <c r="G11" i="24"/>
  <c r="G19" i="2" s="1"/>
  <c r="G21" s="1"/>
  <c r="R18" l="1"/>
  <c r="R19" s="1"/>
  <c r="E26" i="33"/>
  <c r="E29" s="1"/>
  <c r="P18" i="2" s="1"/>
  <c r="P19" s="1"/>
  <c r="G13" i="26"/>
  <c r="R8" i="2" s="1"/>
  <c r="R15" s="1"/>
  <c r="E13" i="26"/>
  <c r="H11" i="40"/>
  <c r="I14" i="3"/>
  <c r="F33" i="13"/>
  <c r="I12" i="11"/>
  <c r="I57" i="12"/>
  <c r="I21" i="2"/>
  <c r="G21" i="5"/>
  <c r="R21" i="2" l="1"/>
  <c r="I20" i="3"/>
  <c r="I22" s="1"/>
  <c r="I26" s="1"/>
  <c r="I30" s="1"/>
  <c r="I36" s="1"/>
  <c r="I14" i="11"/>
  <c r="I15" s="1"/>
  <c r="G10" i="2" s="1"/>
  <c r="G10" i="5"/>
  <c r="H34" i="13"/>
  <c r="E15" i="11"/>
  <c r="F11" i="28"/>
  <c r="E27" i="3" l="1"/>
  <c r="R26" i="2"/>
  <c r="I12"/>
  <c r="I15" s="1"/>
  <c r="I29" s="1"/>
  <c r="G14" i="5"/>
  <c r="G8" i="2" s="1"/>
  <c r="F34" i="13" l="1"/>
  <c r="D34"/>
  <c r="P8" i="2"/>
  <c r="P15" s="1"/>
  <c r="P21" s="1"/>
  <c r="E11" i="3" l="1"/>
  <c r="E14" s="1"/>
  <c r="K27" i="38" s="1"/>
  <c r="K36" s="1"/>
  <c r="F9" i="4" s="1"/>
  <c r="F27" s="1"/>
  <c r="F32" s="1"/>
  <c r="F35" s="1"/>
  <c r="E20" i="3" l="1"/>
  <c r="E22" s="1"/>
  <c r="E26" s="1"/>
  <c r="E30" s="1"/>
  <c r="E36" s="1"/>
  <c r="R27" i="2" l="1"/>
  <c r="R29" s="1"/>
  <c r="P26"/>
  <c r="P27" s="1"/>
  <c r="P29" s="1"/>
  <c r="E37" i="7"/>
  <c r="E39" s="1"/>
  <c r="G9" i="2" s="1"/>
  <c r="G15" s="1"/>
  <c r="G29" s="1"/>
</calcChain>
</file>

<file path=xl/sharedStrings.xml><?xml version="1.0" encoding="utf-8"?>
<sst xmlns="http://schemas.openxmlformats.org/spreadsheetml/2006/main" count="1589" uniqueCount="1033">
  <si>
    <t>يادداشتهاي توضيحي صورتهاي مالي</t>
  </si>
  <si>
    <t xml:space="preserve">مجمع عمومي صاحبان سهام </t>
  </si>
  <si>
    <t>بااحترام ؛</t>
  </si>
  <si>
    <t>اجزاي تشكيل دهنده صورتهاي مالي به قرارزيراست:</t>
  </si>
  <si>
    <t>شماره صفحه</t>
  </si>
  <si>
    <t>● ترازنامه</t>
  </si>
  <si>
    <t xml:space="preserve">● صورت سودوزيان </t>
  </si>
  <si>
    <t>● صورت جريان وجوه نقد</t>
  </si>
  <si>
    <t xml:space="preserve">● يادداشتهاي توضيحي: </t>
  </si>
  <si>
    <t xml:space="preserve">      الف)تاريخچه فعاليت شركت </t>
  </si>
  <si>
    <t xml:space="preserve">      ب)مبناي تهيه صورتهاي مالي </t>
  </si>
  <si>
    <t xml:space="preserve">      پ)خلاصه اهم رويه هاي حسابداري</t>
  </si>
  <si>
    <t xml:space="preserve">      ت)يادداشتهاي مربوط به اقلام مندرج درصورتهاي مالي وسايراطلاعات مالي </t>
  </si>
  <si>
    <t xml:space="preserve">اعضاي هيئت مديره </t>
  </si>
  <si>
    <t xml:space="preserve">سمت </t>
  </si>
  <si>
    <t>امضاء</t>
  </si>
  <si>
    <t>علی اصغر پورمند</t>
  </si>
  <si>
    <t xml:space="preserve">      رئيس هيأت مديره </t>
  </si>
  <si>
    <t>محمد بخارائی</t>
  </si>
  <si>
    <t xml:space="preserve">نایب رئيس هيأت مديره </t>
  </si>
  <si>
    <t>سید کاظم میر ولد</t>
  </si>
  <si>
    <t xml:space="preserve">      عضو هيأت مديره </t>
  </si>
  <si>
    <t>محمد سوری</t>
  </si>
  <si>
    <t>دارائي ها</t>
  </si>
  <si>
    <t xml:space="preserve">يادداشت </t>
  </si>
  <si>
    <t>1389/09/30</t>
  </si>
  <si>
    <t xml:space="preserve">بدهي هاوحقوق صاحبان سهام </t>
  </si>
  <si>
    <t xml:space="preserve">ريال </t>
  </si>
  <si>
    <t>دارئيهای جاری:</t>
  </si>
  <si>
    <t>بدهيهای جاری :</t>
  </si>
  <si>
    <t xml:space="preserve">                      موجودی نقد</t>
  </si>
  <si>
    <t xml:space="preserve">                     سايرحسابهای دريافتنی </t>
  </si>
  <si>
    <t xml:space="preserve">                     شرکتهای گروه </t>
  </si>
  <si>
    <t xml:space="preserve">                     موجودی مواد وکالاوپيمان درجريان پيشرفت </t>
  </si>
  <si>
    <t xml:space="preserve">                     سفارشات و پیش پرداختها </t>
  </si>
  <si>
    <t>دارائيهای غيرجاری :</t>
  </si>
  <si>
    <t xml:space="preserve">                    داراييهای ثابت مشهود </t>
  </si>
  <si>
    <t xml:space="preserve">           ذخيره مزايای پايان خدمت کارکنان</t>
  </si>
  <si>
    <t xml:space="preserve">                    سرمايه گذاريهای بلندمدت  </t>
  </si>
  <si>
    <t xml:space="preserve">                    داراييهای نامشهود</t>
  </si>
  <si>
    <t>جمع بدهیها</t>
  </si>
  <si>
    <t>حقوق صاحبان سهام :</t>
  </si>
  <si>
    <t xml:space="preserve">            اندوخته قانونی </t>
  </si>
  <si>
    <t xml:space="preserve">            سايراندوخته ها</t>
  </si>
  <si>
    <t xml:space="preserve">            سود انباشته </t>
  </si>
  <si>
    <t>جمع دارائيها</t>
  </si>
  <si>
    <t xml:space="preserve">جمع بدهی هاوحقوق صاحبان سهام </t>
  </si>
  <si>
    <t xml:space="preserve">حسابهای انتظامی </t>
  </si>
  <si>
    <t>یادداشتهای توضیحی همراه ، جزء لاینفک صورتهای مالی می باشد.</t>
  </si>
  <si>
    <t>درآمدپيمانها</t>
  </si>
  <si>
    <t>بهای تمام شده پيمانها</t>
  </si>
  <si>
    <t>سودناخالص پيمانها</t>
  </si>
  <si>
    <t>سایر درآمدها و هزینه های عملیاتی</t>
  </si>
  <si>
    <t>کسرمی شود:</t>
  </si>
  <si>
    <t xml:space="preserve">هزينه های اداری وعمومی </t>
  </si>
  <si>
    <t>سود(زيان)عملياتی</t>
  </si>
  <si>
    <t>هزینه های مالی</t>
  </si>
  <si>
    <t xml:space="preserve">خالص سايردرآمدهاوهزينه های غيرعملياتی </t>
  </si>
  <si>
    <t xml:space="preserve">سودناشی ازفعاليتهای عادی قبل ازماليات </t>
  </si>
  <si>
    <t xml:space="preserve">ماليات </t>
  </si>
  <si>
    <t xml:space="preserve">سود(زیان)خالص </t>
  </si>
  <si>
    <t xml:space="preserve">سود انباشته درابتدای سال </t>
  </si>
  <si>
    <t>تعديلات سنواتی</t>
  </si>
  <si>
    <t xml:space="preserve">سود (زیان) انباشته درابتدای سال-تعديل شده </t>
  </si>
  <si>
    <t xml:space="preserve">سودقابل تخصيص </t>
  </si>
  <si>
    <t>تخصيص سود:</t>
  </si>
  <si>
    <t xml:space="preserve">اندوخته قانوني </t>
  </si>
  <si>
    <t xml:space="preserve">سودسهام مصوب </t>
  </si>
  <si>
    <t xml:space="preserve">سود انباشته درپايان سال </t>
  </si>
  <si>
    <t xml:space="preserve">ازآنجائی که اجزاء تشکيل دهنده سود وزيان جامع محدود به سود دوره جاری وتعديلات سنواتی است،صورت سود وزيان جامع ارائه نشده است. </t>
  </si>
  <si>
    <t xml:space="preserve">يادداشتهاي توضيحي همراه جزءلاينفك صورتهاي مالي است .        </t>
  </si>
  <si>
    <t xml:space="preserve"> </t>
  </si>
  <si>
    <t>فعاليتهای عملياتی :</t>
  </si>
  <si>
    <t xml:space="preserve">جريان خالص ورود ( خروج )وجه نقد ناشی ازفعاليتهای عملياتی </t>
  </si>
  <si>
    <t>بازده سرمايه گذاريهاوسودپرداختی بابت تامين مالی:</t>
  </si>
  <si>
    <t>سوددريافتی بابت سپرده های سرمايه گذاری نزدبانکها</t>
  </si>
  <si>
    <t xml:space="preserve">سود کارمزد بانکی بابت تسهیلات مالی </t>
  </si>
  <si>
    <t xml:space="preserve">جریان خالص ورود ( خروج )وجه نقد ناشی از بازده سرمایه گذاریها و سود </t>
  </si>
  <si>
    <t>پرداختی بابت تأمین مالی</t>
  </si>
  <si>
    <t>ماليات بردرآمد:</t>
  </si>
  <si>
    <t>ماليات بردرآمدپرداختی(شامل پيش پرداخت ماليات)</t>
  </si>
  <si>
    <t>فعاليتهاي سرمايه گذاری :</t>
  </si>
  <si>
    <t>وجوه پرداختی بابت هزینه های سرمایه ای</t>
  </si>
  <si>
    <t xml:space="preserve">وجوه حاصل ازفروش داراييهای نامشهود </t>
  </si>
  <si>
    <t>وجوه پرداختی جهت خريد داراييهای نا مشهود و سهام سایر شرکتها</t>
  </si>
  <si>
    <t>وجوه پرداختی جهت خرید  داراييهای ثابت مشهود</t>
  </si>
  <si>
    <t>وجوه حاصل از فروش دارائیهای ثابت مشهود</t>
  </si>
  <si>
    <t xml:space="preserve">خالص تعديلات داراييهای ثابت مشهود </t>
  </si>
  <si>
    <t xml:space="preserve">جريان خالص ورود (خروج )وجه نقدناشی ازفعاليتهای سرمايه گذاری </t>
  </si>
  <si>
    <t>جريان خالص خروج وجه نقد قبل از فعاليتهای تامین مالی</t>
  </si>
  <si>
    <t>فعاليتهاي تامین مالی :</t>
  </si>
  <si>
    <t>دریافت تسهیلات مالی</t>
  </si>
  <si>
    <t>پرداخت تسهیلات مالی</t>
  </si>
  <si>
    <t>جريان خالص خروج وجه نقد</t>
  </si>
  <si>
    <t xml:space="preserve">مانده وجه نقددرآغازسال </t>
  </si>
  <si>
    <t xml:space="preserve">مانده وجه نقددرپايان سال </t>
  </si>
  <si>
    <t>مبادلات غير نقدي - افزايش سرمايه از محل مطالبات سهامداران</t>
  </si>
  <si>
    <t>---</t>
  </si>
  <si>
    <t>مبادلات غير نقدي - افزايش سرمايه از محل اندوخته طرح و توسعه</t>
  </si>
  <si>
    <t>مبلغ - ارز</t>
  </si>
  <si>
    <t>کارگاهها و دفتر مرکزی</t>
  </si>
  <si>
    <t>دفتر مرکزی - ارزی ( 5267 دلار )</t>
  </si>
  <si>
    <t>بانک ماشین آلات</t>
  </si>
  <si>
    <t>کارگاه بانک صادرات مشهد</t>
  </si>
  <si>
    <t>سالن ورزشی شیراز</t>
  </si>
  <si>
    <t>طرح میدان شهداء مشهد</t>
  </si>
  <si>
    <t>کارگاه سرمایه گذاری ساختمانی سپه-امید2</t>
  </si>
  <si>
    <t>کارگاه آلومینیوم اراک</t>
  </si>
  <si>
    <t>ساختمان مرکزی وزارت نیرو</t>
  </si>
  <si>
    <t xml:space="preserve">موننکو ایران </t>
  </si>
  <si>
    <t xml:space="preserve">کارگاه 35 متری بلوار معلم </t>
  </si>
  <si>
    <t xml:space="preserve">کارگاه نیاوران </t>
  </si>
  <si>
    <t>کارگاه استادیوم 50 هزار نفری شیراز</t>
  </si>
  <si>
    <t>سایر</t>
  </si>
  <si>
    <t xml:space="preserve">شــــــــرح </t>
  </si>
  <si>
    <t xml:space="preserve">بدهی کارفرمايان </t>
  </si>
  <si>
    <t>مشارکتها</t>
  </si>
  <si>
    <t>جمع</t>
  </si>
  <si>
    <t>5-1 - مانده سر فصل كارفرمايان مشتمل بر اقلام زير مي باشد:</t>
  </si>
  <si>
    <t xml:space="preserve">          شرح          </t>
  </si>
  <si>
    <t>خالص کارکرد</t>
  </si>
  <si>
    <t xml:space="preserve">خالص </t>
  </si>
  <si>
    <t>خالص</t>
  </si>
  <si>
    <t>تأئید شده</t>
  </si>
  <si>
    <t xml:space="preserve">حسابهای دريافتنی </t>
  </si>
  <si>
    <t>شرکت مدیریت طرح و اجرای خانه سازی ایران</t>
  </si>
  <si>
    <t>ساير</t>
  </si>
  <si>
    <t>شركت ساختماني گسترش و نوسازي صنايع ايرانیان مانا (سهامي خاص)</t>
  </si>
  <si>
    <t>5-1-1- مبلغ قابل بازيافت ( بدهی ) پيمان بشرح زير مي باشد:</t>
  </si>
  <si>
    <t xml:space="preserve">شرح </t>
  </si>
  <si>
    <t>درآمد شناسائي شده انباشته</t>
  </si>
  <si>
    <t>صورت وضعيتهاي تائيد شده</t>
  </si>
  <si>
    <t>مبلغ قابل بازيافت</t>
  </si>
  <si>
    <t>(بدهی)</t>
  </si>
  <si>
    <t>ريال</t>
  </si>
  <si>
    <t>فولاد زرند ایرانیان</t>
  </si>
  <si>
    <t>موننکو</t>
  </si>
  <si>
    <t xml:space="preserve">شـــــــرح </t>
  </si>
  <si>
    <t xml:space="preserve">بهای تمام شده </t>
  </si>
  <si>
    <t xml:space="preserve">استهلاک انباشته </t>
  </si>
  <si>
    <t xml:space="preserve">وديعه تلفن </t>
  </si>
  <si>
    <t xml:space="preserve">طلب </t>
  </si>
  <si>
    <t xml:space="preserve">بدهی </t>
  </si>
  <si>
    <t xml:space="preserve">مشارکت پارکينگ نمايشگاه  بين المللی </t>
  </si>
  <si>
    <t>مشارکت لوله های بدون درز</t>
  </si>
  <si>
    <t xml:space="preserve">مشارکت پرس اسفراين </t>
  </si>
  <si>
    <t>مشارکت مترو</t>
  </si>
  <si>
    <t>مشارکت دانشگاه صنعتی اميرکبير</t>
  </si>
  <si>
    <t xml:space="preserve">جمع </t>
  </si>
  <si>
    <t>يادداشت</t>
  </si>
  <si>
    <t>مانده</t>
  </si>
  <si>
    <t>ذخيره م.م</t>
  </si>
  <si>
    <t>اسناد مناقصه</t>
  </si>
  <si>
    <t>سپرده هاي موقت</t>
  </si>
  <si>
    <t>بدهي كاركنان</t>
  </si>
  <si>
    <t>ساير حسابهاي دريافتني</t>
  </si>
  <si>
    <t xml:space="preserve">  بانک سپه سپهبد قرنی </t>
  </si>
  <si>
    <t xml:space="preserve">  بانک سپه شعبه مفتح</t>
  </si>
  <si>
    <t xml:space="preserve">مانده </t>
  </si>
  <si>
    <t>ذخيره  م.م</t>
  </si>
  <si>
    <t>بدهکاران موقت</t>
  </si>
  <si>
    <t>محمود حسامی</t>
  </si>
  <si>
    <t>ابراهیم شعبانی</t>
  </si>
  <si>
    <t xml:space="preserve">وزارت امور اقتصاد و دارائی </t>
  </si>
  <si>
    <t>مترو</t>
  </si>
  <si>
    <t>ایستا بنیان</t>
  </si>
  <si>
    <t>شرکت تولیدی بالان صنعت</t>
  </si>
  <si>
    <t xml:space="preserve">پروژه استادیوم ورزشی </t>
  </si>
  <si>
    <t xml:space="preserve">پیمان مدیریت کارگاه موننکو </t>
  </si>
  <si>
    <t>شهرداری اهواز</t>
  </si>
  <si>
    <t xml:space="preserve"> بدهکاران خرید زمین پونک</t>
  </si>
  <si>
    <t>حساب مشترک با کارفرما</t>
  </si>
  <si>
    <t>اجناس واگذاری به شرکت احداث صنعت</t>
  </si>
  <si>
    <t xml:space="preserve">  ساير</t>
  </si>
  <si>
    <t>جمع:</t>
  </si>
  <si>
    <t xml:space="preserve"> مانده بدهی مذکور به مبلغ 101،351،250 ریال بابت بهای یکدستگاه وانت خريداری شده بنام شرکت احداث صنعت جهت استفاده در </t>
  </si>
  <si>
    <t xml:space="preserve"> کارگاه سیمان حماء در سوریه می باشد .</t>
  </si>
  <si>
    <t xml:space="preserve"> شرکتهای گروه به شرح ذیل می باشد : </t>
  </si>
  <si>
    <t>شرکت بازرگانی آفتاب درخشان</t>
  </si>
  <si>
    <t xml:space="preserve">ذخيره کاهش ارزش </t>
  </si>
  <si>
    <t>شهرداری مشهد مجتمع ACO1</t>
  </si>
  <si>
    <t>پيش پرداختها</t>
  </si>
  <si>
    <t>مانده حساب سفارشات وپيش پرداختها ازاقلام زيرتشکيل شده است:</t>
  </si>
  <si>
    <t>وزارت دارايی-ماليات عملکرد</t>
  </si>
  <si>
    <t>ساير پيش پرداختها</t>
  </si>
  <si>
    <t>ساير پیش پرداختها به قرار زير مي باشد :</t>
  </si>
  <si>
    <t>بيمه</t>
  </si>
  <si>
    <t>حسابرسي</t>
  </si>
  <si>
    <t>جدول بهای تمام شده و استهلاک انباشته داراييهای ثابت مشهود به شرح زيراست:</t>
  </si>
  <si>
    <t xml:space="preserve">بهای تمام شده -ريال </t>
  </si>
  <si>
    <t xml:space="preserve">استهلاک انباشته -ريال </t>
  </si>
  <si>
    <t xml:space="preserve">شرح اقلام </t>
  </si>
  <si>
    <t>مانده در</t>
  </si>
  <si>
    <t xml:space="preserve">داراييهای اضافه شده </t>
  </si>
  <si>
    <t xml:space="preserve">داراييهای فروخته </t>
  </si>
  <si>
    <t>نقل و انتقالات و</t>
  </si>
  <si>
    <t>استهلاک سال</t>
  </si>
  <si>
    <t>نقل وانتقالات و</t>
  </si>
  <si>
    <t xml:space="preserve">طی سال مالی </t>
  </si>
  <si>
    <t xml:space="preserve">شده طی سال مالی </t>
  </si>
  <si>
    <t>سايرتعديلات</t>
  </si>
  <si>
    <t xml:space="preserve">مالی </t>
  </si>
  <si>
    <t xml:space="preserve">دارائيهای فروخته شده </t>
  </si>
  <si>
    <t xml:space="preserve">سايرتغييرات </t>
  </si>
  <si>
    <t xml:space="preserve">زمين </t>
  </si>
  <si>
    <t xml:space="preserve">ساختمان </t>
  </si>
  <si>
    <t xml:space="preserve">تاسيسات </t>
  </si>
  <si>
    <t xml:space="preserve">ماشين آلات وتجهيزات </t>
  </si>
  <si>
    <t xml:space="preserve">اثاثه فنی </t>
  </si>
  <si>
    <t xml:space="preserve">اثاثه اداری </t>
  </si>
  <si>
    <t xml:space="preserve">وسايل نقليه </t>
  </si>
  <si>
    <t>دارائی درجریان تکمیل - مهمانسرای مشهد</t>
  </si>
  <si>
    <t xml:space="preserve">پيش پرداختهای سرمايه ای </t>
  </si>
  <si>
    <t>مانده حساب زمين درتاريخ ترازنامه متشکل ازاقلام زيرمی باشد:</t>
  </si>
  <si>
    <t xml:space="preserve">عرصه ساختمان دفترمرکزی شرکت به مساحت 560مترمربع </t>
  </si>
  <si>
    <t xml:space="preserve">يک قطعه زمين به مساحت 2500مترمربع واقع درشهرک صنعتی طولادرجزيره قشم </t>
  </si>
  <si>
    <t xml:space="preserve">حق تقدیمی زمین تیربتنی </t>
  </si>
  <si>
    <t xml:space="preserve">سه قطعه زمين 510متری جمعا"به مساحت 2550مترمربع واقع درکوی کيان آباد(کيانپارس)شهرستان اهواز </t>
  </si>
  <si>
    <t>عرصه چهار واحد ويلاهاي بابلسر جمعا به مساحت 1925/16 متر مربع واقع در شهرستان بابلسر</t>
  </si>
  <si>
    <t xml:space="preserve">یک قطعه زمین به مساحت 178431 متر مربع واقع در حصار امیر ورامین </t>
  </si>
  <si>
    <t>عرصه چهار واحد ويلاي بابلسر جمعا به مساحت 1925/16 متر مربع واقع در مجتمع خزر كنار شهرستان بابلسر می باشد.</t>
  </si>
  <si>
    <t>مانده حساب ساختمان درتاريخ ترازنامه متشکل از اقلام زیر می باشد:</t>
  </si>
  <si>
    <t xml:space="preserve">ساختمان اداری،تولید،رستوران،مهمانسرا،انبارو محوطه تیربتنی  </t>
  </si>
  <si>
    <t>ساختمان 4 واحد ويلاي بابلسر</t>
  </si>
  <si>
    <t xml:space="preserve">ساختمان دفترمرکزی شرکت </t>
  </si>
  <si>
    <t>افزايش ماشين آلات وتجهيزات مربوط به اقلام زيرمی باشد:</t>
  </si>
  <si>
    <t xml:space="preserve">سابر </t>
  </si>
  <si>
    <t>افزايش اثاثه فنی مربوط به اقلام زيرمی باشد:</t>
  </si>
  <si>
    <t xml:space="preserve">سایر </t>
  </si>
  <si>
    <t>افزايش اثاثيه اداری مربوط به اقلام زيرمی باشد:</t>
  </si>
  <si>
    <t xml:space="preserve">افزایش وسائط نقلیه در سال مالی مورد گزارش به قرار زیر است : </t>
  </si>
  <si>
    <t>کاهش اثاثیه فنی در سال مالی مورد گزارش مربوط به اقلام زیراست:</t>
  </si>
  <si>
    <t>کاهش اثاثیه اداری در سال مالی مورد گزارش مربوط به اقلام زیر است:</t>
  </si>
  <si>
    <t>کاهش وسائط نقلیه در سال مالی مورد گزارش مربوط به اقلام زیر است:</t>
  </si>
  <si>
    <t>مانده حساب پیش پرداخت سرمایه ای مربوط به اقلام زیر است:</t>
  </si>
  <si>
    <t xml:space="preserve">بابت خرید دارائی ثابت </t>
  </si>
  <si>
    <t>جدول محاسبه سود(زیان)ناشی ازفروش داراییهای ثابت مشهود طی سال جاری براساس گروه داراییهای فروخته شده به شرح ذیل می باشد:</t>
  </si>
  <si>
    <t>گروه دارایی ثابت</t>
  </si>
  <si>
    <t>بهای تمام شده</t>
  </si>
  <si>
    <t xml:space="preserve">ارزش دفتری </t>
  </si>
  <si>
    <t xml:space="preserve">بهای فروش </t>
  </si>
  <si>
    <t xml:space="preserve">سود(زیان)فروش </t>
  </si>
  <si>
    <t xml:space="preserve">زمین </t>
  </si>
  <si>
    <t xml:space="preserve">ماشین آلات </t>
  </si>
  <si>
    <t xml:space="preserve">اثاثیه فنی </t>
  </si>
  <si>
    <t xml:space="preserve">اثاثیه اداری </t>
  </si>
  <si>
    <t xml:space="preserve">وسائط نقلیه </t>
  </si>
  <si>
    <t>-11</t>
  </si>
  <si>
    <t xml:space="preserve">سرمايه گذاريهای بلندمدت </t>
  </si>
  <si>
    <t>سرمايه گذاريهای بلندمدت شامل موارد زيراست:</t>
  </si>
  <si>
    <t>11-1</t>
  </si>
  <si>
    <t>سرمايه گذاريها درسهام شرکتها</t>
  </si>
  <si>
    <t>11-2</t>
  </si>
  <si>
    <t>سپرده های سرمايه گذاری بلندمدت بانکی درتاريخ ترازنامه به شرح زيرتفکيک می گردد:</t>
  </si>
  <si>
    <t>-11-1-1</t>
  </si>
  <si>
    <t xml:space="preserve">نرخ سود تضمين شده سپرده های فوق برای سال جاری براساس قانون عمليات بانکی بدون ربا به ميزان 17درصد تعيين شده است . </t>
  </si>
  <si>
    <t>سرمايه گذاری درسهام شرکتها به شرح زيرمی باشد:</t>
  </si>
  <si>
    <t xml:space="preserve">تعدادسهام </t>
  </si>
  <si>
    <t xml:space="preserve">درصدسرمايه گذاری </t>
  </si>
  <si>
    <t xml:space="preserve">ارزش اسمی </t>
  </si>
  <si>
    <t xml:space="preserve">شرکت تعاونی شرکت های ساختمانی </t>
  </si>
  <si>
    <t>شرکت بیمه اتکائی ایرانیان</t>
  </si>
  <si>
    <t>شرکت تضمین شرکتهای ساختمانی</t>
  </si>
  <si>
    <t>شرکت ساخت و نصب صنایع بتنی و فلزی</t>
  </si>
  <si>
    <t>-11-2-1</t>
  </si>
  <si>
    <t>باتوجه به عدم کاهش دائمی درارزش  سرمايه گذاری ، ذخيره ای منظورنگرديده است.</t>
  </si>
  <si>
    <t>داراييهای نامشهود</t>
  </si>
  <si>
    <t>داراييهای نامشهود درتاريخ ترازنامه ازاقلام زيرمی باشد:</t>
  </si>
  <si>
    <t xml:space="preserve">حق کاربری اداری ساختمان دفترمرکزی </t>
  </si>
  <si>
    <t xml:space="preserve">وديعه بیست وشش خط تلفن همراه </t>
  </si>
  <si>
    <t xml:space="preserve">وديعه شصت و پنج خط تلفن ثابت </t>
  </si>
  <si>
    <t>حسابها واسناد پرداختنی تجاري</t>
  </si>
  <si>
    <t>حسابها واسناد پرداختنی تجاری از اقلام زيرتشکيل شده است:</t>
  </si>
  <si>
    <t xml:space="preserve">پيمانکاران </t>
  </si>
  <si>
    <t xml:space="preserve">کار فرمايان </t>
  </si>
  <si>
    <t>مشارکت ها</t>
  </si>
  <si>
    <t>سايراشخاص(فروشندگان)</t>
  </si>
  <si>
    <t>مانده حساب پيمانکاران به شرح زيرمی باشد:</t>
  </si>
  <si>
    <t xml:space="preserve">گروه اجرايی آمل -پروژه ديزل سنگين آمل </t>
  </si>
  <si>
    <t xml:space="preserve">گروه اجرايی صنایع فولادکرمان </t>
  </si>
  <si>
    <t>شرکت مشيران -پروژه بندرچندمنظوره فريدونکنار</t>
  </si>
  <si>
    <t>سهیل اسلامی سامانی</t>
  </si>
  <si>
    <t xml:space="preserve">ضرغام بری </t>
  </si>
  <si>
    <t>شرکت حفار تزریق</t>
  </si>
  <si>
    <t xml:space="preserve">شرکت ابنیه صنعت هکمتانه </t>
  </si>
  <si>
    <t xml:space="preserve">شرکت آثار طوس - بانک صادرات </t>
  </si>
  <si>
    <t>اقلام بستانکار وزارت نیرو</t>
  </si>
  <si>
    <t>اقلام بستانکار اراک</t>
  </si>
  <si>
    <t>جمع :</t>
  </si>
  <si>
    <t>مانده حساب کارفرمایان به شرح زيرمی باشد:</t>
  </si>
  <si>
    <t>شرکت آلومینیوم سازی اراک - ایرالکو</t>
  </si>
  <si>
    <t>شرکت احداث صنعت</t>
  </si>
  <si>
    <t>پیمان مدیریت - شرکت موننکو</t>
  </si>
  <si>
    <t>شرکت سرمایه گذاری ساختمان سپه</t>
  </si>
  <si>
    <t>مانده حساب سايراشخاص (فروشندگان) ازاقلام زيرتشکيل شده است:</t>
  </si>
  <si>
    <t>شرکت شن وماسه شازند</t>
  </si>
  <si>
    <t xml:space="preserve">مانده اقلام بستانکار بانک صادرات </t>
  </si>
  <si>
    <t>کارگاه تولید بتن آماده باقری</t>
  </si>
  <si>
    <t>شركت ساختماني گسترش و نوسازي صنايع ايرانیان مانا(سهامي خاص)</t>
  </si>
  <si>
    <t>14- ساير حسابهاي پرداختني</t>
  </si>
  <si>
    <t xml:space="preserve">    ساير حسابهاي پرداختني از اقلام زير تشكيل شده است:</t>
  </si>
  <si>
    <t>مالياتهاي حقوق و تكليفي</t>
  </si>
  <si>
    <t>حق بيمه هاي پرداختني</t>
  </si>
  <si>
    <t>سپرده حسن انجام كار</t>
  </si>
  <si>
    <t>ذخيره هزينه هاي تعلق گرفته و پرداخت نشده</t>
  </si>
  <si>
    <t xml:space="preserve">شرکتهای گروه </t>
  </si>
  <si>
    <t>14-1- حق بيمه هاي پرداختني متشكل از اقلام زير مي باشد:</t>
  </si>
  <si>
    <t>حق بيمه طرحهاي غير عمراني</t>
  </si>
  <si>
    <t>سازمان تامين اجتماعي-بيمه مكسوره از كاركنان</t>
  </si>
  <si>
    <t xml:space="preserve">حق بیمه صندوق آینده ساز </t>
  </si>
  <si>
    <t>14-1-1-مانده حق بيمه طرحهاي غير عمراني بشرح زير مي باشد:</t>
  </si>
  <si>
    <t>سازمان تامين اجتماعي -پتروشيمي ماهشهر</t>
  </si>
  <si>
    <t>سازمان تامين اجتماعي- دفتر مطالعات سیاسی</t>
  </si>
  <si>
    <t>سازمان تامين اجتماعي-ساختمان جام جم</t>
  </si>
  <si>
    <t>سازمان تامين اجتماعي- آلومینیوم سازی اراک</t>
  </si>
  <si>
    <t xml:space="preserve">سازمان تامين اجتماعي- پارکینگ نمایشگاه </t>
  </si>
  <si>
    <t>14-2- سر فصل سپرده حسن انجام كار پرداختني به قرار زير است:</t>
  </si>
  <si>
    <t xml:space="preserve">شركت خدمات مهندسي حفار تزريق </t>
  </si>
  <si>
    <t>سپرده حسن انجام کار موننکو</t>
  </si>
  <si>
    <t>سعید مختاری مقدم</t>
  </si>
  <si>
    <t>غلامعلی کاردگر</t>
  </si>
  <si>
    <t>محمد رضا ترابی مقدم</t>
  </si>
  <si>
    <t xml:space="preserve">انتقال مانده از کمپ مسکونی عسلویه </t>
  </si>
  <si>
    <t>ابنیه صنعت هکمتانه</t>
  </si>
  <si>
    <t>بستانکاران موقت</t>
  </si>
  <si>
    <t xml:space="preserve">شرکت تکنیکان </t>
  </si>
  <si>
    <t>حقوق ودستمزد پرداختنی</t>
  </si>
  <si>
    <t>تسهیلات خرید دین آینده ساز</t>
  </si>
  <si>
    <t>سازمان تامین اجتماعی شعبه 2 اراک</t>
  </si>
  <si>
    <t>سازمان گسترش و نوسازی صنایع ایران</t>
  </si>
  <si>
    <t>مالیات بر ارزش افزوده</t>
  </si>
  <si>
    <t>پروژه استادیوم ورزشی 50000 نفری</t>
  </si>
  <si>
    <t>15-شرکتهای گروه  :</t>
  </si>
  <si>
    <t>شرکت توسعه معادن و صنایع معدنی خاور میانه</t>
  </si>
  <si>
    <t xml:space="preserve">شرکت توسعه ، ساخت و نصب قطعات بتونی </t>
  </si>
  <si>
    <t>16- پيش دريافتها</t>
  </si>
  <si>
    <t>ساير اشخاص(كارفرمايان)</t>
  </si>
  <si>
    <t>شرکت توسعه اماکن ورزشی - شیراز</t>
  </si>
  <si>
    <t>پروژه ساختمان میدان شهدای مشهد</t>
  </si>
  <si>
    <t>شرکت سرمایه گذاری ساختمانی سپه</t>
  </si>
  <si>
    <t>ساختمان آند رادینگ اراک</t>
  </si>
  <si>
    <t>کارخانه کنسانتره آهن زرند</t>
  </si>
  <si>
    <t>کارخانه کنسانتره آهن سیرجان</t>
  </si>
  <si>
    <t>شرکت سرمایه گذاری نیرو (نیاوران)</t>
  </si>
  <si>
    <t>شرکت توسعه اماکن ورزشی - استادیوم 50هزار نفری شیراز</t>
  </si>
  <si>
    <t>هلال احمر - استان فارس</t>
  </si>
  <si>
    <t>خلاصه وضعیت ذخیره مالیات برای سال های 1386 تا 30 آذر 1389 به شرح زیر است :</t>
  </si>
  <si>
    <t>سال</t>
  </si>
  <si>
    <t>نحوه تشخيص</t>
  </si>
  <si>
    <t>ابرازي</t>
  </si>
  <si>
    <t>تشخيص</t>
  </si>
  <si>
    <t>قطعي</t>
  </si>
  <si>
    <t>تاديه شده</t>
  </si>
  <si>
    <t>مانده ذخيره</t>
  </si>
  <si>
    <t>----</t>
  </si>
  <si>
    <t>پيش پرداخت هاي مالياتي طبق فیش های موجود در شرکت ( فیش های پرداخت شده )</t>
  </si>
  <si>
    <t>(مازاد) کسری پرداختی مالیات عملکرد</t>
  </si>
  <si>
    <t>17-1-</t>
  </si>
  <si>
    <t>18- سود سهام پرداختني</t>
  </si>
  <si>
    <t>19- تسهیلات مالی دریافتی</t>
  </si>
  <si>
    <t>19-1 خلاصه وضعیت تسهیلات مالی دریافتی بر حسب مبانی مختلف بشرح زیر است:</t>
  </si>
  <si>
    <t>شرکتهای گروه:</t>
  </si>
  <si>
    <t>بانک پاسارگاد</t>
  </si>
  <si>
    <t xml:space="preserve">کسر می شود:سود و کارمزد سالهای آتی </t>
  </si>
  <si>
    <t>20- ذخيره مزاياي پايان خدمت كاركنان</t>
  </si>
  <si>
    <t>ذخيره مزاياي پايان خدمت كاركنان طبق يادداشت 6-3 اهم رويه هاي حسابداري ، محاسبه شده است. گردش ذخيره ياد شده طي سال بشرح زير است:</t>
  </si>
  <si>
    <t>مانده در ابتداي سال</t>
  </si>
  <si>
    <t>پرداخت شده طي سال</t>
  </si>
  <si>
    <t>ذخيره تامين شده</t>
  </si>
  <si>
    <t>21- سرمايه</t>
  </si>
  <si>
    <t>سرمایه شرکت مشتمل بر 63 میلیون سهم یکهزار ریالی تمام پرداخت شده می باشد . ضمناً آخرين سهامداران شركت در تاريخ ترازنامه به شرح زير است :</t>
  </si>
  <si>
    <t>تعداد سهم</t>
  </si>
  <si>
    <t>مبلغ سهم</t>
  </si>
  <si>
    <t>شرکت هلدینگ توسعه معادن و صنایع معدنی خاور میانه ( سهامی عام )</t>
  </si>
  <si>
    <t xml:space="preserve"> آقای علی اصغر پورمند</t>
  </si>
  <si>
    <t xml:space="preserve"> آقای محمد بخارائی</t>
  </si>
  <si>
    <t xml:space="preserve"> آقای سید کاظم میرولد</t>
  </si>
  <si>
    <t xml:space="preserve"> آقای محمد سوری</t>
  </si>
  <si>
    <t>طبق مفاد مواد 140 و 238 اصلاحيه  قانون تجارت سال 1347 و بند 7 ماده 15 اساسنامه مبلغ 1769/3 ميليون ريال از محل سود قابل تخصيص سنوات قبل به اندوخته قانونی</t>
  </si>
  <si>
    <t xml:space="preserve">منتقل شده است.به موجب مفاد مواد ياد شده تا رسيدن مانده اندوخته قانوني به 10 درصد سرمايه شركت انتقال به اندوخته فوق الذکر الزامی است.اندوخته قانونی قابل انتقال به </t>
  </si>
  <si>
    <t xml:space="preserve">ساير اندوخته ها متشكل ازاندوخته عمومي و اندوخته طرح توسعه است .شركت به  منظور اجراي طرح توسعه واحد توليد قطعات بتني طبق مصوبات  مجمع عمومی مبلغی را به </t>
  </si>
  <si>
    <t xml:space="preserve">اندوخته طرح توسعه عمدتا در سال 1376  اختصاص داده  است . خاطر نشان مي نمايد با اجراي كامل طرح توسعه و بهره برداری از آن موضوع تولید تیرهای خیابانی و دکلهای </t>
  </si>
  <si>
    <t xml:space="preserve">بتني در سال 1379 نسبت به جذب كامل هزينه هاي تخصيصي از محل اندوخته مزبور اقدام گردیده است . گردش حساب اندوخته های یاد شده طی سال مالی بشرح زیر است : </t>
  </si>
  <si>
    <t xml:space="preserve">شرح اندوخته ها </t>
  </si>
  <si>
    <t xml:space="preserve">اندوخته عمومی </t>
  </si>
  <si>
    <t xml:space="preserve">اندوخته طرح توسعه </t>
  </si>
  <si>
    <t xml:space="preserve">مانده در پایان سال </t>
  </si>
  <si>
    <t>سر فصل هاي فوق متشكل از اقلام زير مي باشد :</t>
  </si>
  <si>
    <t>رديف</t>
  </si>
  <si>
    <t>شرح</t>
  </si>
  <si>
    <t>درآمدانباشته پيمان تاتاريخ 1389/09/30</t>
  </si>
  <si>
    <t>درآمد شناسائي شده</t>
  </si>
  <si>
    <t>هزينه شناسائي شده</t>
  </si>
  <si>
    <t>زيان قابل پيش بيني</t>
  </si>
  <si>
    <t xml:space="preserve">بهاي تمام شده پيمان </t>
  </si>
  <si>
    <t>سود(زيان) ناخالص</t>
  </si>
  <si>
    <t xml:space="preserve">درآمد شناسائي شده پيمان </t>
  </si>
  <si>
    <t xml:space="preserve">مترو </t>
  </si>
  <si>
    <t>سدبيدوازاسفراين</t>
  </si>
  <si>
    <t>ساختمان مركزي وزارت نيرو</t>
  </si>
  <si>
    <t>لوله هاي بدون درز - لوله گستر</t>
  </si>
  <si>
    <t>كارخانه سيمان حما</t>
  </si>
  <si>
    <t>كارگاه آلومينيوم اراك</t>
  </si>
  <si>
    <t>پتروشيمي اروند</t>
  </si>
  <si>
    <t>بانك صادرات خراسان رضوی</t>
  </si>
  <si>
    <t>شرکت سرمایه گذاری ساختمانی سپه-امید2</t>
  </si>
  <si>
    <t>مجتمع ورزشی شیراز</t>
  </si>
  <si>
    <t xml:space="preserve">پروژه خط 3 مترو </t>
  </si>
  <si>
    <t>پروژه آند رادینگ اراک</t>
  </si>
  <si>
    <t>کارخانه فولاد زرند ایرانیان</t>
  </si>
  <si>
    <t>پروژه بلوار معلم</t>
  </si>
  <si>
    <t>حصار کشی کنسانتره سرجان</t>
  </si>
  <si>
    <t>سیویل کنسانتره جلال آباد</t>
  </si>
  <si>
    <t>پروژه نیاوران</t>
  </si>
  <si>
    <t xml:space="preserve">   جمع :</t>
  </si>
  <si>
    <t>25- خالص سایردرآمدهای عملیاتی</t>
  </si>
  <si>
    <t>26- هزينه هاي اداري و عمومي</t>
  </si>
  <si>
    <t>سر فصل فوق متشكل از اقلام زير مي باشد:</t>
  </si>
  <si>
    <t>حقوق و دستمزد و مزايا</t>
  </si>
  <si>
    <t>مزاياي پايان خدمت كاركنان</t>
  </si>
  <si>
    <t>استهلاك دارائيهاي ثابت مشهود</t>
  </si>
  <si>
    <t>خدمات پیمانکاری</t>
  </si>
  <si>
    <t>بيمه سهم كارفرما و بيمه بيكاري</t>
  </si>
  <si>
    <t>بيمه و عوارض و ماليات</t>
  </si>
  <si>
    <t>حمل و نقل و اياب و ذهاب</t>
  </si>
  <si>
    <t>تعمير و نگهداري دارائيهاي ثابت مشهود</t>
  </si>
  <si>
    <t>آب و برق و گاز و سوخت حرارتي</t>
  </si>
  <si>
    <t>ابزار و نوشت افزار</t>
  </si>
  <si>
    <t>تنظيفات و پذيرائي و آبدارخانه</t>
  </si>
  <si>
    <t>پست و تلگراف و تلفن</t>
  </si>
  <si>
    <t>ساير هزينه ها</t>
  </si>
  <si>
    <t>27-خالص ساير درآمدهاو هزينه هاي غير عملياتي</t>
  </si>
  <si>
    <t>خالص ساير درآمدهاو هزينه هاي غير عملياتي متشكل از اقلام زير مي باشد:</t>
  </si>
  <si>
    <t>درآمد حاصل از فروش دارائی های ثابت عطف به یادداشت 12-9 و 3-11</t>
  </si>
  <si>
    <t>سود حاصل از اجاره ماشين آلات و وسائط نقليه</t>
  </si>
  <si>
    <t>سود حاصل از سپرده گذاري هاي بلند مدت و كوتاه مدت نزد بانك ها</t>
  </si>
  <si>
    <t>زیان ناشي از تسعير دارائيهاي ارزي</t>
  </si>
  <si>
    <t>سود ( زیان )حاصل از فروش موجودیها</t>
  </si>
  <si>
    <t>درآمد حاصل از اجاره ساختمان</t>
  </si>
  <si>
    <t>28-صورت تطبيق سود عملياتي</t>
  </si>
  <si>
    <t>صورت تطبيق سودعملياتي با جريان خالص ورود و ( خروج ) وجه نقد ناشي از فعاليت هاي عملياتي به شرح زير است:</t>
  </si>
  <si>
    <t>سود عملياتي</t>
  </si>
  <si>
    <t>هزينه استهلاك</t>
  </si>
  <si>
    <t>خالص افزایش (کاهش) در ذخيره مزاياي پايان خدمت كاركنان</t>
  </si>
  <si>
    <t>افزایش موجودي مواد و كالا</t>
  </si>
  <si>
    <t xml:space="preserve">افزایش (کاهش) پیش پرداختهای عملیاتی </t>
  </si>
  <si>
    <t>افزایش (کاهش) حسابهاي دريافتني عملیاتی</t>
  </si>
  <si>
    <t xml:space="preserve">افزایش (کاهش) حسابهای پرداختنی عملیاتی </t>
  </si>
  <si>
    <t xml:space="preserve">افزایش پیش دریافتهای عملیاتی </t>
  </si>
  <si>
    <t>خالص سایر درآمد ها و هزینه های غیر عملیاتی</t>
  </si>
  <si>
    <t>29-حسابهاي انتظامي</t>
  </si>
  <si>
    <t>بانك</t>
  </si>
  <si>
    <t>شعبه</t>
  </si>
  <si>
    <t>کارفرما</t>
  </si>
  <si>
    <t>نوع سپرده</t>
  </si>
  <si>
    <t>ملت</t>
  </si>
  <si>
    <t>ملك الشعرا</t>
  </si>
  <si>
    <t>وزارت راه و ترابری ( فیروزکوه )</t>
  </si>
  <si>
    <t>بلند مدت</t>
  </si>
  <si>
    <t>ملي</t>
  </si>
  <si>
    <t>جم</t>
  </si>
  <si>
    <t>دانشگاه صنعتی امیر کبیر</t>
  </si>
  <si>
    <t>33-معاملات با اشخاص وابسته :</t>
  </si>
  <si>
    <t xml:space="preserve">33-1- طی سال جاری  معاملات مشمول ماده 129 قانون ( اصلاح قسمتی از قانون تجارت مصوب اسفند ماه 1347 ) انجام شده بشرح زیر می باشد : </t>
  </si>
  <si>
    <t>نام شركت طرف معامله</t>
  </si>
  <si>
    <t>نوع وابستگي</t>
  </si>
  <si>
    <t>شرح معامله</t>
  </si>
  <si>
    <t>مبلغ معامله</t>
  </si>
  <si>
    <t>سهامدار هلدینگ</t>
  </si>
  <si>
    <t>تامین تسهیلات مالی</t>
  </si>
  <si>
    <t>شرکت هلدینگ توسعه معادن و صنایع معدنی خاور میانه</t>
  </si>
  <si>
    <t>سهامدار اصلی</t>
  </si>
  <si>
    <t xml:space="preserve">تامین تسهیلات مالی و تقسیم سود و خرید زمین </t>
  </si>
  <si>
    <t>خرید مصالح ساختمانی</t>
  </si>
  <si>
    <t>فولاد زرند کرمان</t>
  </si>
  <si>
    <t>انعقاد قرارداد اجرای پروژه فولاد زرند کرمان</t>
  </si>
  <si>
    <t xml:space="preserve">شرکت ساخت و تولید قطعات بتونی- مانا ساز </t>
  </si>
  <si>
    <t>34- سود انباشته در پایان سال</t>
  </si>
  <si>
    <t>تخصیص سود انباشته پایان سال در موارد زیر موکول به تصویب مجمع عمومی عادی صاحبان سهام می باشد .</t>
  </si>
  <si>
    <t>35- وضعیت ارزی</t>
  </si>
  <si>
    <t xml:space="preserve">● گردش حساب سود ( زیان ) انباشته  </t>
  </si>
  <si>
    <t>4-موجودی نقد</t>
  </si>
  <si>
    <t>موجودی نقد نزد بانکها</t>
  </si>
  <si>
    <t xml:space="preserve">تنخواه گردانها </t>
  </si>
  <si>
    <t xml:space="preserve">سپرده های کوتاه مدت ديداری </t>
  </si>
  <si>
    <t xml:space="preserve">حسابهای جاری </t>
  </si>
  <si>
    <t xml:space="preserve">حسابهای جاری ارزی </t>
  </si>
  <si>
    <t>بانک سپه قرنی 5040/62  (طرح سپاس )</t>
  </si>
  <si>
    <t xml:space="preserve">بانک سپه -دکترمفتح       29217/53  </t>
  </si>
  <si>
    <t xml:space="preserve"> 179نفر اشخاص حقیقی ( کارکنان ) صاحبان سهام ترجیحی با نمایندگی آقای بیژن سرانجام </t>
  </si>
  <si>
    <t xml:space="preserve">بیژن سرانجام </t>
  </si>
  <si>
    <t xml:space="preserve">سد آیدوغموش </t>
  </si>
  <si>
    <t>استادیوم 50هزارنقری</t>
  </si>
  <si>
    <t xml:space="preserve">هلال احمر ارومیه </t>
  </si>
  <si>
    <t>میلیون ریال</t>
  </si>
  <si>
    <t>4-2</t>
  </si>
  <si>
    <t>4-1</t>
  </si>
  <si>
    <t>4-1-1</t>
  </si>
  <si>
    <t>4-1-2</t>
  </si>
  <si>
    <t>4-1-3</t>
  </si>
  <si>
    <t>16-1</t>
  </si>
  <si>
    <t xml:space="preserve"> شرکتهای گروه</t>
  </si>
  <si>
    <t xml:space="preserve">      مديرعامل </t>
  </si>
  <si>
    <t xml:space="preserve">پيش دريافتها </t>
  </si>
  <si>
    <t>ذخیره مالیات</t>
  </si>
  <si>
    <t>ترازنامه</t>
  </si>
  <si>
    <t xml:space="preserve">حسابهاواسنادپرداختنی تجاری </t>
  </si>
  <si>
    <t>سايرحسابهای پرداختنی</t>
  </si>
  <si>
    <t>سود سهام  پرداختنی</t>
  </si>
  <si>
    <t xml:space="preserve">صورت سود زیان </t>
  </si>
  <si>
    <t xml:space="preserve">صورت جریان وجوه نقد </t>
  </si>
  <si>
    <t xml:space="preserve">یادداشتهای توضیحی صورتهای مالی </t>
  </si>
  <si>
    <t>4-1-3- صورت ريزحسابهای جاری ارزی به شرح زير می باشد:</t>
  </si>
  <si>
    <t>6-1-1-سپرده نزد بانکها بابت10%سپرده صدورضمانت نامه بانکی به نفع کارفرمايان میباشد که پس ازابطال ضمانت نامه ها توسط کارفرمايان قابل دريافت خواهد بود.</t>
  </si>
  <si>
    <t>ریال</t>
  </si>
  <si>
    <t>6-2- سايرحسابهای دريافتنی بشرح زيرمي باشد:</t>
  </si>
  <si>
    <t>6-2-1</t>
  </si>
  <si>
    <t>6-2-2</t>
  </si>
  <si>
    <t>7-</t>
  </si>
  <si>
    <t>8-1</t>
  </si>
  <si>
    <t>9-</t>
  </si>
  <si>
    <t>9-1</t>
  </si>
  <si>
    <t>13-2</t>
  </si>
  <si>
    <t>13-3</t>
  </si>
  <si>
    <t>مانده حساب پيش دريافتها به شرح زير تفكيك مي گردد:</t>
  </si>
  <si>
    <t>پشتیبان حاتمی و شیخی_موننکو</t>
  </si>
  <si>
    <t>پشتیبان حاتمی و شیخی_پیمان مدیریت موننکو</t>
  </si>
  <si>
    <t>شرکت تولیدی و صنعتی آلان</t>
  </si>
  <si>
    <t>شرکت نوین نارون</t>
  </si>
  <si>
    <t>سنگ صدف</t>
  </si>
  <si>
    <t xml:space="preserve"> شرکت رایاتدبیرکویر</t>
  </si>
  <si>
    <t>شرکت فناوری وتجارت ایلیا</t>
  </si>
  <si>
    <t>شرکت نگین درب پاسارگاد</t>
  </si>
  <si>
    <t>تکنیک تراش</t>
  </si>
  <si>
    <t>سازه گهرکاوه</t>
  </si>
  <si>
    <t>سنگبری امینی</t>
  </si>
  <si>
    <t>شرکت صنعتی کوشش</t>
  </si>
  <si>
    <t>شرکت ایستاسازه اندیشان</t>
  </si>
  <si>
    <t>الکترورستا</t>
  </si>
  <si>
    <t>شرکت لیکا</t>
  </si>
  <si>
    <t>شرکت تهویه</t>
  </si>
  <si>
    <t>شرکت پاکمن</t>
  </si>
  <si>
    <t>حسین جعفری</t>
  </si>
  <si>
    <t>قهرمان بادامه گان</t>
  </si>
  <si>
    <t>شرکت مهرازشرق</t>
  </si>
  <si>
    <t>فروشگاه الوند</t>
  </si>
  <si>
    <t>آزمایشات فنی ومکانیک خاک(بتن)</t>
  </si>
  <si>
    <t>گروه صنعتی وخشوری</t>
  </si>
  <si>
    <t>پرویزکاظمی</t>
  </si>
  <si>
    <t>گروه اجرايی اسفراين</t>
  </si>
  <si>
    <t>شرکت نورث ایست کانسترکشن-mcc(چینی)</t>
  </si>
  <si>
    <t>شرکت سازه فلز پایدار</t>
  </si>
  <si>
    <t>شرکت فاران</t>
  </si>
  <si>
    <t>بیت ا.. ساسانی</t>
  </si>
  <si>
    <t>شرکت پردال سازه کسری</t>
  </si>
  <si>
    <t>امین رضازاده</t>
  </si>
  <si>
    <t>تلاش وتوکل</t>
  </si>
  <si>
    <t>شرکت تچدا بتن</t>
  </si>
  <si>
    <t>آهن آلات تهران فام</t>
  </si>
  <si>
    <t>شرکت امیدایرانیان باستان</t>
  </si>
  <si>
    <t>فروشگاه توانا</t>
  </si>
  <si>
    <t>شرکت تعاونی حمل جنوب شرق</t>
  </si>
  <si>
    <t>سنگ بعثت</t>
  </si>
  <si>
    <t>مانده اقلام بستانکاراستادیوم شیراز</t>
  </si>
  <si>
    <t>شرکت کیا بتن</t>
  </si>
  <si>
    <t>تاسیسات ماسه شوئی بیکران</t>
  </si>
  <si>
    <t>مانده اقلام بستانکار35متری بلوارمعلم</t>
  </si>
  <si>
    <t>مانده اقلام بستانکاراحداث کارخانه کک سازی</t>
  </si>
  <si>
    <t>فروشگاه سلامتیان</t>
  </si>
  <si>
    <t>دات کام شرق</t>
  </si>
  <si>
    <t>پیمانکاری بوالحسنی</t>
  </si>
  <si>
    <t>کارگاه پتروپارس</t>
  </si>
  <si>
    <t>کارگاه ساختمان مرکزی وزارت نیرو</t>
  </si>
  <si>
    <t>طرح میدان شهدائ مشهد</t>
  </si>
  <si>
    <t>سرمایه گذاری ساختمانی سپه</t>
  </si>
  <si>
    <t>احداث کارخانه کک سازی زرند</t>
  </si>
  <si>
    <t>مشارکت فام _ پروژه سیویل کنسانتره جلال آباد</t>
  </si>
  <si>
    <t>پیمان مدیریت پروژه موننکو</t>
  </si>
  <si>
    <t>تصفیه آب شرب مشهد</t>
  </si>
  <si>
    <t>ساختمان سازان صنعت آفرین</t>
  </si>
  <si>
    <t>35متری بلوارمعلم _شهرداری منطقه 18</t>
  </si>
  <si>
    <t>سازمان تامین اجتماعی شعبه 2 اراک-کارگاه آنودرادینگ</t>
  </si>
  <si>
    <t>کارگاه بانک صادرات استان خراسان رضوی</t>
  </si>
  <si>
    <t>کارگاه آنودرادینگ-ایرالکو</t>
  </si>
  <si>
    <t>سپرده بیمه</t>
  </si>
  <si>
    <t>کارگاه احداث کارخانه کک سازی زرند</t>
  </si>
  <si>
    <t>کارگاه مدیریت طرح واجرای خانه سازی ایران</t>
  </si>
  <si>
    <t xml:space="preserve">شرکت سیمان داراب </t>
  </si>
  <si>
    <t>آقای شهیدی پور</t>
  </si>
  <si>
    <t>مشارکت فام _ کارخانه کنسانتره آهن سیرجان</t>
  </si>
  <si>
    <t>1_14</t>
  </si>
  <si>
    <t>2_14</t>
  </si>
  <si>
    <t>3_14</t>
  </si>
  <si>
    <t>4_14</t>
  </si>
  <si>
    <t xml:space="preserve">    کارگاه تصفيه آب شرب مشهد</t>
  </si>
  <si>
    <t xml:space="preserve">    مهندسين مشاور کاوشگران</t>
  </si>
  <si>
    <t xml:space="preserve">    سپرده بيمه انتقالي از کارگاه تويو</t>
  </si>
  <si>
    <t>کارگاه سرمايه گذاري ساختماني سپه - اميد 2</t>
  </si>
  <si>
    <t xml:space="preserve">    مشارکت فام_پروژه سيويل کنسانتره جلال آباد زرند</t>
  </si>
  <si>
    <t>جمعیت هلال احمراستان آذربایجان غربی</t>
  </si>
  <si>
    <t>تغییرات دارائی های نامشهود مربوط به اقلام زیر است:</t>
  </si>
  <si>
    <t>شرکت فروسیلیس غرب پارس</t>
  </si>
  <si>
    <t>سد آيدوغموش‌ ميانه‌</t>
  </si>
  <si>
    <t>سد بيدواز اسفراين‌</t>
  </si>
  <si>
    <t>ساختمان‌ مركزي‌ وزار</t>
  </si>
  <si>
    <t>لوله‌ هاي‌ بدون‌ درز</t>
  </si>
  <si>
    <t>كارخانه‌سيمان‌حما</t>
  </si>
  <si>
    <t>کارگاه آلومينيوم اراک</t>
  </si>
  <si>
    <t>کارگاه پتروشيمي اروندماهشهر</t>
  </si>
  <si>
    <t>کارگاه بانک صادرات استان خراسان رضوي</t>
  </si>
  <si>
    <t>طر ح مبدان شهد ا مشهد</t>
  </si>
  <si>
    <t>سالن ورزشي شيراز</t>
  </si>
  <si>
    <t>پروژه فاز 1 جديد خط 3 مترو</t>
  </si>
  <si>
    <t>کارگاه آنود رادينگ - ايرالکو</t>
  </si>
  <si>
    <t>کارگاه کارخانه فولاد زرند ايرانيان</t>
  </si>
  <si>
    <t>کارگاه موننکو ايران</t>
  </si>
  <si>
    <t>کارگاه 35متري بلوار معلم (ابراهيم آباد) -منطقه 18</t>
  </si>
  <si>
    <t>کارگاه احداث کارخانه کک سازي زرند</t>
  </si>
  <si>
    <t>کارگاه حصارکشي وعمليات ساختماني کنسانتره سيرجان</t>
  </si>
  <si>
    <t>مشارکت فام_پروژه سيويل کنسانتره جلال آباد زرند</t>
  </si>
  <si>
    <t>کارگاه نياوران</t>
  </si>
  <si>
    <t>کارگاه مديريت طرح واجرائ خانه سازي ايران</t>
  </si>
  <si>
    <t>کارگاه استاديوم 50هزارنفري شيراز</t>
  </si>
  <si>
    <t>کارگاه هلال احمر استان فارس</t>
  </si>
  <si>
    <t>کارگاه تصفيه آب شرب مشهد</t>
  </si>
  <si>
    <t>کارگاه ساختمان هلال احمر آذربايجان</t>
  </si>
  <si>
    <t>کارگاه صندوق ذخيره کارکنان شهرداري تهران</t>
  </si>
  <si>
    <t>کارگاه فرآوران ذغالسنگ پابدانا</t>
  </si>
  <si>
    <t xml:space="preserve">    توليد موتورهاي‌ ديزلي‌ س</t>
  </si>
  <si>
    <t xml:space="preserve">    لوله‌ گستر اسفراين‌</t>
  </si>
  <si>
    <t xml:space="preserve">    پتروشيمي‌ تبريز</t>
  </si>
  <si>
    <t xml:space="preserve">    سازمان‌ هواشناسي‌</t>
  </si>
  <si>
    <t xml:space="preserve">    سازمان آب منطقه اي استان آذربايجان شرقي و اردبيل</t>
  </si>
  <si>
    <t xml:space="preserve">    آب‌ منطقه‌ اي‌ خراسان‌ سد بيدوازاسفراين‌</t>
  </si>
  <si>
    <t xml:space="preserve">    وزارت‌ راه‌ روكش‌ آسفالت‌ محور فيروزكوه‌</t>
  </si>
  <si>
    <t xml:space="preserve">    شركت‌ مترو</t>
  </si>
  <si>
    <t xml:space="preserve">    نمايشگاه‌هاي‌ بين‌المللي</t>
  </si>
  <si>
    <t xml:space="preserve">    ساختمان‌ مركزي‌ -وزارت‌ نيرو</t>
  </si>
  <si>
    <t xml:space="preserve">    پتروشيمي اروندماهشهر</t>
  </si>
  <si>
    <t xml:space="preserve">    آلومينيوم سازي اراك -ايرالكو</t>
  </si>
  <si>
    <t xml:space="preserve">    بانك صادرات استان خراسان رضوي</t>
  </si>
  <si>
    <t xml:space="preserve">    پروژه سا ختمان ميدان شهدا شهر داري مشهد</t>
  </si>
  <si>
    <t xml:space="preserve">    شرکت توسعه اماکن ورزشي - شيراز</t>
  </si>
  <si>
    <t xml:space="preserve">    شركت حمل ونقل ريلي گسترش</t>
  </si>
  <si>
    <t xml:space="preserve">    ساختمان آنود رادينگ ايرالکو</t>
  </si>
  <si>
    <t xml:space="preserve">    شرکت سرمايه گذاري ساختماني سپه</t>
  </si>
  <si>
    <t xml:space="preserve">    تکميل ديوارمحوطه فولادسازي زرند ايرانيان</t>
  </si>
  <si>
    <t xml:space="preserve">    محوطه سازي کنستانتره جلال آباد فولاد زرند</t>
  </si>
  <si>
    <t xml:space="preserve">    شرکت موننکو ايران</t>
  </si>
  <si>
    <t xml:space="preserve">    شرکت فولاد زرند ايرانيان-کارخانه کک سازي زرند</t>
  </si>
  <si>
    <t xml:space="preserve">    پيمان مديريت ساختمان مرکزي نيرو</t>
  </si>
  <si>
    <t xml:space="preserve">    اجراي حصارکشي وعمليات ساختماني کنسانتره سيرجان</t>
  </si>
  <si>
    <t xml:space="preserve">    شرکت سرمايه گذاري نيرو</t>
  </si>
  <si>
    <t xml:space="preserve">    شرکت مديريت طرح واجرائ خانه سازي ايران</t>
  </si>
  <si>
    <t xml:space="preserve">    سازمان مهندسي وعمران شهر تهران - بلوار معلم</t>
  </si>
  <si>
    <t xml:space="preserve">    شرکت توسعه اماکن ورزشي- استاديوم 50هزار نفري شيراز</t>
  </si>
  <si>
    <t xml:space="preserve">    پيمان مديريت-شرکت موننکو</t>
  </si>
  <si>
    <t xml:space="preserve">    هلال احمر استان فارس</t>
  </si>
  <si>
    <t xml:space="preserve">    جمعيت هلال احمر استان آذربايجان غربي</t>
  </si>
  <si>
    <t xml:space="preserve">    شرکت عمراني صندوق ذخيره کارکنان شهرداري تهران</t>
  </si>
  <si>
    <t>مشارکت فام_کارخانه کنسانتره آهن زرند</t>
  </si>
  <si>
    <t>مهندسی راهبردی ابنیه</t>
  </si>
  <si>
    <t>سازمان تامین اجتماعی - ژنراتورسازی کرج</t>
  </si>
  <si>
    <t>ذخیره مطالبات مشکوک الوصول</t>
  </si>
  <si>
    <t>سهام پرداختنی</t>
  </si>
  <si>
    <t>گردش حساب سود(زیان)انباشته</t>
  </si>
  <si>
    <t xml:space="preserve">وجوه بین راهی </t>
  </si>
  <si>
    <t>بانک پاسارگاد سلیمان خاطر  2218108395041</t>
  </si>
  <si>
    <t>بانک پاسارگاد میرزای شیراز  3078108395042</t>
  </si>
  <si>
    <t>بانک پاسارگاد میرزای شیراز  3078108395041</t>
  </si>
  <si>
    <t>پاسارگادحساب سپرده سلیمان خاطر221/8100/839504/1</t>
  </si>
  <si>
    <t>کارگاه تصفیه آب شرب مشهد</t>
  </si>
  <si>
    <t>مشارکت فام-پروژه سیویل کنسانتره جلال آباد زرند</t>
  </si>
  <si>
    <t>بهای تمام شده دارائیهای ثابت</t>
  </si>
  <si>
    <t>ارزش دفتری دارائیهای ثابت</t>
  </si>
  <si>
    <t>اندوخته قانونی</t>
  </si>
  <si>
    <t>پروژه موننکو- اسکلت</t>
  </si>
  <si>
    <t>طرح واجرای خانه سازی ایران</t>
  </si>
  <si>
    <t>هلال احمر فارس</t>
  </si>
  <si>
    <t xml:space="preserve">تصفیه آب  شرب مشهد </t>
  </si>
  <si>
    <t>صدوق  ذخیره کارکنان شهرداری تهران</t>
  </si>
  <si>
    <t>ذغال شوئی پابدانا</t>
  </si>
  <si>
    <t>درآمدحاصل ازضمانت نامه حسن اجرای تعهدات کارگاه سدآیدوغموش</t>
  </si>
  <si>
    <t>پاسارگاد</t>
  </si>
  <si>
    <t>سلیمان خاطر</t>
  </si>
  <si>
    <t>بلوارمعلم</t>
  </si>
  <si>
    <t xml:space="preserve">مبلغ دفتری  -ريال </t>
  </si>
  <si>
    <t>یادداشت</t>
  </si>
  <si>
    <t>10_1</t>
  </si>
  <si>
    <t>10_2</t>
  </si>
  <si>
    <t xml:space="preserve">دارائی درجریان تکمیل -  انبار خلیج فارس  </t>
  </si>
  <si>
    <t>10-1</t>
  </si>
  <si>
    <t>1389/9/30</t>
  </si>
  <si>
    <t>10-1-1</t>
  </si>
  <si>
    <t>10-1-2</t>
  </si>
  <si>
    <t>10-1-3</t>
  </si>
  <si>
    <t>10-1-4</t>
  </si>
  <si>
    <t>10-2</t>
  </si>
  <si>
    <t>10-3</t>
  </si>
  <si>
    <t>10-4</t>
  </si>
  <si>
    <t>تعمیرات و افزایش دارایی</t>
  </si>
  <si>
    <t>10-5</t>
  </si>
  <si>
    <t>خرید انواع سنگ فرز و مینی فرز</t>
  </si>
  <si>
    <t>خرید انواع پمپ و الکترو پمپ</t>
  </si>
  <si>
    <t>10-6</t>
  </si>
  <si>
    <t xml:space="preserve">خريد دستگاه کانکس و کانتینر </t>
  </si>
  <si>
    <t>10-7</t>
  </si>
  <si>
    <t>10-8</t>
  </si>
  <si>
    <t>10-9</t>
  </si>
  <si>
    <t>10-10</t>
  </si>
  <si>
    <t xml:space="preserve">فروش  کفی تک محوره ودو محوره </t>
  </si>
  <si>
    <t>فروش انواع سواری و مو تور سیکلت</t>
  </si>
  <si>
    <t>فروش دو دستگاه تانکر بنز خاور</t>
  </si>
  <si>
    <t>فروش دو دستگاه تراک میکسر</t>
  </si>
  <si>
    <t>فروش سه دستگاه کمپرسی</t>
  </si>
  <si>
    <t>فروش کامیون جرثقیلدار</t>
  </si>
  <si>
    <t xml:space="preserve">پیش پرداخت سرمایه </t>
  </si>
  <si>
    <t xml:space="preserve">ریال </t>
  </si>
  <si>
    <t xml:space="preserve">تسهیلات مالی دریافتی کوتاه مدت                          </t>
  </si>
  <si>
    <t xml:space="preserve">تسهیلات مالی دریافتی بلند مدت                          </t>
  </si>
  <si>
    <t>دوره مالي ششماهه منتهي به 31 خرداد ماه 1390</t>
  </si>
  <si>
    <t>1390/03/31</t>
  </si>
  <si>
    <t>درآمدانباشته پيمان تاتاريخ 1390/03/31</t>
  </si>
  <si>
    <t>14-1-1</t>
  </si>
  <si>
    <t xml:space="preserve"> ریال</t>
  </si>
  <si>
    <t xml:space="preserve"> ريال </t>
  </si>
  <si>
    <t>ذخيره ماليات</t>
  </si>
  <si>
    <t>13-1</t>
  </si>
  <si>
    <t>1- 16 - پیش دریافتهای کارفرمایان بشرح زیر میباشد :</t>
  </si>
  <si>
    <r>
      <t xml:space="preserve">  </t>
    </r>
    <r>
      <rPr>
        <b/>
        <sz val="12"/>
        <color theme="1"/>
        <rFont val="B Mitra"/>
        <charset val="178"/>
      </rPr>
      <t>29-3-</t>
    </r>
    <r>
      <rPr>
        <sz val="12"/>
        <color theme="1"/>
        <rFont val="B Mitra"/>
        <charset val="178"/>
      </rPr>
      <t xml:space="preserve"> سپرده هاي بانكي وثيقه شده نزد بانكها به منظور پشتوانه صدور ضمانتنامه بانكي به نفع كارفرمايان بوده كه پس از پايان موضوع ضمانتنامه و ابطال آن آزاد می گردد .</t>
    </r>
  </si>
  <si>
    <t xml:space="preserve">کارگاهها </t>
  </si>
  <si>
    <t xml:space="preserve">عوامل هزینه </t>
  </si>
  <si>
    <t>-</t>
  </si>
  <si>
    <t>سد آیدوغموش</t>
  </si>
  <si>
    <t>ژنراتورسازی منتظر القائم</t>
  </si>
  <si>
    <t>ساختمان مرکزی نیرو</t>
  </si>
  <si>
    <t xml:space="preserve">سد بید واز </t>
  </si>
  <si>
    <t>لوله بدون درز اسفراین</t>
  </si>
  <si>
    <t>سیمان حما</t>
  </si>
  <si>
    <t>آلومینیوم اراک</t>
  </si>
  <si>
    <t>پتروشیمی ماهشهر</t>
  </si>
  <si>
    <t>بانک صادرات مشهد</t>
  </si>
  <si>
    <t xml:space="preserve">شهرداری مشهد </t>
  </si>
  <si>
    <t>آندرادینگ اراک</t>
  </si>
  <si>
    <t>امید 2</t>
  </si>
  <si>
    <t>موننکو ایران اسکلت</t>
  </si>
  <si>
    <t>بلوار معلم</t>
  </si>
  <si>
    <t>نیاوران</t>
  </si>
  <si>
    <t>طرح و اجرای خانه سازی ایران</t>
  </si>
  <si>
    <t>استادیوم 50 هزار نفری شیراز</t>
  </si>
  <si>
    <t>هلال احمر آذر بایجان</t>
  </si>
  <si>
    <t xml:space="preserve">سازمان پارکها وفضای سبز شهرداری تهران </t>
  </si>
  <si>
    <t xml:space="preserve">سایر پیش دریافتها </t>
  </si>
  <si>
    <t>برگ تشخیص صادر وبه ان اعتراض شده است</t>
  </si>
  <si>
    <t>درحال رسیدگی</t>
  </si>
  <si>
    <t>حقوق ودستمزد</t>
  </si>
  <si>
    <t xml:space="preserve">هزینه کارکنان </t>
  </si>
  <si>
    <t>هزینه عملیاتی</t>
  </si>
  <si>
    <t>هزینه استهلاک</t>
  </si>
  <si>
    <t>هزینه های عمومی</t>
  </si>
  <si>
    <t xml:space="preserve">هزینه های مالی </t>
  </si>
  <si>
    <t xml:space="preserve">    مشارکت فام - کارخانه کنسانتره آهن زرندجلال آباد</t>
  </si>
  <si>
    <t>هزینه های مواد ولوازم مصرفی</t>
  </si>
  <si>
    <t xml:space="preserve">توسعه اماکن ورزشی </t>
  </si>
  <si>
    <t xml:space="preserve">بوستان ولایت </t>
  </si>
  <si>
    <t xml:space="preserve">خراسان رضوی بانک صادرات </t>
  </si>
  <si>
    <t>خانه سازی</t>
  </si>
  <si>
    <t xml:space="preserve">ضمانت پیش پرداخت وحسن انجام تعهدات </t>
  </si>
  <si>
    <t xml:space="preserve">دلار آمریکا </t>
  </si>
  <si>
    <t xml:space="preserve">موجودی نقد نزد صندوق </t>
  </si>
  <si>
    <t>24- درآمد و بهاي تمام شده پيمان</t>
  </si>
  <si>
    <t xml:space="preserve">حساب مشترک با کارفرمای شهرداری </t>
  </si>
  <si>
    <t xml:space="preserve">حساب مشترک با کارفرمای بانک صادرات </t>
  </si>
  <si>
    <t xml:space="preserve">حساب مشترک باکارفرمایان </t>
  </si>
  <si>
    <t xml:space="preserve">1390/03/31-ريال </t>
  </si>
  <si>
    <t xml:space="preserve">زیان سهم شریک درمشارکت پارکینگ نمایشگاه </t>
  </si>
  <si>
    <t>شرکت خدمات ارزی وصرافی پاسارگاد</t>
  </si>
  <si>
    <t xml:space="preserve">شرکت مهندسی ساخت ونصب وراه اندازی </t>
  </si>
  <si>
    <t xml:space="preserve">              جمع                1390/03/31</t>
  </si>
  <si>
    <t xml:space="preserve">جمع1389/09/30      </t>
  </si>
  <si>
    <t xml:space="preserve"> 24-1- بهای تمام شده پِيمان در90/03/31 از اقلام زيرتشکيل شده است </t>
  </si>
  <si>
    <t>حصارکشی کنسانتره سیرجان</t>
  </si>
  <si>
    <t>پیمانکاران آند رادینگ</t>
  </si>
  <si>
    <t xml:space="preserve">پیمانکاران بلوار معلم </t>
  </si>
  <si>
    <t xml:space="preserve">پیمانکاران نیاوران </t>
  </si>
  <si>
    <t xml:space="preserve">فروشندگان دفتر مرکزی </t>
  </si>
  <si>
    <t xml:space="preserve">کنسانتره جلال آباد </t>
  </si>
  <si>
    <t xml:space="preserve">بدهکاران کارگاه ایرالکو اراک </t>
  </si>
  <si>
    <t xml:space="preserve">بدهکاران بانک صادرات خراسان رضوی </t>
  </si>
  <si>
    <t>6-2</t>
  </si>
  <si>
    <t>6-1</t>
  </si>
  <si>
    <t xml:space="preserve">پیمانکاران دفتر مرکزی </t>
  </si>
  <si>
    <t xml:space="preserve">ذخیره زیان پروژهها </t>
  </si>
  <si>
    <t xml:space="preserve">جاری شرکتها واشخاص </t>
  </si>
  <si>
    <t>-10</t>
  </si>
  <si>
    <t xml:space="preserve">داراييهای ثابت مشهود </t>
  </si>
  <si>
    <t>1389/12/29</t>
  </si>
  <si>
    <t>1390/3/31</t>
  </si>
  <si>
    <t xml:space="preserve">فروش یکدستگاه سیلوی سیمان </t>
  </si>
  <si>
    <t>بابت برگشت یکدستگاه تلفن همراه</t>
  </si>
  <si>
    <t>بابت برگشت 8 دستگاه بی سیم</t>
  </si>
  <si>
    <t>خرید  انواع مانیتور رنگی و کیس کامپیوتر و اسکنر و لوازم کا مپیوتری</t>
  </si>
  <si>
    <t>خرید  انواع یخچال وتلویزیون و دوربین عکاسی ماشین حساب</t>
  </si>
  <si>
    <t xml:space="preserve">خرید  دستگاه انواع بیسیم ، تلفن و تلفن همراه </t>
  </si>
  <si>
    <t>خرید  انواع میز وصندلی فایل و کمد</t>
  </si>
  <si>
    <t xml:space="preserve">  سایر</t>
  </si>
  <si>
    <t>خرید یکدستگاه پژو پارس خاکستری</t>
  </si>
  <si>
    <t>تعمیرات وسائط نقلیه افزایش دارایی</t>
  </si>
  <si>
    <t>خرید یکدستگاه بچینگ لیبهر با میکسر 1/2 مترمکعبی</t>
  </si>
  <si>
    <t xml:space="preserve">خرید یکدستگاه دامپر یکطرف تخلیه </t>
  </si>
  <si>
    <t xml:space="preserve">خرید  9 دستگاه بتونیر </t>
  </si>
  <si>
    <t xml:space="preserve"> خرید یکدستگاه غلطک دستی چرخ آهنی</t>
  </si>
  <si>
    <t xml:space="preserve">خرید 3 دستگاه کمپکتور </t>
  </si>
  <si>
    <t xml:space="preserve">خرید دستگاه برش و خم کن برقی و قیچی آرماتور بری دستی و برقی </t>
  </si>
  <si>
    <t>خرید هاون خشک کن</t>
  </si>
  <si>
    <t>خرید دستگاه رکتی فایر و ترانس جوش</t>
  </si>
  <si>
    <t>خريد  منبع آب وسوخت  و تاسیسات کامل شوفاژ خانه</t>
  </si>
  <si>
    <t xml:space="preserve">خرید  دوربین نقشه برداری تو تا ل استیشن و کلیه متعلقات  </t>
  </si>
  <si>
    <t>بابت خرید باکت بتن و چسب بتن</t>
  </si>
  <si>
    <t xml:space="preserve">خرید کپسول هوا و گاز </t>
  </si>
  <si>
    <t>خرید  دریل بتن کن دریل هیلتی</t>
  </si>
  <si>
    <t>خرید کارواش</t>
  </si>
  <si>
    <t xml:space="preserve">خرید  سیلوی 120 تنی </t>
  </si>
  <si>
    <t>خرید  کمپرسور باد</t>
  </si>
  <si>
    <t xml:space="preserve">خرید   بالا بر برقی </t>
  </si>
  <si>
    <t>وديعه برق ،آب وگاز</t>
  </si>
  <si>
    <t xml:space="preserve">پرداخت ودیعه آب </t>
  </si>
  <si>
    <t xml:space="preserve">پیش پرداخت به پیمانکاران </t>
  </si>
  <si>
    <t>پیش پرداخت خرید جاری به شرح زیر میباشد :</t>
  </si>
  <si>
    <t>پیش پرداخت خرید جاری</t>
  </si>
  <si>
    <t>9-2</t>
  </si>
  <si>
    <t xml:space="preserve">دفتر مرکزی </t>
  </si>
  <si>
    <t xml:space="preserve">نازک کاری موننکو </t>
  </si>
  <si>
    <t>پیش پرداخت پیمانکاران به شرح زیر میباشد :</t>
  </si>
  <si>
    <r>
      <t xml:space="preserve">موجودی های ارزی نزد بانکها در پايان سال بر اساس هر دلار </t>
    </r>
    <r>
      <rPr>
        <sz val="11"/>
        <color rgb="FFFF0000"/>
        <rFont val="B Mitra"/>
        <charset val="178"/>
      </rPr>
      <t>11796</t>
    </r>
    <r>
      <rPr>
        <sz val="11"/>
        <color theme="1"/>
        <rFont val="B Mitra"/>
        <charset val="178"/>
      </rPr>
      <t>ریال تسعیر شده است .</t>
    </r>
  </si>
  <si>
    <t xml:space="preserve">ژنراتورسازی منتطر قائم </t>
  </si>
  <si>
    <t>پارس جنوبی تویو</t>
  </si>
  <si>
    <t xml:space="preserve">پیمانکاران کارگاهها </t>
  </si>
  <si>
    <t xml:space="preserve">مالیات برارزش افزوده </t>
  </si>
  <si>
    <t xml:space="preserve">فروش یکدستگاه پاجرواستیشن </t>
  </si>
  <si>
    <t>4-3</t>
  </si>
  <si>
    <t>4-2- مشترک با کارفرمایان بشرح زیر میباشد :</t>
  </si>
  <si>
    <t xml:space="preserve">موجودی نقدی ارزی نزد صندوق </t>
  </si>
  <si>
    <t>5-1</t>
  </si>
  <si>
    <t>5-2</t>
  </si>
  <si>
    <t>4-3- موجودي تنخواه گردانها متشکل از اقلام ذیل می باشد :</t>
  </si>
  <si>
    <t xml:space="preserve">                  4-1- موجودي نزد بانك ها از اقلام ز‌ير تشكيل شده است:                                                        </t>
  </si>
  <si>
    <t xml:space="preserve">                 4-1-1   صورت ريزسپرده های کوتاه مدت ديداری نزد بانکها به شرح زير مي باشد:                            </t>
  </si>
  <si>
    <t xml:space="preserve">  بانک سپه-سپهبدقرنی  2900/79</t>
  </si>
  <si>
    <t xml:space="preserve">  بانک ملت - فجر  2812659/78</t>
  </si>
  <si>
    <t xml:space="preserve">  بانک سپه-دکترمفتح  2500/49</t>
  </si>
  <si>
    <t xml:space="preserve">  بانک تجارت -ميرعماد  122109100</t>
  </si>
  <si>
    <t xml:space="preserve">  بانک پاسارگاد- حساب سپرده سلیمان خاطر  221118395041</t>
  </si>
  <si>
    <t xml:space="preserve">  بانک ملت -شعبه ملک الشعراءبهار  7258386641</t>
  </si>
  <si>
    <t xml:space="preserve">  بانک سپه-مطهری مدرس  1858800112909</t>
  </si>
  <si>
    <t xml:space="preserve">  بانک سپه مطهری مدرس 1414/16</t>
  </si>
  <si>
    <t xml:space="preserve">  بانک پاسارگاد- میرزای شیرازی 307118395042</t>
  </si>
  <si>
    <t xml:space="preserve">  بانک پاسارگاد- میرزای شیرازی 307118395041</t>
  </si>
  <si>
    <t xml:space="preserve">  بانک توسعه صادرات - بلوار کشاورز 100008707000</t>
  </si>
  <si>
    <t xml:space="preserve">  بانک ملی جم-0105232355008</t>
  </si>
  <si>
    <t xml:space="preserve">    فولادآذربایجان</t>
  </si>
  <si>
    <t xml:space="preserve">    فنس کشی محوطه کک سازی فولادزرندایرانیان </t>
  </si>
  <si>
    <t xml:space="preserve">   دانشگاه صنعتی امیر کبیر</t>
  </si>
  <si>
    <t xml:space="preserve">    شرکت آب منطقه ای خراسان رضوی_آب شرب</t>
  </si>
  <si>
    <t xml:space="preserve">    شرکت فرآوران زغال سنگ پابدانا</t>
  </si>
  <si>
    <t xml:space="preserve">    سازمان پارکها وفضای سبز شهرداری تهران </t>
  </si>
  <si>
    <t>سپرده حسن انجام کار یادداشت - 6</t>
  </si>
  <si>
    <t>سپرده بیمه یادداشت - 6</t>
  </si>
  <si>
    <t xml:space="preserve">   انتقال به سایر حسابهای دریافتنی و پیش پرداختها</t>
  </si>
  <si>
    <t xml:space="preserve">        5-2- مانده حساب مشارکتها به شرح زيرتفکيک می شود:</t>
  </si>
  <si>
    <t xml:space="preserve">     چگونگی ارزيابی وانعکاس مشارکتها درصورتهای مالی دريادداشت شماره 8-3خلاصه اهم رويه های حسابداری توصيف شده است . </t>
  </si>
  <si>
    <t xml:space="preserve">     تعدادی ازقراردادهای مشارکت به لحاظ عدم حصول توافق نهايی با طرفهای شريک تا کنون نهائی نگرديده ومترصد تعيين تکليف ازطريق مراجع قضائی ميباشد.</t>
  </si>
  <si>
    <t xml:space="preserve">     حسابهای تعدادی ازقراردادهای مشارکت براساس صورتجلسات وتوافق نامه های منعقده بين طرفين مشخص واثرات ريالی آنها درحسابهای شرکت منعکس وليکن تسويه نشده است.</t>
  </si>
  <si>
    <t xml:space="preserve">    6- ساير حسابهاي دريافتني:</t>
  </si>
  <si>
    <t xml:space="preserve">     سرفصل فوق از اقلام زير تشكيل شده است:</t>
  </si>
  <si>
    <t xml:space="preserve">    6-1- سپرده های موقت از اقلام زیر تشکیل شده است :</t>
  </si>
  <si>
    <t xml:space="preserve"> بانک پاسارگاد-سلیمان خاطر</t>
  </si>
  <si>
    <t xml:space="preserve">  بانک سپه مطهری مدرس 202000/09</t>
  </si>
  <si>
    <t xml:space="preserve">  سرمایه گذاری ساختمانی سپه - امید 2</t>
  </si>
  <si>
    <t xml:space="preserve">   بانک ملت شعبه ملک الشعرا</t>
  </si>
  <si>
    <t xml:space="preserve">  شرکت آریا رسانه</t>
  </si>
  <si>
    <t xml:space="preserve">  سپرده نزد بانکها</t>
  </si>
  <si>
    <t xml:space="preserve">  سپرده ضمانتنامه ها</t>
  </si>
  <si>
    <t xml:space="preserve">شركت ساختماني گسترش و نوسازي صنايع ايرانیان مانا (سهامي خاص) </t>
  </si>
  <si>
    <t>6-2-2-</t>
  </si>
  <si>
    <t>6-2-3-</t>
  </si>
  <si>
    <t xml:space="preserve"> يادداشتهاي توضيحي صورتهاي مالي </t>
  </si>
  <si>
    <t xml:space="preserve">       شرکت بازرگانی آفتاب درخشان</t>
  </si>
  <si>
    <t xml:space="preserve">       شرکت توسعه ساخت و نصب قطعات بتونی و فلزی - مانا ساز</t>
  </si>
  <si>
    <t xml:space="preserve">       شرکت فولاد سیرجان ایرانیان</t>
  </si>
  <si>
    <t xml:space="preserve">       شرکت بابک مس ایرانیان</t>
  </si>
  <si>
    <t xml:space="preserve">        شرکت فروسیلیس غرب </t>
  </si>
  <si>
    <t xml:space="preserve">       موجودی موادوکالاوپيمان درجريان پيشرفت ازاقلام زيرتشکيل شده است:</t>
  </si>
  <si>
    <t xml:space="preserve">    پيمان درجريان پيشرفت </t>
  </si>
  <si>
    <t xml:space="preserve">    موجودی مواد وکالا</t>
  </si>
  <si>
    <t xml:space="preserve">           کالای امانی نزد دیگران</t>
  </si>
  <si>
    <t xml:space="preserve">موادولوازم مصرفی                     </t>
  </si>
  <si>
    <t xml:space="preserve">داراییهای نزد انبار                       </t>
  </si>
  <si>
    <t xml:space="preserve">مواد غذایی                              </t>
  </si>
  <si>
    <t xml:space="preserve">ملزومات اداری                         </t>
  </si>
  <si>
    <t xml:space="preserve">آهن آلات ساختمانی                  </t>
  </si>
  <si>
    <t xml:space="preserve">لوازم یدکی                           </t>
  </si>
  <si>
    <t xml:space="preserve">لوازم برقی                              </t>
  </si>
  <si>
    <t xml:space="preserve">لوازم تاسیساتی                       </t>
  </si>
  <si>
    <t xml:space="preserve">    مصالح ساختمانی                          </t>
  </si>
  <si>
    <t xml:space="preserve">زمين قشم به مساحت2500مترمربع که درجزيره قشم-شهرک صنعتی طولاواقع است درسال1378ودرراستای تاسيس دفترنمايندگی درمنطقه آزاد قشم خريداری گردید . </t>
  </si>
  <si>
    <t>با انحلال نمايندگی مانا-قشم زمين مذکور در تملک شرکت باقی و تصميم گـيری در خصوص حفظ و انجام فعاليت های اجرائی ويا فروش آن  بالحاظ داشتن  صرفه و</t>
  </si>
  <si>
    <t xml:space="preserve"> صلاح شرکت دردست اقدام می باشد.</t>
  </si>
  <si>
    <t xml:space="preserve">از پنج قطعه زمين واقع در کيانپارس اهواز دو قطعه از آنها بر اساس نقشه جامع شهر اهواز در طرح احداث خیابان قرارگرفته که بر اساس نظر کارشناس رسمی دادگستری  </t>
  </si>
  <si>
    <t xml:space="preserve">  ارزش روز آن معادل  10،064،000،000  ریال برآورد گردیده است و  شهرداری اهواز  ملزم به اعطای معوض و  یا پرداخت وجه آن گردیده و سه قطعه دیگر قبلا" مورد </t>
  </si>
  <si>
    <t xml:space="preserve"> ادعای سازمان زمین شهری اهواز  بوده که با توجه به  فروش یک قطعه زمین در سال  85  ادعای سازمان مذکور عملا" مرتفع و احیاء سه  قطعه زمین موجود  براساس </t>
  </si>
  <si>
    <t xml:space="preserve"> تقاضای پروانه  ساخت در دست پیگیری قرار دارد.</t>
  </si>
  <si>
    <t xml:space="preserve"> شماره 860909 مورخ 87/10/10 جهت اخذ سند تفکیکی در پایان سال 87 به حساب دارایی منظور گردیده است.</t>
  </si>
  <si>
    <t>عرصه زمین حصار امیر ورامین به مساحت178431مترمربع معادل 21% سهم شرکت مانا اززمینهای مذکور می باشد که با توجه به توافق نامه مورخ 87/10/8 و وکالت نامه</t>
  </si>
  <si>
    <t xml:space="preserve">خرید ویبراتور بنزینی روبین </t>
  </si>
  <si>
    <t xml:space="preserve"> شركت ساختماني گسترش و نوسازي صنايع ايرانیان مانا (سهامي خاص)</t>
  </si>
  <si>
    <t xml:space="preserve">  فروش یکدستگاه وانت</t>
  </si>
  <si>
    <t xml:space="preserve">       سپرده های سرمايه گذاری بلندمدت </t>
  </si>
  <si>
    <t xml:space="preserve">    بانک پاسارگاد سلیمان خاطر       </t>
  </si>
  <si>
    <t xml:space="preserve">بانک ملی جم                    </t>
  </si>
  <si>
    <t xml:space="preserve">بانک ملت ملک الشعرا          </t>
  </si>
  <si>
    <t xml:space="preserve">                          مبلغ 715،009،234ريال ازسپرده های ياد شده به منظورصدورضمانت نامه های بانکی به نفع کارفرمايان وثيقه شده است. </t>
  </si>
  <si>
    <t xml:space="preserve">    14-3-سر فصل متفرقه در حسابهای پرداختنی به قرار زير مي باشد:</t>
  </si>
  <si>
    <t xml:space="preserve">    کارگاه سرمايه گذاري ساختماني سپه - اميد 2</t>
  </si>
  <si>
    <t xml:space="preserve">    پیمان مدیریت موننکو</t>
  </si>
  <si>
    <t xml:space="preserve">    پیمانکاران دفتر مرکزی </t>
  </si>
  <si>
    <t xml:space="preserve">    سایر</t>
  </si>
  <si>
    <t xml:space="preserve"> شركت ساختماني گسترش و نوسازي صنايع ايرانیان مانا(سهامي خاص)</t>
  </si>
  <si>
    <t xml:space="preserve">  يادداشتهاي توضيحي صورتهاي مالي</t>
  </si>
  <si>
    <t>شرکت فرآوران ذغال سنگ پابدانا</t>
  </si>
  <si>
    <t>شرکت آب منطقه ای خراسان رضوی _ آب شرب</t>
  </si>
  <si>
    <t xml:space="preserve">     22- اندوخته قانوني</t>
  </si>
  <si>
    <t xml:space="preserve">    23- ساير اندوخته ها</t>
  </si>
  <si>
    <t xml:space="preserve">   سرمایه نیست و جز در موقع انحلال شركت قابل تقسيم بين سهامداران نمي باشد . </t>
  </si>
  <si>
    <t xml:space="preserve"> آقای بیژن سرانجام </t>
  </si>
  <si>
    <r>
      <t xml:space="preserve">      </t>
    </r>
    <r>
      <rPr>
        <b/>
        <sz val="12"/>
        <color theme="1"/>
        <rFont val="B Mitra"/>
        <charset val="178"/>
      </rPr>
      <t>29-2</t>
    </r>
    <r>
      <rPr>
        <sz val="12"/>
        <color theme="1"/>
        <rFont val="B Mitra"/>
        <charset val="178"/>
      </rPr>
      <t>-اسناد تضميني دريافتي به نفع شرکت به شرح زير  مي باشد:</t>
    </r>
  </si>
  <si>
    <r>
      <rPr>
        <b/>
        <sz val="12"/>
        <color theme="1"/>
        <rFont val="B Mitra"/>
        <charset val="178"/>
      </rPr>
      <t>29-1</t>
    </r>
    <r>
      <rPr>
        <sz val="14"/>
        <color theme="1"/>
        <rFont val="B Mitra"/>
        <charset val="178"/>
      </rPr>
      <t>-اسناد تضميني واگذاري  به شرح زير مي باشد:</t>
    </r>
  </si>
  <si>
    <t xml:space="preserve">     اسناد تضميني واگذاري</t>
  </si>
  <si>
    <t xml:space="preserve">     اسناد تضميني دريافتي</t>
  </si>
  <si>
    <t xml:space="preserve">     سپرده هاي بانكي وثيقه شده جهت ضمانتنامه ها</t>
  </si>
  <si>
    <t xml:space="preserve">     جمع</t>
  </si>
  <si>
    <t xml:space="preserve">    سر فصل فوق به شرح زير قابل تفكيك است:</t>
  </si>
  <si>
    <t xml:space="preserve">     سفته هاي صادره به نفع ديگران</t>
  </si>
  <si>
    <t xml:space="preserve">     ضمانتنامه هاي مانزد دیگران </t>
  </si>
  <si>
    <t xml:space="preserve">     چكهاي صادره به نفع ديگران</t>
  </si>
  <si>
    <t xml:space="preserve">     ضمانتنامه هاي شركت در مناقصه</t>
  </si>
  <si>
    <t xml:space="preserve">     سفته هاي تضميني در وجه صندوق آينده ساز بابت تضمين وام كاركنان</t>
  </si>
  <si>
    <t xml:space="preserve">     اسناد تضمینی دیگران نزد شرکت - چک </t>
  </si>
  <si>
    <t xml:space="preserve">     اسناد تضمینی دیگران نزد شرکت -  سفته </t>
  </si>
  <si>
    <t xml:space="preserve">     اسناد واخواهی شده </t>
  </si>
  <si>
    <t xml:space="preserve">     چك و سفته هاي در يافتي از كاركنان بابت تضمين حسن انجام تعهدات</t>
  </si>
  <si>
    <t xml:space="preserve">     چك و سفته هاي دريافتي از كاركنان بابت وام</t>
  </si>
  <si>
    <t xml:space="preserve">     ضمانتنامه هاي دیگران نزد شركت</t>
  </si>
  <si>
    <t xml:space="preserve">            هیات مدیره پیشنهاد می نماید معادل 90 درصد از سود قابل تخصیص پس از کسر اندوخته قانونی و تصویب صورتهای مالی بین صاحبان سهام توزیع گردد . </t>
  </si>
  <si>
    <t xml:space="preserve">    رویدادهائی که در دوره بعد از تاریخ ترازنامه تا تاریخ تأئید صورتهای مالی اتفاق افتاده، مستلزم تعدیل اقلام صورتهای مالی نبوده است.</t>
  </si>
  <si>
    <r>
      <rPr>
        <b/>
        <sz val="14"/>
        <color theme="1"/>
        <rFont val="B Mitra"/>
        <charset val="178"/>
      </rPr>
      <t>31</t>
    </r>
    <r>
      <rPr>
        <sz val="14"/>
        <color theme="1"/>
        <rFont val="B Mitra"/>
        <charset val="178"/>
      </rPr>
      <t>-شرکت فاقد هر گونه بدهی احتمالی با اهمیت که مستلزم افشا در صورتهای مالی است ، می باشد .</t>
    </r>
  </si>
  <si>
    <r>
      <rPr>
        <b/>
        <sz val="14"/>
        <color theme="1"/>
        <rFont val="B Mitra"/>
        <charset val="178"/>
      </rPr>
      <t>32</t>
    </r>
    <r>
      <rPr>
        <sz val="14"/>
        <color theme="1"/>
        <rFont val="B Mitra"/>
        <charset val="178"/>
      </rPr>
      <t>-رويدادهاي بعد از تاريخ تراز نامه:</t>
    </r>
  </si>
  <si>
    <t xml:space="preserve">      دارائی ها و بدهیهای پولی ارزی در پایان سال به شرح زیر است : </t>
  </si>
  <si>
    <t xml:space="preserve">   موجودی نقد حسابها و اسناد دریافتنی ارزی</t>
  </si>
  <si>
    <t xml:space="preserve">   پیشنهاد هیأت مدیره  : </t>
  </si>
  <si>
    <t>صورتهاي مالي براساس استانداردهاي حسابداري تهيه شده و در تاریخ 1390/05/16 به تائيد هيأت مديره شركت رسيده است .</t>
  </si>
  <si>
    <t>6</t>
  </si>
  <si>
    <t>10 - 42</t>
  </si>
  <si>
    <t>به پيوست صورتهاي مالي شركت ساختماني گسترش ونوسازي صنايع ايران (سهامي خاص) براي ششماهه منتهي به  31 خردادماه 1390 تقديم مي شود</t>
  </si>
  <si>
    <t xml:space="preserve">6-2-1- مانده بدهی این حساب به مبلغ 431605682 ریال مربوط به مازاد پرداختی های شرکت در ارتباط با تسویه حساب مالیاتی تا پایان سال 84 می باشد . </t>
  </si>
  <si>
    <t>مانده بدهی (طلب) 
در 90/03/31</t>
  </si>
  <si>
    <t>.</t>
  </si>
  <si>
    <t>1389/06/31</t>
  </si>
  <si>
    <t>_</t>
  </si>
  <si>
    <t>پاسارگاد میرزای شیرازی   30771608395041</t>
  </si>
  <si>
    <t>4-3-1</t>
  </si>
  <si>
    <t>4-3-1- موجودی تنخواه گردان کارگاهها و دفتر مرکزی متشکل از اقلام ذیل می باشد:</t>
  </si>
  <si>
    <t>29-1</t>
  </si>
  <si>
    <t>29-2</t>
  </si>
  <si>
    <t>29-3</t>
  </si>
  <si>
    <t xml:space="preserve"> از سود ابرازی سال جاری مبلغ 898212002 ریال بابت سود حاصل از سپرده گذاری های بلند مدت و کوتاه مدت نزد بانک ها , 854125000بابت اجاره ساختمان معاف از مالیات لحاظ گردید .</t>
  </si>
  <si>
    <t>خرید یک دستگاه ویبراتوربرقی هوندا</t>
  </si>
  <si>
    <t>خرید یک دستگاه کمپرسورباد 3سیلندربا پمپ باد</t>
  </si>
  <si>
    <t>خرید یک دستگاه باگت بیل میکانیکی کاتر پیلار</t>
  </si>
  <si>
    <t>خرید سه دستگاه ژنراتورپرکینز</t>
  </si>
  <si>
    <t xml:space="preserve">خرید غلطک دستی چرخ آهنی </t>
  </si>
  <si>
    <t xml:space="preserve">   نرخ سودتضمين شده سپرده های کوتاه مدت ديداری برای سال جاری براساس قانون عمليات بانکی بدون ربا تعيين شده است.</t>
  </si>
  <si>
    <t xml:space="preserve">مانده حساب فوق  به  مبلغ 5،391،264،400 ريال عبارت ازمطالبات  شرکت بابت فسخ موضوع خريد زمين دراراضی مراد آباد پونک </t>
  </si>
  <si>
    <t xml:space="preserve">        ازطریق مراجع  قضايی بعمل آمده و  نامبردگان تحت تعقيب  قرار گرفته اند که منجربه صدور دادنامه بدوی علیه ایشان گردیده  است .</t>
  </si>
  <si>
    <t xml:space="preserve">       به طرفیت آقایان سید باقر حسینی ، حبیب ا... افروز ، سعدان ترابی ، نظرعلی تاجیک داودی وحسن دهقان می باشد که اقدامات  لازم به منظوروصول آن </t>
  </si>
  <si>
    <t xml:space="preserve">               جهت مبلغ فوق ذخیره لازم در حسابها منظور شده است .</t>
  </si>
  <si>
    <t xml:space="preserve">ژنراتورسازی منتطرقائم </t>
  </si>
  <si>
    <t xml:space="preserve">نیاوران </t>
  </si>
  <si>
    <t xml:space="preserve">متفرقه </t>
  </si>
  <si>
    <t>4-4 1- سر فصل سپرده بیمه در حسابهای پرداختنی به قرار زير مي باشد:</t>
  </si>
  <si>
    <t xml:space="preserve">هلال احمر فارس </t>
  </si>
  <si>
    <t xml:space="preserve">سود ابرازي   </t>
  </si>
  <si>
    <t>هزینه های تحقق یافته وپرداخت نشده ( هزینه های پرداختنی )</t>
  </si>
  <si>
    <t xml:space="preserve">واگذاری یک خط تلفن همراه </t>
  </si>
  <si>
    <t>6-1-1</t>
  </si>
  <si>
    <t>شرکت ساختماني گسترش و نوسازی صنایع ایرانیان مانا ( سهامی خاص )</t>
  </si>
  <si>
    <t>سرمايه (63000000سهم1000ريالی با نام تمام پرداخت شده)</t>
  </si>
  <si>
    <t xml:space="preserve"> بدهيهای بلند مدت :</t>
  </si>
  <si>
    <t>درتاریخ   31خرداد 1390</t>
  </si>
  <si>
    <t xml:space="preserve">                     حسابهای دريافتنی تجاری </t>
  </si>
  <si>
    <t xml:space="preserve">       1379و1380متوقف گردیده مفتوح بودن پرونده اينگونه قراردادها درمراجع قضايی تسويه حساب با طرفهای قرارداد منوط به صدوررای قطعی ازسوی مراجع يادشده ميباشد.</t>
  </si>
  <si>
    <t xml:space="preserve">    شرکت درسنوات گذشته به منظوراجرای پروژه های فوق اقدام به انعقاد قرارداد مشارکت با اشخاص حقيقی وحقوقی نموده که به لحاظ بروزپاره ای مسائل قراردادهای مذکورعمدتاً درسنوات   </t>
  </si>
  <si>
    <t>6-1-2</t>
  </si>
  <si>
    <t xml:space="preserve">6-1-2- سپرده نزد سازمان گسترش و نوسازی  صنایع  ایران مربوط به 10%  سپرده  نقدی بابت صدور ضمانت نامه های تضمین  انجام  تعهدات  پروژه لوله گستراسفراین میباشد </t>
  </si>
  <si>
    <t>6-2-3</t>
  </si>
  <si>
    <t xml:space="preserve"> 8 -  موجودی موادوکالاوپيمان درجريان پيشرفت     </t>
  </si>
  <si>
    <t>9-3</t>
  </si>
  <si>
    <t>8-1 موجودی موادوکالا از اقلام زيرتشکيل شده است:</t>
  </si>
  <si>
    <t xml:space="preserve">  داراييهای ثابت مشهود شرکت درمقابل خطرات ناشی ازحريق ،سيل،انفجار و زلزله معادل 38/4 ميلياردريال از پوشش بيمه ای برخوردار می باشند.</t>
  </si>
  <si>
    <t xml:space="preserve">  روش های حسابداری مربوط به تحصيل واستهلاک داراييهای ثابت مشهود دريادداشت شماره (3-3) خلاصه اهم رويه های حسابداری توصيف شده است .</t>
  </si>
  <si>
    <t xml:space="preserve">  شش دانگ سندساختمان مرکزی بابت بدهی به سازمان خصوصی نزد شرکت گسترش ونوسازی دررهن میباشد .</t>
  </si>
  <si>
    <t xml:space="preserve">  اسناد مالکِیت 4واحد از ویلاهای شرکت دربابلسر نز د بانک سپه شعبه سپهبد قرنی با بت بیست میلیارد تسهیلات بانکی دررهن میباشد . </t>
  </si>
  <si>
    <t xml:space="preserve">یاداشت </t>
  </si>
  <si>
    <t>11-1-1</t>
  </si>
  <si>
    <t>پرداخت ودیعه خط ثابت</t>
  </si>
  <si>
    <t xml:space="preserve">توضیح:بهره وامهای اخذ شده برای تسهیلات مالی دریافتی از بانک پاسارگاد معادل 5،824،635،866 ریال می باشد . </t>
  </si>
  <si>
    <t xml:space="preserve">درآمد حق مباشرت پروژهها </t>
  </si>
  <si>
    <t>دوره مالي شش ماهه منتهي به 31 خرداد ماه 1390</t>
  </si>
  <si>
    <t>دوره مالی شش ماهه منتهی به</t>
  </si>
  <si>
    <t>دوره مالی9 ماهه منتهی به</t>
  </si>
  <si>
    <t xml:space="preserve"> مبلغ 128،620،717ريال ازسپرده های کوتاه مدت ديداری به منظورصدورضمانت نامه های بانکی به نفع کارفرمايان وثیقه شده است .                                              </t>
  </si>
  <si>
    <t xml:space="preserve">         4-1-2- صورت ريزحسابهای جاری نزد بانکها به قرار زيرمی باشد:</t>
  </si>
  <si>
    <t>5-حسابها ی دريافتنی تجاری  :</t>
  </si>
  <si>
    <t xml:space="preserve"> دوره مالی شش ماهه منتهی به 31 خرداد ماه 1390</t>
  </si>
  <si>
    <t xml:space="preserve"> دوره مالي شش ماهه منتهي به 31 خرداد ماه 1390 </t>
  </si>
  <si>
    <t xml:space="preserve">  دوره مالي شش ماهه منتهي به 31 خرداد ماه 1390</t>
  </si>
  <si>
    <t>درآمد مشمول
ماليات ابرازی</t>
  </si>
  <si>
    <t xml:space="preserve">مالیات </t>
  </si>
  <si>
    <t>سود سهام سال 1388</t>
  </si>
  <si>
    <t>سود سهام پرداختی سال 1387</t>
  </si>
  <si>
    <t xml:space="preserve">سود سهام پرداختی </t>
  </si>
  <si>
    <t>دوره مالي شش ماهه منتهي به 31 خرداد 1390</t>
  </si>
  <si>
    <t xml:space="preserve">خرید قالب فلزی و کرایه ماشین الات  وپرداخت وجوه نقد </t>
  </si>
</sst>
</file>

<file path=xl/styles.xml><?xml version="1.0" encoding="utf-8"?>
<styleSheet xmlns="http://schemas.openxmlformats.org/spreadsheetml/2006/main">
  <numFmts count="3">
    <numFmt numFmtId="164" formatCode="#,##0;[Red]#,##0"/>
    <numFmt numFmtId="165" formatCode="#,##0;\(#,##0\);"/>
    <numFmt numFmtId="166" formatCode="#,##0_-;\(#,##0\)"/>
  </numFmts>
  <fonts count="46">
    <font>
      <sz val="11"/>
      <color theme="1"/>
      <name val="Calibri"/>
      <family val="2"/>
      <scheme val="minor"/>
    </font>
    <font>
      <b/>
      <sz val="12"/>
      <name val="B Mitra"/>
      <charset val="178"/>
    </font>
    <font>
      <sz val="12"/>
      <name val="B Mitra"/>
      <charset val="178"/>
    </font>
    <font>
      <sz val="12"/>
      <name val="Mitra"/>
      <charset val="178"/>
    </font>
    <font>
      <sz val="12"/>
      <color indexed="9"/>
      <name val="B Mitra"/>
      <charset val="178"/>
    </font>
    <font>
      <sz val="12"/>
      <color theme="1"/>
      <name val="B Mitra"/>
      <charset val="178"/>
    </font>
    <font>
      <b/>
      <u/>
      <sz val="14"/>
      <color theme="1"/>
      <name val="B Mitra"/>
      <charset val="178"/>
    </font>
    <font>
      <b/>
      <sz val="12"/>
      <color theme="1"/>
      <name val="B Mitra"/>
      <charset val="178"/>
    </font>
    <font>
      <b/>
      <sz val="11"/>
      <color theme="1"/>
      <name val="Calibri"/>
      <family val="2"/>
      <scheme val="minor"/>
    </font>
    <font>
      <b/>
      <sz val="11"/>
      <color theme="1"/>
      <name val="B Lotus"/>
      <charset val="178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B Mitra"/>
      <charset val="178"/>
    </font>
    <font>
      <sz val="14"/>
      <color theme="1"/>
      <name val="B Mitra"/>
      <charset val="178"/>
    </font>
    <font>
      <b/>
      <sz val="14"/>
      <color theme="1"/>
      <name val="B Mitra"/>
      <charset val="178"/>
    </font>
    <font>
      <b/>
      <sz val="12"/>
      <color theme="1"/>
      <name val="Calibri"/>
      <family val="2"/>
      <scheme val="minor"/>
    </font>
    <font>
      <sz val="9"/>
      <color theme="1"/>
      <name val="B Mitra"/>
      <charset val="178"/>
    </font>
    <font>
      <sz val="10"/>
      <color theme="1"/>
      <name val="B Mitra"/>
      <charset val="178"/>
    </font>
    <font>
      <b/>
      <sz val="11"/>
      <color theme="1"/>
      <name val="B Mitra"/>
      <charset val="178"/>
    </font>
    <font>
      <sz val="8"/>
      <color theme="1"/>
      <name val="Calibri"/>
      <family val="2"/>
      <scheme val="minor"/>
    </font>
    <font>
      <u/>
      <sz val="14"/>
      <color theme="1"/>
      <name val="B Mitra"/>
      <charset val="178"/>
    </font>
    <font>
      <sz val="11"/>
      <name val="B Mitra"/>
      <charset val="178"/>
    </font>
    <font>
      <b/>
      <sz val="9"/>
      <color theme="1"/>
      <name val="B Mitra"/>
      <charset val="178"/>
    </font>
    <font>
      <sz val="11"/>
      <color rgb="FFFF0000"/>
      <name val="B Mitra"/>
      <charset val="178"/>
    </font>
    <font>
      <b/>
      <sz val="6"/>
      <color theme="1"/>
      <name val="B Mitra"/>
      <charset val="178"/>
    </font>
    <font>
      <b/>
      <sz val="6"/>
      <name val="B Mitra"/>
      <charset val="178"/>
    </font>
    <font>
      <b/>
      <u/>
      <sz val="10"/>
      <color theme="1"/>
      <name val="B Mitra"/>
      <charset val="178"/>
    </font>
    <font>
      <sz val="10"/>
      <name val="B Mitra"/>
      <charset val="178"/>
    </font>
    <font>
      <sz val="9"/>
      <name val="Mitra"/>
      <charset val="178"/>
    </font>
    <font>
      <b/>
      <sz val="8"/>
      <name val="B Mitra"/>
      <charset val="178"/>
    </font>
    <font>
      <sz val="8"/>
      <name val="B Mitra"/>
      <charset val="178"/>
    </font>
    <font>
      <sz val="8"/>
      <name val="Mitra"/>
      <charset val="178"/>
    </font>
    <font>
      <b/>
      <sz val="14"/>
      <name val="B Mitra"/>
      <charset val="178"/>
    </font>
    <font>
      <b/>
      <sz val="8"/>
      <color theme="1"/>
      <name val="B Mitra"/>
      <charset val="178"/>
    </font>
    <font>
      <sz val="8"/>
      <color theme="1"/>
      <name val="B Mitra"/>
      <charset val="178"/>
    </font>
    <font>
      <sz val="11"/>
      <color theme="1"/>
      <name val="Calibri"/>
      <family val="2"/>
      <scheme val="minor"/>
    </font>
    <font>
      <b/>
      <sz val="11"/>
      <name val="B Mitra"/>
      <charset val="178"/>
    </font>
    <font>
      <b/>
      <sz val="10"/>
      <name val="B Mitra"/>
      <charset val="178"/>
    </font>
    <font>
      <sz val="11"/>
      <name val="Mitra"/>
      <charset val="178"/>
    </font>
    <font>
      <sz val="7"/>
      <color theme="1"/>
      <name val="B Mitra"/>
      <charset val="178"/>
    </font>
    <font>
      <sz val="7"/>
      <color theme="1"/>
      <name val="Calibri"/>
      <family val="2"/>
      <scheme val="minor"/>
    </font>
    <font>
      <b/>
      <u/>
      <sz val="12"/>
      <color theme="1"/>
      <name val="B Mitra"/>
      <charset val="178"/>
    </font>
    <font>
      <sz val="10"/>
      <color rgb="FFFF0000"/>
      <name val="B Mitra"/>
      <charset val="178"/>
    </font>
    <font>
      <sz val="9"/>
      <name val="B Mitra"/>
      <charset val="178"/>
    </font>
    <font>
      <b/>
      <u/>
      <sz val="11"/>
      <color theme="1"/>
      <name val="B Mitra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41">
    <xf numFmtId="0" fontId="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</cellStyleXfs>
  <cellXfs count="829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2" fontId="1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49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right" vertical="center" readingOrder="2"/>
    </xf>
    <xf numFmtId="164" fontId="2" fillId="0" borderId="0" xfId="0" applyNumberFormat="1" applyFont="1" applyBorder="1" applyAlignment="1">
      <alignment horizontal="right" vertical="center" readingOrder="2"/>
    </xf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Alignment="1">
      <alignment readingOrder="2"/>
    </xf>
    <xf numFmtId="0" fontId="2" fillId="0" borderId="3" xfId="0" applyFont="1" applyBorder="1"/>
    <xf numFmtId="0" fontId="2" fillId="0" borderId="4" xfId="0" applyFont="1" applyBorder="1" applyAlignment="1">
      <alignment horizontal="center" vertical="center" readingOrder="2"/>
    </xf>
    <xf numFmtId="0" fontId="2" fillId="0" borderId="2" xfId="0" applyFont="1" applyBorder="1"/>
    <xf numFmtId="0" fontId="2" fillId="0" borderId="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7" fillId="0" borderId="0" xfId="0" applyFont="1"/>
    <xf numFmtId="3" fontId="5" fillId="0" borderId="0" xfId="0" applyNumberFormat="1" applyFont="1" applyAlignment="1">
      <alignment horizontal="center"/>
    </xf>
    <xf numFmtId="0" fontId="8" fillId="0" borderId="0" xfId="0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2" xfId="0" applyNumberFormat="1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0" fontId="2" fillId="0" borderId="0" xfId="0" applyFont="1" applyBorder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" fontId="14" fillId="0" borderId="0" xfId="0" applyNumberFormat="1" applyFont="1"/>
    <xf numFmtId="0" fontId="1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/>
    <xf numFmtId="0" fontId="14" fillId="0" borderId="0" xfId="0" applyFont="1" applyAlignme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19" fillId="0" borderId="0" xfId="0" applyFont="1"/>
    <xf numFmtId="0" fontId="5" fillId="0" borderId="0" xfId="0" applyFont="1" applyAlignment="1">
      <alignment readingOrder="2"/>
    </xf>
    <xf numFmtId="0" fontId="0" fillId="0" borderId="0" xfId="0" applyAlignment="1">
      <alignment horizontal="center" readingOrder="2"/>
    </xf>
    <xf numFmtId="0" fontId="5" fillId="0" borderId="0" xfId="0" applyFont="1" applyAlignment="1">
      <alignment horizontal="center" readingOrder="2"/>
    </xf>
    <xf numFmtId="49" fontId="0" fillId="0" borderId="0" xfId="0" applyNumberFormat="1" applyAlignment="1">
      <alignment horizontal="center" readingOrder="2"/>
    </xf>
    <xf numFmtId="3" fontId="0" fillId="0" borderId="0" xfId="0" applyNumberFormat="1" applyAlignment="1">
      <alignment horizontal="center" readingOrder="2"/>
    </xf>
    <xf numFmtId="0" fontId="0" fillId="0" borderId="0" xfId="0" applyAlignment="1">
      <alignment readingOrder="2"/>
    </xf>
    <xf numFmtId="0" fontId="0" fillId="0" borderId="0" xfId="0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5" fillId="0" borderId="2" xfId="0" applyFont="1" applyBorder="1" applyAlignment="1">
      <alignment horizontal="center" readingOrder="2"/>
    </xf>
    <xf numFmtId="0" fontId="0" fillId="0" borderId="0" xfId="0" applyFill="1" applyAlignment="1">
      <alignment readingOrder="2"/>
    </xf>
    <xf numFmtId="37" fontId="0" fillId="0" borderId="0" xfId="0" applyNumberFormat="1" applyFill="1" applyAlignment="1">
      <alignment readingOrder="2"/>
    </xf>
    <xf numFmtId="4" fontId="0" fillId="0" borderId="0" xfId="0" applyNumberFormat="1" applyFill="1" applyAlignment="1">
      <alignment readingOrder="2"/>
    </xf>
    <xf numFmtId="0" fontId="6" fillId="0" borderId="0" xfId="0" applyFont="1" applyAlignment="1">
      <alignment readingOrder="2"/>
    </xf>
    <xf numFmtId="0" fontId="6" fillId="0" borderId="0" xfId="0" applyFont="1" applyAlignment="1">
      <alignment horizontal="center" readingOrder="2"/>
    </xf>
    <xf numFmtId="49" fontId="0" fillId="0" borderId="0" xfId="0" applyNumberFormat="1" applyAlignment="1">
      <alignment readingOrder="2"/>
    </xf>
    <xf numFmtId="0" fontId="9" fillId="0" borderId="0" xfId="0" applyFont="1" applyAlignment="1">
      <alignment horizontal="center" readingOrder="2"/>
    </xf>
    <xf numFmtId="0" fontId="8" fillId="0" borderId="0" xfId="0" applyFont="1" applyAlignment="1">
      <alignment readingOrder="2"/>
    </xf>
    <xf numFmtId="3" fontId="5" fillId="0" borderId="0" xfId="0" applyNumberFormat="1" applyFont="1" applyAlignment="1">
      <alignment horizontal="center" readingOrder="2"/>
    </xf>
    <xf numFmtId="0" fontId="10" fillId="0" borderId="0" xfId="0" applyFont="1" applyAlignment="1">
      <alignment readingOrder="2"/>
    </xf>
    <xf numFmtId="0" fontId="13" fillId="0" borderId="0" xfId="0" applyFont="1" applyAlignment="1">
      <alignment readingOrder="2"/>
    </xf>
    <xf numFmtId="0" fontId="18" fillId="0" borderId="0" xfId="0" applyFont="1" applyAlignment="1">
      <alignment horizontal="right" readingOrder="2"/>
    </xf>
    <xf numFmtId="0" fontId="18" fillId="0" borderId="0" xfId="0" applyFont="1" applyAlignment="1">
      <alignment horizontal="center" readingOrder="2"/>
    </xf>
    <xf numFmtId="0" fontId="18" fillId="0" borderId="0" xfId="0" applyFont="1" applyAlignment="1">
      <alignment horizontal="center" vertical="center" wrapText="1" readingOrder="2"/>
    </xf>
    <xf numFmtId="0" fontId="13" fillId="0" borderId="0" xfId="0" applyFont="1" applyAlignment="1">
      <alignment horizontal="right" readingOrder="2"/>
    </xf>
    <xf numFmtId="0" fontId="18" fillId="0" borderId="0" xfId="0" applyFont="1" applyAlignment="1">
      <alignment horizontal="center" vertical="center" readingOrder="2"/>
    </xf>
    <xf numFmtId="0" fontId="13" fillId="0" borderId="0" xfId="0" applyFont="1" applyAlignment="1">
      <alignment horizontal="center" vertical="center" readingOrder="2"/>
    </xf>
    <xf numFmtId="0" fontId="18" fillId="0" borderId="2" xfId="0" applyFont="1" applyBorder="1" applyAlignment="1">
      <alignment horizontal="center" vertical="center" readingOrder="2"/>
    </xf>
    <xf numFmtId="0" fontId="5" fillId="0" borderId="0" xfId="0" applyFont="1" applyAlignment="1">
      <alignment horizontal="right" readingOrder="2"/>
    </xf>
    <xf numFmtId="0" fontId="5" fillId="0" borderId="4" xfId="0" applyFont="1" applyBorder="1" applyAlignment="1">
      <alignment horizontal="center" readingOrder="2"/>
    </xf>
    <xf numFmtId="0" fontId="15" fillId="0" borderId="0" xfId="0" applyFont="1" applyAlignment="1">
      <alignment readingOrder="2"/>
    </xf>
    <xf numFmtId="0" fontId="11" fillId="0" borderId="0" xfId="0" applyFont="1" applyAlignment="1">
      <alignment readingOrder="2"/>
    </xf>
    <xf numFmtId="0" fontId="0" fillId="0" borderId="0" xfId="0" applyBorder="1" applyAlignment="1">
      <alignment readingOrder="2"/>
    </xf>
    <xf numFmtId="3" fontId="0" fillId="0" borderId="0" xfId="0" applyNumberFormat="1" applyAlignment="1">
      <alignment readingOrder="2"/>
    </xf>
    <xf numFmtId="0" fontId="10" fillId="0" borderId="0" xfId="0" applyFont="1" applyAlignment="1">
      <alignment vertical="center" wrapText="1" readingOrder="2"/>
    </xf>
    <xf numFmtId="0" fontId="20" fillId="0" borderId="0" xfId="0" applyFont="1"/>
    <xf numFmtId="164" fontId="2" fillId="0" borderId="0" xfId="0" applyNumberFormat="1" applyFont="1" applyBorder="1" applyAlignment="1">
      <alignment horizontal="center" vertical="center" readingOrder="2"/>
    </xf>
    <xf numFmtId="3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readingOrder="2"/>
    </xf>
    <xf numFmtId="0" fontId="0" fillId="0" borderId="0" xfId="0" applyAlignment="1">
      <alignment horizontal="center" readingOrder="2"/>
    </xf>
    <xf numFmtId="3" fontId="0" fillId="0" borderId="0" xfId="0" applyNumberFormat="1" applyAlignment="1">
      <alignment horizontal="center" readingOrder="2"/>
    </xf>
    <xf numFmtId="0" fontId="15" fillId="0" borderId="0" xfId="0" applyFont="1" applyAlignment="1">
      <alignment horizontal="right" readingOrder="2"/>
    </xf>
    <xf numFmtId="0" fontId="0" fillId="0" borderId="0" xfId="0" applyBorder="1"/>
    <xf numFmtId="16" fontId="5" fillId="0" borderId="0" xfId="0" applyNumberFormat="1" applyFont="1" applyAlignment="1">
      <alignment readingOrder="2"/>
    </xf>
    <xf numFmtId="14" fontId="5" fillId="0" borderId="0" xfId="0" applyNumberFormat="1" applyFont="1" applyAlignment="1">
      <alignment readingOrder="2"/>
    </xf>
    <xf numFmtId="0" fontId="7" fillId="0" borderId="0" xfId="0" applyFont="1" applyAlignment="1">
      <alignment readingOrder="2"/>
    </xf>
    <xf numFmtId="0" fontId="15" fillId="0" borderId="0" xfId="0" applyFont="1" applyAlignment="1">
      <alignment horizontal="center" readingOrder="2"/>
    </xf>
    <xf numFmtId="0" fontId="15" fillId="0" borderId="0" xfId="0" applyFont="1" applyAlignment="1">
      <alignment horizontal="center" readingOrder="2"/>
    </xf>
    <xf numFmtId="0" fontId="5" fillId="0" borderId="0" xfId="0" applyFont="1" applyAlignment="1">
      <alignment horizontal="right" readingOrder="2"/>
    </xf>
    <xf numFmtId="0" fontId="5" fillId="0" borderId="0" xfId="0" applyFont="1" applyBorder="1" applyAlignment="1">
      <alignment horizontal="center" readingOrder="2"/>
    </xf>
    <xf numFmtId="3" fontId="5" fillId="0" borderId="1" xfId="0" applyNumberFormat="1" applyFont="1" applyBorder="1" applyAlignment="1">
      <alignment horizontal="center" readingOrder="2"/>
    </xf>
    <xf numFmtId="3" fontId="5" fillId="0" borderId="10" xfId="0" applyNumberFormat="1" applyFont="1" applyBorder="1" applyAlignment="1">
      <alignment horizontal="center" readingOrder="2"/>
    </xf>
    <xf numFmtId="0" fontId="14" fillId="0" borderId="0" xfId="0" applyFont="1" applyAlignment="1">
      <alignment horizontal="right" readingOrder="2"/>
    </xf>
    <xf numFmtId="49" fontId="5" fillId="0" borderId="0" xfId="0" applyNumberFormat="1" applyFont="1" applyAlignment="1">
      <alignment horizontal="center" readingOrder="2"/>
    </xf>
    <xf numFmtId="0" fontId="5" fillId="0" borderId="0" xfId="0" applyFont="1" applyAlignment="1">
      <alignment readingOrder="2"/>
    </xf>
    <xf numFmtId="0" fontId="1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14" fillId="0" borderId="0" xfId="0" applyFont="1" applyAlignment="1">
      <alignment readingOrder="2"/>
    </xf>
    <xf numFmtId="0" fontId="14" fillId="0" borderId="0" xfId="0" applyFont="1" applyAlignment="1">
      <alignment horizontal="center" readingOrder="2"/>
    </xf>
    <xf numFmtId="0" fontId="17" fillId="0" borderId="0" xfId="0" applyFont="1" applyAlignment="1">
      <alignment horizontal="center" readingOrder="2"/>
    </xf>
    <xf numFmtId="0" fontId="13" fillId="0" borderId="0" xfId="0" applyFont="1" applyAlignment="1">
      <alignment horizontal="center" readingOrder="2"/>
    </xf>
    <xf numFmtId="0" fontId="0" fillId="0" borderId="0" xfId="0" applyFont="1" applyAlignment="1">
      <alignment readingOrder="2"/>
    </xf>
    <xf numFmtId="0" fontId="12" fillId="0" borderId="0" xfId="0" applyFont="1" applyAlignment="1">
      <alignment readingOrder="2"/>
    </xf>
    <xf numFmtId="0" fontId="16" fillId="0" borderId="0" xfId="0" applyFont="1" applyAlignment="1">
      <alignment readingOrder="2"/>
    </xf>
    <xf numFmtId="0" fontId="5" fillId="2" borderId="0" xfId="0" applyFont="1" applyFill="1" applyAlignment="1">
      <alignment readingOrder="2"/>
    </xf>
    <xf numFmtId="0" fontId="5" fillId="0" borderId="4" xfId="0" applyFont="1" applyBorder="1" applyAlignment="1">
      <alignment vertical="center" readingOrder="2"/>
    </xf>
    <xf numFmtId="0" fontId="5" fillId="0" borderId="4" xfId="0" applyFont="1" applyBorder="1" applyAlignment="1">
      <alignment horizontal="center" vertical="center" readingOrder="2"/>
    </xf>
    <xf numFmtId="0" fontId="5" fillId="0" borderId="11" xfId="0" applyFont="1" applyBorder="1" applyAlignment="1">
      <alignment vertical="center" readingOrder="2"/>
    </xf>
    <xf numFmtId="3" fontId="5" fillId="0" borderId="4" xfId="0" applyNumberFormat="1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8" fillId="0" borderId="0" xfId="0" applyFont="1" applyBorder="1" applyAlignment="1">
      <alignment readingOrder="2"/>
    </xf>
    <xf numFmtId="0" fontId="14" fillId="0" borderId="0" xfId="0" applyFont="1" applyAlignment="1">
      <alignment horizontal="right" readingOrder="2"/>
    </xf>
    <xf numFmtId="3" fontId="17" fillId="0" borderId="0" xfId="0" applyNumberFormat="1" applyFont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3" fontId="5" fillId="0" borderId="0" xfId="0" applyNumberFormat="1" applyFont="1" applyBorder="1" applyAlignment="1">
      <alignment horizontal="center" readingOrder="2"/>
    </xf>
    <xf numFmtId="0" fontId="5" fillId="0" borderId="0" xfId="0" applyFont="1" applyAlignment="1">
      <alignment horizontal="center" readingOrder="2"/>
    </xf>
    <xf numFmtId="3" fontId="0" fillId="0" borderId="0" xfId="0" applyNumberFormat="1" applyAlignment="1">
      <alignment horizontal="center" readingOrder="2"/>
    </xf>
    <xf numFmtId="3" fontId="5" fillId="0" borderId="0" xfId="0" applyNumberFormat="1" applyFont="1" applyAlignment="1">
      <alignment horizontal="center" vertical="center" readingOrder="2"/>
    </xf>
    <xf numFmtId="0" fontId="5" fillId="0" borderId="2" xfId="0" applyFont="1" applyBorder="1" applyAlignment="1">
      <alignment horizontal="center" vertical="center" wrapText="1" readingOrder="2"/>
    </xf>
    <xf numFmtId="0" fontId="0" fillId="2" borderId="0" xfId="0" applyFill="1" applyAlignment="1">
      <alignment readingOrder="2"/>
    </xf>
    <xf numFmtId="0" fontId="5" fillId="2" borderId="0" xfId="0" applyFont="1" applyFill="1" applyAlignment="1">
      <alignment horizontal="center" readingOrder="2"/>
    </xf>
    <xf numFmtId="0" fontId="13" fillId="0" borderId="10" xfId="0" applyFont="1" applyBorder="1" applyAlignment="1">
      <alignment horizontal="center" readingOrder="2"/>
    </xf>
    <xf numFmtId="3" fontId="13" fillId="0" borderId="0" xfId="0" applyNumberFormat="1" applyFont="1" applyAlignment="1">
      <alignment readingOrder="2"/>
    </xf>
    <xf numFmtId="3" fontId="13" fillId="0" borderId="1" xfId="0" applyNumberFormat="1" applyFont="1" applyBorder="1" applyAlignment="1">
      <alignment horizontal="center" readingOrder="2"/>
    </xf>
    <xf numFmtId="49" fontId="13" fillId="0" borderId="0" xfId="0" applyNumberFormat="1" applyFont="1" applyAlignment="1">
      <alignment readingOrder="2"/>
    </xf>
    <xf numFmtId="3" fontId="13" fillId="0" borderId="10" xfId="0" applyNumberFormat="1" applyFont="1" applyBorder="1" applyAlignment="1">
      <alignment horizontal="center" readingOrder="2"/>
    </xf>
    <xf numFmtId="0" fontId="13" fillId="0" borderId="0" xfId="0" applyFont="1" applyBorder="1" applyAlignment="1">
      <alignment horizontal="center" readingOrder="2"/>
    </xf>
    <xf numFmtId="0" fontId="18" fillId="0" borderId="0" xfId="0" applyFont="1" applyAlignment="1">
      <alignment readingOrder="2"/>
    </xf>
    <xf numFmtId="3" fontId="18" fillId="0" borderId="0" xfId="0" applyNumberFormat="1" applyFont="1" applyAlignment="1">
      <alignment horizontal="center" readingOrder="2"/>
    </xf>
    <xf numFmtId="3" fontId="18" fillId="0" borderId="1" xfId="0" applyNumberFormat="1" applyFont="1" applyBorder="1" applyAlignment="1">
      <alignment horizontal="center" readingOrder="2"/>
    </xf>
    <xf numFmtId="0" fontId="5" fillId="0" borderId="0" xfId="0" applyFont="1" applyAlignment="1">
      <alignment readingOrder="2"/>
    </xf>
    <xf numFmtId="3" fontId="0" fillId="0" borderId="0" xfId="0" applyNumberFormat="1" applyAlignment="1">
      <alignment horizontal="center" readingOrder="2"/>
    </xf>
    <xf numFmtId="0" fontId="15" fillId="0" borderId="0" xfId="0" applyFont="1" applyAlignment="1">
      <alignment horizontal="right" readingOrder="2"/>
    </xf>
    <xf numFmtId="0" fontId="5" fillId="0" borderId="0" xfId="0" applyFont="1" applyAlignment="1">
      <alignment horizontal="center" readingOrder="2"/>
    </xf>
    <xf numFmtId="0" fontId="5" fillId="0" borderId="2" xfId="0" applyFont="1" applyBorder="1" applyAlignment="1">
      <alignment horizontal="center" readingOrder="2"/>
    </xf>
    <xf numFmtId="3" fontId="13" fillId="0" borderId="0" xfId="0" applyNumberFormat="1" applyFont="1" applyAlignment="1">
      <alignment horizontal="center"/>
    </xf>
    <xf numFmtId="3" fontId="13" fillId="0" borderId="0" xfId="0" applyNumberFormat="1" applyFont="1"/>
    <xf numFmtId="3" fontId="5" fillId="0" borderId="0" xfId="0" applyNumberFormat="1" applyFont="1"/>
    <xf numFmtId="3" fontId="13" fillId="0" borderId="2" xfId="0" applyNumberFormat="1" applyFont="1" applyBorder="1" applyAlignment="1">
      <alignment horizontal="center" readingOrder="2"/>
    </xf>
    <xf numFmtId="0" fontId="5" fillId="0" borderId="0" xfId="0" applyFont="1" applyAlignment="1">
      <alignment vertical="center"/>
    </xf>
    <xf numFmtId="3" fontId="5" fillId="0" borderId="0" xfId="0" applyNumberFormat="1" applyFont="1" applyBorder="1"/>
    <xf numFmtId="0" fontId="13" fillId="0" borderId="0" xfId="0" applyFont="1" applyBorder="1" applyAlignment="1">
      <alignment horizontal="center" vertical="center"/>
    </xf>
    <xf numFmtId="3" fontId="13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readingOrder="2"/>
    </xf>
    <xf numFmtId="3" fontId="5" fillId="0" borderId="0" xfId="0" applyNumberFormat="1" applyFont="1" applyBorder="1" applyAlignment="1">
      <alignment readingOrder="2"/>
    </xf>
    <xf numFmtId="1" fontId="5" fillId="0" borderId="0" xfId="0" applyNumberFormat="1" applyFont="1" applyAlignment="1">
      <alignment horizontal="center" readingOrder="2"/>
    </xf>
    <xf numFmtId="3" fontId="13" fillId="2" borderId="0" xfId="0" applyNumberFormat="1" applyFont="1" applyFill="1" applyBorder="1" applyAlignment="1">
      <alignment horizontal="right" vertical="center" wrapText="1" readingOrder="2"/>
    </xf>
    <xf numFmtId="3" fontId="13" fillId="0" borderId="0" xfId="0" applyNumberFormat="1" applyFont="1" applyBorder="1" applyAlignment="1">
      <alignment horizontal="right" vertical="center" wrapText="1" readingOrder="2"/>
    </xf>
    <xf numFmtId="0" fontId="15" fillId="0" borderId="0" xfId="0" applyFont="1" applyAlignment="1">
      <alignment horizontal="right" vertical="center" readingOrder="2"/>
    </xf>
    <xf numFmtId="0" fontId="2" fillId="0" borderId="0" xfId="0" applyFont="1" applyAlignment="1">
      <alignment vertical="center"/>
    </xf>
    <xf numFmtId="3" fontId="2" fillId="0" borderId="4" xfId="0" applyNumberFormat="1" applyFont="1" applyBorder="1" applyAlignment="1">
      <alignment horizontal="center" vertical="center" readingOrder="2"/>
    </xf>
    <xf numFmtId="3" fontId="4" fillId="0" borderId="4" xfId="0" applyNumberFormat="1" applyFont="1" applyBorder="1" applyAlignment="1">
      <alignment readingOrder="2"/>
    </xf>
    <xf numFmtId="0" fontId="2" fillId="0" borderId="4" xfId="0" applyNumberFormat="1" applyFont="1" applyBorder="1" applyAlignment="1">
      <alignment horizontal="center" vertical="center" readingOrder="2"/>
    </xf>
    <xf numFmtId="0" fontId="4" fillId="0" borderId="4" xfId="0" applyNumberFormat="1" applyFont="1" applyBorder="1" applyAlignment="1">
      <alignment readingOrder="2"/>
    </xf>
    <xf numFmtId="3" fontId="5" fillId="0" borderId="4" xfId="0" applyNumberFormat="1" applyFont="1" applyBorder="1"/>
    <xf numFmtId="3" fontId="18" fillId="0" borderId="0" xfId="0" applyNumberFormat="1" applyFont="1" applyAlignment="1">
      <alignment horizontal="center" vertical="center" wrapText="1" readingOrder="2"/>
    </xf>
    <xf numFmtId="3" fontId="18" fillId="0" borderId="0" xfId="0" applyNumberFormat="1" applyFont="1" applyBorder="1" applyAlignment="1">
      <alignment horizontal="center" readingOrder="2"/>
    </xf>
    <xf numFmtId="165" fontId="18" fillId="0" borderId="0" xfId="0" applyNumberFormat="1" applyFont="1" applyAlignment="1">
      <alignment horizontal="center" readingOrder="2"/>
    </xf>
    <xf numFmtId="3" fontId="13" fillId="0" borderId="1" xfId="0" applyNumberFormat="1" applyFont="1" applyBorder="1" applyAlignment="1">
      <alignment readingOrder="2"/>
    </xf>
    <xf numFmtId="0" fontId="13" fillId="0" borderId="0" xfId="0" applyFont="1" applyBorder="1" applyAlignment="1">
      <alignment readingOrder="2"/>
    </xf>
    <xf numFmtId="3" fontId="13" fillId="0" borderId="0" xfId="0" applyNumberFormat="1" applyFont="1" applyAlignment="1">
      <alignment horizontal="center" vertical="center" readingOrder="2"/>
    </xf>
    <xf numFmtId="3" fontId="13" fillId="0" borderId="0" xfId="0" applyNumberFormat="1" applyFont="1" applyBorder="1" applyAlignment="1">
      <alignment horizontal="center" vertical="center" readingOrder="2"/>
    </xf>
    <xf numFmtId="0" fontId="13" fillId="0" borderId="0" xfId="0" applyFont="1" applyAlignment="1">
      <alignment horizontal="right" wrapText="1" readingOrder="2"/>
    </xf>
    <xf numFmtId="3" fontId="18" fillId="0" borderId="2" xfId="0" applyNumberFormat="1" applyFont="1" applyBorder="1" applyAlignment="1">
      <alignment horizontal="center" vertical="center" wrapText="1" readingOrder="2"/>
    </xf>
    <xf numFmtId="0" fontId="17" fillId="0" borderId="0" xfId="0" applyFont="1" applyAlignment="1">
      <alignment readingOrder="2"/>
    </xf>
    <xf numFmtId="3" fontId="23" fillId="0" borderId="0" xfId="0" applyNumberFormat="1" applyFont="1" applyAlignment="1">
      <alignment horizontal="center" readingOrder="2"/>
    </xf>
    <xf numFmtId="0" fontId="23" fillId="0" borderId="0" xfId="0" applyFont="1" applyAlignment="1">
      <alignment horizontal="center" readingOrder="2"/>
    </xf>
    <xf numFmtId="0" fontId="23" fillId="0" borderId="0" xfId="0" applyFont="1" applyBorder="1" applyAlignment="1">
      <alignment horizontal="center" readingOrder="2"/>
    </xf>
    <xf numFmtId="165" fontId="23" fillId="0" borderId="0" xfId="0" applyNumberFormat="1" applyFont="1" applyAlignment="1">
      <alignment horizontal="center" readingOrder="2"/>
    </xf>
    <xf numFmtId="165" fontId="5" fillId="0" borderId="0" xfId="0" applyNumberFormat="1" applyFont="1" applyAlignment="1">
      <alignment horizontal="center" readingOrder="2"/>
    </xf>
    <xf numFmtId="165" fontId="17" fillId="0" borderId="0" xfId="0" applyNumberFormat="1" applyFont="1" applyAlignment="1">
      <alignment horizontal="center" readingOrder="2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right" vertical="center"/>
    </xf>
    <xf numFmtId="3" fontId="5" fillId="0" borderId="5" xfId="0" applyNumberFormat="1" applyFont="1" applyBorder="1" applyAlignment="1"/>
    <xf numFmtId="3" fontId="5" fillId="0" borderId="10" xfId="0" applyNumberFormat="1" applyFont="1" applyBorder="1" applyAlignment="1"/>
    <xf numFmtId="3" fontId="5" fillId="0" borderId="6" xfId="0" applyNumberFormat="1" applyFont="1" applyBorder="1" applyAlignment="1"/>
    <xf numFmtId="1" fontId="5" fillId="0" borderId="4" xfId="0" applyNumberFormat="1" applyFont="1" applyBorder="1" applyAlignment="1">
      <alignment horizontal="center"/>
    </xf>
    <xf numFmtId="3" fontId="5" fillId="0" borderId="9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readingOrder="2"/>
    </xf>
    <xf numFmtId="0" fontId="13" fillId="2" borderId="0" xfId="0" applyFont="1" applyFill="1" applyAlignment="1">
      <alignment readingOrder="2"/>
    </xf>
    <xf numFmtId="3" fontId="13" fillId="2" borderId="0" xfId="0" applyNumberFormat="1" applyFont="1" applyFill="1" applyAlignment="1">
      <alignment horizontal="center" readingOrder="2"/>
    </xf>
    <xf numFmtId="3" fontId="13" fillId="2" borderId="0" xfId="0" applyNumberFormat="1" applyFont="1" applyFill="1" applyAlignment="1">
      <alignment readingOrder="2"/>
    </xf>
    <xf numFmtId="0" fontId="13" fillId="0" borderId="2" xfId="0" applyFont="1" applyBorder="1" applyAlignment="1">
      <alignment horizontal="center" readingOrder="2"/>
    </xf>
    <xf numFmtId="165" fontId="13" fillId="0" borderId="0" xfId="0" applyNumberFormat="1" applyFont="1" applyAlignment="1">
      <alignment horizontal="center" readingOrder="2"/>
    </xf>
    <xf numFmtId="165" fontId="13" fillId="0" borderId="2" xfId="0" applyNumberFormat="1" applyFont="1" applyBorder="1" applyAlignment="1">
      <alignment horizontal="center" readingOrder="2"/>
    </xf>
    <xf numFmtId="165" fontId="0" fillId="0" borderId="0" xfId="0" applyNumberFormat="1" applyAlignment="1">
      <alignment readingOrder="2"/>
    </xf>
    <xf numFmtId="165" fontId="13" fillId="0" borderId="10" xfId="0" applyNumberFormat="1" applyFont="1" applyBorder="1" applyAlignment="1">
      <alignment horizontal="center" readingOrder="2"/>
    </xf>
    <xf numFmtId="165" fontId="13" fillId="0" borderId="12" xfId="0" applyNumberFormat="1" applyFont="1" applyBorder="1" applyAlignment="1">
      <alignment horizontal="center" readingOrder="2"/>
    </xf>
    <xf numFmtId="0" fontId="5" fillId="0" borderId="0" xfId="0" applyFont="1" applyAlignment="1">
      <alignment readingOrder="2"/>
    </xf>
    <xf numFmtId="3" fontId="0" fillId="0" borderId="0" xfId="0" applyNumberFormat="1" applyAlignment="1">
      <alignment horizontal="center" readingOrder="2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4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readingOrder="2"/>
    </xf>
    <xf numFmtId="165" fontId="5" fillId="0" borderId="0" xfId="0" applyNumberFormat="1" applyFont="1" applyAlignment="1">
      <alignment horizontal="center" vertical="center" readingOrder="2"/>
    </xf>
    <xf numFmtId="3" fontId="5" fillId="2" borderId="0" xfId="0" applyNumberFormat="1" applyFont="1" applyFill="1" applyAlignment="1">
      <alignment horizontal="center" readingOrder="2"/>
    </xf>
    <xf numFmtId="0" fontId="13" fillId="0" borderId="0" xfId="0" applyFont="1" applyAlignment="1">
      <alignment wrapText="1" readingOrder="2"/>
    </xf>
    <xf numFmtId="49" fontId="13" fillId="0" borderId="0" xfId="0" applyNumberFormat="1" applyFont="1" applyAlignment="1">
      <alignment horizontal="center" vertical="center" readingOrder="2"/>
    </xf>
    <xf numFmtId="3" fontId="5" fillId="0" borderId="4" xfId="0" applyNumberFormat="1" applyFont="1" applyBorder="1" applyAlignment="1">
      <alignment vertical="center" readingOrder="2"/>
    </xf>
    <xf numFmtId="166" fontId="26" fillId="0" borderId="0" xfId="0" applyNumberFormat="1" applyFont="1" applyAlignment="1">
      <alignment horizontal="center" readingOrder="2"/>
    </xf>
    <xf numFmtId="0" fontId="25" fillId="0" borderId="2" xfId="0" applyFont="1" applyBorder="1" applyAlignment="1">
      <alignment readingOrder="2"/>
    </xf>
    <xf numFmtId="0" fontId="25" fillId="0" borderId="4" xfId="0" applyFont="1" applyBorder="1" applyAlignment="1">
      <alignment horizontal="center" readingOrder="2"/>
    </xf>
    <xf numFmtId="0" fontId="25" fillId="0" borderId="4" xfId="0" applyFont="1" applyBorder="1" applyAlignment="1">
      <alignment readingOrder="2"/>
    </xf>
    <xf numFmtId="166" fontId="26" fillId="0" borderId="4" xfId="0" applyNumberFormat="1" applyFont="1" applyBorder="1" applyAlignment="1">
      <alignment horizontal="center" readingOrder="2"/>
    </xf>
    <xf numFmtId="0" fontId="25" fillId="0" borderId="0" xfId="0" applyFont="1" applyAlignment="1">
      <alignment horizontal="center" readingOrder="2"/>
    </xf>
    <xf numFmtId="0" fontId="25" fillId="0" borderId="0" xfId="0" applyFont="1" applyAlignment="1">
      <alignment readingOrder="2"/>
    </xf>
    <xf numFmtId="3" fontId="25" fillId="0" borderId="0" xfId="0" applyNumberFormat="1" applyFont="1" applyAlignment="1">
      <alignment horizontal="center" readingOrder="2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 applyAlignment="1">
      <alignment horizontal="center"/>
    </xf>
    <xf numFmtId="0" fontId="29" fillId="0" borderId="0" xfId="0" applyFont="1"/>
    <xf numFmtId="0" fontId="31" fillId="0" borderId="0" xfId="0" applyFont="1" applyAlignment="1"/>
    <xf numFmtId="0" fontId="31" fillId="0" borderId="0" xfId="0" applyFont="1"/>
    <xf numFmtId="164" fontId="31" fillId="0" borderId="0" xfId="0" applyNumberFormat="1" applyFont="1" applyBorder="1" applyAlignment="1">
      <alignment horizontal="center" vertical="center"/>
    </xf>
    <xf numFmtId="164" fontId="28" fillId="0" borderId="0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49" fontId="3" fillId="0" borderId="0" xfId="0" applyNumberFormat="1" applyFont="1"/>
    <xf numFmtId="164" fontId="2" fillId="0" borderId="0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6" fontId="3" fillId="0" borderId="0" xfId="0" applyNumberFormat="1" applyFont="1"/>
    <xf numFmtId="166" fontId="2" fillId="0" borderId="1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 readingOrder="2"/>
    </xf>
    <xf numFmtId="0" fontId="6" fillId="0" borderId="0" xfId="0" applyFont="1" applyAlignment="1">
      <alignment horizontal="center" readingOrder="2"/>
    </xf>
    <xf numFmtId="0" fontId="0" fillId="0" borderId="0" xfId="0" applyAlignment="1">
      <alignment horizontal="center" readingOrder="2"/>
    </xf>
    <xf numFmtId="3" fontId="0" fillId="0" borderId="0" xfId="0" applyNumberFormat="1" applyAlignment="1">
      <alignment horizontal="center" readingOrder="2"/>
    </xf>
    <xf numFmtId="1" fontId="0" fillId="0" borderId="2" xfId="0" applyNumberFormat="1" applyBorder="1" applyAlignment="1">
      <alignment horizontal="center" readingOrder="2"/>
    </xf>
    <xf numFmtId="0" fontId="13" fillId="0" borderId="4" xfId="0" applyFont="1" applyBorder="1" applyAlignment="1">
      <alignment horizontal="center" readingOrder="2"/>
    </xf>
    <xf numFmtId="0" fontId="13" fillId="0" borderId="0" xfId="0" applyFont="1" applyAlignment="1">
      <alignment horizontal="center" readingOrder="2"/>
    </xf>
    <xf numFmtId="3" fontId="13" fillId="0" borderId="2" xfId="0" applyNumberFormat="1" applyFont="1" applyBorder="1" applyAlignment="1">
      <alignment horizontal="center" readingOrder="2"/>
    </xf>
    <xf numFmtId="0" fontId="13" fillId="0" borderId="2" xfId="0" applyFont="1" applyBorder="1" applyAlignment="1">
      <alignment horizontal="center" readingOrder="2"/>
    </xf>
    <xf numFmtId="1" fontId="0" fillId="0" borderId="2" xfId="0" applyNumberFormat="1" applyBorder="1" applyAlignment="1">
      <alignment readingOrder="2"/>
    </xf>
    <xf numFmtId="1" fontId="0" fillId="0" borderId="0" xfId="0" applyNumberFormat="1" applyBorder="1" applyAlignment="1">
      <alignment readingOrder="2"/>
    </xf>
    <xf numFmtId="166" fontId="5" fillId="0" borderId="1" xfId="0" applyNumberFormat="1" applyFont="1" applyBorder="1" applyAlignment="1">
      <alignment horizontal="center" readingOrder="2"/>
    </xf>
    <xf numFmtId="0" fontId="0" fillId="0" borderId="2" xfId="0" applyBorder="1" applyAlignment="1">
      <alignment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readingOrder="2"/>
    </xf>
    <xf numFmtId="0" fontId="13" fillId="0" borderId="0" xfId="0" applyFont="1" applyAlignment="1">
      <alignment horizontal="center" readingOrder="2"/>
    </xf>
    <xf numFmtId="0" fontId="5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0" fontId="5" fillId="0" borderId="0" xfId="0" applyFont="1" applyAlignment="1">
      <alignment horizontal="center" readingOrder="2"/>
    </xf>
    <xf numFmtId="49" fontId="0" fillId="0" borderId="0" xfId="0" applyNumberFormat="1" applyAlignment="1">
      <alignment horizontal="center" vertical="center" readingOrder="2"/>
    </xf>
    <xf numFmtId="3" fontId="2" fillId="0" borderId="4" xfId="0" applyNumberFormat="1" applyFont="1" applyBorder="1" applyAlignment="1">
      <alignment horizontal="center" vertical="top" readingOrder="2"/>
    </xf>
    <xf numFmtId="0" fontId="2" fillId="0" borderId="4" xfId="0" applyNumberFormat="1" applyFont="1" applyBorder="1" applyAlignment="1">
      <alignment horizontal="center" vertical="top" readingOrder="2"/>
    </xf>
    <xf numFmtId="166" fontId="2" fillId="0" borderId="0" xfId="0" applyNumberFormat="1" applyFont="1" applyAlignment="1">
      <alignment vertical="center"/>
    </xf>
    <xf numFmtId="0" fontId="0" fillId="0" borderId="0" xfId="0" applyBorder="1" applyAlignment="1">
      <alignment horizontal="center" readingOrder="2"/>
    </xf>
    <xf numFmtId="16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5" fillId="0" borderId="0" xfId="0" applyFont="1" applyAlignment="1">
      <alignment readingOrder="2"/>
    </xf>
    <xf numFmtId="3" fontId="13" fillId="0" borderId="0" xfId="0" applyNumberFormat="1" applyFont="1" applyBorder="1" applyAlignment="1">
      <alignment horizontal="center" readingOrder="2"/>
    </xf>
    <xf numFmtId="49" fontId="13" fillId="0" borderId="0" xfId="0" applyNumberFormat="1" applyFont="1" applyAlignment="1">
      <alignment horizontal="center" readingOrder="2"/>
    </xf>
    <xf numFmtId="49" fontId="13" fillId="2" borderId="0" xfId="0" applyNumberFormat="1" applyFont="1" applyFill="1" applyAlignment="1">
      <alignment horizontal="center" readingOrder="2"/>
    </xf>
    <xf numFmtId="165" fontId="13" fillId="0" borderId="4" xfId="0" applyNumberFormat="1" applyFont="1" applyBorder="1" applyAlignment="1">
      <alignment horizontal="center" vertical="center" readingOrder="2"/>
    </xf>
    <xf numFmtId="3" fontId="13" fillId="0" borderId="0" xfId="0" applyNumberFormat="1" applyFont="1" applyAlignment="1">
      <alignment horizontal="right" readingOrder="2"/>
    </xf>
    <xf numFmtId="1" fontId="13" fillId="0" borderId="0" xfId="0" applyNumberFormat="1" applyFont="1" applyAlignment="1">
      <alignment horizontal="center" readingOrder="2"/>
    </xf>
    <xf numFmtId="1" fontId="13" fillId="0" borderId="2" xfId="0" applyNumberFormat="1" applyFont="1" applyBorder="1" applyAlignment="1">
      <alignment horizontal="center" readingOrder="2"/>
    </xf>
    <xf numFmtId="1" fontId="13" fillId="0" borderId="0" xfId="0" applyNumberFormat="1" applyFont="1" applyAlignment="1">
      <alignment horizontal="center" vertical="top" readingOrder="2"/>
    </xf>
    <xf numFmtId="0" fontId="13" fillId="0" borderId="0" xfId="0" applyFont="1" applyAlignment="1">
      <alignment horizontal="center" vertical="top" readingOrder="2"/>
    </xf>
    <xf numFmtId="3" fontId="13" fillId="2" borderId="0" xfId="0" applyNumberFormat="1" applyFont="1" applyFill="1" applyAlignment="1">
      <alignment horizontal="right" readingOrder="2"/>
    </xf>
    <xf numFmtId="1" fontId="13" fillId="2" borderId="0" xfId="0" applyNumberFormat="1" applyFont="1" applyFill="1" applyAlignment="1">
      <alignment horizontal="center" readingOrder="2"/>
    </xf>
    <xf numFmtId="0" fontId="13" fillId="2" borderId="0" xfId="0" applyFont="1" applyFill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3" fontId="15" fillId="0" borderId="0" xfId="0" applyNumberFormat="1" applyFont="1" applyAlignment="1">
      <alignment horizontal="right" readingOrder="2"/>
    </xf>
    <xf numFmtId="0" fontId="13" fillId="0" borderId="2" xfId="0" applyFont="1" applyBorder="1" applyAlignment="1">
      <alignment horizontal="center" vertical="center" readingOrder="2"/>
    </xf>
    <xf numFmtId="0" fontId="13" fillId="0" borderId="0" xfId="0" applyFont="1" applyBorder="1" applyAlignment="1">
      <alignment horizontal="center" vertical="center" readingOrder="2"/>
    </xf>
    <xf numFmtId="3" fontId="13" fillId="0" borderId="1" xfId="0" applyNumberFormat="1" applyFont="1" applyBorder="1" applyAlignment="1">
      <alignment horizontal="center" vertical="center" readingOrder="2"/>
    </xf>
    <xf numFmtId="3" fontId="13" fillId="2" borderId="0" xfId="0" applyNumberFormat="1" applyFont="1" applyFill="1" applyAlignment="1">
      <alignment horizontal="center" vertical="center" readingOrder="2"/>
    </xf>
    <xf numFmtId="165" fontId="13" fillId="0" borderId="0" xfId="0" applyNumberFormat="1" applyFont="1" applyAlignment="1">
      <alignment horizontal="center" vertical="center" readingOrder="2"/>
    </xf>
    <xf numFmtId="3" fontId="13" fillId="0" borderId="12" xfId="0" applyNumberFormat="1" applyFont="1" applyBorder="1" applyAlignment="1">
      <alignment horizontal="center" readingOrder="2"/>
    </xf>
    <xf numFmtId="0" fontId="5" fillId="0" borderId="2" xfId="0" applyFont="1" applyBorder="1" applyAlignment="1">
      <alignment readingOrder="2"/>
    </xf>
    <xf numFmtId="0" fontId="2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49" fontId="19" fillId="0" borderId="0" xfId="0" applyNumberFormat="1" applyFont="1"/>
    <xf numFmtId="49" fontId="13" fillId="0" borderId="0" xfId="0" applyNumberFormat="1" applyFont="1"/>
    <xf numFmtId="3" fontId="13" fillId="2" borderId="1" xfId="0" applyNumberFormat="1" applyFont="1" applyFill="1" applyBorder="1" applyAlignment="1">
      <alignment horizontal="center" readingOrder="2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 readingOrder="2"/>
    </xf>
    <xf numFmtId="166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0" fontId="13" fillId="0" borderId="2" xfId="0" applyFont="1" applyBorder="1" applyAlignment="1">
      <alignment horizontal="center" vertical="center" readingOrder="2"/>
    </xf>
    <xf numFmtId="1" fontId="0" fillId="0" borderId="2" xfId="0" applyNumberFormat="1" applyBorder="1" applyAlignment="1">
      <alignment horizontal="center" readingOrder="2"/>
    </xf>
    <xf numFmtId="0" fontId="13" fillId="0" borderId="0" xfId="0" applyFont="1" applyAlignment="1">
      <alignment horizontal="center" readingOrder="2"/>
    </xf>
    <xf numFmtId="0" fontId="5" fillId="0" borderId="0" xfId="0" applyFont="1" applyAlignment="1">
      <alignment horizontal="center" readingOrder="2"/>
    </xf>
    <xf numFmtId="0" fontId="15" fillId="0" borderId="0" xfId="0" applyFont="1" applyAlignment="1"/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 readingOrder="2"/>
    </xf>
    <xf numFmtId="0" fontId="17" fillId="0" borderId="4" xfId="0" applyFont="1" applyBorder="1" applyAlignment="1">
      <alignment horizontal="center"/>
    </xf>
    <xf numFmtId="0" fontId="5" fillId="0" borderId="0" xfId="0" applyFont="1" applyAlignment="1">
      <alignment horizontal="center" readingOrder="2"/>
    </xf>
    <xf numFmtId="0" fontId="5" fillId="0" borderId="0" xfId="0" applyFont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165" fontId="2" fillId="0" borderId="13" xfId="0" applyNumberFormat="1" applyFont="1" applyBorder="1" applyAlignment="1">
      <alignment horizontal="center" vertical="center"/>
    </xf>
    <xf numFmtId="3" fontId="13" fillId="0" borderId="0" xfId="0" applyNumberFormat="1" applyFont="1" applyAlignment="1">
      <alignment horizontal="center" readingOrder="2"/>
    </xf>
    <xf numFmtId="1" fontId="13" fillId="0" borderId="2" xfId="0" applyNumberFormat="1" applyFont="1" applyBorder="1" applyAlignment="1">
      <alignment horizontal="center" readingOrder="2"/>
    </xf>
    <xf numFmtId="3" fontId="5" fillId="0" borderId="2" xfId="0" applyNumberFormat="1" applyFont="1" applyBorder="1" applyAlignment="1">
      <alignment horizontal="center" readingOrder="2"/>
    </xf>
    <xf numFmtId="0" fontId="13" fillId="0" borderId="0" xfId="0" applyFont="1" applyAlignment="1">
      <alignment horizontal="center" readingOrder="2"/>
    </xf>
    <xf numFmtId="166" fontId="26" fillId="0" borderId="2" xfId="0" applyNumberFormat="1" applyFont="1" applyBorder="1" applyAlignment="1">
      <alignment readingOrder="2"/>
    </xf>
    <xf numFmtId="166" fontId="26" fillId="0" borderId="4" xfId="0" applyNumberFormat="1" applyFont="1" applyBorder="1" applyAlignment="1">
      <alignment horizontal="center" readingOrder="2"/>
    </xf>
    <xf numFmtId="166" fontId="26" fillId="0" borderId="4" xfId="0" applyNumberFormat="1" applyFont="1" applyBorder="1" applyAlignment="1">
      <alignment horizontal="center" vertical="center" wrapText="1" readingOrder="2"/>
    </xf>
    <xf numFmtId="166" fontId="26" fillId="2" borderId="4" xfId="0" applyNumberFormat="1" applyFont="1" applyFill="1" applyBorder="1" applyAlignment="1">
      <alignment horizontal="center" readingOrder="2"/>
    </xf>
    <xf numFmtId="3" fontId="5" fillId="0" borderId="0" xfId="0" applyNumberFormat="1" applyFont="1" applyAlignment="1">
      <alignment horizontal="center" vertical="center" wrapText="1" readingOrder="2"/>
    </xf>
    <xf numFmtId="3" fontId="5" fillId="0" borderId="0" xfId="0" applyNumberFormat="1" applyFont="1" applyAlignment="1">
      <alignment vertical="center" wrapText="1" readingOrder="2"/>
    </xf>
    <xf numFmtId="3" fontId="5" fillId="0" borderId="0" xfId="0" applyNumberFormat="1" applyFont="1" applyAlignment="1">
      <alignment horizontal="right" vertical="center" wrapText="1" readingOrder="2"/>
    </xf>
    <xf numFmtId="3" fontId="5" fillId="2" borderId="0" xfId="0" applyNumberFormat="1" applyFont="1" applyFill="1" applyAlignment="1">
      <alignment horizontal="center" vertical="center" wrapText="1" readingOrder="2"/>
    </xf>
    <xf numFmtId="3" fontId="5" fillId="0" borderId="0" xfId="0" applyNumberFormat="1" applyFont="1" applyFill="1" applyAlignment="1">
      <alignment horizontal="center" vertical="center" wrapText="1" readingOrder="2"/>
    </xf>
    <xf numFmtId="3" fontId="5" fillId="0" borderId="4" xfId="0" applyNumberFormat="1" applyFont="1" applyBorder="1" applyAlignment="1">
      <alignment horizontal="center" vertical="center" wrapText="1" readingOrder="2"/>
    </xf>
    <xf numFmtId="3" fontId="5" fillId="2" borderId="4" xfId="0" applyNumberFormat="1" applyFont="1" applyFill="1" applyBorder="1" applyAlignment="1">
      <alignment horizontal="center" vertical="center" wrapText="1" readingOrder="2"/>
    </xf>
    <xf numFmtId="3" fontId="5" fillId="0" borderId="4" xfId="0" applyNumberFormat="1" applyFont="1" applyBorder="1" applyAlignment="1">
      <alignment horizontal="right" vertical="center" wrapText="1" readingOrder="2"/>
    </xf>
    <xf numFmtId="3" fontId="5" fillId="0" borderId="4" xfId="0" applyNumberFormat="1" applyFont="1" applyFill="1" applyBorder="1" applyAlignment="1">
      <alignment horizontal="center" vertical="center" wrapText="1" readingOrder="2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readingOrder="2"/>
    </xf>
    <xf numFmtId="49" fontId="13" fillId="0" borderId="2" xfId="0" applyNumberFormat="1" applyFont="1" applyBorder="1" applyAlignment="1">
      <alignment horizontal="center" vertical="center" readingOrder="2"/>
    </xf>
    <xf numFmtId="49" fontId="13" fillId="0" borderId="0" xfId="0" applyNumberFormat="1" applyFont="1" applyBorder="1" applyAlignment="1">
      <alignment horizontal="center" readingOrder="2"/>
    </xf>
    <xf numFmtId="49" fontId="13" fillId="0" borderId="0" xfId="0" applyNumberFormat="1" applyFont="1" applyBorder="1" applyAlignment="1">
      <alignment horizontal="center" vertical="center" readingOrder="2"/>
    </xf>
    <xf numFmtId="166" fontId="5" fillId="0" borderId="4" xfId="0" applyNumberFormat="1" applyFont="1" applyBorder="1" applyAlignment="1">
      <alignment horizontal="center" vertical="center" wrapText="1" readingOrder="2"/>
    </xf>
    <xf numFmtId="0" fontId="22" fillId="0" borderId="0" xfId="0" applyFont="1"/>
    <xf numFmtId="0" fontId="22" fillId="0" borderId="0" xfId="0" applyFont="1" applyAlignment="1">
      <alignment horizontal="justify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22" fillId="0" borderId="0" xfId="0" applyFont="1" applyBorder="1"/>
    <xf numFmtId="49" fontId="22" fillId="0" borderId="0" xfId="0" applyNumberFormat="1" applyFont="1"/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justify"/>
    </xf>
    <xf numFmtId="0" fontId="31" fillId="0" borderId="0" xfId="0" applyFont="1" applyAlignment="1">
      <alignment readingOrder="2"/>
    </xf>
    <xf numFmtId="0" fontId="32" fillId="0" borderId="0" xfId="0" applyFont="1"/>
    <xf numFmtId="164" fontId="32" fillId="0" borderId="0" xfId="0" applyNumberFormat="1" applyFont="1"/>
    <xf numFmtId="0" fontId="22" fillId="0" borderId="0" xfId="0" applyFont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164" fontId="22" fillId="0" borderId="0" xfId="0" applyNumberFormat="1" applyFont="1" applyAlignment="1">
      <alignment horizontal="right" vertical="center"/>
    </xf>
    <xf numFmtId="164" fontId="22" fillId="0" borderId="0" xfId="0" applyNumberFormat="1" applyFont="1" applyBorder="1" applyAlignment="1">
      <alignment horizontal="right" vertical="center"/>
    </xf>
    <xf numFmtId="164" fontId="22" fillId="0" borderId="1" xfId="0" applyNumberFormat="1" applyFont="1" applyBorder="1" applyAlignment="1">
      <alignment horizontal="right" vertical="center"/>
    </xf>
    <xf numFmtId="0" fontId="39" fillId="0" borderId="0" xfId="0" applyFont="1"/>
    <xf numFmtId="0" fontId="22" fillId="0" borderId="0" xfId="0" applyFont="1" applyBorder="1" applyAlignment="1">
      <alignment horizontal="justify"/>
    </xf>
    <xf numFmtId="0" fontId="22" fillId="0" borderId="0" xfId="0" applyFont="1" applyAlignment="1"/>
    <xf numFmtId="0" fontId="22" fillId="0" borderId="0" xfId="0" applyFont="1" applyBorder="1" applyAlignment="1"/>
    <xf numFmtId="0" fontId="22" fillId="0" borderId="0" xfId="0" applyFont="1" applyAlignment="1">
      <alignment wrapText="1"/>
    </xf>
    <xf numFmtId="0" fontId="22" fillId="0" borderId="0" xfId="0" applyFont="1" applyBorder="1" applyAlignment="1">
      <alignment wrapText="1"/>
    </xf>
    <xf numFmtId="0" fontId="22" fillId="0" borderId="0" xfId="0" applyFont="1" applyBorder="1" applyAlignment="1">
      <alignment horizontal="right"/>
    </xf>
    <xf numFmtId="0" fontId="2" fillId="0" borderId="0" xfId="0" applyFont="1" applyAlignment="1"/>
    <xf numFmtId="49" fontId="37" fillId="0" borderId="0" xfId="0" applyNumberFormat="1" applyFont="1"/>
    <xf numFmtId="164" fontId="22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readingOrder="2"/>
    </xf>
    <xf numFmtId="0" fontId="33" fillId="0" borderId="0" xfId="0" applyFont="1" applyAlignment="1">
      <alignment horizontal="right" vertical="center"/>
    </xf>
    <xf numFmtId="49" fontId="33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center" readingOrder="2"/>
    </xf>
    <xf numFmtId="0" fontId="13" fillId="0" borderId="0" xfId="0" applyFont="1" applyAlignment="1">
      <alignment horizontal="center" readingOrder="2"/>
    </xf>
    <xf numFmtId="164" fontId="28" fillId="0" borderId="13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/>
    </xf>
    <xf numFmtId="165" fontId="26" fillId="0" borderId="0" xfId="0" applyNumberFormat="1" applyFont="1" applyAlignment="1">
      <alignment horizontal="center" readingOrder="2"/>
    </xf>
    <xf numFmtId="165" fontId="26" fillId="0" borderId="4" xfId="0" applyNumberFormat="1" applyFont="1" applyBorder="1" applyAlignment="1">
      <alignment horizontal="center" readingOrder="2"/>
    </xf>
    <xf numFmtId="165" fontId="25" fillId="0" borderId="0" xfId="0" applyNumberFormat="1" applyFont="1" applyAlignment="1">
      <alignment horizontal="center" readingOrder="2"/>
    </xf>
    <xf numFmtId="0" fontId="21" fillId="0" borderId="0" xfId="0" applyFont="1" applyAlignment="1">
      <alignment readingOrder="2"/>
    </xf>
    <xf numFmtId="0" fontId="13" fillId="0" borderId="0" xfId="0" applyFont="1" applyAlignment="1">
      <alignment horizontal="center" readingOrder="2"/>
    </xf>
    <xf numFmtId="3" fontId="18" fillId="0" borderId="0" xfId="0" applyNumberFormat="1" applyFont="1" applyBorder="1" applyAlignment="1">
      <alignment horizontal="center" readingOrder="2"/>
    </xf>
    <xf numFmtId="0" fontId="2" fillId="0" borderId="0" xfId="0" applyFont="1" applyAlignment="1">
      <alignment horizontal="right"/>
    </xf>
    <xf numFmtId="3" fontId="28" fillId="2" borderId="1" xfId="0" applyNumberFormat="1" applyFont="1" applyFill="1" applyBorder="1" applyAlignment="1">
      <alignment horizontal="center" readingOrder="2"/>
    </xf>
    <xf numFmtId="0" fontId="13" fillId="0" borderId="2" xfId="0" applyFont="1" applyBorder="1" applyAlignment="1">
      <alignment horizontal="center"/>
    </xf>
    <xf numFmtId="3" fontId="13" fillId="0" borderId="0" xfId="0" applyNumberFormat="1" applyFont="1" applyAlignment="1">
      <alignment horizontal="center" readingOrder="2"/>
    </xf>
    <xf numFmtId="0" fontId="5" fillId="0" borderId="0" xfId="0" applyFont="1" applyAlignment="1">
      <alignment horizontal="right" readingOrder="2"/>
    </xf>
    <xf numFmtId="3" fontId="13" fillId="0" borderId="2" xfId="0" applyNumberFormat="1" applyFont="1" applyBorder="1" applyAlignment="1">
      <alignment horizontal="center" readingOrder="2"/>
    </xf>
    <xf numFmtId="0" fontId="31" fillId="0" borderId="0" xfId="0" applyFont="1" applyAlignment="1">
      <alignment horizontal="center"/>
    </xf>
    <xf numFmtId="49" fontId="13" fillId="2" borderId="0" xfId="0" applyNumberFormat="1" applyFont="1" applyFill="1" applyBorder="1" applyAlignment="1">
      <alignment horizontal="center" readingOrder="2"/>
    </xf>
    <xf numFmtId="49" fontId="3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49" fontId="38" fillId="0" borderId="0" xfId="0" applyNumberFormat="1" applyFont="1" applyAlignment="1">
      <alignment horizontal="center" readingOrder="2"/>
    </xf>
    <xf numFmtId="0" fontId="5" fillId="0" borderId="0" xfId="0" applyFont="1" applyAlignment="1">
      <alignment readingOrder="2"/>
    </xf>
    <xf numFmtId="0" fontId="6" fillId="0" borderId="0" xfId="0" applyFont="1" applyAlignment="1">
      <alignment horizontal="center" readingOrder="2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0" fontId="5" fillId="0" borderId="0" xfId="0" applyFont="1" applyAlignment="1">
      <alignment horizontal="right" readingOrder="2"/>
    </xf>
    <xf numFmtId="0" fontId="13" fillId="0" borderId="0" xfId="0" applyFont="1" applyAlignment="1">
      <alignment horizontal="right" vertical="center" readingOrder="2"/>
    </xf>
    <xf numFmtId="0" fontId="13" fillId="0" borderId="0" xfId="0" applyFont="1" applyAlignment="1">
      <alignment wrapText="1" readingOrder="2"/>
    </xf>
    <xf numFmtId="0" fontId="13" fillId="0" borderId="0" xfId="0" applyFont="1" applyAlignment="1">
      <alignment horizontal="center" readingOrder="2"/>
    </xf>
    <xf numFmtId="0" fontId="15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0" fontId="14" fillId="0" borderId="0" xfId="0" applyFont="1" applyAlignment="1">
      <alignment horizontal="right" readingOrder="2"/>
    </xf>
    <xf numFmtId="0" fontId="5" fillId="0" borderId="0" xfId="0" applyFont="1" applyAlignment="1">
      <alignment horizontal="center" readingOrder="2"/>
    </xf>
    <xf numFmtId="0" fontId="0" fillId="0" borderId="0" xfId="0" applyAlignment="1">
      <alignment vertical="center" readingOrder="2"/>
    </xf>
    <xf numFmtId="0" fontId="13" fillId="0" borderId="0" xfId="0" applyFont="1" applyAlignment="1">
      <alignment vertical="center" readingOrder="2"/>
    </xf>
    <xf numFmtId="3" fontId="13" fillId="0" borderId="0" xfId="0" applyNumberFormat="1" applyFont="1" applyFill="1" applyAlignment="1">
      <alignment readingOrder="2"/>
    </xf>
    <xf numFmtId="0" fontId="13" fillId="0" borderId="2" xfId="0" applyFont="1" applyFill="1" applyBorder="1" applyAlignment="1">
      <alignment horizontal="center" readingOrder="2"/>
    </xf>
    <xf numFmtId="3" fontId="5" fillId="0" borderId="0" xfId="0" applyNumberFormat="1" applyFont="1" applyFill="1" applyAlignment="1">
      <alignment horizontal="center" readingOrder="2"/>
    </xf>
    <xf numFmtId="3" fontId="13" fillId="0" borderId="0" xfId="0" applyNumberFormat="1" applyFont="1" applyFill="1" applyAlignment="1">
      <alignment horizontal="center" readingOrder="2"/>
    </xf>
    <xf numFmtId="3" fontId="13" fillId="0" borderId="1" xfId="0" applyNumberFormat="1" applyFont="1" applyFill="1" applyBorder="1" applyAlignment="1">
      <alignment horizontal="center" readingOrder="2"/>
    </xf>
    <xf numFmtId="3" fontId="13" fillId="0" borderId="0" xfId="0" applyNumberFormat="1" applyFont="1" applyFill="1" applyBorder="1" applyAlignment="1">
      <alignment horizontal="center" readingOrder="2"/>
    </xf>
    <xf numFmtId="3" fontId="5" fillId="0" borderId="0" xfId="0" applyNumberFormat="1" applyFont="1" applyFill="1" applyBorder="1" applyAlignment="1">
      <alignment horizontal="center" readingOrder="2"/>
    </xf>
    <xf numFmtId="3" fontId="5" fillId="0" borderId="2" xfId="0" applyNumberFormat="1" applyFont="1" applyFill="1" applyBorder="1" applyAlignment="1">
      <alignment horizontal="center" readingOrder="2"/>
    </xf>
    <xf numFmtId="3" fontId="5" fillId="0" borderId="1" xfId="0" applyNumberFormat="1" applyFont="1" applyFill="1" applyBorder="1" applyAlignment="1">
      <alignment horizontal="center" readingOrder="2"/>
    </xf>
    <xf numFmtId="3" fontId="0" fillId="0" borderId="0" xfId="0" applyNumberFormat="1" applyFill="1" applyAlignment="1">
      <alignment horizontal="center" readingOrder="2"/>
    </xf>
    <xf numFmtId="0" fontId="20" fillId="0" borderId="0" xfId="0" applyFont="1" applyAlignment="1">
      <alignment readingOrder="2"/>
    </xf>
    <xf numFmtId="0" fontId="40" fillId="0" borderId="0" xfId="0" applyFont="1" applyAlignment="1">
      <alignment readingOrder="2"/>
    </xf>
    <xf numFmtId="0" fontId="41" fillId="0" borderId="0" xfId="0" applyFont="1" applyAlignment="1">
      <alignment readingOrder="2"/>
    </xf>
    <xf numFmtId="3" fontId="17" fillId="0" borderId="0" xfId="0" applyNumberFormat="1" applyFont="1" applyAlignment="1">
      <alignment readingOrder="2"/>
    </xf>
    <xf numFmtId="1" fontId="10" fillId="0" borderId="0" xfId="0" applyNumberFormat="1" applyFont="1" applyBorder="1" applyAlignment="1">
      <alignment readingOrder="2"/>
    </xf>
    <xf numFmtId="0" fontId="5" fillId="0" borderId="0" xfId="0" applyFont="1" applyBorder="1" applyAlignment="1">
      <alignment horizontal="right" vertical="center" readingOrder="2"/>
    </xf>
    <xf numFmtId="3" fontId="18" fillId="0" borderId="0" xfId="0" applyNumberFormat="1" applyFont="1" applyAlignment="1">
      <alignment horizontal="right" readingOrder="2"/>
    </xf>
    <xf numFmtId="3" fontId="18" fillId="0" borderId="0" xfId="0" applyNumberFormat="1" applyFont="1" applyBorder="1" applyAlignment="1">
      <alignment horizontal="right" readingOrder="2"/>
    </xf>
    <xf numFmtId="3" fontId="13" fillId="0" borderId="0" xfId="0" applyNumberFormat="1" applyFont="1" applyBorder="1" applyAlignment="1">
      <alignment horizontal="right" readingOrder="2"/>
    </xf>
    <xf numFmtId="1" fontId="0" fillId="0" borderId="0" xfId="0" applyNumberFormat="1" applyBorder="1" applyAlignment="1">
      <alignment vertical="center" readingOrder="2"/>
    </xf>
    <xf numFmtId="3" fontId="18" fillId="0" borderId="0" xfId="0" applyNumberFormat="1" applyFont="1" applyBorder="1" applyAlignment="1">
      <alignment readingOrder="2"/>
    </xf>
    <xf numFmtId="0" fontId="13" fillId="0" borderId="0" xfId="0" applyFont="1" applyBorder="1" applyAlignment="1">
      <alignment horizontal="right" vertical="center"/>
    </xf>
    <xf numFmtId="49" fontId="13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center" readingOrder="2"/>
    </xf>
    <xf numFmtId="0" fontId="0" fillId="0" borderId="0" xfId="0" applyAlignment="1">
      <alignment horizontal="left" readingOrder="2"/>
    </xf>
    <xf numFmtId="3" fontId="5" fillId="0" borderId="0" xfId="0" applyNumberFormat="1" applyFont="1" applyAlignment="1">
      <alignment horizontal="right" readingOrder="2"/>
    </xf>
    <xf numFmtId="165" fontId="5" fillId="0" borderId="0" xfId="0" applyNumberFormat="1" applyFont="1" applyBorder="1" applyAlignment="1">
      <alignment horizontal="center" readingOrder="2"/>
    </xf>
    <xf numFmtId="3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right" readingOrder="2"/>
    </xf>
    <xf numFmtId="0" fontId="13" fillId="0" borderId="0" xfId="0" applyFont="1" applyAlignment="1">
      <alignment wrapText="1" readingOrder="2"/>
    </xf>
    <xf numFmtId="49" fontId="13" fillId="0" borderId="0" xfId="0" applyNumberFormat="1" applyFont="1" applyAlignment="1">
      <alignment horizontal="right" readingOrder="2"/>
    </xf>
    <xf numFmtId="0" fontId="13" fillId="0" borderId="0" xfId="0" applyFont="1" applyAlignment="1">
      <alignment horizontal="center" readingOrder="2"/>
    </xf>
    <xf numFmtId="166" fontId="26" fillId="0" borderId="4" xfId="0" applyNumberFormat="1" applyFont="1" applyBorder="1" applyAlignment="1">
      <alignment horizontal="center" readingOrder="2"/>
    </xf>
    <xf numFmtId="0" fontId="5" fillId="0" borderId="0" xfId="0" applyFont="1" applyAlignment="1">
      <alignment horizontal="center" readingOrder="2"/>
    </xf>
    <xf numFmtId="49" fontId="5" fillId="0" borderId="0" xfId="0" applyNumberFormat="1" applyFont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wrapText="1" readingOrder="2"/>
    </xf>
    <xf numFmtId="0" fontId="5" fillId="0" borderId="0" xfId="0" applyFont="1" applyAlignment="1">
      <alignment readingOrder="2"/>
    </xf>
    <xf numFmtId="0" fontId="13" fillId="0" borderId="0" xfId="0" applyFont="1" applyAlignment="1">
      <alignment horizontal="right" wrapText="1" readingOrder="2"/>
    </xf>
    <xf numFmtId="3" fontId="13" fillId="0" borderId="0" xfId="0" applyNumberFormat="1" applyFont="1" applyAlignment="1">
      <alignment horizontal="center" readingOrder="2"/>
    </xf>
    <xf numFmtId="49" fontId="13" fillId="0" borderId="0" xfId="0" applyNumberFormat="1" applyFont="1" applyAlignment="1">
      <alignment horizontal="right" vertical="center" readingOrder="2"/>
    </xf>
    <xf numFmtId="0" fontId="13" fillId="0" borderId="0" xfId="0" applyFont="1" applyAlignment="1">
      <alignment horizontal="right" readingOrder="2"/>
    </xf>
    <xf numFmtId="3" fontId="13" fillId="0" borderId="0" xfId="0" applyNumberFormat="1" applyFont="1" applyAlignment="1">
      <alignment horizontal="center" readingOrder="2"/>
    </xf>
    <xf numFmtId="3" fontId="10" fillId="0" borderId="2" xfId="0" applyNumberFormat="1" applyFont="1" applyBorder="1" applyAlignment="1">
      <alignment readingOrder="2"/>
    </xf>
    <xf numFmtId="3" fontId="6" fillId="0" borderId="0" xfId="0" applyNumberFormat="1" applyFont="1" applyAlignment="1">
      <alignment horizontal="center" readingOrder="2"/>
    </xf>
    <xf numFmtId="3" fontId="0" fillId="0" borderId="2" xfId="0" applyNumberFormat="1" applyBorder="1" applyAlignment="1">
      <alignment readingOrder="2"/>
    </xf>
    <xf numFmtId="3" fontId="13" fillId="2" borderId="0" xfId="0" applyNumberFormat="1" applyFont="1" applyFill="1" applyBorder="1" applyAlignment="1">
      <alignment horizontal="center" readingOrder="2"/>
    </xf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3" fontId="18" fillId="2" borderId="0" xfId="0" applyNumberFormat="1" applyFont="1" applyFill="1" applyAlignment="1">
      <alignment horizontal="center"/>
    </xf>
    <xf numFmtId="3" fontId="18" fillId="2" borderId="10" xfId="0" applyNumberFormat="1" applyFont="1" applyFill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18" fillId="0" borderId="2" xfId="0" applyNumberFormat="1" applyFont="1" applyBorder="1" applyAlignment="1">
      <alignment horizontal="center"/>
    </xf>
    <xf numFmtId="3" fontId="18" fillId="2" borderId="2" xfId="0" applyNumberFormat="1" applyFont="1" applyFill="1" applyBorder="1" applyAlignment="1">
      <alignment horizontal="center"/>
    </xf>
    <xf numFmtId="3" fontId="18" fillId="2" borderId="0" xfId="0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3" fontId="43" fillId="0" borderId="0" xfId="0" applyNumberFormat="1" applyFont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center" readingOrder="2"/>
    </xf>
    <xf numFmtId="165" fontId="13" fillId="0" borderId="1" xfId="0" applyNumberFormat="1" applyFont="1" applyBorder="1" applyAlignment="1">
      <alignment horizontal="center" readingOrder="2"/>
    </xf>
    <xf numFmtId="165" fontId="13" fillId="0" borderId="13" xfId="0" applyNumberFormat="1" applyFont="1" applyBorder="1" applyAlignment="1">
      <alignment horizontal="center" readingOrder="2"/>
    </xf>
    <xf numFmtId="0" fontId="13" fillId="0" borderId="0" xfId="0" applyFont="1" applyFill="1" applyBorder="1" applyAlignment="1">
      <alignment horizontal="center" readingOrder="2"/>
    </xf>
    <xf numFmtId="3" fontId="13" fillId="0" borderId="0" xfId="0" applyNumberFormat="1" applyFont="1" applyBorder="1" applyAlignment="1">
      <alignment horizontal="center" vertical="top" readingOrder="2"/>
    </xf>
    <xf numFmtId="1" fontId="13" fillId="0" borderId="0" xfId="0" applyNumberFormat="1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readingOrder="2"/>
    </xf>
    <xf numFmtId="1" fontId="0" fillId="0" borderId="0" xfId="0" applyNumberFormat="1" applyBorder="1" applyAlignment="1">
      <alignment horizontal="center" readingOrder="2"/>
    </xf>
    <xf numFmtId="0" fontId="5" fillId="0" borderId="0" xfId="0" applyFont="1" applyAlignment="1">
      <alignment horizontal="center" readingOrder="2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0" fontId="5" fillId="0" borderId="0" xfId="0" applyFont="1" applyAlignment="1">
      <alignment horizontal="right" readingOrder="2"/>
    </xf>
    <xf numFmtId="49" fontId="13" fillId="0" borderId="0" xfId="0" applyNumberFormat="1" applyFont="1" applyAlignment="1">
      <alignment horizontal="right" readingOrder="2"/>
    </xf>
    <xf numFmtId="0" fontId="28" fillId="0" borderId="0" xfId="0" applyFont="1" applyAlignment="1">
      <alignment horizontal="right" vertical="center"/>
    </xf>
    <xf numFmtId="166" fontId="26" fillId="0" borderId="4" xfId="0" applyNumberFormat="1" applyFont="1" applyBorder="1" applyAlignment="1">
      <alignment horizontal="center" readingOrder="2"/>
    </xf>
    <xf numFmtId="3" fontId="5" fillId="0" borderId="8" xfId="0" applyNumberFormat="1" applyFont="1" applyFill="1" applyBorder="1" applyAlignment="1">
      <alignment horizontal="center" vertical="center" wrapText="1" readingOrder="2"/>
    </xf>
    <xf numFmtId="3" fontId="21" fillId="0" borderId="0" xfId="0" applyNumberFormat="1" applyFont="1" applyAlignment="1">
      <alignment horizontal="center" readingOrder="2"/>
    </xf>
    <xf numFmtId="3" fontId="1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wrapText="1"/>
    </xf>
    <xf numFmtId="3" fontId="13" fillId="0" borderId="1" xfId="0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6" fontId="5" fillId="0" borderId="0" xfId="0" applyNumberFormat="1" applyFont="1" applyBorder="1" applyAlignment="1">
      <alignment horizontal="center" readingOrder="2"/>
    </xf>
    <xf numFmtId="3" fontId="13" fillId="0" borderId="2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 vertical="top" readingOrder="2"/>
    </xf>
    <xf numFmtId="3" fontId="0" fillId="0" borderId="1" xfId="0" applyNumberFormat="1" applyFill="1" applyBorder="1" applyAlignment="1">
      <alignment horizontal="center" readingOrder="2"/>
    </xf>
    <xf numFmtId="3" fontId="5" fillId="3" borderId="9" xfId="0" applyNumberFormat="1" applyFont="1" applyFill="1" applyBorder="1" applyAlignment="1">
      <alignment horizontal="center" vertical="center" wrapText="1" readingOrder="2"/>
    </xf>
    <xf numFmtId="3" fontId="5" fillId="0" borderId="0" xfId="0" applyNumberFormat="1" applyFont="1" applyBorder="1" applyAlignment="1">
      <alignment horizontal="right"/>
    </xf>
    <xf numFmtId="3" fontId="5" fillId="2" borderId="0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 readingOrder="2"/>
    </xf>
    <xf numFmtId="49" fontId="5" fillId="0" borderId="0" xfId="0" applyNumberFormat="1" applyFont="1" applyAlignment="1">
      <alignment readingOrder="2"/>
    </xf>
    <xf numFmtId="3" fontId="2" fillId="0" borderId="0" xfId="0" applyNumberFormat="1" applyFont="1" applyAlignment="1">
      <alignment horizontal="center" readingOrder="2"/>
    </xf>
    <xf numFmtId="3" fontId="2" fillId="0" borderId="1" xfId="0" applyNumberFormat="1" applyFont="1" applyBorder="1" applyAlignment="1">
      <alignment horizontal="center" readingOrder="2"/>
    </xf>
    <xf numFmtId="0" fontId="5" fillId="2" borderId="0" xfId="0" applyFont="1" applyFill="1" applyAlignment="1">
      <alignment horizontal="center"/>
    </xf>
    <xf numFmtId="166" fontId="44" fillId="0" borderId="4" xfId="0" applyNumberFormat="1" applyFont="1" applyBorder="1" applyAlignment="1">
      <alignment horizontal="center" vertical="center" wrapText="1" readingOrder="2"/>
    </xf>
    <xf numFmtId="165" fontId="44" fillId="0" borderId="4" xfId="0" applyNumberFormat="1" applyFont="1" applyBorder="1" applyAlignment="1">
      <alignment horizontal="center" vertical="center" wrapText="1" readingOrder="2"/>
    </xf>
    <xf numFmtId="3" fontId="5" fillId="0" borderId="0" xfId="0" applyNumberFormat="1" applyFont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readingOrder="2"/>
    </xf>
    <xf numFmtId="0" fontId="22" fillId="2" borderId="0" xfId="0" applyFont="1" applyFill="1"/>
    <xf numFmtId="3" fontId="13" fillId="0" borderId="0" xfId="0" applyNumberFormat="1" applyFont="1" applyAlignment="1">
      <alignment vertical="center" readingOrder="2"/>
    </xf>
    <xf numFmtId="3" fontId="13" fillId="0" borderId="0" xfId="0" applyNumberFormat="1" applyFont="1" applyAlignment="1">
      <alignment vertical="center" wrapText="1" readingOrder="2"/>
    </xf>
    <xf numFmtId="3" fontId="18" fillId="0" borderId="15" xfId="0" applyNumberFormat="1" applyFont="1" applyBorder="1" applyAlignment="1">
      <alignment horizontal="center"/>
    </xf>
    <xf numFmtId="3" fontId="18" fillId="2" borderId="12" xfId="0" applyNumberFormat="1" applyFont="1" applyFill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readingOrder="2"/>
    </xf>
    <xf numFmtId="0" fontId="28" fillId="0" borderId="0" xfId="0" applyFont="1" applyAlignment="1">
      <alignment readingOrder="2"/>
    </xf>
    <xf numFmtId="0" fontId="28" fillId="0" borderId="2" xfId="0" applyFont="1" applyBorder="1" applyAlignment="1">
      <alignment horizontal="center" vertical="center" readingOrder="2"/>
    </xf>
    <xf numFmtId="0" fontId="28" fillId="0" borderId="0" xfId="0" applyFont="1" applyAlignment="1">
      <alignment horizontal="left" vertical="center" readingOrder="2"/>
    </xf>
    <xf numFmtId="164" fontId="28" fillId="0" borderId="0" xfId="0" applyNumberFormat="1" applyFont="1" applyAlignment="1">
      <alignment horizontal="center" vertical="center" readingOrder="2"/>
    </xf>
    <xf numFmtId="164" fontId="28" fillId="0" borderId="0" xfId="0" quotePrefix="1" applyNumberFormat="1" applyFont="1" applyAlignment="1">
      <alignment horizontal="center" vertical="center" readingOrder="2"/>
    </xf>
    <xf numFmtId="166" fontId="28" fillId="0" borderId="0" xfId="0" applyNumberFormat="1" applyFont="1" applyBorder="1" applyAlignment="1">
      <alignment horizontal="center" vertical="center" readingOrder="1"/>
    </xf>
    <xf numFmtId="0" fontId="28" fillId="0" borderId="0" xfId="0" quotePrefix="1" applyNumberFormat="1" applyFont="1" applyBorder="1" applyAlignment="1">
      <alignment horizontal="center" vertical="center" readingOrder="2"/>
    </xf>
    <xf numFmtId="164" fontId="28" fillId="0" borderId="2" xfId="0" applyNumberFormat="1" applyFont="1" applyBorder="1" applyAlignment="1">
      <alignment horizontal="center" vertical="center" readingOrder="2"/>
    </xf>
    <xf numFmtId="164" fontId="28" fillId="0" borderId="2" xfId="0" quotePrefix="1" applyNumberFormat="1" applyFont="1" applyBorder="1" applyAlignment="1">
      <alignment horizontal="center" vertical="center" readingOrder="2"/>
    </xf>
    <xf numFmtId="164" fontId="28" fillId="0" borderId="0" xfId="0" applyNumberFormat="1" applyFont="1" applyBorder="1" applyAlignment="1">
      <alignment horizontal="center" vertical="center" readingOrder="2"/>
    </xf>
    <xf numFmtId="166" fontId="28" fillId="0" borderId="2" xfId="0" applyNumberFormat="1" applyFont="1" applyBorder="1" applyAlignment="1">
      <alignment horizontal="center" vertical="center" readingOrder="1"/>
    </xf>
    <xf numFmtId="166" fontId="28" fillId="0" borderId="10" xfId="0" quotePrefix="1" applyNumberFormat="1" applyFont="1" applyBorder="1" applyAlignment="1">
      <alignment horizontal="center" vertical="center" readingOrder="2"/>
    </xf>
    <xf numFmtId="164" fontId="28" fillId="0" borderId="10" xfId="0" applyNumberFormat="1" applyFont="1" applyBorder="1" applyAlignment="1">
      <alignment horizontal="center" vertical="center" readingOrder="2"/>
    </xf>
    <xf numFmtId="166" fontId="28" fillId="0" borderId="10" xfId="0" applyNumberFormat="1" applyFont="1" applyBorder="1" applyAlignment="1">
      <alignment horizontal="center" vertical="center" readingOrder="1"/>
    </xf>
    <xf numFmtId="3" fontId="28" fillId="0" borderId="2" xfId="0" applyNumberFormat="1" applyFont="1" applyBorder="1" applyAlignment="1">
      <alignment horizontal="center" vertical="center" readingOrder="2"/>
    </xf>
    <xf numFmtId="3" fontId="28" fillId="0" borderId="0" xfId="0" quotePrefix="1" applyNumberFormat="1" applyFont="1" applyBorder="1" applyAlignment="1">
      <alignment horizontal="center" vertical="center" readingOrder="2"/>
    </xf>
    <xf numFmtId="164" fontId="28" fillId="0" borderId="0" xfId="0" quotePrefix="1" applyNumberFormat="1" applyFont="1" applyBorder="1" applyAlignment="1">
      <alignment horizontal="center" vertical="center" readingOrder="2"/>
    </xf>
    <xf numFmtId="0" fontId="28" fillId="0" borderId="0" xfId="0" quotePrefix="1" applyFont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3" fontId="28" fillId="0" borderId="2" xfId="0" quotePrefix="1" applyNumberFormat="1" applyFont="1" applyBorder="1" applyAlignment="1">
      <alignment horizontal="center" vertical="center" readingOrder="2"/>
    </xf>
    <xf numFmtId="3" fontId="28" fillId="0" borderId="2" xfId="0" quotePrefix="1" applyNumberFormat="1" applyFont="1" applyBorder="1" applyAlignment="1">
      <alignment horizontal="center" vertical="center"/>
    </xf>
    <xf numFmtId="0" fontId="28" fillId="0" borderId="2" xfId="0" quotePrefix="1" applyFont="1" applyBorder="1" applyAlignment="1">
      <alignment horizontal="center" vertical="center"/>
    </xf>
    <xf numFmtId="0" fontId="28" fillId="0" borderId="0" xfId="0" quotePrefix="1" applyFont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/>
    </xf>
    <xf numFmtId="166" fontId="28" fillId="0" borderId="1" xfId="0" quotePrefix="1" applyNumberFormat="1" applyFont="1" applyBorder="1" applyAlignment="1">
      <alignment horizontal="center" vertical="center" readingOrder="2"/>
    </xf>
    <xf numFmtId="164" fontId="28" fillId="0" borderId="12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 readingOrder="1"/>
    </xf>
    <xf numFmtId="166" fontId="28" fillId="0" borderId="12" xfId="0" quotePrefix="1" applyNumberFormat="1" applyFont="1" applyBorder="1" applyAlignment="1">
      <alignment horizontal="center" vertical="center" readingOrder="2"/>
    </xf>
    <xf numFmtId="3" fontId="28" fillId="0" borderId="1" xfId="0" applyNumberFormat="1" applyFont="1" applyBorder="1" applyAlignment="1">
      <alignment horizontal="center" vertical="center"/>
    </xf>
    <xf numFmtId="0" fontId="28" fillId="0" borderId="0" xfId="0" applyFont="1" applyBorder="1"/>
    <xf numFmtId="166" fontId="28" fillId="0" borderId="0" xfId="0" applyNumberFormat="1" applyFont="1" applyBorder="1"/>
    <xf numFmtId="49" fontId="28" fillId="0" borderId="0" xfId="0" applyNumberFormat="1" applyFont="1"/>
    <xf numFmtId="0" fontId="2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right" vertical="center"/>
    </xf>
    <xf numFmtId="166" fontId="2" fillId="2" borderId="0" xfId="0" applyNumberFormat="1" applyFont="1" applyFill="1" applyAlignment="1">
      <alignment vertical="center"/>
    </xf>
    <xf numFmtId="0" fontId="5" fillId="0" borderId="0" xfId="0" applyFont="1" applyAlignment="1">
      <alignment readingOrder="2"/>
    </xf>
    <xf numFmtId="165" fontId="34" fillId="0" borderId="0" xfId="0" applyNumberFormat="1" applyFont="1" applyAlignment="1">
      <alignment horizontal="center" readingOrder="2"/>
    </xf>
    <xf numFmtId="3" fontId="17" fillId="2" borderId="0" xfId="0" applyNumberFormat="1" applyFont="1" applyFill="1" applyBorder="1" applyAlignment="1">
      <alignment horizontal="center" vertical="center" readingOrder="2"/>
    </xf>
    <xf numFmtId="3" fontId="17" fillId="0" borderId="0" xfId="0" applyNumberFormat="1" applyFont="1" applyBorder="1" applyAlignment="1">
      <alignment horizontal="right" vertical="center" readingOrder="2"/>
    </xf>
    <xf numFmtId="0" fontId="17" fillId="0" borderId="0" xfId="0" applyFont="1" applyBorder="1" applyAlignment="1">
      <alignment horizontal="right" vertical="center" readingOrder="2"/>
    </xf>
    <xf numFmtId="3" fontId="5" fillId="2" borderId="1" xfId="0" applyNumberFormat="1" applyFont="1" applyFill="1" applyBorder="1" applyAlignment="1">
      <alignment horizontal="center" readingOrder="2"/>
    </xf>
    <xf numFmtId="0" fontId="17" fillId="0" borderId="0" xfId="0" applyFont="1" applyAlignment="1">
      <alignment vertical="center" readingOrder="2"/>
    </xf>
    <xf numFmtId="3" fontId="17" fillId="0" borderId="0" xfId="0" applyNumberFormat="1" applyFont="1" applyAlignment="1">
      <alignment horizontal="center" vertical="center" readingOrder="2"/>
    </xf>
    <xf numFmtId="3" fontId="35" fillId="0" borderId="0" xfId="0" applyNumberFormat="1" applyFont="1" applyAlignment="1">
      <alignment horizontal="center" vertical="center" readingOrder="2"/>
    </xf>
    <xf numFmtId="165" fontId="23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3" fontId="17" fillId="0" borderId="2" xfId="0" applyNumberFormat="1" applyFont="1" applyBorder="1" applyAlignment="1">
      <alignment horizontal="center" vertical="center" readingOrder="2"/>
    </xf>
    <xf numFmtId="165" fontId="17" fillId="0" borderId="0" xfId="0" applyNumberFormat="1" applyFont="1" applyAlignment="1">
      <alignment horizontal="center" vertical="center" readingOrder="2"/>
    </xf>
    <xf numFmtId="0" fontId="23" fillId="0" borderId="0" xfId="0" applyFont="1" applyAlignment="1">
      <alignment horizontal="center" vertical="center" readingOrder="2"/>
    </xf>
    <xf numFmtId="3" fontId="17" fillId="2" borderId="0" xfId="0" applyNumberFormat="1" applyFont="1" applyFill="1" applyAlignment="1">
      <alignment vertical="center" readingOrder="2"/>
    </xf>
    <xf numFmtId="3" fontId="17" fillId="2" borderId="0" xfId="0" applyNumberFormat="1" applyFont="1" applyFill="1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3" fontId="17" fillId="2" borderId="0" xfId="0" applyNumberFormat="1" applyFont="1" applyFill="1" applyBorder="1" applyAlignment="1">
      <alignment vertical="center" readingOrder="2"/>
    </xf>
    <xf numFmtId="3" fontId="17" fillId="0" borderId="0" xfId="0" applyNumberFormat="1" applyFont="1" applyBorder="1" applyAlignment="1">
      <alignment horizontal="center" vertical="center" readingOrder="2"/>
    </xf>
    <xf numFmtId="165" fontId="17" fillId="0" borderId="0" xfId="0" applyNumberFormat="1" applyFont="1" applyBorder="1" applyAlignment="1">
      <alignment horizontal="center" vertical="center" readingOrder="2"/>
    </xf>
    <xf numFmtId="165" fontId="17" fillId="0" borderId="2" xfId="0" applyNumberFormat="1" applyFont="1" applyBorder="1" applyAlignment="1">
      <alignment horizontal="center" vertical="center" readingOrder="2"/>
    </xf>
    <xf numFmtId="3" fontId="17" fillId="2" borderId="13" xfId="0" applyNumberFormat="1" applyFont="1" applyFill="1" applyBorder="1" applyAlignment="1">
      <alignment horizontal="center" vertical="center" readingOrder="2"/>
    </xf>
    <xf numFmtId="3" fontId="17" fillId="0" borderId="13" xfId="0" applyNumberFormat="1" applyFont="1" applyBorder="1" applyAlignment="1">
      <alignment horizontal="center" vertical="center" readingOrder="2"/>
    </xf>
    <xf numFmtId="165" fontId="17" fillId="2" borderId="0" xfId="0" applyNumberFormat="1" applyFont="1" applyFill="1" applyBorder="1" applyAlignment="1">
      <alignment horizontal="center" vertical="center" readingOrder="2"/>
    </xf>
    <xf numFmtId="165" fontId="17" fillId="2" borderId="0" xfId="0" applyNumberFormat="1" applyFont="1" applyFill="1" applyBorder="1" applyAlignment="1">
      <alignment vertical="center" readingOrder="2"/>
    </xf>
    <xf numFmtId="3" fontId="17" fillId="2" borderId="1" xfId="0" applyNumberFormat="1" applyFont="1" applyFill="1" applyBorder="1" applyAlignment="1">
      <alignment horizontal="center" vertical="center" readingOrder="2"/>
    </xf>
    <xf numFmtId="165" fontId="17" fillId="0" borderId="1" xfId="0" applyNumberFormat="1" applyFont="1" applyBorder="1" applyAlignment="1">
      <alignment horizontal="center" vertical="center" readingOrder="2"/>
    </xf>
    <xf numFmtId="3" fontId="17" fillId="0" borderId="1" xfId="0" applyNumberFormat="1" applyFont="1" applyBorder="1" applyAlignment="1">
      <alignment horizontal="center" vertical="center" readingOrder="2"/>
    </xf>
    <xf numFmtId="0" fontId="5" fillId="0" borderId="0" xfId="0" applyFont="1" applyAlignment="1">
      <alignment readingOrder="2"/>
    </xf>
    <xf numFmtId="3" fontId="35" fillId="0" borderId="2" xfId="0" applyNumberFormat="1" applyFont="1" applyBorder="1" applyAlignment="1">
      <alignment horizontal="center" vertical="center" readingOrder="2"/>
    </xf>
    <xf numFmtId="165" fontId="35" fillId="0" borderId="2" xfId="0" applyNumberFormat="1" applyFont="1" applyBorder="1" applyAlignment="1">
      <alignment horizontal="center" vertical="center" wrapText="1" readingOrder="2"/>
    </xf>
    <xf numFmtId="0" fontId="5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3" fontId="5" fillId="0" borderId="0" xfId="0" applyNumberFormat="1" applyFont="1" applyAlignment="1">
      <alignment vertical="center" readingOrder="2"/>
    </xf>
    <xf numFmtId="3" fontId="7" fillId="0" borderId="0" xfId="0" applyNumberFormat="1" applyFont="1" applyAlignment="1">
      <alignment horizontal="center" vertical="center" readingOrder="2"/>
    </xf>
    <xf numFmtId="165" fontId="7" fillId="0" borderId="0" xfId="0" applyNumberFormat="1" applyFont="1" applyAlignment="1">
      <alignment horizontal="center" vertical="center" readingOrder="2"/>
    </xf>
    <xf numFmtId="165" fontId="34" fillId="0" borderId="0" xfId="0" applyNumberFormat="1" applyFont="1" applyAlignment="1">
      <alignment horizontal="center" vertical="center" readingOrder="2"/>
    </xf>
    <xf numFmtId="166" fontId="5" fillId="2" borderId="0" xfId="0" applyNumberFormat="1" applyFont="1" applyFill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0" borderId="0" xfId="0" applyNumberFormat="1" applyFont="1" applyAlignment="1">
      <alignment horizontal="center" readingOrder="2"/>
    </xf>
    <xf numFmtId="166" fontId="2" fillId="2" borderId="1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vertical="center" readingOrder="2"/>
    </xf>
    <xf numFmtId="3" fontId="34" fillId="0" borderId="0" xfId="0" applyNumberFormat="1" applyFont="1" applyAlignment="1">
      <alignment horizontal="center" vertical="center" readingOrder="2"/>
    </xf>
    <xf numFmtId="3" fontId="34" fillId="0" borderId="0" xfId="0" applyNumberFormat="1" applyFont="1" applyBorder="1" applyAlignment="1">
      <alignment horizontal="center" vertical="center" wrapText="1" readingOrder="2"/>
    </xf>
    <xf numFmtId="165" fontId="34" fillId="0" borderId="0" xfId="0" applyNumberFormat="1" applyFont="1" applyBorder="1" applyAlignment="1">
      <alignment horizontal="center" vertical="center" wrapText="1" readingOrder="2"/>
    </xf>
    <xf numFmtId="0" fontId="18" fillId="0" borderId="0" xfId="0" applyFont="1" applyAlignment="1"/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readingOrder="2"/>
    </xf>
    <xf numFmtId="0" fontId="13" fillId="0" borderId="0" xfId="0" applyFont="1" applyAlignment="1">
      <alignment horizontal="right"/>
    </xf>
    <xf numFmtId="3" fontId="13" fillId="0" borderId="0" xfId="0" applyNumberFormat="1" applyFont="1" applyAlignment="1">
      <alignment horizontal="center" readingOrder="2"/>
    </xf>
    <xf numFmtId="3" fontId="5" fillId="0" borderId="0" xfId="0" applyNumberFormat="1" applyFont="1" applyAlignment="1">
      <alignment horizontal="center" readingOrder="2"/>
    </xf>
    <xf numFmtId="0" fontId="13" fillId="0" borderId="0" xfId="0" applyFont="1" applyAlignment="1">
      <alignment wrapText="1" readingOrder="2"/>
    </xf>
    <xf numFmtId="49" fontId="13" fillId="0" borderId="2" xfId="0" applyNumberFormat="1" applyFont="1" applyBorder="1" applyAlignment="1">
      <alignment horizontal="center" readingOrder="2"/>
    </xf>
    <xf numFmtId="0" fontId="13" fillId="0" borderId="0" xfId="0" applyFont="1" applyAlignment="1">
      <alignment horizontal="center" readingOrder="2"/>
    </xf>
    <xf numFmtId="0" fontId="22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2" fillId="0" borderId="0" xfId="0" applyFont="1" applyAlignment="1">
      <alignment horizontal="right" wrapText="1"/>
    </xf>
    <xf numFmtId="165" fontId="13" fillId="2" borderId="0" xfId="0" applyNumberFormat="1" applyFont="1" applyFill="1" applyAlignment="1">
      <alignment horizontal="center" readingOrder="2"/>
    </xf>
    <xf numFmtId="49" fontId="14" fillId="0" borderId="0" xfId="0" applyNumberFormat="1" applyFont="1" applyAlignment="1">
      <alignment horizontal="right" readingOrder="2"/>
    </xf>
    <xf numFmtId="0" fontId="45" fillId="0" borderId="0" xfId="0" applyFont="1" applyAlignment="1">
      <alignment horizontal="center" readingOrder="2"/>
    </xf>
    <xf numFmtId="3" fontId="13" fillId="0" borderId="0" xfId="0" applyNumberFormat="1" applyFont="1" applyBorder="1" applyAlignment="1">
      <alignment readingOrder="2"/>
    </xf>
    <xf numFmtId="0" fontId="42" fillId="0" borderId="0" xfId="0" applyFont="1" applyAlignment="1">
      <alignment horizontal="center" readingOrder="2"/>
    </xf>
    <xf numFmtId="49" fontId="7" fillId="0" borderId="0" xfId="0" applyNumberFormat="1" applyFont="1" applyAlignment="1">
      <alignment horizontal="center" readingOrder="2"/>
    </xf>
    <xf numFmtId="49" fontId="32" fillId="0" borderId="0" xfId="0" applyNumberFormat="1" applyFont="1" applyAlignment="1">
      <alignment horizontal="center"/>
    </xf>
    <xf numFmtId="49" fontId="31" fillId="0" borderId="0" xfId="0" applyNumberFormat="1" applyFont="1"/>
    <xf numFmtId="49" fontId="28" fillId="0" borderId="0" xfId="0" applyNumberFormat="1" applyFont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/>
    </xf>
    <xf numFmtId="49" fontId="32" fillId="0" borderId="0" xfId="0" applyNumberFormat="1" applyFont="1"/>
    <xf numFmtId="49" fontId="20" fillId="0" borderId="0" xfId="0" applyNumberFormat="1" applyFont="1" applyAlignment="1">
      <alignment horizontal="center"/>
    </xf>
    <xf numFmtId="49" fontId="22" fillId="0" borderId="2" xfId="0" applyNumberFormat="1" applyFont="1" applyBorder="1" applyAlignment="1">
      <alignment horizontal="center"/>
    </xf>
    <xf numFmtId="49" fontId="22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wrapText="1"/>
    </xf>
    <xf numFmtId="49" fontId="3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3" fontId="2" fillId="0" borderId="13" xfId="0" applyNumberFormat="1" applyFont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15" fillId="0" borderId="0" xfId="0" applyFont="1" applyAlignment="1">
      <alignment horizontal="right" readingOrder="2"/>
    </xf>
    <xf numFmtId="0" fontId="35" fillId="0" borderId="0" xfId="0" applyFont="1"/>
    <xf numFmtId="49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3" fontId="5" fillId="0" borderId="0" xfId="0" applyNumberFormat="1" applyFont="1" applyAlignment="1">
      <alignment horizontal="center" readingOrder="2"/>
    </xf>
    <xf numFmtId="1" fontId="13" fillId="0" borderId="2" xfId="0" applyNumberFormat="1" applyFont="1" applyBorder="1" applyAlignment="1">
      <alignment horizontal="center" readingOrder="2"/>
    </xf>
    <xf numFmtId="0" fontId="5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3" fontId="5" fillId="0" borderId="2" xfId="0" applyNumberFormat="1" applyFont="1" applyBorder="1" applyAlignment="1">
      <alignment horizontal="center" readingOrder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 readingOrder="2"/>
    </xf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2"/>
    </xf>
    <xf numFmtId="3" fontId="5" fillId="0" borderId="0" xfId="0" applyNumberFormat="1" applyFont="1" applyAlignment="1">
      <alignment horizontal="center" readingOrder="2"/>
    </xf>
    <xf numFmtId="0" fontId="5" fillId="0" borderId="0" xfId="0" applyFont="1" applyAlignment="1">
      <alignment horizontal="center" readingOrder="2"/>
    </xf>
    <xf numFmtId="165" fontId="13" fillId="0" borderId="0" xfId="0" applyNumberFormat="1" applyFont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1" fontId="5" fillId="0" borderId="2" xfId="0" applyNumberFormat="1" applyFont="1" applyBorder="1" applyAlignment="1">
      <alignment horizontal="center" readingOrder="2"/>
    </xf>
    <xf numFmtId="2" fontId="2" fillId="0" borderId="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3" fontId="13" fillId="0" borderId="2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 readingOrder="2"/>
    </xf>
    <xf numFmtId="49" fontId="13" fillId="0" borderId="0" xfId="0" applyNumberFormat="1" applyFont="1" applyBorder="1" applyAlignment="1">
      <alignment vertical="center"/>
    </xf>
    <xf numFmtId="49" fontId="13" fillId="0" borderId="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readingOrder="2"/>
    </xf>
    <xf numFmtId="1" fontId="5" fillId="0" borderId="2" xfId="0" applyNumberFormat="1" applyFont="1" applyBorder="1" applyAlignment="1">
      <alignment readingOrder="2"/>
    </xf>
    <xf numFmtId="1" fontId="5" fillId="0" borderId="0" xfId="0" applyNumberFormat="1" applyFont="1" applyAlignment="1">
      <alignment readingOrder="2"/>
    </xf>
    <xf numFmtId="0" fontId="5" fillId="0" borderId="2" xfId="0" applyFont="1" applyBorder="1" applyAlignment="1">
      <alignment horizontal="center" readingOrder="2"/>
    </xf>
    <xf numFmtId="165" fontId="5" fillId="0" borderId="2" xfId="0" applyNumberFormat="1" applyFont="1" applyBorder="1" applyAlignment="1">
      <alignment horizontal="center" vertical="center" readingOrder="2"/>
    </xf>
    <xf numFmtId="0" fontId="5" fillId="0" borderId="0" xfId="0" applyFont="1" applyBorder="1" applyAlignment="1">
      <alignment vertical="center" readingOrder="2"/>
    </xf>
    <xf numFmtId="165" fontId="5" fillId="0" borderId="2" xfId="0" applyNumberFormat="1" applyFont="1" applyBorder="1" applyAlignment="1">
      <alignment horizontal="center" readingOrder="2"/>
    </xf>
    <xf numFmtId="0" fontId="5" fillId="0" borderId="0" xfId="0" applyFont="1" applyFill="1" applyBorder="1" applyAlignment="1">
      <alignment horizontal="center" readingOrder="2"/>
    </xf>
    <xf numFmtId="0" fontId="5" fillId="2" borderId="2" xfId="0" applyFont="1" applyFill="1" applyBorder="1" applyAlignment="1">
      <alignment horizontal="center" readingOrder="2"/>
    </xf>
    <xf numFmtId="3" fontId="5" fillId="0" borderId="2" xfId="0" applyNumberFormat="1" applyFont="1" applyBorder="1" applyAlignment="1">
      <alignment horizontal="center" vertical="center" readingOrder="2"/>
    </xf>
    <xf numFmtId="166" fontId="5" fillId="2" borderId="2" xfId="0" applyNumberFormat="1" applyFont="1" applyFill="1" applyBorder="1" applyAlignment="1">
      <alignment horizontal="center" readingOrder="2"/>
    </xf>
    <xf numFmtId="3" fontId="5" fillId="0" borderId="2" xfId="0" applyNumberFormat="1" applyFont="1" applyBorder="1" applyAlignment="1">
      <alignment vertical="center" readingOrder="2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readingOrder="2"/>
    </xf>
    <xf numFmtId="0" fontId="7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6" fillId="0" borderId="0" xfId="0" applyFont="1" applyBorder="1" applyAlignment="1">
      <alignment horizontal="center"/>
    </xf>
    <xf numFmtId="0" fontId="13" fillId="0" borderId="0" xfId="0" applyFont="1" applyAlignment="1">
      <alignment horizontal="center" readingOrder="2"/>
    </xf>
    <xf numFmtId="165" fontId="0" fillId="0" borderId="0" xfId="0" applyNumberFormat="1" applyAlignment="1">
      <alignment horizontal="center" readingOrder="2"/>
    </xf>
    <xf numFmtId="0" fontId="13" fillId="0" borderId="0" xfId="0" applyFont="1" applyAlignment="1">
      <alignment horizontal="center" wrapText="1" readingOrder="2"/>
    </xf>
    <xf numFmtId="0" fontId="0" fillId="0" borderId="2" xfId="0" applyBorder="1" applyAlignment="1">
      <alignment horizontal="center" readingOrder="2"/>
    </xf>
    <xf numFmtId="3" fontId="13" fillId="0" borderId="0" xfId="0" applyNumberFormat="1" applyFont="1" applyAlignment="1">
      <alignment horizontal="center" readingOrder="2"/>
    </xf>
    <xf numFmtId="0" fontId="13" fillId="0" borderId="0" xfId="0" applyFont="1" applyAlignment="1">
      <alignment horizontal="center" vertical="center" readingOrder="2"/>
    </xf>
    <xf numFmtId="3" fontId="5" fillId="0" borderId="0" xfId="0" applyNumberFormat="1" applyFont="1" applyAlignment="1">
      <alignment horizontal="center" readingOrder="2"/>
    </xf>
    <xf numFmtId="3" fontId="13" fillId="0" borderId="0" xfId="0" applyNumberFormat="1" applyFont="1" applyAlignment="1">
      <alignment horizontal="right" vertical="center" wrapText="1" readingOrder="2"/>
    </xf>
    <xf numFmtId="3" fontId="13" fillId="0" borderId="0" xfId="0" applyNumberFormat="1" applyFont="1" applyAlignment="1">
      <alignment horizontal="right" vertical="center" readingOrder="2"/>
    </xf>
    <xf numFmtId="1" fontId="13" fillId="0" borderId="2" xfId="0" applyNumberFormat="1" applyFont="1" applyBorder="1" applyAlignment="1">
      <alignment horizontal="center" readingOrder="2"/>
    </xf>
    <xf numFmtId="0" fontId="13" fillId="0" borderId="0" xfId="0" applyFont="1" applyAlignment="1">
      <alignment horizontal="right" readingOrder="2"/>
    </xf>
    <xf numFmtId="0" fontId="13" fillId="2" borderId="0" xfId="0" applyFont="1" applyFill="1" applyAlignment="1">
      <alignment horizontal="right" readingOrder="2"/>
    </xf>
    <xf numFmtId="0" fontId="5" fillId="0" borderId="0" xfId="0" applyFont="1" applyAlignment="1">
      <alignment horizontal="right" readingOrder="2"/>
    </xf>
    <xf numFmtId="49" fontId="5" fillId="0" borderId="0" xfId="0" applyNumberFormat="1" applyFont="1" applyAlignment="1">
      <alignment vertical="center" readingOrder="2"/>
    </xf>
    <xf numFmtId="0" fontId="6" fillId="0" borderId="0" xfId="0" applyFont="1" applyBorder="1" applyAlignment="1">
      <alignment horizontal="center" readingOrder="2"/>
    </xf>
    <xf numFmtId="3" fontId="17" fillId="0" borderId="2" xfId="0" applyNumberFormat="1" applyFont="1" applyBorder="1" applyAlignment="1">
      <alignment horizontal="center" readingOrder="2"/>
    </xf>
    <xf numFmtId="3" fontId="35" fillId="0" borderId="13" xfId="0" applyNumberFormat="1" applyFont="1" applyBorder="1" applyAlignment="1">
      <alignment horizontal="center" vertical="center" readingOrder="2"/>
    </xf>
    <xf numFmtId="3" fontId="35" fillId="0" borderId="2" xfId="0" applyNumberFormat="1" applyFont="1" applyBorder="1" applyAlignment="1">
      <alignment horizontal="center" vertical="center" readingOrder="2"/>
    </xf>
    <xf numFmtId="165" fontId="35" fillId="0" borderId="13" xfId="0" applyNumberFormat="1" applyFont="1" applyBorder="1" applyAlignment="1">
      <alignment horizontal="center" vertical="center" wrapText="1" readingOrder="2"/>
    </xf>
    <xf numFmtId="165" fontId="35" fillId="0" borderId="2" xfId="0" applyNumberFormat="1" applyFont="1" applyBorder="1" applyAlignment="1">
      <alignment horizontal="center" vertical="center" wrapText="1" readingOrder="2"/>
    </xf>
    <xf numFmtId="3" fontId="35" fillId="0" borderId="13" xfId="0" applyNumberFormat="1" applyFont="1" applyBorder="1" applyAlignment="1">
      <alignment horizontal="center" vertical="center" wrapText="1" readingOrder="2"/>
    </xf>
    <xf numFmtId="3" fontId="35" fillId="0" borderId="2" xfId="0" applyNumberFormat="1" applyFont="1" applyBorder="1" applyAlignment="1">
      <alignment horizontal="center" vertical="center" wrapText="1" readingOrder="2"/>
    </xf>
    <xf numFmtId="0" fontId="7" fillId="0" borderId="0" xfId="0" applyFont="1" applyAlignment="1">
      <alignment horizontal="center" readingOrder="2"/>
    </xf>
    <xf numFmtId="0" fontId="7" fillId="0" borderId="0" xfId="0" applyFont="1" applyAlignment="1">
      <alignment horizontal="right" vertical="center" readingOrder="2"/>
    </xf>
    <xf numFmtId="0" fontId="13" fillId="0" borderId="4" xfId="0" applyFont="1" applyBorder="1" applyAlignment="1">
      <alignment horizontal="center" vertical="center" readingOrder="2"/>
    </xf>
    <xf numFmtId="0" fontId="13" fillId="0" borderId="0" xfId="0" applyFont="1" applyAlignment="1">
      <alignment horizontal="right" wrapText="1" readingOrder="2"/>
    </xf>
    <xf numFmtId="49" fontId="13" fillId="0" borderId="5" xfId="0" applyNumberFormat="1" applyFont="1" applyBorder="1" applyAlignment="1">
      <alignment horizontal="right" vertical="center" readingOrder="2"/>
    </xf>
    <xf numFmtId="49" fontId="13" fillId="0" borderId="6" xfId="0" applyNumberFormat="1" applyFont="1" applyBorder="1" applyAlignment="1">
      <alignment horizontal="right" vertical="center" readingOrder="2"/>
    </xf>
    <xf numFmtId="1" fontId="0" fillId="0" borderId="4" xfId="0" applyNumberFormat="1" applyBorder="1" applyAlignment="1">
      <alignment horizontal="center" vertical="center" readingOrder="2"/>
    </xf>
    <xf numFmtId="0" fontId="13" fillId="0" borderId="0" xfId="0" applyFont="1" applyAlignment="1">
      <alignment horizontal="right" vertical="center" readingOrder="2"/>
    </xf>
    <xf numFmtId="0" fontId="13" fillId="0" borderId="14" xfId="0" applyFont="1" applyBorder="1" applyAlignment="1">
      <alignment horizontal="center" vertical="center" wrapText="1" readingOrder="2"/>
    </xf>
    <xf numFmtId="0" fontId="13" fillId="0" borderId="7" xfId="0" applyFont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readingOrder="2"/>
    </xf>
    <xf numFmtId="0" fontId="13" fillId="0" borderId="9" xfId="0" applyFont="1" applyBorder="1" applyAlignment="1">
      <alignment horizontal="center" vertical="center" readingOrder="2"/>
    </xf>
    <xf numFmtId="49" fontId="13" fillId="0" borderId="0" xfId="0" applyNumberFormat="1" applyFont="1" applyAlignment="1">
      <alignment horizontal="right" vertical="center" readingOrder="2"/>
    </xf>
    <xf numFmtId="1" fontId="0" fillId="0" borderId="0" xfId="0" applyNumberFormat="1" applyBorder="1" applyAlignment="1">
      <alignment horizontal="center" readingOrder="2"/>
    </xf>
    <xf numFmtId="0" fontId="5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readingOrder="2"/>
    </xf>
    <xf numFmtId="0" fontId="15" fillId="0" borderId="0" xfId="0" applyFont="1" applyAlignment="1">
      <alignment horizontal="right" readingOrder="2"/>
    </xf>
    <xf numFmtId="3" fontId="5" fillId="0" borderId="2" xfId="0" applyNumberFormat="1" applyFont="1" applyBorder="1" applyAlignment="1">
      <alignment horizontal="center" readingOrder="2"/>
    </xf>
    <xf numFmtId="0" fontId="14" fillId="0" borderId="0" xfId="0" applyFont="1" applyAlignment="1">
      <alignment horizontal="right" readingOrder="2"/>
    </xf>
    <xf numFmtId="49" fontId="13" fillId="0" borderId="2" xfId="0" applyNumberFormat="1" applyFont="1" applyBorder="1" applyAlignment="1">
      <alignment horizontal="center" readingOrder="2"/>
    </xf>
    <xf numFmtId="0" fontId="13" fillId="0" borderId="2" xfId="0" applyFont="1" applyBorder="1" applyAlignment="1">
      <alignment horizontal="center" readingOrder="2"/>
    </xf>
    <xf numFmtId="49" fontId="13" fillId="0" borderId="0" xfId="0" applyNumberFormat="1" applyFont="1" applyAlignment="1">
      <alignment horizontal="right" readingOrder="2"/>
    </xf>
    <xf numFmtId="0" fontId="5" fillId="0" borderId="0" xfId="0" applyFont="1" applyAlignment="1">
      <alignment horizontal="center" wrapText="1" readingOrder="2"/>
    </xf>
    <xf numFmtId="49" fontId="13" fillId="0" borderId="0" xfId="0" applyNumberFormat="1" applyFont="1" applyAlignment="1">
      <alignment horizontal="right" vertical="center" indent="1" readingOrder="2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30" fillId="0" borderId="2" xfId="0" applyFont="1" applyBorder="1" applyAlignment="1">
      <alignment horizontal="center" vertical="center" readingOrder="2"/>
    </xf>
    <xf numFmtId="0" fontId="28" fillId="0" borderId="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13" xfId="0" applyFont="1" applyBorder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166" fontId="2" fillId="2" borderId="0" xfId="0" applyNumberFormat="1" applyFont="1" applyFill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readingOrder="2"/>
    </xf>
    <xf numFmtId="1" fontId="5" fillId="0" borderId="5" xfId="0" applyNumberFormat="1" applyFont="1" applyBorder="1" applyAlignment="1">
      <alignment horizontal="center" readingOrder="2"/>
    </xf>
    <xf numFmtId="1" fontId="5" fillId="0" borderId="6" xfId="0" applyNumberFormat="1" applyFont="1" applyBorder="1" applyAlignment="1">
      <alignment horizontal="center" readingOrder="2"/>
    </xf>
    <xf numFmtId="0" fontId="22" fillId="0" borderId="5" xfId="0" applyFont="1" applyBorder="1" applyAlignment="1">
      <alignment horizontal="right" vertical="center"/>
    </xf>
    <xf numFmtId="0" fontId="22" fillId="0" borderId="6" xfId="0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center" vertical="center" readingOrder="2"/>
    </xf>
    <xf numFmtId="3" fontId="2" fillId="0" borderId="6" xfId="0" applyNumberFormat="1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readingOrder="2"/>
    </xf>
    <xf numFmtId="0" fontId="2" fillId="0" borderId="6" xfId="0" applyFont="1" applyBorder="1" applyAlignment="1">
      <alignment horizontal="center" vertical="center" readingOrder="2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5" xfId="0" applyFont="1" applyBorder="1" applyAlignment="1">
      <alignment horizontal="right"/>
    </xf>
    <xf numFmtId="0" fontId="22" fillId="0" borderId="6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readingOrder="2"/>
    </xf>
    <xf numFmtId="0" fontId="6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readingOrder="2"/>
    </xf>
    <xf numFmtId="3" fontId="5" fillId="0" borderId="5" xfId="0" applyNumberFormat="1" applyFont="1" applyBorder="1" applyAlignment="1">
      <alignment horizontal="right"/>
    </xf>
    <xf numFmtId="3" fontId="5" fillId="0" borderId="10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readingOrder="2"/>
    </xf>
    <xf numFmtId="0" fontId="5" fillId="0" borderId="5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27" fillId="0" borderId="0" xfId="0" applyFont="1" applyAlignment="1">
      <alignment horizontal="center" readingOrder="2"/>
    </xf>
    <xf numFmtId="166" fontId="44" fillId="0" borderId="4" xfId="0" applyNumberFormat="1" applyFont="1" applyBorder="1" applyAlignment="1">
      <alignment horizontal="center" vertical="center" readingOrder="2"/>
    </xf>
    <xf numFmtId="0" fontId="23" fillId="0" borderId="8" xfId="0" applyFont="1" applyBorder="1" applyAlignment="1">
      <alignment horizontal="center" vertical="center" wrapText="1" readingOrder="2"/>
    </xf>
    <xf numFmtId="0" fontId="23" fillId="0" borderId="9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right" readingOrder="2"/>
    </xf>
    <xf numFmtId="166" fontId="44" fillId="0" borderId="5" xfId="0" applyNumberFormat="1" applyFont="1" applyBorder="1" applyAlignment="1">
      <alignment horizontal="center" vertical="center" readingOrder="2"/>
    </xf>
    <xf numFmtId="166" fontId="44" fillId="0" borderId="10" xfId="0" applyNumberFormat="1" applyFont="1" applyBorder="1" applyAlignment="1">
      <alignment horizontal="center" vertical="center" readingOrder="2"/>
    </xf>
    <xf numFmtId="166" fontId="44" fillId="0" borderId="6" xfId="0" applyNumberFormat="1" applyFont="1" applyBorder="1" applyAlignment="1">
      <alignment horizontal="center" vertical="center" readingOrder="2"/>
    </xf>
    <xf numFmtId="3" fontId="5" fillId="0" borderId="8" xfId="0" applyNumberFormat="1" applyFont="1" applyBorder="1" applyAlignment="1">
      <alignment horizontal="center" vertical="center" wrapText="1" readingOrder="2"/>
    </xf>
    <xf numFmtId="3" fontId="5" fillId="0" borderId="9" xfId="0" applyNumberFormat="1" applyFont="1" applyBorder="1" applyAlignment="1">
      <alignment horizontal="center" vertical="center" wrapText="1" readingOrder="2"/>
    </xf>
    <xf numFmtId="3" fontId="5" fillId="0" borderId="5" xfId="0" applyNumberFormat="1" applyFont="1" applyBorder="1" applyAlignment="1">
      <alignment horizontal="center" vertical="center" wrapText="1" readingOrder="2"/>
    </xf>
    <xf numFmtId="3" fontId="5" fillId="0" borderId="10" xfId="0" applyNumberFormat="1" applyFont="1" applyBorder="1" applyAlignment="1">
      <alignment horizontal="center" vertical="center" wrapText="1" readingOrder="2"/>
    </xf>
    <xf numFmtId="3" fontId="5" fillId="0" borderId="6" xfId="0" applyNumberFormat="1" applyFont="1" applyBorder="1" applyAlignment="1">
      <alignment horizontal="center" vertical="center" wrapText="1" readingOrder="2"/>
    </xf>
    <xf numFmtId="3" fontId="5" fillId="0" borderId="8" xfId="0" applyNumberFormat="1" applyFont="1" applyFill="1" applyBorder="1" applyAlignment="1">
      <alignment horizontal="center" vertical="center" wrapText="1" readingOrder="2"/>
    </xf>
    <xf numFmtId="3" fontId="5" fillId="0" borderId="9" xfId="0" applyNumberFormat="1" applyFont="1" applyFill="1" applyBorder="1" applyAlignment="1">
      <alignment horizontal="center" vertical="center" wrapText="1" readingOrder="2"/>
    </xf>
    <xf numFmtId="3" fontId="42" fillId="0" borderId="0" xfId="0" applyNumberFormat="1" applyFont="1" applyAlignment="1">
      <alignment horizontal="center" vertical="center" wrapText="1" readingOrder="2"/>
    </xf>
    <xf numFmtId="3" fontId="5" fillId="0" borderId="2" xfId="0" applyNumberFormat="1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readingOrder="2"/>
    </xf>
    <xf numFmtId="0" fontId="0" fillId="0" borderId="0" xfId="0" applyAlignment="1">
      <alignment horizontal="right" readingOrder="2"/>
    </xf>
  </cellXfs>
  <cellStyles count="41">
    <cellStyle name="Normal" xfId="0" builtinId="0"/>
    <cellStyle name="Normal 10" xfId="19"/>
    <cellStyle name="Normal 11" xfId="20"/>
    <cellStyle name="Normal 12" xfId="21"/>
    <cellStyle name="Normal 13" xfId="22"/>
    <cellStyle name="Normal 14" xfId="23"/>
    <cellStyle name="Normal 15" xfId="24"/>
    <cellStyle name="Normal 16" xfId="25"/>
    <cellStyle name="Normal 17" xfId="26"/>
    <cellStyle name="Normal 18" xfId="27"/>
    <cellStyle name="Normal 19" xfId="28"/>
    <cellStyle name="Normal 2" xfId="11"/>
    <cellStyle name="Normal 20" xfId="29"/>
    <cellStyle name="Normal 21" xfId="30"/>
    <cellStyle name="Normal 22" xfId="31"/>
    <cellStyle name="Normal 23" xfId="32"/>
    <cellStyle name="Normal 24" xfId="33"/>
    <cellStyle name="Normal 25" xfId="34"/>
    <cellStyle name="Normal 26" xfId="35"/>
    <cellStyle name="Normal 27" xfId="36"/>
    <cellStyle name="Normal 28" xfId="37"/>
    <cellStyle name="Normal 29" xfId="38"/>
    <cellStyle name="Normal 3" xfId="12"/>
    <cellStyle name="Normal 30" xfId="39"/>
    <cellStyle name="Normal 31" xfId="40"/>
    <cellStyle name="Normal 32" xfId="1"/>
    <cellStyle name="Normal 33" xfId="2"/>
    <cellStyle name="Normal 34" xfId="3"/>
    <cellStyle name="Normal 35" xfId="4"/>
    <cellStyle name="Normal 36" xfId="5"/>
    <cellStyle name="Normal 37" xfId="6"/>
    <cellStyle name="Normal 38" xfId="7"/>
    <cellStyle name="Normal 39" xfId="8"/>
    <cellStyle name="Normal 4" xfId="13"/>
    <cellStyle name="Normal 40" xfId="9"/>
    <cellStyle name="Normal 41" xfId="10"/>
    <cellStyle name="Normal 5" xfId="14"/>
    <cellStyle name="Normal 6" xfId="15"/>
    <cellStyle name="Normal 7" xfId="16"/>
    <cellStyle name="Normal 8" xfId="17"/>
    <cellStyle name="Normal 9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219075</xdr:rowOff>
    </xdr:from>
    <xdr:to>
      <xdr:col>2</xdr:col>
      <xdr:colOff>1743075</xdr:colOff>
      <xdr:row>4</xdr:row>
      <xdr:rowOff>220663</xdr:rowOff>
    </xdr:to>
    <xdr:cxnSp macro="">
      <xdr:nvCxnSpPr>
        <xdr:cNvPr id="3" name="Straight Connector 2"/>
        <xdr:cNvCxnSpPr/>
      </xdr:nvCxnSpPr>
      <xdr:spPr>
        <a:xfrm rot="10800000">
          <a:off x="11389328250" y="1533525"/>
          <a:ext cx="26479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4</xdr:row>
      <xdr:rowOff>219075</xdr:rowOff>
    </xdr:from>
    <xdr:to>
      <xdr:col>5</xdr:col>
      <xdr:colOff>9525</xdr:colOff>
      <xdr:row>4</xdr:row>
      <xdr:rowOff>220663</xdr:rowOff>
    </xdr:to>
    <xdr:cxnSp macro="">
      <xdr:nvCxnSpPr>
        <xdr:cNvPr id="5" name="Straight Connector 4"/>
        <xdr:cNvCxnSpPr/>
      </xdr:nvCxnSpPr>
      <xdr:spPr>
        <a:xfrm rot="10800000">
          <a:off x="11388785325" y="1533525"/>
          <a:ext cx="4953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28574</xdr:colOff>
      <xdr:row>4</xdr:row>
      <xdr:rowOff>219075</xdr:rowOff>
    </xdr:from>
    <xdr:to>
      <xdr:col>7</xdr:col>
      <xdr:colOff>0</xdr:colOff>
      <xdr:row>4</xdr:row>
      <xdr:rowOff>220663</xdr:rowOff>
    </xdr:to>
    <xdr:cxnSp macro="">
      <xdr:nvCxnSpPr>
        <xdr:cNvPr id="7" name="Straight Connector 6"/>
        <xdr:cNvCxnSpPr/>
      </xdr:nvCxnSpPr>
      <xdr:spPr>
        <a:xfrm rot="10800000">
          <a:off x="11387889976" y="1533525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</xdr:colOff>
      <xdr:row>4</xdr:row>
      <xdr:rowOff>219076</xdr:rowOff>
    </xdr:from>
    <xdr:to>
      <xdr:col>9</xdr:col>
      <xdr:colOff>0</xdr:colOff>
      <xdr:row>5</xdr:row>
      <xdr:rowOff>1</xdr:rowOff>
    </xdr:to>
    <xdr:cxnSp macro="">
      <xdr:nvCxnSpPr>
        <xdr:cNvPr id="9" name="Straight Connector 8"/>
        <xdr:cNvCxnSpPr/>
      </xdr:nvCxnSpPr>
      <xdr:spPr>
        <a:xfrm rot="10800000">
          <a:off x="11386994626" y="1533526"/>
          <a:ext cx="7715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19049</xdr:colOff>
      <xdr:row>4</xdr:row>
      <xdr:rowOff>219076</xdr:rowOff>
    </xdr:from>
    <xdr:to>
      <xdr:col>11</xdr:col>
      <xdr:colOff>2266949</xdr:colOff>
      <xdr:row>5</xdr:row>
      <xdr:rowOff>1</xdr:rowOff>
    </xdr:to>
    <xdr:cxnSp macro="">
      <xdr:nvCxnSpPr>
        <xdr:cNvPr id="11" name="Straight Connector 10"/>
        <xdr:cNvCxnSpPr/>
      </xdr:nvCxnSpPr>
      <xdr:spPr>
        <a:xfrm rot="10800000">
          <a:off x="11383918051" y="1533526"/>
          <a:ext cx="29432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15</xdr:row>
      <xdr:rowOff>9525</xdr:rowOff>
    </xdr:from>
    <xdr:to>
      <xdr:col>6</xdr:col>
      <xdr:colOff>771525</xdr:colOff>
      <xdr:row>15</xdr:row>
      <xdr:rowOff>11113</xdr:rowOff>
    </xdr:to>
    <xdr:cxnSp macro="">
      <xdr:nvCxnSpPr>
        <xdr:cNvPr id="25" name="Straight Connector 24"/>
        <xdr:cNvCxnSpPr/>
      </xdr:nvCxnSpPr>
      <xdr:spPr>
        <a:xfrm rot="10800000">
          <a:off x="9983895450" y="3762375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219075</xdr:rowOff>
    </xdr:from>
    <xdr:to>
      <xdr:col>8</xdr:col>
      <xdr:colOff>752475</xdr:colOff>
      <xdr:row>14</xdr:row>
      <xdr:rowOff>220663</xdr:rowOff>
    </xdr:to>
    <xdr:cxnSp macro="">
      <xdr:nvCxnSpPr>
        <xdr:cNvPr id="26" name="Straight Connector 25"/>
        <xdr:cNvCxnSpPr/>
      </xdr:nvCxnSpPr>
      <xdr:spPr>
        <a:xfrm rot="10800000">
          <a:off x="11387023200" y="3743325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</xdr:row>
      <xdr:rowOff>219075</xdr:rowOff>
    </xdr:from>
    <xdr:to>
      <xdr:col>6</xdr:col>
      <xdr:colOff>752475</xdr:colOff>
      <xdr:row>19</xdr:row>
      <xdr:rowOff>220663</xdr:rowOff>
    </xdr:to>
    <xdr:cxnSp macro="">
      <xdr:nvCxnSpPr>
        <xdr:cNvPr id="27" name="Straight Connector 26"/>
        <xdr:cNvCxnSpPr/>
      </xdr:nvCxnSpPr>
      <xdr:spPr>
        <a:xfrm rot="10800000">
          <a:off x="11387918550" y="4657725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752475</xdr:colOff>
      <xdr:row>20</xdr:row>
      <xdr:rowOff>1588</xdr:rowOff>
    </xdr:to>
    <xdr:cxnSp macro="">
      <xdr:nvCxnSpPr>
        <xdr:cNvPr id="28" name="Straight Connector 27"/>
        <xdr:cNvCxnSpPr/>
      </xdr:nvCxnSpPr>
      <xdr:spPr>
        <a:xfrm rot="10800000">
          <a:off x="11387023200" y="4667250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0</xdr:rowOff>
    </xdr:from>
    <xdr:to>
      <xdr:col>6</xdr:col>
      <xdr:colOff>752475</xdr:colOff>
      <xdr:row>21</xdr:row>
      <xdr:rowOff>1588</xdr:rowOff>
    </xdr:to>
    <xdr:cxnSp macro="">
      <xdr:nvCxnSpPr>
        <xdr:cNvPr id="29" name="Straight Connector 28"/>
        <xdr:cNvCxnSpPr/>
      </xdr:nvCxnSpPr>
      <xdr:spPr>
        <a:xfrm rot="10800000">
          <a:off x="11387918550" y="4895850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21</xdr:row>
      <xdr:rowOff>0</xdr:rowOff>
    </xdr:from>
    <xdr:to>
      <xdr:col>8</xdr:col>
      <xdr:colOff>752475</xdr:colOff>
      <xdr:row>21</xdr:row>
      <xdr:rowOff>1588</xdr:rowOff>
    </xdr:to>
    <xdr:cxnSp macro="">
      <xdr:nvCxnSpPr>
        <xdr:cNvPr id="30" name="Straight Connector 29"/>
        <xdr:cNvCxnSpPr/>
      </xdr:nvCxnSpPr>
      <xdr:spPr>
        <a:xfrm rot="10800000">
          <a:off x="11387023200" y="4895850"/>
          <a:ext cx="7524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123824</xdr:colOff>
      <xdr:row>14</xdr:row>
      <xdr:rowOff>0</xdr:rowOff>
    </xdr:from>
    <xdr:to>
      <xdr:col>16</xdr:col>
      <xdr:colOff>0</xdr:colOff>
      <xdr:row>14</xdr:row>
      <xdr:rowOff>1588</xdr:rowOff>
    </xdr:to>
    <xdr:cxnSp macro="">
      <xdr:nvCxnSpPr>
        <xdr:cNvPr id="31" name="Straight Connector 30"/>
        <xdr:cNvCxnSpPr/>
      </xdr:nvCxnSpPr>
      <xdr:spPr>
        <a:xfrm rot="10800000">
          <a:off x="11382651225" y="3524250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14</xdr:row>
      <xdr:rowOff>0</xdr:rowOff>
    </xdr:from>
    <xdr:to>
      <xdr:col>17</xdr:col>
      <xdr:colOff>838201</xdr:colOff>
      <xdr:row>14</xdr:row>
      <xdr:rowOff>1588</xdr:rowOff>
    </xdr:to>
    <xdr:cxnSp macro="">
      <xdr:nvCxnSpPr>
        <xdr:cNvPr id="33" name="Straight Connector 32"/>
        <xdr:cNvCxnSpPr/>
      </xdr:nvCxnSpPr>
      <xdr:spPr>
        <a:xfrm rot="10800000">
          <a:off x="11381689199" y="3524250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</xdr:row>
      <xdr:rowOff>9525</xdr:rowOff>
    </xdr:from>
    <xdr:to>
      <xdr:col>16</xdr:col>
      <xdr:colOff>0</xdr:colOff>
      <xdr:row>15</xdr:row>
      <xdr:rowOff>11113</xdr:rowOff>
    </xdr:to>
    <xdr:cxnSp macro="">
      <xdr:nvCxnSpPr>
        <xdr:cNvPr id="34" name="Straight Connector 33"/>
        <xdr:cNvCxnSpPr/>
      </xdr:nvCxnSpPr>
      <xdr:spPr>
        <a:xfrm rot="10800000">
          <a:off x="11382651224" y="3762375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15</xdr:row>
      <xdr:rowOff>0</xdr:rowOff>
    </xdr:from>
    <xdr:to>
      <xdr:col>17</xdr:col>
      <xdr:colOff>847726</xdr:colOff>
      <xdr:row>15</xdr:row>
      <xdr:rowOff>1588</xdr:rowOff>
    </xdr:to>
    <xdr:cxnSp macro="">
      <xdr:nvCxnSpPr>
        <xdr:cNvPr id="35" name="Straight Connector 34"/>
        <xdr:cNvCxnSpPr/>
      </xdr:nvCxnSpPr>
      <xdr:spPr>
        <a:xfrm rot="10800000">
          <a:off x="11381679674" y="3752850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21</xdr:row>
      <xdr:rowOff>19050</xdr:rowOff>
    </xdr:from>
    <xdr:to>
      <xdr:col>16</xdr:col>
      <xdr:colOff>0</xdr:colOff>
      <xdr:row>21</xdr:row>
      <xdr:rowOff>20638</xdr:rowOff>
    </xdr:to>
    <xdr:cxnSp macro="">
      <xdr:nvCxnSpPr>
        <xdr:cNvPr id="36" name="Straight Connector 35"/>
        <xdr:cNvCxnSpPr/>
      </xdr:nvCxnSpPr>
      <xdr:spPr>
        <a:xfrm rot="10800000">
          <a:off x="11382632174" y="4914900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200025</xdr:colOff>
      <xdr:row>21</xdr:row>
      <xdr:rowOff>9525</xdr:rowOff>
    </xdr:from>
    <xdr:to>
      <xdr:col>17</xdr:col>
      <xdr:colOff>800101</xdr:colOff>
      <xdr:row>21</xdr:row>
      <xdr:rowOff>11113</xdr:rowOff>
    </xdr:to>
    <xdr:cxnSp macro="">
      <xdr:nvCxnSpPr>
        <xdr:cNvPr id="39" name="Straight Connector 38"/>
        <xdr:cNvCxnSpPr/>
      </xdr:nvCxnSpPr>
      <xdr:spPr>
        <a:xfrm rot="10800000">
          <a:off x="11381727299" y="4905375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25</xdr:row>
      <xdr:rowOff>219075</xdr:rowOff>
    </xdr:from>
    <xdr:to>
      <xdr:col>16</xdr:col>
      <xdr:colOff>0</xdr:colOff>
      <xdr:row>25</xdr:row>
      <xdr:rowOff>220663</xdr:rowOff>
    </xdr:to>
    <xdr:cxnSp macro="">
      <xdr:nvCxnSpPr>
        <xdr:cNvPr id="40" name="Straight Connector 39"/>
        <xdr:cNvCxnSpPr/>
      </xdr:nvCxnSpPr>
      <xdr:spPr>
        <a:xfrm rot="10800000">
          <a:off x="11382651224" y="6029325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27</xdr:row>
      <xdr:rowOff>9525</xdr:rowOff>
    </xdr:from>
    <xdr:to>
      <xdr:col>16</xdr:col>
      <xdr:colOff>0</xdr:colOff>
      <xdr:row>27</xdr:row>
      <xdr:rowOff>11113</xdr:rowOff>
    </xdr:to>
    <xdr:cxnSp macro="">
      <xdr:nvCxnSpPr>
        <xdr:cNvPr id="41" name="Straight Connector 40"/>
        <xdr:cNvCxnSpPr/>
      </xdr:nvCxnSpPr>
      <xdr:spPr>
        <a:xfrm rot="10800000">
          <a:off x="11382632174" y="6276975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257175</xdr:colOff>
      <xdr:row>26</xdr:row>
      <xdr:rowOff>0</xdr:rowOff>
    </xdr:from>
    <xdr:to>
      <xdr:col>17</xdr:col>
      <xdr:colOff>857251</xdr:colOff>
      <xdr:row>26</xdr:row>
      <xdr:rowOff>1588</xdr:rowOff>
    </xdr:to>
    <xdr:cxnSp macro="">
      <xdr:nvCxnSpPr>
        <xdr:cNvPr id="42" name="Straight Connector 41"/>
        <xdr:cNvCxnSpPr/>
      </xdr:nvCxnSpPr>
      <xdr:spPr>
        <a:xfrm rot="10800000">
          <a:off x="11381670149" y="6038850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27</xdr:row>
      <xdr:rowOff>9525</xdr:rowOff>
    </xdr:from>
    <xdr:to>
      <xdr:col>17</xdr:col>
      <xdr:colOff>847726</xdr:colOff>
      <xdr:row>27</xdr:row>
      <xdr:rowOff>11113</xdr:rowOff>
    </xdr:to>
    <xdr:cxnSp macro="">
      <xdr:nvCxnSpPr>
        <xdr:cNvPr id="43" name="Straight Connector 42"/>
        <xdr:cNvCxnSpPr/>
      </xdr:nvCxnSpPr>
      <xdr:spPr>
        <a:xfrm rot="10800000">
          <a:off x="11381679674" y="6276975"/>
          <a:ext cx="6000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9525</xdr:rowOff>
    </xdr:from>
    <xdr:to>
      <xdr:col>2</xdr:col>
      <xdr:colOff>0</xdr:colOff>
      <xdr:row>5</xdr:row>
      <xdr:rowOff>11113</xdr:rowOff>
    </xdr:to>
    <xdr:cxnSp macro="">
      <xdr:nvCxnSpPr>
        <xdr:cNvPr id="3" name="Straight Connector 2"/>
        <xdr:cNvCxnSpPr/>
      </xdr:nvCxnSpPr>
      <xdr:spPr>
        <a:xfrm>
          <a:off x="11234156475" y="1228725"/>
          <a:ext cx="4762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7</xdr:row>
      <xdr:rowOff>11113</xdr:rowOff>
    </xdr:from>
    <xdr:to>
      <xdr:col>4</xdr:col>
      <xdr:colOff>866775</xdr:colOff>
      <xdr:row>7</xdr:row>
      <xdr:rowOff>19050</xdr:rowOff>
    </xdr:to>
    <xdr:cxnSp macro="">
      <xdr:nvCxnSpPr>
        <xdr:cNvPr id="3" name="Straight Connector 2"/>
        <xdr:cNvCxnSpPr/>
      </xdr:nvCxnSpPr>
      <xdr:spPr>
        <a:xfrm flipV="1">
          <a:off x="9829552350" y="1839913"/>
          <a:ext cx="704850" cy="79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20</xdr:row>
      <xdr:rowOff>0</xdr:rowOff>
    </xdr:from>
    <xdr:to>
      <xdr:col>4</xdr:col>
      <xdr:colOff>819150</xdr:colOff>
      <xdr:row>20</xdr:row>
      <xdr:rowOff>1588</xdr:rowOff>
    </xdr:to>
    <xdr:cxnSp macro="">
      <xdr:nvCxnSpPr>
        <xdr:cNvPr id="7" name="Straight Connector 6"/>
        <xdr:cNvCxnSpPr/>
      </xdr:nvCxnSpPr>
      <xdr:spPr>
        <a:xfrm>
          <a:off x="9829599975" y="5019675"/>
          <a:ext cx="6381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36</xdr:row>
      <xdr:rowOff>9525</xdr:rowOff>
    </xdr:from>
    <xdr:to>
      <xdr:col>2</xdr:col>
      <xdr:colOff>990600</xdr:colOff>
      <xdr:row>36</xdr:row>
      <xdr:rowOff>11113</xdr:rowOff>
    </xdr:to>
    <xdr:cxnSp macro="">
      <xdr:nvCxnSpPr>
        <xdr:cNvPr id="3" name="Straight Connector 2"/>
        <xdr:cNvCxnSpPr/>
      </xdr:nvCxnSpPr>
      <xdr:spPr>
        <a:xfrm>
          <a:off x="11234851800" y="8667750"/>
          <a:ext cx="4572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800100</xdr:colOff>
      <xdr:row>36</xdr:row>
      <xdr:rowOff>0</xdr:rowOff>
    </xdr:from>
    <xdr:to>
      <xdr:col>0</xdr:col>
      <xdr:colOff>1343025</xdr:colOff>
      <xdr:row>36</xdr:row>
      <xdr:rowOff>1588</xdr:rowOff>
    </xdr:to>
    <xdr:cxnSp macro="">
      <xdr:nvCxnSpPr>
        <xdr:cNvPr id="7" name="Straight Connector 6"/>
        <xdr:cNvCxnSpPr/>
      </xdr:nvCxnSpPr>
      <xdr:spPr>
        <a:xfrm>
          <a:off x="11237518800" y="8658225"/>
          <a:ext cx="5429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rightToLeft="1" topLeftCell="A13" workbookViewId="0">
      <selection sqref="A1:I1"/>
    </sheetView>
  </sheetViews>
  <sheetFormatPr defaultColWidth="9.140625" defaultRowHeight="18"/>
  <cols>
    <col min="1" max="8" width="9.140625" style="18"/>
    <col min="9" max="9" width="23.42578125" style="18" customWidth="1"/>
    <col min="10" max="16384" width="9.140625" style="18"/>
  </cols>
  <sheetData>
    <row r="1" spans="1:12" ht="22.5">
      <c r="A1" s="702" t="s">
        <v>995</v>
      </c>
      <c r="B1" s="702"/>
      <c r="C1" s="702"/>
      <c r="D1" s="702"/>
      <c r="E1" s="702"/>
      <c r="F1" s="702"/>
      <c r="G1" s="702"/>
      <c r="H1" s="702"/>
      <c r="I1" s="702"/>
      <c r="J1" s="459"/>
      <c r="K1" s="247"/>
    </row>
    <row r="2" spans="1:12" ht="22.5">
      <c r="A2" s="702" t="s">
        <v>0</v>
      </c>
      <c r="B2" s="702"/>
      <c r="C2" s="702"/>
      <c r="D2" s="702"/>
      <c r="E2" s="702"/>
      <c r="F2" s="702"/>
      <c r="G2" s="702"/>
      <c r="H2" s="702"/>
      <c r="I2" s="702"/>
      <c r="J2" s="459"/>
      <c r="K2" s="46"/>
    </row>
    <row r="3" spans="1:12" ht="22.5">
      <c r="A3" s="703" t="s">
        <v>720</v>
      </c>
      <c r="B3" s="703"/>
      <c r="C3" s="703"/>
      <c r="D3" s="703"/>
      <c r="E3" s="703"/>
      <c r="F3" s="703"/>
      <c r="G3" s="703"/>
      <c r="H3" s="703"/>
      <c r="I3" s="703"/>
      <c r="J3" s="62"/>
      <c r="K3" s="62"/>
      <c r="L3" s="62"/>
    </row>
    <row r="5" spans="1:12" ht="18.75">
      <c r="A5" s="701" t="s">
        <v>1</v>
      </c>
      <c r="B5" s="701"/>
      <c r="C5" s="701"/>
    </row>
    <row r="7" spans="1:12">
      <c r="A7" s="18" t="s">
        <v>2</v>
      </c>
    </row>
    <row r="9" spans="1:12">
      <c r="A9" s="700" t="s">
        <v>963</v>
      </c>
      <c r="B9" s="700"/>
      <c r="C9" s="700"/>
      <c r="D9" s="700"/>
      <c r="E9" s="700"/>
      <c r="F9" s="700"/>
      <c r="G9" s="700"/>
      <c r="H9" s="700"/>
      <c r="I9" s="700"/>
      <c r="J9" s="48"/>
      <c r="K9" s="48"/>
    </row>
    <row r="10" spans="1:12">
      <c r="A10" s="699" t="s">
        <v>3</v>
      </c>
      <c r="B10" s="699"/>
      <c r="C10" s="699"/>
      <c r="D10" s="699"/>
    </row>
    <row r="12" spans="1:12">
      <c r="I12" s="19" t="s">
        <v>4</v>
      </c>
    </row>
    <row r="13" spans="1:12">
      <c r="A13" s="698" t="s">
        <v>5</v>
      </c>
      <c r="B13" s="698"/>
      <c r="C13" s="698"/>
      <c r="I13" s="19">
        <v>2</v>
      </c>
    </row>
    <row r="14" spans="1:12">
      <c r="A14" s="698" t="s">
        <v>6</v>
      </c>
      <c r="B14" s="698"/>
      <c r="C14" s="698"/>
      <c r="I14" s="19">
        <v>3</v>
      </c>
    </row>
    <row r="15" spans="1:12">
      <c r="A15" s="698" t="s">
        <v>480</v>
      </c>
      <c r="B15" s="698"/>
      <c r="C15" s="698"/>
      <c r="I15" s="19">
        <v>3</v>
      </c>
    </row>
    <row r="16" spans="1:12">
      <c r="A16" s="698" t="s">
        <v>7</v>
      </c>
      <c r="B16" s="698"/>
      <c r="C16" s="698"/>
      <c r="I16" s="19">
        <v>4</v>
      </c>
    </row>
    <row r="17" spans="1:11">
      <c r="A17" s="698" t="s">
        <v>8</v>
      </c>
      <c r="B17" s="698"/>
      <c r="C17" s="698"/>
      <c r="I17" s="19"/>
    </row>
    <row r="18" spans="1:11">
      <c r="A18" s="18" t="s">
        <v>9</v>
      </c>
      <c r="I18" s="19">
        <v>5</v>
      </c>
    </row>
    <row r="19" spans="1:11">
      <c r="A19" s="18" t="s">
        <v>10</v>
      </c>
      <c r="I19" s="19">
        <v>5</v>
      </c>
    </row>
    <row r="20" spans="1:11">
      <c r="A20" s="18" t="s">
        <v>11</v>
      </c>
      <c r="I20" s="458" t="s">
        <v>961</v>
      </c>
    </row>
    <row r="21" spans="1:11">
      <c r="A21" s="18" t="s">
        <v>12</v>
      </c>
      <c r="F21" s="20"/>
      <c r="I21" s="451" t="s">
        <v>962</v>
      </c>
    </row>
    <row r="23" spans="1:11">
      <c r="A23" s="18" t="s">
        <v>960</v>
      </c>
    </row>
    <row r="25" spans="1:11" ht="18.75">
      <c r="A25" s="704" t="s">
        <v>13</v>
      </c>
      <c r="B25" s="704"/>
      <c r="C25" s="21"/>
      <c r="D25" s="704" t="s">
        <v>14</v>
      </c>
      <c r="E25" s="704"/>
      <c r="F25" s="704"/>
      <c r="G25" s="21"/>
      <c r="H25" s="21"/>
      <c r="I25" s="248" t="s">
        <v>15</v>
      </c>
      <c r="K25" s="21"/>
    </row>
    <row r="27" spans="1:11">
      <c r="A27" s="700" t="s">
        <v>16</v>
      </c>
      <c r="B27" s="700"/>
      <c r="D27" s="700" t="s">
        <v>17</v>
      </c>
      <c r="E27" s="700"/>
      <c r="F27" s="700"/>
    </row>
    <row r="29" spans="1:11">
      <c r="A29" s="700" t="s">
        <v>18</v>
      </c>
      <c r="B29" s="700"/>
      <c r="D29" s="700" t="s">
        <v>19</v>
      </c>
      <c r="E29" s="700"/>
      <c r="F29" s="700"/>
    </row>
    <row r="31" spans="1:11">
      <c r="A31" s="700" t="s">
        <v>490</v>
      </c>
      <c r="B31" s="700"/>
      <c r="D31" s="700" t="s">
        <v>502</v>
      </c>
      <c r="E31" s="700"/>
      <c r="F31" s="700"/>
    </row>
    <row r="33" spans="1:6">
      <c r="A33" s="700" t="s">
        <v>20</v>
      </c>
      <c r="B33" s="700"/>
      <c r="D33" s="700" t="s">
        <v>21</v>
      </c>
      <c r="E33" s="700"/>
      <c r="F33" s="700"/>
    </row>
    <row r="35" spans="1:6">
      <c r="A35" s="700" t="s">
        <v>22</v>
      </c>
      <c r="B35" s="700"/>
      <c r="D35" s="700" t="s">
        <v>21</v>
      </c>
      <c r="E35" s="700"/>
      <c r="F35" s="700"/>
    </row>
  </sheetData>
  <mergeCells count="23">
    <mergeCell ref="D35:F35"/>
    <mergeCell ref="A35:B35"/>
    <mergeCell ref="D25:F25"/>
    <mergeCell ref="D27:F27"/>
    <mergeCell ref="D29:F29"/>
    <mergeCell ref="D31:F31"/>
    <mergeCell ref="A27:B27"/>
    <mergeCell ref="A29:B29"/>
    <mergeCell ref="A31:B31"/>
    <mergeCell ref="D33:F33"/>
    <mergeCell ref="A33:B33"/>
    <mergeCell ref="A25:B25"/>
    <mergeCell ref="A10:D10"/>
    <mergeCell ref="A9:I9"/>
    <mergeCell ref="A5:C5"/>
    <mergeCell ref="A1:I1"/>
    <mergeCell ref="A2:I2"/>
    <mergeCell ref="A3:I3"/>
    <mergeCell ref="A15:C15"/>
    <mergeCell ref="A13:C13"/>
    <mergeCell ref="A14:C14"/>
    <mergeCell ref="A16:C16"/>
    <mergeCell ref="A17:C17"/>
  </mergeCells>
  <pageMargins left="0" right="0" top="0.74803149606299213" bottom="0.74803149606299213" header="0.31496062992125984" footer="0.31496062992125984"/>
  <pageSetup paperSize="9" orientation="portrait" horizontalDpi="300" verticalDpi="300" r:id="rId1"/>
  <headerFooter>
    <oddFooter>&amp;C&amp;"B Mitra,Bold"&amp;14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R44"/>
  <sheetViews>
    <sheetView rightToLeft="1" topLeftCell="A19" workbookViewId="0">
      <selection activeCell="A32" sqref="A32:XFD32"/>
    </sheetView>
  </sheetViews>
  <sheetFormatPr defaultColWidth="9.140625" defaultRowHeight="18"/>
  <cols>
    <col min="1" max="1" width="5.42578125" style="36" customWidth="1"/>
    <col min="2" max="2" width="6.42578125" style="36" customWidth="1"/>
    <col min="3" max="3" width="24.5703125" style="36" customWidth="1"/>
    <col min="4" max="4" width="1.140625" style="36" customWidth="1"/>
    <col min="5" max="5" width="7" style="180" bestFit="1" customWidth="1"/>
    <col min="6" max="6" width="1.5703125" style="36" customWidth="1"/>
    <col min="7" max="7" width="13.42578125" style="471" customWidth="1"/>
    <col min="8" max="8" width="2.28515625" style="471" customWidth="1"/>
    <col min="9" max="9" width="12.5703125" style="472" customWidth="1"/>
    <col min="10" max="10" width="0.85546875" style="472" customWidth="1"/>
    <col min="11" max="11" width="9.140625" style="36"/>
    <col min="12" max="12" width="25.140625" style="36" customWidth="1"/>
    <col min="13" max="13" width="1" style="36" customWidth="1"/>
    <col min="14" max="14" width="6.42578125" style="180" customWidth="1"/>
    <col min="15" max="15" width="0.7109375" style="36" customWidth="1"/>
    <col min="16" max="16" width="13.42578125" style="471" customWidth="1"/>
    <col min="17" max="17" width="1.5703125" style="472" customWidth="1"/>
    <col min="18" max="18" width="13.42578125" style="471" customWidth="1"/>
    <col min="19" max="16384" width="9.140625" style="18"/>
  </cols>
  <sheetData>
    <row r="1" spans="1:18" ht="22.5">
      <c r="A1" s="702" t="s">
        <v>995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</row>
    <row r="2" spans="1:18" ht="18" customHeight="1">
      <c r="A2" s="702" t="s">
        <v>505</v>
      </c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</row>
    <row r="3" spans="1:18" ht="22.5">
      <c r="A3" s="709" t="s">
        <v>998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</row>
    <row r="4" spans="1:18" ht="9" customHeight="1"/>
    <row r="5" spans="1:18" s="49" customFormat="1">
      <c r="A5" s="705" t="s">
        <v>23</v>
      </c>
      <c r="B5" s="705"/>
      <c r="C5" s="705"/>
      <c r="D5" s="407"/>
      <c r="E5" s="180" t="s">
        <v>24</v>
      </c>
      <c r="F5" s="36"/>
      <c r="G5" s="471" t="s">
        <v>721</v>
      </c>
      <c r="H5" s="471"/>
      <c r="I5" s="471" t="s">
        <v>25</v>
      </c>
      <c r="J5" s="471"/>
      <c r="K5" s="706" t="s">
        <v>26</v>
      </c>
      <c r="L5" s="706"/>
      <c r="M5" s="406"/>
      <c r="N5" s="395" t="s">
        <v>24</v>
      </c>
      <c r="O5" s="36"/>
      <c r="P5" s="476" t="s">
        <v>721</v>
      </c>
      <c r="Q5" s="482"/>
      <c r="R5" s="476" t="s">
        <v>25</v>
      </c>
    </row>
    <row r="6" spans="1:18" ht="15" customHeight="1">
      <c r="G6" s="471" t="s">
        <v>724</v>
      </c>
      <c r="I6" s="471" t="s">
        <v>724</v>
      </c>
      <c r="P6" s="471" t="s">
        <v>724</v>
      </c>
      <c r="R6" s="471" t="s">
        <v>724</v>
      </c>
    </row>
    <row r="7" spans="1:18" ht="15" customHeight="1">
      <c r="A7" s="49" t="s">
        <v>28</v>
      </c>
      <c r="K7" s="49" t="s">
        <v>29</v>
      </c>
    </row>
    <row r="8" spans="1:18">
      <c r="A8" s="181" t="s">
        <v>30</v>
      </c>
      <c r="B8" s="181"/>
      <c r="C8" s="181"/>
      <c r="D8" s="408"/>
      <c r="E8" s="180">
        <v>4</v>
      </c>
      <c r="G8" s="473">
        <f>'10'!G14</f>
        <v>14801539168</v>
      </c>
      <c r="H8" s="473"/>
      <c r="I8" s="471">
        <f>'10'!I14</f>
        <v>7619973112</v>
      </c>
      <c r="J8" s="471"/>
      <c r="L8" s="182" t="s">
        <v>506</v>
      </c>
      <c r="M8" s="182"/>
      <c r="N8" s="180">
        <v>13</v>
      </c>
      <c r="P8" s="473">
        <f>'27'!E13</f>
        <v>120699521837</v>
      </c>
      <c r="R8" s="471">
        <f>'27'!G13</f>
        <v>120163410629</v>
      </c>
    </row>
    <row r="9" spans="1:18">
      <c r="A9" s="620" t="s">
        <v>999</v>
      </c>
      <c r="B9" s="181"/>
      <c r="C9" s="181"/>
      <c r="D9" s="408"/>
      <c r="E9" s="180">
        <v>5</v>
      </c>
      <c r="G9" s="473">
        <f>'12'!E39</f>
        <v>418530015666</v>
      </c>
      <c r="H9" s="473"/>
      <c r="I9" s="471">
        <f>'12'!G39</f>
        <v>358525348462</v>
      </c>
      <c r="J9" s="471"/>
      <c r="L9" s="183" t="s">
        <v>507</v>
      </c>
      <c r="M9" s="183"/>
      <c r="N9" s="180">
        <v>14</v>
      </c>
      <c r="P9" s="473">
        <f>'29'!F16</f>
        <v>151584243124</v>
      </c>
      <c r="R9" s="471">
        <f>'29'!H16</f>
        <v>88974015878</v>
      </c>
    </row>
    <row r="10" spans="1:18">
      <c r="A10" s="181" t="s">
        <v>31</v>
      </c>
      <c r="B10" s="181"/>
      <c r="C10" s="181"/>
      <c r="D10" s="408"/>
      <c r="E10" s="180">
        <v>6</v>
      </c>
      <c r="G10" s="473">
        <f>'16'!I15</f>
        <v>230016308069</v>
      </c>
      <c r="H10" s="473"/>
      <c r="I10" s="471">
        <f>'16'!K15</f>
        <v>138392761768</v>
      </c>
      <c r="J10" s="471"/>
      <c r="L10" s="183" t="s">
        <v>305</v>
      </c>
      <c r="M10" s="183"/>
      <c r="N10" s="180">
        <v>15</v>
      </c>
      <c r="P10" s="473">
        <f>'31'!F54</f>
        <v>8309143420</v>
      </c>
      <c r="R10" s="471">
        <f>'31'!H54</f>
        <v>10581628534</v>
      </c>
    </row>
    <row r="11" spans="1:18">
      <c r="A11" s="181" t="s">
        <v>32</v>
      </c>
      <c r="B11" s="181"/>
      <c r="C11" s="181"/>
      <c r="D11" s="408"/>
      <c r="E11" s="180">
        <v>7</v>
      </c>
      <c r="G11" s="473">
        <f>'18'!F24</f>
        <v>27025794602</v>
      </c>
      <c r="H11" s="473"/>
      <c r="I11" s="471">
        <f>'18'!H24</f>
        <v>17307030086</v>
      </c>
      <c r="J11" s="471"/>
      <c r="L11" s="183" t="s">
        <v>503</v>
      </c>
      <c r="M11" s="183"/>
      <c r="N11" s="180">
        <v>16</v>
      </c>
      <c r="P11" s="473">
        <f>'32'!E11</f>
        <v>157855244864</v>
      </c>
      <c r="R11" s="471">
        <f>'32'!G33</f>
        <v>136829044699</v>
      </c>
    </row>
    <row r="12" spans="1:18">
      <c r="A12" s="707" t="s">
        <v>33</v>
      </c>
      <c r="B12" s="707"/>
      <c r="C12" s="707"/>
      <c r="D12" s="408"/>
      <c r="E12" s="180">
        <v>8</v>
      </c>
      <c r="G12" s="473">
        <f>'19'!E19</f>
        <v>13331416599</v>
      </c>
      <c r="H12" s="473"/>
      <c r="I12" s="471">
        <f>'18'!H34</f>
        <v>50994429649</v>
      </c>
      <c r="J12" s="471"/>
      <c r="L12" s="183" t="s">
        <v>504</v>
      </c>
      <c r="M12" s="183"/>
      <c r="N12" s="180">
        <v>17</v>
      </c>
      <c r="P12" s="473">
        <v>0</v>
      </c>
      <c r="R12" s="471">
        <v>0</v>
      </c>
    </row>
    <row r="13" spans="1:18">
      <c r="A13" s="181" t="s">
        <v>34</v>
      </c>
      <c r="B13" s="181"/>
      <c r="C13" s="181"/>
      <c r="D13" s="408"/>
      <c r="E13" s="180">
        <v>9</v>
      </c>
      <c r="G13" s="473">
        <f>'19'!E29</f>
        <v>70121623081</v>
      </c>
      <c r="H13" s="473"/>
      <c r="I13" s="471">
        <f>'19'!K29</f>
        <v>32271397072</v>
      </c>
      <c r="J13" s="471"/>
      <c r="L13" s="183" t="s">
        <v>508</v>
      </c>
      <c r="M13" s="183"/>
      <c r="N13" s="180">
        <v>18</v>
      </c>
      <c r="P13" s="473">
        <f>'34'!E10</f>
        <v>143533971992</v>
      </c>
      <c r="R13" s="471">
        <f>'34'!G10</f>
        <v>65904623492</v>
      </c>
    </row>
    <row r="14" spans="1:18">
      <c r="G14" s="477">
        <v>0</v>
      </c>
      <c r="H14" s="478"/>
      <c r="I14" s="479">
        <v>0</v>
      </c>
      <c r="J14" s="480"/>
      <c r="L14" s="183" t="s">
        <v>718</v>
      </c>
      <c r="M14" s="183"/>
      <c r="N14" s="180">
        <v>19</v>
      </c>
      <c r="P14" s="473">
        <v>67311564466</v>
      </c>
      <c r="R14" s="471">
        <v>36249634412</v>
      </c>
    </row>
    <row r="15" spans="1:18">
      <c r="G15" s="473">
        <f>SUM(G8:G14)</f>
        <v>773826697185</v>
      </c>
      <c r="H15" s="473"/>
      <c r="I15" s="471">
        <f>SUM(I8:I14)</f>
        <v>605110940149</v>
      </c>
      <c r="J15" s="471"/>
      <c r="P15" s="473">
        <f>SUM(P8:P14)</f>
        <v>649293689703</v>
      </c>
      <c r="R15" s="471">
        <f>SUM(R8:R14)</f>
        <v>458702357644</v>
      </c>
    </row>
    <row r="16" spans="1:18" ht="18.75">
      <c r="A16" s="49" t="s">
        <v>35</v>
      </c>
      <c r="G16" s="473"/>
      <c r="H16" s="473"/>
      <c r="K16" s="708" t="s">
        <v>997</v>
      </c>
      <c r="L16" s="708"/>
      <c r="P16" s="473"/>
    </row>
    <row r="17" spans="1:18">
      <c r="E17" s="246"/>
      <c r="G17" s="473"/>
      <c r="H17" s="473"/>
      <c r="L17" s="183" t="s">
        <v>719</v>
      </c>
      <c r="M17" s="183"/>
      <c r="N17" s="246">
        <v>19</v>
      </c>
      <c r="P17" s="473">
        <v>0</v>
      </c>
      <c r="R17" s="471">
        <v>19751134412</v>
      </c>
    </row>
    <row r="18" spans="1:18">
      <c r="A18" s="36" t="s">
        <v>36</v>
      </c>
      <c r="E18" s="180">
        <v>10</v>
      </c>
      <c r="G18" s="473">
        <f>'20'!Z22</f>
        <v>30930448145</v>
      </c>
      <c r="H18" s="473"/>
      <c r="I18" s="471">
        <f>'20'!AB22</f>
        <v>28548260406</v>
      </c>
      <c r="J18" s="471"/>
      <c r="K18" s="706" t="s">
        <v>37</v>
      </c>
      <c r="L18" s="706"/>
      <c r="M18" s="406"/>
      <c r="N18" s="180">
        <v>20</v>
      </c>
      <c r="P18" s="473">
        <f>'34'!E29</f>
        <v>10363884882</v>
      </c>
      <c r="R18" s="471">
        <f>'34'!G29</f>
        <v>8355739578</v>
      </c>
    </row>
    <row r="19" spans="1:18">
      <c r="A19" s="36" t="s">
        <v>38</v>
      </c>
      <c r="E19" s="180">
        <v>11</v>
      </c>
      <c r="G19" s="473">
        <f>'25'!G11</f>
        <v>6485500000</v>
      </c>
      <c r="H19" s="473"/>
      <c r="I19" s="471">
        <f>'25'!I11</f>
        <v>4161000000</v>
      </c>
      <c r="J19" s="471"/>
      <c r="K19" s="707"/>
      <c r="L19" s="707"/>
      <c r="P19" s="474">
        <f>SUM(P17:P18)</f>
        <v>10363884882</v>
      </c>
      <c r="R19" s="475">
        <f>SUM(R17:R18)</f>
        <v>28106873990</v>
      </c>
    </row>
    <row r="20" spans="1:18">
      <c r="A20" s="36" t="s">
        <v>39</v>
      </c>
      <c r="E20" s="180">
        <v>12</v>
      </c>
      <c r="G20" s="473">
        <f>'26'!F13</f>
        <v>610092852</v>
      </c>
      <c r="H20" s="473"/>
      <c r="I20" s="471">
        <f>'26'!H13</f>
        <v>556767852</v>
      </c>
      <c r="J20" s="471"/>
      <c r="P20" s="473"/>
    </row>
    <row r="21" spans="1:18" ht="18.75">
      <c r="G21" s="471">
        <f>SUM(G18:G20)</f>
        <v>38026040997</v>
      </c>
      <c r="I21" s="471">
        <f>SUM(I18:I20)</f>
        <v>33266028258</v>
      </c>
      <c r="J21" s="471"/>
      <c r="K21" s="49" t="s">
        <v>40</v>
      </c>
      <c r="P21" s="478">
        <f>P15+P19</f>
        <v>659657574585</v>
      </c>
      <c r="Q21" s="480"/>
      <c r="R21" s="482">
        <f>R19+R15</f>
        <v>486809231634</v>
      </c>
    </row>
    <row r="22" spans="1:18" ht="18.75">
      <c r="K22" s="49" t="s">
        <v>41</v>
      </c>
      <c r="P22" s="473"/>
    </row>
    <row r="23" spans="1:18">
      <c r="K23" s="616" t="s">
        <v>996</v>
      </c>
      <c r="L23" s="616"/>
      <c r="M23" s="616"/>
      <c r="N23" s="180">
        <v>21</v>
      </c>
      <c r="P23" s="473">
        <v>63000000000</v>
      </c>
      <c r="R23" s="471">
        <f>'35'!I17</f>
        <v>63000000000</v>
      </c>
    </row>
    <row r="24" spans="1:18">
      <c r="K24" s="36" t="s">
        <v>42</v>
      </c>
      <c r="N24" s="180">
        <v>22</v>
      </c>
      <c r="P24" s="473">
        <v>6300000000</v>
      </c>
      <c r="R24" s="471">
        <f>'35'!B34</f>
        <v>6300000000</v>
      </c>
    </row>
    <row r="25" spans="1:18">
      <c r="K25" s="36" t="s">
        <v>43</v>
      </c>
      <c r="N25" s="180">
        <v>23</v>
      </c>
      <c r="P25" s="473">
        <v>176336710</v>
      </c>
      <c r="R25" s="471">
        <f>'35'!F34+'35'!D34</f>
        <v>176336710</v>
      </c>
    </row>
    <row r="26" spans="1:18">
      <c r="K26" s="36" t="s">
        <v>44</v>
      </c>
      <c r="P26" s="473">
        <f>'3'!E36</f>
        <v>82718826887</v>
      </c>
      <c r="R26" s="471">
        <f>'3'!I36</f>
        <v>82091400063</v>
      </c>
    </row>
    <row r="27" spans="1:18">
      <c r="P27" s="473">
        <f>SUM(P23:P26)</f>
        <v>152195163597</v>
      </c>
      <c r="R27" s="471">
        <f>SUM(R23:R26)</f>
        <v>151567736773</v>
      </c>
    </row>
    <row r="28" spans="1:18">
      <c r="P28" s="473"/>
    </row>
    <row r="29" spans="1:18" ht="19.5" thickBot="1">
      <c r="A29" s="49" t="s">
        <v>45</v>
      </c>
      <c r="G29" s="483">
        <f>G15+G21</f>
        <v>811852738182</v>
      </c>
      <c r="I29" s="483">
        <f>I21+I15</f>
        <v>638376968407</v>
      </c>
      <c r="J29" s="471"/>
      <c r="K29" s="36" t="s">
        <v>46</v>
      </c>
      <c r="P29" s="531">
        <f>P27+P21</f>
        <v>811852738182</v>
      </c>
      <c r="R29" s="471">
        <f>R27+R21</f>
        <v>638376968407</v>
      </c>
    </row>
    <row r="30" spans="1:18" ht="19.5" thickTop="1" thickBot="1">
      <c r="A30" s="36" t="s">
        <v>47</v>
      </c>
      <c r="E30" s="180">
        <v>29</v>
      </c>
      <c r="G30" s="483">
        <f>'40'!F11</f>
        <v>1349375121713</v>
      </c>
      <c r="I30" s="483">
        <v>1202583688216</v>
      </c>
      <c r="J30" s="471"/>
      <c r="K30" s="36" t="s">
        <v>47</v>
      </c>
      <c r="N30" s="180">
        <v>29</v>
      </c>
      <c r="P30" s="530">
        <f>'40'!F11</f>
        <v>1349375121713</v>
      </c>
      <c r="R30" s="530">
        <v>1202583688216</v>
      </c>
    </row>
    <row r="31" spans="1:18" ht="18.75" thickTop="1"/>
    <row r="32" spans="1:18">
      <c r="P32" s="473"/>
    </row>
    <row r="33" spans="1:18">
      <c r="A33" s="706" t="s">
        <v>48</v>
      </c>
      <c r="B33" s="706"/>
      <c r="C33" s="706"/>
      <c r="D33" s="706"/>
      <c r="E33" s="706"/>
      <c r="F33" s="706"/>
      <c r="G33" s="706"/>
      <c r="H33" s="706"/>
      <c r="I33" s="706"/>
      <c r="J33" s="706"/>
      <c r="K33" s="706"/>
      <c r="L33" s="706"/>
      <c r="M33" s="706"/>
      <c r="N33" s="706"/>
      <c r="O33" s="706"/>
      <c r="P33" s="706"/>
      <c r="Q33" s="706"/>
      <c r="R33" s="706"/>
    </row>
    <row r="34" spans="1:18">
      <c r="I34" s="471"/>
      <c r="J34" s="471"/>
    </row>
    <row r="35" spans="1:18">
      <c r="I35" s="471"/>
      <c r="J35" s="471"/>
    </row>
    <row r="36" spans="1:18">
      <c r="I36" s="471"/>
      <c r="J36" s="471"/>
    </row>
    <row r="37" spans="1:18">
      <c r="I37" s="471"/>
      <c r="J37" s="471"/>
    </row>
    <row r="38" spans="1:18">
      <c r="I38" s="471"/>
      <c r="J38" s="471"/>
    </row>
    <row r="39" spans="1:18">
      <c r="I39" s="471"/>
      <c r="J39" s="471"/>
      <c r="L39" s="182"/>
      <c r="M39" s="182"/>
    </row>
    <row r="40" spans="1:18">
      <c r="I40" s="471"/>
      <c r="J40" s="471"/>
      <c r="L40" s="182"/>
      <c r="M40" s="182"/>
    </row>
    <row r="41" spans="1:18">
      <c r="I41" s="471"/>
      <c r="J41" s="471"/>
      <c r="L41" s="182"/>
      <c r="M41" s="182"/>
    </row>
    <row r="42" spans="1:18">
      <c r="I42" s="471"/>
      <c r="J42" s="471"/>
      <c r="L42" s="182"/>
      <c r="M42" s="182"/>
    </row>
    <row r="43" spans="1:18">
      <c r="I43" s="481"/>
      <c r="J43" s="481"/>
      <c r="L43" s="182"/>
      <c r="M43" s="182"/>
    </row>
    <row r="44" spans="1:18">
      <c r="L44" s="182"/>
      <c r="M44" s="182"/>
    </row>
  </sheetData>
  <mergeCells count="10">
    <mergeCell ref="K19:L19"/>
    <mergeCell ref="K16:L16"/>
    <mergeCell ref="A33:R33"/>
    <mergeCell ref="K18:L18"/>
    <mergeCell ref="A3:R3"/>
    <mergeCell ref="A2:R2"/>
    <mergeCell ref="A1:R1"/>
    <mergeCell ref="A5:C5"/>
    <mergeCell ref="K5:L5"/>
    <mergeCell ref="A12:C12"/>
  </mergeCells>
  <printOptions horizontalCentered="1"/>
  <pageMargins left="0" right="0" top="0" bottom="0" header="0" footer="0"/>
  <pageSetup paperSize="9" scale="95" orientation="landscape" horizontalDpi="300" verticalDpi="300" r:id="rId1"/>
  <headerFooter>
    <oddFooter>&amp;C&amp;"B Mitra,Bold"&amp;14 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2"/>
  <sheetViews>
    <sheetView rightToLeft="1" topLeftCell="A13" workbookViewId="0">
      <selection activeCell="B13" sqref="B13"/>
    </sheetView>
  </sheetViews>
  <sheetFormatPr defaultColWidth="9" defaultRowHeight="17.25"/>
  <cols>
    <col min="1" max="1" width="28.42578125" style="69" bestFit="1" customWidth="1"/>
    <col min="2" max="2" width="6.28515625" style="255" bestFit="1" customWidth="1"/>
    <col min="3" max="3" width="12" style="195" customWidth="1"/>
    <col min="4" max="4" width="1.140625" style="255" customWidth="1"/>
    <col min="5" max="5" width="14.5703125" style="195" customWidth="1"/>
    <col min="6" max="6" width="1.7109375" style="195" customWidth="1"/>
    <col min="7" max="7" width="14.5703125" style="195" customWidth="1"/>
    <col min="8" max="8" width="1" style="255" customWidth="1"/>
    <col min="9" max="9" width="14.85546875" style="195" customWidth="1"/>
    <col min="10" max="11" width="9" style="55"/>
    <col min="12" max="12" width="16.42578125" style="55" customWidth="1"/>
    <col min="13" max="16384" width="9" style="55"/>
  </cols>
  <sheetData>
    <row r="1" spans="1:14" ht="22.5">
      <c r="A1" s="703" t="s">
        <v>995</v>
      </c>
      <c r="B1" s="703"/>
      <c r="C1" s="703"/>
      <c r="D1" s="703"/>
      <c r="E1" s="703"/>
      <c r="F1" s="703"/>
      <c r="G1" s="703"/>
      <c r="H1" s="703"/>
      <c r="I1" s="703"/>
      <c r="J1" s="62"/>
    </row>
    <row r="2" spans="1:14" ht="22.5">
      <c r="A2" s="703" t="s">
        <v>509</v>
      </c>
      <c r="B2" s="703"/>
      <c r="C2" s="703"/>
      <c r="D2" s="703"/>
      <c r="E2" s="703"/>
      <c r="F2" s="703"/>
      <c r="G2" s="703"/>
      <c r="H2" s="703"/>
      <c r="I2" s="703"/>
      <c r="J2" s="62"/>
    </row>
    <row r="3" spans="1:14" ht="27" customHeight="1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62"/>
      <c r="K3" s="62"/>
      <c r="L3" s="62"/>
      <c r="M3" s="62"/>
      <c r="N3" s="62"/>
    </row>
    <row r="4" spans="1:14" ht="40.5" customHeight="1">
      <c r="E4" s="675" t="s">
        <v>1018</v>
      </c>
      <c r="F4" s="675"/>
      <c r="G4" s="675" t="s">
        <v>1018</v>
      </c>
      <c r="H4" s="676"/>
      <c r="I4" s="675" t="s">
        <v>1019</v>
      </c>
    </row>
    <row r="5" spans="1:14">
      <c r="B5" s="255" t="s">
        <v>24</v>
      </c>
      <c r="E5" s="196" t="s">
        <v>721</v>
      </c>
      <c r="F5" s="484"/>
      <c r="G5" s="196" t="s">
        <v>967</v>
      </c>
      <c r="I5" s="196" t="s">
        <v>25</v>
      </c>
    </row>
    <row r="6" spans="1:14" s="56" customFormat="1" ht="22.5" customHeight="1">
      <c r="A6" s="75"/>
      <c r="B6" s="75"/>
      <c r="C6" s="296"/>
      <c r="D6" s="75"/>
      <c r="E6" s="208" t="s">
        <v>724</v>
      </c>
      <c r="F6" s="208"/>
      <c r="G6" s="208" t="s">
        <v>724</v>
      </c>
      <c r="H6" s="75"/>
      <c r="I6" s="208" t="s">
        <v>724</v>
      </c>
    </row>
    <row r="7" spans="1:14" ht="18.95" customHeight="1">
      <c r="A7" s="69" t="s">
        <v>49</v>
      </c>
      <c r="B7" s="255">
        <v>24</v>
      </c>
      <c r="E7" s="195">
        <f>'36'!E39</f>
        <v>395460814361</v>
      </c>
      <c r="G7" s="195">
        <v>161824112185</v>
      </c>
      <c r="I7" s="195">
        <v>314540399293</v>
      </c>
    </row>
    <row r="8" spans="1:14" ht="18.95" customHeight="1">
      <c r="A8" s="69" t="s">
        <v>50</v>
      </c>
      <c r="B8" s="255">
        <v>24</v>
      </c>
      <c r="E8" s="196">
        <v>-261089768129</v>
      </c>
      <c r="F8" s="484"/>
      <c r="G8" s="196">
        <v>-171180935210</v>
      </c>
      <c r="I8" s="196">
        <v>-292371962805</v>
      </c>
    </row>
    <row r="9" spans="1:14" ht="18.95" customHeight="1">
      <c r="A9" s="69" t="s">
        <v>51</v>
      </c>
      <c r="E9" s="195">
        <f>SUM(E7:E8)</f>
        <v>134371046232</v>
      </c>
      <c r="G9" s="195">
        <f>SUM(G7:G8)</f>
        <v>-9356823025</v>
      </c>
      <c r="I9" s="195">
        <f>SUM(I7:I8)</f>
        <v>22168436488</v>
      </c>
    </row>
    <row r="10" spans="1:14" ht="18.95" customHeight="1">
      <c r="A10" s="69" t="s">
        <v>52</v>
      </c>
      <c r="B10" s="255">
        <v>25</v>
      </c>
      <c r="E10" s="196">
        <v>1786362095</v>
      </c>
      <c r="F10" s="484"/>
      <c r="G10" s="196">
        <v>25999092628</v>
      </c>
      <c r="I10" s="196">
        <f>'38'!H9</f>
        <v>39073000000</v>
      </c>
    </row>
    <row r="11" spans="1:14" ht="18.95" customHeight="1">
      <c r="E11" s="195">
        <f>SUM(E9:E10)</f>
        <v>136157408327</v>
      </c>
      <c r="G11" s="195">
        <f>SUM(G9:G10)</f>
        <v>16642269603</v>
      </c>
      <c r="I11" s="195">
        <f>I9+I10</f>
        <v>61241436488</v>
      </c>
    </row>
    <row r="12" spans="1:14" ht="18.95" customHeight="1">
      <c r="A12" s="69" t="s">
        <v>53</v>
      </c>
    </row>
    <row r="13" spans="1:14" ht="18.95" customHeight="1">
      <c r="A13" s="69" t="s">
        <v>54</v>
      </c>
      <c r="B13" s="255">
        <v>26</v>
      </c>
      <c r="E13" s="196">
        <v>-26297655991</v>
      </c>
      <c r="F13" s="484"/>
      <c r="G13" s="196">
        <v>-20841115748</v>
      </c>
      <c r="I13" s="196">
        <v>-29358813507</v>
      </c>
    </row>
    <row r="14" spans="1:14" ht="18.95" customHeight="1">
      <c r="A14" s="69" t="s">
        <v>55</v>
      </c>
      <c r="E14" s="195">
        <f>SUM(E11:E13)</f>
        <v>109859752336</v>
      </c>
      <c r="G14" s="195">
        <f>G11+G13</f>
        <v>-4198846145</v>
      </c>
      <c r="I14" s="195">
        <f>SUM(I11:I13)</f>
        <v>31882622981</v>
      </c>
    </row>
    <row r="15" spans="1:14" ht="18.95" customHeight="1">
      <c r="E15" s="195">
        <v>0</v>
      </c>
    </row>
    <row r="16" spans="1:14" ht="18.95" customHeight="1">
      <c r="A16" s="69" t="s">
        <v>56</v>
      </c>
      <c r="B16" s="255">
        <v>19</v>
      </c>
      <c r="C16" s="195">
        <v>-5824635866</v>
      </c>
      <c r="G16" s="195">
        <v>-6787097912</v>
      </c>
      <c r="I16" s="195">
        <v>-9865225404</v>
      </c>
    </row>
    <row r="17" spans="1:12" ht="18.95" customHeight="1">
      <c r="A17" s="69" t="s">
        <v>57</v>
      </c>
      <c r="B17" s="255">
        <v>27</v>
      </c>
      <c r="C17" s="196">
        <v>2162967968</v>
      </c>
      <c r="F17" s="484"/>
      <c r="G17" s="196">
        <v>27322155579</v>
      </c>
      <c r="I17" s="196">
        <v>70618232401</v>
      </c>
    </row>
    <row r="18" spans="1:12" ht="18.95" customHeight="1">
      <c r="E18" s="196">
        <f>C16+C17</f>
        <v>-3661667898</v>
      </c>
      <c r="G18" s="196">
        <v>20535057664</v>
      </c>
      <c r="I18" s="196">
        <v>60753006997</v>
      </c>
    </row>
    <row r="19" spans="1:12" ht="9.75" customHeight="1">
      <c r="B19" s="625"/>
      <c r="D19" s="625"/>
      <c r="E19" s="484"/>
      <c r="G19" s="484"/>
      <c r="H19" s="625"/>
      <c r="I19" s="484"/>
    </row>
    <row r="20" spans="1:12" ht="18.95" customHeight="1">
      <c r="A20" s="69" t="s">
        <v>58</v>
      </c>
      <c r="E20" s="195">
        <f>SUM(E14:E18)</f>
        <v>106198084438</v>
      </c>
      <c r="G20" s="195">
        <f>G18+G14</f>
        <v>16336211519</v>
      </c>
      <c r="I20" s="195">
        <f>I18+I14</f>
        <v>92635629978</v>
      </c>
      <c r="L20" s="54"/>
    </row>
    <row r="21" spans="1:12" ht="18.95" customHeight="1">
      <c r="A21" s="69" t="s">
        <v>59</v>
      </c>
      <c r="B21" s="255">
        <v>17</v>
      </c>
      <c r="E21" s="196">
        <v>-26111436859</v>
      </c>
      <c r="F21" s="484"/>
      <c r="G21" s="196">
        <v>0</v>
      </c>
      <c r="I21" s="196">
        <v>-7495229915</v>
      </c>
    </row>
    <row r="22" spans="1:12" ht="18.95" customHeight="1" thickBot="1">
      <c r="A22" s="69" t="s">
        <v>60</v>
      </c>
      <c r="E22" s="199">
        <f>SUM(E20:E21)</f>
        <v>80086647579</v>
      </c>
      <c r="F22" s="484"/>
      <c r="G22" s="485">
        <f>G20+G21</f>
        <v>16336211519</v>
      </c>
      <c r="I22" s="199">
        <f>I20+I21</f>
        <v>85140400063</v>
      </c>
    </row>
    <row r="23" spans="1:12" ht="18.95" customHeight="1" thickTop="1"/>
    <row r="24" spans="1:12" ht="18.95" customHeight="1">
      <c r="A24" s="711" t="s">
        <v>665</v>
      </c>
      <c r="B24" s="711"/>
      <c r="C24" s="711"/>
      <c r="D24" s="711"/>
      <c r="E24" s="711"/>
      <c r="F24" s="711"/>
      <c r="G24" s="711"/>
      <c r="H24" s="711"/>
      <c r="I24" s="711"/>
      <c r="J24" s="711"/>
    </row>
    <row r="25" spans="1:12" ht="18.95" customHeight="1"/>
    <row r="26" spans="1:12" ht="18.95" customHeight="1">
      <c r="A26" s="69" t="s">
        <v>60</v>
      </c>
      <c r="E26" s="195">
        <f>E22</f>
        <v>80086647579</v>
      </c>
      <c r="G26" s="195">
        <v>16336211519</v>
      </c>
      <c r="I26" s="195">
        <f>I22</f>
        <v>85140400063</v>
      </c>
    </row>
    <row r="27" spans="1:12" ht="18.95" customHeight="1">
      <c r="A27" s="69" t="s">
        <v>61</v>
      </c>
      <c r="E27" s="195">
        <f>I36</f>
        <v>82091400063</v>
      </c>
      <c r="G27" s="195">
        <v>52210792036</v>
      </c>
      <c r="I27" s="195">
        <v>52211000000</v>
      </c>
    </row>
    <row r="28" spans="1:12" ht="18.95" customHeight="1">
      <c r="A28" s="69" t="s">
        <v>62</v>
      </c>
      <c r="G28" s="195">
        <v>-52110047555</v>
      </c>
      <c r="I28" s="195">
        <v>0</v>
      </c>
    </row>
    <row r="29" spans="1:12" ht="18.95" customHeight="1">
      <c r="A29" s="69" t="s">
        <v>63</v>
      </c>
      <c r="E29" s="196"/>
      <c r="F29" s="484"/>
      <c r="G29" s="196">
        <v>0</v>
      </c>
      <c r="I29" s="196">
        <v>0</v>
      </c>
    </row>
    <row r="30" spans="1:12" ht="18.95" customHeight="1">
      <c r="A30" s="69" t="s">
        <v>64</v>
      </c>
      <c r="E30" s="195">
        <f>SUM(E26:E29)</f>
        <v>162178047642</v>
      </c>
      <c r="G30" s="195">
        <f>SUM(G26:G29)</f>
        <v>16436956000</v>
      </c>
      <c r="I30" s="195">
        <f>SUM(I26:I29)</f>
        <v>137351400063</v>
      </c>
    </row>
    <row r="31" spans="1:12" ht="18.95" customHeight="1">
      <c r="A31" s="69" t="s">
        <v>65</v>
      </c>
    </row>
    <row r="32" spans="1:12" ht="18.95" customHeight="1">
      <c r="A32" s="69" t="s">
        <v>66</v>
      </c>
      <c r="E32" s="195">
        <v>0</v>
      </c>
      <c r="G32" s="195">
        <v>-801681142</v>
      </c>
      <c r="I32" s="195">
        <v>-3150000000</v>
      </c>
    </row>
    <row r="33" spans="1:9" ht="19.5" customHeight="1">
      <c r="A33" s="69" t="s">
        <v>67</v>
      </c>
      <c r="B33" s="255">
        <v>29</v>
      </c>
      <c r="E33" s="195">
        <v>-79459220755</v>
      </c>
      <c r="G33" s="195">
        <v>0</v>
      </c>
      <c r="I33" s="195">
        <v>-52110000000</v>
      </c>
    </row>
    <row r="34" spans="1:9" ht="18.95" customHeight="1">
      <c r="E34" s="198">
        <v>0</v>
      </c>
      <c r="F34" s="484"/>
      <c r="G34" s="486">
        <f>SUM(G32:G33)</f>
        <v>-801681142</v>
      </c>
      <c r="I34" s="198">
        <f>SUM(I32:I33)</f>
        <v>-55260000000</v>
      </c>
    </row>
    <row r="35" spans="1:9" ht="18.95" customHeight="1">
      <c r="G35" s="486"/>
    </row>
    <row r="36" spans="1:9" ht="18.95" customHeight="1" thickBot="1">
      <c r="A36" s="69" t="s">
        <v>68</v>
      </c>
      <c r="E36" s="199">
        <f>E30+E33</f>
        <v>82718826887</v>
      </c>
      <c r="F36" s="484"/>
      <c r="G36" s="199">
        <f>G30+G34</f>
        <v>15635274858</v>
      </c>
      <c r="I36" s="199">
        <f>I30+I34</f>
        <v>82091400063</v>
      </c>
    </row>
    <row r="37" spans="1:9" ht="8.25" customHeight="1" thickTop="1">
      <c r="B37" s="625"/>
      <c r="D37" s="625"/>
      <c r="E37" s="484"/>
      <c r="F37" s="484"/>
      <c r="G37" s="484"/>
      <c r="H37" s="625"/>
      <c r="I37" s="484"/>
    </row>
    <row r="38" spans="1:9" ht="18.95" customHeight="1">
      <c r="A38" s="712" t="s">
        <v>69</v>
      </c>
      <c r="B38" s="712"/>
      <c r="C38" s="712"/>
      <c r="D38" s="712"/>
      <c r="E38" s="712"/>
      <c r="F38" s="712"/>
      <c r="G38" s="712"/>
      <c r="H38" s="712"/>
      <c r="I38" s="712"/>
    </row>
    <row r="39" spans="1:9" ht="18.95" customHeight="1">
      <c r="A39" s="623"/>
      <c r="B39" s="623"/>
      <c r="C39" s="623"/>
      <c r="D39" s="623"/>
      <c r="E39" s="623"/>
      <c r="F39" s="462"/>
      <c r="G39" s="462"/>
    </row>
    <row r="40" spans="1:9" ht="34.5" customHeight="1"/>
    <row r="41" spans="1:9" ht="18.95" customHeight="1">
      <c r="A41" s="710" t="s">
        <v>70</v>
      </c>
      <c r="B41" s="710"/>
      <c r="C41" s="710"/>
      <c r="D41" s="710"/>
      <c r="E41" s="710"/>
      <c r="F41" s="710"/>
      <c r="G41" s="710"/>
      <c r="H41" s="710"/>
      <c r="I41" s="710"/>
    </row>
    <row r="42" spans="1:9" ht="18.95" customHeight="1"/>
  </sheetData>
  <mergeCells count="6">
    <mergeCell ref="A41:I41"/>
    <mergeCell ref="A24:J24"/>
    <mergeCell ref="A3:I3"/>
    <mergeCell ref="A2:I2"/>
    <mergeCell ref="A1:I1"/>
    <mergeCell ref="A38:I38"/>
  </mergeCells>
  <pageMargins left="0.70866141732283472" right="0.70866141732283472" top="0.74803149606299213" bottom="0.74803149606299213" header="0.31496062992125984" footer="0.31496062992125984"/>
  <pageSetup paperSize="9" scale="84" orientation="portrait" horizontalDpi="300" verticalDpi="300" r:id="rId1"/>
  <headerFooter>
    <oddFooter>&amp;C&amp;"B Mitra,Bold"&amp;14 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O41"/>
  <sheetViews>
    <sheetView rightToLeft="1" workbookViewId="0">
      <selection activeCell="B3" sqref="B3:M3"/>
    </sheetView>
  </sheetViews>
  <sheetFormatPr defaultColWidth="9" defaultRowHeight="17.25"/>
  <cols>
    <col min="1" max="1" width="3" style="55" customWidth="1"/>
    <col min="2" max="2" width="47.28515625" style="69" bestFit="1" customWidth="1"/>
    <col min="3" max="3" width="6.28515625" style="109" bestFit="1" customWidth="1"/>
    <col min="4" max="4" width="2.42578125" style="109" customWidth="1"/>
    <col min="5" max="6" width="14" style="195" bestFit="1" customWidth="1"/>
    <col min="7" max="7" width="1.28515625" style="195" customWidth="1"/>
    <col min="8" max="8" width="14" style="195" customWidth="1"/>
    <col min="9" max="9" width="1.5703125" style="195" customWidth="1"/>
    <col min="10" max="10" width="11.28515625" style="195" bestFit="1" customWidth="1"/>
    <col min="11" max="11" width="8.140625" style="55" customWidth="1"/>
    <col min="12" max="12" width="7.42578125" style="55" customWidth="1"/>
    <col min="13" max="13" width="6.7109375" style="55" customWidth="1"/>
    <col min="14" max="14" width="11.7109375" style="55" bestFit="1" customWidth="1"/>
    <col min="15" max="15" width="9.42578125" style="55" bestFit="1" customWidth="1"/>
    <col min="16" max="16384" width="9" style="55"/>
  </cols>
  <sheetData>
    <row r="1" spans="2:15" ht="22.5">
      <c r="B1" s="703" t="s">
        <v>995</v>
      </c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2:15" ht="22.5">
      <c r="B2" s="703" t="s">
        <v>510</v>
      </c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2:15" ht="22.5">
      <c r="B3" s="703" t="s">
        <v>1017</v>
      </c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62"/>
      <c r="O3" s="62"/>
    </row>
    <row r="4" spans="2:15">
      <c r="M4" s="55" t="s">
        <v>71</v>
      </c>
    </row>
    <row r="5" spans="2:15" ht="51.75" customHeight="1">
      <c r="H5" s="484"/>
      <c r="I5" s="178"/>
    </row>
    <row r="6" spans="2:15">
      <c r="C6" s="194" t="s">
        <v>24</v>
      </c>
      <c r="E6" s="713" t="s">
        <v>721</v>
      </c>
      <c r="F6" s="713"/>
      <c r="G6" s="272"/>
      <c r="H6" s="713" t="s">
        <v>967</v>
      </c>
      <c r="I6" s="713"/>
      <c r="J6" s="249" t="s">
        <v>25</v>
      </c>
    </row>
    <row r="7" spans="2:15" ht="18">
      <c r="E7" s="178" t="s">
        <v>724</v>
      </c>
      <c r="F7" s="178" t="s">
        <v>724</v>
      </c>
      <c r="G7" s="178"/>
      <c r="H7" s="178" t="s">
        <v>724</v>
      </c>
      <c r="J7" s="178" t="s">
        <v>724</v>
      </c>
      <c r="N7" s="59"/>
      <c r="O7" s="59"/>
    </row>
    <row r="8" spans="2:15">
      <c r="B8" s="69" t="s">
        <v>72</v>
      </c>
      <c r="N8" s="59"/>
      <c r="O8" s="60"/>
    </row>
    <row r="9" spans="2:15">
      <c r="B9" s="69" t="s">
        <v>73</v>
      </c>
      <c r="C9" s="109">
        <v>26</v>
      </c>
      <c r="F9" s="511">
        <f>'39'!K36</f>
        <v>122404882401</v>
      </c>
      <c r="G9" s="484"/>
      <c r="H9" s="484">
        <v>44773295313</v>
      </c>
      <c r="J9" s="196">
        <v>9522</v>
      </c>
      <c r="N9" s="59"/>
      <c r="O9" s="60"/>
    </row>
    <row r="10" spans="2:15">
      <c r="B10" s="69" t="s">
        <v>74</v>
      </c>
      <c r="N10" s="59"/>
      <c r="O10" s="61"/>
    </row>
    <row r="11" spans="2:15">
      <c r="B11" s="69" t="s">
        <v>75</v>
      </c>
      <c r="E11" s="195">
        <v>898212002</v>
      </c>
      <c r="J11" s="195">
        <v>2418</v>
      </c>
      <c r="N11" s="59"/>
      <c r="O11" s="60"/>
    </row>
    <row r="12" spans="2:15">
      <c r="B12" s="69" t="s">
        <v>76</v>
      </c>
      <c r="E12" s="629">
        <v>-19964104495</v>
      </c>
      <c r="J12" s="196">
        <v>-10223</v>
      </c>
      <c r="N12" s="59"/>
      <c r="O12" s="60"/>
    </row>
    <row r="13" spans="2:15">
      <c r="B13" s="69" t="s">
        <v>664</v>
      </c>
      <c r="E13" s="195">
        <v>-82085236658</v>
      </c>
      <c r="J13" s="196"/>
      <c r="N13" s="59"/>
      <c r="O13" s="60"/>
    </row>
    <row r="14" spans="2:15">
      <c r="B14" s="69" t="s">
        <v>77</v>
      </c>
      <c r="E14" s="197"/>
      <c r="F14" s="196">
        <f>SUM(E11:E13)</f>
        <v>-101151129151</v>
      </c>
      <c r="G14" s="484"/>
      <c r="H14" s="484">
        <v>475471071</v>
      </c>
      <c r="J14" s="198">
        <v>-7805</v>
      </c>
    </row>
    <row r="15" spans="2:15">
      <c r="B15" s="69" t="s">
        <v>78</v>
      </c>
    </row>
    <row r="16" spans="2:15">
      <c r="B16" s="69" t="s">
        <v>79</v>
      </c>
    </row>
    <row r="17" spans="2:14">
      <c r="B17" s="69" t="s">
        <v>80</v>
      </c>
      <c r="F17" s="196">
        <v>0</v>
      </c>
      <c r="G17" s="484"/>
      <c r="H17" s="196"/>
      <c r="J17" s="196">
        <v>-13235</v>
      </c>
    </row>
    <row r="18" spans="2:14">
      <c r="B18" s="69" t="s">
        <v>81</v>
      </c>
    </row>
    <row r="19" spans="2:14">
      <c r="B19" s="69" t="s">
        <v>82</v>
      </c>
      <c r="E19" s="195">
        <v>-2531862720</v>
      </c>
      <c r="J19" s="195">
        <v>-1632</v>
      </c>
    </row>
    <row r="20" spans="2:14">
      <c r="B20" s="69" t="s">
        <v>83</v>
      </c>
      <c r="E20" s="512" t="s">
        <v>968</v>
      </c>
    </row>
    <row r="21" spans="2:14">
      <c r="B21" s="69" t="s">
        <v>84</v>
      </c>
      <c r="E21" s="195">
        <v>-1674500000</v>
      </c>
      <c r="J21" s="195">
        <v>-1771</v>
      </c>
    </row>
    <row r="22" spans="2:14">
      <c r="B22" s="69" t="s">
        <v>85</v>
      </c>
      <c r="E22" s="195">
        <v>-4575150528</v>
      </c>
      <c r="J22" s="195">
        <v>-9200</v>
      </c>
    </row>
    <row r="23" spans="2:14">
      <c r="B23" s="69" t="s">
        <v>86</v>
      </c>
      <c r="E23" s="195">
        <v>246808296</v>
      </c>
      <c r="J23" s="195">
        <v>13083</v>
      </c>
    </row>
    <row r="24" spans="2:14">
      <c r="B24" s="69" t="s">
        <v>87</v>
      </c>
      <c r="E24" s="195">
        <v>163822670</v>
      </c>
      <c r="H24" s="195">
        <v>0</v>
      </c>
      <c r="J24" s="195">
        <v>1218</v>
      </c>
    </row>
    <row r="25" spans="2:14">
      <c r="F25" s="196"/>
      <c r="G25" s="484"/>
      <c r="H25" s="196"/>
    </row>
    <row r="26" spans="2:14">
      <c r="B26" s="69" t="s">
        <v>88</v>
      </c>
      <c r="F26" s="198">
        <f>SUM(E19:E24)</f>
        <v>-8370882282</v>
      </c>
      <c r="G26" s="484"/>
      <c r="H26" s="196">
        <v>-3356646506</v>
      </c>
      <c r="J26" s="198">
        <v>1700</v>
      </c>
    </row>
    <row r="27" spans="2:14">
      <c r="B27" s="69" t="s">
        <v>89</v>
      </c>
      <c r="F27" s="198">
        <f>SUM(F9+F14+F17+F26)</f>
        <v>12882870968</v>
      </c>
      <c r="G27" s="484"/>
      <c r="H27" s="198">
        <v>41892119878</v>
      </c>
      <c r="J27" s="198">
        <v>-9819</v>
      </c>
    </row>
    <row r="28" spans="2:14">
      <c r="B28" s="69" t="s">
        <v>90</v>
      </c>
    </row>
    <row r="29" spans="2:14">
      <c r="B29" s="69" t="s">
        <v>91</v>
      </c>
      <c r="E29" s="195">
        <v>20015000000</v>
      </c>
      <c r="J29" s="195">
        <v>50000</v>
      </c>
      <c r="N29" s="195"/>
    </row>
    <row r="30" spans="2:14">
      <c r="B30" s="69" t="s">
        <v>92</v>
      </c>
      <c r="E30" s="196"/>
      <c r="J30" s="195">
        <v>-15000</v>
      </c>
    </row>
    <row r="31" spans="2:14">
      <c r="F31" s="196">
        <f>SUM(E29:E30)</f>
        <v>20015000000</v>
      </c>
      <c r="G31" s="484"/>
      <c r="H31" s="484">
        <v>-42904784397</v>
      </c>
      <c r="J31" s="196"/>
    </row>
    <row r="32" spans="2:14" ht="10.5" customHeight="1">
      <c r="B32" s="69" t="s">
        <v>93</v>
      </c>
      <c r="F32" s="195">
        <f>F31+F27</f>
        <v>32897870968</v>
      </c>
      <c r="H32" s="195">
        <v>-1012664519</v>
      </c>
      <c r="J32" s="195">
        <v>25181</v>
      </c>
    </row>
    <row r="33" spans="2:10">
      <c r="B33" s="69" t="s">
        <v>94</v>
      </c>
      <c r="F33" s="196">
        <f>H35</f>
        <v>29937144560</v>
      </c>
      <c r="G33" s="484"/>
      <c r="H33" s="196">
        <v>30949809079</v>
      </c>
      <c r="J33" s="196">
        <v>57432</v>
      </c>
    </row>
    <row r="34" spans="2:10" ht="6.75" customHeight="1"/>
    <row r="35" spans="2:10" ht="18" thickBot="1">
      <c r="B35" s="69" t="s">
        <v>95</v>
      </c>
      <c r="F35" s="199">
        <f>F32+F33</f>
        <v>62835015528</v>
      </c>
      <c r="G35" s="484"/>
      <c r="H35" s="484">
        <v>29937144560</v>
      </c>
      <c r="J35" s="199">
        <v>82613</v>
      </c>
    </row>
    <row r="36" spans="2:10" ht="18" thickTop="1"/>
    <row r="37" spans="2:10">
      <c r="F37" s="195">
        <v>14801539168</v>
      </c>
    </row>
    <row r="38" spans="2:10">
      <c r="B38" s="69" t="s">
        <v>96</v>
      </c>
      <c r="J38" s="195" t="s">
        <v>97</v>
      </c>
    </row>
    <row r="39" spans="2:10">
      <c r="B39" s="69" t="s">
        <v>98</v>
      </c>
      <c r="J39" s="195" t="s">
        <v>97</v>
      </c>
    </row>
    <row r="41" spans="2:10">
      <c r="B41" s="69" t="s">
        <v>70</v>
      </c>
    </row>
  </sheetData>
  <mergeCells count="5">
    <mergeCell ref="E6:F6"/>
    <mergeCell ref="B1:M1"/>
    <mergeCell ref="B2:M2"/>
    <mergeCell ref="B3:M3"/>
    <mergeCell ref="H6:I6"/>
  </mergeCells>
  <pageMargins left="0" right="0" top="0.74803149606299213" bottom="0.74803149606299213" header="0.31496062992125984" footer="0.31496062992125984"/>
  <pageSetup paperSize="9" scale="73" orientation="portrait" horizontalDpi="300" verticalDpi="300" r:id="rId1"/>
  <headerFooter>
    <oddFooter>&amp;C&amp;"B Mitra,Bold"&amp;14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41"/>
  <sheetViews>
    <sheetView rightToLeft="1" topLeftCell="A28" workbookViewId="0">
      <selection activeCell="B35" sqref="B35:I35"/>
    </sheetView>
  </sheetViews>
  <sheetFormatPr defaultColWidth="9" defaultRowHeight="17.25"/>
  <cols>
    <col min="1" max="1" width="4.7109375" style="55" customWidth="1"/>
    <col min="2" max="2" width="42.28515625" style="282" bestFit="1" customWidth="1"/>
    <col min="3" max="3" width="7" style="69" customWidth="1"/>
    <col min="4" max="4" width="1.85546875" style="69" customWidth="1"/>
    <col min="5" max="5" width="9.140625" style="283" customWidth="1"/>
    <col min="6" max="6" width="2.42578125" style="255" customWidth="1"/>
    <col min="7" max="7" width="14.28515625" style="169" bestFit="1" customWidth="1"/>
    <col min="8" max="8" width="2.140625" style="169" customWidth="1"/>
    <col min="9" max="9" width="14.7109375" style="75" customWidth="1"/>
    <col min="10" max="16384" width="9" style="55"/>
  </cols>
  <sheetData>
    <row r="1" spans="2:12" ht="22.5">
      <c r="B1" s="703" t="s">
        <v>995</v>
      </c>
      <c r="C1" s="703"/>
      <c r="D1" s="703"/>
      <c r="E1" s="703"/>
      <c r="F1" s="703"/>
      <c r="G1" s="703"/>
      <c r="H1" s="703"/>
      <c r="I1" s="703"/>
      <c r="J1" s="62"/>
      <c r="K1" s="62"/>
      <c r="L1" s="62"/>
    </row>
    <row r="2" spans="2:12" ht="22.5">
      <c r="B2" s="703" t="s">
        <v>511</v>
      </c>
      <c r="C2" s="703"/>
      <c r="D2" s="703"/>
      <c r="E2" s="703"/>
      <c r="F2" s="703"/>
      <c r="G2" s="703"/>
      <c r="H2" s="703"/>
      <c r="I2" s="703"/>
      <c r="J2" s="62"/>
      <c r="K2" s="62"/>
      <c r="L2" s="62"/>
    </row>
    <row r="3" spans="2:12" ht="22.5">
      <c r="B3" s="703" t="s">
        <v>1017</v>
      </c>
      <c r="C3" s="703"/>
      <c r="D3" s="703"/>
      <c r="E3" s="703"/>
      <c r="F3" s="703"/>
      <c r="G3" s="703"/>
      <c r="H3" s="703"/>
      <c r="I3" s="703"/>
      <c r="J3" s="62"/>
      <c r="K3" s="62"/>
      <c r="L3" s="62"/>
    </row>
    <row r="5" spans="2:12" ht="22.5">
      <c r="B5" s="291" t="s">
        <v>481</v>
      </c>
    </row>
    <row r="6" spans="2:12">
      <c r="E6" s="284" t="s">
        <v>24</v>
      </c>
      <c r="G6" s="292" t="s">
        <v>721</v>
      </c>
      <c r="H6" s="293"/>
      <c r="I6" s="292" t="s">
        <v>25</v>
      </c>
    </row>
    <row r="7" spans="2:12" ht="29.25" customHeight="1">
      <c r="E7" s="285"/>
      <c r="F7" s="286"/>
      <c r="G7" s="126" t="s">
        <v>514</v>
      </c>
      <c r="H7" s="126"/>
      <c r="I7" s="126" t="s">
        <v>514</v>
      </c>
    </row>
    <row r="8" spans="2:12" ht="19.5" customHeight="1">
      <c r="B8" s="282" t="s">
        <v>769</v>
      </c>
      <c r="E8" s="285"/>
      <c r="F8" s="286"/>
      <c r="G8" s="126">
        <v>1215990092</v>
      </c>
      <c r="H8" s="126"/>
      <c r="I8" s="126">
        <v>0</v>
      </c>
    </row>
    <row r="9" spans="2:12" ht="19.5" customHeight="1">
      <c r="B9" s="282" t="s">
        <v>842</v>
      </c>
      <c r="E9" s="285"/>
      <c r="F9" s="286"/>
      <c r="G9" s="126">
        <v>14882943</v>
      </c>
      <c r="H9" s="126"/>
      <c r="I9" s="126">
        <v>0</v>
      </c>
    </row>
    <row r="10" spans="2:12" ht="19.5" customHeight="1">
      <c r="B10" s="282" t="s">
        <v>482</v>
      </c>
      <c r="E10" s="279" t="s">
        <v>496</v>
      </c>
      <c r="G10" s="169">
        <f>G21</f>
        <v>3040605071</v>
      </c>
      <c r="I10" s="169">
        <f>I21</f>
        <v>2051205950</v>
      </c>
    </row>
    <row r="11" spans="2:12" ht="19.5" customHeight="1">
      <c r="B11" s="282" t="s">
        <v>773</v>
      </c>
      <c r="E11" s="279" t="s">
        <v>495</v>
      </c>
      <c r="F11" s="327"/>
      <c r="G11" s="169">
        <f>'11'!I34</f>
        <v>10731317</v>
      </c>
      <c r="I11" s="169"/>
    </row>
    <row r="12" spans="2:12" ht="19.5" customHeight="1">
      <c r="B12" s="282" t="s">
        <v>483</v>
      </c>
      <c r="E12" s="279" t="s">
        <v>840</v>
      </c>
      <c r="G12" s="169">
        <f>'12'!E31</f>
        <v>10519329745</v>
      </c>
      <c r="I12" s="169">
        <v>3888767162</v>
      </c>
    </row>
    <row r="13" spans="2:12" ht="19.5" customHeight="1">
      <c r="B13" s="282" t="s">
        <v>666</v>
      </c>
      <c r="E13" s="279"/>
      <c r="G13" s="169">
        <v>0</v>
      </c>
      <c r="I13" s="169">
        <v>1680000000</v>
      </c>
    </row>
    <row r="14" spans="2:12" ht="21.75" customHeight="1" thickBot="1">
      <c r="G14" s="294">
        <f>SUM(G8:G13)</f>
        <v>14801539168</v>
      </c>
      <c r="H14" s="170"/>
      <c r="I14" s="294">
        <f>SUM(I10:I13)</f>
        <v>7619973112</v>
      </c>
    </row>
    <row r="15" spans="2:12" ht="24" customHeight="1" thickTop="1">
      <c r="F15" s="314"/>
      <c r="G15" s="170"/>
      <c r="H15" s="170"/>
      <c r="I15" s="170"/>
    </row>
    <row r="16" spans="2:12" ht="16.5" customHeight="1">
      <c r="B16" s="716" t="s">
        <v>846</v>
      </c>
      <c r="C16" s="716"/>
      <c r="D16" s="716"/>
      <c r="E16" s="716"/>
      <c r="G16" s="312" t="s">
        <v>721</v>
      </c>
      <c r="H16" s="293"/>
      <c r="I16" s="292" t="s">
        <v>25</v>
      </c>
    </row>
    <row r="17" spans="2:9" ht="18">
      <c r="G17" s="126" t="s">
        <v>514</v>
      </c>
      <c r="H17" s="126"/>
      <c r="I17" s="126" t="s">
        <v>514</v>
      </c>
    </row>
    <row r="18" spans="2:9" ht="19.5" customHeight="1">
      <c r="B18" s="282" t="s">
        <v>484</v>
      </c>
      <c r="E18" s="279" t="s">
        <v>497</v>
      </c>
      <c r="G18" s="169">
        <f>G32</f>
        <v>128620717</v>
      </c>
      <c r="I18" s="169">
        <f>I32</f>
        <v>1072948942</v>
      </c>
    </row>
    <row r="19" spans="2:9" ht="19.5" customHeight="1">
      <c r="B19" s="282" t="s">
        <v>485</v>
      </c>
      <c r="E19" s="279" t="s">
        <v>498</v>
      </c>
      <c r="G19" s="169">
        <f>'11'!I20</f>
        <v>2910804754</v>
      </c>
      <c r="I19" s="169">
        <v>977221408</v>
      </c>
    </row>
    <row r="20" spans="2:9" ht="19.5" customHeight="1">
      <c r="B20" s="282" t="s">
        <v>486</v>
      </c>
      <c r="E20" s="279" t="s">
        <v>499</v>
      </c>
      <c r="G20" s="169">
        <v>1179600</v>
      </c>
      <c r="I20" s="169">
        <v>1035600</v>
      </c>
    </row>
    <row r="21" spans="2:9" ht="18" thickBot="1">
      <c r="E21" s="279"/>
      <c r="G21" s="294">
        <f>SUM(G18:G20)</f>
        <v>3040605071</v>
      </c>
      <c r="H21" s="170"/>
      <c r="I21" s="294">
        <f>SUM(I18:I20)</f>
        <v>2051205950</v>
      </c>
    </row>
    <row r="22" spans="2:9" ht="22.5" customHeight="1" thickTop="1"/>
    <row r="23" spans="2:9" s="419" customFormat="1" ht="19.5" customHeight="1">
      <c r="B23" s="715" t="s">
        <v>847</v>
      </c>
      <c r="C23" s="715"/>
      <c r="D23" s="715"/>
      <c r="E23" s="715"/>
      <c r="F23" s="412"/>
      <c r="G23" s="169"/>
      <c r="H23" s="169"/>
      <c r="I23" s="75"/>
    </row>
    <row r="24" spans="2:9" ht="22.5" customHeight="1">
      <c r="G24" s="292" t="s">
        <v>721</v>
      </c>
      <c r="H24" s="293"/>
      <c r="I24" s="292" t="s">
        <v>25</v>
      </c>
    </row>
    <row r="25" spans="2:9" ht="19.5" customHeight="1">
      <c r="G25" s="126" t="s">
        <v>514</v>
      </c>
      <c r="H25" s="126"/>
      <c r="I25" s="57" t="s">
        <v>514</v>
      </c>
    </row>
    <row r="26" spans="2:9" s="128" customFormat="1" ht="23.25" customHeight="1">
      <c r="B26" s="287" t="s">
        <v>667</v>
      </c>
      <c r="C26" s="191"/>
      <c r="D26" s="191"/>
      <c r="E26" s="288"/>
      <c r="F26" s="289"/>
      <c r="G26" s="295">
        <v>1427472</v>
      </c>
      <c r="H26" s="295"/>
      <c r="I26" s="295">
        <v>10000</v>
      </c>
    </row>
    <row r="27" spans="2:9" s="128" customFormat="1" ht="23.25" customHeight="1">
      <c r="B27" s="287" t="s">
        <v>487</v>
      </c>
      <c r="C27" s="191"/>
      <c r="D27" s="191"/>
      <c r="E27" s="288"/>
      <c r="F27" s="289"/>
      <c r="G27" s="295"/>
      <c r="H27" s="295"/>
      <c r="I27" s="295">
        <v>922877754</v>
      </c>
    </row>
    <row r="28" spans="2:9" s="128" customFormat="1" ht="23.25" customHeight="1">
      <c r="B28" s="287" t="s">
        <v>488</v>
      </c>
      <c r="C28" s="191"/>
      <c r="D28" s="191"/>
      <c r="E28" s="288"/>
      <c r="F28" s="289"/>
      <c r="G28" s="295">
        <v>127193245</v>
      </c>
      <c r="H28" s="295"/>
      <c r="I28" s="295">
        <v>128578370</v>
      </c>
    </row>
    <row r="29" spans="2:9" s="128" customFormat="1" ht="23.25" customHeight="1">
      <c r="B29" s="287" t="s">
        <v>668</v>
      </c>
      <c r="C29" s="191"/>
      <c r="D29" s="191"/>
      <c r="E29" s="288"/>
      <c r="F29" s="289"/>
      <c r="G29" s="295">
        <v>0</v>
      </c>
      <c r="H29" s="295"/>
      <c r="I29" s="295">
        <v>17544961</v>
      </c>
    </row>
    <row r="30" spans="2:9" s="128" customFormat="1" ht="23.25" customHeight="1">
      <c r="B30" s="287" t="s">
        <v>669</v>
      </c>
      <c r="C30" s="191"/>
      <c r="D30" s="191"/>
      <c r="E30" s="288"/>
      <c r="F30" s="289"/>
      <c r="G30" s="295">
        <v>0</v>
      </c>
      <c r="H30" s="295"/>
      <c r="I30" s="295">
        <v>200566</v>
      </c>
    </row>
    <row r="31" spans="2:9" s="128" customFormat="1" ht="23.25" customHeight="1">
      <c r="B31" s="287" t="s">
        <v>670</v>
      </c>
      <c r="C31" s="191"/>
      <c r="D31" s="191"/>
      <c r="E31" s="288"/>
      <c r="F31" s="289"/>
      <c r="G31" s="295">
        <v>0</v>
      </c>
      <c r="H31" s="295"/>
      <c r="I31" s="295">
        <v>3737291</v>
      </c>
    </row>
    <row r="32" spans="2:9" ht="18" customHeight="1" thickBot="1">
      <c r="B32" s="282" t="s">
        <v>148</v>
      </c>
      <c r="G32" s="294">
        <f>SUM(G26:G31)</f>
        <v>128620717</v>
      </c>
      <c r="H32" s="170"/>
      <c r="I32" s="294">
        <f>SUM(I26:I31)</f>
        <v>1072948942</v>
      </c>
    </row>
    <row r="33" spans="2:10" ht="22.5" customHeight="1" thickTop="1"/>
    <row r="34" spans="2:10" ht="24.75" customHeight="1">
      <c r="B34" s="717" t="s">
        <v>1020</v>
      </c>
      <c r="C34" s="717"/>
      <c r="D34" s="717"/>
      <c r="E34" s="717"/>
      <c r="F34" s="717"/>
      <c r="G34" s="717"/>
      <c r="H34" s="717"/>
      <c r="I34" s="717"/>
      <c r="J34" s="529"/>
    </row>
    <row r="35" spans="2:10" ht="23.25" customHeight="1">
      <c r="B35" s="718" t="s">
        <v>981</v>
      </c>
      <c r="C35" s="718"/>
      <c r="D35" s="718"/>
      <c r="E35" s="718"/>
      <c r="F35" s="718"/>
      <c r="G35" s="718"/>
      <c r="H35" s="718"/>
      <c r="I35" s="718"/>
    </row>
    <row r="36" spans="2:10" ht="15" customHeight="1">
      <c r="B36" s="528"/>
      <c r="C36" s="528"/>
      <c r="D36" s="528"/>
      <c r="E36" s="528"/>
      <c r="F36" s="528"/>
      <c r="G36" s="528"/>
      <c r="H36" s="528"/>
      <c r="I36" s="528"/>
    </row>
    <row r="41" spans="2:10">
      <c r="B41" s="714"/>
      <c r="C41" s="714"/>
      <c r="D41" s="714"/>
      <c r="E41" s="714"/>
      <c r="F41" s="714"/>
      <c r="G41" s="714"/>
      <c r="H41" s="714"/>
      <c r="I41" s="714"/>
    </row>
  </sheetData>
  <mergeCells count="8">
    <mergeCell ref="B1:I1"/>
    <mergeCell ref="B2:I2"/>
    <mergeCell ref="B3:I3"/>
    <mergeCell ref="B41:I41"/>
    <mergeCell ref="B23:E23"/>
    <mergeCell ref="B16:E16"/>
    <mergeCell ref="B34:I34"/>
    <mergeCell ref="B35:I35"/>
  </mergeCells>
  <printOptions horizontalCentered="1"/>
  <pageMargins left="0" right="0" top="0.74803149606299213" bottom="0" header="0.31496062992125984" footer="0.31496062992125984"/>
  <pageSetup paperSize="9" scale="95" orientation="portrait" horizontalDpi="300" verticalDpi="300" r:id="rId1"/>
  <headerFooter>
    <oddFooter>&amp;C&amp;"B Mitra,Bold"&amp;14 10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1:M37"/>
  <sheetViews>
    <sheetView rightToLeft="1" workbookViewId="0">
      <selection activeCell="B5" sqref="B5:G5"/>
    </sheetView>
  </sheetViews>
  <sheetFormatPr defaultColWidth="9" defaultRowHeight="13.5" customHeight="1"/>
  <cols>
    <col min="1" max="1" width="4.7109375" style="55" customWidth="1"/>
    <col min="2" max="2" width="40.42578125" style="55" bestFit="1" customWidth="1"/>
    <col min="3" max="3" width="4.42578125" style="55" customWidth="1"/>
    <col min="4" max="4" width="15.7109375" style="55" hidden="1" customWidth="1"/>
    <col min="5" max="5" width="7.85546875" style="201" customWidth="1"/>
    <col min="6" max="6" width="1.5703125" style="201" customWidth="1"/>
    <col min="7" max="7" width="8.42578125" style="201" customWidth="1"/>
    <col min="8" max="8" width="1" style="252" customWidth="1"/>
    <col min="9" max="9" width="10.7109375" style="430" customWidth="1"/>
    <col min="10" max="10" width="1.42578125" style="430" customWidth="1"/>
    <col min="11" max="11" width="13.28515625" style="201" customWidth="1"/>
    <col min="12" max="16384" width="9" style="55"/>
  </cols>
  <sheetData>
    <row r="1" spans="2:13" ht="22.5">
      <c r="B1" s="703" t="s">
        <v>995</v>
      </c>
      <c r="C1" s="703"/>
      <c r="D1" s="703"/>
      <c r="E1" s="703"/>
      <c r="F1" s="703"/>
      <c r="G1" s="703"/>
      <c r="H1" s="703"/>
      <c r="I1" s="703"/>
      <c r="J1" s="703"/>
      <c r="K1" s="703"/>
    </row>
    <row r="2" spans="2:13" ht="22.5">
      <c r="B2" s="703" t="s">
        <v>511</v>
      </c>
      <c r="C2" s="703"/>
      <c r="D2" s="703"/>
      <c r="E2" s="703"/>
      <c r="F2" s="703"/>
      <c r="G2" s="703"/>
      <c r="H2" s="703"/>
      <c r="I2" s="703"/>
      <c r="J2" s="703"/>
      <c r="K2" s="703"/>
    </row>
    <row r="3" spans="2:13" ht="22.5">
      <c r="B3" s="703" t="s">
        <v>1017</v>
      </c>
      <c r="C3" s="703"/>
      <c r="D3" s="703"/>
      <c r="E3" s="703"/>
      <c r="F3" s="703"/>
      <c r="G3" s="703"/>
      <c r="H3" s="703"/>
      <c r="I3" s="703"/>
      <c r="J3" s="703"/>
      <c r="K3" s="703"/>
      <c r="L3" s="62"/>
      <c r="M3" s="62"/>
    </row>
    <row r="4" spans="2:13" ht="12" customHeight="1"/>
    <row r="5" spans="2:13" ht="18" customHeight="1">
      <c r="B5" s="723" t="s">
        <v>1021</v>
      </c>
      <c r="C5" s="723"/>
      <c r="D5" s="723"/>
      <c r="E5" s="723"/>
      <c r="F5" s="723"/>
      <c r="G5" s="723"/>
      <c r="H5" s="464"/>
      <c r="I5" s="421"/>
      <c r="J5" s="421"/>
      <c r="K5" s="131"/>
    </row>
    <row r="6" spans="2:13" ht="17.25" customHeight="1">
      <c r="B6" s="69"/>
      <c r="C6" s="69"/>
      <c r="D6" s="69"/>
      <c r="E6" s="322"/>
      <c r="F6" s="322"/>
      <c r="G6" s="322"/>
      <c r="H6" s="463"/>
      <c r="I6" s="422" t="s">
        <v>721</v>
      </c>
      <c r="J6" s="487"/>
      <c r="K6" s="325" t="s">
        <v>25</v>
      </c>
      <c r="L6" s="259"/>
      <c r="M6" s="259"/>
    </row>
    <row r="7" spans="2:13" ht="16.5" customHeight="1">
      <c r="B7" s="69"/>
      <c r="C7" s="69"/>
      <c r="D7" s="69"/>
      <c r="E7" s="322"/>
      <c r="F7" s="322"/>
      <c r="G7" s="322"/>
      <c r="H7" s="463"/>
      <c r="I7" s="423" t="s">
        <v>724</v>
      </c>
      <c r="J7" s="423"/>
      <c r="K7" s="67" t="s">
        <v>724</v>
      </c>
    </row>
    <row r="8" spans="2:13" s="128" customFormat="1" ht="20.25" customHeight="1">
      <c r="B8" s="721" t="s">
        <v>859</v>
      </c>
      <c r="C8" s="721"/>
      <c r="D8" s="721"/>
      <c r="E8" s="192"/>
      <c r="F8" s="192"/>
      <c r="G8" s="192"/>
      <c r="H8" s="192"/>
      <c r="I8" s="424">
        <v>10217296</v>
      </c>
      <c r="J8" s="424"/>
      <c r="K8" s="192">
        <v>4235199</v>
      </c>
    </row>
    <row r="9" spans="2:13" s="128" customFormat="1" ht="20.25" customHeight="1">
      <c r="B9" s="721" t="s">
        <v>848</v>
      </c>
      <c r="C9" s="721"/>
      <c r="D9" s="721"/>
      <c r="E9" s="721"/>
      <c r="F9" s="721"/>
      <c r="G9" s="192"/>
      <c r="H9" s="192"/>
      <c r="I9" s="424">
        <v>157820995</v>
      </c>
      <c r="J9" s="424"/>
      <c r="K9" s="192">
        <v>894439166</v>
      </c>
    </row>
    <row r="10" spans="2:13" s="128" customFormat="1" ht="20.25" customHeight="1">
      <c r="B10" s="721" t="s">
        <v>849</v>
      </c>
      <c r="C10" s="721"/>
      <c r="D10" s="721"/>
      <c r="E10" s="721"/>
      <c r="F10" s="721"/>
      <c r="G10" s="192"/>
      <c r="H10" s="192"/>
      <c r="I10" s="424">
        <v>53124614</v>
      </c>
      <c r="J10" s="424"/>
      <c r="K10" s="192">
        <v>50054536</v>
      </c>
    </row>
    <row r="11" spans="2:13" s="128" customFormat="1" ht="20.25" customHeight="1">
      <c r="B11" s="721" t="s">
        <v>850</v>
      </c>
      <c r="C11" s="721"/>
      <c r="D11" s="721"/>
      <c r="E11" s="721"/>
      <c r="F11" s="721"/>
      <c r="G11" s="192"/>
      <c r="H11" s="192"/>
      <c r="I11" s="424">
        <v>606417</v>
      </c>
      <c r="J11" s="424"/>
      <c r="K11" s="192">
        <v>15586783</v>
      </c>
    </row>
    <row r="12" spans="2:13" s="128" customFormat="1" ht="20.25" customHeight="1">
      <c r="B12" s="721" t="s">
        <v>851</v>
      </c>
      <c r="C12" s="721"/>
      <c r="D12" s="721"/>
      <c r="E12" s="721"/>
      <c r="F12" s="721"/>
      <c r="G12" s="192"/>
      <c r="H12" s="192"/>
      <c r="I12" s="424">
        <v>890000</v>
      </c>
      <c r="J12" s="424"/>
      <c r="K12" s="192">
        <v>0</v>
      </c>
    </row>
    <row r="13" spans="2:13" s="128" customFormat="1" ht="20.25" customHeight="1">
      <c r="B13" s="721" t="s">
        <v>852</v>
      </c>
      <c r="C13" s="721"/>
      <c r="D13" s="721"/>
      <c r="E13" s="721"/>
      <c r="F13" s="721"/>
      <c r="G13" s="192"/>
      <c r="H13" s="192"/>
      <c r="I13" s="424">
        <v>0</v>
      </c>
      <c r="J13" s="424"/>
      <c r="K13" s="192">
        <v>19639</v>
      </c>
    </row>
    <row r="14" spans="2:13" s="128" customFormat="1" ht="20.25" customHeight="1">
      <c r="B14" s="721" t="s">
        <v>853</v>
      </c>
      <c r="C14" s="721"/>
      <c r="D14" s="721"/>
      <c r="E14" s="721"/>
      <c r="F14" s="721"/>
      <c r="G14" s="192"/>
      <c r="H14" s="192"/>
      <c r="I14" s="424">
        <v>19435555</v>
      </c>
      <c r="J14" s="424"/>
      <c r="K14" s="192">
        <v>8447835</v>
      </c>
    </row>
    <row r="15" spans="2:13" s="128" customFormat="1" ht="20.25" customHeight="1">
      <c r="B15" s="721" t="s">
        <v>854</v>
      </c>
      <c r="C15" s="721"/>
      <c r="D15" s="721"/>
      <c r="E15" s="721"/>
      <c r="F15" s="721"/>
      <c r="G15" s="192"/>
      <c r="H15" s="192"/>
      <c r="I15" s="424">
        <v>0</v>
      </c>
      <c r="J15" s="424"/>
      <c r="K15" s="192">
        <v>500000</v>
      </c>
    </row>
    <row r="16" spans="2:13" s="128" customFormat="1" ht="20.25" customHeight="1">
      <c r="B16" s="721" t="s">
        <v>855</v>
      </c>
      <c r="C16" s="721"/>
      <c r="D16" s="721"/>
      <c r="E16" s="721"/>
      <c r="F16" s="721"/>
      <c r="G16" s="192"/>
      <c r="H16" s="192"/>
      <c r="I16" s="423">
        <v>2665693027</v>
      </c>
      <c r="J16" s="423"/>
      <c r="K16" s="209">
        <v>0</v>
      </c>
    </row>
    <row r="17" spans="2:11" s="128" customFormat="1" ht="20.25" customHeight="1">
      <c r="B17" s="721" t="s">
        <v>856</v>
      </c>
      <c r="C17" s="721"/>
      <c r="D17" s="721"/>
      <c r="E17" s="721"/>
      <c r="F17" s="721"/>
      <c r="G17" s="192"/>
      <c r="H17" s="192"/>
      <c r="I17" s="423">
        <v>0</v>
      </c>
      <c r="J17" s="423"/>
      <c r="K17" s="209">
        <v>1000000</v>
      </c>
    </row>
    <row r="18" spans="2:11" s="128" customFormat="1" ht="20.25" customHeight="1">
      <c r="B18" s="721" t="s">
        <v>857</v>
      </c>
      <c r="C18" s="721"/>
      <c r="D18" s="721"/>
      <c r="E18" s="721"/>
      <c r="F18" s="721"/>
      <c r="G18" s="192"/>
      <c r="H18" s="192"/>
      <c r="I18" s="424">
        <v>1035600</v>
      </c>
      <c r="J18" s="424"/>
      <c r="K18" s="192">
        <v>957000</v>
      </c>
    </row>
    <row r="19" spans="2:11" s="128" customFormat="1" ht="20.25" customHeight="1">
      <c r="B19" s="721" t="s">
        <v>858</v>
      </c>
      <c r="C19" s="721"/>
      <c r="D19" s="721"/>
      <c r="E19" s="721"/>
      <c r="F19" s="721"/>
      <c r="G19" s="192"/>
      <c r="H19" s="192"/>
      <c r="I19" s="424">
        <v>1981250</v>
      </c>
      <c r="J19" s="424"/>
      <c r="K19" s="192">
        <v>1981250</v>
      </c>
    </row>
    <row r="20" spans="2:11" ht="18.95" customHeight="1" thickBot="1">
      <c r="B20" s="69"/>
      <c r="C20" s="69"/>
      <c r="D20" s="69"/>
      <c r="E20" s="322"/>
      <c r="F20" s="322"/>
      <c r="G20" s="322"/>
      <c r="H20" s="463"/>
      <c r="I20" s="425">
        <f>SUM(I8:I19)</f>
        <v>2910804754</v>
      </c>
      <c r="J20" s="426"/>
      <c r="K20" s="132">
        <f>SUM(K8:K19)</f>
        <v>977221408</v>
      </c>
    </row>
    <row r="21" spans="2:11" ht="6.75" customHeight="1" thickTop="1">
      <c r="C21" s="69"/>
      <c r="D21" s="69"/>
      <c r="E21" s="324"/>
      <c r="F21" s="324"/>
      <c r="G21" s="324"/>
      <c r="H21" s="463"/>
      <c r="I21" s="426"/>
      <c r="J21" s="426"/>
      <c r="K21" s="278"/>
    </row>
    <row r="22" spans="2:11" ht="33.75" customHeight="1">
      <c r="B22" s="69"/>
      <c r="C22" s="69"/>
      <c r="D22" s="69"/>
      <c r="E22" s="396"/>
      <c r="F22" s="396"/>
      <c r="G22" s="396"/>
      <c r="H22" s="463"/>
      <c r="I22" s="427"/>
      <c r="J22" s="427"/>
      <c r="K22" s="123"/>
    </row>
    <row r="23" spans="2:11" ht="22.5" customHeight="1">
      <c r="B23" s="722" t="s">
        <v>512</v>
      </c>
      <c r="C23" s="722"/>
      <c r="D23" s="69"/>
      <c r="E23" s="410"/>
      <c r="F23" s="410"/>
      <c r="G23" s="410"/>
      <c r="H23" s="463"/>
      <c r="I23" s="427"/>
      <c r="J23" s="427"/>
      <c r="K23" s="123"/>
    </row>
    <row r="24" spans="2:11" ht="18.95" customHeight="1">
      <c r="B24" s="722"/>
      <c r="C24" s="722"/>
      <c r="D24" s="722"/>
      <c r="E24" s="719" t="s">
        <v>721</v>
      </c>
      <c r="F24" s="719"/>
      <c r="G24" s="719"/>
      <c r="H24" s="489"/>
      <c r="I24" s="719" t="s">
        <v>25</v>
      </c>
      <c r="J24" s="719"/>
      <c r="K24" s="719"/>
    </row>
    <row r="25" spans="2:11" ht="18.95" customHeight="1">
      <c r="B25" s="69"/>
      <c r="C25" s="69"/>
      <c r="D25" s="69"/>
      <c r="E25" s="134" t="s">
        <v>99</v>
      </c>
      <c r="F25" s="322"/>
      <c r="G25" s="100" t="s">
        <v>724</v>
      </c>
      <c r="H25" s="67"/>
      <c r="I25" s="424" t="s">
        <v>99</v>
      </c>
      <c r="J25" s="424"/>
      <c r="K25" s="67" t="s">
        <v>724</v>
      </c>
    </row>
    <row r="26" spans="2:11" ht="18.95" customHeight="1" thickBot="1">
      <c r="B26" s="55" t="s">
        <v>969</v>
      </c>
      <c r="C26" s="69"/>
      <c r="D26" s="69"/>
      <c r="E26" s="297">
        <v>100</v>
      </c>
      <c r="F26" s="499"/>
      <c r="G26" s="297">
        <v>1179600</v>
      </c>
      <c r="H26" s="488"/>
      <c r="I26" s="513">
        <v>100</v>
      </c>
      <c r="J26" s="426"/>
      <c r="K26" s="132">
        <v>1035600</v>
      </c>
    </row>
    <row r="27" spans="2:11" ht="27" customHeight="1" thickTop="1">
      <c r="B27" s="69"/>
      <c r="C27" s="69"/>
      <c r="D27" s="69"/>
      <c r="E27" s="322"/>
      <c r="F27" s="322"/>
      <c r="G27" s="322"/>
      <c r="H27" s="463"/>
      <c r="I27" s="424"/>
      <c r="J27" s="424"/>
      <c r="K27" s="322"/>
    </row>
    <row r="28" spans="2:11" ht="24.75" customHeight="1">
      <c r="B28" s="720" t="s">
        <v>834</v>
      </c>
      <c r="C28" s="720"/>
      <c r="D28" s="720"/>
      <c r="E28" s="720"/>
      <c r="F28" s="720"/>
      <c r="G28" s="720"/>
      <c r="H28" s="465"/>
      <c r="I28" s="424"/>
      <c r="J28" s="424"/>
      <c r="K28" s="322"/>
    </row>
    <row r="29" spans="2:11" ht="13.5" customHeight="1">
      <c r="B29" s="69"/>
      <c r="C29" s="69"/>
      <c r="D29" s="69"/>
      <c r="E29" s="322"/>
      <c r="F29" s="322"/>
      <c r="G29" s="322"/>
      <c r="H29" s="463"/>
      <c r="I29" s="424"/>
      <c r="J29" s="424"/>
      <c r="K29" s="322"/>
    </row>
    <row r="30" spans="2:11" ht="23.25" customHeight="1">
      <c r="B30" s="397" t="s">
        <v>841</v>
      </c>
      <c r="C30" s="69"/>
      <c r="D30" s="69"/>
      <c r="E30" s="324"/>
      <c r="F30" s="324"/>
      <c r="G30" s="324"/>
      <c r="H30" s="463"/>
      <c r="I30" s="422" t="s">
        <v>721</v>
      </c>
      <c r="J30" s="487"/>
      <c r="K30" s="325" t="s">
        <v>25</v>
      </c>
    </row>
    <row r="31" spans="2:11" ht="18.95" customHeight="1">
      <c r="B31" s="69"/>
      <c r="C31" s="69"/>
      <c r="D31" s="69"/>
      <c r="E31" s="324"/>
      <c r="F31" s="324"/>
      <c r="G31" s="324"/>
      <c r="H31" s="463"/>
      <c r="I31" s="423" t="s">
        <v>724</v>
      </c>
      <c r="J31" s="423"/>
      <c r="K31" s="67" t="s">
        <v>724</v>
      </c>
    </row>
    <row r="32" spans="2:11" ht="24.75" customHeight="1">
      <c r="B32" s="69" t="s">
        <v>771</v>
      </c>
      <c r="C32" s="69"/>
      <c r="D32" s="69"/>
      <c r="E32" s="324"/>
      <c r="F32" s="324"/>
      <c r="G32" s="324"/>
      <c r="H32" s="463"/>
      <c r="I32" s="423">
        <v>889935</v>
      </c>
      <c r="J32" s="423"/>
      <c r="K32" s="67">
        <v>0</v>
      </c>
    </row>
    <row r="33" spans="2:11" ht="24.75" customHeight="1">
      <c r="B33" s="69" t="s">
        <v>772</v>
      </c>
      <c r="C33" s="69"/>
      <c r="D33" s="69"/>
      <c r="E33" s="324"/>
      <c r="F33" s="324"/>
      <c r="G33" s="324"/>
      <c r="H33" s="463"/>
      <c r="I33" s="428">
        <v>9841382</v>
      </c>
      <c r="J33" s="427"/>
      <c r="K33" s="326">
        <v>0</v>
      </c>
    </row>
    <row r="34" spans="2:11" ht="19.5" customHeight="1" thickBot="1">
      <c r="B34" s="69"/>
      <c r="C34" s="69"/>
      <c r="D34" s="69"/>
      <c r="E34" s="324"/>
      <c r="F34" s="324"/>
      <c r="G34" s="324"/>
      <c r="H34" s="463"/>
      <c r="I34" s="429">
        <f>SUM(I32:I33)</f>
        <v>10731317</v>
      </c>
      <c r="J34" s="427"/>
      <c r="K34" s="99">
        <f>SUM(K32:K33)</f>
        <v>0</v>
      </c>
    </row>
    <row r="35" spans="2:11" ht="6" customHeight="1" thickTop="1">
      <c r="E35" s="55"/>
      <c r="F35" s="55"/>
      <c r="G35" s="55"/>
      <c r="H35" s="55"/>
      <c r="I35" s="59"/>
      <c r="J35" s="59"/>
      <c r="K35" s="55"/>
    </row>
    <row r="36" spans="2:11" ht="18.95" customHeight="1">
      <c r="E36" s="55"/>
      <c r="F36" s="55"/>
      <c r="G36" s="55"/>
      <c r="H36" s="55"/>
      <c r="I36" s="59"/>
      <c r="J36" s="59"/>
      <c r="K36" s="55"/>
    </row>
    <row r="37" spans="2:11" ht="13.5" customHeight="1">
      <c r="E37" s="55"/>
      <c r="F37" s="55"/>
      <c r="G37" s="55"/>
      <c r="H37" s="55"/>
      <c r="I37" s="59"/>
      <c r="J37" s="59"/>
      <c r="K37" s="55"/>
    </row>
  </sheetData>
  <mergeCells count="32">
    <mergeCell ref="B19:D19"/>
    <mergeCell ref="E19:F19"/>
    <mergeCell ref="B23:C23"/>
    <mergeCell ref="B1:K1"/>
    <mergeCell ref="B2:K2"/>
    <mergeCell ref="B3:K3"/>
    <mergeCell ref="E14:F14"/>
    <mergeCell ref="E15:F15"/>
    <mergeCell ref="E13:F13"/>
    <mergeCell ref="B14:D14"/>
    <mergeCell ref="B5:G5"/>
    <mergeCell ref="E16:F16"/>
    <mergeCell ref="B17:D17"/>
    <mergeCell ref="E17:F17"/>
    <mergeCell ref="B18:D18"/>
    <mergeCell ref="E18:F18"/>
    <mergeCell ref="I24:K24"/>
    <mergeCell ref="B28:G28"/>
    <mergeCell ref="B8:D8"/>
    <mergeCell ref="B15:D15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24:G24"/>
    <mergeCell ref="B24:D24"/>
    <mergeCell ref="B16:D16"/>
  </mergeCells>
  <pageMargins left="0" right="0" top="0.74803149606299213" bottom="0.74803149606299213" header="0.31496062992125984" footer="0.31496062992125984"/>
  <pageSetup paperSize="9" scale="89" orientation="portrait" horizontalDpi="300" verticalDpi="300" r:id="rId1"/>
  <headerFooter>
    <oddFooter>&amp;C&amp;"B Mitra,Bold"&amp;14 11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L40"/>
  <sheetViews>
    <sheetView rightToLeft="1" workbookViewId="0">
      <selection activeCell="B40" sqref="B40"/>
    </sheetView>
  </sheetViews>
  <sheetFormatPr defaultColWidth="9" defaultRowHeight="21.75"/>
  <cols>
    <col min="1" max="1" width="2.7109375" style="55" customWidth="1"/>
    <col min="2" max="2" width="44.28515625" style="55" customWidth="1"/>
    <col min="3" max="3" width="9.28515625" style="53" customWidth="1"/>
    <col min="4" max="4" width="2.28515625" style="51" customWidth="1"/>
    <col min="5" max="5" width="13.42578125" style="252" customWidth="1"/>
    <col min="6" max="6" width="2.28515625" style="251" customWidth="1"/>
    <col min="7" max="7" width="15.28515625" style="65" customWidth="1"/>
    <col min="8" max="16384" width="9" style="55"/>
  </cols>
  <sheetData>
    <row r="1" spans="2:12" ht="22.5">
      <c r="B1" s="703" t="s">
        <v>995</v>
      </c>
      <c r="C1" s="703"/>
      <c r="D1" s="703"/>
      <c r="E1" s="703"/>
      <c r="F1" s="703"/>
      <c r="G1" s="703"/>
      <c r="H1" s="63"/>
      <c r="I1" s="63"/>
      <c r="J1" s="63"/>
    </row>
    <row r="2" spans="2:12" ht="22.5">
      <c r="B2" s="703" t="s">
        <v>511</v>
      </c>
      <c r="C2" s="703"/>
      <c r="D2" s="703"/>
      <c r="E2" s="703"/>
      <c r="F2" s="703"/>
      <c r="G2" s="703"/>
      <c r="H2" s="63"/>
      <c r="I2" s="63"/>
      <c r="J2" s="63"/>
    </row>
    <row r="3" spans="2:12" ht="22.5">
      <c r="B3" s="703" t="s">
        <v>1017</v>
      </c>
      <c r="C3" s="703"/>
      <c r="D3" s="703"/>
      <c r="E3" s="703"/>
      <c r="F3" s="703"/>
      <c r="G3" s="703"/>
      <c r="H3" s="62"/>
      <c r="I3" s="62"/>
      <c r="J3" s="62"/>
      <c r="K3" s="62"/>
      <c r="L3" s="62"/>
    </row>
    <row r="4" spans="2:12" ht="32.25" customHeight="1">
      <c r="B4" s="405"/>
      <c r="C4" s="498"/>
      <c r="D4" s="405"/>
      <c r="E4" s="405"/>
      <c r="F4" s="405"/>
      <c r="G4" s="405"/>
      <c r="H4" s="62"/>
      <c r="I4" s="62"/>
      <c r="J4" s="62"/>
      <c r="K4" s="62"/>
      <c r="L4" s="62"/>
    </row>
    <row r="5" spans="2:12" s="69" customFormat="1" ht="18">
      <c r="B5" s="411" t="s">
        <v>845</v>
      </c>
      <c r="C5" s="279"/>
      <c r="D5" s="109"/>
      <c r="E5" s="122"/>
      <c r="F5" s="255"/>
      <c r="G5" s="255"/>
    </row>
    <row r="6" spans="2:12" s="69" customFormat="1" ht="17.25">
      <c r="C6" s="279" t="s">
        <v>24</v>
      </c>
      <c r="D6" s="109"/>
      <c r="E6" s="261" t="s">
        <v>721</v>
      </c>
      <c r="F6" s="81"/>
      <c r="G6" s="253" t="s">
        <v>25</v>
      </c>
      <c r="H6" s="259"/>
      <c r="I6" s="259"/>
    </row>
    <row r="7" spans="2:12" s="69" customFormat="1" ht="17.25">
      <c r="C7" s="279"/>
      <c r="D7" s="109"/>
      <c r="E7" s="324" t="s">
        <v>514</v>
      </c>
      <c r="F7" s="255"/>
      <c r="G7" s="324" t="s">
        <v>514</v>
      </c>
    </row>
    <row r="8" spans="2:12" s="69" customFormat="1" ht="17.25">
      <c r="B8" s="69" t="s">
        <v>100</v>
      </c>
      <c r="C8" s="279" t="s">
        <v>970</v>
      </c>
      <c r="D8" s="109"/>
      <c r="E8" s="122">
        <f>E31</f>
        <v>10519329745</v>
      </c>
      <c r="F8" s="255"/>
      <c r="G8" s="122">
        <v>3613832378</v>
      </c>
    </row>
    <row r="9" spans="2:12" s="69" customFormat="1" ht="17.25">
      <c r="B9" s="69" t="s">
        <v>101</v>
      </c>
      <c r="C9" s="279"/>
      <c r="D9" s="109"/>
      <c r="E9" s="122">
        <v>0</v>
      </c>
      <c r="F9" s="255"/>
      <c r="G9" s="122">
        <v>124934784</v>
      </c>
    </row>
    <row r="10" spans="2:12" s="69" customFormat="1" ht="17.25">
      <c r="B10" s="69" t="s">
        <v>102</v>
      </c>
      <c r="C10" s="279"/>
      <c r="D10" s="109"/>
      <c r="E10" s="122">
        <v>0</v>
      </c>
      <c r="F10" s="255"/>
      <c r="G10" s="122">
        <v>150000000</v>
      </c>
    </row>
    <row r="11" spans="2:12" s="69" customFormat="1" ht="18" thickBot="1">
      <c r="C11" s="279"/>
      <c r="D11" s="109"/>
      <c r="E11" s="132">
        <f>SUM(E8:E10)</f>
        <v>10519329745</v>
      </c>
      <c r="F11" s="255"/>
      <c r="G11" s="132">
        <f>SUM(G8:G10)</f>
        <v>3888767162</v>
      </c>
    </row>
    <row r="12" spans="2:12" s="69" customFormat="1" ht="24" customHeight="1" thickTop="1">
      <c r="C12" s="279"/>
      <c r="D12" s="414"/>
      <c r="E12" s="278"/>
      <c r="F12" s="414"/>
      <c r="G12" s="278"/>
    </row>
    <row r="13" spans="2:12" s="69" customFormat="1" ht="18">
      <c r="B13" s="500" t="s">
        <v>971</v>
      </c>
      <c r="C13" s="279"/>
      <c r="D13" s="109"/>
      <c r="E13" s="122"/>
      <c r="F13" s="255"/>
      <c r="G13" s="255"/>
    </row>
    <row r="14" spans="2:12" s="69" customFormat="1" ht="17.25">
      <c r="C14" s="279"/>
      <c r="D14" s="109"/>
      <c r="E14" s="261" t="s">
        <v>721</v>
      </c>
      <c r="F14" s="81"/>
      <c r="G14" s="253" t="s">
        <v>25</v>
      </c>
      <c r="H14" s="259"/>
      <c r="I14" s="259"/>
    </row>
    <row r="15" spans="2:12" s="69" customFormat="1" ht="17.25">
      <c r="C15" s="279"/>
      <c r="D15" s="109"/>
      <c r="E15" s="324" t="s">
        <v>514</v>
      </c>
      <c r="F15" s="255"/>
      <c r="G15" s="324" t="s">
        <v>514</v>
      </c>
    </row>
    <row r="16" spans="2:12" s="69" customFormat="1" ht="18" customHeight="1">
      <c r="B16" s="69" t="s">
        <v>103</v>
      </c>
      <c r="C16" s="279"/>
      <c r="D16" s="109"/>
      <c r="E16" s="122">
        <v>3441721520</v>
      </c>
      <c r="F16" s="255"/>
      <c r="G16" s="122">
        <v>299024099</v>
      </c>
    </row>
    <row r="17" spans="2:7" s="69" customFormat="1" ht="18" customHeight="1">
      <c r="B17" s="69" t="s">
        <v>104</v>
      </c>
      <c r="C17" s="279"/>
      <c r="D17" s="109"/>
      <c r="E17" s="122">
        <v>10694</v>
      </c>
      <c r="F17" s="255"/>
      <c r="G17" s="122">
        <v>1511361</v>
      </c>
    </row>
    <row r="18" spans="2:7" s="69" customFormat="1" ht="18" customHeight="1">
      <c r="B18" s="69" t="s">
        <v>105</v>
      </c>
      <c r="C18" s="279"/>
      <c r="D18" s="109"/>
      <c r="E18" s="122">
        <v>661573564</v>
      </c>
      <c r="F18" s="255"/>
      <c r="G18" s="122">
        <v>1822039408</v>
      </c>
    </row>
    <row r="19" spans="2:7" s="69" customFormat="1" ht="18" customHeight="1">
      <c r="B19" s="69" t="s">
        <v>106</v>
      </c>
      <c r="C19" s="279"/>
      <c r="D19" s="109"/>
      <c r="E19" s="122">
        <v>22428618</v>
      </c>
      <c r="F19" s="255"/>
      <c r="G19" s="122">
        <v>82819005</v>
      </c>
    </row>
    <row r="20" spans="2:7" s="69" customFormat="1" ht="18" customHeight="1">
      <c r="B20" s="69" t="s">
        <v>107</v>
      </c>
      <c r="C20" s="279"/>
      <c r="D20" s="109"/>
      <c r="E20" s="122">
        <v>35964200</v>
      </c>
      <c r="F20" s="255"/>
      <c r="G20" s="122">
        <v>835243</v>
      </c>
    </row>
    <row r="21" spans="2:7" s="69" customFormat="1" ht="18" customHeight="1">
      <c r="B21" s="69" t="s">
        <v>109</v>
      </c>
      <c r="C21" s="279"/>
      <c r="D21" s="109"/>
      <c r="E21" s="122">
        <v>1000000</v>
      </c>
      <c r="F21" s="255"/>
      <c r="G21" s="122">
        <v>64087590</v>
      </c>
    </row>
    <row r="22" spans="2:7" s="69" customFormat="1" ht="18" customHeight="1">
      <c r="B22" s="69" t="s">
        <v>110</v>
      </c>
      <c r="C22" s="279"/>
      <c r="D22" s="109"/>
      <c r="E22" s="122">
        <v>2647782563</v>
      </c>
      <c r="F22" s="255"/>
      <c r="G22" s="122">
        <v>31833957</v>
      </c>
    </row>
    <row r="23" spans="2:7" s="69" customFormat="1" ht="18" customHeight="1">
      <c r="B23" s="69" t="s">
        <v>111</v>
      </c>
      <c r="C23" s="279"/>
      <c r="D23" s="109"/>
      <c r="E23" s="122">
        <v>0</v>
      </c>
      <c r="F23" s="255"/>
      <c r="G23" s="122">
        <v>208888151</v>
      </c>
    </row>
    <row r="24" spans="2:7" s="69" customFormat="1" ht="18" customHeight="1">
      <c r="B24" s="69" t="s">
        <v>112</v>
      </c>
      <c r="C24" s="279"/>
      <c r="D24" s="109"/>
      <c r="E24" s="122">
        <v>957062383</v>
      </c>
      <c r="F24" s="255"/>
      <c r="G24" s="122">
        <v>152721660</v>
      </c>
    </row>
    <row r="25" spans="2:7" s="69" customFormat="1" ht="18" customHeight="1">
      <c r="B25" s="69" t="s">
        <v>623</v>
      </c>
      <c r="C25" s="279"/>
      <c r="D25" s="109"/>
      <c r="E25" s="122">
        <v>54086990</v>
      </c>
      <c r="F25" s="255"/>
      <c r="G25" s="122">
        <v>101942624</v>
      </c>
    </row>
    <row r="26" spans="2:7" s="69" customFormat="1" ht="18" customHeight="1">
      <c r="B26" s="69" t="s">
        <v>671</v>
      </c>
      <c r="C26" s="279"/>
      <c r="D26" s="109"/>
      <c r="E26" s="122">
        <v>147014285</v>
      </c>
      <c r="F26" s="255"/>
      <c r="G26" s="122">
        <v>320657515</v>
      </c>
    </row>
    <row r="27" spans="2:7" s="69" customFormat="1" ht="18" customHeight="1">
      <c r="B27" s="69" t="s">
        <v>585</v>
      </c>
      <c r="C27" s="279"/>
      <c r="D27" s="109"/>
      <c r="E27" s="122">
        <v>20046976</v>
      </c>
      <c r="F27" s="255"/>
      <c r="G27" s="122">
        <v>292546961</v>
      </c>
    </row>
    <row r="28" spans="2:7" s="69" customFormat="1" ht="18" customHeight="1">
      <c r="B28" s="69" t="s">
        <v>672</v>
      </c>
      <c r="C28" s="279"/>
      <c r="D28" s="109"/>
      <c r="E28" s="122">
        <v>720222253</v>
      </c>
      <c r="F28" s="255"/>
      <c r="G28" s="122">
        <v>25633956</v>
      </c>
    </row>
    <row r="29" spans="2:7" s="69" customFormat="1" ht="18" customHeight="1">
      <c r="B29" s="69" t="s">
        <v>627</v>
      </c>
      <c r="C29" s="279"/>
      <c r="D29" s="109"/>
      <c r="E29" s="122">
        <v>678657578</v>
      </c>
      <c r="F29" s="255"/>
      <c r="G29" s="122">
        <v>203662278</v>
      </c>
    </row>
    <row r="30" spans="2:7" s="69" customFormat="1" ht="18" customHeight="1">
      <c r="B30" s="69" t="s">
        <v>113</v>
      </c>
      <c r="C30" s="279"/>
      <c r="D30" s="109"/>
      <c r="E30" s="122">
        <v>1131758121</v>
      </c>
      <c r="F30" s="255"/>
      <c r="G30" s="122">
        <v>5628570</v>
      </c>
    </row>
    <row r="31" spans="2:7" s="69" customFormat="1" ht="18" thickBot="1">
      <c r="C31" s="279"/>
      <c r="D31" s="109"/>
      <c r="E31" s="132">
        <f>SUM(E16:E30)</f>
        <v>10519329745</v>
      </c>
      <c r="F31" s="255"/>
      <c r="G31" s="132">
        <f>SUM(G16:G30)</f>
        <v>3613832378</v>
      </c>
    </row>
    <row r="32" spans="2:7" s="69" customFormat="1" ht="10.5" customHeight="1" thickTop="1">
      <c r="C32" s="279"/>
      <c r="D32" s="109"/>
      <c r="E32" s="122"/>
      <c r="F32" s="255"/>
      <c r="G32" s="255"/>
    </row>
    <row r="33" spans="2:9" s="69" customFormat="1" ht="18.75">
      <c r="B33" s="663" t="s">
        <v>1022</v>
      </c>
      <c r="C33" s="279"/>
      <c r="D33" s="109"/>
      <c r="E33" s="122"/>
      <c r="F33" s="255"/>
      <c r="G33" s="255"/>
    </row>
    <row r="34" spans="2:9" s="69" customFormat="1" ht="17.25">
      <c r="C34" s="279"/>
      <c r="D34" s="109"/>
      <c r="E34" s="122"/>
      <c r="F34" s="255"/>
      <c r="G34" s="255"/>
    </row>
    <row r="35" spans="2:9" s="69" customFormat="1" ht="17.25">
      <c r="B35" s="69" t="s">
        <v>114</v>
      </c>
      <c r="C35" s="279" t="s">
        <v>24</v>
      </c>
      <c r="D35" s="109"/>
      <c r="E35" s="261" t="s">
        <v>721</v>
      </c>
      <c r="F35" s="81"/>
      <c r="G35" s="313" t="s">
        <v>25</v>
      </c>
      <c r="H35" s="259"/>
      <c r="I35" s="259"/>
    </row>
    <row r="36" spans="2:9" s="69" customFormat="1" ht="17.25">
      <c r="C36" s="279"/>
      <c r="D36" s="109"/>
      <c r="E36" s="324" t="s">
        <v>514</v>
      </c>
      <c r="F36" s="255"/>
      <c r="G36" s="324" t="s">
        <v>514</v>
      </c>
    </row>
    <row r="37" spans="2:9" s="69" customFormat="1" ht="17.25">
      <c r="B37" s="69" t="s">
        <v>115</v>
      </c>
      <c r="C37" s="279" t="s">
        <v>843</v>
      </c>
      <c r="D37" s="109"/>
      <c r="E37" s="122">
        <f>'13'!N52</f>
        <v>417941392081</v>
      </c>
      <c r="F37" s="122"/>
      <c r="G37" s="122">
        <f>'13'!P52</f>
        <v>355949014645</v>
      </c>
    </row>
    <row r="38" spans="2:9" s="69" customFormat="1" ht="17.25">
      <c r="B38" s="69" t="s">
        <v>116</v>
      </c>
      <c r="C38" s="279" t="s">
        <v>844</v>
      </c>
      <c r="D38" s="109"/>
      <c r="E38" s="122">
        <v>588623585</v>
      </c>
      <c r="F38" s="122"/>
      <c r="G38" s="122">
        <f>'15'!G15</f>
        <v>2576333817</v>
      </c>
    </row>
    <row r="39" spans="2:9" s="69" customFormat="1" ht="18" thickBot="1">
      <c r="B39" s="69" t="s">
        <v>117</v>
      </c>
      <c r="C39" s="279"/>
      <c r="D39" s="109"/>
      <c r="E39" s="132">
        <f>SUM(E37:E38)</f>
        <v>418530015666</v>
      </c>
      <c r="F39" s="122"/>
      <c r="G39" s="132">
        <f>SUM(G37:G38)</f>
        <v>358525348462</v>
      </c>
    </row>
    <row r="40" spans="2:9" ht="22.5" thickTop="1"/>
  </sheetData>
  <mergeCells count="3">
    <mergeCell ref="B1:G1"/>
    <mergeCell ref="B2:G2"/>
    <mergeCell ref="B3:G3"/>
  </mergeCells>
  <pageMargins left="0" right="0" top="0" bottom="0" header="0.11811023622047245" footer="0.31496062992125984"/>
  <pageSetup paperSize="9" orientation="portrait" horizontalDpi="300" verticalDpi="300" r:id="rId1"/>
  <headerFooter>
    <oddFooter>&amp;C&amp;"B Mitra,Bold"&amp;14 12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4"/>
  <sheetViews>
    <sheetView rightToLeft="1" topLeftCell="A45" workbookViewId="0">
      <selection activeCell="J59" sqref="J59"/>
    </sheetView>
  </sheetViews>
  <sheetFormatPr defaultColWidth="9" defaultRowHeight="17.25"/>
  <cols>
    <col min="1" max="1" width="37.5703125" style="173" customWidth="1"/>
    <col min="2" max="2" width="14.42578125" style="121" customWidth="1"/>
    <col min="3" max="3" width="1.5703125" style="434" customWidth="1"/>
    <col min="4" max="4" width="15" style="174" customWidth="1"/>
    <col min="5" max="5" width="1.7109375" style="174" customWidth="1"/>
    <col min="6" max="6" width="13" style="174" customWidth="1"/>
    <col min="7" max="7" width="1.140625" style="174" customWidth="1"/>
    <col min="8" max="8" width="13.28515625" style="177" customWidth="1"/>
    <col min="9" max="9" width="1.140625" style="177" customWidth="1"/>
    <col min="10" max="10" width="15.140625" style="177" customWidth="1"/>
    <col min="11" max="11" width="1.28515625" style="177" customWidth="1"/>
    <col min="12" max="12" width="12.28515625" style="177" customWidth="1"/>
    <col min="13" max="13" width="1.42578125" style="174" customWidth="1"/>
    <col min="14" max="14" width="12.7109375" style="174" customWidth="1"/>
    <col min="15" max="15" width="1.28515625" style="175" customWidth="1"/>
    <col min="16" max="16" width="13.42578125" style="174" customWidth="1"/>
    <col min="17" max="17" width="9" style="69"/>
    <col min="18" max="16384" width="9" style="55"/>
  </cols>
  <sheetData>
    <row r="1" spans="1:17" s="110" customFormat="1" ht="26.25" customHeight="1">
      <c r="A1" s="703" t="s">
        <v>995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17" s="110" customFormat="1" ht="19.5" customHeight="1">
      <c r="A2" s="703" t="s">
        <v>511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17" s="110" customFormat="1" ht="19.5" customHeight="1">
      <c r="A3" s="724" t="s">
        <v>1023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</row>
    <row r="4" spans="1:17" ht="15" customHeight="1">
      <c r="A4" s="732" t="s">
        <v>118</v>
      </c>
      <c r="B4" s="732"/>
      <c r="C4" s="732"/>
    </row>
    <row r="5" spans="1:17" s="68" customFormat="1" ht="12" customHeight="1">
      <c r="A5" s="173"/>
      <c r="B5" s="725" t="s">
        <v>721</v>
      </c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176"/>
      <c r="P5" s="467" t="s">
        <v>25</v>
      </c>
      <c r="Q5" s="435"/>
    </row>
    <row r="6" spans="1:17" s="433" customFormat="1" ht="13.5" customHeight="1">
      <c r="A6" s="577" t="s">
        <v>119</v>
      </c>
      <c r="B6" s="579" t="s">
        <v>120</v>
      </c>
      <c r="C6" s="612"/>
      <c r="D6" s="730" t="s">
        <v>866</v>
      </c>
      <c r="E6" s="579"/>
      <c r="F6" s="730" t="s">
        <v>867</v>
      </c>
      <c r="G6" s="613"/>
      <c r="H6" s="607"/>
      <c r="I6" s="607"/>
      <c r="J6" s="607"/>
      <c r="K6" s="607"/>
      <c r="L6" s="728" t="s">
        <v>663</v>
      </c>
      <c r="M6" s="579"/>
      <c r="N6" s="579" t="s">
        <v>121</v>
      </c>
      <c r="O6" s="581"/>
      <c r="P6" s="726" t="s">
        <v>122</v>
      </c>
      <c r="Q6" s="432"/>
    </row>
    <row r="7" spans="1:17" s="433" customFormat="1" ht="12" customHeight="1">
      <c r="A7" s="577"/>
      <c r="B7" s="600" t="s">
        <v>123</v>
      </c>
      <c r="C7" s="612"/>
      <c r="D7" s="731"/>
      <c r="E7" s="579"/>
      <c r="F7" s="731"/>
      <c r="G7" s="614"/>
      <c r="H7" s="601" t="s">
        <v>132</v>
      </c>
      <c r="I7" s="615"/>
      <c r="J7" s="601" t="s">
        <v>133</v>
      </c>
      <c r="K7" s="607"/>
      <c r="L7" s="729"/>
      <c r="M7" s="579"/>
      <c r="N7" s="600" t="s">
        <v>124</v>
      </c>
      <c r="O7" s="581"/>
      <c r="P7" s="727"/>
      <c r="Q7" s="432"/>
    </row>
    <row r="8" spans="1:17" s="68" customFormat="1" ht="11.25" customHeight="1">
      <c r="A8" s="577"/>
      <c r="B8" s="126" t="s">
        <v>724</v>
      </c>
      <c r="C8" s="604"/>
      <c r="D8" s="126" t="s">
        <v>724</v>
      </c>
      <c r="E8" s="605"/>
      <c r="F8" s="126" t="s">
        <v>724</v>
      </c>
      <c r="G8" s="126"/>
      <c r="H8" s="208"/>
      <c r="I8" s="208"/>
      <c r="J8" s="606">
        <v>0</v>
      </c>
      <c r="K8" s="606"/>
      <c r="L8" s="208"/>
      <c r="M8" s="605"/>
      <c r="N8" s="126" t="s">
        <v>724</v>
      </c>
      <c r="O8" s="584"/>
      <c r="P8" s="578" t="s">
        <v>724</v>
      </c>
      <c r="Q8" s="173"/>
    </row>
    <row r="9" spans="1:17" s="433" customFormat="1" ht="10.5" customHeight="1">
      <c r="A9" s="574" t="s">
        <v>628</v>
      </c>
      <c r="B9" s="573">
        <v>357743632</v>
      </c>
      <c r="C9" s="585"/>
      <c r="D9" s="586">
        <v>0</v>
      </c>
      <c r="E9" s="586"/>
      <c r="F9" s="586"/>
      <c r="G9" s="578"/>
      <c r="H9" s="583">
        <v>0</v>
      </c>
      <c r="I9" s="583"/>
      <c r="J9" s="583">
        <v>0</v>
      </c>
      <c r="K9" s="583"/>
      <c r="L9" s="583">
        <v>0</v>
      </c>
      <c r="M9" s="578"/>
      <c r="N9" s="578">
        <f>SUM(B9+D9+F9+L9)</f>
        <v>357743632</v>
      </c>
      <c r="O9" s="587"/>
      <c r="P9" s="578">
        <v>357743632</v>
      </c>
      <c r="Q9" s="432"/>
    </row>
    <row r="10" spans="1:17" s="433" customFormat="1" ht="10.5" customHeight="1">
      <c r="A10" s="574" t="s">
        <v>629</v>
      </c>
      <c r="B10" s="586">
        <v>2910025997</v>
      </c>
      <c r="C10" s="585"/>
      <c r="D10" s="586">
        <v>7960356630</v>
      </c>
      <c r="E10" s="586"/>
      <c r="F10" s="586"/>
      <c r="G10" s="578"/>
      <c r="H10" s="583">
        <v>10000000000</v>
      </c>
      <c r="I10" s="583"/>
      <c r="J10" s="583">
        <v>0</v>
      </c>
      <c r="K10" s="583"/>
      <c r="L10" s="583"/>
      <c r="M10" s="578"/>
      <c r="N10" s="578">
        <f t="shared" ref="N10:N49" si="0">SUM(B10+D10+F10+L10)</f>
        <v>10870382627</v>
      </c>
      <c r="O10" s="587"/>
      <c r="P10" s="586">
        <v>25584007017</v>
      </c>
      <c r="Q10" s="432"/>
    </row>
    <row r="11" spans="1:17" s="433" customFormat="1" ht="10.5" customHeight="1">
      <c r="A11" s="574" t="s">
        <v>630</v>
      </c>
      <c r="B11" s="586">
        <v>403218343</v>
      </c>
      <c r="C11" s="585"/>
      <c r="D11" s="586">
        <v>0</v>
      </c>
      <c r="E11" s="586"/>
      <c r="F11" s="586"/>
      <c r="G11" s="578"/>
      <c r="H11" s="583"/>
      <c r="I11" s="583"/>
      <c r="J11" s="583">
        <v>0</v>
      </c>
      <c r="K11" s="583"/>
      <c r="L11" s="583">
        <v>0</v>
      </c>
      <c r="M11" s="578"/>
      <c r="N11" s="578">
        <f t="shared" si="0"/>
        <v>403218343</v>
      </c>
      <c r="O11" s="587"/>
      <c r="P11" s="586">
        <v>403218343</v>
      </c>
      <c r="Q11" s="432"/>
    </row>
    <row r="12" spans="1:17" s="433" customFormat="1" ht="10.5" customHeight="1">
      <c r="A12" s="574" t="s">
        <v>631</v>
      </c>
      <c r="B12" s="586">
        <v>842837432</v>
      </c>
      <c r="C12" s="585"/>
      <c r="D12" s="586">
        <v>251737899</v>
      </c>
      <c r="E12" s="586"/>
      <c r="F12" s="586"/>
      <c r="G12" s="578"/>
      <c r="H12" s="583"/>
      <c r="I12" s="583"/>
      <c r="J12" s="583">
        <v>0</v>
      </c>
      <c r="K12" s="583"/>
      <c r="L12" s="583">
        <v>0</v>
      </c>
      <c r="M12" s="578"/>
      <c r="N12" s="578">
        <f t="shared" si="0"/>
        <v>1094575331</v>
      </c>
      <c r="O12" s="587"/>
      <c r="P12" s="586">
        <v>1094575331</v>
      </c>
      <c r="Q12" s="432"/>
    </row>
    <row r="13" spans="1:17" s="433" customFormat="1" ht="10.5" customHeight="1">
      <c r="A13" s="574" t="s">
        <v>860</v>
      </c>
      <c r="B13" s="586">
        <v>446359120</v>
      </c>
      <c r="C13" s="585"/>
      <c r="D13" s="586">
        <v>0</v>
      </c>
      <c r="E13" s="586"/>
      <c r="F13" s="586"/>
      <c r="G13" s="578"/>
      <c r="H13" s="583"/>
      <c r="I13" s="583"/>
      <c r="J13" s="583">
        <v>0</v>
      </c>
      <c r="K13" s="583"/>
      <c r="L13" s="583">
        <v>-446359120</v>
      </c>
      <c r="M13" s="578"/>
      <c r="N13" s="578">
        <f t="shared" si="0"/>
        <v>0</v>
      </c>
      <c r="O13" s="587"/>
      <c r="P13" s="586">
        <v>0</v>
      </c>
      <c r="Q13" s="432"/>
    </row>
    <row r="14" spans="1:17" s="433" customFormat="1" ht="10.5" customHeight="1">
      <c r="A14" s="574" t="s">
        <v>632</v>
      </c>
      <c r="B14" s="586">
        <v>2500000000</v>
      </c>
      <c r="C14" s="585"/>
      <c r="D14" s="586">
        <v>0</v>
      </c>
      <c r="E14" s="586"/>
      <c r="F14" s="586"/>
      <c r="G14" s="578"/>
      <c r="H14" s="583"/>
      <c r="I14" s="583"/>
      <c r="J14" s="583">
        <v>0</v>
      </c>
      <c r="K14" s="583"/>
      <c r="L14" s="583">
        <v>0</v>
      </c>
      <c r="M14" s="578"/>
      <c r="N14" s="578">
        <f t="shared" si="0"/>
        <v>2500000000</v>
      </c>
      <c r="O14" s="587"/>
      <c r="P14" s="586">
        <f>SUM(B14:L14)</f>
        <v>2500000000</v>
      </c>
      <c r="Q14" s="432"/>
    </row>
    <row r="15" spans="1:17" s="433" customFormat="1" ht="10.5" customHeight="1">
      <c r="A15" s="574" t="s">
        <v>633</v>
      </c>
      <c r="B15" s="586">
        <v>2527643411</v>
      </c>
      <c r="C15" s="585"/>
      <c r="D15" s="586">
        <v>3802586900</v>
      </c>
      <c r="E15" s="586"/>
      <c r="F15" s="586"/>
      <c r="G15" s="578"/>
      <c r="H15" s="583"/>
      <c r="I15" s="583"/>
      <c r="J15" s="583">
        <v>0</v>
      </c>
      <c r="K15" s="583"/>
      <c r="L15" s="583">
        <v>0</v>
      </c>
      <c r="M15" s="578"/>
      <c r="N15" s="578">
        <f t="shared" si="0"/>
        <v>6330230311</v>
      </c>
      <c r="O15" s="587"/>
      <c r="P15" s="586">
        <v>6106435855</v>
      </c>
      <c r="Q15" s="432"/>
    </row>
    <row r="16" spans="1:17" s="433" customFormat="1" ht="10.5" customHeight="1">
      <c r="A16" s="574" t="s">
        <v>634</v>
      </c>
      <c r="B16" s="586">
        <v>0</v>
      </c>
      <c r="C16" s="585"/>
      <c r="D16" s="586">
        <v>529008722</v>
      </c>
      <c r="E16" s="586"/>
      <c r="F16" s="586"/>
      <c r="G16" s="578"/>
      <c r="H16" s="583"/>
      <c r="I16" s="583"/>
      <c r="J16" s="583">
        <v>0</v>
      </c>
      <c r="K16" s="583"/>
      <c r="L16" s="583">
        <v>0</v>
      </c>
      <c r="M16" s="578"/>
      <c r="N16" s="578">
        <f t="shared" si="0"/>
        <v>529008722</v>
      </c>
      <c r="O16" s="587"/>
      <c r="P16" s="586">
        <v>529008722</v>
      </c>
      <c r="Q16" s="432"/>
    </row>
    <row r="17" spans="1:17" s="433" customFormat="1" ht="10.5" customHeight="1">
      <c r="A17" s="574" t="s">
        <v>635</v>
      </c>
      <c r="B17" s="586">
        <v>936063489</v>
      </c>
      <c r="C17" s="585"/>
      <c r="D17" s="586">
        <v>0</v>
      </c>
      <c r="E17" s="586"/>
      <c r="F17" s="586"/>
      <c r="G17" s="578"/>
      <c r="H17" s="583"/>
      <c r="I17" s="583"/>
      <c r="J17" s="583">
        <v>0</v>
      </c>
      <c r="K17" s="583"/>
      <c r="L17" s="583">
        <v>0</v>
      </c>
      <c r="M17" s="578"/>
      <c r="N17" s="578">
        <f t="shared" si="0"/>
        <v>936063489</v>
      </c>
      <c r="O17" s="587"/>
      <c r="P17" s="586">
        <v>1286206656</v>
      </c>
      <c r="Q17" s="432"/>
    </row>
    <row r="18" spans="1:17" s="433" customFormat="1" ht="10.5" customHeight="1">
      <c r="A18" s="574" t="s">
        <v>636</v>
      </c>
      <c r="B18" s="586">
        <v>927526333</v>
      </c>
      <c r="C18" s="585"/>
      <c r="D18" s="586">
        <v>0</v>
      </c>
      <c r="E18" s="586"/>
      <c r="F18" s="586"/>
      <c r="G18" s="578"/>
      <c r="H18" s="583"/>
      <c r="I18" s="583"/>
      <c r="J18" s="583">
        <v>0</v>
      </c>
      <c r="K18" s="583"/>
      <c r="L18" s="583">
        <v>0</v>
      </c>
      <c r="M18" s="578"/>
      <c r="N18" s="578">
        <f t="shared" si="0"/>
        <v>927526333</v>
      </c>
      <c r="O18" s="587"/>
      <c r="P18" s="586">
        <v>927526333</v>
      </c>
      <c r="Q18" s="432"/>
    </row>
    <row r="19" spans="1:17" s="433" customFormat="1" ht="10.5" customHeight="1">
      <c r="A19" s="574" t="s">
        <v>986</v>
      </c>
      <c r="B19" s="586">
        <v>5285755870</v>
      </c>
      <c r="C19" s="585"/>
      <c r="D19" s="586">
        <v>0</v>
      </c>
      <c r="E19" s="586"/>
      <c r="F19" s="586">
        <v>365923667</v>
      </c>
      <c r="G19" s="578"/>
      <c r="H19" s="583"/>
      <c r="I19" s="583"/>
      <c r="J19" s="583">
        <v>0</v>
      </c>
      <c r="K19" s="583"/>
      <c r="L19" s="583">
        <v>0</v>
      </c>
      <c r="M19" s="578"/>
      <c r="N19" s="578">
        <f t="shared" si="0"/>
        <v>5651679537</v>
      </c>
      <c r="O19" s="587"/>
      <c r="P19" s="586">
        <v>5285755870</v>
      </c>
      <c r="Q19" s="432"/>
    </row>
    <row r="20" spans="1:17" s="433" customFormat="1" ht="10.5" customHeight="1">
      <c r="A20" s="574" t="s">
        <v>637</v>
      </c>
      <c r="B20" s="586">
        <v>0</v>
      </c>
      <c r="C20" s="585"/>
      <c r="D20" s="586">
        <v>11008298884</v>
      </c>
      <c r="E20" s="586"/>
      <c r="F20" s="586">
        <v>208599800</v>
      </c>
      <c r="G20" s="578"/>
      <c r="H20" s="583"/>
      <c r="I20" s="583"/>
      <c r="J20" s="583">
        <v>0</v>
      </c>
      <c r="K20" s="583"/>
      <c r="L20" s="583">
        <v>0</v>
      </c>
      <c r="M20" s="578"/>
      <c r="N20" s="578">
        <f t="shared" si="0"/>
        <v>11216898684</v>
      </c>
      <c r="O20" s="587"/>
      <c r="P20" s="586">
        <v>11008298884</v>
      </c>
      <c r="Q20" s="432"/>
    </row>
    <row r="21" spans="1:17" s="433" customFormat="1" ht="10.5" customHeight="1">
      <c r="A21" s="574" t="s">
        <v>638</v>
      </c>
      <c r="B21" s="586">
        <v>1050571728</v>
      </c>
      <c r="C21" s="585"/>
      <c r="D21" s="586">
        <v>7268397422</v>
      </c>
      <c r="E21" s="586"/>
      <c r="F21" s="586">
        <v>2349231968</v>
      </c>
      <c r="G21" s="578"/>
      <c r="H21" s="583"/>
      <c r="I21" s="583"/>
      <c r="J21" s="583">
        <v>0</v>
      </c>
      <c r="K21" s="583"/>
      <c r="L21" s="583">
        <v>0</v>
      </c>
      <c r="M21" s="578"/>
      <c r="N21" s="578">
        <f t="shared" si="0"/>
        <v>10668201118</v>
      </c>
      <c r="O21" s="587"/>
      <c r="P21" s="578">
        <v>15775027958</v>
      </c>
      <c r="Q21" s="432"/>
    </row>
    <row r="22" spans="1:17" s="433" customFormat="1" ht="10.5" customHeight="1">
      <c r="A22" s="574" t="s">
        <v>639</v>
      </c>
      <c r="B22" s="586">
        <v>18990989461</v>
      </c>
      <c r="C22" s="585"/>
      <c r="D22" s="586">
        <v>6853006999</v>
      </c>
      <c r="E22" s="586"/>
      <c r="F22" s="586">
        <v>929970806</v>
      </c>
      <c r="G22" s="578"/>
      <c r="H22" s="583">
        <v>14371823833</v>
      </c>
      <c r="I22" s="583"/>
      <c r="J22" s="583">
        <v>0</v>
      </c>
      <c r="K22" s="583"/>
      <c r="L22" s="583">
        <v>0</v>
      </c>
      <c r="M22" s="578"/>
      <c r="N22" s="578">
        <f t="shared" si="0"/>
        <v>26773967266</v>
      </c>
      <c r="O22" s="587"/>
      <c r="P22" s="578">
        <v>35331898917</v>
      </c>
      <c r="Q22" s="432"/>
    </row>
    <row r="23" spans="1:17" s="433" customFormat="1" ht="10.5" customHeight="1">
      <c r="A23" s="574" t="s">
        <v>640</v>
      </c>
      <c r="B23" s="586">
        <v>1200000000</v>
      </c>
      <c r="C23" s="585"/>
      <c r="D23" s="586">
        <v>9777171648</v>
      </c>
      <c r="E23" s="586"/>
      <c r="F23" s="586"/>
      <c r="G23" s="578"/>
      <c r="H23" s="583">
        <v>0</v>
      </c>
      <c r="I23" s="583"/>
      <c r="J23" s="583">
        <v>-388443043</v>
      </c>
      <c r="K23" s="583"/>
      <c r="L23" s="583"/>
      <c r="M23" s="578"/>
      <c r="N23" s="578">
        <f t="shared" si="0"/>
        <v>10977171648</v>
      </c>
      <c r="O23" s="587"/>
      <c r="P23" s="578">
        <v>14024130061</v>
      </c>
      <c r="Q23" s="432"/>
    </row>
    <row r="24" spans="1:17" s="433" customFormat="1" ht="10.5" customHeight="1">
      <c r="A24" s="574" t="s">
        <v>641</v>
      </c>
      <c r="B24" s="586">
        <v>0</v>
      </c>
      <c r="C24" s="585"/>
      <c r="D24" s="586">
        <v>2103100204</v>
      </c>
      <c r="E24" s="586"/>
      <c r="F24" s="586"/>
      <c r="G24" s="578"/>
      <c r="H24" s="583">
        <v>0</v>
      </c>
      <c r="I24" s="583"/>
      <c r="J24" s="583">
        <v>0</v>
      </c>
      <c r="K24" s="583"/>
      <c r="L24" s="583">
        <v>0</v>
      </c>
      <c r="M24" s="578"/>
      <c r="N24" s="578">
        <f t="shared" si="0"/>
        <v>2103100204</v>
      </c>
      <c r="O24" s="587"/>
      <c r="P24" s="578">
        <v>8960595370</v>
      </c>
      <c r="Q24" s="432"/>
    </row>
    <row r="25" spans="1:17" s="433" customFormat="1" ht="10.5" customHeight="1">
      <c r="A25" s="574" t="s">
        <v>642</v>
      </c>
      <c r="B25" s="586">
        <v>3950000000</v>
      </c>
      <c r="C25" s="585"/>
      <c r="D25" s="586">
        <v>2848775490</v>
      </c>
      <c r="E25" s="586"/>
      <c r="F25" s="586"/>
      <c r="G25" s="578"/>
      <c r="H25" s="583">
        <v>8109090051</v>
      </c>
      <c r="I25" s="583"/>
      <c r="J25" s="583">
        <v>0</v>
      </c>
      <c r="K25" s="583"/>
      <c r="L25" s="583">
        <v>0</v>
      </c>
      <c r="M25" s="578"/>
      <c r="N25" s="578">
        <f t="shared" si="0"/>
        <v>6798775490</v>
      </c>
      <c r="O25" s="587"/>
      <c r="P25" s="578">
        <v>2848775490</v>
      </c>
      <c r="Q25" s="432"/>
    </row>
    <row r="26" spans="1:17" s="433" customFormat="1" ht="10.5" customHeight="1">
      <c r="A26" s="574" t="s">
        <v>643</v>
      </c>
      <c r="B26" s="586">
        <v>3300000000</v>
      </c>
      <c r="C26" s="585"/>
      <c r="D26" s="586">
        <v>0</v>
      </c>
      <c r="E26" s="586"/>
      <c r="F26" s="586"/>
      <c r="G26" s="578"/>
      <c r="H26" s="583">
        <v>0</v>
      </c>
      <c r="I26" s="583"/>
      <c r="J26" s="583">
        <v>0</v>
      </c>
      <c r="K26" s="583"/>
      <c r="L26" s="583">
        <v>0</v>
      </c>
      <c r="M26" s="578"/>
      <c r="N26" s="578">
        <f t="shared" si="0"/>
        <v>3300000000</v>
      </c>
      <c r="O26" s="587"/>
      <c r="P26" s="578">
        <v>3300000000</v>
      </c>
      <c r="Q26" s="432"/>
    </row>
    <row r="27" spans="1:17" s="433" customFormat="1" ht="10.5" customHeight="1">
      <c r="A27" s="574" t="s">
        <v>644</v>
      </c>
      <c r="B27" s="586">
        <v>1218199952</v>
      </c>
      <c r="C27" s="585"/>
      <c r="D27" s="586">
        <v>2337851383</v>
      </c>
      <c r="E27" s="586"/>
      <c r="F27" s="586">
        <v>1168925590</v>
      </c>
      <c r="G27" s="578"/>
      <c r="H27" s="583">
        <v>68676588</v>
      </c>
      <c r="I27" s="583"/>
      <c r="J27" s="583">
        <v>0</v>
      </c>
      <c r="K27" s="583"/>
      <c r="L27" s="583">
        <v>0</v>
      </c>
      <c r="M27" s="578"/>
      <c r="N27" s="578">
        <f t="shared" si="0"/>
        <v>4724976925</v>
      </c>
      <c r="O27" s="587"/>
      <c r="P27" s="578">
        <v>5505925021</v>
      </c>
      <c r="Q27" s="432"/>
    </row>
    <row r="28" spans="1:17" s="433" customFormat="1" ht="10.5" customHeight="1">
      <c r="A28" s="574" t="s">
        <v>645</v>
      </c>
      <c r="B28" s="586">
        <v>5130082225</v>
      </c>
      <c r="C28" s="585"/>
      <c r="D28" s="586">
        <v>1496383570</v>
      </c>
      <c r="E28" s="586"/>
      <c r="F28" s="586">
        <v>5773492178</v>
      </c>
      <c r="G28" s="578"/>
      <c r="H28" s="583">
        <v>8951596607</v>
      </c>
      <c r="I28" s="583"/>
      <c r="J28" s="583">
        <v>0</v>
      </c>
      <c r="K28" s="583"/>
      <c r="L28" s="583">
        <v>0</v>
      </c>
      <c r="M28" s="578"/>
      <c r="N28" s="578">
        <f t="shared" si="0"/>
        <v>12399957973</v>
      </c>
      <c r="O28" s="587"/>
      <c r="P28" s="578">
        <v>6803162048</v>
      </c>
      <c r="Q28" s="432"/>
    </row>
    <row r="29" spans="1:17" s="433" customFormat="1" ht="10.5" customHeight="1">
      <c r="A29" s="574" t="s">
        <v>646</v>
      </c>
      <c r="B29" s="573">
        <v>500000000</v>
      </c>
      <c r="C29" s="588"/>
      <c r="D29" s="573">
        <v>617744235</v>
      </c>
      <c r="E29" s="573"/>
      <c r="F29" s="573">
        <v>308872117</v>
      </c>
      <c r="G29" s="589"/>
      <c r="H29" s="590">
        <v>0</v>
      </c>
      <c r="I29" s="590"/>
      <c r="J29" s="590">
        <v>0</v>
      </c>
      <c r="K29" s="590"/>
      <c r="L29" s="590">
        <v>0</v>
      </c>
      <c r="M29" s="589"/>
      <c r="N29" s="578">
        <f t="shared" si="0"/>
        <v>1426616352</v>
      </c>
      <c r="O29" s="587"/>
      <c r="P29" s="578">
        <v>2058737676</v>
      </c>
      <c r="Q29" s="432"/>
    </row>
    <row r="30" spans="1:17" s="433" customFormat="1" ht="10.5" customHeight="1">
      <c r="A30" s="574" t="s">
        <v>647</v>
      </c>
      <c r="B30" s="573">
        <v>919618362</v>
      </c>
      <c r="C30" s="588"/>
      <c r="D30" s="573">
        <v>55097992</v>
      </c>
      <c r="E30" s="573"/>
      <c r="F30" s="573">
        <v>124027623</v>
      </c>
      <c r="G30" s="589"/>
      <c r="H30" s="580">
        <v>0</v>
      </c>
      <c r="I30" s="590"/>
      <c r="J30" s="590">
        <v>0</v>
      </c>
      <c r="K30" s="590"/>
      <c r="L30" s="590">
        <v>0</v>
      </c>
      <c r="M30" s="589"/>
      <c r="N30" s="578">
        <f t="shared" si="0"/>
        <v>1098743977</v>
      </c>
      <c r="O30" s="587"/>
      <c r="P30" s="578">
        <v>489983283</v>
      </c>
      <c r="Q30" s="432"/>
    </row>
    <row r="31" spans="1:17" s="433" customFormat="1" ht="10.5" customHeight="1">
      <c r="A31" s="574" t="s">
        <v>861</v>
      </c>
      <c r="B31" s="573">
        <v>222989942</v>
      </c>
      <c r="C31" s="588"/>
      <c r="D31" s="573">
        <v>176145203</v>
      </c>
      <c r="E31" s="573"/>
      <c r="F31" s="573">
        <v>88072601</v>
      </c>
      <c r="G31" s="589"/>
      <c r="H31" s="580">
        <v>0</v>
      </c>
      <c r="I31" s="590"/>
      <c r="J31" s="590">
        <v>0</v>
      </c>
      <c r="K31" s="590"/>
      <c r="L31" s="590">
        <v>0</v>
      </c>
      <c r="M31" s="589"/>
      <c r="N31" s="578">
        <f t="shared" si="0"/>
        <v>487207746</v>
      </c>
      <c r="O31" s="587"/>
      <c r="P31" s="578">
        <v>0</v>
      </c>
      <c r="Q31" s="432"/>
    </row>
    <row r="32" spans="1:17" s="433" customFormat="1" ht="10.5" customHeight="1">
      <c r="A32" s="574" t="s">
        <v>648</v>
      </c>
      <c r="B32" s="573">
        <v>84297465</v>
      </c>
      <c r="C32" s="588"/>
      <c r="D32" s="573">
        <v>3003197308</v>
      </c>
      <c r="E32" s="573"/>
      <c r="F32" s="573">
        <v>1501598655</v>
      </c>
      <c r="G32" s="589"/>
      <c r="H32" s="590">
        <v>1468026909</v>
      </c>
      <c r="I32" s="590"/>
      <c r="J32" s="590">
        <v>0</v>
      </c>
      <c r="K32" s="590"/>
      <c r="L32" s="590">
        <v>0</v>
      </c>
      <c r="M32" s="589"/>
      <c r="N32" s="578">
        <f t="shared" si="0"/>
        <v>4589093428</v>
      </c>
      <c r="O32" s="587"/>
      <c r="P32" s="578">
        <v>6057120337</v>
      </c>
      <c r="Q32" s="432"/>
    </row>
    <row r="33" spans="1:17" s="433" customFormat="1" ht="10.5" customHeight="1">
      <c r="A33" s="574" t="s">
        <v>649</v>
      </c>
      <c r="B33" s="573">
        <v>126783482282</v>
      </c>
      <c r="C33" s="588"/>
      <c r="D33" s="573">
        <v>25708428274</v>
      </c>
      <c r="E33" s="573"/>
      <c r="F33" s="573">
        <v>12854214137</v>
      </c>
      <c r="G33" s="589"/>
      <c r="H33" s="590">
        <v>0</v>
      </c>
      <c r="I33" s="590"/>
      <c r="J33" s="590">
        <v>-77035440789</v>
      </c>
      <c r="K33" s="590"/>
      <c r="L33" s="590">
        <v>0</v>
      </c>
      <c r="M33" s="589"/>
      <c r="N33" s="578">
        <f t="shared" si="0"/>
        <v>165346124693</v>
      </c>
      <c r="O33" s="587"/>
      <c r="P33" s="578">
        <v>139199636847</v>
      </c>
      <c r="Q33" s="432"/>
    </row>
    <row r="34" spans="1:17" s="433" customFormat="1" ht="10.5" customHeight="1">
      <c r="A34" s="574" t="s">
        <v>761</v>
      </c>
      <c r="B34" s="573">
        <v>11179257297</v>
      </c>
      <c r="C34" s="588"/>
      <c r="D34" s="573">
        <v>0</v>
      </c>
      <c r="E34" s="573"/>
      <c r="F34" s="573">
        <v>0</v>
      </c>
      <c r="G34" s="589"/>
      <c r="H34" s="590">
        <v>0</v>
      </c>
      <c r="I34" s="590"/>
      <c r="J34" s="590">
        <v>-7018409385</v>
      </c>
      <c r="K34" s="590"/>
      <c r="L34" s="590">
        <v>0</v>
      </c>
      <c r="M34" s="589"/>
      <c r="N34" s="578">
        <f t="shared" si="0"/>
        <v>11179257297</v>
      </c>
      <c r="O34" s="587"/>
      <c r="P34" s="578">
        <v>29909691130</v>
      </c>
      <c r="Q34" s="432"/>
    </row>
    <row r="35" spans="1:17" s="433" customFormat="1" ht="10.5" customHeight="1">
      <c r="A35" s="574" t="s">
        <v>650</v>
      </c>
      <c r="B35" s="586">
        <v>649598548</v>
      </c>
      <c r="C35" s="585"/>
      <c r="D35" s="586">
        <v>229808652</v>
      </c>
      <c r="E35" s="586"/>
      <c r="F35" s="586">
        <v>229808652</v>
      </c>
      <c r="G35" s="578"/>
      <c r="H35" s="583">
        <v>0</v>
      </c>
      <c r="I35" s="583"/>
      <c r="J35" s="583">
        <v>0</v>
      </c>
      <c r="K35" s="583"/>
      <c r="L35" s="583">
        <v>0</v>
      </c>
      <c r="M35" s="578"/>
      <c r="N35" s="578">
        <f t="shared" si="0"/>
        <v>1109215852</v>
      </c>
      <c r="O35" s="587"/>
      <c r="P35" s="578">
        <v>1109412356</v>
      </c>
      <c r="Q35" s="432"/>
    </row>
    <row r="36" spans="1:17" s="433" customFormat="1" ht="10.5" customHeight="1">
      <c r="A36" s="574" t="s">
        <v>651</v>
      </c>
      <c r="B36" s="586">
        <v>743489656</v>
      </c>
      <c r="C36" s="585"/>
      <c r="D36" s="586">
        <v>296361134</v>
      </c>
      <c r="E36" s="586"/>
      <c r="F36" s="586">
        <v>148180567</v>
      </c>
      <c r="G36" s="578"/>
      <c r="H36" s="583">
        <v>0</v>
      </c>
      <c r="I36" s="583"/>
      <c r="J36" s="583">
        <v>0</v>
      </c>
      <c r="K36" s="583"/>
      <c r="L36" s="583">
        <v>0</v>
      </c>
      <c r="M36" s="578"/>
      <c r="N36" s="578">
        <f t="shared" si="0"/>
        <v>1188031357</v>
      </c>
      <c r="O36" s="587"/>
      <c r="P36" s="578">
        <v>1215984221</v>
      </c>
      <c r="Q36" s="432"/>
    </row>
    <row r="37" spans="1:17" s="433" customFormat="1" ht="10.5" customHeight="1">
      <c r="A37" s="574" t="s">
        <v>652</v>
      </c>
      <c r="B37" s="586">
        <v>5198082551</v>
      </c>
      <c r="C37" s="585"/>
      <c r="D37" s="586">
        <v>1433299511</v>
      </c>
      <c r="E37" s="586"/>
      <c r="F37" s="586">
        <v>716649754</v>
      </c>
      <c r="G37" s="578"/>
      <c r="H37" s="583">
        <v>0</v>
      </c>
      <c r="I37" s="583"/>
      <c r="J37" s="583">
        <v>0</v>
      </c>
      <c r="K37" s="583"/>
      <c r="L37" s="583">
        <v>0</v>
      </c>
      <c r="M37" s="578"/>
      <c r="N37" s="578">
        <f t="shared" si="0"/>
        <v>7348031816</v>
      </c>
      <c r="O37" s="587"/>
      <c r="P37" s="578">
        <v>184849645</v>
      </c>
      <c r="Q37" s="432"/>
    </row>
    <row r="38" spans="1:17" s="433" customFormat="1" ht="10.5" customHeight="1">
      <c r="A38" s="574" t="s">
        <v>653</v>
      </c>
      <c r="B38" s="586">
        <v>1290000000</v>
      </c>
      <c r="C38" s="585"/>
      <c r="D38" s="586">
        <v>1843534549</v>
      </c>
      <c r="E38" s="586"/>
      <c r="F38" s="586"/>
      <c r="G38" s="578"/>
      <c r="H38" s="583">
        <v>0</v>
      </c>
      <c r="I38" s="583"/>
      <c r="J38" s="583">
        <v>-906381453</v>
      </c>
      <c r="K38" s="583"/>
      <c r="L38" s="583">
        <v>0</v>
      </c>
      <c r="M38" s="578"/>
      <c r="N38" s="578">
        <f t="shared" si="0"/>
        <v>3133534549</v>
      </c>
      <c r="O38" s="587"/>
      <c r="P38" s="578">
        <v>2241885353</v>
      </c>
      <c r="Q38" s="432"/>
    </row>
    <row r="39" spans="1:17" s="433" customFormat="1" ht="10.5" customHeight="1">
      <c r="A39" s="574" t="s">
        <v>654</v>
      </c>
      <c r="B39" s="586">
        <v>22734861999</v>
      </c>
      <c r="C39" s="585"/>
      <c r="D39" s="586">
        <v>1486091027</v>
      </c>
      <c r="E39" s="586"/>
      <c r="F39" s="586">
        <v>743045514</v>
      </c>
      <c r="G39" s="578"/>
      <c r="H39" s="583">
        <v>0</v>
      </c>
      <c r="I39" s="583"/>
      <c r="J39" s="583">
        <v>-308043209</v>
      </c>
      <c r="K39" s="583"/>
      <c r="L39" s="583">
        <v>0</v>
      </c>
      <c r="M39" s="578"/>
      <c r="N39" s="578">
        <f t="shared" si="0"/>
        <v>24963998540</v>
      </c>
      <c r="O39" s="587"/>
      <c r="P39" s="578">
        <v>5670529732</v>
      </c>
      <c r="Q39" s="432"/>
    </row>
    <row r="40" spans="1:17" s="433" customFormat="1" ht="10.5" customHeight="1">
      <c r="A40" s="574" t="s">
        <v>655</v>
      </c>
      <c r="B40" s="586">
        <v>4600000000</v>
      </c>
      <c r="C40" s="585"/>
      <c r="D40" s="586">
        <v>2761403143</v>
      </c>
      <c r="E40" s="586"/>
      <c r="F40" s="586"/>
      <c r="G40" s="578"/>
      <c r="H40" s="583">
        <v>5019683143</v>
      </c>
      <c r="I40" s="583"/>
      <c r="J40" s="583">
        <v>0</v>
      </c>
      <c r="K40" s="583"/>
      <c r="L40" s="583">
        <v>0</v>
      </c>
      <c r="M40" s="578"/>
      <c r="N40" s="578">
        <f t="shared" si="0"/>
        <v>7361403143</v>
      </c>
      <c r="O40" s="587"/>
      <c r="P40" s="578">
        <v>10421320443</v>
      </c>
      <c r="Q40" s="432"/>
    </row>
    <row r="41" spans="1:17" s="433" customFormat="1" ht="10.5" customHeight="1">
      <c r="A41" s="574" t="s">
        <v>656</v>
      </c>
      <c r="B41" s="586">
        <v>0</v>
      </c>
      <c r="C41" s="585"/>
      <c r="D41" s="586">
        <v>527805200</v>
      </c>
      <c r="E41" s="586"/>
      <c r="F41" s="586">
        <v>263902599</v>
      </c>
      <c r="G41" s="578"/>
      <c r="H41" s="583">
        <v>0</v>
      </c>
      <c r="I41" s="583"/>
      <c r="J41" s="583">
        <v>0</v>
      </c>
      <c r="K41" s="583"/>
      <c r="L41" s="583">
        <v>0</v>
      </c>
      <c r="M41" s="578"/>
      <c r="N41" s="578">
        <f t="shared" si="0"/>
        <v>791707799</v>
      </c>
      <c r="O41" s="587"/>
      <c r="P41" s="578">
        <v>552249153</v>
      </c>
      <c r="Q41" s="432"/>
    </row>
    <row r="42" spans="1:17" s="433" customFormat="1" ht="10.5" customHeight="1">
      <c r="A42" s="575" t="s">
        <v>657</v>
      </c>
      <c r="B42" s="586">
        <v>3514953640</v>
      </c>
      <c r="C42" s="585"/>
      <c r="D42" s="586">
        <v>0</v>
      </c>
      <c r="E42" s="586"/>
      <c r="F42" s="586"/>
      <c r="G42" s="578"/>
      <c r="H42" s="583">
        <v>0</v>
      </c>
      <c r="I42" s="583"/>
      <c r="J42" s="583">
        <v>-1536209511</v>
      </c>
      <c r="K42" s="583"/>
      <c r="L42" s="583">
        <v>0</v>
      </c>
      <c r="M42" s="578"/>
      <c r="N42" s="578">
        <f t="shared" si="0"/>
        <v>3514953640</v>
      </c>
      <c r="O42" s="587"/>
      <c r="P42" s="578">
        <v>498765465</v>
      </c>
      <c r="Q42" s="432"/>
    </row>
    <row r="43" spans="1:17" s="433" customFormat="1" ht="10.5" customHeight="1">
      <c r="A43" s="575" t="s">
        <v>863</v>
      </c>
      <c r="B43" s="586">
        <v>20297120901</v>
      </c>
      <c r="C43" s="585"/>
      <c r="D43" s="586">
        <v>927038742</v>
      </c>
      <c r="E43" s="586"/>
      <c r="F43" s="586"/>
      <c r="G43" s="578"/>
      <c r="H43" s="583">
        <v>0</v>
      </c>
      <c r="I43" s="583"/>
      <c r="J43" s="583">
        <v>-9508996651</v>
      </c>
      <c r="K43" s="583"/>
      <c r="L43" s="583">
        <v>0</v>
      </c>
      <c r="M43" s="578"/>
      <c r="N43" s="578">
        <f t="shared" si="0"/>
        <v>21224159643</v>
      </c>
      <c r="O43" s="587"/>
      <c r="P43" s="578">
        <v>5719784994</v>
      </c>
      <c r="Q43" s="432"/>
    </row>
    <row r="44" spans="1:17" s="433" customFormat="1" ht="10.5" customHeight="1">
      <c r="A44" s="574" t="s">
        <v>658</v>
      </c>
      <c r="B44" s="586">
        <v>4525334968</v>
      </c>
      <c r="C44" s="585"/>
      <c r="D44" s="586">
        <v>575139049</v>
      </c>
      <c r="E44" s="586"/>
      <c r="F44" s="586"/>
      <c r="G44" s="578"/>
      <c r="H44" s="583">
        <v>0</v>
      </c>
      <c r="I44" s="583"/>
      <c r="J44" s="583">
        <v>-2650744778</v>
      </c>
      <c r="K44" s="583"/>
      <c r="L44" s="583">
        <v>0</v>
      </c>
      <c r="M44" s="578"/>
      <c r="N44" s="578">
        <f t="shared" si="0"/>
        <v>5100474017</v>
      </c>
      <c r="O44" s="587"/>
      <c r="P44" s="578">
        <v>2400388725</v>
      </c>
      <c r="Q44" s="432"/>
    </row>
    <row r="45" spans="1:17" s="433" customFormat="1" ht="10.5" customHeight="1">
      <c r="A45" s="574" t="s">
        <v>659</v>
      </c>
      <c r="B45" s="586">
        <v>477000000</v>
      </c>
      <c r="C45" s="585"/>
      <c r="D45" s="586">
        <v>225000000</v>
      </c>
      <c r="E45" s="586"/>
      <c r="F45" s="586">
        <v>0</v>
      </c>
      <c r="G45" s="578"/>
      <c r="H45" s="583">
        <v>250000000</v>
      </c>
      <c r="I45" s="583"/>
      <c r="J45" s="583">
        <v>0</v>
      </c>
      <c r="K45" s="583"/>
      <c r="L45" s="583">
        <v>0</v>
      </c>
      <c r="M45" s="578"/>
      <c r="N45" s="578">
        <f t="shared" si="0"/>
        <v>702000000</v>
      </c>
      <c r="O45" s="587"/>
      <c r="P45" s="578">
        <v>952021456</v>
      </c>
      <c r="Q45" s="432"/>
    </row>
    <row r="46" spans="1:17" s="433" customFormat="1" ht="10.5" customHeight="1">
      <c r="A46" s="574" t="s">
        <v>864</v>
      </c>
      <c r="B46" s="586">
        <v>7990952523</v>
      </c>
      <c r="C46" s="585"/>
      <c r="D46" s="586">
        <v>342351871</v>
      </c>
      <c r="E46" s="586"/>
      <c r="F46" s="586">
        <v>171175936</v>
      </c>
      <c r="G46" s="578"/>
      <c r="H46" s="583">
        <v>0</v>
      </c>
      <c r="I46" s="583"/>
      <c r="J46" s="583">
        <v>-1822597526</v>
      </c>
      <c r="K46" s="583"/>
      <c r="L46" s="583">
        <v>0</v>
      </c>
      <c r="M46" s="578"/>
      <c r="N46" s="578">
        <f t="shared" si="0"/>
        <v>8504480330</v>
      </c>
      <c r="O46" s="587"/>
      <c r="P46" s="578">
        <v>334073935</v>
      </c>
      <c r="Q46" s="432"/>
    </row>
    <row r="47" spans="1:17" s="433" customFormat="1" ht="10.5" customHeight="1">
      <c r="A47" s="574" t="s">
        <v>865</v>
      </c>
      <c r="B47" s="586">
        <v>25311785802</v>
      </c>
      <c r="C47" s="585"/>
      <c r="D47" s="586">
        <v>3143110833</v>
      </c>
      <c r="E47" s="586"/>
      <c r="F47" s="586">
        <v>1571555417</v>
      </c>
      <c r="G47" s="578"/>
      <c r="H47" s="583">
        <v>0</v>
      </c>
      <c r="I47" s="583"/>
      <c r="J47" s="583">
        <v>0</v>
      </c>
      <c r="K47" s="583"/>
      <c r="L47" s="583">
        <v>0</v>
      </c>
      <c r="M47" s="578"/>
      <c r="N47" s="578">
        <f t="shared" si="0"/>
        <v>30026452052</v>
      </c>
      <c r="O47" s="587"/>
      <c r="P47" s="578">
        <v>0</v>
      </c>
      <c r="Q47" s="432"/>
    </row>
    <row r="48" spans="1:17" s="433" customFormat="1" ht="10.5" customHeight="1">
      <c r="A48" s="574" t="s">
        <v>862</v>
      </c>
      <c r="B48" s="586">
        <v>0</v>
      </c>
      <c r="C48" s="585"/>
      <c r="D48" s="586">
        <v>282428217</v>
      </c>
      <c r="E48" s="586"/>
      <c r="F48" s="586">
        <v>0</v>
      </c>
      <c r="G48" s="578"/>
      <c r="H48" s="577"/>
      <c r="I48" s="583"/>
      <c r="J48" s="577">
        <v>0</v>
      </c>
      <c r="K48" s="583"/>
      <c r="L48" s="577"/>
      <c r="M48" s="578"/>
      <c r="N48" s="578">
        <f t="shared" si="0"/>
        <v>282428217</v>
      </c>
      <c r="O48" s="587"/>
      <c r="P48" s="578">
        <v>893504048</v>
      </c>
      <c r="Q48" s="432"/>
    </row>
    <row r="49" spans="1:17" s="433" customFormat="1" ht="10.5" customHeight="1">
      <c r="A49" s="574" t="s">
        <v>987</v>
      </c>
      <c r="B49" s="586">
        <v>0</v>
      </c>
      <c r="C49" s="585"/>
      <c r="D49" s="586">
        <v>0</v>
      </c>
      <c r="E49" s="586"/>
      <c r="F49" s="586">
        <v>0</v>
      </c>
      <c r="G49" s="578"/>
      <c r="H49" s="591">
        <v>0</v>
      </c>
      <c r="I49" s="583"/>
      <c r="J49" s="591">
        <v>-588641805</v>
      </c>
      <c r="K49" s="583"/>
      <c r="L49" s="591">
        <v>0</v>
      </c>
      <c r="M49" s="578"/>
      <c r="N49" s="582">
        <f t="shared" si="0"/>
        <v>0</v>
      </c>
      <c r="O49" s="587"/>
      <c r="P49" s="578">
        <v>-891385</v>
      </c>
      <c r="Q49" s="432"/>
    </row>
    <row r="50" spans="1:17" s="431" customFormat="1" ht="10.5" customHeight="1">
      <c r="A50" s="577"/>
      <c r="B50" s="592">
        <f>SUM(B9:B49)</f>
        <v>288999842929</v>
      </c>
      <c r="C50" s="573"/>
      <c r="D50" s="592">
        <f>SUM(D9:D49)</f>
        <v>99870660691</v>
      </c>
      <c r="E50" s="573"/>
      <c r="F50" s="592">
        <f>SUM(F9:F49)</f>
        <v>29517247581</v>
      </c>
      <c r="G50" s="589"/>
      <c r="H50" s="590">
        <f>SUM(H8:H49)</f>
        <v>48238897131</v>
      </c>
      <c r="I50" s="590"/>
      <c r="J50" s="590">
        <f>SUM(J8:J49)</f>
        <v>-101763908150</v>
      </c>
      <c r="K50" s="590"/>
      <c r="L50" s="590">
        <f>SUM(L8:L49)</f>
        <v>-446359120</v>
      </c>
      <c r="M50" s="589"/>
      <c r="N50" s="578">
        <f>SUM(N9:N49)</f>
        <v>417941392081</v>
      </c>
      <c r="O50" s="587"/>
      <c r="P50" s="593">
        <f>SUM(P9:P49)</f>
        <v>357541338922</v>
      </c>
      <c r="Q50" s="277"/>
    </row>
    <row r="51" spans="1:17" ht="10.5" customHeight="1">
      <c r="A51" s="577" t="s">
        <v>868</v>
      </c>
      <c r="B51" s="594"/>
      <c r="C51" s="595"/>
      <c r="D51" s="594">
        <v>0</v>
      </c>
      <c r="E51" s="594"/>
      <c r="F51" s="594">
        <v>0</v>
      </c>
      <c r="G51" s="590"/>
      <c r="H51" s="590"/>
      <c r="I51" s="590"/>
      <c r="J51" s="590"/>
      <c r="K51" s="590"/>
      <c r="L51" s="591"/>
      <c r="M51" s="590"/>
      <c r="N51" s="578">
        <f t="shared" ref="N51" si="1">B51+D51+F51</f>
        <v>0</v>
      </c>
      <c r="O51" s="587"/>
      <c r="P51" s="578">
        <v>-1592324277</v>
      </c>
    </row>
    <row r="52" spans="1:17" ht="11.25" customHeight="1" thickBot="1">
      <c r="A52" s="577"/>
      <c r="B52" s="596">
        <f>B50+B51</f>
        <v>288999842929</v>
      </c>
      <c r="C52" s="585"/>
      <c r="D52" s="596">
        <f>D50+D51</f>
        <v>99870660691</v>
      </c>
      <c r="E52" s="586"/>
      <c r="F52" s="596">
        <f>F50+F51</f>
        <v>29517247581</v>
      </c>
      <c r="G52" s="589"/>
      <c r="H52" s="597">
        <f>H50+H51</f>
        <v>48238897131</v>
      </c>
      <c r="I52" s="590"/>
      <c r="J52" s="597">
        <f>J50+J51</f>
        <v>-101763908150</v>
      </c>
      <c r="K52" s="583"/>
      <c r="L52" s="597">
        <f>L50+L51</f>
        <v>-446359120</v>
      </c>
      <c r="M52" s="578"/>
      <c r="N52" s="598">
        <f>SUM(N50:N51)</f>
        <v>417941392081</v>
      </c>
      <c r="O52" s="587"/>
      <c r="P52" s="598">
        <f>P50+P51</f>
        <v>355949014645</v>
      </c>
    </row>
    <row r="53" spans="1:17" ht="18" thickTop="1">
      <c r="D53" s="121"/>
      <c r="E53" s="121"/>
      <c r="F53" s="121"/>
      <c r="G53" s="121"/>
      <c r="H53" s="179"/>
      <c r="I53" s="179"/>
      <c r="J53" s="179"/>
      <c r="K53" s="179"/>
      <c r="L53" s="179"/>
      <c r="M53" s="121"/>
      <c r="N53" s="121"/>
      <c r="O53" s="108"/>
      <c r="P53" s="121"/>
    </row>
    <row r="54" spans="1:17">
      <c r="J54" s="572"/>
    </row>
  </sheetData>
  <mergeCells count="9">
    <mergeCell ref="A3:Q3"/>
    <mergeCell ref="A2:Q2"/>
    <mergeCell ref="A1:Q1"/>
    <mergeCell ref="B5:N5"/>
    <mergeCell ref="P6:P7"/>
    <mergeCell ref="L6:L7"/>
    <mergeCell ref="D6:D7"/>
    <mergeCell ref="F6:F7"/>
    <mergeCell ref="A4:C4"/>
  </mergeCells>
  <pageMargins left="0" right="0" top="0.22" bottom="0.22" header="0.24" footer="0.28999999999999998"/>
  <pageSetup paperSize="9" scale="87" orientation="landscape" horizontalDpi="300" verticalDpi="300" r:id="rId1"/>
  <headerFooter>
    <oddFooter xml:space="preserve">&amp;C&amp;"B Mitra,Bold"&amp;14 13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L67"/>
  <sheetViews>
    <sheetView rightToLeft="1" topLeftCell="A25" workbookViewId="0">
      <selection activeCell="C14" sqref="C14"/>
    </sheetView>
  </sheetViews>
  <sheetFormatPr defaultColWidth="9" defaultRowHeight="17.25"/>
  <cols>
    <col min="1" max="1" width="36.42578125" style="73" bestFit="1" customWidth="1"/>
    <col min="2" max="2" width="2.5703125" style="69" customWidth="1"/>
    <col min="3" max="3" width="15.42578125" style="131" bestFit="1" customWidth="1"/>
    <col min="4" max="4" width="2.5703125" style="131" customWidth="1"/>
    <col min="5" max="5" width="15.42578125" style="131" bestFit="1" customWidth="1"/>
    <col min="6" max="6" width="2.5703125" style="131" customWidth="1"/>
    <col min="7" max="7" width="13" style="131" bestFit="1" customWidth="1"/>
    <col min="8" max="8" width="2.5703125" style="131" customWidth="1"/>
    <col min="9" max="9" width="14" style="466" bestFit="1" customWidth="1"/>
    <col min="10" max="16384" width="9" style="69"/>
  </cols>
  <sheetData>
    <row r="1" spans="1:12" ht="22.5" customHeight="1">
      <c r="A1" s="703" t="s">
        <v>127</v>
      </c>
      <c r="B1" s="703"/>
      <c r="C1" s="703"/>
      <c r="D1" s="703"/>
      <c r="E1" s="703"/>
      <c r="F1" s="703"/>
      <c r="G1" s="703"/>
      <c r="H1" s="703"/>
      <c r="I1" s="703"/>
    </row>
    <row r="2" spans="1:12" ht="22.5" customHeight="1">
      <c r="A2" s="703" t="s">
        <v>0</v>
      </c>
      <c r="B2" s="703"/>
      <c r="C2" s="703"/>
      <c r="D2" s="703"/>
      <c r="E2" s="703"/>
      <c r="F2" s="703"/>
      <c r="G2" s="703"/>
      <c r="H2" s="703"/>
      <c r="I2" s="703"/>
    </row>
    <row r="3" spans="1:12" ht="22.5" customHeight="1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62"/>
      <c r="K3" s="62"/>
      <c r="L3" s="62"/>
    </row>
    <row r="4" spans="1:12" ht="21.75" customHeight="1">
      <c r="A4" s="70"/>
      <c r="B4" s="71"/>
      <c r="C4" s="137"/>
      <c r="D4" s="137"/>
      <c r="E4" s="137"/>
      <c r="F4" s="137"/>
      <c r="G4" s="137"/>
      <c r="H4" s="137"/>
      <c r="I4" s="137"/>
      <c r="J4" s="71"/>
      <c r="K4" s="71"/>
    </row>
    <row r="5" spans="1:12" ht="18.75">
      <c r="A5" s="416" t="s">
        <v>128</v>
      </c>
      <c r="B5" s="71"/>
      <c r="C5" s="137"/>
      <c r="D5" s="137"/>
      <c r="E5" s="137"/>
      <c r="F5" s="137"/>
      <c r="G5" s="137"/>
      <c r="H5" s="137"/>
      <c r="I5" s="137"/>
      <c r="J5" s="71"/>
      <c r="K5" s="71"/>
    </row>
    <row r="6" spans="1:12">
      <c r="A6" s="70"/>
      <c r="B6" s="71"/>
      <c r="C6" s="137"/>
      <c r="D6" s="137"/>
      <c r="E6" s="137"/>
      <c r="F6" s="137"/>
      <c r="G6" s="137"/>
      <c r="H6" s="137"/>
      <c r="I6" s="137"/>
      <c r="J6" s="71"/>
      <c r="K6" s="71"/>
    </row>
    <row r="7" spans="1:12" s="75" customFormat="1">
      <c r="A7" s="76" t="s">
        <v>129</v>
      </c>
      <c r="B7" s="72"/>
      <c r="C7" s="172" t="s">
        <v>130</v>
      </c>
      <c r="D7" s="164"/>
      <c r="E7" s="172" t="s">
        <v>131</v>
      </c>
      <c r="F7" s="164"/>
      <c r="G7" s="172" t="s">
        <v>132</v>
      </c>
      <c r="H7" s="164"/>
      <c r="I7" s="172" t="s">
        <v>133</v>
      </c>
      <c r="J7" s="74"/>
      <c r="K7" s="74"/>
    </row>
    <row r="8" spans="1:12" ht="20.100000000000001" customHeight="1">
      <c r="A8" s="70"/>
      <c r="B8" s="71"/>
      <c r="C8" s="622" t="s">
        <v>724</v>
      </c>
      <c r="D8" s="137"/>
      <c r="E8" s="622" t="s">
        <v>724</v>
      </c>
      <c r="F8" s="137"/>
      <c r="G8" s="622" t="s">
        <v>724</v>
      </c>
      <c r="H8" s="137"/>
      <c r="I8" s="622" t="s">
        <v>724</v>
      </c>
      <c r="J8" s="71"/>
      <c r="K8" s="71"/>
    </row>
    <row r="9" spans="1:12" ht="20.100000000000001" customHeight="1">
      <c r="A9" s="436" t="s">
        <v>164</v>
      </c>
      <c r="B9" s="71"/>
      <c r="C9" s="437">
        <v>426836765</v>
      </c>
      <c r="D9" s="137"/>
      <c r="E9" s="437">
        <v>426836765</v>
      </c>
      <c r="F9" s="137"/>
      <c r="G9" s="137">
        <f>IF(C9&gt;E9,C9-E9,0)</f>
        <v>0</v>
      </c>
      <c r="H9" s="437"/>
      <c r="I9" s="166">
        <v>0</v>
      </c>
      <c r="J9" s="71"/>
      <c r="K9" s="71"/>
    </row>
    <row r="10" spans="1:12" ht="20.100000000000001" customHeight="1">
      <c r="A10" s="436" t="s">
        <v>602</v>
      </c>
      <c r="B10" s="71"/>
      <c r="C10" s="437">
        <v>769942277</v>
      </c>
      <c r="D10" s="137"/>
      <c r="E10" s="437">
        <v>769942277</v>
      </c>
      <c r="F10" s="137"/>
      <c r="G10" s="137">
        <f t="shared" ref="G10:G37" si="0">IF(C10&gt;E10,C10-E10,0)</f>
        <v>0</v>
      </c>
      <c r="H10" s="437"/>
      <c r="I10" s="166">
        <v>0</v>
      </c>
      <c r="J10" s="71"/>
      <c r="K10" s="71"/>
    </row>
    <row r="11" spans="1:12" ht="20.100000000000001" customHeight="1">
      <c r="A11" s="436" t="s">
        <v>603</v>
      </c>
      <c r="B11" s="71"/>
      <c r="C11" s="437">
        <v>120559541950</v>
      </c>
      <c r="D11" s="137"/>
      <c r="E11" s="437">
        <v>120559541950</v>
      </c>
      <c r="F11" s="137"/>
      <c r="G11" s="137">
        <f t="shared" si="0"/>
        <v>0</v>
      </c>
      <c r="H11" s="437"/>
      <c r="I11" s="166">
        <v>0</v>
      </c>
      <c r="J11" s="71"/>
      <c r="K11" s="71"/>
    </row>
    <row r="12" spans="1:12" ht="20.100000000000001" customHeight="1">
      <c r="A12" s="436" t="s">
        <v>604</v>
      </c>
      <c r="B12" s="71"/>
      <c r="C12" s="437">
        <v>144350527772</v>
      </c>
      <c r="D12" s="137"/>
      <c r="E12" s="437">
        <v>144350527772</v>
      </c>
      <c r="F12" s="137"/>
      <c r="G12" s="137">
        <f t="shared" si="0"/>
        <v>0</v>
      </c>
      <c r="H12" s="437"/>
      <c r="I12" s="166">
        <f t="shared" ref="I12:I37" si="1">IF(C12&lt;E12,C12-E12,0)</f>
        <v>0</v>
      </c>
      <c r="J12" s="71"/>
      <c r="K12" s="71"/>
    </row>
    <row r="13" spans="1:12" ht="20.100000000000001" customHeight="1">
      <c r="A13" s="436" t="s">
        <v>605</v>
      </c>
      <c r="B13" s="71"/>
      <c r="C13" s="437">
        <v>223178734533</v>
      </c>
      <c r="D13" s="137"/>
      <c r="E13" s="437">
        <v>213178734533</v>
      </c>
      <c r="F13" s="137"/>
      <c r="G13" s="137">
        <f t="shared" si="0"/>
        <v>10000000000</v>
      </c>
      <c r="H13" s="437"/>
      <c r="I13" s="166">
        <f t="shared" si="1"/>
        <v>0</v>
      </c>
      <c r="J13" s="71"/>
      <c r="K13" s="71"/>
    </row>
    <row r="14" spans="1:12" ht="20.100000000000001" customHeight="1">
      <c r="A14" s="436" t="s">
        <v>606</v>
      </c>
      <c r="B14" s="71"/>
      <c r="C14" s="437">
        <v>76125923416</v>
      </c>
      <c r="D14" s="137"/>
      <c r="E14" s="437">
        <v>76125923416</v>
      </c>
      <c r="F14" s="137"/>
      <c r="G14" s="137">
        <f t="shared" si="0"/>
        <v>0</v>
      </c>
      <c r="H14" s="437"/>
      <c r="I14" s="166">
        <f t="shared" si="1"/>
        <v>0</v>
      </c>
      <c r="J14" s="71"/>
      <c r="K14" s="71"/>
    </row>
    <row r="15" spans="1:12" ht="20.100000000000001" customHeight="1">
      <c r="A15" s="436" t="s">
        <v>607</v>
      </c>
      <c r="B15" s="71"/>
      <c r="C15" s="437">
        <v>247590453743</v>
      </c>
      <c r="D15" s="137"/>
      <c r="E15" s="437">
        <v>233218629910</v>
      </c>
      <c r="F15" s="137"/>
      <c r="G15" s="137">
        <f t="shared" si="0"/>
        <v>14371823833</v>
      </c>
      <c r="H15" s="437"/>
      <c r="I15" s="166">
        <f t="shared" si="1"/>
        <v>0</v>
      </c>
      <c r="J15" s="71"/>
      <c r="K15" s="71"/>
    </row>
    <row r="16" spans="1:12" ht="20.100000000000001" customHeight="1">
      <c r="A16" s="436" t="s">
        <v>608</v>
      </c>
      <c r="B16" s="71"/>
      <c r="C16" s="437">
        <v>163919352803</v>
      </c>
      <c r="D16" s="137"/>
      <c r="E16" s="437">
        <v>163919352803</v>
      </c>
      <c r="F16" s="137"/>
      <c r="G16" s="137">
        <f t="shared" si="0"/>
        <v>0</v>
      </c>
      <c r="H16" s="437"/>
      <c r="I16" s="166">
        <f t="shared" si="1"/>
        <v>0</v>
      </c>
      <c r="J16" s="71"/>
      <c r="K16" s="71"/>
    </row>
    <row r="17" spans="1:11" ht="20.100000000000001" customHeight="1">
      <c r="A17" s="436" t="s">
        <v>609</v>
      </c>
      <c r="B17" s="71"/>
      <c r="C17" s="437">
        <v>233133273454</v>
      </c>
      <c r="D17" s="137"/>
      <c r="E17" s="437">
        <v>233521716497</v>
      </c>
      <c r="F17" s="137"/>
      <c r="G17" s="137">
        <f t="shared" si="0"/>
        <v>0</v>
      </c>
      <c r="H17" s="437"/>
      <c r="I17" s="166">
        <f t="shared" si="1"/>
        <v>-388443043</v>
      </c>
      <c r="J17" s="71"/>
      <c r="K17" s="71"/>
    </row>
    <row r="18" spans="1:11" ht="20.100000000000001" customHeight="1">
      <c r="A18" s="436" t="s">
        <v>610</v>
      </c>
      <c r="B18" s="71"/>
      <c r="C18" s="438">
        <v>48798233853</v>
      </c>
      <c r="D18" s="165"/>
      <c r="E18" s="438">
        <v>48798233853</v>
      </c>
      <c r="F18" s="165"/>
      <c r="G18" s="137">
        <f t="shared" si="0"/>
        <v>0</v>
      </c>
      <c r="H18" s="438"/>
      <c r="I18" s="166">
        <f t="shared" si="1"/>
        <v>0</v>
      </c>
      <c r="J18" s="71"/>
      <c r="K18" s="71"/>
    </row>
    <row r="19" spans="1:11" ht="20.100000000000001" customHeight="1">
      <c r="A19" s="436" t="s">
        <v>611</v>
      </c>
      <c r="B19" s="71"/>
      <c r="C19" s="438">
        <v>40588259523</v>
      </c>
      <c r="D19" s="165"/>
      <c r="E19" s="438">
        <v>32479169472</v>
      </c>
      <c r="F19" s="165"/>
      <c r="G19" s="137">
        <f t="shared" si="0"/>
        <v>8109090051</v>
      </c>
      <c r="H19" s="438"/>
      <c r="I19" s="166">
        <f t="shared" si="1"/>
        <v>0</v>
      </c>
      <c r="J19" s="71"/>
      <c r="K19" s="71"/>
    </row>
    <row r="20" spans="1:11" ht="20.100000000000001" customHeight="1">
      <c r="A20" s="436" t="s">
        <v>612</v>
      </c>
      <c r="C20" s="282">
        <v>4800000000</v>
      </c>
      <c r="E20" s="282">
        <v>4800000000</v>
      </c>
      <c r="G20" s="137">
        <f t="shared" si="0"/>
        <v>0</v>
      </c>
      <c r="H20" s="282"/>
      <c r="I20" s="166">
        <f t="shared" si="1"/>
        <v>0</v>
      </c>
    </row>
    <row r="21" spans="1:11" ht="20.100000000000001" customHeight="1">
      <c r="A21" s="436" t="s">
        <v>613</v>
      </c>
      <c r="C21" s="282">
        <v>24418676588</v>
      </c>
      <c r="E21" s="282">
        <v>24350000000</v>
      </c>
      <c r="G21" s="137">
        <f t="shared" si="0"/>
        <v>68676588</v>
      </c>
      <c r="H21" s="282"/>
      <c r="I21" s="166">
        <f t="shared" si="1"/>
        <v>0</v>
      </c>
    </row>
    <row r="22" spans="1:11" ht="20.100000000000001" customHeight="1">
      <c r="A22" s="436" t="s">
        <v>597</v>
      </c>
      <c r="C22" s="282">
        <v>140000000110</v>
      </c>
      <c r="E22" s="282">
        <v>131048403503</v>
      </c>
      <c r="G22" s="137">
        <f t="shared" si="0"/>
        <v>8951596607</v>
      </c>
      <c r="H22" s="282"/>
      <c r="I22" s="166">
        <f t="shared" si="1"/>
        <v>0</v>
      </c>
    </row>
    <row r="23" spans="1:11" ht="20.100000000000001" customHeight="1">
      <c r="A23" s="436" t="s">
        <v>614</v>
      </c>
      <c r="C23" s="282">
        <v>11142436776</v>
      </c>
      <c r="E23" s="282">
        <v>11142436776</v>
      </c>
      <c r="G23" s="137">
        <f t="shared" si="0"/>
        <v>0</v>
      </c>
      <c r="H23" s="282"/>
      <c r="I23" s="166">
        <f t="shared" si="1"/>
        <v>0</v>
      </c>
    </row>
    <row r="24" spans="1:11" ht="20.100000000000001" customHeight="1">
      <c r="A24" s="436" t="s">
        <v>615</v>
      </c>
      <c r="C24" s="282">
        <v>31500000000</v>
      </c>
      <c r="E24" s="282">
        <v>30031973091</v>
      </c>
      <c r="G24" s="137">
        <f t="shared" si="0"/>
        <v>1468026909</v>
      </c>
      <c r="H24" s="282"/>
      <c r="I24" s="166">
        <f t="shared" si="1"/>
        <v>0</v>
      </c>
    </row>
    <row r="25" spans="1:11" ht="20.100000000000001" customHeight="1">
      <c r="A25" s="436" t="s">
        <v>616</v>
      </c>
      <c r="C25" s="439">
        <v>47263677667</v>
      </c>
      <c r="E25" s="439">
        <v>47571720876</v>
      </c>
      <c r="G25" s="137">
        <f t="shared" si="0"/>
        <v>0</v>
      </c>
      <c r="H25" s="439"/>
      <c r="I25" s="166">
        <f t="shared" si="1"/>
        <v>-308043209</v>
      </c>
    </row>
    <row r="26" spans="1:11" ht="20.100000000000001" customHeight="1">
      <c r="A26" s="436" t="s">
        <v>617</v>
      </c>
      <c r="C26" s="282">
        <v>314768179882</v>
      </c>
      <c r="E26" s="282">
        <v>391803620671</v>
      </c>
      <c r="G26" s="137">
        <f t="shared" si="0"/>
        <v>0</v>
      </c>
      <c r="H26" s="282"/>
      <c r="I26" s="166">
        <f t="shared" si="1"/>
        <v>-77035440789</v>
      </c>
    </row>
    <row r="27" spans="1:11" ht="20.100000000000001" customHeight="1">
      <c r="A27" s="436" t="s">
        <v>618</v>
      </c>
      <c r="C27" s="282">
        <v>5795010276</v>
      </c>
      <c r="E27" s="282">
        <v>5795010276</v>
      </c>
      <c r="G27" s="137">
        <f t="shared" si="0"/>
        <v>0</v>
      </c>
      <c r="H27" s="282"/>
      <c r="I27" s="166">
        <f t="shared" si="1"/>
        <v>0</v>
      </c>
    </row>
    <row r="28" spans="1:11" ht="20.100000000000001" customHeight="1">
      <c r="A28" s="436" t="s">
        <v>619</v>
      </c>
      <c r="C28" s="282">
        <v>92898470929</v>
      </c>
      <c r="E28" s="282">
        <v>99916880314</v>
      </c>
      <c r="G28" s="137">
        <f t="shared" si="0"/>
        <v>0</v>
      </c>
      <c r="H28" s="282"/>
      <c r="I28" s="166">
        <f t="shared" si="1"/>
        <v>-7018409385</v>
      </c>
    </row>
    <row r="29" spans="1:11" ht="20.100000000000001" customHeight="1">
      <c r="A29" s="436" t="s">
        <v>620</v>
      </c>
      <c r="C29" s="282">
        <v>19975098409</v>
      </c>
      <c r="E29" s="282">
        <v>20563740214</v>
      </c>
      <c r="G29" s="137">
        <f t="shared" si="0"/>
        <v>0</v>
      </c>
      <c r="H29" s="282"/>
      <c r="I29" s="166">
        <f t="shared" si="1"/>
        <v>-588641805</v>
      </c>
    </row>
    <row r="30" spans="1:11" ht="20.100000000000001" customHeight="1">
      <c r="A30" s="436" t="s">
        <v>621</v>
      </c>
      <c r="C30" s="282">
        <v>18818964068</v>
      </c>
      <c r="E30" s="282">
        <v>19725345521</v>
      </c>
      <c r="G30" s="137">
        <f t="shared" si="0"/>
        <v>0</v>
      </c>
      <c r="H30" s="282"/>
      <c r="I30" s="166">
        <f t="shared" si="1"/>
        <v>-906381453</v>
      </c>
    </row>
    <row r="31" spans="1:11" ht="20.100000000000001" customHeight="1">
      <c r="A31" s="436" t="s">
        <v>622</v>
      </c>
      <c r="C31" s="282">
        <v>37233714570</v>
      </c>
      <c r="E31" s="282">
        <v>32214031427</v>
      </c>
      <c r="G31" s="137">
        <f t="shared" si="0"/>
        <v>5019683143</v>
      </c>
      <c r="H31" s="282"/>
      <c r="I31" s="166">
        <f t="shared" si="1"/>
        <v>0</v>
      </c>
    </row>
    <row r="32" spans="1:11" ht="10.5" customHeight="1">
      <c r="A32" s="436" t="s">
        <v>623</v>
      </c>
      <c r="C32" s="282">
        <v>1960639819</v>
      </c>
      <c r="E32" s="282">
        <v>3496849330</v>
      </c>
      <c r="G32" s="137">
        <f t="shared" si="0"/>
        <v>0</v>
      </c>
      <c r="H32" s="282"/>
      <c r="I32" s="166">
        <f t="shared" si="1"/>
        <v>-1536209511</v>
      </c>
    </row>
    <row r="33" spans="1:9" ht="20.100000000000001" customHeight="1">
      <c r="A33" s="436" t="s">
        <v>624</v>
      </c>
      <c r="C33" s="282">
        <v>23658517386</v>
      </c>
      <c r="E33" s="282">
        <v>33167514037</v>
      </c>
      <c r="G33" s="137">
        <f t="shared" si="0"/>
        <v>0</v>
      </c>
      <c r="H33" s="282"/>
      <c r="I33" s="166">
        <f t="shared" si="1"/>
        <v>-9508996651</v>
      </c>
    </row>
    <row r="34" spans="1:9" ht="20.100000000000001" customHeight="1">
      <c r="A34" s="436" t="s">
        <v>625</v>
      </c>
      <c r="C34" s="282">
        <v>7519255222</v>
      </c>
      <c r="E34" s="282">
        <v>10170000000</v>
      </c>
      <c r="G34" s="137">
        <f t="shared" si="0"/>
        <v>0</v>
      </c>
      <c r="H34" s="282"/>
      <c r="I34" s="166">
        <f t="shared" si="1"/>
        <v>-2650744778</v>
      </c>
    </row>
    <row r="35" spans="1:9" ht="20.100000000000001" customHeight="1">
      <c r="A35" s="436" t="s">
        <v>626</v>
      </c>
      <c r="C35" s="282">
        <v>2500000000</v>
      </c>
      <c r="E35" s="282">
        <v>2250000000</v>
      </c>
      <c r="G35" s="137">
        <f t="shared" si="0"/>
        <v>250000000</v>
      </c>
      <c r="H35" s="282"/>
      <c r="I35" s="166">
        <f t="shared" si="1"/>
        <v>0</v>
      </c>
    </row>
    <row r="36" spans="1:9" ht="20.100000000000001" customHeight="1">
      <c r="A36" s="436" t="s">
        <v>627</v>
      </c>
      <c r="C36" s="282">
        <v>9591873710</v>
      </c>
      <c r="E36" s="282">
        <v>11414471236</v>
      </c>
      <c r="G36" s="137">
        <f t="shared" si="0"/>
        <v>0</v>
      </c>
      <c r="H36" s="282"/>
      <c r="I36" s="166">
        <f t="shared" si="1"/>
        <v>-1822597526</v>
      </c>
    </row>
    <row r="37" spans="1:9" ht="20.100000000000001" customHeight="1">
      <c r="A37" s="436" t="s">
        <v>764</v>
      </c>
      <c r="C37" s="282">
        <v>50000000000</v>
      </c>
      <c r="E37" s="282">
        <v>50000000000</v>
      </c>
      <c r="G37" s="137">
        <f t="shared" si="0"/>
        <v>0</v>
      </c>
      <c r="H37" s="282"/>
      <c r="I37" s="166">
        <f t="shared" si="1"/>
        <v>0</v>
      </c>
    </row>
    <row r="38" spans="1:9" ht="20.100000000000001" customHeight="1" thickBot="1">
      <c r="C38" s="167">
        <f>SUM(C9:C37)</f>
        <v>2143285595501</v>
      </c>
      <c r="E38" s="167">
        <f>SUM(E9:E37)</f>
        <v>2196810606520</v>
      </c>
      <c r="G38" s="167">
        <f>SUM(G9:G37)</f>
        <v>48238897131</v>
      </c>
      <c r="I38" s="485">
        <f>SUM(I9:I36)</f>
        <v>-101763908150</v>
      </c>
    </row>
    <row r="39" spans="1:9" ht="20.100000000000001" customHeight="1" thickTop="1"/>
    <row r="40" spans="1:9" ht="20.100000000000001" customHeight="1"/>
    <row r="41" spans="1:9" ht="20.100000000000001" customHeight="1"/>
    <row r="42" spans="1:9" ht="20.100000000000001" customHeight="1"/>
    <row r="43" spans="1:9" ht="20.100000000000001" customHeight="1"/>
    <row r="44" spans="1:9" ht="20.100000000000001" customHeight="1"/>
    <row r="45" spans="1:9" ht="20.100000000000001" customHeight="1"/>
    <row r="67" spans="11:11">
      <c r="K67" s="69" t="s">
        <v>71</v>
      </c>
    </row>
  </sheetData>
  <mergeCells count="3">
    <mergeCell ref="A1:I1"/>
    <mergeCell ref="A2:I2"/>
    <mergeCell ref="A3:I3"/>
  </mergeCells>
  <pageMargins left="0" right="0" top="0.31" bottom="0.15748031496062992" header="0.32" footer="0.31496062992125984"/>
  <pageSetup paperSize="9" scale="96" orientation="portrait" horizontalDpi="300" verticalDpi="300" r:id="rId1"/>
  <headerFooter>
    <oddFooter>&amp;C&amp;"B Mitra,Bold"&amp;14 14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2"/>
  <sheetViews>
    <sheetView rightToLeft="1" workbookViewId="0">
      <selection activeCell="A3" sqref="A3:H3"/>
    </sheetView>
  </sheetViews>
  <sheetFormatPr defaultColWidth="9" defaultRowHeight="15"/>
  <cols>
    <col min="1" max="1" width="6" style="64" customWidth="1"/>
    <col min="2" max="2" width="25.42578125" style="55" customWidth="1"/>
    <col min="3" max="8" width="14.5703125" style="251" customWidth="1"/>
    <col min="9" max="16384" width="9" style="55"/>
  </cols>
  <sheetData>
    <row r="1" spans="1:10" ht="23.25" customHeight="1">
      <c r="A1" s="703" t="s">
        <v>127</v>
      </c>
      <c r="B1" s="703"/>
      <c r="C1" s="703"/>
      <c r="D1" s="703"/>
      <c r="E1" s="703"/>
      <c r="F1" s="703"/>
      <c r="G1" s="703"/>
      <c r="H1" s="703"/>
      <c r="I1" s="62"/>
      <c r="J1" s="62"/>
    </row>
    <row r="2" spans="1:10" ht="23.25" customHeight="1">
      <c r="A2" s="703" t="s">
        <v>0</v>
      </c>
      <c r="B2" s="703"/>
      <c r="C2" s="703"/>
      <c r="D2" s="703"/>
      <c r="E2" s="703"/>
      <c r="F2" s="703"/>
      <c r="G2" s="703"/>
      <c r="H2" s="703"/>
      <c r="I2" s="62"/>
      <c r="J2" s="62"/>
    </row>
    <row r="3" spans="1:10" ht="23.25" customHeight="1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</row>
    <row r="4" spans="1:10" ht="30.75" customHeight="1">
      <c r="A4" s="405"/>
      <c r="B4" s="405"/>
      <c r="C4" s="405"/>
      <c r="D4" s="405"/>
      <c r="E4" s="405"/>
      <c r="F4" s="405"/>
      <c r="G4" s="405"/>
      <c r="H4" s="405"/>
      <c r="I4" s="62"/>
      <c r="J4" s="62"/>
    </row>
    <row r="5" spans="1:10" s="69" customFormat="1" ht="21" customHeight="1">
      <c r="A5" s="733" t="s">
        <v>869</v>
      </c>
      <c r="B5" s="733"/>
      <c r="C5" s="733"/>
      <c r="D5" s="733"/>
      <c r="E5" s="255"/>
      <c r="F5" s="255"/>
      <c r="G5" s="255"/>
      <c r="H5" s="255"/>
    </row>
    <row r="6" spans="1:10" s="69" customFormat="1" ht="17.25">
      <c r="A6" s="133"/>
      <c r="C6" s="255"/>
      <c r="D6" s="255"/>
      <c r="E6" s="255"/>
      <c r="F6" s="255"/>
      <c r="G6" s="255"/>
      <c r="H6" s="255"/>
    </row>
    <row r="7" spans="1:10" s="420" customFormat="1" ht="22.5" customHeight="1">
      <c r="A7" s="734" t="s">
        <v>137</v>
      </c>
      <c r="B7" s="734"/>
      <c r="C7" s="734" t="s">
        <v>774</v>
      </c>
      <c r="D7" s="734"/>
      <c r="E7" s="734"/>
      <c r="F7" s="734"/>
      <c r="G7" s="738" t="s">
        <v>25</v>
      </c>
      <c r="H7" s="738"/>
      <c r="I7" s="440"/>
    </row>
    <row r="8" spans="1:10" s="69" customFormat="1" ht="17.25">
      <c r="A8" s="734"/>
      <c r="B8" s="734"/>
      <c r="C8" s="740" t="s">
        <v>673</v>
      </c>
      <c r="D8" s="742" t="s">
        <v>139</v>
      </c>
      <c r="E8" s="740" t="s">
        <v>674</v>
      </c>
      <c r="F8" s="742" t="s">
        <v>140</v>
      </c>
      <c r="G8" s="254" t="s">
        <v>141</v>
      </c>
      <c r="H8" s="254" t="s">
        <v>142</v>
      </c>
    </row>
    <row r="9" spans="1:10" s="69" customFormat="1" ht="18">
      <c r="A9" s="734"/>
      <c r="B9" s="734"/>
      <c r="C9" s="741"/>
      <c r="D9" s="743"/>
      <c r="E9" s="741"/>
      <c r="F9" s="743"/>
      <c r="G9" s="78" t="s">
        <v>514</v>
      </c>
      <c r="H9" s="78" t="s">
        <v>724</v>
      </c>
    </row>
    <row r="10" spans="1:10" s="69" customFormat="1" ht="22.5" customHeight="1">
      <c r="A10" s="736" t="s">
        <v>143</v>
      </c>
      <c r="B10" s="737"/>
      <c r="C10" s="281">
        <v>86129800</v>
      </c>
      <c r="D10" s="281">
        <v>-43422427</v>
      </c>
      <c r="E10" s="281">
        <v>42707373</v>
      </c>
      <c r="F10" s="281">
        <v>0</v>
      </c>
      <c r="G10" s="281">
        <v>1551243893</v>
      </c>
      <c r="H10" s="281">
        <v>0</v>
      </c>
    </row>
    <row r="11" spans="1:10" s="69" customFormat="1" ht="22.5" customHeight="1">
      <c r="A11" s="736" t="s">
        <v>144</v>
      </c>
      <c r="B11" s="737"/>
      <c r="C11" s="281">
        <v>237884563</v>
      </c>
      <c r="D11" s="281">
        <v>0</v>
      </c>
      <c r="E11" s="281">
        <v>237884563</v>
      </c>
      <c r="F11" s="281">
        <v>1855000</v>
      </c>
      <c r="G11" s="281">
        <v>239739563</v>
      </c>
      <c r="H11" s="281">
        <v>0</v>
      </c>
    </row>
    <row r="12" spans="1:10" s="69" customFormat="1" ht="22.5" customHeight="1">
      <c r="A12" s="736" t="s">
        <v>145</v>
      </c>
      <c r="B12" s="737"/>
      <c r="C12" s="281">
        <v>1095491800</v>
      </c>
      <c r="D12" s="281">
        <v>-824342138</v>
      </c>
      <c r="E12" s="281">
        <v>271149662</v>
      </c>
      <c r="F12" s="281">
        <v>0</v>
      </c>
      <c r="G12" s="281">
        <v>0</v>
      </c>
      <c r="H12" s="281">
        <v>1873955013</v>
      </c>
    </row>
    <row r="13" spans="1:10" s="69" customFormat="1" ht="22.5" customHeight="1">
      <c r="A13" s="736" t="s">
        <v>146</v>
      </c>
      <c r="B13" s="737"/>
      <c r="C13" s="281">
        <v>14416667</v>
      </c>
      <c r="D13" s="281">
        <v>-9025882</v>
      </c>
      <c r="E13" s="281">
        <v>5390785</v>
      </c>
      <c r="F13" s="281">
        <v>2020000</v>
      </c>
      <c r="G13" s="281">
        <v>0</v>
      </c>
      <c r="H13" s="281">
        <v>286450583</v>
      </c>
    </row>
    <row r="14" spans="1:10" s="69" customFormat="1" ht="22.5" customHeight="1">
      <c r="A14" s="736" t="s">
        <v>147</v>
      </c>
      <c r="B14" s="737"/>
      <c r="C14" s="281">
        <v>111162300</v>
      </c>
      <c r="D14" s="281">
        <v>-91826098</v>
      </c>
      <c r="E14" s="281">
        <v>19336202</v>
      </c>
      <c r="F14" s="281">
        <v>8280000</v>
      </c>
      <c r="G14" s="281">
        <v>785350361</v>
      </c>
      <c r="H14" s="281">
        <v>0</v>
      </c>
    </row>
    <row r="15" spans="1:10" s="69" customFormat="1" ht="22.5" customHeight="1">
      <c r="A15" s="736" t="s">
        <v>148</v>
      </c>
      <c r="B15" s="737"/>
      <c r="C15" s="281">
        <f>SUM(C10:C14)</f>
        <v>1545085130</v>
      </c>
      <c r="D15" s="281">
        <f t="shared" ref="D15:F15" si="0">SUM(D10:D14)</f>
        <v>-968616545</v>
      </c>
      <c r="E15" s="281">
        <f t="shared" si="0"/>
        <v>576468585</v>
      </c>
      <c r="F15" s="281">
        <f t="shared" si="0"/>
        <v>12155000</v>
      </c>
      <c r="G15" s="281">
        <f>SUM(G10:G14)</f>
        <v>2576333817</v>
      </c>
      <c r="H15" s="281">
        <f>SUM(H10:H14)</f>
        <v>2160405596</v>
      </c>
    </row>
    <row r="16" spans="1:10" s="69" customFormat="1" ht="38.25" customHeight="1">
      <c r="A16" s="133"/>
      <c r="C16" s="255"/>
      <c r="D16" s="255"/>
      <c r="E16" s="255"/>
      <c r="F16" s="255"/>
      <c r="G16" s="255"/>
      <c r="H16" s="255"/>
    </row>
    <row r="17" spans="1:12" s="69" customFormat="1" ht="17.25">
      <c r="A17" s="211"/>
      <c r="B17" s="720" t="s">
        <v>870</v>
      </c>
      <c r="C17" s="720"/>
      <c r="D17" s="720"/>
      <c r="E17" s="720"/>
      <c r="F17" s="720"/>
      <c r="G17" s="255"/>
      <c r="H17" s="255"/>
    </row>
    <row r="18" spans="1:12" s="69" customFormat="1" ht="24" customHeight="1">
      <c r="A18" s="133"/>
      <c r="C18" s="255"/>
      <c r="D18" s="255"/>
      <c r="E18" s="255"/>
      <c r="F18" s="255"/>
      <c r="G18" s="255"/>
      <c r="H18" s="255"/>
    </row>
    <row r="19" spans="1:12" s="69" customFormat="1" ht="14.25" customHeight="1">
      <c r="A19" s="133"/>
      <c r="B19" s="735" t="s">
        <v>1001</v>
      </c>
      <c r="C19" s="735"/>
      <c r="D19" s="735"/>
      <c r="E19" s="735"/>
      <c r="F19" s="735"/>
      <c r="G19" s="735"/>
      <c r="H19" s="735"/>
      <c r="I19" s="735"/>
      <c r="J19" s="735"/>
      <c r="K19" s="210"/>
      <c r="L19" s="210"/>
    </row>
    <row r="20" spans="1:12" s="69" customFormat="1" ht="17.25">
      <c r="B20" s="744" t="s">
        <v>1000</v>
      </c>
      <c r="C20" s="744"/>
      <c r="D20" s="744"/>
      <c r="E20" s="744"/>
      <c r="F20" s="744"/>
      <c r="G20" s="744"/>
      <c r="H20" s="744"/>
      <c r="I20" s="210"/>
      <c r="J20" s="210"/>
      <c r="K20" s="210"/>
      <c r="L20" s="210"/>
    </row>
    <row r="21" spans="1:12" s="69" customFormat="1" ht="24" customHeight="1">
      <c r="A21" s="133"/>
      <c r="C21" s="255"/>
      <c r="D21" s="255"/>
      <c r="E21" s="255"/>
      <c r="F21" s="255"/>
      <c r="G21" s="255"/>
      <c r="H21" s="255"/>
    </row>
    <row r="22" spans="1:12" s="69" customFormat="1" ht="17.25">
      <c r="A22" s="133"/>
      <c r="B22" s="420" t="s">
        <v>872</v>
      </c>
      <c r="C22" s="420"/>
      <c r="D22" s="420"/>
      <c r="E22" s="420"/>
      <c r="F22" s="420"/>
      <c r="G22" s="420"/>
      <c r="H22" s="625"/>
    </row>
    <row r="23" spans="1:12" s="69" customFormat="1" ht="24" customHeight="1">
      <c r="A23" s="133"/>
      <c r="C23" s="255"/>
      <c r="D23" s="255"/>
      <c r="E23" s="255"/>
      <c r="F23" s="255"/>
      <c r="G23" s="255"/>
      <c r="H23" s="255"/>
    </row>
    <row r="24" spans="1:12" s="69" customFormat="1" ht="17.25">
      <c r="A24" s="133"/>
      <c r="B24" s="739" t="s">
        <v>871</v>
      </c>
      <c r="C24" s="739"/>
      <c r="D24" s="739"/>
      <c r="E24" s="739"/>
      <c r="F24" s="739"/>
      <c r="G24" s="739"/>
      <c r="H24" s="255"/>
    </row>
    <row r="25" spans="1:12" s="69" customFormat="1" ht="17.25">
      <c r="A25" s="133"/>
      <c r="C25" s="255"/>
      <c r="D25" s="255"/>
      <c r="E25" s="255"/>
      <c r="F25" s="255"/>
      <c r="G25" s="255"/>
      <c r="H25" s="255"/>
    </row>
    <row r="26" spans="1:12" s="69" customFormat="1" ht="17.25">
      <c r="A26" s="133"/>
      <c r="C26" s="255"/>
      <c r="D26" s="255"/>
      <c r="E26" s="255"/>
      <c r="F26" s="255"/>
      <c r="G26" s="255"/>
      <c r="H26" s="255"/>
    </row>
    <row r="32" spans="1:12" ht="10.5" customHeight="1"/>
  </sheetData>
  <mergeCells count="21">
    <mergeCell ref="B24:G24"/>
    <mergeCell ref="E8:E9"/>
    <mergeCell ref="F8:F9"/>
    <mergeCell ref="D8:D9"/>
    <mergeCell ref="B17:F17"/>
    <mergeCell ref="C8:C9"/>
    <mergeCell ref="B20:H20"/>
    <mergeCell ref="A5:D5"/>
    <mergeCell ref="A2:H2"/>
    <mergeCell ref="A1:H1"/>
    <mergeCell ref="A7:B9"/>
    <mergeCell ref="B19:J19"/>
    <mergeCell ref="C7:F7"/>
    <mergeCell ref="A10:B10"/>
    <mergeCell ref="A11:B11"/>
    <mergeCell ref="A12:B12"/>
    <mergeCell ref="A13:B13"/>
    <mergeCell ref="A14:B14"/>
    <mergeCell ref="A15:B15"/>
    <mergeCell ref="A3:H3"/>
    <mergeCell ref="G7:H7"/>
  </mergeCells>
  <pageMargins left="0.15748031496062992" right="0.15748031496062992" top="0.15748031496062992" bottom="0.15748031496062992" header="0.23" footer="0.31496062992125984"/>
  <pageSetup paperSize="9" orientation="landscape" horizontalDpi="300" verticalDpi="300" r:id="rId1"/>
  <headerFooter>
    <oddFooter>&amp;C&amp;"B Mitra,Bold"&amp;14 15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6"/>
  <sheetViews>
    <sheetView rightToLeft="1" workbookViewId="0">
      <selection activeCell="M7" sqref="M7"/>
    </sheetView>
  </sheetViews>
  <sheetFormatPr defaultColWidth="9" defaultRowHeight="15"/>
  <cols>
    <col min="1" max="1" width="24.28515625" style="80" bestFit="1" customWidth="1"/>
    <col min="2" max="2" width="2.140625" style="55" customWidth="1"/>
    <col min="3" max="3" width="10" style="268" customWidth="1"/>
    <col min="4" max="4" width="2.140625" style="51" customWidth="1"/>
    <col min="5" max="5" width="14" style="125" bestFit="1" customWidth="1"/>
    <col min="6" max="6" width="2.140625" style="125" customWidth="1"/>
    <col min="7" max="7" width="12" style="125" bestFit="1" customWidth="1"/>
    <col min="8" max="8" width="2.140625" style="125" customWidth="1"/>
    <col min="9" max="9" width="14" style="252" bestFit="1" customWidth="1"/>
    <col min="10" max="10" width="3" style="252" customWidth="1"/>
    <col min="11" max="11" width="14" style="252" customWidth="1"/>
    <col min="12" max="16384" width="9" style="55"/>
  </cols>
  <sheetData>
    <row r="1" spans="1:14" ht="22.5">
      <c r="A1" s="703" t="s">
        <v>127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9"/>
    </row>
    <row r="2" spans="1:14" ht="22.5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9"/>
    </row>
    <row r="3" spans="1:14" ht="22.5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9"/>
    </row>
    <row r="4" spans="1:14" ht="23.25" customHeight="1"/>
    <row r="5" spans="1:14" s="69" customFormat="1" ht="22.5">
      <c r="A5" s="748" t="s">
        <v>873</v>
      </c>
      <c r="B5" s="748"/>
      <c r="C5" s="748"/>
      <c r="D5" s="109"/>
      <c r="E5" s="122"/>
      <c r="F5" s="122"/>
      <c r="G5" s="122"/>
      <c r="H5" s="122"/>
      <c r="I5" s="122"/>
      <c r="J5" s="122"/>
      <c r="K5" s="122"/>
    </row>
    <row r="6" spans="1:14" s="69" customFormat="1" ht="24" customHeight="1">
      <c r="A6" s="746" t="s">
        <v>874</v>
      </c>
      <c r="B6" s="746"/>
      <c r="C6" s="746"/>
      <c r="D6" s="414"/>
      <c r="E6" s="410"/>
      <c r="F6" s="410"/>
      <c r="G6" s="410"/>
      <c r="H6" s="410"/>
      <c r="I6" s="410"/>
      <c r="J6" s="410"/>
      <c r="K6" s="410"/>
      <c r="N6" s="168"/>
    </row>
    <row r="7" spans="1:14" s="69" customFormat="1" ht="9.75" customHeight="1">
      <c r="A7" s="136"/>
      <c r="C7" s="211"/>
      <c r="D7" s="109"/>
      <c r="E7" s="122"/>
      <c r="F7" s="122"/>
      <c r="G7" s="122"/>
      <c r="H7" s="122"/>
      <c r="I7" s="122"/>
      <c r="J7" s="122"/>
      <c r="K7" s="122"/>
    </row>
    <row r="8" spans="1:14" s="69" customFormat="1" ht="18">
      <c r="A8" s="136"/>
      <c r="C8" s="348" t="s">
        <v>149</v>
      </c>
      <c r="D8" s="109"/>
      <c r="E8" s="749" t="s">
        <v>721</v>
      </c>
      <c r="F8" s="749"/>
      <c r="G8" s="749"/>
      <c r="H8" s="749"/>
      <c r="I8" s="749"/>
      <c r="J8" s="122"/>
      <c r="K8" s="253" t="s">
        <v>25</v>
      </c>
      <c r="L8" s="745"/>
      <c r="M8" s="745"/>
    </row>
    <row r="9" spans="1:14" s="69" customFormat="1" ht="17.25">
      <c r="A9" s="136"/>
      <c r="C9" s="211"/>
      <c r="D9" s="109"/>
      <c r="E9" s="147" t="s">
        <v>150</v>
      </c>
      <c r="F9" s="122"/>
      <c r="G9" s="147" t="s">
        <v>151</v>
      </c>
      <c r="H9" s="122"/>
      <c r="I9" s="256" t="s">
        <v>122</v>
      </c>
      <c r="J9" s="122"/>
      <c r="K9" s="256" t="s">
        <v>122</v>
      </c>
    </row>
    <row r="10" spans="1:14" s="69" customFormat="1" ht="18">
      <c r="A10" s="136"/>
      <c r="C10" s="211"/>
      <c r="D10" s="109"/>
      <c r="E10" s="622" t="s">
        <v>724</v>
      </c>
      <c r="F10" s="122"/>
      <c r="G10" s="622" t="s">
        <v>724</v>
      </c>
      <c r="H10" s="122"/>
      <c r="I10" s="622" t="s">
        <v>724</v>
      </c>
      <c r="J10" s="122"/>
      <c r="K10" s="622" t="s">
        <v>724</v>
      </c>
    </row>
    <row r="11" spans="1:14" s="69" customFormat="1" ht="21" customHeight="1">
      <c r="A11" s="136" t="s">
        <v>152</v>
      </c>
      <c r="C11" s="211"/>
      <c r="D11" s="109"/>
      <c r="E11" s="122">
        <v>2988000</v>
      </c>
      <c r="F11" s="122"/>
      <c r="G11" s="122"/>
      <c r="H11" s="122"/>
      <c r="I11" s="122">
        <f>SUM(E11:G11)</f>
        <v>2988000</v>
      </c>
      <c r="J11" s="122"/>
      <c r="K11" s="122">
        <v>55546181</v>
      </c>
    </row>
    <row r="12" spans="1:14" s="69" customFormat="1" ht="21" customHeight="1">
      <c r="A12" s="136" t="s">
        <v>153</v>
      </c>
      <c r="C12" s="211" t="s">
        <v>790</v>
      </c>
      <c r="D12" s="109"/>
      <c r="E12" s="122">
        <f>I30</f>
        <v>33622599984</v>
      </c>
      <c r="F12" s="122"/>
      <c r="G12" s="122"/>
      <c r="H12" s="122"/>
      <c r="I12" s="122">
        <f t="shared" ref="I12:I13" si="0">SUM(E12:G12)</f>
        <v>33622599984</v>
      </c>
      <c r="J12" s="122"/>
      <c r="K12" s="122">
        <f>K30</f>
        <v>14650095538</v>
      </c>
    </row>
    <row r="13" spans="1:14" s="69" customFormat="1" ht="21" customHeight="1">
      <c r="A13" s="136" t="s">
        <v>154</v>
      </c>
      <c r="C13" s="211"/>
      <c r="D13" s="109"/>
      <c r="E13" s="122">
        <v>1018806034</v>
      </c>
      <c r="F13" s="122"/>
      <c r="G13" s="122"/>
      <c r="H13" s="122"/>
      <c r="I13" s="122">
        <f t="shared" si="0"/>
        <v>1018806034</v>
      </c>
      <c r="J13" s="122"/>
      <c r="K13" s="122">
        <v>894231084</v>
      </c>
      <c r="N13" s="168"/>
    </row>
    <row r="14" spans="1:14" s="69" customFormat="1" ht="21" customHeight="1">
      <c r="A14" s="136" t="s">
        <v>155</v>
      </c>
      <c r="C14" s="211" t="s">
        <v>789</v>
      </c>
      <c r="D14" s="109"/>
      <c r="E14" s="122">
        <f>'17'!E57</f>
        <v>200763178451</v>
      </c>
      <c r="F14" s="122"/>
      <c r="G14" s="122">
        <f>'17'!G57</f>
        <v>-5391264400</v>
      </c>
      <c r="H14" s="122"/>
      <c r="I14" s="122">
        <f>'17'!I57</f>
        <v>195371914051</v>
      </c>
      <c r="J14" s="122"/>
      <c r="K14" s="122">
        <f>'17'!K57</f>
        <v>122792888965</v>
      </c>
    </row>
    <row r="15" spans="1:14" s="69" customFormat="1" ht="18" thickBot="1">
      <c r="A15" s="136"/>
      <c r="C15" s="211"/>
      <c r="D15" s="109"/>
      <c r="E15" s="132">
        <f>SUM(E11:E14)</f>
        <v>235407572469</v>
      </c>
      <c r="F15" s="122"/>
      <c r="G15" s="132">
        <f>SUM(G11:G14)</f>
        <v>-5391264400</v>
      </c>
      <c r="H15" s="122"/>
      <c r="I15" s="132">
        <f>SUM(I11:I14)</f>
        <v>230016308069</v>
      </c>
      <c r="J15" s="122"/>
      <c r="K15" s="132">
        <f>SUM(K11:K14)</f>
        <v>138392761768</v>
      </c>
    </row>
    <row r="16" spans="1:14" s="69" customFormat="1" ht="50.25" customHeight="1" thickTop="1">
      <c r="A16" s="136"/>
      <c r="C16" s="211"/>
      <c r="D16" s="109"/>
      <c r="E16" s="122"/>
      <c r="F16" s="122"/>
      <c r="G16" s="122"/>
      <c r="H16" s="122"/>
      <c r="I16" s="122"/>
      <c r="J16" s="122"/>
      <c r="K16" s="122"/>
    </row>
    <row r="17" spans="1:13" s="69" customFormat="1" ht="18.75">
      <c r="A17" s="747" t="s">
        <v>875</v>
      </c>
      <c r="B17" s="747"/>
      <c r="C17" s="747"/>
      <c r="D17" s="747"/>
      <c r="E17" s="747"/>
      <c r="F17" s="747"/>
      <c r="G17" s="122"/>
      <c r="H17" s="122"/>
      <c r="I17" s="122"/>
      <c r="J17" s="122"/>
      <c r="K17" s="122"/>
    </row>
    <row r="18" spans="1:13" s="69" customFormat="1" ht="9" customHeight="1">
      <c r="A18" s="136"/>
      <c r="C18" s="211"/>
      <c r="D18" s="109"/>
      <c r="E18" s="122"/>
      <c r="F18" s="122"/>
      <c r="G18" s="122"/>
      <c r="H18" s="122"/>
      <c r="I18" s="122"/>
      <c r="J18" s="122"/>
      <c r="K18" s="122"/>
    </row>
    <row r="19" spans="1:13" s="69" customFormat="1" ht="17.25">
      <c r="A19" s="136"/>
      <c r="C19" s="349"/>
      <c r="D19" s="109"/>
      <c r="E19" s="122"/>
      <c r="F19" s="122"/>
      <c r="G19" s="122"/>
      <c r="H19" s="122"/>
      <c r="I19" s="409" t="s">
        <v>721</v>
      </c>
      <c r="J19" s="81"/>
      <c r="K19" s="253" t="s">
        <v>25</v>
      </c>
      <c r="L19" s="259"/>
      <c r="M19" s="259"/>
    </row>
    <row r="20" spans="1:13" s="69" customFormat="1" ht="18">
      <c r="A20" s="136"/>
      <c r="C20" s="350"/>
      <c r="D20" s="109"/>
      <c r="E20" s="122"/>
      <c r="F20" s="122"/>
      <c r="G20" s="67"/>
      <c r="H20" s="122"/>
      <c r="I20" s="622" t="s">
        <v>724</v>
      </c>
      <c r="J20" s="122"/>
      <c r="K20" s="622" t="s">
        <v>724</v>
      </c>
    </row>
    <row r="21" spans="1:13" s="69" customFormat="1" ht="21" customHeight="1">
      <c r="A21" s="136" t="s">
        <v>156</v>
      </c>
      <c r="C21" s="211" t="s">
        <v>994</v>
      </c>
      <c r="D21" s="109"/>
      <c r="E21" s="122"/>
      <c r="F21" s="122"/>
      <c r="G21" s="122"/>
      <c r="H21" s="122"/>
      <c r="I21" s="122">
        <v>1182502583</v>
      </c>
      <c r="J21" s="122"/>
      <c r="K21" s="290">
        <v>6919778906</v>
      </c>
    </row>
    <row r="22" spans="1:13" s="69" customFormat="1" ht="21" customHeight="1">
      <c r="A22" s="136" t="s">
        <v>157</v>
      </c>
      <c r="C22" s="211" t="s">
        <v>994</v>
      </c>
      <c r="D22" s="109"/>
      <c r="E22" s="122"/>
      <c r="F22" s="122"/>
      <c r="G22" s="122"/>
      <c r="H22" s="122"/>
      <c r="I22" s="122">
        <v>0</v>
      </c>
      <c r="J22" s="122"/>
      <c r="K22" s="290">
        <v>1228930000</v>
      </c>
    </row>
    <row r="23" spans="1:13" s="69" customFormat="1" ht="21" customHeight="1">
      <c r="A23" s="136" t="s">
        <v>876</v>
      </c>
      <c r="C23" s="211" t="s">
        <v>994</v>
      </c>
      <c r="D23" s="109"/>
      <c r="E23" s="122"/>
      <c r="F23" s="122"/>
      <c r="G23" s="122"/>
      <c r="H23" s="122"/>
      <c r="I23" s="122">
        <v>12303323</v>
      </c>
      <c r="J23" s="122"/>
      <c r="K23" s="290">
        <v>6365386597</v>
      </c>
    </row>
    <row r="24" spans="1:13" s="69" customFormat="1" ht="21" customHeight="1">
      <c r="A24" s="136" t="s">
        <v>882</v>
      </c>
      <c r="C24" s="211" t="s">
        <v>994</v>
      </c>
      <c r="D24" s="625"/>
      <c r="E24" s="621"/>
      <c r="F24" s="621"/>
      <c r="G24" s="621"/>
      <c r="H24" s="621"/>
      <c r="I24" s="621">
        <v>1181842216</v>
      </c>
      <c r="J24" s="621"/>
      <c r="K24" s="621">
        <v>0</v>
      </c>
    </row>
    <row r="25" spans="1:13" s="69" customFormat="1" ht="21" customHeight="1">
      <c r="A25" s="136" t="s">
        <v>877</v>
      </c>
      <c r="C25" s="211" t="s">
        <v>1002</v>
      </c>
      <c r="D25" s="109"/>
      <c r="E25" s="122"/>
      <c r="F25" s="122"/>
      <c r="G25" s="122"/>
      <c r="H25" s="122"/>
      <c r="I25" s="122">
        <v>16597544324</v>
      </c>
      <c r="J25" s="122"/>
      <c r="K25" s="290">
        <v>0</v>
      </c>
    </row>
    <row r="26" spans="1:13" s="69" customFormat="1" ht="21" customHeight="1">
      <c r="A26" s="136" t="s">
        <v>878</v>
      </c>
      <c r="C26" s="211"/>
      <c r="D26" s="109"/>
      <c r="E26" s="122"/>
      <c r="F26" s="122"/>
      <c r="G26" s="122"/>
      <c r="H26" s="122"/>
      <c r="I26" s="122">
        <v>0</v>
      </c>
      <c r="J26" s="122"/>
      <c r="K26" s="290">
        <v>1188000</v>
      </c>
    </row>
    <row r="27" spans="1:13" s="69" customFormat="1" ht="21" customHeight="1">
      <c r="A27" s="136" t="s">
        <v>879</v>
      </c>
      <c r="C27" s="211"/>
      <c r="D27" s="109"/>
      <c r="E27" s="122"/>
      <c r="F27" s="122"/>
      <c r="G27" s="122"/>
      <c r="H27" s="122"/>
      <c r="I27" s="122">
        <v>0</v>
      </c>
      <c r="J27" s="122"/>
      <c r="K27" s="290">
        <v>134312035</v>
      </c>
    </row>
    <row r="28" spans="1:13" s="69" customFormat="1" ht="21" customHeight="1">
      <c r="A28" s="136" t="s">
        <v>880</v>
      </c>
      <c r="C28" s="211"/>
      <c r="D28" s="109"/>
      <c r="E28" s="122"/>
      <c r="F28" s="122"/>
      <c r="G28" s="122"/>
      <c r="H28" s="122"/>
      <c r="I28" s="122">
        <v>0</v>
      </c>
      <c r="J28" s="122"/>
      <c r="K28" s="290">
        <v>500000</v>
      </c>
    </row>
    <row r="29" spans="1:13" s="69" customFormat="1" ht="21" customHeight="1">
      <c r="A29" s="136" t="s">
        <v>881</v>
      </c>
      <c r="C29" s="211"/>
      <c r="D29" s="384"/>
      <c r="E29" s="383"/>
      <c r="F29" s="383"/>
      <c r="G29" s="383"/>
      <c r="H29" s="383"/>
      <c r="I29" s="383">
        <v>14648407538</v>
      </c>
      <c r="J29" s="383"/>
      <c r="K29" s="383">
        <v>0</v>
      </c>
    </row>
    <row r="30" spans="1:13" s="69" customFormat="1" ht="18" thickBot="1">
      <c r="A30" s="136"/>
      <c r="C30" s="211"/>
      <c r="D30" s="109"/>
      <c r="E30" s="122"/>
      <c r="F30" s="122"/>
      <c r="G30" s="122"/>
      <c r="H30" s="122"/>
      <c r="I30" s="132">
        <f>SUM(I21:I29)</f>
        <v>33622599984</v>
      </c>
      <c r="J30" s="122"/>
      <c r="K30" s="132">
        <f>SUM(K21:K29)</f>
        <v>14650095538</v>
      </c>
    </row>
    <row r="31" spans="1:13" s="69" customFormat="1" ht="27" customHeight="1" thickTop="1">
      <c r="A31" s="136"/>
      <c r="C31" s="211"/>
      <c r="D31" s="414"/>
      <c r="E31" s="410"/>
      <c r="F31" s="410"/>
      <c r="G31" s="410"/>
      <c r="H31" s="410"/>
      <c r="I31" s="278"/>
      <c r="J31" s="410"/>
      <c r="K31" s="278"/>
    </row>
    <row r="32" spans="1:13" s="69" customFormat="1" ht="10.5" customHeight="1">
      <c r="A32" s="136"/>
      <c r="C32" s="211"/>
      <c r="D32" s="109"/>
      <c r="E32" s="122"/>
      <c r="F32" s="122"/>
      <c r="G32" s="122"/>
      <c r="H32" s="122"/>
      <c r="I32" s="122"/>
      <c r="J32" s="122"/>
      <c r="K32" s="122"/>
    </row>
    <row r="33" spans="1:15" s="69" customFormat="1" ht="38.25" customHeight="1">
      <c r="A33" s="735" t="s">
        <v>513</v>
      </c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171"/>
      <c r="M33" s="171"/>
      <c r="N33" s="171"/>
      <c r="O33" s="171"/>
    </row>
    <row r="34" spans="1:15" s="69" customFormat="1" ht="17.25" customHeight="1">
      <c r="B34" s="413"/>
      <c r="C34" s="413"/>
      <c r="D34" s="413"/>
      <c r="E34" s="413"/>
      <c r="F34" s="413"/>
      <c r="G34" s="413"/>
      <c r="H34" s="413"/>
      <c r="I34" s="413"/>
      <c r="J34" s="413"/>
      <c r="K34" s="413"/>
    </row>
    <row r="35" spans="1:15" s="69" customFormat="1" ht="32.25" customHeight="1">
      <c r="A35" s="735" t="s">
        <v>1003</v>
      </c>
      <c r="B35" s="735"/>
      <c r="C35" s="735"/>
      <c r="D35" s="735"/>
      <c r="E35" s="735"/>
      <c r="F35" s="735"/>
      <c r="G35" s="735"/>
      <c r="H35" s="735"/>
      <c r="I35" s="735"/>
      <c r="J35" s="735"/>
      <c r="K35" s="735"/>
    </row>
    <row r="36" spans="1:15" s="69" customFormat="1" ht="17.25">
      <c r="A36" s="136"/>
      <c r="C36" s="211"/>
      <c r="D36" s="109"/>
      <c r="E36" s="122"/>
      <c r="F36" s="122"/>
      <c r="G36" s="122"/>
      <c r="H36" s="122"/>
      <c r="I36" s="122"/>
      <c r="J36" s="122"/>
      <c r="K36" s="122"/>
    </row>
  </sheetData>
  <mergeCells count="10">
    <mergeCell ref="A35:K35"/>
    <mergeCell ref="L8:M8"/>
    <mergeCell ref="A6:C6"/>
    <mergeCell ref="A17:F17"/>
    <mergeCell ref="A1:L1"/>
    <mergeCell ref="A2:L2"/>
    <mergeCell ref="A3:L3"/>
    <mergeCell ref="A33:K33"/>
    <mergeCell ref="A5:C5"/>
    <mergeCell ref="E8:I8"/>
  </mergeCells>
  <pageMargins left="0.11811023622047245" right="0.11811023622047245" top="0.47" bottom="0.74803149606299213" header="0.31496062992125984" footer="0.31496062992125984"/>
  <pageSetup paperSize="9" scale="85" orientation="portrait" horizontalDpi="300" verticalDpi="300" r:id="rId1"/>
  <headerFooter>
    <oddFooter>&amp;C&amp;"B Mitra,Bold"&amp;14 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8"/>
  <sheetViews>
    <sheetView rightToLeft="1" workbookViewId="0">
      <selection activeCell="C16" sqref="C16"/>
    </sheetView>
  </sheetViews>
  <sheetFormatPr defaultColWidth="9" defaultRowHeight="17.25"/>
  <cols>
    <col min="1" max="1" width="30" style="69" customWidth="1"/>
    <col min="2" max="2" width="2.7109375" style="69" customWidth="1"/>
    <col min="3" max="3" width="8.42578125" style="122" customWidth="1"/>
    <col min="4" max="4" width="2.5703125" style="69" customWidth="1"/>
    <col min="5" max="5" width="16.140625" style="396" customWidth="1"/>
    <col min="6" max="6" width="2.42578125" style="279" customWidth="1"/>
    <col min="7" max="7" width="13" style="463" bestFit="1" customWidth="1"/>
    <col min="8" max="8" width="2.28515625" style="463" customWidth="1"/>
    <col min="9" max="9" width="14" style="463" bestFit="1" customWidth="1"/>
    <col min="10" max="10" width="2.85546875" style="463" customWidth="1"/>
    <col min="11" max="11" width="12.42578125" style="463" customWidth="1"/>
    <col min="12" max="16384" width="9" style="55"/>
  </cols>
  <sheetData>
    <row r="1" spans="1:13" ht="30.75" customHeight="1">
      <c r="A1" s="703" t="s">
        <v>127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</row>
    <row r="2" spans="1:13" ht="22.5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</row>
    <row r="3" spans="1:13" ht="22.5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</row>
    <row r="4" spans="1:13" ht="39" customHeight="1">
      <c r="A4" s="405"/>
      <c r="B4" s="405"/>
      <c r="C4" s="405"/>
      <c r="D4" s="405"/>
      <c r="E4" s="405"/>
      <c r="F4" s="405"/>
      <c r="G4" s="468"/>
      <c r="H4" s="468"/>
      <c r="I4" s="468"/>
      <c r="J4" s="468"/>
      <c r="K4" s="468"/>
      <c r="L4" s="62"/>
    </row>
    <row r="5" spans="1:13" ht="21.75">
      <c r="A5" s="750" t="s">
        <v>515</v>
      </c>
      <c r="B5" s="750"/>
      <c r="C5" s="750"/>
      <c r="D5" s="750"/>
      <c r="E5" s="750"/>
      <c r="F5" s="750"/>
    </row>
    <row r="6" spans="1:13">
      <c r="E6" s="751" t="s">
        <v>721</v>
      </c>
      <c r="F6" s="751"/>
      <c r="G6" s="751"/>
      <c r="H6" s="751"/>
      <c r="I6" s="751"/>
      <c r="K6" s="469" t="s">
        <v>25</v>
      </c>
      <c r="L6" s="259"/>
      <c r="M6" s="259"/>
    </row>
    <row r="7" spans="1:13">
      <c r="C7" s="256" t="s">
        <v>24</v>
      </c>
      <c r="E7" s="398" t="s">
        <v>158</v>
      </c>
      <c r="G7" s="398" t="s">
        <v>159</v>
      </c>
      <c r="I7" s="398" t="s">
        <v>121</v>
      </c>
      <c r="K7" s="134" t="s">
        <v>150</v>
      </c>
    </row>
    <row r="8" spans="1:13" ht="18">
      <c r="C8" s="279"/>
      <c r="E8" s="67" t="s">
        <v>494</v>
      </c>
      <c r="G8" s="67" t="s">
        <v>494</v>
      </c>
      <c r="I8" s="67" t="s">
        <v>494</v>
      </c>
      <c r="K8" s="67" t="s">
        <v>494</v>
      </c>
    </row>
    <row r="9" spans="1:13" s="128" customFormat="1" ht="15.75" customHeight="1">
      <c r="A9" s="191" t="s">
        <v>525</v>
      </c>
      <c r="B9" s="191"/>
      <c r="C9" s="280"/>
      <c r="D9" s="191"/>
      <c r="E9" s="192">
        <v>739348587</v>
      </c>
      <c r="F9" s="280"/>
      <c r="G9" s="192">
        <v>0</v>
      </c>
      <c r="H9" s="192"/>
      <c r="I9" s="192">
        <f>SUM(E9:G9)</f>
        <v>739348587</v>
      </c>
      <c r="J9" s="193"/>
      <c r="K9" s="192">
        <v>9342655</v>
      </c>
    </row>
    <row r="10" spans="1:13" s="128" customFormat="1" ht="15.75" customHeight="1">
      <c r="A10" s="191" t="s">
        <v>526</v>
      </c>
      <c r="B10" s="191"/>
      <c r="C10" s="280"/>
      <c r="D10" s="191"/>
      <c r="E10" s="192">
        <v>9342655</v>
      </c>
      <c r="F10" s="280"/>
      <c r="G10" s="192">
        <v>0</v>
      </c>
      <c r="H10" s="192"/>
      <c r="I10" s="192">
        <f t="shared" ref="I10:I12" si="0">SUM(E10:G10)</f>
        <v>9342655</v>
      </c>
      <c r="J10" s="192"/>
      <c r="K10" s="192">
        <v>1208759270</v>
      </c>
    </row>
    <row r="11" spans="1:13" s="128" customFormat="1" ht="15.75" customHeight="1">
      <c r="A11" s="191" t="s">
        <v>661</v>
      </c>
      <c r="B11" s="191"/>
      <c r="C11" s="280"/>
      <c r="D11" s="191"/>
      <c r="E11" s="192">
        <v>75000000000</v>
      </c>
      <c r="F11" s="280"/>
      <c r="G11" s="192">
        <v>0</v>
      </c>
      <c r="H11" s="192"/>
      <c r="I11" s="192">
        <f t="shared" si="0"/>
        <v>75000000000</v>
      </c>
      <c r="J11" s="192"/>
      <c r="K11" s="192">
        <v>75000000000</v>
      </c>
    </row>
    <row r="12" spans="1:13" s="128" customFormat="1" ht="15.75" customHeight="1">
      <c r="A12" s="191" t="s">
        <v>160</v>
      </c>
      <c r="B12" s="191"/>
      <c r="C12" s="280"/>
      <c r="D12" s="191"/>
      <c r="E12" s="192">
        <v>0</v>
      </c>
      <c r="F12" s="280"/>
      <c r="G12" s="192">
        <v>0</v>
      </c>
      <c r="H12" s="192"/>
      <c r="I12" s="192">
        <f t="shared" si="0"/>
        <v>0</v>
      </c>
      <c r="J12" s="192"/>
      <c r="K12" s="192">
        <v>115240000</v>
      </c>
    </row>
    <row r="13" spans="1:13" s="128" customFormat="1" ht="15.75" customHeight="1">
      <c r="A13" s="191" t="s">
        <v>161</v>
      </c>
      <c r="B13" s="191"/>
      <c r="C13" s="280"/>
      <c r="D13" s="191"/>
      <c r="E13" s="192">
        <v>23517759</v>
      </c>
      <c r="F13" s="280"/>
      <c r="G13" s="192">
        <v>0</v>
      </c>
      <c r="H13" s="192"/>
      <c r="I13" s="192">
        <f t="shared" ref="I13" si="1">SUM(E13:G13)</f>
        <v>23517759</v>
      </c>
      <c r="J13" s="192"/>
      <c r="K13" s="192">
        <v>23517759</v>
      </c>
    </row>
    <row r="14" spans="1:13" s="128" customFormat="1" ht="15.75" customHeight="1">
      <c r="A14" s="191" t="s">
        <v>543</v>
      </c>
      <c r="B14" s="191"/>
      <c r="C14" s="280"/>
      <c r="D14" s="191"/>
      <c r="E14" s="192">
        <v>0</v>
      </c>
      <c r="F14" s="280"/>
      <c r="G14" s="192">
        <v>0</v>
      </c>
      <c r="H14" s="192"/>
      <c r="I14" s="192">
        <f>SUM(E14:G14)</f>
        <v>0</v>
      </c>
      <c r="J14" s="192"/>
      <c r="K14" s="192">
        <v>560441006</v>
      </c>
    </row>
    <row r="15" spans="1:13" s="128" customFormat="1" ht="15.75" customHeight="1">
      <c r="A15" s="191" t="s">
        <v>548</v>
      </c>
      <c r="B15" s="191"/>
      <c r="C15" s="280"/>
      <c r="D15" s="191"/>
      <c r="E15" s="192">
        <v>0</v>
      </c>
      <c r="F15" s="280"/>
      <c r="G15" s="192">
        <v>0</v>
      </c>
      <c r="H15" s="192"/>
      <c r="I15" s="192">
        <f t="shared" ref="I15:I55" si="2">SUM(E15:G15)</f>
        <v>0</v>
      </c>
      <c r="J15" s="192"/>
      <c r="K15" s="192">
        <v>200250000</v>
      </c>
    </row>
    <row r="16" spans="1:13" s="128" customFormat="1" ht="15.75" customHeight="1">
      <c r="A16" s="191" t="s">
        <v>162</v>
      </c>
      <c r="B16" s="191"/>
      <c r="C16" s="280"/>
      <c r="D16" s="191"/>
      <c r="E16" s="192">
        <v>507000000</v>
      </c>
      <c r="F16" s="280"/>
      <c r="G16" s="192">
        <v>0</v>
      </c>
      <c r="H16" s="192"/>
      <c r="I16" s="192">
        <f t="shared" si="2"/>
        <v>507000000</v>
      </c>
      <c r="J16" s="192"/>
      <c r="K16" s="192">
        <v>507000000</v>
      </c>
    </row>
    <row r="17" spans="1:11" s="128" customFormat="1" ht="15.75" customHeight="1">
      <c r="A17" s="191" t="s">
        <v>163</v>
      </c>
      <c r="B17" s="191"/>
      <c r="C17" s="280" t="s">
        <v>516</v>
      </c>
      <c r="D17" s="191"/>
      <c r="E17" s="192">
        <v>431605682</v>
      </c>
      <c r="F17" s="280"/>
      <c r="G17" s="192">
        <v>0</v>
      </c>
      <c r="H17" s="192"/>
      <c r="I17" s="192">
        <f t="shared" si="2"/>
        <v>431605682</v>
      </c>
      <c r="J17" s="192"/>
      <c r="K17" s="192">
        <v>431605682</v>
      </c>
    </row>
    <row r="18" spans="1:11" s="128" customFormat="1" ht="15.75" customHeight="1">
      <c r="A18" s="191" t="s">
        <v>164</v>
      </c>
      <c r="B18" s="191"/>
      <c r="C18" s="280"/>
      <c r="D18" s="191"/>
      <c r="E18" s="192">
        <v>0</v>
      </c>
      <c r="F18" s="280"/>
      <c r="G18" s="192">
        <v>0</v>
      </c>
      <c r="H18" s="192"/>
      <c r="I18" s="192">
        <f t="shared" si="2"/>
        <v>0</v>
      </c>
      <c r="J18" s="192"/>
      <c r="K18" s="192">
        <v>719835638</v>
      </c>
    </row>
    <row r="19" spans="1:11" s="128" customFormat="1" ht="15.75" customHeight="1">
      <c r="A19" s="191" t="s">
        <v>544</v>
      </c>
      <c r="B19" s="191"/>
      <c r="C19" s="280"/>
      <c r="D19" s="191"/>
      <c r="E19" s="192">
        <v>0</v>
      </c>
      <c r="F19" s="280"/>
      <c r="G19" s="192">
        <v>0</v>
      </c>
      <c r="H19" s="192"/>
      <c r="I19" s="192">
        <f t="shared" si="2"/>
        <v>0</v>
      </c>
      <c r="J19" s="192"/>
      <c r="K19" s="192">
        <v>153133458</v>
      </c>
    </row>
    <row r="20" spans="1:11" s="128" customFormat="1" ht="15.75" customHeight="1">
      <c r="A20" s="191" t="s">
        <v>540</v>
      </c>
      <c r="B20" s="191"/>
      <c r="C20" s="280"/>
      <c r="D20" s="191"/>
      <c r="E20" s="192">
        <v>0</v>
      </c>
      <c r="F20" s="280"/>
      <c r="G20" s="192">
        <v>0</v>
      </c>
      <c r="H20" s="192"/>
      <c r="I20" s="192">
        <f t="shared" si="2"/>
        <v>0</v>
      </c>
      <c r="J20" s="192"/>
      <c r="K20" s="192">
        <v>1899705941</v>
      </c>
    </row>
    <row r="21" spans="1:11" s="128" customFormat="1" ht="15.75" customHeight="1">
      <c r="A21" s="191" t="s">
        <v>527</v>
      </c>
      <c r="B21" s="191"/>
      <c r="C21" s="280"/>
      <c r="D21" s="191"/>
      <c r="E21" s="192">
        <v>0</v>
      </c>
      <c r="F21" s="280"/>
      <c r="G21" s="192">
        <v>0</v>
      </c>
      <c r="H21" s="192"/>
      <c r="I21" s="192">
        <f t="shared" si="2"/>
        <v>0</v>
      </c>
      <c r="J21" s="192"/>
      <c r="K21" s="192">
        <v>5663676450</v>
      </c>
    </row>
    <row r="22" spans="1:11" s="128" customFormat="1" ht="15.75" customHeight="1">
      <c r="A22" s="191" t="s">
        <v>660</v>
      </c>
      <c r="B22" s="191"/>
      <c r="C22" s="280"/>
      <c r="D22" s="191"/>
      <c r="E22" s="192">
        <v>7812892047</v>
      </c>
      <c r="F22" s="280"/>
      <c r="G22" s="192">
        <v>0</v>
      </c>
      <c r="H22" s="192"/>
      <c r="I22" s="192">
        <f t="shared" si="2"/>
        <v>7812892047</v>
      </c>
      <c r="J22" s="192"/>
      <c r="K22" s="192">
        <v>13541583023</v>
      </c>
    </row>
    <row r="23" spans="1:11" s="128" customFormat="1" ht="15.75" customHeight="1">
      <c r="A23" s="191" t="s">
        <v>165</v>
      </c>
      <c r="B23" s="191"/>
      <c r="C23" s="280"/>
      <c r="D23" s="191"/>
      <c r="E23" s="192">
        <v>0</v>
      </c>
      <c r="F23" s="280"/>
      <c r="G23" s="192">
        <v>0</v>
      </c>
      <c r="H23" s="192"/>
      <c r="I23" s="192">
        <f t="shared" si="2"/>
        <v>0</v>
      </c>
      <c r="J23" s="192"/>
      <c r="K23" s="192">
        <v>226000828</v>
      </c>
    </row>
    <row r="24" spans="1:11" s="128" customFormat="1" ht="15.75" customHeight="1">
      <c r="A24" s="191" t="s">
        <v>166</v>
      </c>
      <c r="B24" s="191"/>
      <c r="C24" s="280"/>
      <c r="D24" s="191"/>
      <c r="E24" s="192">
        <v>145000000</v>
      </c>
      <c r="F24" s="280"/>
      <c r="G24" s="192">
        <v>0</v>
      </c>
      <c r="H24" s="192"/>
      <c r="I24" s="192">
        <f t="shared" si="2"/>
        <v>145000000</v>
      </c>
      <c r="J24" s="192"/>
      <c r="K24" s="192">
        <v>145000000</v>
      </c>
    </row>
    <row r="25" spans="1:11" s="128" customFormat="1" ht="15.75" customHeight="1">
      <c r="A25" s="191" t="s">
        <v>541</v>
      </c>
      <c r="B25" s="191"/>
      <c r="C25" s="280"/>
      <c r="D25" s="191"/>
      <c r="E25" s="192">
        <v>0</v>
      </c>
      <c r="F25" s="280"/>
      <c r="G25" s="192">
        <v>0</v>
      </c>
      <c r="H25" s="192"/>
      <c r="I25" s="192">
        <f t="shared" si="2"/>
        <v>0</v>
      </c>
      <c r="J25" s="192"/>
      <c r="K25" s="192">
        <v>481797950</v>
      </c>
    </row>
    <row r="26" spans="1:11" s="128" customFormat="1" ht="15.75" customHeight="1">
      <c r="A26" s="191" t="s">
        <v>167</v>
      </c>
      <c r="B26" s="191"/>
      <c r="C26" s="280"/>
      <c r="D26" s="191"/>
      <c r="E26" s="192">
        <v>0</v>
      </c>
      <c r="F26" s="280"/>
      <c r="G26" s="192">
        <v>0</v>
      </c>
      <c r="H26" s="192"/>
      <c r="I26" s="192">
        <f t="shared" si="2"/>
        <v>0</v>
      </c>
      <c r="J26" s="192"/>
      <c r="K26" s="192">
        <v>400000000</v>
      </c>
    </row>
    <row r="27" spans="1:11" s="128" customFormat="1" ht="15.75" customHeight="1">
      <c r="A27" s="191" t="s">
        <v>542</v>
      </c>
      <c r="B27" s="191"/>
      <c r="C27" s="280"/>
      <c r="D27" s="191"/>
      <c r="E27" s="192">
        <v>0</v>
      </c>
      <c r="F27" s="280"/>
      <c r="G27" s="192">
        <v>0</v>
      </c>
      <c r="H27" s="192"/>
      <c r="I27" s="192">
        <f t="shared" si="2"/>
        <v>0</v>
      </c>
      <c r="J27" s="192"/>
      <c r="K27" s="192">
        <v>420000000</v>
      </c>
    </row>
    <row r="28" spans="1:11" s="128" customFormat="1" ht="15.75" customHeight="1">
      <c r="A28" s="191" t="s">
        <v>546</v>
      </c>
      <c r="B28" s="191"/>
      <c r="C28" s="280"/>
      <c r="D28" s="191"/>
      <c r="E28" s="192">
        <v>0</v>
      </c>
      <c r="F28" s="280"/>
      <c r="G28" s="192">
        <v>0</v>
      </c>
      <c r="H28" s="192"/>
      <c r="I28" s="192">
        <f t="shared" si="2"/>
        <v>0</v>
      </c>
      <c r="J28" s="192"/>
      <c r="K28" s="192">
        <v>137200882</v>
      </c>
    </row>
    <row r="29" spans="1:11" s="128" customFormat="1" ht="15.75" customHeight="1">
      <c r="A29" s="191" t="s">
        <v>168</v>
      </c>
      <c r="B29" s="191"/>
      <c r="C29" s="280"/>
      <c r="D29" s="191"/>
      <c r="E29" s="192">
        <v>0</v>
      </c>
      <c r="F29" s="280"/>
      <c r="G29" s="192">
        <v>0</v>
      </c>
      <c r="H29" s="192"/>
      <c r="I29" s="192">
        <f t="shared" si="2"/>
        <v>0</v>
      </c>
      <c r="J29" s="192"/>
      <c r="K29" s="192">
        <v>364205944</v>
      </c>
    </row>
    <row r="30" spans="1:11" s="128" customFormat="1" ht="15.75" customHeight="1">
      <c r="A30" s="191" t="s">
        <v>547</v>
      </c>
      <c r="B30" s="191"/>
      <c r="C30" s="280"/>
      <c r="D30" s="191"/>
      <c r="E30" s="192">
        <v>0</v>
      </c>
      <c r="F30" s="280"/>
      <c r="G30" s="192">
        <v>0</v>
      </c>
      <c r="H30" s="192"/>
      <c r="I30" s="192">
        <f t="shared" si="2"/>
        <v>0</v>
      </c>
      <c r="J30" s="192"/>
      <c r="K30" s="192">
        <v>136000000</v>
      </c>
    </row>
    <row r="31" spans="1:11" s="128" customFormat="1" ht="15.75" customHeight="1">
      <c r="A31" s="191" t="s">
        <v>169</v>
      </c>
      <c r="B31" s="191"/>
      <c r="C31" s="280"/>
      <c r="D31" s="191"/>
      <c r="E31" s="192">
        <v>10064000000</v>
      </c>
      <c r="F31" s="280"/>
      <c r="G31" s="192">
        <v>0</v>
      </c>
      <c r="H31" s="192"/>
      <c r="I31" s="192">
        <f t="shared" si="2"/>
        <v>10064000000</v>
      </c>
      <c r="J31" s="192"/>
      <c r="K31" s="192">
        <v>10064000000</v>
      </c>
    </row>
    <row r="32" spans="1:11" s="128" customFormat="1" ht="10.5" customHeight="1">
      <c r="A32" s="191" t="s">
        <v>545</v>
      </c>
      <c r="B32" s="191"/>
      <c r="C32" s="280"/>
      <c r="D32" s="191"/>
      <c r="E32" s="192">
        <v>0</v>
      </c>
      <c r="F32" s="280"/>
      <c r="G32" s="192">
        <v>0</v>
      </c>
      <c r="H32" s="192"/>
      <c r="I32" s="192">
        <f t="shared" si="2"/>
        <v>0</v>
      </c>
      <c r="J32" s="192"/>
      <c r="K32" s="192">
        <v>160514500</v>
      </c>
    </row>
    <row r="33" spans="1:13" s="128" customFormat="1" ht="15.75" customHeight="1">
      <c r="A33" s="191" t="s">
        <v>170</v>
      </c>
      <c r="B33" s="191"/>
      <c r="C33" s="280" t="s">
        <v>517</v>
      </c>
      <c r="D33" s="191"/>
      <c r="E33" s="192">
        <v>5391264400</v>
      </c>
      <c r="F33" s="280"/>
      <c r="G33" s="192">
        <f>-E33</f>
        <v>-5391264400</v>
      </c>
      <c r="H33" s="192"/>
      <c r="I33" s="192">
        <f t="shared" si="2"/>
        <v>0</v>
      </c>
      <c r="J33" s="192"/>
      <c r="K33" s="192">
        <v>0</v>
      </c>
    </row>
    <row r="34" spans="1:13" s="128" customFormat="1" ht="15.75" customHeight="1">
      <c r="A34" s="191" t="s">
        <v>171</v>
      </c>
      <c r="B34" s="191"/>
      <c r="C34" s="280"/>
      <c r="D34" s="191"/>
      <c r="E34" s="192">
        <v>0</v>
      </c>
      <c r="F34" s="280"/>
      <c r="G34" s="192">
        <v>0</v>
      </c>
      <c r="H34" s="192"/>
      <c r="I34" s="192">
        <f t="shared" si="2"/>
        <v>0</v>
      </c>
      <c r="J34" s="192"/>
      <c r="K34" s="192">
        <v>559841382</v>
      </c>
    </row>
    <row r="35" spans="1:13" s="128" customFormat="1" ht="15.75" customHeight="1">
      <c r="A35" s="191" t="s">
        <v>528</v>
      </c>
      <c r="B35" s="191"/>
      <c r="C35" s="280"/>
      <c r="D35" s="191"/>
      <c r="E35" s="192">
        <v>0</v>
      </c>
      <c r="F35" s="280"/>
      <c r="G35" s="192">
        <v>0</v>
      </c>
      <c r="H35" s="192"/>
      <c r="I35" s="192">
        <f t="shared" si="2"/>
        <v>0</v>
      </c>
      <c r="J35" s="192"/>
      <c r="K35" s="192">
        <v>142485000</v>
      </c>
    </row>
    <row r="36" spans="1:13" s="128" customFormat="1" ht="15.75" customHeight="1">
      <c r="A36" s="191" t="s">
        <v>529</v>
      </c>
      <c r="B36" s="191"/>
      <c r="C36" s="280"/>
      <c r="D36" s="191"/>
      <c r="E36" s="192">
        <v>0</v>
      </c>
      <c r="F36" s="280"/>
      <c r="G36" s="192">
        <v>0</v>
      </c>
      <c r="H36" s="192"/>
      <c r="I36" s="192"/>
      <c r="J36" s="192"/>
      <c r="K36" s="192">
        <v>198977600</v>
      </c>
      <c r="M36" s="129"/>
    </row>
    <row r="37" spans="1:13" s="128" customFormat="1" ht="15.75" customHeight="1">
      <c r="A37" s="191" t="s">
        <v>530</v>
      </c>
      <c r="B37" s="191"/>
      <c r="C37" s="280"/>
      <c r="D37" s="191"/>
      <c r="E37" s="192">
        <v>0</v>
      </c>
      <c r="F37" s="280"/>
      <c r="G37" s="192">
        <v>0</v>
      </c>
      <c r="H37" s="192"/>
      <c r="I37" s="192">
        <f t="shared" si="2"/>
        <v>0</v>
      </c>
      <c r="J37" s="192"/>
      <c r="K37" s="192">
        <v>525763500</v>
      </c>
    </row>
    <row r="38" spans="1:13" s="128" customFormat="1" ht="15.75" customHeight="1">
      <c r="A38" s="191" t="s">
        <v>172</v>
      </c>
      <c r="B38" s="191"/>
      <c r="C38" s="280" t="s">
        <v>1004</v>
      </c>
      <c r="D38" s="191"/>
      <c r="E38" s="192">
        <v>101351250</v>
      </c>
      <c r="F38" s="280"/>
      <c r="G38" s="192">
        <v>0</v>
      </c>
      <c r="H38" s="192"/>
      <c r="I38" s="192">
        <f t="shared" si="2"/>
        <v>101351250</v>
      </c>
      <c r="J38" s="192"/>
      <c r="K38" s="192">
        <v>101351250</v>
      </c>
    </row>
    <row r="39" spans="1:13" s="128" customFormat="1" ht="15.75" customHeight="1">
      <c r="A39" s="191" t="s">
        <v>531</v>
      </c>
      <c r="B39" s="191"/>
      <c r="C39" s="280"/>
      <c r="D39" s="191"/>
      <c r="E39" s="192">
        <v>0</v>
      </c>
      <c r="F39" s="280"/>
      <c r="G39" s="192">
        <v>0</v>
      </c>
      <c r="H39" s="192"/>
      <c r="I39" s="192">
        <f t="shared" si="2"/>
        <v>0</v>
      </c>
      <c r="J39" s="192"/>
      <c r="K39" s="192">
        <v>806078000</v>
      </c>
    </row>
    <row r="40" spans="1:13" s="128" customFormat="1" ht="15.75" customHeight="1">
      <c r="A40" s="191" t="s">
        <v>532</v>
      </c>
      <c r="B40" s="191"/>
      <c r="C40" s="280"/>
      <c r="D40" s="191"/>
      <c r="E40" s="192">
        <v>0</v>
      </c>
      <c r="F40" s="280"/>
      <c r="G40" s="192">
        <v>0</v>
      </c>
      <c r="H40" s="192"/>
      <c r="I40" s="192">
        <f t="shared" si="2"/>
        <v>0</v>
      </c>
      <c r="J40" s="192"/>
      <c r="K40" s="192">
        <v>152500000</v>
      </c>
    </row>
    <row r="41" spans="1:13" s="128" customFormat="1" ht="15.75" customHeight="1">
      <c r="A41" s="191" t="s">
        <v>533</v>
      </c>
      <c r="B41" s="191"/>
      <c r="C41" s="280"/>
      <c r="D41" s="191"/>
      <c r="E41" s="192">
        <v>0</v>
      </c>
      <c r="F41" s="280"/>
      <c r="G41" s="192">
        <v>0</v>
      </c>
      <c r="H41" s="192"/>
      <c r="I41" s="192">
        <f t="shared" si="2"/>
        <v>0</v>
      </c>
      <c r="J41" s="192"/>
      <c r="K41" s="192">
        <v>427095000</v>
      </c>
    </row>
    <row r="42" spans="1:13" s="128" customFormat="1" ht="15.75" customHeight="1">
      <c r="A42" s="191" t="s">
        <v>534</v>
      </c>
      <c r="B42" s="191"/>
      <c r="C42" s="280"/>
      <c r="D42" s="191"/>
      <c r="E42" s="192">
        <v>0</v>
      </c>
      <c r="F42" s="280"/>
      <c r="G42" s="192">
        <v>0</v>
      </c>
      <c r="H42" s="192"/>
      <c r="I42" s="192">
        <f t="shared" si="2"/>
        <v>0</v>
      </c>
      <c r="J42" s="192"/>
      <c r="K42" s="192">
        <v>278970800</v>
      </c>
    </row>
    <row r="43" spans="1:13" s="128" customFormat="1" ht="15.75" customHeight="1">
      <c r="A43" s="191" t="s">
        <v>535</v>
      </c>
      <c r="B43" s="191"/>
      <c r="C43" s="280"/>
      <c r="D43" s="191"/>
      <c r="E43" s="192">
        <v>0</v>
      </c>
      <c r="F43" s="280"/>
      <c r="G43" s="192">
        <v>0</v>
      </c>
      <c r="H43" s="192"/>
      <c r="I43" s="192">
        <f t="shared" si="2"/>
        <v>0</v>
      </c>
      <c r="J43" s="192"/>
      <c r="K43" s="192">
        <v>875248700</v>
      </c>
    </row>
    <row r="44" spans="1:13" s="128" customFormat="1" ht="15.75" customHeight="1">
      <c r="A44" s="191" t="s">
        <v>536</v>
      </c>
      <c r="B44" s="191"/>
      <c r="C44" s="280"/>
      <c r="D44" s="191"/>
      <c r="E44" s="192">
        <v>0</v>
      </c>
      <c r="F44" s="280"/>
      <c r="G44" s="192">
        <v>0</v>
      </c>
      <c r="H44" s="192"/>
      <c r="I44" s="192">
        <f t="shared" si="2"/>
        <v>0</v>
      </c>
      <c r="J44" s="192"/>
      <c r="K44" s="192">
        <v>573823300</v>
      </c>
    </row>
    <row r="45" spans="1:13" s="128" customFormat="1" ht="15.75" customHeight="1">
      <c r="A45" s="191" t="s">
        <v>537</v>
      </c>
      <c r="B45" s="191"/>
      <c r="C45" s="280"/>
      <c r="D45" s="191"/>
      <c r="E45" s="192">
        <v>0</v>
      </c>
      <c r="F45" s="280"/>
      <c r="G45" s="192">
        <v>0</v>
      </c>
      <c r="H45" s="192"/>
      <c r="I45" s="192">
        <f t="shared" si="2"/>
        <v>0</v>
      </c>
      <c r="J45" s="192"/>
      <c r="K45" s="192">
        <v>847179505</v>
      </c>
    </row>
    <row r="46" spans="1:13" s="128" customFormat="1" ht="15.75" customHeight="1">
      <c r="A46" s="191" t="s">
        <v>538</v>
      </c>
      <c r="B46" s="191"/>
      <c r="C46" s="280"/>
      <c r="D46" s="191"/>
      <c r="E46" s="192">
        <v>0</v>
      </c>
      <c r="F46" s="280"/>
      <c r="G46" s="192">
        <v>0</v>
      </c>
      <c r="H46" s="192"/>
      <c r="I46" s="192">
        <f t="shared" si="2"/>
        <v>0</v>
      </c>
      <c r="J46" s="192"/>
      <c r="K46" s="192">
        <v>370320000</v>
      </c>
    </row>
    <row r="47" spans="1:13" s="128" customFormat="1" ht="15.75" customHeight="1">
      <c r="A47" s="191" t="s">
        <v>662</v>
      </c>
      <c r="B47" s="191"/>
      <c r="C47" s="280"/>
      <c r="D47" s="191"/>
      <c r="E47" s="192">
        <v>0</v>
      </c>
      <c r="F47" s="280"/>
      <c r="G47" s="192">
        <v>0</v>
      </c>
      <c r="H47" s="192"/>
      <c r="I47" s="192">
        <f t="shared" si="2"/>
        <v>0</v>
      </c>
      <c r="J47" s="192"/>
      <c r="K47" s="192">
        <v>1776970290</v>
      </c>
    </row>
    <row r="48" spans="1:13" s="128" customFormat="1" ht="15.75" customHeight="1">
      <c r="A48" s="191" t="s">
        <v>539</v>
      </c>
      <c r="B48" s="191"/>
      <c r="C48" s="280"/>
      <c r="D48" s="191"/>
      <c r="E48" s="192">
        <v>0</v>
      </c>
      <c r="F48" s="280"/>
      <c r="G48" s="192">
        <v>0</v>
      </c>
      <c r="H48" s="192"/>
      <c r="I48" s="192">
        <f t="shared" si="2"/>
        <v>0</v>
      </c>
      <c r="J48" s="192"/>
      <c r="K48" s="192">
        <v>852871600</v>
      </c>
    </row>
    <row r="49" spans="1:11" s="128" customFormat="1" ht="15.75" customHeight="1">
      <c r="A49" s="191" t="s">
        <v>776</v>
      </c>
      <c r="B49" s="191"/>
      <c r="C49" s="280"/>
      <c r="D49" s="191"/>
      <c r="E49" s="192">
        <v>31750448500</v>
      </c>
      <c r="F49" s="280"/>
      <c r="G49" s="192">
        <v>0</v>
      </c>
      <c r="H49" s="192"/>
      <c r="I49" s="192">
        <f t="shared" si="2"/>
        <v>31750448500</v>
      </c>
      <c r="J49" s="192"/>
      <c r="K49" s="192">
        <v>0</v>
      </c>
    </row>
    <row r="50" spans="1:11" s="128" customFormat="1" ht="15.75" customHeight="1">
      <c r="A50" s="191" t="s">
        <v>775</v>
      </c>
      <c r="B50" s="191"/>
      <c r="C50" s="280"/>
      <c r="D50" s="191"/>
      <c r="E50" s="192">
        <v>1168085232</v>
      </c>
      <c r="F50" s="280"/>
      <c r="G50" s="192">
        <v>0</v>
      </c>
      <c r="H50" s="192"/>
      <c r="I50" s="192">
        <f t="shared" si="2"/>
        <v>1168085232</v>
      </c>
      <c r="J50" s="192"/>
      <c r="K50" s="192">
        <v>0</v>
      </c>
    </row>
    <row r="51" spans="1:11" s="128" customFormat="1" ht="15.75" customHeight="1">
      <c r="A51" s="191" t="s">
        <v>787</v>
      </c>
      <c r="B51" s="191"/>
      <c r="C51" s="280"/>
      <c r="D51" s="191"/>
      <c r="E51" s="192">
        <v>1082424729</v>
      </c>
      <c r="F51" s="280"/>
      <c r="G51" s="192">
        <v>0</v>
      </c>
      <c r="H51" s="192"/>
      <c r="I51" s="192">
        <f t="shared" si="2"/>
        <v>1082424729</v>
      </c>
      <c r="J51" s="192"/>
      <c r="K51" s="192">
        <v>0</v>
      </c>
    </row>
    <row r="52" spans="1:11" s="128" customFormat="1" ht="15.75" customHeight="1">
      <c r="A52" s="191" t="s">
        <v>788</v>
      </c>
      <c r="B52" s="191"/>
      <c r="C52" s="280"/>
      <c r="D52" s="191"/>
      <c r="E52" s="192">
        <v>1290824610</v>
      </c>
      <c r="F52" s="280"/>
      <c r="G52" s="192"/>
      <c r="H52" s="192"/>
      <c r="I52" s="192">
        <f t="shared" si="2"/>
        <v>1290824610</v>
      </c>
      <c r="J52" s="192"/>
      <c r="K52" s="192"/>
    </row>
    <row r="53" spans="1:11" s="128" customFormat="1" ht="15.75" customHeight="1">
      <c r="A53" s="191" t="s">
        <v>837</v>
      </c>
      <c r="B53" s="191"/>
      <c r="C53" s="280"/>
      <c r="D53" s="191"/>
      <c r="E53" s="192">
        <v>30014201574</v>
      </c>
      <c r="F53" s="280"/>
      <c r="G53" s="192"/>
      <c r="H53" s="192"/>
      <c r="I53" s="192">
        <f t="shared" si="2"/>
        <v>30014201574</v>
      </c>
      <c r="J53" s="192"/>
      <c r="K53" s="192"/>
    </row>
    <row r="54" spans="1:11" s="128" customFormat="1" ht="15.75" customHeight="1">
      <c r="A54" s="191" t="s">
        <v>791</v>
      </c>
      <c r="B54" s="191"/>
      <c r="C54" s="280"/>
      <c r="D54" s="191"/>
      <c r="E54" s="192">
        <v>5871968701</v>
      </c>
      <c r="F54" s="280"/>
      <c r="G54" s="192"/>
      <c r="H54" s="192"/>
      <c r="I54" s="192">
        <f t="shared" si="2"/>
        <v>5871968701</v>
      </c>
      <c r="J54" s="192"/>
      <c r="K54" s="192"/>
    </row>
    <row r="55" spans="1:11" s="128" customFormat="1" ht="15.75" customHeight="1">
      <c r="A55" s="191" t="s">
        <v>838</v>
      </c>
      <c r="B55" s="191"/>
      <c r="C55" s="280"/>
      <c r="D55" s="191"/>
      <c r="E55" s="192">
        <v>2242104205</v>
      </c>
      <c r="F55" s="280"/>
      <c r="G55" s="192"/>
      <c r="H55" s="192"/>
      <c r="I55" s="192">
        <f t="shared" si="2"/>
        <v>2242104205</v>
      </c>
      <c r="J55" s="192"/>
      <c r="K55" s="192"/>
    </row>
    <row r="56" spans="1:11" s="128" customFormat="1">
      <c r="A56" s="191" t="s">
        <v>173</v>
      </c>
      <c r="B56" s="191"/>
      <c r="C56" s="280"/>
      <c r="D56" s="191"/>
      <c r="E56" s="192">
        <v>27117798520</v>
      </c>
      <c r="F56" s="280"/>
      <c r="G56" s="192">
        <v>0</v>
      </c>
      <c r="H56" s="192"/>
      <c r="I56" s="192">
        <f>E56</f>
        <v>27117798520</v>
      </c>
      <c r="J56" s="192"/>
      <c r="K56" s="192">
        <v>1734602052</v>
      </c>
    </row>
    <row r="57" spans="1:11" ht="14.25" customHeight="1" thickBot="1">
      <c r="A57" s="69" t="s">
        <v>174</v>
      </c>
      <c r="C57" s="279"/>
      <c r="E57" s="303">
        <f>SUM(E9:E56)</f>
        <v>200763178451</v>
      </c>
      <c r="F57" s="400"/>
      <c r="G57" s="303">
        <f>SUM(G9:G56)</f>
        <v>-5391264400</v>
      </c>
      <c r="H57" s="470"/>
      <c r="I57" s="303">
        <f>SUM(I9:I56)</f>
        <v>195371914051</v>
      </c>
      <c r="K57" s="303">
        <f>SUM(K9:K56)</f>
        <v>122792888965</v>
      </c>
    </row>
    <row r="58" spans="1:11" ht="18" thickTop="1">
      <c r="E58" s="192"/>
      <c r="F58" s="280"/>
      <c r="G58" s="192"/>
      <c r="H58" s="192"/>
      <c r="I58" s="192"/>
    </row>
  </sheetData>
  <mergeCells count="5">
    <mergeCell ref="A5:F5"/>
    <mergeCell ref="E6:I6"/>
    <mergeCell ref="A1:L1"/>
    <mergeCell ref="A2:L2"/>
    <mergeCell ref="A3:L3"/>
  </mergeCells>
  <printOptions horizontalCentered="1"/>
  <pageMargins left="0" right="0" top="0.15748031496062992" bottom="0.15748031496062992" header="0.15748031496062992" footer="0.15748031496062992"/>
  <pageSetup paperSize="9" scale="80" orientation="portrait" horizontalDpi="300" verticalDpi="300" r:id="rId1"/>
  <headerFooter>
    <oddFooter>&amp;C&amp;"B Mitra,Bold"&amp;14 17</oddFooter>
  </headerFooter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dimension ref="A1:M35"/>
  <sheetViews>
    <sheetView rightToLeft="1" topLeftCell="A19" workbookViewId="0">
      <selection activeCell="E37" sqref="E37"/>
    </sheetView>
  </sheetViews>
  <sheetFormatPr defaultColWidth="9" defaultRowHeight="17.25"/>
  <cols>
    <col min="1" max="1" width="7" style="133" customWidth="1"/>
    <col min="2" max="3" width="11.42578125" style="69" customWidth="1"/>
    <col min="4" max="4" width="12.85546875" style="69" customWidth="1"/>
    <col min="5" max="5" width="16.7109375" style="69" customWidth="1"/>
    <col min="6" max="6" width="15.42578125" style="264" bestFit="1" customWidth="1"/>
    <col min="7" max="7" width="2.140625" style="414" customWidth="1"/>
    <col min="8" max="8" width="15.140625" style="264" customWidth="1"/>
    <col min="9" max="9" width="28.140625" style="264" customWidth="1"/>
    <col min="10" max="10" width="22.42578125" style="69" customWidth="1"/>
    <col min="11" max="11" width="12.7109375" style="51" bestFit="1" customWidth="1"/>
    <col min="12" max="16384" width="9" style="55"/>
  </cols>
  <sheetData>
    <row r="1" spans="1:13" ht="22.5">
      <c r="A1" s="703" t="s">
        <v>883</v>
      </c>
      <c r="B1" s="703"/>
      <c r="C1" s="703"/>
      <c r="D1" s="703"/>
      <c r="E1" s="703"/>
      <c r="F1" s="703"/>
      <c r="G1" s="703"/>
      <c r="H1" s="703"/>
      <c r="I1" s="62"/>
      <c r="J1" s="62"/>
      <c r="K1" s="62"/>
      <c r="L1" s="62"/>
    </row>
    <row r="2" spans="1:13" ht="22.5">
      <c r="A2" s="703" t="s">
        <v>886</v>
      </c>
      <c r="B2" s="703"/>
      <c r="C2" s="703"/>
      <c r="D2" s="703"/>
      <c r="E2" s="703"/>
      <c r="F2" s="703"/>
      <c r="G2" s="703"/>
      <c r="H2" s="703"/>
      <c r="I2" s="79"/>
      <c r="J2" s="62"/>
      <c r="K2" s="62"/>
      <c r="L2" s="62"/>
    </row>
    <row r="3" spans="1:13" ht="22.5">
      <c r="A3" s="703" t="s">
        <v>1024</v>
      </c>
      <c r="B3" s="703"/>
      <c r="C3" s="703"/>
      <c r="D3" s="703"/>
      <c r="E3" s="703"/>
      <c r="F3" s="703"/>
      <c r="G3" s="703"/>
      <c r="H3" s="703"/>
      <c r="I3" s="62"/>
      <c r="J3" s="62"/>
      <c r="K3" s="62"/>
      <c r="L3" s="62"/>
      <c r="M3" s="62"/>
    </row>
    <row r="4" spans="1:13" ht="36.75" customHeight="1"/>
    <row r="5" spans="1:13" ht="17.25" customHeight="1">
      <c r="A5" s="754" t="s">
        <v>964</v>
      </c>
      <c r="B5" s="754"/>
      <c r="C5" s="754"/>
      <c r="D5" s="754"/>
      <c r="E5" s="754"/>
      <c r="F5" s="754"/>
      <c r="G5" s="754"/>
      <c r="H5" s="754"/>
      <c r="I5" s="453"/>
      <c r="J5" s="453"/>
    </row>
    <row r="6" spans="1:13">
      <c r="A6" s="413"/>
      <c r="B6" s="413"/>
      <c r="C6" s="413"/>
      <c r="D6" s="413"/>
      <c r="E6" s="413"/>
      <c r="F6" s="413"/>
      <c r="G6" s="413"/>
      <c r="H6" s="413"/>
      <c r="I6" s="413"/>
    </row>
    <row r="7" spans="1:13" ht="18">
      <c r="A7" s="454" t="s">
        <v>884</v>
      </c>
      <c r="B7" s="500" t="s">
        <v>982</v>
      </c>
      <c r="C7" s="452"/>
      <c r="D7" s="452"/>
      <c r="E7" s="452"/>
      <c r="F7" s="452"/>
      <c r="G7" s="452"/>
      <c r="H7" s="452"/>
    </row>
    <row r="8" spans="1:13">
      <c r="A8" s="133" t="s">
        <v>984</v>
      </c>
    </row>
    <row r="9" spans="1:13">
      <c r="A9" s="133" t="s">
        <v>983</v>
      </c>
    </row>
    <row r="10" spans="1:13">
      <c r="A10" s="501" t="s">
        <v>985</v>
      </c>
    </row>
    <row r="13" spans="1:13" ht="18">
      <c r="A13" s="518" t="s">
        <v>885</v>
      </c>
      <c r="B13" s="495" t="s">
        <v>175</v>
      </c>
    </row>
    <row r="14" spans="1:13">
      <c r="B14" s="69" t="s">
        <v>176</v>
      </c>
    </row>
    <row r="16" spans="1:13" ht="22.5">
      <c r="A16" s="630" t="s">
        <v>518</v>
      </c>
      <c r="B16" s="79" t="s">
        <v>177</v>
      </c>
      <c r="C16" s="79"/>
    </row>
    <row r="17" spans="1:11">
      <c r="F17" s="257" t="s">
        <v>721</v>
      </c>
      <c r="G17" s="135"/>
      <c r="H17" s="257" t="s">
        <v>25</v>
      </c>
      <c r="K17" s="55"/>
    </row>
    <row r="18" spans="1:11" ht="18">
      <c r="F18" s="267" t="s">
        <v>724</v>
      </c>
      <c r="G18" s="418"/>
      <c r="H18" s="267" t="s">
        <v>724</v>
      </c>
      <c r="K18" s="55"/>
    </row>
    <row r="19" spans="1:11">
      <c r="A19" s="133" t="s">
        <v>887</v>
      </c>
      <c r="F19" s="290">
        <v>154769310</v>
      </c>
      <c r="G19" s="410"/>
      <c r="H19" s="290">
        <v>0</v>
      </c>
      <c r="K19" s="55"/>
    </row>
    <row r="20" spans="1:11">
      <c r="A20" s="133" t="s">
        <v>888</v>
      </c>
      <c r="F20" s="290">
        <v>25836150291</v>
      </c>
      <c r="G20" s="410"/>
      <c r="H20" s="290">
        <v>16613755085</v>
      </c>
      <c r="K20" s="55"/>
    </row>
    <row r="21" spans="1:11">
      <c r="A21" s="753" t="s">
        <v>889</v>
      </c>
      <c r="B21" s="753"/>
      <c r="C21" s="753"/>
      <c r="D21" s="753"/>
      <c r="F21" s="290">
        <v>779625001</v>
      </c>
      <c r="G21" s="410"/>
      <c r="H21" s="290">
        <v>500100001</v>
      </c>
      <c r="K21" s="55"/>
    </row>
    <row r="22" spans="1:11">
      <c r="A22" s="753" t="s">
        <v>890</v>
      </c>
      <c r="B22" s="753"/>
      <c r="C22" s="753"/>
      <c r="D22" s="753"/>
      <c r="F22" s="290">
        <v>205250000</v>
      </c>
      <c r="G22" s="410"/>
      <c r="H22" s="290">
        <v>193175000</v>
      </c>
      <c r="K22" s="55"/>
    </row>
    <row r="23" spans="1:11">
      <c r="A23" s="753" t="s">
        <v>891</v>
      </c>
      <c r="B23" s="753"/>
      <c r="C23" s="753"/>
      <c r="D23" s="753"/>
      <c r="F23" s="344">
        <v>50000000</v>
      </c>
      <c r="G23" s="410"/>
      <c r="H23" s="344">
        <v>0</v>
      </c>
      <c r="K23" s="55"/>
    </row>
    <row r="24" spans="1:11" ht="18" thickBot="1">
      <c r="F24" s="132">
        <f>SUM(F19:F23)</f>
        <v>27025794602</v>
      </c>
      <c r="G24" s="278"/>
      <c r="H24" s="132">
        <f>SUM(H19:H23)</f>
        <v>17307030086</v>
      </c>
      <c r="K24" s="55"/>
    </row>
    <row r="25" spans="1:11" ht="13.5" customHeight="1" thickTop="1"/>
    <row r="26" spans="1:11" ht="22.5">
      <c r="A26" s="651" t="s">
        <v>1005</v>
      </c>
      <c r="B26" s="133"/>
      <c r="C26" s="133"/>
      <c r="D26" s="283"/>
      <c r="E26" s="264"/>
    </row>
    <row r="27" spans="1:11" ht="18">
      <c r="A27" s="404" t="s">
        <v>892</v>
      </c>
      <c r="B27" s="133"/>
      <c r="C27" s="133"/>
      <c r="F27" s="69"/>
      <c r="G27" s="69"/>
      <c r="H27" s="69"/>
      <c r="I27" s="69"/>
    </row>
    <row r="28" spans="1:11">
      <c r="A28" s="69"/>
      <c r="B28" s="279"/>
      <c r="C28" s="279"/>
      <c r="D28" s="264"/>
      <c r="E28" s="264"/>
    </row>
    <row r="29" spans="1:11" ht="17.25" customHeight="1">
      <c r="A29" s="69"/>
      <c r="B29" s="279"/>
      <c r="C29" s="279"/>
      <c r="D29" s="752" t="s">
        <v>721</v>
      </c>
      <c r="E29" s="752"/>
      <c r="F29" s="752"/>
      <c r="G29" s="135"/>
      <c r="H29" s="284" t="s">
        <v>25</v>
      </c>
    </row>
    <row r="30" spans="1:11">
      <c r="A30" s="69"/>
      <c r="C30" s="279" t="s">
        <v>24</v>
      </c>
      <c r="D30" s="257" t="s">
        <v>138</v>
      </c>
      <c r="E30" s="257" t="s">
        <v>179</v>
      </c>
      <c r="F30" s="257" t="s">
        <v>122</v>
      </c>
      <c r="G30" s="135"/>
      <c r="H30" s="130" t="s">
        <v>121</v>
      </c>
    </row>
    <row r="31" spans="1:11" ht="18">
      <c r="A31" s="69"/>
      <c r="D31" s="267" t="s">
        <v>724</v>
      </c>
      <c r="E31" s="267" t="s">
        <v>724</v>
      </c>
      <c r="F31" s="267" t="s">
        <v>724</v>
      </c>
      <c r="G31" s="418"/>
      <c r="H31" s="267" t="s">
        <v>724</v>
      </c>
    </row>
    <row r="32" spans="1:11">
      <c r="A32" s="69" t="s">
        <v>893</v>
      </c>
      <c r="C32" s="55"/>
      <c r="D32" s="290">
        <v>0</v>
      </c>
      <c r="E32" s="290"/>
      <c r="F32" s="290"/>
      <c r="G32" s="410"/>
      <c r="H32" s="424">
        <v>47916847008</v>
      </c>
    </row>
    <row r="33" spans="1:8">
      <c r="A33" s="69" t="s">
        <v>894</v>
      </c>
      <c r="B33" s="279"/>
      <c r="C33" s="279" t="s">
        <v>519</v>
      </c>
      <c r="D33" s="290">
        <f>'19'!E19</f>
        <v>13331416599</v>
      </c>
      <c r="E33" s="290"/>
      <c r="F33" s="290">
        <f>D33-E33</f>
        <v>13331416599</v>
      </c>
      <c r="G33" s="410"/>
      <c r="H33" s="424">
        <v>3077582641</v>
      </c>
    </row>
    <row r="34" spans="1:8" ht="18" thickBot="1">
      <c r="A34" s="69"/>
      <c r="B34" s="279"/>
      <c r="C34" s="279"/>
      <c r="D34" s="132">
        <f>SUM(D32:D33)</f>
        <v>13331416599</v>
      </c>
      <c r="E34" s="132">
        <f>SUM(E32:E33)</f>
        <v>0</v>
      </c>
      <c r="F34" s="132">
        <f>SUM(F32:F33)</f>
        <v>13331416599</v>
      </c>
      <c r="G34" s="278"/>
      <c r="H34" s="425">
        <f>SUM(H32:H33)</f>
        <v>50994429649</v>
      </c>
    </row>
    <row r="35" spans="1:8" ht="18" thickTop="1"/>
  </sheetData>
  <mergeCells count="8">
    <mergeCell ref="D29:F29"/>
    <mergeCell ref="A22:D22"/>
    <mergeCell ref="A21:D21"/>
    <mergeCell ref="A23:D23"/>
    <mergeCell ref="A1:H1"/>
    <mergeCell ref="A2:H2"/>
    <mergeCell ref="A3:H3"/>
    <mergeCell ref="A5:H5"/>
  </mergeCells>
  <pageMargins left="0" right="0" top="0.35433070866141736" bottom="0.35433070866141736" header="0.31496062992125984" footer="0.31496062992125984"/>
  <pageSetup paperSize="9" orientation="portrait" horizontalDpi="300" verticalDpi="300" r:id="rId1"/>
  <headerFooter>
    <oddFooter>&amp;C&amp;"B Mitra,Bold"&amp;14 18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49"/>
  <sheetViews>
    <sheetView rightToLeft="1" topLeftCell="A40" workbookViewId="0">
      <selection activeCell="N13" sqref="N13"/>
    </sheetView>
  </sheetViews>
  <sheetFormatPr defaultColWidth="9" defaultRowHeight="18"/>
  <cols>
    <col min="1" max="1" width="8.28515625" style="102" customWidth="1"/>
    <col min="2" max="2" width="27.140625" style="69" customWidth="1"/>
    <col min="3" max="3" width="9.85546875" style="279" customWidth="1"/>
    <col min="4" max="4" width="2" style="109" hidden="1" customWidth="1"/>
    <col min="5" max="5" width="11.140625" style="137" hidden="1" customWidth="1"/>
    <col min="6" max="6" width="1.85546875" style="137" hidden="1" customWidth="1"/>
    <col min="7" max="7" width="0.140625" style="137" customWidth="1"/>
    <col min="8" max="8" width="2.140625" style="137" customWidth="1"/>
    <col min="9" max="9" width="14.42578125" style="621" customWidth="1"/>
    <col min="10" max="10" width="2" style="69" customWidth="1"/>
    <col min="11" max="11" width="16.7109375" style="110" customWidth="1"/>
    <col min="12" max="16384" width="9" style="55"/>
  </cols>
  <sheetData>
    <row r="1" spans="1:25" ht="22.5">
      <c r="A1" s="703" t="s">
        <v>127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5" ht="22.5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5" ht="22.5" customHeight="1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5" ht="14.25" customHeight="1">
      <c r="A4" s="633"/>
      <c r="B4" s="405"/>
      <c r="C4" s="619"/>
      <c r="D4" s="405"/>
      <c r="E4" s="405"/>
      <c r="F4" s="405"/>
      <c r="G4" s="405"/>
      <c r="H4" s="405"/>
      <c r="I4" s="631"/>
      <c r="J4" s="631"/>
      <c r="K4" s="631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1:25" ht="18.75" customHeight="1">
      <c r="A5" s="722" t="s">
        <v>1007</v>
      </c>
      <c r="B5" s="722"/>
      <c r="C5" s="722"/>
    </row>
    <row r="6" spans="1:25" ht="9" customHeight="1">
      <c r="G6" s="441"/>
      <c r="H6" s="441"/>
      <c r="I6" s="632"/>
      <c r="J6" s="632"/>
      <c r="K6" s="632"/>
    </row>
    <row r="7" spans="1:25">
      <c r="C7" s="349"/>
      <c r="D7" s="298"/>
      <c r="E7" s="55"/>
      <c r="F7" s="258"/>
      <c r="G7" s="259"/>
      <c r="H7" s="259"/>
      <c r="I7" s="661" t="s">
        <v>721</v>
      </c>
      <c r="J7" s="489"/>
      <c r="K7" s="661" t="s">
        <v>25</v>
      </c>
    </row>
    <row r="8" spans="1:25" ht="9" customHeight="1">
      <c r="C8" s="380"/>
      <c r="E8" s="137" t="s">
        <v>514</v>
      </c>
      <c r="G8" s="392"/>
      <c r="H8" s="392"/>
      <c r="K8" s="625"/>
    </row>
    <row r="9" spans="1:25" ht="13.5" customHeight="1">
      <c r="A9" s="710" t="s">
        <v>901</v>
      </c>
      <c r="B9" s="710"/>
      <c r="C9" s="380"/>
      <c r="D9" s="391"/>
      <c r="E9" s="137">
        <v>1232875385</v>
      </c>
      <c r="G9" s="392"/>
      <c r="H9" s="392"/>
      <c r="I9" s="621">
        <f t="shared" ref="I9:I19" si="0">SUM(E9:H9)</f>
        <v>1232875385</v>
      </c>
      <c r="K9" s="621">
        <v>592232220</v>
      </c>
    </row>
    <row r="10" spans="1:25" ht="13.5" customHeight="1">
      <c r="A10" s="710" t="s">
        <v>902</v>
      </c>
      <c r="B10" s="710"/>
      <c r="C10" s="380"/>
      <c r="D10" s="391"/>
      <c r="E10" s="137">
        <v>1962349061</v>
      </c>
      <c r="G10" s="392"/>
      <c r="H10" s="392"/>
      <c r="I10" s="621">
        <f t="shared" si="0"/>
        <v>1962349061</v>
      </c>
      <c r="K10" s="625">
        <v>0</v>
      </c>
    </row>
    <row r="11" spans="1:25" ht="13.5" customHeight="1">
      <c r="A11" s="710" t="s">
        <v>903</v>
      </c>
      <c r="B11" s="710"/>
      <c r="C11" s="380"/>
      <c r="D11" s="391"/>
      <c r="E11" s="137">
        <v>1745994700</v>
      </c>
      <c r="G11" s="392"/>
      <c r="H11" s="392"/>
      <c r="I11" s="621">
        <f t="shared" si="0"/>
        <v>1745994700</v>
      </c>
      <c r="K11" s="625">
        <v>0</v>
      </c>
    </row>
    <row r="12" spans="1:25" ht="13.5" customHeight="1">
      <c r="A12" s="710" t="s">
        <v>904</v>
      </c>
      <c r="B12" s="710"/>
      <c r="C12" s="380"/>
      <c r="D12" s="391"/>
      <c r="E12" s="137">
        <v>1038080320</v>
      </c>
      <c r="G12" s="392"/>
      <c r="H12" s="392"/>
      <c r="I12" s="621">
        <f t="shared" si="0"/>
        <v>1038080320</v>
      </c>
      <c r="K12" s="621">
        <v>1958180102</v>
      </c>
    </row>
    <row r="13" spans="1:25" ht="13.5" customHeight="1">
      <c r="A13" s="710" t="s">
        <v>900</v>
      </c>
      <c r="B13" s="710"/>
      <c r="C13" s="380"/>
      <c r="D13" s="391"/>
      <c r="E13" s="137">
        <v>5506682332</v>
      </c>
      <c r="G13" s="392"/>
      <c r="H13" s="392"/>
      <c r="I13" s="621">
        <f t="shared" si="0"/>
        <v>5506682332</v>
      </c>
      <c r="K13" s="625">
        <v>0</v>
      </c>
    </row>
    <row r="14" spans="1:25" ht="13.5" customHeight="1">
      <c r="A14" s="710" t="s">
        <v>899</v>
      </c>
      <c r="B14" s="710"/>
      <c r="C14" s="380"/>
      <c r="D14" s="391"/>
      <c r="E14" s="137">
        <v>22195431</v>
      </c>
      <c r="G14" s="392"/>
      <c r="H14" s="392"/>
      <c r="I14" s="621">
        <f t="shared" si="0"/>
        <v>22195431</v>
      </c>
      <c r="K14" s="625">
        <v>0</v>
      </c>
    </row>
    <row r="15" spans="1:25" ht="13.5" customHeight="1">
      <c r="A15" s="710" t="s">
        <v>898</v>
      </c>
      <c r="B15" s="710"/>
      <c r="C15" s="380"/>
      <c r="D15" s="391"/>
      <c r="E15" s="137">
        <v>6234872</v>
      </c>
      <c r="G15" s="392"/>
      <c r="H15" s="392"/>
      <c r="I15" s="621">
        <f t="shared" si="0"/>
        <v>6234872</v>
      </c>
      <c r="K15" s="625">
        <v>0</v>
      </c>
    </row>
    <row r="16" spans="1:25" ht="13.5" customHeight="1">
      <c r="A16" s="710" t="s">
        <v>897</v>
      </c>
      <c r="B16" s="710"/>
      <c r="C16" s="380"/>
      <c r="D16" s="391"/>
      <c r="E16" s="137">
        <v>20403949</v>
      </c>
      <c r="G16" s="392"/>
      <c r="H16" s="392"/>
      <c r="I16" s="621">
        <f t="shared" si="0"/>
        <v>20403949</v>
      </c>
      <c r="K16" s="625">
        <v>0</v>
      </c>
    </row>
    <row r="17" spans="1:14" ht="13.5" customHeight="1">
      <c r="A17" s="710" t="s">
        <v>896</v>
      </c>
      <c r="B17" s="710"/>
      <c r="C17" s="380"/>
      <c r="D17" s="391"/>
      <c r="E17" s="137">
        <v>1796600549</v>
      </c>
      <c r="G17" s="392"/>
      <c r="H17" s="392"/>
      <c r="I17" s="621">
        <f t="shared" si="0"/>
        <v>1796600549</v>
      </c>
      <c r="K17" s="625">
        <v>0</v>
      </c>
    </row>
    <row r="18" spans="1:14" ht="13.5" customHeight="1">
      <c r="A18" s="755" t="s">
        <v>895</v>
      </c>
      <c r="B18" s="755"/>
      <c r="C18" s="349"/>
      <c r="D18" s="122"/>
      <c r="E18" s="137">
        <v>0</v>
      </c>
      <c r="G18" s="392"/>
      <c r="H18" s="392"/>
      <c r="I18" s="621">
        <f t="shared" si="0"/>
        <v>0</v>
      </c>
      <c r="J18" s="131"/>
      <c r="K18" s="621">
        <v>527170319</v>
      </c>
      <c r="N18" s="392"/>
    </row>
    <row r="19" spans="1:14" ht="18.75" thickBot="1">
      <c r="C19" s="349"/>
      <c r="D19" s="122"/>
      <c r="E19" s="394">
        <f>SUM(E9:E18)</f>
        <v>13331416599</v>
      </c>
      <c r="G19" s="392"/>
      <c r="H19" s="392"/>
      <c r="I19" s="132">
        <f t="shared" si="0"/>
        <v>13331416599</v>
      </c>
      <c r="J19" s="131"/>
      <c r="K19" s="132">
        <f>SUM(K9:K18)</f>
        <v>3077582641</v>
      </c>
    </row>
    <row r="20" spans="1:14" ht="7.5" customHeight="1" thickTop="1">
      <c r="D20" s="122"/>
      <c r="G20" s="392"/>
      <c r="H20" s="392"/>
      <c r="J20" s="131"/>
    </row>
    <row r="21" spans="1:14" ht="18.75" customHeight="1">
      <c r="A21" s="634" t="s">
        <v>520</v>
      </c>
      <c r="B21" s="79" t="s">
        <v>181</v>
      </c>
      <c r="G21" s="392"/>
      <c r="H21" s="392"/>
      <c r="J21" s="625"/>
      <c r="K21" s="625"/>
    </row>
    <row r="22" spans="1:14">
      <c r="B22" s="495" t="s">
        <v>182</v>
      </c>
      <c r="J22" s="625"/>
      <c r="K22" s="625"/>
    </row>
    <row r="23" spans="1:14">
      <c r="C23" s="624" t="s">
        <v>24</v>
      </c>
      <c r="E23" s="258" t="s">
        <v>721</v>
      </c>
      <c r="F23" s="258"/>
      <c r="G23" s="259"/>
      <c r="H23" s="259"/>
      <c r="I23" s="661" t="s">
        <v>721</v>
      </c>
      <c r="J23" s="658"/>
      <c r="K23" s="661" t="s">
        <v>25</v>
      </c>
    </row>
    <row r="24" spans="1:14" ht="9" customHeight="1">
      <c r="D24" s="69"/>
      <c r="E24" s="137" t="s">
        <v>514</v>
      </c>
      <c r="G24" s="392"/>
      <c r="H24" s="392"/>
      <c r="I24" s="278"/>
      <c r="J24" s="135"/>
      <c r="K24" s="135"/>
    </row>
    <row r="25" spans="1:14">
      <c r="B25" s="73" t="s">
        <v>183</v>
      </c>
      <c r="C25" s="279">
        <v>17</v>
      </c>
      <c r="D25" s="69"/>
      <c r="E25" s="137">
        <v>13525562507</v>
      </c>
      <c r="G25" s="392"/>
      <c r="H25" s="392"/>
      <c r="I25" s="621">
        <f>E25</f>
        <v>13525562507</v>
      </c>
      <c r="J25" s="621"/>
      <c r="K25" s="621">
        <v>22815498447</v>
      </c>
    </row>
    <row r="26" spans="1:14">
      <c r="B26" s="69" t="s">
        <v>829</v>
      </c>
      <c r="C26" s="279" t="s">
        <v>521</v>
      </c>
      <c r="D26" s="122"/>
      <c r="E26" s="137">
        <f>E36</f>
        <v>33506988457</v>
      </c>
      <c r="G26" s="392">
        <v>0</v>
      </c>
      <c r="H26" s="392"/>
      <c r="I26" s="621">
        <f>I36</f>
        <v>33506988457</v>
      </c>
      <c r="J26" s="621"/>
      <c r="K26" s="621">
        <v>0</v>
      </c>
    </row>
    <row r="27" spans="1:14">
      <c r="B27" s="69" t="s">
        <v>827</v>
      </c>
      <c r="C27" s="279" t="s">
        <v>830</v>
      </c>
      <c r="D27" s="344"/>
      <c r="E27" s="137">
        <f>E43</f>
        <v>11073970318</v>
      </c>
      <c r="G27" s="392">
        <v>0</v>
      </c>
      <c r="H27" s="392"/>
      <c r="I27" s="621">
        <f>I43</f>
        <v>11073970318</v>
      </c>
      <c r="J27" s="621"/>
      <c r="K27" s="621"/>
    </row>
    <row r="28" spans="1:14">
      <c r="B28" s="69" t="s">
        <v>184</v>
      </c>
      <c r="C28" s="279" t="s">
        <v>1006</v>
      </c>
      <c r="D28" s="122"/>
      <c r="E28" s="137">
        <v>12015101799</v>
      </c>
      <c r="G28" s="392">
        <f>G48</f>
        <v>0</v>
      </c>
      <c r="H28" s="392"/>
      <c r="I28" s="621">
        <f>E28-G28</f>
        <v>12015101799</v>
      </c>
      <c r="J28" s="621"/>
      <c r="K28" s="621">
        <f>K48</f>
        <v>9455898625</v>
      </c>
    </row>
    <row r="29" spans="1:14" ht="18.75" thickBot="1">
      <c r="D29" s="122"/>
      <c r="E29" s="138">
        <f>SUM(E25:E28)</f>
        <v>70121623081</v>
      </c>
      <c r="F29" s="137">
        <v>0</v>
      </c>
      <c r="G29" s="392">
        <f>SUM(G26:G28)</f>
        <v>0</v>
      </c>
      <c r="H29" s="392"/>
      <c r="I29" s="132">
        <f>SUM(I25:I28)</f>
        <v>70121623081</v>
      </c>
      <c r="J29" s="621"/>
      <c r="K29" s="132">
        <f>SUM(K25:K28)</f>
        <v>32271397072</v>
      </c>
    </row>
    <row r="30" spans="1:14" ht="9.75" customHeight="1" thickTop="1">
      <c r="D30" s="499"/>
      <c r="E30" s="392"/>
      <c r="G30" s="392"/>
      <c r="H30" s="392"/>
      <c r="I30" s="278"/>
      <c r="J30" s="621"/>
      <c r="K30" s="278"/>
    </row>
    <row r="31" spans="1:14" ht="15.75" customHeight="1">
      <c r="D31" s="659"/>
      <c r="E31" s="392"/>
      <c r="G31" s="392"/>
      <c r="H31" s="392"/>
      <c r="I31" s="661" t="s">
        <v>721</v>
      </c>
      <c r="J31" s="658"/>
      <c r="K31" s="661" t="s">
        <v>25</v>
      </c>
    </row>
    <row r="32" spans="1:14">
      <c r="A32" s="102" t="s">
        <v>521</v>
      </c>
      <c r="B32" s="495" t="s">
        <v>828</v>
      </c>
      <c r="D32" s="122"/>
      <c r="E32" s="137" t="s">
        <v>71</v>
      </c>
      <c r="G32" s="392"/>
      <c r="H32" s="392"/>
      <c r="J32" s="621"/>
      <c r="K32" s="621"/>
    </row>
    <row r="33" spans="1:11">
      <c r="B33" s="69" t="s">
        <v>831</v>
      </c>
      <c r="D33" s="344"/>
      <c r="E33" s="137">
        <v>19611958107</v>
      </c>
      <c r="G33" s="392">
        <v>0</v>
      </c>
      <c r="H33" s="392"/>
      <c r="I33" s="621">
        <f>E33</f>
        <v>19611958107</v>
      </c>
      <c r="J33" s="621"/>
      <c r="K33" s="621">
        <v>0</v>
      </c>
    </row>
    <row r="34" spans="1:11">
      <c r="B34" s="69" t="s">
        <v>832</v>
      </c>
      <c r="D34" s="344"/>
      <c r="E34" s="137">
        <v>12164428055</v>
      </c>
      <c r="G34" s="392">
        <v>0</v>
      </c>
      <c r="H34" s="392"/>
      <c r="I34" s="621">
        <f>E34</f>
        <v>12164428055</v>
      </c>
      <c r="J34" s="621"/>
      <c r="K34" s="621">
        <v>0</v>
      </c>
    </row>
    <row r="35" spans="1:11">
      <c r="B35" s="69" t="s">
        <v>113</v>
      </c>
      <c r="D35" s="344"/>
      <c r="E35" s="137">
        <v>1730602295</v>
      </c>
      <c r="G35" s="392">
        <v>0</v>
      </c>
      <c r="H35" s="392"/>
      <c r="I35" s="621">
        <f>E35</f>
        <v>1730602295</v>
      </c>
      <c r="J35" s="621"/>
      <c r="K35" s="621">
        <v>0</v>
      </c>
    </row>
    <row r="36" spans="1:11" ht="18.75" thickBot="1">
      <c r="D36" s="344"/>
      <c r="E36" s="138">
        <f>SUM(E33:E35)</f>
        <v>33506988457</v>
      </c>
      <c r="G36" s="392">
        <f>SUM(G29:G35)</f>
        <v>0</v>
      </c>
      <c r="H36" s="392"/>
      <c r="I36" s="132">
        <f>SUM(I33:I35)</f>
        <v>33506988457</v>
      </c>
      <c r="J36" s="621"/>
      <c r="K36" s="132">
        <f>SUM(K33:K35)</f>
        <v>0</v>
      </c>
    </row>
    <row r="37" spans="1:11" ht="7.5" customHeight="1" thickTop="1">
      <c r="D37" s="659"/>
      <c r="E37" s="392"/>
      <c r="G37" s="392"/>
      <c r="H37" s="392"/>
      <c r="I37" s="278"/>
      <c r="J37" s="659"/>
      <c r="K37" s="278"/>
    </row>
    <row r="38" spans="1:11">
      <c r="D38" s="659"/>
      <c r="E38" s="392"/>
      <c r="G38" s="392"/>
      <c r="H38" s="392"/>
      <c r="I38" s="661" t="s">
        <v>721</v>
      </c>
      <c r="J38" s="658"/>
      <c r="K38" s="661" t="s">
        <v>25</v>
      </c>
    </row>
    <row r="39" spans="1:11">
      <c r="A39" s="102" t="s">
        <v>830</v>
      </c>
      <c r="B39" s="495" t="s">
        <v>833</v>
      </c>
      <c r="D39" s="344"/>
      <c r="G39" s="392"/>
      <c r="H39" s="392"/>
      <c r="J39" s="621"/>
      <c r="K39" s="621"/>
    </row>
    <row r="40" spans="1:11">
      <c r="B40" s="69" t="s">
        <v>831</v>
      </c>
      <c r="D40" s="344"/>
      <c r="E40" s="137">
        <v>2910320666</v>
      </c>
      <c r="G40" s="392">
        <v>0</v>
      </c>
      <c r="H40" s="392"/>
      <c r="I40" s="621">
        <f>E40</f>
        <v>2910320666</v>
      </c>
      <c r="J40" s="621"/>
      <c r="K40" s="621">
        <v>0</v>
      </c>
    </row>
    <row r="41" spans="1:11">
      <c r="B41" s="69" t="s">
        <v>764</v>
      </c>
      <c r="D41" s="344"/>
      <c r="E41" s="137">
        <v>7565670525</v>
      </c>
      <c r="G41" s="392">
        <v>0</v>
      </c>
      <c r="H41" s="392"/>
      <c r="I41" s="621">
        <f>E41</f>
        <v>7565670525</v>
      </c>
      <c r="J41" s="621"/>
      <c r="K41" s="621">
        <v>0</v>
      </c>
    </row>
    <row r="42" spans="1:11">
      <c r="B42" s="69" t="s">
        <v>228</v>
      </c>
      <c r="D42" s="344"/>
      <c r="E42" s="137">
        <v>597979127</v>
      </c>
      <c r="G42" s="392">
        <v>0</v>
      </c>
      <c r="H42" s="392"/>
      <c r="I42" s="621">
        <f>E42</f>
        <v>597979127</v>
      </c>
      <c r="J42" s="621"/>
      <c r="K42" s="621">
        <v>0</v>
      </c>
    </row>
    <row r="43" spans="1:11" ht="18.75" thickBot="1">
      <c r="D43" s="344"/>
      <c r="E43" s="138">
        <f>SUM(E40:E42)</f>
        <v>11073970318</v>
      </c>
      <c r="G43" s="392">
        <f>SUM(G36:G42)</f>
        <v>0</v>
      </c>
      <c r="H43" s="392"/>
      <c r="I43" s="132">
        <f>SUM(I40:I42)</f>
        <v>11073970318</v>
      </c>
      <c r="J43" s="621"/>
      <c r="K43" s="132">
        <f>SUM(K40:K42)</f>
        <v>0</v>
      </c>
    </row>
    <row r="44" spans="1:11" ht="9.75" customHeight="1" thickTop="1">
      <c r="D44" s="344"/>
      <c r="G44" s="392"/>
      <c r="H44" s="392"/>
      <c r="J44" s="621"/>
      <c r="K44" s="621"/>
    </row>
    <row r="45" spans="1:11">
      <c r="A45" s="102" t="s">
        <v>1006</v>
      </c>
      <c r="B45" s="495" t="s">
        <v>185</v>
      </c>
      <c r="D45" s="122"/>
      <c r="G45" s="392"/>
      <c r="H45" s="392"/>
      <c r="I45" s="661" t="s">
        <v>721</v>
      </c>
      <c r="J45" s="658"/>
      <c r="K45" s="661" t="s">
        <v>25</v>
      </c>
    </row>
    <row r="46" spans="1:11">
      <c r="A46" s="102" t="s">
        <v>186</v>
      </c>
      <c r="D46" s="122"/>
      <c r="E46" s="137">
        <v>12015101799</v>
      </c>
      <c r="G46" s="392">
        <v>0</v>
      </c>
      <c r="H46" s="392"/>
      <c r="I46" s="621">
        <f>SUM(E46:G46)</f>
        <v>12015101799</v>
      </c>
      <c r="J46" s="621"/>
      <c r="K46" s="621">
        <v>9057210375</v>
      </c>
    </row>
    <row r="47" spans="1:11">
      <c r="A47" s="102" t="s">
        <v>187</v>
      </c>
      <c r="D47" s="122"/>
      <c r="E47" s="137">
        <v>0</v>
      </c>
      <c r="G47" s="392">
        <v>0</v>
      </c>
      <c r="H47" s="392"/>
      <c r="I47" s="621">
        <f>SUM(E47:G47)</f>
        <v>0</v>
      </c>
      <c r="J47" s="621"/>
      <c r="K47" s="621">
        <v>398688250</v>
      </c>
    </row>
    <row r="48" spans="1:11" ht="18.75" thickBot="1">
      <c r="D48" s="122"/>
      <c r="E48" s="138">
        <f>SUM(E46:E47)</f>
        <v>12015101799</v>
      </c>
      <c r="F48" s="137">
        <v>0</v>
      </c>
      <c r="G48" s="392">
        <f>SUM(G46:G47)</f>
        <v>0</v>
      </c>
      <c r="H48" s="392"/>
      <c r="I48" s="132">
        <f>SUM(I46:I47)</f>
        <v>12015101799</v>
      </c>
      <c r="J48" s="621"/>
      <c r="K48" s="132">
        <f>SUM(K46:K47)</f>
        <v>9455898625</v>
      </c>
    </row>
    <row r="49" ht="18.75" thickTop="1"/>
  </sheetData>
  <mergeCells count="14">
    <mergeCell ref="A16:B16"/>
    <mergeCell ref="A17:B17"/>
    <mergeCell ref="A18:B18"/>
    <mergeCell ref="A1:K1"/>
    <mergeCell ref="A2:K2"/>
    <mergeCell ref="A3:K3"/>
    <mergeCell ref="A5:C5"/>
    <mergeCell ref="A15:B15"/>
    <mergeCell ref="A14:B14"/>
    <mergeCell ref="A9:B9"/>
    <mergeCell ref="A10:B10"/>
    <mergeCell ref="A11:B11"/>
    <mergeCell ref="A12:B12"/>
    <mergeCell ref="A13:B13"/>
  </mergeCells>
  <pageMargins left="0.59055118110236227" right="0.39370078740157483" top="0.55118110236220474" bottom="0.55118110236220474" header="0.31496062992125984" footer="0.27559055118110237"/>
  <pageSetup paperSize="9" orientation="portrait" horizontalDpi="300" verticalDpi="300" r:id="rId1"/>
  <headerFooter>
    <oddFooter>&amp;C&amp;"B Mitra,Bold"&amp;14 19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AD33"/>
  <sheetViews>
    <sheetView rightToLeft="1" topLeftCell="A25" workbookViewId="0">
      <selection activeCell="L14" sqref="L14"/>
    </sheetView>
  </sheetViews>
  <sheetFormatPr defaultColWidth="9" defaultRowHeight="18"/>
  <cols>
    <col min="1" max="1" width="5.7109375" style="363" customWidth="1"/>
    <col min="2" max="2" width="11.42578125" style="363" customWidth="1"/>
    <col min="3" max="3" width="1.28515625" style="230" customWidth="1"/>
    <col min="4" max="4" width="6.140625" style="641" customWidth="1"/>
    <col min="5" max="5" width="1" style="363" customWidth="1"/>
    <col min="6" max="6" width="10.7109375" style="363" customWidth="1"/>
    <col min="7" max="7" width="0.7109375" style="363" customWidth="1"/>
    <col min="8" max="8" width="10.7109375" style="363" customWidth="1"/>
    <col min="9" max="9" width="0.7109375" style="363" customWidth="1"/>
    <col min="10" max="10" width="10.7109375" style="363" customWidth="1"/>
    <col min="11" max="11" width="0.7109375" style="363" customWidth="1"/>
    <col min="12" max="12" width="10.7109375" style="363" customWidth="1"/>
    <col min="13" max="13" width="0.7109375" style="363" customWidth="1"/>
    <col min="14" max="14" width="10.7109375" style="363" customWidth="1"/>
    <col min="15" max="15" width="0.7109375" style="363" customWidth="1"/>
    <col min="16" max="16" width="10.7109375" style="363" customWidth="1"/>
    <col min="17" max="17" width="0.7109375" style="363" customWidth="1"/>
    <col min="18" max="18" width="10.7109375" style="363" customWidth="1"/>
    <col min="19" max="19" width="0.7109375" style="363" customWidth="1"/>
    <col min="20" max="20" width="10.7109375" style="363" customWidth="1"/>
    <col min="21" max="21" width="0.7109375" style="363" customWidth="1"/>
    <col min="22" max="22" width="7.7109375" style="363" customWidth="1"/>
    <col min="23" max="23" width="0.7109375" style="363" customWidth="1"/>
    <col min="24" max="24" width="10.7109375" style="363" customWidth="1"/>
    <col min="25" max="25" width="0.85546875" style="363" customWidth="1"/>
    <col min="26" max="26" width="10.7109375" style="363" customWidth="1"/>
    <col min="27" max="27" width="1" style="363" customWidth="1"/>
    <col min="28" max="28" width="10.7109375" style="363" customWidth="1"/>
    <col min="29" max="16384" width="9" style="5"/>
  </cols>
  <sheetData>
    <row r="1" spans="1:30" ht="22.5">
      <c r="A1" s="703" t="s">
        <v>720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  <c r="AA1" s="703"/>
      <c r="AB1" s="703"/>
    </row>
    <row r="2" spans="1:30" ht="22.5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3"/>
      <c r="W2" s="703"/>
      <c r="X2" s="703"/>
      <c r="Y2" s="703"/>
      <c r="Z2" s="703"/>
      <c r="AA2" s="703"/>
      <c r="AB2" s="703"/>
    </row>
    <row r="3" spans="1:30" ht="22.5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  <c r="Y3" s="703"/>
      <c r="Z3" s="703"/>
      <c r="AA3" s="703"/>
      <c r="AB3" s="703"/>
    </row>
    <row r="4" spans="1:30">
      <c r="B4" s="275"/>
      <c r="C4" s="229"/>
      <c r="D4" s="63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</row>
    <row r="5" spans="1:30" ht="22.5">
      <c r="A5" s="382" t="s">
        <v>794</v>
      </c>
      <c r="B5" s="381" t="s">
        <v>795</v>
      </c>
      <c r="C5" s="381"/>
      <c r="D5" s="382"/>
      <c r="E5" s="360"/>
      <c r="F5" s="360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</row>
    <row r="6" spans="1:30">
      <c r="A6" s="231" t="s">
        <v>188</v>
      </c>
      <c r="B6" s="232"/>
      <c r="C6" s="352"/>
      <c r="D6" s="636"/>
      <c r="E6" s="232"/>
      <c r="F6" s="232"/>
      <c r="G6" s="232"/>
      <c r="H6" s="232"/>
      <c r="I6" s="232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232"/>
      <c r="Y6" s="232"/>
      <c r="Z6" s="232"/>
      <c r="AA6" s="232"/>
      <c r="AB6" s="232"/>
    </row>
    <row r="7" spans="1:30">
      <c r="A7" s="231"/>
      <c r="B7" s="232"/>
      <c r="C7" s="352"/>
      <c r="D7" s="636"/>
      <c r="E7" s="232"/>
      <c r="F7" s="232"/>
      <c r="G7" s="232"/>
      <c r="H7" s="232"/>
      <c r="I7" s="232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232"/>
      <c r="Y7" s="232"/>
      <c r="Z7" s="232"/>
      <c r="AA7" s="232"/>
      <c r="AB7" s="232"/>
    </row>
    <row r="8" spans="1:30">
      <c r="A8" s="232"/>
      <c r="B8" s="232"/>
      <c r="C8" s="352"/>
      <c r="D8" s="636"/>
      <c r="E8" s="232"/>
      <c r="F8" s="759" t="s">
        <v>189</v>
      </c>
      <c r="G8" s="759"/>
      <c r="H8" s="759"/>
      <c r="I8" s="759"/>
      <c r="J8" s="759"/>
      <c r="K8" s="759"/>
      <c r="L8" s="759"/>
      <c r="M8" s="759"/>
      <c r="N8" s="759"/>
      <c r="O8" s="362"/>
      <c r="P8" s="759" t="s">
        <v>190</v>
      </c>
      <c r="Q8" s="759"/>
      <c r="R8" s="759"/>
      <c r="S8" s="759"/>
      <c r="T8" s="759"/>
      <c r="U8" s="759"/>
      <c r="V8" s="759"/>
      <c r="W8" s="759"/>
      <c r="X8" s="759"/>
      <c r="Y8" s="362"/>
      <c r="Z8" s="759" t="s">
        <v>686</v>
      </c>
      <c r="AA8" s="759"/>
      <c r="AB8" s="759"/>
    </row>
    <row r="9" spans="1:30">
      <c r="A9" s="760" t="s">
        <v>191</v>
      </c>
      <c r="B9" s="760"/>
      <c r="C9" s="532"/>
      <c r="D9" s="637"/>
      <c r="E9" s="533"/>
      <c r="F9" s="534" t="s">
        <v>192</v>
      </c>
      <c r="G9" s="534"/>
      <c r="H9" s="534" t="s">
        <v>193</v>
      </c>
      <c r="I9" s="534"/>
      <c r="J9" s="534" t="s">
        <v>194</v>
      </c>
      <c r="K9" s="534"/>
      <c r="L9" s="534" t="s">
        <v>195</v>
      </c>
      <c r="M9" s="534"/>
      <c r="N9" s="534" t="s">
        <v>192</v>
      </c>
      <c r="O9" s="535"/>
      <c r="P9" s="534" t="s">
        <v>192</v>
      </c>
      <c r="Q9" s="534"/>
      <c r="R9" s="534" t="s">
        <v>196</v>
      </c>
      <c r="S9" s="534"/>
      <c r="T9" s="534" t="s">
        <v>139</v>
      </c>
      <c r="U9" s="534"/>
      <c r="V9" s="534" t="s">
        <v>197</v>
      </c>
      <c r="W9" s="534"/>
      <c r="X9" s="534" t="s">
        <v>192</v>
      </c>
      <c r="Y9" s="535"/>
      <c r="Z9" s="534" t="s">
        <v>192</v>
      </c>
      <c r="AA9" s="534"/>
      <c r="AB9" s="534" t="s">
        <v>192</v>
      </c>
      <c r="AC9" s="259"/>
      <c r="AD9" s="259"/>
    </row>
    <row r="10" spans="1:30">
      <c r="A10" s="761"/>
      <c r="B10" s="761"/>
      <c r="C10" s="532"/>
      <c r="D10" s="638" t="s">
        <v>687</v>
      </c>
      <c r="E10" s="533"/>
      <c r="F10" s="536" t="s">
        <v>25</v>
      </c>
      <c r="G10" s="534"/>
      <c r="H10" s="536" t="s">
        <v>198</v>
      </c>
      <c r="I10" s="534"/>
      <c r="J10" s="536" t="s">
        <v>199</v>
      </c>
      <c r="K10" s="534"/>
      <c r="L10" s="536" t="s">
        <v>200</v>
      </c>
      <c r="M10" s="534"/>
      <c r="N10" s="536" t="s">
        <v>721</v>
      </c>
      <c r="O10" s="535"/>
      <c r="P10" s="536" t="s">
        <v>25</v>
      </c>
      <c r="Q10" s="537"/>
      <c r="R10" s="536" t="s">
        <v>201</v>
      </c>
      <c r="S10" s="534"/>
      <c r="T10" s="536" t="s">
        <v>202</v>
      </c>
      <c r="U10" s="534"/>
      <c r="V10" s="536" t="s">
        <v>203</v>
      </c>
      <c r="W10" s="534"/>
      <c r="X10" s="536" t="s">
        <v>721</v>
      </c>
      <c r="Y10" s="535"/>
      <c r="Z10" s="536" t="s">
        <v>721</v>
      </c>
      <c r="AA10" s="534"/>
      <c r="AB10" s="536" t="s">
        <v>796</v>
      </c>
    </row>
    <row r="11" spans="1:30" ht="23.25" customHeight="1">
      <c r="A11" s="762" t="s">
        <v>204</v>
      </c>
      <c r="B11" s="762"/>
      <c r="C11" s="532"/>
      <c r="D11" s="637" t="s">
        <v>688</v>
      </c>
      <c r="E11" s="402"/>
      <c r="F11" s="538">
        <v>1733504656</v>
      </c>
      <c r="G11" s="538"/>
      <c r="H11" s="539"/>
      <c r="I11" s="538"/>
      <c r="J11" s="540"/>
      <c r="K11" s="538"/>
      <c r="L11" s="541" t="s">
        <v>97</v>
      </c>
      <c r="M11" s="538"/>
      <c r="N11" s="538">
        <v>1733504656</v>
      </c>
      <c r="O11" s="534"/>
      <c r="P11" s="538">
        <v>6063021</v>
      </c>
      <c r="Q11" s="534"/>
      <c r="R11" s="541">
        <v>125981</v>
      </c>
      <c r="S11" s="534"/>
      <c r="T11" s="541">
        <v>0</v>
      </c>
      <c r="U11" s="534"/>
      <c r="V11" s="541" t="s">
        <v>97</v>
      </c>
      <c r="W11" s="534"/>
      <c r="X11" s="539">
        <v>6063021</v>
      </c>
      <c r="Y11" s="538">
        <f>SUM(P11:X11)</f>
        <v>12252023</v>
      </c>
      <c r="Z11" s="538">
        <f t="shared" ref="Z11:Z17" si="0">N11-X11</f>
        <v>1727441635</v>
      </c>
      <c r="AA11" s="534"/>
      <c r="AB11" s="538">
        <v>1727441635</v>
      </c>
    </row>
    <row r="12" spans="1:30" ht="23.25" customHeight="1">
      <c r="A12" s="763" t="s">
        <v>205</v>
      </c>
      <c r="B12" s="763"/>
      <c r="C12" s="533"/>
      <c r="D12" s="637" t="s">
        <v>689</v>
      </c>
      <c r="E12" s="402"/>
      <c r="F12" s="538">
        <v>6079978127</v>
      </c>
      <c r="G12" s="538"/>
      <c r="H12" s="541" t="s">
        <v>97</v>
      </c>
      <c r="I12" s="541"/>
      <c r="J12" s="541" t="s">
        <v>97</v>
      </c>
      <c r="K12" s="538"/>
      <c r="L12" s="541" t="s">
        <v>97</v>
      </c>
      <c r="M12" s="538"/>
      <c r="N12" s="538">
        <v>6079978127</v>
      </c>
      <c r="O12" s="534"/>
      <c r="P12" s="538">
        <v>3281608920</v>
      </c>
      <c r="Q12" s="534"/>
      <c r="R12" s="538">
        <v>105411172</v>
      </c>
      <c r="S12" s="534"/>
      <c r="T12" s="541">
        <v>0</v>
      </c>
      <c r="U12" s="534"/>
      <c r="V12" s="541" t="s">
        <v>97</v>
      </c>
      <c r="W12" s="534"/>
      <c r="X12" s="539">
        <v>3325499372</v>
      </c>
      <c r="Y12" s="534"/>
      <c r="Z12" s="538">
        <f t="shared" si="0"/>
        <v>2754478755</v>
      </c>
      <c r="AA12" s="534"/>
      <c r="AB12" s="538">
        <v>2798369207</v>
      </c>
    </row>
    <row r="13" spans="1:30" ht="23.25" customHeight="1">
      <c r="A13" s="763" t="s">
        <v>206</v>
      </c>
      <c r="B13" s="763"/>
      <c r="C13" s="533"/>
      <c r="D13" s="639"/>
      <c r="E13" s="402"/>
      <c r="F13" s="538">
        <v>120255119</v>
      </c>
      <c r="G13" s="538"/>
      <c r="H13" s="541">
        <v>35200000</v>
      </c>
      <c r="I13" s="541"/>
      <c r="J13" s="541" t="s">
        <v>97</v>
      </c>
      <c r="K13" s="538"/>
      <c r="L13" s="541" t="s">
        <v>97</v>
      </c>
      <c r="M13" s="538"/>
      <c r="N13" s="538">
        <f>H13+F13</f>
        <v>155455119</v>
      </c>
      <c r="O13" s="538">
        <f>SUM(F13:M13)</f>
        <v>155455119</v>
      </c>
      <c r="P13" s="538">
        <v>107522692</v>
      </c>
      <c r="Q13" s="534"/>
      <c r="R13" s="541">
        <v>665981</v>
      </c>
      <c r="S13" s="534"/>
      <c r="T13" s="541">
        <v>0</v>
      </c>
      <c r="U13" s="534"/>
      <c r="V13" s="541" t="s">
        <v>97</v>
      </c>
      <c r="W13" s="534"/>
      <c r="X13" s="539">
        <v>107522692</v>
      </c>
      <c r="Y13" s="534"/>
      <c r="Z13" s="538">
        <f t="shared" si="0"/>
        <v>47932427</v>
      </c>
      <c r="AA13" s="534"/>
      <c r="AB13" s="538">
        <v>12732427</v>
      </c>
    </row>
    <row r="14" spans="1:30" ht="23.25" customHeight="1">
      <c r="A14" s="763" t="s">
        <v>207</v>
      </c>
      <c r="B14" s="763"/>
      <c r="C14" s="533"/>
      <c r="D14" s="639" t="s">
        <v>698</v>
      </c>
      <c r="E14" s="402"/>
      <c r="F14" s="538">
        <v>42114753780</v>
      </c>
      <c r="G14" s="538"/>
      <c r="H14" s="538">
        <v>1129133000</v>
      </c>
      <c r="I14" s="538"/>
      <c r="J14" s="540" t="s">
        <v>732</v>
      </c>
      <c r="K14" s="538"/>
      <c r="L14" s="541" t="s">
        <v>97</v>
      </c>
      <c r="M14" s="538"/>
      <c r="N14" s="538">
        <f>H14+F14</f>
        <v>43243886780</v>
      </c>
      <c r="O14" s="534"/>
      <c r="P14" s="538">
        <v>31077423751</v>
      </c>
      <c r="Q14" s="534"/>
      <c r="R14" s="538">
        <v>807395702</v>
      </c>
      <c r="S14" s="534"/>
      <c r="T14" s="540">
        <v>0</v>
      </c>
      <c r="U14" s="534"/>
      <c r="V14" s="541" t="s">
        <v>97</v>
      </c>
      <c r="W14" s="534"/>
      <c r="X14" s="539">
        <v>31864845548</v>
      </c>
      <c r="Y14" s="534"/>
      <c r="Z14" s="538">
        <f t="shared" si="0"/>
        <v>11379041232</v>
      </c>
      <c r="AA14" s="534"/>
      <c r="AB14" s="538">
        <v>11037330029</v>
      </c>
    </row>
    <row r="15" spans="1:30" ht="23.25" customHeight="1">
      <c r="A15" s="763" t="s">
        <v>208</v>
      </c>
      <c r="B15" s="763"/>
      <c r="C15" s="533"/>
      <c r="D15" s="639" t="s">
        <v>699</v>
      </c>
      <c r="E15" s="402"/>
      <c r="F15" s="538">
        <v>13107627370</v>
      </c>
      <c r="G15" s="538"/>
      <c r="H15" s="538">
        <v>986404000</v>
      </c>
      <c r="I15" s="538"/>
      <c r="J15" s="540">
        <v>-100595000</v>
      </c>
      <c r="K15" s="538">
        <f>SUM(F15:J15)</f>
        <v>13993436370</v>
      </c>
      <c r="L15" s="541" t="s">
        <v>97</v>
      </c>
      <c r="M15" s="538"/>
      <c r="N15" s="538">
        <f>F15+H15+J15</f>
        <v>13993436370</v>
      </c>
      <c r="O15" s="534"/>
      <c r="P15" s="538">
        <v>10329950542</v>
      </c>
      <c r="Q15" s="534"/>
      <c r="R15" s="538">
        <v>413235163</v>
      </c>
      <c r="S15" s="534"/>
      <c r="T15" s="540">
        <v>-95611558</v>
      </c>
      <c r="U15" s="534"/>
      <c r="V15" s="541" t="s">
        <v>97</v>
      </c>
      <c r="W15" s="534"/>
      <c r="X15" s="539">
        <f>P15+R15+T15</f>
        <v>10647574147</v>
      </c>
      <c r="Y15" s="534"/>
      <c r="Z15" s="538">
        <f t="shared" si="0"/>
        <v>3345862223</v>
      </c>
      <c r="AA15" s="534"/>
      <c r="AB15" s="538">
        <v>2777676828</v>
      </c>
    </row>
    <row r="16" spans="1:30" ht="23.25" customHeight="1">
      <c r="A16" s="763" t="s">
        <v>209</v>
      </c>
      <c r="B16" s="763"/>
      <c r="C16" s="533"/>
      <c r="D16" s="639" t="s">
        <v>701</v>
      </c>
      <c r="E16" s="402"/>
      <c r="F16" s="538">
        <v>9596804960</v>
      </c>
      <c r="G16" s="538"/>
      <c r="H16" s="538">
        <v>2011469000</v>
      </c>
      <c r="I16" s="538"/>
      <c r="J16" s="540">
        <v>-9665000</v>
      </c>
      <c r="K16" s="538"/>
      <c r="L16" s="541" t="s">
        <v>97</v>
      </c>
      <c r="M16" s="538"/>
      <c r="N16" s="538">
        <f>SUM(F16:J16)</f>
        <v>11598608960</v>
      </c>
      <c r="O16" s="534"/>
      <c r="P16" s="538">
        <v>4002381417</v>
      </c>
      <c r="Q16" s="534"/>
      <c r="R16" s="538">
        <v>463645068</v>
      </c>
      <c r="S16" s="534"/>
      <c r="T16" s="540">
        <v>-2638839</v>
      </c>
      <c r="U16" s="534"/>
      <c r="V16" s="541" t="s">
        <v>97</v>
      </c>
      <c r="W16" s="534"/>
      <c r="X16" s="539">
        <v>4463387646</v>
      </c>
      <c r="Y16" s="534"/>
      <c r="Z16" s="538">
        <f t="shared" si="0"/>
        <v>7135221314</v>
      </c>
      <c r="AA16" s="534"/>
      <c r="AB16" s="538">
        <v>5594423543</v>
      </c>
    </row>
    <row r="17" spans="1:28" ht="23.25" customHeight="1">
      <c r="A17" s="763" t="s">
        <v>210</v>
      </c>
      <c r="B17" s="763"/>
      <c r="C17" s="533"/>
      <c r="D17" s="639" t="s">
        <v>704</v>
      </c>
      <c r="E17" s="402"/>
      <c r="F17" s="542">
        <v>15365096410</v>
      </c>
      <c r="G17" s="538"/>
      <c r="H17" s="543">
        <v>412944528</v>
      </c>
      <c r="I17" s="544"/>
      <c r="J17" s="545">
        <v>-21271636</v>
      </c>
      <c r="K17" s="544"/>
      <c r="L17" s="541" t="s">
        <v>97</v>
      </c>
      <c r="M17" s="538"/>
      <c r="N17" s="538">
        <f>SUM(F17:J17)</f>
        <v>15756769302</v>
      </c>
      <c r="O17" s="534"/>
      <c r="P17" s="542">
        <v>14777950091</v>
      </c>
      <c r="Q17" s="534"/>
      <c r="R17" s="542">
        <v>247895211</v>
      </c>
      <c r="S17" s="534"/>
      <c r="T17" s="540">
        <v>-21154607</v>
      </c>
      <c r="U17" s="534"/>
      <c r="V17" s="541" t="s">
        <v>97</v>
      </c>
      <c r="W17" s="534"/>
      <c r="X17" s="539">
        <v>15000356899</v>
      </c>
      <c r="Y17" s="534"/>
      <c r="Z17" s="538">
        <f t="shared" si="0"/>
        <v>756412403</v>
      </c>
      <c r="AA17" s="534"/>
      <c r="AB17" s="542">
        <v>587146319</v>
      </c>
    </row>
    <row r="18" spans="1:28" ht="23.25" customHeight="1">
      <c r="A18" s="758"/>
      <c r="B18" s="758"/>
      <c r="C18" s="402"/>
      <c r="D18" s="640"/>
      <c r="E18" s="402"/>
      <c r="F18" s="542">
        <f>SUM(F11:F17)</f>
        <v>88118020422</v>
      </c>
      <c r="G18" s="538"/>
      <c r="H18" s="542">
        <f>SUM(H13:H17)</f>
        <v>4575150528</v>
      </c>
      <c r="I18" s="538"/>
      <c r="J18" s="545">
        <f>SUM(J15:J17)</f>
        <v>-131531636</v>
      </c>
      <c r="K18" s="538"/>
      <c r="L18" s="546">
        <f>SUM(L12:L17)</f>
        <v>0</v>
      </c>
      <c r="M18" s="538"/>
      <c r="N18" s="547">
        <f>SUM(N11:N17)</f>
        <v>92561639314</v>
      </c>
      <c r="O18" s="534"/>
      <c r="P18" s="542">
        <f>SUM(P11:P17)</f>
        <v>63582900434</v>
      </c>
      <c r="Q18" s="534"/>
      <c r="R18" s="542">
        <f>SUM(R11:R17)</f>
        <v>2038374278</v>
      </c>
      <c r="S18" s="534"/>
      <c r="T18" s="548">
        <f>SUM(T11:T17)</f>
        <v>-119405004</v>
      </c>
      <c r="U18" s="534"/>
      <c r="V18" s="546">
        <f>SUM(V12:V17)</f>
        <v>0</v>
      </c>
      <c r="W18" s="534"/>
      <c r="X18" s="547">
        <f>SUM(X11:X17)</f>
        <v>65415249325</v>
      </c>
      <c r="Y18" s="534"/>
      <c r="Z18" s="547">
        <f>SUM(Z11:Z17)</f>
        <v>27146389989</v>
      </c>
      <c r="AA18" s="534"/>
      <c r="AB18" s="549">
        <f>SUM(AB11:AB17)</f>
        <v>24535119988</v>
      </c>
    </row>
    <row r="19" spans="1:28" ht="23.25" customHeight="1">
      <c r="A19" s="603" t="s">
        <v>211</v>
      </c>
      <c r="B19" s="603"/>
      <c r="C19" s="533"/>
      <c r="D19" s="639"/>
      <c r="E19" s="402"/>
      <c r="F19" s="550">
        <v>2770049698</v>
      </c>
      <c r="G19" s="538"/>
      <c r="H19" s="551">
        <v>314008458</v>
      </c>
      <c r="I19" s="538"/>
      <c r="J19" s="541" t="s">
        <v>97</v>
      </c>
      <c r="K19" s="538"/>
      <c r="L19" s="541" t="s">
        <v>97</v>
      </c>
      <c r="M19" s="538"/>
      <c r="N19" s="550">
        <f>H19+F19</f>
        <v>3084058156</v>
      </c>
      <c r="O19" s="534"/>
      <c r="P19" s="541" t="s">
        <v>97</v>
      </c>
      <c r="Q19" s="534"/>
      <c r="R19" s="541" t="s">
        <v>97</v>
      </c>
      <c r="S19" s="534"/>
      <c r="T19" s="552" t="s">
        <v>97</v>
      </c>
      <c r="U19" s="534"/>
      <c r="V19" s="552" t="s">
        <v>97</v>
      </c>
      <c r="W19" s="534"/>
      <c r="X19" s="552" t="s">
        <v>97</v>
      </c>
      <c r="Y19" s="534"/>
      <c r="Z19" s="544">
        <v>3084058156</v>
      </c>
      <c r="AA19" s="534"/>
      <c r="AB19" s="544">
        <v>2770049698</v>
      </c>
    </row>
    <row r="20" spans="1:28" ht="23.25" customHeight="1">
      <c r="A20" s="603" t="s">
        <v>690</v>
      </c>
      <c r="B20" s="603"/>
      <c r="C20" s="533"/>
      <c r="D20" s="639"/>
      <c r="E20" s="402"/>
      <c r="F20" s="544">
        <v>420000000</v>
      </c>
      <c r="G20" s="538"/>
      <c r="H20" s="551">
        <v>0</v>
      </c>
      <c r="I20" s="538"/>
      <c r="J20" s="541"/>
      <c r="K20" s="538"/>
      <c r="L20" s="541"/>
      <c r="M20" s="538"/>
      <c r="N20" s="550">
        <v>420000000</v>
      </c>
      <c r="O20" s="534"/>
      <c r="P20" s="541"/>
      <c r="Q20" s="534"/>
      <c r="R20" s="541"/>
      <c r="S20" s="534"/>
      <c r="T20" s="552"/>
      <c r="U20" s="534"/>
      <c r="V20" s="552"/>
      <c r="W20" s="534"/>
      <c r="X20" s="552"/>
      <c r="Y20" s="534"/>
      <c r="Z20" s="544">
        <v>420000000</v>
      </c>
      <c r="AA20" s="534"/>
      <c r="AB20" s="544">
        <v>420000000</v>
      </c>
    </row>
    <row r="21" spans="1:28" ht="23.25" customHeight="1">
      <c r="A21" s="763" t="s">
        <v>212</v>
      </c>
      <c r="B21" s="763"/>
      <c r="C21" s="533"/>
      <c r="D21" s="639"/>
      <c r="E21" s="402"/>
      <c r="F21" s="538"/>
      <c r="G21" s="553"/>
      <c r="H21" s="554">
        <v>280000000</v>
      </c>
      <c r="I21" s="553"/>
      <c r="J21" s="540">
        <v>0</v>
      </c>
      <c r="K21" s="553"/>
      <c r="L21" s="545"/>
      <c r="M21" s="553"/>
      <c r="N21" s="555">
        <v>280000000</v>
      </c>
      <c r="O21" s="533"/>
      <c r="P21" s="556" t="s">
        <v>97</v>
      </c>
      <c r="Q21" s="533"/>
      <c r="R21" s="556" t="s">
        <v>97</v>
      </c>
      <c r="S21" s="533"/>
      <c r="T21" s="556" t="s">
        <v>97</v>
      </c>
      <c r="U21" s="533"/>
      <c r="V21" s="556" t="s">
        <v>97</v>
      </c>
      <c r="W21" s="533"/>
      <c r="X21" s="557" t="s">
        <v>97</v>
      </c>
      <c r="Y21" s="533"/>
      <c r="Z21" s="538">
        <v>280000000</v>
      </c>
      <c r="AA21" s="533"/>
      <c r="AB21" s="538">
        <v>823090720</v>
      </c>
    </row>
    <row r="22" spans="1:28" ht="28.5" customHeight="1" thickBot="1">
      <c r="A22" s="758"/>
      <c r="B22" s="758"/>
      <c r="C22" s="402"/>
      <c r="D22" s="640"/>
      <c r="E22" s="402"/>
      <c r="F22" s="558">
        <f>SUM(F18:F21)</f>
        <v>91308070120</v>
      </c>
      <c r="G22" s="553"/>
      <c r="H22" s="558">
        <f>SUM(H18:H21)</f>
        <v>5169158986</v>
      </c>
      <c r="I22" s="553"/>
      <c r="J22" s="559">
        <f>SUM(J18:J21)</f>
        <v>-131531636</v>
      </c>
      <c r="K22" s="553"/>
      <c r="L22" s="559">
        <f>SUM(L18:L21)</f>
        <v>0</v>
      </c>
      <c r="M22" s="553"/>
      <c r="N22" s="558">
        <f>SUM(N18:N21)</f>
        <v>96345697470</v>
      </c>
      <c r="O22" s="533"/>
      <c r="P22" s="560">
        <f>P18</f>
        <v>63582900434</v>
      </c>
      <c r="Q22" s="533"/>
      <c r="R22" s="560">
        <f>SUM(R18:R21)</f>
        <v>2038374278</v>
      </c>
      <c r="S22" s="533"/>
      <c r="T22" s="561">
        <f>T18</f>
        <v>-119405004</v>
      </c>
      <c r="U22" s="533"/>
      <c r="V22" s="562">
        <f>V18</f>
        <v>0</v>
      </c>
      <c r="W22" s="533"/>
      <c r="X22" s="558">
        <f>X18</f>
        <v>65415249325</v>
      </c>
      <c r="Y22" s="533"/>
      <c r="Z22" s="558">
        <f>SUM(Z18:Z21)</f>
        <v>30930448145</v>
      </c>
      <c r="AA22" s="533"/>
      <c r="AB22" s="563">
        <v>28548260406</v>
      </c>
    </row>
    <row r="23" spans="1:28" ht="18.75" thickTop="1">
      <c r="A23" s="764"/>
      <c r="B23" s="764"/>
      <c r="C23" s="402"/>
      <c r="D23" s="640"/>
      <c r="E23" s="402"/>
      <c r="F23" s="564"/>
      <c r="G23" s="564"/>
      <c r="H23" s="564"/>
      <c r="I23" s="564"/>
      <c r="J23" s="564"/>
      <c r="K23" s="564"/>
      <c r="L23" s="565"/>
      <c r="M23" s="564"/>
      <c r="N23" s="564"/>
      <c r="O23" s="564"/>
      <c r="P23" s="564"/>
      <c r="Q23" s="564"/>
      <c r="R23" s="564"/>
      <c r="S23" s="564"/>
      <c r="T23" s="564"/>
      <c r="U23" s="564"/>
      <c r="V23" s="564"/>
      <c r="W23" s="564"/>
      <c r="X23" s="564"/>
      <c r="Y23" s="564"/>
      <c r="Z23" s="564"/>
      <c r="AA23" s="564"/>
      <c r="AB23" s="564"/>
    </row>
    <row r="24" spans="1:28" s="227" customFormat="1">
      <c r="A24" s="764"/>
      <c r="B24" s="764"/>
      <c r="C24" s="402"/>
      <c r="D24" s="640"/>
      <c r="E24" s="402"/>
      <c r="F24" s="228"/>
      <c r="G24" s="228"/>
      <c r="H24" s="228"/>
      <c r="I24" s="228"/>
      <c r="J24" s="566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 spans="1:28" s="227" customFormat="1">
      <c r="A25" s="756" t="s">
        <v>1008</v>
      </c>
      <c r="B25" s="756"/>
      <c r="C25" s="756"/>
      <c r="D25" s="756"/>
      <c r="E25" s="756"/>
      <c r="F25" s="756"/>
      <c r="G25" s="756"/>
      <c r="H25" s="756"/>
      <c r="I25" s="756"/>
      <c r="J25" s="756"/>
      <c r="K25" s="756"/>
      <c r="L25" s="756"/>
      <c r="M25" s="756"/>
      <c r="N25" s="756"/>
      <c r="O25" s="756"/>
      <c r="P25" s="756"/>
      <c r="Q25" s="756"/>
      <c r="R25" s="756"/>
      <c r="S25" s="502"/>
      <c r="T25" s="502"/>
      <c r="U25" s="502"/>
      <c r="V25" s="502"/>
      <c r="W25" s="502"/>
      <c r="X25" s="502"/>
      <c r="Y25" s="502"/>
      <c r="Z25" s="502"/>
      <c r="AA25" s="502"/>
      <c r="AB25" s="502"/>
    </row>
    <row r="26" spans="1:28">
      <c r="A26" s="756" t="s">
        <v>1009</v>
      </c>
      <c r="B26" s="756"/>
      <c r="C26" s="756"/>
      <c r="D26" s="756"/>
      <c r="E26" s="756"/>
      <c r="F26" s="756"/>
      <c r="G26" s="756"/>
      <c r="H26" s="756"/>
      <c r="I26" s="756"/>
      <c r="J26" s="756"/>
      <c r="K26" s="756"/>
      <c r="L26" s="756"/>
      <c r="M26" s="756"/>
      <c r="N26" s="756"/>
      <c r="O26" s="756"/>
      <c r="P26" s="756"/>
      <c r="Q26" s="756"/>
      <c r="R26" s="756"/>
      <c r="S26" s="502"/>
      <c r="T26" s="502"/>
      <c r="U26" s="502"/>
      <c r="V26" s="502"/>
      <c r="W26" s="502"/>
      <c r="X26" s="502"/>
      <c r="Y26" s="502"/>
      <c r="Z26" s="502"/>
      <c r="AA26" s="502"/>
      <c r="AB26" s="502"/>
    </row>
    <row r="27" spans="1:28">
      <c r="A27" s="757" t="s">
        <v>1010</v>
      </c>
      <c r="B27" s="757"/>
      <c r="C27" s="757"/>
      <c r="D27" s="757"/>
      <c r="E27" s="757"/>
      <c r="F27" s="757"/>
      <c r="G27" s="757"/>
      <c r="H27" s="757"/>
      <c r="I27" s="757"/>
      <c r="J27" s="757"/>
      <c r="K27" s="757"/>
      <c r="L27" s="757"/>
      <c r="M27" s="757"/>
      <c r="N27" s="757"/>
      <c r="O27" s="757"/>
      <c r="P27" s="757"/>
      <c r="Q27" s="757"/>
      <c r="R27" s="757"/>
    </row>
    <row r="28" spans="1:28">
      <c r="A28" s="757" t="s">
        <v>1011</v>
      </c>
      <c r="B28" s="757"/>
      <c r="C28" s="757"/>
      <c r="D28" s="757"/>
      <c r="E28" s="757"/>
      <c r="F28" s="757"/>
      <c r="G28" s="757"/>
      <c r="H28" s="757"/>
      <c r="I28" s="757"/>
      <c r="J28" s="757"/>
      <c r="K28" s="757"/>
      <c r="L28" s="757"/>
      <c r="M28" s="757"/>
      <c r="N28" s="757"/>
      <c r="O28" s="757"/>
      <c r="P28" s="757"/>
      <c r="Q28" s="626"/>
      <c r="R28" s="626"/>
    </row>
    <row r="29" spans="1:28">
      <c r="B29" s="275"/>
      <c r="C29" s="229"/>
      <c r="D29" s="635"/>
      <c r="E29" s="275"/>
      <c r="V29" s="364"/>
    </row>
    <row r="30" spans="1:28">
      <c r="B30" s="275"/>
      <c r="C30" s="229"/>
      <c r="D30" s="635"/>
      <c r="E30" s="275"/>
    </row>
    <row r="31" spans="1:28">
      <c r="B31" s="275"/>
      <c r="C31" s="229"/>
      <c r="D31" s="635"/>
      <c r="E31" s="275"/>
    </row>
    <row r="32" spans="1:28">
      <c r="B32" s="275"/>
      <c r="C32" s="229"/>
      <c r="D32" s="635"/>
      <c r="E32" s="275"/>
    </row>
    <row r="33" spans="2:5">
      <c r="B33" s="275"/>
      <c r="C33" s="229"/>
      <c r="D33" s="635"/>
      <c r="E33" s="275"/>
    </row>
  </sheetData>
  <mergeCells count="23">
    <mergeCell ref="A15:B15"/>
    <mergeCell ref="A21:B21"/>
    <mergeCell ref="A22:B22"/>
    <mergeCell ref="A23:B23"/>
    <mergeCell ref="A24:B24"/>
    <mergeCell ref="A16:B16"/>
    <mergeCell ref="A17:B17"/>
    <mergeCell ref="A9:B10"/>
    <mergeCell ref="A11:B11"/>
    <mergeCell ref="A12:B12"/>
    <mergeCell ref="A13:B13"/>
    <mergeCell ref="A14:B14"/>
    <mergeCell ref="A1:AB1"/>
    <mergeCell ref="A2:AB2"/>
    <mergeCell ref="A3:AB3"/>
    <mergeCell ref="F8:N8"/>
    <mergeCell ref="P8:X8"/>
    <mergeCell ref="Z8:AB8"/>
    <mergeCell ref="A25:R25"/>
    <mergeCell ref="A26:R26"/>
    <mergeCell ref="A27:R27"/>
    <mergeCell ref="A28:P28"/>
    <mergeCell ref="A18:B18"/>
  </mergeCells>
  <printOptions horizontalCentered="1"/>
  <pageMargins left="0.19685039370078741" right="0" top="0.35433070866141736" bottom="0.23622047244094491" header="0.31496062992125984" footer="0.19685039370078741"/>
  <pageSetup paperSize="9" scale="83" orientation="landscape" r:id="rId1"/>
  <headerFooter>
    <oddFooter>&amp;C&amp;"B Mitra,Bold"&amp;14 20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9"/>
  <sheetViews>
    <sheetView rightToLeft="1" workbookViewId="0">
      <selection activeCell="J12" sqref="J12"/>
    </sheetView>
  </sheetViews>
  <sheetFormatPr defaultColWidth="9" defaultRowHeight="11.25"/>
  <cols>
    <col min="1" max="1" width="5.42578125" style="276" customWidth="1"/>
    <col min="2" max="2" width="37.42578125" style="84" customWidth="1"/>
    <col min="3" max="3" width="25.85546875" style="84" customWidth="1"/>
    <col min="4" max="4" width="9.5703125" style="642" customWidth="1"/>
    <col min="5" max="5" width="1.85546875" style="84" customWidth="1"/>
    <col min="6" max="6" width="11.7109375" style="276" bestFit="1" customWidth="1"/>
    <col min="7" max="7" width="2.42578125" style="84" customWidth="1"/>
    <col min="8" max="8" width="13.7109375" style="276" customWidth="1"/>
    <col min="9" max="9" width="1" style="84" customWidth="1"/>
    <col min="10" max="10" width="9" style="84"/>
    <col min="11" max="11" width="0.85546875" style="84" customWidth="1"/>
    <col min="12" max="16384" width="9" style="84"/>
  </cols>
  <sheetData>
    <row r="1" spans="1:24" ht="22.5">
      <c r="A1" s="703" t="s">
        <v>127</v>
      </c>
      <c r="B1" s="703"/>
      <c r="C1" s="703"/>
      <c r="D1" s="703"/>
      <c r="E1" s="703"/>
      <c r="F1" s="703"/>
      <c r="G1" s="703"/>
      <c r="H1" s="703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4" ht="22.5">
      <c r="A2" s="703" t="s">
        <v>0</v>
      </c>
      <c r="B2" s="703"/>
      <c r="C2" s="703"/>
      <c r="D2" s="703"/>
      <c r="E2" s="703"/>
      <c r="F2" s="703"/>
      <c r="G2" s="703"/>
      <c r="H2" s="703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4" ht="22.5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</row>
    <row r="4" spans="1:24" ht="29.25" customHeight="1">
      <c r="B4" s="652"/>
      <c r="C4" s="652"/>
      <c r="D4" s="653"/>
      <c r="E4" s="652"/>
      <c r="F4" s="654"/>
      <c r="G4" s="652"/>
      <c r="H4" s="654"/>
    </row>
    <row r="5" spans="1:24" ht="17.25">
      <c r="A5" s="401" t="s">
        <v>691</v>
      </c>
      <c r="B5" s="372" t="s">
        <v>213</v>
      </c>
      <c r="C5" s="372"/>
      <c r="D5" s="643" t="s">
        <v>1012</v>
      </c>
      <c r="E5" s="372"/>
      <c r="F5" s="355" t="s">
        <v>797</v>
      </c>
      <c r="G5" s="365"/>
      <c r="H5" s="355" t="s">
        <v>692</v>
      </c>
      <c r="I5" s="352"/>
    </row>
    <row r="6" spans="1:24" ht="17.25">
      <c r="A6" s="402"/>
      <c r="B6" s="352"/>
      <c r="C6" s="352"/>
      <c r="D6" s="644"/>
      <c r="E6" s="352"/>
      <c r="F6" s="366" t="s">
        <v>134</v>
      </c>
      <c r="G6" s="354"/>
      <c r="H6" s="366" t="s">
        <v>134</v>
      </c>
      <c r="I6" s="358"/>
    </row>
    <row r="7" spans="1:24" ht="17.25">
      <c r="A7" s="402"/>
      <c r="B7" s="372" t="s">
        <v>214</v>
      </c>
      <c r="C7" s="372"/>
      <c r="D7" s="644"/>
      <c r="E7" s="372"/>
      <c r="F7" s="367">
        <v>112000000</v>
      </c>
      <c r="G7" s="368"/>
      <c r="H7" s="367">
        <v>112000000</v>
      </c>
      <c r="I7" s="352"/>
    </row>
    <row r="8" spans="1:24" ht="17.25">
      <c r="A8" s="402"/>
      <c r="B8" s="372" t="s">
        <v>215</v>
      </c>
      <c r="C8" s="372"/>
      <c r="D8" s="644" t="s">
        <v>693</v>
      </c>
      <c r="E8" s="372"/>
      <c r="F8" s="367">
        <v>75000000</v>
      </c>
      <c r="G8" s="368"/>
      <c r="H8" s="367">
        <v>75000000</v>
      </c>
      <c r="I8" s="372"/>
    </row>
    <row r="9" spans="1:24" ht="17.25">
      <c r="A9" s="402"/>
      <c r="B9" s="372" t="s">
        <v>216</v>
      </c>
      <c r="C9" s="372"/>
      <c r="D9" s="644"/>
      <c r="E9" s="372"/>
      <c r="F9" s="367">
        <v>25012800</v>
      </c>
      <c r="G9" s="368"/>
      <c r="H9" s="367">
        <v>25012800</v>
      </c>
      <c r="I9" s="352"/>
    </row>
    <row r="10" spans="1:24" ht="17.25">
      <c r="A10" s="402"/>
      <c r="B10" s="372" t="s">
        <v>217</v>
      </c>
      <c r="C10" s="372"/>
      <c r="D10" s="644" t="s">
        <v>694</v>
      </c>
      <c r="E10" s="372"/>
      <c r="F10" s="367">
        <v>864957382</v>
      </c>
      <c r="G10" s="368"/>
      <c r="H10" s="367">
        <v>864957382</v>
      </c>
      <c r="I10" s="372"/>
    </row>
    <row r="11" spans="1:24" ht="17.25">
      <c r="A11" s="402"/>
      <c r="B11" s="372" t="s">
        <v>218</v>
      </c>
      <c r="C11" s="372"/>
      <c r="D11" s="644" t="s">
        <v>695</v>
      </c>
      <c r="E11" s="372"/>
      <c r="F11" s="367">
        <v>8392969</v>
      </c>
      <c r="G11" s="368"/>
      <c r="H11" s="367">
        <v>8392969</v>
      </c>
      <c r="I11" s="372"/>
    </row>
    <row r="12" spans="1:24" ht="17.25">
      <c r="A12" s="402"/>
      <c r="B12" s="372" t="s">
        <v>219</v>
      </c>
      <c r="C12" s="372"/>
      <c r="D12" s="644" t="s">
        <v>696</v>
      </c>
      <c r="E12" s="372"/>
      <c r="F12" s="367">
        <v>648141505</v>
      </c>
      <c r="G12" s="368"/>
      <c r="H12" s="367">
        <v>648141505</v>
      </c>
      <c r="I12" s="372"/>
    </row>
    <row r="13" spans="1:24" ht="18" thickBot="1">
      <c r="A13" s="402"/>
      <c r="B13" s="353"/>
      <c r="C13" s="353"/>
      <c r="D13" s="644"/>
      <c r="E13" s="353"/>
      <c r="F13" s="369">
        <f>SUM(F7:F12)</f>
        <v>1733504656</v>
      </c>
      <c r="G13" s="368"/>
      <c r="H13" s="369">
        <f>SUM(H7:H12)</f>
        <v>1733504656</v>
      </c>
      <c r="I13" s="353"/>
    </row>
    <row r="14" spans="1:24" ht="18" thickTop="1">
      <c r="A14" s="402"/>
      <c r="B14" s="352"/>
      <c r="C14" s="352"/>
      <c r="D14" s="644"/>
      <c r="E14" s="352"/>
      <c r="F14" s="352"/>
      <c r="G14" s="352"/>
      <c r="H14" s="352"/>
      <c r="I14" s="352"/>
      <c r="J14" s="352"/>
      <c r="K14" s="358"/>
      <c r="L14" s="370"/>
    </row>
    <row r="15" spans="1:24" ht="17.25">
      <c r="A15" s="401" t="s">
        <v>693</v>
      </c>
      <c r="B15" s="757" t="s">
        <v>905</v>
      </c>
      <c r="C15" s="757"/>
      <c r="D15" s="757"/>
      <c r="E15" s="757"/>
      <c r="F15" s="757"/>
      <c r="G15" s="757"/>
      <c r="H15" s="757"/>
      <c r="I15" s="372"/>
      <c r="J15" s="372"/>
      <c r="K15" s="371"/>
      <c r="L15" s="370"/>
    </row>
    <row r="16" spans="1:24" ht="15" customHeight="1">
      <c r="A16" s="402"/>
      <c r="B16" s="372" t="s">
        <v>906</v>
      </c>
      <c r="C16" s="372"/>
      <c r="D16" s="644"/>
      <c r="E16" s="372"/>
      <c r="F16" s="372"/>
      <c r="G16" s="372"/>
      <c r="H16" s="372"/>
      <c r="I16" s="372"/>
      <c r="J16" s="372"/>
      <c r="K16" s="371"/>
      <c r="L16" s="370"/>
    </row>
    <row r="17" spans="1:12" ht="15" customHeight="1">
      <c r="A17" s="402"/>
      <c r="B17" s="372" t="s">
        <v>907</v>
      </c>
      <c r="C17" s="372"/>
      <c r="D17" s="644"/>
      <c r="E17" s="372"/>
      <c r="F17" s="372"/>
      <c r="G17" s="372"/>
      <c r="H17" s="372"/>
      <c r="I17" s="372"/>
      <c r="J17" s="372"/>
      <c r="K17" s="371"/>
      <c r="L17" s="370"/>
    </row>
    <row r="18" spans="1:12" ht="21" customHeight="1">
      <c r="A18" s="402"/>
      <c r="B18" s="372"/>
      <c r="C18" s="372"/>
      <c r="D18" s="644"/>
      <c r="E18" s="372"/>
      <c r="F18" s="372"/>
      <c r="G18" s="372"/>
      <c r="H18" s="372"/>
      <c r="I18" s="372"/>
      <c r="J18" s="372"/>
      <c r="K18" s="371"/>
      <c r="L18" s="370"/>
    </row>
    <row r="19" spans="1:12" ht="15" customHeight="1">
      <c r="A19" s="403" t="s">
        <v>694</v>
      </c>
      <c r="B19" s="372" t="s">
        <v>908</v>
      </c>
      <c r="C19" s="372"/>
      <c r="D19" s="644"/>
      <c r="E19" s="372"/>
      <c r="F19" s="372"/>
      <c r="G19" s="372"/>
      <c r="H19" s="372"/>
      <c r="I19" s="372"/>
      <c r="J19" s="372"/>
      <c r="K19" s="373"/>
      <c r="L19" s="370"/>
    </row>
    <row r="20" spans="1:12" ht="17.25" customHeight="1">
      <c r="A20" s="402"/>
      <c r="B20" s="765" t="s">
        <v>909</v>
      </c>
      <c r="C20" s="765"/>
      <c r="D20" s="765"/>
      <c r="E20" s="765"/>
      <c r="F20" s="765"/>
      <c r="G20" s="765"/>
      <c r="H20" s="765"/>
      <c r="I20" s="372"/>
      <c r="J20" s="372"/>
      <c r="K20" s="373"/>
      <c r="L20" s="370"/>
    </row>
    <row r="21" spans="1:12" ht="15" customHeight="1">
      <c r="A21" s="402"/>
      <c r="B21" s="765" t="s">
        <v>910</v>
      </c>
      <c r="C21" s="765"/>
      <c r="D21" s="765"/>
      <c r="E21" s="765"/>
      <c r="F21" s="765"/>
      <c r="G21" s="765"/>
      <c r="H21" s="765"/>
      <c r="I21" s="374"/>
      <c r="J21" s="374"/>
      <c r="K21" s="375"/>
      <c r="L21" s="370"/>
    </row>
    <row r="22" spans="1:12" ht="15" customHeight="1">
      <c r="A22" s="402"/>
      <c r="B22" s="765" t="s">
        <v>911</v>
      </c>
      <c r="C22" s="765"/>
      <c r="D22" s="765"/>
      <c r="E22" s="765"/>
      <c r="F22" s="765"/>
      <c r="G22" s="765"/>
      <c r="H22" s="765"/>
      <c r="I22" s="372"/>
      <c r="J22" s="372"/>
      <c r="K22" s="376"/>
      <c r="L22" s="370"/>
    </row>
    <row r="23" spans="1:12" ht="21" customHeight="1">
      <c r="A23" s="402"/>
      <c r="B23" s="628"/>
      <c r="C23" s="628"/>
      <c r="D23" s="645"/>
      <c r="E23" s="628"/>
      <c r="F23" s="628"/>
      <c r="G23" s="628"/>
      <c r="H23" s="628"/>
      <c r="I23" s="372"/>
      <c r="J23" s="372"/>
      <c r="K23" s="376"/>
      <c r="L23" s="370"/>
    </row>
    <row r="24" spans="1:12" ht="15" customHeight="1">
      <c r="A24" s="403" t="s">
        <v>695</v>
      </c>
      <c r="B24" s="765" t="s">
        <v>220</v>
      </c>
      <c r="C24" s="765"/>
      <c r="D24" s="765"/>
      <c r="E24" s="765"/>
      <c r="F24" s="765"/>
      <c r="G24" s="765"/>
      <c r="H24" s="765"/>
      <c r="I24" s="372"/>
      <c r="J24" s="372"/>
      <c r="K24" s="376"/>
      <c r="L24" s="370"/>
    </row>
    <row r="25" spans="1:12" ht="21.75" customHeight="1">
      <c r="A25" s="403"/>
      <c r="B25" s="628"/>
      <c r="C25" s="628"/>
      <c r="D25" s="645"/>
      <c r="E25" s="628"/>
      <c r="F25" s="628"/>
      <c r="G25" s="628"/>
      <c r="H25" s="628"/>
      <c r="I25" s="372"/>
      <c r="J25" s="372"/>
      <c r="K25" s="376"/>
      <c r="L25" s="370"/>
    </row>
    <row r="26" spans="1:12" ht="15" customHeight="1">
      <c r="A26" s="403" t="s">
        <v>696</v>
      </c>
      <c r="B26" s="372" t="s">
        <v>913</v>
      </c>
      <c r="C26" s="372"/>
      <c r="D26" s="644"/>
      <c r="E26" s="372"/>
      <c r="F26" s="372"/>
      <c r="G26" s="372"/>
      <c r="H26" s="372"/>
      <c r="I26" s="372"/>
      <c r="J26" s="372"/>
      <c r="K26" s="358"/>
      <c r="L26" s="370"/>
    </row>
    <row r="27" spans="1:12" ht="17.25">
      <c r="A27" s="402"/>
      <c r="B27" s="372" t="s">
        <v>912</v>
      </c>
      <c r="C27" s="372"/>
      <c r="D27" s="644"/>
      <c r="E27" s="372"/>
      <c r="F27" s="372"/>
      <c r="G27" s="372"/>
      <c r="H27" s="372"/>
      <c r="I27" s="372"/>
      <c r="J27" s="372"/>
      <c r="K27" s="358"/>
      <c r="L27" s="370"/>
    </row>
    <row r="28" spans="1:12" ht="27.75" customHeight="1">
      <c r="A28" s="402"/>
      <c r="B28" s="352"/>
      <c r="C28" s="352"/>
      <c r="D28" s="644"/>
      <c r="E28" s="352"/>
      <c r="F28" s="352"/>
      <c r="G28" s="352"/>
      <c r="H28" s="352"/>
      <c r="I28" s="352"/>
      <c r="J28" s="352"/>
      <c r="K28" s="358"/>
      <c r="L28" s="370"/>
    </row>
    <row r="29" spans="1:12" ht="17.25">
      <c r="A29" s="401" t="s">
        <v>697</v>
      </c>
      <c r="B29" s="372" t="s">
        <v>221</v>
      </c>
      <c r="C29" s="372"/>
      <c r="D29" s="644"/>
      <c r="E29" s="372"/>
      <c r="F29" s="355" t="s">
        <v>797</v>
      </c>
      <c r="G29" s="365"/>
      <c r="H29" s="355" t="s">
        <v>692</v>
      </c>
      <c r="I29" s="352"/>
    </row>
    <row r="30" spans="1:12" ht="17.25">
      <c r="A30" s="402"/>
      <c r="B30" s="352"/>
      <c r="C30" s="352"/>
      <c r="D30" s="644"/>
      <c r="E30" s="352"/>
      <c r="F30" s="366" t="s">
        <v>27</v>
      </c>
      <c r="G30" s="354"/>
      <c r="H30" s="366" t="s">
        <v>27</v>
      </c>
      <c r="I30" s="352"/>
    </row>
    <row r="31" spans="1:12" ht="19.5" customHeight="1">
      <c r="A31" s="402"/>
      <c r="B31" s="372" t="s">
        <v>222</v>
      </c>
      <c r="C31" s="372"/>
      <c r="D31" s="644"/>
      <c r="E31" s="372"/>
      <c r="F31" s="368">
        <v>3985071284</v>
      </c>
      <c r="G31" s="368"/>
      <c r="H31" s="368">
        <v>3985071284</v>
      </c>
      <c r="I31" s="352"/>
    </row>
    <row r="32" spans="1:12" ht="19.5" customHeight="1">
      <c r="A32" s="402"/>
      <c r="B32" s="372" t="s">
        <v>223</v>
      </c>
      <c r="C32" s="372"/>
      <c r="D32" s="644"/>
      <c r="E32" s="372"/>
      <c r="F32" s="367">
        <v>977642397</v>
      </c>
      <c r="G32" s="368"/>
      <c r="H32" s="367">
        <v>977642397</v>
      </c>
      <c r="I32" s="352"/>
    </row>
    <row r="33" spans="1:9" ht="19.5" customHeight="1">
      <c r="A33" s="402"/>
      <c r="B33" s="372" t="s">
        <v>224</v>
      </c>
      <c r="C33" s="372"/>
      <c r="D33" s="644"/>
      <c r="E33" s="372"/>
      <c r="F33" s="367">
        <v>1117264446</v>
      </c>
      <c r="G33" s="368"/>
      <c r="H33" s="367">
        <v>1117264446</v>
      </c>
      <c r="I33" s="352"/>
    </row>
    <row r="34" spans="1:9" ht="18" thickBot="1">
      <c r="A34" s="402"/>
      <c r="B34" s="352"/>
      <c r="C34" s="352"/>
      <c r="D34" s="644"/>
      <c r="E34" s="352"/>
      <c r="F34" s="369">
        <f>SUM(F31:F33)</f>
        <v>6079978127</v>
      </c>
      <c r="G34" s="368"/>
      <c r="H34" s="369">
        <f>SUM(H31:H33)</f>
        <v>6079978127</v>
      </c>
      <c r="I34" s="352"/>
    </row>
    <row r="35" spans="1:9" ht="15.75" thickTop="1">
      <c r="A35" s="399"/>
      <c r="B35" s="228"/>
      <c r="C35" s="228"/>
      <c r="D35" s="640"/>
      <c r="E35" s="228"/>
      <c r="F35" s="385"/>
      <c r="G35" s="234"/>
      <c r="H35" s="385"/>
    </row>
    <row r="36" spans="1:9" ht="12.75">
      <c r="A36" s="399"/>
      <c r="B36" s="232"/>
      <c r="C36" s="232"/>
      <c r="D36" s="646"/>
      <c r="E36" s="232"/>
      <c r="F36" s="233"/>
      <c r="G36" s="233"/>
      <c r="H36" s="386"/>
    </row>
    <row r="39" spans="1:9">
      <c r="H39" s="276" t="s">
        <v>966</v>
      </c>
    </row>
  </sheetData>
  <mergeCells count="8">
    <mergeCell ref="B21:H21"/>
    <mergeCell ref="B22:H22"/>
    <mergeCell ref="B24:H24"/>
    <mergeCell ref="A1:H1"/>
    <mergeCell ref="A3:H3"/>
    <mergeCell ref="A2:H2"/>
    <mergeCell ref="B15:H15"/>
    <mergeCell ref="B20:H20"/>
  </mergeCells>
  <pageMargins left="0" right="0" top="0.74803149606299213" bottom="0.74803149606299213" header="0.31496062992125984" footer="0.31496062992125984"/>
  <pageSetup paperSize="9" scale="92" orientation="portrait" horizontalDpi="300" verticalDpi="300" r:id="rId1"/>
  <headerFooter>
    <oddFooter>&amp;C&amp;"B Mitra,Bold"&amp;14 21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rightToLeft="1" workbookViewId="0">
      <selection activeCell="I14" sqref="I14"/>
    </sheetView>
  </sheetViews>
  <sheetFormatPr defaultColWidth="9" defaultRowHeight="15"/>
  <cols>
    <col min="1" max="1" width="6.28515625" style="55" bestFit="1" customWidth="1"/>
    <col min="2" max="2" width="45.85546875" style="55" customWidth="1"/>
    <col min="3" max="3" width="4.5703125" style="55" customWidth="1"/>
    <col min="4" max="4" width="2.28515625" style="251" customWidth="1"/>
    <col min="5" max="5" width="10.7109375" style="55" customWidth="1"/>
    <col min="6" max="6" width="1.85546875" style="55" customWidth="1"/>
    <col min="7" max="7" width="12.28515625" style="55" customWidth="1"/>
    <col min="8" max="16384" width="9" style="55"/>
  </cols>
  <sheetData>
    <row r="1" spans="1:9" ht="20.25" customHeight="1">
      <c r="A1" s="703" t="s">
        <v>127</v>
      </c>
      <c r="B1" s="703"/>
      <c r="C1" s="703"/>
      <c r="D1" s="703"/>
      <c r="E1" s="703"/>
      <c r="F1" s="703"/>
      <c r="G1" s="703"/>
    </row>
    <row r="2" spans="1:9" ht="18" customHeight="1">
      <c r="A2" s="703" t="s">
        <v>0</v>
      </c>
      <c r="B2" s="703"/>
      <c r="C2" s="703"/>
      <c r="D2" s="703"/>
      <c r="E2" s="703"/>
      <c r="F2" s="703"/>
      <c r="G2" s="703"/>
    </row>
    <row r="3" spans="1:9" ht="18" customHeight="1">
      <c r="A3" s="703" t="s">
        <v>1017</v>
      </c>
      <c r="B3" s="703"/>
      <c r="C3" s="703"/>
      <c r="D3" s="703"/>
      <c r="E3" s="703"/>
      <c r="F3" s="703"/>
      <c r="G3" s="703"/>
      <c r="H3" s="62"/>
      <c r="I3" s="62"/>
    </row>
    <row r="4" spans="1:9" ht="15" customHeight="1">
      <c r="A4" s="62"/>
      <c r="B4" s="62"/>
      <c r="C4" s="62"/>
      <c r="D4" s="250"/>
    </row>
    <row r="5" spans="1:9" ht="6" customHeight="1">
      <c r="A5" s="352"/>
      <c r="B5" s="352"/>
      <c r="C5" s="352"/>
      <c r="D5" s="352"/>
      <c r="E5" s="379"/>
      <c r="F5" s="368"/>
      <c r="G5" s="379"/>
    </row>
    <row r="6" spans="1:9" ht="18">
      <c r="A6" s="378" t="s">
        <v>698</v>
      </c>
      <c r="B6" s="527" t="s">
        <v>225</v>
      </c>
      <c r="C6" s="352"/>
      <c r="D6" s="352"/>
      <c r="E6" s="355" t="s">
        <v>797</v>
      </c>
      <c r="F6" s="355"/>
      <c r="G6" s="355" t="s">
        <v>692</v>
      </c>
    </row>
    <row r="7" spans="1:9" ht="14.25" customHeight="1">
      <c r="A7" s="378"/>
      <c r="B7" s="352"/>
      <c r="C7" s="352"/>
      <c r="D7" s="352"/>
      <c r="E7" s="366" t="s">
        <v>27</v>
      </c>
      <c r="F7" s="354"/>
      <c r="G7" s="366" t="s">
        <v>27</v>
      </c>
    </row>
    <row r="8" spans="1:9" ht="14.25" customHeight="1">
      <c r="A8" s="378"/>
      <c r="B8" s="352" t="s">
        <v>976</v>
      </c>
      <c r="C8" s="352"/>
      <c r="D8" s="352"/>
      <c r="E8" s="354"/>
      <c r="F8" s="354"/>
      <c r="G8" s="379">
        <v>5100000</v>
      </c>
    </row>
    <row r="9" spans="1:9" ht="14.25" customHeight="1">
      <c r="A9" s="378"/>
      <c r="B9" s="352" t="s">
        <v>977</v>
      </c>
      <c r="C9" s="352"/>
      <c r="D9" s="352"/>
      <c r="E9" s="354">
        <v>0</v>
      </c>
      <c r="F9" s="354"/>
      <c r="G9" s="356">
        <v>7200000</v>
      </c>
    </row>
    <row r="10" spans="1:9" ht="14.25" customHeight="1">
      <c r="A10" s="378"/>
      <c r="B10" s="352" t="s">
        <v>978</v>
      </c>
      <c r="C10" s="352"/>
      <c r="D10" s="352"/>
      <c r="E10" s="354">
        <v>0</v>
      </c>
      <c r="F10" s="354"/>
      <c r="G10" s="356">
        <v>7000000</v>
      </c>
    </row>
    <row r="11" spans="1:9" ht="14.25" customHeight="1">
      <c r="A11" s="378"/>
      <c r="B11" s="352" t="s">
        <v>979</v>
      </c>
      <c r="C11" s="352"/>
      <c r="D11" s="352"/>
      <c r="E11" s="354">
        <v>0</v>
      </c>
      <c r="F11" s="354"/>
      <c r="G11" s="356">
        <v>212550000</v>
      </c>
    </row>
    <row r="12" spans="1:9" ht="14.25" customHeight="1">
      <c r="A12" s="378"/>
      <c r="B12" s="352" t="s">
        <v>980</v>
      </c>
      <c r="C12" s="352"/>
      <c r="D12" s="352"/>
      <c r="E12" s="354">
        <v>0</v>
      </c>
      <c r="F12" s="354"/>
      <c r="G12" s="356">
        <v>89000000</v>
      </c>
    </row>
    <row r="13" spans="1:9" ht="14.25" customHeight="1">
      <c r="A13" s="378"/>
      <c r="B13" s="352" t="s">
        <v>808</v>
      </c>
      <c r="C13" s="352"/>
      <c r="D13" s="352"/>
      <c r="E13" s="379">
        <v>497000000</v>
      </c>
      <c r="F13" s="379"/>
      <c r="G13" s="356">
        <v>0</v>
      </c>
    </row>
    <row r="14" spans="1:9" ht="14.25" customHeight="1">
      <c r="A14" s="378"/>
      <c r="B14" s="352" t="s">
        <v>809</v>
      </c>
      <c r="C14" s="352"/>
      <c r="D14" s="352"/>
      <c r="E14" s="356">
        <v>44000000</v>
      </c>
      <c r="F14" s="356"/>
      <c r="G14" s="356">
        <v>0</v>
      </c>
    </row>
    <row r="15" spans="1:9" ht="14.25" customHeight="1">
      <c r="A15" s="378"/>
      <c r="B15" s="352" t="s">
        <v>914</v>
      </c>
      <c r="C15" s="352"/>
      <c r="D15" s="352"/>
      <c r="E15" s="356">
        <v>28200000</v>
      </c>
      <c r="F15" s="356"/>
      <c r="G15" s="356">
        <v>0</v>
      </c>
    </row>
    <row r="16" spans="1:9" ht="14.25" customHeight="1">
      <c r="A16" s="378"/>
      <c r="B16" s="352" t="s">
        <v>810</v>
      </c>
      <c r="C16" s="352"/>
      <c r="D16" s="352"/>
      <c r="E16" s="356">
        <v>72500000</v>
      </c>
      <c r="F16" s="356"/>
      <c r="G16" s="356">
        <v>0</v>
      </c>
    </row>
    <row r="17" spans="1:7" ht="14.25" customHeight="1">
      <c r="A17" s="378"/>
      <c r="B17" s="352" t="s">
        <v>811</v>
      </c>
      <c r="C17" s="352"/>
      <c r="D17" s="352"/>
      <c r="E17" s="356">
        <v>50000000</v>
      </c>
      <c r="F17" s="356"/>
      <c r="G17" s="356">
        <v>0</v>
      </c>
    </row>
    <row r="18" spans="1:7" ht="14.25" customHeight="1">
      <c r="A18" s="378"/>
      <c r="B18" s="352" t="s">
        <v>812</v>
      </c>
      <c r="C18" s="352"/>
      <c r="D18" s="352"/>
      <c r="E18" s="356">
        <v>15600000</v>
      </c>
      <c r="F18" s="356"/>
      <c r="G18" s="356">
        <v>0</v>
      </c>
    </row>
    <row r="19" spans="1:7" ht="14.25" customHeight="1">
      <c r="A19" s="378"/>
      <c r="B19" s="352" t="s">
        <v>700</v>
      </c>
      <c r="C19" s="352"/>
      <c r="D19" s="352"/>
      <c r="E19" s="356">
        <v>394273000</v>
      </c>
      <c r="F19" s="356"/>
      <c r="G19" s="356">
        <v>20750000</v>
      </c>
    </row>
    <row r="20" spans="1:7" ht="14.25" customHeight="1">
      <c r="A20" s="378"/>
      <c r="B20" s="352" t="s">
        <v>226</v>
      </c>
      <c r="C20" s="352"/>
      <c r="D20" s="352"/>
      <c r="E20" s="356">
        <v>27560000</v>
      </c>
      <c r="F20" s="356"/>
      <c r="G20" s="356">
        <v>3000000</v>
      </c>
    </row>
    <row r="21" spans="1:7" ht="14.25" customHeight="1" thickBot="1">
      <c r="A21" s="378"/>
      <c r="B21" s="352"/>
      <c r="C21" s="352"/>
      <c r="D21" s="352"/>
      <c r="E21" s="357">
        <f>SUM(E13:E20)</f>
        <v>1129133000</v>
      </c>
      <c r="F21" s="368"/>
      <c r="G21" s="357">
        <f>SUM(G8:G20)</f>
        <v>344600000</v>
      </c>
    </row>
    <row r="22" spans="1:7" ht="6" customHeight="1" thickTop="1">
      <c r="A22" s="352"/>
      <c r="B22" s="352"/>
      <c r="C22" s="352"/>
      <c r="D22" s="352"/>
      <c r="E22" s="352"/>
      <c r="F22" s="352"/>
      <c r="G22" s="352"/>
    </row>
    <row r="23" spans="1:7" ht="15" customHeight="1">
      <c r="A23" s="378" t="s">
        <v>699</v>
      </c>
      <c r="B23" s="352" t="s">
        <v>227</v>
      </c>
      <c r="C23" s="352"/>
      <c r="D23" s="352"/>
      <c r="E23" s="355" t="s">
        <v>797</v>
      </c>
      <c r="F23" s="355"/>
      <c r="G23" s="355" t="s">
        <v>692</v>
      </c>
    </row>
    <row r="24" spans="1:7" ht="14.25" customHeight="1">
      <c r="A24" s="378"/>
      <c r="B24" s="352"/>
      <c r="C24" s="352"/>
      <c r="D24" s="352"/>
      <c r="E24" s="366" t="s">
        <v>27</v>
      </c>
      <c r="F24" s="354"/>
      <c r="G24" s="366" t="s">
        <v>27</v>
      </c>
    </row>
    <row r="25" spans="1:7" ht="14.25" customHeight="1">
      <c r="A25" s="378"/>
      <c r="B25" s="352" t="s">
        <v>813</v>
      </c>
      <c r="C25" s="352"/>
      <c r="D25" s="352"/>
      <c r="E25" s="379">
        <v>217859000</v>
      </c>
      <c r="F25" s="379"/>
      <c r="G25" s="379">
        <v>265100000</v>
      </c>
    </row>
    <row r="26" spans="1:7" ht="14.25" customHeight="1">
      <c r="A26" s="378"/>
      <c r="B26" s="352" t="s">
        <v>814</v>
      </c>
      <c r="C26" s="352"/>
      <c r="D26" s="352"/>
      <c r="E26" s="356">
        <v>0</v>
      </c>
      <c r="F26" s="356"/>
      <c r="G26" s="356">
        <v>5550000</v>
      </c>
    </row>
    <row r="27" spans="1:7" ht="14.25" customHeight="1">
      <c r="A27" s="378"/>
      <c r="B27" s="352" t="s">
        <v>815</v>
      </c>
      <c r="C27" s="352"/>
      <c r="D27" s="352"/>
      <c r="E27" s="356">
        <v>27310000</v>
      </c>
      <c r="F27" s="356"/>
      <c r="G27" s="356">
        <v>147810000</v>
      </c>
    </row>
    <row r="28" spans="1:7" ht="14.25" customHeight="1">
      <c r="A28" s="378"/>
      <c r="B28" s="352" t="s">
        <v>816</v>
      </c>
      <c r="C28" s="352"/>
      <c r="D28" s="352"/>
      <c r="E28" s="356">
        <v>53900000</v>
      </c>
      <c r="F28" s="356"/>
      <c r="G28" s="356">
        <v>138720000</v>
      </c>
    </row>
    <row r="29" spans="1:7" ht="14.25" customHeight="1">
      <c r="A29" s="378"/>
      <c r="B29" s="352" t="s">
        <v>817</v>
      </c>
      <c r="C29" s="352"/>
      <c r="D29" s="352"/>
      <c r="E29" s="356">
        <v>156950000</v>
      </c>
      <c r="F29" s="356"/>
      <c r="G29" s="356">
        <v>179946725</v>
      </c>
    </row>
    <row r="30" spans="1:7" ht="14.25" customHeight="1">
      <c r="A30" s="378"/>
      <c r="B30" s="352" t="s">
        <v>818</v>
      </c>
      <c r="C30" s="352"/>
      <c r="D30" s="352"/>
      <c r="E30" s="356">
        <v>0</v>
      </c>
      <c r="F30" s="356"/>
      <c r="G30" s="356">
        <v>8900000</v>
      </c>
    </row>
    <row r="31" spans="1:7" ht="14.25" customHeight="1">
      <c r="A31" s="378"/>
      <c r="B31" s="352" t="s">
        <v>819</v>
      </c>
      <c r="C31" s="352"/>
      <c r="D31" s="352"/>
      <c r="E31" s="356">
        <v>11300000</v>
      </c>
      <c r="F31" s="356"/>
      <c r="G31" s="356">
        <v>26320000</v>
      </c>
    </row>
    <row r="32" spans="1:7" ht="14.25" customHeight="1">
      <c r="A32" s="378"/>
      <c r="B32" s="352" t="s">
        <v>820</v>
      </c>
      <c r="C32" s="352"/>
      <c r="D32" s="352"/>
      <c r="E32" s="356">
        <v>36670000</v>
      </c>
      <c r="F32" s="356"/>
      <c r="G32" s="356">
        <v>18430000</v>
      </c>
    </row>
    <row r="33" spans="1:7" ht="14.25" customHeight="1">
      <c r="A33" s="378"/>
      <c r="B33" s="352" t="s">
        <v>821</v>
      </c>
      <c r="C33" s="352"/>
      <c r="D33" s="352"/>
      <c r="E33" s="356">
        <v>0</v>
      </c>
      <c r="F33" s="356"/>
      <c r="G33" s="356">
        <v>14350000</v>
      </c>
    </row>
    <row r="34" spans="1:7" ht="14.25" customHeight="1">
      <c r="A34" s="378"/>
      <c r="B34" s="352" t="s">
        <v>822</v>
      </c>
      <c r="C34" s="352"/>
      <c r="D34" s="352"/>
      <c r="E34" s="356">
        <v>0</v>
      </c>
      <c r="F34" s="356"/>
      <c r="G34" s="356">
        <v>80000000</v>
      </c>
    </row>
    <row r="35" spans="1:7" ht="14.25" customHeight="1">
      <c r="A35" s="378"/>
      <c r="B35" s="352" t="s">
        <v>702</v>
      </c>
      <c r="C35" s="352"/>
      <c r="D35" s="352"/>
      <c r="E35" s="356">
        <v>6180000</v>
      </c>
      <c r="F35" s="356"/>
      <c r="G35" s="356">
        <v>5500000</v>
      </c>
    </row>
    <row r="36" spans="1:7" ht="14.25" customHeight="1">
      <c r="A36" s="378"/>
      <c r="B36" s="352" t="s">
        <v>823</v>
      </c>
      <c r="C36" s="352"/>
      <c r="D36" s="352"/>
      <c r="E36" s="356">
        <v>0</v>
      </c>
      <c r="F36" s="356"/>
      <c r="G36" s="356">
        <v>8500000</v>
      </c>
    </row>
    <row r="37" spans="1:7" ht="14.25" customHeight="1">
      <c r="A37" s="378"/>
      <c r="B37" s="352" t="s">
        <v>824</v>
      </c>
      <c r="C37" s="352"/>
      <c r="D37" s="352"/>
      <c r="E37" s="356">
        <v>8100000</v>
      </c>
      <c r="F37" s="356"/>
      <c r="G37" s="356">
        <v>15000000</v>
      </c>
    </row>
    <row r="38" spans="1:7" ht="14.25" customHeight="1">
      <c r="A38" s="378"/>
      <c r="B38" s="352" t="s">
        <v>703</v>
      </c>
      <c r="C38" s="352"/>
      <c r="D38" s="352"/>
      <c r="E38" s="356">
        <v>18600000</v>
      </c>
      <c r="F38" s="356" t="s">
        <v>966</v>
      </c>
      <c r="G38" s="356">
        <v>13050000</v>
      </c>
    </row>
    <row r="39" spans="1:7" ht="14.25" customHeight="1">
      <c r="A39" s="378"/>
      <c r="B39" s="352" t="s">
        <v>228</v>
      </c>
      <c r="C39" s="352"/>
      <c r="D39" s="352"/>
      <c r="E39" s="356">
        <v>449535000</v>
      </c>
      <c r="F39" s="356"/>
      <c r="G39" s="356">
        <v>219272820</v>
      </c>
    </row>
    <row r="40" spans="1:7" ht="18" thickBot="1">
      <c r="A40" s="359"/>
      <c r="B40" s="352"/>
      <c r="C40" s="352"/>
      <c r="D40" s="352"/>
      <c r="E40" s="357">
        <f>SUM(E25:E39)</f>
        <v>986404000</v>
      </c>
      <c r="F40" s="379"/>
      <c r="G40" s="357">
        <f>SUM(G25:G39)</f>
        <v>1146449545</v>
      </c>
    </row>
    <row r="41" spans="1:7" ht="15.75" thickTop="1"/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&amp;C&amp;"B Mitra,Bold"&amp;14 22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G35"/>
  <sheetViews>
    <sheetView rightToLeft="1" workbookViewId="0">
      <selection activeCell="B16" sqref="B16"/>
    </sheetView>
  </sheetViews>
  <sheetFormatPr defaultColWidth="9" defaultRowHeight="15"/>
  <cols>
    <col min="1" max="1" width="6.42578125" style="55" customWidth="1"/>
    <col min="2" max="2" width="66.5703125" style="55" customWidth="1"/>
    <col min="3" max="3" width="12.85546875" style="343" customWidth="1"/>
    <col min="4" max="16384" width="9" style="55"/>
  </cols>
  <sheetData>
    <row r="1" spans="1:7" ht="22.5">
      <c r="A1" s="703" t="s">
        <v>915</v>
      </c>
      <c r="B1" s="703"/>
      <c r="C1" s="703"/>
      <c r="D1" s="703"/>
    </row>
    <row r="2" spans="1:7" ht="22.5">
      <c r="A2" s="703" t="s">
        <v>0</v>
      </c>
      <c r="B2" s="703"/>
      <c r="C2" s="703"/>
      <c r="D2" s="703"/>
    </row>
    <row r="3" spans="1:7" ht="22.5">
      <c r="A3" s="703" t="s">
        <v>1017</v>
      </c>
      <c r="B3" s="703"/>
      <c r="C3" s="703"/>
      <c r="D3" s="703"/>
      <c r="E3" s="62"/>
      <c r="F3" s="62"/>
      <c r="G3" s="62"/>
    </row>
    <row r="4" spans="1:7" ht="34.5" customHeight="1"/>
    <row r="5" spans="1:7" ht="18.75">
      <c r="A5" s="4" t="s">
        <v>701</v>
      </c>
      <c r="B5" s="3" t="s">
        <v>229</v>
      </c>
      <c r="C5" s="345" t="s">
        <v>797</v>
      </c>
    </row>
    <row r="6" spans="1:7" ht="18.75">
      <c r="A6" s="4"/>
      <c r="B6" s="3"/>
      <c r="C6" s="235" t="s">
        <v>27</v>
      </c>
    </row>
    <row r="7" spans="1:7" ht="18.75">
      <c r="A7" s="4"/>
      <c r="B7" s="3" t="s">
        <v>705</v>
      </c>
      <c r="C7" s="226">
        <v>214500000</v>
      </c>
    </row>
    <row r="8" spans="1:7" ht="18.75">
      <c r="A8" s="4"/>
      <c r="B8" s="3" t="s">
        <v>801</v>
      </c>
      <c r="C8" s="226">
        <v>439666632</v>
      </c>
    </row>
    <row r="9" spans="1:7" ht="18.75">
      <c r="A9" s="4"/>
      <c r="B9" s="3" t="s">
        <v>802</v>
      </c>
      <c r="C9" s="226">
        <v>23880000</v>
      </c>
    </row>
    <row r="10" spans="1:7" ht="18.75">
      <c r="A10" s="4"/>
      <c r="B10" s="3" t="s">
        <v>803</v>
      </c>
      <c r="C10" s="226">
        <v>18051533</v>
      </c>
    </row>
    <row r="11" spans="1:7" ht="18.75">
      <c r="A11" s="4"/>
      <c r="B11" s="3" t="s">
        <v>804</v>
      </c>
      <c r="C11" s="226">
        <v>371754539</v>
      </c>
    </row>
    <row r="12" spans="1:7" ht="18.75">
      <c r="A12" s="4"/>
      <c r="B12" s="3" t="s">
        <v>805</v>
      </c>
      <c r="C12" s="226">
        <v>943616296</v>
      </c>
    </row>
    <row r="13" spans="1:7" ht="19.5" thickBot="1">
      <c r="A13" s="4"/>
      <c r="B13" s="3"/>
      <c r="C13" s="225">
        <f>SUM(C7:C12)</f>
        <v>2011469000</v>
      </c>
    </row>
    <row r="14" spans="1:7" ht="24.75" customHeight="1" thickTop="1">
      <c r="A14" s="2"/>
      <c r="B14" s="3"/>
      <c r="C14" s="224"/>
    </row>
    <row r="15" spans="1:7" ht="18.75">
      <c r="A15" s="4" t="s">
        <v>704</v>
      </c>
      <c r="B15" s="3" t="s">
        <v>230</v>
      </c>
      <c r="C15" s="345" t="s">
        <v>797</v>
      </c>
    </row>
    <row r="16" spans="1:7" ht="18.75">
      <c r="A16" s="4"/>
      <c r="B16" s="3"/>
      <c r="C16" s="235" t="s">
        <v>27</v>
      </c>
    </row>
    <row r="17" spans="1:7" ht="18">
      <c r="A17" s="236"/>
      <c r="B17" s="3" t="s">
        <v>806</v>
      </c>
      <c r="C17" s="226">
        <v>205773000</v>
      </c>
    </row>
    <row r="18" spans="1:7" ht="18">
      <c r="A18" s="236"/>
      <c r="B18" s="3" t="s">
        <v>807</v>
      </c>
      <c r="C18" s="226">
        <v>207171528</v>
      </c>
    </row>
    <row r="19" spans="1:7" ht="18.75" thickBot="1">
      <c r="A19" s="236"/>
      <c r="B19" s="3"/>
      <c r="C19" s="274">
        <f>SUM(C17:C18)</f>
        <v>412944528</v>
      </c>
    </row>
    <row r="20" spans="1:7" ht="15.75" thickTop="1"/>
    <row r="21" spans="1:7" ht="21.75" customHeight="1"/>
    <row r="22" spans="1:7" ht="19.5" customHeight="1">
      <c r="A22" s="4"/>
      <c r="B22" s="3"/>
      <c r="C22" s="345" t="s">
        <v>797</v>
      </c>
      <c r="D22" s="3"/>
      <c r="E22" s="3"/>
      <c r="F22" s="3"/>
      <c r="G22" s="3"/>
    </row>
    <row r="23" spans="1:7" ht="18.75">
      <c r="A23" s="4" t="s">
        <v>706</v>
      </c>
      <c r="B23" s="3" t="s">
        <v>231</v>
      </c>
      <c r="C23" s="235" t="s">
        <v>27</v>
      </c>
      <c r="D23" s="3"/>
      <c r="E23" s="3"/>
      <c r="F23" s="3"/>
      <c r="G23" s="3"/>
    </row>
    <row r="24" spans="1:7" ht="18.75">
      <c r="A24" s="4"/>
      <c r="B24" s="3" t="s">
        <v>798</v>
      </c>
      <c r="C24" s="237">
        <v>100595000</v>
      </c>
      <c r="D24" s="3"/>
      <c r="E24" s="3"/>
      <c r="F24" s="3"/>
      <c r="G24" s="3"/>
    </row>
    <row r="25" spans="1:7" ht="18.75">
      <c r="A25" s="4"/>
      <c r="B25" s="3"/>
      <c r="C25" s="237">
        <v>0</v>
      </c>
      <c r="D25" s="3"/>
      <c r="E25" s="3"/>
      <c r="F25" s="3"/>
      <c r="G25" s="3"/>
    </row>
    <row r="26" spans="1:7" ht="19.5" thickBot="1">
      <c r="A26" s="2"/>
      <c r="B26" s="3"/>
      <c r="C26" s="238">
        <f>SUM(C24:C25)</f>
        <v>100595000</v>
      </c>
      <c r="D26" s="3"/>
      <c r="E26" s="3"/>
      <c r="F26" s="3"/>
      <c r="G26" s="3"/>
    </row>
    <row r="27" spans="1:7" ht="19.5" thickTop="1">
      <c r="A27" s="2"/>
      <c r="B27" s="3"/>
      <c r="C27" s="237"/>
      <c r="D27" s="3"/>
      <c r="E27" s="3"/>
      <c r="F27" s="3"/>
      <c r="G27" s="3"/>
    </row>
    <row r="28" spans="1:7" ht="18.75">
      <c r="A28" s="2"/>
      <c r="B28" s="3"/>
      <c r="C28" s="237"/>
      <c r="D28" s="3"/>
      <c r="E28" s="3"/>
      <c r="F28" s="3"/>
      <c r="G28" s="3"/>
    </row>
    <row r="29" spans="1:7" ht="18.75">
      <c r="A29" s="2"/>
      <c r="B29" s="3"/>
      <c r="C29" s="345" t="s">
        <v>797</v>
      </c>
      <c r="D29" s="3"/>
      <c r="E29" s="3"/>
      <c r="F29" s="3"/>
      <c r="G29" s="3"/>
    </row>
    <row r="30" spans="1:7" ht="18.75">
      <c r="A30" s="4" t="s">
        <v>707</v>
      </c>
      <c r="B30" s="3" t="s">
        <v>232</v>
      </c>
      <c r="C30" s="235" t="s">
        <v>27</v>
      </c>
      <c r="D30" s="3"/>
      <c r="E30" s="3"/>
      <c r="F30" s="3"/>
      <c r="G30" s="3"/>
    </row>
    <row r="31" spans="1:7" ht="18.75">
      <c r="A31" s="4"/>
      <c r="B31" s="377" t="s">
        <v>799</v>
      </c>
      <c r="C31" s="226">
        <v>490000</v>
      </c>
      <c r="D31" s="377"/>
      <c r="E31" s="377"/>
      <c r="F31" s="377"/>
      <c r="G31" s="377"/>
    </row>
    <row r="32" spans="1:7" ht="18.75">
      <c r="A32" s="4"/>
      <c r="B32" s="3" t="s">
        <v>800</v>
      </c>
      <c r="C32" s="226">
        <v>9175000</v>
      </c>
      <c r="D32" s="3"/>
      <c r="E32" s="3"/>
      <c r="F32" s="3"/>
      <c r="G32" s="3"/>
    </row>
    <row r="33" spans="1:7" ht="19.5" thickBot="1">
      <c r="A33" s="4"/>
      <c r="B33" s="3"/>
      <c r="C33" s="225">
        <f>SUM(C31:C32)</f>
        <v>9665000</v>
      </c>
      <c r="D33" s="3"/>
      <c r="E33" s="3"/>
      <c r="F33" s="3"/>
      <c r="G33" s="3"/>
    </row>
    <row r="34" spans="1:7" ht="19.5" thickTop="1">
      <c r="A34" s="2"/>
      <c r="B34" s="3"/>
      <c r="C34" s="237"/>
      <c r="D34" s="3"/>
      <c r="E34" s="3"/>
      <c r="F34" s="3"/>
      <c r="G34" s="3"/>
    </row>
    <row r="35" spans="1:7">
      <c r="C35" s="55"/>
    </row>
  </sheetData>
  <mergeCells count="3">
    <mergeCell ref="A1:D1"/>
    <mergeCell ref="A2:D2"/>
    <mergeCell ref="A3:D3"/>
  </mergeCells>
  <pageMargins left="0" right="0" top="0.6692913385826772" bottom="0.74803149606299213" header="0.31496062992125984" footer="0.31496062992125984"/>
  <pageSetup paperSize="9" orientation="portrait" r:id="rId1"/>
  <headerFooter>
    <oddFooter>&amp;C&amp;"B Mitra,Bold"&amp;14 23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6"/>
  <sheetViews>
    <sheetView rightToLeft="1" topLeftCell="A19" workbookViewId="0">
      <selection activeCell="R11" sqref="R11"/>
    </sheetView>
  </sheetViews>
  <sheetFormatPr defaultRowHeight="18"/>
  <cols>
    <col min="1" max="1" width="6.85546875" customWidth="1"/>
    <col min="3" max="3" width="3.42578125" customWidth="1"/>
    <col min="5" max="5" width="3.42578125" customWidth="1"/>
    <col min="6" max="6" width="3" customWidth="1"/>
    <col min="7" max="7" width="11.140625" bestFit="1" customWidth="1"/>
    <col min="8" max="8" width="1.28515625" customWidth="1"/>
    <col min="9" max="9" width="1.140625" customWidth="1"/>
    <col min="10" max="10" width="10.5703125" bestFit="1" customWidth="1"/>
    <col min="11" max="11" width="2.28515625" style="34" customWidth="1"/>
    <col min="12" max="12" width="12.7109375" customWidth="1"/>
    <col min="13" max="13" width="3" customWidth="1"/>
    <col min="14" max="14" width="11.85546875" style="656" bestFit="1" customWidth="1"/>
    <col min="15" max="15" width="2.140625" style="656" customWidth="1"/>
    <col min="16" max="16" width="12.7109375" style="656" bestFit="1" customWidth="1"/>
  </cols>
  <sheetData>
    <row r="1" spans="1:18" ht="22.5">
      <c r="A1" s="703" t="s">
        <v>127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</row>
    <row r="2" spans="1:18" ht="22.5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</row>
    <row r="3" spans="1:18" ht="22.5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</row>
    <row r="4" spans="1:18" ht="18.75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43" t="s">
        <v>721</v>
      </c>
      <c r="O4" s="98"/>
      <c r="P4" s="677" t="s">
        <v>25</v>
      </c>
      <c r="Q4" s="259"/>
      <c r="R4" s="259"/>
    </row>
    <row r="5" spans="1:18" ht="18.75">
      <c r="A5" s="4" t="s">
        <v>708</v>
      </c>
      <c r="B5" s="3" t="s">
        <v>233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35" t="s">
        <v>27</v>
      </c>
      <c r="O5" s="668"/>
      <c r="P5" s="235" t="s">
        <v>27</v>
      </c>
    </row>
    <row r="6" spans="1:18" ht="19.5" customHeight="1">
      <c r="A6" s="3"/>
      <c r="B6" s="766" t="s">
        <v>916</v>
      </c>
      <c r="C6" s="766"/>
      <c r="D6" s="766"/>
      <c r="E6" s="766"/>
      <c r="F6" s="3"/>
      <c r="G6" s="3"/>
      <c r="H6" s="3"/>
      <c r="I6" s="3"/>
      <c r="J6" s="3"/>
      <c r="K6" s="3"/>
      <c r="L6" s="3"/>
      <c r="M6" s="3"/>
      <c r="N6" s="239">
        <v>0</v>
      </c>
      <c r="O6" s="668"/>
      <c r="P6" s="239">
        <v>814250</v>
      </c>
    </row>
    <row r="7" spans="1:18" ht="19.5" customHeight="1">
      <c r="A7" s="3"/>
      <c r="B7" s="766" t="s">
        <v>710</v>
      </c>
      <c r="C7" s="766"/>
      <c r="D7" s="766"/>
      <c r="E7" s="766"/>
      <c r="F7" s="3"/>
      <c r="G7" s="3"/>
      <c r="H7" s="3"/>
      <c r="I7" s="3"/>
      <c r="J7" s="3"/>
      <c r="K7" s="3"/>
      <c r="L7" s="239"/>
      <c r="M7" s="3"/>
      <c r="N7" s="239">
        <v>0</v>
      </c>
      <c r="O7" s="668"/>
      <c r="P7" s="239">
        <v>158618405</v>
      </c>
    </row>
    <row r="8" spans="1:18" ht="19.5" customHeight="1">
      <c r="A8" s="3"/>
      <c r="B8" s="766" t="s">
        <v>711</v>
      </c>
      <c r="C8" s="766"/>
      <c r="D8" s="766"/>
      <c r="E8" s="766"/>
      <c r="F8" s="3"/>
      <c r="G8" s="3"/>
      <c r="H8" s="3"/>
      <c r="I8" s="3"/>
      <c r="J8" s="3"/>
      <c r="K8" s="3"/>
      <c r="L8" s="239"/>
      <c r="M8" s="3"/>
      <c r="N8" s="239">
        <v>0</v>
      </c>
      <c r="O8" s="668"/>
      <c r="P8" s="239">
        <v>418783722</v>
      </c>
    </row>
    <row r="9" spans="1:18" ht="19.5" customHeight="1">
      <c r="A9" s="3"/>
      <c r="B9" s="240" t="s">
        <v>712</v>
      </c>
      <c r="C9" s="240"/>
      <c r="D9" s="240"/>
      <c r="E9" s="240"/>
      <c r="F9" s="3"/>
      <c r="G9" s="3"/>
      <c r="H9" s="3"/>
      <c r="I9" s="3"/>
      <c r="J9" s="3"/>
      <c r="K9" s="3"/>
      <c r="L9" s="3"/>
      <c r="M9" s="3"/>
      <c r="N9" s="239">
        <v>0</v>
      </c>
      <c r="O9" s="668"/>
      <c r="P9" s="239">
        <v>8221410</v>
      </c>
    </row>
    <row r="10" spans="1:18" ht="19.5" customHeight="1">
      <c r="A10" s="3"/>
      <c r="B10" s="240" t="s">
        <v>713</v>
      </c>
      <c r="C10" s="240"/>
      <c r="D10" s="240"/>
      <c r="E10" s="240"/>
      <c r="F10" s="3"/>
      <c r="G10" s="3"/>
      <c r="H10" s="3"/>
      <c r="I10" s="3"/>
      <c r="J10" s="3"/>
      <c r="K10" s="3"/>
      <c r="L10" s="3"/>
      <c r="M10" s="3"/>
      <c r="N10" s="239">
        <v>0</v>
      </c>
      <c r="O10" s="668"/>
      <c r="P10" s="239">
        <v>432430409</v>
      </c>
    </row>
    <row r="11" spans="1:18" ht="19.5" customHeight="1">
      <c r="A11" s="3"/>
      <c r="B11" s="240" t="s">
        <v>714</v>
      </c>
      <c r="C11" s="240"/>
      <c r="D11" s="240"/>
      <c r="E11" s="240"/>
      <c r="F11" s="3"/>
      <c r="G11" s="3"/>
      <c r="H11" s="3"/>
      <c r="I11" s="3"/>
      <c r="J11" s="3"/>
      <c r="K11" s="3"/>
      <c r="L11" s="3"/>
      <c r="M11" s="3"/>
      <c r="N11" s="239">
        <v>0</v>
      </c>
      <c r="O11" s="668"/>
      <c r="P11" s="239">
        <v>58181610</v>
      </c>
    </row>
    <row r="12" spans="1:18" ht="19.5" customHeight="1">
      <c r="A12" s="3"/>
      <c r="B12" s="240" t="s">
        <v>715</v>
      </c>
      <c r="C12" s="240"/>
      <c r="D12" s="240"/>
      <c r="E12" s="240"/>
      <c r="F12" s="3"/>
      <c r="G12" s="3"/>
      <c r="H12" s="3"/>
      <c r="I12" s="3"/>
      <c r="J12" s="3"/>
      <c r="K12" s="3"/>
      <c r="L12" s="3"/>
      <c r="M12" s="3"/>
      <c r="N12" s="239">
        <v>0</v>
      </c>
      <c r="O12" s="668"/>
      <c r="P12" s="239">
        <v>606037863</v>
      </c>
    </row>
    <row r="13" spans="1:18" ht="19.5" customHeight="1">
      <c r="A13" s="3"/>
      <c r="B13" s="766" t="s">
        <v>839</v>
      </c>
      <c r="C13" s="766"/>
      <c r="D13" s="766"/>
      <c r="E13" s="393"/>
      <c r="F13" s="3"/>
      <c r="G13" s="3"/>
      <c r="H13" s="3"/>
      <c r="I13" s="3"/>
      <c r="J13" s="3"/>
      <c r="K13" s="3"/>
      <c r="L13" s="3"/>
      <c r="M13" s="3"/>
      <c r="N13" s="239">
        <v>21271636</v>
      </c>
      <c r="O13" s="668"/>
      <c r="P13" s="239">
        <v>0</v>
      </c>
    </row>
    <row r="14" spans="1:18" ht="18.75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38">
        <f>SUM(N13)</f>
        <v>21271636</v>
      </c>
      <c r="O14" s="668"/>
      <c r="P14" s="238">
        <f>SUM(P6:P13)</f>
        <v>1683087669</v>
      </c>
    </row>
    <row r="15" spans="1:18" ht="18" customHeight="1" thickTop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239"/>
      <c r="O15" s="668"/>
      <c r="P15" s="239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37"/>
      <c r="O16" s="668"/>
      <c r="P16" s="237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43" t="s">
        <v>721</v>
      </c>
      <c r="O17" s="98"/>
      <c r="P17" s="677" t="s">
        <v>25</v>
      </c>
      <c r="Q17" s="259"/>
      <c r="R17" s="259"/>
    </row>
    <row r="18" spans="1:18" ht="18.75">
      <c r="A18" s="4" t="s">
        <v>709</v>
      </c>
      <c r="B18" s="3" t="s">
        <v>234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35" t="s">
        <v>27</v>
      </c>
      <c r="O18" s="668"/>
      <c r="P18" s="235" t="s">
        <v>27</v>
      </c>
    </row>
    <row r="19" spans="1:18" ht="19.5" customHeight="1">
      <c r="A19" s="3"/>
      <c r="B19" s="766" t="s">
        <v>716</v>
      </c>
      <c r="C19" s="766"/>
      <c r="D19" s="766"/>
      <c r="E19" s="766"/>
      <c r="F19" s="3"/>
      <c r="G19" s="3"/>
      <c r="H19" s="3"/>
      <c r="I19" s="3"/>
      <c r="J19" s="3"/>
      <c r="K19" s="3"/>
      <c r="L19" s="3"/>
      <c r="M19" s="3"/>
      <c r="N19" s="237">
        <v>0</v>
      </c>
      <c r="O19" s="668"/>
      <c r="P19" s="237">
        <v>60000000</v>
      </c>
    </row>
    <row r="20" spans="1:18" ht="19.5" customHeight="1">
      <c r="A20" s="3"/>
      <c r="B20" s="766" t="s">
        <v>235</v>
      </c>
      <c r="C20" s="766"/>
      <c r="D20" s="766"/>
      <c r="E20" s="766"/>
      <c r="F20" s="3"/>
      <c r="G20" s="3"/>
      <c r="H20" s="3"/>
      <c r="I20" s="3"/>
      <c r="J20" s="3"/>
      <c r="K20" s="3"/>
      <c r="L20" s="3"/>
      <c r="M20" s="3"/>
      <c r="N20" s="237">
        <v>280000000</v>
      </c>
      <c r="O20" s="668"/>
      <c r="P20" s="237">
        <v>763090720</v>
      </c>
    </row>
    <row r="21" spans="1:18" ht="18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238">
        <f>SUM(N19:N20)</f>
        <v>280000000</v>
      </c>
      <c r="O21" s="668"/>
      <c r="P21" s="238">
        <f>SUM(P19:P20)</f>
        <v>823090720</v>
      </c>
    </row>
    <row r="22" spans="1:18" ht="36.75" customHeight="1" thickTop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37"/>
      <c r="O22" s="668"/>
      <c r="P22" s="668"/>
    </row>
    <row r="23" spans="1:18">
      <c r="A23" s="202" t="s">
        <v>236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3"/>
      <c r="N23" s="666"/>
      <c r="O23" s="668"/>
      <c r="P23" s="668"/>
    </row>
    <row r="24" spans="1:18">
      <c r="A24" s="202"/>
      <c r="B24" s="202"/>
      <c r="C24" s="202"/>
      <c r="D24" s="773" t="s">
        <v>721</v>
      </c>
      <c r="E24" s="767"/>
      <c r="F24" s="767"/>
      <c r="G24" s="767"/>
      <c r="H24" s="767"/>
      <c r="I24" s="767"/>
      <c r="J24" s="767"/>
      <c r="K24" s="767"/>
      <c r="L24" s="767"/>
      <c r="M24" s="767"/>
      <c r="N24" s="767"/>
      <c r="O24" s="668"/>
      <c r="P24" s="677" t="s">
        <v>25</v>
      </c>
      <c r="Q24" s="259"/>
      <c r="R24" s="259"/>
    </row>
    <row r="25" spans="1:18">
      <c r="A25" s="767" t="s">
        <v>237</v>
      </c>
      <c r="B25" s="767"/>
      <c r="C25" s="221"/>
      <c r="D25" s="767" t="s">
        <v>238</v>
      </c>
      <c r="E25" s="767"/>
      <c r="F25" s="221"/>
      <c r="G25" s="241" t="s">
        <v>139</v>
      </c>
      <c r="H25" s="241"/>
      <c r="I25" s="221"/>
      <c r="J25" s="223" t="s">
        <v>239</v>
      </c>
      <c r="K25" s="221"/>
      <c r="L25" s="223" t="s">
        <v>240</v>
      </c>
      <c r="M25" s="221"/>
      <c r="N25" s="665" t="s">
        <v>241</v>
      </c>
      <c r="O25" s="668"/>
      <c r="P25" s="665" t="s">
        <v>241</v>
      </c>
    </row>
    <row r="26" spans="1:18">
      <c r="A26" s="768"/>
      <c r="B26" s="768"/>
      <c r="C26" s="221"/>
      <c r="D26" s="768" t="s">
        <v>717</v>
      </c>
      <c r="E26" s="768"/>
      <c r="F26" s="221"/>
      <c r="G26" s="768" t="s">
        <v>717</v>
      </c>
      <c r="H26" s="768"/>
      <c r="I26" s="221"/>
      <c r="J26" s="221" t="s">
        <v>717</v>
      </c>
      <c r="K26" s="221"/>
      <c r="L26" s="221" t="s">
        <v>717</v>
      </c>
      <c r="M26" s="221"/>
      <c r="N26" s="666" t="s">
        <v>717</v>
      </c>
      <c r="O26" s="668"/>
      <c r="P26" s="567" t="s">
        <v>717</v>
      </c>
    </row>
    <row r="27" spans="1:18" ht="19.5" customHeight="1">
      <c r="A27" s="768" t="s">
        <v>242</v>
      </c>
      <c r="B27" s="768"/>
      <c r="C27" s="221"/>
      <c r="D27" s="769">
        <v>0</v>
      </c>
      <c r="E27" s="769"/>
      <c r="F27" s="242"/>
      <c r="G27" s="769">
        <v>0</v>
      </c>
      <c r="H27" s="769"/>
      <c r="I27" s="242"/>
      <c r="J27" s="242">
        <f>D27-G27</f>
        <v>0</v>
      </c>
      <c r="K27" s="242"/>
      <c r="L27" s="271">
        <v>0</v>
      </c>
      <c r="M27" s="271"/>
      <c r="N27" s="667">
        <f>L27-J27</f>
        <v>0</v>
      </c>
      <c r="O27" s="668"/>
      <c r="P27" s="568">
        <v>60831384610</v>
      </c>
    </row>
    <row r="28" spans="1:18" ht="19.5" customHeight="1">
      <c r="A28" s="768" t="s">
        <v>243</v>
      </c>
      <c r="B28" s="768"/>
      <c r="C28" s="221"/>
      <c r="D28" s="770">
        <v>0</v>
      </c>
      <c r="E28" s="770"/>
      <c r="F28" s="242"/>
      <c r="G28" s="770">
        <v>0</v>
      </c>
      <c r="H28" s="770"/>
      <c r="I28" s="242"/>
      <c r="J28" s="245">
        <v>0</v>
      </c>
      <c r="K28" s="242"/>
      <c r="L28" s="271">
        <v>0</v>
      </c>
      <c r="M28" s="271"/>
      <c r="N28" s="667">
        <v>0</v>
      </c>
      <c r="O28" s="668"/>
      <c r="P28" s="568">
        <v>3028438748</v>
      </c>
    </row>
    <row r="29" spans="1:18" ht="19.5" customHeight="1">
      <c r="A29" s="768" t="s">
        <v>244</v>
      </c>
      <c r="B29" s="768"/>
      <c r="C29" s="221"/>
      <c r="D29" s="771">
        <v>100595000</v>
      </c>
      <c r="E29" s="771"/>
      <c r="F29" s="568"/>
      <c r="G29" s="771">
        <v>95611558</v>
      </c>
      <c r="H29" s="771"/>
      <c r="I29" s="568"/>
      <c r="J29" s="569">
        <f>D29-G29</f>
        <v>4983442</v>
      </c>
      <c r="K29" s="568"/>
      <c r="L29" s="570">
        <v>1043875</v>
      </c>
      <c r="M29" s="570"/>
      <c r="N29" s="568">
        <v>78016558</v>
      </c>
      <c r="O29" s="668"/>
      <c r="P29" s="568">
        <v>814454</v>
      </c>
    </row>
    <row r="30" spans="1:18" ht="19.5" customHeight="1">
      <c r="A30" s="768" t="s">
        <v>245</v>
      </c>
      <c r="B30" s="768"/>
      <c r="C30" s="221"/>
      <c r="D30" s="771">
        <v>9665000</v>
      </c>
      <c r="E30" s="771"/>
      <c r="F30" s="568"/>
      <c r="G30" s="771">
        <v>2638839</v>
      </c>
      <c r="H30" s="771"/>
      <c r="I30" s="568"/>
      <c r="J30" s="569">
        <f>D30-G30</f>
        <v>7026161</v>
      </c>
      <c r="K30" s="568"/>
      <c r="L30" s="570">
        <v>6934928</v>
      </c>
      <c r="M30" s="570"/>
      <c r="N30" s="568">
        <f>L30-J30</f>
        <v>-91233</v>
      </c>
      <c r="O30" s="668"/>
      <c r="P30" s="568">
        <v>-84146850</v>
      </c>
    </row>
    <row r="31" spans="1:18" ht="19.5" customHeight="1">
      <c r="A31" s="768" t="s">
        <v>246</v>
      </c>
      <c r="B31" s="768"/>
      <c r="C31" s="221"/>
      <c r="D31" s="771">
        <v>21271636</v>
      </c>
      <c r="E31" s="771"/>
      <c r="F31" s="568"/>
      <c r="G31" s="771">
        <v>21154607</v>
      </c>
      <c r="H31" s="771"/>
      <c r="I31" s="568"/>
      <c r="J31" s="569">
        <f>D31-G31</f>
        <v>117029</v>
      </c>
      <c r="K31" s="568"/>
      <c r="L31" s="570">
        <v>169000000</v>
      </c>
      <c r="M31" s="570"/>
      <c r="N31" s="568">
        <f>L31-J31</f>
        <v>168882971</v>
      </c>
      <c r="O31" s="668"/>
      <c r="P31" s="568">
        <v>2771124005</v>
      </c>
    </row>
    <row r="32" spans="1:18" ht="18.75" thickBot="1">
      <c r="A32" s="768"/>
      <c r="B32" s="768"/>
      <c r="C32" s="221"/>
      <c r="D32" s="772">
        <f>SUM(D27:D31)</f>
        <v>131531636</v>
      </c>
      <c r="E32" s="772"/>
      <c r="F32" s="242"/>
      <c r="G32" s="772">
        <f>SUM(G27:G31)</f>
        <v>119405004</v>
      </c>
      <c r="H32" s="772"/>
      <c r="I32" s="242"/>
      <c r="J32" s="244">
        <f>SUM(J27:J31)</f>
        <v>12126632</v>
      </c>
      <c r="K32" s="242"/>
      <c r="L32" s="244">
        <f>SUM(L27:L31)</f>
        <v>176978803</v>
      </c>
      <c r="M32" s="245"/>
      <c r="N32" s="273">
        <f>SUM(N27:N31)</f>
        <v>246808296</v>
      </c>
      <c r="O32" s="668"/>
      <c r="P32" s="611">
        <f>SUM(P27:P31)</f>
        <v>66547614967</v>
      </c>
    </row>
    <row r="33" spans="1:16" ht="6.75" customHeight="1" thickTop="1">
      <c r="A33" s="5"/>
      <c r="B33" s="5"/>
      <c r="C33" s="5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679"/>
      <c r="O33" s="668"/>
      <c r="P33" s="680"/>
    </row>
    <row r="36" spans="1:16">
      <c r="F36" t="s">
        <v>966</v>
      </c>
    </row>
  </sheetData>
  <mergeCells count="33">
    <mergeCell ref="B13:D13"/>
    <mergeCell ref="D24:N24"/>
    <mergeCell ref="B8:E8"/>
    <mergeCell ref="B19:E19"/>
    <mergeCell ref="B20:E20"/>
    <mergeCell ref="A31:B31"/>
    <mergeCell ref="D31:E31"/>
    <mergeCell ref="G31:H31"/>
    <mergeCell ref="A32:B32"/>
    <mergeCell ref="D32:E32"/>
    <mergeCell ref="G32:H32"/>
    <mergeCell ref="A29:B29"/>
    <mergeCell ref="D29:E29"/>
    <mergeCell ref="G29:H29"/>
    <mergeCell ref="A30:B30"/>
    <mergeCell ref="D30:E30"/>
    <mergeCell ref="G30:H30"/>
    <mergeCell ref="A27:B27"/>
    <mergeCell ref="D27:E27"/>
    <mergeCell ref="G27:H27"/>
    <mergeCell ref="A28:B28"/>
    <mergeCell ref="D28:E28"/>
    <mergeCell ref="G28:H28"/>
    <mergeCell ref="A25:B25"/>
    <mergeCell ref="D25:E25"/>
    <mergeCell ref="A26:B26"/>
    <mergeCell ref="D26:E26"/>
    <mergeCell ref="G26:H26"/>
    <mergeCell ref="B6:E6"/>
    <mergeCell ref="B7:E7"/>
    <mergeCell ref="A3:P3"/>
    <mergeCell ref="A2:P2"/>
    <mergeCell ref="A1:P1"/>
  </mergeCells>
  <pageMargins left="0.11811023622047245" right="0" top="0.74803149606299213" bottom="0.74803149606299213" header="0.31496062992125984" footer="0.31496062992125984"/>
  <pageSetup paperSize="9" scale="96" orientation="portrait" r:id="rId1"/>
  <headerFooter>
    <oddFooter>&amp;C&amp;"B Mitra,Bold"&amp;14 24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6"/>
  <sheetViews>
    <sheetView rightToLeft="1" topLeftCell="A10" workbookViewId="0">
      <selection activeCell="D21" sqref="D21"/>
    </sheetView>
  </sheetViews>
  <sheetFormatPr defaultColWidth="9.140625" defaultRowHeight="18"/>
  <cols>
    <col min="1" max="1" width="11.5703125" style="5" customWidth="1"/>
    <col min="2" max="2" width="22.42578125" style="5" customWidth="1"/>
    <col min="3" max="3" width="8.7109375" style="5" customWidth="1"/>
    <col min="4" max="4" width="13.7109375" style="5" customWidth="1"/>
    <col min="5" max="5" width="9.28515625" style="5" customWidth="1"/>
    <col min="6" max="6" width="1.85546875" style="5" customWidth="1"/>
    <col min="7" max="7" width="11.7109375" style="32" customWidth="1"/>
    <col min="8" max="8" width="2.42578125" style="5" customWidth="1"/>
    <col min="9" max="9" width="11.7109375" style="32" customWidth="1"/>
    <col min="10" max="16384" width="9.140625" style="5"/>
  </cols>
  <sheetData>
    <row r="1" spans="1:14" ht="22.5">
      <c r="A1" s="703" t="s">
        <v>127</v>
      </c>
      <c r="B1" s="703"/>
      <c r="C1" s="703"/>
      <c r="D1" s="703"/>
      <c r="E1" s="703"/>
      <c r="F1" s="703"/>
      <c r="G1" s="703"/>
      <c r="H1" s="703"/>
      <c r="I1" s="703"/>
      <c r="J1" s="62"/>
      <c r="K1" s="62"/>
      <c r="L1" s="62"/>
      <c r="M1" s="62"/>
      <c r="N1" s="62"/>
    </row>
    <row r="2" spans="1:14" ht="22.5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62"/>
      <c r="K2" s="62"/>
      <c r="L2" s="62"/>
      <c r="M2" s="62"/>
      <c r="N2" s="62"/>
    </row>
    <row r="3" spans="1:14" ht="22.5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62"/>
      <c r="K3" s="62"/>
      <c r="L3" s="62"/>
      <c r="M3" s="62"/>
      <c r="N3" s="62"/>
    </row>
    <row r="4" spans="1:14" ht="39" customHeight="1">
      <c r="A4" s="405"/>
      <c r="B4" s="405"/>
      <c r="C4" s="405"/>
      <c r="D4" s="405"/>
      <c r="E4" s="405"/>
      <c r="F4" s="405"/>
      <c r="G4" s="633"/>
      <c r="H4" s="633"/>
      <c r="I4" s="633"/>
      <c r="J4" s="62"/>
      <c r="K4" s="62"/>
      <c r="L4" s="62"/>
      <c r="M4" s="62"/>
      <c r="N4" s="62"/>
    </row>
    <row r="5" spans="1:14" ht="18.75">
      <c r="A5" s="4" t="s">
        <v>247</v>
      </c>
      <c r="B5" s="2" t="s">
        <v>248</v>
      </c>
      <c r="C5" s="2"/>
      <c r="D5" s="3"/>
      <c r="E5" s="3"/>
      <c r="F5" s="3"/>
      <c r="G5" s="668"/>
      <c r="H5" s="3"/>
      <c r="I5" s="668"/>
      <c r="J5" s="3"/>
    </row>
    <row r="6" spans="1:14">
      <c r="A6" s="3"/>
      <c r="B6" s="3" t="s">
        <v>249</v>
      </c>
      <c r="C6" s="3"/>
      <c r="D6" s="3"/>
      <c r="E6" s="3"/>
      <c r="F6" s="3"/>
      <c r="G6" s="668"/>
      <c r="H6" s="3"/>
      <c r="I6" s="668"/>
      <c r="J6" s="3"/>
    </row>
    <row r="7" spans="1:14" ht="18.75">
      <c r="A7" s="3"/>
      <c r="B7" s="3"/>
      <c r="C7" s="3"/>
      <c r="D7" s="3"/>
      <c r="E7" s="678" t="s">
        <v>24</v>
      </c>
      <c r="F7" s="6"/>
      <c r="G7" s="143" t="s">
        <v>721</v>
      </c>
      <c r="H7" s="98"/>
      <c r="I7" s="677" t="s">
        <v>25</v>
      </c>
      <c r="J7" s="259"/>
      <c r="K7" s="259"/>
    </row>
    <row r="8" spans="1:14">
      <c r="A8" s="3"/>
      <c r="B8" s="3"/>
      <c r="C8" s="3"/>
      <c r="D8" s="3"/>
      <c r="E8" s="3"/>
      <c r="F8" s="3"/>
      <c r="G8" s="235" t="s">
        <v>27</v>
      </c>
      <c r="H8" s="7"/>
      <c r="I8" s="235" t="s">
        <v>27</v>
      </c>
      <c r="J8" s="3"/>
    </row>
    <row r="9" spans="1:14" ht="19.5" customHeight="1">
      <c r="A9" s="774" t="s">
        <v>917</v>
      </c>
      <c r="B9" s="774"/>
      <c r="C9" s="774"/>
      <c r="D9" s="3"/>
      <c r="E9" s="8" t="s">
        <v>250</v>
      </c>
      <c r="F9" s="8"/>
      <c r="G9" s="26">
        <f>G21</f>
        <v>3619500000</v>
      </c>
      <c r="H9" s="9"/>
      <c r="I9" s="26">
        <f>I21</f>
        <v>1995000000</v>
      </c>
      <c r="J9" s="3"/>
    </row>
    <row r="10" spans="1:14" ht="19.5" customHeight="1">
      <c r="A10" s="774" t="s">
        <v>251</v>
      </c>
      <c r="B10" s="774"/>
      <c r="C10" s="774"/>
      <c r="D10" s="3"/>
      <c r="E10" s="8" t="s">
        <v>252</v>
      </c>
      <c r="F10" s="8"/>
      <c r="G10" s="27">
        <f>F36</f>
        <v>2866000000</v>
      </c>
      <c r="H10" s="10"/>
      <c r="I10" s="27">
        <f>H36</f>
        <v>2166000000</v>
      </c>
      <c r="J10" s="11"/>
      <c r="K10" s="12"/>
    </row>
    <row r="11" spans="1:14" ht="18.75" thickBot="1">
      <c r="A11" s="3"/>
      <c r="B11" s="3"/>
      <c r="C11" s="3"/>
      <c r="D11" s="3"/>
      <c r="E11" s="3"/>
      <c r="F11" s="3"/>
      <c r="G11" s="28">
        <f>SUM(G9:G10)</f>
        <v>6485500000</v>
      </c>
      <c r="H11" s="9"/>
      <c r="I11" s="28">
        <f>SUM(I9:I10)</f>
        <v>4161000000</v>
      </c>
      <c r="J11" s="3"/>
    </row>
    <row r="12" spans="1:14" ht="7.5" customHeight="1" thickTop="1">
      <c r="A12" s="3"/>
      <c r="B12" s="3"/>
      <c r="C12" s="3"/>
      <c r="D12" s="3"/>
      <c r="E12" s="3"/>
      <c r="F12" s="3"/>
      <c r="G12" s="29"/>
      <c r="H12" s="13"/>
      <c r="I12" s="29"/>
      <c r="J12" s="3"/>
    </row>
    <row r="13" spans="1:14" ht="16.5" customHeight="1">
      <c r="A13" s="3"/>
      <c r="B13" s="3"/>
      <c r="C13" s="3"/>
      <c r="D13" s="3"/>
      <c r="E13" s="3"/>
      <c r="F13" s="3"/>
      <c r="G13" s="30"/>
      <c r="H13" s="13"/>
      <c r="I13" s="30"/>
      <c r="J13" s="3"/>
    </row>
    <row r="14" spans="1:14" ht="24.75" customHeight="1">
      <c r="A14" s="4" t="s">
        <v>250</v>
      </c>
      <c r="B14" s="3" t="s">
        <v>253</v>
      </c>
      <c r="C14" s="3"/>
      <c r="D14" s="3"/>
      <c r="E14" s="3"/>
      <c r="F14" s="3"/>
      <c r="G14" s="30"/>
      <c r="H14" s="13"/>
      <c r="I14" s="30"/>
      <c r="J14" s="3"/>
    </row>
    <row r="15" spans="1:14" ht="8.25" customHeight="1">
      <c r="A15" s="4"/>
      <c r="B15" s="3"/>
      <c r="C15" s="3"/>
      <c r="D15" s="3"/>
      <c r="E15" s="3"/>
      <c r="F15" s="3"/>
      <c r="G15" s="30"/>
      <c r="H15" s="13"/>
      <c r="I15" s="30"/>
      <c r="J15" s="3"/>
    </row>
    <row r="16" spans="1:14">
      <c r="A16" s="3"/>
      <c r="B16" s="3"/>
      <c r="C16" s="3"/>
      <c r="D16" s="3"/>
      <c r="E16" s="678" t="s">
        <v>24</v>
      </c>
      <c r="F16" s="3"/>
      <c r="G16" s="143" t="s">
        <v>721</v>
      </c>
      <c r="H16" s="98"/>
      <c r="I16" s="677" t="s">
        <v>25</v>
      </c>
      <c r="J16" s="259"/>
      <c r="K16" s="259"/>
    </row>
    <row r="17" spans="1:16">
      <c r="A17" s="3"/>
      <c r="B17" s="3"/>
      <c r="C17" s="3"/>
      <c r="D17" s="3"/>
      <c r="E17" s="3"/>
      <c r="F17" s="3"/>
      <c r="G17" s="235" t="s">
        <v>27</v>
      </c>
      <c r="H17" s="7"/>
      <c r="I17" s="235" t="s">
        <v>27</v>
      </c>
      <c r="J17" s="11"/>
    </row>
    <row r="18" spans="1:16" ht="20.25" customHeight="1">
      <c r="A18" s="768" t="s">
        <v>920</v>
      </c>
      <c r="B18" s="768"/>
      <c r="C18" s="768"/>
      <c r="D18" s="158"/>
      <c r="E18" s="8" t="s">
        <v>1013</v>
      </c>
      <c r="F18" s="158"/>
      <c r="G18" s="26">
        <v>600000000</v>
      </c>
      <c r="H18" s="9"/>
      <c r="I18" s="26">
        <v>600000000</v>
      </c>
      <c r="J18" s="11"/>
    </row>
    <row r="19" spans="1:16" ht="20.25" customHeight="1">
      <c r="A19" s="768" t="s">
        <v>919</v>
      </c>
      <c r="B19" s="768"/>
      <c r="C19" s="768"/>
      <c r="D19" s="158"/>
      <c r="E19" s="8" t="s">
        <v>1013</v>
      </c>
      <c r="F19" s="158"/>
      <c r="G19" s="85">
        <v>120000000</v>
      </c>
      <c r="H19" s="10"/>
      <c r="I19" s="85">
        <v>120000000</v>
      </c>
      <c r="J19" s="11"/>
      <c r="K19" s="12"/>
      <c r="M19" s="12"/>
      <c r="N19" s="12"/>
      <c r="O19" s="12"/>
    </row>
    <row r="20" spans="1:16" ht="20.25" customHeight="1">
      <c r="A20" s="768" t="s">
        <v>918</v>
      </c>
      <c r="B20" s="768"/>
      <c r="C20" s="768"/>
      <c r="D20" s="158"/>
      <c r="E20" s="8"/>
      <c r="F20" s="158"/>
      <c r="G20" s="85">
        <v>2899500000</v>
      </c>
      <c r="H20" s="10"/>
      <c r="I20" s="85">
        <v>1275000000</v>
      </c>
      <c r="J20" s="11"/>
      <c r="K20" s="12"/>
      <c r="M20" s="12"/>
      <c r="N20" s="12"/>
      <c r="O20" s="12"/>
    </row>
    <row r="21" spans="1:16" ht="18.75" thickBot="1">
      <c r="A21" s="158"/>
      <c r="B21" s="158"/>
      <c r="C21" s="158"/>
      <c r="D21" s="158"/>
      <c r="E21" s="158"/>
      <c r="F21" s="158"/>
      <c r="G21" s="28">
        <f>SUM(G18:G20)</f>
        <v>3619500000</v>
      </c>
      <c r="H21" s="9"/>
      <c r="I21" s="28">
        <f>SUM(I18:I20)</f>
        <v>1995000000</v>
      </c>
      <c r="J21" s="3"/>
    </row>
    <row r="22" spans="1:16" ht="18.75" thickTop="1">
      <c r="A22" s="3"/>
      <c r="B22" s="3"/>
      <c r="C22" s="3"/>
      <c r="D22" s="3"/>
      <c r="E22" s="3"/>
      <c r="F22" s="3"/>
      <c r="G22" s="31"/>
      <c r="H22" s="3"/>
      <c r="I22" s="31"/>
      <c r="J22" s="11"/>
      <c r="K22" s="12"/>
    </row>
    <row r="23" spans="1:16">
      <c r="A23" s="3"/>
      <c r="B23" s="3"/>
      <c r="C23" s="3"/>
      <c r="D23" s="3"/>
      <c r="E23" s="3"/>
      <c r="F23" s="3"/>
      <c r="G23" s="668"/>
      <c r="H23" s="3"/>
      <c r="I23" s="668"/>
      <c r="J23" s="3"/>
    </row>
    <row r="24" spans="1:16" ht="18.75">
      <c r="A24" s="647" t="s">
        <v>254</v>
      </c>
      <c r="B24" s="3" t="s">
        <v>255</v>
      </c>
      <c r="C24" s="3"/>
      <c r="D24" s="3"/>
      <c r="E24" s="3"/>
      <c r="F24" s="3"/>
      <c r="G24" s="668"/>
      <c r="H24" s="3"/>
      <c r="I24" s="668"/>
      <c r="J24" s="3"/>
      <c r="P24" s="12"/>
    </row>
    <row r="25" spans="1:16">
      <c r="A25" s="3" t="s">
        <v>921</v>
      </c>
      <c r="B25" s="3"/>
      <c r="C25" s="3"/>
      <c r="D25" s="3"/>
      <c r="E25" s="3"/>
      <c r="F25" s="3"/>
      <c r="G25" s="668"/>
      <c r="H25" s="3"/>
      <c r="I25" s="668"/>
      <c r="J25" s="3"/>
    </row>
    <row r="26" spans="1:16">
      <c r="A26" s="3"/>
      <c r="B26" s="3"/>
      <c r="C26" s="3"/>
      <c r="D26" s="3"/>
      <c r="E26" s="3"/>
      <c r="F26" s="3"/>
      <c r="G26" s="668"/>
      <c r="H26" s="3"/>
      <c r="I26" s="668"/>
      <c r="J26" s="3"/>
    </row>
    <row r="27" spans="1:16" ht="18.75">
      <c r="A27" s="647" t="s">
        <v>252</v>
      </c>
      <c r="B27" s="3" t="s">
        <v>256</v>
      </c>
      <c r="C27" s="3"/>
      <c r="D27" s="3"/>
      <c r="E27" s="3"/>
      <c r="F27" s="3"/>
      <c r="G27" s="668"/>
      <c r="H27" s="3"/>
      <c r="I27" s="668"/>
      <c r="J27" s="3"/>
    </row>
    <row r="28" spans="1:16">
      <c r="A28" s="11"/>
      <c r="B28" s="14"/>
      <c r="C28" s="775">
        <v>1390</v>
      </c>
      <c r="D28" s="775"/>
      <c r="E28" s="775"/>
      <c r="F28" s="775"/>
      <c r="G28" s="775"/>
      <c r="H28" s="776" t="s">
        <v>25</v>
      </c>
      <c r="I28" s="777"/>
      <c r="J28" s="259"/>
    </row>
    <row r="29" spans="1:16">
      <c r="A29" s="11"/>
      <c r="B29" s="14"/>
      <c r="C29" s="775" t="s">
        <v>257</v>
      </c>
      <c r="D29" s="784" t="s">
        <v>258</v>
      </c>
      <c r="E29" s="15" t="s">
        <v>259</v>
      </c>
      <c r="F29" s="786" t="s">
        <v>138</v>
      </c>
      <c r="G29" s="787"/>
      <c r="H29" s="786" t="s">
        <v>138</v>
      </c>
      <c r="I29" s="787"/>
      <c r="J29" s="3"/>
    </row>
    <row r="30" spans="1:16">
      <c r="A30" s="16"/>
      <c r="B30" s="17"/>
      <c r="C30" s="775"/>
      <c r="D30" s="785"/>
      <c r="E30" s="299" t="s">
        <v>27</v>
      </c>
      <c r="F30" s="792" t="s">
        <v>27</v>
      </c>
      <c r="G30" s="792"/>
      <c r="H30" s="792" t="s">
        <v>27</v>
      </c>
      <c r="I30" s="792"/>
      <c r="J30" s="3"/>
    </row>
    <row r="31" spans="1:16">
      <c r="A31" s="788" t="s">
        <v>260</v>
      </c>
      <c r="B31" s="789"/>
      <c r="C31" s="159">
        <v>2</v>
      </c>
      <c r="D31" s="161">
        <v>2E-3</v>
      </c>
      <c r="E31" s="159">
        <v>500000</v>
      </c>
      <c r="F31" s="780">
        <f t="shared" ref="F31:F33" si="0">E31*C31</f>
        <v>1000000</v>
      </c>
      <c r="G31" s="781"/>
      <c r="H31" s="780">
        <v>1000000</v>
      </c>
      <c r="I31" s="781"/>
      <c r="J31" s="3"/>
    </row>
    <row r="32" spans="1:16" ht="20.25" customHeight="1">
      <c r="A32" s="790" t="s">
        <v>261</v>
      </c>
      <c r="B32" s="791"/>
      <c r="C32" s="159">
        <v>1750000</v>
      </c>
      <c r="D32" s="161">
        <v>0.23</v>
      </c>
      <c r="E32" s="159">
        <v>1000</v>
      </c>
      <c r="F32" s="780">
        <f t="shared" ref="F32" si="1">E32*C32</f>
        <v>1750000000</v>
      </c>
      <c r="G32" s="781"/>
      <c r="H32" s="780">
        <v>1750000000</v>
      </c>
      <c r="I32" s="781"/>
      <c r="J32" s="3"/>
    </row>
    <row r="33" spans="1:10" ht="20.25" customHeight="1">
      <c r="A33" s="778" t="s">
        <v>262</v>
      </c>
      <c r="B33" s="779"/>
      <c r="C33" s="269">
        <v>5000</v>
      </c>
      <c r="D33" s="270">
        <v>0</v>
      </c>
      <c r="E33" s="159">
        <v>1000</v>
      </c>
      <c r="F33" s="780">
        <f t="shared" si="0"/>
        <v>5000000</v>
      </c>
      <c r="G33" s="781"/>
      <c r="H33" s="780">
        <v>5000000</v>
      </c>
      <c r="I33" s="781"/>
      <c r="J33" s="3"/>
    </row>
    <row r="34" spans="1:10" ht="20.25" customHeight="1">
      <c r="A34" s="778" t="s">
        <v>263</v>
      </c>
      <c r="B34" s="779"/>
      <c r="C34" s="159">
        <v>10000</v>
      </c>
      <c r="D34" s="161">
        <v>100</v>
      </c>
      <c r="E34" s="159">
        <v>1000</v>
      </c>
      <c r="F34" s="780">
        <f t="shared" ref="F34:F35" si="2">E34*C34</f>
        <v>10000000</v>
      </c>
      <c r="G34" s="781"/>
      <c r="H34" s="780">
        <v>10000000</v>
      </c>
      <c r="I34" s="781"/>
      <c r="J34" s="3"/>
    </row>
    <row r="35" spans="1:10" ht="20.25" customHeight="1">
      <c r="A35" s="778" t="s">
        <v>601</v>
      </c>
      <c r="B35" s="779"/>
      <c r="C35" s="159">
        <v>1100000</v>
      </c>
      <c r="D35" s="161"/>
      <c r="E35" s="159">
        <v>1000</v>
      </c>
      <c r="F35" s="780">
        <f t="shared" si="2"/>
        <v>1100000000</v>
      </c>
      <c r="G35" s="781"/>
      <c r="H35" s="780">
        <v>400000000</v>
      </c>
      <c r="I35" s="781"/>
      <c r="J35" s="3"/>
    </row>
    <row r="36" spans="1:10" ht="20.25" customHeight="1">
      <c r="A36" s="782" t="s">
        <v>148</v>
      </c>
      <c r="B36" s="783"/>
      <c r="C36" s="160"/>
      <c r="D36" s="162"/>
      <c r="E36" s="159"/>
      <c r="F36" s="780">
        <f>SUM(F31:G35)</f>
        <v>2866000000</v>
      </c>
      <c r="G36" s="781"/>
      <c r="H36" s="780">
        <f>SUM(H31:I35)</f>
        <v>2166000000</v>
      </c>
      <c r="I36" s="781"/>
      <c r="J36" s="3"/>
    </row>
    <row r="37" spans="1:10" ht="32.25" customHeight="1">
      <c r="A37" s="3"/>
      <c r="B37" s="3"/>
      <c r="C37" s="3"/>
      <c r="D37" s="3"/>
      <c r="E37" s="3"/>
      <c r="F37" s="3"/>
      <c r="G37" s="668"/>
      <c r="H37" s="3"/>
      <c r="I37" s="668"/>
      <c r="J37" s="3"/>
    </row>
    <row r="38" spans="1:10" ht="18.75">
      <c r="A38" s="4" t="s">
        <v>264</v>
      </c>
      <c r="B38" s="3" t="s">
        <v>265</v>
      </c>
      <c r="C38" s="3"/>
      <c r="D38" s="3"/>
      <c r="E38" s="3"/>
      <c r="F38" s="3"/>
      <c r="G38" s="668"/>
      <c r="H38" s="3"/>
      <c r="I38" s="668"/>
      <c r="J38" s="3"/>
    </row>
    <row r="39" spans="1:10">
      <c r="A39" s="3"/>
      <c r="B39" s="3"/>
      <c r="C39" s="3"/>
      <c r="D39" s="3"/>
      <c r="E39" s="3"/>
      <c r="F39" s="3"/>
      <c r="G39" s="668"/>
      <c r="H39" s="3"/>
      <c r="I39" s="668"/>
      <c r="J39" s="3"/>
    </row>
    <row r="40" spans="1:10">
      <c r="A40" s="774"/>
      <c r="B40" s="774"/>
      <c r="C40" s="774"/>
      <c r="D40" s="774"/>
      <c r="E40" s="774"/>
      <c r="F40" s="774"/>
      <c r="G40" s="774"/>
      <c r="H40" s="774"/>
      <c r="I40" s="774"/>
      <c r="J40" s="3"/>
    </row>
    <row r="41" spans="1:10">
      <c r="A41" s="3"/>
      <c r="B41" s="3"/>
      <c r="C41" s="3"/>
      <c r="D41" s="3"/>
      <c r="E41" s="3"/>
      <c r="F41" s="3"/>
      <c r="G41" s="668"/>
      <c r="H41" s="3"/>
      <c r="I41" s="668"/>
      <c r="J41" s="3"/>
    </row>
    <row r="42" spans="1:10">
      <c r="A42" s="3"/>
      <c r="B42" s="3"/>
      <c r="C42" s="3"/>
      <c r="D42" s="3"/>
      <c r="E42" s="3"/>
      <c r="F42" s="3"/>
      <c r="G42" s="668"/>
      <c r="H42" s="3"/>
      <c r="I42" s="668"/>
      <c r="J42" s="3"/>
    </row>
    <row r="43" spans="1:10">
      <c r="A43" s="3"/>
      <c r="B43" s="3"/>
      <c r="C43" s="3"/>
      <c r="D43" s="3"/>
      <c r="E43" s="3"/>
      <c r="F43" s="3"/>
      <c r="G43" s="668"/>
      <c r="H43" s="3"/>
      <c r="I43" s="668"/>
      <c r="J43" s="3"/>
    </row>
    <row r="44" spans="1:10">
      <c r="A44" s="222"/>
      <c r="B44" s="222"/>
      <c r="C44" s="3"/>
      <c r="D44" s="3"/>
      <c r="E44" s="3"/>
      <c r="F44" s="3"/>
      <c r="G44" s="668"/>
      <c r="H44" s="3"/>
      <c r="I44" s="668"/>
      <c r="J44" s="3"/>
    </row>
    <row r="45" spans="1:10">
      <c r="A45" s="222"/>
      <c r="B45" s="222"/>
      <c r="C45" s="3"/>
      <c r="D45" s="3"/>
      <c r="E45" s="3"/>
      <c r="F45" s="3"/>
      <c r="G45" s="668"/>
      <c r="H45" s="3"/>
      <c r="I45" s="668"/>
      <c r="J45" s="3"/>
    </row>
    <row r="46" spans="1:10">
      <c r="A46" s="3"/>
      <c r="B46" s="3"/>
      <c r="C46" s="3"/>
      <c r="D46" s="3"/>
      <c r="E46" s="3"/>
      <c r="F46" s="3"/>
      <c r="G46" s="668"/>
      <c r="H46" s="3"/>
      <c r="I46" s="668"/>
      <c r="J46" s="3"/>
    </row>
    <row r="47" spans="1:10">
      <c r="A47" s="3"/>
      <c r="B47" s="3"/>
      <c r="C47" s="3"/>
      <c r="D47" s="3"/>
      <c r="E47" s="3"/>
      <c r="F47" s="3"/>
      <c r="G47" s="668"/>
      <c r="H47" s="3"/>
      <c r="I47" s="668"/>
      <c r="J47" s="3"/>
    </row>
    <row r="48" spans="1:10">
      <c r="A48" s="3"/>
      <c r="B48" s="3"/>
      <c r="C48" s="3"/>
      <c r="D48" s="3"/>
      <c r="E48" s="3"/>
      <c r="F48" s="3"/>
      <c r="G48" s="668"/>
      <c r="H48" s="3"/>
      <c r="I48" s="668"/>
      <c r="J48" s="3"/>
    </row>
    <row r="49" spans="1:10">
      <c r="A49" s="3"/>
      <c r="B49" s="3"/>
      <c r="C49" s="3"/>
      <c r="D49" s="3"/>
      <c r="E49" s="3"/>
      <c r="F49" s="3"/>
      <c r="G49" s="668"/>
      <c r="H49" s="3"/>
      <c r="I49" s="668"/>
      <c r="J49" s="3"/>
    </row>
    <row r="50" spans="1:10">
      <c r="A50" s="3"/>
      <c r="B50" s="3"/>
      <c r="C50" s="3"/>
      <c r="D50" s="3"/>
      <c r="E50" s="3"/>
      <c r="F50" s="3"/>
      <c r="G50" s="668"/>
      <c r="H50" s="3"/>
      <c r="I50" s="668"/>
      <c r="J50" s="3"/>
    </row>
    <row r="51" spans="1:10">
      <c r="A51" s="3"/>
      <c r="B51" s="3"/>
      <c r="C51" s="3"/>
      <c r="D51" s="3"/>
      <c r="E51" s="3"/>
      <c r="F51" s="3"/>
      <c r="G51" s="668"/>
      <c r="H51" s="3"/>
      <c r="I51" s="668"/>
      <c r="J51" s="3"/>
    </row>
    <row r="52" spans="1:10">
      <c r="A52" s="3"/>
      <c r="B52" s="3"/>
      <c r="C52" s="3"/>
      <c r="D52" s="3"/>
      <c r="E52" s="3"/>
      <c r="F52" s="3"/>
      <c r="G52" s="668"/>
      <c r="H52" s="3"/>
      <c r="I52" s="668"/>
      <c r="J52" s="3"/>
    </row>
    <row r="53" spans="1:10">
      <c r="A53" s="3"/>
      <c r="B53" s="3"/>
      <c r="C53" s="3"/>
      <c r="D53" s="3"/>
      <c r="E53" s="3"/>
      <c r="F53" s="3"/>
      <c r="G53" s="668"/>
      <c r="H53" s="3"/>
      <c r="I53" s="668"/>
      <c r="J53" s="3"/>
    </row>
    <row r="54" spans="1:10">
      <c r="A54" s="3"/>
      <c r="B54" s="3"/>
      <c r="C54" s="3"/>
      <c r="D54" s="3"/>
      <c r="E54" s="3"/>
      <c r="F54" s="3"/>
      <c r="G54" s="668"/>
      <c r="H54" s="3"/>
      <c r="I54" s="668"/>
      <c r="J54" s="3"/>
    </row>
    <row r="55" spans="1:10">
      <c r="A55" s="3"/>
      <c r="B55" s="3"/>
      <c r="C55" s="3"/>
      <c r="D55" s="3"/>
      <c r="E55" s="3"/>
      <c r="F55" s="3"/>
      <c r="G55" s="668"/>
      <c r="H55" s="3"/>
      <c r="I55" s="668"/>
      <c r="J55" s="3"/>
    </row>
    <row r="56" spans="1:10">
      <c r="A56" s="3"/>
      <c r="B56" s="3"/>
      <c r="C56" s="3"/>
      <c r="D56" s="3"/>
      <c r="E56" s="3"/>
      <c r="F56" s="3"/>
      <c r="G56" s="668"/>
      <c r="H56" s="3"/>
      <c r="I56" s="668"/>
      <c r="J56" s="3"/>
    </row>
  </sheetData>
  <mergeCells count="35">
    <mergeCell ref="A33:B33"/>
    <mergeCell ref="F33:G33"/>
    <mergeCell ref="H33:I33"/>
    <mergeCell ref="C29:C30"/>
    <mergeCell ref="D29:D30"/>
    <mergeCell ref="F29:G29"/>
    <mergeCell ref="A31:B31"/>
    <mergeCell ref="A32:B32"/>
    <mergeCell ref="F32:G32"/>
    <mergeCell ref="H32:I32"/>
    <mergeCell ref="H29:I29"/>
    <mergeCell ref="F30:G30"/>
    <mergeCell ref="H30:I30"/>
    <mergeCell ref="F31:G31"/>
    <mergeCell ref="H31:I31"/>
    <mergeCell ref="A40:I40"/>
    <mergeCell ref="A34:B34"/>
    <mergeCell ref="F34:G34"/>
    <mergeCell ref="H34:I34"/>
    <mergeCell ref="A36:B36"/>
    <mergeCell ref="F36:G36"/>
    <mergeCell ref="H36:I36"/>
    <mergeCell ref="H35:I35"/>
    <mergeCell ref="A35:B35"/>
    <mergeCell ref="F35:G35"/>
    <mergeCell ref="A10:C10"/>
    <mergeCell ref="A18:C18"/>
    <mergeCell ref="A19:C19"/>
    <mergeCell ref="C28:G28"/>
    <mergeCell ref="A1:I1"/>
    <mergeCell ref="A2:I2"/>
    <mergeCell ref="A20:C20"/>
    <mergeCell ref="A9:C9"/>
    <mergeCell ref="A3:I3"/>
    <mergeCell ref="H28:I28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  <headerFooter>
    <oddFooter>&amp;C&amp;"B Mitra,Bold"&amp;14 25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rightToLeft="1" workbookViewId="0">
      <selection activeCell="J17" sqref="J17"/>
    </sheetView>
  </sheetViews>
  <sheetFormatPr defaultRowHeight="21.75"/>
  <cols>
    <col min="1" max="1" width="5.85546875" style="37" customWidth="1"/>
    <col min="2" max="2" width="36.28515625" style="18" customWidth="1"/>
    <col min="3" max="3" width="9.42578125" style="18" customWidth="1"/>
    <col min="4" max="4" width="13.42578125" style="18" customWidth="1"/>
    <col min="5" max="5" width="1.5703125" style="47" customWidth="1"/>
    <col min="6" max="6" width="15.42578125" style="262" customWidth="1"/>
    <col min="7" max="7" width="2.42578125" style="262" customWidth="1"/>
    <col min="8" max="8" width="13.7109375" style="25" customWidth="1"/>
  </cols>
  <sheetData>
    <row r="1" spans="1:10" ht="22.5">
      <c r="A1" s="703" t="s">
        <v>127</v>
      </c>
      <c r="B1" s="703"/>
      <c r="C1" s="703"/>
      <c r="D1" s="703"/>
      <c r="E1" s="703"/>
      <c r="F1" s="703"/>
      <c r="G1" s="703"/>
      <c r="H1" s="703"/>
    </row>
    <row r="2" spans="1:10" ht="22.5">
      <c r="A2" s="703" t="s">
        <v>0</v>
      </c>
      <c r="B2" s="703"/>
      <c r="C2" s="703"/>
      <c r="D2" s="703"/>
      <c r="E2" s="703"/>
      <c r="F2" s="703"/>
      <c r="G2" s="703"/>
      <c r="H2" s="703"/>
    </row>
    <row r="3" spans="1:10" ht="22.5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</row>
    <row r="4" spans="1:10" ht="27.75" customHeight="1">
      <c r="A4" s="405"/>
      <c r="B4" s="405"/>
      <c r="C4" s="405"/>
      <c r="D4" s="405"/>
      <c r="E4" s="405"/>
      <c r="F4" s="405"/>
      <c r="G4" s="405"/>
      <c r="H4" s="405"/>
      <c r="I4" s="62"/>
      <c r="J4" s="62"/>
    </row>
    <row r="5" spans="1:10" ht="25.5" customHeight="1">
      <c r="A5" s="38">
        <v>-12</v>
      </c>
      <c r="B5" s="38" t="s">
        <v>266</v>
      </c>
      <c r="C5" s="38"/>
      <c r="F5" s="656"/>
      <c r="G5" s="656"/>
      <c r="H5" s="657"/>
    </row>
    <row r="6" spans="1:10" ht="5.25" customHeight="1">
      <c r="F6" s="656"/>
      <c r="G6" s="656"/>
      <c r="H6" s="657"/>
    </row>
    <row r="7" spans="1:10">
      <c r="A7" s="39"/>
      <c r="B7" s="37" t="s">
        <v>267</v>
      </c>
      <c r="C7" s="37"/>
      <c r="D7" s="37"/>
      <c r="F7" s="143" t="s">
        <v>721</v>
      </c>
      <c r="G7" s="656"/>
      <c r="H7" s="677" t="s">
        <v>25</v>
      </c>
      <c r="I7" s="259"/>
    </row>
    <row r="8" spans="1:10" ht="12.75" customHeight="1">
      <c r="F8" s="235" t="s">
        <v>27</v>
      </c>
      <c r="G8" s="656"/>
      <c r="H8" s="235" t="s">
        <v>27</v>
      </c>
    </row>
    <row r="9" spans="1:10" ht="27" customHeight="1">
      <c r="B9" s="18" t="s">
        <v>268</v>
      </c>
      <c r="F9" s="22">
        <v>343440000</v>
      </c>
      <c r="G9" s="656"/>
      <c r="H9" s="22">
        <v>343440000</v>
      </c>
    </row>
    <row r="10" spans="1:10" ht="27" customHeight="1">
      <c r="B10" s="18" t="s">
        <v>269</v>
      </c>
      <c r="F10" s="22">
        <v>124662000</v>
      </c>
      <c r="G10" s="656"/>
      <c r="H10" s="22">
        <v>124662000</v>
      </c>
    </row>
    <row r="11" spans="1:10" ht="27" customHeight="1">
      <c r="B11" s="18" t="s">
        <v>270</v>
      </c>
      <c r="F11" s="22">
        <v>88482852</v>
      </c>
      <c r="G11" s="656"/>
      <c r="H11" s="22">
        <v>86937852</v>
      </c>
    </row>
    <row r="12" spans="1:10" ht="27" customHeight="1">
      <c r="B12" s="18" t="s">
        <v>825</v>
      </c>
      <c r="F12" s="22">
        <v>53508000</v>
      </c>
      <c r="G12" s="656"/>
      <c r="H12" s="22">
        <v>1728000</v>
      </c>
    </row>
    <row r="13" spans="1:10" ht="22.5" customHeight="1" thickBot="1">
      <c r="F13" s="86">
        <f>SUM(F9:F12)</f>
        <v>610092852</v>
      </c>
      <c r="G13" s="656"/>
      <c r="H13" s="86">
        <f>SUM(H9:H12)</f>
        <v>556767852</v>
      </c>
    </row>
    <row r="14" spans="1:10" ht="31.5" customHeight="1" thickTop="1">
      <c r="F14" s="656"/>
      <c r="G14" s="656"/>
      <c r="H14" s="656"/>
    </row>
    <row r="15" spans="1:10">
      <c r="A15" s="39"/>
      <c r="B15" s="37" t="s">
        <v>600</v>
      </c>
      <c r="C15" s="37"/>
      <c r="D15" s="37"/>
      <c r="F15" s="143" t="s">
        <v>721</v>
      </c>
      <c r="G15" s="656"/>
      <c r="H15" s="677" t="s">
        <v>25</v>
      </c>
      <c r="I15" s="259"/>
    </row>
    <row r="16" spans="1:10" ht="15.75" customHeight="1">
      <c r="A16" s="39"/>
      <c r="B16" s="37"/>
      <c r="C16" s="37"/>
      <c r="D16" s="37"/>
      <c r="F16" s="235" t="s">
        <v>27</v>
      </c>
      <c r="G16" s="656"/>
      <c r="H16" s="235" t="s">
        <v>27</v>
      </c>
    </row>
    <row r="17" spans="2:8" ht="24.75" customHeight="1">
      <c r="B17" s="793" t="s">
        <v>993</v>
      </c>
      <c r="C17" s="793"/>
      <c r="D17" s="793"/>
      <c r="F17" s="22" t="s">
        <v>732</v>
      </c>
      <c r="G17" s="656"/>
      <c r="H17" s="22">
        <v>9318500</v>
      </c>
    </row>
    <row r="18" spans="2:8" ht="24.75" customHeight="1">
      <c r="B18" s="346" t="s">
        <v>826</v>
      </c>
      <c r="C18" s="346"/>
      <c r="D18" s="346"/>
      <c r="E18" s="342"/>
      <c r="F18" s="22">
        <v>51780000</v>
      </c>
      <c r="G18" s="656"/>
      <c r="H18" s="22" t="s">
        <v>732</v>
      </c>
    </row>
    <row r="19" spans="2:8" ht="24.75" customHeight="1">
      <c r="B19" s="627" t="s">
        <v>1014</v>
      </c>
      <c r="C19" s="627"/>
      <c r="D19" s="627"/>
      <c r="E19" s="618"/>
      <c r="F19" s="22">
        <v>1545000</v>
      </c>
      <c r="G19" s="656"/>
      <c r="H19" s="22" t="s">
        <v>732</v>
      </c>
    </row>
    <row r="20" spans="2:8" ht="19.5" customHeight="1" thickBot="1">
      <c r="F20" s="86">
        <f>SUM(F17:F19)</f>
        <v>53325000</v>
      </c>
      <c r="G20" s="656"/>
      <c r="H20" s="86">
        <f>SUM(H17:H17)</f>
        <v>9318500</v>
      </c>
    </row>
    <row r="21" spans="2:8" ht="22.5" thickTop="1">
      <c r="F21" s="656"/>
      <c r="G21" s="656"/>
      <c r="H21" s="656"/>
    </row>
    <row r="22" spans="2:8">
      <c r="D22" s="36"/>
      <c r="E22" s="36"/>
      <c r="F22" s="22"/>
      <c r="G22" s="22"/>
      <c r="H22" s="22"/>
    </row>
    <row r="23" spans="2:8">
      <c r="D23" s="36"/>
      <c r="E23" s="36"/>
      <c r="F23" s="22"/>
      <c r="G23" s="22"/>
      <c r="H23" s="22"/>
    </row>
    <row r="24" spans="2:8">
      <c r="D24" s="36"/>
      <c r="E24" s="36"/>
      <c r="F24" s="22"/>
      <c r="G24" s="22"/>
      <c r="H24" s="22"/>
    </row>
    <row r="25" spans="2:8">
      <c r="F25" s="656"/>
      <c r="G25" s="656"/>
      <c r="H25" s="681"/>
    </row>
    <row r="26" spans="2:8">
      <c r="F26" s="656"/>
      <c r="G26" s="656"/>
      <c r="H26" s="681"/>
    </row>
    <row r="27" spans="2:8">
      <c r="F27" s="656"/>
      <c r="G27" s="656"/>
      <c r="H27" s="681"/>
    </row>
    <row r="28" spans="2:8">
      <c r="F28" s="656"/>
      <c r="G28" s="656"/>
      <c r="H28" s="681"/>
    </row>
    <row r="29" spans="2:8">
      <c r="F29" s="656"/>
      <c r="G29" s="656"/>
      <c r="H29" s="681"/>
    </row>
    <row r="30" spans="2:8">
      <c r="F30" s="656"/>
      <c r="G30" s="656"/>
      <c r="H30" s="681"/>
    </row>
    <row r="31" spans="2:8">
      <c r="F31" s="656"/>
      <c r="G31" s="656"/>
      <c r="H31" s="681"/>
    </row>
    <row r="32" spans="2:8">
      <c r="F32" s="656"/>
      <c r="G32" s="656"/>
      <c r="H32" s="681"/>
    </row>
    <row r="39" spans="6:6">
      <c r="F39" s="451" t="s">
        <v>966</v>
      </c>
    </row>
  </sheetData>
  <mergeCells count="4">
    <mergeCell ref="B17:D17"/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87" orientation="portrait" r:id="rId1"/>
  <headerFooter>
    <oddFooter>&amp;C&amp;"B Mitra,Bold"&amp;14 26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rightToLeft="1" topLeftCell="A19" workbookViewId="0">
      <selection activeCell="I5" sqref="I5"/>
    </sheetView>
  </sheetViews>
  <sheetFormatPr defaultRowHeight="17.25"/>
  <cols>
    <col min="1" max="1" width="6" style="36" customWidth="1"/>
    <col min="2" max="2" width="31.85546875" style="36" customWidth="1"/>
    <col min="3" max="3" width="13" style="302" customWidth="1"/>
    <col min="4" max="4" width="2.85546875" style="36" customWidth="1"/>
    <col min="5" max="5" width="15.5703125" style="144" customWidth="1"/>
    <col min="6" max="6" width="2.7109375" style="145" customWidth="1"/>
    <col min="7" max="7" width="14.7109375" style="144" customWidth="1"/>
    <col min="11" max="11" width="14.5703125" bestFit="1" customWidth="1"/>
  </cols>
  <sheetData>
    <row r="1" spans="1:11" ht="22.5">
      <c r="A1" s="703" t="s">
        <v>127</v>
      </c>
      <c r="B1" s="703"/>
      <c r="C1" s="703"/>
      <c r="D1" s="703"/>
      <c r="E1" s="703"/>
      <c r="F1" s="703"/>
      <c r="G1" s="703"/>
    </row>
    <row r="2" spans="1:11" ht="22.5">
      <c r="A2" s="703" t="s">
        <v>0</v>
      </c>
      <c r="B2" s="703"/>
      <c r="C2" s="703"/>
      <c r="D2" s="703"/>
      <c r="E2" s="703"/>
      <c r="F2" s="703"/>
      <c r="G2" s="703"/>
    </row>
    <row r="3" spans="1:11" ht="22.5">
      <c r="A3" s="703" t="s">
        <v>1017</v>
      </c>
      <c r="B3" s="703"/>
      <c r="C3" s="703"/>
      <c r="D3" s="703"/>
      <c r="E3" s="703"/>
      <c r="F3" s="703"/>
      <c r="G3" s="703"/>
    </row>
    <row r="4" spans="1:11" ht="29.25" customHeight="1">
      <c r="A4" s="405"/>
      <c r="B4" s="405"/>
      <c r="C4" s="405"/>
      <c r="D4" s="405"/>
      <c r="E4" s="405"/>
      <c r="F4" s="405"/>
      <c r="G4" s="405"/>
    </row>
    <row r="5" spans="1:11" ht="22.5">
      <c r="A5" s="38">
        <v>-13</v>
      </c>
      <c r="B5" s="49" t="s">
        <v>271</v>
      </c>
      <c r="C5" s="301"/>
    </row>
    <row r="6" spans="1:11" ht="17.25" customHeight="1">
      <c r="A6" s="37"/>
      <c r="B6" s="21" t="s">
        <v>272</v>
      </c>
    </row>
    <row r="7" spans="1:11" ht="18" customHeight="1">
      <c r="A7" s="37"/>
      <c r="B7" s="794" t="s">
        <v>129</v>
      </c>
      <c r="C7" s="685" t="s">
        <v>24</v>
      </c>
      <c r="D7" s="150"/>
      <c r="E7" s="682" t="s">
        <v>721</v>
      </c>
      <c r="F7" s="151"/>
      <c r="G7" s="683" t="s">
        <v>25</v>
      </c>
      <c r="H7" s="62"/>
      <c r="I7" s="62"/>
      <c r="J7" s="62"/>
      <c r="K7" s="62"/>
    </row>
    <row r="8" spans="1:11" ht="18" customHeight="1">
      <c r="A8" s="37"/>
      <c r="B8" s="794"/>
      <c r="C8" s="684"/>
      <c r="D8" s="150"/>
      <c r="E8" s="222" t="s">
        <v>27</v>
      </c>
      <c r="F8" s="151"/>
      <c r="G8" s="222" t="s">
        <v>27</v>
      </c>
      <c r="H8" s="62"/>
      <c r="I8" s="62"/>
      <c r="J8" s="62"/>
      <c r="K8" s="62"/>
    </row>
    <row r="9" spans="1:11" ht="18" customHeight="1">
      <c r="A9" s="37"/>
      <c r="B9" s="442" t="s">
        <v>273</v>
      </c>
      <c r="C9" s="443" t="s">
        <v>727</v>
      </c>
      <c r="D9" s="150"/>
      <c r="E9" s="151">
        <f>'27'!E40</f>
        <v>52180622554</v>
      </c>
      <c r="F9" s="151"/>
      <c r="G9" s="151">
        <f>G40</f>
        <v>63149452253</v>
      </c>
      <c r="H9" s="62"/>
      <c r="I9" s="62"/>
      <c r="J9" s="62"/>
      <c r="K9" s="62"/>
    </row>
    <row r="10" spans="1:11" ht="18" customHeight="1">
      <c r="A10" s="37"/>
      <c r="B10" s="442" t="s">
        <v>274</v>
      </c>
      <c r="C10" s="443" t="s">
        <v>522</v>
      </c>
      <c r="D10" s="150"/>
      <c r="E10" s="151">
        <f>'28'!C14</f>
        <v>57285533700</v>
      </c>
      <c r="F10" s="151"/>
      <c r="G10" s="151">
        <f>'28'!E14</f>
        <v>42659935390</v>
      </c>
      <c r="H10" s="62"/>
      <c r="I10" s="62"/>
      <c r="J10" s="62"/>
      <c r="K10" s="62"/>
    </row>
    <row r="11" spans="1:11" ht="18" customHeight="1">
      <c r="A11" s="37"/>
      <c r="B11" s="442" t="s">
        <v>275</v>
      </c>
      <c r="C11" s="443"/>
      <c r="D11" s="150"/>
      <c r="E11" s="151">
        <v>3609640205</v>
      </c>
      <c r="F11" s="151"/>
      <c r="G11" s="151">
        <v>5016232088</v>
      </c>
      <c r="H11" s="62"/>
      <c r="I11" s="62"/>
      <c r="J11" s="62"/>
      <c r="K11" s="62"/>
    </row>
    <row r="12" spans="1:11" ht="18" customHeight="1">
      <c r="A12" s="263"/>
      <c r="B12" s="442" t="s">
        <v>276</v>
      </c>
      <c r="C12" s="443" t="s">
        <v>523</v>
      </c>
      <c r="D12" s="150"/>
      <c r="E12" s="151">
        <f>'28'!C39</f>
        <v>7623725378</v>
      </c>
      <c r="F12" s="151"/>
      <c r="G12" s="151">
        <f>'28'!E39</f>
        <v>9337790898</v>
      </c>
      <c r="H12" s="62"/>
      <c r="I12" s="62"/>
      <c r="J12" s="62"/>
      <c r="K12" s="62"/>
    </row>
    <row r="13" spans="1:11">
      <c r="B13" s="442" t="s">
        <v>148</v>
      </c>
      <c r="C13" s="443"/>
      <c r="D13" s="150"/>
      <c r="E13" s="151">
        <f>SUM(E9:E12)</f>
        <v>120699521837</v>
      </c>
      <c r="F13" s="151"/>
      <c r="G13" s="151">
        <f>SUM(G9:G12)</f>
        <v>120163410629</v>
      </c>
    </row>
    <row r="14" spans="1:11" ht="28.5" customHeight="1">
      <c r="B14" s="442"/>
      <c r="C14" s="443"/>
      <c r="D14" s="150"/>
      <c r="E14" s="151"/>
      <c r="F14" s="151"/>
      <c r="G14" s="151"/>
    </row>
    <row r="15" spans="1:11" ht="22.5">
      <c r="A15" s="301" t="s">
        <v>727</v>
      </c>
      <c r="B15" s="38" t="s">
        <v>277</v>
      </c>
    </row>
    <row r="16" spans="1:11" ht="18">
      <c r="A16" s="18"/>
      <c r="B16" s="18"/>
      <c r="C16" s="20"/>
      <c r="D16" s="262"/>
      <c r="E16" s="261" t="s">
        <v>721</v>
      </c>
      <c r="F16" s="81"/>
      <c r="G16" s="258" t="s">
        <v>25</v>
      </c>
      <c r="H16" s="259"/>
      <c r="I16" s="259"/>
    </row>
    <row r="17" spans="1:7" ht="18">
      <c r="A17" s="18"/>
      <c r="B17" s="18"/>
      <c r="C17" s="20"/>
      <c r="D17" s="18"/>
      <c r="E17" s="235" t="s">
        <v>27</v>
      </c>
      <c r="F17" s="146"/>
      <c r="G17" s="235" t="s">
        <v>27</v>
      </c>
    </row>
    <row r="18" spans="1:7" ht="16.5" customHeight="1">
      <c r="A18" s="793" t="s">
        <v>550</v>
      </c>
      <c r="B18" s="793"/>
      <c r="C18" s="20"/>
      <c r="D18" s="18"/>
      <c r="E18" s="22">
        <v>0</v>
      </c>
      <c r="F18" s="146"/>
      <c r="G18" s="22">
        <v>37397054472</v>
      </c>
    </row>
    <row r="19" spans="1:7" ht="16.5" customHeight="1">
      <c r="A19" s="793" t="s">
        <v>549</v>
      </c>
      <c r="B19" s="793"/>
      <c r="C19" s="20"/>
      <c r="D19" s="18"/>
      <c r="E19" s="22">
        <v>8771624880</v>
      </c>
      <c r="F19" s="146"/>
      <c r="G19" s="22">
        <v>8771624880</v>
      </c>
    </row>
    <row r="20" spans="1:7" ht="16.5" customHeight="1">
      <c r="A20" s="265" t="s">
        <v>551</v>
      </c>
      <c r="B20" s="265"/>
      <c r="C20" s="20"/>
      <c r="D20" s="18"/>
      <c r="E20" s="22">
        <v>0</v>
      </c>
      <c r="F20" s="146"/>
      <c r="G20" s="22">
        <v>2161261762</v>
      </c>
    </row>
    <row r="21" spans="1:7" ht="16.5" customHeight="1">
      <c r="A21" s="793" t="s">
        <v>782</v>
      </c>
      <c r="B21" s="793"/>
      <c r="C21" s="20"/>
      <c r="D21" s="18"/>
      <c r="E21" s="22">
        <v>355265118</v>
      </c>
      <c r="F21" s="146"/>
      <c r="G21" s="22">
        <v>0</v>
      </c>
    </row>
    <row r="22" spans="1:7" ht="16.5" customHeight="1">
      <c r="A22" s="793" t="s">
        <v>278</v>
      </c>
      <c r="B22" s="793"/>
      <c r="C22" s="20"/>
      <c r="D22" s="18"/>
      <c r="E22" s="22">
        <v>0</v>
      </c>
      <c r="F22" s="146"/>
      <c r="G22" s="22">
        <v>443884256</v>
      </c>
    </row>
    <row r="23" spans="1:7" ht="16.5" customHeight="1">
      <c r="A23" s="793" t="s">
        <v>279</v>
      </c>
      <c r="B23" s="793"/>
      <c r="C23" s="20"/>
      <c r="D23" s="18"/>
      <c r="E23" s="22">
        <v>510942648</v>
      </c>
      <c r="F23" s="146"/>
      <c r="G23" s="22">
        <v>510942648</v>
      </c>
    </row>
    <row r="24" spans="1:7" ht="16.5" customHeight="1">
      <c r="A24" s="793" t="s">
        <v>280</v>
      </c>
      <c r="B24" s="793"/>
      <c r="C24" s="20"/>
      <c r="D24" s="18"/>
      <c r="E24" s="22">
        <v>0</v>
      </c>
      <c r="F24" s="146"/>
      <c r="G24" s="22">
        <v>443750000</v>
      </c>
    </row>
    <row r="25" spans="1:7" ht="16.5" customHeight="1">
      <c r="A25" s="793" t="s">
        <v>281</v>
      </c>
      <c r="B25" s="793"/>
      <c r="C25" s="20"/>
      <c r="D25" s="18"/>
      <c r="E25" s="22">
        <v>0</v>
      </c>
      <c r="F25" s="146"/>
      <c r="G25" s="22">
        <v>826495000</v>
      </c>
    </row>
    <row r="26" spans="1:7" ht="16.5" customHeight="1">
      <c r="A26" s="793" t="s">
        <v>282</v>
      </c>
      <c r="B26" s="793"/>
      <c r="C26" s="20"/>
      <c r="D26" s="18"/>
      <c r="E26" s="22">
        <v>281276462</v>
      </c>
      <c r="F26" s="146"/>
      <c r="G26" s="22">
        <v>281276462</v>
      </c>
    </row>
    <row r="27" spans="1:7" ht="16.5" customHeight="1">
      <c r="A27" s="793" t="s">
        <v>283</v>
      </c>
      <c r="B27" s="793"/>
      <c r="C27" s="20"/>
      <c r="D27" s="18"/>
      <c r="E27" s="22">
        <v>0</v>
      </c>
      <c r="F27" s="146"/>
      <c r="G27" s="22">
        <v>245289557</v>
      </c>
    </row>
    <row r="28" spans="1:7" ht="16.5" customHeight="1">
      <c r="A28" s="793" t="s">
        <v>284</v>
      </c>
      <c r="B28" s="793"/>
      <c r="C28" s="20"/>
      <c r="D28" s="18"/>
      <c r="E28" s="22">
        <v>0</v>
      </c>
      <c r="F28" s="146"/>
      <c r="G28" s="22">
        <v>1705425524</v>
      </c>
    </row>
    <row r="29" spans="1:7" ht="16.5" customHeight="1">
      <c r="A29" s="793" t="s">
        <v>552</v>
      </c>
      <c r="B29" s="793"/>
      <c r="C29" s="20"/>
      <c r="D29" s="18"/>
      <c r="E29" s="22">
        <v>0</v>
      </c>
      <c r="F29" s="146"/>
      <c r="G29" s="22">
        <v>552499330</v>
      </c>
    </row>
    <row r="30" spans="1:7" ht="16.5" customHeight="1">
      <c r="A30" s="793" t="s">
        <v>553</v>
      </c>
      <c r="B30" s="793"/>
      <c r="C30" s="20"/>
      <c r="D30" s="18"/>
      <c r="E30" s="22">
        <v>0</v>
      </c>
      <c r="F30" s="146"/>
      <c r="G30" s="22">
        <v>450812429</v>
      </c>
    </row>
    <row r="31" spans="1:7" ht="16.5" customHeight="1">
      <c r="A31" s="793" t="s">
        <v>554</v>
      </c>
      <c r="B31" s="793"/>
      <c r="C31" s="20"/>
      <c r="D31" s="18"/>
      <c r="E31" s="22">
        <v>447638750</v>
      </c>
      <c r="F31" s="146"/>
      <c r="G31" s="22">
        <v>447638750</v>
      </c>
    </row>
    <row r="32" spans="1:7" ht="16.5" customHeight="1">
      <c r="A32" s="793" t="s">
        <v>555</v>
      </c>
      <c r="B32" s="793"/>
      <c r="C32" s="20"/>
      <c r="D32" s="18"/>
      <c r="E32" s="22">
        <v>283979994</v>
      </c>
      <c r="F32" s="146"/>
      <c r="G32" s="22">
        <v>375150000</v>
      </c>
    </row>
    <row r="33" spans="1:7" ht="16.5" customHeight="1">
      <c r="A33" s="793" t="s">
        <v>556</v>
      </c>
      <c r="B33" s="793"/>
      <c r="C33" s="20"/>
      <c r="D33" s="18"/>
      <c r="E33" s="22">
        <v>172326000</v>
      </c>
      <c r="F33" s="146"/>
      <c r="G33" s="22">
        <v>406946750</v>
      </c>
    </row>
    <row r="34" spans="1:7" ht="16.5" customHeight="1">
      <c r="A34" s="793" t="s">
        <v>286</v>
      </c>
      <c r="B34" s="793"/>
      <c r="C34" s="20"/>
      <c r="D34" s="18"/>
      <c r="E34" s="22">
        <v>0</v>
      </c>
      <c r="F34" s="146"/>
      <c r="G34" s="22">
        <v>993082194</v>
      </c>
    </row>
    <row r="35" spans="1:7" ht="16.5" customHeight="1">
      <c r="A35" s="793" t="s">
        <v>287</v>
      </c>
      <c r="B35" s="793"/>
      <c r="C35" s="20"/>
      <c r="D35" s="18"/>
      <c r="E35" s="22">
        <v>641090502</v>
      </c>
      <c r="F35" s="146"/>
      <c r="G35" s="22">
        <v>504612417</v>
      </c>
    </row>
    <row r="36" spans="1:7" ht="16.5" customHeight="1">
      <c r="A36" s="793" t="s">
        <v>777</v>
      </c>
      <c r="B36" s="793"/>
      <c r="C36" s="20"/>
      <c r="D36" s="18"/>
      <c r="E36" s="22">
        <v>31750000000</v>
      </c>
      <c r="F36" s="146"/>
      <c r="G36" s="22">
        <v>0</v>
      </c>
    </row>
    <row r="37" spans="1:7" ht="16.5" customHeight="1">
      <c r="A37" s="793" t="s">
        <v>783</v>
      </c>
      <c r="B37" s="793"/>
      <c r="C37" s="20"/>
      <c r="D37" s="18"/>
      <c r="E37" s="22">
        <v>753684734</v>
      </c>
      <c r="F37" s="146"/>
      <c r="G37" s="22">
        <v>0</v>
      </c>
    </row>
    <row r="38" spans="1:7" ht="16.5" customHeight="1">
      <c r="A38" s="793" t="s">
        <v>784</v>
      </c>
      <c r="B38" s="793"/>
      <c r="C38" s="20"/>
      <c r="D38" s="18"/>
      <c r="E38" s="22">
        <v>514739969</v>
      </c>
      <c r="F38" s="146"/>
      <c r="G38" s="22">
        <v>0</v>
      </c>
    </row>
    <row r="39" spans="1:7" ht="16.5" customHeight="1">
      <c r="A39" s="793" t="s">
        <v>113</v>
      </c>
      <c r="B39" s="793"/>
      <c r="C39" s="20"/>
      <c r="D39" s="18"/>
      <c r="E39" s="22">
        <v>7698053497</v>
      </c>
      <c r="F39" s="146"/>
      <c r="G39" s="22">
        <v>6631705822</v>
      </c>
    </row>
    <row r="40" spans="1:7" ht="16.5" customHeight="1" thickBot="1">
      <c r="A40" s="148" t="s">
        <v>288</v>
      </c>
      <c r="B40" s="148"/>
      <c r="C40" s="20"/>
      <c r="D40" s="44"/>
      <c r="E40" s="86">
        <f>SUM(E18:E39)</f>
        <v>52180622554</v>
      </c>
      <c r="F40" s="149"/>
      <c r="G40" s="86">
        <f>SUM(G18:G39)</f>
        <v>63149452253</v>
      </c>
    </row>
    <row r="41" spans="1:7" ht="18" thickTop="1"/>
  </sheetData>
  <mergeCells count="25">
    <mergeCell ref="A22:B22"/>
    <mergeCell ref="A23:B23"/>
    <mergeCell ref="A3:G3"/>
    <mergeCell ref="A29:B29"/>
    <mergeCell ref="A30:B30"/>
    <mergeCell ref="A25:B25"/>
    <mergeCell ref="B7:B8"/>
    <mergeCell ref="A26:B26"/>
    <mergeCell ref="A27:B27"/>
    <mergeCell ref="A28:B28"/>
    <mergeCell ref="A1:G1"/>
    <mergeCell ref="A2:G2"/>
    <mergeCell ref="A18:B18"/>
    <mergeCell ref="A19:B19"/>
    <mergeCell ref="A21:B21"/>
    <mergeCell ref="A36:B36"/>
    <mergeCell ref="A39:B39"/>
    <mergeCell ref="A32:B32"/>
    <mergeCell ref="A33:B33"/>
    <mergeCell ref="A24:B24"/>
    <mergeCell ref="A31:B31"/>
    <mergeCell ref="A34:B34"/>
    <mergeCell ref="A35:B35"/>
    <mergeCell ref="A37:B37"/>
    <mergeCell ref="A38:B38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&amp;C&amp;"B Mitra,Bold"&amp;14 27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0"/>
  <sheetViews>
    <sheetView rightToLeft="1" zoomScale="85" zoomScaleNormal="85" workbookViewId="0">
      <selection activeCell="E8" sqref="E8"/>
    </sheetView>
  </sheetViews>
  <sheetFormatPr defaultRowHeight="18"/>
  <cols>
    <col min="1" max="1" width="5.140625" style="20" customWidth="1"/>
    <col min="2" max="2" width="45.5703125" style="18" customWidth="1"/>
    <col min="3" max="3" width="16" style="22" customWidth="1"/>
    <col min="4" max="4" width="3.7109375" style="22" customWidth="1"/>
    <col min="5" max="5" width="18" style="22" customWidth="1"/>
    <col min="7" max="7" width="16" customWidth="1"/>
  </cols>
  <sheetData>
    <row r="1" spans="1:9" ht="18.75" customHeight="1">
      <c r="A1" s="703" t="s">
        <v>127</v>
      </c>
      <c r="B1" s="703"/>
      <c r="C1" s="703"/>
      <c r="D1" s="703"/>
      <c r="E1" s="703"/>
    </row>
    <row r="2" spans="1:9" ht="18.75" customHeight="1">
      <c r="A2" s="703" t="s">
        <v>0</v>
      </c>
      <c r="B2" s="703"/>
      <c r="C2" s="703"/>
      <c r="D2" s="703"/>
      <c r="E2" s="703"/>
    </row>
    <row r="3" spans="1:9" ht="18.75" customHeight="1">
      <c r="A3" s="703" t="s">
        <v>1017</v>
      </c>
      <c r="B3" s="703"/>
      <c r="C3" s="703"/>
      <c r="D3" s="703"/>
      <c r="E3" s="703"/>
      <c r="F3" s="62"/>
      <c r="G3" s="62"/>
      <c r="H3" s="62"/>
      <c r="I3" s="62"/>
    </row>
    <row r="4" spans="1:9" ht="17.25" customHeight="1"/>
    <row r="5" spans="1:9" ht="21.75">
      <c r="A5" s="45" t="s">
        <v>522</v>
      </c>
      <c r="B5" s="45" t="s">
        <v>289</v>
      </c>
    </row>
    <row r="6" spans="1:9" ht="16.5" customHeight="1">
      <c r="C6" s="143" t="s">
        <v>721</v>
      </c>
      <c r="D6" s="98"/>
      <c r="E6" s="677" t="s">
        <v>25</v>
      </c>
      <c r="F6" s="259"/>
      <c r="G6" s="259"/>
    </row>
    <row r="7" spans="1:9" ht="16.5" customHeight="1">
      <c r="C7" s="235" t="s">
        <v>27</v>
      </c>
      <c r="E7" s="235" t="s">
        <v>27</v>
      </c>
    </row>
    <row r="8" spans="1:9" ht="16.5" customHeight="1">
      <c r="B8" s="20" t="s">
        <v>290</v>
      </c>
      <c r="C8" s="22">
        <v>12216671993</v>
      </c>
      <c r="E8" s="22">
        <v>7978730359</v>
      </c>
      <c r="G8" s="1"/>
    </row>
    <row r="9" spans="1:9" ht="16.5" customHeight="1">
      <c r="B9" s="20" t="s">
        <v>291</v>
      </c>
      <c r="C9" s="22">
        <v>4287150609</v>
      </c>
      <c r="E9" s="22">
        <v>4287150609</v>
      </c>
      <c r="G9" s="1"/>
    </row>
    <row r="10" spans="1:9" ht="16.5" customHeight="1">
      <c r="B10" s="20" t="s">
        <v>292</v>
      </c>
      <c r="C10" s="22">
        <v>28102472911</v>
      </c>
      <c r="E10" s="22">
        <v>12920570216</v>
      </c>
      <c r="G10" s="1"/>
    </row>
    <row r="11" spans="1:9" ht="16.5" customHeight="1">
      <c r="B11" s="20" t="s">
        <v>293</v>
      </c>
      <c r="C11" s="22">
        <v>0</v>
      </c>
      <c r="E11" s="22">
        <v>11372087760</v>
      </c>
      <c r="G11" s="1"/>
    </row>
    <row r="12" spans="1:9" ht="16.5" customHeight="1">
      <c r="B12" s="20" t="s">
        <v>108</v>
      </c>
      <c r="C12" s="22">
        <v>5558739655</v>
      </c>
      <c r="E12" s="22">
        <v>4351810912</v>
      </c>
      <c r="G12" s="1"/>
    </row>
    <row r="13" spans="1:9" ht="16.5" customHeight="1">
      <c r="B13" s="20" t="s">
        <v>228</v>
      </c>
      <c r="C13" s="22">
        <v>7120498532</v>
      </c>
      <c r="E13" s="22">
        <v>1749585534</v>
      </c>
      <c r="G13" s="1"/>
    </row>
    <row r="14" spans="1:9" ht="16.5" customHeight="1" thickBot="1">
      <c r="B14" s="20" t="s">
        <v>117</v>
      </c>
      <c r="C14" s="86">
        <f>SUM(C8:C13)</f>
        <v>57285533700</v>
      </c>
      <c r="E14" s="86">
        <f>SUM(E8:E13)</f>
        <v>42659935390</v>
      </c>
      <c r="G14" s="1"/>
      <c r="I14" s="91"/>
    </row>
    <row r="15" spans="1:9" ht="30" customHeight="1" thickTop="1"/>
    <row r="16" spans="1:9" ht="16.5" customHeight="1">
      <c r="A16" s="45" t="s">
        <v>523</v>
      </c>
      <c r="B16" s="45" t="s">
        <v>294</v>
      </c>
    </row>
    <row r="17" spans="2:8" ht="16.5" customHeight="1">
      <c r="C17" s="143" t="s">
        <v>721</v>
      </c>
      <c r="D17" s="98"/>
      <c r="E17" s="677" t="s">
        <v>25</v>
      </c>
      <c r="F17" s="259"/>
      <c r="G17" s="259"/>
    </row>
    <row r="18" spans="2:8" ht="16.5" customHeight="1">
      <c r="C18" s="235" t="s">
        <v>27</v>
      </c>
      <c r="E18" s="235" t="s">
        <v>27</v>
      </c>
    </row>
    <row r="19" spans="2:8" ht="16.5" customHeight="1">
      <c r="B19" s="20" t="s">
        <v>569</v>
      </c>
      <c r="C19" s="22">
        <v>0</v>
      </c>
      <c r="E19" s="22">
        <v>194285000</v>
      </c>
      <c r="G19" s="1"/>
    </row>
    <row r="20" spans="2:8" ht="16.5" customHeight="1">
      <c r="B20" s="20" t="s">
        <v>570</v>
      </c>
      <c r="C20" s="22">
        <v>0</v>
      </c>
      <c r="E20" s="22">
        <v>124415164</v>
      </c>
      <c r="G20" s="1"/>
    </row>
    <row r="21" spans="2:8" ht="16.5" customHeight="1">
      <c r="B21" s="20" t="s">
        <v>557</v>
      </c>
      <c r="C21" s="22">
        <v>0</v>
      </c>
      <c r="E21" s="22">
        <v>466663831</v>
      </c>
    </row>
    <row r="22" spans="2:8" ht="16.5" customHeight="1">
      <c r="B22" s="20" t="s">
        <v>558</v>
      </c>
      <c r="C22" s="22">
        <v>0</v>
      </c>
      <c r="E22" s="22">
        <v>265098000</v>
      </c>
    </row>
    <row r="23" spans="2:8" ht="16.5" customHeight="1">
      <c r="B23" s="20" t="s">
        <v>295</v>
      </c>
      <c r="C23" s="22">
        <v>0</v>
      </c>
      <c r="E23" s="22">
        <v>211417072</v>
      </c>
    </row>
    <row r="24" spans="2:8" ht="16.5" customHeight="1">
      <c r="B24" s="20" t="s">
        <v>559</v>
      </c>
      <c r="C24" s="22">
        <v>0</v>
      </c>
      <c r="E24" s="22">
        <v>471345140</v>
      </c>
    </row>
    <row r="25" spans="2:8" ht="16.5" customHeight="1">
      <c r="B25" s="20" t="s">
        <v>560</v>
      </c>
      <c r="C25" s="22">
        <v>0</v>
      </c>
      <c r="E25" s="22">
        <v>293988000</v>
      </c>
    </row>
    <row r="26" spans="2:8" ht="16.5" customHeight="1">
      <c r="B26" s="20" t="s">
        <v>296</v>
      </c>
      <c r="C26" s="22">
        <v>0</v>
      </c>
      <c r="E26" s="22">
        <v>546534790</v>
      </c>
      <c r="G26" s="1"/>
      <c r="H26" s="91"/>
    </row>
    <row r="27" spans="2:8" ht="16.5" customHeight="1">
      <c r="B27" s="20" t="s">
        <v>297</v>
      </c>
      <c r="C27" s="22">
        <v>0</v>
      </c>
      <c r="E27" s="22">
        <v>215681400</v>
      </c>
      <c r="G27" s="1"/>
    </row>
    <row r="28" spans="2:8" ht="16.5" customHeight="1">
      <c r="B28" s="20" t="s">
        <v>785</v>
      </c>
      <c r="C28" s="22">
        <v>1315894420</v>
      </c>
      <c r="E28" s="22">
        <v>0</v>
      </c>
      <c r="G28" s="1"/>
    </row>
    <row r="29" spans="2:8" ht="16.5" customHeight="1">
      <c r="B29" s="20" t="s">
        <v>561</v>
      </c>
      <c r="C29" s="22">
        <v>0</v>
      </c>
      <c r="E29" s="22">
        <v>649122000</v>
      </c>
      <c r="G29" s="1"/>
    </row>
    <row r="30" spans="2:8" ht="16.5" customHeight="1">
      <c r="B30" s="20" t="s">
        <v>562</v>
      </c>
      <c r="C30" s="22">
        <v>0</v>
      </c>
      <c r="E30" s="22">
        <v>167563000</v>
      </c>
      <c r="G30" s="1"/>
    </row>
    <row r="31" spans="2:8" ht="16.5" customHeight="1">
      <c r="B31" s="20" t="s">
        <v>563</v>
      </c>
      <c r="C31" s="22">
        <v>265515894</v>
      </c>
      <c r="E31" s="22">
        <v>574622560</v>
      </c>
      <c r="G31" s="1"/>
    </row>
    <row r="32" spans="2:8" ht="16.5" customHeight="1">
      <c r="B32" s="20" t="s">
        <v>564</v>
      </c>
      <c r="C32" s="22">
        <v>0</v>
      </c>
      <c r="E32" s="22">
        <v>144098000</v>
      </c>
      <c r="G32" s="1"/>
    </row>
    <row r="33" spans="2:7" ht="16.5" customHeight="1">
      <c r="B33" s="20" t="s">
        <v>565</v>
      </c>
      <c r="C33" s="22">
        <v>0</v>
      </c>
      <c r="E33" s="22">
        <v>134381220</v>
      </c>
      <c r="G33" s="1"/>
    </row>
    <row r="34" spans="2:7" ht="16.5" customHeight="1">
      <c r="B34" s="20" t="s">
        <v>566</v>
      </c>
      <c r="C34" s="22">
        <v>1441944809</v>
      </c>
      <c r="E34" s="22">
        <v>345387400</v>
      </c>
      <c r="G34" s="1"/>
    </row>
    <row r="35" spans="2:7" ht="16.5" customHeight="1">
      <c r="B35" s="20" t="s">
        <v>567</v>
      </c>
      <c r="C35" s="22">
        <v>1196754814</v>
      </c>
      <c r="E35" s="22">
        <v>221122124</v>
      </c>
      <c r="G35" s="1"/>
    </row>
    <row r="36" spans="2:7" ht="16.5" customHeight="1">
      <c r="B36" s="20" t="s">
        <v>568</v>
      </c>
      <c r="C36" s="22">
        <v>0</v>
      </c>
      <c r="E36" s="22">
        <v>153809000</v>
      </c>
      <c r="G36" s="1"/>
    </row>
    <row r="37" spans="2:7" ht="16.5" customHeight="1">
      <c r="B37" s="20" t="s">
        <v>786</v>
      </c>
      <c r="C37" s="22">
        <v>1179693259</v>
      </c>
      <c r="E37" s="22">
        <v>0</v>
      </c>
      <c r="G37" s="1"/>
    </row>
    <row r="38" spans="2:7" ht="16.5" customHeight="1">
      <c r="B38" s="20" t="s">
        <v>113</v>
      </c>
      <c r="C38" s="22">
        <v>2223922182</v>
      </c>
      <c r="E38" s="22">
        <v>4158257197</v>
      </c>
      <c r="G38" s="1"/>
    </row>
    <row r="39" spans="2:7" ht="16.5" customHeight="1" thickBot="1">
      <c r="B39" s="20" t="s">
        <v>288</v>
      </c>
      <c r="C39" s="86">
        <f>SUM(C19:C38)</f>
        <v>7623725378</v>
      </c>
      <c r="E39" s="86">
        <f>SUM(E19:E38)</f>
        <v>9337790898</v>
      </c>
      <c r="F39" t="s">
        <v>966</v>
      </c>
      <c r="G39" s="1"/>
    </row>
    <row r="40" spans="2:7" ht="18.75" thickTop="1"/>
  </sheetData>
  <mergeCells count="3">
    <mergeCell ref="A1:E1"/>
    <mergeCell ref="A2:E2"/>
    <mergeCell ref="A3:E3"/>
  </mergeCells>
  <pageMargins left="0.70866141732283472" right="0.70866141732283472" top="0.74803149606299213" bottom="0.74803149606299213" header="0.31496062992125984" footer="0.31496062992125984"/>
  <pageSetup paperSize="9" scale="89" orientation="portrait" horizontalDpi="300" verticalDpi="300" r:id="rId1"/>
  <headerFooter>
    <oddFooter>&amp;C&amp;"B Mitra,Bold"&amp;14 28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L37"/>
  <sheetViews>
    <sheetView rightToLeft="1" workbookViewId="0">
      <selection activeCell="I5" sqref="I5"/>
    </sheetView>
  </sheetViews>
  <sheetFormatPr defaultColWidth="9" defaultRowHeight="18"/>
  <cols>
    <col min="1" max="1" width="7.85546875" style="50" customWidth="1"/>
    <col min="2" max="2" width="8" style="50" customWidth="1"/>
    <col min="3" max="3" width="9.140625" style="50"/>
    <col min="4" max="4" width="13.42578125" style="50" customWidth="1"/>
    <col min="5" max="5" width="16.28515625" style="102" customWidth="1"/>
    <col min="6" max="6" width="12.5703125" style="660" bestFit="1" customWidth="1"/>
    <col min="7" max="7" width="2.42578125" style="660" customWidth="1"/>
    <col min="8" max="8" width="13.7109375" style="152" customWidth="1"/>
    <col min="9" max="9" width="17.85546875" style="55" customWidth="1"/>
    <col min="10" max="16384" width="9" style="55"/>
  </cols>
  <sheetData>
    <row r="1" spans="1:12" ht="22.5">
      <c r="A1" s="703" t="s">
        <v>298</v>
      </c>
      <c r="B1" s="703"/>
      <c r="C1" s="703"/>
      <c r="D1" s="703"/>
      <c r="E1" s="703"/>
      <c r="F1" s="703"/>
      <c r="G1" s="703"/>
      <c r="H1" s="703"/>
    </row>
    <row r="2" spans="1:12" ht="22.5">
      <c r="A2" s="796" t="s">
        <v>0</v>
      </c>
      <c r="B2" s="796"/>
      <c r="C2" s="796"/>
      <c r="D2" s="796"/>
      <c r="E2" s="796"/>
      <c r="F2" s="796"/>
      <c r="G2" s="796"/>
      <c r="H2" s="796"/>
    </row>
    <row r="3" spans="1:12" ht="22.5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  <c r="K3" s="62"/>
      <c r="L3" s="62"/>
    </row>
    <row r="5" spans="1:12" ht="22.5">
      <c r="A5" s="748" t="s">
        <v>299</v>
      </c>
      <c r="B5" s="748"/>
      <c r="C5" s="748"/>
      <c r="D5" s="748"/>
      <c r="E5" s="748"/>
    </row>
    <row r="6" spans="1:12">
      <c r="A6" s="55"/>
      <c r="B6" s="722" t="s">
        <v>300</v>
      </c>
      <c r="C6" s="722"/>
      <c r="D6" s="722"/>
      <c r="E6" s="722"/>
      <c r="G6" s="152"/>
      <c r="H6" s="660"/>
    </row>
    <row r="7" spans="1:12">
      <c r="C7" s="55"/>
      <c r="E7" s="102" t="s">
        <v>149</v>
      </c>
      <c r="F7" s="664" t="s">
        <v>721</v>
      </c>
      <c r="G7" s="686"/>
      <c r="H7" s="687" t="s">
        <v>25</v>
      </c>
      <c r="I7" s="259"/>
      <c r="J7" s="259"/>
    </row>
    <row r="8" spans="1:12">
      <c r="E8" s="53"/>
      <c r="F8" s="648" t="s">
        <v>27</v>
      </c>
      <c r="G8" s="152"/>
      <c r="H8" s="235" t="s">
        <v>27</v>
      </c>
    </row>
    <row r="9" spans="1:12">
      <c r="G9" s="152"/>
      <c r="H9" s="660"/>
    </row>
    <row r="10" spans="1:12" ht="20.25" customHeight="1">
      <c r="A10" s="55"/>
      <c r="B10" s="50" t="s">
        <v>301</v>
      </c>
      <c r="F10" s="444">
        <v>9935333627</v>
      </c>
      <c r="G10" s="152"/>
      <c r="H10" s="660">
        <v>8462463613</v>
      </c>
      <c r="I10" s="82"/>
    </row>
    <row r="11" spans="1:12" ht="20.25" customHeight="1">
      <c r="A11" s="55"/>
      <c r="B11" s="50" t="s">
        <v>302</v>
      </c>
      <c r="C11" s="92"/>
      <c r="E11" s="268" t="s">
        <v>590</v>
      </c>
      <c r="F11" s="444">
        <f>F26</f>
        <v>12845066898</v>
      </c>
      <c r="G11" s="153"/>
      <c r="H11" s="660">
        <f>H26</f>
        <v>10754254534</v>
      </c>
      <c r="I11" s="82"/>
      <c r="J11" s="81"/>
      <c r="K11" s="81"/>
      <c r="L11" s="81"/>
    </row>
    <row r="12" spans="1:12" ht="20.25" customHeight="1">
      <c r="A12" s="55"/>
      <c r="B12" s="50" t="s">
        <v>303</v>
      </c>
      <c r="C12" s="92"/>
      <c r="E12" s="268" t="s">
        <v>591</v>
      </c>
      <c r="F12" s="444">
        <f>'30'!D29</f>
        <v>15201466814</v>
      </c>
      <c r="G12" s="152"/>
      <c r="H12" s="660">
        <f>'30'!F29</f>
        <v>14495874862</v>
      </c>
      <c r="I12" s="82"/>
      <c r="J12" s="81"/>
      <c r="K12" s="81"/>
      <c r="L12" s="81"/>
    </row>
    <row r="13" spans="1:12" ht="20.25" customHeight="1">
      <c r="A13" s="55"/>
      <c r="B13" s="50" t="s">
        <v>304</v>
      </c>
      <c r="C13" s="92"/>
      <c r="F13" s="660">
        <v>0</v>
      </c>
      <c r="G13" s="152"/>
      <c r="H13" s="660">
        <v>416000000</v>
      </c>
      <c r="I13" s="82"/>
      <c r="J13" s="81"/>
      <c r="K13" s="81"/>
      <c r="L13" s="81"/>
    </row>
    <row r="14" spans="1:12" ht="20.25" customHeight="1">
      <c r="A14" s="55"/>
      <c r="B14" s="571" t="s">
        <v>988</v>
      </c>
      <c r="C14" s="92"/>
      <c r="D14" s="461"/>
      <c r="E14" s="268" t="s">
        <v>592</v>
      </c>
      <c r="F14" s="444">
        <f>'31'!F33</f>
        <v>110513397443</v>
      </c>
      <c r="G14" s="152"/>
      <c r="H14" s="660">
        <f>'31'!H33</f>
        <v>52544202319</v>
      </c>
      <c r="I14" s="82"/>
      <c r="J14" s="81"/>
      <c r="K14" s="81"/>
      <c r="L14" s="81"/>
    </row>
    <row r="15" spans="1:12" ht="20.25" customHeight="1">
      <c r="A15" s="55"/>
      <c r="B15" s="746" t="s">
        <v>584</v>
      </c>
      <c r="C15" s="746"/>
      <c r="E15" s="268" t="s">
        <v>593</v>
      </c>
      <c r="F15" s="444">
        <f>'31'!F46</f>
        <v>3088978342</v>
      </c>
      <c r="G15" s="152"/>
      <c r="H15" s="660">
        <f>'31'!H46</f>
        <v>2301220550</v>
      </c>
      <c r="J15" s="81"/>
      <c r="K15" s="81"/>
      <c r="L15" s="81"/>
    </row>
    <row r="16" spans="1:12">
      <c r="E16" s="268"/>
      <c r="F16" s="100">
        <f>SUM(F10:F15)</f>
        <v>151584243124</v>
      </c>
      <c r="G16" s="152"/>
      <c r="H16" s="100">
        <f>SUM(H10:H15)</f>
        <v>88974015878</v>
      </c>
      <c r="I16" s="82"/>
      <c r="J16" s="81"/>
      <c r="K16" s="81"/>
      <c r="L16" s="81"/>
    </row>
    <row r="17" spans="1:12">
      <c r="J17" s="81"/>
      <c r="K17" s="81"/>
      <c r="L17" s="81"/>
    </row>
    <row r="18" spans="1:12" ht="21.75">
      <c r="A18" s="750" t="s">
        <v>306</v>
      </c>
      <c r="B18" s="750"/>
      <c r="C18" s="750"/>
      <c r="D18" s="750"/>
      <c r="E18" s="750"/>
      <c r="J18" s="81"/>
      <c r="K18" s="81"/>
      <c r="L18" s="81"/>
    </row>
    <row r="19" spans="1:12">
      <c r="G19" s="154"/>
      <c r="H19" s="688"/>
      <c r="J19" s="81"/>
      <c r="K19" s="81"/>
      <c r="L19" s="81"/>
    </row>
    <row r="20" spans="1:12">
      <c r="C20" s="55"/>
      <c r="E20" s="102" t="s">
        <v>149</v>
      </c>
      <c r="F20" s="664" t="s">
        <v>721</v>
      </c>
      <c r="G20" s="686"/>
      <c r="H20" s="687" t="s">
        <v>25</v>
      </c>
      <c r="I20" s="259"/>
      <c r="J20" s="259"/>
      <c r="K20" s="81"/>
      <c r="L20" s="81"/>
    </row>
    <row r="21" spans="1:12">
      <c r="E21" s="53"/>
      <c r="F21" s="648" t="s">
        <v>27</v>
      </c>
      <c r="G21" s="152"/>
      <c r="H21" s="235" t="s">
        <v>27</v>
      </c>
      <c r="I21" s="51"/>
      <c r="J21" s="81"/>
      <c r="K21" s="81"/>
      <c r="L21" s="81"/>
    </row>
    <row r="22" spans="1:12" ht="18.75" customHeight="1">
      <c r="A22" s="55"/>
      <c r="B22" s="50" t="s">
        <v>307</v>
      </c>
      <c r="C22" s="93"/>
      <c r="E22" s="53" t="s">
        <v>723</v>
      </c>
      <c r="F22" s="660">
        <f>F36</f>
        <v>8419078814</v>
      </c>
      <c r="G22" s="152"/>
      <c r="H22" s="660">
        <f>H36</f>
        <v>8419078814</v>
      </c>
      <c r="I22" s="82"/>
      <c r="J22" s="81"/>
      <c r="K22" s="81"/>
      <c r="L22" s="81"/>
    </row>
    <row r="23" spans="1:12" ht="18.75" customHeight="1">
      <c r="A23" s="55"/>
      <c r="B23" s="50" t="s">
        <v>308</v>
      </c>
      <c r="E23" s="53"/>
      <c r="F23" s="660">
        <v>4346946004</v>
      </c>
      <c r="G23" s="152"/>
      <c r="H23" s="660">
        <v>2290771661</v>
      </c>
      <c r="I23" s="82"/>
    </row>
    <row r="24" spans="1:12" ht="18.75" customHeight="1">
      <c r="A24" s="55"/>
      <c r="B24" s="50" t="s">
        <v>309</v>
      </c>
      <c r="E24" s="53"/>
      <c r="F24" s="660">
        <v>63233310</v>
      </c>
      <c r="G24" s="152"/>
      <c r="H24" s="660">
        <v>44404059</v>
      </c>
      <c r="I24" s="82"/>
    </row>
    <row r="25" spans="1:12" ht="18.75" customHeight="1">
      <c r="A25" s="55"/>
      <c r="B25" s="722" t="s">
        <v>113</v>
      </c>
      <c r="C25" s="722"/>
      <c r="D25" s="341"/>
      <c r="E25" s="53"/>
      <c r="F25" s="660">
        <v>15808770</v>
      </c>
      <c r="G25" s="152"/>
      <c r="H25" s="660">
        <v>0</v>
      </c>
      <c r="I25" s="82"/>
    </row>
    <row r="26" spans="1:12">
      <c r="E26" s="53"/>
      <c r="F26" s="445">
        <f>SUM(F22:F25)</f>
        <v>12845066898</v>
      </c>
      <c r="G26" s="152"/>
      <c r="H26" s="100">
        <f>SUM(H22:H24)</f>
        <v>10754254534</v>
      </c>
      <c r="I26" s="82"/>
    </row>
    <row r="28" spans="1:12" ht="21.75">
      <c r="A28" s="750" t="s">
        <v>310</v>
      </c>
      <c r="B28" s="750"/>
      <c r="C28" s="750"/>
      <c r="D28" s="750"/>
      <c r="E28" s="750"/>
    </row>
    <row r="29" spans="1:12">
      <c r="E29" s="53"/>
      <c r="F29" s="795" t="s">
        <v>721</v>
      </c>
      <c r="G29" s="795"/>
      <c r="H29" s="687" t="s">
        <v>25</v>
      </c>
      <c r="I29" s="259"/>
      <c r="J29" s="259"/>
    </row>
    <row r="30" spans="1:12">
      <c r="E30" s="53"/>
      <c r="F30" s="648" t="s">
        <v>27</v>
      </c>
      <c r="G30" s="152"/>
      <c r="H30" s="235" t="s">
        <v>27</v>
      </c>
      <c r="I30" s="51"/>
    </row>
    <row r="31" spans="1:12" ht="20.25" customHeight="1">
      <c r="A31" s="55"/>
      <c r="B31" s="50" t="s">
        <v>311</v>
      </c>
      <c r="E31" s="53"/>
      <c r="F31" s="660">
        <v>2577047478</v>
      </c>
      <c r="G31" s="152"/>
      <c r="H31" s="660">
        <v>2577047478</v>
      </c>
      <c r="I31" s="82"/>
    </row>
    <row r="32" spans="1:12" ht="20.25" customHeight="1">
      <c r="A32" s="55"/>
      <c r="B32" s="50" t="s">
        <v>312</v>
      </c>
      <c r="E32" s="53"/>
      <c r="F32" s="660">
        <v>287873995</v>
      </c>
      <c r="G32" s="152"/>
      <c r="H32" s="660">
        <v>287873995</v>
      </c>
      <c r="I32" s="82"/>
    </row>
    <row r="33" spans="1:9" ht="20.25" customHeight="1">
      <c r="A33" s="55"/>
      <c r="B33" s="50" t="s">
        <v>313</v>
      </c>
      <c r="E33" s="53"/>
      <c r="F33" s="660">
        <v>152330340</v>
      </c>
      <c r="G33" s="152"/>
      <c r="H33" s="660">
        <v>152330340</v>
      </c>
      <c r="I33" s="82"/>
    </row>
    <row r="34" spans="1:9" ht="20.25" customHeight="1">
      <c r="A34" s="55"/>
      <c r="B34" s="50" t="s">
        <v>314</v>
      </c>
      <c r="E34" s="53"/>
      <c r="F34" s="660">
        <v>5256508451</v>
      </c>
      <c r="G34" s="152"/>
      <c r="H34" s="660">
        <v>5256508451</v>
      </c>
      <c r="I34" s="82"/>
    </row>
    <row r="35" spans="1:9" ht="20.25" customHeight="1">
      <c r="A35" s="55"/>
      <c r="B35" s="50" t="s">
        <v>315</v>
      </c>
      <c r="E35" s="53"/>
      <c r="F35" s="660">
        <v>145318550</v>
      </c>
      <c r="G35" s="152"/>
      <c r="H35" s="660">
        <v>145318550</v>
      </c>
      <c r="I35" s="82"/>
    </row>
    <row r="36" spans="1:9" ht="18.75" thickBot="1">
      <c r="E36" s="53"/>
      <c r="F36" s="99">
        <f>SUM(F31:F35)</f>
        <v>8419078814</v>
      </c>
      <c r="G36" s="152"/>
      <c r="H36" s="99">
        <f>SUM(H31:H35)</f>
        <v>8419078814</v>
      </c>
      <c r="I36" s="82"/>
    </row>
    <row r="37" spans="1:9" ht="18.75" thickTop="1"/>
  </sheetData>
  <mergeCells count="10">
    <mergeCell ref="F29:G29"/>
    <mergeCell ref="A3:H3"/>
    <mergeCell ref="A1:H1"/>
    <mergeCell ref="A2:H2"/>
    <mergeCell ref="A28:E28"/>
    <mergeCell ref="A18:E18"/>
    <mergeCell ref="A5:E5"/>
    <mergeCell ref="B6:E6"/>
    <mergeCell ref="B15:C15"/>
    <mergeCell ref="B25:C25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&amp;C&amp;"B Mitra,Bold"&amp;14 29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rightToLeft="1" topLeftCell="A22" workbookViewId="0">
      <selection activeCell="H10" sqref="H10"/>
    </sheetView>
  </sheetViews>
  <sheetFormatPr defaultColWidth="9" defaultRowHeight="18"/>
  <cols>
    <col min="1" max="1" width="3.140625" style="50" customWidth="1"/>
    <col min="2" max="2" width="42" style="50" customWidth="1"/>
    <col min="3" max="3" width="11" style="50" customWidth="1"/>
    <col min="4" max="4" width="12.7109375" style="660" customWidth="1"/>
    <col min="5" max="5" width="1.85546875" style="660" customWidth="1"/>
    <col min="6" max="6" width="14.140625" style="660" customWidth="1"/>
    <col min="7" max="7" width="9" style="55"/>
    <col min="8" max="8" width="18.7109375" style="55" customWidth="1"/>
    <col min="9" max="16384" width="9" style="55"/>
  </cols>
  <sheetData>
    <row r="1" spans="1:11" ht="22.5">
      <c r="A1" s="703" t="s">
        <v>298</v>
      </c>
      <c r="B1" s="703"/>
      <c r="C1" s="703"/>
      <c r="D1" s="703"/>
      <c r="E1" s="703"/>
      <c r="F1" s="703"/>
    </row>
    <row r="2" spans="1:11" ht="22.5">
      <c r="A2" s="703" t="s">
        <v>0</v>
      </c>
      <c r="B2" s="703"/>
      <c r="C2" s="703"/>
      <c r="D2" s="703"/>
      <c r="E2" s="703"/>
      <c r="F2" s="703"/>
    </row>
    <row r="3" spans="1:11" ht="22.5">
      <c r="A3" s="703" t="s">
        <v>1017</v>
      </c>
      <c r="B3" s="703"/>
      <c r="C3" s="703"/>
      <c r="D3" s="703"/>
      <c r="E3" s="703"/>
      <c r="F3" s="703"/>
      <c r="G3" s="62"/>
      <c r="H3" s="62"/>
      <c r="I3" s="62"/>
      <c r="J3" s="62"/>
      <c r="K3" s="62"/>
    </row>
    <row r="4" spans="1:11" ht="23.25" customHeight="1">
      <c r="A4" s="94"/>
      <c r="B4" s="94"/>
      <c r="C4" s="94"/>
    </row>
    <row r="5" spans="1:11" ht="21.75">
      <c r="A5" s="750" t="s">
        <v>316</v>
      </c>
      <c r="B5" s="750"/>
      <c r="C5" s="750"/>
      <c r="D5" s="750"/>
    </row>
    <row r="6" spans="1:11">
      <c r="D6" s="143" t="s">
        <v>721</v>
      </c>
      <c r="E6" s="98"/>
      <c r="F6" s="677" t="s">
        <v>25</v>
      </c>
      <c r="G6" s="259"/>
      <c r="H6" s="259"/>
    </row>
    <row r="7" spans="1:11">
      <c r="D7" s="235" t="s">
        <v>27</v>
      </c>
      <c r="F7" s="235" t="s">
        <v>27</v>
      </c>
    </row>
    <row r="8" spans="1:11" ht="20.25" customHeight="1">
      <c r="B8" s="139" t="s">
        <v>107</v>
      </c>
      <c r="D8" s="660">
        <v>1092090825</v>
      </c>
      <c r="F8" s="660">
        <v>1003314007</v>
      </c>
      <c r="H8" s="51"/>
    </row>
    <row r="9" spans="1:11" ht="20.25" customHeight="1">
      <c r="B9" s="50" t="s">
        <v>317</v>
      </c>
      <c r="D9" s="660">
        <v>0</v>
      </c>
      <c r="F9" s="660">
        <v>247714100</v>
      </c>
      <c r="H9" s="54"/>
    </row>
    <row r="10" spans="1:11" ht="20.25" customHeight="1">
      <c r="B10" s="139" t="s">
        <v>573</v>
      </c>
      <c r="D10" s="660">
        <v>58726262</v>
      </c>
      <c r="F10" s="660">
        <v>327173117</v>
      </c>
      <c r="H10" s="51"/>
    </row>
    <row r="11" spans="1:11" ht="20.25" customHeight="1">
      <c r="B11" s="139" t="s">
        <v>104</v>
      </c>
      <c r="D11" s="660">
        <v>306488372</v>
      </c>
      <c r="F11" s="660">
        <v>462519723</v>
      </c>
      <c r="H11" s="51"/>
    </row>
    <row r="12" spans="1:11" ht="20.25" customHeight="1">
      <c r="B12" s="139" t="s">
        <v>574</v>
      </c>
      <c r="D12" s="660">
        <v>2533920902</v>
      </c>
      <c r="F12" s="660">
        <v>2580274793</v>
      </c>
      <c r="H12" s="51"/>
    </row>
    <row r="13" spans="1:11" ht="20.25" customHeight="1">
      <c r="B13" s="139" t="s">
        <v>575</v>
      </c>
      <c r="D13" s="660">
        <v>1067864629</v>
      </c>
      <c r="F13" s="660">
        <v>618091210</v>
      </c>
      <c r="H13" s="51"/>
    </row>
    <row r="14" spans="1:11" ht="20.25" customHeight="1">
      <c r="B14" s="50" t="s">
        <v>318</v>
      </c>
      <c r="D14" s="660">
        <v>17102514</v>
      </c>
      <c r="F14" s="660">
        <v>382740768</v>
      </c>
      <c r="H14" s="54"/>
    </row>
    <row r="15" spans="1:11" ht="20.25" customHeight="1">
      <c r="B15" s="50" t="s">
        <v>319</v>
      </c>
      <c r="D15" s="660">
        <v>44264572</v>
      </c>
      <c r="F15" s="660">
        <v>44264572</v>
      </c>
      <c r="H15" s="51"/>
      <c r="I15" s="51"/>
    </row>
    <row r="16" spans="1:11" ht="20.25" customHeight="1">
      <c r="B16" s="50" t="s">
        <v>320</v>
      </c>
      <c r="D16" s="660">
        <v>24984997</v>
      </c>
      <c r="F16" s="660">
        <v>24984997</v>
      </c>
      <c r="H16" s="51"/>
    </row>
    <row r="17" spans="1:10" ht="20.25" customHeight="1">
      <c r="B17" s="50" t="s">
        <v>321</v>
      </c>
      <c r="D17" s="660">
        <v>31770458</v>
      </c>
      <c r="F17" s="660">
        <v>31770458</v>
      </c>
      <c r="H17" s="51"/>
    </row>
    <row r="18" spans="1:10" ht="20.25" customHeight="1">
      <c r="B18" s="139" t="s">
        <v>576</v>
      </c>
      <c r="D18" s="660">
        <v>659598925</v>
      </c>
      <c r="F18" s="660">
        <v>701935632</v>
      </c>
      <c r="H18" s="51"/>
    </row>
    <row r="19" spans="1:10" ht="20.25" customHeight="1">
      <c r="B19" s="139" t="s">
        <v>577</v>
      </c>
      <c r="D19" s="660">
        <v>1452121045</v>
      </c>
      <c r="F19" s="660">
        <v>444539648</v>
      </c>
      <c r="H19" s="51"/>
    </row>
    <row r="20" spans="1:10" ht="20.25" customHeight="1">
      <c r="B20" s="139" t="s">
        <v>103</v>
      </c>
      <c r="D20" s="660">
        <v>1748347831</v>
      </c>
      <c r="F20" s="660">
        <v>1486362183</v>
      </c>
      <c r="H20" s="54"/>
      <c r="J20" s="446"/>
    </row>
    <row r="21" spans="1:10" ht="20.25" customHeight="1">
      <c r="B21" s="139" t="s">
        <v>571</v>
      </c>
      <c r="D21" s="660">
        <v>388596807</v>
      </c>
      <c r="F21" s="660">
        <v>388596807</v>
      </c>
      <c r="H21" s="54"/>
    </row>
    <row r="22" spans="1:10" ht="20.25" customHeight="1">
      <c r="B22" s="139" t="s">
        <v>572</v>
      </c>
      <c r="D22" s="660">
        <v>728827435</v>
      </c>
      <c r="F22" s="660">
        <v>728827435</v>
      </c>
      <c r="H22" s="54"/>
    </row>
    <row r="23" spans="1:10" ht="20.25" customHeight="1">
      <c r="B23" s="50" t="s">
        <v>322</v>
      </c>
      <c r="D23" s="660">
        <v>745568975</v>
      </c>
      <c r="F23" s="660">
        <v>745568975</v>
      </c>
      <c r="H23" s="54"/>
    </row>
    <row r="24" spans="1:10" ht="20.25" customHeight="1">
      <c r="B24" s="50" t="s">
        <v>323</v>
      </c>
      <c r="D24" s="660">
        <v>716278124</v>
      </c>
      <c r="F24" s="660">
        <v>703416898</v>
      </c>
      <c r="H24" s="54"/>
    </row>
    <row r="25" spans="1:10" ht="20.25" customHeight="1">
      <c r="B25" s="50" t="s">
        <v>285</v>
      </c>
      <c r="D25" s="660">
        <v>1469283169</v>
      </c>
      <c r="F25" s="660">
        <v>906449319</v>
      </c>
      <c r="H25" s="54"/>
    </row>
    <row r="26" spans="1:10" ht="20.25" customHeight="1">
      <c r="A26" s="139"/>
      <c r="B26" s="139" t="s">
        <v>578</v>
      </c>
      <c r="C26" s="139"/>
      <c r="D26" s="660">
        <v>123634256</v>
      </c>
      <c r="F26" s="660">
        <v>490613735</v>
      </c>
      <c r="H26" s="140"/>
    </row>
    <row r="27" spans="1:10" ht="20.25" customHeight="1">
      <c r="A27" s="139"/>
      <c r="B27" s="139" t="s">
        <v>579</v>
      </c>
      <c r="C27" s="139"/>
      <c r="D27" s="660">
        <v>150319729</v>
      </c>
      <c r="F27" s="660">
        <v>300319729</v>
      </c>
      <c r="H27" s="140"/>
    </row>
    <row r="28" spans="1:10" ht="20.25" customHeight="1">
      <c r="B28" s="50" t="s">
        <v>126</v>
      </c>
      <c r="D28" s="660">
        <v>1841676987</v>
      </c>
      <c r="F28" s="660">
        <v>1876396756</v>
      </c>
      <c r="H28" s="54"/>
    </row>
    <row r="29" spans="1:10" ht="18.75" thickBot="1">
      <c r="D29" s="429">
        <f>SUM(D8:D28)</f>
        <v>15201466814</v>
      </c>
      <c r="F29" s="99">
        <f>SUM(F8:F28)</f>
        <v>14495874862</v>
      </c>
      <c r="H29" s="54"/>
    </row>
    <row r="30" spans="1:10" ht="18.75" thickTop="1">
      <c r="H30" s="51"/>
    </row>
    <row r="31" spans="1:10">
      <c r="A31" s="55"/>
      <c r="B31" s="51"/>
      <c r="C31" s="55"/>
      <c r="D31" s="670"/>
      <c r="E31" s="670"/>
      <c r="F31" s="670"/>
    </row>
    <row r="32" spans="1:10">
      <c r="A32" s="259"/>
      <c r="B32" s="259"/>
      <c r="C32" s="55"/>
      <c r="D32" s="670"/>
      <c r="E32" s="670"/>
      <c r="F32" s="670"/>
    </row>
    <row r="33" spans="1:6">
      <c r="A33" s="55"/>
      <c r="B33" s="51"/>
      <c r="C33" s="55"/>
      <c r="D33" s="670"/>
      <c r="E33" s="670"/>
      <c r="F33" s="670"/>
    </row>
    <row r="34" spans="1:6">
      <c r="A34" s="55"/>
      <c r="B34" s="54"/>
      <c r="C34" s="55"/>
      <c r="D34" s="670"/>
      <c r="E34" s="670"/>
      <c r="F34" s="670"/>
    </row>
    <row r="35" spans="1:6">
      <c r="A35" s="55"/>
      <c r="B35" s="54"/>
      <c r="C35" s="55"/>
      <c r="D35" s="670"/>
      <c r="E35" s="670"/>
      <c r="F35" s="670"/>
    </row>
  </sheetData>
  <mergeCells count="4">
    <mergeCell ref="A3:F3"/>
    <mergeCell ref="A1:F1"/>
    <mergeCell ref="A2:F2"/>
    <mergeCell ref="A5:D5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&amp;C&amp;"B Mitra,Bold"&amp;14 30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1:M55"/>
  <sheetViews>
    <sheetView rightToLeft="1" topLeftCell="A37" workbookViewId="0">
      <selection activeCell="J6" sqref="J6"/>
    </sheetView>
  </sheetViews>
  <sheetFormatPr defaultColWidth="9" defaultRowHeight="18"/>
  <cols>
    <col min="1" max="1" width="39.42578125" style="50" customWidth="1"/>
    <col min="2" max="2" width="6.7109375" style="50" customWidth="1"/>
    <col min="3" max="3" width="8.28515625" style="52" customWidth="1"/>
    <col min="4" max="4" width="1.85546875" style="50" customWidth="1"/>
    <col min="5" max="5" width="9.7109375" style="404" customWidth="1"/>
    <col min="6" max="6" width="14.85546875" style="660" customWidth="1"/>
    <col min="7" max="7" width="1.85546875" style="660" customWidth="1"/>
    <col min="8" max="8" width="14.85546875" style="660" customWidth="1"/>
    <col min="9" max="9" width="9" style="55"/>
    <col min="10" max="10" width="15.5703125" style="55" customWidth="1"/>
    <col min="11" max="16384" width="9" style="55"/>
  </cols>
  <sheetData>
    <row r="1" spans="1:13" ht="22.5">
      <c r="A1" s="703" t="s">
        <v>127</v>
      </c>
      <c r="B1" s="703"/>
      <c r="C1" s="703"/>
      <c r="D1" s="703"/>
      <c r="E1" s="703"/>
      <c r="F1" s="703"/>
      <c r="G1" s="703"/>
      <c r="H1" s="703"/>
    </row>
    <row r="2" spans="1:13" ht="22.5">
      <c r="A2" s="703" t="s">
        <v>0</v>
      </c>
      <c r="B2" s="703"/>
      <c r="C2" s="703"/>
      <c r="D2" s="703"/>
      <c r="E2" s="703"/>
      <c r="F2" s="703"/>
      <c r="G2" s="703"/>
      <c r="H2" s="703"/>
    </row>
    <row r="3" spans="1:13" ht="22.5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  <c r="K3" s="62"/>
      <c r="L3" s="62"/>
      <c r="M3" s="62"/>
    </row>
    <row r="4" spans="1:13" ht="9.75" customHeight="1"/>
    <row r="5" spans="1:13" ht="21.75">
      <c r="A5" s="750" t="s">
        <v>922</v>
      </c>
      <c r="B5" s="750"/>
      <c r="C5" s="750"/>
      <c r="D5" s="750"/>
      <c r="E5" s="750"/>
    </row>
    <row r="6" spans="1:13">
      <c r="A6" s="139"/>
      <c r="B6" s="139"/>
      <c r="C6" s="143" t="s">
        <v>149</v>
      </c>
      <c r="D6" s="139"/>
      <c r="F6" s="143" t="s">
        <v>721</v>
      </c>
      <c r="G6" s="98"/>
      <c r="H6" s="677" t="s">
        <v>25</v>
      </c>
      <c r="I6" s="111"/>
    </row>
    <row r="7" spans="1:13" ht="15" customHeight="1">
      <c r="A7" s="139"/>
      <c r="B7" s="139"/>
      <c r="C7" s="142"/>
      <c r="D7" s="139"/>
      <c r="F7" s="235" t="s">
        <v>27</v>
      </c>
      <c r="H7" s="235" t="s">
        <v>27</v>
      </c>
      <c r="I7" s="111"/>
    </row>
    <row r="8" spans="1:13" ht="15" customHeight="1">
      <c r="A8" s="139" t="s">
        <v>324</v>
      </c>
      <c r="B8" s="139"/>
      <c r="C8" s="142"/>
      <c r="D8" s="139"/>
      <c r="F8" s="660">
        <v>0</v>
      </c>
      <c r="G8" s="447"/>
      <c r="H8" s="660">
        <v>4766040230</v>
      </c>
      <c r="I8" s="111"/>
    </row>
    <row r="9" spans="1:13" ht="15" customHeight="1">
      <c r="A9" s="139" t="s">
        <v>580</v>
      </c>
      <c r="B9" s="139"/>
      <c r="C9" s="142"/>
      <c r="D9" s="139"/>
      <c r="F9" s="660">
        <v>0</v>
      </c>
      <c r="G9" s="447"/>
      <c r="H9" s="660">
        <v>458667405</v>
      </c>
      <c r="I9" s="111"/>
    </row>
    <row r="10" spans="1:13" ht="15" customHeight="1">
      <c r="A10" s="139" t="s">
        <v>325</v>
      </c>
      <c r="B10" s="139"/>
      <c r="C10" s="142"/>
      <c r="D10" s="139"/>
      <c r="F10" s="660">
        <v>0</v>
      </c>
      <c r="G10" s="447"/>
      <c r="H10" s="660">
        <v>625000000</v>
      </c>
      <c r="I10" s="111"/>
    </row>
    <row r="11" spans="1:13" ht="15" customHeight="1">
      <c r="A11" s="139" t="s">
        <v>582</v>
      </c>
      <c r="B11" s="139"/>
      <c r="C11" s="142"/>
      <c r="D11" s="139"/>
      <c r="F11" s="660">
        <v>0</v>
      </c>
      <c r="G11" s="447"/>
      <c r="H11" s="660">
        <v>717343793</v>
      </c>
      <c r="I11" s="111"/>
    </row>
    <row r="12" spans="1:13" ht="15" customHeight="1">
      <c r="A12" s="139" t="s">
        <v>104</v>
      </c>
      <c r="B12" s="139"/>
      <c r="C12" s="142"/>
      <c r="D12" s="139"/>
      <c r="F12" s="660">
        <v>0</v>
      </c>
      <c r="G12" s="447"/>
      <c r="H12" s="660">
        <v>663901206</v>
      </c>
      <c r="I12" s="111"/>
    </row>
    <row r="13" spans="1:13" ht="15" customHeight="1">
      <c r="A13" s="139" t="s">
        <v>583</v>
      </c>
      <c r="B13" s="139"/>
      <c r="C13" s="142"/>
      <c r="D13" s="139"/>
      <c r="F13" s="660">
        <v>0</v>
      </c>
      <c r="G13" s="447"/>
      <c r="H13" s="660">
        <v>236430551</v>
      </c>
      <c r="I13" s="111"/>
    </row>
    <row r="14" spans="1:13" ht="15" customHeight="1">
      <c r="A14" s="139" t="s">
        <v>326</v>
      </c>
      <c r="B14" s="139"/>
      <c r="C14" s="142"/>
      <c r="D14" s="139"/>
      <c r="F14" s="209">
        <v>2513830170</v>
      </c>
      <c r="G14" s="447"/>
      <c r="H14" s="660">
        <v>6281075260</v>
      </c>
      <c r="I14" s="111"/>
    </row>
    <row r="15" spans="1:13" ht="15" customHeight="1">
      <c r="A15" s="139" t="s">
        <v>586</v>
      </c>
      <c r="B15" s="139"/>
      <c r="C15" s="142"/>
      <c r="D15" s="139"/>
      <c r="F15" s="209">
        <v>0</v>
      </c>
      <c r="G15" s="447"/>
      <c r="H15" s="660">
        <v>5151131489</v>
      </c>
      <c r="I15" s="111"/>
    </row>
    <row r="16" spans="1:13" ht="15" customHeight="1">
      <c r="A16" s="139" t="s">
        <v>585</v>
      </c>
      <c r="B16" s="139"/>
      <c r="C16" s="142"/>
      <c r="D16" s="139"/>
      <c r="F16" s="209">
        <v>0</v>
      </c>
      <c r="G16" s="447"/>
      <c r="H16" s="660">
        <v>1906742747</v>
      </c>
      <c r="I16" s="111"/>
    </row>
    <row r="17" spans="1:10" ht="15" customHeight="1">
      <c r="A17" s="139" t="s">
        <v>327</v>
      </c>
      <c r="B17" s="139"/>
      <c r="C17" s="142"/>
      <c r="D17" s="139"/>
      <c r="F17" s="209">
        <v>0</v>
      </c>
      <c r="G17" s="447"/>
      <c r="H17" s="660">
        <v>16337664</v>
      </c>
      <c r="I17" s="111"/>
    </row>
    <row r="18" spans="1:10" ht="15" customHeight="1">
      <c r="A18" s="139" t="s">
        <v>587</v>
      </c>
      <c r="B18" s="139"/>
      <c r="C18" s="142"/>
      <c r="D18" s="139"/>
      <c r="F18" s="209">
        <v>0</v>
      </c>
      <c r="G18" s="447"/>
      <c r="H18" s="660">
        <v>250000000</v>
      </c>
      <c r="I18" s="111"/>
    </row>
    <row r="19" spans="1:10" ht="15" customHeight="1">
      <c r="A19" s="139" t="s">
        <v>108</v>
      </c>
      <c r="B19" s="139"/>
      <c r="C19" s="142"/>
      <c r="D19" s="139"/>
      <c r="F19" s="209">
        <v>0</v>
      </c>
      <c r="G19" s="447"/>
      <c r="H19" s="660">
        <v>26826171</v>
      </c>
      <c r="I19" s="111"/>
    </row>
    <row r="20" spans="1:10" ht="15" customHeight="1">
      <c r="A20" s="139" t="s">
        <v>581</v>
      </c>
      <c r="B20" s="139"/>
      <c r="C20" s="142"/>
      <c r="D20" s="139"/>
      <c r="F20" s="209">
        <v>0</v>
      </c>
      <c r="G20" s="447"/>
      <c r="H20" s="660">
        <v>451053991</v>
      </c>
      <c r="I20" s="111"/>
    </row>
    <row r="21" spans="1:10" ht="15" customHeight="1">
      <c r="A21" s="139" t="s">
        <v>328</v>
      </c>
      <c r="B21" s="139"/>
      <c r="C21" s="142"/>
      <c r="D21" s="139"/>
      <c r="F21" s="209">
        <v>0</v>
      </c>
      <c r="G21" s="447"/>
      <c r="H21" s="660">
        <v>1177553936</v>
      </c>
      <c r="I21" s="111"/>
      <c r="J21" s="82"/>
    </row>
    <row r="22" spans="1:10" ht="15" customHeight="1">
      <c r="A22" s="139" t="s">
        <v>329</v>
      </c>
      <c r="B22" s="139"/>
      <c r="C22" s="142"/>
      <c r="D22" s="139"/>
      <c r="F22" s="209">
        <v>0</v>
      </c>
      <c r="G22" s="447"/>
      <c r="H22" s="660">
        <v>4265293975</v>
      </c>
      <c r="I22" s="111"/>
    </row>
    <row r="23" spans="1:10" ht="15" customHeight="1">
      <c r="A23" s="139" t="s">
        <v>330</v>
      </c>
      <c r="B23" s="139"/>
      <c r="C23" s="142"/>
      <c r="D23" s="139"/>
      <c r="F23" s="209">
        <v>11029253987</v>
      </c>
      <c r="G23" s="447"/>
      <c r="H23" s="660">
        <v>2615485638</v>
      </c>
      <c r="I23" s="111"/>
      <c r="J23" s="82"/>
    </row>
    <row r="24" spans="1:10" ht="15" customHeight="1">
      <c r="A24" s="139" t="s">
        <v>331</v>
      </c>
      <c r="B24" s="139"/>
      <c r="C24" s="142"/>
      <c r="D24" s="139"/>
      <c r="F24" s="209">
        <v>0</v>
      </c>
      <c r="G24" s="447"/>
      <c r="H24" s="660">
        <v>1763834444</v>
      </c>
      <c r="I24" s="111"/>
      <c r="J24" s="82"/>
    </row>
    <row r="25" spans="1:10" ht="15" customHeight="1">
      <c r="A25" s="139" t="s">
        <v>577</v>
      </c>
      <c r="B25" s="139"/>
      <c r="C25" s="142"/>
      <c r="D25" s="139"/>
      <c r="F25" s="209">
        <v>0</v>
      </c>
      <c r="G25" s="447"/>
      <c r="H25" s="660">
        <v>5751223288</v>
      </c>
      <c r="I25" s="111"/>
      <c r="J25" s="82"/>
    </row>
    <row r="26" spans="1:10" ht="15" customHeight="1">
      <c r="A26" s="139" t="s">
        <v>588</v>
      </c>
      <c r="B26" s="139"/>
      <c r="C26" s="142"/>
      <c r="D26" s="139"/>
      <c r="F26" s="209">
        <v>0</v>
      </c>
      <c r="G26" s="447"/>
      <c r="H26" s="660">
        <v>790001065</v>
      </c>
      <c r="I26" s="111"/>
      <c r="J26" s="82"/>
    </row>
    <row r="27" spans="1:10" ht="15" customHeight="1">
      <c r="A27" s="139" t="s">
        <v>589</v>
      </c>
      <c r="B27" s="139"/>
      <c r="C27" s="142"/>
      <c r="D27" s="139"/>
      <c r="F27" s="209">
        <v>0</v>
      </c>
      <c r="G27" s="447"/>
      <c r="H27" s="660">
        <v>5728690976</v>
      </c>
      <c r="I27" s="111"/>
      <c r="J27" s="82"/>
    </row>
    <row r="28" spans="1:10" ht="15" customHeight="1">
      <c r="A28" s="139" t="s">
        <v>576</v>
      </c>
      <c r="B28" s="139"/>
      <c r="C28" s="142"/>
      <c r="D28" s="139"/>
      <c r="F28" s="209">
        <v>0</v>
      </c>
      <c r="G28" s="447"/>
      <c r="H28" s="660">
        <v>211834907</v>
      </c>
      <c r="I28" s="111"/>
      <c r="J28" s="82"/>
    </row>
    <row r="29" spans="1:10" ht="15" customHeight="1">
      <c r="A29" s="341" t="s">
        <v>792</v>
      </c>
      <c r="B29" s="341"/>
      <c r="C29" s="347"/>
      <c r="D29" s="341"/>
      <c r="F29" s="209">
        <v>37822331997</v>
      </c>
      <c r="G29" s="447"/>
      <c r="H29" s="660">
        <v>0</v>
      </c>
      <c r="I29" s="111"/>
      <c r="J29" s="82"/>
    </row>
    <row r="30" spans="1:10" ht="15" customHeight="1">
      <c r="A30" s="599" t="s">
        <v>992</v>
      </c>
      <c r="B30" s="341"/>
      <c r="C30" s="347"/>
      <c r="D30" s="341"/>
      <c r="F30" s="209">
        <v>31420857910</v>
      </c>
      <c r="G30" s="447"/>
      <c r="H30" s="660">
        <v>0</v>
      </c>
      <c r="I30" s="111"/>
      <c r="J30" s="82"/>
    </row>
    <row r="31" spans="1:10" ht="15" customHeight="1">
      <c r="A31" s="341" t="s">
        <v>793</v>
      </c>
      <c r="B31" s="341"/>
      <c r="C31" s="347"/>
      <c r="D31" s="341"/>
      <c r="F31" s="660">
        <v>25353035883</v>
      </c>
      <c r="G31" s="447"/>
      <c r="H31" s="660">
        <v>0</v>
      </c>
      <c r="I31" s="111"/>
      <c r="J31" s="82"/>
    </row>
    <row r="32" spans="1:10" ht="15" customHeight="1">
      <c r="A32" s="139" t="s">
        <v>113</v>
      </c>
      <c r="B32" s="139"/>
      <c r="C32" s="142"/>
      <c r="D32" s="139"/>
      <c r="F32" s="660">
        <v>2374087496</v>
      </c>
      <c r="G32" s="447"/>
      <c r="H32" s="660">
        <v>8689733583</v>
      </c>
      <c r="I32" s="111"/>
      <c r="J32" s="82"/>
    </row>
    <row r="33" spans="1:10" ht="18.75" thickBot="1">
      <c r="A33" s="139" t="s">
        <v>117</v>
      </c>
      <c r="B33" s="139"/>
      <c r="C33" s="142"/>
      <c r="D33" s="139"/>
      <c r="F33" s="576">
        <f>SUM(F8:F32)</f>
        <v>110513397443</v>
      </c>
      <c r="G33" s="447"/>
      <c r="H33" s="99">
        <f>SUM(H8:H32)</f>
        <v>52544202319</v>
      </c>
      <c r="I33" s="111"/>
      <c r="J33" s="82"/>
    </row>
    <row r="34" spans="1:10" ht="15" customHeight="1" thickTop="1">
      <c r="A34" s="139"/>
      <c r="B34" s="139"/>
      <c r="C34" s="142"/>
      <c r="D34" s="139"/>
      <c r="I34" s="111"/>
    </row>
    <row r="35" spans="1:10" ht="21.75">
      <c r="A35" s="797" t="s">
        <v>989</v>
      </c>
      <c r="B35" s="797"/>
      <c r="C35" s="797"/>
      <c r="D35" s="797"/>
      <c r="I35" s="111"/>
    </row>
    <row r="36" spans="1:10">
      <c r="A36" s="139"/>
      <c r="B36" s="139"/>
      <c r="C36" s="142"/>
      <c r="D36" s="139"/>
      <c r="F36" s="143" t="s">
        <v>721</v>
      </c>
      <c r="G36" s="98"/>
      <c r="H36" s="677" t="s">
        <v>25</v>
      </c>
      <c r="I36" s="111"/>
    </row>
    <row r="37" spans="1:10" ht="15" customHeight="1">
      <c r="A37" s="139"/>
      <c r="B37" s="139"/>
      <c r="C37" s="142"/>
      <c r="D37" s="139"/>
      <c r="F37" s="235" t="s">
        <v>27</v>
      </c>
      <c r="H37" s="235" t="s">
        <v>27</v>
      </c>
      <c r="I37" s="111"/>
    </row>
    <row r="38" spans="1:10" ht="15" customHeight="1">
      <c r="A38" s="156" t="s">
        <v>594</v>
      </c>
      <c r="B38" s="139"/>
      <c r="C38" s="142"/>
      <c r="D38" s="139"/>
      <c r="F38" s="660">
        <v>477127281</v>
      </c>
      <c r="G38" s="447"/>
      <c r="H38" s="660">
        <v>469855464</v>
      </c>
      <c r="I38" s="111"/>
      <c r="J38" s="54"/>
    </row>
    <row r="39" spans="1:10" ht="15" customHeight="1">
      <c r="A39" s="156" t="s">
        <v>595</v>
      </c>
      <c r="F39" s="123" t="s">
        <v>966</v>
      </c>
      <c r="G39" s="447"/>
      <c r="H39" s="123">
        <v>107500000</v>
      </c>
    </row>
    <row r="40" spans="1:10" ht="15" customHeight="1">
      <c r="A40" s="156" t="s">
        <v>596</v>
      </c>
      <c r="F40" s="660">
        <v>0</v>
      </c>
      <c r="G40" s="447"/>
      <c r="H40" s="660">
        <v>206198750</v>
      </c>
    </row>
    <row r="41" spans="1:10" ht="15" customHeight="1">
      <c r="A41" s="156" t="s">
        <v>923</v>
      </c>
      <c r="F41" s="660">
        <v>1096895572</v>
      </c>
      <c r="G41" s="447"/>
      <c r="H41" s="660">
        <v>1096895572</v>
      </c>
    </row>
    <row r="42" spans="1:10" ht="15" customHeight="1">
      <c r="A42" s="155" t="s">
        <v>598</v>
      </c>
      <c r="F42" s="660">
        <v>28832686</v>
      </c>
      <c r="G42" s="447"/>
      <c r="H42" s="660">
        <v>313682730</v>
      </c>
    </row>
    <row r="43" spans="1:10" ht="15" customHeight="1">
      <c r="A43" s="155" t="s">
        <v>924</v>
      </c>
      <c r="B43" s="341"/>
      <c r="C43" s="347"/>
      <c r="D43" s="341"/>
      <c r="F43" s="660">
        <v>642476632</v>
      </c>
      <c r="G43" s="447"/>
      <c r="H43" s="660">
        <v>0</v>
      </c>
    </row>
    <row r="44" spans="1:10" ht="15" customHeight="1">
      <c r="A44" s="155" t="s">
        <v>925</v>
      </c>
      <c r="B44" s="341"/>
      <c r="C44" s="347"/>
      <c r="D44" s="341"/>
      <c r="F44" s="660">
        <v>351032034</v>
      </c>
      <c r="G44" s="447"/>
      <c r="H44" s="660">
        <v>0</v>
      </c>
    </row>
    <row r="45" spans="1:10" ht="15" customHeight="1">
      <c r="A45" s="156" t="s">
        <v>926</v>
      </c>
      <c r="B45" s="139"/>
      <c r="C45" s="142"/>
      <c r="D45" s="139"/>
      <c r="F45" s="660">
        <v>492614137</v>
      </c>
      <c r="G45" s="447"/>
      <c r="H45" s="660">
        <v>107088034</v>
      </c>
    </row>
    <row r="46" spans="1:10" ht="18.75" thickBot="1">
      <c r="A46" s="156"/>
      <c r="B46" s="139"/>
      <c r="C46" s="142"/>
      <c r="D46" s="139"/>
      <c r="F46" s="576">
        <f>SUM(F38:F45)</f>
        <v>3088978342</v>
      </c>
      <c r="G46" s="447"/>
      <c r="H46" s="99">
        <f>SUM(H38:H45)</f>
        <v>2301220550</v>
      </c>
    </row>
    <row r="47" spans="1:10" ht="11.25" customHeight="1" thickTop="1">
      <c r="A47" s="155"/>
      <c r="B47" s="139"/>
      <c r="C47" s="142"/>
      <c r="D47" s="139"/>
    </row>
    <row r="48" spans="1:10" ht="22.5">
      <c r="A48" s="141" t="s">
        <v>332</v>
      </c>
      <c r="B48" s="139"/>
      <c r="C48" s="142"/>
      <c r="D48" s="139"/>
    </row>
    <row r="49" spans="1:8">
      <c r="A49" s="139"/>
      <c r="B49" s="139"/>
      <c r="C49" s="142"/>
      <c r="D49" s="139"/>
      <c r="F49" s="143" t="s">
        <v>721</v>
      </c>
      <c r="G49" s="98"/>
      <c r="H49" s="677" t="s">
        <v>25</v>
      </c>
    </row>
    <row r="50" spans="1:8">
      <c r="A50" s="139"/>
      <c r="B50" s="139"/>
      <c r="C50" s="142"/>
      <c r="D50" s="139"/>
      <c r="F50" s="235" t="s">
        <v>27</v>
      </c>
      <c r="H50" s="235" t="s">
        <v>27</v>
      </c>
    </row>
    <row r="51" spans="1:8">
      <c r="A51" s="139" t="s">
        <v>333</v>
      </c>
      <c r="B51" s="139"/>
      <c r="C51" s="142"/>
      <c r="D51" s="139"/>
      <c r="F51" s="660">
        <v>7441160600</v>
      </c>
      <c r="G51" s="447"/>
      <c r="H51" s="519">
        <v>7444865776</v>
      </c>
    </row>
    <row r="52" spans="1:8">
      <c r="A52" s="139" t="s">
        <v>178</v>
      </c>
      <c r="B52" s="139"/>
      <c r="C52" s="142"/>
      <c r="D52" s="139"/>
      <c r="F52" s="660">
        <v>867982820</v>
      </c>
      <c r="G52" s="447"/>
      <c r="H52" s="519">
        <v>1845112300</v>
      </c>
    </row>
    <row r="53" spans="1:8">
      <c r="A53" s="139" t="s">
        <v>334</v>
      </c>
      <c r="B53" s="139"/>
      <c r="C53" s="142"/>
      <c r="D53" s="139"/>
      <c r="F53" s="660">
        <v>0</v>
      </c>
      <c r="G53" s="447"/>
      <c r="H53" s="519">
        <v>1291650458</v>
      </c>
    </row>
    <row r="54" spans="1:8" ht="18.75" thickBot="1">
      <c r="A54" s="139" t="s">
        <v>148</v>
      </c>
      <c r="B54" s="139"/>
      <c r="C54" s="142"/>
      <c r="D54" s="139"/>
      <c r="F54" s="99">
        <f>SUM(F51:F53)</f>
        <v>8309143420</v>
      </c>
      <c r="G54" s="447"/>
      <c r="H54" s="520">
        <f>SUM(H51:H53)</f>
        <v>10581628534</v>
      </c>
    </row>
    <row r="55" spans="1:8" ht="18.75" thickTop="1"/>
  </sheetData>
  <mergeCells count="5">
    <mergeCell ref="A3:H3"/>
    <mergeCell ref="A1:H1"/>
    <mergeCell ref="A2:H2"/>
    <mergeCell ref="A5:E5"/>
    <mergeCell ref="A35:D35"/>
  </mergeCells>
  <pageMargins left="0" right="0" top="0" bottom="0" header="0.31496062992125984" footer="0.31496062992125984"/>
  <pageSetup paperSize="9" scale="90" orientation="portrait" horizontalDpi="300" verticalDpi="300" r:id="rId1"/>
  <headerFooter>
    <oddFooter>&amp;C&amp;"B Mitra,Bold"&amp;14 31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0"/>
  <sheetViews>
    <sheetView rightToLeft="1" topLeftCell="A4" workbookViewId="0">
      <selection activeCell="I11" sqref="I11"/>
    </sheetView>
  </sheetViews>
  <sheetFormatPr defaultColWidth="9" defaultRowHeight="18"/>
  <cols>
    <col min="1" max="1" width="35.7109375" style="77" customWidth="1"/>
    <col min="2" max="3" width="9.140625" style="52"/>
    <col min="4" max="4" width="3" style="52" customWidth="1"/>
    <col min="5" max="5" width="12.5703125" style="670" bestFit="1" customWidth="1"/>
    <col min="6" max="6" width="4" style="670" customWidth="1"/>
    <col min="7" max="7" width="12.28515625" style="670" customWidth="1"/>
    <col min="8" max="8" width="9" style="55"/>
    <col min="9" max="9" width="19.5703125" style="55" customWidth="1"/>
    <col min="10" max="16384" width="9" style="55"/>
  </cols>
  <sheetData>
    <row r="1" spans="1:12" ht="23.25" customHeight="1">
      <c r="A1" s="703" t="s">
        <v>927</v>
      </c>
      <c r="B1" s="703"/>
      <c r="C1" s="703"/>
      <c r="D1" s="703"/>
      <c r="E1" s="703"/>
      <c r="F1" s="703"/>
      <c r="G1" s="703"/>
      <c r="H1" s="703"/>
    </row>
    <row r="2" spans="1:12" ht="23.25" customHeight="1">
      <c r="A2" s="703" t="s">
        <v>928</v>
      </c>
      <c r="B2" s="703"/>
      <c r="C2" s="703"/>
      <c r="D2" s="703"/>
      <c r="E2" s="703"/>
      <c r="F2" s="703"/>
      <c r="G2" s="703"/>
      <c r="H2" s="703"/>
    </row>
    <row r="3" spans="1:12" ht="23.25" customHeight="1">
      <c r="A3" s="703" t="s">
        <v>1025</v>
      </c>
      <c r="B3" s="703"/>
      <c r="C3" s="703"/>
      <c r="D3" s="703"/>
      <c r="E3" s="703"/>
      <c r="F3" s="703"/>
      <c r="G3" s="703"/>
      <c r="H3" s="703"/>
      <c r="I3" s="62"/>
      <c r="J3" s="62"/>
      <c r="K3" s="62"/>
      <c r="L3" s="62"/>
    </row>
    <row r="4" spans="1:12" ht="21.75" customHeight="1">
      <c r="A4" s="95"/>
      <c r="B4" s="95"/>
      <c r="C4" s="95"/>
      <c r="D4" s="95"/>
      <c r="E4" s="96"/>
      <c r="F4" s="96"/>
      <c r="G4" s="96"/>
    </row>
    <row r="5" spans="1:12" ht="18.75" customHeight="1">
      <c r="A5" s="157" t="s">
        <v>335</v>
      </c>
    </row>
    <row r="6" spans="1:12" ht="22.5">
      <c r="A6" s="748" t="s">
        <v>524</v>
      </c>
      <c r="B6" s="748"/>
      <c r="C6" s="748"/>
    </row>
    <row r="7" spans="1:12">
      <c r="A7" s="662"/>
      <c r="B7" s="670"/>
      <c r="C7" s="670" t="s">
        <v>149</v>
      </c>
      <c r="D7" s="670"/>
      <c r="E7" s="143" t="s">
        <v>721</v>
      </c>
      <c r="F7" s="98"/>
      <c r="G7" s="677" t="s">
        <v>25</v>
      </c>
    </row>
    <row r="8" spans="1:12">
      <c r="A8" s="662"/>
      <c r="B8" s="670"/>
      <c r="C8" s="670"/>
      <c r="D8" s="670"/>
      <c r="E8" s="235" t="s">
        <v>27</v>
      </c>
      <c r="G8" s="235" t="s">
        <v>27</v>
      </c>
    </row>
    <row r="9" spans="1:12" ht="24.75" customHeight="1">
      <c r="A9" s="662" t="s">
        <v>336</v>
      </c>
      <c r="B9" s="670"/>
      <c r="C9" s="102" t="s">
        <v>500</v>
      </c>
      <c r="D9" s="670"/>
      <c r="E9" s="660">
        <f>E33</f>
        <v>149928292864</v>
      </c>
      <c r="F9" s="660"/>
      <c r="G9" s="660">
        <f>G33</f>
        <v>136829044699</v>
      </c>
      <c r="I9" s="54"/>
    </row>
    <row r="10" spans="1:12" ht="24.75" customHeight="1">
      <c r="A10" s="662" t="s">
        <v>752</v>
      </c>
      <c r="B10" s="670"/>
      <c r="C10" s="102"/>
      <c r="D10" s="670"/>
      <c r="E10" s="660">
        <v>7926952000</v>
      </c>
      <c r="F10" s="660"/>
      <c r="G10" s="660">
        <v>0</v>
      </c>
      <c r="I10" s="252"/>
    </row>
    <row r="11" spans="1:12" ht="24.75" customHeight="1" thickBot="1">
      <c r="A11" s="662"/>
      <c r="B11" s="670"/>
      <c r="C11" s="102"/>
      <c r="D11" s="670"/>
      <c r="E11" s="99">
        <f>SUM(E9:E10)</f>
        <v>157855244864</v>
      </c>
      <c r="F11" s="660"/>
      <c r="G11" s="99">
        <f>SUM(G9:G9)</f>
        <v>136829044699</v>
      </c>
      <c r="I11" s="54"/>
    </row>
    <row r="12" spans="1:12" ht="18.75" thickTop="1">
      <c r="A12" s="662"/>
      <c r="B12" s="670"/>
      <c r="C12" s="670"/>
      <c r="D12" s="670"/>
    </row>
    <row r="13" spans="1:12" ht="21" customHeight="1">
      <c r="A13" s="733"/>
      <c r="B13" s="733"/>
      <c r="C13" s="733"/>
      <c r="D13" s="733"/>
      <c r="E13" s="733"/>
      <c r="I13" s="51"/>
    </row>
    <row r="14" spans="1:12">
      <c r="A14" s="662" t="s">
        <v>728</v>
      </c>
      <c r="B14" s="670"/>
      <c r="C14" s="102"/>
      <c r="D14" s="670"/>
      <c r="E14" s="143" t="s">
        <v>721</v>
      </c>
      <c r="F14" s="98"/>
      <c r="G14" s="677" t="s">
        <v>25</v>
      </c>
      <c r="I14" s="51"/>
    </row>
    <row r="15" spans="1:12">
      <c r="A15" s="662"/>
      <c r="B15" s="670"/>
      <c r="C15" s="102"/>
      <c r="D15" s="670"/>
      <c r="E15" s="235" t="s">
        <v>27</v>
      </c>
      <c r="G15" s="235" t="s">
        <v>27</v>
      </c>
      <c r="I15" s="51"/>
    </row>
    <row r="16" spans="1:12" ht="20.25" customHeight="1">
      <c r="A16" s="662" t="s">
        <v>337</v>
      </c>
      <c r="B16" s="670"/>
      <c r="C16" s="102"/>
      <c r="D16" s="670"/>
      <c r="E16" s="660">
        <v>6714320833</v>
      </c>
      <c r="F16" s="660"/>
      <c r="G16" s="660">
        <v>6714320833</v>
      </c>
      <c r="I16" s="54"/>
    </row>
    <row r="17" spans="1:9" ht="20.25" customHeight="1">
      <c r="A17" s="662" t="s">
        <v>338</v>
      </c>
      <c r="B17" s="670"/>
      <c r="C17" s="102"/>
      <c r="D17" s="670"/>
      <c r="E17" s="660">
        <v>3191905329</v>
      </c>
      <c r="F17" s="660"/>
      <c r="G17" s="660">
        <v>3191905329</v>
      </c>
      <c r="I17" s="54"/>
    </row>
    <row r="18" spans="1:9" ht="20.25" customHeight="1">
      <c r="A18" s="662" t="s">
        <v>339</v>
      </c>
      <c r="B18" s="670"/>
      <c r="C18" s="102"/>
      <c r="D18" s="670"/>
      <c r="E18" s="660">
        <v>0</v>
      </c>
      <c r="F18" s="660"/>
      <c r="G18" s="660">
        <v>135458819</v>
      </c>
      <c r="I18" s="54"/>
    </row>
    <row r="19" spans="1:9" ht="20.25" customHeight="1">
      <c r="A19" s="662" t="s">
        <v>340</v>
      </c>
      <c r="B19" s="670"/>
      <c r="C19" s="102"/>
      <c r="D19" s="670"/>
      <c r="E19" s="660">
        <v>599581485</v>
      </c>
      <c r="F19" s="660"/>
      <c r="G19" s="660">
        <v>1582267761</v>
      </c>
      <c r="I19" s="54"/>
    </row>
    <row r="20" spans="1:9" ht="20.25" customHeight="1">
      <c r="A20" s="662" t="s">
        <v>135</v>
      </c>
      <c r="B20" s="670"/>
      <c r="C20" s="102"/>
      <c r="D20" s="670"/>
      <c r="E20" s="660">
        <v>79023181158</v>
      </c>
      <c r="F20" s="660"/>
      <c r="G20" s="660">
        <v>79215074982</v>
      </c>
      <c r="I20" s="51"/>
    </row>
    <row r="21" spans="1:9" ht="20.25" customHeight="1">
      <c r="A21" s="662" t="s">
        <v>136</v>
      </c>
      <c r="B21" s="670"/>
      <c r="C21" s="102"/>
      <c r="D21" s="670"/>
      <c r="E21" s="660">
        <v>2010700631</v>
      </c>
      <c r="F21" s="660"/>
      <c r="G21" s="660">
        <v>2010700631</v>
      </c>
      <c r="I21" s="54"/>
    </row>
    <row r="22" spans="1:9" ht="20.25" customHeight="1">
      <c r="A22" s="662" t="s">
        <v>341</v>
      </c>
      <c r="B22" s="670"/>
      <c r="C22" s="102"/>
      <c r="D22" s="670"/>
      <c r="E22" s="660">
        <v>8100949390</v>
      </c>
      <c r="F22" s="660"/>
      <c r="G22" s="660">
        <v>8100949390</v>
      </c>
      <c r="I22" s="54"/>
    </row>
    <row r="23" spans="1:9" ht="20.25" customHeight="1">
      <c r="A23" s="662" t="s">
        <v>342</v>
      </c>
      <c r="B23" s="670"/>
      <c r="C23" s="102"/>
      <c r="D23" s="670"/>
      <c r="E23" s="660">
        <v>10015237140</v>
      </c>
      <c r="F23" s="660"/>
      <c r="G23" s="660">
        <v>10015237140</v>
      </c>
      <c r="I23" s="54"/>
    </row>
    <row r="24" spans="1:9" ht="20.25" customHeight="1">
      <c r="A24" s="662" t="s">
        <v>343</v>
      </c>
      <c r="B24" s="670"/>
      <c r="C24" s="102"/>
      <c r="D24" s="670"/>
      <c r="E24" s="660">
        <v>303990489</v>
      </c>
      <c r="F24" s="660"/>
      <c r="G24" s="660">
        <v>514803086</v>
      </c>
      <c r="I24" s="54"/>
    </row>
    <row r="25" spans="1:9" ht="20.25" customHeight="1">
      <c r="A25" s="662" t="s">
        <v>125</v>
      </c>
      <c r="B25" s="670"/>
      <c r="C25" s="102"/>
      <c r="D25" s="670"/>
      <c r="E25" s="660">
        <v>1685000791</v>
      </c>
      <c r="F25" s="660"/>
      <c r="G25" s="660">
        <v>886246681</v>
      </c>
      <c r="I25" s="54"/>
    </row>
    <row r="26" spans="1:9" ht="20.25" customHeight="1">
      <c r="A26" s="662" t="s">
        <v>344</v>
      </c>
      <c r="B26" s="670"/>
      <c r="C26" s="102"/>
      <c r="D26" s="670"/>
      <c r="E26" s="660">
        <v>17366429804</v>
      </c>
      <c r="F26" s="660"/>
      <c r="G26" s="660">
        <v>10697795382</v>
      </c>
      <c r="I26" s="54"/>
    </row>
    <row r="27" spans="1:9" ht="20.25" customHeight="1">
      <c r="A27" s="662" t="s">
        <v>292</v>
      </c>
      <c r="B27" s="670"/>
      <c r="C27" s="102"/>
      <c r="D27" s="670"/>
      <c r="E27" s="670">
        <v>220724800</v>
      </c>
      <c r="F27" s="660"/>
      <c r="G27" s="660">
        <v>450936015</v>
      </c>
      <c r="I27" s="54"/>
    </row>
    <row r="28" spans="1:9" ht="20.25" customHeight="1">
      <c r="A28" s="662" t="s">
        <v>345</v>
      </c>
      <c r="B28" s="670"/>
      <c r="C28" s="102"/>
      <c r="D28" s="670"/>
      <c r="E28" s="660">
        <v>2500000000</v>
      </c>
      <c r="F28" s="660"/>
      <c r="G28" s="660">
        <v>2500000000</v>
      </c>
      <c r="I28" s="54"/>
    </row>
    <row r="29" spans="1:9" ht="20.25" customHeight="1">
      <c r="A29" s="662" t="s">
        <v>930</v>
      </c>
      <c r="B29" s="670"/>
      <c r="C29" s="102"/>
      <c r="D29" s="670"/>
      <c r="E29" s="660">
        <v>7434009566</v>
      </c>
      <c r="F29" s="660"/>
      <c r="G29" s="660">
        <v>5934503701</v>
      </c>
      <c r="I29" s="140"/>
    </row>
    <row r="30" spans="1:9" ht="20.25" customHeight="1">
      <c r="A30" s="662" t="s">
        <v>599</v>
      </c>
      <c r="B30" s="670"/>
      <c r="C30" s="102"/>
      <c r="D30" s="670"/>
      <c r="E30" s="660">
        <v>2744893328</v>
      </c>
      <c r="F30" s="660"/>
      <c r="G30" s="660">
        <v>3878844949</v>
      </c>
      <c r="I30" s="140"/>
    </row>
    <row r="31" spans="1:9" ht="20.25" customHeight="1">
      <c r="A31" s="662" t="s">
        <v>929</v>
      </c>
      <c r="B31" s="670"/>
      <c r="C31" s="102"/>
      <c r="D31" s="670"/>
      <c r="E31" s="660">
        <v>5303589787</v>
      </c>
      <c r="F31" s="660"/>
      <c r="G31" s="660">
        <v>1000000000</v>
      </c>
      <c r="I31" s="140"/>
    </row>
    <row r="32" spans="1:9" ht="20.25" customHeight="1">
      <c r="A32" s="662" t="s">
        <v>751</v>
      </c>
      <c r="B32" s="670"/>
      <c r="C32" s="102"/>
      <c r="D32" s="670"/>
      <c r="E32" s="660">
        <v>2713778333</v>
      </c>
      <c r="F32" s="660"/>
      <c r="G32" s="660">
        <v>0</v>
      </c>
      <c r="I32" s="252"/>
    </row>
    <row r="33" spans="1:9" ht="24" customHeight="1" thickBot="1">
      <c r="A33" s="663" t="s">
        <v>148</v>
      </c>
      <c r="B33" s="670"/>
      <c r="C33" s="102"/>
      <c r="D33" s="670"/>
      <c r="E33" s="99">
        <f>SUM(E16:E32)</f>
        <v>149928292864</v>
      </c>
      <c r="F33" s="123"/>
      <c r="G33" s="99">
        <f>SUM(G16:G32)</f>
        <v>136829044699</v>
      </c>
      <c r="I33" s="54"/>
    </row>
    <row r="34" spans="1:9" ht="18.75" thickTop="1"/>
    <row r="35" spans="1:9" ht="22.5">
      <c r="A35" s="748"/>
      <c r="B35" s="748"/>
      <c r="C35" s="748"/>
      <c r="I35" s="51"/>
    </row>
    <row r="36" spans="1:9">
      <c r="E36" s="98"/>
      <c r="F36" s="98"/>
      <c r="G36" s="98"/>
      <c r="I36" s="51"/>
    </row>
    <row r="37" spans="1:9">
      <c r="C37" s="102"/>
      <c r="E37" s="98"/>
      <c r="F37" s="98"/>
      <c r="G37" s="98"/>
      <c r="I37" s="51"/>
    </row>
    <row r="38" spans="1:9">
      <c r="C38" s="102"/>
      <c r="E38" s="123"/>
      <c r="F38" s="123"/>
      <c r="G38" s="123"/>
      <c r="I38" s="54"/>
    </row>
    <row r="39" spans="1:9">
      <c r="C39" s="102"/>
      <c r="E39" s="123"/>
      <c r="F39" s="123"/>
      <c r="G39" s="123"/>
      <c r="I39" s="51"/>
    </row>
    <row r="40" spans="1:9">
      <c r="C40" s="102"/>
      <c r="E40" s="123"/>
      <c r="F40" s="123"/>
      <c r="G40" s="123"/>
      <c r="I40" s="54"/>
    </row>
  </sheetData>
  <mergeCells count="6">
    <mergeCell ref="A35:C35"/>
    <mergeCell ref="A6:C6"/>
    <mergeCell ref="A13:E13"/>
    <mergeCell ref="A1:H1"/>
    <mergeCell ref="A2:H2"/>
    <mergeCell ref="A3:H3"/>
  </mergeCells>
  <pageMargins left="0.11811023622047245" right="0.11811023622047245" top="0.39370078740157483" bottom="0" header="0.11811023622047245" footer="0.31496062992125984"/>
  <pageSetup paperSize="9" orientation="portrait" horizontalDpi="300" verticalDpi="300" r:id="rId1"/>
  <headerFooter>
    <oddFooter>&amp;C&amp;"B Mitra,Bold"&amp;14 32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8"/>
  <sheetViews>
    <sheetView rightToLeft="1" workbookViewId="0">
      <selection activeCell="G9" sqref="G9"/>
    </sheetView>
  </sheetViews>
  <sheetFormatPr defaultRowHeight="18"/>
  <cols>
    <col min="1" max="1" width="6.140625" customWidth="1"/>
    <col min="2" max="2" width="8.85546875" style="18" customWidth="1"/>
    <col min="3" max="3" width="12.85546875" style="34" customWidth="1"/>
    <col min="4" max="4" width="15.140625" style="34" customWidth="1"/>
    <col min="5" max="6" width="11.5703125" style="34" customWidth="1"/>
    <col min="7" max="7" width="9.7109375" style="34" customWidth="1"/>
    <col min="8" max="8" width="10.28515625" style="34" customWidth="1"/>
    <col min="9" max="9" width="12.7109375" style="34" bestFit="1" customWidth="1"/>
    <col min="10" max="10" width="14.140625" style="304" customWidth="1"/>
    <col min="11" max="11" width="27.140625" style="34" customWidth="1"/>
    <col min="12" max="12" width="15.5703125" customWidth="1"/>
    <col min="13" max="13" width="15.7109375" customWidth="1"/>
    <col min="14" max="14" width="15" customWidth="1"/>
    <col min="15" max="15" width="13.5703125" customWidth="1"/>
    <col min="16" max="16" width="16.5703125" customWidth="1"/>
  </cols>
  <sheetData>
    <row r="1" spans="1:16" ht="27.75" customHeight="1">
      <c r="A1" s="702" t="s">
        <v>298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459"/>
    </row>
    <row r="2" spans="1:16" ht="27.75" customHeight="1">
      <c r="A2" s="702" t="s">
        <v>0</v>
      </c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459"/>
    </row>
    <row r="3" spans="1:16" ht="27.75" customHeight="1">
      <c r="A3" s="703" t="s">
        <v>1017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62"/>
      <c r="M3" s="62"/>
    </row>
    <row r="4" spans="1:16" ht="18" customHeight="1"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62"/>
    </row>
    <row r="5" spans="1:16" ht="22.5">
      <c r="A5" s="300">
        <v>-17</v>
      </c>
      <c r="B5" s="266" t="s">
        <v>726</v>
      </c>
      <c r="C5" s="40"/>
      <c r="D5" s="40"/>
      <c r="E5" s="35"/>
    </row>
    <row r="6" spans="1:16" ht="22.5">
      <c r="B6" s="801" t="s">
        <v>346</v>
      </c>
      <c r="C6" s="801"/>
      <c r="D6" s="801"/>
      <c r="E6" s="801"/>
      <c r="F6" s="801"/>
      <c r="G6" s="801"/>
      <c r="H6" s="801"/>
      <c r="J6" s="305"/>
    </row>
    <row r="7" spans="1:16">
      <c r="J7" s="306"/>
    </row>
    <row r="8" spans="1:16" ht="27.75" customHeight="1">
      <c r="B8" s="41" t="s">
        <v>347</v>
      </c>
      <c r="C8" s="802" t="s">
        <v>991</v>
      </c>
      <c r="D8" s="802" t="s">
        <v>1026</v>
      </c>
      <c r="E8" s="805" t="s">
        <v>1027</v>
      </c>
      <c r="F8" s="806"/>
      <c r="G8" s="806"/>
      <c r="H8" s="806"/>
      <c r="I8" s="307" t="s">
        <v>721</v>
      </c>
      <c r="J8" s="307" t="s">
        <v>25</v>
      </c>
      <c r="K8" s="43" t="s">
        <v>348</v>
      </c>
    </row>
    <row r="9" spans="1:16" ht="27.75" customHeight="1">
      <c r="B9" s="41"/>
      <c r="C9" s="803"/>
      <c r="D9" s="803"/>
      <c r="E9" s="41" t="s">
        <v>349</v>
      </c>
      <c r="F9" s="41" t="s">
        <v>350</v>
      </c>
      <c r="G9" s="41" t="s">
        <v>351</v>
      </c>
      <c r="H9" s="41" t="s">
        <v>352</v>
      </c>
      <c r="I9" s="41" t="s">
        <v>353</v>
      </c>
      <c r="J9" s="308" t="s">
        <v>353</v>
      </c>
      <c r="K9" s="319" t="s">
        <v>732</v>
      </c>
      <c r="O9" s="1"/>
      <c r="P9" s="1"/>
    </row>
    <row r="10" spans="1:16" ht="27.75" customHeight="1">
      <c r="B10" s="187">
        <v>1385</v>
      </c>
      <c r="C10" s="188">
        <v>3979007728</v>
      </c>
      <c r="D10" s="188">
        <v>3108184756</v>
      </c>
      <c r="E10" s="42">
        <v>777046189</v>
      </c>
      <c r="F10" s="42">
        <v>1525201738</v>
      </c>
      <c r="G10" s="669" t="s">
        <v>732</v>
      </c>
      <c r="H10" s="669" t="s">
        <v>732</v>
      </c>
      <c r="I10" s="308">
        <f>E10</f>
        <v>777046189</v>
      </c>
      <c r="J10" s="308">
        <v>777046189</v>
      </c>
      <c r="K10" s="319" t="s">
        <v>753</v>
      </c>
      <c r="O10" s="1"/>
      <c r="P10" s="1"/>
    </row>
    <row r="11" spans="1:16" ht="27.75" customHeight="1">
      <c r="B11" s="187">
        <v>1386</v>
      </c>
      <c r="C11" s="42">
        <v>19826291315</v>
      </c>
      <c r="D11" s="42">
        <v>7096361141</v>
      </c>
      <c r="E11" s="42">
        <v>1774090285</v>
      </c>
      <c r="F11" s="42">
        <v>7948701920</v>
      </c>
      <c r="G11" s="669" t="s">
        <v>732</v>
      </c>
      <c r="H11" s="669" t="s">
        <v>732</v>
      </c>
      <c r="I11" s="308">
        <f>E11</f>
        <v>1774090285</v>
      </c>
      <c r="J11" s="308">
        <v>1774090285</v>
      </c>
      <c r="K11" s="319" t="s">
        <v>753</v>
      </c>
      <c r="M11" s="24"/>
      <c r="N11" s="24"/>
      <c r="O11" s="1"/>
      <c r="P11" s="1"/>
    </row>
    <row r="12" spans="1:16" ht="27.75" customHeight="1">
      <c r="B12" s="187">
        <v>1387</v>
      </c>
      <c r="C12" s="42">
        <v>29939903452</v>
      </c>
      <c r="D12" s="42">
        <v>3475753152</v>
      </c>
      <c r="E12" s="42" t="s">
        <v>354</v>
      </c>
      <c r="F12" s="42">
        <v>8389745876</v>
      </c>
      <c r="G12" s="669" t="s">
        <v>732</v>
      </c>
      <c r="H12" s="669" t="s">
        <v>732</v>
      </c>
      <c r="I12" s="308">
        <v>0</v>
      </c>
      <c r="J12" s="308">
        <v>0</v>
      </c>
      <c r="K12" s="319" t="s">
        <v>753</v>
      </c>
      <c r="M12" s="25"/>
      <c r="N12" s="24"/>
      <c r="O12" s="1"/>
      <c r="P12" s="1"/>
    </row>
    <row r="13" spans="1:16" ht="27.75" customHeight="1">
      <c r="B13" s="187">
        <v>1388</v>
      </c>
      <c r="C13" s="42">
        <v>64443993615</v>
      </c>
      <c r="D13" s="42">
        <v>48825652322</v>
      </c>
      <c r="E13" s="42">
        <v>12206413080</v>
      </c>
      <c r="F13" s="42">
        <v>25850597863</v>
      </c>
      <c r="G13" s="669" t="s">
        <v>732</v>
      </c>
      <c r="H13" s="669" t="s">
        <v>732</v>
      </c>
      <c r="I13" s="308">
        <f>E13</f>
        <v>12206413080</v>
      </c>
      <c r="J13" s="308">
        <v>12206413080</v>
      </c>
      <c r="K13" s="319" t="s">
        <v>753</v>
      </c>
      <c r="M13" s="24"/>
      <c r="N13" s="25"/>
    </row>
    <row r="14" spans="1:16" ht="27.75" customHeight="1">
      <c r="B14" s="187">
        <v>1389</v>
      </c>
      <c r="C14" s="42">
        <v>92635651393</v>
      </c>
      <c r="D14" s="42">
        <v>29980919662</v>
      </c>
      <c r="E14" s="42">
        <v>7495229915</v>
      </c>
      <c r="F14" s="669" t="s">
        <v>732</v>
      </c>
      <c r="G14" s="669" t="s">
        <v>732</v>
      </c>
      <c r="H14" s="669" t="s">
        <v>732</v>
      </c>
      <c r="I14" s="308">
        <f>E14</f>
        <v>7495229915</v>
      </c>
      <c r="J14" s="308">
        <v>7495229915</v>
      </c>
      <c r="K14" s="319" t="s">
        <v>754</v>
      </c>
      <c r="M14" s="25"/>
      <c r="N14" s="24"/>
    </row>
    <row r="15" spans="1:16" ht="27.75" customHeight="1">
      <c r="B15" s="187">
        <v>1390</v>
      </c>
      <c r="C15" s="42">
        <v>106364882758</v>
      </c>
      <c r="D15" s="42">
        <v>104612545756</v>
      </c>
      <c r="E15" s="42">
        <f>D15*25%</f>
        <v>26153136439</v>
      </c>
      <c r="F15" s="669" t="s">
        <v>732</v>
      </c>
      <c r="G15" s="669" t="s">
        <v>732</v>
      </c>
      <c r="H15" s="669" t="s">
        <v>732</v>
      </c>
      <c r="I15" s="42">
        <f>E15</f>
        <v>26153136439</v>
      </c>
      <c r="J15" s="308">
        <v>0</v>
      </c>
      <c r="K15" s="319"/>
      <c r="M15" s="25"/>
      <c r="N15" s="24"/>
    </row>
    <row r="16" spans="1:16" ht="27.75" customHeight="1">
      <c r="B16" s="163" t="s">
        <v>117</v>
      </c>
      <c r="C16" s="804"/>
      <c r="D16" s="804"/>
      <c r="E16" s="42"/>
      <c r="F16" s="42"/>
      <c r="G16" s="669" t="s">
        <v>732</v>
      </c>
      <c r="H16" s="669" t="s">
        <v>732</v>
      </c>
      <c r="I16" s="189">
        <f>SUM(I10:I15)</f>
        <v>48405915908</v>
      </c>
      <c r="J16" s="308">
        <f>SUM(J10:J15)</f>
        <v>22252779469</v>
      </c>
      <c r="K16" s="319"/>
      <c r="M16" s="24"/>
      <c r="N16" s="24"/>
    </row>
    <row r="17" spans="1:14" ht="27.75" customHeight="1">
      <c r="B17" s="184" t="s">
        <v>355</v>
      </c>
      <c r="C17" s="185"/>
      <c r="D17" s="185"/>
      <c r="E17" s="186"/>
      <c r="F17" s="42"/>
      <c r="G17" s="42"/>
      <c r="H17" s="42"/>
      <c r="I17" s="308">
        <v>-61931478415</v>
      </c>
      <c r="J17" s="308">
        <v>-45068000000</v>
      </c>
      <c r="K17" s="319"/>
      <c r="M17" s="24"/>
      <c r="N17" s="24"/>
    </row>
    <row r="18" spans="1:14" ht="27.75" customHeight="1">
      <c r="B18" s="798" t="s">
        <v>356</v>
      </c>
      <c r="C18" s="799"/>
      <c r="D18" s="800"/>
      <c r="E18" s="42"/>
      <c r="F18" s="42"/>
      <c r="G18" s="42"/>
      <c r="H18" s="42"/>
      <c r="I18" s="189">
        <f>SUM(I16:I17)</f>
        <v>-13525562507</v>
      </c>
      <c r="J18" s="308">
        <f>SUM(J16:J17)</f>
        <v>-22815220531</v>
      </c>
      <c r="K18" s="319"/>
      <c r="M18" s="24"/>
      <c r="N18" s="24"/>
    </row>
    <row r="21" spans="1:14" ht="26.25" customHeight="1">
      <c r="A21" s="649" t="s">
        <v>357</v>
      </c>
      <c r="B21" s="650" t="s">
        <v>975</v>
      </c>
      <c r="C21" s="521"/>
      <c r="D21" s="33"/>
      <c r="E21" s="33"/>
      <c r="F21" s="33"/>
      <c r="G21" s="33"/>
      <c r="H21" s="33"/>
    </row>
    <row r="22" spans="1:14" ht="26.25" customHeight="1">
      <c r="B22" s="496"/>
      <c r="D22" s="33"/>
      <c r="E22" s="33"/>
      <c r="F22" s="33"/>
      <c r="G22" s="33"/>
      <c r="H22" s="33"/>
    </row>
    <row r="23" spans="1:14" ht="26.25" customHeight="1">
      <c r="D23" s="33"/>
      <c r="E23" s="33"/>
      <c r="F23" s="33"/>
      <c r="G23" s="33"/>
      <c r="H23" s="33"/>
    </row>
    <row r="38" spans="6:6">
      <c r="F38" s="451" t="s">
        <v>966</v>
      </c>
    </row>
  </sheetData>
  <mergeCells count="9">
    <mergeCell ref="A1:K1"/>
    <mergeCell ref="A2:K2"/>
    <mergeCell ref="A3:K3"/>
    <mergeCell ref="B18:D18"/>
    <mergeCell ref="B6:H6"/>
    <mergeCell ref="C8:C9"/>
    <mergeCell ref="D8:D9"/>
    <mergeCell ref="C16:D16"/>
    <mergeCell ref="E8:H8"/>
  </mergeCells>
  <printOptions horizontalCentered="1"/>
  <pageMargins left="0" right="0" top="0.35433070866141736" bottom="0.35433070866141736" header="0.31496062992125984" footer="0.31496062992125984"/>
  <pageSetup paperSize="9" scale="65" orientation="landscape" horizontalDpi="300" verticalDpi="300" r:id="rId1"/>
  <headerFooter>
    <oddFooter>&amp;C&amp;"B Mitra,Bold"&amp;14 33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rightToLeft="1" workbookViewId="0">
      <selection activeCell="J21" sqref="J21"/>
    </sheetView>
  </sheetViews>
  <sheetFormatPr defaultColWidth="9" defaultRowHeight="21.75"/>
  <cols>
    <col min="1" max="1" width="22.42578125" style="106" customWidth="1"/>
    <col min="2" max="2" width="9.140625" style="106"/>
    <col min="3" max="3" width="13.28515625" style="106" customWidth="1"/>
    <col min="4" max="4" width="11.85546875" style="106" customWidth="1"/>
    <col min="5" max="5" width="12.85546875" style="178" customWidth="1"/>
    <col min="6" max="6" width="3.28515625" style="670" customWidth="1"/>
    <col min="7" max="7" width="13.42578125" style="670" customWidth="1"/>
    <col min="8" max="8" width="9" style="55"/>
    <col min="9" max="9" width="14" style="55" customWidth="1"/>
    <col min="10" max="16384" width="9" style="55"/>
  </cols>
  <sheetData>
    <row r="1" spans="1:12" ht="22.5">
      <c r="A1" s="703" t="s">
        <v>298</v>
      </c>
      <c r="B1" s="703"/>
      <c r="C1" s="703"/>
      <c r="D1" s="703"/>
      <c r="E1" s="703"/>
      <c r="F1" s="703"/>
      <c r="G1" s="703"/>
    </row>
    <row r="2" spans="1:12" ht="22.5">
      <c r="A2" s="703" t="s">
        <v>0</v>
      </c>
      <c r="B2" s="703"/>
      <c r="C2" s="703"/>
      <c r="D2" s="703"/>
      <c r="E2" s="703"/>
      <c r="F2" s="703"/>
      <c r="G2" s="703"/>
    </row>
    <row r="3" spans="1:12" ht="22.5">
      <c r="A3" s="703" t="s">
        <v>1017</v>
      </c>
      <c r="B3" s="703"/>
      <c r="C3" s="703"/>
      <c r="D3" s="703"/>
      <c r="E3" s="703"/>
      <c r="F3" s="703"/>
      <c r="G3" s="703"/>
      <c r="H3" s="62"/>
      <c r="I3" s="62"/>
      <c r="J3" s="62"/>
      <c r="K3" s="62"/>
      <c r="L3" s="62"/>
    </row>
    <row r="4" spans="1:12" ht="31.5" customHeight="1"/>
    <row r="5" spans="1:12" ht="22.5">
      <c r="A5" s="90" t="s">
        <v>358</v>
      </c>
      <c r="E5" s="690" t="s">
        <v>721</v>
      </c>
      <c r="F5" s="691"/>
      <c r="G5" s="677" t="s">
        <v>25</v>
      </c>
    </row>
    <row r="6" spans="1:12">
      <c r="A6" s="101"/>
      <c r="E6" s="323" t="s">
        <v>27</v>
      </c>
      <c r="G6" s="235" t="s">
        <v>27</v>
      </c>
    </row>
    <row r="7" spans="1:12" ht="22.5" customHeight="1">
      <c r="A7" s="655" t="s">
        <v>1028</v>
      </c>
      <c r="E7" s="178">
        <v>4185236658</v>
      </c>
      <c r="F7" s="660"/>
      <c r="G7" s="660">
        <v>4455263158</v>
      </c>
      <c r="I7" s="82"/>
    </row>
    <row r="8" spans="1:12" ht="22.5" customHeight="1">
      <c r="A8" s="655" t="s">
        <v>1029</v>
      </c>
      <c r="E8" s="178">
        <v>11943735334</v>
      </c>
      <c r="F8" s="660"/>
      <c r="G8" s="660">
        <v>11943735334</v>
      </c>
      <c r="I8" s="82"/>
    </row>
    <row r="9" spans="1:12" ht="22.5" customHeight="1">
      <c r="A9" s="655" t="s">
        <v>1030</v>
      </c>
      <c r="E9" s="178">
        <v>127405000000</v>
      </c>
      <c r="F9" s="660"/>
      <c r="G9" s="660">
        <v>49505625000</v>
      </c>
      <c r="I9" s="82"/>
    </row>
    <row r="10" spans="1:12" ht="22.5" thickBot="1">
      <c r="E10" s="190">
        <f>SUM(E7:E9)</f>
        <v>143533971992</v>
      </c>
      <c r="F10" s="660"/>
      <c r="G10" s="99">
        <f>SUM(G7:G9)</f>
        <v>65904623492</v>
      </c>
      <c r="I10" s="82"/>
    </row>
    <row r="11" spans="1:12" ht="36.75" customHeight="1" thickTop="1">
      <c r="E11" s="448"/>
      <c r="F11" s="660"/>
      <c r="G11" s="123"/>
      <c r="I11" s="82"/>
    </row>
    <row r="12" spans="1:12" ht="22.5">
      <c r="A12" s="748" t="s">
        <v>359</v>
      </c>
      <c r="B12" s="748"/>
    </row>
    <row r="13" spans="1:12" s="110" customFormat="1">
      <c r="A13" s="417" t="s">
        <v>360</v>
      </c>
      <c r="B13" s="106"/>
      <c r="C13" s="106"/>
      <c r="D13" s="106"/>
      <c r="E13" s="178"/>
      <c r="F13" s="670"/>
      <c r="G13" s="670"/>
    </row>
    <row r="14" spans="1:12">
      <c r="E14" s="692" t="s">
        <v>721</v>
      </c>
      <c r="F14" s="693"/>
      <c r="G14" s="677" t="s">
        <v>25</v>
      </c>
    </row>
    <row r="15" spans="1:12" ht="22.5" customHeight="1">
      <c r="A15" s="87" t="s">
        <v>361</v>
      </c>
      <c r="B15" s="87"/>
      <c r="C15" s="87"/>
      <c r="D15" s="87"/>
      <c r="E15" s="323" t="s">
        <v>27</v>
      </c>
      <c r="G15" s="235" t="s">
        <v>27</v>
      </c>
    </row>
    <row r="16" spans="1:12" ht="22.5" customHeight="1">
      <c r="A16" s="87" t="s">
        <v>362</v>
      </c>
      <c r="B16" s="87"/>
      <c r="C16" s="87"/>
      <c r="D16" s="87"/>
      <c r="E16" s="178">
        <v>76599045129</v>
      </c>
      <c r="G16" s="178">
        <v>68479045129</v>
      </c>
      <c r="I16" s="82"/>
    </row>
    <row r="17" spans="1:9" ht="22.5" customHeight="1">
      <c r="A17" s="87" t="s">
        <v>363</v>
      </c>
      <c r="B17" s="87"/>
      <c r="C17" s="87"/>
      <c r="D17" s="87"/>
      <c r="E17" s="178">
        <v>-9287480663</v>
      </c>
      <c r="G17" s="178">
        <v>-12478276305</v>
      </c>
    </row>
    <row r="18" spans="1:9" ht="21" customHeight="1" thickBot="1">
      <c r="A18" s="87"/>
      <c r="B18" s="87"/>
      <c r="C18" s="87"/>
      <c r="D18" s="87"/>
      <c r="E18" s="190">
        <f>SUM(E16:E17)</f>
        <v>67311564466</v>
      </c>
      <c r="G18" s="99">
        <f>SUM(G16:G17)</f>
        <v>56000768824</v>
      </c>
      <c r="I18" s="82"/>
    </row>
    <row r="19" spans="1:9" ht="18.75" thickTop="1">
      <c r="A19" s="87"/>
      <c r="B19" s="87"/>
      <c r="C19" s="87"/>
      <c r="D19" s="87"/>
    </row>
    <row r="20" spans="1:9" ht="18">
      <c r="A20" s="617" t="s">
        <v>1015</v>
      </c>
      <c r="B20" s="87"/>
      <c r="C20" s="87"/>
      <c r="D20" s="87"/>
    </row>
    <row r="21" spans="1:9" ht="40.5" customHeight="1"/>
    <row r="22" spans="1:9" ht="24" customHeight="1">
      <c r="A22" s="748" t="s">
        <v>364</v>
      </c>
      <c r="B22" s="748"/>
      <c r="C22" s="748"/>
    </row>
    <row r="23" spans="1:9" ht="18">
      <c r="A23" s="69" t="s">
        <v>365</v>
      </c>
      <c r="B23" s="69"/>
      <c r="C23" s="69"/>
      <c r="D23" s="69"/>
      <c r="H23" s="110"/>
    </row>
    <row r="24" spans="1:9">
      <c r="E24" s="692" t="s">
        <v>721</v>
      </c>
      <c r="F24" s="98"/>
      <c r="G24" s="677" t="s">
        <v>25</v>
      </c>
    </row>
    <row r="25" spans="1:9">
      <c r="E25" s="323" t="s">
        <v>27</v>
      </c>
      <c r="G25" s="235" t="s">
        <v>27</v>
      </c>
    </row>
    <row r="26" spans="1:9" ht="22.5" customHeight="1">
      <c r="A26" s="87" t="s">
        <v>366</v>
      </c>
      <c r="E26" s="178">
        <f>G29</f>
        <v>8355739578</v>
      </c>
      <c r="G26" s="178">
        <v>6142668663</v>
      </c>
      <c r="I26" s="82"/>
    </row>
    <row r="27" spans="1:9" ht="22.5" customHeight="1">
      <c r="A27" s="87" t="s">
        <v>367</v>
      </c>
      <c r="E27" s="178">
        <v>-1815968458</v>
      </c>
      <c r="G27" s="178">
        <v>-548756533</v>
      </c>
      <c r="I27" s="82"/>
    </row>
    <row r="28" spans="1:9" ht="22.5" customHeight="1">
      <c r="A28" s="87" t="s">
        <v>368</v>
      </c>
      <c r="E28" s="178">
        <v>3824113762</v>
      </c>
      <c r="G28" s="178">
        <v>2761827448</v>
      </c>
      <c r="I28" s="82"/>
    </row>
    <row r="29" spans="1:9" ht="22.5" thickBot="1">
      <c r="E29" s="190">
        <f>SUM(E26:E28)</f>
        <v>10363884882</v>
      </c>
      <c r="G29" s="99">
        <f>SUM(G26:G28)</f>
        <v>8355739578</v>
      </c>
      <c r="I29" s="82"/>
    </row>
    <row r="30" spans="1:9" ht="22.5" thickTop="1"/>
    <row r="32" spans="1:9">
      <c r="A32" s="107"/>
    </row>
    <row r="39" spans="6:6">
      <c r="F39" s="670" t="s">
        <v>966</v>
      </c>
    </row>
  </sheetData>
  <mergeCells count="5">
    <mergeCell ref="A3:G3"/>
    <mergeCell ref="A1:G1"/>
    <mergeCell ref="A2:G2"/>
    <mergeCell ref="A12:B12"/>
    <mergeCell ref="A22:C22"/>
  </mergeCells>
  <pageMargins left="0" right="0" top="0.74803149606299213" bottom="0.74803149606299213" header="0.31496062992125984" footer="0.31496062992125984"/>
  <pageSetup paperSize="9" scale="84" orientation="portrait" horizontalDpi="300" verticalDpi="300" r:id="rId1"/>
  <headerFooter>
    <oddFooter>&amp;C&amp;"B Mitra,Bold"&amp;14 34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rightToLeft="1" topLeftCell="A25" workbookViewId="0">
      <selection activeCell="A19" sqref="A19:E19"/>
    </sheetView>
  </sheetViews>
  <sheetFormatPr defaultColWidth="9" defaultRowHeight="18"/>
  <cols>
    <col min="1" max="1" width="24" style="87" customWidth="1"/>
    <col min="2" max="3" width="12" style="200" bestFit="1" customWidth="1"/>
    <col min="4" max="4" width="7.85546875" style="52" bestFit="1" customWidth="1"/>
    <col min="5" max="5" width="8" style="52" bestFit="1" customWidth="1"/>
    <col min="6" max="7" width="10.5703125" style="52" bestFit="1" customWidth="1"/>
    <col min="8" max="8" width="12" style="52" bestFit="1" customWidth="1"/>
    <col min="9" max="9" width="13" style="52" bestFit="1" customWidth="1"/>
    <col min="10" max="10" width="9.140625" style="87"/>
    <col min="11" max="11" width="9" style="55"/>
    <col min="12" max="12" width="9.140625" style="66" customWidth="1"/>
    <col min="13" max="16384" width="9" style="55"/>
  </cols>
  <sheetData>
    <row r="1" spans="1:12" ht="23.25" customHeight="1">
      <c r="A1" s="703" t="s">
        <v>298</v>
      </c>
      <c r="B1" s="703"/>
      <c r="C1" s="703"/>
      <c r="D1" s="703"/>
      <c r="E1" s="703"/>
      <c r="F1" s="703"/>
      <c r="G1" s="703"/>
      <c r="H1" s="703"/>
      <c r="I1" s="703"/>
      <c r="J1" s="79"/>
    </row>
    <row r="2" spans="1:12" ht="23.25" customHeight="1">
      <c r="A2" s="703" t="s">
        <v>0</v>
      </c>
      <c r="B2" s="703"/>
      <c r="C2" s="703"/>
      <c r="D2" s="703"/>
      <c r="E2" s="703"/>
      <c r="F2" s="703"/>
      <c r="G2" s="703"/>
      <c r="H2" s="703"/>
      <c r="I2" s="703"/>
      <c r="J2" s="79"/>
    </row>
    <row r="3" spans="1:12" ht="23.25" customHeight="1">
      <c r="A3" s="703" t="s">
        <v>720</v>
      </c>
      <c r="B3" s="703"/>
      <c r="C3" s="703"/>
      <c r="D3" s="703"/>
      <c r="E3" s="703"/>
      <c r="F3" s="703"/>
      <c r="G3" s="703"/>
      <c r="H3" s="703"/>
      <c r="I3" s="703"/>
      <c r="J3" s="62"/>
      <c r="K3" s="62"/>
    </row>
    <row r="4" spans="1:12" ht="30.75" customHeight="1"/>
    <row r="5" spans="1:12" ht="19.5" customHeight="1">
      <c r="A5" s="90" t="s">
        <v>369</v>
      </c>
      <c r="B5" s="204"/>
      <c r="C5" s="204"/>
      <c r="D5" s="96"/>
      <c r="E5" s="96"/>
      <c r="F5" s="96"/>
      <c r="G5" s="96"/>
      <c r="H5" s="96"/>
    </row>
    <row r="6" spans="1:12">
      <c r="A6" s="97" t="s">
        <v>370</v>
      </c>
      <c r="B6" s="205"/>
      <c r="C6" s="205"/>
      <c r="K6" s="111"/>
      <c r="L6" s="112"/>
    </row>
    <row r="8" spans="1:12">
      <c r="G8" s="118" t="s">
        <v>371</v>
      </c>
      <c r="I8" s="58" t="s">
        <v>372</v>
      </c>
    </row>
    <row r="9" spans="1:12">
      <c r="G9" s="57"/>
      <c r="I9" s="235" t="s">
        <v>27</v>
      </c>
    </row>
    <row r="10" spans="1:12" ht="21" customHeight="1">
      <c r="A10" s="87" t="s">
        <v>373</v>
      </c>
      <c r="G10" s="67">
        <v>59849995</v>
      </c>
      <c r="I10" s="67">
        <v>59849995000</v>
      </c>
    </row>
    <row r="11" spans="1:12" ht="21" customHeight="1">
      <c r="A11" s="113" t="s">
        <v>489</v>
      </c>
      <c r="B11" s="113"/>
      <c r="C11" s="113"/>
      <c r="G11" s="67">
        <v>3150000</v>
      </c>
      <c r="I11" s="67">
        <v>3150000000</v>
      </c>
    </row>
    <row r="12" spans="1:12" ht="21" customHeight="1">
      <c r="A12" s="87" t="s">
        <v>374</v>
      </c>
      <c r="G12" s="52">
        <v>1</v>
      </c>
      <c r="I12" s="67">
        <v>1000</v>
      </c>
    </row>
    <row r="13" spans="1:12" ht="21" customHeight="1">
      <c r="A13" s="87" t="s">
        <v>375</v>
      </c>
      <c r="G13" s="52">
        <v>1</v>
      </c>
      <c r="I13" s="67">
        <v>1000</v>
      </c>
    </row>
    <row r="14" spans="1:12" ht="21" customHeight="1">
      <c r="A14" s="404" t="s">
        <v>934</v>
      </c>
      <c r="G14" s="52">
        <v>1</v>
      </c>
      <c r="I14" s="67">
        <v>1000</v>
      </c>
    </row>
    <row r="15" spans="1:12" ht="21" customHeight="1">
      <c r="A15" s="87" t="s">
        <v>376</v>
      </c>
      <c r="G15" s="52">
        <v>1</v>
      </c>
      <c r="I15" s="67">
        <v>1000</v>
      </c>
    </row>
    <row r="16" spans="1:12" ht="21" customHeight="1">
      <c r="A16" s="87" t="s">
        <v>377</v>
      </c>
      <c r="G16" s="52">
        <v>1</v>
      </c>
      <c r="I16" s="67">
        <v>1000</v>
      </c>
    </row>
    <row r="17" spans="1:12" ht="21" customHeight="1" thickBot="1">
      <c r="G17" s="99">
        <f>SUM(G10:G16)</f>
        <v>63000000</v>
      </c>
      <c r="I17" s="99">
        <f>SUM(I10:I16)</f>
        <v>63000000000</v>
      </c>
    </row>
    <row r="18" spans="1:12" ht="29.25" customHeight="1" thickTop="1"/>
    <row r="19" spans="1:12" ht="22.5">
      <c r="A19" s="748" t="s">
        <v>931</v>
      </c>
      <c r="B19" s="748"/>
      <c r="C19" s="204"/>
    </row>
    <row r="20" spans="1:12" ht="21.75" customHeight="1">
      <c r="A20" s="87" t="s">
        <v>378</v>
      </c>
    </row>
    <row r="21" spans="1:12" ht="21.75" customHeight="1">
      <c r="A21" s="87" t="s">
        <v>379</v>
      </c>
    </row>
    <row r="22" spans="1:12" ht="21.75" customHeight="1">
      <c r="A22" s="404" t="s">
        <v>933</v>
      </c>
    </row>
    <row r="26" spans="1:12" ht="22.5">
      <c r="A26" s="748" t="s">
        <v>932</v>
      </c>
      <c r="B26" s="748"/>
      <c r="C26" s="204"/>
    </row>
    <row r="27" spans="1:12" ht="21.75" customHeight="1">
      <c r="A27" s="87" t="s">
        <v>380</v>
      </c>
    </row>
    <row r="28" spans="1:12" ht="21.75" customHeight="1">
      <c r="A28" s="87" t="s">
        <v>381</v>
      </c>
      <c r="L28" s="119"/>
    </row>
    <row r="29" spans="1:12" ht="21.75" customHeight="1">
      <c r="A29" s="87" t="s">
        <v>382</v>
      </c>
      <c r="L29" s="119"/>
    </row>
    <row r="32" spans="1:12" ht="20.25" customHeight="1">
      <c r="A32" s="114" t="s">
        <v>383</v>
      </c>
      <c r="B32" s="808" t="s">
        <v>675</v>
      </c>
      <c r="C32" s="809"/>
      <c r="D32" s="807" t="s">
        <v>384</v>
      </c>
      <c r="E32" s="807"/>
      <c r="F32" s="807" t="s">
        <v>385</v>
      </c>
      <c r="G32" s="807"/>
      <c r="H32" s="808" t="s">
        <v>148</v>
      </c>
      <c r="I32" s="809"/>
      <c r="J32" s="116"/>
    </row>
    <row r="33" spans="1:10" ht="21" customHeight="1">
      <c r="A33" s="114"/>
      <c r="B33" s="206">
        <v>1390</v>
      </c>
      <c r="C33" s="206">
        <v>1389</v>
      </c>
      <c r="D33" s="115">
        <v>1390</v>
      </c>
      <c r="E33" s="115">
        <v>1389</v>
      </c>
      <c r="F33" s="115">
        <v>1390</v>
      </c>
      <c r="G33" s="115">
        <v>1389</v>
      </c>
      <c r="H33" s="206">
        <v>1390</v>
      </c>
      <c r="I33" s="206">
        <v>1389</v>
      </c>
      <c r="J33" s="116"/>
    </row>
    <row r="34" spans="1:10" ht="21" customHeight="1">
      <c r="A34" s="114" t="s">
        <v>386</v>
      </c>
      <c r="B34" s="212">
        <v>6300000000</v>
      </c>
      <c r="C34" s="212">
        <v>6300000000</v>
      </c>
      <c r="D34" s="117">
        <v>736710</v>
      </c>
      <c r="E34" s="117">
        <v>736710</v>
      </c>
      <c r="F34" s="117">
        <v>175600000</v>
      </c>
      <c r="G34" s="117">
        <v>175600000</v>
      </c>
      <c r="H34" s="117">
        <f>F34+D34+B34</f>
        <v>6476336710</v>
      </c>
      <c r="I34" s="117">
        <f>C34+E34+G34</f>
        <v>6476336710</v>
      </c>
      <c r="J34" s="116"/>
    </row>
    <row r="39" spans="1:10">
      <c r="F39" s="457"/>
    </row>
  </sheetData>
  <mergeCells count="9">
    <mergeCell ref="D32:E32"/>
    <mergeCell ref="F32:G32"/>
    <mergeCell ref="A1:I1"/>
    <mergeCell ref="A2:I2"/>
    <mergeCell ref="B32:C32"/>
    <mergeCell ref="H32:I32"/>
    <mergeCell ref="A3:I3"/>
    <mergeCell ref="A19:B19"/>
    <mergeCell ref="A26:B26"/>
  </mergeCells>
  <printOptions horizontalCentered="1" verticalCentered="1"/>
  <pageMargins left="0" right="0" top="0.23622047244094491" bottom="2.8740157480314963" header="0.27559055118110237" footer="0.27559055118110237"/>
  <pageSetup paperSize="9" scale="84" orientation="portrait" horizontalDpi="300" verticalDpi="300" r:id="rId1"/>
  <headerFooter>
    <oddFooter>&amp;C&amp;"B Mitra,Bold"&amp;14 35</oddFooter>
  </headerFooter>
  <colBreaks count="1" manualBreakCount="1">
    <brk id="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4"/>
  <sheetViews>
    <sheetView rightToLeft="1" topLeftCell="A2" workbookViewId="0">
      <selection activeCell="E12" sqref="E12"/>
    </sheetView>
  </sheetViews>
  <sheetFormatPr defaultColWidth="9" defaultRowHeight="15"/>
  <cols>
    <col min="1" max="1" width="6.42578125" style="218" customWidth="1"/>
    <col min="2" max="2" width="25.140625" style="219" customWidth="1"/>
    <col min="3" max="3" width="10.28515625" style="220" customWidth="1"/>
    <col min="4" max="4" width="10.28515625" style="218" customWidth="1"/>
    <col min="5" max="5" width="9.5703125" style="220" customWidth="1"/>
    <col min="6" max="6" width="9.5703125" style="218" customWidth="1"/>
    <col min="7" max="7" width="11.140625" style="218" hidden="1" customWidth="1"/>
    <col min="8" max="8" width="9.5703125" style="218" customWidth="1"/>
    <col min="9" max="9" width="10.140625" style="218" customWidth="1"/>
    <col min="10" max="12" width="8.85546875" style="218" customWidth="1"/>
    <col min="13" max="13" width="10.7109375" style="218" customWidth="1"/>
    <col min="14" max="14" width="10.7109375" style="389" customWidth="1"/>
    <col min="15" max="15" width="11.28515625" style="218" customWidth="1"/>
    <col min="16" max="16" width="18" style="55" customWidth="1"/>
    <col min="17" max="17" width="16.140625" style="55" customWidth="1"/>
    <col min="18" max="18" width="16.42578125" style="55" customWidth="1"/>
    <col min="19" max="16384" width="9" style="55"/>
  </cols>
  <sheetData>
    <row r="1" spans="1:18" s="80" customFormat="1" ht="18.75" customHeight="1">
      <c r="A1" s="810" t="s">
        <v>127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</row>
    <row r="2" spans="1:18" s="80" customFormat="1" ht="21" customHeight="1">
      <c r="A2" s="810" t="s">
        <v>0</v>
      </c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</row>
    <row r="3" spans="1:18" s="80" customFormat="1" ht="16.5" customHeight="1">
      <c r="A3" s="810" t="s">
        <v>1017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</row>
    <row r="4" spans="1:18" ht="10.5" customHeight="1">
      <c r="A4" s="814" t="s">
        <v>770</v>
      </c>
      <c r="B4" s="814"/>
      <c r="C4" s="814"/>
      <c r="D4" s="814"/>
      <c r="E4" s="213"/>
      <c r="F4" s="213"/>
      <c r="G4" s="213"/>
      <c r="H4" s="213"/>
      <c r="I4" s="213"/>
      <c r="J4" s="213"/>
      <c r="K4" s="213"/>
      <c r="L4" s="213"/>
      <c r="M4" s="213"/>
      <c r="N4" s="387"/>
      <c r="O4" s="213"/>
    </row>
    <row r="5" spans="1:18" ht="11.25" customHeight="1">
      <c r="A5" s="214" t="s">
        <v>387</v>
      </c>
      <c r="B5" s="214"/>
      <c r="C5" s="328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387"/>
      <c r="O5" s="213"/>
    </row>
    <row r="6" spans="1:18" s="68" customFormat="1" ht="16.5" customHeight="1">
      <c r="A6" s="812" t="s">
        <v>388</v>
      </c>
      <c r="B6" s="812" t="s">
        <v>389</v>
      </c>
      <c r="C6" s="811" t="s">
        <v>721</v>
      </c>
      <c r="D6" s="811"/>
      <c r="E6" s="811"/>
      <c r="F6" s="811"/>
      <c r="G6" s="811"/>
      <c r="H6" s="811"/>
      <c r="I6" s="811"/>
      <c r="J6" s="815" t="s">
        <v>967</v>
      </c>
      <c r="K6" s="816"/>
      <c r="L6" s="817"/>
      <c r="M6" s="811" t="s">
        <v>25</v>
      </c>
      <c r="N6" s="811"/>
      <c r="O6" s="811"/>
    </row>
    <row r="7" spans="1:18" s="83" customFormat="1" ht="39" customHeight="1">
      <c r="A7" s="813"/>
      <c r="B7" s="813"/>
      <c r="C7" s="330" t="s">
        <v>722</v>
      </c>
      <c r="D7" s="330" t="s">
        <v>390</v>
      </c>
      <c r="E7" s="330" t="s">
        <v>391</v>
      </c>
      <c r="F7" s="330" t="s">
        <v>392</v>
      </c>
      <c r="G7" s="330" t="s">
        <v>393</v>
      </c>
      <c r="H7" s="330" t="s">
        <v>394</v>
      </c>
      <c r="I7" s="330" t="s">
        <v>395</v>
      </c>
      <c r="J7" s="522" t="s">
        <v>396</v>
      </c>
      <c r="K7" s="523" t="s">
        <v>394</v>
      </c>
      <c r="L7" s="522" t="s">
        <v>395</v>
      </c>
      <c r="M7" s="522" t="s">
        <v>396</v>
      </c>
      <c r="N7" s="523" t="s">
        <v>394</v>
      </c>
      <c r="O7" s="522" t="s">
        <v>395</v>
      </c>
    </row>
    <row r="8" spans="1:18" ht="12" customHeight="1">
      <c r="A8" s="215">
        <v>1</v>
      </c>
      <c r="B8" s="216" t="s">
        <v>397</v>
      </c>
      <c r="C8" s="331">
        <v>426836765</v>
      </c>
      <c r="D8" s="331">
        <v>426836765</v>
      </c>
      <c r="E8" s="217">
        <f>C8-D8</f>
        <v>0</v>
      </c>
      <c r="F8" s="217">
        <f>H8-G8</f>
        <v>303091874</v>
      </c>
      <c r="G8" s="217">
        <v>0</v>
      </c>
      <c r="H8" s="217">
        <v>303091874</v>
      </c>
      <c r="I8" s="217">
        <f>E8-F8</f>
        <v>-303091874</v>
      </c>
      <c r="J8" s="331">
        <v>426836765</v>
      </c>
      <c r="K8" s="503">
        <v>-2134184</v>
      </c>
      <c r="L8" s="503">
        <f>SUM(J8:K8)</f>
        <v>424702581</v>
      </c>
      <c r="M8" s="503">
        <v>426836765</v>
      </c>
      <c r="N8" s="503">
        <v>-2134184</v>
      </c>
      <c r="O8" s="217">
        <f>SUM(M8:N8)</f>
        <v>424702581</v>
      </c>
    </row>
    <row r="9" spans="1:18" ht="12" customHeight="1">
      <c r="A9" s="215">
        <v>2</v>
      </c>
      <c r="B9" s="216" t="s">
        <v>491</v>
      </c>
      <c r="C9" s="331">
        <v>769942277</v>
      </c>
      <c r="D9" s="331">
        <v>769942277</v>
      </c>
      <c r="E9" s="217">
        <f>C9-D9</f>
        <v>0</v>
      </c>
      <c r="F9" s="217">
        <f t="shared" ref="F9:F37" si="0">H9-G9</f>
        <v>0</v>
      </c>
      <c r="G9" s="217">
        <v>0</v>
      </c>
      <c r="H9" s="217">
        <v>0</v>
      </c>
      <c r="I9" s="217">
        <f t="shared" ref="I9:I38" si="1">E9-F9</f>
        <v>0</v>
      </c>
      <c r="J9" s="503">
        <v>4358432131</v>
      </c>
      <c r="K9" s="503">
        <v>-467268402</v>
      </c>
      <c r="L9" s="503">
        <f t="shared" ref="L9:L38" si="2">SUM(J9:K9)</f>
        <v>3891163729</v>
      </c>
      <c r="M9" s="503">
        <v>769942277</v>
      </c>
      <c r="N9" s="503">
        <v>-472962902</v>
      </c>
      <c r="O9" s="503">
        <f t="shared" ref="O9:O38" si="3">SUM(M9:N9)</f>
        <v>296979375</v>
      </c>
      <c r="P9" s="82"/>
      <c r="Q9" s="82"/>
      <c r="R9" s="82"/>
    </row>
    <row r="10" spans="1:18" ht="12" customHeight="1">
      <c r="A10" s="215"/>
      <c r="B10" s="216" t="s">
        <v>835</v>
      </c>
      <c r="C10" s="331">
        <v>0</v>
      </c>
      <c r="D10" s="331">
        <v>0</v>
      </c>
      <c r="E10" s="329">
        <v>0</v>
      </c>
      <c r="F10" s="329">
        <v>0</v>
      </c>
      <c r="G10" s="329"/>
      <c r="H10" s="329">
        <v>0</v>
      </c>
      <c r="I10" s="329">
        <v>0</v>
      </c>
      <c r="J10" s="503">
        <v>0</v>
      </c>
      <c r="K10" s="503">
        <v>0</v>
      </c>
      <c r="L10" s="503">
        <f t="shared" si="2"/>
        <v>0</v>
      </c>
      <c r="M10" s="503">
        <v>0</v>
      </c>
      <c r="N10" s="503">
        <v>1466028850</v>
      </c>
      <c r="O10" s="503">
        <f t="shared" si="3"/>
        <v>1466028850</v>
      </c>
      <c r="P10" s="82"/>
      <c r="Q10" s="82"/>
      <c r="R10" s="82"/>
    </row>
    <row r="11" spans="1:18" ht="12" customHeight="1">
      <c r="A11" s="215">
        <v>4</v>
      </c>
      <c r="B11" s="216" t="s">
        <v>398</v>
      </c>
      <c r="C11" s="331">
        <v>120559541950</v>
      </c>
      <c r="D11" s="331">
        <v>118321597391</v>
      </c>
      <c r="E11" s="217">
        <f t="shared" ref="E11:E39" si="4">C11-D11</f>
        <v>2237944559</v>
      </c>
      <c r="F11" s="217">
        <f t="shared" si="0"/>
        <v>241891999</v>
      </c>
      <c r="G11" s="217">
        <v>0</v>
      </c>
      <c r="H11" s="217">
        <v>241891999</v>
      </c>
      <c r="I11" s="217">
        <f t="shared" si="1"/>
        <v>1996052560</v>
      </c>
      <c r="J11" s="503">
        <v>0</v>
      </c>
      <c r="K11" s="503">
        <v>-109132297</v>
      </c>
      <c r="L11" s="503">
        <f t="shared" si="2"/>
        <v>-109132297</v>
      </c>
      <c r="M11" s="503">
        <v>0</v>
      </c>
      <c r="N11" s="503">
        <v>-113240945</v>
      </c>
      <c r="O11" s="503">
        <f t="shared" si="3"/>
        <v>-113240945</v>
      </c>
      <c r="P11" s="82"/>
      <c r="Q11" s="82"/>
      <c r="R11" s="82"/>
    </row>
    <row r="12" spans="1:18" ht="12" customHeight="1">
      <c r="A12" s="215">
        <v>5</v>
      </c>
      <c r="B12" s="216" t="s">
        <v>399</v>
      </c>
      <c r="C12" s="331">
        <v>144350527772</v>
      </c>
      <c r="D12" s="331">
        <v>144350527772</v>
      </c>
      <c r="E12" s="217">
        <f t="shared" si="4"/>
        <v>0</v>
      </c>
      <c r="F12" s="217">
        <f t="shared" si="0"/>
        <v>107485776</v>
      </c>
      <c r="G12" s="217">
        <v>0</v>
      </c>
      <c r="H12" s="217">
        <v>107485776</v>
      </c>
      <c r="I12" s="217">
        <f t="shared" si="1"/>
        <v>-107485776</v>
      </c>
      <c r="J12" s="503">
        <v>0</v>
      </c>
      <c r="K12" s="503">
        <v>-232829197</v>
      </c>
      <c r="L12" s="503">
        <f t="shared" si="2"/>
        <v>-232829197</v>
      </c>
      <c r="M12" s="503">
        <v>-3606105562</v>
      </c>
      <c r="N12" s="503">
        <v>-414451371</v>
      </c>
      <c r="O12" s="503">
        <f t="shared" si="3"/>
        <v>-4020556933</v>
      </c>
      <c r="P12" s="82"/>
      <c r="Q12" s="82"/>
      <c r="R12" s="82"/>
    </row>
    <row r="13" spans="1:18" ht="12" customHeight="1">
      <c r="A13" s="215">
        <v>6</v>
      </c>
      <c r="B13" s="216" t="s">
        <v>400</v>
      </c>
      <c r="C13" s="331">
        <v>223178734533</v>
      </c>
      <c r="D13" s="331">
        <v>223178734533</v>
      </c>
      <c r="E13" s="217">
        <f t="shared" si="4"/>
        <v>0</v>
      </c>
      <c r="F13" s="217">
        <f t="shared" si="0"/>
        <v>4726972997</v>
      </c>
      <c r="G13" s="217">
        <v>0</v>
      </c>
      <c r="H13" s="217">
        <v>4726972997</v>
      </c>
      <c r="I13" s="217">
        <f t="shared" si="1"/>
        <v>-4726972997</v>
      </c>
      <c r="J13" s="503">
        <v>0</v>
      </c>
      <c r="K13" s="503">
        <v>-59643145</v>
      </c>
      <c r="L13" s="503">
        <f t="shared" si="2"/>
        <v>-59643145</v>
      </c>
      <c r="M13" s="503">
        <f t="shared" ref="M13:M38" si="5">K13-L13</f>
        <v>0</v>
      </c>
      <c r="N13" s="503">
        <v>-67506809</v>
      </c>
      <c r="O13" s="503">
        <f t="shared" si="3"/>
        <v>-67506809</v>
      </c>
    </row>
    <row r="14" spans="1:18" ht="12" customHeight="1">
      <c r="A14" s="215">
        <v>7</v>
      </c>
      <c r="B14" s="216" t="s">
        <v>401</v>
      </c>
      <c r="C14" s="331">
        <v>76125923416</v>
      </c>
      <c r="D14" s="331">
        <v>76125923416</v>
      </c>
      <c r="E14" s="217">
        <f t="shared" si="4"/>
        <v>0</v>
      </c>
      <c r="F14" s="217">
        <f t="shared" si="0"/>
        <v>148040908</v>
      </c>
      <c r="G14" s="217">
        <v>0</v>
      </c>
      <c r="H14" s="217">
        <v>148040908</v>
      </c>
      <c r="I14" s="217">
        <f t="shared" si="1"/>
        <v>-148040908</v>
      </c>
      <c r="J14" s="503">
        <v>0</v>
      </c>
      <c r="K14" s="503">
        <v>-5564502</v>
      </c>
      <c r="L14" s="503">
        <f t="shared" si="2"/>
        <v>-5564502</v>
      </c>
      <c r="M14" s="503">
        <f t="shared" si="5"/>
        <v>0</v>
      </c>
      <c r="N14" s="503">
        <v>-7205085</v>
      </c>
      <c r="O14" s="503">
        <f t="shared" si="3"/>
        <v>-7205085</v>
      </c>
      <c r="P14" s="82"/>
      <c r="Q14" s="82"/>
      <c r="R14" s="82"/>
    </row>
    <row r="15" spans="1:18" ht="12" customHeight="1">
      <c r="A15" s="215">
        <v>8</v>
      </c>
      <c r="B15" s="216" t="s">
        <v>402</v>
      </c>
      <c r="C15" s="331">
        <v>247590453743</v>
      </c>
      <c r="D15" s="331">
        <v>243816690424</v>
      </c>
      <c r="E15" s="217">
        <f t="shared" si="4"/>
        <v>3773763319</v>
      </c>
      <c r="F15" s="217">
        <f t="shared" si="0"/>
        <v>3244826579</v>
      </c>
      <c r="G15" s="217">
        <v>0</v>
      </c>
      <c r="H15" s="217">
        <v>3244826579</v>
      </c>
      <c r="I15" s="217">
        <f t="shared" si="1"/>
        <v>528936740</v>
      </c>
      <c r="J15" s="503">
        <v>3508798856</v>
      </c>
      <c r="K15" s="503">
        <v>-2506026120</v>
      </c>
      <c r="L15" s="503">
        <f t="shared" si="2"/>
        <v>1002772736</v>
      </c>
      <c r="M15" s="503">
        <v>11191773001</v>
      </c>
      <c r="N15" s="503">
        <v>-3099262789</v>
      </c>
      <c r="O15" s="503">
        <f t="shared" si="3"/>
        <v>8092510212</v>
      </c>
      <c r="P15" s="82"/>
      <c r="Q15" s="82"/>
      <c r="R15" s="82"/>
    </row>
    <row r="16" spans="1:18" ht="12" customHeight="1">
      <c r="A16" s="215"/>
      <c r="B16" s="216" t="s">
        <v>836</v>
      </c>
      <c r="C16" s="331">
        <v>0</v>
      </c>
      <c r="D16" s="331">
        <v>0</v>
      </c>
      <c r="E16" s="329">
        <v>0</v>
      </c>
      <c r="F16" s="329">
        <v>0</v>
      </c>
      <c r="G16" s="329"/>
      <c r="H16" s="329">
        <v>0</v>
      </c>
      <c r="I16" s="329">
        <v>0</v>
      </c>
      <c r="J16" s="503">
        <v>1734338112</v>
      </c>
      <c r="K16" s="503">
        <v>-224657362</v>
      </c>
      <c r="L16" s="503">
        <f t="shared" si="2"/>
        <v>1509680750</v>
      </c>
      <c r="M16" s="503">
        <v>1734338112</v>
      </c>
      <c r="N16" s="503">
        <v>-224835889</v>
      </c>
      <c r="O16" s="503">
        <f t="shared" si="3"/>
        <v>1509502223</v>
      </c>
      <c r="P16" s="82"/>
      <c r="Q16" s="82"/>
      <c r="R16" s="82"/>
    </row>
    <row r="17" spans="1:18" ht="12" customHeight="1">
      <c r="A17" s="215">
        <v>10</v>
      </c>
      <c r="B17" s="216" t="s">
        <v>403</v>
      </c>
      <c r="C17" s="331">
        <v>163919352803</v>
      </c>
      <c r="D17" s="331">
        <v>162926169643</v>
      </c>
      <c r="E17" s="217">
        <f t="shared" si="4"/>
        <v>993183160</v>
      </c>
      <c r="F17" s="217">
        <f t="shared" si="0"/>
        <v>341367605</v>
      </c>
      <c r="G17" s="217">
        <v>0</v>
      </c>
      <c r="H17" s="217">
        <v>341367605</v>
      </c>
      <c r="I17" s="217">
        <f t="shared" si="1"/>
        <v>651815555</v>
      </c>
      <c r="J17" s="503">
        <v>-15282355361</v>
      </c>
      <c r="K17" s="503">
        <v>-46956001</v>
      </c>
      <c r="L17" s="503">
        <f t="shared" si="2"/>
        <v>-15329311362</v>
      </c>
      <c r="M17" s="503">
        <v>-16275538521</v>
      </c>
      <c r="N17" s="503">
        <v>-93789672</v>
      </c>
      <c r="O17" s="503">
        <f t="shared" si="3"/>
        <v>-16369328193</v>
      </c>
      <c r="P17" s="82"/>
      <c r="Q17" s="82"/>
      <c r="R17" s="82"/>
    </row>
    <row r="18" spans="1:18" ht="12" customHeight="1">
      <c r="A18" s="215">
        <v>11</v>
      </c>
      <c r="B18" s="216" t="s">
        <v>404</v>
      </c>
      <c r="C18" s="331">
        <v>233133273454</v>
      </c>
      <c r="D18" s="331">
        <v>204522934079</v>
      </c>
      <c r="E18" s="217">
        <f t="shared" si="4"/>
        <v>28610339375</v>
      </c>
      <c r="F18" s="217">
        <f t="shared" si="0"/>
        <v>19088952089</v>
      </c>
      <c r="G18" s="217">
        <v>0</v>
      </c>
      <c r="H18" s="217">
        <v>19088952089</v>
      </c>
      <c r="I18" s="217">
        <f t="shared" si="1"/>
        <v>9521387286</v>
      </c>
      <c r="J18" s="503">
        <v>10999124338</v>
      </c>
      <c r="K18" s="503">
        <v>-24493524900</v>
      </c>
      <c r="L18" s="503">
        <f t="shared" si="2"/>
        <v>-13494400562</v>
      </c>
      <c r="M18" s="503">
        <v>20573154830</v>
      </c>
      <c r="N18" s="503">
        <v>-33514858097</v>
      </c>
      <c r="O18" s="503">
        <f t="shared" si="3"/>
        <v>-12941703267</v>
      </c>
    </row>
    <row r="19" spans="1:18" ht="12" customHeight="1">
      <c r="A19" s="215">
        <v>12</v>
      </c>
      <c r="B19" s="216" t="s">
        <v>180</v>
      </c>
      <c r="C19" s="331">
        <v>48798233853</v>
      </c>
      <c r="D19" s="331">
        <v>48798233853</v>
      </c>
      <c r="E19" s="217">
        <f>C19-D19</f>
        <v>0</v>
      </c>
      <c r="F19" s="217">
        <f t="shared" si="0"/>
        <v>328079858</v>
      </c>
      <c r="G19" s="217">
        <v>0</v>
      </c>
      <c r="H19" s="217">
        <v>328079858</v>
      </c>
      <c r="I19" s="217">
        <f t="shared" si="1"/>
        <v>-328079858</v>
      </c>
      <c r="J19" s="503">
        <v>407748487</v>
      </c>
      <c r="K19" s="503">
        <v>-1855029533</v>
      </c>
      <c r="L19" s="503">
        <f t="shared" si="2"/>
        <v>-1447281046</v>
      </c>
      <c r="M19" s="503">
        <v>407748487</v>
      </c>
      <c r="N19" s="503">
        <v>-2366642185</v>
      </c>
      <c r="O19" s="503">
        <f t="shared" si="3"/>
        <v>-1958893698</v>
      </c>
      <c r="P19" s="82"/>
      <c r="Q19" s="82"/>
      <c r="R19" s="82"/>
    </row>
    <row r="20" spans="1:18" ht="12" customHeight="1">
      <c r="A20" s="215">
        <v>13</v>
      </c>
      <c r="B20" s="216" t="s">
        <v>406</v>
      </c>
      <c r="C20" s="331">
        <v>40588259523</v>
      </c>
      <c r="D20" s="331">
        <v>35052177258</v>
      </c>
      <c r="E20" s="217">
        <f t="shared" si="4"/>
        <v>5536082265</v>
      </c>
      <c r="F20" s="217">
        <f t="shared" si="0"/>
        <v>3211566209</v>
      </c>
      <c r="G20" s="217">
        <v>0</v>
      </c>
      <c r="H20" s="217">
        <v>3211566209</v>
      </c>
      <c r="I20" s="217">
        <f t="shared" si="1"/>
        <v>2324516056</v>
      </c>
      <c r="J20" s="503">
        <v>9842640000</v>
      </c>
      <c r="K20" s="503">
        <v>-5421589020</v>
      </c>
      <c r="L20" s="503">
        <f t="shared" si="2"/>
        <v>4421050980</v>
      </c>
      <c r="M20" s="503">
        <v>8958226021</v>
      </c>
      <c r="N20" s="503">
        <v>-15104769792</v>
      </c>
      <c r="O20" s="503">
        <f t="shared" si="3"/>
        <v>-6146543771</v>
      </c>
    </row>
    <row r="21" spans="1:18" ht="12" customHeight="1">
      <c r="A21" s="215">
        <v>14</v>
      </c>
      <c r="B21" s="216" t="s">
        <v>407</v>
      </c>
      <c r="C21" s="331">
        <v>4800000000</v>
      </c>
      <c r="D21" s="331">
        <v>4800000000</v>
      </c>
      <c r="E21" s="217">
        <f t="shared" si="4"/>
        <v>0</v>
      </c>
      <c r="F21" s="217">
        <f t="shared" si="0"/>
        <v>0</v>
      </c>
      <c r="G21" s="217">
        <v>0</v>
      </c>
      <c r="H21" s="217">
        <v>0</v>
      </c>
      <c r="I21" s="217">
        <f t="shared" si="1"/>
        <v>0</v>
      </c>
      <c r="J21" s="503">
        <v>0</v>
      </c>
      <c r="K21" s="503">
        <v>-597390</v>
      </c>
      <c r="L21" s="503">
        <f t="shared" si="2"/>
        <v>-597390</v>
      </c>
      <c r="M21" s="503">
        <f t="shared" si="5"/>
        <v>0</v>
      </c>
      <c r="N21" s="503">
        <v>0</v>
      </c>
      <c r="O21" s="503">
        <f t="shared" si="3"/>
        <v>0</v>
      </c>
      <c r="P21" s="82"/>
      <c r="Q21" s="82"/>
      <c r="R21" s="82"/>
    </row>
    <row r="22" spans="1:18" ht="12" customHeight="1">
      <c r="A22" s="215">
        <v>15</v>
      </c>
      <c r="B22" s="216" t="s">
        <v>408</v>
      </c>
      <c r="C22" s="331">
        <v>24418676588</v>
      </c>
      <c r="D22" s="331">
        <v>19377852552</v>
      </c>
      <c r="E22" s="217">
        <f t="shared" si="4"/>
        <v>5040824036</v>
      </c>
      <c r="F22" s="217">
        <f t="shared" si="0"/>
        <v>5958515826</v>
      </c>
      <c r="G22" s="217">
        <v>0</v>
      </c>
      <c r="H22" s="217">
        <v>5958515826</v>
      </c>
      <c r="I22" s="217">
        <f t="shared" si="1"/>
        <v>-917691790</v>
      </c>
      <c r="J22" s="503">
        <v>4139948571</v>
      </c>
      <c r="K22" s="503">
        <v>-5639327343</v>
      </c>
      <c r="L22" s="503">
        <f t="shared" si="2"/>
        <v>-1499378772</v>
      </c>
      <c r="M22" s="503">
        <v>7048781530</v>
      </c>
      <c r="N22" s="503">
        <v>-9315948941</v>
      </c>
      <c r="O22" s="503">
        <f t="shared" si="3"/>
        <v>-2267167411</v>
      </c>
      <c r="P22" s="82"/>
      <c r="Q22" s="82"/>
      <c r="R22" s="82"/>
    </row>
    <row r="23" spans="1:18" ht="12" customHeight="1">
      <c r="A23" s="215">
        <v>16</v>
      </c>
      <c r="B23" s="216" t="s">
        <v>405</v>
      </c>
      <c r="C23" s="331">
        <v>140000000110</v>
      </c>
      <c r="D23" s="331">
        <v>106447065921</v>
      </c>
      <c r="E23" s="217">
        <f t="shared" si="4"/>
        <v>33552934189</v>
      </c>
      <c r="F23" s="217">
        <f t="shared" si="0"/>
        <v>5829634064</v>
      </c>
      <c r="G23" s="217">
        <v>0</v>
      </c>
      <c r="H23" s="217">
        <v>5829634064</v>
      </c>
      <c r="I23" s="217">
        <f t="shared" si="1"/>
        <v>27723300125</v>
      </c>
      <c r="J23" s="503">
        <v>6865284267</v>
      </c>
      <c r="K23" s="503">
        <v>-13342227731</v>
      </c>
      <c r="L23" s="503">
        <f t="shared" si="2"/>
        <v>-6476943464</v>
      </c>
      <c r="M23" s="503">
        <v>13701701229</v>
      </c>
      <c r="N23" s="503">
        <v>-29459897670</v>
      </c>
      <c r="O23" s="503">
        <f t="shared" si="3"/>
        <v>-15758196441</v>
      </c>
      <c r="P23" s="82"/>
      <c r="Q23" s="82"/>
      <c r="R23" s="82"/>
    </row>
    <row r="24" spans="1:18" ht="12" customHeight="1">
      <c r="A24" s="215">
        <v>17</v>
      </c>
      <c r="B24" s="216" t="s">
        <v>409</v>
      </c>
      <c r="C24" s="331">
        <v>11142436776</v>
      </c>
      <c r="D24" s="331">
        <v>11142436776</v>
      </c>
      <c r="E24" s="217">
        <f t="shared" si="4"/>
        <v>0</v>
      </c>
      <c r="F24" s="217">
        <f t="shared" si="0"/>
        <v>334968546</v>
      </c>
      <c r="G24" s="217">
        <v>0</v>
      </c>
      <c r="H24" s="217">
        <v>334968546</v>
      </c>
      <c r="I24" s="217">
        <f t="shared" si="1"/>
        <v>-334968546</v>
      </c>
      <c r="J24" s="503">
        <v>5344845413</v>
      </c>
      <c r="K24" s="503">
        <v>-683308317</v>
      </c>
      <c r="L24" s="503">
        <f t="shared" si="2"/>
        <v>4661537096</v>
      </c>
      <c r="M24" s="503">
        <v>578182681</v>
      </c>
      <c r="N24" s="503">
        <v>-615407202</v>
      </c>
      <c r="O24" s="503">
        <f t="shared" si="3"/>
        <v>-37224521</v>
      </c>
    </row>
    <row r="25" spans="1:18" ht="12" customHeight="1">
      <c r="A25" s="215">
        <v>18</v>
      </c>
      <c r="B25" s="216" t="s">
        <v>676</v>
      </c>
      <c r="C25" s="331">
        <v>31500000000</v>
      </c>
      <c r="D25" s="331">
        <v>31500000000</v>
      </c>
      <c r="E25" s="217">
        <f t="shared" si="4"/>
        <v>0</v>
      </c>
      <c r="F25" s="217">
        <f t="shared" si="0"/>
        <v>65858654</v>
      </c>
      <c r="G25" s="217">
        <v>0</v>
      </c>
      <c r="H25" s="217">
        <v>65858654</v>
      </c>
      <c r="I25" s="217">
        <f t="shared" si="1"/>
        <v>-65858654</v>
      </c>
      <c r="J25" s="503">
        <v>2714016599</v>
      </c>
      <c r="K25" s="503">
        <v>-5730544572</v>
      </c>
      <c r="L25" s="503">
        <f t="shared" si="2"/>
        <v>-3016527973</v>
      </c>
      <c r="M25" s="503">
        <v>7876717434</v>
      </c>
      <c r="N25" s="503">
        <v>-6550015009</v>
      </c>
      <c r="O25" s="503">
        <f t="shared" si="3"/>
        <v>1326702425</v>
      </c>
      <c r="P25" s="82"/>
      <c r="Q25" s="82"/>
      <c r="R25" s="82"/>
    </row>
    <row r="26" spans="1:18" ht="12" customHeight="1">
      <c r="A26" s="215">
        <v>19</v>
      </c>
      <c r="B26" s="216" t="s">
        <v>410</v>
      </c>
      <c r="C26" s="331">
        <v>47263677667</v>
      </c>
      <c r="D26" s="331">
        <v>26840624244</v>
      </c>
      <c r="E26" s="217">
        <f t="shared" si="4"/>
        <v>20423053423</v>
      </c>
      <c r="F26" s="217">
        <f t="shared" si="0"/>
        <v>12871653949</v>
      </c>
      <c r="G26" s="217">
        <v>0</v>
      </c>
      <c r="H26" s="217">
        <v>12871653949</v>
      </c>
      <c r="I26" s="217">
        <f t="shared" si="1"/>
        <v>7551399474</v>
      </c>
      <c r="J26" s="503">
        <v>4853700016</v>
      </c>
      <c r="K26" s="503">
        <v>-10432109326</v>
      </c>
      <c r="L26" s="503">
        <f t="shared" si="2"/>
        <v>-5578409310</v>
      </c>
      <c r="M26" s="503">
        <v>8819428143</v>
      </c>
      <c r="N26" s="503">
        <v>-15821401667</v>
      </c>
      <c r="O26" s="503">
        <f t="shared" si="3"/>
        <v>-7001973524</v>
      </c>
      <c r="P26" s="82"/>
      <c r="Q26" s="82"/>
      <c r="R26" s="82"/>
    </row>
    <row r="27" spans="1:18" ht="12" customHeight="1">
      <c r="A27" s="215">
        <v>20</v>
      </c>
      <c r="B27" s="216" t="s">
        <v>575</v>
      </c>
      <c r="C27" s="331">
        <v>314768179882</v>
      </c>
      <c r="D27" s="331">
        <v>174104545599</v>
      </c>
      <c r="E27" s="217">
        <f t="shared" si="4"/>
        <v>140663634283</v>
      </c>
      <c r="F27" s="217">
        <f t="shared" si="0"/>
        <v>96079283821</v>
      </c>
      <c r="G27" s="217">
        <v>0</v>
      </c>
      <c r="H27" s="217">
        <v>96079283821</v>
      </c>
      <c r="I27" s="217">
        <f t="shared" si="1"/>
        <v>44584350462</v>
      </c>
      <c r="J27" s="503">
        <v>69515524179</v>
      </c>
      <c r="K27" s="503">
        <v>-57432788364</v>
      </c>
      <c r="L27" s="503">
        <f t="shared" si="2"/>
        <v>12082735815</v>
      </c>
      <c r="M27" s="503">
        <v>160614161841</v>
      </c>
      <c r="N27" s="503">
        <v>-96198590593</v>
      </c>
      <c r="O27" s="503">
        <f t="shared" si="3"/>
        <v>64415571248</v>
      </c>
      <c r="P27" s="82"/>
      <c r="Q27" s="82"/>
      <c r="R27" s="82"/>
    </row>
    <row r="28" spans="1:18" ht="12" customHeight="1">
      <c r="A28" s="215">
        <v>21</v>
      </c>
      <c r="B28" s="216" t="s">
        <v>411</v>
      </c>
      <c r="C28" s="331">
        <v>5795010276</v>
      </c>
      <c r="D28" s="331">
        <v>5398253301</v>
      </c>
      <c r="E28" s="217">
        <f t="shared" si="4"/>
        <v>396756975</v>
      </c>
      <c r="F28" s="217">
        <f t="shared" si="0"/>
        <v>60194604</v>
      </c>
      <c r="G28" s="217">
        <v>0</v>
      </c>
      <c r="H28" s="217">
        <v>60194604</v>
      </c>
      <c r="I28" s="217">
        <f t="shared" si="1"/>
        <v>336562371</v>
      </c>
      <c r="J28" s="503">
        <v>0</v>
      </c>
      <c r="K28" s="503">
        <v>-212429830</v>
      </c>
      <c r="L28" s="503">
        <f t="shared" si="2"/>
        <v>-212429830</v>
      </c>
      <c r="M28" s="503">
        <v>-601746699</v>
      </c>
      <c r="N28" s="503">
        <v>-216493442</v>
      </c>
      <c r="O28" s="503">
        <f t="shared" si="3"/>
        <v>-818240141</v>
      </c>
      <c r="P28" s="82"/>
    </row>
    <row r="29" spans="1:18" ht="12" customHeight="1">
      <c r="A29" s="215">
        <v>22</v>
      </c>
      <c r="B29" s="216" t="s">
        <v>412</v>
      </c>
      <c r="C29" s="331">
        <v>92901201298</v>
      </c>
      <c r="D29" s="331">
        <v>51209213405</v>
      </c>
      <c r="E29" s="217">
        <f t="shared" si="4"/>
        <v>41691987893</v>
      </c>
      <c r="F29" s="217">
        <f t="shared" si="0"/>
        <v>25698866293</v>
      </c>
      <c r="G29" s="217">
        <v>0</v>
      </c>
      <c r="H29" s="217">
        <v>25698866293</v>
      </c>
      <c r="I29" s="217">
        <f t="shared" si="1"/>
        <v>15993121600</v>
      </c>
      <c r="J29" s="503">
        <v>20957167453</v>
      </c>
      <c r="K29" s="503">
        <v>-17700444692</v>
      </c>
      <c r="L29" s="503">
        <f t="shared" si="2"/>
        <v>3256722761</v>
      </c>
      <c r="M29" s="503">
        <v>43154657010</v>
      </c>
      <c r="N29" s="503">
        <v>-31298922726</v>
      </c>
      <c r="O29" s="503">
        <f t="shared" si="3"/>
        <v>11855734284</v>
      </c>
      <c r="P29" s="82"/>
      <c r="Q29" s="82"/>
      <c r="R29" s="82"/>
    </row>
    <row r="30" spans="1:18" ht="12" customHeight="1">
      <c r="A30" s="215">
        <v>23</v>
      </c>
      <c r="B30" s="216" t="s">
        <v>413</v>
      </c>
      <c r="C30" s="331">
        <v>19975098409</v>
      </c>
      <c r="D30" s="331">
        <v>10440597608</v>
      </c>
      <c r="E30" s="217">
        <f t="shared" si="4"/>
        <v>9534500801</v>
      </c>
      <c r="F30" s="217">
        <f t="shared" si="0"/>
        <v>3766666589</v>
      </c>
      <c r="G30" s="217">
        <v>0</v>
      </c>
      <c r="H30" s="217">
        <v>3766666589</v>
      </c>
      <c r="I30" s="217">
        <f t="shared" si="1"/>
        <v>5767834212</v>
      </c>
      <c r="J30" s="503">
        <v>7122582628</v>
      </c>
      <c r="K30" s="503">
        <v>-4439857695</v>
      </c>
      <c r="L30" s="503">
        <f t="shared" si="2"/>
        <v>2682724933</v>
      </c>
      <c r="M30" s="503">
        <v>6567878434</v>
      </c>
      <c r="N30" s="503">
        <v>-7588905491</v>
      </c>
      <c r="O30" s="503">
        <f t="shared" si="3"/>
        <v>-1021027057</v>
      </c>
      <c r="P30" s="82"/>
      <c r="Q30" s="82"/>
      <c r="R30" s="82"/>
    </row>
    <row r="31" spans="1:18" ht="12" customHeight="1">
      <c r="A31" s="215">
        <v>24</v>
      </c>
      <c r="B31" s="216" t="s">
        <v>677</v>
      </c>
      <c r="C31" s="331">
        <v>18818964068</v>
      </c>
      <c r="D31" s="331">
        <v>14663609647</v>
      </c>
      <c r="E31" s="217">
        <f t="shared" si="4"/>
        <v>4155354421</v>
      </c>
      <c r="F31" s="217">
        <f t="shared" si="0"/>
        <v>39818714</v>
      </c>
      <c r="G31" s="217">
        <v>0</v>
      </c>
      <c r="H31" s="217">
        <v>39818714</v>
      </c>
      <c r="I31" s="217">
        <f t="shared" si="1"/>
        <v>4115535707</v>
      </c>
      <c r="J31" s="503">
        <v>8751431663</v>
      </c>
      <c r="K31" s="503">
        <v>-7576392338</v>
      </c>
      <c r="L31" s="503">
        <f t="shared" si="2"/>
        <v>1175039325</v>
      </c>
      <c r="M31" s="503">
        <v>8986717238</v>
      </c>
      <c r="N31" s="503">
        <v>-10767932508</v>
      </c>
      <c r="O31" s="503">
        <f t="shared" si="3"/>
        <v>-1781215270</v>
      </c>
      <c r="P31" s="82"/>
      <c r="Q31" s="82"/>
      <c r="R31" s="82"/>
    </row>
    <row r="32" spans="1:18" ht="12" customHeight="1">
      <c r="A32" s="215">
        <v>25</v>
      </c>
      <c r="B32" s="216" t="s">
        <v>492</v>
      </c>
      <c r="C32" s="331">
        <v>37233714570</v>
      </c>
      <c r="D32" s="331">
        <v>15602001567</v>
      </c>
      <c r="E32" s="217">
        <f t="shared" si="4"/>
        <v>21631713003</v>
      </c>
      <c r="F32" s="217">
        <f t="shared" si="0"/>
        <v>17087597174</v>
      </c>
      <c r="G32" s="217">
        <v>0</v>
      </c>
      <c r="H32" s="217">
        <v>17087597174</v>
      </c>
      <c r="I32" s="217">
        <f t="shared" si="1"/>
        <v>4544115829</v>
      </c>
      <c r="J32" s="503">
        <v>6219740898</v>
      </c>
      <c r="K32" s="503">
        <v>-4530145148</v>
      </c>
      <c r="L32" s="503">
        <f t="shared" si="2"/>
        <v>1689595750</v>
      </c>
      <c r="M32" s="503">
        <v>15602001567</v>
      </c>
      <c r="N32" s="503">
        <v>-14792645356</v>
      </c>
      <c r="O32" s="503">
        <f t="shared" si="3"/>
        <v>809356211</v>
      </c>
      <c r="P32" s="82"/>
      <c r="Q32" s="82"/>
      <c r="R32" s="82"/>
    </row>
    <row r="33" spans="1:18" ht="12" customHeight="1">
      <c r="A33" s="215">
        <v>26</v>
      </c>
      <c r="B33" s="216" t="s">
        <v>678</v>
      </c>
      <c r="C33" s="331">
        <v>1960639819</v>
      </c>
      <c r="D33" s="331">
        <v>498762465</v>
      </c>
      <c r="E33" s="217">
        <f t="shared" si="4"/>
        <v>1461877354</v>
      </c>
      <c r="F33" s="217">
        <f t="shared" si="0"/>
        <v>990304830</v>
      </c>
      <c r="G33" s="217">
        <v>0</v>
      </c>
      <c r="H33" s="217">
        <v>990304830</v>
      </c>
      <c r="I33" s="217">
        <f t="shared" si="1"/>
        <v>471572524</v>
      </c>
      <c r="J33" s="503">
        <v>0</v>
      </c>
      <c r="K33" s="503">
        <v>-160745087</v>
      </c>
      <c r="L33" s="503">
        <f t="shared" si="2"/>
        <v>-160745087</v>
      </c>
      <c r="M33" s="503">
        <v>498762465</v>
      </c>
      <c r="N33" s="503">
        <v>-457983185</v>
      </c>
      <c r="O33" s="503">
        <f t="shared" si="3"/>
        <v>40779280</v>
      </c>
      <c r="P33" s="82"/>
      <c r="Q33" s="82"/>
      <c r="R33" s="82"/>
    </row>
    <row r="34" spans="1:18" ht="12" customHeight="1">
      <c r="A34" s="215">
        <v>27</v>
      </c>
      <c r="B34" s="216" t="s">
        <v>679</v>
      </c>
      <c r="C34" s="331">
        <v>23658517386</v>
      </c>
      <c r="D34" s="331">
        <v>10956618350</v>
      </c>
      <c r="E34" s="217">
        <f t="shared" si="4"/>
        <v>12701899036</v>
      </c>
      <c r="F34" s="217">
        <f t="shared" si="0"/>
        <v>9347687805</v>
      </c>
      <c r="G34" s="217">
        <v>0</v>
      </c>
      <c r="H34" s="217">
        <v>9347687805</v>
      </c>
      <c r="I34" s="217">
        <f t="shared" si="1"/>
        <v>3354211231</v>
      </c>
      <c r="J34" s="503">
        <v>5995012440</v>
      </c>
      <c r="K34" s="503">
        <v>-5228631243</v>
      </c>
      <c r="L34" s="503">
        <f t="shared" si="2"/>
        <v>766381197</v>
      </c>
      <c r="M34" s="503">
        <v>10956618350</v>
      </c>
      <c r="N34" s="503">
        <v>-10097883209</v>
      </c>
      <c r="O34" s="503">
        <f t="shared" si="3"/>
        <v>858735141</v>
      </c>
      <c r="P34" s="82"/>
      <c r="Q34" s="82"/>
      <c r="R34" s="82"/>
    </row>
    <row r="35" spans="1:18" ht="12" customHeight="1">
      <c r="A35" s="215">
        <v>28</v>
      </c>
      <c r="B35" s="216" t="s">
        <v>493</v>
      </c>
      <c r="C35" s="331">
        <v>7519255222</v>
      </c>
      <c r="D35" s="331">
        <v>3721388725</v>
      </c>
      <c r="E35" s="217">
        <f t="shared" si="4"/>
        <v>3797866497</v>
      </c>
      <c r="F35" s="217">
        <f t="shared" si="0"/>
        <v>2308527147</v>
      </c>
      <c r="G35" s="217">
        <v>0</v>
      </c>
      <c r="H35" s="217">
        <v>2308527147</v>
      </c>
      <c r="I35" s="217">
        <f t="shared" si="1"/>
        <v>1489339350</v>
      </c>
      <c r="J35" s="503">
        <v>849294703</v>
      </c>
      <c r="K35" s="503">
        <v>-661497009</v>
      </c>
      <c r="L35" s="503">
        <f t="shared" si="2"/>
        <v>187797694</v>
      </c>
      <c r="M35" s="503">
        <v>3721388725</v>
      </c>
      <c r="N35" s="503">
        <v>-3054017539</v>
      </c>
      <c r="O35" s="503">
        <f t="shared" si="3"/>
        <v>667371186</v>
      </c>
      <c r="P35" s="82"/>
      <c r="Q35" s="82"/>
      <c r="R35" s="82"/>
    </row>
    <row r="36" spans="1:18" ht="12" customHeight="1">
      <c r="A36" s="215">
        <v>29</v>
      </c>
      <c r="B36" s="216" t="s">
        <v>680</v>
      </c>
      <c r="C36" s="331">
        <v>2500000000</v>
      </c>
      <c r="D36" s="331">
        <v>2500000000</v>
      </c>
      <c r="E36" s="217">
        <f t="shared" si="4"/>
        <v>0</v>
      </c>
      <c r="F36" s="217">
        <f t="shared" si="0"/>
        <v>0</v>
      </c>
      <c r="G36" s="217">
        <v>0</v>
      </c>
      <c r="H36" s="217">
        <v>0</v>
      </c>
      <c r="I36" s="217">
        <f t="shared" si="1"/>
        <v>0</v>
      </c>
      <c r="J36" s="503">
        <v>2500000000</v>
      </c>
      <c r="K36" s="503">
        <v>-1985524462</v>
      </c>
      <c r="L36" s="503">
        <v>514486538</v>
      </c>
      <c r="M36" s="503">
        <v>2500000000</v>
      </c>
      <c r="N36" s="503">
        <v>-1785513462</v>
      </c>
      <c r="O36" s="503">
        <f t="shared" si="3"/>
        <v>714486538</v>
      </c>
      <c r="P36" s="82"/>
      <c r="Q36" s="82"/>
      <c r="R36" s="82"/>
    </row>
    <row r="37" spans="1:18" ht="12" customHeight="1">
      <c r="A37" s="215">
        <v>30</v>
      </c>
      <c r="B37" s="216" t="s">
        <v>681</v>
      </c>
      <c r="C37" s="331">
        <v>9591873710</v>
      </c>
      <c r="D37" s="331">
        <v>334773938</v>
      </c>
      <c r="E37" s="217">
        <f t="shared" si="4"/>
        <v>9257099772</v>
      </c>
      <c r="F37" s="217">
        <f t="shared" si="0"/>
        <v>8489396911</v>
      </c>
      <c r="G37" s="217">
        <v>0</v>
      </c>
      <c r="H37" s="217">
        <v>8489396911</v>
      </c>
      <c r="I37" s="217">
        <f t="shared" si="1"/>
        <v>767702861</v>
      </c>
      <c r="J37" s="503">
        <v>0</v>
      </c>
      <c r="K37" s="503">
        <v>0</v>
      </c>
      <c r="L37" s="503">
        <f t="shared" si="2"/>
        <v>0</v>
      </c>
      <c r="M37" s="503">
        <v>334773938</v>
      </c>
      <c r="N37" s="503">
        <v>-334773935</v>
      </c>
      <c r="O37" s="503">
        <v>3</v>
      </c>
      <c r="P37" s="82"/>
      <c r="Q37" s="82"/>
      <c r="R37" s="82"/>
    </row>
    <row r="38" spans="1:18" ht="12" customHeight="1">
      <c r="A38" s="215"/>
      <c r="B38" s="216" t="s">
        <v>764</v>
      </c>
      <c r="C38" s="331">
        <v>50000000000</v>
      </c>
      <c r="D38" s="331">
        <v>0</v>
      </c>
      <c r="E38" s="217">
        <v>50000000000</v>
      </c>
      <c r="F38" s="217">
        <f>H38+G38</f>
        <v>40418517308</v>
      </c>
      <c r="G38" s="217">
        <v>0</v>
      </c>
      <c r="H38" s="217">
        <v>40418517308</v>
      </c>
      <c r="I38" s="217">
        <f t="shared" si="1"/>
        <v>9581482692</v>
      </c>
      <c r="J38" s="503">
        <v>0</v>
      </c>
      <c r="K38" s="503">
        <v>0</v>
      </c>
      <c r="L38" s="503">
        <f t="shared" si="2"/>
        <v>0</v>
      </c>
      <c r="M38" s="503">
        <f t="shared" si="5"/>
        <v>0</v>
      </c>
      <c r="N38" s="503">
        <v>0</v>
      </c>
      <c r="O38" s="503">
        <f t="shared" si="3"/>
        <v>0</v>
      </c>
      <c r="P38" s="82"/>
      <c r="Q38" s="82"/>
      <c r="R38" s="82"/>
    </row>
    <row r="39" spans="1:18" ht="14.1" customHeight="1">
      <c r="A39" s="215" t="s">
        <v>414</v>
      </c>
      <c r="B39" s="216"/>
      <c r="C39" s="331">
        <f>SUM(C8:C38)</f>
        <v>2143288325870</v>
      </c>
      <c r="D39" s="331">
        <f>SUM(D8:D38)</f>
        <v>1747827511509</v>
      </c>
      <c r="E39" s="217">
        <f t="shared" si="4"/>
        <v>395460814361</v>
      </c>
      <c r="F39" s="456">
        <f>SUM(F8:F38)</f>
        <v>261089768129</v>
      </c>
      <c r="G39" s="217">
        <f t="shared" ref="G39:N39" si="6">SUM(G8:G38)</f>
        <v>0</v>
      </c>
      <c r="H39" s="217">
        <f t="shared" si="6"/>
        <v>261089768129</v>
      </c>
      <c r="I39" s="217">
        <f t="shared" si="6"/>
        <v>134371046232</v>
      </c>
      <c r="J39" s="503">
        <f>SUM(J8:J38)</f>
        <v>161824112158</v>
      </c>
      <c r="K39" s="503">
        <f>SUM(K8:K38)</f>
        <v>-171180925210</v>
      </c>
      <c r="L39" s="503">
        <v>-9356823025</v>
      </c>
      <c r="M39" s="217">
        <f>SUM(M8:M38)</f>
        <v>314540399296</v>
      </c>
      <c r="N39" s="388">
        <f t="shared" si="6"/>
        <v>-292371962805</v>
      </c>
      <c r="O39" s="503">
        <v>22168436488</v>
      </c>
      <c r="P39" s="82"/>
      <c r="Q39" s="82"/>
      <c r="R39" s="82"/>
    </row>
    <row r="40" spans="1:18" ht="14.1" customHeight="1"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387"/>
      <c r="O40" s="213"/>
      <c r="P40" s="82"/>
      <c r="Q40" s="82"/>
      <c r="R40" s="82"/>
    </row>
    <row r="41" spans="1:18" ht="14.1" customHeight="1"/>
    <row r="42" spans="1:18" ht="14.1" customHeight="1"/>
    <row r="43" spans="1:18" ht="14.1" customHeight="1"/>
    <row r="44" spans="1:18" ht="14.1" customHeight="1"/>
    <row r="45" spans="1:18" ht="14.1" customHeight="1"/>
    <row r="46" spans="1:18" ht="14.1" customHeight="1"/>
    <row r="47" spans="1:18" ht="14.1" customHeight="1"/>
    <row r="48" spans="1:18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4.1" customHeight="1"/>
    <row r="78" ht="14.1" customHeight="1"/>
    <row r="79" ht="14.1" customHeight="1"/>
    <row r="80" ht="14.1" customHeight="1"/>
    <row r="81" ht="14.1" customHeight="1"/>
    <row r="82" ht="14.1" customHeight="1"/>
    <row r="83" ht="14.1" customHeight="1"/>
    <row r="84" ht="14.1" customHeight="1"/>
  </sheetData>
  <mergeCells count="9">
    <mergeCell ref="A1:O1"/>
    <mergeCell ref="A2:O2"/>
    <mergeCell ref="A3:O3"/>
    <mergeCell ref="M6:O6"/>
    <mergeCell ref="C6:I6"/>
    <mergeCell ref="A6:A7"/>
    <mergeCell ref="B6:B7"/>
    <mergeCell ref="A4:D4"/>
    <mergeCell ref="J6:L6"/>
  </mergeCells>
  <printOptions horizontalCentered="1" verticalCentered="1"/>
  <pageMargins left="0" right="0" top="0" bottom="0" header="0.31496062992125984" footer="0.31496062992125984"/>
  <pageSetup paperSize="9" scale="96" orientation="landscape" horizontalDpi="300" verticalDpi="300" r:id="rId1"/>
  <headerFooter>
    <oddFooter>&amp;C&amp;"B Mitra,Bold"&amp;14 36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1:L38"/>
  <sheetViews>
    <sheetView rightToLeft="1" topLeftCell="B28" workbookViewId="0">
      <selection activeCell="H41" sqref="H41"/>
    </sheetView>
  </sheetViews>
  <sheetFormatPr defaultColWidth="9" defaultRowHeight="18"/>
  <cols>
    <col min="1" max="1" width="23.7109375" style="334" customWidth="1"/>
    <col min="2" max="2" width="15.7109375" style="332" customWidth="1"/>
    <col min="3" max="3" width="15.7109375" style="335" customWidth="1"/>
    <col min="4" max="8" width="15.7109375" style="332" customWidth="1"/>
    <col min="9" max="9" width="15.7109375" style="336" customWidth="1"/>
    <col min="10" max="10" width="11.140625" style="336" hidden="1" customWidth="1"/>
    <col min="11" max="11" width="12" style="332" hidden="1" customWidth="1"/>
    <col min="12" max="16384" width="9" style="332"/>
  </cols>
  <sheetData>
    <row r="1" spans="1:12" ht="18.75">
      <c r="A1" s="825" t="s">
        <v>127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</row>
    <row r="2" spans="1:12" ht="18.75">
      <c r="A2" s="825" t="s">
        <v>0</v>
      </c>
      <c r="B2" s="825"/>
      <c r="C2" s="825"/>
      <c r="D2" s="825"/>
      <c r="E2" s="825"/>
      <c r="F2" s="825"/>
      <c r="G2" s="825"/>
      <c r="H2" s="825"/>
      <c r="I2" s="825"/>
      <c r="J2" s="825"/>
      <c r="K2" s="825"/>
      <c r="L2" s="333"/>
    </row>
    <row r="3" spans="1:12" ht="18.75">
      <c r="A3" s="825" t="s">
        <v>1031</v>
      </c>
      <c r="B3" s="825"/>
      <c r="C3" s="825"/>
      <c r="D3" s="825"/>
      <c r="E3" s="825"/>
      <c r="F3" s="825"/>
      <c r="G3" s="825"/>
      <c r="H3" s="825"/>
      <c r="I3" s="825"/>
      <c r="J3" s="825"/>
      <c r="K3" s="825"/>
      <c r="L3" s="333"/>
    </row>
    <row r="5" spans="1:12">
      <c r="A5" s="826" t="s">
        <v>780</v>
      </c>
      <c r="B5" s="826"/>
      <c r="C5" s="826"/>
      <c r="D5" s="826"/>
      <c r="E5" s="333"/>
      <c r="F5" s="333"/>
      <c r="G5" s="333"/>
      <c r="H5" s="333"/>
      <c r="I5" s="333"/>
      <c r="J5" s="333"/>
      <c r="K5" s="333"/>
      <c r="L5" s="333"/>
    </row>
    <row r="6" spans="1:12">
      <c r="A6" s="818" t="s">
        <v>730</v>
      </c>
      <c r="B6" s="820" t="s">
        <v>731</v>
      </c>
      <c r="C6" s="821"/>
      <c r="D6" s="821"/>
      <c r="E6" s="821"/>
      <c r="F6" s="821"/>
      <c r="G6" s="821"/>
      <c r="H6" s="822"/>
      <c r="I6" s="823" t="s">
        <v>778</v>
      </c>
      <c r="J6" s="504"/>
      <c r="K6" s="818" t="s">
        <v>779</v>
      </c>
    </row>
    <row r="7" spans="1:12" ht="36">
      <c r="A7" s="819"/>
      <c r="B7" s="337" t="s">
        <v>755</v>
      </c>
      <c r="C7" s="338" t="s">
        <v>756</v>
      </c>
      <c r="D7" s="337" t="s">
        <v>757</v>
      </c>
      <c r="E7" s="337" t="s">
        <v>758</v>
      </c>
      <c r="F7" s="337" t="s">
        <v>759</v>
      </c>
      <c r="G7" s="337" t="s">
        <v>760</v>
      </c>
      <c r="H7" s="337" t="s">
        <v>762</v>
      </c>
      <c r="I7" s="824"/>
      <c r="J7" s="514"/>
      <c r="K7" s="819"/>
    </row>
    <row r="8" spans="1:12" ht="20.25" customHeight="1">
      <c r="A8" s="339" t="s">
        <v>397</v>
      </c>
      <c r="B8" s="337">
        <v>0</v>
      </c>
      <c r="C8" s="338">
        <v>0</v>
      </c>
      <c r="D8" s="337">
        <v>209112575</v>
      </c>
      <c r="E8" s="337"/>
      <c r="F8" s="337">
        <v>93979299</v>
      </c>
      <c r="G8" s="337"/>
      <c r="H8" s="337">
        <v>0</v>
      </c>
      <c r="I8" s="340">
        <f t="shared" ref="I8:I10" si="0">SUM(B8:H8)</f>
        <v>303091874</v>
      </c>
      <c r="J8" s="340"/>
      <c r="K8" s="337">
        <v>2</v>
      </c>
    </row>
    <row r="9" spans="1:12" ht="20.25" customHeight="1">
      <c r="A9" s="339" t="s">
        <v>733</v>
      </c>
      <c r="B9" s="337"/>
      <c r="C9" s="338"/>
      <c r="D9" s="337"/>
      <c r="E9" s="337"/>
      <c r="F9" s="337"/>
      <c r="G9" s="337"/>
      <c r="H9" s="337"/>
      <c r="I9" s="340">
        <f t="shared" si="0"/>
        <v>0</v>
      </c>
      <c r="J9" s="340"/>
      <c r="K9" s="337">
        <v>473</v>
      </c>
    </row>
    <row r="10" spans="1:12" ht="20.25" customHeight="1">
      <c r="A10" s="339" t="s">
        <v>734</v>
      </c>
      <c r="B10" s="337"/>
      <c r="C10" s="338"/>
      <c r="D10" s="337"/>
      <c r="E10" s="337"/>
      <c r="F10" s="337"/>
      <c r="G10" s="337"/>
      <c r="H10" s="337"/>
      <c r="I10" s="340">
        <f t="shared" si="0"/>
        <v>0</v>
      </c>
      <c r="J10" s="340"/>
      <c r="K10" s="337">
        <v>-1466</v>
      </c>
    </row>
    <row r="11" spans="1:12" ht="20.25" customHeight="1">
      <c r="A11" s="339" t="s">
        <v>735</v>
      </c>
      <c r="B11" s="337">
        <v>0</v>
      </c>
      <c r="C11" s="338">
        <v>0</v>
      </c>
      <c r="D11" s="337">
        <v>46562663</v>
      </c>
      <c r="E11" s="337"/>
      <c r="F11" s="337"/>
      <c r="G11" s="337">
        <v>60923113</v>
      </c>
      <c r="H11" s="337">
        <v>0</v>
      </c>
      <c r="I11" s="340">
        <f>SUM(B11:H11)</f>
        <v>107485776</v>
      </c>
      <c r="J11" s="340"/>
      <c r="K11" s="337">
        <v>415</v>
      </c>
    </row>
    <row r="12" spans="1:12" ht="20.25" customHeight="1">
      <c r="A12" s="339" t="s">
        <v>736</v>
      </c>
      <c r="B12" s="337">
        <v>0</v>
      </c>
      <c r="C12" s="338">
        <v>11043760</v>
      </c>
      <c r="D12" s="337">
        <v>139688240</v>
      </c>
      <c r="E12" s="337"/>
      <c r="F12" s="337"/>
      <c r="G12" s="337">
        <v>91159999</v>
      </c>
      <c r="H12" s="337">
        <v>0</v>
      </c>
      <c r="I12" s="340">
        <f t="shared" ref="I12:I35" si="1">SUM(B12:H12)</f>
        <v>241891999</v>
      </c>
      <c r="J12" s="340"/>
      <c r="K12" s="337">
        <v>113</v>
      </c>
    </row>
    <row r="13" spans="1:12" ht="20.25" customHeight="1">
      <c r="A13" s="339" t="s">
        <v>737</v>
      </c>
      <c r="B13" s="337">
        <v>3000857</v>
      </c>
      <c r="C13" s="338">
        <v>2041500</v>
      </c>
      <c r="D13" s="337">
        <v>4594500</v>
      </c>
      <c r="E13" s="337"/>
      <c r="F13" s="337">
        <v>3711000</v>
      </c>
      <c r="G13" s="337">
        <v>0</v>
      </c>
      <c r="H13" s="337">
        <v>4713625140</v>
      </c>
      <c r="I13" s="340">
        <f t="shared" si="1"/>
        <v>4726972997</v>
      </c>
      <c r="J13" s="340"/>
      <c r="K13" s="337">
        <v>68</v>
      </c>
    </row>
    <row r="14" spans="1:12" ht="20.25" customHeight="1">
      <c r="A14" s="339" t="s">
        <v>738</v>
      </c>
      <c r="B14" s="337">
        <v>0</v>
      </c>
      <c r="C14" s="338">
        <v>0</v>
      </c>
      <c r="D14" s="337">
        <v>0</v>
      </c>
      <c r="E14" s="337">
        <v>3563385</v>
      </c>
      <c r="F14" s="337">
        <v>144477523</v>
      </c>
      <c r="G14" s="337">
        <v>0</v>
      </c>
      <c r="H14" s="337">
        <v>0</v>
      </c>
      <c r="I14" s="340">
        <f t="shared" si="1"/>
        <v>148040908</v>
      </c>
      <c r="J14" s="340"/>
      <c r="K14" s="337">
        <v>7</v>
      </c>
    </row>
    <row r="15" spans="1:12" ht="20.25" customHeight="1">
      <c r="A15" s="339" t="s">
        <v>739</v>
      </c>
      <c r="B15" s="337">
        <v>1095489896</v>
      </c>
      <c r="C15" s="338">
        <v>63972131</v>
      </c>
      <c r="D15" s="337">
        <v>185225669</v>
      </c>
      <c r="E15" s="337">
        <v>25613734</v>
      </c>
      <c r="F15" s="337">
        <v>63107000</v>
      </c>
      <c r="G15" s="337">
        <v>149825644</v>
      </c>
      <c r="H15" s="337">
        <v>1661592505</v>
      </c>
      <c r="I15" s="340">
        <f t="shared" si="1"/>
        <v>3244826579</v>
      </c>
      <c r="J15" s="340"/>
      <c r="K15" s="337"/>
    </row>
    <row r="16" spans="1:12" ht="20.25" customHeight="1">
      <c r="A16" s="339" t="s">
        <v>740</v>
      </c>
      <c r="B16" s="337">
        <v>0</v>
      </c>
      <c r="C16" s="338">
        <v>48964361</v>
      </c>
      <c r="D16" s="337">
        <v>268397530</v>
      </c>
      <c r="E16" s="337">
        <v>2950878</v>
      </c>
      <c r="F16" s="337">
        <v>25811000</v>
      </c>
      <c r="G16" s="351">
        <v>-4756164</v>
      </c>
      <c r="H16" s="337">
        <v>0</v>
      </c>
      <c r="I16" s="340">
        <f t="shared" si="1"/>
        <v>341367605</v>
      </c>
      <c r="J16" s="340"/>
      <c r="K16" s="337">
        <v>94</v>
      </c>
    </row>
    <row r="17" spans="1:11" ht="20.25" customHeight="1">
      <c r="A17" s="339" t="s">
        <v>741</v>
      </c>
      <c r="B17" s="337">
        <v>719938464</v>
      </c>
      <c r="C17" s="338">
        <v>14964499</v>
      </c>
      <c r="D17" s="337">
        <v>7208256731</v>
      </c>
      <c r="E17" s="337">
        <v>124562140</v>
      </c>
      <c r="F17" s="337">
        <v>8505000</v>
      </c>
      <c r="G17" s="337">
        <v>396329773</v>
      </c>
      <c r="H17" s="337">
        <v>10616395482</v>
      </c>
      <c r="I17" s="340">
        <f t="shared" si="1"/>
        <v>19088952089</v>
      </c>
      <c r="J17" s="340"/>
      <c r="K17" s="337">
        <v>33515</v>
      </c>
    </row>
    <row r="18" spans="1:11" ht="20.25" customHeight="1">
      <c r="A18" s="339" t="s">
        <v>742</v>
      </c>
      <c r="B18" s="337">
        <v>944335</v>
      </c>
      <c r="C18" s="338">
        <v>0</v>
      </c>
      <c r="D18" s="337">
        <v>308306722</v>
      </c>
      <c r="E18" s="337">
        <v>18828801</v>
      </c>
      <c r="F18" s="337">
        <v>0</v>
      </c>
      <c r="G18" s="337">
        <v>0</v>
      </c>
      <c r="H18" s="337">
        <v>0</v>
      </c>
      <c r="I18" s="340">
        <f t="shared" si="1"/>
        <v>328079858</v>
      </c>
      <c r="J18" s="340"/>
      <c r="K18" s="337">
        <v>2367</v>
      </c>
    </row>
    <row r="19" spans="1:11" ht="20.25" customHeight="1">
      <c r="A19" s="339" t="s">
        <v>406</v>
      </c>
      <c r="B19" s="337">
        <v>2507832384</v>
      </c>
      <c r="C19" s="338">
        <v>138460876</v>
      </c>
      <c r="D19" s="351">
        <v>-347663827</v>
      </c>
      <c r="E19" s="337">
        <v>123465581</v>
      </c>
      <c r="F19" s="337">
        <v>21940575</v>
      </c>
      <c r="G19" s="337">
        <v>86903275</v>
      </c>
      <c r="H19" s="337">
        <v>680627345</v>
      </c>
      <c r="I19" s="340">
        <f t="shared" si="1"/>
        <v>3211566209</v>
      </c>
      <c r="J19" s="340"/>
      <c r="K19" s="337">
        <v>15105</v>
      </c>
    </row>
    <row r="20" spans="1:11" ht="20.25" customHeight="1">
      <c r="A20" s="339" t="s">
        <v>743</v>
      </c>
      <c r="B20" s="337">
        <v>1503952516</v>
      </c>
      <c r="C20" s="338">
        <v>148586700</v>
      </c>
      <c r="D20" s="337">
        <v>1553349704</v>
      </c>
      <c r="E20" s="337">
        <v>14845040</v>
      </c>
      <c r="F20" s="337">
        <v>88537576</v>
      </c>
      <c r="G20" s="337">
        <v>46773076</v>
      </c>
      <c r="H20" s="337">
        <v>2602471214</v>
      </c>
      <c r="I20" s="340">
        <f t="shared" si="1"/>
        <v>5958515826</v>
      </c>
      <c r="J20" s="340"/>
      <c r="K20" s="337">
        <v>9316</v>
      </c>
    </row>
    <row r="21" spans="1:11" ht="20.25" customHeight="1">
      <c r="A21" s="339" t="s">
        <v>744</v>
      </c>
      <c r="B21" s="337">
        <v>1504868882</v>
      </c>
      <c r="C21" s="338">
        <v>122046100</v>
      </c>
      <c r="D21" s="337">
        <v>1257733637</v>
      </c>
      <c r="E21" s="337">
        <v>161315387</v>
      </c>
      <c r="F21" s="337">
        <v>10269072</v>
      </c>
      <c r="G21" s="337">
        <v>454837469</v>
      </c>
      <c r="H21" s="337">
        <v>2318563517</v>
      </c>
      <c r="I21" s="340">
        <f t="shared" si="1"/>
        <v>5829634064</v>
      </c>
      <c r="J21" s="340"/>
      <c r="K21" s="337">
        <v>29460</v>
      </c>
    </row>
    <row r="22" spans="1:11" ht="20.25" customHeight="1">
      <c r="A22" s="339" t="s">
        <v>135</v>
      </c>
      <c r="B22" s="337">
        <v>0</v>
      </c>
      <c r="C22" s="338">
        <v>0</v>
      </c>
      <c r="D22" s="337">
        <v>334968546</v>
      </c>
      <c r="E22" s="337">
        <v>0</v>
      </c>
      <c r="F22" s="337">
        <v>0</v>
      </c>
      <c r="G22" s="337">
        <v>0</v>
      </c>
      <c r="H22" s="337">
        <v>0</v>
      </c>
      <c r="I22" s="340">
        <f t="shared" si="1"/>
        <v>334968546</v>
      </c>
      <c r="J22" s="340"/>
      <c r="K22" s="337">
        <v>617</v>
      </c>
    </row>
    <row r="23" spans="1:11" ht="20.25" customHeight="1">
      <c r="A23" s="339" t="s">
        <v>745</v>
      </c>
      <c r="B23" s="337">
        <v>2399220</v>
      </c>
      <c r="C23" s="338">
        <v>4451000</v>
      </c>
      <c r="D23" s="337">
        <v>14416600</v>
      </c>
      <c r="E23" s="337">
        <v>0</v>
      </c>
      <c r="F23" s="337">
        <v>0</v>
      </c>
      <c r="G23" s="337">
        <v>44569834</v>
      </c>
      <c r="H23" s="337">
        <v>22000</v>
      </c>
      <c r="I23" s="340">
        <f t="shared" si="1"/>
        <v>65858654</v>
      </c>
      <c r="J23" s="340"/>
      <c r="K23" s="337">
        <v>6550</v>
      </c>
    </row>
    <row r="24" spans="1:11" ht="20.25" customHeight="1">
      <c r="A24" s="339" t="s">
        <v>746</v>
      </c>
      <c r="B24" s="337">
        <v>4767175947</v>
      </c>
      <c r="C24" s="338">
        <v>478478210</v>
      </c>
      <c r="D24" s="337">
        <v>4195733252</v>
      </c>
      <c r="E24" s="337">
        <v>132025547</v>
      </c>
      <c r="F24" s="337">
        <v>88523600</v>
      </c>
      <c r="G24" s="337">
        <v>93215192</v>
      </c>
      <c r="H24" s="337">
        <v>3116502201</v>
      </c>
      <c r="I24" s="340">
        <f t="shared" si="1"/>
        <v>12871653949</v>
      </c>
      <c r="J24" s="340"/>
      <c r="K24" s="337">
        <v>15821</v>
      </c>
    </row>
    <row r="25" spans="1:11" ht="20.25" customHeight="1">
      <c r="A25" s="339" t="s">
        <v>575</v>
      </c>
      <c r="B25" s="337">
        <v>7903177868</v>
      </c>
      <c r="C25" s="338">
        <v>923628041</v>
      </c>
      <c r="D25" s="337">
        <v>61127167656</v>
      </c>
      <c r="E25" s="337">
        <v>322560045</v>
      </c>
      <c r="F25" s="337">
        <v>587675576</v>
      </c>
      <c r="G25" s="337">
        <v>1866163</v>
      </c>
      <c r="H25" s="337">
        <v>25213208472</v>
      </c>
      <c r="I25" s="340">
        <f t="shared" si="1"/>
        <v>96079283821</v>
      </c>
      <c r="J25" s="340"/>
      <c r="K25" s="337">
        <v>96199</v>
      </c>
    </row>
    <row r="26" spans="1:11" ht="20.25" customHeight="1">
      <c r="A26" s="339" t="s">
        <v>781</v>
      </c>
      <c r="B26" s="337">
        <v>60164604</v>
      </c>
      <c r="C26" s="338">
        <v>0</v>
      </c>
      <c r="D26" s="337">
        <v>0</v>
      </c>
      <c r="E26" s="337">
        <v>0</v>
      </c>
      <c r="F26" s="337">
        <v>0</v>
      </c>
      <c r="G26" s="337">
        <v>30000</v>
      </c>
      <c r="H26" s="337">
        <v>0</v>
      </c>
      <c r="I26" s="340">
        <f t="shared" si="1"/>
        <v>60194604</v>
      </c>
      <c r="J26" s="340"/>
      <c r="K26" s="337">
        <v>216</v>
      </c>
    </row>
    <row r="27" spans="1:11" ht="20.25" customHeight="1">
      <c r="A27" s="339" t="s">
        <v>412</v>
      </c>
      <c r="B27" s="337">
        <v>3911006347</v>
      </c>
      <c r="C27" s="338">
        <v>983602099</v>
      </c>
      <c r="D27" s="337">
        <v>3651611550</v>
      </c>
      <c r="E27" s="337">
        <v>224181783</v>
      </c>
      <c r="F27" s="337">
        <v>2064000</v>
      </c>
      <c r="G27" s="337">
        <v>3396250</v>
      </c>
      <c r="H27" s="337">
        <v>16923004264</v>
      </c>
      <c r="I27" s="340">
        <f t="shared" si="1"/>
        <v>25698866293</v>
      </c>
      <c r="J27" s="340"/>
      <c r="K27" s="337">
        <v>31298</v>
      </c>
    </row>
    <row r="28" spans="1:11" ht="20.25" customHeight="1">
      <c r="A28" s="339" t="s">
        <v>747</v>
      </c>
      <c r="B28" s="337">
        <v>356628638</v>
      </c>
      <c r="C28" s="338">
        <v>469000</v>
      </c>
      <c r="D28" s="337">
        <v>1333586334</v>
      </c>
      <c r="E28" s="337">
        <v>2935733</v>
      </c>
      <c r="F28" s="337">
        <v>733000</v>
      </c>
      <c r="G28" s="337">
        <v>65000</v>
      </c>
      <c r="H28" s="337">
        <v>2072248884</v>
      </c>
      <c r="I28" s="340">
        <f t="shared" si="1"/>
        <v>3766666589</v>
      </c>
      <c r="J28" s="340"/>
      <c r="K28" s="337">
        <v>7588</v>
      </c>
    </row>
    <row r="29" spans="1:11" ht="20.25" customHeight="1">
      <c r="A29" s="339" t="s">
        <v>748</v>
      </c>
      <c r="B29" s="337">
        <v>0</v>
      </c>
      <c r="C29" s="338">
        <v>0</v>
      </c>
      <c r="D29" s="337">
        <v>661000</v>
      </c>
      <c r="E29" s="337">
        <v>0</v>
      </c>
      <c r="F29" s="337">
        <v>0</v>
      </c>
      <c r="G29" s="337">
        <v>39157714</v>
      </c>
      <c r="H29" s="337">
        <v>0</v>
      </c>
      <c r="I29" s="340">
        <f t="shared" si="1"/>
        <v>39818714</v>
      </c>
      <c r="J29" s="340"/>
      <c r="K29" s="337">
        <v>10767</v>
      </c>
    </row>
    <row r="30" spans="1:11" ht="20.25" customHeight="1">
      <c r="A30" s="339" t="s">
        <v>749</v>
      </c>
      <c r="B30" s="337">
        <v>2275839186</v>
      </c>
      <c r="C30" s="338">
        <v>180778604</v>
      </c>
      <c r="D30" s="337">
        <v>1220974911</v>
      </c>
      <c r="E30" s="337">
        <v>171645719</v>
      </c>
      <c r="F30" s="337">
        <v>118250786</v>
      </c>
      <c r="G30" s="337">
        <v>555715881</v>
      </c>
      <c r="H30" s="337">
        <v>12564392087</v>
      </c>
      <c r="I30" s="340">
        <f t="shared" si="1"/>
        <v>17087597174</v>
      </c>
      <c r="J30" s="340"/>
      <c r="K30" s="337">
        <v>14792</v>
      </c>
    </row>
    <row r="31" spans="1:11" ht="20.25" customHeight="1">
      <c r="A31" s="339" t="s">
        <v>578</v>
      </c>
      <c r="B31" s="337">
        <v>1613246253</v>
      </c>
      <c r="C31" s="338">
        <v>86670550</v>
      </c>
      <c r="D31" s="337">
        <v>4432885068</v>
      </c>
      <c r="E31" s="337">
        <v>59113537</v>
      </c>
      <c r="F31" s="337">
        <v>80809802</v>
      </c>
      <c r="G31" s="337">
        <v>121929999</v>
      </c>
      <c r="H31" s="337">
        <v>2953032596</v>
      </c>
      <c r="I31" s="340">
        <f>SUM(B31:H31)</f>
        <v>9347687805</v>
      </c>
      <c r="J31" s="340"/>
      <c r="K31" s="337">
        <v>458</v>
      </c>
    </row>
    <row r="32" spans="1:11" ht="20.25" customHeight="1">
      <c r="A32" s="339" t="s">
        <v>990</v>
      </c>
      <c r="B32" s="337">
        <v>448057562</v>
      </c>
      <c r="C32" s="338">
        <v>36580600</v>
      </c>
      <c r="D32" s="337">
        <v>264579517</v>
      </c>
      <c r="E32" s="337">
        <v>2296388</v>
      </c>
      <c r="F32" s="337">
        <v>4723500</v>
      </c>
      <c r="G32" s="337">
        <v>68482491</v>
      </c>
      <c r="H32" s="337">
        <v>165584772</v>
      </c>
      <c r="I32" s="340">
        <f t="shared" si="1"/>
        <v>990304830</v>
      </c>
      <c r="J32" s="340"/>
      <c r="K32" s="337">
        <v>10098</v>
      </c>
    </row>
    <row r="33" spans="1:11" ht="20.25" customHeight="1">
      <c r="A33" s="339" t="s">
        <v>750</v>
      </c>
      <c r="B33" s="337">
        <v>456376573</v>
      </c>
      <c r="C33" s="338">
        <v>41949990</v>
      </c>
      <c r="D33" s="337">
        <v>462918957</v>
      </c>
      <c r="E33" s="337">
        <v>72119965</v>
      </c>
      <c r="F33" s="337">
        <v>28415232</v>
      </c>
      <c r="G33" s="337">
        <v>103861438</v>
      </c>
      <c r="H33" s="337">
        <v>1142884992</v>
      </c>
      <c r="I33" s="340">
        <f t="shared" si="1"/>
        <v>2308527147</v>
      </c>
      <c r="J33" s="340"/>
      <c r="K33" s="337">
        <v>3054</v>
      </c>
    </row>
    <row r="34" spans="1:11" ht="20.25" customHeight="1">
      <c r="A34" s="339" t="s">
        <v>681</v>
      </c>
      <c r="B34" s="337">
        <v>673620601</v>
      </c>
      <c r="C34" s="338">
        <v>135064925</v>
      </c>
      <c r="D34" s="337">
        <v>4388316190</v>
      </c>
      <c r="E34" s="337">
        <v>12162916</v>
      </c>
      <c r="F34" s="337">
        <v>0</v>
      </c>
      <c r="G34" s="337">
        <v>1696692</v>
      </c>
      <c r="H34" s="337">
        <v>3278535587</v>
      </c>
      <c r="I34" s="340">
        <f t="shared" si="1"/>
        <v>8489396911</v>
      </c>
      <c r="J34" s="340"/>
      <c r="K34" s="337">
        <v>335</v>
      </c>
    </row>
    <row r="35" spans="1:11" ht="20.25" customHeight="1">
      <c r="A35" s="339" t="s">
        <v>764</v>
      </c>
      <c r="B35" s="337">
        <v>722112039</v>
      </c>
      <c r="C35" s="338">
        <v>108374450</v>
      </c>
      <c r="D35" s="337">
        <v>37742328449</v>
      </c>
      <c r="E35" s="337">
        <v>0</v>
      </c>
      <c r="F35" s="337">
        <v>952160688</v>
      </c>
      <c r="G35" s="337">
        <v>236014782</v>
      </c>
      <c r="H35" s="337">
        <v>657526900</v>
      </c>
      <c r="I35" s="340">
        <f t="shared" si="1"/>
        <v>40418517308</v>
      </c>
      <c r="J35" s="340"/>
      <c r="K35" s="337"/>
    </row>
    <row r="36" spans="1:11" ht="20.25" customHeight="1">
      <c r="A36" s="339" t="s">
        <v>148</v>
      </c>
      <c r="B36" s="337">
        <f>SUM(B8:B35)</f>
        <v>30525832172</v>
      </c>
      <c r="C36" s="338">
        <f t="shared" ref="C36:I36" si="2">SUM(C8:C35)</f>
        <v>3530127396</v>
      </c>
      <c r="D36" s="337">
        <f t="shared" si="2"/>
        <v>130003712174</v>
      </c>
      <c r="E36" s="337">
        <f t="shared" si="2"/>
        <v>1474186579</v>
      </c>
      <c r="F36" s="337">
        <f t="shared" si="2"/>
        <v>2323694229</v>
      </c>
      <c r="G36" s="337">
        <f t="shared" si="2"/>
        <v>2551997621</v>
      </c>
      <c r="H36" s="337">
        <f t="shared" si="2"/>
        <v>90680217958</v>
      </c>
      <c r="I36" s="340">
        <f t="shared" si="2"/>
        <v>261089768129</v>
      </c>
      <c r="J36" s="340"/>
      <c r="K36" s="337">
        <v>292372</v>
      </c>
    </row>
    <row r="38" spans="1:11" ht="16.5" customHeight="1"/>
  </sheetData>
  <mergeCells count="8">
    <mergeCell ref="A6:A7"/>
    <mergeCell ref="B6:H6"/>
    <mergeCell ref="I6:I7"/>
    <mergeCell ref="K6:K7"/>
    <mergeCell ref="A1:K1"/>
    <mergeCell ref="A2:K2"/>
    <mergeCell ref="A3:K3"/>
    <mergeCell ref="A5:D5"/>
  </mergeCells>
  <printOptions horizontalCentered="1" verticalCentered="1"/>
  <pageMargins left="0" right="0" top="0" bottom="0" header="0" footer="0"/>
  <pageSetup paperSize="9" scale="75" orientation="landscape" horizontalDpi="300" verticalDpi="300" r:id="rId1"/>
  <headerFooter>
    <oddFooter>&amp;C&amp;"B Mitra,Bold"&amp;14 37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K39"/>
  <sheetViews>
    <sheetView rightToLeft="1" topLeftCell="A10" workbookViewId="0">
      <selection activeCell="J16" sqref="J16"/>
    </sheetView>
  </sheetViews>
  <sheetFormatPr defaultColWidth="9" defaultRowHeight="17.25"/>
  <cols>
    <col min="1" max="1" width="35.7109375" style="69" customWidth="1"/>
    <col min="2" max="2" width="9.140625" style="69"/>
    <col min="3" max="3" width="1.42578125" style="69" customWidth="1"/>
    <col min="4" max="4" width="14.85546875" style="311" customWidth="1"/>
    <col min="5" max="5" width="2.28515625" style="499" customWidth="1"/>
    <col min="6" max="6" width="13" style="499" customWidth="1"/>
    <col min="7" max="7" width="2.42578125" style="314" customWidth="1"/>
    <col min="8" max="8" width="14.42578125" style="314" customWidth="1"/>
    <col min="9" max="9" width="14.5703125" style="109" customWidth="1"/>
    <col min="10" max="16384" width="9" style="55"/>
  </cols>
  <sheetData>
    <row r="1" spans="1:11" ht="22.5">
      <c r="A1" s="703" t="s">
        <v>127</v>
      </c>
      <c r="B1" s="703"/>
      <c r="C1" s="703"/>
      <c r="D1" s="703"/>
      <c r="E1" s="703"/>
      <c r="F1" s="703"/>
      <c r="G1" s="703"/>
      <c r="H1" s="703"/>
      <c r="I1" s="390"/>
    </row>
    <row r="2" spans="1:11" ht="22.5">
      <c r="A2" s="703" t="s">
        <v>0</v>
      </c>
      <c r="B2" s="703"/>
      <c r="C2" s="703"/>
      <c r="D2" s="703"/>
      <c r="E2" s="703"/>
      <c r="F2" s="703"/>
      <c r="G2" s="703"/>
      <c r="H2" s="703"/>
      <c r="I2" s="390"/>
    </row>
    <row r="3" spans="1:11" ht="22.5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  <c r="K3" s="62"/>
    </row>
    <row r="4" spans="1:11" ht="31.5" customHeight="1">
      <c r="A4" s="405"/>
      <c r="B4" s="405"/>
      <c r="C4" s="405"/>
      <c r="D4" s="405"/>
      <c r="E4" s="498"/>
      <c r="F4" s="498"/>
      <c r="G4" s="405"/>
      <c r="H4" s="405"/>
      <c r="I4" s="62"/>
      <c r="J4" s="62"/>
      <c r="K4" s="62"/>
    </row>
    <row r="5" spans="1:11" ht="18.75">
      <c r="A5" s="747" t="s">
        <v>415</v>
      </c>
      <c r="B5" s="747"/>
    </row>
    <row r="6" spans="1:11" ht="18">
      <c r="A6" s="87"/>
      <c r="B6" s="87"/>
      <c r="C6" s="87"/>
      <c r="D6" s="689" t="s">
        <v>721</v>
      </c>
      <c r="E6" s="98"/>
      <c r="F6" s="694" t="s">
        <v>967</v>
      </c>
      <c r="G6" s="98"/>
      <c r="H6" s="677" t="s">
        <v>25</v>
      </c>
      <c r="I6" s="98"/>
    </row>
    <row r="7" spans="1:11" ht="18">
      <c r="A7" s="87"/>
      <c r="B7" s="87"/>
      <c r="C7" s="87"/>
      <c r="D7" s="673" t="s">
        <v>725</v>
      </c>
      <c r="E7" s="673"/>
      <c r="F7" s="521" t="s">
        <v>725</v>
      </c>
      <c r="G7" s="674"/>
      <c r="H7" s="674" t="s">
        <v>725</v>
      </c>
      <c r="I7" s="124"/>
    </row>
    <row r="8" spans="1:11" ht="18">
      <c r="A8" s="617" t="s">
        <v>1016</v>
      </c>
      <c r="B8" s="87"/>
      <c r="C8" s="87"/>
      <c r="D8" s="673">
        <v>1786362095</v>
      </c>
      <c r="E8" s="673"/>
      <c r="F8" s="673">
        <v>25999092628</v>
      </c>
      <c r="G8" s="674"/>
      <c r="H8" s="673">
        <v>39073000000</v>
      </c>
      <c r="I8" s="67"/>
    </row>
    <row r="9" spans="1:11" ht="18.75" thickBot="1">
      <c r="A9" s="87"/>
      <c r="B9" s="87"/>
      <c r="C9" s="87"/>
      <c r="D9" s="99">
        <f>SUM(D8)</f>
        <v>1786362095</v>
      </c>
      <c r="E9" s="123"/>
      <c r="F9" s="99">
        <f>SUM(F8)</f>
        <v>25999092628</v>
      </c>
      <c r="G9" s="674"/>
      <c r="H9" s="99">
        <f>SUM(H8:H8)</f>
        <v>39073000000</v>
      </c>
      <c r="I9" s="123"/>
    </row>
    <row r="10" spans="1:11" ht="32.25" customHeight="1" thickTop="1">
      <c r="A10" s="404"/>
      <c r="B10" s="404"/>
      <c r="C10" s="404"/>
      <c r="D10" s="123"/>
      <c r="E10" s="123"/>
      <c r="F10" s="123"/>
      <c r="G10" s="674"/>
      <c r="H10" s="123"/>
      <c r="I10" s="123"/>
    </row>
    <row r="11" spans="1:11" ht="18.75">
      <c r="A11" s="747" t="s">
        <v>416</v>
      </c>
      <c r="B11" s="747"/>
      <c r="C11" s="18"/>
      <c r="D11" s="671"/>
      <c r="E11" s="671"/>
      <c r="F11" s="671"/>
      <c r="G11" s="671"/>
      <c r="H11" s="671"/>
      <c r="I11" s="124"/>
    </row>
    <row r="12" spans="1:11" ht="18.75">
      <c r="A12" s="21" t="s">
        <v>417</v>
      </c>
      <c r="B12" s="18"/>
      <c r="C12" s="18"/>
      <c r="D12" s="671"/>
      <c r="E12" s="671"/>
      <c r="F12" s="671"/>
      <c r="G12" s="671"/>
      <c r="H12" s="671"/>
      <c r="I12" s="124"/>
    </row>
    <row r="13" spans="1:11" ht="18">
      <c r="A13" s="18"/>
      <c r="B13" s="18"/>
      <c r="C13" s="18"/>
      <c r="D13" s="689" t="s">
        <v>721</v>
      </c>
      <c r="E13" s="98"/>
      <c r="F13" s="694" t="s">
        <v>967</v>
      </c>
      <c r="G13" s="98"/>
      <c r="H13" s="677" t="s">
        <v>25</v>
      </c>
    </row>
    <row r="14" spans="1:11" ht="18">
      <c r="A14" s="18"/>
      <c r="B14" s="18"/>
      <c r="C14" s="18"/>
      <c r="D14" s="671" t="s">
        <v>725</v>
      </c>
      <c r="E14" s="671"/>
      <c r="F14" s="521" t="s">
        <v>725</v>
      </c>
      <c r="G14" s="671"/>
      <c r="H14" s="671" t="s">
        <v>725</v>
      </c>
    </row>
    <row r="15" spans="1:11" ht="18">
      <c r="A15" s="18" t="s">
        <v>418</v>
      </c>
      <c r="B15" s="18"/>
      <c r="C15" s="18"/>
      <c r="D15" s="449">
        <v>9753468506</v>
      </c>
      <c r="E15" s="449"/>
      <c r="F15" s="449">
        <v>8693053119</v>
      </c>
      <c r="G15" s="449"/>
      <c r="H15" s="449">
        <v>13673009112</v>
      </c>
      <c r="K15" s="460"/>
    </row>
    <row r="16" spans="1:11" ht="18">
      <c r="A16" s="18" t="s">
        <v>419</v>
      </c>
      <c r="B16" s="18"/>
      <c r="C16" s="18"/>
      <c r="D16" s="449">
        <v>1667349686</v>
      </c>
      <c r="E16" s="449"/>
      <c r="F16" s="449">
        <v>1415327062</v>
      </c>
      <c r="G16" s="449"/>
      <c r="H16" s="449">
        <v>1872603979</v>
      </c>
    </row>
    <row r="17" spans="1:8" ht="18">
      <c r="A17" s="18" t="s">
        <v>420</v>
      </c>
      <c r="B17" s="18"/>
      <c r="C17" s="18"/>
      <c r="D17" s="449">
        <v>437167751</v>
      </c>
      <c r="E17" s="449"/>
      <c r="F17" s="449">
        <v>577099551</v>
      </c>
      <c r="G17" s="449"/>
      <c r="H17" s="449">
        <v>828273477</v>
      </c>
    </row>
    <row r="18" spans="1:8" ht="18">
      <c r="A18" s="18" t="s">
        <v>421</v>
      </c>
      <c r="B18" s="18"/>
      <c r="C18" s="18"/>
      <c r="D18" s="449">
        <v>3711346615</v>
      </c>
      <c r="E18" s="449"/>
      <c r="F18" s="449">
        <v>4919950462</v>
      </c>
      <c r="G18" s="449"/>
      <c r="H18" s="449">
        <v>5013583796</v>
      </c>
    </row>
    <row r="19" spans="1:8" ht="18">
      <c r="A19" s="18" t="s">
        <v>422</v>
      </c>
      <c r="B19" s="18"/>
      <c r="C19" s="18"/>
      <c r="D19" s="449"/>
      <c r="E19" s="449"/>
      <c r="F19" s="449">
        <v>892752366</v>
      </c>
      <c r="G19" s="449"/>
      <c r="H19" s="449">
        <v>1457843033</v>
      </c>
    </row>
    <row r="20" spans="1:8" ht="18">
      <c r="A20" s="18" t="s">
        <v>423</v>
      </c>
      <c r="B20" s="18"/>
      <c r="C20" s="18"/>
      <c r="D20" s="449">
        <v>1329306352</v>
      </c>
      <c r="E20" s="449"/>
      <c r="F20" s="449">
        <v>419978134</v>
      </c>
      <c r="G20" s="449"/>
      <c r="H20" s="449">
        <v>441364724</v>
      </c>
    </row>
    <row r="21" spans="1:8" ht="18">
      <c r="A21" s="18" t="s">
        <v>187</v>
      </c>
      <c r="B21" s="18"/>
      <c r="C21" s="18"/>
      <c r="D21" s="449">
        <v>40000000</v>
      </c>
      <c r="E21" s="449"/>
      <c r="F21" s="449">
        <v>0</v>
      </c>
      <c r="G21" s="449"/>
      <c r="H21" s="449">
        <v>722000000</v>
      </c>
    </row>
    <row r="22" spans="1:8" ht="18">
      <c r="A22" s="18" t="s">
        <v>424</v>
      </c>
      <c r="B22" s="18"/>
      <c r="C22" s="18"/>
      <c r="D22" s="449">
        <v>79362000</v>
      </c>
      <c r="E22" s="449"/>
      <c r="F22" s="449">
        <v>156482500</v>
      </c>
      <c r="G22" s="449"/>
      <c r="H22" s="449">
        <v>275943000</v>
      </c>
    </row>
    <row r="23" spans="1:8" ht="18">
      <c r="A23" s="18" t="s">
        <v>425</v>
      </c>
      <c r="B23" s="18"/>
      <c r="C23" s="18"/>
      <c r="D23" s="449">
        <v>1686573710</v>
      </c>
      <c r="E23" s="449"/>
      <c r="F23" s="449">
        <v>575943030</v>
      </c>
      <c r="G23" s="449"/>
      <c r="H23" s="449">
        <v>1027186666</v>
      </c>
    </row>
    <row r="24" spans="1:8" ht="18">
      <c r="A24" s="18" t="s">
        <v>426</v>
      </c>
      <c r="B24" s="18"/>
      <c r="C24" s="18"/>
      <c r="D24" s="449">
        <v>123372989</v>
      </c>
      <c r="E24" s="449"/>
      <c r="F24" s="449">
        <v>77767437</v>
      </c>
      <c r="G24" s="449"/>
      <c r="H24" s="449">
        <v>125187503</v>
      </c>
    </row>
    <row r="25" spans="1:8" ht="18">
      <c r="A25" s="18" t="s">
        <v>427</v>
      </c>
      <c r="B25" s="18"/>
      <c r="C25" s="18"/>
      <c r="D25" s="449">
        <v>209601950</v>
      </c>
      <c r="E25" s="449"/>
      <c r="F25" s="449">
        <v>219583761</v>
      </c>
      <c r="G25" s="449"/>
      <c r="H25" s="449">
        <v>223909999</v>
      </c>
    </row>
    <row r="26" spans="1:8" ht="18">
      <c r="A26" s="18" t="s">
        <v>428</v>
      </c>
      <c r="B26" s="18"/>
      <c r="C26" s="18"/>
      <c r="D26" s="449">
        <v>269677450</v>
      </c>
      <c r="E26" s="449"/>
      <c r="F26" s="449">
        <v>398975290</v>
      </c>
      <c r="G26" s="449"/>
      <c r="H26" s="449">
        <v>603169490</v>
      </c>
    </row>
    <row r="27" spans="1:8" ht="18">
      <c r="A27" s="18" t="s">
        <v>429</v>
      </c>
      <c r="B27" s="18"/>
      <c r="C27" s="18"/>
      <c r="D27" s="449">
        <v>35869384</v>
      </c>
      <c r="E27" s="449"/>
      <c r="F27" s="449">
        <v>34388844</v>
      </c>
      <c r="G27" s="449"/>
      <c r="H27" s="449">
        <v>62159246</v>
      </c>
    </row>
    <row r="28" spans="1:8" ht="18">
      <c r="A28" s="18" t="s">
        <v>430</v>
      </c>
      <c r="B28" s="18"/>
      <c r="C28" s="18"/>
      <c r="D28" s="449">
        <v>6954559598</v>
      </c>
      <c r="E28" s="449"/>
      <c r="F28" s="449">
        <v>2459814191</v>
      </c>
      <c r="G28" s="449"/>
      <c r="H28" s="449">
        <v>3032579482</v>
      </c>
    </row>
    <row r="29" spans="1:8" ht="18.75" thickBot="1">
      <c r="A29" s="18"/>
      <c r="B29" s="18"/>
      <c r="C29" s="18"/>
      <c r="D29" s="450">
        <f>SUM(D15:D28)</f>
        <v>26297655991</v>
      </c>
      <c r="E29" s="515"/>
      <c r="F29" s="450">
        <f>SUM(F15:F28)</f>
        <v>20841115747</v>
      </c>
      <c r="G29" s="449"/>
      <c r="H29" s="450">
        <f>SUM(H15:H28)</f>
        <v>29358813507</v>
      </c>
    </row>
    <row r="30" spans="1:8" ht="18.75" thickTop="1">
      <c r="A30" s="18"/>
      <c r="B30" s="18"/>
      <c r="C30" s="18"/>
      <c r="D30" s="309"/>
      <c r="E30" s="497"/>
      <c r="F30" s="497"/>
      <c r="G30" s="309"/>
      <c r="H30" s="309"/>
    </row>
    <row r="32" spans="1:8" ht="18">
      <c r="A32" s="699"/>
      <c r="B32" s="699"/>
      <c r="C32" s="699"/>
      <c r="D32" s="699"/>
      <c r="E32" s="699"/>
      <c r="F32" s="699"/>
      <c r="G32" s="699"/>
      <c r="H32" s="699"/>
    </row>
    <row r="39" spans="7:7">
      <c r="G39" s="455" t="s">
        <v>966</v>
      </c>
    </row>
  </sheetData>
  <mergeCells count="6">
    <mergeCell ref="A32:H32"/>
    <mergeCell ref="A11:B11"/>
    <mergeCell ref="A5:B5"/>
    <mergeCell ref="A1:H1"/>
    <mergeCell ref="A2:H2"/>
    <mergeCell ref="A3:H3"/>
  </mergeCells>
  <pageMargins left="0" right="0" top="0.74803149606299213" bottom="0.74803149606299213" header="0.31496062992125984" footer="0.31496062992125984"/>
  <pageSetup paperSize="9" orientation="portrait" horizontalDpi="300" verticalDpi="300" r:id="rId1"/>
  <headerFooter>
    <oddFooter>&amp;C&amp;"B Mitra,Bold"&amp;14 38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rightToLeft="1" topLeftCell="A22" workbookViewId="0">
      <selection activeCell="G24" sqref="G24"/>
    </sheetView>
  </sheetViews>
  <sheetFormatPr defaultRowHeight="18"/>
  <cols>
    <col min="1" max="1" width="32.85546875" style="18" customWidth="1"/>
    <col min="2" max="2" width="9.140625" style="18"/>
    <col min="3" max="3" width="10.7109375" style="18" customWidth="1"/>
    <col min="4" max="4" width="1.7109375" style="18" customWidth="1"/>
    <col min="5" max="5" width="14.28515625" style="524" customWidth="1"/>
    <col min="6" max="6" width="1.85546875" style="497" customWidth="1"/>
    <col min="7" max="7" width="14.28515625" style="304" customWidth="1"/>
    <col min="8" max="8" width="2" style="262" customWidth="1"/>
    <col min="9" max="9" width="16.140625" style="262" customWidth="1"/>
    <col min="10" max="10" width="1.5703125" style="490" customWidth="1"/>
    <col min="11" max="11" width="14.42578125" style="144" hidden="1" customWidth="1"/>
    <col min="12" max="12" width="15" style="144" hidden="1" customWidth="1"/>
    <col min="13" max="13" width="0.85546875" style="144" hidden="1" customWidth="1"/>
    <col min="14" max="14" width="14" style="144" hidden="1" customWidth="1"/>
  </cols>
  <sheetData>
    <row r="1" spans="1:15" ht="22.5">
      <c r="A1" s="702" t="s">
        <v>298</v>
      </c>
      <c r="B1" s="702"/>
      <c r="C1" s="702"/>
      <c r="D1" s="702"/>
      <c r="E1" s="702"/>
      <c r="F1" s="702"/>
      <c r="G1" s="702"/>
      <c r="H1" s="702"/>
      <c r="I1" s="702"/>
      <c r="J1" s="491"/>
    </row>
    <row r="2" spans="1:15" ht="22.5">
      <c r="A2" s="702" t="s">
        <v>0</v>
      </c>
      <c r="B2" s="702"/>
      <c r="C2" s="702"/>
      <c r="D2" s="702"/>
      <c r="E2" s="702"/>
      <c r="F2" s="702"/>
      <c r="G2" s="702"/>
      <c r="H2" s="702"/>
      <c r="I2" s="702"/>
      <c r="J2" s="491"/>
    </row>
    <row r="3" spans="1:15" ht="22.5">
      <c r="A3" s="703" t="s">
        <v>720</v>
      </c>
      <c r="B3" s="703"/>
      <c r="C3" s="703"/>
      <c r="D3" s="703"/>
      <c r="E3" s="703"/>
      <c r="F3" s="703"/>
      <c r="G3" s="703"/>
      <c r="H3" s="703"/>
      <c r="I3" s="703"/>
      <c r="J3" s="492"/>
      <c r="K3" s="468"/>
      <c r="L3" s="468"/>
      <c r="M3" s="468"/>
      <c r="N3" s="505"/>
    </row>
    <row r="6" spans="1:15" ht="22.5">
      <c r="A6" s="748" t="s">
        <v>431</v>
      </c>
      <c r="B6" s="748"/>
      <c r="C6" s="748"/>
      <c r="N6" s="506"/>
      <c r="O6" s="316"/>
    </row>
    <row r="7" spans="1:15" ht="21.75">
      <c r="A7" s="37" t="s">
        <v>432</v>
      </c>
      <c r="B7" s="37"/>
      <c r="C7" s="37"/>
    </row>
    <row r="9" spans="1:15">
      <c r="E9" s="695" t="s">
        <v>721</v>
      </c>
      <c r="F9" s="98"/>
      <c r="G9" s="696" t="s">
        <v>967</v>
      </c>
      <c r="H9" s="686"/>
      <c r="I9" s="677" t="s">
        <v>25</v>
      </c>
      <c r="J9" s="493"/>
    </row>
    <row r="10" spans="1:15">
      <c r="E10" s="524" t="s">
        <v>725</v>
      </c>
      <c r="F10" s="671"/>
      <c r="G10" s="608" t="s">
        <v>725</v>
      </c>
      <c r="H10" s="671"/>
      <c r="I10" s="671" t="s">
        <v>725</v>
      </c>
    </row>
    <row r="11" spans="1:15" ht="18.75" customHeight="1">
      <c r="A11" s="18" t="s">
        <v>433</v>
      </c>
      <c r="E11" s="524">
        <v>246808296</v>
      </c>
      <c r="F11" s="671"/>
      <c r="G11" s="304">
        <v>-122842214</v>
      </c>
      <c r="H11" s="22"/>
      <c r="I11" s="22">
        <v>66575531193</v>
      </c>
      <c r="J11" s="22"/>
    </row>
    <row r="12" spans="1:15" ht="18.75" customHeight="1">
      <c r="A12" s="18" t="s">
        <v>434</v>
      </c>
      <c r="E12" s="524">
        <v>163822670</v>
      </c>
      <c r="F12" s="671"/>
      <c r="G12" s="304">
        <v>195876647</v>
      </c>
      <c r="H12" s="22"/>
      <c r="I12" s="22">
        <v>244990647</v>
      </c>
      <c r="J12" s="22"/>
    </row>
    <row r="13" spans="1:15" ht="18.75" customHeight="1">
      <c r="A13" s="18" t="s">
        <v>435</v>
      </c>
      <c r="E13" s="524">
        <v>898212002</v>
      </c>
      <c r="F13" s="671"/>
      <c r="G13" s="304">
        <v>709144325</v>
      </c>
      <c r="H13" s="22"/>
      <c r="I13" s="22">
        <v>1021472121</v>
      </c>
      <c r="J13" s="22"/>
    </row>
    <row r="14" spans="1:15" ht="18.75" customHeight="1">
      <c r="A14" s="18" t="s">
        <v>436</v>
      </c>
      <c r="E14" s="524">
        <v>0</v>
      </c>
      <c r="F14" s="671"/>
      <c r="G14" s="304">
        <v>-1111851</v>
      </c>
      <c r="H14" s="22"/>
      <c r="I14" s="22">
        <v>-4415310</v>
      </c>
      <c r="J14" s="22"/>
    </row>
    <row r="15" spans="1:15" ht="18.75" customHeight="1">
      <c r="A15" s="18" t="s">
        <v>437</v>
      </c>
      <c r="E15" s="524">
        <v>0</v>
      </c>
      <c r="F15" s="671"/>
      <c r="G15" s="304">
        <v>0</v>
      </c>
      <c r="H15" s="22"/>
      <c r="I15" s="22">
        <v>24510000</v>
      </c>
      <c r="J15" s="22"/>
      <c r="N15" s="507"/>
    </row>
    <row r="16" spans="1:15" ht="18.75" customHeight="1">
      <c r="A16" s="18" t="s">
        <v>438</v>
      </c>
      <c r="E16" s="524">
        <v>854125000</v>
      </c>
      <c r="F16" s="671"/>
      <c r="G16" s="304">
        <v>550000000</v>
      </c>
      <c r="H16" s="22"/>
      <c r="I16" s="22">
        <v>801875000</v>
      </c>
      <c r="J16" s="22"/>
    </row>
    <row r="17" spans="1:14" ht="18.75" customHeight="1">
      <c r="A17" s="793" t="s">
        <v>682</v>
      </c>
      <c r="B17" s="793"/>
      <c r="C17" s="793"/>
      <c r="E17" s="524">
        <v>0</v>
      </c>
      <c r="F17" s="671"/>
      <c r="G17" s="304">
        <v>1959053147</v>
      </c>
      <c r="H17" s="22"/>
      <c r="I17" s="22">
        <v>1954268750</v>
      </c>
      <c r="J17" s="22"/>
    </row>
    <row r="18" spans="1:14" ht="18.75" customHeight="1">
      <c r="A18" s="602" t="s">
        <v>113</v>
      </c>
      <c r="B18" s="602"/>
      <c r="C18" s="602"/>
      <c r="E18" s="524">
        <v>0</v>
      </c>
      <c r="F18" s="671"/>
      <c r="G18" s="304">
        <v>24032035522</v>
      </c>
      <c r="H18" s="22"/>
      <c r="I18" s="22"/>
      <c r="J18" s="22"/>
    </row>
    <row r="19" spans="1:14" ht="19.5" customHeight="1" thickBot="1">
      <c r="E19" s="525">
        <f>SUM(E11:E18)</f>
        <v>2162967968</v>
      </c>
      <c r="F19" s="516"/>
      <c r="G19" s="609">
        <f>SUM(G11:G18)</f>
        <v>27322155576</v>
      </c>
      <c r="H19" s="22"/>
      <c r="I19" s="86">
        <f>SUM(I11:I17)</f>
        <v>70618232401</v>
      </c>
      <c r="J19" s="509"/>
    </row>
    <row r="20" spans="1:14" ht="18.75" thickTop="1">
      <c r="F20" s="671"/>
      <c r="H20" s="671"/>
      <c r="I20" s="671"/>
    </row>
    <row r="21" spans="1:14" ht="22.5">
      <c r="A21" s="90" t="s">
        <v>439</v>
      </c>
      <c r="B21" s="87"/>
      <c r="C21" s="87"/>
      <c r="D21" s="52"/>
      <c r="E21" s="126"/>
      <c r="F21" s="674"/>
      <c r="G21" s="610"/>
      <c r="H21" s="674"/>
      <c r="I21" s="671"/>
    </row>
    <row r="22" spans="1:14" ht="21.75">
      <c r="A22" s="106" t="s">
        <v>440</v>
      </c>
      <c r="B22" s="106"/>
      <c r="C22" s="106"/>
      <c r="D22" s="107"/>
      <c r="E22" s="126"/>
      <c r="F22" s="674"/>
      <c r="G22" s="610"/>
      <c r="H22" s="674"/>
      <c r="I22" s="671"/>
    </row>
    <row r="23" spans="1:14">
      <c r="A23" s="87"/>
      <c r="B23" s="87"/>
      <c r="C23" s="87"/>
      <c r="D23" s="52"/>
      <c r="E23" s="126"/>
      <c r="F23" s="674"/>
      <c r="G23" s="610"/>
      <c r="H23" s="674"/>
      <c r="I23" s="671"/>
    </row>
    <row r="24" spans="1:14">
      <c r="A24" s="87"/>
      <c r="B24" s="87"/>
      <c r="C24" s="87"/>
      <c r="D24" s="52"/>
      <c r="E24" s="697" t="s">
        <v>721</v>
      </c>
      <c r="F24" s="686"/>
      <c r="G24" s="696" t="s">
        <v>967</v>
      </c>
      <c r="H24" s="671"/>
      <c r="I24" s="687" t="s">
        <v>25</v>
      </c>
      <c r="J24" s="259"/>
    </row>
    <row r="25" spans="1:14">
      <c r="A25" s="87"/>
      <c r="B25" s="87"/>
      <c r="C25" s="87"/>
      <c r="D25" s="52"/>
      <c r="E25" s="524" t="s">
        <v>725</v>
      </c>
      <c r="F25" s="671"/>
      <c r="G25" s="608" t="s">
        <v>725</v>
      </c>
      <c r="H25" s="671"/>
      <c r="I25" s="671" t="s">
        <v>725</v>
      </c>
      <c r="L25" s="144">
        <v>90</v>
      </c>
      <c r="N25" s="144">
        <v>89</v>
      </c>
    </row>
    <row r="26" spans="1:14" ht="8.25" customHeight="1">
      <c r="A26" s="87"/>
      <c r="B26" s="87"/>
      <c r="C26" s="87"/>
      <c r="D26" s="52"/>
      <c r="E26" s="126"/>
      <c r="F26" s="674"/>
      <c r="G26" s="610"/>
      <c r="H26" s="671"/>
      <c r="I26" s="674"/>
      <c r="J26" s="494"/>
    </row>
    <row r="27" spans="1:14" ht="18.75" customHeight="1">
      <c r="A27" s="87" t="s">
        <v>441</v>
      </c>
      <c r="B27" s="87"/>
      <c r="C27" s="87"/>
      <c r="D27" s="52"/>
      <c r="E27" s="126"/>
      <c r="F27" s="178"/>
      <c r="G27" s="610">
        <v>-4198846145</v>
      </c>
      <c r="H27" s="671"/>
      <c r="I27" s="178">
        <v>8193000000</v>
      </c>
      <c r="J27" s="178"/>
      <c r="K27" s="144">
        <f>'3'!E14</f>
        <v>109859752336</v>
      </c>
    </row>
    <row r="28" spans="1:14" ht="18.75" customHeight="1">
      <c r="A28" s="87" t="s">
        <v>442</v>
      </c>
      <c r="B28" s="87"/>
      <c r="C28" s="87"/>
      <c r="D28" s="52"/>
      <c r="E28" s="126"/>
      <c r="F28" s="178"/>
      <c r="G28" s="610">
        <v>2217536288</v>
      </c>
      <c r="H28" s="671"/>
      <c r="I28" s="178">
        <v>3170000000</v>
      </c>
      <c r="J28" s="178"/>
      <c r="K28" s="144">
        <v>2067765160</v>
      </c>
    </row>
    <row r="29" spans="1:14" ht="18.75" customHeight="1">
      <c r="A29" s="87" t="s">
        <v>443</v>
      </c>
      <c r="B29" s="87"/>
      <c r="C29" s="87"/>
      <c r="D29" s="52"/>
      <c r="E29" s="126"/>
      <c r="F29" s="178"/>
      <c r="G29" s="610">
        <v>1131653719</v>
      </c>
      <c r="H29" s="671"/>
      <c r="I29" s="178">
        <v>2214000000</v>
      </c>
      <c r="J29" s="178"/>
      <c r="K29" s="144">
        <f>L29-N29</f>
        <v>2008145304</v>
      </c>
      <c r="L29" s="144">
        <v>10363884882</v>
      </c>
      <c r="N29" s="144">
        <v>8355739578</v>
      </c>
    </row>
    <row r="30" spans="1:14" ht="18.75" customHeight="1">
      <c r="A30" s="87" t="s">
        <v>444</v>
      </c>
      <c r="B30" s="87"/>
      <c r="C30" s="87"/>
      <c r="D30" s="52"/>
      <c r="E30" s="126"/>
      <c r="F30" s="178"/>
      <c r="G30" s="610">
        <v>30571365175</v>
      </c>
      <c r="H30" s="671"/>
      <c r="I30" s="178">
        <v>16138870030</v>
      </c>
      <c r="J30" s="178"/>
      <c r="K30" s="144">
        <f>N30-L30</f>
        <v>21254013810</v>
      </c>
      <c r="L30" s="144">
        <v>13331416599</v>
      </c>
      <c r="N30" s="144">
        <v>34585430409</v>
      </c>
    </row>
    <row r="31" spans="1:14" ht="18.75" customHeight="1">
      <c r="A31" s="87" t="s">
        <v>445</v>
      </c>
      <c r="B31" s="87"/>
      <c r="C31" s="87"/>
      <c r="D31" s="52"/>
      <c r="E31" s="126"/>
      <c r="F31" s="178"/>
      <c r="G31" s="610">
        <v>-23127453448</v>
      </c>
      <c r="H31" s="671"/>
      <c r="I31" s="178">
        <v>-10380000000</v>
      </c>
      <c r="J31" s="178"/>
      <c r="K31" s="144">
        <f>N31-L31</f>
        <v>-37848741010</v>
      </c>
      <c r="L31" s="144">
        <v>70120138082</v>
      </c>
      <c r="N31" s="144">
        <v>32271397072</v>
      </c>
    </row>
    <row r="32" spans="1:14" ht="18.75" customHeight="1">
      <c r="A32" s="87" t="s">
        <v>446</v>
      </c>
      <c r="B32" s="87"/>
      <c r="C32" s="87"/>
      <c r="D32" s="52"/>
      <c r="E32" s="126"/>
      <c r="F32" s="178"/>
      <c r="G32" s="610">
        <v>-67507912560</v>
      </c>
      <c r="H32" s="671"/>
      <c r="I32" s="178">
        <v>-188306000000</v>
      </c>
      <c r="J32" s="178"/>
      <c r="K32" s="144">
        <f>N32-L32</f>
        <v>-87826875209</v>
      </c>
      <c r="L32" s="144">
        <v>700709733014</v>
      </c>
      <c r="N32" s="144">
        <v>612882857805</v>
      </c>
    </row>
    <row r="33" spans="1:14" ht="18.75" customHeight="1">
      <c r="A33" s="87" t="s">
        <v>447</v>
      </c>
      <c r="B33" s="87"/>
      <c r="C33" s="87"/>
      <c r="D33" s="52"/>
      <c r="E33" s="126"/>
      <c r="F33" s="178"/>
      <c r="G33" s="610">
        <v>80224107818</v>
      </c>
      <c r="H33" s="671"/>
      <c r="I33" s="178">
        <v>94593000000</v>
      </c>
      <c r="J33" s="178"/>
      <c r="K33" s="144">
        <f>L33-N33</f>
        <v>89701653877</v>
      </c>
      <c r="L33" s="144">
        <v>298423080384</v>
      </c>
      <c r="N33" s="144">
        <v>208721426507</v>
      </c>
    </row>
    <row r="34" spans="1:14" ht="18.75" customHeight="1">
      <c r="A34" s="87" t="s">
        <v>448</v>
      </c>
      <c r="B34" s="87"/>
      <c r="C34" s="87"/>
      <c r="D34" s="52"/>
      <c r="E34" s="126"/>
      <c r="F34" s="178"/>
      <c r="G34" s="610">
        <v>22415491001</v>
      </c>
      <c r="H34" s="671"/>
      <c r="I34" s="178">
        <v>47721299336</v>
      </c>
      <c r="J34" s="178"/>
      <c r="K34" s="144">
        <f>L34-N34</f>
        <v>21026200165</v>
      </c>
      <c r="L34" s="144">
        <v>157855244864</v>
      </c>
      <c r="N34" s="144">
        <v>136829044699</v>
      </c>
    </row>
    <row r="35" spans="1:14" ht="18.75" customHeight="1">
      <c r="A35" s="87" t="s">
        <v>449</v>
      </c>
      <c r="B35" s="87"/>
      <c r="C35" s="87"/>
      <c r="D35" s="52"/>
      <c r="E35" s="126"/>
      <c r="F35" s="178"/>
      <c r="G35" s="610">
        <v>3047353465</v>
      </c>
      <c r="H35" s="671"/>
      <c r="I35" s="178">
        <v>22938000000</v>
      </c>
      <c r="J35" s="178"/>
      <c r="K35" s="144">
        <v>2162967968</v>
      </c>
    </row>
    <row r="36" spans="1:14" ht="19.5" customHeight="1" thickBot="1">
      <c r="A36" s="87" t="s">
        <v>148</v>
      </c>
      <c r="B36" s="87"/>
      <c r="C36" s="87"/>
      <c r="D36" s="52"/>
      <c r="E36" s="526"/>
      <c r="F36" s="448"/>
      <c r="G36" s="260">
        <f>SUM(G27:G35)</f>
        <v>44773295313</v>
      </c>
      <c r="H36" s="671"/>
      <c r="I36" s="260">
        <f>SUM(I27:I35)</f>
        <v>-3717830634</v>
      </c>
      <c r="J36" s="510"/>
      <c r="K36" s="508">
        <f>SUM(K27:K35)</f>
        <v>122404882401</v>
      </c>
      <c r="L36" s="190"/>
      <c r="M36" s="448"/>
      <c r="N36" s="190"/>
    </row>
    <row r="37" spans="1:14" ht="18.75" thickTop="1"/>
    <row r="38" spans="1:14">
      <c r="H38" s="451"/>
    </row>
  </sheetData>
  <mergeCells count="5">
    <mergeCell ref="A1:I1"/>
    <mergeCell ref="A2:I2"/>
    <mergeCell ref="A3:I3"/>
    <mergeCell ref="A17:C17"/>
    <mergeCell ref="A6:C6"/>
  </mergeCells>
  <pageMargins left="0" right="0" top="0.6692913385826772" bottom="0.74803149606299213" header="0.31496062992125984" footer="0.31496062992125984"/>
  <pageSetup paperSize="9" scale="97" orientation="portrait" horizontalDpi="300" verticalDpi="300" r:id="rId1"/>
  <headerFooter>
    <oddFooter>&amp;C&amp;"B Mitra,Bold"&amp;14 39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D48"/>
  <sheetViews>
    <sheetView rightToLeft="1" tabSelected="1" workbookViewId="0">
      <selection activeCell="C9" sqref="C9"/>
    </sheetView>
  </sheetViews>
  <sheetFormatPr defaultColWidth="9" defaultRowHeight="18"/>
  <cols>
    <col min="1" max="1" width="32.7109375" style="87" customWidth="1"/>
    <col min="2" max="2" width="9.42578125" style="87" customWidth="1"/>
    <col min="3" max="3" width="22.140625" style="87" customWidth="1"/>
    <col min="4" max="4" width="8.140625" style="102" customWidth="1"/>
    <col min="5" max="5" width="3" style="87" customWidth="1"/>
    <col min="6" max="6" width="15.140625" style="315" customWidth="1"/>
    <col min="7" max="7" width="2.5703125" style="52" customWidth="1"/>
    <col min="8" max="8" width="17.140625" style="315" customWidth="1"/>
    <col min="9" max="9" width="9" style="55"/>
    <col min="10" max="10" width="20.140625" style="55" customWidth="1"/>
    <col min="11" max="16384" width="9" style="55"/>
  </cols>
  <sheetData>
    <row r="1" spans="1:10" customFormat="1" ht="22.5">
      <c r="A1" s="702" t="s">
        <v>298</v>
      </c>
      <c r="B1" s="702"/>
      <c r="C1" s="702"/>
      <c r="D1" s="702"/>
      <c r="E1" s="702"/>
      <c r="F1" s="702"/>
      <c r="G1" s="702"/>
      <c r="H1" s="702"/>
      <c r="J1" s="23"/>
    </row>
    <row r="2" spans="1:10" customFormat="1" ht="22.5">
      <c r="A2" s="702" t="s">
        <v>0</v>
      </c>
      <c r="B2" s="702"/>
      <c r="C2" s="702"/>
      <c r="D2" s="702"/>
      <c r="E2" s="702"/>
      <c r="F2" s="702"/>
      <c r="G2" s="702"/>
      <c r="H2" s="702"/>
      <c r="J2" s="23"/>
    </row>
    <row r="3" spans="1:10" customFormat="1" ht="22.5">
      <c r="A3" s="703" t="s">
        <v>1017</v>
      </c>
      <c r="B3" s="703"/>
      <c r="C3" s="703"/>
      <c r="D3" s="703"/>
      <c r="E3" s="703"/>
      <c r="F3" s="703"/>
      <c r="G3" s="703"/>
      <c r="H3" s="703"/>
      <c r="I3" s="62"/>
      <c r="J3" s="62"/>
    </row>
    <row r="4" spans="1:10" ht="11.25" customHeight="1"/>
    <row r="5" spans="1:10" ht="22.5">
      <c r="A5" s="90" t="s">
        <v>450</v>
      </c>
    </row>
    <row r="6" spans="1:10" ht="21.75">
      <c r="A6" s="417" t="s">
        <v>941</v>
      </c>
      <c r="D6" s="517" t="s">
        <v>149</v>
      </c>
      <c r="F6" s="261" t="s">
        <v>721</v>
      </c>
      <c r="G6" s="81"/>
      <c r="H6" s="313" t="s">
        <v>25</v>
      </c>
    </row>
    <row r="7" spans="1:10">
      <c r="A7" s="97"/>
      <c r="F7" s="309" t="s">
        <v>725</v>
      </c>
      <c r="H7" s="309" t="s">
        <v>725</v>
      </c>
    </row>
    <row r="8" spans="1:10">
      <c r="A8" s="411" t="s">
        <v>937</v>
      </c>
      <c r="D8" s="102" t="s">
        <v>972</v>
      </c>
      <c r="F8" s="67">
        <f>F21</f>
        <v>1231771340456</v>
      </c>
      <c r="H8" s="67">
        <f>H21</f>
        <v>1097226141992</v>
      </c>
      <c r="J8" s="82"/>
    </row>
    <row r="9" spans="1:10">
      <c r="A9" s="411" t="s">
        <v>938</v>
      </c>
      <c r="D9" s="102" t="s">
        <v>973</v>
      </c>
      <c r="F9" s="67">
        <f>F32</f>
        <v>113989272023</v>
      </c>
      <c r="H9" s="67">
        <f>H32</f>
        <v>103367536990</v>
      </c>
      <c r="J9" s="82"/>
    </row>
    <row r="10" spans="1:10">
      <c r="A10" s="411" t="s">
        <v>939</v>
      </c>
      <c r="D10" s="102" t="s">
        <v>974</v>
      </c>
      <c r="F10" s="67">
        <f>F47</f>
        <v>3614509234</v>
      </c>
      <c r="H10" s="67">
        <f>H47</f>
        <v>1990009234</v>
      </c>
      <c r="J10" s="82"/>
    </row>
    <row r="11" spans="1:10" ht="18.75" thickBot="1">
      <c r="A11" s="411" t="s">
        <v>940</v>
      </c>
      <c r="F11" s="99">
        <f>SUM(F8:F10)</f>
        <v>1349375121713</v>
      </c>
      <c r="H11" s="99">
        <f>SUM(H8:H10)</f>
        <v>1202583688216</v>
      </c>
      <c r="J11" s="82"/>
    </row>
    <row r="12" spans="1:10" ht="7.5" customHeight="1" thickTop="1">
      <c r="A12" s="97"/>
    </row>
    <row r="13" spans="1:10" ht="21.75">
      <c r="A13" s="797" t="s">
        <v>936</v>
      </c>
      <c r="B13" s="797"/>
    </row>
    <row r="14" spans="1:10">
      <c r="A14" s="97"/>
      <c r="F14" s="261" t="s">
        <v>721</v>
      </c>
      <c r="G14" s="81"/>
      <c r="H14" s="313" t="s">
        <v>25</v>
      </c>
    </row>
    <row r="15" spans="1:10">
      <c r="A15" s="97"/>
      <c r="F15" s="309" t="s">
        <v>725</v>
      </c>
      <c r="H15" s="309" t="s">
        <v>725</v>
      </c>
      <c r="J15" s="460"/>
    </row>
    <row r="16" spans="1:10">
      <c r="A16" s="411" t="s">
        <v>942</v>
      </c>
      <c r="B16" s="404"/>
      <c r="F16" s="67">
        <v>547445232012</v>
      </c>
      <c r="H16" s="67">
        <v>513847850312</v>
      </c>
      <c r="J16" s="82"/>
    </row>
    <row r="17" spans="1:10">
      <c r="A17" s="411" t="s">
        <v>943</v>
      </c>
      <c r="F17" s="67">
        <v>239778961284</v>
      </c>
      <c r="H17" s="67">
        <v>200841655310</v>
      </c>
      <c r="J17" s="82"/>
    </row>
    <row r="18" spans="1:10">
      <c r="A18" s="411" t="s">
        <v>944</v>
      </c>
      <c r="F18" s="67">
        <v>444547147160</v>
      </c>
      <c r="H18" s="67">
        <v>375964636370</v>
      </c>
      <c r="J18" s="82"/>
    </row>
    <row r="19" spans="1:10">
      <c r="A19" s="411" t="s">
        <v>945</v>
      </c>
      <c r="F19" s="67">
        <v>0</v>
      </c>
      <c r="H19" s="67">
        <v>6532000000</v>
      </c>
      <c r="J19" s="82"/>
    </row>
    <row r="20" spans="1:10">
      <c r="A20" s="411" t="s">
        <v>946</v>
      </c>
      <c r="F20" s="67">
        <v>0</v>
      </c>
      <c r="H20" s="67">
        <v>40000000</v>
      </c>
      <c r="J20" s="82"/>
    </row>
    <row r="21" spans="1:10" ht="18.75" thickBot="1">
      <c r="A21" s="97"/>
      <c r="F21" s="99">
        <f>SUM(F16:F20)</f>
        <v>1231771340456</v>
      </c>
      <c r="H21" s="99">
        <f>SUM(H16:H20)</f>
        <v>1097226141992</v>
      </c>
      <c r="J21" s="82"/>
    </row>
    <row r="22" spans="1:10" ht="9.75" customHeight="1" thickTop="1">
      <c r="A22" s="97"/>
    </row>
    <row r="23" spans="1:10" ht="18.75">
      <c r="A23" s="722" t="s">
        <v>935</v>
      </c>
      <c r="B23" s="722"/>
      <c r="C23" s="722"/>
    </row>
    <row r="24" spans="1:10">
      <c r="A24" s="97"/>
      <c r="F24" s="310" t="s">
        <v>721</v>
      </c>
      <c r="G24" s="81"/>
      <c r="H24" s="313" t="s">
        <v>25</v>
      </c>
    </row>
    <row r="25" spans="1:10">
      <c r="A25" s="97"/>
      <c r="F25" s="309" t="s">
        <v>725</v>
      </c>
      <c r="H25" s="309" t="s">
        <v>725</v>
      </c>
    </row>
    <row r="26" spans="1:10">
      <c r="A26" s="411" t="s">
        <v>947</v>
      </c>
      <c r="F26" s="67">
        <v>61378715558</v>
      </c>
      <c r="H26" s="67">
        <v>77176136990</v>
      </c>
      <c r="J26" s="82"/>
    </row>
    <row r="27" spans="1:10">
      <c r="A27" s="411" t="s">
        <v>948</v>
      </c>
      <c r="B27" s="317"/>
      <c r="C27" s="317"/>
      <c r="E27" s="317"/>
      <c r="F27" s="67">
        <v>28392573585</v>
      </c>
      <c r="G27" s="318"/>
      <c r="H27" s="67">
        <v>0</v>
      </c>
      <c r="J27" s="82"/>
    </row>
    <row r="28" spans="1:10">
      <c r="A28" s="411" t="s">
        <v>949</v>
      </c>
      <c r="F28" s="67">
        <v>14780900000</v>
      </c>
      <c r="H28" s="67">
        <v>14780900000</v>
      </c>
      <c r="J28" s="82"/>
    </row>
    <row r="29" spans="1:10">
      <c r="A29" s="411" t="s">
        <v>950</v>
      </c>
      <c r="F29" s="67">
        <v>0</v>
      </c>
      <c r="H29" s="67">
        <v>6667000000</v>
      </c>
      <c r="J29" s="82"/>
    </row>
    <row r="30" spans="1:10">
      <c r="A30" s="411" t="s">
        <v>951</v>
      </c>
      <c r="F30" s="67">
        <v>0</v>
      </c>
      <c r="H30" s="67">
        <v>1523500000</v>
      </c>
      <c r="J30" s="82"/>
    </row>
    <row r="31" spans="1:10">
      <c r="A31" s="411" t="s">
        <v>952</v>
      </c>
      <c r="D31" s="380"/>
      <c r="F31" s="67">
        <v>9437082880</v>
      </c>
      <c r="H31" s="67">
        <v>3220000000</v>
      </c>
      <c r="J31" s="82"/>
    </row>
    <row r="32" spans="1:10" ht="18.75" thickBot="1">
      <c r="A32" s="97"/>
      <c r="F32" s="99">
        <f>SUM(F26:F31)</f>
        <v>113989272023</v>
      </c>
      <c r="H32" s="99">
        <f>SUM(H26:H31)</f>
        <v>103367536990</v>
      </c>
      <c r="J32" s="82"/>
    </row>
    <row r="33" spans="1:10 16384:16384" ht="8.25" customHeight="1" thickTop="1">
      <c r="A33" s="97"/>
    </row>
    <row r="34" spans="1:10 16384:16384" ht="18.75">
      <c r="A34" s="827" t="s">
        <v>729</v>
      </c>
      <c r="B34" s="827"/>
      <c r="C34" s="827"/>
      <c r="D34" s="827"/>
      <c r="E34" s="827"/>
      <c r="F34" s="827"/>
      <c r="G34" s="827"/>
      <c r="H34" s="827"/>
    </row>
    <row r="35" spans="1:10 16384:16384" ht="9" customHeight="1">
      <c r="A35" s="97"/>
    </row>
    <row r="36" spans="1:10 16384:16384">
      <c r="A36" s="52" t="s">
        <v>451</v>
      </c>
      <c r="B36" s="58" t="s">
        <v>452</v>
      </c>
      <c r="C36" s="52" t="s">
        <v>453</v>
      </c>
      <c r="D36" s="517" t="s">
        <v>454</v>
      </c>
      <c r="E36" s="52"/>
      <c r="F36" s="310" t="s">
        <v>721</v>
      </c>
      <c r="G36" s="81"/>
      <c r="H36" s="313" t="s">
        <v>25</v>
      </c>
    </row>
    <row r="37" spans="1:10 16384:16384">
      <c r="A37" s="97"/>
      <c r="F37" s="67" t="s">
        <v>134</v>
      </c>
      <c r="H37" s="315" t="s">
        <v>134</v>
      </c>
      <c r="I37" s="81"/>
    </row>
    <row r="38" spans="1:10 16384:16384">
      <c r="A38" s="52" t="s">
        <v>455</v>
      </c>
      <c r="B38" s="87" t="s">
        <v>456</v>
      </c>
      <c r="C38" s="87" t="s">
        <v>457</v>
      </c>
      <c r="D38" s="102" t="s">
        <v>458</v>
      </c>
      <c r="F38" s="67">
        <v>600000000</v>
      </c>
      <c r="H38" s="67">
        <v>600000000</v>
      </c>
      <c r="J38" s="89"/>
    </row>
    <row r="39" spans="1:10 16384:16384">
      <c r="A39" s="52" t="s">
        <v>459</v>
      </c>
      <c r="B39" s="87" t="s">
        <v>460</v>
      </c>
      <c r="C39" s="87" t="s">
        <v>461</v>
      </c>
      <c r="D39" s="102" t="s">
        <v>458</v>
      </c>
      <c r="F39" s="67">
        <v>115009234</v>
      </c>
      <c r="H39" s="67">
        <v>115009234</v>
      </c>
      <c r="J39" s="89"/>
    </row>
    <row r="40" spans="1:10 16384:16384">
      <c r="A40" s="207" t="s">
        <v>683</v>
      </c>
      <c r="B40" s="200" t="s">
        <v>684</v>
      </c>
      <c r="C40" s="200" t="s">
        <v>685</v>
      </c>
      <c r="E40" s="200"/>
      <c r="F40" s="67">
        <v>1140000000</v>
      </c>
      <c r="G40" s="207"/>
      <c r="H40" s="67">
        <v>1015000000</v>
      </c>
      <c r="J40" s="201"/>
    </row>
    <row r="41" spans="1:10 16384:16384">
      <c r="A41" s="207" t="s">
        <v>683</v>
      </c>
      <c r="B41" s="200" t="s">
        <v>684</v>
      </c>
      <c r="C41" s="200" t="s">
        <v>578</v>
      </c>
      <c r="E41" s="200"/>
      <c r="F41" s="67">
        <v>260000000</v>
      </c>
      <c r="G41" s="207"/>
      <c r="H41" s="67">
        <v>260000000</v>
      </c>
      <c r="J41" s="201"/>
    </row>
    <row r="42" spans="1:10 16384:16384">
      <c r="A42" s="318" t="s">
        <v>683</v>
      </c>
      <c r="B42" s="317" t="s">
        <v>684</v>
      </c>
      <c r="C42" s="317" t="s">
        <v>763</v>
      </c>
      <c r="E42" s="317"/>
      <c r="F42" s="67">
        <v>470500000</v>
      </c>
      <c r="G42" s="318"/>
      <c r="H42" s="67">
        <v>0</v>
      </c>
      <c r="J42" s="252"/>
    </row>
    <row r="43" spans="1:10 16384:16384">
      <c r="A43" s="318" t="s">
        <v>683</v>
      </c>
      <c r="B43" s="317" t="s">
        <v>684</v>
      </c>
      <c r="C43" s="317" t="s">
        <v>764</v>
      </c>
      <c r="E43" s="317"/>
      <c r="F43" s="67">
        <v>270500000</v>
      </c>
      <c r="G43" s="318"/>
      <c r="H43" s="67">
        <v>0</v>
      </c>
      <c r="J43" s="252"/>
    </row>
    <row r="44" spans="1:10 16384:16384">
      <c r="A44" s="318" t="s">
        <v>683</v>
      </c>
      <c r="B44" s="317" t="s">
        <v>684</v>
      </c>
      <c r="C44" s="317" t="s">
        <v>765</v>
      </c>
      <c r="E44" s="317"/>
      <c r="F44" s="67">
        <v>182500000</v>
      </c>
      <c r="G44" s="318"/>
      <c r="H44" s="67">
        <v>0</v>
      </c>
      <c r="J44" s="252"/>
    </row>
    <row r="45" spans="1:10 16384:16384">
      <c r="A45" s="320" t="s">
        <v>683</v>
      </c>
      <c r="B45" s="317" t="s">
        <v>684</v>
      </c>
      <c r="C45" s="317" t="s">
        <v>766</v>
      </c>
      <c r="E45" s="317"/>
      <c r="F45" s="67">
        <v>30500000</v>
      </c>
      <c r="G45" s="318"/>
      <c r="H45" s="67">
        <v>0</v>
      </c>
      <c r="J45" s="252"/>
    </row>
    <row r="46" spans="1:10 16384:16384">
      <c r="A46" s="320" t="s">
        <v>683</v>
      </c>
      <c r="B46" s="317" t="s">
        <v>684</v>
      </c>
      <c r="C46" s="173" t="s">
        <v>767</v>
      </c>
      <c r="E46" s="317"/>
      <c r="F46" s="67">
        <v>545500000</v>
      </c>
      <c r="G46" s="318"/>
      <c r="H46" s="67">
        <v>0</v>
      </c>
      <c r="J46" s="252"/>
    </row>
    <row r="47" spans="1:10 16384:16384" ht="18.75" thickBot="1">
      <c r="A47" s="97"/>
      <c r="F47" s="99">
        <f>SUM(F38:F46)</f>
        <v>3614509234</v>
      </c>
      <c r="H47" s="99">
        <f>SUM(H38:H46)</f>
        <v>1990009234</v>
      </c>
      <c r="J47" s="89"/>
      <c r="XFD47" s="55">
        <f>SUM(A47:XFC47)</f>
        <v>5604518468</v>
      </c>
    </row>
    <row r="48" spans="1:10 16384:16384" ht="18.75" thickTop="1">
      <c r="J48" s="88"/>
    </row>
  </sheetData>
  <mergeCells count="6">
    <mergeCell ref="A1:H1"/>
    <mergeCell ref="A2:H2"/>
    <mergeCell ref="A23:C23"/>
    <mergeCell ref="A34:H34"/>
    <mergeCell ref="A3:H3"/>
    <mergeCell ref="A13:B13"/>
  </mergeCells>
  <printOptions horizontalCentered="1" verticalCentered="1"/>
  <pageMargins left="0" right="0" top="0.15748031496062992" bottom="0" header="0.31496062992125984" footer="0.31496062992125984"/>
  <pageSetup paperSize="9" scale="91" orientation="portrait" horizontalDpi="300" verticalDpi="300" r:id="rId1"/>
  <headerFooter>
    <oddFooter>&amp;C&amp;"B Mitra,Bold"&amp;14 40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35"/>
  <sheetViews>
    <sheetView rightToLeft="1" topLeftCell="A40" workbookViewId="0">
      <selection activeCell="J8" sqref="J8"/>
    </sheetView>
  </sheetViews>
  <sheetFormatPr defaultColWidth="9" defaultRowHeight="18"/>
  <cols>
    <col min="1" max="1" width="4.5703125" style="55" customWidth="1"/>
    <col min="2" max="2" width="38.140625" style="105" customWidth="1"/>
    <col min="3" max="3" width="1.140625" style="105" customWidth="1"/>
    <col min="4" max="4" width="11.85546875" style="124" customWidth="1"/>
    <col min="5" max="5" width="1.28515625" style="103" customWidth="1"/>
    <col min="6" max="6" width="34.42578125" style="103" customWidth="1"/>
    <col min="7" max="7" width="7.85546875" style="124" customWidth="1"/>
    <col min="8" max="8" width="15.5703125" style="124" customWidth="1"/>
    <col min="9" max="10" width="9" style="55"/>
    <col min="11" max="11" width="15.7109375" style="55" customWidth="1"/>
    <col min="12" max="12" width="9" style="55"/>
    <col min="13" max="13" width="15" style="55" customWidth="1"/>
    <col min="14" max="16384" width="9" style="55"/>
  </cols>
  <sheetData>
    <row r="1" spans="1:8" ht="22.5">
      <c r="B1" s="703" t="s">
        <v>298</v>
      </c>
      <c r="C1" s="703"/>
      <c r="D1" s="703"/>
      <c r="E1" s="703"/>
      <c r="F1" s="703"/>
      <c r="G1" s="703"/>
      <c r="H1" s="703"/>
    </row>
    <row r="2" spans="1:8" ht="22.5">
      <c r="B2" s="703" t="s">
        <v>0</v>
      </c>
      <c r="C2" s="703"/>
      <c r="D2" s="703"/>
      <c r="E2" s="703"/>
      <c r="F2" s="703"/>
      <c r="G2" s="703"/>
      <c r="H2" s="703"/>
    </row>
    <row r="3" spans="1:8" ht="22.5">
      <c r="B3" s="703" t="s">
        <v>720</v>
      </c>
      <c r="C3" s="703"/>
      <c r="D3" s="703"/>
      <c r="E3" s="703"/>
      <c r="F3" s="703"/>
      <c r="G3" s="703"/>
      <c r="H3" s="703"/>
    </row>
    <row r="4" spans="1:8" ht="32.25" customHeight="1"/>
    <row r="5" spans="1:8" ht="22.5">
      <c r="B5" s="750" t="s">
        <v>955</v>
      </c>
      <c r="C5" s="750"/>
      <c r="D5" s="750"/>
      <c r="E5" s="750"/>
      <c r="F5" s="750"/>
    </row>
    <row r="7" spans="1:8" ht="22.5">
      <c r="B7" s="750" t="s">
        <v>956</v>
      </c>
      <c r="C7" s="750"/>
      <c r="D7" s="750"/>
      <c r="E7" s="120"/>
    </row>
    <row r="9" spans="1:8" ht="15">
      <c r="B9" s="828" t="s">
        <v>954</v>
      </c>
      <c r="C9" s="828"/>
      <c r="D9" s="828"/>
      <c r="E9" s="828"/>
      <c r="F9" s="828"/>
      <c r="G9" s="828"/>
      <c r="H9" s="828"/>
    </row>
    <row r="12" spans="1:8" ht="22.5">
      <c r="B12" s="748" t="s">
        <v>462</v>
      </c>
      <c r="C12" s="748"/>
      <c r="D12" s="748"/>
      <c r="E12" s="104"/>
    </row>
    <row r="14" spans="1:8" ht="21.75">
      <c r="A14" s="797" t="s">
        <v>463</v>
      </c>
      <c r="B14" s="797"/>
      <c r="C14" s="797"/>
      <c r="D14" s="797"/>
      <c r="E14" s="797"/>
      <c r="F14" s="797"/>
      <c r="G14" s="797"/>
      <c r="H14" s="797"/>
    </row>
    <row r="15" spans="1:8" s="56" customFormat="1" ht="45" customHeight="1">
      <c r="B15" s="118" t="s">
        <v>464</v>
      </c>
      <c r="C15" s="57"/>
      <c r="D15" s="118" t="s">
        <v>465</v>
      </c>
      <c r="E15" s="57"/>
      <c r="F15" s="118" t="s">
        <v>466</v>
      </c>
      <c r="G15" s="118" t="s">
        <v>467</v>
      </c>
      <c r="H15" s="127" t="s">
        <v>965</v>
      </c>
    </row>
    <row r="16" spans="1:8">
      <c r="G16" s="57"/>
      <c r="H16" s="57"/>
    </row>
    <row r="17" spans="2:13" ht="20.25" customHeight="1">
      <c r="B17" s="105" t="s">
        <v>362</v>
      </c>
      <c r="D17" s="124" t="s">
        <v>468</v>
      </c>
      <c r="F17" s="103" t="s">
        <v>469</v>
      </c>
      <c r="H17" s="126">
        <v>56599045129</v>
      </c>
      <c r="K17" s="82"/>
      <c r="M17" s="82"/>
    </row>
    <row r="18" spans="2:13" ht="20.25" customHeight="1">
      <c r="B18" s="105" t="s">
        <v>470</v>
      </c>
      <c r="D18" s="124" t="s">
        <v>471</v>
      </c>
      <c r="F18" s="103" t="s">
        <v>472</v>
      </c>
      <c r="H18" s="126">
        <v>134846160600</v>
      </c>
      <c r="K18" s="82"/>
      <c r="M18" s="82"/>
    </row>
    <row r="19" spans="2:13" ht="20.25" customHeight="1">
      <c r="B19" s="105" t="s">
        <v>178</v>
      </c>
      <c r="D19" s="124" t="s">
        <v>501</v>
      </c>
      <c r="F19" s="103" t="s">
        <v>473</v>
      </c>
      <c r="H19" s="126">
        <v>1690342990</v>
      </c>
      <c r="K19" s="82"/>
      <c r="M19" s="82"/>
    </row>
    <row r="20" spans="2:13" ht="20.25" customHeight="1">
      <c r="B20" s="105" t="s">
        <v>474</v>
      </c>
      <c r="D20" s="124" t="s">
        <v>501</v>
      </c>
      <c r="F20" s="103" t="s">
        <v>475</v>
      </c>
      <c r="H20" s="126">
        <v>1427795010276</v>
      </c>
      <c r="K20" s="82"/>
      <c r="M20" s="82"/>
    </row>
    <row r="21" spans="2:13" ht="20.25" customHeight="1">
      <c r="B21" s="105" t="s">
        <v>476</v>
      </c>
      <c r="D21" s="124" t="s">
        <v>501</v>
      </c>
      <c r="F21" s="69" t="s">
        <v>1032</v>
      </c>
      <c r="H21" s="126">
        <v>28836150291</v>
      </c>
      <c r="K21" s="82"/>
      <c r="M21" s="82"/>
    </row>
    <row r="22" spans="2:13" ht="20.25" customHeight="1">
      <c r="F22" s="672"/>
      <c r="G22" s="126"/>
      <c r="H22" s="126"/>
      <c r="K22" s="82"/>
      <c r="M22" s="82"/>
    </row>
    <row r="23" spans="2:13" ht="33" customHeight="1">
      <c r="B23" s="411"/>
      <c r="C23" s="411"/>
      <c r="D23" s="418"/>
      <c r="E23" s="404"/>
      <c r="F23" s="404"/>
      <c r="G23" s="126"/>
      <c r="H23" s="126"/>
      <c r="K23" s="82"/>
      <c r="M23" s="82"/>
    </row>
    <row r="24" spans="2:13" ht="22.5">
      <c r="B24" s="415" t="s">
        <v>477</v>
      </c>
      <c r="C24" s="120"/>
      <c r="G24" s="57"/>
      <c r="H24" s="57"/>
    </row>
    <row r="25" spans="2:13" ht="21.75">
      <c r="B25" s="120" t="s">
        <v>478</v>
      </c>
      <c r="C25" s="120"/>
      <c r="D25" s="107"/>
      <c r="E25" s="106"/>
      <c r="F25" s="106"/>
    </row>
    <row r="26" spans="2:13">
      <c r="H26" s="98"/>
    </row>
    <row r="27" spans="2:13">
      <c r="H27" s="123"/>
    </row>
    <row r="28" spans="2:13" ht="9.75" customHeight="1"/>
    <row r="29" spans="2:13" ht="18.75">
      <c r="B29" s="416" t="s">
        <v>959</v>
      </c>
    </row>
    <row r="30" spans="2:13">
      <c r="B30" s="411" t="s">
        <v>953</v>
      </c>
    </row>
    <row r="31" spans="2:13" ht="33" customHeight="1"/>
    <row r="32" spans="2:13" ht="22.5">
      <c r="B32" s="415" t="s">
        <v>479</v>
      </c>
      <c r="C32" s="120"/>
    </row>
    <row r="33" spans="2:8">
      <c r="B33" s="411" t="s">
        <v>957</v>
      </c>
    </row>
    <row r="34" spans="2:8">
      <c r="H34" s="321" t="s">
        <v>768</v>
      </c>
    </row>
    <row r="35" spans="2:8">
      <c r="B35" s="411" t="s">
        <v>958</v>
      </c>
      <c r="H35" s="67">
        <v>2452</v>
      </c>
    </row>
  </sheetData>
  <mergeCells count="8">
    <mergeCell ref="A14:H14"/>
    <mergeCell ref="B1:H1"/>
    <mergeCell ref="B2:H2"/>
    <mergeCell ref="B3:H3"/>
    <mergeCell ref="B12:D12"/>
    <mergeCell ref="B7:D7"/>
    <mergeCell ref="B5:F5"/>
    <mergeCell ref="B9:H9"/>
  </mergeCells>
  <printOptions horizontalCentered="1"/>
  <pageMargins left="0" right="0" top="0.27559055118110237" bottom="0" header="0.27559055118110237" footer="0"/>
  <pageSetup paperSize="9" scale="80" orientation="portrait" horizontalDpi="300" verticalDpi="300" r:id="rId1"/>
  <headerFooter>
    <oddFooter>&amp;C&amp;"B Mitra,Bold"&amp;14 41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1" sqref="J21"/>
    </sheetView>
  </sheetViews>
  <sheetFormatPr defaultRowHeight="1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4</vt:i4>
      </vt:variant>
    </vt:vector>
  </HeadingPairs>
  <TitlesOfParts>
    <vt:vector size="43" baseType="lpstr">
      <vt:lpstr>1</vt:lpstr>
      <vt:lpstr>2</vt:lpstr>
      <vt:lpstr>3</vt:lpstr>
      <vt:lpstr>4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Sheet1</vt:lpstr>
      <vt:lpstr>Sheet2</vt:lpstr>
      <vt:lpstr>Sheet3</vt:lpstr>
      <vt:lpstr>'14'!Print_Area</vt:lpstr>
      <vt:lpstr>'19'!Print_Area</vt:lpstr>
      <vt:lpstr>'31'!Print_Area</vt:lpstr>
      <vt:lpstr>'40'!Print_Area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2011-09-28T06:02:56Z</dcterms:modified>
</cp:coreProperties>
</file>