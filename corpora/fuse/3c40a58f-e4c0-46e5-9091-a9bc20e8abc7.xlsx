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3.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Calculator" state="visible" r:id="rId3"/>
    <sheet sheetId="2" name="Speed Factors" state="visible" r:id="rId4"/>
    <sheet sheetId="3" name="BSR of OU+CAP Pokemon" state="visible" r:id="rId5"/>
    <sheet sheetId="4" name="BSR of All Pokemon" state="visible" r:id="rId6"/>
  </sheets>
  <definedNames/>
  <calcPr/>
</workbook>
</file>

<file path=xl/sharedStrings.xml><?xml version="1.0" encoding="utf-8"?>
<sst xmlns="http://schemas.openxmlformats.org/spreadsheetml/2006/main" count="1023" uniqueCount="759">
  <si>
    <t>HP</t>
  </si>
  <si>
    <t>Atk</t>
  </si>
  <si>
    <t>Def</t>
  </si>
  <si>
    <t>SpA</t>
  </si>
  <si>
    <t>SpD</t>
  </si>
  <si>
    <t>Spe</t>
  </si>
  <si>
    <t>SF</t>
  </si>
  <si>
    <t>BST</t>
  </si>
  <si>
    <t>PT</t>
  </si>
  <si>
    <t>ST</t>
  </si>
  <si>
    <t>PS</t>
  </si>
  <si>
    <t>SS</t>
  </si>
  <si>
    <t>BSR</t>
  </si>
  <si>
    <t>PT / ST / PS / SS Range</t>
  </si>
  <si>
    <t>Description</t>
  </si>
  <si>
    <t>x &lt; 25</t>
  </si>
  <si>
    <t>Horrible</t>
  </si>
  <si>
    <t>25 &lt; x &lt; 50</t>
  </si>
  <si>
    <t>Bad</t>
  </si>
  <si>
    <t>50 &lt; x &lt; 75</t>
  </si>
  <si>
    <t>Poor</t>
  </si>
  <si>
    <t>75 &lt; x &lt; 100</t>
  </si>
  <si>
    <t>Below Average</t>
  </si>
  <si>
    <t>100 &lt; x &lt; 125</t>
  </si>
  <si>
    <t>Above Average</t>
  </si>
  <si>
    <t>125 &lt; x &lt; 150</t>
  </si>
  <si>
    <t>Good</t>
  </si>
  <si>
    <t>150 &lt; x &lt; 175</t>
  </si>
  <si>
    <t>Very Good</t>
  </si>
  <si>
    <t>175 &lt; x &lt; 200</t>
  </si>
  <si>
    <t>Excellent</t>
  </si>
  <si>
    <t>200 &lt; x &lt; 225</t>
  </si>
  <si>
    <t>Fantastic</t>
  </si>
  <si>
    <t>225 &lt; x</t>
  </si>
  <si>
    <t>Amazing</t>
  </si>
  <si>
    <t>BSR Range</t>
  </si>
  <si>
    <t>x &lt; 50</t>
  </si>
  <si>
    <t>50 &lt; x &lt; 100</t>
  </si>
  <si>
    <t>100 &lt; x &lt; 150</t>
  </si>
  <si>
    <t>150 &lt; x &lt; 200</t>
  </si>
  <si>
    <t>200 &lt; x &lt; 250</t>
  </si>
  <si>
    <t>250 &lt; x &lt; 300</t>
  </si>
  <si>
    <t>300 &lt; x &lt; 350</t>
  </si>
  <si>
    <t>350 &lt; x &lt; 400</t>
  </si>
  <si>
    <t>Hello, and welcome to CAP's Base Stat Rating Calculator! This calculator will perform all the tricky mathematics for you, and rate your Pokemon's stat spread relative to all other Pokemon in the game. To get started, here's what to do:</t>
  </si>
  <si>
    <t>400 &lt; x &lt; 450</t>
  </si>
  <si>
    <t>450 &lt; x</t>
  </si>
  <si>
    <t>1. Enter your stat spread into the pink table under any of the rows - there are twenty in total, so you can compare different stat spreads. This is all you need to add - the calculator will do everything else for you.</t>
  </si>
  <si>
    <t>2. If you prefer, you can copy and paste the data of an existing Pokemon in to see its stat ratings (look under the "BSR of All Pokemon" tab at the bottom of the screen).</t>
  </si>
  <si>
    <t>3. Copy and paste your calculated stat ratings anywhere you want to. If you enter an official CAP stat spread competition, you'll need to include these values for your submission to be legal.</t>
  </si>
  <si>
    <t>Oh, and one last thing - don't mess about with the formulae if you don't know what they do! These are quite complicated, so we'd recommend reading up on them if you want to fiddle with them.</t>
  </si>
  <si>
    <t>Speed</t>
  </si>
  <si>
    <t>Speed Factor</t>
  </si>
  <si>
    <t>Abomasnow</t>
  </si>
  <si>
    <t>Alakazam</t>
  </si>
  <si>
    <t>Blissey</t>
  </si>
  <si>
    <t>Breloom</t>
  </si>
  <si>
    <t>Celebi</t>
  </si>
  <si>
    <t>Chansey</t>
  </si>
  <si>
    <t>Cloyster</t>
  </si>
  <si>
    <t>Conkeldurr</t>
  </si>
  <si>
    <t>Deoxys-D</t>
  </si>
  <si>
    <t>Donphan</t>
  </si>
  <si>
    <t>Dragonite</t>
  </si>
  <si>
    <t>Dugtrio</t>
  </si>
  <si>
    <t>Espeon</t>
  </si>
  <si>
    <t>Ferrothorn</t>
  </si>
  <si>
    <t>Forretress</t>
  </si>
  <si>
    <t>Garchomp</t>
  </si>
  <si>
    <t>Gastrodon</t>
  </si>
  <si>
    <t>Genesect</t>
  </si>
  <si>
    <t>Gengar</t>
  </si>
  <si>
    <t>Gliscor</t>
  </si>
  <si>
    <t>Gyarados</t>
  </si>
  <si>
    <t>Haxorus</t>
  </si>
  <si>
    <t>Heatran</t>
  </si>
  <si>
    <t>Hippowdon</t>
  </si>
  <si>
    <t>Hydreigon</t>
  </si>
  <si>
    <t>Infernape</t>
  </si>
  <si>
    <t>Jellicent</t>
  </si>
  <si>
    <t>Jirachi</t>
  </si>
  <si>
    <t>Jolteon</t>
  </si>
  <si>
    <t>Keldeo</t>
  </si>
  <si>
    <t>Landorus</t>
  </si>
  <si>
    <t>Landorus-T</t>
  </si>
  <si>
    <t>Latias</t>
  </si>
  <si>
    <t>Latios</t>
  </si>
  <si>
    <t>Lucario</t>
  </si>
  <si>
    <t>Magnezone</t>
  </si>
  <si>
    <t>Mamoswine</t>
  </si>
  <si>
    <t>Metagross</t>
  </si>
  <si>
    <t>Ninetales</t>
  </si>
  <si>
    <t>Politoed</t>
  </si>
  <si>
    <t>Reuniclus</t>
  </si>
  <si>
    <t>Rotom-W</t>
  </si>
  <si>
    <t>Salamence</t>
  </si>
  <si>
    <t>Scizor</t>
  </si>
  <si>
    <t>Skarmory</t>
  </si>
  <si>
    <t>Starmie</t>
  </si>
  <si>
    <t>Tentacruel</t>
  </si>
  <si>
    <t>Terrakion</t>
  </si>
  <si>
    <t>Thundurus-T</t>
  </si>
  <si>
    <t>Tornadus-T</t>
  </si>
  <si>
    <t>Toxicroak</t>
  </si>
  <si>
    <t>Tyranitar</t>
  </si>
  <si>
    <t>Vaporeon</t>
  </si>
  <si>
    <t>Venusaur</t>
  </si>
  <si>
    <t>Volcarona</t>
  </si>
  <si>
    <t>Syclant</t>
  </si>
  <si>
    <t>Revenankh</t>
  </si>
  <si>
    <t>Pyroak</t>
  </si>
  <si>
    <t>Fidgit</t>
  </si>
  <si>
    <t>Stratagem</t>
  </si>
  <si>
    <t>Arghonaut</t>
  </si>
  <si>
    <t>Kitsunoh</t>
  </si>
  <si>
    <t>Cyclohm</t>
  </si>
  <si>
    <t>Colossoil</t>
  </si>
  <si>
    <t>Krilowatt</t>
  </si>
  <si>
    <t>Voodoom</t>
  </si>
  <si>
    <t>Tomohawk</t>
  </si>
  <si>
    <t>Necturna</t>
  </si>
  <si>
    <t>Mollux</t>
  </si>
  <si>
    <t>Aurumoth</t>
  </si>
  <si>
    <t>Species Name</t>
  </si>
  <si>
    <t>Bulbasaur</t>
  </si>
  <si>
    <t>Ivysaur</t>
  </si>
  <si>
    <t>Charmander</t>
  </si>
  <si>
    <t>Charmeleon</t>
  </si>
  <si>
    <t>Charizard</t>
  </si>
  <si>
    <t>Squirtle</t>
  </si>
  <si>
    <t>Wartortle</t>
  </si>
  <si>
    <t>Blastoise</t>
  </si>
  <si>
    <t>Caterpie</t>
  </si>
  <si>
    <t>Metapod</t>
  </si>
  <si>
    <t>Butterfree</t>
  </si>
  <si>
    <t>Weedle</t>
  </si>
  <si>
    <t>Kakuna</t>
  </si>
  <si>
    <t>Beedrill</t>
  </si>
  <si>
    <t>Pidgey</t>
  </si>
  <si>
    <t>Pidgeotto</t>
  </si>
  <si>
    <t>Pidgeot</t>
  </si>
  <si>
    <t>Rattata</t>
  </si>
  <si>
    <t>Raticate</t>
  </si>
  <si>
    <t>Spearow</t>
  </si>
  <si>
    <t>Fearow</t>
  </si>
  <si>
    <t>Ekans</t>
  </si>
  <si>
    <t>Arbok</t>
  </si>
  <si>
    <t>Pikachu</t>
  </si>
  <si>
    <t>Raichu</t>
  </si>
  <si>
    <t>Sandshrew</t>
  </si>
  <si>
    <t>Sandslash</t>
  </si>
  <si>
    <t>Nidoran-f</t>
  </si>
  <si>
    <t>Nidorina</t>
  </si>
  <si>
    <t>Nidoqueen</t>
  </si>
  <si>
    <t>Nidoran-m</t>
  </si>
  <si>
    <t>Nidorino</t>
  </si>
  <si>
    <t>Nidoking</t>
  </si>
  <si>
    <t>Clefairy</t>
  </si>
  <si>
    <t>Clefable</t>
  </si>
  <si>
    <t>Vulpix</t>
  </si>
  <si>
    <t>Jigglypuff</t>
  </si>
  <si>
    <t>Wigglytuff</t>
  </si>
  <si>
    <t>Zubat</t>
  </si>
  <si>
    <t>Golbat</t>
  </si>
  <si>
    <t>Oddish</t>
  </si>
  <si>
    <t>Gloom</t>
  </si>
  <si>
    <t>Vileplume</t>
  </si>
  <si>
    <t>Paras</t>
  </si>
  <si>
    <t>Parasect</t>
  </si>
  <si>
    <t>Venonat</t>
  </si>
  <si>
    <t>Venomoth</t>
  </si>
  <si>
    <t>Diglett</t>
  </si>
  <si>
    <t>Meowth</t>
  </si>
  <si>
    <t>Persian</t>
  </si>
  <si>
    <t>Psyduck</t>
  </si>
  <si>
    <t>Golduck</t>
  </si>
  <si>
    <t>Mankey</t>
  </si>
  <si>
    <t>Primeape</t>
  </si>
  <si>
    <t>Growlithe</t>
  </si>
  <si>
    <t>Arcanine</t>
  </si>
  <si>
    <t>Poliwag</t>
  </si>
  <si>
    <t>Poliwhirl</t>
  </si>
  <si>
    <t>Poliwrath</t>
  </si>
  <si>
    <t>Abra</t>
  </si>
  <si>
    <t>Kadabra</t>
  </si>
  <si>
    <t>Machop</t>
  </si>
  <si>
    <t>Machoke</t>
  </si>
  <si>
    <t>Machamp</t>
  </si>
  <si>
    <t>Bellsprout</t>
  </si>
  <si>
    <t>Weepinbell</t>
  </si>
  <si>
    <t>Victreebel</t>
  </si>
  <si>
    <t>Tentacool</t>
  </si>
  <si>
    <t>Geodude</t>
  </si>
  <si>
    <t>Graveler</t>
  </si>
  <si>
    <t>Golem</t>
  </si>
  <si>
    <t>Ponyta</t>
  </si>
  <si>
    <t>Rapidash</t>
  </si>
  <si>
    <t>Slowpoke</t>
  </si>
  <si>
    <t>Slowbro</t>
  </si>
  <si>
    <t>Magnemite</t>
  </si>
  <si>
    <t>Magneton</t>
  </si>
  <si>
    <t>Farfetch'd</t>
  </si>
  <si>
    <t>Doduo</t>
  </si>
  <si>
    <t>Dodrio</t>
  </si>
  <si>
    <t>Seel</t>
  </si>
  <si>
    <t>Dewgong</t>
  </si>
  <si>
    <t>Grimer</t>
  </si>
  <si>
    <t>Muk</t>
  </si>
  <si>
    <t>Shellder</t>
  </si>
  <si>
    <t>Gastly</t>
  </si>
  <si>
    <t>Haunter</t>
  </si>
  <si>
    <t>Onix</t>
  </si>
  <si>
    <t>Drowzee</t>
  </si>
  <si>
    <t>Hypno</t>
  </si>
  <si>
    <t>Krabby</t>
  </si>
  <si>
    <t>Kingler</t>
  </si>
  <si>
    <t>Voltorb</t>
  </si>
  <si>
    <t>Electrode</t>
  </si>
  <si>
    <t>Exeggcute</t>
  </si>
  <si>
    <t>Exeggutor</t>
  </si>
  <si>
    <t>Cubone</t>
  </si>
  <si>
    <t>Marowak</t>
  </si>
  <si>
    <t>Hitmonlee</t>
  </si>
  <si>
    <t>Hitmonchan</t>
  </si>
  <si>
    <t>Lickitung</t>
  </si>
  <si>
    <t>Koffing</t>
  </si>
  <si>
    <t>Weezing</t>
  </si>
  <si>
    <t>Rhyhorn</t>
  </si>
  <si>
    <t>Rhydon</t>
  </si>
  <si>
    <t>Tangela</t>
  </si>
  <si>
    <t>Kangaskhan</t>
  </si>
  <si>
    <t>Horsea</t>
  </si>
  <si>
    <t>Seadra</t>
  </si>
  <si>
    <t>Goldeen</t>
  </si>
  <si>
    <t>Seaking</t>
  </si>
  <si>
    <t>Staryu</t>
  </si>
  <si>
    <t>Mr. Mime</t>
  </si>
  <si>
    <t>Scyther</t>
  </si>
  <si>
    <t>Jynx</t>
  </si>
  <si>
    <t>Electabuzz</t>
  </si>
  <si>
    <t>Magmar</t>
  </si>
  <si>
    <t>Pinsir</t>
  </si>
  <si>
    <t>Tauros</t>
  </si>
  <si>
    <t>Magikarp</t>
  </si>
  <si>
    <t>Lapras</t>
  </si>
  <si>
    <t>Ditto</t>
  </si>
  <si>
    <t>Eevee</t>
  </si>
  <si>
    <t>Flareon</t>
  </si>
  <si>
    <t>Porygon</t>
  </si>
  <si>
    <t>Omanyte</t>
  </si>
  <si>
    <t>Omastar</t>
  </si>
  <si>
    <t>Kabuto</t>
  </si>
  <si>
    <t>Kabutops</t>
  </si>
  <si>
    <t>Aerodactyl</t>
  </si>
  <si>
    <t>Snorlax</t>
  </si>
  <si>
    <t>Articuno</t>
  </si>
  <si>
    <t>Zapdos</t>
  </si>
  <si>
    <t>Moltres</t>
  </si>
  <si>
    <t>Dratini</t>
  </si>
  <si>
    <t>Dragonair</t>
  </si>
  <si>
    <t>Mewtwo</t>
  </si>
  <si>
    <t>Mew</t>
  </si>
  <si>
    <t>Chikorita</t>
  </si>
  <si>
    <t>Bayleef</t>
  </si>
  <si>
    <t>Meganium</t>
  </si>
  <si>
    <t>Cyndaquil</t>
  </si>
  <si>
    <t>Quilava</t>
  </si>
  <si>
    <t>Typhlosion</t>
  </si>
  <si>
    <t>Totodile</t>
  </si>
  <si>
    <t>Croconaw</t>
  </si>
  <si>
    <t>Feraligatr</t>
  </si>
  <si>
    <t>Sentret</t>
  </si>
  <si>
    <t>Furret</t>
  </si>
  <si>
    <t>Hoothoot</t>
  </si>
  <si>
    <t>Noctowl</t>
  </si>
  <si>
    <t>Ledyba</t>
  </si>
  <si>
    <t>Ledian</t>
  </si>
  <si>
    <t>Spinarak</t>
  </si>
  <si>
    <t>Ariados</t>
  </si>
  <si>
    <t>Crobat</t>
  </si>
  <si>
    <t>Chinchou</t>
  </si>
  <si>
    <t>Lanturn</t>
  </si>
  <si>
    <t>Pichu</t>
  </si>
  <si>
    <t>Cleffa</t>
  </si>
  <si>
    <t>Igglybuff</t>
  </si>
  <si>
    <t>Togepi</t>
  </si>
  <si>
    <t>Togetic</t>
  </si>
  <si>
    <t>Natu</t>
  </si>
  <si>
    <t>Xatu</t>
  </si>
  <si>
    <t>Mareep</t>
  </si>
  <si>
    <t>Flaaffy</t>
  </si>
  <si>
    <t>Ampharos</t>
  </si>
  <si>
    <t>Bellossom</t>
  </si>
  <si>
    <t>Marill</t>
  </si>
  <si>
    <t>Azumarill</t>
  </si>
  <si>
    <t>Sudowoodo</t>
  </si>
  <si>
    <t>Hoppip</t>
  </si>
  <si>
    <t>Skiploom</t>
  </si>
  <si>
    <t>Jumpluff</t>
  </si>
  <si>
    <t>Aipom</t>
  </si>
  <si>
    <t>Sunkern</t>
  </si>
  <si>
    <t>Sunflora</t>
  </si>
  <si>
    <t>Yanma</t>
  </si>
  <si>
    <t>Wooper</t>
  </si>
  <si>
    <t>Quagsire</t>
  </si>
  <si>
    <t>Umbreon</t>
  </si>
  <si>
    <t>Murkrow</t>
  </si>
  <si>
    <t>Slowking</t>
  </si>
  <si>
    <t>Misdreavus</t>
  </si>
  <si>
    <t>Unown</t>
  </si>
  <si>
    <t>Wobbuffet</t>
  </si>
  <si>
    <t>Girafarig</t>
  </si>
  <si>
    <t>Pineco</t>
  </si>
  <si>
    <t>Dunsparce</t>
  </si>
  <si>
    <t>Gligar</t>
  </si>
  <si>
    <t>Steelix</t>
  </si>
  <si>
    <t>Snubbull</t>
  </si>
  <si>
    <t>Granbull</t>
  </si>
  <si>
    <t>Qwilfish</t>
  </si>
  <si>
    <t>Shuckle</t>
  </si>
  <si>
    <t>Heracross</t>
  </si>
  <si>
    <t>Sneasel</t>
  </si>
  <si>
    <t>Teddiursa</t>
  </si>
  <si>
    <t>Ursaring</t>
  </si>
  <si>
    <t>Slugma</t>
  </si>
  <si>
    <t>Magcargo</t>
  </si>
  <si>
    <t>Swinub</t>
  </si>
  <si>
    <t>Piloswine</t>
  </si>
  <si>
    <t>Corsola</t>
  </si>
  <si>
    <t>Remoraid</t>
  </si>
  <si>
    <t>Octillery</t>
  </si>
  <si>
    <t>Delibird</t>
  </si>
  <si>
    <t>Mantine</t>
  </si>
  <si>
    <t>Houndour</t>
  </si>
  <si>
    <t>Houndoom</t>
  </si>
  <si>
    <t>Kingdra</t>
  </si>
  <si>
    <t>Phanpy</t>
  </si>
  <si>
    <t>Porygon2</t>
  </si>
  <si>
    <t>Stantler</t>
  </si>
  <si>
    <t>Smeargle</t>
  </si>
  <si>
    <t>Tyrogue</t>
  </si>
  <si>
    <t>Hitmontop</t>
  </si>
  <si>
    <t>Smoochum</t>
  </si>
  <si>
    <t>Elekid</t>
  </si>
  <si>
    <t>Magby</t>
  </si>
  <si>
    <t>Miltank</t>
  </si>
  <si>
    <t>Raikou</t>
  </si>
  <si>
    <t>Entei</t>
  </si>
  <si>
    <t>Suicune</t>
  </si>
  <si>
    <t>Larvitar</t>
  </si>
  <si>
    <t>Pupitar</t>
  </si>
  <si>
    <t>Lugia</t>
  </si>
  <si>
    <t>Ho-Oh</t>
  </si>
  <si>
    <t>Treecko</t>
  </si>
  <si>
    <t>Grovyle</t>
  </si>
  <si>
    <t>Sceptile</t>
  </si>
  <si>
    <t>Torchic</t>
  </si>
  <si>
    <t>Combusken</t>
  </si>
  <si>
    <t>Blaziken</t>
  </si>
  <si>
    <t>Mudkip</t>
  </si>
  <si>
    <t>Marshtomp</t>
  </si>
  <si>
    <t>Swampert</t>
  </si>
  <si>
    <t>Poochyena</t>
  </si>
  <si>
    <t>Mightyena</t>
  </si>
  <si>
    <t>Zigzagoon</t>
  </si>
  <si>
    <t>Linoone</t>
  </si>
  <si>
    <t>Wurmple</t>
  </si>
  <si>
    <t>Silcoon</t>
  </si>
  <si>
    <t>Beautifly</t>
  </si>
  <si>
    <t>Cascoon</t>
  </si>
  <si>
    <t>Dustox</t>
  </si>
  <si>
    <t>Lotad</t>
  </si>
  <si>
    <t>Lombre</t>
  </si>
  <si>
    <t>Ludicolo</t>
  </si>
  <si>
    <t>Seedot</t>
  </si>
  <si>
    <t>Nuzleaf</t>
  </si>
  <si>
    <t>Shiftry</t>
  </si>
  <si>
    <t>Taillow</t>
  </si>
  <si>
    <t>Swellow</t>
  </si>
  <si>
    <t>Wingull</t>
  </si>
  <si>
    <t>Pelipper</t>
  </si>
  <si>
    <t>Ralts</t>
  </si>
  <si>
    <t>Kirlia</t>
  </si>
  <si>
    <t>Gardevoir</t>
  </si>
  <si>
    <t>Surskit</t>
  </si>
  <si>
    <t>Masquerain</t>
  </si>
  <si>
    <t>Shroomish</t>
  </si>
  <si>
    <t>Slakoth</t>
  </si>
  <si>
    <t>Vigoroth</t>
  </si>
  <si>
    <t>Slaking</t>
  </si>
  <si>
    <t>Nincada</t>
  </si>
  <si>
    <t>Ninjask</t>
  </si>
  <si>
    <t>Shedinja</t>
  </si>
  <si>
    <t>Whismur</t>
  </si>
  <si>
    <t>Loudred</t>
  </si>
  <si>
    <t>Exploud</t>
  </si>
  <si>
    <t>Makuhita</t>
  </si>
  <si>
    <t>Hariyama</t>
  </si>
  <si>
    <t>Azurill</t>
  </si>
  <si>
    <t>Nosepass</t>
  </si>
  <si>
    <t>Skitty</t>
  </si>
  <si>
    <t>Delcatty</t>
  </si>
  <si>
    <t>Sableye</t>
  </si>
  <si>
    <t>Mawile</t>
  </si>
  <si>
    <t>Aron</t>
  </si>
  <si>
    <t>Lairon</t>
  </si>
  <si>
    <t>Aggron</t>
  </si>
  <si>
    <t>Meditite</t>
  </si>
  <si>
    <t>Medicham</t>
  </si>
  <si>
    <t>Electrike</t>
  </si>
  <si>
    <t>Manectric</t>
  </si>
  <si>
    <t>Plusle</t>
  </si>
  <si>
    <t>Minun</t>
  </si>
  <si>
    <t>Volbeat</t>
  </si>
  <si>
    <t>Illumise</t>
  </si>
  <si>
    <t>Roselia</t>
  </si>
  <si>
    <t>Gulpin</t>
  </si>
  <si>
    <t>Swalot</t>
  </si>
  <si>
    <t>Carvanha</t>
  </si>
  <si>
    <t>Sharpedo</t>
  </si>
  <si>
    <t>Wailmer</t>
  </si>
  <si>
    <t>Wailord</t>
  </si>
  <si>
    <t>Numel</t>
  </si>
  <si>
    <t>Camerupt</t>
  </si>
  <si>
    <t>Torkoal</t>
  </si>
  <si>
    <t>Spoink</t>
  </si>
  <si>
    <t>Grumpig</t>
  </si>
  <si>
    <t>Spinda</t>
  </si>
  <si>
    <t>Trapinch</t>
  </si>
  <si>
    <t>Vibrava</t>
  </si>
  <si>
    <t>Flygon</t>
  </si>
  <si>
    <t>Cacnea</t>
  </si>
  <si>
    <t>Cacturne</t>
  </si>
  <si>
    <t>Swablu</t>
  </si>
  <si>
    <t>Altaria</t>
  </si>
  <si>
    <t>Zangoose</t>
  </si>
  <si>
    <t>Seviper</t>
  </si>
  <si>
    <t>Lunatone</t>
  </si>
  <si>
    <t>Solrock</t>
  </si>
  <si>
    <t>Barboach</t>
  </si>
  <si>
    <t>Whiscash</t>
  </si>
  <si>
    <t>Corphish</t>
  </si>
  <si>
    <t>Crawdaunt</t>
  </si>
  <si>
    <t>Baltoy</t>
  </si>
  <si>
    <t>Claydol</t>
  </si>
  <si>
    <t>Lileep</t>
  </si>
  <si>
    <t>Cradily</t>
  </si>
  <si>
    <t>Anorith</t>
  </si>
  <si>
    <t>Armaldo</t>
  </si>
  <si>
    <t>Feebas</t>
  </si>
  <si>
    <t>Milotic</t>
  </si>
  <si>
    <t>Castform</t>
  </si>
  <si>
    <t>Sunny Castform</t>
  </si>
  <si>
    <t>Rainy Castform</t>
  </si>
  <si>
    <t>Snowy Castform</t>
  </si>
  <si>
    <t>Kecleon</t>
  </si>
  <si>
    <t>Shuppet</t>
  </si>
  <si>
    <t>Banette</t>
  </si>
  <si>
    <t>Duskull</t>
  </si>
  <si>
    <t>Dusclops</t>
  </si>
  <si>
    <t>Tropius</t>
  </si>
  <si>
    <t>Chimecho</t>
  </si>
  <si>
    <t>Absol</t>
  </si>
  <si>
    <t>Wynaut</t>
  </si>
  <si>
    <t>Snorunt</t>
  </si>
  <si>
    <t>Glalie</t>
  </si>
  <si>
    <t>Spheal</t>
  </si>
  <si>
    <t>Sealeo</t>
  </si>
  <si>
    <t>Walrein</t>
  </si>
  <si>
    <t>Clamperl</t>
  </si>
  <si>
    <t>Huntail</t>
  </si>
  <si>
    <t>Gorebyss</t>
  </si>
  <si>
    <t>Relicanth</t>
  </si>
  <si>
    <t>Luvdisc</t>
  </si>
  <si>
    <t>Bagon</t>
  </si>
  <si>
    <t>Shelgon</t>
  </si>
  <si>
    <t>Beldum</t>
  </si>
  <si>
    <t>Metang</t>
  </si>
  <si>
    <t>Regirock</t>
  </si>
  <si>
    <t>Regice</t>
  </si>
  <si>
    <t>Registeel</t>
  </si>
  <si>
    <t>Kyogre</t>
  </si>
  <si>
    <t>Groudon</t>
  </si>
  <si>
    <t>Rayquaza</t>
  </si>
  <si>
    <t>Normal Deoxys</t>
  </si>
  <si>
    <t>Attack Deoxys</t>
  </si>
  <si>
    <t>Defense Deoxys</t>
  </si>
  <si>
    <t>Speed Deoxys</t>
  </si>
  <si>
    <t>Turtwig</t>
  </si>
  <si>
    <t>Grotle</t>
  </si>
  <si>
    <t>Torterra</t>
  </si>
  <si>
    <t>Chimchar</t>
  </si>
  <si>
    <t>Monferno</t>
  </si>
  <si>
    <t>Piplup</t>
  </si>
  <si>
    <t>Prinplup</t>
  </si>
  <si>
    <t>Empoleon</t>
  </si>
  <si>
    <t>Starly</t>
  </si>
  <si>
    <t>Staravia</t>
  </si>
  <si>
    <t>Staraptor</t>
  </si>
  <si>
    <t>Bidoof</t>
  </si>
  <si>
    <t>Bibarel</t>
  </si>
  <si>
    <t>Kricketot</t>
  </si>
  <si>
    <t>Kricketune</t>
  </si>
  <si>
    <t>Shinx</t>
  </si>
  <si>
    <t>Luxio</t>
  </si>
  <si>
    <t>Luxray</t>
  </si>
  <si>
    <t>Budew</t>
  </si>
  <si>
    <t>Roserade</t>
  </si>
  <si>
    <t>Cranidos</t>
  </si>
  <si>
    <t>Rampardos</t>
  </si>
  <si>
    <t>Shieldon</t>
  </si>
  <si>
    <t>Bastiodon</t>
  </si>
  <si>
    <t>Burmy</t>
  </si>
  <si>
    <t>Plant Wormadam</t>
  </si>
  <si>
    <t>Sandy Wormadam</t>
  </si>
  <si>
    <t>Trash Wormadam</t>
  </si>
  <si>
    <t>Mothim</t>
  </si>
  <si>
    <t>Combee</t>
  </si>
  <si>
    <t>Vespiquen</t>
  </si>
  <si>
    <t>Pachirisu</t>
  </si>
  <si>
    <t>Buizel</t>
  </si>
  <si>
    <t>Floatzel</t>
  </si>
  <si>
    <t>Cherubi</t>
  </si>
  <si>
    <t>Cherrim</t>
  </si>
  <si>
    <t>Shellos</t>
  </si>
  <si>
    <t>Ambipom</t>
  </si>
  <si>
    <t>Drifloon</t>
  </si>
  <si>
    <t>Drifblim</t>
  </si>
  <si>
    <t>Buneary</t>
  </si>
  <si>
    <t>Lopunny</t>
  </si>
  <si>
    <t>Mismagius</t>
  </si>
  <si>
    <t>Honchkrow</t>
  </si>
  <si>
    <t>Glameow</t>
  </si>
  <si>
    <t>Purugly</t>
  </si>
  <si>
    <t>Chingling</t>
  </si>
  <si>
    <t>Stunky</t>
  </si>
  <si>
    <t>Skuntank</t>
  </si>
  <si>
    <t>Bronzor</t>
  </si>
  <si>
    <t>Bronzong</t>
  </si>
  <si>
    <t>Bonsly</t>
  </si>
  <si>
    <t>Mime Jr.</t>
  </si>
  <si>
    <t>Happiny</t>
  </si>
  <si>
    <t>Chatot</t>
  </si>
  <si>
    <t>Spiritomb</t>
  </si>
  <si>
    <t>Gible</t>
  </si>
  <si>
    <t>Gabite</t>
  </si>
  <si>
    <t>Munchlax</t>
  </si>
  <si>
    <t>Riolu</t>
  </si>
  <si>
    <t>Hippopotas</t>
  </si>
  <si>
    <t>Skorupi</t>
  </si>
  <si>
    <t>Drapion</t>
  </si>
  <si>
    <t>Croagunk</t>
  </si>
  <si>
    <t>Carnivine</t>
  </si>
  <si>
    <t>Finneon</t>
  </si>
  <si>
    <t>Lumineon</t>
  </si>
  <si>
    <t>Mantyke</t>
  </si>
  <si>
    <t>Snover</t>
  </si>
  <si>
    <t>Weavile</t>
  </si>
  <si>
    <t>Lickilicky</t>
  </si>
  <si>
    <t>Rhyperior</t>
  </si>
  <si>
    <t>Tangrowth</t>
  </si>
  <si>
    <t>Electivire</t>
  </si>
  <si>
    <t>Magmortar</t>
  </si>
  <si>
    <t>Togekiss</t>
  </si>
  <si>
    <t>Yanmega</t>
  </si>
  <si>
    <t>Leafeon</t>
  </si>
  <si>
    <t>Glaceon</t>
  </si>
  <si>
    <t>Porygon-Z</t>
  </si>
  <si>
    <t>Gallade</t>
  </si>
  <si>
    <t>Probopass</t>
  </si>
  <si>
    <t>Dusknoir</t>
  </si>
  <si>
    <t>Froslass</t>
  </si>
  <si>
    <t>Rotom</t>
  </si>
  <si>
    <t>Fan Rotom</t>
  </si>
  <si>
    <t>Frost Rotom</t>
  </si>
  <si>
    <t>Heat Rotom</t>
  </si>
  <si>
    <t>Mow Rotom</t>
  </si>
  <si>
    <t>Wash Rotom</t>
  </si>
  <si>
    <t>Uxie</t>
  </si>
  <si>
    <t>Mesprit</t>
  </si>
  <si>
    <t>Azelf</t>
  </si>
  <si>
    <t>Dialga</t>
  </si>
  <si>
    <t>Palkia</t>
  </si>
  <si>
    <t>Regigigas</t>
  </si>
  <si>
    <t>Altered Giratina</t>
  </si>
  <si>
    <t>Origin Giratina</t>
  </si>
  <si>
    <t>Cresselia</t>
  </si>
  <si>
    <t>Phione</t>
  </si>
  <si>
    <t>Manaphy</t>
  </si>
  <si>
    <t>Darkrai</t>
  </si>
  <si>
    <t>Land Shaymin</t>
  </si>
  <si>
    <t>Sky Shaymin</t>
  </si>
  <si>
    <t>Arceus</t>
  </si>
  <si>
    <t>Victini</t>
  </si>
  <si>
    <t>Snivy</t>
  </si>
  <si>
    <t>Servine</t>
  </si>
  <si>
    <t>Serperior</t>
  </si>
  <si>
    <t>Tepig</t>
  </si>
  <si>
    <t>Pignite</t>
  </si>
  <si>
    <t>Emboar</t>
  </si>
  <si>
    <t>Oshawott</t>
  </si>
  <si>
    <t>Dewott</t>
  </si>
  <si>
    <t>Samurott</t>
  </si>
  <si>
    <t>Patrat</t>
  </si>
  <si>
    <t>Watchog</t>
  </si>
  <si>
    <t>Lillipup</t>
  </si>
  <si>
    <t>Herdier</t>
  </si>
  <si>
    <t>Stoutland</t>
  </si>
  <si>
    <t>Purrloin</t>
  </si>
  <si>
    <t>Liepard</t>
  </si>
  <si>
    <t>Pansage</t>
  </si>
  <si>
    <t>Simisage</t>
  </si>
  <si>
    <t>Pansear</t>
  </si>
  <si>
    <t>Simisear</t>
  </si>
  <si>
    <t>Panpour</t>
  </si>
  <si>
    <t>Simipour</t>
  </si>
  <si>
    <t>Munna</t>
  </si>
  <si>
    <t>Musharna</t>
  </si>
  <si>
    <t>Pidove</t>
  </si>
  <si>
    <t>Tranquill</t>
  </si>
  <si>
    <t>Unfezant</t>
  </si>
  <si>
    <t>Blitzle</t>
  </si>
  <si>
    <t>Zebstrika</t>
  </si>
  <si>
    <t>Roggenrola</t>
  </si>
  <si>
    <t>Boldore</t>
  </si>
  <si>
    <t>Gigalith</t>
  </si>
  <si>
    <t>Woobat</t>
  </si>
  <si>
    <t>Swoobat</t>
  </si>
  <si>
    <t>Drilbur</t>
  </si>
  <si>
    <t>Excadrill</t>
  </si>
  <si>
    <t>Audino</t>
  </si>
  <si>
    <t>Timburr</t>
  </si>
  <si>
    <t>Gurdurr</t>
  </si>
  <si>
    <t>Tympole</t>
  </si>
  <si>
    <t>Palpitoad</t>
  </si>
  <si>
    <t>Seismitoad</t>
  </si>
  <si>
    <t>Throh</t>
  </si>
  <si>
    <t>Sawk</t>
  </si>
  <si>
    <t>Sewaddle</t>
  </si>
  <si>
    <t>Swadloon</t>
  </si>
  <si>
    <t>Leavanny</t>
  </si>
  <si>
    <t>Venipede</t>
  </si>
  <si>
    <t>Whirlipede</t>
  </si>
  <si>
    <t>Scolipede</t>
  </si>
  <si>
    <t>Cottonee</t>
  </si>
  <si>
    <t>Whimsicott</t>
  </si>
  <si>
    <t>Petilil</t>
  </si>
  <si>
    <t>Lilligant</t>
  </si>
  <si>
    <t>Red-Striped Basculin</t>
  </si>
  <si>
    <t>Blue-Striped Basculin</t>
  </si>
  <si>
    <t>Sandile</t>
  </si>
  <si>
    <t>Krokorok</t>
  </si>
  <si>
    <t>Krookodile</t>
  </si>
  <si>
    <t>Darumaka</t>
  </si>
  <si>
    <t>Standard Darmanitan</t>
  </si>
  <si>
    <t>Zen Darmanitan</t>
  </si>
  <si>
    <t>Maractus</t>
  </si>
  <si>
    <t>Dwebble</t>
  </si>
  <si>
    <t>Crustle</t>
  </si>
  <si>
    <t>Scraggy</t>
  </si>
  <si>
    <t>Scrafty</t>
  </si>
  <si>
    <t>Sigilyph</t>
  </si>
  <si>
    <t>Yamask</t>
  </si>
  <si>
    <t>Cofagrigus</t>
  </si>
  <si>
    <t>Tirtouga</t>
  </si>
  <si>
    <t>Carracosta</t>
  </si>
  <si>
    <t>Archen</t>
  </si>
  <si>
    <t>Archeops</t>
  </si>
  <si>
    <t>Trubbish</t>
  </si>
  <si>
    <t>Garbodor</t>
  </si>
  <si>
    <t>Zorua</t>
  </si>
  <si>
    <t>Zoroark</t>
  </si>
  <si>
    <t>Minccino</t>
  </si>
  <si>
    <t>Cinccino</t>
  </si>
  <si>
    <t>Gothita</t>
  </si>
  <si>
    <t>Gothorita</t>
  </si>
  <si>
    <t>Gothitelle</t>
  </si>
  <si>
    <t>Solosis</t>
  </si>
  <si>
    <t>Duosion</t>
  </si>
  <si>
    <t>Ducklett</t>
  </si>
  <si>
    <t>Swanna</t>
  </si>
  <si>
    <t>Vanillite</t>
  </si>
  <si>
    <t>Vanillish</t>
  </si>
  <si>
    <t>Vanilluxe</t>
  </si>
  <si>
    <t>Deerling</t>
  </si>
  <si>
    <t>Sawsbuck</t>
  </si>
  <si>
    <t>Emolga</t>
  </si>
  <si>
    <t>Karrablast</t>
  </si>
  <si>
    <t>Escavalier</t>
  </si>
  <si>
    <t>Foongus</t>
  </si>
  <si>
    <t>Amoonguss</t>
  </si>
  <si>
    <t>Frillish</t>
  </si>
  <si>
    <t>Alomomola</t>
  </si>
  <si>
    <t>Joltik</t>
  </si>
  <si>
    <t>Galvantula</t>
  </si>
  <si>
    <t>Ferroseed</t>
  </si>
  <si>
    <t>Klink</t>
  </si>
  <si>
    <t>Klang</t>
  </si>
  <si>
    <t>Klinklang</t>
  </si>
  <si>
    <t>Tynamo</t>
  </si>
  <si>
    <t>Eelektrik</t>
  </si>
  <si>
    <t>Eelektross</t>
  </si>
  <si>
    <t>Elgyem</t>
  </si>
  <si>
    <t>Beheeyem</t>
  </si>
  <si>
    <t>Litwick</t>
  </si>
  <si>
    <t>Lampent</t>
  </si>
  <si>
    <t>Chandelure</t>
  </si>
  <si>
    <t>Axew</t>
  </si>
  <si>
    <t>Fraxure</t>
  </si>
  <si>
    <t>Cubchoo</t>
  </si>
  <si>
    <t>Beartic</t>
  </si>
  <si>
    <t>Cryogonal</t>
  </si>
  <si>
    <t>Shelmet</t>
  </si>
  <si>
    <t>Accelgor</t>
  </si>
  <si>
    <t>Stunfisk</t>
  </si>
  <si>
    <t>Mienfoo</t>
  </si>
  <si>
    <t>Mienshao</t>
  </si>
  <si>
    <t>Druddigon</t>
  </si>
  <si>
    <t>Golett</t>
  </si>
  <si>
    <t>Golurk</t>
  </si>
  <si>
    <t>Pawniard</t>
  </si>
  <si>
    <t>Bisharp</t>
  </si>
  <si>
    <t>Bouffalant</t>
  </si>
  <si>
    <t>Rufflet</t>
  </si>
  <si>
    <t>Braviary</t>
  </si>
  <si>
    <t>Vullaby</t>
  </si>
  <si>
    <t>Mandibuzz</t>
  </si>
  <si>
    <t>Heatmor</t>
  </si>
  <si>
    <t>Durant</t>
  </si>
  <si>
    <t>Deino</t>
  </si>
  <si>
    <t>Zweilous</t>
  </si>
  <si>
    <t>Larvesta</t>
  </si>
  <si>
    <t>Cobalion</t>
  </si>
  <si>
    <t>Virizion</t>
  </si>
  <si>
    <t>Tornadus</t>
  </si>
  <si>
    <t>Thundurus</t>
  </si>
  <si>
    <t>Reshiram</t>
  </si>
  <si>
    <t>Zekrom</t>
  </si>
  <si>
    <t>Kyurem</t>
  </si>
  <si>
    <t>Kyurem-B</t>
  </si>
  <si>
    <t>Kyurem-W</t>
  </si>
  <si>
    <t>Aria Meloetta</t>
  </si>
  <si>
    <t>Pirouette Meloetta</t>
  </si>
  <si>
    <t>Syclar</t>
  </si>
  <si>
    <t>Embirch</t>
  </si>
  <si>
    <t>??</t>
  </si>
  <si>
    <t>Flarelm</t>
  </si>
  <si>
    <t>Breezi</t>
  </si>
  <si>
    <t>Rebble</t>
  </si>
  <si>
    <t>Bolderdash</t>
  </si>
  <si>
    <t>Pryvityke</t>
  </si>
  <si>
    <t>Nohface</t>
  </si>
  <si>
    <t>Monohm</t>
  </si>
  <si>
    <t>Duclohm</t>
  </si>
  <si>
    <t>Colosshale</t>
  </si>
  <si>
    <t>Protowatt</t>
  </si>
  <si>
    <t>Voodoll</t>
  </si>
  <si>
    <t>Scratchet</t>
  </si>
  <si>
    <t>Necturine</t>
  </si>
</sst>
</file>

<file path=xl/styles.xml><?xml version="1.0" encoding="utf-8"?>
<styleSheet xmlns="http://schemas.openxmlformats.org/spreadsheetml/2006/main" xmlns:x14ac="http://schemas.microsoft.com/office/spreadsheetml/2009/9/ac" xmlns:mc="http://schemas.openxmlformats.org/markup-compatibility/2006">
  <fonts count="72">
    <font>
      <b val="0"/>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Arial"/>
    </font>
    <font>
      <b/>
      <i val="0"/>
      <strike val="0"/>
      <u val="none"/>
      <sz val="10.0"/>
      <color rgb="FF000000"/>
      <name val="Arial"/>
    </font>
    <font>
      <b val="0"/>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Arial"/>
    </font>
    <font>
      <b val="0"/>
      <i val="0"/>
      <strike val="0"/>
      <u val="none"/>
      <sz val="10.0"/>
      <color rgb="FF000000"/>
      <name val="Verdana"/>
    </font>
    <font>
      <b val="0"/>
      <i val="0"/>
      <strike val="0"/>
      <u val="none"/>
      <sz val="10.0"/>
      <color rgb="FF000000"/>
      <name val="Arial"/>
    </font>
    <font>
      <b val="0"/>
      <i val="0"/>
      <strike val="0"/>
      <u val="none"/>
      <sz val="10.0"/>
      <color rgb="FF000000"/>
      <name val="Verdana"/>
    </font>
    <font>
      <b/>
      <i val="0"/>
      <strike val="0"/>
      <u val="none"/>
      <sz val="11.0"/>
      <color rgb="FF000000"/>
      <name val="Calibri"/>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1.0"/>
      <color rgb="FF000000"/>
      <name val="Calibri"/>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Arial"/>
    </font>
    <font>
      <b val="0"/>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Arial"/>
    </font>
    <font>
      <b val="0"/>
      <i val="0"/>
      <strike val="0"/>
      <u val="none"/>
      <sz val="10.0"/>
      <color rgb="FF000000"/>
      <name val="Arial"/>
    </font>
    <font>
      <b val="0"/>
      <i val="0"/>
      <strike val="0"/>
      <u val="none"/>
      <sz val="10.0"/>
      <color rgb="FF000000"/>
      <name val="Verdana"/>
    </font>
    <font>
      <b val="0"/>
      <i val="0"/>
      <strike val="0"/>
      <u val="none"/>
      <sz val="10.0"/>
      <color rgb="FF000000"/>
      <name val="Verdana"/>
    </font>
    <font>
      <b/>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Arial"/>
    </font>
    <font>
      <b val="0"/>
      <i val="0"/>
      <strike val="0"/>
      <u val="none"/>
      <sz val="10.0"/>
      <color rgb="FF000000"/>
      <name val="Verdana"/>
    </font>
    <font>
      <b val="0"/>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Arial"/>
    </font>
    <font>
      <b val="0"/>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Arial"/>
    </font>
    <font>
      <b val="0"/>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Arial"/>
    </font>
    <font>
      <b val="0"/>
      <i val="0"/>
      <strike val="0"/>
      <u val="none"/>
      <sz val="10.0"/>
      <color rgb="FF000000"/>
      <name val="Verdana"/>
    </font>
    <font>
      <b val="0"/>
      <i val="0"/>
      <strike val="0"/>
      <u val="none"/>
      <sz val="10.0"/>
      <color rgb="FF000000"/>
      <name val="Arial"/>
    </font>
    <font>
      <b val="0"/>
      <i val="0"/>
      <strike val="0"/>
      <u val="none"/>
      <sz val="10.0"/>
      <color rgb="FF000000"/>
      <name val="Verdana"/>
    </font>
    <font>
      <b val="0"/>
      <i val="0"/>
      <strike val="0"/>
      <u val="none"/>
      <sz val="10.0"/>
      <color rgb="FF000000"/>
      <name val="Arial"/>
    </font>
    <font>
      <b val="0"/>
      <i val="0"/>
      <strike val="0"/>
      <u val="none"/>
      <sz val="10.0"/>
      <color rgb="FF000000"/>
      <name val="Arial"/>
    </font>
    <font>
      <b val="0"/>
      <i val="0"/>
      <strike val="0"/>
      <u val="none"/>
      <sz val="10.0"/>
      <color rgb="FF000000"/>
      <name val="Verdana"/>
    </font>
    <font>
      <b/>
      <i val="0"/>
      <strike val="0"/>
      <u val="none"/>
      <sz val="10.0"/>
      <color rgb="FF000000"/>
      <name val="Arial"/>
    </font>
    <font>
      <b val="0"/>
      <i val="0"/>
      <strike val="0"/>
      <u val="none"/>
      <sz val="10.0"/>
      <color rgb="FF000000"/>
      <name val="Verdana"/>
    </font>
    <font>
      <b val="0"/>
      <i val="0"/>
      <strike val="0"/>
      <u val="none"/>
      <sz val="10.0"/>
      <color rgb="FF000000"/>
      <name val="Arial"/>
    </font>
    <font>
      <b val="0"/>
      <i val="0"/>
      <strike val="0"/>
      <u val="none"/>
      <sz val="10.0"/>
      <color rgb="FF000000"/>
      <name val="Arial"/>
    </font>
    <font>
      <b val="0"/>
      <i val="0"/>
      <strike val="0"/>
      <u val="none"/>
      <sz val="10.0"/>
      <color rgb="FF000000"/>
      <name val="Verdana"/>
    </font>
  </fonts>
  <fills count="63">
    <fill>
      <patternFill patternType="none"/>
    </fill>
    <fill>
      <patternFill patternType="gray125">
        <bgColor rgb="FFFFFFFF"/>
      </patternFill>
    </fill>
    <fill>
      <patternFill patternType="solid">
        <fgColor rgb="FFDDD9C3"/>
        <bgColor indexed="64"/>
      </patternFill>
    </fill>
    <fill>
      <patternFill patternType="solid">
        <fgColor rgb="FFFDE9D9"/>
        <bgColor indexed="64"/>
      </patternFill>
    </fill>
    <fill>
      <patternFill patternType="solid">
        <fgColor rgb="FFD9EAD3"/>
        <bgColor indexed="64"/>
      </patternFill>
    </fill>
    <fill>
      <patternFill patternType="solid">
        <fgColor rgb="FFB6D7A8"/>
        <bgColor indexed="64"/>
      </patternFill>
    </fill>
    <fill>
      <patternFill patternType="solid">
        <fgColor rgb="FFD9EAD3"/>
        <bgColor indexed="64"/>
      </patternFill>
    </fill>
    <fill>
      <patternFill patternType="solid">
        <fgColor rgb="FF00B0F0"/>
        <bgColor indexed="64"/>
      </patternFill>
    </fill>
    <fill>
      <patternFill patternType="solid">
        <fgColor rgb="FFFBD4B4"/>
        <bgColor indexed="64"/>
      </patternFill>
    </fill>
    <fill>
      <patternFill patternType="solid">
        <fgColor rgb="FFB6D7A8"/>
        <bgColor indexed="64"/>
      </patternFill>
    </fill>
    <fill>
      <patternFill patternType="solid">
        <fgColor rgb="FFDDD9C3"/>
        <bgColor indexed="64"/>
      </patternFill>
    </fill>
    <fill>
      <patternFill patternType="solid">
        <fgColor rgb="FFEEECE1"/>
        <bgColor indexed="64"/>
      </patternFill>
    </fill>
    <fill>
      <patternFill patternType="solid">
        <fgColor rgb="FF205867"/>
        <bgColor indexed="64"/>
      </patternFill>
    </fill>
    <fill>
      <patternFill patternType="solid">
        <fgColor rgb="FF205867"/>
        <bgColor indexed="64"/>
      </patternFill>
    </fill>
    <fill>
      <patternFill patternType="solid">
        <fgColor rgb="FFFF0000"/>
        <bgColor indexed="64"/>
      </patternFill>
    </fill>
    <fill>
      <patternFill patternType="solid">
        <fgColor rgb="FFFFFF99"/>
        <bgColor indexed="64"/>
      </patternFill>
    </fill>
    <fill>
      <patternFill patternType="solid">
        <fgColor rgb="FFF2F2F2"/>
        <bgColor indexed="64"/>
      </patternFill>
    </fill>
    <fill>
      <patternFill patternType="solid">
        <fgColor rgb="FFD8D8D8"/>
        <bgColor indexed="64"/>
      </patternFill>
    </fill>
    <fill>
      <patternFill patternType="solid">
        <fgColor rgb="FF0070C0"/>
        <bgColor indexed="64"/>
      </patternFill>
    </fill>
    <fill>
      <patternFill patternType="solid">
        <fgColor rgb="FFFF0000"/>
        <bgColor indexed="64"/>
      </patternFill>
    </fill>
    <fill>
      <patternFill patternType="solid">
        <fgColor rgb="FFFF0000"/>
        <bgColor indexed="64"/>
      </patternFill>
    </fill>
    <fill>
      <patternFill patternType="solid">
        <fgColor rgb="FFFBD4B4"/>
        <bgColor indexed="64"/>
      </patternFill>
    </fill>
    <fill>
      <patternFill patternType="solid">
        <fgColor rgb="FFFFFFFF"/>
        <bgColor indexed="64"/>
      </patternFill>
    </fill>
    <fill>
      <patternFill patternType="solid">
        <fgColor rgb="FFD9EAD3"/>
        <bgColor indexed="64"/>
      </patternFill>
    </fill>
    <fill>
      <patternFill patternType="solid">
        <fgColor rgb="FF00B050"/>
        <bgColor indexed="64"/>
      </patternFill>
    </fill>
    <fill>
      <patternFill patternType="solid">
        <fgColor rgb="FFB6D7A8"/>
        <bgColor indexed="64"/>
      </patternFill>
    </fill>
    <fill>
      <patternFill patternType="solid">
        <fgColor rgb="FF7030A0"/>
        <bgColor indexed="64"/>
      </patternFill>
    </fill>
    <fill>
      <patternFill patternType="solid">
        <fgColor rgb="FFFFC000"/>
        <bgColor indexed="64"/>
      </patternFill>
    </fill>
    <fill>
      <patternFill patternType="solid">
        <fgColor rgb="FFB6D7A8"/>
        <bgColor indexed="64"/>
      </patternFill>
    </fill>
    <fill>
      <patternFill patternType="solid">
        <fgColor rgb="FFFF4747"/>
        <bgColor indexed="64"/>
      </patternFill>
    </fill>
    <fill>
      <patternFill patternType="solid">
        <fgColor rgb="FFCC99FF"/>
        <bgColor indexed="64"/>
      </patternFill>
    </fill>
    <fill>
      <patternFill patternType="solid">
        <fgColor rgb="FF00B0F0"/>
        <bgColor indexed="64"/>
      </patternFill>
    </fill>
    <fill>
      <patternFill patternType="solid">
        <fgColor rgb="FFB6D7A8"/>
        <bgColor indexed="64"/>
      </patternFill>
    </fill>
    <fill>
      <patternFill patternType="solid">
        <fgColor rgb="FFD9EAD3"/>
        <bgColor indexed="64"/>
      </patternFill>
    </fill>
    <fill>
      <patternFill patternType="solid">
        <fgColor rgb="FF0070C0"/>
        <bgColor indexed="64"/>
      </patternFill>
    </fill>
    <fill>
      <patternFill patternType="solid">
        <fgColor rgb="FFDDD9C3"/>
        <bgColor indexed="64"/>
      </patternFill>
    </fill>
    <fill>
      <patternFill patternType="solid">
        <fgColor rgb="FFDDD9C3"/>
        <bgColor indexed="64"/>
      </patternFill>
    </fill>
    <fill>
      <patternFill patternType="solid">
        <fgColor rgb="FFD9EAD3"/>
        <bgColor indexed="64"/>
      </patternFill>
    </fill>
    <fill>
      <patternFill patternType="solid">
        <fgColor rgb="FFFFFFFF"/>
        <bgColor indexed="64"/>
      </patternFill>
    </fill>
    <fill>
      <patternFill patternType="solid">
        <fgColor rgb="FFD9EAD3"/>
        <bgColor indexed="64"/>
      </patternFill>
    </fill>
    <fill>
      <patternFill patternType="solid">
        <fgColor rgb="FFD9EAD3"/>
        <bgColor indexed="64"/>
      </patternFill>
    </fill>
    <fill>
      <patternFill patternType="solid">
        <fgColor rgb="FF7030A0"/>
        <bgColor indexed="64"/>
      </patternFill>
    </fill>
    <fill>
      <patternFill patternType="solid">
        <fgColor rgb="FFFDE9D9"/>
        <bgColor indexed="64"/>
      </patternFill>
    </fill>
    <fill>
      <patternFill patternType="solid">
        <fgColor rgb="FFD9EAD3"/>
        <bgColor indexed="64"/>
      </patternFill>
    </fill>
    <fill>
      <patternFill patternType="solid">
        <fgColor rgb="FFD9EAD3"/>
        <bgColor indexed="64"/>
      </patternFill>
    </fill>
    <fill>
      <patternFill patternType="solid">
        <fgColor rgb="FFFBD4B4"/>
        <bgColor indexed="64"/>
      </patternFill>
    </fill>
    <fill>
      <patternFill patternType="solid">
        <fgColor rgb="FFF7E603"/>
        <bgColor indexed="64"/>
      </patternFill>
    </fill>
    <fill>
      <patternFill patternType="solid">
        <fgColor rgb="FFF7E603"/>
        <bgColor indexed="64"/>
      </patternFill>
    </fill>
    <fill>
      <patternFill patternType="solid">
        <fgColor rgb="FFFFC000"/>
        <bgColor indexed="64"/>
      </patternFill>
    </fill>
    <fill>
      <patternFill patternType="solid">
        <fgColor rgb="FF99CC00"/>
        <bgColor indexed="64"/>
      </patternFill>
    </fill>
    <fill>
      <patternFill patternType="solid">
        <fgColor rgb="FFFF4747"/>
        <bgColor indexed="64"/>
      </patternFill>
    </fill>
    <fill>
      <patternFill patternType="solid">
        <fgColor rgb="FFFFFFFF"/>
        <bgColor indexed="64"/>
      </patternFill>
    </fill>
    <fill>
      <patternFill patternType="solid">
        <fgColor rgb="FFFFFFFF"/>
        <bgColor indexed="64"/>
      </patternFill>
    </fill>
    <fill>
      <patternFill patternType="solid">
        <fgColor rgb="FF99CC00"/>
        <bgColor indexed="64"/>
      </patternFill>
    </fill>
    <fill>
      <patternFill patternType="solid">
        <fgColor rgb="FFD9EAD3"/>
        <bgColor indexed="64"/>
      </patternFill>
    </fill>
    <fill>
      <patternFill patternType="solid">
        <fgColor rgb="FFD9EAD3"/>
        <bgColor indexed="64"/>
      </patternFill>
    </fill>
    <fill>
      <patternFill patternType="solid">
        <fgColor rgb="FFD9EAD3"/>
        <bgColor indexed="64"/>
      </patternFill>
    </fill>
    <fill>
      <patternFill patternType="solid">
        <fgColor rgb="FFFDE9D9"/>
        <bgColor indexed="64"/>
      </patternFill>
    </fill>
    <fill>
      <patternFill patternType="solid">
        <fgColor rgb="FFB6D7A8"/>
        <bgColor indexed="64"/>
      </patternFill>
    </fill>
    <fill>
      <patternFill patternType="solid">
        <fgColor rgb="FFFF0000"/>
        <bgColor indexed="64"/>
      </patternFill>
    </fill>
    <fill>
      <patternFill patternType="solid">
        <fgColor rgb="FFD9EAD3"/>
        <bgColor indexed="64"/>
      </patternFill>
    </fill>
    <fill>
      <patternFill patternType="solid">
        <fgColor rgb="FFD9EAD3"/>
        <bgColor indexed="64"/>
      </patternFill>
    </fill>
    <fill>
      <patternFill patternType="solid">
        <fgColor rgb="FF00B050"/>
        <bgColor indexed="64"/>
      </patternFill>
    </fill>
  </fills>
  <borders count="80">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s>
  <cellStyleXfs count="1">
    <xf fillId="0" numFmtId="0" borderId="0" fontId="0"/>
  </cellStyleXfs>
  <cellXfs count="83">
    <xf applyAlignment="1" fillId="0" xfId="0" numFmtId="0" borderId="0" fontId="0">
      <alignment vertical="bottom" horizontal="general" wrapText="1"/>
    </xf>
    <xf applyBorder="1" applyAlignment="1" fillId="2" xfId="0" numFmtId="0" borderId="1" applyFont="1" fontId="1" applyFill="1">
      <alignment vertical="bottom" horizontal="center"/>
    </xf>
    <xf applyBorder="1" applyAlignment="1" fillId="3" xfId="0" numFmtId="0" borderId="2" applyFont="1" fontId="2" applyFill="1">
      <alignment vertical="bottom" horizontal="center"/>
    </xf>
    <xf applyBorder="1" applyAlignment="1" fillId="4" xfId="0" numFmtId="0" borderId="3" applyFont="1" fontId="3" applyFill="1">
      <alignment vertical="center" horizontal="general" wrapText="1"/>
    </xf>
    <xf applyBorder="1" applyAlignment="1" fillId="5" xfId="0" numFmtId="0" borderId="4" applyFont="1" fontId="4" applyFill="1">
      <alignment vertical="center" horizontal="general" wrapText="1"/>
    </xf>
    <xf applyBorder="1" applyAlignment="1" fillId="0" xfId="0" numFmtId="0" borderId="5" fontId="0">
      <alignment vertical="bottom" horizontal="general" wrapText="1"/>
    </xf>
    <xf applyBorder="1" applyAlignment="1" fillId="6" xfId="0" numFmtId="0" borderId="6" applyFont="1" fontId="5" applyFill="1">
      <alignment vertical="center" horizontal="left" wrapText="1"/>
    </xf>
    <xf applyBorder="1" applyAlignment="1" fillId="7" xfId="0" numFmtId="0" borderId="7" applyFont="1" fontId="6" applyFill="1">
      <alignment vertical="bottom" horizontal="center"/>
    </xf>
    <xf applyBorder="1" applyAlignment="1" fillId="8" xfId="0" numFmtId="0" borderId="8" applyFont="1" fontId="7" applyFill="1">
      <alignment vertical="bottom" horizontal="center"/>
    </xf>
    <xf applyBorder="1" applyAlignment="1" fillId="9" xfId="0" numFmtId="0" borderId="9" applyFont="1" fontId="8" applyFill="1">
      <alignment vertical="center" horizontal="general" wrapText="1"/>
    </xf>
    <xf applyBorder="1" applyAlignment="1" fillId="10" xfId="0" numFmtId="0" borderId="10" applyFont="1" fontId="9" applyFill="1">
      <alignment vertical="bottom" horizontal="center"/>
    </xf>
    <xf applyBorder="1" applyAlignment="1" fillId="0" xfId="0" numFmtId="0" borderId="11" applyFont="1" fontId="10">
      <alignment vertical="bottom" horizontal="general" wrapText="1"/>
    </xf>
    <xf applyAlignment="1" fillId="0" xfId="0" numFmtId="0" borderId="0" applyFont="1" fontId="11">
      <alignment vertical="bottom" horizontal="center"/>
    </xf>
    <xf applyBorder="1" fillId="11" xfId="0" numFmtId="0" borderId="12" applyFont="1" fontId="12" applyFill="1"/>
    <xf applyBorder="1" applyAlignment="1" fillId="12" xfId="0" numFmtId="0" borderId="13" applyFont="1" fontId="13" applyFill="1">
      <alignment vertical="bottom" horizontal="center"/>
    </xf>
    <xf applyBorder="1" applyAlignment="1" fillId="13" xfId="0" numFmtId="0" borderId="14" applyFont="1" fontId="14" applyFill="1">
      <alignment vertical="bottom" horizontal="center"/>
    </xf>
    <xf applyBorder="1" applyAlignment="1" fillId="14" xfId="0" numFmtId="0" borderId="15" applyFont="1" fontId="15" applyFill="1">
      <alignment vertical="bottom" horizontal="center"/>
    </xf>
    <xf applyBorder="1" applyAlignment="1" fillId="0" xfId="0" numFmtId="0" borderId="16" fontId="0">
      <alignment vertical="bottom" horizontal="general" wrapText="1"/>
    </xf>
    <xf applyBorder="1" fillId="15" xfId="0" numFmtId="0" borderId="17" applyFont="1" fontId="16" applyFill="1"/>
    <xf applyBorder="1" applyAlignment="1" fillId="16" xfId="0" numFmtId="0" borderId="18" applyFont="1" fontId="17" applyFill="1">
      <alignment vertical="bottom" horizontal="center"/>
    </xf>
    <xf applyBorder="1" applyAlignment="1" fillId="17" xfId="0" numFmtId="0" borderId="19" applyFont="1" fontId="18" applyFill="1">
      <alignment vertical="bottom" horizontal="center"/>
    </xf>
    <xf applyBorder="1" applyAlignment="1" fillId="18" xfId="0" numFmtId="0" borderId="20" applyFont="1" fontId="19" applyFill="1">
      <alignment vertical="bottom" horizontal="center"/>
    </xf>
    <xf applyBorder="1" applyAlignment="1" fillId="0" xfId="0" numFmtId="0" borderId="21" applyFont="1" fontId="20">
      <alignment vertical="bottom" horizontal="general" wrapText="1"/>
    </xf>
    <xf applyBorder="1" applyAlignment="1" fillId="19" xfId="0" numFmtId="0" borderId="22" applyFont="1" fontId="21" applyFill="1">
      <alignment vertical="bottom" horizontal="center"/>
    </xf>
    <xf applyBorder="1" applyAlignment="1" fillId="20" xfId="0" numFmtId="0" borderId="23" applyFont="1" fontId="22" applyFill="1">
      <alignment vertical="bottom" horizontal="center"/>
    </xf>
    <xf applyBorder="1" applyAlignment="1" fillId="0" xfId="0" numFmtId="0" borderId="24" applyFont="1" fontId="23">
      <alignment vertical="bottom" horizontal="general" wrapText="1"/>
    </xf>
    <xf applyAlignment="1" fillId="0" xfId="0" numFmtId="0" borderId="0" applyFont="1" fontId="24">
      <alignment vertical="bottom" horizontal="general" wrapText="1"/>
    </xf>
    <xf applyBorder="1" applyAlignment="1" fillId="21" xfId="0" numFmtId="0" borderId="25" applyFont="1" fontId="25" applyFill="1">
      <alignment vertical="bottom" horizontal="center"/>
    </xf>
    <xf applyAlignment="1" fillId="22" xfId="0" numFmtId="0" borderId="0" applyFont="1" fontId="26" applyFill="1">
      <alignment vertical="bottom" horizontal="center"/>
    </xf>
    <xf applyBorder="1" applyAlignment="1" fillId="0" xfId="0" numFmtId="0" borderId="26" fontId="0">
      <alignment vertical="bottom" horizontal="general" wrapText="1"/>
    </xf>
    <xf applyBorder="1" applyAlignment="1" fillId="23" xfId="0" numFmtId="0" borderId="27" fontId="0" applyFill="1">
      <alignment vertical="center" horizontal="general" wrapText="1"/>
    </xf>
    <xf applyBorder="1" applyAlignment="1" fillId="24" xfId="0" numFmtId="0" borderId="28" applyFont="1" fontId="27" applyFill="1">
      <alignment vertical="bottom" horizontal="center"/>
    </xf>
    <xf applyBorder="1" applyAlignment="1" fillId="0" xfId="0" numFmtId="0" borderId="29" applyFont="1" fontId="28">
      <alignment vertical="bottom" horizontal="general" wrapText="1"/>
    </xf>
    <xf applyBorder="1" applyAlignment="1" fillId="25" xfId="0" numFmtId="0" borderId="30" applyFont="1" fontId="29" applyFill="1">
      <alignment vertical="center" horizontal="general" wrapText="1"/>
    </xf>
    <xf applyBorder="1" applyAlignment="1" fillId="26" xfId="0" numFmtId="0" borderId="31" applyFont="1" fontId="30" applyFill="1">
      <alignment vertical="bottom" horizontal="center"/>
    </xf>
    <xf applyBorder="1" applyAlignment="1" fillId="27" xfId="0" numFmtId="0" borderId="32" applyFont="1" fontId="31" applyFill="1">
      <alignment vertical="bottom" horizontal="center"/>
    </xf>
    <xf applyBorder="1" applyAlignment="1" fillId="28" xfId="0" numFmtId="0" borderId="33" applyFont="1" fontId="32" applyFill="1">
      <alignment vertical="center" horizontal="general" wrapText="1"/>
    </xf>
    <xf applyBorder="1" applyAlignment="1" fillId="29" xfId="0" numFmtId="0" borderId="34" applyFont="1" fontId="33" applyFill="1">
      <alignment vertical="bottom" horizontal="center"/>
    </xf>
    <xf applyBorder="1" applyAlignment="1" fillId="30" xfId="0" numFmtId="0" borderId="35" applyFont="1" fontId="34" applyFill="1">
      <alignment vertical="bottom" horizontal="center"/>
    </xf>
    <xf applyBorder="1" applyAlignment="1" fillId="31" xfId="0" numFmtId="0" borderId="36" applyFont="1" fontId="35" applyFill="1">
      <alignment vertical="bottom" horizontal="center"/>
    </xf>
    <xf applyBorder="1" applyAlignment="1" fillId="32" xfId="0" numFmtId="0" borderId="37" applyFont="1" fontId="36" applyFill="1">
      <alignment vertical="center" horizontal="general" wrapText="1"/>
    </xf>
    <xf applyBorder="1" applyAlignment="1" fillId="33" xfId="0" numFmtId="0" borderId="38" fontId="0" applyFill="1">
      <alignment vertical="center" horizontal="left" wrapText="1"/>
    </xf>
    <xf applyBorder="1" applyAlignment="1" fillId="34" xfId="0" numFmtId="0" borderId="39" applyFont="1" fontId="37" applyFill="1">
      <alignment vertical="bottom" horizontal="center"/>
    </xf>
    <xf applyBorder="1" applyAlignment="1" fillId="0" xfId="0" numFmtId="0" borderId="40" applyFont="1" fontId="38">
      <alignment vertical="bottom" horizontal="center"/>
    </xf>
    <xf applyBorder="1" applyAlignment="1" fillId="0" xfId="0" numFmtId="0" borderId="41" applyFont="1" fontId="39">
      <alignment vertical="bottom" horizontal="general" wrapText="1"/>
    </xf>
    <xf applyBorder="1" applyAlignment="1" fillId="35" xfId="0" numFmtId="0" borderId="42" applyFont="1" fontId="40" applyFill="1">
      <alignment vertical="bottom" horizontal="center"/>
    </xf>
    <xf applyBorder="1" applyAlignment="1" fillId="36" xfId="0" numFmtId="0" borderId="43" applyFont="1" fontId="41" applyFill="1">
      <alignment vertical="bottom" horizontal="center"/>
    </xf>
    <xf applyBorder="1" applyAlignment="1" fillId="37" xfId="0" numFmtId="0" borderId="44" applyFont="1" fontId="42" applyFill="1">
      <alignment vertical="center" horizontal="general" wrapText="1"/>
    </xf>
    <xf applyBorder="1" applyAlignment="1" fillId="38" xfId="0" numFmtId="0" borderId="45" applyFont="1" fontId="43" applyFill="1">
      <alignment vertical="bottom" horizontal="center"/>
    </xf>
    <xf applyBorder="1" applyAlignment="1" fillId="0" xfId="0" numFmtId="0" borderId="46" applyFont="1" fontId="44">
      <alignment vertical="bottom" horizontal="general" wrapText="1"/>
    </xf>
    <xf applyBorder="1" applyAlignment="1" fillId="39" xfId="0" numFmtId="0" borderId="47" fontId="0" applyFill="1">
      <alignment vertical="center" horizontal="left" wrapText="1"/>
    </xf>
    <xf applyBorder="1" applyAlignment="1" fillId="0" xfId="0" numFmtId="0" borderId="48" fontId="0">
      <alignment vertical="bottom" horizontal="general" wrapText="1"/>
    </xf>
    <xf applyBorder="1" applyAlignment="1" fillId="40" xfId="0" numFmtId="0" borderId="49" fontId="0" applyFill="1">
      <alignment vertical="center" horizontal="general" wrapText="1"/>
    </xf>
    <xf applyBorder="1" applyAlignment="1" fillId="41" xfId="0" numFmtId="0" borderId="50" applyFont="1" fontId="45" applyFill="1">
      <alignment vertical="bottom" horizontal="center"/>
    </xf>
    <xf applyBorder="1" applyAlignment="1" fillId="42" xfId="0" numFmtId="0" borderId="51" applyFont="1" fontId="46" applyFill="1">
      <alignment vertical="bottom" horizontal="center"/>
    </xf>
    <xf applyBorder="1" applyAlignment="1" fillId="43" xfId="0" numFmtId="0" borderId="52" applyFont="1" fontId="47" applyFill="1">
      <alignment vertical="center" horizontal="left" wrapText="1"/>
    </xf>
    <xf applyBorder="1" applyAlignment="1" fillId="44" xfId="0" numFmtId="0" borderId="53" applyFont="1" fontId="48" applyFill="1">
      <alignment vertical="center" horizontal="left" wrapText="1"/>
    </xf>
    <xf applyBorder="1" applyAlignment="1" fillId="45" xfId="0" numFmtId="0" borderId="54" applyFont="1" fontId="49" applyFill="1">
      <alignment vertical="bottom" horizontal="center"/>
    </xf>
    <xf applyBorder="1" applyAlignment="1" fillId="0" xfId="0" numFmtId="0" borderId="55" applyFont="1" fontId="50">
      <alignment vertical="bottom" horizontal="center"/>
    </xf>
    <xf applyBorder="1" applyAlignment="1" fillId="46" xfId="0" numFmtId="0" borderId="56" applyFont="1" fontId="51" applyFill="1">
      <alignment vertical="bottom" horizontal="center"/>
    </xf>
    <xf applyBorder="1" applyAlignment="1" fillId="47" xfId="0" numFmtId="0" borderId="57" applyFont="1" fontId="52" applyFill="1">
      <alignment vertical="bottom" horizontal="center"/>
    </xf>
    <xf applyBorder="1" applyAlignment="1" fillId="48" xfId="0" numFmtId="0" borderId="58" applyFont="1" fontId="53" applyFill="1">
      <alignment vertical="bottom" horizontal="center"/>
    </xf>
    <xf applyBorder="1" applyAlignment="1" fillId="0" xfId="0" numFmtId="0" borderId="59" applyFont="1" fontId="54">
      <alignment vertical="bottom" horizontal="general" wrapText="1"/>
    </xf>
    <xf applyBorder="1" applyAlignment="1" fillId="0" xfId="0" numFmtId="0" borderId="60" applyFont="1" fontId="55">
      <alignment vertical="bottom" horizontal="general" wrapText="1"/>
    </xf>
    <xf applyBorder="1" applyAlignment="1" fillId="49" xfId="0" numFmtId="0" borderId="61" applyFont="1" fontId="56" applyFill="1">
      <alignment vertical="bottom" horizontal="center"/>
    </xf>
    <xf applyBorder="1" applyAlignment="1" fillId="50" xfId="0" numFmtId="0" borderId="62" applyFont="1" fontId="57" applyFill="1">
      <alignment vertical="bottom" horizontal="center"/>
    </xf>
    <xf applyBorder="1" applyAlignment="1" fillId="51" xfId="0" numFmtId="0" borderId="63" applyFont="1" fontId="58" applyFill="1">
      <alignment vertical="bottom" horizontal="center"/>
    </xf>
    <xf applyBorder="1" applyAlignment="1" fillId="52" xfId="0" numFmtId="0" borderId="64" applyFont="1" fontId="59" applyFill="1">
      <alignment vertical="bottom" horizontal="center"/>
    </xf>
    <xf applyBorder="1" applyAlignment="1" fillId="0" xfId="0" numFmtId="0" borderId="65" applyFont="1" fontId="60">
      <alignment vertical="bottom" horizontal="general" wrapText="1"/>
    </xf>
    <xf applyBorder="1" applyAlignment="1" fillId="53" xfId="0" numFmtId="0" borderId="66" applyFont="1" fontId="61" applyFill="1">
      <alignment vertical="bottom" horizontal="center"/>
    </xf>
    <xf applyBorder="1" applyAlignment="1" fillId="54" xfId="0" numFmtId="0" borderId="67" applyFont="1" fontId="62" applyFill="1">
      <alignment vertical="center" horizontal="left" wrapText="1"/>
    </xf>
    <xf applyBorder="1" applyAlignment="1" fillId="0" xfId="0" numFmtId="0" borderId="68" applyFont="1" fontId="63">
      <alignment vertical="bottom" horizontal="center"/>
    </xf>
    <xf applyBorder="1" applyAlignment="1" fillId="55" xfId="0" numFmtId="0" borderId="69" applyFont="1" fontId="64" applyFill="1">
      <alignment vertical="center" horizontal="general" wrapText="1"/>
    </xf>
    <xf applyBorder="1" applyAlignment="1" fillId="56" xfId="0" numFmtId="0" borderId="70" applyFont="1" fontId="65" applyFill="1">
      <alignment vertical="center" horizontal="general" wrapText="1"/>
    </xf>
    <xf applyBorder="1" applyAlignment="1" fillId="0" xfId="0" numFmtId="0" borderId="71" fontId="0">
      <alignment vertical="bottom" horizontal="general" wrapText="1"/>
    </xf>
    <xf applyBorder="1" applyAlignment="1" fillId="57" xfId="0" numFmtId="0" borderId="72" applyFont="1" fontId="66" applyFill="1">
      <alignment vertical="bottom" horizontal="center"/>
    </xf>
    <xf applyBorder="1" applyAlignment="1" fillId="58" xfId="0" numFmtId="0" borderId="73" applyFont="1" fontId="67" applyFill="1">
      <alignment vertical="center" horizontal="general" wrapText="1"/>
    </xf>
    <xf applyBorder="1" applyAlignment="1" fillId="0" xfId="0" numFmtId="0" borderId="74" fontId="0">
      <alignment vertical="bottom" horizontal="general" wrapText="1"/>
    </xf>
    <xf applyBorder="1" applyAlignment="1" fillId="59" xfId="0" numFmtId="0" borderId="75" applyFont="1" fontId="68" applyFill="1">
      <alignment vertical="bottom" horizontal="center"/>
    </xf>
    <xf applyBorder="1" applyAlignment="1" fillId="60" xfId="0" numFmtId="0" borderId="76" applyFont="1" fontId="69" applyFill="1">
      <alignment vertical="center" horizontal="left" wrapText="1"/>
    </xf>
    <xf applyBorder="1" applyAlignment="1" fillId="61" xfId="0" numFmtId="0" borderId="77" applyFont="1" fontId="70" applyFill="1">
      <alignment vertical="center" horizontal="general" wrapText="1"/>
    </xf>
    <xf applyBorder="1" applyAlignment="1" fillId="62" xfId="0" numFmtId="0" borderId="78" applyFont="1" fontId="71" applyFill="1">
      <alignment vertical="bottom" horizontal="center"/>
    </xf>
    <xf applyBorder="1" applyAlignment="1" fillId="0" xfId="0" numFmtId="0" borderId="79" fontId="0">
      <alignment vertical="bottom" horizontal="general" wrapText="1"/>
    </xf>
  </cellXfs>
  <cellStyles count="1">
    <cellStyle builtinId="0" name="Normal" xfId="0"/>
  </cellStyles>
  <dxfs count="30">
    <dxf>
      <fill>
        <patternFill patternType="solid">
          <bgColor rgb="FFE60000"/>
        </patternFill>
      </fill>
    </dxf>
    <dxf>
      <fill>
        <patternFill patternType="solid">
          <bgColor rgb="FFFF4747"/>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00B050"/>
        </patternFill>
      </fill>
    </dxf>
    <dxf>
      <fill>
        <patternFill patternType="solid">
          <bgColor rgb="FF00B0F0"/>
        </patternFill>
      </fill>
    </dxf>
    <dxf>
      <fill>
        <patternFill patternType="solid">
          <bgColor rgb="FF0070C0"/>
        </patternFill>
      </fill>
    </dxf>
    <dxf>
      <fill>
        <patternFill patternType="solid">
          <bgColor rgb="FF205867"/>
        </patternFill>
      </fill>
    </dxf>
    <dxf>
      <fill>
        <patternFill patternType="solid">
          <bgColor rgb="FF7030A0"/>
        </patternFill>
      </fill>
    </dxf>
    <dxf>
      <fill>
        <patternFill patternType="solid">
          <bgColor rgb="FFE60000"/>
        </patternFill>
      </fill>
    </dxf>
    <dxf>
      <fill>
        <patternFill patternType="solid">
          <bgColor rgb="FFFF4747"/>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00B050"/>
        </patternFill>
      </fill>
    </dxf>
    <dxf>
      <fill>
        <patternFill patternType="solid">
          <bgColor rgb="FF00B0F0"/>
        </patternFill>
      </fill>
    </dxf>
    <dxf>
      <fill>
        <patternFill patternType="solid">
          <bgColor rgb="FF0070C0"/>
        </patternFill>
      </fill>
    </dxf>
    <dxf>
      <fill>
        <patternFill patternType="solid">
          <bgColor rgb="FF205867"/>
        </patternFill>
      </fill>
    </dxf>
    <dxf>
      <fill>
        <patternFill patternType="solid">
          <bgColor rgb="FF7030A0"/>
        </patternFill>
      </fill>
    </dxf>
    <dxf>
      <fill>
        <patternFill patternType="solid">
          <bgColor rgb="FFE60000"/>
        </patternFill>
      </fill>
    </dxf>
    <dxf>
      <fill>
        <patternFill patternType="solid">
          <bgColor rgb="FFFF4747"/>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00B050"/>
        </patternFill>
      </fill>
    </dxf>
    <dxf>
      <fill>
        <patternFill patternType="solid">
          <bgColor rgb="FF00B0F0"/>
        </patternFill>
      </fill>
    </dxf>
    <dxf>
      <fill>
        <patternFill patternType="solid">
          <bgColor rgb="FF0070C0"/>
        </patternFill>
      </fill>
    </dxf>
    <dxf>
      <fill>
        <patternFill patternType="solid">
          <bgColor rgb="FF205867"/>
        </patternFill>
      </fill>
    </dxf>
    <dxf>
      <fill>
        <patternFill patternType="solid">
          <bgColor rgb="FF7030A0"/>
        </patternFill>
      </fill>
    </dxf>
  </dxf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2.xml" Type="http://schemas.openxmlformats.org/officeDocument/2006/relationships/worksheet" Id="rId4"/><Relationship Target="worksheets/sheet1.xml" Type="http://schemas.openxmlformats.org/officeDocument/2006/relationships/worksheet" Id="rId3"/><Relationship Target="worksheets/sheet4.xml" Type="http://schemas.openxmlformats.org/officeDocument/2006/relationships/worksheet" Id="rId6"/><Relationship Target="worksheets/sheet3.xml" Type="http://schemas.openxmlformats.org/officeDocument/2006/relationships/worksheet" Id="rId5"/></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8" customWidth="1" max="8" width="4.71"/>
    <col min="11" customWidth="1" max="11" width="4.71"/>
    <col min="16" customWidth="1" max="16" width="4.71"/>
    <col min="18" customWidth="1" max="18" width="4.71"/>
    <col min="19" customWidth="1" max="19" width="26.0"/>
    <col min="20" customWidth="1" max="20" width="19.71"/>
  </cols>
  <sheetData>
    <row customHeight="1" r="1" ht="14.25">
      <c s="26" r="A1"/>
      <c s="44" r="B1"/>
      <c s="44" r="C1"/>
      <c s="44" r="D1"/>
      <c s="44" r="E1"/>
      <c s="44" r="F1"/>
      <c s="44" r="G1"/>
      <c s="26" r="H1"/>
      <c s="44" r="I1"/>
      <c s="44" r="J1"/>
      <c s="44" r="K1"/>
      <c s="44" r="L1"/>
      <c s="44" r="M1"/>
      <c s="44" r="N1"/>
      <c s="44" r="O1"/>
      <c s="26" r="P1"/>
      <c s="44" r="Q1"/>
      <c s="26" r="R1"/>
      <c s="26" r="S1"/>
      <c s="26" r="T1"/>
    </row>
    <row customHeight="1" r="2" ht="14.25">
      <c s="62" r="A2"/>
      <c t="s" s="45" r="B2">
        <v>0</v>
      </c>
      <c t="s" s="45" r="C2">
        <v>1</v>
      </c>
      <c t="s" s="45" r="D2">
        <v>2</v>
      </c>
      <c t="s" s="45" r="E2">
        <v>3</v>
      </c>
      <c t="s" s="45" r="F2">
        <v>4</v>
      </c>
      <c t="s" s="45" r="G2">
        <v>5</v>
      </c>
      <c s="68" r="H2"/>
      <c t="s" s="45" r="I2">
        <v>6</v>
      </c>
      <c t="s" s="45" r="J2">
        <v>7</v>
      </c>
      <c s="66" r="K2"/>
      <c t="s" s="45" r="L2">
        <v>8</v>
      </c>
      <c t="s" s="45" r="M2">
        <v>9</v>
      </c>
      <c t="s" s="45" r="N2">
        <v>10</v>
      </c>
      <c t="s" s="45" r="O2">
        <v>11</v>
      </c>
      <c s="68" r="P2"/>
      <c t="s" s="45" r="Q2">
        <v>12</v>
      </c>
      <c s="63" r="R2"/>
      <c s="26" r="S2"/>
      <c s="26" r="T2"/>
    </row>
    <row customHeight="1" r="3" ht="14.25">
      <c s="44" r="A3"/>
      <c s="11" r="B3"/>
      <c s="11" r="C3"/>
      <c s="11" r="D3"/>
      <c s="11" r="E3"/>
      <c s="11" r="F3"/>
      <c s="11" r="G3"/>
      <c s="26" r="H3"/>
      <c s="11" r="I3"/>
      <c s="11" r="J3"/>
      <c s="26" r="K3"/>
      <c s="11" r="L3"/>
      <c s="11" r="M3"/>
      <c s="11" r="N3"/>
      <c s="11" r="O3"/>
      <c s="26" r="P3"/>
      <c s="11" r="Q3"/>
      <c s="26" r="R3"/>
      <c s="44" r="S3"/>
      <c s="44" r="T3"/>
    </row>
    <row customHeight="1" r="4" ht="14.25">
      <c s="45" r="A4">
        <v>1</v>
      </c>
      <c s="75" r="B4">
        <v>1</v>
      </c>
      <c s="54" r="C4">
        <v>1</v>
      </c>
      <c s="54" r="D4">
        <v>1</v>
      </c>
      <c s="54" r="E4">
        <v>1</v>
      </c>
      <c s="54" r="F4">
        <v>1</v>
      </c>
      <c s="2" r="G4">
        <v>1</v>
      </c>
      <c s="68" r="H4"/>
      <c s="19" r="I4">
        <f>INDEX('Speed Factors'!$A$2:$B$256,(G4),2)</f>
        <v>0</v>
      </c>
      <c s="19" r="J4">
        <f>SUM(B4:G4)</f>
        <v>6</v>
      </c>
      <c s="71" r="K4"/>
      <c s="38" r="L4">
        <f>((((B4*2)+141)*((D4*2)+36))/(402.744996))-24.57966407</f>
        <v>-11.0872555882817</v>
      </c>
      <c s="38" r="M4">
        <f>((((B4*2)+141)*((F4*2)+36))/(416.310724))-19.16575597</f>
        <v>-6.11300549605352</v>
      </c>
      <c s="38" r="N4">
        <f>(((((C4*2)+36)*((((C4*2)+36)*(I4/672))+415))/((((C4*2)+36)*(1-(I4/672)))+415))/(1.92306))-3.576327284</f>
        <v>14.5262602748412</v>
      </c>
      <c s="38" r="O4">
        <f>(((((E4*2)+36)*((((E4*2)+36)*(I4/672))+415))/((((E4*2)+36)*(1-(I4/672)))+415))/(1.980931))+4.9921912</f>
        <v>22.5659290186848</v>
      </c>
      <c s="68" r="P4"/>
      <c s="38" r="Q4">
        <f>((((L4+M4)+N4)+O4)/(1.535645))-60.47703745</f>
        <v>-47.523569552673</v>
      </c>
      <c s="68" r="R4"/>
      <c t="s" s="45" r="S4">
        <v>13</v>
      </c>
      <c t="s" s="1" r="T4">
        <v>14</v>
      </c>
    </row>
    <row customHeight="1" r="5" ht="14.25">
      <c s="45" r="A5">
        <v>2</v>
      </c>
      <c s="57" r="B5">
        <v>1</v>
      </c>
      <c s="8" r="C5">
        <v>1</v>
      </c>
      <c s="8" r="D5">
        <v>1</v>
      </c>
      <c s="8" r="E5">
        <v>1</v>
      </c>
      <c s="8" r="F5">
        <v>1</v>
      </c>
      <c s="27" r="G5">
        <v>1</v>
      </c>
      <c s="68" r="H5"/>
      <c s="20" r="I5">
        <f>INDEX('Speed Factors'!$A$2:$B$256,(G5),2)</f>
        <v>0</v>
      </c>
      <c s="20" r="J5">
        <f>SUM(B5:G5)</f>
        <v>6</v>
      </c>
      <c s="71" r="K5"/>
      <c s="38" r="L5">
        <f>((((B5*2)+141)*((D5*2)+36))/(402.744996))-24.57966407</f>
        <v>-11.0872555882817</v>
      </c>
      <c s="38" r="M5">
        <f>((((B5*2)+141)*((F5*2)+36))/(416.310724))-19.16575597</f>
        <v>-6.11300549605352</v>
      </c>
      <c s="38" r="N5">
        <f>(((((C5*2)+36)*((((C5*2)+36)*(I5/672))+415))/((((C5*2)+36)*(1-(I5/672)))+415))/(1.92306))-3.576327284</f>
        <v>14.5262602748412</v>
      </c>
      <c s="38" r="O5">
        <f>(((((E5*2)+36)*((((E5*2)+36)*(I5/672))+415))/((((E5*2)+36)*(1-(I5/672)))+415))/(1.980931))+4.9921912</f>
        <v>22.5659290186848</v>
      </c>
      <c s="68" r="P5"/>
      <c s="38" r="Q5">
        <f>((((L5+M5)+N5)+O5)/(1.535645))-60.47703745</f>
        <v>-47.523569552673</v>
      </c>
      <c s="68" r="R5"/>
      <c t="s" s="53" r="S5">
        <v>15</v>
      </c>
      <c t="s" s="34" r="T5">
        <v>16</v>
      </c>
    </row>
    <row customHeight="1" r="6" ht="14.25">
      <c s="45" r="A6">
        <v>3</v>
      </c>
      <c s="75" r="B6">
        <v>1</v>
      </c>
      <c s="54" r="C6">
        <v>1</v>
      </c>
      <c s="54" r="D6">
        <v>1</v>
      </c>
      <c s="54" r="E6">
        <v>1</v>
      </c>
      <c s="54" r="F6">
        <v>1</v>
      </c>
      <c s="2" r="G6">
        <v>1</v>
      </c>
      <c s="68" r="H6"/>
      <c s="19" r="I6">
        <f>INDEX('Speed Factors'!$A$2:$B$256,(G6),2)</f>
        <v>0</v>
      </c>
      <c s="19" r="J6">
        <f>SUM(B6:G6)</f>
        <v>6</v>
      </c>
      <c s="71" r="K6"/>
      <c s="38" r="L6">
        <f>((((B6*2)+141)*((D6*2)+36))/(402.744996))-24.57966407</f>
        <v>-11.0872555882817</v>
      </c>
      <c s="38" r="M6">
        <f>((((B6*2)+141)*((F6*2)+36))/(416.310724))-19.16575597</f>
        <v>-6.11300549605352</v>
      </c>
      <c s="38" r="N6">
        <f>(((((C6*2)+36)*((((C6*2)+36)*(I6/672))+415))/((((C6*2)+36)*(1-(I6/672)))+415))/(1.92306))-3.576327284</f>
        <v>14.5262602748412</v>
      </c>
      <c s="38" r="O6">
        <f>(((((E6*2)+36)*((((E6*2)+36)*(I6/672))+415))/((((E6*2)+36)*(1-(I6/672)))+415))/(1.980931))+4.9921912</f>
        <v>22.5659290186848</v>
      </c>
      <c s="68" r="P6"/>
      <c s="38" r="Q6">
        <f>((((L6+M6)+N6)+O6)/(1.535645))-60.47703745</f>
        <v>-47.523569552673</v>
      </c>
      <c s="68" r="R6"/>
      <c t="s" s="14" r="S6">
        <v>17</v>
      </c>
      <c t="s" s="15" r="T6">
        <v>18</v>
      </c>
    </row>
    <row customHeight="1" r="7" ht="14.25">
      <c s="45" r="A7">
        <v>4</v>
      </c>
      <c s="57" r="B7">
        <v>1</v>
      </c>
      <c s="8" r="C7">
        <v>1</v>
      </c>
      <c s="8" r="D7">
        <v>1</v>
      </c>
      <c s="8" r="E7">
        <v>1</v>
      </c>
      <c s="8" r="F7">
        <v>1</v>
      </c>
      <c s="27" r="G7">
        <v>1</v>
      </c>
      <c s="68" r="H7"/>
      <c s="20" r="I7">
        <f>INDEX('Speed Factors'!$A$2:$B$256,(G7),2)</f>
        <v>0</v>
      </c>
      <c s="20" r="J7">
        <f>SUM(B7:G7)</f>
        <v>6</v>
      </c>
      <c s="71" r="K7"/>
      <c s="38" r="L7">
        <f>((((B7*2)+141)*((D7*2)+36))/(402.744996))-24.57966407</f>
        <v>-11.0872555882817</v>
      </c>
      <c s="38" r="M7">
        <f>((((B7*2)+141)*((F7*2)+36))/(416.310724))-19.16575597</f>
        <v>-6.11300549605352</v>
      </c>
      <c s="38" r="N7">
        <f>(((((C7*2)+36)*((((C7*2)+36)*(I7/672))+415))/((((C7*2)+36)*(1-(I7/672)))+415))/(1.92306))-3.576327284</f>
        <v>14.5262602748412</v>
      </c>
      <c s="38" r="O7">
        <f>(((((E7*2)+36)*((((E7*2)+36)*(I7/672))+415))/((((E7*2)+36)*(1-(I7/672)))+415))/(1.980931))+4.9921912</f>
        <v>22.5659290186848</v>
      </c>
      <c s="68" r="P7"/>
      <c s="38" r="Q7">
        <f>((((L7+M7)+N7)+O7)/(1.535645))-60.47703745</f>
        <v>-47.523569552673</v>
      </c>
      <c s="68" r="R7"/>
      <c t="s" s="42" r="S7">
        <v>19</v>
      </c>
      <c t="s" s="21" r="T7">
        <v>20</v>
      </c>
    </row>
    <row customHeight="1" r="8" ht="14.25">
      <c s="45" r="A8">
        <v>5</v>
      </c>
      <c s="75" r="B8">
        <v>1</v>
      </c>
      <c s="54" r="C8">
        <v>1</v>
      </c>
      <c s="54" r="D8">
        <v>1</v>
      </c>
      <c s="54" r="E8">
        <v>1</v>
      </c>
      <c s="54" r="F8">
        <v>1</v>
      </c>
      <c s="2" r="G8">
        <v>1</v>
      </c>
      <c s="68" r="H8"/>
      <c s="19" r="I8">
        <f>INDEX('Speed Factors'!$A$2:$B$256,(G8),2)</f>
        <v>0</v>
      </c>
      <c s="19" r="J8">
        <f>SUM(B8:G8)</f>
        <v>6</v>
      </c>
      <c s="71" r="K8"/>
      <c s="38" r="L8">
        <f>((((B8*2)+141)*((D8*2)+36))/(402.744996))-24.57966407</f>
        <v>-11.0872555882817</v>
      </c>
      <c s="38" r="M8">
        <f>((((B8*2)+141)*((F8*2)+36))/(416.310724))-19.16575597</f>
        <v>-6.11300549605352</v>
      </c>
      <c s="38" r="N8">
        <f>(((((C8*2)+36)*((((C8*2)+36)*(I8/672))+415))/((((C8*2)+36)*(1-(I8/672)))+415))/(1.92306))-3.576327284</f>
        <v>14.5262602748412</v>
      </c>
      <c s="38" r="O8">
        <f>(((((E8*2)+36)*((((E8*2)+36)*(I8/672))+415))/((((E8*2)+36)*(1-(I8/672)))+415))/(1.980931))+4.9921912</f>
        <v>22.5659290186848</v>
      </c>
      <c s="68" r="P8"/>
      <c s="38" r="Q8">
        <f>((((L8+M8)+N8)+O8)/(1.535645))-60.47703745</f>
        <v>-47.523569552673</v>
      </c>
      <c s="68" r="R8"/>
      <c t="s" s="39" r="S8">
        <v>21</v>
      </c>
      <c t="s" s="7" r="T8">
        <v>22</v>
      </c>
    </row>
    <row customHeight="1" r="9" ht="14.25">
      <c s="45" r="A9">
        <v>6</v>
      </c>
      <c s="57" r="B9">
        <v>1</v>
      </c>
      <c s="8" r="C9">
        <v>1</v>
      </c>
      <c s="8" r="D9">
        <v>1</v>
      </c>
      <c s="8" r="E9">
        <v>1</v>
      </c>
      <c s="8" r="F9">
        <v>1</v>
      </c>
      <c s="27" r="G9">
        <v>1</v>
      </c>
      <c s="68" r="H9"/>
      <c s="20" r="I9">
        <f>INDEX('Speed Factors'!$A$2:$B$256,(G9),2)</f>
        <v>0</v>
      </c>
      <c s="20" r="J9">
        <f>SUM(B9:G9)</f>
        <v>6</v>
      </c>
      <c s="71" r="K9"/>
      <c s="38" r="L9">
        <f>((((B9*2)+141)*((D9*2)+36))/(402.744996))-24.57966407</f>
        <v>-11.0872555882817</v>
      </c>
      <c s="38" r="M9">
        <f>((((B9*2)+141)*((F9*2)+36))/(416.310724))-19.16575597</f>
        <v>-6.11300549605352</v>
      </c>
      <c s="38" r="N9">
        <f>(((((C9*2)+36)*((((C9*2)+36)*(I9/672))+415))/((((C9*2)+36)*(1-(I9/672)))+415))/(1.92306))-3.576327284</f>
        <v>14.5262602748412</v>
      </c>
      <c s="38" r="O9">
        <f>(((((E9*2)+36)*((((E9*2)+36)*(I9/672))+415))/((((E9*2)+36)*(1-(I9/672)))+415))/(1.980931))+4.9921912</f>
        <v>22.5659290186848</v>
      </c>
      <c s="68" r="P9"/>
      <c s="38" r="Q9">
        <f>((((L9+M9)+N9)+O9)/(1.535645))-60.47703745</f>
        <v>-47.523569552673</v>
      </c>
      <c s="68" r="R9"/>
      <c t="s" s="31" r="S9">
        <v>23</v>
      </c>
      <c t="s" s="81" r="T9">
        <v>24</v>
      </c>
    </row>
    <row customHeight="1" r="10" ht="14.25">
      <c s="45" r="A10">
        <v>7</v>
      </c>
      <c s="75" r="B10">
        <v>1</v>
      </c>
      <c s="54" r="C10">
        <v>1</v>
      </c>
      <c s="54" r="D10">
        <v>1</v>
      </c>
      <c s="54" r="E10">
        <v>1</v>
      </c>
      <c s="54" r="F10">
        <v>1</v>
      </c>
      <c s="2" r="G10">
        <v>1</v>
      </c>
      <c s="68" r="H10"/>
      <c s="19" r="I10">
        <f>INDEX('Speed Factors'!$A$2:$B$256,(G10),2)</f>
        <v>0</v>
      </c>
      <c s="19" r="J10">
        <f>SUM(B10:G10)</f>
        <v>6</v>
      </c>
      <c s="71" r="K10"/>
      <c s="38" r="L10">
        <f>((((B10*2)+141)*((D10*2)+36))/(402.744996))-24.57966407</f>
        <v>-11.0872555882817</v>
      </c>
      <c s="38" r="M10">
        <f>((((B10*2)+141)*((F10*2)+36))/(416.310724))-19.16575597</f>
        <v>-6.11300549605352</v>
      </c>
      <c s="38" r="N10">
        <f>(((((C10*2)+36)*((((C10*2)+36)*(I10/672))+415))/((((C10*2)+36)*(1-(I10/672)))+415))/(1.92306))-3.576327284</f>
        <v>14.5262602748412</v>
      </c>
      <c s="38" r="O10">
        <f>(((((E10*2)+36)*((((E10*2)+36)*(I10/672))+415))/((((E10*2)+36)*(1-(I10/672)))+415))/(1.980931))+4.9921912</f>
        <v>22.5659290186848</v>
      </c>
      <c s="68" r="P10"/>
      <c s="38" r="Q10">
        <f>((((L10+M10)+N10)+O10)/(1.535645))-60.47703745</f>
        <v>-47.523569552673</v>
      </c>
      <c s="68" r="R10"/>
      <c t="s" s="64" r="S10">
        <v>25</v>
      </c>
      <c t="s" s="69" r="T10">
        <v>26</v>
      </c>
    </row>
    <row customHeight="1" r="11" ht="14.25">
      <c s="45" r="A11">
        <v>8</v>
      </c>
      <c s="57" r="B11">
        <v>1</v>
      </c>
      <c s="8" r="C11">
        <v>1</v>
      </c>
      <c s="8" r="D11">
        <v>1</v>
      </c>
      <c s="8" r="E11">
        <v>1</v>
      </c>
      <c s="8" r="F11">
        <v>1</v>
      </c>
      <c s="27" r="G11">
        <v>1</v>
      </c>
      <c s="68" r="H11"/>
      <c s="20" r="I11">
        <f>INDEX('Speed Factors'!$A$2:$B$256,(G11),2)</f>
        <v>0</v>
      </c>
      <c s="20" r="J11">
        <f>SUM(B11:G11)</f>
        <v>6</v>
      </c>
      <c s="71" r="K11"/>
      <c s="38" r="L11">
        <f>((((B11*2)+141)*((D11*2)+36))/(402.744996))-24.57966407</f>
        <v>-11.0872555882817</v>
      </c>
      <c s="38" r="M11">
        <f>((((B11*2)+141)*((F11*2)+36))/(416.310724))-19.16575597</f>
        <v>-6.11300549605352</v>
      </c>
      <c s="38" r="N11">
        <f>(((((C11*2)+36)*((((C11*2)+36)*(I11/672))+415))/((((C11*2)+36)*(1-(I11/672)))+415))/(1.92306))-3.576327284</f>
        <v>14.5262602748412</v>
      </c>
      <c s="38" r="O11">
        <f>(((((E11*2)+36)*((((E11*2)+36)*(I11/672))+415))/((((E11*2)+36)*(1-(I11/672)))+415))/(1.980931))+4.9921912</f>
        <v>22.5659290186848</v>
      </c>
      <c s="68" r="P11"/>
      <c s="38" r="Q11">
        <f>((((L11+M11)+N11)+O11)/(1.535645))-60.47703745</f>
        <v>-47.523569552673</v>
      </c>
      <c s="68" r="R11"/>
      <c t="s" s="59" r="S11">
        <v>27</v>
      </c>
      <c t="s" s="60" r="T11">
        <v>28</v>
      </c>
    </row>
    <row customHeight="1" r="12" ht="14.25">
      <c s="45" r="A12">
        <v>9</v>
      </c>
      <c s="75" r="B12">
        <v>1</v>
      </c>
      <c s="54" r="C12">
        <v>1</v>
      </c>
      <c s="54" r="D12">
        <v>1</v>
      </c>
      <c s="54" r="E12">
        <v>1</v>
      </c>
      <c s="54" r="F12">
        <v>1</v>
      </c>
      <c s="2" r="G12">
        <v>1</v>
      </c>
      <c s="68" r="H12"/>
      <c s="19" r="I12">
        <f>INDEX('Speed Factors'!$A$2:$B$256,(G12),2)</f>
        <v>0</v>
      </c>
      <c s="19" r="J12">
        <f>SUM(B12:G12)</f>
        <v>6</v>
      </c>
      <c s="71" r="K12"/>
      <c s="38" r="L12">
        <f>((((B12*2)+141)*((D12*2)+36))/(402.744996))-24.57966407</f>
        <v>-11.0872555882817</v>
      </c>
      <c s="38" r="M12">
        <f>((((B12*2)+141)*((F12*2)+36))/(416.310724))-19.16575597</f>
        <v>-6.11300549605352</v>
      </c>
      <c s="38" r="N12">
        <f>(((((C12*2)+36)*((((C12*2)+36)*(I12/672))+415))/((((C12*2)+36)*(1-(I12/672)))+415))/(1.92306))-3.576327284</f>
        <v>14.5262602748412</v>
      </c>
      <c s="38" r="O12">
        <f>(((((E12*2)+36)*((((E12*2)+36)*(I12/672))+415))/((((E12*2)+36)*(1-(I12/672)))+415))/(1.980931))+4.9921912</f>
        <v>22.5659290186848</v>
      </c>
      <c s="68" r="P12"/>
      <c s="38" r="Q12">
        <f>((((L12+M12)+N12)+O12)/(1.535645))-60.47703745</f>
        <v>-47.523569552673</v>
      </c>
      <c s="68" r="R12"/>
      <c t="s" s="61" r="S12">
        <v>29</v>
      </c>
      <c t="s" s="35" r="T12">
        <v>30</v>
      </c>
    </row>
    <row customHeight="1" r="13" ht="14.25">
      <c s="45" r="A13">
        <v>10</v>
      </c>
      <c s="57" r="B13">
        <v>1</v>
      </c>
      <c s="8" r="C13">
        <v>1</v>
      </c>
      <c s="8" r="D13">
        <v>1</v>
      </c>
      <c s="8" r="E13">
        <v>1</v>
      </c>
      <c s="8" r="F13">
        <v>1</v>
      </c>
      <c s="27" r="G13">
        <v>1</v>
      </c>
      <c s="68" r="H13"/>
      <c s="20" r="I13">
        <f>INDEX('Speed Factors'!$A$2:$B$256,(G13),2)</f>
        <v>0</v>
      </c>
      <c s="20" r="J13">
        <f>SUM(B13:G13)</f>
        <v>6</v>
      </c>
      <c s="71" r="K13"/>
      <c s="38" r="L13">
        <f>((((B13*2)+141)*((D13*2)+36))/(402.744996))-24.57966407</f>
        <v>-11.0872555882817</v>
      </c>
      <c s="38" r="M13">
        <f>((((B13*2)+141)*((F13*2)+36))/(416.310724))-19.16575597</f>
        <v>-6.11300549605352</v>
      </c>
      <c s="38" r="N13">
        <f>(((((C13*2)+36)*((((C13*2)+36)*(I13/672))+415))/((((C13*2)+36)*(1-(I13/672)))+415))/(1.92306))-3.576327284</f>
        <v>14.5262602748412</v>
      </c>
      <c s="38" r="O13">
        <f>(((((E13*2)+36)*((((E13*2)+36)*(I13/672))+415))/((((E13*2)+36)*(1-(I13/672)))+415))/(1.980931))+4.9921912</f>
        <v>22.5659290186848</v>
      </c>
      <c s="68" r="P13"/>
      <c s="38" r="Q13">
        <f>((((L13+M13)+N13)+O13)/(1.535645))-60.47703745</f>
        <v>-47.523569552673</v>
      </c>
      <c s="68" r="R13"/>
      <c t="s" s="37" r="S13">
        <v>31</v>
      </c>
      <c t="s" s="65" r="T13">
        <v>32</v>
      </c>
    </row>
    <row customHeight="1" r="14" ht="14.25">
      <c s="45" r="A14">
        <v>11</v>
      </c>
      <c s="75" r="B14">
        <v>1</v>
      </c>
      <c s="54" r="C14">
        <v>1</v>
      </c>
      <c s="54" r="D14">
        <v>1</v>
      </c>
      <c s="54" r="E14">
        <v>1</v>
      </c>
      <c s="54" r="F14">
        <v>1</v>
      </c>
      <c s="2" r="G14">
        <v>1</v>
      </c>
      <c s="68" r="H14"/>
      <c s="19" r="I14">
        <f>INDEX('Speed Factors'!$A$2:$B$256,(G14),2)</f>
        <v>0</v>
      </c>
      <c s="19" r="J14">
        <f>SUM(B14:G14)</f>
        <v>6</v>
      </c>
      <c s="71" r="K14"/>
      <c s="38" r="L14">
        <f>((((B14*2)+141)*((D14*2)+36))/(402.744996))-24.57966407</f>
        <v>-11.0872555882817</v>
      </c>
      <c s="38" r="M14">
        <f>((((B14*2)+141)*((F14*2)+36))/(416.310724))-19.16575597</f>
        <v>-6.11300549605352</v>
      </c>
      <c s="38" r="N14">
        <f>(((((C14*2)+36)*((((C14*2)+36)*(I14/672))+415))/((((C14*2)+36)*(1-(I14/672)))+415))/(1.92306))-3.576327284</f>
        <v>14.5262602748412</v>
      </c>
      <c s="38" r="O14">
        <f>(((((E14*2)+36)*((((E14*2)+36)*(I14/672))+415))/((((E14*2)+36)*(1-(I14/672)))+415))/(1.980931))+4.9921912</f>
        <v>22.5659290186848</v>
      </c>
      <c s="68" r="P14"/>
      <c s="38" r="Q14">
        <f>((((L14+M14)+N14)+O14)/(1.535645))-60.47703745</f>
        <v>-47.523569552673</v>
      </c>
      <c s="68" r="R14"/>
      <c t="s" s="24" r="S14">
        <v>33</v>
      </c>
      <c t="s" s="78" r="T14">
        <v>34</v>
      </c>
    </row>
    <row customHeight="1" r="15" ht="14.25">
      <c s="45" r="A15">
        <v>12</v>
      </c>
      <c s="57" r="B15">
        <v>1</v>
      </c>
      <c s="8" r="C15">
        <v>1</v>
      </c>
      <c s="8" r="D15">
        <v>1</v>
      </c>
      <c s="8" r="E15">
        <v>1</v>
      </c>
      <c s="8" r="F15">
        <v>1</v>
      </c>
      <c s="27" r="G15">
        <v>1</v>
      </c>
      <c s="68" r="H15"/>
      <c s="20" r="I15">
        <f>INDEX('Speed Factors'!$A$2:$B$256,(G15),2)</f>
        <v>0</v>
      </c>
      <c s="20" r="J15">
        <f>SUM(B15:G15)</f>
        <v>6</v>
      </c>
      <c s="71" r="K15"/>
      <c s="38" r="L15">
        <f>((((B15*2)+141)*((D15*2)+36))/(402.744996))-24.57966407</f>
        <v>-11.0872555882817</v>
      </c>
      <c s="38" r="M15">
        <f>((((B15*2)+141)*((F15*2)+36))/(416.310724))-19.16575597</f>
        <v>-6.11300549605352</v>
      </c>
      <c s="38" r="N15">
        <f>(((((C15*2)+36)*((((C15*2)+36)*(I15/672))+415))/((((C15*2)+36)*(1-(I15/672)))+415))/(1.92306))-3.576327284</f>
        <v>14.5262602748412</v>
      </c>
      <c s="38" r="O15">
        <f>(((((E15*2)+36)*((((E15*2)+36)*(I15/672))+415))/((((E15*2)+36)*(1-(I15/672)))+415))/(1.980931))+4.9921912</f>
        <v>22.5659290186848</v>
      </c>
      <c s="68" r="P15"/>
      <c s="38" r="Q15">
        <f>((((L15+M15)+N15)+O15)/(1.535645))-60.47703745</f>
        <v>-47.523569552673</v>
      </c>
      <c s="63" r="R15"/>
      <c s="11" r="S15"/>
      <c s="11" r="T15"/>
    </row>
    <row customHeight="1" r="16" ht="14.25">
      <c s="45" r="A16">
        <v>13</v>
      </c>
      <c s="75" r="B16">
        <v>1</v>
      </c>
      <c s="54" r="C16">
        <v>1</v>
      </c>
      <c s="54" r="D16">
        <v>1</v>
      </c>
      <c s="54" r="E16">
        <v>1</v>
      </c>
      <c s="54" r="F16">
        <v>1</v>
      </c>
      <c s="2" r="G16">
        <v>1</v>
      </c>
      <c s="68" r="H16"/>
      <c s="19" r="I16">
        <f>INDEX('Speed Factors'!$A$2:$B$256,(G16),2)</f>
        <v>0</v>
      </c>
      <c s="19" r="J16">
        <f>SUM(B16:G16)</f>
        <v>6</v>
      </c>
      <c s="71" r="K16"/>
      <c s="38" r="L16">
        <f>((((B16*2)+141)*((D16*2)+36))/(402.744996))-24.57966407</f>
        <v>-11.0872555882817</v>
      </c>
      <c s="38" r="M16">
        <f>((((B16*2)+141)*((F16*2)+36))/(416.310724))-19.16575597</f>
        <v>-6.11300549605352</v>
      </c>
      <c s="38" r="N16">
        <f>(((((C16*2)+36)*((((C16*2)+36)*(I16/672))+415))/((((C16*2)+36)*(1-(I16/672)))+415))/(1.92306))-3.576327284</f>
        <v>14.5262602748412</v>
      </c>
      <c s="38" r="O16">
        <f>(((((E16*2)+36)*((((E16*2)+36)*(I16/672))+415))/((((E16*2)+36)*(1-(I16/672)))+415))/(1.980931))+4.9921912</f>
        <v>22.5659290186848</v>
      </c>
      <c s="68" r="P16"/>
      <c s="38" r="Q16">
        <f>((((L16+M16)+N16)+O16)/(1.535645))-60.47703745</f>
        <v>-47.523569552673</v>
      </c>
      <c s="68" r="R16"/>
      <c t="s" s="45" r="S16">
        <v>35</v>
      </c>
      <c t="s" s="1" r="T16">
        <v>14</v>
      </c>
    </row>
    <row customHeight="1" r="17" ht="14.25">
      <c s="45" r="A17">
        <v>14</v>
      </c>
      <c s="57" r="B17">
        <v>1</v>
      </c>
      <c s="8" r="C17">
        <v>1</v>
      </c>
      <c s="8" r="D17">
        <v>1</v>
      </c>
      <c s="8" r="E17">
        <v>1</v>
      </c>
      <c s="8" r="F17">
        <v>1</v>
      </c>
      <c s="27" r="G17">
        <v>1</v>
      </c>
      <c s="68" r="H17"/>
      <c s="20" r="I17">
        <f>INDEX('Speed Factors'!$A$2:$B$256,(G17),2)</f>
        <v>0</v>
      </c>
      <c s="20" r="J17">
        <f>SUM(B17:G17)</f>
        <v>6</v>
      </c>
      <c s="71" r="K17"/>
      <c s="38" r="L17">
        <f>((((B17*2)+141)*((D17*2)+36))/(402.744996))-24.57966407</f>
        <v>-11.0872555882817</v>
      </c>
      <c s="38" r="M17">
        <f>((((B17*2)+141)*((F17*2)+36))/(416.310724))-19.16575597</f>
        <v>-6.11300549605352</v>
      </c>
      <c s="38" r="N17">
        <f>(((((C17*2)+36)*((((C17*2)+36)*(I17/672))+415))/((((C17*2)+36)*(1-(I17/672)))+415))/(1.92306))-3.576327284</f>
        <v>14.5262602748412</v>
      </c>
      <c s="38" r="O17">
        <f>(((((E17*2)+36)*((((E17*2)+36)*(I17/672))+415))/((((E17*2)+36)*(1-(I17/672)))+415))/(1.980931))+4.9921912</f>
        <v>22.5659290186848</v>
      </c>
      <c s="68" r="P17"/>
      <c s="38" r="Q17">
        <f>((((L17+M17)+N17)+O17)/(1.535645))-60.47703745</f>
        <v>-47.523569552673</v>
      </c>
      <c s="68" r="R17"/>
      <c t="s" s="53" r="S17">
        <v>36</v>
      </c>
      <c t="s" s="34" r="T17">
        <v>16</v>
      </c>
    </row>
    <row customHeight="1" r="18" ht="14.25">
      <c s="45" r="A18">
        <v>15</v>
      </c>
      <c s="75" r="B18">
        <v>1</v>
      </c>
      <c s="54" r="C18">
        <v>1</v>
      </c>
      <c s="54" r="D18">
        <v>1</v>
      </c>
      <c s="54" r="E18">
        <v>1</v>
      </c>
      <c s="54" r="F18">
        <v>1</v>
      </c>
      <c s="2" r="G18">
        <v>1</v>
      </c>
      <c s="68" r="H18"/>
      <c s="19" r="I18">
        <f>INDEX('Speed Factors'!$A$2:$B$256,(G18),2)</f>
        <v>0</v>
      </c>
      <c s="19" r="J18">
        <f>SUM(B18:G18)</f>
        <v>6</v>
      </c>
      <c s="71" r="K18"/>
      <c s="38" r="L18">
        <f>((((B18*2)+141)*((D18*2)+36))/(402.744996))-24.57966407</f>
        <v>-11.0872555882817</v>
      </c>
      <c s="38" r="M18">
        <f>((((B18*2)+141)*((F18*2)+36))/(416.310724))-19.16575597</f>
        <v>-6.11300549605352</v>
      </c>
      <c s="38" r="N18">
        <f>(((((C18*2)+36)*((((C18*2)+36)*(I18/672))+415))/((((C18*2)+36)*(1-(I18/672)))+415))/(1.92306))-3.576327284</f>
        <v>14.5262602748412</v>
      </c>
      <c s="38" r="O18">
        <f>(((((E18*2)+36)*((((E18*2)+36)*(I18/672))+415))/((((E18*2)+36)*(1-(I18/672)))+415))/(1.980931))+4.9921912</f>
        <v>22.5659290186848</v>
      </c>
      <c s="68" r="P18"/>
      <c s="38" r="Q18">
        <f>((((L18+M18)+N18)+O18)/(1.535645))-60.47703745</f>
        <v>-47.523569552673</v>
      </c>
      <c s="68" r="R18"/>
      <c t="s" s="14" r="S18">
        <v>37</v>
      </c>
      <c t="s" s="15" r="T18">
        <v>18</v>
      </c>
    </row>
    <row customHeight="1" r="19" ht="14.25">
      <c s="45" r="A19">
        <v>16</v>
      </c>
      <c s="57" r="B19">
        <v>1</v>
      </c>
      <c s="8" r="C19">
        <v>1</v>
      </c>
      <c s="8" r="D19">
        <v>1</v>
      </c>
      <c s="8" r="E19">
        <v>1</v>
      </c>
      <c s="8" r="F19">
        <v>1</v>
      </c>
      <c s="27" r="G19">
        <v>1</v>
      </c>
      <c s="68" r="H19"/>
      <c s="20" r="I19">
        <f>INDEX('Speed Factors'!$A$2:$B$256,(G19),2)</f>
        <v>0</v>
      </c>
      <c s="20" r="J19">
        <f>SUM(B19:G19)</f>
        <v>6</v>
      </c>
      <c s="71" r="K19"/>
      <c s="38" r="L19">
        <f>((((B19*2)+141)*((D19*2)+36))/(402.744996))-24.57966407</f>
        <v>-11.0872555882817</v>
      </c>
      <c s="38" r="M19">
        <f>((((B19*2)+141)*((F19*2)+36))/(416.310724))-19.16575597</f>
        <v>-6.11300549605352</v>
      </c>
      <c s="38" r="N19">
        <f>(((((C19*2)+36)*((((C19*2)+36)*(I19/672))+415))/((((C19*2)+36)*(1-(I19/672)))+415))/(1.92306))-3.576327284</f>
        <v>14.5262602748412</v>
      </c>
      <c s="38" r="O19">
        <f>(((((E19*2)+36)*((((E19*2)+36)*(I19/672))+415))/((((E19*2)+36)*(1-(I19/672)))+415))/(1.980931))+4.9921912</f>
        <v>22.5659290186848</v>
      </c>
      <c s="68" r="P19"/>
      <c s="38" r="Q19">
        <f>((((L19+M19)+N19)+O19)/(1.535645))-60.47703745</f>
        <v>-47.523569552673</v>
      </c>
      <c s="68" r="R19"/>
      <c t="s" s="42" r="S19">
        <v>38</v>
      </c>
      <c t="s" s="21" r="T19">
        <v>20</v>
      </c>
    </row>
    <row customHeight="1" r="20" ht="14.25">
      <c s="45" r="A20">
        <v>17</v>
      </c>
      <c s="75" r="B20">
        <v>1</v>
      </c>
      <c s="54" r="C20">
        <v>1</v>
      </c>
      <c s="54" r="D20">
        <v>1</v>
      </c>
      <c s="54" r="E20">
        <v>1</v>
      </c>
      <c s="54" r="F20">
        <v>1</v>
      </c>
      <c s="2" r="G20">
        <v>1</v>
      </c>
      <c s="68" r="H20"/>
      <c s="19" r="I20">
        <f>INDEX('Speed Factors'!$A$2:$B$256,(G20),2)</f>
        <v>0</v>
      </c>
      <c s="19" r="J20">
        <f>SUM(B20:G20)</f>
        <v>6</v>
      </c>
      <c s="71" r="K20"/>
      <c s="38" r="L20">
        <f>((((B20*2)+141)*((D20*2)+36))/(402.744996))-24.57966407</f>
        <v>-11.0872555882817</v>
      </c>
      <c s="38" r="M20">
        <f>((((B20*2)+141)*((F20*2)+36))/(416.310724))-19.16575597</f>
        <v>-6.11300549605352</v>
      </c>
      <c s="38" r="N20">
        <f>(((((C20*2)+36)*((((C20*2)+36)*(I20/672))+415))/((((C20*2)+36)*(1-(I20/672)))+415))/(1.92306))-3.576327284</f>
        <v>14.5262602748412</v>
      </c>
      <c s="38" r="O20">
        <f>(((((E20*2)+36)*((((E20*2)+36)*(I20/672))+415))/((((E20*2)+36)*(1-(I20/672)))+415))/(1.980931))+4.9921912</f>
        <v>22.5659290186848</v>
      </c>
      <c s="68" r="P20"/>
      <c s="38" r="Q20">
        <f>((((L20+M20)+N20)+O20)/(1.535645))-60.47703745</f>
        <v>-47.523569552673</v>
      </c>
      <c s="68" r="R20"/>
      <c t="s" s="39" r="S20">
        <v>39</v>
      </c>
      <c t="s" s="7" r="T20">
        <v>22</v>
      </c>
    </row>
    <row customHeight="1" r="21" ht="14.25">
      <c s="45" r="A21">
        <v>18</v>
      </c>
      <c s="57" r="B21">
        <v>1</v>
      </c>
      <c s="8" r="C21">
        <v>1</v>
      </c>
      <c s="8" r="D21">
        <v>1</v>
      </c>
      <c s="8" r="E21">
        <v>1</v>
      </c>
      <c s="8" r="F21">
        <v>1</v>
      </c>
      <c s="27" r="G21">
        <v>1</v>
      </c>
      <c s="68" r="H21"/>
      <c s="20" r="I21">
        <f>INDEX('Speed Factors'!$A$2:$B$256,(G21),2)</f>
        <v>0</v>
      </c>
      <c s="20" r="J21">
        <f>SUM(B21:G21)</f>
        <v>6</v>
      </c>
      <c s="71" r="K21"/>
      <c s="38" r="L21">
        <f>((((B21*2)+141)*((D21*2)+36))/(402.744996))-24.57966407</f>
        <v>-11.0872555882817</v>
      </c>
      <c s="38" r="M21">
        <f>((((B21*2)+141)*((F21*2)+36))/(416.310724))-19.16575597</f>
        <v>-6.11300549605352</v>
      </c>
      <c s="38" r="N21">
        <f>(((((C21*2)+36)*((((C21*2)+36)*(I21/672))+415))/((((C21*2)+36)*(1-(I21/672)))+415))/(1.92306))-3.576327284</f>
        <v>14.5262602748412</v>
      </c>
      <c s="38" r="O21">
        <f>(((((E21*2)+36)*((((E21*2)+36)*(I21/672))+415))/((((E21*2)+36)*(1-(I21/672)))+415))/(1.980931))+4.9921912</f>
        <v>22.5659290186848</v>
      </c>
      <c s="68" r="P21"/>
      <c s="38" r="Q21">
        <f>((((L21+M21)+N21)+O21)/(1.535645))-60.47703745</f>
        <v>-47.523569552673</v>
      </c>
      <c s="68" r="R21"/>
      <c t="s" s="31" r="S21">
        <v>40</v>
      </c>
      <c t="s" s="81" r="T21">
        <v>24</v>
      </c>
    </row>
    <row customHeight="1" r="22" ht="14.25">
      <c s="45" r="A22">
        <v>19</v>
      </c>
      <c s="75" r="B22">
        <v>1</v>
      </c>
      <c s="54" r="C22">
        <v>1</v>
      </c>
      <c s="54" r="D22">
        <v>1</v>
      </c>
      <c s="54" r="E22">
        <v>1</v>
      </c>
      <c s="54" r="F22">
        <v>1</v>
      </c>
      <c s="2" r="G22">
        <v>1</v>
      </c>
      <c s="68" r="H22"/>
      <c s="19" r="I22">
        <f>INDEX('Speed Factors'!$A$2:$B$256,(G22),2)</f>
        <v>0</v>
      </c>
      <c s="19" r="J22">
        <f>SUM(B22:G22)</f>
        <v>6</v>
      </c>
      <c s="71" r="K22"/>
      <c s="38" r="L22">
        <f>((((B22*2)+141)*((D22*2)+36))/(402.744996))-24.57966407</f>
        <v>-11.0872555882817</v>
      </c>
      <c s="38" r="M22">
        <f>((((B22*2)+141)*((F22*2)+36))/(416.310724))-19.16575597</f>
        <v>-6.11300549605352</v>
      </c>
      <c s="38" r="N22">
        <f>(((((C22*2)+36)*((((C22*2)+36)*(I22/672))+415))/((((C22*2)+36)*(1-(I22/672)))+415))/(1.92306))-3.576327284</f>
        <v>14.5262602748412</v>
      </c>
      <c s="38" r="O22">
        <f>(((((E22*2)+36)*((((E22*2)+36)*(I22/672))+415))/((((E22*2)+36)*(1-(I22/672)))+415))/(1.980931))+4.9921912</f>
        <v>22.5659290186848</v>
      </c>
      <c s="68" r="P22"/>
      <c s="38" r="Q22">
        <f>((((L22+M22)+N22)+O22)/(1.535645))-60.47703745</f>
        <v>-47.523569552673</v>
      </c>
      <c s="68" r="R22"/>
      <c t="s" s="64" r="S22">
        <v>41</v>
      </c>
      <c t="s" s="69" r="T22">
        <v>26</v>
      </c>
    </row>
    <row customHeight="1" r="23" ht="14.25">
      <c s="45" r="A23">
        <v>20</v>
      </c>
      <c s="57" r="B23">
        <v>1</v>
      </c>
      <c s="8" r="C23">
        <v>1</v>
      </c>
      <c s="8" r="D23">
        <v>1</v>
      </c>
      <c s="8" r="E23">
        <v>1</v>
      </c>
      <c s="8" r="F23">
        <v>1</v>
      </c>
      <c s="27" r="G23">
        <v>1</v>
      </c>
      <c s="68" r="H23"/>
      <c s="20" r="I23">
        <f>INDEX('Speed Factors'!$A$2:$B$256,(G23),2)</f>
        <v>0</v>
      </c>
      <c s="20" r="J23">
        <f>SUM(B23:G23)</f>
        <v>6</v>
      </c>
      <c s="71" r="K23"/>
      <c s="38" r="L23">
        <f>((((B23*2)+141)*((D23*2)+36))/(402.744996))-24.57966407</f>
        <v>-11.0872555882817</v>
      </c>
      <c s="38" r="M23">
        <f>((((B23*2)+141)*((F23*2)+36))/(416.310724))-19.16575597</f>
        <v>-6.11300549605352</v>
      </c>
      <c s="38" r="N23">
        <f>(((((C23*2)+36)*((((C23*2)+36)*(I23/672))+415))/((((C23*2)+36)*(1-(I23/672)))+415))/(1.92306))-3.576327284</f>
        <v>14.5262602748412</v>
      </c>
      <c s="38" r="O23">
        <f>(((((E23*2)+36)*((((E23*2)+36)*(I23/672))+415))/((((E23*2)+36)*(1-(I23/672)))+415))/(1.980931))+4.9921912</f>
        <v>22.5659290186848</v>
      </c>
      <c s="68" r="P23"/>
      <c s="38" r="Q23">
        <f>((((L23+M23)+N23)+O23)/(1.535645))-60.47703745</f>
        <v>-47.523569552673</v>
      </c>
      <c s="68" r="R23"/>
      <c t="s" s="59" r="S23">
        <v>42</v>
      </c>
      <c t="s" s="59" r="T23">
        <v>28</v>
      </c>
    </row>
    <row customHeight="1" r="24" ht="13.5">
      <c s="11" r="A24"/>
      <c s="11" r="B24"/>
      <c s="11" r="C24"/>
      <c s="11" r="D24"/>
      <c s="11" r="E24"/>
      <c s="11" r="F24"/>
      <c s="11" r="G24"/>
      <c s="44" r="H24"/>
      <c s="11" r="I24"/>
      <c s="11" r="J24"/>
      <c s="44" r="K24"/>
      <c s="58" r="L24"/>
      <c s="58" r="M24"/>
      <c s="58" r="N24"/>
      <c s="58" r="O24"/>
      <c s="26" r="P24"/>
      <c s="49" r="Q24"/>
      <c s="62" r="R24"/>
      <c t="s" s="61" r="S24">
        <v>43</v>
      </c>
      <c t="s" s="61" r="T24">
        <v>30</v>
      </c>
    </row>
    <row customHeight="1" r="25" ht="13.5">
      <c s="22" r="A25"/>
      <c t="s" s="33" r="B25">
        <v>44</v>
      </c>
      <c s="40" r="C25"/>
      <c s="40" r="D25"/>
      <c s="40" r="E25"/>
      <c s="40" r="F25"/>
      <c s="40" r="G25"/>
      <c s="40" r="H25"/>
      <c s="40" r="I25"/>
      <c s="9" r="J25"/>
      <c s="25" r="K25"/>
      <c s="12" r="L25"/>
      <c s="12" r="M25"/>
      <c s="12" r="N25"/>
      <c s="5" r="R25"/>
      <c t="s" s="37" r="S25">
        <v>45</v>
      </c>
      <c t="s" s="65" r="T25">
        <v>32</v>
      </c>
    </row>
    <row customHeight="1" r="26" ht="13.5">
      <c s="32" r="A26"/>
      <c s="33" r="B26"/>
      <c s="40" r="C26"/>
      <c s="40" r="D26"/>
      <c s="40" r="E26"/>
      <c s="40" r="F26"/>
      <c s="40" r="G26"/>
      <c s="40" r="H26"/>
      <c s="40" r="I26"/>
      <c s="9" r="J26"/>
      <c s="63" r="K26"/>
      <c s="12" r="L26"/>
      <c s="12" r="M26"/>
      <c s="12" r="N26"/>
      <c s="5" r="R26"/>
      <c t="s" s="24" r="S26">
        <v>46</v>
      </c>
      <c t="s" s="78" r="T26">
        <v>34</v>
      </c>
    </row>
    <row customHeight="1" r="27" ht="13.5">
      <c s="62" r="A27"/>
      <c s="33" r="B27"/>
      <c s="40" r="C27"/>
      <c s="40" r="D27"/>
      <c s="40" r="E27"/>
      <c s="40" r="F27"/>
      <c s="40" r="G27"/>
      <c s="40" r="H27"/>
      <c s="40" r="I27"/>
      <c s="9" r="J27"/>
      <c s="63" r="K27"/>
      <c s="12" r="L27"/>
      <c s="12" r="M27"/>
      <c s="12" r="N27"/>
      <c s="51" r="S27"/>
      <c s="51" r="T27"/>
    </row>
    <row customHeight="1" r="28" ht="13.5">
      <c s="62" r="A28"/>
      <c t="s" s="30" r="B28">
        <v>47</v>
      </c>
      <c s="52" r="C28"/>
      <c s="52" r="D28"/>
      <c s="47" r="E28"/>
      <c s="47" r="F28"/>
      <c s="47" r="G28"/>
      <c s="47" r="H28"/>
      <c s="47" r="I28"/>
      <c s="3" r="J28"/>
      <c s="63" r="K28"/>
      <c s="12" r="L28"/>
      <c s="12" r="M28"/>
      <c s="12" r="N28"/>
    </row>
    <row customHeight="1" r="29" ht="13.5">
      <c s="62" r="A29"/>
      <c s="30" r="B29"/>
      <c s="52" r="C29"/>
      <c s="52" r="D29"/>
      <c s="47" r="E29"/>
      <c s="47" r="F29"/>
      <c s="47" r="G29"/>
      <c s="47" r="H29"/>
      <c s="47" r="I29"/>
      <c s="3" r="J29"/>
      <c s="63" r="K29"/>
      <c s="12" r="L29"/>
      <c s="12" r="M29"/>
      <c s="12" r="N29"/>
    </row>
    <row customHeight="1" r="30" ht="13.5">
      <c s="62" r="A30"/>
      <c t="s" s="30" r="B30">
        <v>48</v>
      </c>
      <c s="52" r="C30"/>
      <c s="52" r="D30"/>
      <c s="47" r="E30"/>
      <c s="47" r="F30"/>
      <c s="47" r="G30"/>
      <c s="47" r="H30"/>
      <c s="47" r="I30"/>
      <c s="3" r="J30"/>
      <c s="63" r="K30"/>
      <c s="12" r="L30"/>
      <c s="12" r="M30"/>
      <c s="12" r="N30"/>
    </row>
    <row customHeight="1" r="31" ht="13.5">
      <c s="62" r="A31"/>
      <c s="30" r="B31"/>
      <c s="52" r="C31"/>
      <c s="52" r="D31"/>
      <c s="47" r="E31"/>
      <c s="47" r="F31"/>
      <c s="47" r="G31"/>
      <c s="47" r="H31"/>
      <c s="47" r="I31"/>
      <c s="3" r="J31"/>
      <c s="63" r="K31"/>
      <c s="12" r="L31"/>
      <c s="12" r="M31"/>
      <c s="12" r="N31"/>
    </row>
    <row customHeight="1" r="32" ht="13.5">
      <c s="62" r="A32"/>
      <c t="s" s="50" r="B32">
        <v>49</v>
      </c>
      <c s="41" r="C32"/>
      <c s="41" r="D32"/>
      <c s="70" r="E32"/>
      <c s="70" r="F32"/>
      <c s="70" r="G32"/>
      <c s="70" r="H32"/>
      <c s="70" r="I32"/>
      <c s="56" r="J32"/>
      <c s="63" r="K32"/>
      <c s="12" r="L32"/>
      <c s="12" r="M32"/>
      <c s="12" r="N32"/>
    </row>
    <row customHeight="1" r="33" ht="13.5">
      <c s="62" r="A33"/>
      <c s="79" r="B33"/>
      <c s="55" r="C33"/>
      <c s="55" r="D33"/>
      <c s="55" r="E33"/>
      <c s="55" r="F33"/>
      <c s="55" r="G33"/>
      <c s="55" r="H33"/>
      <c s="55" r="I33"/>
      <c s="6" r="J33"/>
      <c s="63" r="K33"/>
      <c s="12" r="L33"/>
      <c s="12" r="M33"/>
      <c s="12" r="N33"/>
    </row>
    <row customHeight="1" r="34" ht="13.5">
      <c s="62" r="A34"/>
      <c t="s" s="80" r="B34">
        <v>50</v>
      </c>
      <c s="73" r="C34"/>
      <c s="73" r="D34"/>
      <c s="73" r="E34"/>
      <c s="73" r="F34"/>
      <c s="73" r="G34"/>
      <c s="73" r="H34"/>
      <c s="73" r="I34"/>
      <c s="72" r="J34"/>
      <c s="63" r="K34"/>
      <c s="12" r="L34"/>
      <c s="12" r="M34"/>
      <c s="12" r="N34"/>
    </row>
    <row customHeight="1" r="35" ht="13.5">
      <c s="62" r="A35"/>
      <c s="80" r="B35"/>
      <c s="73" r="C35"/>
      <c s="73" r="D35"/>
      <c s="73" r="E35"/>
      <c s="73" r="F35"/>
      <c s="73" r="G35"/>
      <c s="73" r="H35"/>
      <c s="73" r="I35"/>
      <c s="72" r="J35"/>
      <c s="63" r="K35"/>
      <c s="12" r="L35"/>
      <c s="12" r="M35"/>
      <c s="12" r="N35"/>
    </row>
    <row customHeight="1" r="36" ht="13.5">
      <c s="62" r="A36"/>
      <c s="80" r="B36"/>
      <c s="73" r="C36"/>
      <c s="73" r="D36"/>
      <c s="73" r="E36"/>
      <c s="73" r="F36"/>
      <c s="73" r="G36"/>
      <c s="73" r="H36"/>
      <c s="73" r="I36"/>
      <c s="72" r="J36"/>
      <c s="63" r="K36"/>
      <c s="12" r="L36"/>
      <c s="12" r="M36"/>
      <c s="12" r="N36"/>
    </row>
  </sheetData>
  <mergeCells count="5">
    <mergeCell ref="B25:J27"/>
    <mergeCell ref="B28:J29"/>
    <mergeCell ref="B30:J31"/>
    <mergeCell ref="B32:J33"/>
    <mergeCell ref="B34:J36"/>
  </mergeCells>
  <conditionalFormatting sqref="Q4 Q5 Q6 Q7 Q8 Q9 Q10 Q11 Q12 Q13 Q14 Q15 Q16 Q17 Q18 Q19 Q20 Q21 Q22 Q23">
    <cfRule priority="1" type="cellIs" operator="greaterThanOrEqual" stopIfTrue="1" dxfId="0">
      <formula>450</formula>
    </cfRule>
    <cfRule priority="2" type="cellIs" operator="between" stopIfTrue="1" dxfId="1">
      <formula>400</formula>
      <formula>450</formula>
    </cfRule>
    <cfRule priority="3" type="cellIs" operator="between" stopIfTrue="1" dxfId="2">
      <formula>350</formula>
      <formula>400</formula>
    </cfRule>
    <cfRule priority="4" type="cellIs" operator="between" stopIfTrue="1" dxfId="3">
      <formula>300</formula>
      <formula>350</formula>
    </cfRule>
    <cfRule priority="5" type="cellIs" operator="between" stopIfTrue="1" dxfId="4">
      <formula>250</formula>
      <formula>300</formula>
    </cfRule>
    <cfRule priority="6" type="cellIs" operator="between" stopIfTrue="1" dxfId="5">
      <formula>200</formula>
      <formula>250</formula>
    </cfRule>
    <cfRule priority="7" type="cellIs" operator="between" stopIfTrue="1" dxfId="6">
      <formula>150</formula>
      <formula>200</formula>
    </cfRule>
    <cfRule priority="8" type="cellIs" operator="between" stopIfTrue="1" dxfId="7">
      <formula>100</formula>
      <formula>150</formula>
    </cfRule>
    <cfRule priority="9" type="cellIs" operator="between" stopIfTrue="1" dxfId="8">
      <formula>50</formula>
      <formula>100</formula>
    </cfRule>
    <cfRule priority="10" type="cellIs" operator="lessThanOrEqual" stopIfTrue="1" dxfId="9">
      <formula>50</formula>
    </cfRule>
  </conditionalFormatting>
  <conditionalFormatting sqref="L4 M4 N4 O4 L5 M5 N5 O5 L6 M6 N6 O6 L7 M7 N7 O7 L8 M8 N8 O8 L9 M9 N9 O9 L10 M10 N10 O10 L11 M11 N11 O11 L12 M12 N12 O12 L13 M13 N13 O13 L14 M14 N14 O14 L15 M15 N15 O15 L16 M16 N16 O16 L17 M17 N17 O17 L18 M18 N18 O18 L19 M19 N19 O19 L20 M20 N20 O20 L21 M21 N21 O21 L22 M22 N22 O22 L23 M23 N23 O23">
    <cfRule priority="1" type="cellIs" operator="greaterThanOrEqual" stopIfTrue="1" dxfId="0">
      <formula>225</formula>
    </cfRule>
    <cfRule priority="2" type="cellIs" operator="between" stopIfTrue="1" dxfId="1">
      <formula>200</formula>
      <formula>225</formula>
    </cfRule>
    <cfRule priority="3" type="cellIs" operator="between" stopIfTrue="1" dxfId="2">
      <formula>175</formula>
      <formula>200</formula>
    </cfRule>
    <cfRule priority="4" type="cellIs" operator="between" stopIfTrue="1" dxfId="3">
      <formula>150</formula>
      <formula>175</formula>
    </cfRule>
    <cfRule priority="5" type="cellIs" operator="between" stopIfTrue="1" dxfId="4">
      <formula>125</formula>
      <formula>150</formula>
    </cfRule>
    <cfRule priority="6" type="cellIs" operator="between" stopIfTrue="1" dxfId="5">
      <formula>100</formula>
      <formula>125</formula>
    </cfRule>
    <cfRule priority="7" type="cellIs" operator="between" stopIfTrue="1" dxfId="6">
      <formula>75</formula>
      <formula>100</formula>
    </cfRule>
    <cfRule priority="8" type="cellIs" operator="between" stopIfTrue="1" dxfId="7">
      <formula>50</formula>
      <formula>75</formula>
    </cfRule>
    <cfRule priority="9" type="cellIs" operator="between" stopIfTrue="1" dxfId="8">
      <formula>25</formula>
      <formula>50</formula>
    </cfRule>
    <cfRule priority="10" type="cellIs" operator="lessThanOrEqual" stopIfTrue="1" dxfId="9">
      <formula>25</formula>
    </cfRule>
  </conditionalFormatting>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width="11.86"/>
    <col min="2" customWidth="1" max="2" width="14.0"/>
    <col min="5" customWidth="1" max="5" width="10.29"/>
  </cols>
  <sheetData>
    <row customHeight="1" r="1" ht="15.0">
      <c t="s" s="13" r="A1">
        <v>51</v>
      </c>
      <c t="s" s="13" r="B1">
        <v>52</v>
      </c>
      <c s="63" r="C1"/>
      <c s="26" r="D1"/>
      <c s="26" r="E1"/>
      <c s="26" r="F1"/>
    </row>
    <row customHeight="1" r="2" ht="15.0">
      <c s="18" r="A2">
        <v>1</v>
      </c>
      <c s="18" r="B2">
        <v>0</v>
      </c>
      <c s="63" r="C2"/>
      <c s="26" r="D2"/>
      <c s="26" r="E2"/>
      <c s="26" r="F2"/>
    </row>
    <row customHeight="1" r="3" ht="15.0">
      <c s="18" r="A3">
        <v>2</v>
      </c>
      <c s="18" r="B3">
        <v>0</v>
      </c>
      <c s="63" r="C3"/>
      <c s="26" r="D3"/>
      <c s="26" r="E3"/>
      <c s="26" r="F3"/>
    </row>
    <row customHeight="1" r="4" ht="15.0">
      <c s="18" r="A4">
        <v>3</v>
      </c>
      <c s="18" r="B4">
        <v>0</v>
      </c>
      <c s="63" r="C4"/>
      <c s="26" r="D4"/>
      <c s="26" r="E4"/>
      <c s="26" r="F4"/>
    </row>
    <row customHeight="1" r="5" ht="15.0">
      <c s="18" r="A5">
        <v>4</v>
      </c>
      <c s="18" r="B5">
        <v>0</v>
      </c>
      <c s="63" r="C5"/>
      <c s="26" r="D5"/>
      <c s="26" r="E5"/>
      <c s="26" r="F5"/>
    </row>
    <row customHeight="1" r="6" ht="15.0">
      <c s="18" r="A6">
        <v>5</v>
      </c>
      <c s="18" r="B6">
        <v>0</v>
      </c>
      <c s="63" r="C6"/>
      <c s="26" r="D6"/>
      <c s="26" r="E6"/>
      <c s="26" r="F6"/>
    </row>
    <row customHeight="1" r="7" ht="15.0">
      <c s="18" r="A7">
        <v>6</v>
      </c>
      <c s="18" r="B7">
        <v>2</v>
      </c>
      <c s="63" r="C7"/>
      <c s="26" r="D7"/>
      <c s="26" r="E7"/>
      <c s="26" r="F7"/>
    </row>
    <row customHeight="1" r="8" ht="15.0">
      <c s="18" r="A8">
        <v>7</v>
      </c>
      <c s="18" r="B8">
        <v>2</v>
      </c>
      <c s="63" r="C8"/>
      <c s="26" r="D8"/>
      <c s="26" r="E8"/>
      <c s="26" r="F8"/>
    </row>
    <row customHeight="1" r="9" ht="15.0">
      <c s="18" r="A9">
        <v>8</v>
      </c>
      <c s="18" r="B9">
        <v>2</v>
      </c>
      <c s="63" r="C9"/>
      <c s="26" r="D9"/>
      <c s="26" r="E9"/>
      <c s="26" r="F9"/>
    </row>
    <row customHeight="1" r="10" ht="15.0">
      <c s="18" r="A10">
        <v>9</v>
      </c>
      <c s="18" r="B10">
        <v>2</v>
      </c>
      <c s="63" r="C10"/>
      <c s="26" r="D10"/>
      <c s="26" r="E10"/>
      <c s="26" r="F10"/>
    </row>
    <row customHeight="1" r="11" ht="15.0">
      <c s="18" r="A11">
        <v>10</v>
      </c>
      <c s="18" r="B11">
        <v>2</v>
      </c>
      <c s="63" r="C11"/>
      <c s="26" r="D11"/>
      <c s="26" r="E11"/>
      <c s="26" r="F11"/>
    </row>
    <row customHeight="1" r="12" ht="15.0">
      <c s="18" r="A12">
        <v>11</v>
      </c>
      <c s="18" r="B12">
        <v>5</v>
      </c>
      <c s="63" r="C12"/>
      <c s="26" r="D12"/>
      <c s="26" r="E12"/>
      <c s="26" r="F12"/>
    </row>
    <row customHeight="1" r="13" ht="15.0">
      <c s="18" r="A13">
        <v>12</v>
      </c>
      <c s="18" r="B13">
        <v>5</v>
      </c>
      <c s="63" r="C13"/>
      <c s="26" r="D13"/>
      <c s="26" r="E13"/>
      <c s="26" r="F13"/>
    </row>
    <row customHeight="1" r="14" ht="15.0">
      <c s="18" r="A14">
        <v>13</v>
      </c>
      <c s="18" r="B14">
        <v>5</v>
      </c>
      <c s="63" r="C14"/>
      <c s="26" r="D14"/>
      <c s="26" r="E14"/>
      <c s="26" r="F14"/>
    </row>
    <row customHeight="1" r="15" ht="15.0">
      <c s="18" r="A15">
        <v>14</v>
      </c>
      <c s="18" r="B15">
        <v>5</v>
      </c>
      <c s="63" r="C15"/>
      <c s="26" r="D15"/>
      <c s="26" r="E15"/>
      <c s="26" r="F15"/>
    </row>
    <row customHeight="1" r="16" ht="15.0">
      <c s="18" r="A16">
        <v>15</v>
      </c>
      <c s="18" r="B16">
        <v>5</v>
      </c>
      <c s="63" r="C16"/>
      <c s="26" r="D16"/>
      <c s="26" r="E16"/>
      <c s="26" r="F16"/>
    </row>
    <row customHeight="1" r="17" ht="15.0">
      <c s="18" r="A17">
        <v>16</v>
      </c>
      <c s="18" r="B17">
        <v>14</v>
      </c>
      <c s="63" r="C17"/>
      <c s="26" r="D17"/>
      <c s="26" r="E17"/>
      <c s="26" r="F17"/>
    </row>
    <row customHeight="1" r="18" ht="15.0">
      <c s="18" r="A18">
        <v>17</v>
      </c>
      <c s="18" r="B18">
        <v>14</v>
      </c>
      <c s="63" r="C18"/>
      <c s="26" r="D18"/>
      <c s="26" r="E18"/>
      <c s="26" r="F18"/>
    </row>
    <row customHeight="1" r="19" ht="15.0">
      <c s="18" r="A19">
        <v>18</v>
      </c>
      <c s="18" r="B19">
        <v>14</v>
      </c>
      <c s="63" r="C19"/>
      <c s="26" r="D19"/>
      <c s="26" r="E19"/>
      <c s="26" r="F19"/>
    </row>
    <row customHeight="1" r="20" ht="15.0">
      <c s="18" r="A20">
        <v>19</v>
      </c>
      <c s="18" r="B20">
        <v>14</v>
      </c>
      <c s="63" r="C20"/>
      <c s="26" r="D20"/>
      <c s="26" r="E20"/>
      <c s="26" r="F20"/>
    </row>
    <row customHeight="1" r="21" ht="15.0">
      <c s="18" r="A21">
        <v>20</v>
      </c>
      <c s="18" r="B21">
        <v>14</v>
      </c>
      <c s="63" r="C21"/>
      <c s="26" r="D21"/>
      <c s="26" r="E21"/>
      <c s="26" r="F21"/>
    </row>
    <row customHeight="1" r="22" ht="15.0">
      <c s="18" r="A22">
        <v>21</v>
      </c>
      <c s="18" r="B22">
        <v>27</v>
      </c>
      <c s="63" r="C22"/>
      <c s="26" r="D22"/>
      <c s="26" r="E22"/>
      <c s="26" r="F22"/>
    </row>
    <row customHeight="1" r="23" ht="15.0">
      <c s="18" r="A23">
        <v>22</v>
      </c>
      <c s="18" r="B23">
        <v>27</v>
      </c>
      <c s="63" r="C23"/>
      <c s="26" r="D23"/>
      <c s="26" r="E23"/>
      <c s="26" r="F23"/>
    </row>
    <row customHeight="1" r="24" ht="15.0">
      <c s="18" r="A24">
        <v>23</v>
      </c>
      <c s="18" r="B24">
        <v>28</v>
      </c>
      <c s="63" r="C24"/>
      <c s="26" r="D24"/>
      <c s="26" r="E24"/>
      <c s="26" r="F24"/>
    </row>
    <row customHeight="1" r="25" ht="15.0">
      <c s="18" r="A25">
        <v>24</v>
      </c>
      <c s="18" r="B25">
        <v>31</v>
      </c>
      <c s="63" r="C25"/>
      <c s="26" r="D25"/>
      <c s="26" r="E25"/>
      <c s="26" r="F25"/>
    </row>
    <row customHeight="1" r="26" ht="15.0">
      <c s="18" r="A26">
        <v>25</v>
      </c>
      <c s="18" r="B26">
        <v>32</v>
      </c>
      <c s="63" r="C26"/>
      <c s="26" r="D26"/>
      <c s="26" r="E26"/>
      <c s="26" r="F26"/>
    </row>
    <row customHeight="1" r="27" ht="15.0">
      <c s="18" r="A27">
        <v>26</v>
      </c>
      <c s="18" r="B27">
        <v>42</v>
      </c>
      <c s="63" r="C27"/>
      <c s="26" r="D27"/>
      <c s="26" r="E27"/>
      <c s="26" r="F27"/>
    </row>
    <row customHeight="1" r="28" ht="15.0">
      <c s="18" r="A28">
        <v>27</v>
      </c>
      <c s="18" r="B28">
        <v>42</v>
      </c>
      <c s="63" r="C28"/>
      <c s="26" r="D28"/>
      <c s="26" r="E28"/>
      <c s="26" r="F28"/>
    </row>
    <row customHeight="1" r="29" ht="15.0">
      <c s="18" r="A29">
        <v>28</v>
      </c>
      <c s="18" r="B29">
        <v>42</v>
      </c>
      <c s="63" r="C29"/>
      <c s="26" r="D29"/>
      <c s="26" r="E29"/>
      <c s="26" r="F29"/>
    </row>
    <row customHeight="1" r="30" ht="15.0">
      <c s="18" r="A30">
        <v>29</v>
      </c>
      <c s="18" r="B30">
        <v>43</v>
      </c>
      <c s="63" r="C30"/>
      <c s="26" r="D30"/>
      <c s="26" r="E30"/>
      <c s="26" r="F30"/>
    </row>
    <row customHeight="1" r="31" ht="15.0">
      <c s="18" r="A31">
        <v>30</v>
      </c>
      <c s="18" r="B31">
        <v>44</v>
      </c>
      <c s="63" r="C31"/>
      <c s="26" r="D31"/>
      <c s="26" r="E31"/>
      <c s="26" r="F31"/>
    </row>
    <row customHeight="1" r="32" ht="15.0">
      <c s="18" r="A32">
        <v>31</v>
      </c>
      <c s="18" r="B32">
        <v>75</v>
      </c>
      <c s="63" r="C32"/>
      <c s="26" r="D32"/>
      <c s="26" r="E32"/>
      <c s="26" r="F32"/>
    </row>
    <row customHeight="1" r="33" ht="15.0">
      <c s="18" r="A33">
        <v>32</v>
      </c>
      <c s="18" r="B33">
        <v>77</v>
      </c>
      <c s="63" r="C33"/>
      <c s="26" r="D33"/>
      <c s="26" r="E33"/>
      <c s="26" r="F33"/>
    </row>
    <row customHeight="1" r="34" ht="15.0">
      <c s="18" r="A34">
        <v>33</v>
      </c>
      <c s="18" r="B34">
        <v>81</v>
      </c>
      <c s="63" r="C34"/>
      <c s="26" r="D34"/>
      <c s="26" r="E34"/>
      <c s="26" r="F34"/>
    </row>
    <row customHeight="1" r="35" ht="15.0">
      <c s="18" r="A35">
        <v>34</v>
      </c>
      <c s="18" r="B35">
        <v>83</v>
      </c>
      <c s="63" r="C35"/>
      <c s="26" r="D35"/>
      <c s="26" r="E35"/>
      <c s="26" r="F35"/>
    </row>
    <row customHeight="1" r="36" ht="15.0">
      <c s="18" r="A36">
        <v>35</v>
      </c>
      <c s="18" r="B36">
        <v>84</v>
      </c>
      <c s="63" r="C36"/>
      <c s="26" r="D36"/>
      <c s="26" r="E36"/>
      <c s="26" r="F36"/>
    </row>
    <row customHeight="1" r="37" ht="15.0">
      <c s="18" r="A37">
        <v>36</v>
      </c>
      <c s="18" r="B37">
        <v>104</v>
      </c>
      <c s="63" r="C37"/>
      <c s="26" r="D37"/>
      <c s="26" r="E37"/>
      <c s="26" r="F37"/>
    </row>
    <row customHeight="1" r="38" ht="15.0">
      <c s="18" r="A38">
        <v>37</v>
      </c>
      <c s="18" r="B38">
        <v>109</v>
      </c>
      <c s="63" r="C38"/>
      <c s="26" r="D38"/>
      <c s="26" r="E38"/>
      <c s="26" r="F38"/>
    </row>
    <row customHeight="1" r="39" ht="15.0">
      <c s="18" r="A39">
        <v>38</v>
      </c>
      <c s="18" r="B39">
        <v>109</v>
      </c>
      <c s="63" r="C39"/>
      <c s="26" r="D39"/>
      <c s="26" r="E39"/>
      <c s="26" r="F39"/>
    </row>
    <row customHeight="1" r="40" ht="15.0">
      <c s="18" r="A40">
        <v>39</v>
      </c>
      <c s="18" r="B40">
        <v>110</v>
      </c>
      <c s="63" r="C40"/>
      <c s="26" r="D40"/>
      <c s="26" r="E40"/>
      <c s="26" r="F40"/>
    </row>
    <row customHeight="1" r="41" ht="15.0">
      <c s="18" r="A41">
        <v>40</v>
      </c>
      <c s="18" r="B41">
        <v>111</v>
      </c>
      <c s="63" r="C41"/>
      <c s="26" r="D41"/>
      <c s="26" r="E41"/>
      <c s="26" r="F41"/>
    </row>
    <row customHeight="1" r="42" ht="15.0">
      <c s="18" r="A42">
        <v>41</v>
      </c>
      <c s="18" r="B42">
        <v>142</v>
      </c>
      <c s="63" r="C42"/>
      <c s="26" r="D42"/>
      <c s="26" r="E42"/>
      <c s="26" r="F42"/>
    </row>
    <row customHeight="1" r="43" ht="15.0">
      <c s="18" r="A43">
        <v>42</v>
      </c>
      <c s="18" r="B43">
        <v>144</v>
      </c>
      <c s="63" r="C43"/>
      <c s="26" r="D43"/>
      <c s="26" r="E43"/>
      <c s="26" r="F43"/>
    </row>
    <row customHeight="1" r="44" ht="15.0">
      <c s="18" r="A44">
        <v>43</v>
      </c>
      <c s="18" r="B44">
        <v>149</v>
      </c>
      <c s="63" r="C44"/>
      <c s="26" r="D44"/>
      <c s="26" r="E44"/>
      <c s="26" r="F44"/>
    </row>
    <row customHeight="1" r="45" ht="15.0">
      <c s="18" r="A45">
        <v>44</v>
      </c>
      <c s="18" r="B45">
        <v>153</v>
      </c>
      <c s="63" r="C45"/>
      <c s="26" r="D45"/>
      <c s="26" r="E45"/>
      <c s="26" r="F45"/>
    </row>
    <row customHeight="1" r="46" ht="15.0">
      <c s="18" r="A46">
        <v>45</v>
      </c>
      <c s="18" r="B46">
        <v>154</v>
      </c>
      <c s="63" r="C46"/>
      <c s="26" r="D46"/>
      <c s="26" r="E46"/>
      <c s="26" r="F46"/>
    </row>
    <row customHeight="1" r="47" ht="15.0">
      <c s="18" r="A47">
        <v>46</v>
      </c>
      <c s="18" r="B47">
        <v>181</v>
      </c>
      <c s="63" r="C47"/>
      <c s="26" r="D47"/>
      <c s="26" r="E47"/>
      <c s="26" r="F47"/>
    </row>
    <row customHeight="1" r="48" ht="15.0">
      <c s="18" r="A48">
        <v>47</v>
      </c>
      <c s="18" r="B48">
        <v>182</v>
      </c>
      <c s="63" r="C48"/>
      <c s="26" r="D48"/>
      <c s="26" r="E48"/>
      <c s="26" r="F48"/>
    </row>
    <row customHeight="1" r="49" ht="15.0">
      <c s="18" r="A49">
        <v>48</v>
      </c>
      <c s="18" r="B49">
        <v>184</v>
      </c>
      <c s="63" r="C49"/>
      <c s="26" r="D49"/>
      <c s="26" r="E49"/>
      <c s="26" r="F49"/>
    </row>
    <row customHeight="1" r="50" ht="15.0">
      <c s="18" r="A50">
        <v>49</v>
      </c>
      <c s="18" r="B50">
        <v>189</v>
      </c>
      <c s="63" r="C50"/>
      <c s="26" r="D50"/>
      <c s="26" r="E50"/>
      <c s="26" r="F50"/>
    </row>
    <row customHeight="1" r="51" ht="15.0">
      <c s="18" r="A51">
        <v>50</v>
      </c>
      <c s="18" r="B51">
        <v>189</v>
      </c>
      <c s="63" r="C51"/>
      <c s="26" r="D51"/>
      <c s="26" r="E51"/>
      <c s="26" r="F51"/>
    </row>
    <row customHeight="1" r="52" ht="15.0">
      <c s="18" r="A52">
        <v>51</v>
      </c>
      <c s="18" r="B52">
        <v>229</v>
      </c>
      <c s="63" r="C52"/>
      <c s="26" r="D52"/>
      <c s="26" r="E52"/>
      <c s="26" r="F52"/>
    </row>
    <row customHeight="1" r="53" ht="15.0">
      <c s="18" r="A53">
        <v>52</v>
      </c>
      <c s="18" r="B53">
        <v>231</v>
      </c>
      <c s="63" r="C53"/>
      <c s="26" r="D53"/>
      <c s="26" r="E53"/>
      <c s="26" r="F53"/>
    </row>
    <row customHeight="1" r="54" ht="15.0">
      <c s="18" r="A54">
        <v>53</v>
      </c>
      <c s="18" r="B54">
        <v>233</v>
      </c>
      <c s="63" r="C54"/>
      <c s="26" r="D54"/>
      <c s="26" r="E54"/>
      <c s="26" r="F54"/>
    </row>
    <row customHeight="1" r="55" ht="15.0">
      <c s="18" r="A55">
        <v>54</v>
      </c>
      <c s="18" r="B55">
        <v>233</v>
      </c>
      <c s="63" r="C55"/>
      <c s="26" r="D55"/>
      <c s="26" r="E55"/>
      <c s="26" r="F55"/>
    </row>
    <row customHeight="1" r="56" ht="15.0">
      <c s="18" r="A56">
        <v>55</v>
      </c>
      <c s="18" r="B56">
        <v>233</v>
      </c>
      <c s="63" r="C56"/>
      <c s="26" r="D56"/>
      <c s="26" r="E56"/>
      <c s="26" r="F56"/>
    </row>
    <row customHeight="1" r="57" ht="15.0">
      <c s="18" r="A57">
        <v>56</v>
      </c>
      <c s="18" r="B57">
        <v>262</v>
      </c>
      <c s="63" r="C57"/>
      <c s="26" r="D57"/>
      <c s="26" r="E57"/>
      <c s="26" r="F57"/>
    </row>
    <row customHeight="1" r="58" ht="15.0">
      <c s="18" r="A58">
        <v>57</v>
      </c>
      <c s="18" r="B58">
        <v>265</v>
      </c>
      <c s="63" r="C58"/>
      <c s="26" r="D58"/>
      <c s="26" r="E58"/>
      <c s="26" r="F58"/>
    </row>
    <row customHeight="1" r="59" ht="15.0">
      <c s="18" r="A59">
        <v>58</v>
      </c>
      <c s="18" r="B59">
        <v>267</v>
      </c>
      <c s="63" r="C59"/>
      <c s="26" r="D59"/>
      <c s="26" r="E59"/>
      <c s="26" r="F59"/>
    </row>
    <row customHeight="1" r="60" ht="15.0">
      <c s="18" r="A60">
        <v>59</v>
      </c>
      <c s="18" r="B60">
        <v>273</v>
      </c>
      <c s="63" r="C60"/>
      <c s="26" r="D60"/>
      <c s="26" r="E60"/>
      <c s="26" r="F60"/>
    </row>
    <row customHeight="1" r="61" ht="15.0">
      <c s="18" r="A61">
        <v>60</v>
      </c>
      <c s="18" r="B61">
        <v>274</v>
      </c>
      <c s="63" r="C61"/>
      <c s="26" r="D61"/>
      <c s="26" r="E61"/>
      <c s="26" r="F61"/>
    </row>
    <row customHeight="1" r="62" ht="15.0">
      <c s="18" r="A62">
        <v>61</v>
      </c>
      <c s="18" r="B62">
        <v>313</v>
      </c>
      <c s="63" r="C62"/>
      <c s="26" r="D62"/>
      <c s="26" r="E62"/>
      <c s="26" r="F62"/>
    </row>
    <row customHeight="1" r="63" ht="15.0">
      <c s="18" r="A63">
        <v>62</v>
      </c>
      <c s="18" r="B63">
        <v>315</v>
      </c>
      <c s="63" r="C63"/>
      <c s="26" r="D63"/>
      <c s="26" r="E63"/>
      <c s="26" r="F63"/>
    </row>
    <row customHeight="1" r="64" ht="15.0">
      <c s="18" r="A64">
        <v>63</v>
      </c>
      <c s="18" r="B64">
        <v>315</v>
      </c>
      <c s="63" r="C64"/>
      <c s="26" r="D64"/>
      <c s="26" r="E64"/>
      <c s="26" r="F64"/>
    </row>
    <row customHeight="1" r="65" ht="15.0">
      <c s="18" r="A65">
        <v>64</v>
      </c>
      <c s="18" r="B65">
        <v>317</v>
      </c>
      <c s="63" r="C65"/>
      <c s="26" r="D65"/>
      <c s="26" r="E65"/>
      <c s="26" r="F65"/>
    </row>
    <row customHeight="1" r="66" ht="15.0">
      <c s="18" r="A66">
        <v>65</v>
      </c>
      <c s="18" r="B66">
        <v>321</v>
      </c>
      <c s="63" r="C66"/>
      <c s="26" r="D66"/>
      <c s="26" r="E66"/>
      <c s="26" r="F66"/>
    </row>
    <row customHeight="1" r="67" ht="15.0">
      <c s="18" r="A67">
        <v>66</v>
      </c>
      <c s="18" r="B67">
        <v>357</v>
      </c>
      <c s="63" r="C67"/>
      <c s="26" r="D67"/>
      <c s="26" r="E67"/>
      <c s="26" r="F67"/>
    </row>
    <row customHeight="1" r="68" ht="15.0">
      <c s="18" r="A68">
        <v>67</v>
      </c>
      <c s="18" r="B68">
        <v>361</v>
      </c>
      <c s="63" r="C68"/>
      <c s="26" r="D68"/>
      <c s="26" r="E68"/>
      <c s="26" r="F68"/>
    </row>
    <row customHeight="1" r="69" ht="15.0">
      <c s="18" r="A69">
        <v>68</v>
      </c>
      <c s="18" r="B69">
        <v>365</v>
      </c>
      <c s="63" r="C69"/>
      <c s="26" r="D69"/>
      <c s="26" r="E69"/>
      <c s="26" r="F69"/>
    </row>
    <row customHeight="1" r="70" ht="15.0">
      <c s="18" r="A70">
        <v>69</v>
      </c>
      <c s="18" r="B70">
        <v>368</v>
      </c>
      <c s="63" r="C70"/>
      <c s="26" r="D70"/>
      <c s="26" r="E70"/>
      <c s="26" r="F70"/>
    </row>
    <row customHeight="1" r="71" ht="15.0">
      <c s="18" r="A71">
        <v>70</v>
      </c>
      <c s="18" r="B71">
        <v>369</v>
      </c>
      <c s="63" r="C71"/>
      <c s="26" r="D71"/>
      <c s="26" r="E71"/>
      <c s="26" r="F71"/>
    </row>
    <row customHeight="1" r="72" ht="15.0">
      <c s="18" r="A72">
        <v>71</v>
      </c>
      <c s="18" r="B72">
        <v>405</v>
      </c>
      <c s="63" r="C72"/>
      <c s="26" r="D72"/>
      <c s="26" r="E72"/>
      <c s="26" r="F72"/>
    </row>
    <row customHeight="1" r="73" ht="15.0">
      <c s="18" r="A73">
        <v>72</v>
      </c>
      <c s="18" r="B73">
        <v>408</v>
      </c>
      <c s="63" r="C73"/>
      <c s="26" r="D73"/>
      <c s="26" r="E73"/>
      <c s="26" r="F73"/>
    </row>
    <row customHeight="1" r="74" ht="15.0">
      <c s="18" r="A74">
        <v>73</v>
      </c>
      <c s="18" r="B74">
        <v>410</v>
      </c>
      <c s="63" r="C74"/>
      <c s="26" r="D74"/>
      <c s="26" r="E74"/>
      <c s="26" r="F74"/>
    </row>
    <row customHeight="1" r="75" ht="15.0">
      <c s="18" r="A75">
        <v>74</v>
      </c>
      <c s="18" r="B75">
        <v>410</v>
      </c>
      <c s="63" r="C75"/>
      <c s="26" r="D75"/>
      <c s="26" r="E75"/>
      <c s="26" r="F75"/>
    </row>
    <row customHeight="1" r="76" ht="15.0">
      <c s="18" r="A76">
        <v>75</v>
      </c>
      <c s="18" r="B76">
        <v>413</v>
      </c>
      <c s="63" r="C76"/>
      <c s="26" r="D76"/>
      <c s="26" r="E76"/>
      <c s="26" r="F76"/>
    </row>
    <row customHeight="1" r="77" ht="15.0">
      <c s="18" r="A77">
        <v>76</v>
      </c>
      <c s="18" r="B77">
        <v>424</v>
      </c>
      <c s="63" r="C77"/>
      <c s="26" r="D77"/>
      <c s="26" r="E77"/>
      <c s="26" r="F77"/>
    </row>
    <row customHeight="1" r="78" ht="15.0">
      <c s="18" r="A78">
        <v>77</v>
      </c>
      <c s="18" r="B78">
        <v>427</v>
      </c>
      <c s="63" r="C78"/>
      <c s="26" r="D78"/>
      <c s="26" r="E78"/>
      <c s="26" r="F78"/>
    </row>
    <row customHeight="1" r="79" ht="15.0">
      <c s="18" r="A79">
        <v>78</v>
      </c>
      <c s="18" r="B79">
        <v>429</v>
      </c>
      <c s="63" r="C79"/>
      <c s="26" r="D79"/>
      <c s="26" r="E79"/>
      <c s="26" r="F79"/>
    </row>
    <row customHeight="1" r="80" ht="15.0">
      <c s="18" r="A80">
        <v>79</v>
      </c>
      <c s="18" r="B80">
        <v>431</v>
      </c>
      <c s="63" r="C80"/>
      <c s="26" r="D80"/>
      <c s="26" r="E80"/>
      <c s="26" r="F80"/>
    </row>
    <row customHeight="1" r="81" ht="15.0">
      <c s="18" r="A81">
        <v>80</v>
      </c>
      <c s="18" r="B81">
        <v>432</v>
      </c>
      <c s="63" r="C81"/>
      <c s="26" r="D81"/>
      <c s="26" r="E81"/>
      <c s="26" r="F81"/>
    </row>
    <row customHeight="1" r="82" ht="15.0">
      <c s="18" r="A82">
        <v>81</v>
      </c>
      <c s="18" r="B82">
        <v>461</v>
      </c>
      <c s="63" r="C82"/>
      <c s="26" r="D82"/>
      <c s="26" r="E82"/>
      <c s="26" r="F82"/>
    </row>
    <row customHeight="1" r="83" ht="15.0">
      <c s="18" r="A83">
        <v>82</v>
      </c>
      <c s="18" r="B83">
        <v>464</v>
      </c>
      <c s="63" r="C83"/>
      <c s="26" r="D83"/>
      <c s="26" r="E83"/>
      <c s="26" r="F83"/>
    </row>
    <row customHeight="1" r="84" ht="15.0">
      <c s="18" r="A84">
        <v>83</v>
      </c>
      <c s="18" r="B84">
        <v>465</v>
      </c>
      <c s="63" r="C84"/>
      <c s="26" r="D84"/>
      <c s="26" r="E84"/>
      <c s="26" r="F84"/>
    </row>
    <row customHeight="1" r="85" ht="15.0">
      <c s="18" r="A85">
        <v>84</v>
      </c>
      <c s="18" r="B85">
        <v>468</v>
      </c>
      <c s="63" r="C85"/>
      <c s="26" r="D85"/>
      <c s="26" r="E85"/>
      <c s="26" r="F85"/>
    </row>
    <row customHeight="1" r="86" ht="15.0">
      <c s="18" r="A86">
        <v>85</v>
      </c>
      <c s="18" r="B86">
        <v>469</v>
      </c>
      <c s="63" r="C86"/>
      <c s="26" r="D86"/>
      <c s="26" r="E86"/>
      <c s="26" r="F86"/>
    </row>
    <row customHeight="1" r="87" ht="15.0">
      <c s="18" r="A87">
        <v>86</v>
      </c>
      <c s="18" r="B87">
        <v>496</v>
      </c>
      <c s="63" r="C87"/>
      <c s="26" r="D87"/>
      <c s="26" r="E87"/>
      <c s="26" r="F87"/>
    </row>
    <row customHeight="1" r="88" ht="15.0">
      <c s="18" r="A88">
        <v>87</v>
      </c>
      <c s="18" r="B88">
        <v>501</v>
      </c>
      <c s="63" r="C88"/>
      <c s="26" r="D88"/>
      <c s="26" r="E88"/>
      <c s="26" r="F88"/>
    </row>
    <row customHeight="1" r="89" ht="15.0">
      <c s="18" r="A89">
        <v>88</v>
      </c>
      <c s="18" r="B89">
        <v>502</v>
      </c>
      <c s="63" r="C89"/>
      <c s="26" r="D89"/>
      <c s="26" r="E89"/>
      <c s="26" r="F89"/>
    </row>
    <row customHeight="1" r="90" ht="15.0">
      <c s="18" r="A90">
        <v>89</v>
      </c>
      <c s="18" r="B90">
        <v>503</v>
      </c>
      <c s="63" r="C90"/>
      <c s="26" r="D90"/>
      <c s="26" r="E90"/>
      <c s="26" r="F90"/>
    </row>
    <row customHeight="1" r="91" ht="15.0">
      <c s="18" r="A91">
        <v>90</v>
      </c>
      <c s="18" r="B91">
        <v>503</v>
      </c>
      <c s="63" r="C91"/>
      <c s="26" r="D91"/>
      <c s="26" r="E91"/>
      <c s="26" r="F91"/>
    </row>
    <row customHeight="1" r="92" ht="15.0">
      <c s="18" r="A92">
        <v>91</v>
      </c>
      <c s="18" r="B92">
        <v>532</v>
      </c>
      <c s="63" r="C92"/>
      <c s="26" r="D92"/>
      <c s="26" r="E92"/>
      <c s="26" r="F92"/>
    </row>
    <row customHeight="1" r="93" ht="15.0">
      <c s="18" r="A93">
        <v>92</v>
      </c>
      <c s="18" r="B93">
        <v>538</v>
      </c>
      <c s="63" r="C93"/>
      <c s="26" r="D93"/>
      <c s="26" r="E93"/>
      <c s="26" r="F93"/>
    </row>
    <row customHeight="1" r="94" ht="15.0">
      <c s="18" r="A94">
        <v>93</v>
      </c>
      <c s="18" r="B94">
        <v>540</v>
      </c>
      <c s="63" r="C94"/>
      <c s="26" r="D94"/>
      <c s="26" r="E94"/>
      <c s="26" r="F94"/>
    </row>
    <row customHeight="1" r="95" ht="15.0">
      <c s="18" r="A95">
        <v>94</v>
      </c>
      <c s="18" r="B95">
        <v>542</v>
      </c>
      <c s="63" r="C95"/>
      <c s="26" r="D95"/>
      <c s="26" r="E95"/>
      <c s="26" r="F95"/>
    </row>
    <row customHeight="1" r="96" ht="15.0">
      <c s="18" r="A96">
        <v>95</v>
      </c>
      <c s="18" r="B96">
        <v>542</v>
      </c>
      <c s="63" r="C96"/>
      <c s="26" r="D96"/>
      <c s="26" r="E96"/>
      <c s="26" r="F96"/>
    </row>
    <row customHeight="1" r="97" ht="15.0">
      <c s="18" r="A97">
        <v>96</v>
      </c>
      <c s="18" r="B97">
        <v>568</v>
      </c>
      <c s="63" r="C97"/>
      <c s="26" r="D97"/>
      <c s="26" r="E97"/>
      <c s="26" r="F97"/>
    </row>
    <row customHeight="1" r="98" ht="15.0">
      <c s="18" r="A98">
        <v>97</v>
      </c>
      <c s="18" r="B98">
        <v>568</v>
      </c>
      <c s="63" r="C98"/>
      <c s="26" r="D98"/>
      <c s="26" r="E98"/>
      <c s="26" r="F98"/>
    </row>
    <row customHeight="1" r="99" ht="15.0">
      <c s="18" r="A99">
        <v>98</v>
      </c>
      <c s="18" r="B99">
        <v>572</v>
      </c>
      <c s="63" r="C99"/>
      <c s="26" r="D99"/>
      <c s="26" r="E99"/>
      <c s="26" r="F99"/>
    </row>
    <row customHeight="1" r="100" ht="15.0">
      <c s="18" r="A100">
        <v>99</v>
      </c>
      <c s="18" r="B100">
        <v>576</v>
      </c>
      <c s="63" r="C100"/>
      <c s="26" r="D100"/>
      <c s="26" r="E100"/>
      <c s="26" r="F100"/>
    </row>
    <row customHeight="1" r="101" ht="15.0">
      <c s="18" r="A101">
        <v>100</v>
      </c>
      <c s="18" r="B101">
        <v>577</v>
      </c>
      <c s="63" r="C101"/>
      <c s="26" r="D101"/>
      <c s="26" r="E101"/>
      <c s="26" r="F101"/>
    </row>
    <row customHeight="1" r="102" ht="15.0">
      <c s="18" r="A102">
        <v>101</v>
      </c>
      <c s="18" r="B102">
        <v>602</v>
      </c>
      <c s="63" r="C102"/>
      <c s="26" r="D102"/>
      <c s="26" r="E102"/>
      <c s="26" r="F102"/>
    </row>
    <row customHeight="1" r="103" ht="15.0">
      <c s="18" r="A103">
        <v>102</v>
      </c>
      <c s="18" r="B103">
        <v>607</v>
      </c>
      <c s="63" r="C103"/>
      <c s="26" r="D103"/>
      <c s="26" r="E103"/>
      <c s="26" r="F103"/>
    </row>
    <row customHeight="1" r="104" ht="15.0">
      <c s="18" r="A104">
        <v>103</v>
      </c>
      <c s="18" r="B104">
        <v>608</v>
      </c>
      <c s="63" r="C104"/>
      <c s="26" r="D104"/>
      <c s="26" r="E104"/>
      <c s="26" r="F104"/>
    </row>
    <row customHeight="1" r="105" ht="15.0">
      <c s="18" r="A105">
        <v>104</v>
      </c>
      <c s="18" r="B105">
        <v>609</v>
      </c>
      <c s="63" r="C105"/>
      <c s="26" r="D105"/>
      <c s="26" r="E105"/>
      <c s="26" r="F105"/>
    </row>
    <row customHeight="1" r="106" ht="15.0">
      <c s="18" r="A106">
        <v>105</v>
      </c>
      <c s="18" r="B106">
        <v>609</v>
      </c>
      <c s="63" r="C106"/>
      <c s="26" r="D106"/>
      <c s="26" r="E106"/>
      <c s="26" r="F106"/>
    </row>
    <row customHeight="1" r="107" ht="15.0">
      <c s="18" r="A107">
        <v>106</v>
      </c>
      <c s="18" r="B107">
        <v>619</v>
      </c>
      <c s="63" r="C107"/>
      <c s="26" r="D107"/>
      <c s="26" r="E107"/>
      <c s="26" r="F107"/>
    </row>
    <row customHeight="1" r="108" ht="15.0">
      <c s="18" r="A108">
        <v>107</v>
      </c>
      <c s="18" r="B108">
        <v>620</v>
      </c>
      <c s="63" r="C108"/>
      <c s="26" r="D108"/>
      <c s="26" r="E108"/>
      <c s="26" r="F108"/>
    </row>
    <row customHeight="1" r="109" ht="15.0">
      <c s="18" r="A109">
        <v>108</v>
      </c>
      <c s="18" r="B109">
        <v>620</v>
      </c>
      <c s="63" r="C109"/>
      <c s="26" r="D109"/>
      <c s="26" r="E109"/>
      <c s="26" r="F109"/>
    </row>
    <row customHeight="1" r="110" ht="15.0">
      <c s="18" r="A110">
        <v>109</v>
      </c>
      <c s="18" r="B110">
        <v>626</v>
      </c>
      <c s="63" r="C110"/>
      <c s="26" r="D110"/>
      <c s="26" r="E110"/>
      <c s="26" r="F110"/>
    </row>
    <row customHeight="1" r="111" ht="15.0">
      <c s="18" r="A111">
        <v>110</v>
      </c>
      <c s="18" r="B111">
        <v>627</v>
      </c>
      <c s="63" r="C111"/>
      <c s="26" r="D111"/>
      <c s="26" r="E111"/>
      <c s="26" r="F111"/>
    </row>
    <row customHeight="1" r="112" ht="15.0">
      <c s="18" r="A112">
        <v>111</v>
      </c>
      <c s="18" r="B112">
        <v>636</v>
      </c>
      <c s="63" r="C112"/>
      <c s="26" r="D112"/>
      <c s="26" r="E112"/>
      <c s="26" r="F112"/>
    </row>
    <row customHeight="1" r="113" ht="15.0">
      <c s="18" r="A113">
        <v>112</v>
      </c>
      <c s="18" r="B113">
        <v>638</v>
      </c>
      <c s="63" r="C113"/>
      <c s="26" r="D113"/>
      <c s="26" r="E113"/>
      <c s="26" r="F113"/>
    </row>
    <row customHeight="1" r="114" ht="15.0">
      <c s="18" r="A114">
        <v>113</v>
      </c>
      <c s="18" r="B114">
        <v>640</v>
      </c>
      <c s="63" r="C114"/>
      <c s="26" r="D114"/>
      <c s="26" r="E114"/>
      <c s="26" r="F114"/>
    </row>
    <row customHeight="1" r="115" ht="15.0">
      <c s="18" r="A115">
        <v>114</v>
      </c>
      <c s="18" r="B115">
        <v>641</v>
      </c>
      <c s="63" r="C115"/>
      <c s="26" r="D115"/>
      <c s="26" r="E115"/>
      <c s="26" r="F115"/>
    </row>
    <row customHeight="1" r="116" ht="15.0">
      <c s="18" r="A116">
        <v>115</v>
      </c>
      <c s="18" r="B116">
        <v>642</v>
      </c>
      <c s="63" r="C116"/>
      <c s="26" r="D116"/>
      <c s="26" r="E116"/>
      <c s="26" r="F116"/>
    </row>
    <row customHeight="1" r="117" ht="15.0">
      <c s="18" r="A117">
        <v>116</v>
      </c>
      <c s="18" r="B117">
        <v>650</v>
      </c>
      <c s="63" r="C117"/>
      <c s="26" r="D117"/>
      <c s="26" r="E117"/>
      <c s="26" r="F117"/>
    </row>
    <row customHeight="1" r="118" ht="15.0">
      <c s="18" r="A118">
        <v>117</v>
      </c>
      <c s="18" r="B118">
        <v>652</v>
      </c>
      <c s="63" r="C118"/>
      <c s="26" r="D118"/>
      <c s="26" r="E118"/>
      <c s="26" r="F118"/>
    </row>
    <row customHeight="1" r="119" ht="15.0">
      <c s="18" r="A119">
        <v>118</v>
      </c>
      <c s="18" r="B119">
        <v>652</v>
      </c>
      <c s="63" r="C119"/>
      <c s="26" r="D119"/>
      <c s="26" r="E119"/>
      <c s="26" r="F119"/>
    </row>
    <row customHeight="1" r="120" ht="15.0">
      <c s="18" r="A120">
        <v>119</v>
      </c>
      <c s="18" r="B120">
        <v>652</v>
      </c>
      <c s="63" r="C120"/>
      <c s="26" r="D120"/>
      <c s="26" r="E120"/>
      <c s="26" r="F120"/>
    </row>
    <row customHeight="1" r="121" ht="15.0">
      <c s="18" r="A121">
        <v>120</v>
      </c>
      <c s="18" r="B121">
        <v>652</v>
      </c>
      <c s="63" r="C121"/>
      <c s="26" r="D121"/>
      <c s="26" r="E121"/>
      <c s="26" r="F121"/>
    </row>
    <row customHeight="1" r="122" ht="15.0">
      <c s="18" r="A122">
        <v>121</v>
      </c>
      <c s="18" r="B122">
        <v>657</v>
      </c>
      <c s="63" r="C122"/>
      <c s="26" r="D122"/>
      <c s="26" r="E122"/>
      <c s="26" r="F122"/>
    </row>
    <row customHeight="1" r="123" ht="15.0">
      <c s="18" r="A123">
        <v>122</v>
      </c>
      <c s="18" r="B123">
        <v>657</v>
      </c>
      <c s="63" r="C123"/>
      <c s="26" r="D123"/>
      <c s="26" r="E123"/>
      <c s="26" r="F123"/>
    </row>
    <row customHeight="1" r="124" ht="15.0">
      <c s="18" r="A124">
        <v>123</v>
      </c>
      <c s="18" r="B124">
        <v>657</v>
      </c>
      <c s="63" r="C124"/>
      <c s="26" r="D124"/>
      <c s="26" r="E124"/>
      <c s="26" r="F124"/>
    </row>
    <row customHeight="1" r="125" ht="15.0">
      <c s="18" r="A125">
        <v>124</v>
      </c>
      <c s="18" r="B125">
        <v>657</v>
      </c>
      <c s="63" r="C125"/>
      <c s="26" r="D125"/>
      <c s="26" r="E125"/>
      <c s="26" r="F125"/>
    </row>
    <row customHeight="1" r="126" ht="15.0">
      <c s="18" r="A126">
        <v>125</v>
      </c>
      <c s="18" r="B126">
        <v>657</v>
      </c>
      <c s="63" r="C126"/>
      <c s="26" r="D126"/>
      <c s="26" r="E126"/>
      <c s="26" r="F126"/>
    </row>
    <row customHeight="1" r="127" ht="15.0">
      <c s="18" r="A127">
        <v>126</v>
      </c>
      <c s="18" r="B127">
        <v>660</v>
      </c>
      <c s="63" r="C127"/>
      <c s="26" r="D127"/>
      <c s="26" r="E127"/>
      <c s="26" r="F127"/>
    </row>
    <row customHeight="1" r="128" ht="15.0">
      <c s="18" r="A128">
        <v>127</v>
      </c>
      <c s="18" r="B128">
        <v>660</v>
      </c>
      <c s="63" r="C128"/>
      <c s="26" r="D128"/>
      <c s="26" r="E128"/>
      <c s="26" r="F128"/>
    </row>
    <row customHeight="1" r="129" ht="15.0">
      <c s="18" r="A129">
        <v>128</v>
      </c>
      <c s="18" r="B129">
        <v>661</v>
      </c>
      <c s="63" r="C129"/>
      <c s="26" r="D129"/>
      <c s="26" r="E129"/>
      <c s="26" r="F129"/>
    </row>
    <row customHeight="1" r="130" ht="15.0">
      <c s="18" r="A130">
        <v>129</v>
      </c>
      <c s="18" r="B130">
        <v>662</v>
      </c>
      <c s="63" r="C130"/>
      <c s="26" r="D130"/>
      <c s="26" r="E130"/>
      <c s="26" r="F130"/>
    </row>
    <row customHeight="1" r="131" ht="15.0">
      <c s="18" r="A131">
        <v>130</v>
      </c>
      <c s="18" r="B131">
        <v>662</v>
      </c>
      <c s="63" r="C131"/>
      <c s="26" r="D131"/>
      <c s="26" r="E131"/>
      <c s="26" r="F131"/>
    </row>
    <row customHeight="1" r="132" ht="15.0">
      <c s="18" r="A132">
        <v>131</v>
      </c>
      <c s="18" r="B132">
        <v>666</v>
      </c>
      <c s="63" r="C132"/>
      <c s="26" r="D132"/>
      <c s="26" r="E132"/>
      <c s="26" r="F132"/>
    </row>
    <row customHeight="1" r="133" ht="15.0">
      <c s="18" r="A133">
        <v>132</v>
      </c>
      <c s="18" r="B133">
        <v>666</v>
      </c>
      <c s="63" r="C133"/>
      <c s="26" r="D133"/>
      <c s="26" r="E133"/>
      <c s="26" r="F133"/>
    </row>
    <row customHeight="1" r="134" ht="15.0">
      <c s="18" r="A134">
        <v>133</v>
      </c>
      <c s="18" r="B134">
        <v>666</v>
      </c>
      <c s="63" r="C134"/>
      <c s="26" r="D134"/>
      <c s="26" r="E134"/>
      <c s="26" r="F134"/>
    </row>
    <row customHeight="1" r="135" ht="15.0">
      <c s="18" r="A135">
        <v>134</v>
      </c>
      <c s="18" r="B135">
        <v>666</v>
      </c>
      <c s="63" r="C135"/>
      <c s="26" r="D135"/>
      <c s="26" r="E135"/>
      <c s="26" r="F135"/>
    </row>
    <row customHeight="1" r="136" ht="15.0">
      <c s="18" r="A136">
        <v>135</v>
      </c>
      <c s="18" r="B136">
        <v>666</v>
      </c>
      <c s="63" r="C136"/>
      <c s="26" r="D136"/>
      <c s="26" r="E136"/>
      <c s="26" r="F136"/>
    </row>
    <row customHeight="1" r="137" ht="15.0">
      <c s="18" r="A137">
        <v>136</v>
      </c>
      <c s="18" r="B137">
        <v>666</v>
      </c>
      <c s="63" r="C137"/>
      <c s="26" r="D137"/>
      <c s="26" r="E137"/>
      <c s="26" r="F137"/>
    </row>
    <row customHeight="1" r="138" ht="15.0">
      <c s="18" r="A138">
        <v>137</v>
      </c>
      <c s="18" r="B138">
        <v>666</v>
      </c>
      <c s="63" r="C138"/>
      <c s="26" r="D138"/>
      <c s="26" r="E138"/>
      <c s="26" r="F138"/>
    </row>
    <row customHeight="1" r="139" ht="15.0">
      <c s="18" r="A139">
        <v>138</v>
      </c>
      <c s="18" r="B139">
        <v>666</v>
      </c>
      <c s="63" r="C139"/>
      <c s="26" r="D139"/>
      <c s="26" r="E139"/>
      <c s="26" r="F139"/>
    </row>
    <row customHeight="1" r="140" ht="15.0">
      <c s="18" r="A140">
        <v>139</v>
      </c>
      <c s="18" r="B140">
        <v>666</v>
      </c>
      <c s="63" r="C140"/>
      <c s="26" r="D140"/>
      <c s="26" r="E140"/>
      <c s="26" r="F140"/>
    </row>
    <row customHeight="1" r="141" ht="15.0">
      <c s="18" r="A141">
        <v>140</v>
      </c>
      <c s="18" r="B141">
        <v>666</v>
      </c>
      <c s="63" r="C141"/>
      <c s="26" r="D141"/>
      <c s="26" r="E141"/>
      <c s="26" r="F141"/>
    </row>
    <row customHeight="1" r="142" ht="15.0">
      <c s="18" r="A142">
        <v>141</v>
      </c>
      <c s="18" r="B142">
        <v>667</v>
      </c>
      <c s="63" r="C142"/>
      <c s="26" r="D142"/>
      <c s="26" r="E142"/>
      <c s="26" r="F142"/>
    </row>
    <row customHeight="1" r="143" ht="15.0">
      <c s="18" r="A143">
        <v>142</v>
      </c>
      <c s="18" r="B143">
        <v>667</v>
      </c>
      <c s="63" r="C143"/>
      <c s="26" r="D143"/>
      <c s="26" r="E143"/>
      <c s="26" r="F143"/>
    </row>
    <row customHeight="1" r="144" ht="15.0">
      <c s="18" r="A144">
        <v>143</v>
      </c>
      <c s="18" r="B144">
        <v>667</v>
      </c>
      <c s="63" r="C144"/>
      <c s="26" r="D144"/>
      <c s="26" r="E144"/>
      <c s="26" r="F144"/>
    </row>
    <row customHeight="1" r="145" ht="15.0">
      <c s="18" r="A145">
        <v>144</v>
      </c>
      <c s="18" r="B145">
        <v>667</v>
      </c>
      <c s="63" r="C145"/>
      <c s="26" r="D145"/>
      <c s="26" r="E145"/>
      <c s="26" r="F145"/>
    </row>
    <row customHeight="1" r="146" ht="15.0">
      <c s="18" r="A146">
        <v>145</v>
      </c>
      <c s="18" r="B146">
        <v>667</v>
      </c>
      <c s="63" r="C146"/>
      <c s="26" r="D146"/>
      <c s="26" r="E146"/>
      <c s="26" r="F146"/>
    </row>
    <row customHeight="1" r="147" ht="15.0">
      <c s="18" r="A147">
        <v>146</v>
      </c>
      <c s="18" r="B147">
        <v>668</v>
      </c>
      <c s="63" r="C147"/>
      <c s="26" r="D147"/>
      <c s="26" r="E147"/>
      <c s="26" r="F147"/>
    </row>
    <row customHeight="1" r="148" ht="15.0">
      <c s="18" r="A148">
        <v>147</v>
      </c>
      <c s="18" r="B148">
        <v>668</v>
      </c>
      <c s="63" r="C148"/>
      <c s="26" r="D148"/>
      <c s="26" r="E148"/>
      <c s="26" r="F148"/>
    </row>
    <row customHeight="1" r="149" ht="15.0">
      <c s="18" r="A149">
        <v>148</v>
      </c>
      <c s="18" r="B149">
        <v>668</v>
      </c>
      <c s="63" r="C149"/>
      <c s="26" r="D149"/>
      <c s="26" r="E149"/>
      <c s="26" r="F149"/>
    </row>
    <row customHeight="1" r="150" ht="15.0">
      <c s="18" r="A150">
        <v>149</v>
      </c>
      <c s="18" r="B150">
        <v>668</v>
      </c>
      <c s="63" r="C150"/>
      <c s="26" r="D150"/>
      <c s="26" r="E150"/>
      <c s="26" r="F150"/>
    </row>
    <row customHeight="1" r="151" ht="15.0">
      <c s="18" r="A151">
        <v>150</v>
      </c>
      <c s="18" r="B151">
        <v>668</v>
      </c>
      <c s="63" r="C151"/>
      <c s="26" r="D151"/>
      <c s="26" r="E151"/>
      <c s="26" r="F151"/>
    </row>
    <row customHeight="1" r="152" ht="15.0">
      <c s="18" r="A152">
        <v>151</v>
      </c>
      <c s="18" r="B152">
        <v>670</v>
      </c>
      <c s="63" r="C152"/>
      <c s="26" r="D152"/>
      <c s="26" r="E152"/>
      <c s="26" r="F152"/>
    </row>
    <row customHeight="1" r="153" ht="15.0">
      <c s="18" r="A153">
        <v>152</v>
      </c>
      <c s="18" r="B153">
        <v>670</v>
      </c>
      <c s="63" r="C153"/>
      <c s="26" r="D153"/>
      <c s="26" r="E153"/>
      <c s="26" r="F153"/>
    </row>
    <row customHeight="1" r="154" ht="15.0">
      <c s="18" r="A154">
        <v>153</v>
      </c>
      <c s="18" r="B154">
        <v>670</v>
      </c>
      <c s="63" r="C154"/>
      <c s="26" r="D154"/>
      <c s="26" r="E154"/>
      <c s="26" r="F154"/>
    </row>
    <row customHeight="1" r="155" ht="15.0">
      <c s="18" r="A155">
        <v>154</v>
      </c>
      <c s="18" r="B155">
        <v>670</v>
      </c>
      <c s="63" r="C155"/>
      <c s="26" r="D155"/>
      <c s="26" r="E155"/>
      <c s="26" r="F155"/>
    </row>
    <row customHeight="1" r="156" ht="15.0">
      <c s="18" r="A156">
        <v>155</v>
      </c>
      <c s="18" r="B156">
        <v>670</v>
      </c>
      <c s="63" r="C156"/>
      <c s="26" r="D156"/>
      <c s="26" r="E156"/>
      <c s="26" r="F156"/>
    </row>
    <row customHeight="1" r="157" ht="15.0">
      <c s="18" r="A157">
        <v>156</v>
      </c>
      <c s="18" r="B157">
        <v>670</v>
      </c>
      <c s="63" r="C157"/>
      <c s="26" r="D157"/>
      <c s="26" r="E157"/>
      <c s="26" r="F157"/>
    </row>
    <row customHeight="1" r="158" ht="15.0">
      <c s="18" r="A158">
        <v>157</v>
      </c>
      <c s="18" r="B158">
        <v>670</v>
      </c>
      <c s="63" r="C158"/>
      <c s="26" r="D158"/>
      <c s="26" r="E158"/>
      <c s="26" r="F158"/>
    </row>
    <row customHeight="1" r="159" ht="15.0">
      <c s="18" r="A159">
        <v>158</v>
      </c>
      <c s="18" r="B159">
        <v>670</v>
      </c>
      <c s="63" r="C159"/>
      <c s="26" r="D159"/>
      <c s="26" r="E159"/>
      <c s="26" r="F159"/>
    </row>
    <row customHeight="1" r="160" ht="15.0">
      <c s="18" r="A160">
        <v>159</v>
      </c>
      <c s="18" r="B160">
        <v>670</v>
      </c>
      <c s="63" r="C160"/>
      <c s="26" r="D160"/>
      <c s="26" r="E160"/>
      <c s="26" r="F160"/>
    </row>
    <row customHeight="1" r="161" ht="15.0">
      <c s="18" r="A161">
        <v>160</v>
      </c>
      <c s="18" r="B161">
        <v>670</v>
      </c>
      <c s="63" r="C161"/>
      <c s="26" r="D161"/>
      <c s="26" r="E161"/>
      <c s="26" r="F161"/>
    </row>
    <row customHeight="1" r="162" ht="15.0">
      <c s="18" r="A162">
        <v>161</v>
      </c>
      <c s="18" r="B162">
        <v>671</v>
      </c>
      <c s="63" r="C162"/>
      <c s="26" r="D162"/>
      <c s="26" r="E162"/>
      <c s="26" r="F162"/>
    </row>
    <row customHeight="1" r="163" ht="15.0">
      <c s="18" r="A163">
        <v>162</v>
      </c>
      <c s="18" r="B163">
        <v>671</v>
      </c>
      <c s="63" r="C163"/>
      <c s="26" r="D163"/>
      <c s="26" r="E163"/>
      <c s="26" r="F163"/>
    </row>
    <row customHeight="1" r="164" ht="15.0">
      <c s="18" r="A164">
        <v>163</v>
      </c>
      <c s="18" r="B164">
        <v>671</v>
      </c>
      <c s="63" r="C164"/>
      <c s="26" r="D164"/>
      <c s="26" r="E164"/>
      <c s="26" r="F164"/>
    </row>
    <row customHeight="1" r="165" ht="15.0">
      <c s="18" r="A165">
        <v>164</v>
      </c>
      <c s="18" r="B165">
        <v>671</v>
      </c>
      <c s="63" r="C165"/>
      <c s="26" r="D165"/>
      <c s="26" r="E165"/>
      <c s="26" r="F165"/>
    </row>
    <row customHeight="1" r="166" ht="15.0">
      <c s="18" r="A166">
        <v>165</v>
      </c>
      <c s="18" r="B166">
        <v>671</v>
      </c>
      <c s="63" r="C166"/>
      <c s="26" r="D166"/>
      <c s="26" r="E166"/>
      <c s="26" r="F166"/>
    </row>
    <row customHeight="1" r="167" ht="15.0">
      <c s="18" r="A167">
        <v>166</v>
      </c>
      <c s="18" r="B167">
        <v>671</v>
      </c>
      <c s="63" r="C167"/>
      <c s="26" r="D167"/>
      <c s="26" r="E167"/>
      <c s="26" r="F167"/>
    </row>
    <row customHeight="1" r="168" ht="15.0">
      <c s="18" r="A168">
        <v>167</v>
      </c>
      <c s="18" r="B168">
        <v>671</v>
      </c>
      <c s="63" r="C168"/>
      <c s="26" r="D168"/>
      <c s="26" r="E168"/>
      <c s="26" r="F168"/>
    </row>
    <row customHeight="1" r="169" ht="15.0">
      <c s="18" r="A169">
        <v>168</v>
      </c>
      <c s="18" r="B169">
        <v>671</v>
      </c>
      <c s="63" r="C169"/>
      <c s="26" r="D169"/>
      <c s="26" r="E169"/>
      <c s="26" r="F169"/>
    </row>
    <row customHeight="1" r="170" ht="15.0">
      <c s="18" r="A170">
        <v>169</v>
      </c>
      <c s="18" r="B170">
        <v>671</v>
      </c>
      <c s="63" r="C170"/>
      <c s="26" r="D170"/>
      <c s="26" r="E170"/>
      <c s="26" r="F170"/>
    </row>
    <row customHeight="1" r="171" ht="15.0">
      <c s="18" r="A171">
        <v>170</v>
      </c>
      <c s="18" r="B171">
        <v>671</v>
      </c>
      <c s="63" r="C171"/>
      <c s="26" r="D171"/>
      <c s="26" r="E171"/>
      <c s="26" r="F171"/>
    </row>
    <row customHeight="1" r="172" ht="15.0">
      <c s="18" r="A172">
        <v>171</v>
      </c>
      <c s="18" r="B172">
        <v>671</v>
      </c>
      <c s="63" r="C172"/>
      <c s="26" r="D172"/>
      <c s="26" r="E172"/>
      <c s="26" r="F172"/>
    </row>
    <row customHeight="1" r="173" ht="15.0">
      <c s="18" r="A173">
        <v>172</v>
      </c>
      <c s="18" r="B173">
        <v>671</v>
      </c>
      <c s="63" r="C173"/>
      <c s="26" r="D173"/>
      <c s="26" r="E173"/>
      <c s="26" r="F173"/>
    </row>
    <row customHeight="1" r="174" ht="15.0">
      <c s="18" r="A174">
        <v>173</v>
      </c>
      <c s="18" r="B174">
        <v>671</v>
      </c>
      <c s="63" r="C174"/>
      <c s="26" r="D174"/>
      <c s="26" r="E174"/>
      <c s="26" r="F174"/>
    </row>
    <row customHeight="1" r="175" ht="15.0">
      <c s="18" r="A175">
        <v>174</v>
      </c>
      <c s="18" r="B175">
        <v>671</v>
      </c>
      <c s="63" r="C175"/>
      <c s="26" r="D175"/>
      <c s="26" r="E175"/>
      <c s="26" r="F175"/>
    </row>
    <row customHeight="1" r="176" ht="15.0">
      <c s="18" r="A176">
        <v>175</v>
      </c>
      <c s="18" r="B176">
        <v>671</v>
      </c>
      <c s="63" r="C176"/>
      <c s="26" r="D176"/>
      <c s="26" r="E176"/>
      <c s="26" r="F176"/>
    </row>
    <row customHeight="1" r="177" ht="15.0">
      <c s="18" r="A177">
        <v>176</v>
      </c>
      <c s="18" r="B177">
        <v>671</v>
      </c>
      <c s="63" r="C177"/>
      <c s="26" r="D177"/>
      <c s="26" r="E177"/>
      <c s="26" r="F177"/>
    </row>
    <row customHeight="1" r="178" ht="15.0">
      <c s="18" r="A178">
        <v>177</v>
      </c>
      <c s="18" r="B178">
        <v>671</v>
      </c>
      <c s="63" r="C178"/>
      <c s="26" r="D178"/>
      <c s="26" r="E178"/>
      <c s="26" r="F178"/>
    </row>
    <row customHeight="1" r="179" ht="15.0">
      <c s="18" r="A179">
        <v>178</v>
      </c>
      <c s="18" r="B179">
        <v>671</v>
      </c>
      <c s="63" r="C179"/>
      <c s="26" r="D179"/>
      <c s="26" r="E179"/>
      <c s="26" r="F179"/>
    </row>
    <row customHeight="1" r="180" ht="15.0">
      <c s="18" r="A180">
        <v>179</v>
      </c>
      <c s="18" r="B180">
        <v>671</v>
      </c>
      <c s="63" r="C180"/>
      <c s="26" r="D180"/>
      <c s="26" r="E180"/>
      <c s="26" r="F180"/>
    </row>
    <row customHeight="1" r="181" ht="15.0">
      <c s="18" r="A181">
        <v>180</v>
      </c>
      <c s="18" r="B181">
        <v>671</v>
      </c>
      <c s="63" r="C181"/>
      <c s="26" r="D181"/>
      <c s="26" r="E181"/>
      <c s="26" r="F181"/>
    </row>
    <row customHeight="1" r="182" ht="15.0">
      <c s="18" r="A182">
        <v>181</v>
      </c>
      <c s="18" r="B182">
        <v>672</v>
      </c>
      <c s="63" r="C182"/>
      <c s="26" r="D182"/>
      <c s="26" r="E182"/>
      <c s="26" r="F182"/>
    </row>
    <row customHeight="1" r="183" ht="15.0">
      <c s="18" r="A183">
        <v>182</v>
      </c>
      <c s="18" r="B183">
        <v>672</v>
      </c>
      <c s="63" r="C183"/>
      <c s="26" r="D183"/>
      <c s="26" r="E183"/>
      <c s="26" r="F183"/>
    </row>
    <row customHeight="1" r="184" ht="15.0">
      <c s="18" r="A184">
        <v>183</v>
      </c>
      <c s="18" r="B184">
        <v>672</v>
      </c>
      <c s="63" r="C184"/>
      <c s="26" r="D184"/>
      <c s="26" r="E184"/>
      <c s="26" r="F184"/>
    </row>
    <row customHeight="1" r="185" ht="15.0">
      <c s="18" r="A185">
        <v>184</v>
      </c>
      <c s="18" r="B185">
        <v>672</v>
      </c>
      <c s="63" r="C185"/>
      <c s="26" r="D185"/>
      <c s="26" r="E185"/>
      <c s="26" r="F185"/>
    </row>
    <row customHeight="1" r="186" ht="15.0">
      <c s="18" r="A186">
        <v>185</v>
      </c>
      <c s="18" r="B186">
        <v>672</v>
      </c>
      <c s="63" r="C186"/>
      <c s="26" r="D186"/>
      <c s="26" r="E186"/>
      <c s="26" r="F186"/>
    </row>
    <row customHeight="1" r="187" ht="15.0">
      <c s="18" r="A187">
        <v>186</v>
      </c>
      <c s="18" r="B187">
        <v>672</v>
      </c>
      <c s="63" r="C187"/>
      <c s="26" r="D187"/>
      <c s="26" r="E187"/>
      <c s="26" r="F187"/>
    </row>
    <row customHeight="1" r="188" ht="15.0">
      <c s="18" r="A188">
        <v>187</v>
      </c>
      <c s="18" r="B188">
        <v>672</v>
      </c>
      <c s="63" r="C188"/>
      <c s="26" r="D188"/>
      <c s="26" r="E188"/>
      <c s="26" r="F188"/>
    </row>
    <row customHeight="1" r="189" ht="15.0">
      <c s="18" r="A189">
        <v>188</v>
      </c>
      <c s="18" r="B189">
        <v>672</v>
      </c>
      <c s="63" r="C189"/>
      <c s="26" r="D189"/>
      <c s="26" r="E189"/>
      <c s="26" r="F189"/>
    </row>
    <row customHeight="1" r="190" ht="15.0">
      <c s="18" r="A190">
        <v>189</v>
      </c>
      <c s="18" r="B190">
        <v>672</v>
      </c>
      <c s="63" r="C190"/>
      <c s="26" r="D190"/>
      <c s="26" r="E190"/>
      <c s="26" r="F190"/>
    </row>
    <row customHeight="1" r="191" ht="15.0">
      <c s="18" r="A191">
        <v>190</v>
      </c>
      <c s="18" r="B191">
        <v>672</v>
      </c>
      <c s="63" r="C191"/>
      <c s="26" r="D191"/>
      <c s="26" r="E191"/>
      <c s="26" r="F191"/>
    </row>
    <row customHeight="1" r="192" ht="15.0">
      <c s="18" r="A192">
        <v>191</v>
      </c>
      <c s="18" r="B192">
        <v>672</v>
      </c>
      <c s="63" r="C192"/>
      <c s="26" r="D192"/>
      <c s="26" r="E192"/>
      <c s="26" r="F192"/>
    </row>
    <row customHeight="1" r="193" ht="15.0">
      <c s="18" r="A193">
        <v>192</v>
      </c>
      <c s="18" r="B193">
        <v>672</v>
      </c>
      <c s="63" r="C193"/>
      <c s="26" r="D193"/>
      <c s="26" r="E193"/>
      <c s="26" r="F193"/>
    </row>
    <row customHeight="1" r="194" ht="15.0">
      <c s="18" r="A194">
        <v>193</v>
      </c>
      <c s="18" r="B194">
        <v>672</v>
      </c>
      <c s="63" r="C194"/>
      <c s="26" r="D194"/>
      <c s="26" r="E194"/>
      <c s="26" r="F194"/>
    </row>
    <row customHeight="1" r="195" ht="15.0">
      <c s="18" r="A195">
        <v>194</v>
      </c>
      <c s="18" r="B195">
        <v>672</v>
      </c>
      <c s="63" r="C195"/>
      <c s="26" r="D195"/>
      <c s="26" r="E195"/>
      <c s="26" r="F195"/>
    </row>
    <row customHeight="1" r="196" ht="15.0">
      <c s="18" r="A196">
        <v>195</v>
      </c>
      <c s="18" r="B196">
        <v>672</v>
      </c>
      <c s="63" r="C196"/>
      <c s="26" r="D196"/>
      <c s="26" r="E196"/>
      <c s="26" r="F196"/>
    </row>
    <row customHeight="1" r="197" ht="15.0">
      <c s="18" r="A197">
        <v>196</v>
      </c>
      <c s="18" r="B197">
        <v>672</v>
      </c>
      <c s="63" r="C197"/>
      <c s="26" r="D197"/>
      <c s="26" r="E197"/>
      <c s="26" r="F197"/>
    </row>
    <row customHeight="1" r="198" ht="15.0">
      <c s="18" r="A198">
        <v>197</v>
      </c>
      <c s="18" r="B198">
        <v>672</v>
      </c>
      <c s="63" r="C198"/>
      <c s="26" r="D198"/>
      <c s="26" r="E198"/>
      <c s="26" r="F198"/>
    </row>
    <row customHeight="1" r="199" ht="15.0">
      <c s="18" r="A199">
        <v>198</v>
      </c>
      <c s="18" r="B199">
        <v>672</v>
      </c>
      <c s="63" r="C199"/>
      <c s="26" r="D199"/>
      <c s="26" r="E199"/>
      <c s="26" r="F199"/>
    </row>
    <row customHeight="1" r="200" ht="15.0">
      <c s="18" r="A200">
        <v>199</v>
      </c>
      <c s="18" r="B200">
        <v>672</v>
      </c>
      <c s="63" r="C200"/>
      <c s="26" r="D200"/>
      <c s="26" r="E200"/>
      <c s="26" r="F200"/>
    </row>
    <row customHeight="1" r="201" ht="15.0">
      <c s="18" r="A201">
        <v>200</v>
      </c>
      <c s="18" r="B201">
        <v>672</v>
      </c>
      <c s="63" r="C201"/>
      <c s="26" r="D201"/>
      <c s="26" r="E201"/>
      <c s="26" r="F201"/>
    </row>
    <row customHeight="1" r="202" ht="15.0">
      <c s="18" r="A202">
        <v>201</v>
      </c>
      <c s="18" r="B202">
        <v>672</v>
      </c>
      <c s="63" r="C202"/>
      <c s="26" r="D202"/>
      <c s="26" r="E202"/>
      <c s="26" r="F202"/>
    </row>
    <row customHeight="1" r="203" ht="15.0">
      <c s="18" r="A203">
        <v>202</v>
      </c>
      <c s="18" r="B203">
        <v>672</v>
      </c>
      <c s="63" r="C203"/>
      <c s="26" r="D203"/>
      <c s="26" r="E203"/>
      <c s="26" r="F203"/>
    </row>
    <row customHeight="1" r="204" ht="15.0">
      <c s="18" r="A204">
        <v>203</v>
      </c>
      <c s="18" r="B204">
        <v>672</v>
      </c>
      <c s="63" r="C204"/>
      <c s="26" r="D204"/>
      <c s="26" r="E204"/>
      <c s="26" r="F204"/>
    </row>
    <row customHeight="1" r="205" ht="15.0">
      <c s="18" r="A205">
        <v>204</v>
      </c>
      <c s="18" r="B205">
        <v>672</v>
      </c>
      <c s="63" r="C205"/>
      <c s="26" r="D205"/>
      <c s="26" r="E205"/>
      <c s="26" r="F205"/>
    </row>
    <row customHeight="1" r="206" ht="15.0">
      <c s="18" r="A206">
        <v>205</v>
      </c>
      <c s="18" r="B206">
        <v>672</v>
      </c>
      <c s="63" r="C206"/>
      <c s="26" r="D206"/>
      <c s="26" r="E206"/>
      <c s="26" r="F206"/>
    </row>
    <row customHeight="1" r="207" ht="15.0">
      <c s="18" r="A207">
        <v>206</v>
      </c>
      <c s="18" r="B207">
        <v>672</v>
      </c>
      <c s="63" r="C207"/>
      <c s="26" r="D207"/>
      <c s="26" r="E207"/>
      <c s="26" r="F207"/>
    </row>
    <row customHeight="1" r="208" ht="15.0">
      <c s="18" r="A208">
        <v>207</v>
      </c>
      <c s="18" r="B208">
        <v>672</v>
      </c>
      <c s="63" r="C208"/>
      <c s="26" r="D208"/>
      <c s="26" r="E208"/>
      <c s="26" r="F208"/>
    </row>
    <row customHeight="1" r="209" ht="15.0">
      <c s="18" r="A209">
        <v>208</v>
      </c>
      <c s="18" r="B209">
        <v>672</v>
      </c>
      <c s="63" r="C209"/>
      <c s="26" r="D209"/>
      <c s="26" r="E209"/>
      <c s="26" r="F209"/>
    </row>
    <row customHeight="1" r="210" ht="15.0">
      <c s="18" r="A210">
        <v>209</v>
      </c>
      <c s="18" r="B210">
        <v>672</v>
      </c>
      <c s="63" r="C210"/>
      <c s="26" r="D210"/>
      <c s="26" r="E210"/>
      <c s="26" r="F210"/>
    </row>
    <row customHeight="1" r="211" ht="15.0">
      <c s="18" r="A211">
        <v>210</v>
      </c>
      <c s="18" r="B211">
        <v>672</v>
      </c>
      <c s="63" r="C211"/>
      <c s="26" r="D211"/>
      <c s="26" r="E211"/>
      <c s="26" r="F211"/>
    </row>
    <row customHeight="1" r="212" ht="15.0">
      <c s="18" r="A212">
        <v>211</v>
      </c>
      <c s="18" r="B212">
        <v>672</v>
      </c>
      <c s="63" r="C212"/>
      <c s="26" r="D212"/>
      <c s="26" r="E212"/>
      <c s="26" r="F212"/>
    </row>
    <row customHeight="1" r="213" ht="15.0">
      <c s="18" r="A213">
        <v>212</v>
      </c>
      <c s="18" r="B213">
        <v>672</v>
      </c>
      <c s="63" r="C213"/>
      <c s="26" r="D213"/>
      <c s="26" r="E213"/>
      <c s="26" r="F213"/>
    </row>
    <row customHeight="1" r="214" ht="15.0">
      <c s="18" r="A214">
        <v>213</v>
      </c>
      <c s="18" r="B214">
        <v>672</v>
      </c>
      <c s="63" r="C214"/>
      <c s="26" r="D214"/>
      <c s="26" r="E214"/>
      <c s="26" r="F214"/>
    </row>
    <row customHeight="1" r="215" ht="15.0">
      <c s="18" r="A215">
        <v>214</v>
      </c>
      <c s="18" r="B215">
        <v>672</v>
      </c>
      <c s="63" r="C215"/>
      <c s="26" r="D215"/>
      <c s="26" r="E215"/>
      <c s="26" r="F215"/>
    </row>
    <row customHeight="1" r="216" ht="15.0">
      <c s="18" r="A216">
        <v>215</v>
      </c>
      <c s="18" r="B216">
        <v>672</v>
      </c>
      <c s="63" r="C216"/>
      <c s="26" r="D216"/>
      <c s="26" r="E216"/>
      <c s="26" r="F216"/>
    </row>
    <row customHeight="1" r="217" ht="15.0">
      <c s="18" r="A217">
        <v>216</v>
      </c>
      <c s="18" r="B217">
        <v>672</v>
      </c>
      <c s="63" r="C217"/>
      <c s="26" r="D217"/>
      <c s="26" r="E217"/>
      <c s="26" r="F217"/>
    </row>
    <row customHeight="1" r="218" ht="15.0">
      <c s="18" r="A218">
        <v>217</v>
      </c>
      <c s="18" r="B218">
        <v>672</v>
      </c>
      <c s="63" r="C218"/>
      <c s="26" r="D218"/>
      <c s="26" r="E218"/>
      <c s="26" r="F218"/>
    </row>
    <row customHeight="1" r="219" ht="15.0">
      <c s="18" r="A219">
        <v>218</v>
      </c>
      <c s="18" r="B219">
        <v>672</v>
      </c>
      <c s="63" r="C219"/>
      <c s="26" r="D219"/>
      <c s="26" r="E219"/>
      <c s="26" r="F219"/>
    </row>
    <row customHeight="1" r="220" ht="15.0">
      <c s="18" r="A220">
        <v>219</v>
      </c>
      <c s="18" r="B220">
        <v>672</v>
      </c>
      <c s="63" r="C220"/>
      <c s="26" r="D220"/>
      <c s="26" r="E220"/>
      <c s="26" r="F220"/>
    </row>
    <row customHeight="1" r="221" ht="15.0">
      <c s="18" r="A221">
        <v>220</v>
      </c>
      <c s="18" r="B221">
        <v>672</v>
      </c>
      <c s="63" r="C221"/>
      <c s="26" r="D221"/>
      <c s="26" r="E221"/>
      <c s="26" r="F221"/>
    </row>
    <row customHeight="1" r="222" ht="15.0">
      <c s="18" r="A222">
        <v>221</v>
      </c>
      <c s="18" r="B222">
        <v>672</v>
      </c>
      <c s="63" r="C222"/>
      <c s="26" r="D222"/>
      <c s="26" r="E222"/>
      <c s="26" r="F222"/>
    </row>
    <row customHeight="1" r="223" ht="15.0">
      <c s="18" r="A223">
        <v>222</v>
      </c>
      <c s="18" r="B223">
        <v>672</v>
      </c>
      <c s="63" r="C223"/>
      <c s="26" r="D223"/>
      <c s="26" r="E223"/>
      <c s="26" r="F223"/>
    </row>
    <row customHeight="1" r="224" ht="15.0">
      <c s="18" r="A224">
        <v>223</v>
      </c>
      <c s="18" r="B224">
        <v>672</v>
      </c>
      <c s="63" r="C224"/>
      <c s="26" r="D224"/>
      <c s="26" r="E224"/>
      <c s="26" r="F224"/>
    </row>
    <row customHeight="1" r="225" ht="15.0">
      <c s="18" r="A225">
        <v>224</v>
      </c>
      <c s="18" r="B225">
        <v>672</v>
      </c>
      <c s="63" r="C225"/>
      <c s="26" r="D225"/>
      <c s="26" r="E225"/>
      <c s="26" r="F225"/>
    </row>
    <row customHeight="1" r="226" ht="15.0">
      <c s="18" r="A226">
        <v>225</v>
      </c>
      <c s="18" r="B226">
        <v>672</v>
      </c>
      <c s="63" r="C226"/>
      <c s="26" r="D226"/>
      <c s="26" r="E226"/>
      <c s="26" r="F226"/>
    </row>
    <row customHeight="1" r="227" ht="15.0">
      <c s="18" r="A227">
        <v>226</v>
      </c>
      <c s="18" r="B227">
        <v>672</v>
      </c>
      <c s="63" r="C227"/>
      <c s="26" r="D227"/>
      <c s="26" r="E227"/>
      <c s="26" r="F227"/>
    </row>
    <row customHeight="1" r="228" ht="15.0">
      <c s="18" r="A228">
        <v>227</v>
      </c>
      <c s="18" r="B228">
        <v>672</v>
      </c>
      <c s="63" r="C228"/>
      <c s="26" r="D228"/>
      <c s="26" r="E228"/>
      <c s="26" r="F228"/>
    </row>
    <row customHeight="1" r="229" ht="15.0">
      <c s="18" r="A229">
        <v>228</v>
      </c>
      <c s="18" r="B229">
        <v>672</v>
      </c>
      <c s="63" r="C229"/>
      <c s="26" r="D229"/>
      <c s="26" r="E229"/>
      <c s="26" r="F229"/>
    </row>
    <row customHeight="1" r="230" ht="15.0">
      <c s="18" r="A230">
        <v>229</v>
      </c>
      <c s="18" r="B230">
        <v>672</v>
      </c>
      <c s="63" r="C230"/>
      <c s="26" r="D230"/>
      <c s="26" r="E230"/>
      <c s="26" r="F230"/>
    </row>
    <row customHeight="1" r="231" ht="15.0">
      <c s="18" r="A231">
        <v>230</v>
      </c>
      <c s="18" r="B231">
        <v>672</v>
      </c>
      <c s="63" r="C231"/>
      <c s="26" r="D231"/>
      <c s="26" r="E231"/>
      <c s="26" r="F231"/>
    </row>
    <row customHeight="1" r="232" ht="15.0">
      <c s="18" r="A232">
        <v>231</v>
      </c>
      <c s="18" r="B232">
        <v>672</v>
      </c>
      <c s="63" r="C232"/>
      <c s="26" r="D232"/>
      <c s="26" r="E232"/>
      <c s="26" r="F232"/>
    </row>
    <row customHeight="1" r="233" ht="15.0">
      <c s="18" r="A233">
        <v>232</v>
      </c>
      <c s="18" r="B233">
        <v>672</v>
      </c>
      <c s="63" r="C233"/>
      <c s="26" r="D233"/>
      <c s="26" r="E233"/>
      <c s="26" r="F233"/>
    </row>
    <row customHeight="1" r="234" ht="15.0">
      <c s="18" r="A234">
        <v>233</v>
      </c>
      <c s="18" r="B234">
        <v>672</v>
      </c>
      <c s="63" r="C234"/>
      <c s="26" r="D234"/>
      <c s="26" r="E234"/>
      <c s="26" r="F234"/>
    </row>
    <row customHeight="1" r="235" ht="15.0">
      <c s="18" r="A235">
        <v>234</v>
      </c>
      <c s="18" r="B235">
        <v>672</v>
      </c>
      <c s="63" r="C235"/>
      <c s="26" r="D235"/>
      <c s="26" r="E235"/>
      <c s="26" r="F235"/>
    </row>
    <row customHeight="1" r="236" ht="15.0">
      <c s="18" r="A236">
        <v>235</v>
      </c>
      <c s="18" r="B236">
        <v>672</v>
      </c>
      <c s="63" r="C236"/>
      <c s="26" r="D236"/>
      <c s="26" r="E236"/>
      <c s="26" r="F236"/>
    </row>
    <row customHeight="1" r="237" ht="15.0">
      <c s="18" r="A237">
        <v>236</v>
      </c>
      <c s="18" r="B237">
        <v>672</v>
      </c>
      <c s="63" r="C237"/>
      <c s="26" r="D237"/>
      <c s="26" r="E237"/>
      <c s="26" r="F237"/>
    </row>
    <row customHeight="1" r="238" ht="15.0">
      <c s="18" r="A238">
        <v>237</v>
      </c>
      <c s="18" r="B238">
        <v>672</v>
      </c>
      <c s="63" r="C238"/>
      <c s="26" r="D238"/>
      <c s="26" r="E238"/>
      <c s="26" r="F238"/>
    </row>
    <row customHeight="1" r="239" ht="15.0">
      <c s="18" r="A239">
        <v>238</v>
      </c>
      <c s="18" r="B239">
        <v>672</v>
      </c>
      <c s="63" r="C239"/>
      <c s="26" r="D239"/>
      <c s="26" r="E239"/>
      <c s="26" r="F239"/>
    </row>
    <row customHeight="1" r="240" ht="15.0">
      <c s="18" r="A240">
        <v>239</v>
      </c>
      <c s="18" r="B240">
        <v>672</v>
      </c>
      <c s="63" r="C240"/>
      <c s="26" r="D240"/>
      <c s="26" r="E240"/>
      <c s="26" r="F240"/>
    </row>
    <row customHeight="1" r="241" ht="15.0">
      <c s="18" r="A241">
        <v>240</v>
      </c>
      <c s="18" r="B241">
        <v>672</v>
      </c>
      <c s="63" r="C241"/>
      <c s="26" r="D241"/>
      <c s="26" r="E241"/>
      <c s="26" r="F241"/>
    </row>
    <row customHeight="1" r="242" ht="15.0">
      <c s="18" r="A242">
        <v>241</v>
      </c>
      <c s="18" r="B242">
        <v>672</v>
      </c>
      <c s="63" r="C242"/>
      <c s="26" r="D242"/>
      <c s="26" r="E242"/>
      <c s="26" r="F242"/>
    </row>
    <row customHeight="1" r="243" ht="15.0">
      <c s="18" r="A243">
        <v>242</v>
      </c>
      <c s="18" r="B243">
        <v>672</v>
      </c>
      <c s="63" r="C243"/>
      <c s="26" r="D243"/>
      <c s="26" r="E243"/>
      <c s="26" r="F243"/>
    </row>
    <row customHeight="1" r="244" ht="15.0">
      <c s="18" r="A244">
        <v>243</v>
      </c>
      <c s="18" r="B244">
        <v>672</v>
      </c>
      <c s="63" r="C244"/>
      <c s="26" r="D244"/>
      <c s="26" r="E244"/>
      <c s="26" r="F244"/>
    </row>
    <row customHeight="1" r="245" ht="15.0">
      <c s="18" r="A245">
        <v>244</v>
      </c>
      <c s="18" r="B245">
        <v>672</v>
      </c>
      <c s="63" r="C245"/>
      <c s="26" r="D245"/>
      <c s="26" r="E245"/>
      <c s="26" r="F245"/>
    </row>
    <row customHeight="1" r="246" ht="15.0">
      <c s="18" r="A246">
        <v>245</v>
      </c>
      <c s="18" r="B246">
        <v>672</v>
      </c>
      <c s="63" r="C246"/>
      <c s="26" r="D246"/>
      <c s="26" r="E246"/>
      <c s="26" r="F246"/>
    </row>
    <row customHeight="1" r="247" ht="15.0">
      <c s="18" r="A247">
        <v>246</v>
      </c>
      <c s="18" r="B247">
        <v>672</v>
      </c>
      <c s="63" r="C247"/>
      <c s="26" r="D247"/>
      <c s="26" r="E247"/>
      <c s="26" r="F247"/>
    </row>
    <row customHeight="1" r="248" ht="15.0">
      <c s="18" r="A248">
        <v>247</v>
      </c>
      <c s="18" r="B248">
        <v>672</v>
      </c>
      <c s="63" r="C248"/>
      <c s="26" r="D248"/>
      <c s="26" r="E248"/>
      <c s="26" r="F248"/>
    </row>
    <row customHeight="1" r="249" ht="15.0">
      <c s="18" r="A249">
        <v>248</v>
      </c>
      <c s="18" r="B249">
        <v>672</v>
      </c>
      <c s="63" r="C249"/>
      <c s="26" r="D249"/>
      <c s="26" r="E249"/>
      <c s="26" r="F249"/>
    </row>
    <row customHeight="1" r="250" ht="15.0">
      <c s="18" r="A250">
        <v>249</v>
      </c>
      <c s="18" r="B250">
        <v>672</v>
      </c>
      <c s="63" r="C250"/>
      <c s="26" r="D250"/>
      <c s="26" r="E250"/>
      <c s="26" r="F250"/>
    </row>
    <row customHeight="1" r="251" ht="15.0">
      <c s="18" r="A251">
        <v>250</v>
      </c>
      <c s="18" r="B251">
        <v>672</v>
      </c>
      <c s="63" r="C251"/>
      <c s="26" r="D251"/>
      <c s="26" r="E251"/>
      <c s="26" r="F251"/>
    </row>
    <row customHeight="1" r="252" ht="15.0">
      <c s="18" r="A252">
        <v>251</v>
      </c>
      <c s="18" r="B252">
        <v>672</v>
      </c>
      <c s="63" r="C252"/>
      <c s="26" r="D252"/>
      <c s="26" r="E252"/>
      <c s="26" r="F252"/>
    </row>
    <row customHeight="1" r="253" ht="15.0">
      <c s="18" r="A253">
        <v>252</v>
      </c>
      <c s="18" r="B253">
        <v>672</v>
      </c>
      <c s="63" r="C253"/>
      <c s="26" r="D253"/>
      <c s="26" r="E253"/>
      <c s="26" r="F253"/>
    </row>
    <row customHeight="1" r="254" ht="15.0">
      <c s="18" r="A254">
        <v>253</v>
      </c>
      <c s="18" r="B254">
        <v>672</v>
      </c>
      <c s="63" r="C254"/>
      <c s="26" r="D254"/>
      <c s="26" r="E254"/>
      <c s="26" r="F254"/>
    </row>
    <row customHeight="1" r="255" ht="15.0">
      <c s="18" r="A255">
        <v>254</v>
      </c>
      <c s="18" r="B255">
        <v>672</v>
      </c>
      <c s="63" r="C255"/>
      <c s="26" r="D255"/>
      <c s="26" r="E255"/>
      <c s="26" r="F255"/>
    </row>
    <row customHeight="1" r="256" ht="15.0">
      <c s="18" r="A256">
        <v>255</v>
      </c>
      <c s="18" r="B256">
        <v>672</v>
      </c>
      <c s="63" r="C256"/>
      <c s="26" r="D256"/>
      <c s="26" r="E256"/>
      <c s="26" r="F256"/>
    </row>
  </sheetData>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width="14.14"/>
    <col min="8" customWidth="1" max="8" width="4.71"/>
    <col min="11" customWidth="1" max="11" width="4.71"/>
    <col min="16" customWidth="1" max="16" width="4.71"/>
    <col min="18" customWidth="1" max="18" width="4.71"/>
    <col min="19" customWidth="1" max="19" width="24.71"/>
    <col min="20" customWidth="1" max="20" width="15.43"/>
  </cols>
  <sheetData>
    <row customHeight="1" r="1" ht="13.5">
      <c s="26" r="A1"/>
      <c s="44" r="B1"/>
      <c s="44" r="C1"/>
      <c s="44" r="D1"/>
      <c s="44" r="E1"/>
      <c s="44" r="F1"/>
      <c s="44" r="G1"/>
      <c s="26" r="H1"/>
      <c s="44" r="I1"/>
      <c s="44" r="J1"/>
      <c s="26" r="K1"/>
      <c s="44" r="L1"/>
      <c s="44" r="M1"/>
      <c s="44" r="N1"/>
      <c s="44" r="O1"/>
      <c s="26" r="P1"/>
      <c s="44" r="Q1"/>
      <c s="26" r="R1"/>
      <c s="26" r="S1"/>
      <c s="26" r="T1"/>
    </row>
    <row customHeight="1" r="2" ht="14.25">
      <c s="62" r="A2"/>
      <c t="s" s="1" r="B2">
        <v>0</v>
      </c>
      <c t="s" s="10" r="C2">
        <v>1</v>
      </c>
      <c t="s" s="10" r="D2">
        <v>2</v>
      </c>
      <c t="s" s="10" r="E2">
        <v>3</v>
      </c>
      <c t="s" s="10" r="F2">
        <v>4</v>
      </c>
      <c t="s" s="46" r="G2">
        <v>5</v>
      </c>
      <c s="68" r="H2"/>
      <c t="s" s="1" r="I2">
        <v>6</v>
      </c>
      <c t="s" s="46" r="J2">
        <v>7</v>
      </c>
      <c s="68" r="K2"/>
      <c t="s" s="1" r="L2">
        <v>8</v>
      </c>
      <c t="s" s="10" r="M2">
        <v>9</v>
      </c>
      <c t="s" s="10" r="N2">
        <v>10</v>
      </c>
      <c t="s" s="46" r="O2">
        <v>11</v>
      </c>
      <c s="68" r="P2"/>
      <c t="s" s="45" r="Q2">
        <v>12</v>
      </c>
      <c s="63" r="R2"/>
      <c s="26" r="S2"/>
      <c s="26" r="T2"/>
    </row>
    <row customHeight="1" r="3" ht="14.25">
      <c s="44" r="A3"/>
      <c s="11" r="B3"/>
      <c s="11" r="C3"/>
      <c s="11" r="D3"/>
      <c s="11" r="E3"/>
      <c s="11" r="F3"/>
      <c s="11" r="G3"/>
      <c s="26" r="H3"/>
      <c s="11" r="I3"/>
      <c s="11" r="J3"/>
      <c s="26" r="K3"/>
      <c s="11" r="L3"/>
      <c s="11" r="M3"/>
      <c s="11" r="N3"/>
      <c s="11" r="O3"/>
      <c s="26" r="P3"/>
      <c s="11" r="Q3"/>
      <c s="26" r="R3"/>
      <c s="26" r="S3"/>
      <c s="26" r="T3"/>
    </row>
    <row customHeight="1" r="4" ht="14.25">
      <c t="s" s="45" r="A4">
        <v>53</v>
      </c>
      <c s="75" r="B4">
        <v>90</v>
      </c>
      <c s="54" r="C4">
        <v>92</v>
      </c>
      <c s="54" r="D4">
        <v>75</v>
      </c>
      <c s="54" r="E4">
        <v>92</v>
      </c>
      <c s="54" r="F4">
        <v>85</v>
      </c>
      <c s="2" r="G4">
        <v>60</v>
      </c>
      <c s="68" r="H4"/>
      <c s="19" r="I4">
        <f>INDEX('Speed Factors'!$A$2:$B$256,(G4),2)</f>
        <v>274</v>
      </c>
      <c s="19" r="J4">
        <f>SUM(B4:G4)</f>
        <v>494</v>
      </c>
      <c s="68" r="K4"/>
      <c s="38" r="L4">
        <f>((((B4*2)+141)*((D4*2)+36))/(402.744996))-24.57966407</f>
        <v>123.667987900827</v>
      </c>
      <c s="38" r="M4">
        <f>((((B4*2)+141)*((F4*2)+36))/(416.310724))-19.16575597</f>
        <v>139.672333437469</v>
      </c>
      <c s="38" r="N4">
        <f>(((((C4*2)+36)*((((C4*2)+36)*(I4/672))+415))/((((C4*2)+36)*(1-(I4/672)))+415))/(1.92306))-3.576327284</f>
        <v>102.307979675284</v>
      </c>
      <c s="38" r="O4">
        <f>(((((E4*2)+36)*((((E4*2)+36)*(I4/672))+415))/((((E4*2)+36)*(1-(I4/672)))+415))/(1.980931))+4.9921912</f>
        <v>107.783189645236</v>
      </c>
      <c s="68" r="P4"/>
      <c s="38" r="Q4">
        <f>((((L4+M4)+N4)+O4)/(1.535645))-60.47703745</f>
        <v>247.817842329386</v>
      </c>
      <c s="63" r="R4"/>
      <c s="26" r="S4"/>
      <c s="26" r="T4"/>
    </row>
    <row customHeight="1" r="5" ht="14.25">
      <c t="s" s="45" r="A5">
        <v>54</v>
      </c>
      <c s="57" r="B5">
        <v>55</v>
      </c>
      <c s="8" r="C5">
        <v>50</v>
      </c>
      <c s="8" r="D5">
        <v>45</v>
      </c>
      <c s="8" r="E5">
        <v>135</v>
      </c>
      <c s="8" r="F5">
        <v>85</v>
      </c>
      <c s="27" r="G5">
        <v>120</v>
      </c>
      <c s="68" r="H5"/>
      <c s="20" r="I5">
        <f>INDEX('Speed Factors'!$A$2:$B$256,(G5),2)</f>
        <v>652</v>
      </c>
      <c s="20" r="J5">
        <f>SUM(B5:G5)</f>
        <v>490</v>
      </c>
      <c s="68" r="K5"/>
      <c s="38" r="L5">
        <f>((((B5*2)+141)*((D5*2)+36))/(402.744996))-24.57966407</f>
        <v>53.9464512488853</v>
      </c>
      <c s="38" r="M5">
        <f>((((B5*2)+141)*((F5*2)+36))/(416.310724))-19.16575597</f>
        <v>105.034743847055</v>
      </c>
      <c s="38" r="N5">
        <f>(((((C5*2)+36)*((((C5*2)+36)*(I5/672))+415))/((((C5*2)+36)*(1-(I5/672)))+415))/(1.92306))-3.576327284</f>
        <v>88.730157740341</v>
      </c>
      <c s="38" r="O5">
        <f>(((((E5*2)+36)*((((E5*2)+36)*(I5/672))+415))/((((E5*2)+36)*(1-(I5/672)))+415))/(1.980931))+4.9921912</f>
        <v>264.285390631028</v>
      </c>
      <c s="68" r="P5"/>
      <c s="38" r="Q5">
        <f>((((L5+M5)+N5)+O5)/(1.535645))-60.47703745</f>
        <v>272.931232994868</v>
      </c>
      <c s="63" r="R5"/>
      <c s="44" r="S5"/>
      <c s="44" r="T5"/>
    </row>
    <row customHeight="1" r="6" ht="14.25">
      <c t="s" s="45" r="A6">
        <v>55</v>
      </c>
      <c s="75" r="B6">
        <v>255</v>
      </c>
      <c s="54" r="C6">
        <v>10</v>
      </c>
      <c s="54" r="D6">
        <v>10</v>
      </c>
      <c s="54" r="E6">
        <v>75</v>
      </c>
      <c s="54" r="F6">
        <v>135</v>
      </c>
      <c s="2" r="G6">
        <v>55</v>
      </c>
      <c s="68" r="H6"/>
      <c s="19" r="I6">
        <f>INDEX('Speed Factors'!$A$2:$B$256,(G6),2)</f>
        <v>233</v>
      </c>
      <c s="19" r="J6">
        <f>SUM(B6:G6)</f>
        <v>540</v>
      </c>
      <c s="68" r="K6"/>
      <c s="38" r="L6">
        <f>((((B6*2)+141)*((D6*2)+36))/(402.744996))-24.57966407</f>
        <v>65.9391514635889</v>
      </c>
      <c s="38" r="M6">
        <f>((((B6*2)+141)*((F6*2)+36))/(416.310724))-19.16575597</f>
        <v>459.337411294075</v>
      </c>
      <c s="38" r="N6">
        <f>(((((C6*2)+36)*((((C6*2)+36)*(I6/672))+415))/((((C6*2)+36)*(1-(I6/672)))+415))/(1.92306))-3.576327284</f>
        <v>24.4369400853087</v>
      </c>
      <c s="38" r="O6">
        <f>(((((E6*2)+36)*((((E6*2)+36)*(I6/672))+415))/((((E6*2)+36)*(1-(I6/672)))+415))/(1.980931))+4.9921912</f>
        <v>88.9086534408166</v>
      </c>
      <c s="68" r="P6"/>
      <c s="38" r="Q6">
        <f>((((L6+M6)+N6)+O6)/(1.535645))-60.47703745</f>
        <v>355.388710352252</v>
      </c>
      <c s="68" r="R6"/>
      <c t="s" s="45" r="S6">
        <v>13</v>
      </c>
      <c t="s" s="45" r="T6">
        <v>14</v>
      </c>
    </row>
    <row customHeight="1" r="7" ht="14.25">
      <c t="s" s="45" r="A7">
        <v>56</v>
      </c>
      <c s="57" r="B7">
        <v>60</v>
      </c>
      <c s="8" r="C7">
        <v>130</v>
      </c>
      <c s="8" r="D7">
        <v>80</v>
      </c>
      <c s="8" r="E7">
        <v>60</v>
      </c>
      <c s="8" r="F7">
        <v>60</v>
      </c>
      <c s="27" r="G7">
        <v>70</v>
      </c>
      <c s="68" r="H7"/>
      <c s="20" r="I7">
        <f>INDEX('Speed Factors'!$A$2:$B$256,(G7),2)</f>
        <v>369</v>
      </c>
      <c s="20" r="J7">
        <f>SUM(B7:G7)</f>
        <v>460</v>
      </c>
      <c s="68" r="K7"/>
      <c s="38" r="L7">
        <f>((((B7*2)+141)*((D7*2)+36))/(402.744996))-24.57966407</f>
        <v>102.438673856165</v>
      </c>
      <c s="38" r="M7">
        <f>((((B7*2)+141)*((F7*2)+36))/(416.310724))-19.16575597</f>
        <v>78.6361925572736</v>
      </c>
      <c s="38" r="N7">
        <f>(((((C7*2)+36)*((((C7*2)+36)*(I7/672))+415))/((((C7*2)+36)*(1-(I7/672)))+415))/(1.92306))-3.576327284</f>
        <v>158.503650820289</v>
      </c>
      <c s="38" r="O7">
        <f>(((((E7*2)+36)*((((E7*2)+36)*(I7/672))+415))/((((E7*2)+36)*(1-(I7/672)))+415))/(1.980931))+4.9921912</f>
        <v>86.2290866289987</v>
      </c>
      <c s="68" r="P7"/>
      <c s="38" r="Q7">
        <f>((((L7+M7)+N7)+O7)/(1.535645))-60.47703745</f>
        <v>216.805540139695</v>
      </c>
      <c s="68" r="R7"/>
      <c t="s" s="53" r="S7">
        <v>15</v>
      </c>
      <c t="s" s="53" r="T7">
        <v>16</v>
      </c>
    </row>
    <row customHeight="1" r="8" ht="14.25">
      <c t="s" s="45" r="A8">
        <v>57</v>
      </c>
      <c s="75" r="B8">
        <v>100</v>
      </c>
      <c s="54" r="C8">
        <v>100</v>
      </c>
      <c s="54" r="D8">
        <v>100</v>
      </c>
      <c s="54" r="E8">
        <v>100</v>
      </c>
      <c s="54" r="F8">
        <v>100</v>
      </c>
      <c s="2" r="G8">
        <v>100</v>
      </c>
      <c s="68" r="H8"/>
      <c s="19" r="I8">
        <f>INDEX('Speed Factors'!$A$2:$B$256,(G8),2)</f>
        <v>577</v>
      </c>
      <c s="19" r="J8">
        <f>SUM(B8:G8)</f>
        <v>600</v>
      </c>
      <c s="68" r="K8"/>
      <c s="38" r="L8">
        <f>((((B8*2)+141)*((D8*2)+36))/(402.744996))-24.57966407</f>
        <v>175.239081784759</v>
      </c>
      <c s="38" r="M8">
        <f>((((B8*2)+141)*((F8*2)+36))/(416.310724))-19.16575597</f>
        <v>174.141779389094</v>
      </c>
      <c s="38" r="N8">
        <f>(((((C8*2)+36)*((((C8*2)+36)*(I8/672))+415))/((((C8*2)+36)*(1-(I8/672)))+415))/(1.92306))-3.576327284</f>
        <v>165.476542525297</v>
      </c>
      <c s="38" r="O8">
        <f>(((((E8*2)+36)*((((E8*2)+36)*(I8/672))+415))/((((E8*2)+36)*(1-(I8/672)))+415))/(1.980931))+4.9921912</f>
        <v>169.106343492769</v>
      </c>
      <c s="68" r="P8"/>
      <c s="38" r="Q8">
        <f>((((L8+M8)+N8)+O8)/(1.535645))-60.47703745</f>
        <v>384.914799329932</v>
      </c>
      <c s="68" r="R8"/>
      <c t="s" s="14" r="S8">
        <v>17</v>
      </c>
      <c t="s" s="14" r="T8">
        <v>18</v>
      </c>
    </row>
    <row customHeight="1" r="9" ht="14.25">
      <c t="s" s="45" r="A9">
        <v>58</v>
      </c>
      <c s="57" r="B9">
        <v>250</v>
      </c>
      <c s="8" r="C9">
        <v>5</v>
      </c>
      <c s="8" r="D9">
        <v>5</v>
      </c>
      <c s="8" r="E9">
        <v>35</v>
      </c>
      <c s="8" r="F9">
        <v>105</v>
      </c>
      <c s="27" r="G9">
        <v>50</v>
      </c>
      <c s="68" r="H9"/>
      <c s="20" r="I9">
        <f>INDEX('Speed Factors'!$A$2:$B$256,(G9),2)</f>
        <v>189</v>
      </c>
      <c s="20" r="J9">
        <f>SUM(B9:G9)</f>
        <v>450</v>
      </c>
      <c s="68" r="K9"/>
      <c s="38" r="L9">
        <f>((((B9*2)+141)*((D9*2)+36))/(402.744996))-24.57966407</f>
        <v>48.6329153359524</v>
      </c>
      <c s="38" r="M9">
        <f>((((B9*2)+141)*((F9*2)+36))/(416.310724))-19.16575597</f>
        <v>359.604212972717</v>
      </c>
      <c s="38" r="N9">
        <f>(((((C9*2)+36)*((((C9*2)+36)*(I9/672))+415))/((((C9*2)+36)*(1-(I9/672)))+415))/(1.92306))-3.576327284</f>
        <v>19.2694923950062</v>
      </c>
      <c s="38" r="O9">
        <f>(((((E9*2)+36)*((((E9*2)+36)*(I9/672))+415))/((((E9*2)+36)*(1-(I9/672)))+415))/(1.980931))+4.9921912</f>
        <v>53.4502702323299</v>
      </c>
      <c s="68" r="P9"/>
      <c s="38" r="Q9">
        <f>((((L9+M9)+N9)+O9)/(1.535645))-60.47703745</f>
        <v>252.7183240665</v>
      </c>
      <c s="68" r="R9"/>
      <c t="s" s="42" r="S9">
        <v>19</v>
      </c>
      <c t="s" s="42" r="T9">
        <v>20</v>
      </c>
    </row>
    <row customHeight="1" r="10" ht="14.25">
      <c t="s" s="45" r="A10">
        <v>59</v>
      </c>
      <c s="75" r="B10">
        <v>50</v>
      </c>
      <c s="54" r="C10">
        <v>95</v>
      </c>
      <c s="54" r="D10">
        <v>180</v>
      </c>
      <c s="54" r="E10">
        <v>85</v>
      </c>
      <c s="54" r="F10">
        <v>45</v>
      </c>
      <c s="2" r="G10">
        <v>70</v>
      </c>
      <c s="68" r="H10"/>
      <c s="19" r="I10">
        <f>INDEX('Speed Factors'!$A$2:$B$256,(G10),2)</f>
        <v>369</v>
      </c>
      <c s="19" r="J10">
        <f>SUM(B10:G10)</f>
        <v>525</v>
      </c>
      <c s="68" r="K10"/>
      <c s="38" r="L10">
        <f>((((B10*2)+141)*((D10*2)+36))/(402.744996))-24.57966407</f>
        <v>212.38417396115</v>
      </c>
      <c s="38" r="M10">
        <f>((((B10*2)+141)*((F10*2)+36))/(416.310724))-19.16575597</f>
        <v>53.7749545364149</v>
      </c>
      <c s="38" r="N10">
        <f>(((((C10*2)+36)*((((C10*2)+36)*(I10/672))+415))/((((C10*2)+36)*(1-(I10/672)))+415))/(1.92306))-3.576327284</f>
        <v>118.991211504147</v>
      </c>
      <c s="38" r="O10">
        <f>(((((E10*2)+36)*((((E10*2)+36)*(I10/672))+415))/((((E10*2)+36)*(1-(I10/672)))+415))/(1.980931))+4.9921912</f>
        <v>113.126320007304</v>
      </c>
      <c s="68" r="P10"/>
      <c s="38" r="Q10">
        <f>((((L10+M10)+N10)+O10)/(1.535645))-60.47703745</f>
        <v>263.996822074184</v>
      </c>
      <c s="68" r="R10"/>
      <c t="s" s="39" r="S10">
        <v>21</v>
      </c>
      <c t="s" s="39" r="T10">
        <v>22</v>
      </c>
    </row>
    <row customHeight="1" r="11" ht="14.25">
      <c t="s" s="45" r="A11">
        <v>60</v>
      </c>
      <c s="57" r="B11">
        <v>105</v>
      </c>
      <c s="8" r="C11">
        <v>140</v>
      </c>
      <c s="8" r="D11">
        <v>95</v>
      </c>
      <c s="8" r="E11">
        <v>55</v>
      </c>
      <c s="8" r="F11">
        <v>65</v>
      </c>
      <c s="27" r="G11">
        <v>45</v>
      </c>
      <c s="68" r="H11"/>
      <c s="20" r="I11">
        <f>INDEX('Speed Factors'!$A$2:$B$256,(G11),2)</f>
        <v>154</v>
      </c>
      <c s="20" r="J11">
        <f>SUM(B11:G11)</f>
        <v>505</v>
      </c>
      <c s="68" r="K11"/>
      <c s="38" r="L11">
        <f>((((B11*2)+141)*((D11*2)+36))/(402.744996))-24.57966407</f>
        <v>172.383676971734</v>
      </c>
      <c s="38" r="M11">
        <f>((((B11*2)+141)*((F11*2)+36))/(416.310724))-19.16575597</f>
        <v>120.792204853512</v>
      </c>
      <c s="38" r="N11">
        <f>(((((C11*2)+36)*((((C11*2)+36)*(I11/672))+415))/((((C11*2)+36)*(1-(I11/672)))+415))/(1.92306))-3.576327284</f>
        <v>118.037760761301</v>
      </c>
      <c s="38" r="O11">
        <f>(((((E11*2)+36)*((((E11*2)+36)*(I11/672))+415))/((((E11*2)+36)*(1-(I11/672)))+415))/(1.980931))+4.9921912</f>
        <v>67.6461964105793</v>
      </c>
      <c s="68" r="P11"/>
      <c s="38" r="Q11">
        <f>((((L11+M11)+N11)+O11)/(1.535645))-60.47703745</f>
        <v>251.352740263682</v>
      </c>
      <c s="68" r="R11"/>
      <c t="s" s="31" r="S11">
        <v>23</v>
      </c>
      <c t="s" s="31" r="T11">
        <v>24</v>
      </c>
    </row>
    <row customHeight="1" r="12" ht="14.25">
      <c t="s" s="45" r="A12">
        <v>61</v>
      </c>
      <c s="75" r="B12">
        <v>50</v>
      </c>
      <c s="54" r="C12">
        <v>70</v>
      </c>
      <c s="54" r="D12">
        <v>160</v>
      </c>
      <c s="54" r="E12">
        <v>70</v>
      </c>
      <c s="54" r="F12">
        <v>160</v>
      </c>
      <c s="2" r="G12">
        <v>90</v>
      </c>
      <c s="68" r="H12"/>
      <c s="19" r="I12">
        <f>INDEX('Speed Factors'!$A$2:$B$256,(G12),2)</f>
        <v>503</v>
      </c>
      <c s="19" r="J12">
        <f>SUM(B12:G12)</f>
        <v>600</v>
      </c>
      <c s="68" r="K12"/>
      <c s="38" r="L12">
        <f>((((B12*2)+141)*((D12*2)+36))/(402.744996))-24.57966407</f>
        <v>188.448432745882</v>
      </c>
      <c s="38" r="M12">
        <f>((((B12*2)+141)*((F12*2)+36))/(416.310724))-19.16575597</f>
        <v>186.920695937014</v>
      </c>
      <c s="38" r="N12">
        <f>(((((C12*2)+36)*((((C12*2)+36)*(I12/672))+415))/((((C12*2)+36)*(1-(I12/672)))+415))/(1.92306))-3.576327284</f>
        <v>105.376560580163</v>
      </c>
      <c s="38" r="O12">
        <f>(((((E12*2)+36)*((((E12*2)+36)*(I12/672))+415))/((((E12*2)+36)*(1-(I12/672)))+415))/(1.980931))+4.9921912</f>
        <v>110.7621249009</v>
      </c>
      <c s="68" r="P12"/>
      <c s="38" r="Q12">
        <f>((((L12+M12)+N12)+O12)/(1.535645))-60.47703745</f>
        <v>324.708219666038</v>
      </c>
      <c s="68" r="R12"/>
      <c t="s" s="64" r="S12">
        <v>25</v>
      </c>
      <c t="s" s="64" r="T12">
        <v>26</v>
      </c>
    </row>
    <row customHeight="1" r="13" ht="14.25">
      <c t="s" s="45" r="A13">
        <v>62</v>
      </c>
      <c s="57" r="B13">
        <v>90</v>
      </c>
      <c s="8" r="C13">
        <v>120</v>
      </c>
      <c s="8" r="D13">
        <v>120</v>
      </c>
      <c s="8" r="E13">
        <v>60</v>
      </c>
      <c s="8" r="F13">
        <v>60</v>
      </c>
      <c s="27" r="G13">
        <v>50</v>
      </c>
      <c s="68" r="H13"/>
      <c s="20" r="I13">
        <f>INDEX('Speed Factors'!$A$2:$B$256,(G13),2)</f>
        <v>189</v>
      </c>
      <c s="20" r="J13">
        <f>SUM(B13:G13)</f>
        <v>500</v>
      </c>
      <c s="68" r="K13"/>
      <c s="38" r="L13">
        <f>((((B13*2)+141)*((D13*2)+36))/(402.744996))-24.57966407</f>
        <v>195.40072272542</v>
      </c>
      <c s="38" r="M13">
        <f>((((B13*2)+141)*((F13*2)+36))/(416.310724))-19.16575597</f>
        <v>101.119399115268</v>
      </c>
      <c s="38" r="N13">
        <f>(((((C13*2)+36)*((((C13*2)+36)*(I13/672))+415))/((((C13*2)+36)*(1-(I13/672)))+415))/(1.92306))-3.576327284</f>
        <v>111.691106470273</v>
      </c>
      <c s="38" r="O13">
        <f>(((((E13*2)+36)*((((E13*2)+36)*(I13/672))+415))/((((E13*2)+36)*(1-(I13/672)))+415))/(1.980931))+4.9921912</f>
        <v>73.5467015802161</v>
      </c>
      <c s="68" r="P13"/>
      <c s="38" r="Q13">
        <f>((((L13+M13)+N13)+O13)/(1.535645))-60.47703745</f>
        <v>253.239954362025</v>
      </c>
      <c s="68" r="R13"/>
      <c t="s" s="59" r="S13">
        <v>27</v>
      </c>
      <c t="s" s="59" r="T13">
        <v>28</v>
      </c>
    </row>
    <row customHeight="1" r="14" ht="14.25">
      <c t="s" s="45" r="A14">
        <v>63</v>
      </c>
      <c s="75" r="B14">
        <v>91</v>
      </c>
      <c s="54" r="C14">
        <v>134</v>
      </c>
      <c s="54" r="D14">
        <v>95</v>
      </c>
      <c s="54" r="E14">
        <v>100</v>
      </c>
      <c s="54" r="F14">
        <v>100</v>
      </c>
      <c s="2" r="G14">
        <v>80</v>
      </c>
      <c s="68" r="H14"/>
      <c s="19" r="I14">
        <f>INDEX('Speed Factors'!$A$2:$B$256,(G14),2)</f>
        <v>432</v>
      </c>
      <c s="19" r="J14">
        <f>SUM(B14:G14)</f>
        <v>600</v>
      </c>
      <c s="68" r="K14"/>
      <c s="38" r="L14">
        <f>((((B14*2)+141)*((D14*2)+36))/(402.744996))-24.57966407</f>
        <v>156.671501617978</v>
      </c>
      <c s="38" r="M14">
        <f>((((B14*2)+141)*((F14*2)+36))/(416.310724))-19.16575597</f>
        <v>163.93786256662</v>
      </c>
      <c s="38" r="N14">
        <f>(((((C14*2)+36)*((((C14*2)+36)*(I14/672))+415))/((((C14*2)+36)*(1-(I14/672)))+415))/(1.92306))-3.576327284</f>
        <v>180.729752999684</v>
      </c>
      <c s="38" r="O14">
        <f>(((((E14*2)+36)*((((E14*2)+36)*(I14/672))+415))/((((E14*2)+36)*(1-(I14/672)))+415))/(1.980931))+4.9921912</f>
        <v>140.21740443623</v>
      </c>
      <c s="68" r="P14"/>
      <c s="38" r="Q14">
        <f>((((L14+M14)+N14)+O14)/(1.535645))-60.47703745</f>
        <v>357.299546083637</v>
      </c>
      <c s="68" r="R14"/>
      <c t="s" s="61" r="S14">
        <v>29</v>
      </c>
      <c t="s" s="61" r="T14">
        <v>30</v>
      </c>
    </row>
    <row customHeight="1" r="15" ht="14.25">
      <c t="s" s="45" r="A15">
        <v>64</v>
      </c>
      <c s="57" r="B15">
        <v>35</v>
      </c>
      <c s="8" r="C15">
        <v>80</v>
      </c>
      <c s="8" r="D15">
        <v>50</v>
      </c>
      <c s="8" r="E15">
        <v>50</v>
      </c>
      <c s="8" r="F15">
        <v>70</v>
      </c>
      <c s="27" r="G15">
        <v>120</v>
      </c>
      <c s="68" r="H15"/>
      <c s="20" r="I15">
        <f>INDEX('Speed Factors'!$A$2:$B$256,(G15),2)</f>
        <v>652</v>
      </c>
      <c s="20" r="J15">
        <f>SUM(B15:G15)</f>
        <v>405</v>
      </c>
      <c s="68" r="K15"/>
      <c s="38" r="L15">
        <f>((((B15*2)+141)*((D15*2)+36))/(402.744996))-24.57966407</f>
        <v>46.6713763774398</v>
      </c>
      <c s="38" r="M15">
        <f>((((B15*2)+141)*((F15*2)+36))/(416.310724))-19.16575597</f>
        <v>70.0368464592374</v>
      </c>
      <c s="38" r="N15">
        <f>(((((C15*2)+36)*((((C15*2)+36)*(I15/672))+415))/((((C15*2)+36)*(1-(I15/672)))+415))/(1.92306))-3.576327284</f>
        <v>142.98794069938</v>
      </c>
      <c s="38" r="O15">
        <f>(((((E15*2)+36)*((((E15*2)+36)*(I15/672))+415))/((((E15*2)+36)*(1-(I15/672)))+415))/(1.980931))+4.9921912</f>
        <v>94.6020307607465</v>
      </c>
      <c s="68" r="P15"/>
      <c s="38" r="Q15">
        <f>((((L15+M15)+N15)+O15)/(1.535645))-60.47703745</f>
        <v>170.23917254437</v>
      </c>
      <c s="68" r="R15"/>
      <c t="s" s="37" r="S15">
        <v>31</v>
      </c>
      <c t="s" s="37" r="T15">
        <v>32</v>
      </c>
    </row>
    <row customHeight="1" r="16" ht="14.25">
      <c t="s" s="45" r="A16">
        <v>65</v>
      </c>
      <c s="75" r="B16">
        <v>65</v>
      </c>
      <c s="54" r="C16">
        <v>65</v>
      </c>
      <c s="54" r="D16">
        <v>60</v>
      </c>
      <c s="54" r="E16">
        <v>130</v>
      </c>
      <c s="54" r="F16">
        <v>95</v>
      </c>
      <c s="2" r="G16">
        <v>110</v>
      </c>
      <c s="68" r="H16"/>
      <c s="19" r="I16">
        <f>INDEX('Speed Factors'!$A$2:$B$256,(G16),2)</f>
        <v>627</v>
      </c>
      <c s="19" r="J16">
        <f>SUM(B16:G16)</f>
        <v>525</v>
      </c>
      <c s="68" r="K16"/>
      <c s="38" r="L16">
        <f>((((B16*2)+141)*((D16*2)+36))/(402.744996))-24.57966407</f>
        <v>80.3899827782007</v>
      </c>
      <c s="38" r="M16">
        <f>((((B16*2)+141)*((F16*2)+36))/(416.310724))-19.16575597</f>
        <v>127.950319761933</v>
      </c>
      <c s="38" r="N16">
        <f>(((((C16*2)+36)*((((C16*2)+36)*(I16/672))+415))/((((C16*2)+36)*(1-(I16/672)))+415))/(1.92306))-3.576327284</f>
        <v>111.868306020077</v>
      </c>
      <c s="38" r="O16">
        <f>(((((E16*2)+36)*((((E16*2)+36)*(I16/672))+415))/((((E16*2)+36)*(1-(I16/672)))+415))/(1.980931))+4.9921912</f>
        <v>242.513014184902</v>
      </c>
      <c s="68" r="P16"/>
      <c s="38" r="Q16">
        <f>((((L16+M16)+N16)+O16)/(1.535645))-60.47703745</f>
        <v>305.962877208084</v>
      </c>
      <c s="68" r="R16"/>
      <c t="s" s="24" r="S16">
        <v>33</v>
      </c>
      <c t="s" s="24" r="T16">
        <v>34</v>
      </c>
    </row>
    <row customHeight="1" r="17" ht="14.25">
      <c t="s" s="45" r="A17">
        <v>66</v>
      </c>
      <c s="57" r="B17">
        <v>74</v>
      </c>
      <c s="8" r="C17">
        <v>94</v>
      </c>
      <c s="8" r="D17">
        <v>131</v>
      </c>
      <c s="8" r="E17">
        <v>54</v>
      </c>
      <c s="8" r="F17">
        <v>116</v>
      </c>
      <c s="27" r="G17">
        <v>20</v>
      </c>
      <c s="68" r="H17"/>
      <c s="20" r="I17">
        <f>INDEX('Speed Factors'!$A$2:$B$256,(G17),2)</f>
        <v>14</v>
      </c>
      <c s="20" r="J17">
        <f>SUM(B17:G17)</f>
        <v>489</v>
      </c>
      <c s="68" r="K17"/>
      <c s="38" r="L17">
        <f>((((B17*2)+141)*((D17*2)+36))/(402.744996))-24.57966407</f>
        <v>189.257877936357</v>
      </c>
      <c s="38" r="M17">
        <f>((((B17*2)+141)*((F17*2)+36))/(416.310724))-19.16575597</f>
        <v>166.877974193434</v>
      </c>
      <c s="38" r="N17">
        <f>(((((C17*2)+36)*((((C17*2)+36)*(I17/672))+415))/((((C17*2)+36)*(1-(I17/672)))+415))/(1.92306))-3.576327284</f>
        <v>73.4860008907622</v>
      </c>
      <c s="38" r="O17">
        <f>(((((E17*2)+36)*((((E17*2)+36)*(I17/672))+415))/((((E17*2)+36)*(1-(I17/672)))+415))/(1.980931))+4.9921912</f>
        <v>59.6427533880598</v>
      </c>
      <c s="68" r="P17"/>
      <c s="38" r="Q17">
        <f>((((L17+M17)+N17)+O17)/(1.535645))-60.47703745</f>
        <v>258.128243333393</v>
      </c>
      <c s="63" r="R17"/>
      <c s="11" r="S17"/>
      <c s="11" r="T17"/>
    </row>
    <row customHeight="1" r="18" ht="14.25">
      <c t="s" s="45" r="A18">
        <v>67</v>
      </c>
      <c s="75" r="B18">
        <v>75</v>
      </c>
      <c s="54" r="C18">
        <v>90</v>
      </c>
      <c s="54" r="D18">
        <v>140</v>
      </c>
      <c s="54" r="E18">
        <v>60</v>
      </c>
      <c s="54" r="F18">
        <v>60</v>
      </c>
      <c s="2" r="G18">
        <v>40</v>
      </c>
      <c s="68" r="H18"/>
      <c s="19" r="I18">
        <f>INDEX('Speed Factors'!$A$2:$B$256,(G18),2)</f>
        <v>111</v>
      </c>
      <c s="19" r="J18">
        <f>SUM(B18:G18)</f>
        <v>465</v>
      </c>
      <c s="68" r="K18"/>
      <c s="38" r="L18">
        <f>((((B18*2)+141)*((D18*2)+36))/(402.744996))-24.57966407</f>
        <v>203.743470700866</v>
      </c>
      <c s="38" r="M18">
        <f>((((B18*2)+141)*((F18*2)+36))/(416.310724))-19.16575597</f>
        <v>89.8777958362706</v>
      </c>
      <c s="38" r="N18">
        <f>(((((C18*2)+36)*((((C18*2)+36)*(I18/672))+415))/((((C18*2)+36)*(1-(I18/672)))+415))/(1.92306))-3.576327284</f>
        <v>81.4544815786352</v>
      </c>
      <c s="38" r="O18">
        <f>(((((E18*2)+36)*((((E18*2)+36)*(I18/672))+415))/((((E18*2)+36)*(1-(I18/672)))+415))/(1.980931))+4.9921912</f>
        <v>68.6546950494339</v>
      </c>
      <c s="68" r="P18"/>
      <c s="38" r="Q18">
        <f>((((L18+M18)+N18)+O18)/(1.535645))-60.47703745</f>
        <v>228.476752758809</v>
      </c>
      <c s="68" r="R18"/>
      <c t="s" s="45" r="S18">
        <v>35</v>
      </c>
      <c t="s" s="45" r="T18">
        <v>14</v>
      </c>
    </row>
    <row customHeight="1" r="19" ht="14.25">
      <c t="s" s="45" r="A19">
        <v>68</v>
      </c>
      <c s="57" r="B19">
        <v>108</v>
      </c>
      <c s="8" r="C19">
        <v>130</v>
      </c>
      <c s="8" r="D19">
        <v>95</v>
      </c>
      <c s="8" r="E19">
        <v>80</v>
      </c>
      <c s="8" r="F19">
        <v>85</v>
      </c>
      <c s="27" r="G19">
        <v>102</v>
      </c>
      <c s="68" r="H19"/>
      <c s="20" r="I19">
        <f>INDEX('Speed Factors'!$A$2:$B$256,(G19),2)</f>
        <v>607</v>
      </c>
      <c s="20" r="J19">
        <f>SUM(B19:G19)</f>
        <v>600</v>
      </c>
      <c s="68" r="K19"/>
      <c s="38" r="L19">
        <f>((((B19*2)+141)*((D19*2)+36))/(402.744996))-24.57966407</f>
        <v>175.750571690397</v>
      </c>
      <c s="38" r="M19">
        <f>((((B19*2)+141)*((F19*2)+36))/(416.310724))-19.16575597</f>
        <v>157.48595094111</v>
      </c>
      <c s="38" r="N19">
        <f>(((((C19*2)+36)*((((C19*2)+36)*(I19/672))+415))/((((C19*2)+36)*(1-(I19/672)))+415))/(1.92306))-3.576327284</f>
        <v>233.177144312389</v>
      </c>
      <c s="38" r="O19">
        <f>(((((E19*2)+36)*((((E19*2)+36)*(I19/672))+415))/((((E19*2)+36)*(1-(I19/672)))+415))/(1.980931))+4.9921912</f>
        <v>139.978885785759</v>
      </c>
      <c s="68" r="P19"/>
      <c s="38" r="Q19">
        <f>((((L19+M19)+N19)+O19)/(1.535645))-60.47703745</f>
        <v>399.520261880024</v>
      </c>
      <c s="68" r="R19"/>
      <c t="s" s="53" r="S19">
        <v>36</v>
      </c>
      <c t="s" s="53" r="T19">
        <v>16</v>
      </c>
    </row>
    <row customHeight="1" r="20" ht="14.25">
      <c t="s" s="45" r="A20">
        <v>69</v>
      </c>
      <c s="75" r="B20">
        <v>111</v>
      </c>
      <c s="54" r="C20">
        <v>83</v>
      </c>
      <c s="54" r="D20">
        <v>68</v>
      </c>
      <c s="54" r="E20">
        <v>92</v>
      </c>
      <c s="54" r="F20">
        <v>82</v>
      </c>
      <c s="2" r="G20">
        <v>39</v>
      </c>
      <c s="68" r="H20"/>
      <c s="19" r="I20">
        <f>INDEX('Speed Factors'!$A$2:$B$256,(G20),2)</f>
        <v>110</v>
      </c>
      <c s="19" r="J20">
        <f>SUM(B20:G20)</f>
        <v>475</v>
      </c>
      <c s="68" r="K20"/>
      <c s="38" r="L20">
        <f>((((B20*2)+141)*((D20*2)+36))/(402.744996))-24.57966407</f>
        <v>130.446470630877</v>
      </c>
      <c s="38" r="M20">
        <f>((((B20*2)+141)*((F20*2)+36))/(416.310724))-19.16575597</f>
        <v>155.223217973414</v>
      </c>
      <c s="38" r="N20">
        <f>(((((C20*2)+36)*((((C20*2)+36)*(I20/672))+415))/((((C20*2)+36)*(1-(I20/672)))+415))/(1.92306))-3.576327284</f>
        <v>77.0238254280938</v>
      </c>
      <c s="38" r="O20">
        <f>(((((E20*2)+36)*((((E20*2)+36)*(I20/672))+415))/((((E20*2)+36)*(1-(I20/672)))+415))/(1.980931))+4.9921912</f>
        <v>88.6146911580873</v>
      </c>
      <c s="68" r="P20"/>
      <c s="38" r="Q20">
        <f>((((L20+M20)+N20)+O20)/(1.535645))-60.47703745</f>
        <v>233.41133205628</v>
      </c>
      <c s="68" r="R20"/>
      <c t="s" s="14" r="S20">
        <v>37</v>
      </c>
      <c t="s" s="14" r="T20">
        <v>18</v>
      </c>
    </row>
    <row customHeight="1" r="21" ht="14.25">
      <c t="s" s="45" r="A21">
        <v>70</v>
      </c>
      <c s="57" r="B21">
        <v>71</v>
      </c>
      <c s="8" r="C21">
        <v>120</v>
      </c>
      <c s="8" r="D21">
        <v>95</v>
      </c>
      <c s="8" r="E21">
        <v>120</v>
      </c>
      <c s="8" r="F21">
        <v>95</v>
      </c>
      <c s="27" r="G21">
        <v>99</v>
      </c>
      <c s="68" r="H21"/>
      <c s="20" r="I21">
        <f>INDEX('Speed Factors'!$A$2:$B$256,(G21),2)</f>
        <v>576</v>
      </c>
      <c s="20" r="J21">
        <f>SUM(B21:G21)</f>
        <v>600</v>
      </c>
      <c s="68" r="K21"/>
      <c s="38" r="L21">
        <f>((((B21*2)+141)*((D21*2)+36))/(402.744996))-24.57966407</f>
        <v>134.225536826897</v>
      </c>
      <c s="38" r="M21">
        <f>((((B21*2)+141)*((F21*2)+36))/(416.310724))-19.16575597</f>
        <v>134.464684738993</v>
      </c>
      <c s="38" r="N21">
        <f>(((((C21*2)+36)*((((C21*2)+36)*(I21/672))+415))/((((C21*2)+36)*(1-(I21/672)))+415))/(1.92306))-3.576327284</f>
        <v>202.20816830991</v>
      </c>
      <c s="38" r="O21">
        <f>(((((E21*2)+36)*((((E21*2)+36)*(I21/672))+415))/((((E21*2)+36)*(1-(I21/672)))+415))/(1.980931))+4.9921912</f>
        <v>204.764890045555</v>
      </c>
      <c s="68" r="P21"/>
      <c s="38" r="Q21">
        <f>((((L21+M21)+N21)+O21)/(1.535645))-60.47703745</f>
        <v>379.509600035458</v>
      </c>
      <c s="68" r="R21"/>
      <c t="s" s="42" r="S21">
        <v>38</v>
      </c>
      <c t="s" s="42" r="T21">
        <v>20</v>
      </c>
    </row>
    <row customHeight="1" r="22" ht="14.25">
      <c t="s" s="45" r="A22">
        <v>71</v>
      </c>
      <c s="75" r="B22">
        <v>60</v>
      </c>
      <c s="54" r="C22">
        <v>65</v>
      </c>
      <c s="54" r="D22">
        <v>60</v>
      </c>
      <c s="54" r="E22">
        <v>130</v>
      </c>
      <c s="54" r="F22">
        <v>75</v>
      </c>
      <c s="2" r="G22">
        <v>110</v>
      </c>
      <c s="68" r="H22"/>
      <c s="19" r="I22">
        <f>INDEX('Speed Factors'!$A$2:$B$256,(G22),2)</f>
        <v>627</v>
      </c>
      <c s="19" r="J22">
        <f>SUM(B22:G22)</f>
        <v>500</v>
      </c>
      <c s="68" r="K22"/>
      <c s="38" r="L22">
        <f>((((B22*2)+141)*((D22*2)+36))/(402.744996))-24.57966407</f>
        <v>76.516564075315</v>
      </c>
      <c s="38" r="M22">
        <f>((((B22*2)+141)*((F22*2)+36))/(416.310724))-19.16575597</f>
        <v>97.4442595817493</v>
      </c>
      <c s="38" r="N22">
        <f>(((((C22*2)+36)*((((C22*2)+36)*(I22/672))+415))/((((C22*2)+36)*(1-(I22/672)))+415))/(1.92306))-3.576327284</f>
        <v>111.868306020077</v>
      </c>
      <c s="38" r="O22">
        <f>(((((E22*2)+36)*((((E22*2)+36)*(I22/672))+415))/((((E22*2)+36)*(1-(I22/672)))+415))/(1.980931))+4.9921912</f>
        <v>242.513014184902</v>
      </c>
      <c s="68" r="P22"/>
      <c s="38" r="Q22">
        <f>((((L22+M22)+N22)+O22)/(1.535645))-60.47703745</f>
        <v>283.575229748502</v>
      </c>
      <c s="68" r="R22"/>
      <c t="s" s="39" r="S22">
        <v>39</v>
      </c>
      <c t="s" s="39" r="T22">
        <v>22</v>
      </c>
    </row>
    <row customHeight="1" r="23" ht="14.25">
      <c t="s" s="45" r="A23">
        <v>72</v>
      </c>
      <c s="57" r="B23">
        <v>75</v>
      </c>
      <c s="8" r="C23">
        <v>95</v>
      </c>
      <c s="8" r="D23">
        <v>125</v>
      </c>
      <c s="8" r="E23">
        <v>45</v>
      </c>
      <c s="8" r="F23">
        <v>75</v>
      </c>
      <c s="27" r="G23">
        <v>95</v>
      </c>
      <c s="68" r="H23"/>
      <c s="20" r="I23">
        <f>INDEX('Speed Factors'!$A$2:$B$256,(G23),2)</f>
        <v>542</v>
      </c>
      <c s="20" r="J23">
        <f>SUM(B23:G23)</f>
        <v>510</v>
      </c>
      <c s="68" r="K23"/>
      <c s="38" r="L23">
        <f>((((B23*2)+141)*((D23*2)+36))/(402.744996))-24.57966407</f>
        <v>182.067223728949</v>
      </c>
      <c s="38" r="M23">
        <f>((((B23*2)+141)*((F23*2)+36))/(416.310724))-19.16575597</f>
        <v>110.847709645169</v>
      </c>
      <c s="38" r="N23">
        <f>(((((C23*2)+36)*((((C23*2)+36)*(I23/672))+415))/((((C23*2)+36)*(1-(I23/672)))+415))/(1.92306))-3.576327284</f>
        <v>149.442723299735</v>
      </c>
      <c s="38" r="O23">
        <f>(((((E23*2)+36)*((((E23*2)+36)*(I23/672))+415))/((((E23*2)+36)*(1-(I23/672)))+415))/(1.980931))+4.9921912</f>
        <v>79.7818019039969</v>
      </c>
      <c s="68" r="P23"/>
      <c s="38" r="Q23">
        <f>((((L23+M23)+N23)+O23)/(1.535645))-60.47703745</f>
        <v>279.536089658055</v>
      </c>
      <c s="68" r="R23"/>
      <c t="s" s="31" r="S23">
        <v>40</v>
      </c>
      <c t="s" s="31" r="T23">
        <v>24</v>
      </c>
    </row>
    <row customHeight="1" r="24" ht="14.25">
      <c t="s" s="45" r="A24">
        <v>73</v>
      </c>
      <c s="75" r="B24">
        <v>95</v>
      </c>
      <c s="54" r="C24">
        <v>125</v>
      </c>
      <c s="54" r="D24">
        <v>79</v>
      </c>
      <c s="54" r="E24">
        <v>60</v>
      </c>
      <c s="54" r="F24">
        <v>100</v>
      </c>
      <c s="2" r="G24">
        <v>81</v>
      </c>
      <c s="68" r="H24"/>
      <c s="19" r="I24">
        <f>INDEX('Speed Factors'!$A$2:$B$256,(G24),2)</f>
        <v>461</v>
      </c>
      <c s="19" r="J24">
        <f>SUM(B24:G24)</f>
        <v>540</v>
      </c>
      <c s="68" r="K24"/>
      <c s="38" r="L24">
        <f>((((B24*2)+141)*((D24*2)+36))/(402.744996))-24.57966407</f>
        <v>134.861174767883</v>
      </c>
      <c s="38" r="M24">
        <f>((((B24*2)+141)*((F24*2)+36))/(416.310724))-19.16575597</f>
        <v>168.472936709942</v>
      </c>
      <c s="38" r="N24">
        <f>(((((C24*2)+36)*((((C24*2)+36)*(I24/672))+415))/((((C24*2)+36)*(1-(I24/672)))+415))/(1.92306))-3.576327284</f>
        <v>176.491557420099</v>
      </c>
      <c s="38" r="O24">
        <f>(((((E24*2)+36)*((((E24*2)+36)*(I24/672))+415))/((((E24*2)+36)*(1-(I24/672)))+415))/(1.980931))+4.9921912</f>
        <v>93.5933380052107</v>
      </c>
      <c s="68" r="P24"/>
      <c s="38" r="Q24">
        <f>((((L24+M24)+N24)+O24)/(1.535645))-60.47703745</f>
        <v>312.928930011969</v>
      </c>
      <c s="68" r="R24"/>
      <c t="s" s="64" r="S24">
        <v>41</v>
      </c>
      <c t="s" s="64" r="T24">
        <v>26</v>
      </c>
    </row>
    <row customHeight="1" r="25" ht="14.25">
      <c t="s" s="45" r="A25">
        <v>74</v>
      </c>
      <c s="57" r="B25">
        <v>76</v>
      </c>
      <c s="8" r="C25">
        <v>147</v>
      </c>
      <c s="8" r="D25">
        <v>90</v>
      </c>
      <c s="8" r="E25">
        <v>60</v>
      </c>
      <c s="8" r="F25">
        <v>70</v>
      </c>
      <c s="27" r="G25">
        <v>97</v>
      </c>
      <c s="68" r="H25"/>
      <c s="20" r="I25">
        <f>INDEX('Speed Factors'!$A$2:$B$256,(G25),2)</f>
        <v>568</v>
      </c>
      <c s="20" r="J25">
        <f>SUM(B25:G25)</f>
        <v>540</v>
      </c>
      <c s="68" r="K25"/>
      <c s="38" r="L25">
        <f>((((B25*2)+141)*((D25*2)+36))/(402.744996))-24.57966407</f>
        <v>132.561953153222</v>
      </c>
      <c s="38" r="M25">
        <f>((((B25*2)+141)*((F25*2)+36))/(416.310724))-19.16575597</f>
        <v>104.703260673443</v>
      </c>
      <c s="38" r="N25">
        <f>(((((C25*2)+36)*((((C25*2)+36)*(I25/672))+415))/((((C25*2)+36)*(1-(I25/672)))+415))/(1.92306))-3.576327284</f>
        <v>251.919254410452</v>
      </c>
      <c s="38" r="O25">
        <f>(((((E25*2)+36)*((((E25*2)+36)*(I25/672))+415))/((((E25*2)+36)*(1-(I25/672)))+415))/(1.980931))+4.9921912</f>
        <v>103.059287400421</v>
      </c>
      <c s="68" r="P25"/>
      <c s="38" r="Q25">
        <f>((((L25+M25)+N25)+O25)/(1.535645))-60.47703745</f>
        <v>325.18745899126</v>
      </c>
      <c s="68" r="R25"/>
      <c t="s" s="59" r="S25">
        <v>42</v>
      </c>
      <c t="s" s="59" r="T25">
        <v>28</v>
      </c>
    </row>
    <row customHeight="1" r="26" ht="14.25">
      <c t="s" s="45" r="A26">
        <v>75</v>
      </c>
      <c s="75" r="B26">
        <v>91</v>
      </c>
      <c s="54" r="C26">
        <v>90</v>
      </c>
      <c s="54" r="D26">
        <v>106</v>
      </c>
      <c s="54" r="E26">
        <v>130</v>
      </c>
      <c s="54" r="F26">
        <v>106</v>
      </c>
      <c s="2" r="G26">
        <v>77</v>
      </c>
      <c s="68" r="H26"/>
      <c s="19" r="I26">
        <f>INDEX('Speed Factors'!$A$2:$B$256,(G26),2)</f>
        <v>427</v>
      </c>
      <c s="19" r="J26">
        <f>SUM(B26:G26)</f>
        <v>600</v>
      </c>
      <c s="68" r="K26"/>
      <c s="38" r="L26">
        <f>((((B26*2)+141)*((D26*2)+36))/(402.744996))-24.57966407</f>
        <v>174.315420401763</v>
      </c>
      <c s="38" r="M26">
        <f>((((B26*2)+141)*((F26*2)+36))/(416.310724))-19.16575597</f>
        <v>173.248216051533</v>
      </c>
      <c s="38" r="N26">
        <f>(((((C26*2)+36)*((((C26*2)+36)*(I26/672))+415))/((((C26*2)+36)*(1-(I26/672)))+415))/(1.92306))-3.576327284</f>
        <v>122.052565592029</v>
      </c>
      <c s="38" r="O26">
        <f>(((((E26*2)+36)*((((E26*2)+36)*(I26/672))+415))/((((E26*2)+36)*(1-(I26/672)))+415))/(1.980931))+4.9921912</f>
        <v>177.324697875334</v>
      </c>
      <c s="68" r="P26"/>
      <c s="38" r="Q26">
        <f>((((L26+M26)+N26)+O26)/(1.535645))-60.47703745</f>
        <v>360.805811073363</v>
      </c>
      <c s="68" r="R26"/>
      <c t="s" s="61" r="S26">
        <v>43</v>
      </c>
      <c t="s" s="61" r="T26">
        <v>30</v>
      </c>
    </row>
    <row customHeight="1" r="27" ht="14.25">
      <c t="s" s="45" r="A27">
        <v>76</v>
      </c>
      <c s="57" r="B27">
        <v>108</v>
      </c>
      <c s="8" r="C27">
        <v>112</v>
      </c>
      <c s="8" r="D27">
        <v>118</v>
      </c>
      <c s="8" r="E27">
        <v>68</v>
      </c>
      <c s="8" r="F27">
        <v>72</v>
      </c>
      <c s="27" r="G27">
        <v>47</v>
      </c>
      <c s="68" r="H27"/>
      <c s="20" r="I27">
        <f>INDEX('Speed Factors'!$A$2:$B$256,(G27),2)</f>
        <v>182</v>
      </c>
      <c s="20" r="J27">
        <f>SUM(B27:G27)</f>
        <v>525</v>
      </c>
      <c s="68" r="K27"/>
      <c s="38" r="L27">
        <f>((((B27*2)+141)*((D27*2)+36))/(402.744996))-24.57966407</f>
        <v>216.525752420389</v>
      </c>
      <c s="38" r="M27">
        <f>((((B27*2)+141)*((F27*2)+36))/(416.310724))-19.16575597</f>
        <v>135.190104437766</v>
      </c>
      <c s="38" r="N27">
        <f>(((((C27*2)+36)*((((C27*2)+36)*(I27/672))+415))/((((C27*2)+36)*(1-(I27/672)))+415))/(1.92306))-3.576327284</f>
        <v>104.975971876991</v>
      </c>
      <c s="38" r="O27">
        <f>(((((E27*2)+36)*((((E27*2)+36)*(I27/672))+415))/((((E27*2)+36)*(1-(I27/672)))+415))/(1.980931))+4.9921912</f>
        <v>79.1540289537049</v>
      </c>
      <c s="68" r="P27"/>
      <c s="38" r="Q27">
        <f>((((L27+M27)+N27)+O27)/(1.535645))-60.47703745</f>
        <v>288.46158943893</v>
      </c>
      <c s="68" r="R27"/>
      <c t="s" s="37" r="S27">
        <v>45</v>
      </c>
      <c t="s" s="37" r="T27">
        <v>32</v>
      </c>
    </row>
    <row customHeight="1" r="28" ht="14.25">
      <c t="s" s="45" r="A28">
        <v>77</v>
      </c>
      <c s="75" r="B28">
        <v>92</v>
      </c>
      <c s="54" r="C28">
        <v>105</v>
      </c>
      <c s="54" r="D28">
        <v>90</v>
      </c>
      <c s="54" r="E28">
        <v>125</v>
      </c>
      <c s="54" r="F28">
        <v>90</v>
      </c>
      <c s="2" r="G28">
        <v>98</v>
      </c>
      <c s="68" r="H28"/>
      <c s="19" r="I28">
        <f>INDEX('Speed Factors'!$A$2:$B$256,(G28),2)</f>
        <v>572</v>
      </c>
      <c s="19" r="J28">
        <f>SUM(B28:G28)</f>
        <v>600</v>
      </c>
      <c s="68" r="K28"/>
      <c s="38" r="L28">
        <f>((((B28*2)+141)*((D28*2)+36))/(402.744996))-24.57966407</f>
        <v>149.724177559854</v>
      </c>
      <c s="38" r="M28">
        <f>((((B28*2)+141)*((F28*2)+36))/(416.310724))-19.16575597</f>
        <v>149.458293214954</v>
      </c>
      <c s="38" r="N28">
        <f>(((((C28*2)+36)*((((C28*2)+36)*(I28/672))+415))/((((C28*2)+36)*(1-(I28/672)))+415))/(1.92306))-3.576327284</f>
        <v>173.287653792818</v>
      </c>
      <c s="38" r="O28">
        <f>(((((E28*2)+36)*((((E28*2)+36)*(I28/672))+415))/((((E28*2)+36)*(1-(I28/672)))+415))/(1.980931))+4.9921912</f>
        <v>212.753946442402</v>
      </c>
      <c s="68" r="P28"/>
      <c s="38" r="Q28">
        <f>((((L28+M28)+N28)+O28)/(1.535645))-60.47703745</f>
        <v>385.735512332031</v>
      </c>
      <c s="68" r="R28"/>
      <c t="s" s="24" r="S28">
        <v>46</v>
      </c>
      <c t="s" s="24" r="T28">
        <v>34</v>
      </c>
    </row>
    <row customHeight="1" r="29" ht="14.25">
      <c t="s" s="45" r="A29">
        <v>78</v>
      </c>
      <c s="57" r="B29">
        <v>76</v>
      </c>
      <c s="8" r="C29">
        <v>104</v>
      </c>
      <c s="8" r="D29">
        <v>71</v>
      </c>
      <c s="8" r="E29">
        <v>104</v>
      </c>
      <c s="8" r="F29">
        <v>71</v>
      </c>
      <c s="27" r="G29">
        <v>108</v>
      </c>
      <c s="68" r="H29"/>
      <c s="20" r="I29">
        <f>INDEX('Speed Factors'!$A$2:$B$256,(G29),2)</f>
        <v>620</v>
      </c>
      <c s="20" r="J29">
        <f>SUM(B29:G29)</f>
        <v>534</v>
      </c>
      <c s="68" r="K29"/>
      <c s="38" r="L29">
        <f>((((B29*2)+141)*((D29*2)+36))/(402.744996))-24.57966407</f>
        <v>104.916668641729</v>
      </c>
      <c s="38" r="M29">
        <f>((((B29*2)+141)*((F29*2)+36))/(416.310724))-19.16575597</f>
        <v>106.110863135301</v>
      </c>
      <c s="38" r="N29">
        <f>(((((C29*2)+36)*((((C29*2)+36)*(I29/672))+415))/((((C29*2)+36)*(1-(I29/672)))+415))/(1.92306))-3.576327284</f>
        <v>183.615617980205</v>
      </c>
      <c s="38" r="O29">
        <f>(((((E29*2)+36)*((((E29*2)+36)*(I29/672))+415))/((((E29*2)+36)*(1-(I29/672)))+415))/(1.980931))+4.9921912</f>
        <v>186.715503248618</v>
      </c>
      <c s="68" r="P29"/>
      <c s="38" r="Q29">
        <f>((((L29+M29)+N29)+O29)/(1.535645))-60.47703745</f>
        <v>318.099165387148</v>
      </c>
      <c s="63" r="R29"/>
      <c s="49" r="S29"/>
      <c s="49" r="T29"/>
    </row>
    <row customHeight="1" r="30" ht="14.25">
      <c t="s" s="45" r="A30">
        <v>79</v>
      </c>
      <c s="75" r="B30">
        <v>100</v>
      </c>
      <c s="54" r="C30">
        <v>60</v>
      </c>
      <c s="54" r="D30">
        <v>70</v>
      </c>
      <c s="54" r="E30">
        <v>85</v>
      </c>
      <c s="54" r="F30">
        <v>105</v>
      </c>
      <c s="2" r="G30">
        <v>60</v>
      </c>
      <c s="68" r="H30"/>
      <c s="19" r="I30">
        <f>INDEX('Speed Factors'!$A$2:$B$256,(G30),2)</f>
        <v>274</v>
      </c>
      <c s="19" r="J30">
        <f>SUM(B30:G30)</f>
        <v>480</v>
      </c>
      <c s="68" r="K30"/>
      <c s="38" r="L30">
        <f>((((B30*2)+141)*((D30*2)+36))/(402.744996))-24.57966407</f>
        <v>124.43770571999</v>
      </c>
      <c s="38" r="M30">
        <f>((((B30*2)+141)*((F30*2)+36))/(416.310724))-19.16575597</f>
        <v>182.332776650072</v>
      </c>
      <c s="38" r="N30">
        <f>(((((C30*2)+36)*((((C30*2)+36)*(I30/672))+415))/((((C30*2)+36)*(1-(I30/672)))+415))/(1.92306))-3.576327284</f>
        <v>72.9421978422364</v>
      </c>
      <c s="38" r="O30">
        <f>(((((E30*2)+36)*((((E30*2)+36)*(I30/672))+415))/((((E30*2)+36)*(1-(I30/672)))+415))/(1.980931))+4.9921912</f>
        <v>101.622671323538</v>
      </c>
      <c s="68" r="P30"/>
      <c s="38" r="Q30">
        <f>((((L30+M30)+N30)+O30)/(1.535645))-60.47703745</f>
        <v>252.964774645789</v>
      </c>
      <c s="63" r="R30"/>
      <c s="26" r="S30"/>
      <c s="26" r="T30"/>
    </row>
    <row customHeight="1" r="31" ht="14.25">
      <c t="s" s="45" r="A31">
        <v>80</v>
      </c>
      <c s="57" r="B31">
        <v>100</v>
      </c>
      <c s="8" r="C31">
        <v>100</v>
      </c>
      <c s="8" r="D31">
        <v>100</v>
      </c>
      <c s="8" r="E31">
        <v>100</v>
      </c>
      <c s="8" r="F31">
        <v>100</v>
      </c>
      <c s="27" r="G31">
        <v>100</v>
      </c>
      <c s="68" r="H31"/>
      <c s="20" r="I31">
        <f>INDEX('Speed Factors'!$A$2:$B$256,(G31),2)</f>
        <v>577</v>
      </c>
      <c s="20" r="J31">
        <f>SUM(B31:G31)</f>
        <v>600</v>
      </c>
      <c s="68" r="K31"/>
      <c s="38" r="L31">
        <f>((((B31*2)+141)*((D31*2)+36))/(402.744996))-24.57966407</f>
        <v>175.239081784759</v>
      </c>
      <c s="38" r="M31">
        <f>((((B31*2)+141)*((F31*2)+36))/(416.310724))-19.16575597</f>
        <v>174.141779389094</v>
      </c>
      <c s="38" r="N31">
        <f>(((((C31*2)+36)*((((C31*2)+36)*(I31/672))+415))/((((C31*2)+36)*(1-(I31/672)))+415))/(1.92306))-3.576327284</f>
        <v>165.476542525297</v>
      </c>
      <c s="38" r="O31">
        <f>(((((E31*2)+36)*((((E31*2)+36)*(I31/672))+415))/((((E31*2)+36)*(1-(I31/672)))+415))/(1.980931))+4.9921912</f>
        <v>169.106343492769</v>
      </c>
      <c s="68" r="P31"/>
      <c s="38" r="Q31">
        <f>((((L31+M31)+N31)+O31)/(1.535645))-60.47703745</f>
        <v>384.914799329932</v>
      </c>
      <c s="63" r="R31"/>
      <c s="26" r="S31"/>
      <c s="26" r="T31"/>
    </row>
    <row customHeight="1" r="32" ht="14.25">
      <c t="s" s="45" r="A32">
        <v>81</v>
      </c>
      <c s="75" r="B32">
        <v>65</v>
      </c>
      <c s="54" r="C32">
        <v>65</v>
      </c>
      <c s="54" r="D32">
        <v>60</v>
      </c>
      <c s="54" r="E32">
        <v>110</v>
      </c>
      <c s="54" r="F32">
        <v>95</v>
      </c>
      <c s="2" r="G32">
        <v>130</v>
      </c>
      <c s="68" r="H32"/>
      <c s="19" r="I32">
        <f>INDEX('Speed Factors'!$A$2:$B$256,(G32),2)</f>
        <v>662</v>
      </c>
      <c s="19" r="J32">
        <f>SUM(B32:G32)</f>
        <v>525</v>
      </c>
      <c s="68" r="K32"/>
      <c s="38" r="L32">
        <f>((((B32*2)+141)*((D32*2)+36))/(402.744996))-24.57966407</f>
        <v>80.3899827782007</v>
      </c>
      <c s="38" r="M32">
        <f>((((B32*2)+141)*((F32*2)+36))/(416.310724))-19.16575597</f>
        <v>127.950319761933</v>
      </c>
      <c s="38" r="N32">
        <f>(((((C32*2)+36)*((((C32*2)+36)*(I32/672))+415))/((((C32*2)+36)*(1-(I32/672)))+415))/(1.92306))-3.576327284</f>
        <v>116.046879246371</v>
      </c>
      <c s="38" r="O32">
        <f>(((((E32*2)+36)*((((E32*2)+36)*(I32/672))+415))/((((E32*2)+36)*(1-(I32/672)))+415))/(1.980931))+4.9921912</f>
        <v>210.86733057022</v>
      </c>
      <c s="68" r="P32"/>
      <c s="38" r="Q32">
        <f>((((L32+M32)+N32)+O32)/(1.535645))-60.47703745</f>
        <v>288.076509988845</v>
      </c>
      <c s="63" r="R32"/>
      <c s="26" r="S32"/>
      <c s="26" r="T32"/>
    </row>
    <row customHeight="1" r="33" ht="14.25">
      <c t="s" s="45" r="A33">
        <v>82</v>
      </c>
      <c s="57" r="B33">
        <v>91</v>
      </c>
      <c s="8" r="C33">
        <v>72</v>
      </c>
      <c s="8" r="D33">
        <v>90</v>
      </c>
      <c s="8" r="E33">
        <v>129</v>
      </c>
      <c s="8" r="F33">
        <v>90</v>
      </c>
      <c s="27" r="G33">
        <v>108</v>
      </c>
      <c s="68" r="H33"/>
      <c s="20" r="I33">
        <f>INDEX('Speed Factors'!$A$2:$B$256,(G33),2)</f>
        <v>620</v>
      </c>
      <c s="20" r="J33">
        <f>SUM(B33:G33)</f>
        <v>580</v>
      </c>
      <c s="68" r="K33"/>
      <c s="38" r="L33">
        <f>((((B33*2)+141)*((D33*2)+36))/(402.744996))-24.57966407</f>
        <v>148.651538534439</v>
      </c>
      <c s="38" r="M33">
        <f>((((B33*2)+141)*((F33*2)+36))/(416.310724))-19.16575597</f>
        <v>148.420606758432</v>
      </c>
      <c s="38" r="N33">
        <f>(((((C33*2)+36)*((((C33*2)+36)*(I33/672))+415))/((((C33*2)+36)*(1-(I33/672)))+415))/(1.92306))-3.576327284</f>
        <v>123.225121624537</v>
      </c>
      <c s="38" r="O33">
        <f>(((((E33*2)+36)*((((E33*2)+36)*(I33/672))+415))/((((E33*2)+36)*(1-(I33/672)))+415))/(1.980931))+4.9921912</f>
        <v>237.658866867582</v>
      </c>
      <c s="68" r="P33"/>
      <c s="38" r="Q33">
        <f>((((L33+M33)+N33)+O33)/(1.535645))-60.47703745</f>
        <v>367.978845117254</v>
      </c>
      <c s="63" r="R33"/>
      <c s="26" r="S33"/>
      <c s="26" r="T33"/>
    </row>
    <row customHeight="1" r="34" ht="14.25">
      <c t="s" s="45" r="A34">
        <v>83</v>
      </c>
      <c s="75" r="B34">
        <v>89</v>
      </c>
      <c s="54" r="C34">
        <v>125</v>
      </c>
      <c s="54" r="D34">
        <v>90</v>
      </c>
      <c s="54" r="E34">
        <v>115</v>
      </c>
      <c s="54" r="F34">
        <v>80</v>
      </c>
      <c s="2" r="G34">
        <v>101</v>
      </c>
      <c s="68" r="H34"/>
      <c s="19" r="I34">
        <f>INDEX('Speed Factors'!$A$2:$B$256,(G34),2)</f>
        <v>602</v>
      </c>
      <c s="19" r="J34">
        <f>SUM(B34:G34)</f>
        <v>600</v>
      </c>
      <c s="68" r="K34"/>
      <c s="38" r="L34">
        <f>((((B34*2)+141)*((D34*2)+36))/(402.744996))-24.57966407</f>
        <v>146.50626048361</v>
      </c>
      <c s="38" r="M34">
        <f>((((B34*2)+141)*((F34*2)+36))/(416.310724))-19.16575597</f>
        <v>131.020142195813</v>
      </c>
      <c s="38" r="N34">
        <f>(((((C34*2)+36)*((((C34*2)+36)*(I34/672))+415))/((((C34*2)+36)*(1-(I34/672)))+415))/(1.92306))-3.576327284</f>
        <v>220.850048604876</v>
      </c>
      <c s="38" r="O34">
        <f>(((((E34*2)+36)*((((E34*2)+36)*(I34/672))+415))/((((E34*2)+36)*(1-(I34/672)))+415))/(1.980931))+4.9921912</f>
        <v>203.14567381529</v>
      </c>
      <c s="68" r="P34"/>
      <c s="38" r="Q34">
        <f>((((L34+M34)+N34)+O34)/(1.535645))-60.47703745</f>
        <v>396.348677542455</v>
      </c>
      <c s="63" r="R34"/>
      <c s="26" r="S34"/>
      <c s="26" r="T34"/>
    </row>
    <row customHeight="1" r="35" ht="14.25">
      <c t="s" s="45" r="A35">
        <v>84</v>
      </c>
      <c s="57" r="B35">
        <v>89</v>
      </c>
      <c s="8" r="C35">
        <v>145</v>
      </c>
      <c s="8" r="D35">
        <v>90</v>
      </c>
      <c s="8" r="E35">
        <v>105</v>
      </c>
      <c s="8" r="F35">
        <v>80</v>
      </c>
      <c s="27" r="G35">
        <v>91</v>
      </c>
      <c s="68" r="H35"/>
      <c s="20" r="I35">
        <f>INDEX('Speed Factors'!$A$2:$B$256,(G35),2)</f>
        <v>532</v>
      </c>
      <c s="20" r="J35">
        <f>SUM(B35:G35)</f>
        <v>600</v>
      </c>
      <c s="68" r="K35"/>
      <c s="38" r="L35">
        <f>((((B35*2)+141)*((D35*2)+36))/(402.744996))-24.57966407</f>
        <v>146.50626048361</v>
      </c>
      <c s="38" r="M35">
        <f>((((B35*2)+141)*((F35*2)+36))/(416.310724))-19.16575597</f>
        <v>131.020142195813</v>
      </c>
      <c s="38" r="N35">
        <f>(((((C35*2)+36)*((((C35*2)+36)*(I35/672))+415))/((((C35*2)+36)*(1-(I35/672)))+415))/(1.92306))-3.576327284</f>
        <v>232.700651004315</v>
      </c>
      <c s="38" r="O35">
        <f>(((((E35*2)+36)*((((E35*2)+36)*(I35/672))+415))/((((E35*2)+36)*(1-(I35/672)))+415))/(1.980931))+4.9921912</f>
        <v>167.396939541155</v>
      </c>
      <c s="68" r="P35"/>
      <c s="38" r="Q35">
        <f>((((L35+M35)+N35)+O35)/(1.535645))-60.47703745</f>
        <v>380.786401186464</v>
      </c>
      <c s="63" r="R35"/>
      <c s="26" r="S35"/>
      <c s="26" r="T35"/>
    </row>
    <row customHeight="1" r="36" ht="14.25">
      <c t="s" s="45" r="A36">
        <v>85</v>
      </c>
      <c s="75" r="B36">
        <v>80</v>
      </c>
      <c s="54" r="C36">
        <v>80</v>
      </c>
      <c s="54" r="D36">
        <v>90</v>
      </c>
      <c s="54" r="E36">
        <v>110</v>
      </c>
      <c s="54" r="F36">
        <v>130</v>
      </c>
      <c s="2" r="G36">
        <v>110</v>
      </c>
      <c s="68" r="H36"/>
      <c s="19" r="I36">
        <f>INDEX('Speed Factors'!$A$2:$B$256,(G36),2)</f>
        <v>627</v>
      </c>
      <c s="19" r="J36">
        <f>SUM(B36:G36)</f>
        <v>600</v>
      </c>
      <c s="68" r="K36"/>
      <c s="38" r="L36">
        <f>((((B36*2)+141)*((D36*2)+36))/(402.744996))-24.57966407</f>
        <v>136.85250925488</v>
      </c>
      <c s="38" r="M36">
        <f>((((B36*2)+141)*((F36*2)+36))/(416.310724))-19.16575597</f>
        <v>194.847467479896</v>
      </c>
      <c s="38" r="N36">
        <f>(((((C36*2)+36)*((((C36*2)+36)*(I36/672))+415))/((((C36*2)+36)*(1-(I36/672)))+415))/(1.92306))-3.576327284</f>
        <v>138.75583326821</v>
      </c>
      <c s="38" r="O36">
        <f>(((((E36*2)+36)*((((E36*2)+36)*(I36/672))+415))/((((E36*2)+36)*(1-(I36/672)))+415))/(1.980931))+4.9921912</f>
        <v>200.527931676248</v>
      </c>
      <c s="68" r="P36"/>
      <c s="38" r="Q36">
        <f>((((L36+M36)+N36)+O36)/(1.535645))-60.47703745</f>
        <v>376.462321372667</v>
      </c>
      <c s="63" r="R36"/>
      <c s="26" r="S36"/>
      <c s="26" r="T36"/>
    </row>
    <row customHeight="1" r="37" ht="14.25">
      <c t="s" s="45" r="A37">
        <v>86</v>
      </c>
      <c s="57" r="B37">
        <v>80</v>
      </c>
      <c s="8" r="C37">
        <v>90</v>
      </c>
      <c s="8" r="D37">
        <v>80</v>
      </c>
      <c s="8" r="E37">
        <v>130</v>
      </c>
      <c s="8" r="F37">
        <v>110</v>
      </c>
      <c s="27" r="G37">
        <v>110</v>
      </c>
      <c s="68" r="H37"/>
      <c s="20" r="I37">
        <f>INDEX('Speed Factors'!$A$2:$B$256,(G37),2)</f>
        <v>627</v>
      </c>
      <c s="20" r="J37">
        <f>SUM(B37:G37)</f>
        <v>600</v>
      </c>
      <c s="68" r="K37"/>
      <c s="38" r="L37">
        <f>((((B37*2)+141)*((D37*2)+36))/(402.744996))-24.57966407</f>
        <v>121.905085798872</v>
      </c>
      <c s="38" r="M37">
        <f>((((B37*2)+141)*((F37*2)+36))/(416.310724))-19.16575597</f>
        <v>165.926761608288</v>
      </c>
      <c s="38" r="N37">
        <f>(((((C37*2)+36)*((((C37*2)+36)*(I37/672))+415))/((((C37*2)+36)*(1-(I37/672)))+415))/(1.92306))-3.576327284</f>
        <v>157.67084304245</v>
      </c>
      <c s="38" r="O37">
        <f>(((((E37*2)+36)*((((E37*2)+36)*(I37/672))+415))/((((E37*2)+36)*(1-(I37/672)))+415))/(1.980931))+4.9921912</f>
        <v>242.513014184902</v>
      </c>
      <c s="68" r="P37"/>
      <c s="38" r="Q37">
        <f>((((L37+M37)+N37)+O37)/(1.535645))-60.47703745</f>
        <v>387.553402289987</v>
      </c>
      <c s="63" r="R37"/>
      <c s="26" r="S37"/>
      <c s="26" r="T37"/>
    </row>
    <row customHeight="1" r="38" ht="14.25">
      <c t="s" s="45" r="A38">
        <v>87</v>
      </c>
      <c s="75" r="B38">
        <v>70</v>
      </c>
      <c s="54" r="C38">
        <v>110</v>
      </c>
      <c s="54" r="D38">
        <v>70</v>
      </c>
      <c s="54" r="E38">
        <v>115</v>
      </c>
      <c s="54" r="F38">
        <v>70</v>
      </c>
      <c s="2" r="G38">
        <v>90</v>
      </c>
      <c s="68" r="H38"/>
      <c s="19" r="I38">
        <f>INDEX('Speed Factors'!$A$2:$B$256,(G38),2)</f>
        <v>503</v>
      </c>
      <c s="19" r="J38">
        <f>SUM(B38:G38)</f>
        <v>525</v>
      </c>
      <c s="68" r="K38"/>
      <c s="38" r="L38">
        <f>((((B38*2)+141)*((D38*2)+36))/(402.744996))-24.57966407</f>
        <v>98.2176406543025</v>
      </c>
      <c s="38" r="M38">
        <f>((((B38*2)+141)*((F38*2)+36))/(416.310724))-19.16575597</f>
        <v>99.6301268859987</v>
      </c>
      <c s="38" r="N38">
        <f>(((((C38*2)+36)*((((C38*2)+36)*(I38/672))+415))/((((C38*2)+36)*(1-(I38/672)))+415))/(1.92306))-3.576327284</f>
        <v>164.878088461436</v>
      </c>
      <c s="38" r="O38">
        <f>(((((E38*2)+36)*((((E38*2)+36)*(I38/672))+415))/((((E38*2)+36)*(1-(I38/672)))+415))/(1.980931))+4.9921912</f>
        <v>176.112344664279</v>
      </c>
      <c s="68" r="P38"/>
      <c s="38" r="Q38">
        <f>((((L38+M38)+N38)+O38)/(1.535645))-60.47703745</f>
        <v>290.41017975581</v>
      </c>
      <c s="63" r="R38"/>
      <c s="26" r="S38"/>
      <c s="26" r="T38"/>
    </row>
    <row customHeight="1" r="39" ht="14.25">
      <c t="s" s="45" r="A39">
        <v>88</v>
      </c>
      <c s="57" r="B39">
        <v>70</v>
      </c>
      <c s="8" r="C39">
        <v>70</v>
      </c>
      <c s="8" r="D39">
        <v>115</v>
      </c>
      <c s="8" r="E39">
        <v>130</v>
      </c>
      <c s="8" r="F39">
        <v>90</v>
      </c>
      <c s="27" r="G39">
        <v>60</v>
      </c>
      <c s="68" r="H39"/>
      <c s="20" r="I39">
        <f>INDEX('Speed Factors'!$A$2:$B$256,(G39),2)</f>
        <v>274</v>
      </c>
      <c s="20" r="J39">
        <f>SUM(B39:G39)</f>
        <v>535</v>
      </c>
      <c s="68" r="K39"/>
      <c s="38" r="L39">
        <f>((((B39*2)+141)*((D39*2)+36))/(402.744996))-24.57966407</f>
        <v>161.011716933775</v>
      </c>
      <c s="38" r="M39">
        <f>((((B39*2)+141)*((F39*2)+36))/(416.310724))-19.16575597</f>
        <v>126.629191171453</v>
      </c>
      <c s="38" r="N39">
        <f>(((((C39*2)+36)*((((C39*2)+36)*(I39/672))+415))/((((C39*2)+36)*(1-(I39/672)))+415))/(1.92306))-3.576327284</f>
        <v>82.2202311006221</v>
      </c>
      <c s="38" r="O39">
        <f>(((((E39*2)+36)*((((E39*2)+36)*(I39/672))+415))/((((E39*2)+36)*(1-(I39/672)))+415))/(1.980931))+4.9921912</f>
        <v>140.591194694934</v>
      </c>
      <c s="68" r="P39"/>
      <c s="38" r="Q39">
        <f>((((L39+M39)+N39)+O39)/(1.535645))-60.47703745</f>
        <v>271.925525577773</v>
      </c>
      <c s="63" r="R39"/>
      <c s="26" r="S39"/>
      <c s="26" r="T39"/>
    </row>
    <row customHeight="1" r="40" ht="14.25">
      <c t="s" s="45" r="A40">
        <v>89</v>
      </c>
      <c s="75" r="B40">
        <v>110</v>
      </c>
      <c s="54" r="C40">
        <v>130</v>
      </c>
      <c s="54" r="D40">
        <v>80</v>
      </c>
      <c s="54" r="E40">
        <v>70</v>
      </c>
      <c s="54" r="F40">
        <v>60</v>
      </c>
      <c s="2" r="G40">
        <v>80</v>
      </c>
      <c s="68" r="H40"/>
      <c s="19" r="I40">
        <f>INDEX('Speed Factors'!$A$2:$B$256,(G40),2)</f>
        <v>432</v>
      </c>
      <c s="19" r="J40">
        <f>SUM(B40:G40)</f>
        <v>530</v>
      </c>
      <c s="68" r="K40"/>
      <c s="38" r="L40">
        <f>((((B40*2)+141)*((D40*2)+36))/(402.744996))-24.57966407</f>
        <v>151.104703712933</v>
      </c>
      <c s="38" r="M40">
        <f>((((B40*2)+141)*((F40*2)+36))/(416.310724))-19.16575597</f>
        <v>116.108203487263</v>
      </c>
      <c s="38" r="N40">
        <f>(((((C40*2)+36)*((((C40*2)+36)*(I40/672))+415))/((((C40*2)+36)*(1-(I40/672)))+415))/(1.92306))-3.576327284</f>
        <v>175.344051056207</v>
      </c>
      <c s="38" r="O40">
        <f>(((((E40*2)+36)*((((E40*2)+36)*(I40/672))+415))/((((E40*2)+36)*(1-(I40/672)))+415))/(1.980931))+4.9921912</f>
        <v>103.188835747196</v>
      </c>
      <c s="68" r="P40"/>
      <c s="38" r="Q40">
        <f>((((L40+M40)+N40)+O40)/(1.535645))-60.47703745</f>
        <v>294.90835045124</v>
      </c>
      <c s="63" r="R40"/>
      <c s="26" r="S40"/>
      <c s="26" r="T40"/>
    </row>
    <row customHeight="1" r="41" ht="14.25">
      <c t="s" s="45" r="A41">
        <v>90</v>
      </c>
      <c s="57" r="B41">
        <v>80</v>
      </c>
      <c s="8" r="C41">
        <v>135</v>
      </c>
      <c s="8" r="D41">
        <v>130</v>
      </c>
      <c s="8" r="E41">
        <v>95</v>
      </c>
      <c s="8" r="F41">
        <v>90</v>
      </c>
      <c s="27" r="G41">
        <v>70</v>
      </c>
      <c s="68" r="H41"/>
      <c s="20" r="I41">
        <f>INDEX('Speed Factors'!$A$2:$B$256,(G41),2)</f>
        <v>369</v>
      </c>
      <c s="20" r="J41">
        <f>SUM(B41:G41)</f>
        <v>600</v>
      </c>
      <c s="68" r="K41"/>
      <c s="38" r="L41">
        <f>((((B41*2)+141)*((D41*2)+36))/(402.744996))-24.57966407</f>
        <v>196.642203078909</v>
      </c>
      <c s="38" r="M41">
        <f>((((B41*2)+141)*((F41*2)+36))/(416.310724))-19.16575597</f>
        <v>137.006055736681</v>
      </c>
      <c s="38" r="N41">
        <f>(((((C41*2)+36)*((((C41*2)+36)*(I41/672))+415))/((((C41*2)+36)*(1-(I41/672)))+415))/(1.92306))-3.576327284</f>
        <v>164.19317065928</v>
      </c>
      <c s="38" r="O41">
        <f>(((((E41*2)+36)*((((E41*2)+36)*(I41/672))+415))/((((E41*2)+36)*(1-(I41/672)))+415))/(1.980931))+4.9921912</f>
        <v>123.979036850825</v>
      </c>
      <c s="68" r="P41"/>
      <c s="38" r="Q41">
        <f>((((L41+M41)+N41)+O41)/(1.535645))-60.47703745</f>
        <v>344.447581407676</v>
      </c>
      <c s="63" r="R41"/>
      <c s="26" r="S41"/>
      <c s="26" r="T41"/>
    </row>
    <row customHeight="1" r="42" ht="14.25">
      <c t="s" s="45" r="A42">
        <v>91</v>
      </c>
      <c s="75" r="B42">
        <v>73</v>
      </c>
      <c s="54" r="C42">
        <v>76</v>
      </c>
      <c s="54" r="D42">
        <v>75</v>
      </c>
      <c s="54" r="E42">
        <v>81</v>
      </c>
      <c s="54" r="F42">
        <v>100</v>
      </c>
      <c s="2" r="G42">
        <v>100</v>
      </c>
      <c s="68" r="H42"/>
      <c s="19" r="I42">
        <f>INDEX('Speed Factors'!$A$2:$B$256,(G42),2)</f>
        <v>577</v>
      </c>
      <c s="19" r="J42">
        <f>SUM(B42:G42)</f>
        <v>505</v>
      </c>
      <c s="68" r="K42"/>
      <c s="38" r="L42">
        <f>((((B42*2)+141)*((D42*2)+36))/(402.744996))-24.57966407</f>
        <v>107.965744389898</v>
      </c>
      <c s="38" r="M42">
        <f>((((B42*2)+141)*((F42*2)+36))/(416.310724))-19.16575597</f>
        <v>143.530028921671</v>
      </c>
      <c s="38" r="N42">
        <f>(((((C42*2)+36)*((((C42*2)+36)*(I42/672))+415))/((((C42*2)+36)*(1-(I42/672)))+415))/(1.92306))-3.576327284</f>
        <v>124.037933687393</v>
      </c>
      <c s="38" r="O42">
        <f>(((((E42*2)+36)*((((E42*2)+36)*(I42/672))+415))/((((E42*2)+36)*(1-(I42/672)))+415))/(1.980931))+4.9921912</f>
        <v>136.988979213021</v>
      </c>
      <c s="68" r="P42"/>
      <c s="38" r="Q42">
        <f>((((L42+M42)+N42)+O42)/(1.535645))-60.47703745</f>
        <v>273.273722792102</v>
      </c>
      <c s="63" r="R42"/>
      <c s="26" r="S42"/>
      <c s="26" r="T42"/>
    </row>
    <row customHeight="1" r="43" ht="14.25">
      <c t="s" s="45" r="A43">
        <v>92</v>
      </c>
      <c s="57" r="B43">
        <v>90</v>
      </c>
      <c s="8" r="C43">
        <v>75</v>
      </c>
      <c s="8" r="D43">
        <v>75</v>
      </c>
      <c s="8" r="E43">
        <v>90</v>
      </c>
      <c s="8" r="F43">
        <v>100</v>
      </c>
      <c s="27" r="G43">
        <v>70</v>
      </c>
      <c s="68" r="H43"/>
      <c s="20" r="I43">
        <f>INDEX('Speed Factors'!$A$2:$B$256,(G43),2)</f>
        <v>369</v>
      </c>
      <c s="20" r="J43">
        <f>SUM(B43:G43)</f>
        <v>500</v>
      </c>
      <c s="68" r="K43"/>
      <c s="38" r="L43">
        <f>((((B43*2)+141)*((D43*2)+36))/(402.744996))-24.57966407</f>
        <v>123.667987900827</v>
      </c>
      <c s="38" r="M43">
        <f>((((B43*2)+141)*((F43*2)+36))/(416.310724))-19.16575597</f>
        <v>162.804094030789</v>
      </c>
      <c s="38" r="N43">
        <f>(((((C43*2)+36)*((((C43*2)+36)*(I43/672))+415))/((((C43*2)+36)*(1-(I43/672)))+415))/(1.92306))-3.576327284</f>
        <v>96.6863215334932</v>
      </c>
      <c s="38" r="O43">
        <f>(((((E43*2)+36)*((((E43*2)+36)*(I43/672))+415))/((((E43*2)+36)*(1-(I43/672)))+415))/(1.980931))+4.9921912</f>
        <v>118.54633058956</v>
      </c>
      <c s="68" r="P43"/>
      <c s="38" r="Q43">
        <f>((((L43+M43)+N43)+O43)/(1.535645))-60.47703745</f>
        <v>266.229157051118</v>
      </c>
      <c s="63" r="R43"/>
      <c s="26" r="S43"/>
      <c s="26" r="T43"/>
    </row>
    <row customHeight="1" r="44" ht="14.25">
      <c t="s" s="45" r="A44">
        <v>93</v>
      </c>
      <c s="75" r="B44">
        <v>110</v>
      </c>
      <c s="54" r="C44">
        <v>65</v>
      </c>
      <c s="54" r="D44">
        <v>75</v>
      </c>
      <c s="54" r="E44">
        <v>125</v>
      </c>
      <c s="54" r="F44">
        <v>85</v>
      </c>
      <c s="2" r="G44">
        <v>30</v>
      </c>
      <c s="68" r="H44"/>
      <c s="19" r="I44">
        <f>INDEX('Speed Factors'!$A$2:$B$256,(G44),2)</f>
        <v>44</v>
      </c>
      <c s="19" r="J44">
        <f>SUM(B44:G44)</f>
        <v>490</v>
      </c>
      <c s="68" r="K44"/>
      <c s="38" r="L44">
        <f>((((B44*2)+141)*((D44*2)+36))/(402.744996))-24.57966407</f>
        <v>142.141215560743</v>
      </c>
      <c s="38" r="M44">
        <f>((((B44*2)+141)*((F44*2)+36))/(416.310724))-19.16575597</f>
        <v>159.465241774848</v>
      </c>
      <c s="38" r="N44">
        <f>(((((C44*2)+36)*((((C44*2)+36)*(I44/672))+415))/((((C44*2)+36)*(1-(I44/672)))+415))/(1.92306))-3.576327284</f>
        <v>60.9024377027887</v>
      </c>
      <c s="38" r="O44">
        <f>(((((E44*2)+36)*((((E44*2)+36)*(I44/672))+415))/((((E44*2)+36)*(1-(I44/672)))+415))/(1.980931))+4.9921912</f>
        <v>96.7733701772308</v>
      </c>
      <c s="68" r="P44"/>
      <c s="38" r="Q44">
        <f>((((L44+M44)+N44)+O44)/(1.535645))-60.47703745</f>
        <v>238.603977508282</v>
      </c>
      <c s="63" r="R44"/>
      <c s="26" r="S44"/>
      <c s="26" r="T44"/>
    </row>
    <row customHeight="1" r="45" ht="14.25">
      <c t="s" s="45" r="A45">
        <v>94</v>
      </c>
      <c s="57" r="B45">
        <v>50</v>
      </c>
      <c s="8" r="C45">
        <v>65</v>
      </c>
      <c s="8" r="D45">
        <v>107</v>
      </c>
      <c s="8" r="E45">
        <v>105</v>
      </c>
      <c s="8" r="F45">
        <v>107</v>
      </c>
      <c s="27" r="G45">
        <v>86</v>
      </c>
      <c s="68" r="H45"/>
      <c s="20" r="I45">
        <f>INDEX('Speed Factors'!$A$2:$B$256,(G45),2)</f>
        <v>496</v>
      </c>
      <c s="20" r="J45">
        <f>SUM(B45:G45)</f>
        <v>520</v>
      </c>
      <c s="68" r="K45"/>
      <c s="38" r="L45">
        <f>((((B45*2)+141)*((D45*2)+36))/(402.744996))-24.57966407</f>
        <v>125.018718525423</v>
      </c>
      <c s="38" r="M45">
        <f>((((B45*2)+141)*((F45*2)+36))/(416.310724))-19.16575597</f>
        <v>125.557875987172</v>
      </c>
      <c s="38" r="N45">
        <f>(((((C45*2)+36)*((((C45*2)+36)*(I45/672))+415))/((((C45*2)+36)*(1-(I45/672)))+415))/(1.92306))-3.576327284</f>
        <v>97.6273219288027</v>
      </c>
      <c s="38" r="O45">
        <f>(((((E45*2)+36)*((((E45*2)+36)*(I45/672))+415))/((((E45*2)+36)*(1-(I45/672)))+415))/(1.980931))+4.9921912</f>
        <v>159.519163901316</v>
      </c>
      <c s="68" r="P45"/>
      <c s="38" r="Q45">
        <f>((((L45+M45)+N45)+O45)/(1.535645))-60.47703745</f>
        <v>270.148257030634</v>
      </c>
      <c s="63" r="R45"/>
      <c s="26" r="S45"/>
      <c s="26" r="T45"/>
    </row>
    <row customHeight="1" r="46" ht="14.25">
      <c t="s" s="45" r="A46">
        <v>95</v>
      </c>
      <c s="75" r="B46">
        <v>95</v>
      </c>
      <c s="54" r="C46">
        <v>135</v>
      </c>
      <c s="54" r="D46">
        <v>80</v>
      </c>
      <c s="54" r="E46">
        <v>110</v>
      </c>
      <c s="54" r="F46">
        <v>80</v>
      </c>
      <c s="2" r="G46">
        <v>100</v>
      </c>
      <c s="68" r="H46"/>
      <c s="19" r="I46">
        <f>INDEX('Speed Factors'!$A$2:$B$256,(G46),2)</f>
        <v>577</v>
      </c>
      <c s="19" r="J46">
        <f>SUM(B46:G46)</f>
        <v>600</v>
      </c>
      <c s="68" r="K46"/>
      <c s="38" r="L46">
        <f>((((B46*2)+141)*((D46*2)+36))/(402.744996))-24.57966407</f>
        <v>136.504894755903</v>
      </c>
      <c s="38" r="M46">
        <f>((((B46*2)+141)*((F46*2)+36))/(416.310724))-19.16575597</f>
        <v>136.669768459104</v>
      </c>
      <c s="38" r="N46">
        <f>(((((C46*2)+36)*((((C46*2)+36)*(I46/672))+415))/((((C46*2)+36)*(1-(I46/672)))+415))/(1.92306))-3.576327284</f>
        <v>231.755930488383</v>
      </c>
      <c s="38" r="O46">
        <f>(((((E46*2)+36)*((((E46*2)+36)*(I46/672))+415))/((((E46*2)+36)*(1-(I46/672)))+415))/(1.980931))+4.9921912</f>
        <v>186.817413278589</v>
      </c>
      <c s="68" r="P46"/>
      <c s="38" r="Q46">
        <f>((((L46+M46)+N46)+O46)/(1.535645))-60.47703745</f>
        <v>389.983848354974</v>
      </c>
      <c s="63" r="R46"/>
      <c s="26" r="S46"/>
      <c s="26" r="T46"/>
    </row>
    <row customHeight="1" r="47" ht="14.25">
      <c t="s" s="45" r="A47">
        <v>96</v>
      </c>
      <c s="57" r="B47">
        <v>70</v>
      </c>
      <c s="8" r="C47">
        <v>130</v>
      </c>
      <c s="8" r="D47">
        <v>100</v>
      </c>
      <c s="8" r="E47">
        <v>55</v>
      </c>
      <c s="8" r="F47">
        <v>80</v>
      </c>
      <c s="27" r="G47">
        <v>65</v>
      </c>
      <c s="68" r="H47"/>
      <c s="20" r="I47">
        <f>INDEX('Speed Factors'!$A$2:$B$256,(G47),2)</f>
        <v>321</v>
      </c>
      <c s="20" r="J47">
        <f>SUM(B47:G47)</f>
        <v>500</v>
      </c>
      <c s="68" r="K47"/>
      <c s="38" r="L47">
        <f>((((B47*2)+141)*((D47*2)+36))/(402.744996))-24.57966407</f>
        <v>140.080358173951</v>
      </c>
      <c s="38" r="M47">
        <f>((((B47*2)+141)*((F47*2)+36))/(416.310724))-19.16575597</f>
        <v>113.129659028726</v>
      </c>
      <c s="38" r="N47">
        <f>(((((C47*2)+36)*((((C47*2)+36)*(I47/672))+415))/((((C47*2)+36)*(1-(I47/672)))+415))/(1.92306))-3.576327284</f>
        <v>146.774213933561</v>
      </c>
      <c s="38" r="O47">
        <f>(((((E47*2)+36)*((((E47*2)+36)*(I47/672))+415))/((((E47*2)+36)*(1-(I47/672)))+415))/(1.980931))+4.9921912</f>
        <v>77.7170470531314</v>
      </c>
      <c s="68" r="P47"/>
      <c s="38" r="Q47">
        <f>((((L47+M47)+N47)+O47)/(1.535645))-60.47703745</f>
        <v>250.598294537125</v>
      </c>
      <c s="63" r="R47"/>
      <c s="26" r="S47"/>
      <c s="26" r="T47"/>
    </row>
    <row customHeight="1" r="48" ht="14.25">
      <c t="s" s="45" r="A48">
        <v>97</v>
      </c>
      <c s="75" r="B48">
        <v>65</v>
      </c>
      <c s="54" r="C48">
        <v>80</v>
      </c>
      <c s="54" r="D48">
        <v>140</v>
      </c>
      <c s="54" r="E48">
        <v>40</v>
      </c>
      <c s="54" r="F48">
        <v>70</v>
      </c>
      <c s="2" r="G48">
        <v>70</v>
      </c>
      <c s="68" r="H48"/>
      <c s="19" r="I48">
        <f>INDEX('Speed Factors'!$A$2:$B$256,(G48),2)</f>
        <v>369</v>
      </c>
      <c s="19" r="J48">
        <f>SUM(B48:G48)</f>
        <v>465</v>
      </c>
      <c s="68" r="K48"/>
      <c s="38" r="L48">
        <f>((((B48*2)+141)*((D48*2)+36))/(402.744996))-24.57966407</f>
        <v>188.051159032766</v>
      </c>
      <c s="38" r="M48">
        <f>((((B48*2)+141)*((F48*2)+36))/(416.310724))-19.16575597</f>
        <v>95.4025153964614</v>
      </c>
      <c s="38" r="N48">
        <f>(((((C48*2)+36)*((((C48*2)+36)*(I48/672))+415))/((((C48*2)+36)*(1-(I48/672)))+415))/(1.92306))-3.576327284</f>
        <v>102.242215044079</v>
      </c>
      <c s="38" r="O48">
        <f>(((((E48*2)+36)*((((E48*2)+36)*(I48/672))+415))/((((E48*2)+36)*(1-(I48/672)))+415))/(1.980931))+4.9921912</f>
        <v>64.9781669986524</v>
      </c>
      <c s="68" r="P48"/>
      <c s="38" r="Q48">
        <f>((((L48+M48)+N48)+O48)/(1.535645))-60.47703745</f>
        <v>232.998379376128</v>
      </c>
      <c s="63" r="R48"/>
      <c s="26" r="S48"/>
      <c s="26" r="T48"/>
    </row>
    <row customHeight="1" r="49" ht="14.25">
      <c t="s" s="45" r="A49">
        <v>98</v>
      </c>
      <c s="57" r="B49">
        <v>60</v>
      </c>
      <c s="8" r="C49">
        <v>75</v>
      </c>
      <c s="8" r="D49">
        <v>85</v>
      </c>
      <c s="8" r="E49">
        <v>100</v>
      </c>
      <c s="8" r="F49">
        <v>85</v>
      </c>
      <c s="27" r="G49">
        <v>115</v>
      </c>
      <c s="68" r="H49"/>
      <c s="20" r="I49">
        <f>INDEX('Speed Factors'!$A$2:$B$256,(G49),2)</f>
        <v>642</v>
      </c>
      <c s="20" r="J49">
        <f>SUM(B49:G49)</f>
        <v>520</v>
      </c>
      <c s="68" r="K49"/>
      <c s="38" r="L49">
        <f>((((B49*2)+141)*((D49*2)+36))/(402.744996))-24.57966407</f>
        <v>108.919201301378</v>
      </c>
      <c s="38" r="M49">
        <f>((((B49*2)+141)*((F49*2)+36))/(416.310724))-19.16575597</f>
        <v>109.9829709314</v>
      </c>
      <c s="38" r="N49">
        <f>(((((C49*2)+36)*((((C49*2)+36)*(I49/672))+415))/((((C49*2)+36)*(1-(I49/672)))+415))/(1.92306))-3.576327284</f>
        <v>131.849185067975</v>
      </c>
      <c s="38" r="O49">
        <f>(((((E49*2)+36)*((((E49*2)+36)*(I49/672))+415))/((((E49*2)+36)*(1-(I49/672)))+415))/(1.980931))+4.9921912</f>
        <v>184.30097148743</v>
      </c>
      <c s="68" r="P49"/>
      <c s="38" r="Q49">
        <f>((((L49+M49)+N49)+O49)/(1.535645))-60.47703745</f>
        <v>287.944849632094</v>
      </c>
      <c s="63" r="R49"/>
      <c s="26" r="S49"/>
      <c s="26" r="T49"/>
    </row>
    <row customHeight="1" r="50" ht="14.25">
      <c t="s" s="45" r="A50">
        <v>99</v>
      </c>
      <c s="75" r="B50">
        <v>80</v>
      </c>
      <c s="54" r="C50">
        <v>70</v>
      </c>
      <c s="54" r="D50">
        <v>65</v>
      </c>
      <c s="54" r="E50">
        <v>80</v>
      </c>
      <c s="54" r="F50">
        <v>120</v>
      </c>
      <c s="2" r="G50">
        <v>100</v>
      </c>
      <c s="68" r="H50"/>
      <c s="19" r="I50">
        <f>INDEX('Speed Factors'!$A$2:$B$256,(G50),2)</f>
        <v>577</v>
      </c>
      <c s="19" r="J50">
        <f>SUM(B50:G50)</f>
        <v>515</v>
      </c>
      <c s="68" r="K50"/>
      <c s="38" r="L50">
        <f>((((B50*2)+141)*((D50*2)+36))/(402.744996))-24.57966407</f>
        <v>99.4839506148613</v>
      </c>
      <c s="38" r="M50">
        <f>((((B50*2)+141)*((F50*2)+36))/(416.310724))-19.16575597</f>
        <v>180.387114544092</v>
      </c>
      <c s="38" r="N50">
        <f>(((((C50*2)+36)*((((C50*2)+36)*(I50/672))+415))/((((C50*2)+36)*(1-(I50/672)))+415))/(1.92306))-3.576327284</f>
        <v>114.209339270461</v>
      </c>
      <c s="38" r="O50">
        <f>(((((E50*2)+36)*((((E50*2)+36)*(I50/672))+415))/((((E50*2)+36)*(1-(I50/672)))+415))/(1.980931))+4.9921912</f>
        <v>135.355326751207</v>
      </c>
      <c s="68" r="P50"/>
      <c s="38" r="Q50">
        <f>((((L50+M50)+N50)+O50)/(1.535645))-60.47703745</f>
        <v>284.287365247643</v>
      </c>
      <c s="63" r="R50"/>
      <c s="26" r="S50"/>
      <c s="26" r="T50"/>
    </row>
    <row customHeight="1" r="51" ht="14.25">
      <c t="s" s="45" r="A51">
        <v>100</v>
      </c>
      <c s="57" r="B51">
        <v>91</v>
      </c>
      <c s="8" r="C51">
        <v>129</v>
      </c>
      <c s="8" r="D51">
        <v>90</v>
      </c>
      <c s="8" r="E51">
        <v>72</v>
      </c>
      <c s="8" r="F51">
        <v>90</v>
      </c>
      <c s="27" r="G51">
        <v>108</v>
      </c>
      <c s="68" r="H51"/>
      <c s="20" r="I51">
        <f>INDEX('Speed Factors'!$A$2:$B$256,(G51),2)</f>
        <v>620</v>
      </c>
      <c s="20" r="J51">
        <f>SUM(B51:G51)</f>
        <v>580</v>
      </c>
      <c s="68" r="K51"/>
      <c s="38" r="L51">
        <f>((((B51*2)+141)*((D51*2)+36))/(402.744996))-24.57966407</f>
        <v>148.651538534439</v>
      </c>
      <c s="38" r="M51">
        <f>((((B51*2)+141)*((F51*2)+36))/(416.310724))-19.16575597</f>
        <v>148.420606758432</v>
      </c>
      <c s="38" r="N51">
        <f>(((((C51*2)+36)*((((C51*2)+36)*(I51/672))+415))/((((C51*2)+36)*(1-(I51/672)))+415))/(1.92306))-3.576327284</f>
        <v>236.092029655908</v>
      </c>
      <c s="38" r="O51">
        <f>(((((E51*2)+36)*((((E51*2)+36)*(I51/672))+415))/((((E51*2)+36)*(1-(I51/672)))+415))/(1.980931))+4.9921912</f>
        <v>128.089257346197</v>
      </c>
      <c s="68" r="P51"/>
      <c s="38" r="Q51">
        <f>((((L51+M51)+N51)+O51)/(1.535645))-60.47703745</f>
        <v>370.126020089324</v>
      </c>
      <c s="63" r="R51"/>
      <c s="26" r="S51"/>
      <c s="26" r="T51"/>
    </row>
    <row customHeight="1" r="52" ht="14.25">
      <c t="s" s="45" r="A52">
        <v>101</v>
      </c>
      <c s="75" r="B52">
        <v>79</v>
      </c>
      <c s="54" r="C52">
        <v>105</v>
      </c>
      <c s="54" r="D52">
        <v>70</v>
      </c>
      <c s="54" r="E52">
        <v>145</v>
      </c>
      <c s="54" r="F52">
        <v>80</v>
      </c>
      <c s="2" r="G52">
        <v>101</v>
      </c>
      <c s="68" r="H52"/>
      <c s="19" r="I52">
        <f>INDEX('Speed Factors'!$A$2:$B$256,(G52),2)</f>
        <v>602</v>
      </c>
      <c s="19" r="J52">
        <f>SUM(B52:G52)</f>
        <v>580</v>
      </c>
      <c s="68" r="K52"/>
      <c s="38" r="L52">
        <f>((((B52*2)+141)*((D52*2)+36))/(402.744996))-24.57966407</f>
        <v>106.083660174009</v>
      </c>
      <c s="38" r="M52">
        <f>((((B52*2)+141)*((F52*2)+36))/(416.310724))-19.16575597</f>
        <v>121.604098423662</v>
      </c>
      <c s="38" r="N52">
        <f>(((((C52*2)+36)*((((C52*2)+36)*(I52/672))+415))/((((C52*2)+36)*(1-(I52/672)))+415))/(1.92306))-3.576327284</f>
        <v>180.884121499864</v>
      </c>
      <c s="38" r="O52">
        <f>(((((E52*2)+36)*((((E52*2)+36)*(I52/672))+415))/((((E52*2)+36)*(1-(I52/672)))+415))/(1.980931))+4.9921912</f>
        <v>264.163679387535</v>
      </c>
      <c s="68" r="P52"/>
      <c s="38" r="Q52">
        <f>((((L52+M52)+N52)+O52)/(1.535645))-60.47703745</f>
        <v>377.603091411208</v>
      </c>
      <c s="63" r="R52"/>
      <c s="26" r="S52"/>
      <c s="26" r="T52"/>
    </row>
    <row customHeight="1" r="53" ht="14.25">
      <c t="s" s="45" r="A53">
        <v>102</v>
      </c>
      <c s="57" r="B53">
        <v>79</v>
      </c>
      <c s="8" r="C53">
        <v>100</v>
      </c>
      <c s="8" r="D53">
        <v>80</v>
      </c>
      <c s="8" r="E53">
        <v>110</v>
      </c>
      <c s="8" r="F53">
        <v>90</v>
      </c>
      <c s="27" r="G53">
        <v>121</v>
      </c>
      <c s="68" r="H53"/>
      <c s="20" r="I53">
        <f>INDEX('Speed Factors'!$A$2:$B$256,(G53),2)</f>
        <v>657</v>
      </c>
      <c s="20" r="J53">
        <f>SUM(B53:G53)</f>
        <v>580</v>
      </c>
      <c s="68" r="K53"/>
      <c s="38" r="L53">
        <f>((((B53*2)+141)*((D53*2)+36))/(402.744996))-24.57966407</f>
        <v>120.931765201737</v>
      </c>
      <c s="38" r="M53">
        <f>((((B53*2)+141)*((F53*2)+36))/(416.310724))-19.16575597</f>
        <v>135.968369280158</v>
      </c>
      <c s="38" r="N53">
        <f>(((((C53*2)+36)*((((C53*2)+36)*(I53/672))+415))/((((C53*2)+36)*(1-(I53/672)))+415))/(1.92306))-3.576327284</f>
        <v>184.981861452323</v>
      </c>
      <c s="38" r="O53">
        <f>(((((E53*2)+36)*((((E53*2)+36)*(I53/672))+415))/((((E53*2)+36)*(1-(I53/672)))+415))/(1.980931))+4.9921912</f>
        <v>209.350149796304</v>
      </c>
      <c s="68" r="P53"/>
      <c s="38" r="Q53">
        <f>((((L53+M53)+N53)+O53)/(1.535645))-60.47703745</f>
        <v>363.600236744571</v>
      </c>
      <c s="63" r="R53"/>
      <c s="26" r="S53"/>
      <c s="26" r="T53"/>
    </row>
    <row customHeight="1" r="54" ht="14.25">
      <c t="s" s="45" r="A54">
        <v>103</v>
      </c>
      <c s="75" r="B54">
        <v>83</v>
      </c>
      <c s="54" r="C54">
        <v>106</v>
      </c>
      <c s="54" r="D54">
        <v>65</v>
      </c>
      <c s="54" r="E54">
        <v>86</v>
      </c>
      <c s="54" r="F54">
        <v>65</v>
      </c>
      <c s="2" r="G54">
        <v>85</v>
      </c>
      <c s="68" r="H54"/>
      <c s="19" r="I54">
        <f>INDEX('Speed Factors'!$A$2:$B$256,(G54),2)</f>
        <v>469</v>
      </c>
      <c s="19" r="J54">
        <f>SUM(B54:G54)</f>
        <v>490</v>
      </c>
      <c s="68" r="K54"/>
      <c s="38" r="L54">
        <f>((((B54*2)+141)*((D54*2)+36))/(402.744996))-24.57966407</f>
        <v>101.956979479011</v>
      </c>
      <c s="38" r="M54">
        <f>((((B54*2)+141)*((F54*2)+36))/(416.310724))-19.16575597</f>
        <v>103.247617171932</v>
      </c>
      <c s="38" r="N54">
        <f>(((((C54*2)+36)*((((C54*2)+36)*(I54/672))+415))/((((C54*2)+36)*(1-(I54/672)))+415))/(1.92306))-3.576327284</f>
        <v>151.225293517635</v>
      </c>
      <c s="38" r="O54">
        <f>(((((E54*2)+36)*((((E54*2)+36)*(I54/672))+415))/((((E54*2)+36)*(1-(I54/672)))+415))/(1.980931))+4.9921912</f>
        <v>128.085602096334</v>
      </c>
      <c s="68" r="P54"/>
      <c s="38" r="Q54">
        <f>((((L54+M54)+N54)+O54)/(1.535645))-60.47703745</f>
        <v>255.035657388269</v>
      </c>
      <c s="63" r="R54"/>
      <c s="26" r="S54"/>
      <c s="26" r="T54"/>
    </row>
    <row customHeight="1" r="55" ht="14.25">
      <c t="s" s="45" r="A55">
        <v>104</v>
      </c>
      <c s="57" r="B55">
        <v>100</v>
      </c>
      <c s="8" r="C55">
        <v>134</v>
      </c>
      <c s="8" r="D55">
        <v>110</v>
      </c>
      <c s="8" r="E55">
        <v>95</v>
      </c>
      <c s="8" r="F55">
        <v>100</v>
      </c>
      <c s="27" r="G55">
        <v>61</v>
      </c>
      <c s="68" r="H55"/>
      <c s="20" r="I55">
        <f>INDEX('Speed Factors'!$A$2:$B$256,(G55),2)</f>
        <v>313</v>
      </c>
      <c s="20" r="J55">
        <f>SUM(B55:G55)</f>
        <v>600</v>
      </c>
      <c s="68" r="K55"/>
      <c s="38" r="L55">
        <f>((((B55*2)+141)*((D55*2)+36))/(402.744996))-24.57966407</f>
        <v>192.172873806349</v>
      </c>
      <c s="38" r="M55">
        <f>((((B55*2)+141)*((F55*2)+36))/(416.310724))-19.16575597</f>
        <v>174.141779389094</v>
      </c>
      <c s="38" r="N55">
        <f>(((((C55*2)+36)*((((C55*2)+36)*(I55/672))+415))/((((C55*2)+36)*(1-(I55/672)))+415))/(1.92306))-3.576327284</f>
        <v>148.807849868463</v>
      </c>
      <c s="38" r="O55">
        <f>(((((E55*2)+36)*((((E55*2)+36)*(I55/672))+415))/((((E55*2)+36)*(1-(I55/672)))+415))/(1.980931))+4.9921912</f>
        <v>115.785487895308</v>
      </c>
      <c s="68" r="P55"/>
      <c s="38" r="Q55">
        <f>((((L55+M55)+N55)+O55)/(1.535645))-60.47703745</f>
        <v>350.365306294299</v>
      </c>
      <c s="63" r="R55"/>
      <c s="26" r="S55"/>
      <c s="26" r="T55"/>
    </row>
    <row customHeight="1" r="56" ht="14.25">
      <c t="s" s="45" r="A56">
        <v>105</v>
      </c>
      <c s="75" r="B56">
        <v>130</v>
      </c>
      <c s="54" r="C56">
        <v>65</v>
      </c>
      <c s="54" r="D56">
        <v>60</v>
      </c>
      <c s="54" r="E56">
        <v>110</v>
      </c>
      <c s="54" r="F56">
        <v>95</v>
      </c>
      <c s="2" r="G56">
        <v>65</v>
      </c>
      <c s="68" r="H56"/>
      <c s="19" r="I56">
        <f>INDEX('Speed Factors'!$A$2:$B$256,(G56),2)</f>
        <v>321</v>
      </c>
      <c s="19" r="J56">
        <f>SUM(B56:G56)</f>
        <v>525</v>
      </c>
      <c s="68" r="K56"/>
      <c s="38" r="L56">
        <f>((((B56*2)+141)*((D56*2)+36))/(402.744996))-24.57966407</f>
        <v>130.744425915714</v>
      </c>
      <c s="38" r="M56">
        <f>((((B56*2)+141)*((F56*2)+36))/(416.310724))-19.16575597</f>
        <v>198.522607013414</v>
      </c>
      <c s="38" r="N56">
        <f>(((((C56*2)+36)*((((C56*2)+36)*(I56/672))+415))/((((C56*2)+36)*(1-(I56/672)))+415))/(1.92306))-3.576327284</f>
        <v>81.4693841906391</v>
      </c>
      <c s="38" r="O56">
        <f>(((((E56*2)+36)*((((E56*2)+36)*(I56/672))+415))/((((E56*2)+36)*(1-(I56/672)))+415))/(1.980931))+4.9921912</f>
        <v>131.53271946371</v>
      </c>
      <c s="68" r="P56"/>
      <c s="38" r="Q56">
        <f>((((L56+M56)+N56)+O56)/(1.535645))-60.47703745</f>
        <v>292.644378361257</v>
      </c>
      <c s="63" r="R56"/>
      <c s="26" r="S56"/>
      <c s="26" r="T56"/>
    </row>
    <row customHeight="1" r="57" ht="14.25">
      <c t="s" s="45" r="A57">
        <v>106</v>
      </c>
      <c s="57" r="B57">
        <v>80</v>
      </c>
      <c s="8" r="C57">
        <v>82</v>
      </c>
      <c s="8" r="D57">
        <v>83</v>
      </c>
      <c s="8" r="E57">
        <v>100</v>
      </c>
      <c s="8" r="F57">
        <v>100</v>
      </c>
      <c s="27" r="G57">
        <v>80</v>
      </c>
      <c s="68" r="H57"/>
      <c s="20" r="I57">
        <f>INDEX('Speed Factors'!$A$2:$B$256,(G57),2)</f>
        <v>432</v>
      </c>
      <c s="20" r="J57">
        <f>SUM(B57:G57)</f>
        <v>525</v>
      </c>
      <c s="68" r="K57"/>
      <c s="38" r="L57">
        <f>((((B57*2)+141)*((D57*2)+36))/(402.744996))-24.57966407</f>
        <v>126.389312835675</v>
      </c>
      <c s="38" r="M57">
        <f>((((B57*2)+141)*((F57*2)+36))/(416.310724))-19.16575597</f>
        <v>151.466408672485</v>
      </c>
      <c s="38" r="N57">
        <f>(((((C57*2)+36)*((((C57*2)+36)*(I57/672))+415))/((((C57*2)+36)*(1-(I57/672)))+415))/(1.92306))-3.576327284</f>
        <v>112.6420228971</v>
      </c>
      <c s="38" r="O57">
        <f>(((((E57*2)+36)*((((E57*2)+36)*(I57/672))+415))/((((E57*2)+36)*(1-(I57/672)))+415))/(1.980931))+4.9921912</f>
        <v>140.21740443623</v>
      </c>
      <c s="68" r="P57"/>
      <c s="38" r="Q57">
        <f>((((L57+M57)+N57)+O57)/(1.535645))-60.47703745</f>
        <v>285.120512010643</v>
      </c>
      <c s="63" r="R57"/>
      <c s="26" r="S57"/>
      <c s="26" r="T57"/>
    </row>
    <row customHeight="1" r="58" ht="14.25">
      <c t="s" s="45" r="A58">
        <v>107</v>
      </c>
      <c s="75" r="B58">
        <v>85</v>
      </c>
      <c s="54" r="C58">
        <v>60</v>
      </c>
      <c s="54" r="D58">
        <v>65</v>
      </c>
      <c s="54" r="E58">
        <v>135</v>
      </c>
      <c s="54" r="F58">
        <v>105</v>
      </c>
      <c s="2" r="G58">
        <v>100</v>
      </c>
      <c s="68" r="H58"/>
      <c s="19" r="I58">
        <f>INDEX('Speed Factors'!$A$2:$B$256,(G58),2)</f>
        <v>577</v>
      </c>
      <c s="19" r="J58">
        <f>SUM(B58:G58)</f>
        <v>550</v>
      </c>
      <c s="68" r="K58"/>
      <c s="38" r="L58">
        <f>((((B58*2)+141)*((D58*2)+36))/(402.744996))-24.57966407</f>
        <v>103.605665388445</v>
      </c>
      <c s="38" r="M58">
        <f>((((B58*2)+141)*((F58*2)+36))/(416.310724))-19.16575597</f>
        <v>164.605633017808</v>
      </c>
      <c s="38" r="N58">
        <f>(((((C58*2)+36)*((((C58*2)+36)*(I58/672))+415))/((((C58*2)+36)*(1-(I58/672)))+415))/(1.92306))-3.576327284</f>
        <v>98.3126150996736</v>
      </c>
      <c s="38" r="O58">
        <f>(((((E58*2)+36)*((((E58*2)+36)*(I58/672))+415))/((((E58*2)+36)*(1-(I58/672)))+415))/(1.980931))+4.9921912</f>
        <v>233.449442680116</v>
      </c>
      <c s="68" r="P58"/>
      <c s="38" r="Q58">
        <f>((((L58+M58)+N58)+O58)/(1.535645))-60.47703745</f>
        <v>330.220914346179</v>
      </c>
      <c s="63" r="R58"/>
      <c s="26" r="S58"/>
      <c s="26" r="T58"/>
    </row>
    <row customHeight="1" r="59" ht="14.25">
      <c s="11" r="A59"/>
      <c s="11" r="B59"/>
      <c s="11" r="C59"/>
      <c s="11" r="D59"/>
      <c s="11" r="E59"/>
      <c s="11" r="F59"/>
      <c s="11" r="G59"/>
      <c s="26" r="H59"/>
      <c s="11" r="I59"/>
      <c s="11" r="J59"/>
      <c s="26" r="K59"/>
      <c s="11" r="L59"/>
      <c s="11" r="M59"/>
      <c s="11" r="N59"/>
      <c s="11" r="O59"/>
      <c s="26" r="P59"/>
      <c s="11" r="Q59"/>
      <c s="26" r="R59"/>
      <c s="26" r="S59"/>
      <c s="26" r="T59"/>
    </row>
    <row customHeight="1" r="60" ht="14.25">
      <c t="s" s="45" r="A60">
        <v>108</v>
      </c>
      <c s="57" r="B60">
        <v>70</v>
      </c>
      <c s="8" r="C60">
        <v>116</v>
      </c>
      <c s="8" r="D60">
        <v>70</v>
      </c>
      <c s="8" r="E60">
        <v>114</v>
      </c>
      <c s="8" r="F60">
        <v>64</v>
      </c>
      <c s="27" r="G60">
        <v>121</v>
      </c>
      <c s="68" r="H60"/>
      <c s="20" r="I60">
        <f>INDEX('Speed Factors'!$A$2:$B$256,(G60),2)</f>
        <v>657</v>
      </c>
      <c s="20" r="J60">
        <f>SUM(B60:G60)</f>
        <v>555</v>
      </c>
      <c s="68" r="K60"/>
      <c s="38" r="L60">
        <f>((((B60*2)+141)*((D60*2)+36))/(402.744996))-24.57966407</f>
        <v>98.2176406543025</v>
      </c>
      <c s="38" r="M60">
        <f>((((B60*2)+141)*((F60*2)+36))/(416.310724))-19.16575597</f>
        <v>91.5304076003624</v>
      </c>
      <c s="38" r="N60">
        <f>(((((C60*2)+36)*((((C60*2)+36)*(I60/672))+415))/((((C60*2)+36)*(1-(I60/672)))+415))/(1.92306))-3.576327284</f>
        <v>220.542534887756</v>
      </c>
      <c s="38" r="O60">
        <f>(((((E60*2)+36)*((((E60*2)+36)*(I60/672))+415))/((((E60*2)+36)*(1-(I60/672)))+415))/(1.980931))+4.9921912</f>
        <v>218.123485415234</v>
      </c>
      <c s="68" r="P60"/>
      <c s="38" r="Q60">
        <f>((((L60+M60)+N60)+O60)/(1.535645))-60.47703745</f>
        <v>348.741283553653</v>
      </c>
      <c s="63" r="R60"/>
      <c s="26" r="S60"/>
      <c s="26" r="T60"/>
    </row>
    <row customHeight="1" r="61" ht="14.25">
      <c t="s" s="45" r="A61">
        <v>109</v>
      </c>
      <c s="75" r="B61">
        <v>90</v>
      </c>
      <c s="54" r="C61">
        <v>105</v>
      </c>
      <c s="54" r="D61">
        <v>90</v>
      </c>
      <c s="54" r="E61">
        <v>65</v>
      </c>
      <c s="54" r="F61">
        <v>110</v>
      </c>
      <c s="2" r="G61">
        <v>65</v>
      </c>
      <c s="68" r="H61"/>
      <c s="19" r="I61">
        <f>INDEX('Speed Factors'!$A$2:$B$256,(G61),2)</f>
        <v>321</v>
      </c>
      <c s="19" r="J61">
        <f>SUM(B61:G61)</f>
        <v>525</v>
      </c>
      <c s="68" r="K61"/>
      <c s="38" r="L61">
        <f>((((B61*2)+141)*((D61*2)+36))/(402.744996))-24.57966407</f>
        <v>147.578899509025</v>
      </c>
      <c s="38" r="M61">
        <f>((((B61*2)+141)*((F61*2)+36))/(416.310724))-19.16575597</f>
        <v>178.22526775967</v>
      </c>
      <c s="38" r="N61">
        <f>(((((C61*2)+36)*((((C61*2)+36)*(I61/672))+415))/((((C61*2)+36)*(1-(I61/672)))+415))/(1.92306))-3.576327284</f>
        <v>121.759938889152</v>
      </c>
      <c s="38" r="O61">
        <f>(((((E61*2)+36)*((((E61*2)+36)*(I61/672))+415))/((((E61*2)+36)*(1-(I61/672)))+415))/(1.980931))+4.9921912</f>
        <v>87.5533737492253</v>
      </c>
      <c s="68" r="P61"/>
      <c s="38" r="Q61">
        <f>((((L61+M61)+N61)+O61)/(1.535645))-60.47703745</f>
        <v>287.987275530586</v>
      </c>
      <c s="63" r="R61"/>
      <c s="26" r="S61"/>
      <c s="26" r="T61"/>
    </row>
    <row customHeight="1" r="62" ht="14.25">
      <c t="s" s="45" r="A62">
        <v>110</v>
      </c>
      <c s="57" r="B62">
        <v>120</v>
      </c>
      <c s="8" r="C62">
        <v>70</v>
      </c>
      <c s="8" r="D62">
        <v>105</v>
      </c>
      <c s="8" r="E62">
        <v>95</v>
      </c>
      <c s="8" r="F62">
        <v>90</v>
      </c>
      <c s="27" r="G62">
        <v>60</v>
      </c>
      <c s="68" r="H62"/>
      <c s="20" r="I62">
        <f>INDEX('Speed Factors'!$A$2:$B$256,(G62),2)</f>
        <v>274</v>
      </c>
      <c s="20" r="J62">
        <f>SUM(B62:G62)</f>
        <v>540</v>
      </c>
      <c s="68" r="K62"/>
      <c s="38" r="L62">
        <f>((((B62*2)+141)*((D62*2)+36))/(402.744996))-24.57966407</f>
        <v>208.138311152217</v>
      </c>
      <c s="38" r="M62">
        <f>((((B62*2)+141)*((F62*2)+36))/(416.310724))-19.16575597</f>
        <v>178.513513997593</v>
      </c>
      <c s="38" r="N62">
        <f>(((((C62*2)+36)*((((C62*2)+36)*(I62/672))+415))/((((C62*2)+36)*(1-(I62/672)))+415))/(1.92306))-3.576327284</f>
        <v>82.2202311006221</v>
      </c>
      <c s="38" r="O62">
        <f>(((((E62*2)+36)*((((E62*2)+36)*(I62/672))+415))/((((E62*2)+36)*(1-(I62/672)))+415))/(1.980931))+4.9921912</f>
        <v>110.411433538112</v>
      </c>
      <c s="68" r="P62"/>
      <c s="38" r="Q62">
        <f>((((L62+M62)+N62)+O62)/(1.535645))-60.47703745</f>
        <v>316.747835348429</v>
      </c>
      <c s="63" r="R62"/>
      <c s="26" r="S62"/>
      <c s="26" r="T62"/>
    </row>
    <row customHeight="1" r="63" ht="14.25">
      <c t="s" s="45" r="A63">
        <v>111</v>
      </c>
      <c s="75" r="B63">
        <v>95</v>
      </c>
      <c s="54" r="C63">
        <v>76</v>
      </c>
      <c s="54" r="D63">
        <v>109</v>
      </c>
      <c s="54" r="E63">
        <v>90</v>
      </c>
      <c s="54" r="F63">
        <v>80</v>
      </c>
      <c s="2" r="G63">
        <v>105</v>
      </c>
      <c s="68" r="H63"/>
      <c s="19" r="I63">
        <f>INDEX('Speed Factors'!$A$2:$B$256,(G63),2)</f>
        <v>609</v>
      </c>
      <c s="19" r="J63">
        <f>SUM(B63:G63)</f>
        <v>555</v>
      </c>
      <c s="68" r="K63"/>
      <c s="38" r="L63">
        <f>((((B63*2)+141)*((D63*2)+36))/(402.744996))-24.57966407</f>
        <v>184.172774408466</v>
      </c>
      <c s="38" r="M63">
        <f>((((B63*2)+141)*((F63*2)+36))/(416.310724))-19.16575597</f>
        <v>136.669768459104</v>
      </c>
      <c s="38" r="N63">
        <f>(((((C63*2)+36)*((((C63*2)+36)*(I63/672))+415))/((((C63*2)+36)*(1-(I63/672)))+415))/(1.92306))-3.576327284</f>
        <v>128.701658490099</v>
      </c>
      <c s="38" r="O63">
        <f>(((((E63*2)+36)*((((E63*2)+36)*(I63/672))+415))/((((E63*2)+36)*(1-(I63/672)))+415))/(1.980931))+4.9921912</f>
        <v>157.998415606048</v>
      </c>
      <c s="68" r="P63"/>
      <c s="38" r="Q63">
        <f>((((L63+M63)+N63)+O63)/(1.535645))-60.47703745</f>
        <v>335.149957697783</v>
      </c>
      <c s="63" r="R63"/>
      <c s="26" r="S63"/>
      <c s="26" r="T63"/>
    </row>
    <row customHeight="1" r="64" ht="14.25">
      <c t="s" s="45" r="A64">
        <v>112</v>
      </c>
      <c s="57" r="B64">
        <v>90</v>
      </c>
      <c s="8" r="C64">
        <v>60</v>
      </c>
      <c s="8" r="D64">
        <v>65</v>
      </c>
      <c s="8" r="E64">
        <v>120</v>
      </c>
      <c s="8" r="F64">
        <v>70</v>
      </c>
      <c s="27" r="G64">
        <v>130</v>
      </c>
      <c s="68" r="H64"/>
      <c s="20" r="I64">
        <f>INDEX('Speed Factors'!$A$2:$B$256,(G64),2)</f>
        <v>662</v>
      </c>
      <c s="20" r="J64">
        <f>SUM(B64:G64)</f>
        <v>535</v>
      </c>
      <c s="68" r="K64"/>
      <c s="38" r="L64">
        <f>((((B64*2)+141)*((D64*2)+36))/(402.744996))-24.57966407</f>
        <v>107.727380162028</v>
      </c>
      <c s="38" r="M64">
        <f>((((B64*2)+141)*((F64*2)+36))/(416.310724))-19.16575597</f>
        <v>116.540572844148</v>
      </c>
      <c s="38" r="N64">
        <f>(((((C64*2)+36)*((((C64*2)+36)*(I64/672))+415))/((((C64*2)+36)*(1-(I64/672)))+415))/(1.92306))-3.576327284</f>
        <v>106.96583162307</v>
      </c>
      <c s="38" r="O64">
        <f>(((((E64*2)+36)*((((E64*2)+36)*(I64/672))+415))/((((E64*2)+36)*(1-(I64/672)))+415))/(1.980931))+4.9921912</f>
        <v>233.343587390988</v>
      </c>
      <c s="68" r="P64"/>
      <c s="38" r="Q64">
        <f>((((L64+M64)+N64)+O64)/(1.535645))-60.47703745</f>
        <v>307.171326605647</v>
      </c>
      <c s="63" r="R64"/>
      <c s="26" r="S64"/>
      <c s="26" r="T64"/>
    </row>
    <row customHeight="1" r="65" ht="14.25">
      <c t="s" s="45" r="A65">
        <v>113</v>
      </c>
      <c s="75" r="B65">
        <v>105</v>
      </c>
      <c s="54" r="C65">
        <v>110</v>
      </c>
      <c s="54" r="D65">
        <v>95</v>
      </c>
      <c s="54" r="E65">
        <v>70</v>
      </c>
      <c s="54" r="F65">
        <v>100</v>
      </c>
      <c s="2" r="G65">
        <v>75</v>
      </c>
      <c s="68" r="H65"/>
      <c s="19" r="I65">
        <f>INDEX('Speed Factors'!$A$2:$B$256,(G65),2)</f>
        <v>413</v>
      </c>
      <c s="19" r="J65">
        <f>SUM(B65:G65)</f>
        <v>555</v>
      </c>
      <c s="68" r="K65"/>
      <c s="38" r="L65">
        <f>((((B65*2)+141)*((D65*2)+36))/(402.744996))-24.57966407</f>
        <v>172.383676971734</v>
      </c>
      <c s="38" r="M65">
        <f>((((B65*2)+141)*((F65*2)+36))/(416.310724))-19.16575597</f>
        <v>179.810622068246</v>
      </c>
      <c s="38" r="N65">
        <f>(((((C65*2)+36)*((((C65*2)+36)*(I65/672))+415))/((((C65*2)+36)*(1-(I65/672)))+415))/(1.92306))-3.576327284</f>
        <v>144.748819638552</v>
      </c>
      <c s="38" r="O65">
        <f>(((((E65*2)+36)*((((E65*2)+36)*(I65/672))+415))/((((E65*2)+36)*(1-(I65/672)))+415))/(1.980931))+4.9921912</f>
        <v>101.261120116005</v>
      </c>
      <c s="68" r="P65"/>
      <c s="38" r="Q65">
        <f>((((L65+M65)+N65)+O65)/(1.535645))-60.47703745</f>
        <v>329.068878952904</v>
      </c>
      <c s="63" r="R65"/>
      <c s="26" r="S65"/>
      <c s="26" r="T65"/>
    </row>
    <row customHeight="1" r="66" ht="14.25">
      <c t="s" s="45" r="A66">
        <v>114</v>
      </c>
      <c s="57" r="B66">
        <v>80</v>
      </c>
      <c s="8" r="C66">
        <v>103</v>
      </c>
      <c s="8" r="D66">
        <v>85</v>
      </c>
      <c s="8" r="E66">
        <v>55</v>
      </c>
      <c s="8" r="F66">
        <v>80</v>
      </c>
      <c s="27" r="G66">
        <v>110</v>
      </c>
      <c s="68" r="H66"/>
      <c s="20" r="I66">
        <f>INDEX('Speed Factors'!$A$2:$B$256,(G66),2)</f>
        <v>627</v>
      </c>
      <c s="20" r="J66">
        <f>SUM(B66:G66)</f>
        <v>513</v>
      </c>
      <c s="68" r="K66"/>
      <c s="38" r="L66">
        <f>((((B66*2)+141)*((D66*2)+36))/(402.744996))-24.57966407</f>
        <v>129.378797526876</v>
      </c>
      <c s="38" r="M66">
        <f>((((B66*2)+141)*((F66*2)+36))/(416.310724))-19.16575597</f>
        <v>122.545702800877</v>
      </c>
      <c s="38" r="N66">
        <f>(((((C66*2)+36)*((((C66*2)+36)*(I66/672))+415))/((((C66*2)+36)*(1-(I66/672)))+415))/(1.92306))-3.576327284</f>
        <v>183.430411242055</v>
      </c>
      <c s="38" r="O66">
        <f>(((((E66*2)+36)*((((E66*2)+36)*(I66/672))+415))/((((E66*2)+36)*(1-(I66/672)))+415))/(1.980931))+4.9921912</f>
        <v>100.634539836236</v>
      </c>
      <c s="68" r="P66"/>
      <c s="38" r="Q66">
        <f>((((L66+M66)+N66)+O66)/(1.535645))-60.47703745</f>
        <v>288.555096543237</v>
      </c>
      <c s="63" r="R66"/>
      <c s="26" r="S66"/>
      <c s="26" r="T66"/>
    </row>
    <row customHeight="1" r="67" ht="14.25">
      <c t="s" s="45" r="A67">
        <v>115</v>
      </c>
      <c s="75" r="B67">
        <v>108</v>
      </c>
      <c s="54" r="C67">
        <v>60</v>
      </c>
      <c s="54" r="D67">
        <v>118</v>
      </c>
      <c s="54" r="E67">
        <v>112</v>
      </c>
      <c s="54" r="F67">
        <v>70</v>
      </c>
      <c s="2" r="G67">
        <v>80</v>
      </c>
      <c s="68" r="H67"/>
      <c s="19" r="I67">
        <f>INDEX('Speed Factors'!$A$2:$B$256,(G67),2)</f>
        <v>432</v>
      </c>
      <c s="19" r="J67">
        <f>SUM(B67:G67)</f>
        <v>548</v>
      </c>
      <c s="68" r="K67"/>
      <c s="38" r="L67">
        <f>((((B67*2)+141)*((D67*2)+36))/(402.744996))-24.57966407</f>
        <v>216.525752420389</v>
      </c>
      <c s="38" r="M67">
        <f>((((B67*2)+141)*((F67*2)+36))/(416.310724))-19.16575597</f>
        <v>131.759974206482</v>
      </c>
      <c s="38" r="N67">
        <f>(((((C67*2)+36)*((((C67*2)+36)*(I67/672))+415))/((((C67*2)+36)*(1-(I67/672)))+415))/(1.92306))-3.576327284</f>
        <v>85.2256195752568</v>
      </c>
      <c s="38" r="O67">
        <f>(((((E67*2)+36)*((((E67*2)+36)*(I67/672))+415))/((((E67*2)+36)*(1-(I67/672)))+415))/(1.980931))+4.9921912</f>
        <v>155.442127282953</v>
      </c>
      <c s="68" r="P67"/>
      <c s="38" r="Q67">
        <f>((((L67+M67)+N67)+O67)/(1.535645))-60.47703745</f>
        <v>323.044853016274</v>
      </c>
      <c s="63" r="R67"/>
      <c s="26" r="S67"/>
      <c s="26" r="T67"/>
    </row>
    <row customHeight="1" r="68" ht="14.25">
      <c t="s" s="45" r="A68">
        <v>116</v>
      </c>
      <c s="57" r="B68">
        <v>133</v>
      </c>
      <c s="8" r="C68">
        <v>122</v>
      </c>
      <c s="8" r="D68">
        <v>72</v>
      </c>
      <c s="8" r="E68">
        <v>71</v>
      </c>
      <c s="8" r="F68">
        <v>72</v>
      </c>
      <c s="27" r="G68">
        <v>95</v>
      </c>
      <c s="68" r="H68"/>
      <c s="20" r="I68">
        <f>INDEX('Speed Factors'!$A$2:$B$256,(G68),2)</f>
        <v>542</v>
      </c>
      <c s="20" r="J68">
        <f>SUM(B68:G68)</f>
        <v>565</v>
      </c>
      <c s="68" r="K68"/>
      <c s="38" r="L68">
        <f>((((B68*2)+141)*((D68*2)+36))/(402.744996))-24.57966407</f>
        <v>157.322037323206</v>
      </c>
      <c s="38" r="M68">
        <f>((((B68*2)+141)*((F68*2)+36))/(416.310724))-19.16575597</f>
        <v>156.808572281991</v>
      </c>
      <c s="38" r="N68">
        <f>(((((C68*2)+36)*((((C68*2)+36)*(I68/672))+415))/((((C68*2)+36)*(1-(I68/672)))+415))/(1.92306))-3.576327284</f>
        <v>195.300023183124</v>
      </c>
      <c s="38" r="O68">
        <f>(((((E68*2)+36)*((((E68*2)+36)*(I68/672))+415))/((((E68*2)+36)*(1-(I68/672)))+415))/(1.980931))+4.9921912</f>
        <v>116.667795973333</v>
      </c>
      <c s="68" r="P68"/>
      <c s="38" r="Q68">
        <f>((((L68+M68)+N68)+O68)/(1.535645))-60.47703745</f>
        <v>347.233357049805</v>
      </c>
      <c s="63" r="R68"/>
      <c s="26" r="S68"/>
      <c s="26" r="T68"/>
    </row>
    <row customHeight="1" r="69" ht="14.25">
      <c t="s" s="45" r="A69">
        <v>117</v>
      </c>
      <c s="75" r="B69">
        <v>151</v>
      </c>
      <c s="54" r="C69">
        <v>84</v>
      </c>
      <c s="54" r="D69">
        <v>73</v>
      </c>
      <c s="54" r="E69">
        <v>83</v>
      </c>
      <c s="54" r="F69">
        <v>74</v>
      </c>
      <c s="2" r="G69">
        <v>105</v>
      </c>
      <c s="68" r="H69"/>
      <c s="19" r="I69">
        <f>INDEX('Speed Factors'!$A$2:$B$256,(G69),2)</f>
        <v>609</v>
      </c>
      <c s="19" r="J69">
        <f>SUM(B69:G69)</f>
        <v>570</v>
      </c>
      <c s="68" r="K69"/>
      <c s="38" r="L69">
        <f>((((B69*2)+141)*((D69*2)+36))/(402.744996))-24.57966407</f>
        <v>175.611525890806</v>
      </c>
      <c s="38" r="M69">
        <f>((((B69*2)+141)*((F69*2)+36))/(416.310724))-19.16575597</f>
        <v>176.630305243163</v>
      </c>
      <c s="38" r="N69">
        <f>(((((C69*2)+36)*((((C69*2)+36)*(I69/672))+415))/((((C69*2)+36)*(1-(I69/672)))+415))/(1.92306))-3.576327284</f>
        <v>143.006569325594</v>
      </c>
      <c s="38" r="O69">
        <f>(((((E69*2)+36)*((((E69*2)+36)*(I69/672))+415))/((((E69*2)+36)*(1-(I69/672)))+415))/(1.980931))+4.9921912</f>
        <v>145.532664040152</v>
      </c>
      <c s="68" r="P69"/>
      <c s="38" r="Q69">
        <f>((((L69+M69)+N69)+O69)/(1.535645))-60.47703745</f>
        <v>356.794574478352</v>
      </c>
      <c s="63" r="R69"/>
      <c s="26" r="S69"/>
      <c s="26" r="T69"/>
    </row>
    <row customHeight="1" r="70" ht="14.25">
      <c t="s" s="45" r="A70">
        <v>118</v>
      </c>
      <c s="57" r="B70">
        <v>90</v>
      </c>
      <c s="8" r="C70">
        <v>85</v>
      </c>
      <c s="8" r="D70">
        <v>80</v>
      </c>
      <c s="8" r="E70">
        <v>105</v>
      </c>
      <c s="8" r="F70">
        <v>80</v>
      </c>
      <c s="27" r="G70">
        <v>110</v>
      </c>
      <c s="68" r="H70"/>
      <c s="20" r="I70">
        <f>INDEX('Speed Factors'!$A$2:$B$256,(G70),2)</f>
        <v>627</v>
      </c>
      <c s="20" r="J70">
        <f>SUM(B70:G70)</f>
        <v>550</v>
      </c>
      <c s="68" r="K70"/>
      <c s="38" r="L70">
        <f>((((B70*2)+141)*((D70*2)+36))/(402.744996))-24.57966407</f>
        <v>131.638291770226</v>
      </c>
      <c s="38" r="M70">
        <f>((((B70*2)+141)*((F70*2)+36))/(416.310724))-19.16575597</f>
        <v>131.961746573028</v>
      </c>
      <c s="38" r="N70">
        <f>(((((C70*2)+36)*((((C70*2)+36)*(I70/672))+415))/((((C70*2)+36)*(1-(I70/672)))+415))/(1.92306))-3.576327284</f>
        <v>148.114957417109</v>
      </c>
      <c s="38" r="O70">
        <f>(((((E70*2)+36)*((((E70*2)+36)*(I70/672))+415))/((((E70*2)+36)*(1-(I70/672)))+415))/(1.980931))+4.9921912</f>
        <v>190.496024942027</v>
      </c>
      <c s="68" r="P70"/>
      <c s="38" r="Q70">
        <f>((((L70+M70)+N70)+O70)/(1.535645))-60.47703745</f>
        <v>331.678063958457</v>
      </c>
      <c s="63" r="R70"/>
      <c s="26" r="S70"/>
      <c s="26" r="T70"/>
    </row>
    <row customHeight="1" r="71" ht="14.25">
      <c t="s" s="45" r="A71">
        <v>119</v>
      </c>
      <c s="75" r="B71">
        <v>105</v>
      </c>
      <c s="54" r="C71">
        <v>60</v>
      </c>
      <c s="54" r="D71">
        <v>90</v>
      </c>
      <c s="54" r="E71">
        <v>115</v>
      </c>
      <c s="54" r="F71">
        <v>80</v>
      </c>
      <c s="2" r="G71">
        <v>85</v>
      </c>
      <c s="68" r="H71"/>
      <c s="19" r="I71">
        <f>INDEX('Speed Factors'!$A$2:$B$256,(G71),2)</f>
        <v>469</v>
      </c>
      <c s="19" r="J71">
        <f>SUM(B71:G71)</f>
        <v>535</v>
      </c>
      <c s="68" r="K71"/>
      <c s="38" r="L71">
        <f>((((B71*2)+141)*((D71*2)+36))/(402.744996))-24.57966407</f>
        <v>163.668484890242</v>
      </c>
      <c s="38" r="M71">
        <f>((((B71*2)+141)*((F71*2)+36))/(416.310724))-19.16575597</f>
        <v>146.085812231255</v>
      </c>
      <c s="38" r="N71">
        <f>(((((C71*2)+36)*((((C71*2)+36)*(I71/672))+415))/((((C71*2)+36)*(1-(I71/672)))+415))/(1.92306))-3.576327284</f>
        <v>88.3838868887952</v>
      </c>
      <c s="38" r="O71">
        <f>(((((E71*2)+36)*((((E71*2)+36)*(I71/672))+415))/((((E71*2)+36)*(1-(I71/672)))+415))/(1.980931))+4.9921912</f>
        <v>167.814885354181</v>
      </c>
      <c s="68" r="P71"/>
      <c s="38" r="Q71">
        <f>((((L71+M71)+N71)+O71)/(1.535645))-60.47703745</f>
        <v>308.067169944595</v>
      </c>
      <c s="63" r="R71"/>
      <c s="26" r="S71"/>
      <c s="26" r="T71"/>
    </row>
    <row customHeight="1" r="72" ht="14.25">
      <c t="s" s="45" r="A72">
        <v>120</v>
      </c>
      <c s="57" r="B72">
        <v>64</v>
      </c>
      <c s="8" r="C72">
        <v>120</v>
      </c>
      <c s="8" r="D72">
        <v>100</v>
      </c>
      <c s="8" r="E72">
        <v>85</v>
      </c>
      <c s="8" r="F72">
        <v>120</v>
      </c>
      <c s="27" r="G72">
        <v>81</v>
      </c>
      <c s="68" r="H72"/>
      <c s="20" r="I72">
        <f>INDEX('Speed Factors'!$A$2:$B$256,(G72),2)</f>
        <v>461</v>
      </c>
      <c s="20" r="J72">
        <f>SUM(B72:G72)</f>
        <v>570</v>
      </c>
      <c s="68" r="K72"/>
      <c s="38" r="L72">
        <f>((((B72*2)+141)*((D72*2)+36))/(402.744996))-24.57966407</f>
        <v>133.04861345179</v>
      </c>
      <c s="38" r="M72">
        <f>((((B72*2)+141)*((F72*2)+36))/(416.310724))-19.16575597</f>
        <v>159.17219143296</v>
      </c>
      <c s="38" r="N72">
        <f>(((((C72*2)+36)*((((C72*2)+36)*(I72/672))+415))/((((C72*2)+36)*(1-(I72/672)))+415))/(1.92306))-3.576327284</f>
        <v>169.320483425889</v>
      </c>
      <c s="38" r="O72">
        <f>(((((E72*2)+36)*((((E72*2)+36)*(I72/672))+415))/((((E72*2)+36)*(1-(I72/672)))+415))/(1.980931))+4.9921912</f>
        <v>125.59802758323</v>
      </c>
      <c s="68" r="P72"/>
      <c s="38" r="Q72">
        <f>((((L72+M72)+N72)+O72)/(1.535645))-60.47703745</f>
        <v>321.863487797611</v>
      </c>
      <c s="63" r="R72"/>
      <c s="26" r="S72"/>
      <c s="26" r="T72"/>
    </row>
    <row customHeight="1" r="73" ht="14.25">
      <c t="s" s="45" r="A73">
        <v>121</v>
      </c>
      <c s="75" r="B73">
        <v>95</v>
      </c>
      <c s="54" r="C73">
        <v>45</v>
      </c>
      <c s="54" r="D73">
        <v>83</v>
      </c>
      <c s="54" r="E73">
        <v>131</v>
      </c>
      <c s="54" r="F73">
        <v>105</v>
      </c>
      <c s="2" r="G73">
        <v>76</v>
      </c>
      <c s="68" r="H73"/>
      <c s="19" r="I73">
        <f>INDEX('Speed Factors'!$A$2:$B$256,(G73),2)</f>
        <v>424</v>
      </c>
      <c s="19" r="J73">
        <f>SUM(B73:G73)</f>
        <v>535</v>
      </c>
      <c s="68" r="K73"/>
      <c s="38" r="L73">
        <f>((((B73*2)+141)*((D73*2)+36))/(402.744996))-24.57966407</f>
        <v>141.436054719961</v>
      </c>
      <c s="38" r="M73">
        <f>((((B73*2)+141)*((F73*2)+36))/(416.310724))-19.16575597</f>
        <v>176.423728772651</v>
      </c>
      <c s="38" r="N73">
        <f>(((((C73*2)+36)*((((C73*2)+36)*(I73/672))+415))/((((C73*2)+36)*(1-(I73/672)))+415))/(1.92306))-3.576327284</f>
        <v>66.6293609485916</v>
      </c>
      <c s="38" r="O73">
        <f>(((((E73*2)+36)*((((E73*2)+36)*(I73/672))+415))/((((E73*2)+36)*(1-(I73/672)))+415))/(1.980931))+4.9921912</f>
        <v>177.791407535049</v>
      </c>
      <c s="68" r="P73"/>
      <c s="38" r="Q73">
        <f>((((L73+M73)+N73)+O73)/(1.535645))-60.47703745</f>
        <v>305.675655376957</v>
      </c>
      <c s="63" r="R73"/>
      <c s="26" r="S73"/>
      <c s="26" r="T73"/>
    </row>
    <row customHeight="1" r="74" ht="14.25">
      <c t="s" s="45" r="A74">
        <v>122</v>
      </c>
      <c s="57" r="B74">
        <v>110</v>
      </c>
      <c s="8" r="C74">
        <v>120</v>
      </c>
      <c s="8" r="D74">
        <v>99</v>
      </c>
      <c s="8" r="E74">
        <v>117</v>
      </c>
      <c s="8" r="F74">
        <v>60</v>
      </c>
      <c s="27" r="G74">
        <v>94</v>
      </c>
      <c s="68" r="H74"/>
      <c s="20" r="I74">
        <f>INDEX('Speed Factors'!$A$2:$B$256,(G74),2)</f>
        <v>542</v>
      </c>
      <c s="20" r="J74">
        <f>SUM(B74:G74)</f>
        <v>600</v>
      </c>
      <c s="68" r="K74"/>
      <c s="38" r="L74">
        <f>((((B74*2)+141)*((D74*2)+36))/(402.744996))-24.57966407</f>
        <v>185.165958691257</v>
      </c>
      <c s="38" r="M74">
        <f>((((B74*2)+141)*((F74*2)+36))/(416.310724))-19.16575597</f>
        <v>116.108203487263</v>
      </c>
      <c s="38" r="N74">
        <f>(((((C74*2)+36)*((((C74*2)+36)*(I74/672))+415))/((((C74*2)+36)*(1-(I74/672)))+415))/(1.92306))-3.576327284</f>
        <v>191.794249011002</v>
      </c>
      <c s="38" r="O74">
        <f>(((((E74*2)+36)*((((E74*2)+36)*(I74/672))+415))/((((E74*2)+36)*(1-(I74/672)))+415))/(1.980931))+4.9921912</f>
        <v>189.581317316016</v>
      </c>
      <c s="68" r="P74"/>
      <c s="38" r="Q74">
        <f>((((L74+M74)+N74)+O74)/(1.535645))-60.47703745</f>
        <v>384.059120650042</v>
      </c>
      <c s="63" r="R74"/>
      <c s="26" r="S74"/>
      <c s="26" r="T74"/>
    </row>
  </sheetData>
  <conditionalFormatting sqref="Q4 Q5 Q6 Q7 Q8 Q9 Q10 Q11 Q12 Q13 Q14 Q15 Q16 Q17 Q18 Q19 Q20 Q21 Q22 Q23 Q24 Q25 Q26 Q27 Q28 Q29 Q30 Q31 Q32 Q33 Q34 Q35 Q36 Q37 Q38 Q39 Q40 Q41 Q42 Q43 Q44 Q45 Q46 Q47 Q48 Q49 Q50 Q51 Q52 Q53 Q54 Q55 Q56 Q57 Q58 Q60 Q61 Q62 Q63 Q64 Q65 Q66 Q67 Q68 Q69 Q70 Q71 Q72 Q73 Q74">
    <cfRule priority="1" type="cellIs" operator="greaterThanOrEqual" stopIfTrue="1" dxfId="10">
      <formula>450</formula>
    </cfRule>
    <cfRule priority="2" type="cellIs" operator="between" stopIfTrue="1" dxfId="11">
      <formula>400</formula>
      <formula>450</formula>
    </cfRule>
    <cfRule priority="3" type="cellIs" operator="between" stopIfTrue="1" dxfId="12">
      <formula>350</formula>
      <formula>400</formula>
    </cfRule>
    <cfRule priority="4" type="cellIs" operator="between" stopIfTrue="1" dxfId="13">
      <formula>300</formula>
      <formula>350</formula>
    </cfRule>
    <cfRule priority="5" type="cellIs" operator="between" stopIfTrue="1" dxfId="14">
      <formula>250</formula>
      <formula>300</formula>
    </cfRule>
    <cfRule priority="6" type="cellIs" operator="between" stopIfTrue="1" dxfId="15">
      <formula>200</formula>
      <formula>250</formula>
    </cfRule>
    <cfRule priority="7" type="cellIs" operator="between" stopIfTrue="1" dxfId="16">
      <formula>150</formula>
      <formula>200</formula>
    </cfRule>
    <cfRule priority="8" type="cellIs" operator="between" stopIfTrue="1" dxfId="17">
      <formula>100</formula>
      <formula>150</formula>
    </cfRule>
    <cfRule priority="9" type="cellIs" operator="between" stopIfTrue="1" dxfId="18">
      <formula>50</formula>
      <formula>100</formula>
    </cfRule>
    <cfRule priority="10" type="cellIs" operator="lessThanOrEqual" stopIfTrue="1" dxfId="19">
      <formula>50</formula>
    </cfRule>
  </conditionalFormatting>
  <conditionalFormatting sqref="L4 M4 N4 O4 L5 M5 N5 O5 L6 M6 N6 O6 L7 M7 N7 O7 L8 M8 N8 O8 L9 M9 N9 O9 L10 M10 N10 O10 L11 M11 N11 O11 L12 M12 N12 O12 L13 M13 N13 O13 L14 M14 N14 O14 L15 M15 N15 O15 L16 M16 N16 O16 L17 M17 N17 O17 L18 M18 N18 O18 L19 M19 N19 O19 L20 M20 N20 O20 L21 M21 N21 O21 L22 M22 N22 O22 L23 M23 N23 O23 L24 M24 N24 O24 L25 M25 N25 O25 L26 M26 N26 O26 L27 M27 N27 O27 L28 M28 N28 O28 L29 M29 N29 O29 L30 M30 N30 O30 L31 M31 N31 O31 L32 M32 N32 O32 L33 M33 N33 O33 L34 M34 N34 O34 L35 M35 N35 O35 L36 M36 N36 O36 L37 M37 N37 O37 L38 M38 N38 O38 L39 M39 N39 O39 L40 M40 N40 O40 L41 M41 N41 O41 L42 M42 N42 O42 L43 M43 N43 O43 L44 M44 N44 O44 L45 M45 N45 O45 L46 M46 N46 O46 L47 M47 N47 O47 L48 M48 N48 O48 L49 M49 N49 O49 L50 M50 N50 O50 L51 M51 N51 O51 L52 M52 N52 O52 L53 M53 N53 O53 L54 M54 N54 O54 L55 M55 N55 O55 L56 M56 N56 O56 L57 M57 N57 O57 L58 M58 N58 O58 L60 M60 N60 O60 L61 M61 N61 O61 L62 M62 N62 O62 L63 M63 N63 O63 L64 M64 N64 O64 L65 M65 N65 O65 L66 M66 N66 O66 L67 M67 N67 O67 L68 M68 N68 O68 L69 M69 N69 O69 L70 M70 N70 O70 L71 M71 N71 O71 L72 M72 N72 O72 L73 M73 N73 O73 L74 M74 N74 O74">
    <cfRule priority="1" type="cellIs" operator="greaterThanOrEqual" stopIfTrue="1" dxfId="10">
      <formula>225</formula>
    </cfRule>
    <cfRule priority="2" type="cellIs" operator="between" stopIfTrue="1" dxfId="11">
      <formula>200</formula>
      <formula>225</formula>
    </cfRule>
    <cfRule priority="3" type="cellIs" operator="between" stopIfTrue="1" dxfId="12">
      <formula>175</formula>
      <formula>200</formula>
    </cfRule>
    <cfRule priority="4" type="cellIs" operator="between" stopIfTrue="1" dxfId="13">
      <formula>150</formula>
      <formula>175</formula>
    </cfRule>
    <cfRule priority="5" type="cellIs" operator="between" stopIfTrue="1" dxfId="14">
      <formula>125</formula>
      <formula>150</formula>
    </cfRule>
    <cfRule priority="6" type="cellIs" operator="between" stopIfTrue="1" dxfId="15">
      <formula>100</formula>
      <formula>125</formula>
    </cfRule>
    <cfRule priority="7" type="cellIs" operator="between" stopIfTrue="1" dxfId="16">
      <formula>75</formula>
      <formula>100</formula>
    </cfRule>
    <cfRule priority="8" type="cellIs" operator="between" stopIfTrue="1" dxfId="17">
      <formula>50</formula>
      <formula>75</formula>
    </cfRule>
    <cfRule priority="9" type="cellIs" operator="between" stopIfTrue="1" dxfId="18">
      <formula>25</formula>
      <formula>50</formula>
    </cfRule>
    <cfRule priority="10" type="cellIs" operator="lessThanOrEqual" stopIfTrue="1" dxfId="19">
      <formula>25</formula>
    </cfRule>
  </conditionalFormatting>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width="20.86"/>
    <col min="12" customWidth="1" max="15" width="15.0"/>
    <col min="17" customWidth="1" max="17" width="15.0"/>
    <col min="19" customWidth="1" max="19" width="24.71"/>
    <col min="20" customWidth="1" max="20" width="15.43"/>
  </cols>
  <sheetData>
    <row customHeight="1" r="1" ht="13.5">
      <c s="44" r="A1"/>
      <c s="44" r="B1"/>
      <c s="44" r="C1"/>
      <c s="44" r="D1"/>
      <c s="44" r="E1"/>
      <c s="44" r="F1"/>
      <c s="44" r="G1"/>
      <c s="26" r="H1"/>
      <c s="44" r="I1"/>
      <c s="44" r="J1"/>
      <c s="26" r="K1"/>
      <c s="44" r="L1"/>
      <c s="44" r="M1"/>
      <c s="44" r="N1"/>
      <c s="44" r="O1"/>
      <c s="26" r="P1"/>
      <c s="44" r="Q1"/>
      <c s="26" r="R1"/>
      <c s="26" r="S1"/>
      <c s="26" r="T1"/>
    </row>
    <row customHeight="1" r="2" ht="14.25">
      <c t="s" s="45" r="A2">
        <v>123</v>
      </c>
      <c t="s" s="1" r="B2">
        <v>0</v>
      </c>
      <c t="s" s="10" r="C2">
        <v>1</v>
      </c>
      <c t="s" s="10" r="D2">
        <v>2</v>
      </c>
      <c t="s" s="10" r="E2">
        <v>3</v>
      </c>
      <c t="s" s="10" r="F2">
        <v>4</v>
      </c>
      <c t="s" s="46" r="G2">
        <v>5</v>
      </c>
      <c s="68" r="H2"/>
      <c t="s" s="1" r="I2">
        <v>6</v>
      </c>
      <c t="s" s="46" r="J2">
        <v>7</v>
      </c>
      <c s="68" r="K2"/>
      <c t="s" s="1" r="L2">
        <v>8</v>
      </c>
      <c t="s" s="10" r="M2">
        <v>9</v>
      </c>
      <c t="s" s="10" r="N2">
        <v>10</v>
      </c>
      <c t="s" s="46" r="O2">
        <v>11</v>
      </c>
      <c s="68" r="P2"/>
      <c t="s" s="45" r="Q2">
        <v>12</v>
      </c>
      <c s="63" r="R2"/>
      <c s="26" r="S2"/>
      <c s="26" r="T2"/>
    </row>
    <row customHeight="1" r="3" ht="14.25">
      <c s="11" r="A3"/>
      <c s="11" r="B3"/>
      <c s="11" r="C3"/>
      <c s="11" r="D3"/>
      <c s="11" r="E3"/>
      <c s="11" r="F3"/>
      <c s="11" r="G3"/>
      <c s="26" r="H3"/>
      <c s="11" r="I3"/>
      <c s="11" r="J3"/>
      <c s="26" r="K3"/>
      <c s="11" r="L3"/>
      <c s="11" r="M3"/>
      <c s="11" r="N3"/>
      <c s="11" r="O3"/>
      <c s="26" r="P3"/>
      <c s="11" r="Q3"/>
      <c s="26" r="R3"/>
      <c s="26" r="S3"/>
      <c s="26" r="T3"/>
    </row>
    <row customHeight="1" r="4" ht="14.25">
      <c t="s" s="45" r="A4">
        <v>124</v>
      </c>
      <c s="75" r="B4">
        <v>45</v>
      </c>
      <c s="54" r="C4">
        <v>49</v>
      </c>
      <c s="54" r="D4">
        <v>49</v>
      </c>
      <c s="54" r="E4">
        <v>65</v>
      </c>
      <c s="54" r="F4">
        <v>65</v>
      </c>
      <c s="2" r="G4">
        <v>45</v>
      </c>
      <c s="68" r="H4"/>
      <c s="19" r="I4">
        <f>INDEX('Speed Factors'!$A$2:$B$256,(G4),2)</f>
        <v>154</v>
      </c>
      <c s="19" r="J4">
        <f>SUM(B4:G4)</f>
        <v>318</v>
      </c>
      <c s="68" r="K4"/>
      <c s="38" r="L4">
        <f>((((B4*2)+141)*((D4*2)+36))/(402.744996))-24.57966407</f>
        <v>52.2779016537961</v>
      </c>
      <c s="38" r="M4">
        <f>((((B4*2)+141)*((F4*2)+36))/(416.310724))-19.16575597</f>
        <v>72.9433293582944</v>
      </c>
      <c s="38" r="N4">
        <f>(((((C4*2)+36)*((((C4*2)+36)*(I4/672))+415))/((((C4*2)+36)*(1-(I4/672)))+415))/(1.92306))-3.576327284</f>
        <v>56.345975094565</v>
      </c>
      <c s="38" r="O4">
        <f>(((((E4*2)+36)*((((E4*2)+36)*(I4/672))+415))/((((E4*2)+36)*(1-(I4/672)))+415))/(1.980931))+4.9921912</f>
        <v>74.9136342690051</v>
      </c>
      <c s="68" r="P4"/>
      <c s="38" r="Q4">
        <f>((((L4+M4)+N4)+O4)/(1.535645))-60.47703745</f>
        <v>106.54127757441</v>
      </c>
      <c s="63" r="R4"/>
      <c s="44" r="S4"/>
      <c s="44" r="T4"/>
    </row>
    <row customHeight="1" r="5" ht="14.25">
      <c t="s" s="45" r="A5">
        <v>125</v>
      </c>
      <c s="57" r="B5">
        <v>60</v>
      </c>
      <c s="8" r="C5">
        <v>62</v>
      </c>
      <c s="8" r="D5">
        <v>63</v>
      </c>
      <c s="8" r="E5">
        <v>80</v>
      </c>
      <c s="8" r="F5">
        <v>80</v>
      </c>
      <c s="27" r="G5">
        <v>60</v>
      </c>
      <c s="68" r="H5"/>
      <c s="20" r="I5">
        <f>INDEX('Speed Factors'!$A$2:$B$256,(G5),2)</f>
        <v>274</v>
      </c>
      <c s="20" r="J5">
        <f>SUM(B5:G5)</f>
        <v>405</v>
      </c>
      <c s="68" r="K5"/>
      <c s="38" r="L5">
        <f>((((B5*2)+141)*((D5*2)+36))/(402.744996))-24.57966407</f>
        <v>80.4048805424426</v>
      </c>
      <c s="38" r="M5">
        <f>((((B5*2)+141)*((F5*2)+36))/(416.310724))-19.16575597</f>
        <v>103.713615256575</v>
      </c>
      <c s="38" r="N5">
        <f>(((((C5*2)+36)*((((C5*2)+36)*(I5/672))+415))/((((C5*2)+36)*(1-(I5/672)))+415))/(1.92306))-3.576327284</f>
        <v>74.8056796191834</v>
      </c>
      <c s="38" r="O5">
        <f>(((((E5*2)+36)*((((E5*2)+36)*(I5/672))+415))/((((E5*2)+36)*(1-(I5/672)))+415))/(1.980931))+4.9921912</f>
        <v>97.1975431184518</v>
      </c>
      <c s="68" r="P5"/>
      <c s="38" r="Q5">
        <f>((((L5+M5)+N5)+O5)/(1.535645))-60.47703745</f>
        <v>171.426637251283</v>
      </c>
      <c s="68" r="R5"/>
      <c t="s" s="45" r="S5">
        <v>13</v>
      </c>
      <c t="s" s="45" r="T5">
        <v>14</v>
      </c>
    </row>
    <row customHeight="1" r="6" ht="14.25">
      <c t="s" s="45" r="A6">
        <v>106</v>
      </c>
      <c s="75" r="B6">
        <v>80</v>
      </c>
      <c s="54" r="C6">
        <v>82</v>
      </c>
      <c s="54" r="D6">
        <v>83</v>
      </c>
      <c s="54" r="E6">
        <v>100</v>
      </c>
      <c s="54" r="F6">
        <v>100</v>
      </c>
      <c s="2" r="G6">
        <v>80</v>
      </c>
      <c s="68" r="H6"/>
      <c s="19" r="I6">
        <f>INDEX('Speed Factors'!$A$2:$B$256,(G6),2)</f>
        <v>432</v>
      </c>
      <c s="19" r="J6">
        <f>SUM(B6:G6)</f>
        <v>525</v>
      </c>
      <c s="68" r="K6"/>
      <c s="38" r="L6">
        <f>((((B6*2)+141)*((D6*2)+36))/(402.744996))-24.57966407</f>
        <v>126.389312835675</v>
      </c>
      <c s="38" r="M6">
        <f>((((B6*2)+141)*((F6*2)+36))/(416.310724))-19.16575597</f>
        <v>151.466408672485</v>
      </c>
      <c s="38" r="N6">
        <f>(((((C6*2)+36)*((((C6*2)+36)*(I6/672))+415))/((((C6*2)+36)*(1-(I6/672)))+415))/(1.92306))-3.576327284</f>
        <v>112.6420228971</v>
      </c>
      <c s="38" r="O6">
        <f>(((((E6*2)+36)*((((E6*2)+36)*(I6/672))+415))/((((E6*2)+36)*(1-(I6/672)))+415))/(1.980931))+4.9921912</f>
        <v>140.21740443623</v>
      </c>
      <c s="68" r="P6"/>
      <c s="38" r="Q6">
        <f>((((L6+M6)+N6)+O6)/(1.535645))-60.47703745</f>
        <v>285.120512010643</v>
      </c>
      <c s="68" r="R6"/>
      <c t="s" s="53" r="S6">
        <v>15</v>
      </c>
      <c t="s" s="53" r="T6">
        <v>16</v>
      </c>
    </row>
    <row customHeight="1" r="7" ht="14.25">
      <c t="s" s="45" r="A7">
        <v>126</v>
      </c>
      <c s="57" r="B7">
        <v>39</v>
      </c>
      <c s="8" r="C7">
        <v>52</v>
      </c>
      <c s="8" r="D7">
        <v>43</v>
      </c>
      <c s="8" r="E7">
        <v>60</v>
      </c>
      <c s="8" r="F7">
        <v>50</v>
      </c>
      <c s="27" r="G7">
        <v>65</v>
      </c>
      <c s="68" r="H7"/>
      <c s="20" r="I7">
        <f>INDEX('Speed Factors'!$A$2:$B$256,(G7),2)</f>
        <v>321</v>
      </c>
      <c s="20" r="J7">
        <f>SUM(B7:G7)</f>
        <v>309</v>
      </c>
      <c s="68" r="K7"/>
      <c s="38" r="L7">
        <f>((((B7*2)+141)*((D7*2)+36))/(402.744996))-24.57966407</f>
        <v>41.7600800990374</v>
      </c>
      <c s="38" r="M7">
        <f>((((B7*2)+141)*((F7*2)+36))/(416.310724))-19.16575597</f>
        <v>52.3769602824884</v>
      </c>
      <c s="38" r="N7">
        <f>(((((C7*2)+36)*((((C7*2)+36)*(I7/672))+415))/((((C7*2)+36)*(1-(I7/672)))+415))/(1.92306))-3.576327284</f>
        <v>68.2921668744976</v>
      </c>
      <c s="38" r="O7">
        <f>(((((E7*2)+36)*((((E7*2)+36)*(I7/672))+415))/((((E7*2)+36)*(1-(I7/672)))+415))/(1.980931))+4.9921912</f>
        <v>82.6383822757034</v>
      </c>
      <c s="68" r="P7"/>
      <c s="38" r="Q7">
        <f>((((L7+M7)+N7)+O7)/(1.535645))-60.47703745</f>
        <v>99.1090579898489</v>
      </c>
      <c s="68" r="R7"/>
      <c t="s" s="14" r="S7">
        <v>17</v>
      </c>
      <c t="s" s="14" r="T7">
        <v>18</v>
      </c>
    </row>
    <row customHeight="1" r="8" ht="14.25">
      <c t="s" s="45" r="A8">
        <v>127</v>
      </c>
      <c s="75" r="B8">
        <v>58</v>
      </c>
      <c s="54" r="C8">
        <v>64</v>
      </c>
      <c s="54" r="D8">
        <v>58</v>
      </c>
      <c s="54" r="E8">
        <v>80</v>
      </c>
      <c s="54" r="F8">
        <v>65</v>
      </c>
      <c s="2" r="G8">
        <v>80</v>
      </c>
      <c s="68" r="H8"/>
      <c s="19" r="I8">
        <f>INDEX('Speed Factors'!$A$2:$B$256,(G8),2)</f>
        <v>432</v>
      </c>
      <c s="19" r="J8">
        <f>SUM(B8:G8)</f>
        <v>405</v>
      </c>
      <c s="68" r="K8"/>
      <c s="38" r="L8">
        <f>((((B8*2)+141)*((D8*2)+36))/(402.744996))-24.57966407</f>
        <v>72.4147129873874</v>
      </c>
      <c s="38" r="M8">
        <f>((((B8*2)+141)*((F8*2)+36))/(416.310724))-19.16575597</f>
        <v>83.3105857155915</v>
      </c>
      <c s="38" r="N8">
        <f>(((((C8*2)+36)*((((C8*2)+36)*(I8/672))+415))/((((C8*2)+36)*(1-(I8/672)))+415))/(1.92306))-3.576327284</f>
        <v>90.1424582256262</v>
      </c>
      <c s="38" r="O8">
        <f>(((((E8*2)+36)*((((E8*2)+36)*(I8/672))+415))/((((E8*2)+36)*(1-(I8/672)))+415))/(1.980931))+4.9921912</f>
        <v>115.359956576508</v>
      </c>
      <c s="68" r="P8"/>
      <c s="38" r="Q8">
        <f>((((L8+M8)+N8)+O8)/(1.535645))-60.47703745</f>
        <v>174.751621195138</v>
      </c>
      <c s="68" r="R8"/>
      <c t="s" s="42" r="S8">
        <v>19</v>
      </c>
      <c t="s" s="42" r="T8">
        <v>20</v>
      </c>
    </row>
    <row customHeight="1" r="9" ht="14.25">
      <c t="s" s="45" r="A9">
        <v>128</v>
      </c>
      <c s="57" r="B9">
        <v>78</v>
      </c>
      <c s="8" r="C9">
        <v>84</v>
      </c>
      <c s="8" r="D9">
        <v>78</v>
      </c>
      <c s="8" r="E9">
        <v>109</v>
      </c>
      <c s="8" r="F9">
        <v>85</v>
      </c>
      <c s="27" r="G9">
        <v>100</v>
      </c>
      <c s="68" r="H9"/>
      <c s="20" r="I9">
        <f>INDEX('Speed Factors'!$A$2:$B$256,(G9),2)</f>
        <v>577</v>
      </c>
      <c s="20" r="J9">
        <f>SUM(B9:G9)</f>
        <v>534</v>
      </c>
      <c s="68" r="K9"/>
      <c s="38" r="L9">
        <f>((((B9*2)+141)*((D9*2)+36))/(402.744996))-24.57966407</f>
        <v>117.008687284712</v>
      </c>
      <c s="38" r="M9">
        <f>((((B9*2)+141)*((F9*2)+36))/(416.310724))-19.16575597</f>
        <v>127.796588435041</v>
      </c>
      <c s="38" r="N9">
        <f>(((((C9*2)+36)*((((C9*2)+36)*(I9/672))+415))/((((C9*2)+36)*(1-(I9/672)))+415))/(1.92306))-3.576327284</f>
        <v>137.476530154954</v>
      </c>
      <c s="38" r="O9">
        <f>(((((E9*2)+36)*((((E9*2)+36)*(I9/672))+415))/((((E9*2)+36)*(1-(I9/672)))+415))/(1.980931))+4.9921912</f>
        <v>185.021695278492</v>
      </c>
      <c s="68" r="P9"/>
      <c s="38" r="Q9">
        <f>((((L9+M9)+N9)+O9)/(1.535645))-60.47703745</f>
        <v>308.94656055162</v>
      </c>
      <c s="68" r="R9"/>
      <c t="s" s="39" r="S9">
        <v>21</v>
      </c>
      <c t="s" s="39" r="T9">
        <v>22</v>
      </c>
    </row>
    <row customHeight="1" r="10" ht="14.25">
      <c t="s" s="45" r="A10">
        <v>129</v>
      </c>
      <c s="75" r="B10">
        <v>44</v>
      </c>
      <c s="54" r="C10">
        <v>48</v>
      </c>
      <c s="54" r="D10">
        <v>65</v>
      </c>
      <c s="54" r="E10">
        <v>50</v>
      </c>
      <c s="54" r="F10">
        <v>64</v>
      </c>
      <c s="2" r="G10">
        <v>43</v>
      </c>
      <c s="68" r="H10"/>
      <c s="19" r="I10">
        <f>INDEX('Speed Factors'!$A$2:$B$256,(G10),2)</f>
        <v>149</v>
      </c>
      <c s="19" r="J10">
        <f>SUM(B10:G10)</f>
        <v>314</v>
      </c>
      <c s="68" r="K10"/>
      <c s="38" r="L10">
        <f>((((B10*2)+141)*((D10*2)+36))/(402.744996))-24.57966407</f>
        <v>69.8076042450606</v>
      </c>
      <c s="38" r="M10">
        <f>((((B10*2)+141)*((F10*2)+36))/(416.310724))-19.16575597</f>
        <v>71.0457082919679</v>
      </c>
      <c s="38" r="N10">
        <f>(((((C10*2)+36)*((((C10*2)+36)*(I10/672))+415))/((((C10*2)+36)*(1-(I10/672)))+415))/(1.92306))-3.576327284</f>
        <v>55.32442765148</v>
      </c>
      <c s="38" r="O10">
        <f>(((((E10*2)+36)*((((E10*2)+36)*(I10/672))+415))/((((E10*2)+36)*(1-(I10/672)))+415))/(1.980931))+4.9921912</f>
        <v>63.6697294899155</v>
      </c>
      <c s="68" r="P10"/>
      <c s="38" r="Q10">
        <f>((((L10+M10)+N10)+O10)/(1.535645))-60.47703745</f>
        <v>108.733600215882</v>
      </c>
      <c s="68" r="R10"/>
      <c t="s" s="31" r="S10">
        <v>23</v>
      </c>
      <c t="s" s="31" r="T10">
        <v>24</v>
      </c>
    </row>
    <row customHeight="1" r="11" ht="14.25">
      <c t="s" s="45" r="A11">
        <v>130</v>
      </c>
      <c s="57" r="B11">
        <v>59</v>
      </c>
      <c s="8" r="C11">
        <v>63</v>
      </c>
      <c s="8" r="D11">
        <v>80</v>
      </c>
      <c s="8" r="E11">
        <v>65</v>
      </c>
      <c s="8" r="F11">
        <v>80</v>
      </c>
      <c s="27" r="G11">
        <v>58</v>
      </c>
      <c s="68" r="H11"/>
      <c s="20" r="I11">
        <f>INDEX('Speed Factors'!$A$2:$B$256,(G11),2)</f>
        <v>267</v>
      </c>
      <c s="20" r="J11">
        <f>SUM(B11:G11)</f>
        <v>405</v>
      </c>
      <c s="68" r="K11"/>
      <c s="38" r="L11">
        <f>((((B11*2)+141)*((D11*2)+36))/(402.744996))-24.57966407</f>
        <v>101.46535325903</v>
      </c>
      <c s="38" r="M11">
        <f>((((B11*2)+141)*((F11*2)+36))/(416.310724))-19.16575597</f>
        <v>102.772010879359</v>
      </c>
      <c s="38" r="N11">
        <f>(((((C11*2)+36)*((((C11*2)+36)*(I11/672))+415))/((((C11*2)+36)*(1-(I11/672)))+415))/(1.92306))-3.576327284</f>
        <v>75.1975325200619</v>
      </c>
      <c s="38" r="O11">
        <f>(((((E11*2)+36)*((((E11*2)+36)*(I11/672))+415))/((((E11*2)+36)*(1-(I11/672)))+415))/(1.980931))+4.9921912</f>
        <v>83.2447651868212</v>
      </c>
      <c s="68" r="P11"/>
      <c s="38" r="Q11">
        <f>((((L11+M11)+N11)+O11)/(1.535645))-60.47703745</f>
        <v>175.697118585589</v>
      </c>
      <c s="68" r="R11"/>
      <c t="s" s="64" r="S11">
        <v>25</v>
      </c>
      <c t="s" s="64" r="T11">
        <v>26</v>
      </c>
    </row>
    <row customHeight="1" r="12" ht="14.25">
      <c t="s" s="45" r="A12">
        <v>131</v>
      </c>
      <c s="75" r="B12">
        <v>79</v>
      </c>
      <c s="54" r="C12">
        <v>83</v>
      </c>
      <c s="54" r="D12">
        <v>100</v>
      </c>
      <c s="54" r="E12">
        <v>85</v>
      </c>
      <c s="54" r="F12">
        <v>105</v>
      </c>
      <c s="2" r="G12">
        <v>78</v>
      </c>
      <c s="68" r="H12"/>
      <c s="19" r="I12">
        <f>INDEX('Speed Factors'!$A$2:$B$256,(G12),2)</f>
        <v>429</v>
      </c>
      <c s="19" r="J12">
        <f>SUM(B12:G12)</f>
        <v>530</v>
      </c>
      <c s="68" r="K12"/>
      <c s="38" r="L12">
        <f>((((B12*2)+141)*((D12*2)+36))/(402.744996))-24.57966407</f>
        <v>150.627975257194</v>
      </c>
      <c s="38" r="M12">
        <f>((((B12*2)+141)*((F12*2)+36))/(416.310724))-19.16575597</f>
        <v>157.514775564902</v>
      </c>
      <c s="38" r="N12">
        <f>(((((C12*2)+36)*((((C12*2)+36)*(I12/672))+415))/((((C12*2)+36)*(1-(I12/672)))+415))/(1.92306))-3.576327284</f>
        <v>113.498154243825</v>
      </c>
      <c s="38" r="O12">
        <f>(((((E12*2)+36)*((((E12*2)+36)*(I12/672))+415))/((((E12*2)+36)*(1-(I12/672)))+415))/(1.980931))+4.9921912</f>
        <v>121.097040504393</v>
      </c>
      <c s="68" r="P12"/>
      <c s="38" r="Q12">
        <f>((((L12+M12)+N12)+O12)/(1.535645))-60.47703745</f>
        <v>292.949663102741</v>
      </c>
      <c s="68" r="R12"/>
      <c t="s" s="59" r="S12">
        <v>27</v>
      </c>
      <c t="s" s="59" r="T12">
        <v>28</v>
      </c>
    </row>
    <row customHeight="1" r="13" ht="14.25">
      <c t="s" s="45" r="A13">
        <v>132</v>
      </c>
      <c s="57" r="B13">
        <v>45</v>
      </c>
      <c s="8" r="C13">
        <v>30</v>
      </c>
      <c s="8" r="D13">
        <v>35</v>
      </c>
      <c s="8" r="E13">
        <v>20</v>
      </c>
      <c s="8" r="F13">
        <v>20</v>
      </c>
      <c s="27" r="G13">
        <v>45</v>
      </c>
      <c s="68" r="H13"/>
      <c s="20" r="I13">
        <f>INDEX('Speed Factors'!$A$2:$B$256,(G13),2)</f>
        <v>154</v>
      </c>
      <c s="20" r="J13">
        <f>SUM(B13:G13)</f>
        <v>195</v>
      </c>
      <c s="68" r="K13"/>
      <c s="38" r="L13">
        <f>((((B13*2)+141)*((D13*2)+36))/(402.744996))-24.57966407</f>
        <v>36.2181118010626</v>
      </c>
      <c s="38" r="M13">
        <f>((((B13*2)+141)*((F13*2)+36))/(416.310724))-19.16575597</f>
        <v>23.0046686381348</v>
      </c>
      <c s="38" r="N13">
        <f>(((((C13*2)+36)*((((C13*2)+36)*(I13/672))+415))/((((C13*2)+36)*(1-(I13/672)))+415))/(1.92306))-3.576327284</f>
        <v>41.035599043283</v>
      </c>
      <c s="38" r="O13">
        <f>(((((E13*2)+36)*((((E13*2)+36)*(I13/672))+415))/((((E13*2)+36)*(1-(I13/672)))+415))/(1.980931))+4.9921912</f>
        <v>40.0230075812541</v>
      </c>
      <c s="68" r="P13"/>
      <c s="38" r="Q13">
        <f>((((L13+M13)+N13)+O13)/(1.535645))-60.47703745</f>
        <v>30.8731034118102</v>
      </c>
      <c s="68" r="R13"/>
      <c t="s" s="61" r="S13">
        <v>29</v>
      </c>
      <c t="s" s="61" r="T13">
        <v>30</v>
      </c>
    </row>
    <row customHeight="1" r="14" ht="14.25">
      <c t="s" s="45" r="A14">
        <v>133</v>
      </c>
      <c s="75" r="B14">
        <v>50</v>
      </c>
      <c s="54" r="C14">
        <v>20</v>
      </c>
      <c s="54" r="D14">
        <v>55</v>
      </c>
      <c s="54" r="E14">
        <v>25</v>
      </c>
      <c s="54" r="F14">
        <v>25</v>
      </c>
      <c s="2" r="G14">
        <v>30</v>
      </c>
      <c s="68" r="H14"/>
      <c s="19" r="I14">
        <f>INDEX('Speed Factors'!$A$2:$B$256,(G14),2)</f>
        <v>44</v>
      </c>
      <c s="19" r="J14">
        <f>SUM(B14:G14)</f>
        <v>205</v>
      </c>
      <c s="68" r="K14"/>
      <c s="38" r="L14">
        <f>((((B14*2)+141)*((D14*2)+36))/(402.744996))-24.57966407</f>
        <v>62.7857913657269</v>
      </c>
      <c s="38" r="M14">
        <f>((((B14*2)+141)*((F14*2)+36))/(416.310724))-19.16575597</f>
        <v>30.6191734232673</v>
      </c>
      <c s="38" r="N14">
        <f>(((((C14*2)+36)*((((C14*2)+36)*(I14/672))+415))/((((C14*2)+36)*(1-(I14/672)))+415))/(1.92306))-3.576327284</f>
        <v>30.5734505279261</v>
      </c>
      <c s="38" r="O14">
        <f>(((((E14*2)+36)*((((E14*2)+36)*(I14/672))+415))/((((E14*2)+36)*(1-(I14/672)))+415))/(1.980931))+4.9921912</f>
        <v>41.8561068187854</v>
      </c>
      <c s="68" r="P14"/>
      <c s="38" r="Q14">
        <f>((((L14+M14)+N14)+O14)/(1.535645))-60.47703745</f>
        <v>47.5131048913</v>
      </c>
      <c s="68" r="R14"/>
      <c t="s" s="37" r="S14">
        <v>31</v>
      </c>
      <c t="s" s="37" r="T14">
        <v>32</v>
      </c>
    </row>
    <row customHeight="1" r="15" ht="14.25">
      <c t="s" s="45" r="A15">
        <v>134</v>
      </c>
      <c s="57" r="B15">
        <v>60</v>
      </c>
      <c s="8" r="C15">
        <v>45</v>
      </c>
      <c s="8" r="D15">
        <v>50</v>
      </c>
      <c s="8" r="E15">
        <v>80</v>
      </c>
      <c s="8" r="F15">
        <v>80</v>
      </c>
      <c s="27" r="G15">
        <v>70</v>
      </c>
      <c s="68" r="H15"/>
      <c s="20" r="I15">
        <f>INDEX('Speed Factors'!$A$2:$B$256,(G15),2)</f>
        <v>369</v>
      </c>
      <c s="20" r="J15">
        <f>SUM(B15:G15)</f>
        <v>385</v>
      </c>
      <c s="68" r="K15"/>
      <c s="38" r="L15">
        <f>((((B15*2)+141)*((D15*2)+36))/(402.744996))-24.57966407</f>
        <v>63.55550918489</v>
      </c>
      <c s="38" r="M15">
        <f>((((B15*2)+141)*((F15*2)+36))/(416.310724))-19.16575597</f>
        <v>103.713615256575</v>
      </c>
      <c s="38" r="N15">
        <f>(((((C15*2)+36)*((((C15*2)+36)*(I15/672))+415))/((((C15*2)+36)*(1-(I15/672)))+415))/(1.92306))-3.576327284</f>
        <v>63.6627648836486</v>
      </c>
      <c s="38" r="O15">
        <f>(((((E15*2)+36)*((((E15*2)+36)*(I15/672))+415))/((((E15*2)+36)*(1-(I15/672)))+415))/(1.980931))+4.9921912</f>
        <v>107.719346264682</v>
      </c>
      <c s="68" r="P15"/>
      <c s="38" r="Q15">
        <f>((((L15+M15)+N15)+O15)/(1.535645))-60.47703745</f>
        <v>160.04999554903</v>
      </c>
      <c s="68" r="R15"/>
      <c t="s" s="24" r="S15">
        <v>33</v>
      </c>
      <c t="s" s="24" r="T15">
        <v>34</v>
      </c>
    </row>
    <row customHeight="1" r="16" ht="14.25">
      <c t="s" s="45" r="A16">
        <v>135</v>
      </c>
      <c s="75" r="B16">
        <v>40</v>
      </c>
      <c s="54" r="C16">
        <v>35</v>
      </c>
      <c s="54" r="D16">
        <v>30</v>
      </c>
      <c s="54" r="E16">
        <v>20</v>
      </c>
      <c s="54" r="F16">
        <v>20</v>
      </c>
      <c s="2" r="G16">
        <v>50</v>
      </c>
      <c s="68" r="H16"/>
      <c s="19" r="I16">
        <f>INDEX('Speed Factors'!$A$2:$B$256,(G16),2)</f>
        <v>189</v>
      </c>
      <c s="19" r="J16">
        <f>SUM(B16:G16)</f>
        <v>195</v>
      </c>
      <c s="68" r="K16"/>
      <c s="38" r="L16">
        <f>((((B16*2)+141)*((D16*2)+36))/(402.744996))-24.57966407</f>
        <v>28.0988302892446</v>
      </c>
      <c s="38" r="M16">
        <f>((((B16*2)+141)*((F16*2)+36))/(416.310724))-19.16575597</f>
        <v>21.1791091312891</v>
      </c>
      <c s="38" r="N16">
        <f>(((((C16*2)+36)*((((C16*2)+36)*(I16/672))+415))/((((C16*2)+36)*(1-(I16/672)))+415))/(1.92306))-3.576327284</f>
        <v>46.3400096766733</v>
      </c>
      <c s="38" r="O16">
        <f>(((((E16*2)+36)*((((E16*2)+36)*(I16/672))+415))/((((E16*2)+36)*(1-(I16/672)))+415))/(1.980931))+4.9921912</f>
        <v>40.6416464272711</v>
      </c>
      <c s="68" r="P16"/>
      <c s="38" r="Q16">
        <f>((((L16+M16)+N16)+O16)/(1.535645))-60.47703745</f>
        <v>28.2541442518114</v>
      </c>
      <c s="63" r="R16"/>
      <c s="11" r="S16"/>
      <c s="11" r="T16"/>
    </row>
    <row customHeight="1" r="17" ht="14.25">
      <c t="s" s="45" r="A17">
        <v>136</v>
      </c>
      <c s="57" r="B17">
        <v>45</v>
      </c>
      <c s="8" r="C17">
        <v>25</v>
      </c>
      <c s="8" r="D17">
        <v>50</v>
      </c>
      <c s="8" r="E17">
        <v>25</v>
      </c>
      <c s="8" r="F17">
        <v>25</v>
      </c>
      <c s="27" r="G17">
        <v>35</v>
      </c>
      <c s="68" r="H17"/>
      <c s="20" r="I17">
        <f>INDEX('Speed Factors'!$A$2:$B$256,(G17),2)</f>
        <v>84</v>
      </c>
      <c s="20" r="J17">
        <f>SUM(B17:G17)</f>
        <v>205</v>
      </c>
      <c s="68" r="K17"/>
      <c s="38" r="L17">
        <f>((((B17*2)+141)*((D17*2)+36))/(402.744996))-24.57966407</f>
        <v>53.4250295004199</v>
      </c>
      <c s="38" r="M17">
        <f>((((B17*2)+141)*((F17*2)+36))/(416.310724))-19.16575597</f>
        <v>28.5534087181525</v>
      </c>
      <c s="38" r="N17">
        <f>(((((C17*2)+36)*((((C17*2)+36)*(I17/672))+415))/((((C17*2)+36)*(1-(I17/672)))+415))/(1.92306))-3.576327284</f>
        <v>35.2604040763803</v>
      </c>
      <c s="38" r="O17">
        <f>(((((E17*2)+36)*((((E17*2)+36)*(I17/672))+415))/((((E17*2)+36)*(1-(I17/672)))+415))/(1.980931))+4.9921912</f>
        <v>42.6943446873718</v>
      </c>
      <c s="68" r="P17"/>
      <c s="38" r="Q17">
        <f>((((L17+M17)+N17)+O17)/(1.535645))-60.47703745</f>
        <v>43.6702016464868</v>
      </c>
      <c s="68" r="R17"/>
      <c t="s" s="45" r="S17">
        <v>35</v>
      </c>
      <c t="s" s="45" r="T17">
        <v>14</v>
      </c>
    </row>
    <row customHeight="1" r="18" ht="14.25">
      <c t="s" s="45" r="A18">
        <v>137</v>
      </c>
      <c s="75" r="B18">
        <v>65</v>
      </c>
      <c s="54" r="C18">
        <v>80</v>
      </c>
      <c s="54" r="D18">
        <v>40</v>
      </c>
      <c s="54" r="E18">
        <v>45</v>
      </c>
      <c s="54" r="F18">
        <v>80</v>
      </c>
      <c s="2" r="G18">
        <v>75</v>
      </c>
      <c s="68" r="H18"/>
      <c s="19" r="I18">
        <f>INDEX('Speed Factors'!$A$2:$B$256,(G18),2)</f>
        <v>413</v>
      </c>
      <c s="19" r="J18">
        <f>SUM(B18:G18)</f>
        <v>385</v>
      </c>
      <c s="68" r="K18"/>
      <c s="38" r="L18">
        <f>((((B18*2)+141)*((D18*2)+36))/(402.744996))-24.57966407</f>
        <v>53.4746887145595</v>
      </c>
      <c s="38" r="M18">
        <f>((((B18*2)+141)*((F18*2)+36))/(416.310724))-19.16575597</f>
        <v>108.42163714265</v>
      </c>
      <c s="38" r="N18">
        <f>(((((C18*2)+36)*((((C18*2)+36)*(I18/672))+415))/((((C18*2)+36)*(1-(I18/672)))+415))/(1.92306))-3.576327284</f>
        <v>107.677002038341</v>
      </c>
      <c s="38" r="O18">
        <f>(((((E18*2)+36)*((((E18*2)+36)*(I18/672))+415))/((((E18*2)+36)*(1-(I18/672)))+415))/(1.980931))+4.9921912</f>
        <v>72.5606508026602</v>
      </c>
      <c s="68" r="P18"/>
      <c s="38" r="Q18">
        <f>((((L18+M18)+N18)+O18)/(1.535645))-60.47703745</f>
        <v>162.31793059158</v>
      </c>
      <c s="68" r="R18"/>
      <c t="s" s="53" r="S18">
        <v>36</v>
      </c>
      <c t="s" s="53" r="T18">
        <v>16</v>
      </c>
    </row>
    <row customHeight="1" r="19" ht="14.25">
      <c t="s" s="45" r="A19">
        <v>138</v>
      </c>
      <c s="57" r="B19">
        <v>40</v>
      </c>
      <c s="8" r="C19">
        <v>45</v>
      </c>
      <c s="8" r="D19">
        <v>40</v>
      </c>
      <c s="8" r="E19">
        <v>35</v>
      </c>
      <c s="8" r="F19">
        <v>35</v>
      </c>
      <c s="27" r="G19">
        <v>56</v>
      </c>
      <c s="68" r="H19"/>
      <c s="20" r="I19">
        <f>INDEX('Speed Factors'!$A$2:$B$256,(G19),2)</f>
        <v>262</v>
      </c>
      <c s="20" r="J19">
        <f>SUM(B19:G19)</f>
        <v>251</v>
      </c>
      <c s="68" r="K19"/>
      <c s="38" r="L19">
        <f>((((B19*2)+141)*((D19*2)+36))/(402.744996))-24.57966407</f>
        <v>39.0735166140873</v>
      </c>
      <c s="38" r="M19">
        <f>((((B19*2)+141)*((F19*2)+36))/(416.310724))-19.16575597</f>
        <v>37.1047137765348</v>
      </c>
      <c s="38" r="N19">
        <f>(((((C19*2)+36)*((((C19*2)+36)*(I19/672))+415))/((((C19*2)+36)*(1-(I19/672)))+415))/(1.92306))-3.576327284</f>
        <v>58.2477898304924</v>
      </c>
      <c s="38" r="O19">
        <f>(((((E19*2)+36)*((((E19*2)+36)*(I19/672))+415))/((((E19*2)+36)*(1-(I19/672)))+415))/(1.980931))+4.9921912</f>
        <v>55.8980908207756</v>
      </c>
      <c s="68" r="P19"/>
      <c s="38" r="Q19">
        <f>((((L19+M19)+N19)+O19)/(1.535645))-60.47703745</f>
        <v>63.4605334351265</v>
      </c>
      <c s="68" r="R19"/>
      <c t="s" s="14" r="S19">
        <v>37</v>
      </c>
      <c t="s" s="14" r="T19">
        <v>18</v>
      </c>
    </row>
    <row customHeight="1" r="20" ht="14.25">
      <c t="s" s="45" r="A20">
        <v>139</v>
      </c>
      <c s="75" r="B20">
        <v>63</v>
      </c>
      <c s="54" r="C20">
        <v>60</v>
      </c>
      <c s="54" r="D20">
        <v>55</v>
      </c>
      <c s="54" r="E20">
        <v>50</v>
      </c>
      <c s="54" r="F20">
        <v>50</v>
      </c>
      <c s="2" r="G20">
        <v>71</v>
      </c>
      <c s="68" r="H20"/>
      <c s="19" r="I20">
        <f>INDEX('Speed Factors'!$A$2:$B$256,(G20),2)</f>
        <v>405</v>
      </c>
      <c s="19" r="J20">
        <f>SUM(B20:G20)</f>
        <v>349</v>
      </c>
      <c s="68" r="K20"/>
      <c s="38" r="L20">
        <f>((((B20*2)+141)*((D20*2)+36))/(402.744996))-24.57966407</f>
        <v>72.2111102094152</v>
      </c>
      <c s="38" r="M20">
        <f>((((B20*2)+141)*((F20*2)+36))/(416.310724))-19.16575597</f>
        <v>68.0575556254995</v>
      </c>
      <c s="38" r="N20">
        <f>(((((C20*2)+36)*((((C20*2)+36)*(I20/672))+415))/((((C20*2)+36)*(1-(I20/672)))+415))/(1.92306))-3.576327284</f>
        <v>82.9927247411712</v>
      </c>
      <c s="38" r="O20">
        <f>(((((E20*2)+36)*((((E20*2)+36)*(I20/672))+415))/((((E20*2)+36)*(1-(I20/672)))+415))/(1.980931))+4.9921912</f>
        <v>77.7347923078459</v>
      </c>
      <c s="68" r="P20"/>
      <c s="38" r="Q20">
        <f>((((L20+M20)+N20)+O20)/(1.535645))-60.47703745</f>
        <v>135.529320063574</v>
      </c>
      <c s="68" r="R20"/>
      <c t="s" s="42" r="S20">
        <v>38</v>
      </c>
      <c t="s" s="42" r="T20">
        <v>20</v>
      </c>
    </row>
    <row customHeight="1" r="21" ht="14.25">
      <c t="s" s="45" r="A21">
        <v>140</v>
      </c>
      <c s="57" r="B21">
        <v>83</v>
      </c>
      <c s="8" r="C21">
        <v>80</v>
      </c>
      <c s="8" r="D21">
        <v>75</v>
      </c>
      <c s="8" r="E21">
        <v>70</v>
      </c>
      <c s="8" r="F21">
        <v>70</v>
      </c>
      <c s="27" r="G21">
        <v>91</v>
      </c>
      <c s="68" r="H21"/>
      <c s="20" r="I21">
        <f>INDEX('Speed Factors'!$A$2:$B$256,(G21),2)</f>
        <v>532</v>
      </c>
      <c s="20" r="J21">
        <f>SUM(B21:G21)</f>
        <v>469</v>
      </c>
      <c s="68" r="K21"/>
      <c s="38" r="L21">
        <f>((((B21*2)+141)*((D21*2)+36))/(402.744996))-24.57966407</f>
        <v>117.202358219856</v>
      </c>
      <c s="38" r="M21">
        <f>((((B21*2)+141)*((F21*2)+36))/(416.310724))-19.16575597</f>
        <v>110.621916758796</v>
      </c>
      <c s="38" r="N21">
        <f>(((((C21*2)+36)*((((C21*2)+36)*(I21/672))+415))/((((C21*2)+36)*(1-(I21/672)))+415))/(1.92306))-3.576327284</f>
        <v>123.908641018822</v>
      </c>
      <c s="38" r="O21">
        <f>(((((E21*2)+36)*((((E21*2)+36)*(I21/672))+415))/((((E21*2)+36)*(1-(I21/672)))+415))/(1.980931))+4.9921912</f>
        <v>114.034810079224</v>
      </c>
      <c s="68" r="P21"/>
      <c s="38" r="Q21">
        <f>((((L21+M21)+N21)+O21)/(1.535645))-60.47703745</f>
        <v>242.827258840287</v>
      </c>
      <c s="68" r="R21"/>
      <c t="s" s="39" r="S21">
        <v>39</v>
      </c>
      <c t="s" s="39" r="T21">
        <v>22</v>
      </c>
    </row>
    <row customHeight="1" r="22" ht="14.25">
      <c t="s" s="45" r="A22">
        <v>141</v>
      </c>
      <c s="75" r="B22">
        <v>30</v>
      </c>
      <c s="54" r="C22">
        <v>56</v>
      </c>
      <c s="54" r="D22">
        <v>35</v>
      </c>
      <c s="54" r="E22">
        <v>25</v>
      </c>
      <c s="54" r="F22">
        <v>35</v>
      </c>
      <c s="2" r="G22">
        <v>72</v>
      </c>
      <c s="68" r="H22"/>
      <c s="19" r="I22">
        <f>INDEX('Speed Factors'!$A$2:$B$256,(G22),2)</f>
        <v>408</v>
      </c>
      <c s="19" r="J22">
        <f>SUM(B22:G22)</f>
        <v>253</v>
      </c>
      <c s="68" r="K22"/>
      <c s="38" r="L22">
        <f>((((B22*2)+141)*((D22*2)+36))/(402.744996))-24.57966407</f>
        <v>28.3222967528726</v>
      </c>
      <c s="38" r="M22">
        <f>((((B22*2)+141)*((F22*2)+36))/(416.310724))-19.16575597</f>
        <v>32.0123635732285</v>
      </c>
      <c s="38" r="N22">
        <f>(((((C22*2)+36)*((((C22*2)+36)*(I22/672))+415))/((((C22*2)+36)*(1-(I22/672)))+415))/(1.92306))-3.576327284</f>
        <v>78.5429460902434</v>
      </c>
      <c s="38" r="O22">
        <f>(((((E22*2)+36)*((((E22*2)+36)*(I22/672))+415))/((((E22*2)+36)*(1-(I22/672)))+415))/(1.980931))+4.9921912</f>
        <v>50.1888356203914</v>
      </c>
      <c s="68" r="P22"/>
      <c s="38" r="Q22">
        <f>((((L22+M22)+N22)+O22)/(1.535645))-60.47703745</f>
        <v>62.6415492264363</v>
      </c>
      <c s="68" r="R22"/>
      <c t="s" s="31" r="S22">
        <v>40</v>
      </c>
      <c t="s" s="31" r="T22">
        <v>24</v>
      </c>
    </row>
    <row customHeight="1" r="23" ht="14.25">
      <c t="s" s="45" r="A23">
        <v>142</v>
      </c>
      <c s="57" r="B23">
        <v>55</v>
      </c>
      <c s="8" r="C23">
        <v>81</v>
      </c>
      <c s="8" r="D23">
        <v>60</v>
      </c>
      <c s="8" r="E23">
        <v>50</v>
      </c>
      <c s="8" r="F23">
        <v>70</v>
      </c>
      <c s="27" r="G23">
        <v>97</v>
      </c>
      <c s="68" r="H23"/>
      <c s="20" r="I23">
        <f>INDEX('Speed Factors'!$A$2:$B$256,(G23),2)</f>
        <v>568</v>
      </c>
      <c s="20" r="J23">
        <f>SUM(B23:G23)</f>
        <v>413</v>
      </c>
      <c s="68" r="K23"/>
      <c s="38" r="L23">
        <f>((((B23*2)+141)*((D23*2)+36))/(402.744996))-24.57966407</f>
        <v>72.6431453724294</v>
      </c>
      <c s="38" r="M23">
        <f>((((B23*2)+141)*((F23*2)+36))/(416.310724))-19.16575597</f>
        <v>86.9472924173867</v>
      </c>
      <c s="38" r="N23">
        <f>(((((C23*2)+36)*((((C23*2)+36)*(I23/672))+415))/((((C23*2)+36)*(1-(I23/672)))+415))/(1.92306))-3.576327284</f>
        <v>130.970918600653</v>
      </c>
      <c s="38" r="O23">
        <f>(((((E23*2)+36)*((((E23*2)+36)*(I23/672))+415))/((((E23*2)+36)*(1-(I23/672)))+415))/(1.980931))+4.9921912</f>
        <v>88.431843981259</v>
      </c>
      <c s="68" r="P23"/>
      <c s="38" r="Q23">
        <f>((((L23+M23)+N23)+O23)/(1.535645))-60.47703745</f>
        <v>186.320367140077</v>
      </c>
      <c s="68" r="R23"/>
      <c t="s" s="64" r="S23">
        <v>41</v>
      </c>
      <c t="s" s="64" r="T23">
        <v>26</v>
      </c>
    </row>
    <row customHeight="1" r="24" ht="14.25">
      <c t="s" s="45" r="A24">
        <v>143</v>
      </c>
      <c s="75" r="B24">
        <v>40</v>
      </c>
      <c s="54" r="C24">
        <v>60</v>
      </c>
      <c s="54" r="D24">
        <v>30</v>
      </c>
      <c s="54" r="E24">
        <v>31</v>
      </c>
      <c s="54" r="F24">
        <v>31</v>
      </c>
      <c s="2" r="G24">
        <v>70</v>
      </c>
      <c s="68" r="H24"/>
      <c s="19" r="I24">
        <f>INDEX('Speed Factors'!$A$2:$B$256,(G24),2)</f>
        <v>369</v>
      </c>
      <c s="19" r="J24">
        <f>SUM(B24:G24)</f>
        <v>262</v>
      </c>
      <c s="68" r="K24"/>
      <c s="38" r="L24">
        <f>((((B24*2)+141)*((D24*2)+36))/(402.744996))-24.57966407</f>
        <v>28.0988302892446</v>
      </c>
      <c s="38" r="M24">
        <f>((((B24*2)+141)*((F24*2)+36))/(416.310724))-19.16575597</f>
        <v>32.857885871136</v>
      </c>
      <c s="38" r="N24">
        <f>(((((C24*2)+36)*((((C24*2)+36)*(I24/672))+415))/((((C24*2)+36)*(1-(I24/672)))+415))/(1.92306))-3.576327284</f>
        <v>80.1052450533487</v>
      </c>
      <c s="38" r="O24">
        <f>(((((E24*2)+36)*((((E24*2)+36)*(I24/672))+415))/((((E24*2)+36)*(1-(I24/672)))+415))/(1.980931))+4.9921912</f>
        <v>55.5008519109439</v>
      </c>
      <c s="68" r="P24"/>
      <c s="38" r="Q24">
        <f>((((L24+M24)+N24)+O24)/(1.535645))-60.47703745</f>
        <v>67.5231273828052</v>
      </c>
      <c s="68" r="R24"/>
      <c t="s" s="59" r="S24">
        <v>42</v>
      </c>
      <c t="s" s="59" r="T24">
        <v>28</v>
      </c>
    </row>
    <row customHeight="1" r="25" ht="14.25">
      <c t="s" s="45" r="A25">
        <v>144</v>
      </c>
      <c s="57" r="B25">
        <v>65</v>
      </c>
      <c s="8" r="C25">
        <v>90</v>
      </c>
      <c s="8" r="D25">
        <v>65</v>
      </c>
      <c s="8" r="E25">
        <v>61</v>
      </c>
      <c s="8" r="F25">
        <v>61</v>
      </c>
      <c s="27" r="G25">
        <v>100</v>
      </c>
      <c s="68" r="H25"/>
      <c s="20" r="I25">
        <f>INDEX('Speed Factors'!$A$2:$B$256,(G25),2)</f>
        <v>577</v>
      </c>
      <c s="20" r="J25">
        <f>SUM(B25:G25)</f>
        <v>442</v>
      </c>
      <c s="68" r="K25"/>
      <c s="38" r="L25">
        <f>((((B25*2)+141)*((D25*2)+36))/(402.744996))-24.57966407</f>
        <v>87.118806294111</v>
      </c>
      <c s="38" r="M25">
        <f>((((B25*2)+141)*((F25*2)+36))/(416.310724))-19.16575597</f>
        <v>83.6853058248915</v>
      </c>
      <c s="38" r="N25">
        <f>(((((C25*2)+36)*((((C25*2)+36)*(I25/672))+415))/((((C25*2)+36)*(1-(I25/672)))+415))/(1.92306))-3.576327284</f>
        <v>147.802652947218</v>
      </c>
      <c s="38" r="O25">
        <f>(((((E25*2)+36)*((((E25*2)+36)*(I25/672))+415))/((((E25*2)+36)*(1-(I25/672)))+415))/(1.980931))+4.9921912</f>
        <v>105.421076832191</v>
      </c>
      <c s="68" r="P25"/>
      <c s="38" r="Q25">
        <f>((((L25+M25)+N25)+O25)/(1.535645))-60.47703745</f>
        <v>215.646573083953</v>
      </c>
      <c s="68" r="R25"/>
      <c t="s" s="61" r="S25">
        <v>43</v>
      </c>
      <c t="s" s="61" r="T25">
        <v>30</v>
      </c>
    </row>
    <row customHeight="1" r="26" ht="14.25">
      <c t="s" s="45" r="A26">
        <v>145</v>
      </c>
      <c s="75" r="B26">
        <v>35</v>
      </c>
      <c s="54" r="C26">
        <v>60</v>
      </c>
      <c s="54" r="D26">
        <v>44</v>
      </c>
      <c s="54" r="E26">
        <v>40</v>
      </c>
      <c s="54" r="F26">
        <v>54</v>
      </c>
      <c s="2" r="G26">
        <v>55</v>
      </c>
      <c s="68" r="H26"/>
      <c s="19" r="I26">
        <f>INDEX('Speed Factors'!$A$2:$B$256,(G26),2)</f>
        <v>233</v>
      </c>
      <c s="19" r="J26">
        <f>SUM(B26:G26)</f>
        <v>288</v>
      </c>
      <c s="68" r="K26"/>
      <c s="38" r="L26">
        <f>((((B26*2)+141)*((D26*2)+36))/(402.744996))-24.57966407</f>
        <v>40.3845198673716</v>
      </c>
      <c s="38" r="M26">
        <f>((((B26*2)+141)*((F26*2)+36))/(416.310724))-19.16575597</f>
        <v>53.8181914721034</v>
      </c>
      <c s="38" r="N26">
        <f>(((((C26*2)+36)*((((C26*2)+36)*(I26/672))+415))/((((C26*2)+36)*(1-(I26/672)))+415))/(1.92306))-3.576327284</f>
        <v>70.0395925850118</v>
      </c>
      <c s="38" r="O26">
        <f>(((((E26*2)+36)*((((E26*2)+36)*(I26/672))+415))/((((E26*2)+36)*(1-(I26/672)))+415))/(1.980931))+4.9921912</f>
        <v>59.3076630658867</v>
      </c>
      <c s="68" r="P26"/>
      <c s="38" r="Q26">
        <f>((((L26+M26)+N26)+O26)/(1.535645))-60.47703745</f>
        <v>85.0969506724981</v>
      </c>
      <c s="68" r="R26"/>
      <c t="s" s="37" r="S26">
        <v>45</v>
      </c>
      <c t="s" s="37" r="T26">
        <v>32</v>
      </c>
    </row>
    <row customHeight="1" r="27" ht="14.25">
      <c t="s" s="45" r="A27">
        <v>146</v>
      </c>
      <c s="57" r="B27">
        <v>60</v>
      </c>
      <c s="8" r="C27">
        <v>85</v>
      </c>
      <c s="8" r="D27">
        <v>69</v>
      </c>
      <c s="8" r="E27">
        <v>65</v>
      </c>
      <c s="8" r="F27">
        <v>79</v>
      </c>
      <c s="27" r="G27">
        <v>80</v>
      </c>
      <c s="68" r="H27"/>
      <c s="20" r="I27">
        <f>INDEX('Speed Factors'!$A$2:$B$256,(G27),2)</f>
        <v>432</v>
      </c>
      <c s="20" r="J27">
        <f>SUM(B27:G27)</f>
        <v>438</v>
      </c>
      <c s="68" r="K27"/>
      <c s="38" r="L27">
        <f>((((B27*2)+141)*((D27*2)+36))/(402.744996))-24.57966407</f>
        <v>88.1815134766976</v>
      </c>
      <c s="38" r="M27">
        <f>((((B27*2)+141)*((F27*2)+36))/(416.310724))-19.16575597</f>
        <v>102.459744121609</v>
      </c>
      <c s="38" r="N27">
        <f>(((((C27*2)+36)*((((C27*2)+36)*(I27/672))+415))/((((C27*2)+36)*(1-(I27/672)))+415))/(1.92306))-3.576327284</f>
        <v>116.449243560906</v>
      </c>
      <c s="38" r="O27">
        <f>(((((E27*2)+36)*((((E27*2)+36)*(I27/672))+415))/((((E27*2)+36)*(1-(I27/672)))+415))/(1.980931))+4.9921912</f>
        <v>97.1710707268487</v>
      </c>
      <c s="68" r="P27"/>
      <c s="38" r="Q27">
        <f>((((L27+M27)+N27)+O27)/(1.535645))-60.47703745</f>
        <v>202.774932820513</v>
      </c>
      <c s="68" r="R27"/>
      <c t="s" s="24" r="S27">
        <v>46</v>
      </c>
      <c t="s" s="24" r="T27">
        <v>34</v>
      </c>
    </row>
    <row customHeight="1" r="28" ht="14.25">
      <c t="s" s="45" r="A28">
        <v>147</v>
      </c>
      <c s="75" r="B28">
        <v>35</v>
      </c>
      <c s="54" r="C28">
        <v>55</v>
      </c>
      <c s="54" r="D28">
        <v>30</v>
      </c>
      <c s="54" r="E28">
        <v>50</v>
      </c>
      <c s="54" r="F28">
        <v>40</v>
      </c>
      <c s="2" r="G28">
        <v>90</v>
      </c>
      <c s="68" r="H28"/>
      <c s="19" r="I28">
        <f>INDEX('Speed Factors'!$A$2:$B$256,(G28),2)</f>
        <v>503</v>
      </c>
      <c s="19" r="J28">
        <f>SUM(B28:G28)</f>
        <v>300</v>
      </c>
      <c s="68" r="K28"/>
      <c s="38" r="L28">
        <f>((((B28*2)+141)*((D28*2)+36))/(402.744996))-24.57966407</f>
        <v>25.7151880105458</v>
      </c>
      <c s="38" r="M28">
        <f>((((B28*2)+141)*((F28*2)+36))/(416.310724))-19.16575597</f>
        <v>39.626868358361</v>
      </c>
      <c s="38" r="N28">
        <f>(((((C28*2)+36)*((((C28*2)+36)*(I28/672))+415))/((((C28*2)+36)*(1-(I28/672)))+415))/(1.92306))-3.576327284</f>
        <v>84.540508416791</v>
      </c>
      <c s="38" r="O28">
        <f>(((((E28*2)+36)*((((E28*2)+36)*(I28/672))+415))/((((E28*2)+36)*(1-(I28/672)))+415))/(1.980931))+4.9921912</f>
        <v>83.9778081204338</v>
      </c>
      <c s="68" r="P28"/>
      <c s="38" r="Q28">
        <f>((((L28+M28)+N28)+O28)/(1.535645))-60.47703745</f>
        <v>91.8110062750352</v>
      </c>
      <c s="63" r="R28"/>
      <c s="49" r="S28"/>
      <c s="49" r="T28"/>
    </row>
    <row customHeight="1" r="29" ht="14.25">
      <c t="s" s="45" r="A29">
        <v>148</v>
      </c>
      <c s="57" r="B29">
        <v>60</v>
      </c>
      <c s="8" r="C29">
        <v>90</v>
      </c>
      <c s="8" r="D29">
        <v>55</v>
      </c>
      <c s="8" r="E29">
        <v>90</v>
      </c>
      <c s="8" r="F29">
        <v>80</v>
      </c>
      <c s="27" r="G29">
        <v>100</v>
      </c>
      <c s="68" r="H29"/>
      <c s="20" r="I29">
        <f>INDEX('Speed Factors'!$A$2:$B$256,(G29),2)</f>
        <v>577</v>
      </c>
      <c s="20" r="J29">
        <f>SUM(B29:G29)</f>
        <v>475</v>
      </c>
      <c s="68" r="K29"/>
      <c s="38" r="L29">
        <f>((((B29*2)+141)*((D29*2)+36))/(402.744996))-24.57966407</f>
        <v>70.0360366301026</v>
      </c>
      <c s="38" r="M29">
        <f>((((B29*2)+141)*((F29*2)+36))/(416.310724))-19.16575597</f>
        <v>103.713615256575</v>
      </c>
      <c s="38" r="N29">
        <f>(((((C29*2)+36)*((((C29*2)+36)*(I29/672))+415))/((((C29*2)+36)*(1-(I29/672)))+415))/(1.92306))-3.576327284</f>
        <v>147.802652947218</v>
      </c>
      <c s="38" r="O29">
        <f>(((((E29*2)+36)*((((E29*2)+36)*(I29/672))+415))/((((E29*2)+36)*(1-(I29/672)))+415))/(1.980931))+4.9921912</f>
        <v>151.948779654341</v>
      </c>
      <c s="68" r="P29"/>
      <c s="38" r="Q29">
        <f>((((L29+M29)+N29)+O29)/(1.535645))-60.47703745</f>
        <v>247.86316128619</v>
      </c>
      <c s="63" r="R29"/>
      <c s="26" r="S29"/>
      <c s="26" r="T29"/>
    </row>
    <row customHeight="1" r="30" ht="14.25">
      <c t="s" s="45" r="A30">
        <v>149</v>
      </c>
      <c s="75" r="B30">
        <v>50</v>
      </c>
      <c s="54" r="C30">
        <v>75</v>
      </c>
      <c s="54" r="D30">
        <v>85</v>
      </c>
      <c s="54" r="E30">
        <v>20</v>
      </c>
      <c s="54" r="F30">
        <v>30</v>
      </c>
      <c s="2" r="G30">
        <v>40</v>
      </c>
      <c s="68" r="H30"/>
      <c s="19" r="I30">
        <f>INDEX('Speed Factors'!$A$2:$B$256,(G30),2)</f>
        <v>111</v>
      </c>
      <c s="19" r="J30">
        <f>SUM(B30:G30)</f>
        <v>300</v>
      </c>
      <c s="68" r="K30"/>
      <c s="38" r="L30">
        <f>((((B30*2)+141)*((D30*2)+36))/(402.744996))-24.57966407</f>
        <v>98.6894031886283</v>
      </c>
      <c s="38" r="M30">
        <f>((((B30*2)+141)*((F30*2)+36))/(416.310724))-19.16575597</f>
        <v>36.4081187015542</v>
      </c>
      <c s="38" r="N30">
        <f>(((((C30*2)+36)*((((C30*2)+36)*(I30/672))+415))/((((C30*2)+36)*(1-(I30/672)))+415))/(1.92306))-3.576327284</f>
        <v>72.0198213583285</v>
      </c>
      <c s="38" r="O30">
        <f>(((((E30*2)+36)*((((E30*2)+36)*(I30/672))+415))/((((E30*2)+36)*(1-(I30/672)))+415))/(1.980931))+4.9921912</f>
        <v>39.2769789602493</v>
      </c>
      <c s="68" r="P30"/>
      <c s="38" r="Q30">
        <f>((((L30+M30)+N30)+O30)/(1.535645))-60.47703745</f>
        <v>99.973015920903</v>
      </c>
      <c s="63" r="R30"/>
      <c s="26" r="S30"/>
      <c s="26" r="T30"/>
    </row>
    <row customHeight="1" r="31" ht="14.25">
      <c t="s" s="45" r="A31">
        <v>150</v>
      </c>
      <c s="57" r="B31">
        <v>75</v>
      </c>
      <c s="8" r="C31">
        <v>100</v>
      </c>
      <c s="8" r="D31">
        <v>110</v>
      </c>
      <c s="8" r="E31">
        <v>45</v>
      </c>
      <c s="8" r="F31">
        <v>55</v>
      </c>
      <c s="27" r="G31">
        <v>65</v>
      </c>
      <c s="68" r="H31"/>
      <c s="20" r="I31">
        <f>INDEX('Speed Factors'!$A$2:$B$256,(G31),2)</f>
        <v>321</v>
      </c>
      <c s="20" r="J31">
        <f>SUM(B31:G31)</f>
        <v>450</v>
      </c>
      <c s="68" r="K31"/>
      <c s="38" r="L31">
        <f>((((B31*2)+141)*((D31*2)+36))/(402.744996))-24.57966407</f>
        <v>160.390976757031</v>
      </c>
      <c s="38" r="M31">
        <f>((((B31*2)+141)*((F31*2)+36))/(416.310724))-19.16575597</f>
        <v>82.8878245666378</v>
      </c>
      <c s="38" r="N31">
        <f>(((((C31*2)+36)*((((C31*2)+36)*(I31/672))+415))/((((C31*2)+36)*(1-(I31/672)))+415))/(1.92306))-3.576327284</f>
        <v>116.742687931123</v>
      </c>
      <c s="38" r="O31">
        <f>(((((E31*2)+36)*((((E31*2)+36)*(I31/672))+415))/((((E31*2)+36)*(1-(I31/672)))+415))/(1.980931))+4.9921912</f>
        <v>67.8545183916387</v>
      </c>
      <c s="68" r="P31"/>
      <c s="38" r="Q31">
        <f>((((L31+M31)+N31)+O31)/(1.535645))-60.47703745</f>
        <v>218.152468488176</v>
      </c>
      <c s="63" r="R31"/>
      <c s="26" r="S31"/>
      <c s="26" r="T31"/>
    </row>
    <row customHeight="1" r="32" ht="14.25">
      <c t="s" s="45" r="A32">
        <v>151</v>
      </c>
      <c s="75" r="B32">
        <v>55</v>
      </c>
      <c s="54" r="C32">
        <v>47</v>
      </c>
      <c s="54" r="D32">
        <v>52</v>
      </c>
      <c s="54" r="E32">
        <v>40</v>
      </c>
      <c s="54" r="F32">
        <v>40</v>
      </c>
      <c s="2" r="G32">
        <v>41</v>
      </c>
      <c s="68" r="H32"/>
      <c s="19" r="I32">
        <f>INDEX('Speed Factors'!$A$2:$B$256,(G32),2)</f>
        <v>142</v>
      </c>
      <c s="19" r="J32">
        <f>SUM(B32:G32)</f>
        <v>275</v>
      </c>
      <c s="68" r="K32"/>
      <c s="38" r="L32">
        <f>((((B32*2)+141)*((D32*2)+36))/(402.744996))-24.57966407</f>
        <v>62.6715751732059</v>
      </c>
      <c s="38" r="M32">
        <f>((((B32*2)+141)*((F32*2)+36))/(416.310724))-19.16575597</f>
        <v>50.7723895580503</v>
      </c>
      <c s="38" r="N32">
        <f>(((((C32*2)+36)*((((C32*2)+36)*(I32/672))+415))/((((C32*2)+36)*(1-(I32/672)))+415))/(1.92306))-3.576327284</f>
        <v>54.2198682510387</v>
      </c>
      <c s="38" r="O32">
        <f>(((((E32*2)+36)*((((E32*2)+36)*(I32/672))+415))/((((E32*2)+36)*(1-(I32/672)))+415))/(1.980931))+4.9921912</f>
        <v>55.8069702912194</v>
      </c>
      <c s="68" r="P32"/>
      <c s="38" r="Q32">
        <f>((((L32+M32)+N32)+O32)/(1.535645))-60.47703745</f>
        <v>85.0453998799261</v>
      </c>
      <c s="63" r="R32"/>
      <c s="26" r="S32"/>
      <c s="26" r="T32"/>
    </row>
    <row customHeight="1" r="33" ht="14.25">
      <c t="s" s="45" r="A33">
        <v>152</v>
      </c>
      <c s="57" r="B33">
        <v>70</v>
      </c>
      <c s="8" r="C33">
        <v>62</v>
      </c>
      <c s="8" r="D33">
        <v>67</v>
      </c>
      <c s="8" r="E33">
        <v>55</v>
      </c>
      <c s="8" r="F33">
        <v>55</v>
      </c>
      <c s="27" r="G33">
        <v>56</v>
      </c>
      <c s="68" r="H33"/>
      <c s="20" r="I33">
        <f>INDEX('Speed Factors'!$A$2:$B$256,(G33),2)</f>
        <v>262</v>
      </c>
      <c s="20" r="J33">
        <f>SUM(B33:G33)</f>
        <v>365</v>
      </c>
      <c s="68" r="K33"/>
      <c s="38" r="L33">
        <f>((((B33*2)+141)*((D33*2)+36))/(402.744996))-24.57966407</f>
        <v>94.0313689023376</v>
      </c>
      <c s="38" r="M33">
        <f>((((B33*2)+141)*((F33*2)+36))/(416.310724))-19.16575597</f>
        <v>79.380828671908</v>
      </c>
      <c s="38" r="N33">
        <f>(((((C33*2)+36)*((((C33*2)+36)*(I33/672))+415))/((((C33*2)+36)*(1-(I33/672)))+415))/(1.92306))-3.576327284</f>
        <v>73.9050791227433</v>
      </c>
      <c s="38" r="O33">
        <f>(((((E33*2)+36)*((((E33*2)+36)*(I33/672))+415))/((((E33*2)+36)*(1-(I33/672)))+415))/(1.980931))+4.9921912</f>
        <v>73.9934622208629</v>
      </c>
      <c s="68" r="P33"/>
      <c s="38" r="Q33">
        <f>((((L33+M33)+N33)+O33)/(1.535645))-60.47703745</f>
        <v>148.757999891216</v>
      </c>
      <c s="63" r="R33"/>
      <c s="26" r="S33"/>
      <c s="26" r="T33"/>
    </row>
    <row customHeight="1" r="34" ht="14.25">
      <c t="s" s="45" r="A34">
        <v>153</v>
      </c>
      <c s="75" r="B34">
        <v>90</v>
      </c>
      <c s="54" r="C34">
        <v>82</v>
      </c>
      <c s="54" r="D34">
        <v>87</v>
      </c>
      <c s="54" r="E34">
        <v>75</v>
      </c>
      <c s="54" r="F34">
        <v>85</v>
      </c>
      <c s="2" r="G34">
        <v>76</v>
      </c>
      <c s="68" r="H34"/>
      <c s="19" r="I34">
        <f>INDEX('Speed Factors'!$A$2:$B$256,(G34),2)</f>
        <v>424</v>
      </c>
      <c s="19" r="J34">
        <f>SUM(B34:G34)</f>
        <v>495</v>
      </c>
      <c s="68" r="K34"/>
      <c s="38" r="L34">
        <f>((((B34*2)+141)*((D34*2)+36))/(402.744996))-24.57966407</f>
        <v>142.796717187385</v>
      </c>
      <c s="38" r="M34">
        <f>((((B34*2)+141)*((F34*2)+36))/(416.310724))-19.16575597</f>
        <v>139.672333437469</v>
      </c>
      <c s="38" r="N34">
        <f>(((((C34*2)+36)*((((C34*2)+36)*(I34/672))+415))/((((C34*2)+36)*(1-(I34/672)))+415))/(1.92306))-3.576327284</f>
        <v>111.569352339919</v>
      </c>
      <c s="38" r="O34">
        <f>(((((E34*2)+36)*((((E34*2)+36)*(I34/672))+415))/((((E34*2)+36)*(1-(I34/672)))+415))/(1.980931))+4.9921912</f>
        <v>108.344909419824</v>
      </c>
      <c s="68" r="P34"/>
      <c s="38" r="Q34">
        <f>((((L34+M34)+N34)+O34)/(1.535645))-60.47703745</f>
        <v>266.671041946343</v>
      </c>
      <c s="63" r="R34"/>
      <c s="26" r="S34"/>
      <c s="26" r="T34"/>
    </row>
    <row customHeight="1" r="35" ht="14.25">
      <c t="s" s="45" r="A35">
        <v>154</v>
      </c>
      <c s="57" r="B35">
        <v>46</v>
      </c>
      <c s="8" r="C35">
        <v>57</v>
      </c>
      <c s="8" r="D35">
        <v>40</v>
      </c>
      <c s="8" r="E35">
        <v>40</v>
      </c>
      <c s="8" r="F35">
        <v>40</v>
      </c>
      <c s="27" r="G35">
        <v>50</v>
      </c>
      <c s="68" r="H35"/>
      <c s="20" r="I35">
        <f>INDEX('Speed Factors'!$A$2:$B$256,(G35),2)</f>
        <v>189</v>
      </c>
      <c s="20" r="J35">
        <f>SUM(B35:G35)</f>
        <v>273</v>
      </c>
      <c s="68" r="K35"/>
      <c s="38" r="L35">
        <f>((((B35*2)+141)*((D35*2)+36))/(402.744996))-24.57966407</f>
        <v>42.5297979182006</v>
      </c>
      <c s="38" r="M35">
        <f>((((B35*2)+141)*((F35*2)+36))/(416.310724))-19.16575597</f>
        <v>45.7569050181902</v>
      </c>
      <c s="38" r="N35">
        <f>(((((C35*2)+36)*((((C35*2)+36)*(I35/672))+415))/((((C35*2)+36)*(1-(I35/672)))+415))/(1.92306))-3.576327284</f>
        <v>64.6334779832068</v>
      </c>
      <c s="38" r="O35">
        <f>(((((E35*2)+36)*((((E35*2)+36)*(I35/672))+415))/((((E35*2)+36)*(1-(I35/672)))+415))/(1.980931))+4.9921912</f>
        <v>57.5874657106356</v>
      </c>
      <c s="68" r="P35"/>
      <c s="38" r="Q35">
        <f>((((L35+M35)+N35)+O35)/(1.535645))-60.47703745</f>
        <v>76.6038937744908</v>
      </c>
      <c s="63" r="R35"/>
      <c s="26" r="S35"/>
      <c s="26" r="T35"/>
    </row>
    <row customHeight="1" r="36" ht="14.25">
      <c t="s" s="45" r="A36">
        <v>155</v>
      </c>
      <c s="75" r="B36">
        <v>61</v>
      </c>
      <c s="54" r="C36">
        <v>72</v>
      </c>
      <c s="54" r="D36">
        <v>57</v>
      </c>
      <c s="54" r="E36">
        <v>55</v>
      </c>
      <c s="54" r="F36">
        <v>55</v>
      </c>
      <c s="2" r="G36">
        <v>65</v>
      </c>
      <c s="68" r="H36"/>
      <c s="19" r="I36">
        <f>INDEX('Speed Factors'!$A$2:$B$256,(G36),2)</f>
        <v>321</v>
      </c>
      <c s="19" r="J36">
        <f>SUM(B36:G36)</f>
        <v>365</v>
      </c>
      <c s="68" r="K36"/>
      <c s="38" r="L36">
        <f>((((B36*2)+141)*((D36*2)+36))/(402.744996))-24.57966407</f>
        <v>73.3731358202809</v>
      </c>
      <c s="38" r="M36">
        <f>((((B36*2)+141)*((F36*2)+36))/(416.310724))-19.16575597</f>
        <v>73.0682360613943</v>
      </c>
      <c s="38" r="N36">
        <f>(((((C36*2)+36)*((((C36*2)+36)*(I36/672))+415))/((((C36*2)+36)*(1-(I36/672)))+415))/(1.92306))-3.576327284</f>
        <v>88.5468478973982</v>
      </c>
      <c s="38" r="O36">
        <f>(((((E36*2)+36)*((((E36*2)+36)*(I36/672))+415))/((((E36*2)+36)*(1-(I36/672)))+415))/(1.980931))+4.9921912</f>
        <v>77.7170470531314</v>
      </c>
      <c s="68" r="P36"/>
      <c s="38" r="Q36">
        <f>((((L36+M36)+N36)+O36)/(1.535645))-60.47703745</f>
        <v>143.154183849327</v>
      </c>
      <c s="63" r="R36"/>
      <c s="26" r="S36"/>
      <c s="26" r="T36"/>
    </row>
    <row customHeight="1" r="37" ht="14.25">
      <c t="s" s="45" r="A37">
        <v>156</v>
      </c>
      <c s="57" r="B37">
        <v>81</v>
      </c>
      <c s="8" r="C37">
        <v>92</v>
      </c>
      <c s="8" r="D37">
        <v>77</v>
      </c>
      <c s="8" r="E37">
        <v>85</v>
      </c>
      <c s="8" r="F37">
        <v>75</v>
      </c>
      <c s="27" r="G37">
        <v>85</v>
      </c>
      <c s="68" r="H37"/>
      <c s="20" r="I37">
        <f>INDEX('Speed Factors'!$A$2:$B$256,(G37),2)</f>
        <v>469</v>
      </c>
      <c s="20" r="J37">
        <f>SUM(B37:G37)</f>
        <v>495</v>
      </c>
      <c s="68" r="K37"/>
      <c s="38" r="L37">
        <f>((((B37*2)+141)*((D37*2)+36))/(402.744996))-24.57966407</f>
        <v>118.364383830722</v>
      </c>
      <c s="38" r="M37">
        <f>((((B37*2)+141)*((F37*2)+36))/(416.310724))-19.16575597</f>
        <v>116.209089670537</v>
      </c>
      <c s="38" r="N37">
        <f>(((((C37*2)+36)*((((C37*2)+36)*(I37/672))+415))/((((C37*2)+36)*(1-(I37/672)))+415))/(1.92306))-3.576327284</f>
        <v>131.516856343459</v>
      </c>
      <c s="38" r="O37">
        <f>(((((E37*2)+36)*((((E37*2)+36)*(I37/672))+415))/((((E37*2)+36)*(1-(I37/672)))+415))/(1.980931))+4.9921912</f>
        <v>126.752186392872</v>
      </c>
      <c s="68" r="P37"/>
      <c s="38" r="Q37">
        <f>((((L37+M37)+N37)+O37)/(1.535645))-60.47703745</f>
        <v>260.458150199222</v>
      </c>
      <c s="63" r="R37"/>
      <c s="26" r="S37"/>
      <c s="26" r="T37"/>
    </row>
    <row customHeight="1" r="38" ht="14.25">
      <c t="s" s="45" r="A38">
        <v>157</v>
      </c>
      <c s="75" r="B38">
        <v>70</v>
      </c>
      <c s="54" r="C38">
        <v>45</v>
      </c>
      <c s="54" r="D38">
        <v>48</v>
      </c>
      <c s="54" r="E38">
        <v>60</v>
      </c>
      <c s="54" r="F38">
        <v>65</v>
      </c>
      <c s="2" r="G38">
        <v>35</v>
      </c>
      <c s="68" r="H38"/>
      <c s="19" r="I38">
        <f>INDEX('Speed Factors'!$A$2:$B$256,(G38),2)</f>
        <v>84</v>
      </c>
      <c s="19" r="J38">
        <f>SUM(B38:G38)</f>
        <v>323</v>
      </c>
      <c s="68" r="K38"/>
      <c s="38" r="L38">
        <f>((((B38*2)+141)*((D38*2)+36))/(402.744996))-24.57966407</f>
        <v>67.5183144732269</v>
      </c>
      <c s="38" r="M38">
        <f>((((B38*2)+141)*((F38*2)+36))/(416.310724))-19.16575597</f>
        <v>92.8803608146351</v>
      </c>
      <c s="38" r="N38">
        <f>(((((C38*2)+36)*((((C38*2)+36)*(I38/672))+415))/((((C38*2)+36)*(1-(I38/672)))+415))/(1.92306))-3.576327284</f>
        <v>50.1561588888655</v>
      </c>
      <c s="38" r="O38">
        <f>(((((E38*2)+36)*((((E38*2)+36)*(I38/672))+415))/((((E38*2)+36)*(1-(I38/672)))+415))/(1.980931))+4.9921912</f>
        <v>67.0361518816505</v>
      </c>
      <c s="68" r="P38"/>
      <c s="38" r="Q38">
        <f>((((L38+M38)+N38)+O38)/(1.535645))-60.47703745</f>
        <v>120.288039151935</v>
      </c>
      <c s="63" r="R38"/>
      <c s="26" r="S38"/>
      <c s="26" r="T38"/>
    </row>
    <row customHeight="1" r="39" ht="14.25">
      <c t="s" s="45" r="A39">
        <v>158</v>
      </c>
      <c s="57" r="B39">
        <v>95</v>
      </c>
      <c s="8" r="C39">
        <v>70</v>
      </c>
      <c s="8" r="D39">
        <v>73</v>
      </c>
      <c s="8" r="E39">
        <v>85</v>
      </c>
      <c s="8" r="F39">
        <v>90</v>
      </c>
      <c s="27" r="G39">
        <v>60</v>
      </c>
      <c s="68" r="H39"/>
      <c s="20" r="I39">
        <f>INDEX('Speed Factors'!$A$2:$B$256,(G39),2)</f>
        <v>274</v>
      </c>
      <c s="20" r="J39">
        <f>SUM(B39:G39)</f>
        <v>473</v>
      </c>
      <c s="68" r="K39"/>
      <c s="38" r="L39">
        <f>((((B39*2)+141)*((D39*2)+36))/(402.744996))-24.57966407</f>
        <v>124.998854839767</v>
      </c>
      <c s="38" r="M39">
        <f>((((B39*2)+141)*((F39*2)+36))/(416.310724))-19.16575597</f>
        <v>152.571352584523</v>
      </c>
      <c s="38" r="N39">
        <f>(((((C39*2)+36)*((((C39*2)+36)*(I39/672))+415))/((((C39*2)+36)*(1-(I39/672)))+415))/(1.92306))-3.576327284</f>
        <v>82.2202311006221</v>
      </c>
      <c s="38" r="O39">
        <f>(((((E39*2)+36)*((((E39*2)+36)*(I39/672))+415))/((((E39*2)+36)*(1-(I39/672)))+415))/(1.980931))+4.9921912</f>
        <v>101.622671323538</v>
      </c>
      <c s="68" r="P39"/>
      <c s="38" r="Q39">
        <f>((((L39+M39)+N39)+O39)/(1.535645))-60.47703745</f>
        <v>239.991566848813</v>
      </c>
      <c s="63" r="R39"/>
      <c s="26" r="S39"/>
      <c s="26" r="T39"/>
    </row>
    <row customHeight="1" r="40" ht="14.25">
      <c t="s" s="45" r="A40">
        <v>159</v>
      </c>
      <c s="75" r="B40">
        <v>38</v>
      </c>
      <c s="54" r="C40">
        <v>41</v>
      </c>
      <c s="54" r="D40">
        <v>40</v>
      </c>
      <c s="54" r="E40">
        <v>50</v>
      </c>
      <c s="54" r="F40">
        <v>65</v>
      </c>
      <c s="2" r="G40">
        <v>65</v>
      </c>
      <c s="68" r="H40"/>
      <c s="19" r="I40">
        <f>INDEX('Speed Factors'!$A$2:$B$256,(G40),2)</f>
        <v>321</v>
      </c>
      <c s="19" r="J40">
        <f>SUM(B40:G40)</f>
        <v>299</v>
      </c>
      <c s="68" r="K40"/>
      <c s="38" r="L40">
        <f>((((B40*2)+141)*((D40*2)+36))/(402.744996))-24.57966407</f>
        <v>37.9214228460495</v>
      </c>
      <c s="38" r="M40">
        <f>((((B40*2)+141)*((F40*2)+36))/(416.310724))-19.16575597</f>
        <v>67.3609605505189</v>
      </c>
      <c s="38" r="N40">
        <f>(((((C40*2)+36)*((((C40*2)+36)*(I40/672))+415))/((((C40*2)+36)*(1-(I40/672)))+415))/(1.92306))-3.576327284</f>
        <v>57.1060432605832</v>
      </c>
      <c s="38" r="O40">
        <f>(((((E40*2)+36)*((((E40*2)+36)*(I40/672))+415))/((((E40*2)+36)*(1-(I40/672)))+415))/(1.980931))+4.9921912</f>
        <v>72.7891635609793</v>
      </c>
      <c s="68" r="P40"/>
      <c s="38" r="Q40">
        <f>((((L40+M40)+N40)+O40)/(1.535645))-60.47703745</f>
        <v>92.6687678748836</v>
      </c>
      <c s="63" r="R40"/>
      <c s="26" r="S40"/>
      <c s="26" r="T40"/>
    </row>
    <row customHeight="1" r="41" ht="14.25">
      <c t="s" s="45" r="A41">
        <v>91</v>
      </c>
      <c s="57" r="B41">
        <v>73</v>
      </c>
      <c s="8" r="C41">
        <v>76</v>
      </c>
      <c s="8" r="D41">
        <v>75</v>
      </c>
      <c s="8" r="E41">
        <v>81</v>
      </c>
      <c s="8" r="F41">
        <v>100</v>
      </c>
      <c s="27" r="G41">
        <v>100</v>
      </c>
      <c s="68" r="H41"/>
      <c s="20" r="I41">
        <f>INDEX('Speed Factors'!$A$2:$B$256,(G41),2)</f>
        <v>577</v>
      </c>
      <c s="20" r="J41">
        <f>SUM(B41:G41)</f>
        <v>505</v>
      </c>
      <c s="68" r="K41"/>
      <c s="38" r="L41">
        <f>((((B41*2)+141)*((D41*2)+36))/(402.744996))-24.57966407</f>
        <v>107.965744389898</v>
      </c>
      <c s="38" r="M41">
        <f>((((B41*2)+141)*((F41*2)+36))/(416.310724))-19.16575597</f>
        <v>143.530028921671</v>
      </c>
      <c s="38" r="N41">
        <f>(((((C41*2)+36)*((((C41*2)+36)*(I41/672))+415))/((((C41*2)+36)*(1-(I41/672)))+415))/(1.92306))-3.576327284</f>
        <v>124.037933687393</v>
      </c>
      <c s="38" r="O41">
        <f>(((((E41*2)+36)*((((E41*2)+36)*(I41/672))+415))/((((E41*2)+36)*(1-(I41/672)))+415))/(1.980931))+4.9921912</f>
        <v>136.988979213021</v>
      </c>
      <c s="68" r="P41"/>
      <c s="38" r="Q41">
        <f>((((L41+M41)+N41)+O41)/(1.535645))-60.47703745</f>
        <v>273.273722792102</v>
      </c>
      <c s="63" r="R41"/>
      <c s="26" r="S41"/>
      <c s="26" r="T41"/>
    </row>
    <row customHeight="1" r="42" ht="14.25">
      <c t="s" s="45" r="A42">
        <v>160</v>
      </c>
      <c s="75" r="B42">
        <v>115</v>
      </c>
      <c s="54" r="C42">
        <v>45</v>
      </c>
      <c s="54" r="D42">
        <v>20</v>
      </c>
      <c s="54" r="E42">
        <v>45</v>
      </c>
      <c s="54" r="F42">
        <v>25</v>
      </c>
      <c s="2" r="G42">
        <v>20</v>
      </c>
      <c s="68" r="H42"/>
      <c s="19" r="I42">
        <f>INDEX('Speed Factors'!$A$2:$B$256,(G42),2)</f>
        <v>14</v>
      </c>
      <c s="19" r="J42">
        <f>SUM(B42:G42)</f>
        <v>270</v>
      </c>
      <c s="68" r="K42"/>
      <c s="38" r="L42">
        <f>((((B42*2)+141)*((D42*2)+36))/(402.744996))-24.57966407</f>
        <v>45.4298960239509</v>
      </c>
      <c s="38" r="M42">
        <f>((((B42*2)+141)*((F42*2)+36))/(416.310724))-19.16575597</f>
        <v>57.4741145897601</v>
      </c>
      <c s="38" r="N42">
        <f>(((((C42*2)+36)*((((C42*2)+36)*(I42/672))+415))/((((C42*2)+36)*(1-(I42/672)))+415))/(1.92306))-3.576327284</f>
        <v>47.2488982459206</v>
      </c>
      <c s="38" r="O42">
        <f>(((((E42*2)+36)*((((E42*2)+36)*(I42/672))+415))/((((E42*2)+36)*(1-(I42/672)))+415))/(1.980931))+4.9921912</f>
        <v>54.3326064933994</v>
      </c>
      <c s="68" r="P42"/>
      <c s="38" r="Q42">
        <f>((((L42+M42)+N42)+O42)/(1.535645))-60.47703745</f>
        <v>72.6823290396711</v>
      </c>
      <c s="63" r="R42"/>
      <c s="26" r="S42"/>
      <c s="26" r="T42"/>
    </row>
    <row customHeight="1" r="43" ht="14.25">
      <c t="s" s="45" r="A43">
        <v>161</v>
      </c>
      <c s="57" r="B43">
        <v>140</v>
      </c>
      <c s="8" r="C43">
        <v>70</v>
      </c>
      <c s="8" r="D43">
        <v>45</v>
      </c>
      <c s="8" r="E43">
        <v>75</v>
      </c>
      <c s="8" r="F43">
        <v>50</v>
      </c>
      <c s="27" r="G43">
        <v>45</v>
      </c>
      <c s="68" r="H43"/>
      <c s="20" r="I43">
        <f>INDEX('Speed Factors'!$A$2:$B$256,(G43),2)</f>
        <v>154</v>
      </c>
      <c s="20" r="J43">
        <f>SUM(B43:G43)</f>
        <v>425</v>
      </c>
      <c s="68" r="K43"/>
      <c s="38" r="L43">
        <f>((((B43*2)+141)*((D43*2)+36))/(402.744996))-24.57966407</f>
        <v>107.131469592353</v>
      </c>
      <c s="38" r="M43">
        <f>((((B43*2)+141)*((F43*2)+36))/(416.310724))-19.16575597</f>
        <v>118.366132350994</v>
      </c>
      <c s="38" r="N43">
        <f>(((((C43*2)+36)*((((C43*2)+36)*(I43/672))+415))/((((C43*2)+36)*(1-(I43/672)))+415))/(1.92306))-3.576327284</f>
        <v>72.1000771671485</v>
      </c>
      <c s="38" r="O43">
        <f>(((((E43*2)+36)*((((E43*2)+36)*(I43/672))+415))/((((E43*2)+36)*(1-(I43/672)))+415))/(1.980931))+4.9921912</f>
        <v>81.9455131247213</v>
      </c>
      <c s="68" r="P43"/>
      <c s="38" r="Q43">
        <f>((((L43+M43)+N43)+O43)/(1.535645))-60.47703745</f>
        <v>186.67851753518</v>
      </c>
      <c s="63" r="R43"/>
      <c s="26" r="S43"/>
      <c s="26" r="T43"/>
    </row>
    <row customHeight="1" r="44" ht="14.25">
      <c t="s" s="45" r="A44">
        <v>162</v>
      </c>
      <c s="75" r="B44">
        <v>40</v>
      </c>
      <c s="54" r="C44">
        <v>45</v>
      </c>
      <c s="54" r="D44">
        <v>35</v>
      </c>
      <c s="54" r="E44">
        <v>30</v>
      </c>
      <c s="54" r="F44">
        <v>40</v>
      </c>
      <c s="2" r="G44">
        <v>55</v>
      </c>
      <c s="68" r="H44"/>
      <c s="19" r="I44">
        <f>INDEX('Speed Factors'!$A$2:$B$256,(G44),2)</f>
        <v>233</v>
      </c>
      <c s="19" r="J44">
        <f>SUM(B44:G44)</f>
        <v>245</v>
      </c>
      <c s="68" r="K44"/>
      <c s="38" r="L44">
        <f>((((B44*2)+141)*((D44*2)+36))/(402.744996))-24.57966407</f>
        <v>33.5861734516659</v>
      </c>
      <c s="38" r="M44">
        <f>((((B44*2)+141)*((F44*2)+36))/(416.310724))-19.16575597</f>
        <v>42.4132486582834</v>
      </c>
      <c s="38" r="N44">
        <f>(((((C44*2)+36)*((((C44*2)+36)*(I44/672))+415))/((((C44*2)+36)*(1-(I44/672)))+415))/(1.92306))-3.576327284</f>
        <v>56.855432365177</v>
      </c>
      <c s="38" r="O44">
        <f>(((((E44*2)+36)*((((E44*2)+36)*(I44/672))+415))/((((E44*2)+36)*(1-(I44/672)))+415))/(1.980931))+4.9921912</f>
        <v>50.4688506101026</v>
      </c>
      <c s="68" r="P44"/>
      <c s="38" r="Q44">
        <f>((((L44+M44)+N44)+O44)/(1.535645))-60.47703745</f>
        <v>58.9019238888699</v>
      </c>
      <c s="63" r="R44"/>
      <c s="26" r="S44"/>
      <c s="26" r="T44"/>
    </row>
    <row customHeight="1" r="45" ht="14.25">
      <c t="s" s="45" r="A45">
        <v>163</v>
      </c>
      <c s="57" r="B45">
        <v>75</v>
      </c>
      <c s="8" r="C45">
        <v>80</v>
      </c>
      <c s="8" r="D45">
        <v>70</v>
      </c>
      <c s="8" r="E45">
        <v>65</v>
      </c>
      <c s="8" r="F45">
        <v>75</v>
      </c>
      <c s="27" r="G45">
        <v>90</v>
      </c>
      <c s="68" r="H45"/>
      <c s="20" r="I45">
        <f>INDEX('Speed Factors'!$A$2:$B$256,(G45),2)</f>
        <v>503</v>
      </c>
      <c s="20" r="J45">
        <f>SUM(B45:G45)</f>
        <v>455</v>
      </c>
      <c s="68" r="K45"/>
      <c s="38" r="L45">
        <f>((((B45*2)+141)*((D45*2)+36))/(402.744996))-24.57966407</f>
        <v>102.587651498584</v>
      </c>
      <c s="38" r="M45">
        <f>((((B45*2)+141)*((F45*2)+36))/(416.310724))-19.16575597</f>
        <v>110.847709645169</v>
      </c>
      <c s="38" r="N45">
        <f>(((((C45*2)+36)*((((C45*2)+36)*(I45/672))+415))/((((C45*2)+36)*(1-(I45/672)))+415))/(1.92306))-3.576327284</f>
        <v>119.729390311026</v>
      </c>
      <c s="38" r="O45">
        <f>(((((E45*2)+36)*((((E45*2)+36)*(I45/672))+415))/((((E45*2)+36)*(1-(I45/672)))+415))/(1.980931))+4.9921912</f>
        <v>103.928468306599</v>
      </c>
      <c s="68" r="P45"/>
      <c s="38" r="Q45">
        <f>((((L45+M45)+N45)+O45)/(1.535645))-60.47703745</f>
        <v>224.154644847261</v>
      </c>
      <c s="63" r="R45"/>
      <c s="26" r="S45"/>
      <c s="26" r="T45"/>
    </row>
    <row customHeight="1" r="46" ht="14.25">
      <c t="s" s="45" r="A46">
        <v>164</v>
      </c>
      <c s="75" r="B46">
        <v>45</v>
      </c>
      <c s="54" r="C46">
        <v>50</v>
      </c>
      <c s="54" r="D46">
        <v>55</v>
      </c>
      <c s="54" r="E46">
        <v>75</v>
      </c>
      <c s="54" r="F46">
        <v>65</v>
      </c>
      <c s="2" r="G46">
        <v>30</v>
      </c>
      <c s="68" r="H46"/>
      <c s="19" r="I46">
        <f>INDEX('Speed Factors'!$A$2:$B$256,(G46),2)</f>
        <v>44</v>
      </c>
      <c s="19" r="J46">
        <f>SUM(B46:G46)</f>
        <v>320</v>
      </c>
      <c s="68" r="K46"/>
      <c s="38" r="L46">
        <f>((((B46*2)+141)*((D46*2)+36))/(402.744996))-24.57966407</f>
        <v>59.160668733539</v>
      </c>
      <c s="38" r="M46">
        <f>((((B46*2)+141)*((F46*2)+36))/(416.310724))-19.16575597</f>
        <v>72.9433293582944</v>
      </c>
      <c s="38" r="N46">
        <f>(((((C46*2)+36)*((((C46*2)+36)*(I46/672))+415))/((((C46*2)+36)*(1-(I46/672)))+415))/(1.92306))-3.576327284</f>
        <v>51.7254102497162</v>
      </c>
      <c s="38" r="O46">
        <f>(((((E46*2)+36)*((((E46*2)+36)*(I46/672))+415))/((((E46*2)+36)*(1-(I46/672)))+415))/(1.980931))+4.9921912</f>
        <v>73.1113769794955</v>
      </c>
      <c s="68" r="P46"/>
      <c s="38" r="Q46">
        <f>((((L46+M46)+N46)+O46)/(1.535645))-60.47703745</f>
        <v>106.840790121506</v>
      </c>
      <c s="63" r="R46"/>
      <c s="26" r="S46"/>
      <c s="26" r="T46"/>
    </row>
    <row customHeight="1" r="47" ht="14.25">
      <c t="s" s="45" r="A47">
        <v>165</v>
      </c>
      <c s="57" r="B47">
        <v>60</v>
      </c>
      <c s="8" r="C47">
        <v>65</v>
      </c>
      <c s="8" r="D47">
        <v>70</v>
      </c>
      <c s="8" r="E47">
        <v>85</v>
      </c>
      <c s="8" r="F47">
        <v>75</v>
      </c>
      <c s="27" r="G47">
        <v>40</v>
      </c>
      <c s="68" r="H47"/>
      <c s="20" r="I47">
        <f>INDEX('Speed Factors'!$A$2:$B$256,(G47),2)</f>
        <v>111</v>
      </c>
      <c s="20" r="J47">
        <f>SUM(B47:G47)</f>
        <v>395</v>
      </c>
      <c s="68" r="K47"/>
      <c s="38" r="L47">
        <f>((((B47*2)+141)*((D47*2)+36))/(402.744996))-24.57966407</f>
        <v>89.47761896574</v>
      </c>
      <c s="38" r="M47">
        <f>((((B47*2)+141)*((F47*2)+36))/(416.310724))-19.16575597</f>
        <v>97.4442595817493</v>
      </c>
      <c s="38" r="N47">
        <f>(((((C47*2)+36)*((((C47*2)+36)*(I47/672))+415))/((((C47*2)+36)*(1-(I47/672)))+415))/(1.92306))-3.576327284</f>
        <v>65.4109464706757</v>
      </c>
      <c s="38" r="O47">
        <f>(((((E47*2)+36)*((((E47*2)+36)*(I47/672))+415))/((((E47*2)+36)*(1-(I47/672)))+415))/(1.980931))+4.9921912</f>
        <v>84.5443257846547</v>
      </c>
      <c s="68" r="P47"/>
      <c s="38" r="Q47">
        <f>((((L47+M47)+N47)+O47)/(1.535645))-60.47703745</f>
        <v>158.894725426719</v>
      </c>
      <c s="63" r="R47"/>
      <c s="26" r="S47"/>
      <c s="26" r="T47"/>
    </row>
    <row customHeight="1" r="48" ht="14.25">
      <c t="s" s="45" r="A48">
        <v>166</v>
      </c>
      <c s="75" r="B48">
        <v>75</v>
      </c>
      <c s="54" r="C48">
        <v>80</v>
      </c>
      <c s="54" r="D48">
        <v>85</v>
      </c>
      <c s="54" r="E48">
        <v>100</v>
      </c>
      <c s="54" r="F48">
        <v>90</v>
      </c>
      <c s="2" r="G48">
        <v>50</v>
      </c>
      <c s="68" r="H48"/>
      <c s="19" r="I48">
        <f>INDEX('Speed Factors'!$A$2:$B$256,(G48),2)</f>
        <v>189</v>
      </c>
      <c s="19" r="J48">
        <f>SUM(B48:G48)</f>
        <v>480</v>
      </c>
      <c s="68" r="K48"/>
      <c s="38" r="L48">
        <f>((((B48*2)+141)*((D48*2)+36))/(402.744996))-24.57966407</f>
        <v>124.263898470501</v>
      </c>
      <c s="38" r="M48">
        <f>((((B48*2)+141)*((F48*2)+36))/(416.310724))-19.16575597</f>
        <v>131.817623454067</v>
      </c>
      <c s="38" r="N48">
        <f>(((((C48*2)+36)*((((C48*2)+36)*(I48/672))+415))/((((C48*2)+36)*(1-(I48/672)))+415))/(1.92306))-3.576327284</f>
        <v>82.6221195915432</v>
      </c>
      <c s="38" r="O48">
        <f>(((((E48*2)+36)*((((E48*2)+36)*(I48/672))+415))/((((E48*2)+36)*(1-(I48/672)))+415))/(1.980931))+4.9921912</f>
        <v>103.087627530034</v>
      </c>
      <c s="68" r="P48"/>
      <c s="38" r="Q48">
        <f>((((L48+M48)+N48)+O48)/(1.535645))-60.47703745</f>
        <v>227.213977756083</v>
      </c>
      <c s="63" r="R48"/>
      <c s="26" r="S48"/>
      <c s="26" r="T48"/>
    </row>
    <row customHeight="1" r="49" ht="14.25">
      <c t="s" s="45" r="A49">
        <v>167</v>
      </c>
      <c s="57" r="B49">
        <v>35</v>
      </c>
      <c s="8" r="C49">
        <v>70</v>
      </c>
      <c s="8" r="D49">
        <v>55</v>
      </c>
      <c s="8" r="E49">
        <v>45</v>
      </c>
      <c s="8" r="F49">
        <v>55</v>
      </c>
      <c s="27" r="G49">
        <v>25</v>
      </c>
      <c s="68" r="H49"/>
      <c s="20" r="I49">
        <f>INDEX('Speed Factors'!$A$2:$B$256,(G49),2)</f>
        <v>32</v>
      </c>
      <c s="20" r="J49">
        <f>SUM(B49:G49)</f>
        <v>285</v>
      </c>
      <c s="68" r="K49"/>
      <c s="38" r="L49">
        <f>((((B49*2)+141)*((D49*2)+36))/(402.744996))-24.57966407</f>
        <v>51.9104234691634</v>
      </c>
      <c s="38" r="M49">
        <f>((((B49*2)+141)*((F49*2)+36))/(416.310724))-19.16575597</f>
        <v>54.8318574087992</v>
      </c>
      <c s="38" r="N49">
        <f>(((((C49*2)+36)*((((C49*2)+36)*(I49/672))+415))/((((C49*2)+36)*(1-(I49/672)))+415))/(1.92306))-3.576327284</f>
        <v>62.9305366850257</v>
      </c>
      <c s="38" r="O49">
        <f>(((((E49*2)+36)*((((E49*2)+36)*(I49/672))+415))/((((E49*2)+36)*(1-(I49/672)))+415))/(1.980931))+4.9921912</f>
        <v>55.0451218013985</v>
      </c>
      <c s="68" r="P49"/>
      <c s="38" r="Q49">
        <f>((((L49+M49)+N49)+O49)/(1.535645))-60.47703745</f>
        <v>85.8575251373082</v>
      </c>
      <c s="63" r="R49"/>
      <c s="26" r="S49"/>
      <c s="26" r="T49"/>
    </row>
    <row customHeight="1" r="50" ht="14.25">
      <c t="s" s="45" r="A50">
        <v>168</v>
      </c>
      <c s="75" r="B50">
        <v>60</v>
      </c>
      <c s="54" r="C50">
        <v>95</v>
      </c>
      <c s="54" r="D50">
        <v>80</v>
      </c>
      <c s="54" r="E50">
        <v>60</v>
      </c>
      <c s="54" r="F50">
        <v>80</v>
      </c>
      <c s="2" r="G50">
        <v>30</v>
      </c>
      <c s="68" r="H50"/>
      <c s="19" r="I50">
        <f>INDEX('Speed Factors'!$A$2:$B$256,(G50),2)</f>
        <v>44</v>
      </c>
      <c s="19" r="J50">
        <f>SUM(B50:G50)</f>
        <v>405</v>
      </c>
      <c s="68" r="K50"/>
      <c s="38" r="L50">
        <f>((((B50*2)+141)*((D50*2)+36))/(402.744996))-24.57966407</f>
        <v>102.438673856165</v>
      </c>
      <c s="38" r="M50">
        <f>((((B50*2)+141)*((F50*2)+36))/(416.310724))-19.16575597</f>
        <v>103.713615256575</v>
      </c>
      <c s="38" r="N50">
        <f>(((((C50*2)+36)*((((C50*2)+36)*(I50/672))+415))/((((C50*2)+36)*(1-(I50/672)))+415))/(1.92306))-3.576327284</f>
        <v>77.0849129430811</v>
      </c>
      <c s="38" r="O50">
        <f>(((((E50*2)+36)*((((E50*2)+36)*(I50/672))+415))/((((E50*2)+36)*(1-(I50/672)))+415))/(1.980931))+4.9921912</f>
        <v>64.7048150601117</v>
      </c>
      <c s="68" r="P50"/>
      <c s="38" r="Q50">
        <f>((((L50+M50)+N50)+O50)/(1.535645))-60.47703745</f>
        <v>166.100079732638</v>
      </c>
      <c s="63" r="R50"/>
      <c s="26" r="S50"/>
      <c s="26" r="T50"/>
    </row>
    <row customHeight="1" r="51" ht="14.25">
      <c t="s" s="45" r="A51">
        <v>169</v>
      </c>
      <c s="57" r="B51">
        <v>60</v>
      </c>
      <c s="8" r="C51">
        <v>55</v>
      </c>
      <c s="8" r="D51">
        <v>50</v>
      </c>
      <c s="8" r="E51">
        <v>40</v>
      </c>
      <c s="8" r="F51">
        <v>55</v>
      </c>
      <c s="27" r="G51">
        <v>45</v>
      </c>
      <c s="68" r="H51"/>
      <c s="20" r="I51">
        <f>INDEX('Speed Factors'!$A$2:$B$256,(G51),2)</f>
        <v>154</v>
      </c>
      <c s="20" r="J51">
        <f>SUM(B51:G51)</f>
        <v>305</v>
      </c>
      <c s="68" r="K51"/>
      <c s="38" r="L51">
        <f>((((B51*2)+141)*((D51*2)+36))/(402.744996))-24.57966407</f>
        <v>63.55550918489</v>
      </c>
      <c s="38" r="M51">
        <f>((((B51*2)+141)*((F51*2)+36))/(416.310724))-19.16575597</f>
        <v>72.3668368824484</v>
      </c>
      <c s="38" r="N51">
        <f>(((((C51*2)+36)*((((C51*2)+36)*(I51/672))+415))/((((C51*2)+36)*(1-(I51/672)))+415))/(1.92306))-3.576327284</f>
        <v>60.9631364850962</v>
      </c>
      <c s="38" r="O51">
        <f>(((((E51*2)+36)*((((E51*2)+36)*(I51/672))+415))/((((E51*2)+36)*(1-(I51/672)))+415))/(1.980931))+4.9921912</f>
        <v>56.2561199454082</v>
      </c>
      <c s="68" r="P51"/>
      <c s="38" r="Q51">
        <f>((((L51+M51)+N51)+O51)/(1.535645))-60.47703745</f>
        <v>104.36679201439</v>
      </c>
      <c s="63" r="R51"/>
      <c s="26" r="S51"/>
      <c s="26" r="T51"/>
    </row>
    <row customHeight="1" r="52" ht="14.25">
      <c t="s" s="45" r="A52">
        <v>170</v>
      </c>
      <c s="75" r="B52">
        <v>70</v>
      </c>
      <c s="54" r="C52">
        <v>65</v>
      </c>
      <c s="54" r="D52">
        <v>60</v>
      </c>
      <c s="54" r="E52">
        <v>90</v>
      </c>
      <c s="54" r="F52">
        <v>75</v>
      </c>
      <c s="2" r="G52">
        <v>90</v>
      </c>
      <c s="68" r="H52"/>
      <c s="19" r="I52">
        <f>INDEX('Speed Factors'!$A$2:$B$256,(G52),2)</f>
        <v>503</v>
      </c>
      <c s="19" r="J52">
        <f>SUM(B52:G52)</f>
        <v>450</v>
      </c>
      <c s="68" r="K52"/>
      <c s="38" r="L52">
        <f>((((B52*2)+141)*((D52*2)+36))/(402.744996))-24.57966407</f>
        <v>84.2634014810863</v>
      </c>
      <c s="38" r="M52">
        <f>((((B52*2)+141)*((F52*2)+36))/(416.310724))-19.16575597</f>
        <v>106.379892957362</v>
      </c>
      <c s="38" r="N52">
        <f>(((((C52*2)+36)*((((C52*2)+36)*(I52/672))+415))/((((C52*2)+36)*(1-(I52/672)))+415))/(1.92306))-3.576327284</f>
        <v>98.3372574949728</v>
      </c>
      <c s="38" r="O52">
        <f>(((((E52*2)+36)*((((E52*2)+36)*(I52/672))+415))/((((E52*2)+36)*(1-(I52/672)))+415))/(1.980931))+4.9921912</f>
        <v>138.974615807851</v>
      </c>
      <c s="68" r="P52"/>
      <c s="38" r="Q52">
        <f>((((L52+M52)+N52)+O52)/(1.535645))-60.47703745</f>
        <v>218.204016922119</v>
      </c>
      <c s="63" r="R52"/>
      <c s="26" r="S52"/>
      <c s="26" r="T52"/>
    </row>
    <row customHeight="1" r="53" ht="14.25">
      <c t="s" s="45" r="A53">
        <v>171</v>
      </c>
      <c s="57" r="B53">
        <v>10</v>
      </c>
      <c s="8" r="C53">
        <v>55</v>
      </c>
      <c s="8" r="D53">
        <v>25</v>
      </c>
      <c s="8" r="E53">
        <v>35</v>
      </c>
      <c s="8" r="F53">
        <v>45</v>
      </c>
      <c s="27" r="G53">
        <v>95</v>
      </c>
      <c s="68" r="H53"/>
      <c s="20" r="I53">
        <f>INDEX('Speed Factors'!$A$2:$B$256,(G53),2)</f>
        <v>542</v>
      </c>
      <c s="20" r="J53">
        <f>SUM(B53:G53)</f>
        <v>265</v>
      </c>
      <c s="68" r="K53"/>
      <c s="38" r="L53">
        <f>((((B53*2)+141)*((D53*2)+36))/(402.744996))-24.57966407</f>
        <v>9.79940987881698</v>
      </c>
      <c s="38" r="M53">
        <f>((((B53*2)+141)*((F53*2)+36))/(416.310724))-19.16575597</f>
        <v>29.562270550883</v>
      </c>
      <c s="38" r="N53">
        <f>(((((C53*2)+36)*((((C53*2)+36)*(I53/672))+415))/((((C53*2)+36)*(1-(I53/672)))+415))/(1.92306))-3.576327284</f>
        <v>87.6763089494319</v>
      </c>
      <c s="38" r="O53">
        <f>(((((E53*2)+36)*((((E53*2)+36)*(I53/672))+415))/((((E53*2)+36)*(1-(I53/672)))+415))/(1.980931))+4.9921912</f>
        <v>66.4874082096966</v>
      </c>
      <c s="68" r="P53"/>
      <c s="38" r="Q53">
        <f>((((L53+M53)+N53)+O53)/(1.535645))-60.47703745</f>
        <v>65.5451861686283</v>
      </c>
      <c s="63" r="R53"/>
      <c s="26" r="S53"/>
      <c s="26" r="T53"/>
    </row>
    <row customHeight="1" r="54" ht="14.25">
      <c t="s" s="45" r="A54">
        <v>64</v>
      </c>
      <c s="75" r="B54">
        <v>35</v>
      </c>
      <c s="54" r="C54">
        <v>80</v>
      </c>
      <c s="54" r="D54">
        <v>50</v>
      </c>
      <c s="54" r="E54">
        <v>50</v>
      </c>
      <c s="54" r="F54">
        <v>70</v>
      </c>
      <c s="2" r="G54">
        <v>120</v>
      </c>
      <c s="68" r="H54"/>
      <c s="19" r="I54">
        <f>INDEX('Speed Factors'!$A$2:$B$256,(G54),2)</f>
        <v>652</v>
      </c>
      <c s="19" r="J54">
        <f>SUM(B54:G54)</f>
        <v>405</v>
      </c>
      <c s="68" r="K54"/>
      <c s="38" r="L54">
        <f>((((B54*2)+141)*((D54*2)+36))/(402.744996))-24.57966407</f>
        <v>46.6713763774398</v>
      </c>
      <c s="38" r="M54">
        <f>((((B54*2)+141)*((F54*2)+36))/(416.310724))-19.16575597</f>
        <v>70.0368464592374</v>
      </c>
      <c s="38" r="N54">
        <f>(((((C54*2)+36)*((((C54*2)+36)*(I54/672))+415))/((((C54*2)+36)*(1-(I54/672)))+415))/(1.92306))-3.576327284</f>
        <v>142.98794069938</v>
      </c>
      <c s="38" r="O54">
        <f>(((((E54*2)+36)*((((E54*2)+36)*(I54/672))+415))/((((E54*2)+36)*(1-(I54/672)))+415))/(1.980931))+4.9921912</f>
        <v>94.6020307607465</v>
      </c>
      <c s="68" r="P54"/>
      <c s="38" r="Q54">
        <f>((((L54+M54)+N54)+O54)/(1.535645))-60.47703745</f>
        <v>170.23917254437</v>
      </c>
      <c s="63" r="R54"/>
      <c s="26" r="S54"/>
      <c s="26" r="T54"/>
    </row>
    <row customHeight="1" r="55" ht="14.25">
      <c t="s" s="45" r="A55">
        <v>172</v>
      </c>
      <c s="57" r="B55">
        <v>40</v>
      </c>
      <c s="8" r="C55">
        <v>45</v>
      </c>
      <c s="8" r="D55">
        <v>35</v>
      </c>
      <c s="8" r="E55">
        <v>40</v>
      </c>
      <c s="8" r="F55">
        <v>40</v>
      </c>
      <c s="27" r="G55">
        <v>90</v>
      </c>
      <c s="68" r="H55"/>
      <c s="20" r="I55">
        <f>INDEX('Speed Factors'!$A$2:$B$256,(G55),2)</f>
        <v>503</v>
      </c>
      <c s="20" r="J55">
        <f>SUM(B55:G55)</f>
        <v>290</v>
      </c>
      <c s="68" r="K55"/>
      <c s="38" r="L55">
        <f>((((B55*2)+141)*((D55*2)+36))/(402.744996))-24.57966407</f>
        <v>33.5861734516659</v>
      </c>
      <c s="38" r="M55">
        <f>((((B55*2)+141)*((F55*2)+36))/(416.310724))-19.16575597</f>
        <v>42.4132486582834</v>
      </c>
      <c s="38" r="N55">
        <f>(((((C55*2)+36)*((((C55*2)+36)*(I55/672))+415))/((((C55*2)+36)*(1-(I55/672)))+415))/(1.92306))-3.576327284</f>
        <v>71.1301479586432</v>
      </c>
      <c s="38" r="O55">
        <f>(((((E55*2)+36)*((((E55*2)+36)*(I55/672))+415))/((((E55*2)+36)*(1-(I55/672)))+415))/(1.980931))+4.9921912</f>
        <v>71.1515384403675</v>
      </c>
      <c s="68" r="P55"/>
      <c s="38" r="Q55">
        <f>((((L55+M55)+N55)+O55)/(1.535645))-60.47703745</f>
        <v>81.6659112842192</v>
      </c>
      <c s="63" r="R55"/>
      <c s="26" r="S55"/>
      <c s="26" r="T55"/>
    </row>
    <row customHeight="1" r="56" ht="14.25">
      <c t="s" s="45" r="A56">
        <v>173</v>
      </c>
      <c s="75" r="B56">
        <v>65</v>
      </c>
      <c s="54" r="C56">
        <v>70</v>
      </c>
      <c s="54" r="D56">
        <v>60</v>
      </c>
      <c s="54" r="E56">
        <v>65</v>
      </c>
      <c s="54" r="F56">
        <v>65</v>
      </c>
      <c s="2" r="G56">
        <v>115</v>
      </c>
      <c s="68" r="H56"/>
      <c s="19" r="I56">
        <f>INDEX('Speed Factors'!$A$2:$B$256,(G56),2)</f>
        <v>642</v>
      </c>
      <c s="19" r="J56">
        <f>SUM(B56:G56)</f>
        <v>440</v>
      </c>
      <c s="68" r="K56"/>
      <c s="38" r="L56">
        <f>((((B56*2)+141)*((D56*2)+36))/(402.744996))-24.57966407</f>
        <v>80.3899827782007</v>
      </c>
      <c s="38" r="M56">
        <f>((((B56*2)+141)*((F56*2)+36))/(416.310724))-19.16575597</f>
        <v>88.892954523367</v>
      </c>
      <c s="38" r="N56">
        <f>(((((C56*2)+36)*((((C56*2)+36)*(I56/672))+415))/((((C56*2)+36)*(1-(I56/672)))+415))/(1.92306))-3.576327284</f>
        <v>122.635810409839</v>
      </c>
      <c s="38" r="O56">
        <f>(((((E56*2)+36)*((((E56*2)+36)*(I56/672))+415))/((((E56*2)+36)*(1-(I56/672)))+415))/(1.980931))+4.9921912</f>
        <v>118.782386979555</v>
      </c>
      <c s="68" r="P56"/>
      <c s="38" r="Q56">
        <f>((((L56+M56)+N56)+O56)/(1.535645))-60.47703745</f>
        <v>206.968325697708</v>
      </c>
      <c s="63" r="R56"/>
      <c s="26" r="S56"/>
      <c s="26" r="T56"/>
    </row>
    <row customHeight="1" r="57" ht="14.25">
      <c t="s" s="45" r="A57">
        <v>174</v>
      </c>
      <c s="57" r="B57">
        <v>50</v>
      </c>
      <c s="8" r="C57">
        <v>52</v>
      </c>
      <c s="8" r="D57">
        <v>48</v>
      </c>
      <c s="8" r="E57">
        <v>65</v>
      </c>
      <c s="8" r="F57">
        <v>50</v>
      </c>
      <c s="27" r="G57">
        <v>55</v>
      </c>
      <c s="68" r="H57"/>
      <c s="20" r="I57">
        <f>INDEX('Speed Factors'!$A$2:$B$256,(G57),2)</f>
        <v>233</v>
      </c>
      <c s="20" r="J57">
        <f>SUM(B57:G57)</f>
        <v>320</v>
      </c>
      <c s="68" r="K57"/>
      <c s="38" r="L57">
        <f>((((B57*2)+141)*((D57*2)+36))/(402.744996))-24.57966407</f>
        <v>54.4082819403832</v>
      </c>
      <c s="38" r="M57">
        <f>((((B57*2)+141)*((F57*2)+36))/(416.310724))-19.16575597</f>
        <v>59.5638998147018</v>
      </c>
      <c s="38" r="N57">
        <f>(((((C57*2)+36)*((((C57*2)+36)*(I57/672))+415))/((((C57*2)+36)*(1-(I57/672)))+415))/(1.92306))-3.576327284</f>
        <v>63.0552751168819</v>
      </c>
      <c s="38" r="O57">
        <f>(((((E57*2)+36)*((((E57*2)+36)*(I57/672))+415))/((((E57*2)+36)*(1-(I57/672)))+415))/(1.980931))+4.9921912</f>
        <v>80.6445986541429</v>
      </c>
      <c s="68" r="P57"/>
      <c s="38" r="Q57">
        <f>((((L57+M57)+N57)+O57)/(1.535645))-60.47703745</f>
        <v>107.316987553246</v>
      </c>
      <c s="63" r="R57"/>
      <c s="26" r="S57"/>
      <c s="26" r="T57"/>
    </row>
    <row customHeight="1" r="58" ht="14.25">
      <c t="s" s="45" r="A58">
        <v>175</v>
      </c>
      <c s="75" r="B58">
        <v>80</v>
      </c>
      <c s="54" r="C58">
        <v>82</v>
      </c>
      <c s="54" r="D58">
        <v>78</v>
      </c>
      <c s="54" r="E58">
        <v>95</v>
      </c>
      <c s="54" r="F58">
        <v>80</v>
      </c>
      <c s="2" r="G58">
        <v>85</v>
      </c>
      <c s="68" r="H58"/>
      <c s="19" r="I58">
        <f>INDEX('Speed Factors'!$A$2:$B$256,(G58),2)</f>
        <v>469</v>
      </c>
      <c s="19" r="J58">
        <f>SUM(B58:G58)</f>
        <v>500</v>
      </c>
      <c s="68" r="K58"/>
      <c s="38" r="L58">
        <f>((((B58*2)+141)*((D58*2)+36))/(402.744996))-24.57966407</f>
        <v>118.915601107671</v>
      </c>
      <c s="38" r="M58">
        <f>((((B58*2)+141)*((F58*2)+36))/(416.310724))-19.16575597</f>
        <v>122.545702800877</v>
      </c>
      <c s="38" r="N58">
        <f>(((((C58*2)+36)*((((C58*2)+36)*(I58/672))+415))/((((C58*2)+36)*(1-(I58/672)))+415))/(1.92306))-3.576327284</f>
        <v>117.742882305763</v>
      </c>
      <c s="38" r="O58">
        <f>(((((E58*2)+36)*((((E58*2)+36)*(I58/672))+415))/((((E58*2)+36)*(1-(I58/672)))+415))/(1.980931))+4.9921912</f>
        <v>140.198764494571</v>
      </c>
      <c s="68" r="P58"/>
      <c s="38" r="Q58">
        <f>((((L58+M58)+N58)+O58)/(1.535645))-60.47703745</f>
        <v>264.730253759155</v>
      </c>
      <c s="63" r="R58"/>
      <c s="26" r="S58"/>
      <c s="26" r="T58"/>
    </row>
    <row customHeight="1" r="59" ht="14.25">
      <c t="s" s="45" r="A59">
        <v>176</v>
      </c>
      <c s="57" r="B59">
        <v>40</v>
      </c>
      <c s="8" r="C59">
        <v>80</v>
      </c>
      <c s="8" r="D59">
        <v>35</v>
      </c>
      <c s="8" r="E59">
        <v>35</v>
      </c>
      <c s="8" r="F59">
        <v>45</v>
      </c>
      <c s="27" r="G59">
        <v>70</v>
      </c>
      <c s="68" r="H59"/>
      <c s="20" r="I59">
        <f>INDEX('Speed Factors'!$A$2:$B$256,(G59),2)</f>
        <v>369</v>
      </c>
      <c s="20" r="J59">
        <f>SUM(B59:G59)</f>
        <v>305</v>
      </c>
      <c s="68" r="K59"/>
      <c s="38" r="L59">
        <f>((((B59*2)+141)*((D59*2)+36))/(402.744996))-24.57966407</f>
        <v>33.5861734516659</v>
      </c>
      <c s="38" r="M59">
        <f>((((B59*2)+141)*((F59*2)+36))/(416.310724))-19.16575597</f>
        <v>47.7217835400319</v>
      </c>
      <c s="38" r="N59">
        <f>(((((C59*2)+36)*((((C59*2)+36)*(I59/672))+415))/((((C59*2)+36)*(1-(I59/672)))+415))/(1.92306))-3.576327284</f>
        <v>102.242215044079</v>
      </c>
      <c s="38" r="O59">
        <f>(((((E59*2)+36)*((((E59*2)+36)*(I59/672))+415))/((((E59*2)+36)*(1-(I59/672)))+415))/(1.980931))+4.9921912</f>
        <v>59.7061131288366</v>
      </c>
      <c s="68" r="P59"/>
      <c s="38" r="Q59">
        <f>((((L59+M59)+N59)+O59)/(1.535645))-60.47703745</f>
        <v>97.9295507683798</v>
      </c>
      <c s="63" r="R59"/>
      <c s="26" r="S59"/>
      <c s="26" r="T59"/>
    </row>
    <row customHeight="1" r="60" ht="14.25">
      <c t="s" s="45" r="A60">
        <v>177</v>
      </c>
      <c s="75" r="B60">
        <v>65</v>
      </c>
      <c s="54" r="C60">
        <v>105</v>
      </c>
      <c s="54" r="D60">
        <v>60</v>
      </c>
      <c s="54" r="E60">
        <v>60</v>
      </c>
      <c s="54" r="F60">
        <v>70</v>
      </c>
      <c s="2" r="G60">
        <v>95</v>
      </c>
      <c s="68" r="H60"/>
      <c s="19" r="I60">
        <f>INDEX('Speed Factors'!$A$2:$B$256,(G60),2)</f>
        <v>542</v>
      </c>
      <c s="19" r="J60">
        <f>SUM(B60:G60)</f>
        <v>455</v>
      </c>
      <c s="68" r="K60"/>
      <c s="38" r="L60">
        <f>((((B60*2)+141)*((D60*2)+36))/(402.744996))-24.57966407</f>
        <v>80.3899827782007</v>
      </c>
      <c s="38" r="M60">
        <f>((((B60*2)+141)*((F60*2)+36))/(416.310724))-19.16575597</f>
        <v>95.4025153964614</v>
      </c>
      <c s="38" r="N60">
        <f>(((((C60*2)+36)*((((C60*2)+36)*(I60/672))+415))/((((C60*2)+36)*(1-(I60/672)))+415))/(1.92306))-3.576327284</f>
        <v>166.051875345747</v>
      </c>
      <c s="38" r="O60">
        <f>(((((E60*2)+36)*((((E60*2)+36)*(I60/672))+415))/((((E60*2)+36)*(1-(I60/672)))+415))/(1.980931))+4.9921912</f>
        <v>100.661996353141</v>
      </c>
      <c s="68" r="P60"/>
      <c s="38" r="Q60">
        <f>((((L60+M60)+N60)+O60)/(1.535645))-60.47703745</f>
        <v>227.679645815696</v>
      </c>
      <c s="63" r="R60"/>
      <c s="26" r="S60"/>
      <c s="26" r="T60"/>
    </row>
    <row customHeight="1" r="61" ht="14.25">
      <c t="s" s="45" r="A61">
        <v>178</v>
      </c>
      <c s="57" r="B61">
        <v>55</v>
      </c>
      <c s="8" r="C61">
        <v>70</v>
      </c>
      <c s="8" r="D61">
        <v>45</v>
      </c>
      <c s="8" r="E61">
        <v>70</v>
      </c>
      <c s="8" r="F61">
        <v>50</v>
      </c>
      <c s="27" r="G61">
        <v>60</v>
      </c>
      <c s="68" r="H61"/>
      <c s="20" r="I61">
        <f>INDEX('Speed Factors'!$A$2:$B$256,(G61),2)</f>
        <v>274</v>
      </c>
      <c s="20" r="J61">
        <f>SUM(B61:G61)</f>
        <v>350</v>
      </c>
      <c s="68" r="K61"/>
      <c s="38" r="L61">
        <f>((((B61*2)+141)*((D61*2)+36))/(402.744996))-24.57966407</f>
        <v>53.9464512488853</v>
      </c>
      <c s="38" r="M61">
        <f>((((B61*2)+141)*((F61*2)+36))/(416.310724))-19.16575597</f>
        <v>62.8306905111625</v>
      </c>
      <c s="38" r="N61">
        <f>(((((C61*2)+36)*((((C61*2)+36)*(I61/672))+415))/((((C61*2)+36)*(1-(I61/672)))+415))/(1.92306))-3.576327284</f>
        <v>82.2202311006221</v>
      </c>
      <c s="38" r="O61">
        <f>(((((E61*2)+36)*((((E61*2)+36)*(I61/672))+415))/((((E61*2)+36)*(1-(I61/672)))+415))/(1.980931))+4.9921912</f>
        <v>88.2822853865877</v>
      </c>
      <c s="68" r="P61"/>
      <c s="38" r="Q61">
        <f>((((L61+M61)+N61)+O61)/(1.535645))-60.47703745</f>
        <v>126.597226619663</v>
      </c>
      <c s="63" r="R61"/>
      <c s="26" r="S61"/>
      <c s="26" r="T61"/>
    </row>
    <row customHeight="1" r="62" ht="14.25">
      <c t="s" s="45" r="A62">
        <v>179</v>
      </c>
      <c s="75" r="B62">
        <v>90</v>
      </c>
      <c s="54" r="C62">
        <v>110</v>
      </c>
      <c s="54" r="D62">
        <v>80</v>
      </c>
      <c s="54" r="E62">
        <v>100</v>
      </c>
      <c s="54" r="F62">
        <v>80</v>
      </c>
      <c s="2" r="G62">
        <v>95</v>
      </c>
      <c s="68" r="H62"/>
      <c s="19" r="I62">
        <f>INDEX('Speed Factors'!$A$2:$B$256,(G62),2)</f>
        <v>542</v>
      </c>
      <c s="19" r="J62">
        <f>SUM(B62:G62)</f>
        <v>555</v>
      </c>
      <c s="68" r="K62"/>
      <c s="38" r="L62">
        <f>((((B62*2)+141)*((D62*2)+36))/(402.744996))-24.57966407</f>
        <v>131.638291770226</v>
      </c>
      <c s="38" r="M62">
        <f>((((B62*2)+141)*((F62*2)+36))/(416.310724))-19.16575597</f>
        <v>131.961746573028</v>
      </c>
      <c s="38" r="N62">
        <f>(((((C62*2)+36)*((((C62*2)+36)*(I62/672))+415))/((((C62*2)+36)*(1-(I62/672)))+415))/(1.92306))-3.576327284</f>
        <v>174.523560856112</v>
      </c>
      <c s="38" r="O62">
        <f>(((((E62*2)+36)*((((E62*2)+36)*(I62/672))+415))/((((E62*2)+36)*(1-(I62/672)))+415))/(1.980931))+4.9921912</f>
        <v>161.548372688184</v>
      </c>
      <c s="68" r="P62"/>
      <c s="38" r="Q62">
        <f>((((L62+M62)+N62)+O62)/(1.535645))-60.47703745</f>
        <v>330.02465525082</v>
      </c>
      <c s="63" r="R62"/>
      <c s="26" r="S62"/>
      <c s="26" r="T62"/>
    </row>
    <row customHeight="1" r="63" ht="14.25">
      <c t="s" s="45" r="A63">
        <v>180</v>
      </c>
      <c s="57" r="B63">
        <v>40</v>
      </c>
      <c s="8" r="C63">
        <v>50</v>
      </c>
      <c s="8" r="D63">
        <v>40</v>
      </c>
      <c s="8" r="E63">
        <v>40</v>
      </c>
      <c s="8" r="F63">
        <v>40</v>
      </c>
      <c s="27" r="G63">
        <v>90</v>
      </c>
      <c s="68" r="H63"/>
      <c s="20" r="I63">
        <f>INDEX('Speed Factors'!$A$2:$B$256,(G63),2)</f>
        <v>503</v>
      </c>
      <c s="20" r="J63">
        <f>SUM(B63:G63)</f>
        <v>300</v>
      </c>
      <c s="68" r="K63"/>
      <c s="38" r="L63">
        <f>((((B63*2)+141)*((D63*2)+36))/(402.744996))-24.57966407</f>
        <v>39.0735166140873</v>
      </c>
      <c s="38" r="M63">
        <f>((((B63*2)+141)*((F63*2)+36))/(416.310724))-19.16575597</f>
        <v>42.4132486582834</v>
      </c>
      <c s="38" r="N63">
        <f>(((((C63*2)+36)*((((C63*2)+36)*(I63/672))+415))/((((C63*2)+36)*(1-(I63/672)))+415))/(1.92306))-3.576327284</f>
        <v>77.7862184045443</v>
      </c>
      <c s="38" r="O63">
        <f>(((((E63*2)+36)*((((E63*2)+36)*(I63/672))+415))/((((E63*2)+36)*(1-(I63/672)))+415))/(1.980931))+4.9921912</f>
        <v>71.1515384403675</v>
      </c>
      <c s="68" r="P63"/>
      <c s="38" r="Q63">
        <f>((((L63+M63)+N63)+O63)/(1.535645))-60.47703745</f>
        <v>89.5736071438237</v>
      </c>
      <c s="63" r="R63"/>
      <c s="26" r="S63"/>
      <c s="26" r="T63"/>
    </row>
    <row customHeight="1" r="64" ht="14.25">
      <c t="s" s="45" r="A64">
        <v>181</v>
      </c>
      <c s="75" r="B64">
        <v>65</v>
      </c>
      <c s="54" r="C64">
        <v>65</v>
      </c>
      <c s="54" r="D64">
        <v>65</v>
      </c>
      <c s="54" r="E64">
        <v>50</v>
      </c>
      <c s="54" r="F64">
        <v>50</v>
      </c>
      <c s="2" r="G64">
        <v>90</v>
      </c>
      <c s="68" r="H64"/>
      <c s="19" r="I64">
        <f>INDEX('Speed Factors'!$A$2:$B$256,(G64),2)</f>
        <v>503</v>
      </c>
      <c s="19" r="J64">
        <f>SUM(B64:G64)</f>
        <v>385</v>
      </c>
      <c s="68" r="K64"/>
      <c s="38" r="L64">
        <f>((((B64*2)+141)*((D64*2)+36))/(402.744996))-24.57966407</f>
        <v>87.118806294111</v>
      </c>
      <c s="38" r="M64">
        <f>((((B64*2)+141)*((F64*2)+36))/(416.310724))-19.16575597</f>
        <v>69.3642719040838</v>
      </c>
      <c s="38" r="N64">
        <f>(((((C64*2)+36)*((((C64*2)+36)*(I64/672))+415))/((((C64*2)+36)*(1-(I64/672)))+415))/(1.92306))-3.576327284</f>
        <v>98.3372574949728</v>
      </c>
      <c s="38" r="O64">
        <f>(((((E64*2)+36)*((((E64*2)+36)*(I64/672))+415))/((((E64*2)+36)*(1-(I64/672)))+415))/(1.980931))+4.9921912</f>
        <v>83.9778081204338</v>
      </c>
      <c s="68" r="P64"/>
      <c s="38" r="Q64">
        <f>((((L64+M64)+N64)+O64)/(1.535645))-60.47703745</f>
        <v>160.145661034091</v>
      </c>
      <c s="63" r="R64"/>
      <c s="26" r="S64"/>
      <c s="26" r="T64"/>
    </row>
    <row customHeight="1" r="65" ht="14.25">
      <c t="s" s="45" r="A65">
        <v>182</v>
      </c>
      <c s="57" r="B65">
        <v>90</v>
      </c>
      <c s="8" r="C65">
        <v>85</v>
      </c>
      <c s="8" r="D65">
        <v>95</v>
      </c>
      <c s="8" r="E65">
        <v>70</v>
      </c>
      <c s="8" r="F65">
        <v>90</v>
      </c>
      <c s="27" r="G65">
        <v>70</v>
      </c>
      <c s="68" r="H65"/>
      <c s="20" r="I65">
        <f>INDEX('Speed Factors'!$A$2:$B$256,(G65),2)</f>
        <v>369</v>
      </c>
      <c s="20" r="J65">
        <f>SUM(B65:G65)</f>
        <v>500</v>
      </c>
      <c s="68" r="K65"/>
      <c s="38" r="L65">
        <f>((((B65*2)+141)*((D65*2)+36))/(402.744996))-24.57966407</f>
        <v>155.549203378424</v>
      </c>
      <c s="38" r="M65">
        <f>((((B65*2)+141)*((F65*2)+36))/(416.310724))-19.16575597</f>
        <v>147.382920301909</v>
      </c>
      <c s="38" r="N65">
        <f>(((((C65*2)+36)*((((C65*2)+36)*(I65/672))+415))/((((C65*2)+36)*(1-(I65/672)))+415))/(1.92306))-3.576327284</f>
        <v>107.811901846855</v>
      </c>
      <c s="38" r="O65">
        <f>(((((E65*2)+36)*((((E65*2)+36)*(I65/672))+415))/((((E65*2)+36)*(1-(I65/672)))+415))/(1.980931))+4.9921912</f>
        <v>96.9459361739407</v>
      </c>
      <c s="68" r="P65"/>
      <c s="38" r="Q65">
        <f>((((L65+M65)+N65)+O65)/(1.535645))-60.47703745</f>
        <v>270.126690430551</v>
      </c>
      <c s="63" r="R65"/>
      <c s="26" r="S65"/>
      <c s="26" r="T65"/>
    </row>
    <row customHeight="1" r="66" ht="14.25">
      <c t="s" s="45" r="A66">
        <v>183</v>
      </c>
      <c s="75" r="B66">
        <v>25</v>
      </c>
      <c s="54" r="C66">
        <v>20</v>
      </c>
      <c s="54" r="D66">
        <v>15</v>
      </c>
      <c s="54" r="E66">
        <v>105</v>
      </c>
      <c s="54" r="F66">
        <v>55</v>
      </c>
      <c s="2" r="G66">
        <v>90</v>
      </c>
      <c s="68" r="H66"/>
      <c s="19" r="I66">
        <f>INDEX('Speed Factors'!$A$2:$B$256,(G66),2)</f>
        <v>503</v>
      </c>
      <c s="19" r="J66">
        <f>SUM(B66:G66)</f>
        <v>310</v>
      </c>
      <c s="68" r="K66"/>
      <c s="38" r="L66">
        <f>((((B66*2)+141)*((D66*2)+36))/(402.744996))-24.57966407</f>
        <v>6.7205386021643</v>
      </c>
      <c s="38" r="M66">
        <f>((((B66*2)+141)*((F66*2)+36))/(416.310724))-19.16575597</f>
        <v>47.8178656193396</v>
      </c>
      <c s="38" r="N66">
        <f>(((((C66*2)+36)*((((C66*2)+36)*(I66/672))+415))/((((C66*2)+36)*(1-(I66/672)))+415))/(1.92306))-3.576327284</f>
        <v>39.3828342643207</v>
      </c>
      <c s="38" r="O66">
        <f>(((((E66*2)+36)*((((E66*2)+36)*(I66/672))+415))/((((E66*2)+36)*(1-(I66/672)))+415))/(1.980931))+4.9921912</f>
        <v>161.016852652997</v>
      </c>
      <c s="68" r="P66"/>
      <c s="38" r="Q66">
        <f>((((L66+M66)+N66)+O66)/(1.535645))-60.47703745</f>
        <v>105.536651351006</v>
      </c>
      <c s="63" r="R66"/>
      <c s="26" r="S66"/>
      <c s="26" r="T66"/>
    </row>
    <row customHeight="1" r="67" ht="14.25">
      <c t="s" s="45" r="A67">
        <v>184</v>
      </c>
      <c s="57" r="B67">
        <v>40</v>
      </c>
      <c s="8" r="C67">
        <v>35</v>
      </c>
      <c s="8" r="D67">
        <v>30</v>
      </c>
      <c s="8" r="E67">
        <v>120</v>
      </c>
      <c s="8" r="F67">
        <v>70</v>
      </c>
      <c s="27" r="G67">
        <v>105</v>
      </c>
      <c s="68" r="H67"/>
      <c s="20" r="I67">
        <f>INDEX('Speed Factors'!$A$2:$B$256,(G67),2)</f>
        <v>609</v>
      </c>
      <c s="20" r="J67">
        <f>SUM(B67:G67)</f>
        <v>400</v>
      </c>
      <c s="68" r="K67"/>
      <c s="38" r="L67">
        <f>((((B67*2)+141)*((D67*2)+36))/(402.744996))-24.57966407</f>
        <v>28.0988302892446</v>
      </c>
      <c s="38" r="M67">
        <f>((((B67*2)+141)*((F67*2)+36))/(416.310724))-19.16575597</f>
        <v>74.2644579487748</v>
      </c>
      <c s="38" r="N67">
        <f>(((((C67*2)+36)*((((C67*2)+36)*(I67/672))+415))/((((C67*2)+36)*(1-(I67/672)))+415))/(1.92306))-3.576327284</f>
        <v>62.7158048439329</v>
      </c>
      <c s="38" r="O67">
        <f>(((((E67*2)+36)*((((E67*2)+36)*(I67/672))+415))/((((E67*2)+36)*(1-(I67/672)))+415))/(1.980931))+4.9921912</f>
        <v>215.189684667871</v>
      </c>
      <c s="68" r="P67"/>
      <c s="38" r="Q67">
        <f>((((L67+M67)+N67)+O67)/(1.535645))-60.47703745</f>
        <v>187.151013141005</v>
      </c>
      <c s="63" r="R67"/>
      <c s="26" r="S67"/>
      <c s="26" r="T67"/>
    </row>
    <row customHeight="1" r="68" ht="14.25">
      <c t="s" s="45" r="A68">
        <v>54</v>
      </c>
      <c s="75" r="B68">
        <v>55</v>
      </c>
      <c s="54" r="C68">
        <v>50</v>
      </c>
      <c s="54" r="D68">
        <v>45</v>
      </c>
      <c s="54" r="E68">
        <v>135</v>
      </c>
      <c s="54" r="F68">
        <v>85</v>
      </c>
      <c s="2" r="G68">
        <v>120</v>
      </c>
      <c s="68" r="H68"/>
      <c s="19" r="I68">
        <f>INDEX('Speed Factors'!$A$2:$B$256,(G68),2)</f>
        <v>652</v>
      </c>
      <c s="19" r="J68">
        <f>SUM(B68:G68)</f>
        <v>490</v>
      </c>
      <c s="68" r="K68"/>
      <c s="38" r="L68">
        <f>((((B68*2)+141)*((D68*2)+36))/(402.744996))-24.57966407</f>
        <v>53.9464512488853</v>
      </c>
      <c s="38" r="M68">
        <f>((((B68*2)+141)*((F68*2)+36))/(416.310724))-19.16575597</f>
        <v>105.034743847055</v>
      </c>
      <c s="38" r="N68">
        <f>(((((C68*2)+36)*((((C68*2)+36)*(I68/672))+415))/((((C68*2)+36)*(1-(I68/672)))+415))/(1.92306))-3.576327284</f>
        <v>88.730157740341</v>
      </c>
      <c s="38" r="O68">
        <f>(((((E68*2)+36)*((((E68*2)+36)*(I68/672))+415))/((((E68*2)+36)*(1-(I68/672)))+415))/(1.980931))+4.9921912</f>
        <v>264.285390631028</v>
      </c>
      <c s="68" r="P68"/>
      <c s="38" r="Q68">
        <f>((((L68+M68)+N68)+O68)/(1.535645))-60.47703745</f>
        <v>272.931232994868</v>
      </c>
      <c s="63" r="R68"/>
      <c s="26" r="S68"/>
      <c s="26" r="T68"/>
    </row>
    <row customHeight="1" r="69" ht="14.25">
      <c t="s" s="45" r="A69">
        <v>185</v>
      </c>
      <c s="57" r="B69">
        <v>70</v>
      </c>
      <c s="8" r="C69">
        <v>80</v>
      </c>
      <c s="8" r="D69">
        <v>50</v>
      </c>
      <c s="8" r="E69">
        <v>35</v>
      </c>
      <c s="8" r="F69">
        <v>35</v>
      </c>
      <c s="27" r="G69">
        <v>35</v>
      </c>
      <c s="68" r="H69"/>
      <c s="20" r="I69">
        <f>INDEX('Speed Factors'!$A$2:$B$256,(G69),2)</f>
        <v>84</v>
      </c>
      <c s="20" r="J69">
        <f>SUM(B69:G69)</f>
        <v>305</v>
      </c>
      <c s="68" r="K69"/>
      <c s="38" r="L69">
        <f>((((B69*2)+141)*((D69*2)+36))/(402.744996))-24.57966407</f>
        <v>70.3091623078701</v>
      </c>
      <c s="38" r="M69">
        <f>((((B69*2)+141)*((F69*2)+36))/(416.310724))-19.16575597</f>
        <v>52.3817643864538</v>
      </c>
      <c s="38" r="N69">
        <f>(((((C69*2)+36)*((((C69*2)+36)*(I69/672))+415))/((((C69*2)+36)*(1-(I69/672)))+415))/(1.92306))-3.576327284</f>
        <v>72.7991785800424</v>
      </c>
      <c s="38" r="O69">
        <f>(((((E69*2)+36)*((((E69*2)+36)*(I69/672))+415))/((((E69*2)+36)*(1-(I69/672)))+415))/(1.980931))+4.9921912</f>
        <v>50.1241264520223</v>
      </c>
      <c s="68" r="P69"/>
      <c s="38" r="Q69">
        <f>((((L69+M69)+N69)+O69)/(1.535645))-60.47703745</f>
        <v>99.46502710684</v>
      </c>
      <c s="63" r="R69"/>
      <c s="26" r="S69"/>
      <c s="26" r="T69"/>
    </row>
    <row customHeight="1" r="70" ht="14.25">
      <c t="s" s="45" r="A70">
        <v>186</v>
      </c>
      <c s="75" r="B70">
        <v>80</v>
      </c>
      <c s="54" r="C70">
        <v>100</v>
      </c>
      <c s="54" r="D70">
        <v>70</v>
      </c>
      <c s="54" r="E70">
        <v>50</v>
      </c>
      <c s="54" r="F70">
        <v>60</v>
      </c>
      <c s="2" r="G70">
        <v>45</v>
      </c>
      <c s="68" r="H70"/>
      <c s="19" r="I70">
        <f>INDEX('Speed Factors'!$A$2:$B$256,(G70),2)</f>
        <v>154</v>
      </c>
      <c s="19" r="J70">
        <f>SUM(B70:G70)</f>
        <v>405</v>
      </c>
      <c s="68" r="K70"/>
      <c s="38" r="L70">
        <f>((((B70*2)+141)*((D70*2)+36))/(402.744996))-24.57966407</f>
        <v>106.957662342865</v>
      </c>
      <c s="38" r="M70">
        <f>((((B70*2)+141)*((F70*2)+36))/(416.310724))-19.16575597</f>
        <v>93.6249969292695</v>
      </c>
      <c s="38" r="N70">
        <f>(((((C70*2)+36)*((((C70*2)+36)*(I70/672))+415))/((((C70*2)+36)*(1-(I70/672)))+415))/(1.92306))-3.576327284</f>
        <v>92.8632872648258</v>
      </c>
      <c s="38" r="O70">
        <f>(((((E70*2)+36)*((((E70*2)+36)*(I70/672))+415))/((((E70*2)+36)*(1-(I70/672)))+415))/(1.980931))+4.9921912</f>
        <v>63.917593518298</v>
      </c>
      <c s="68" r="P70"/>
      <c s="38" r="Q70">
        <f>((((L70+M70)+N70)+O70)/(1.535645))-60.47703745</f>
        <v>172.235301700818</v>
      </c>
      <c s="63" r="R70"/>
      <c s="26" r="S70"/>
      <c s="26" r="T70"/>
    </row>
    <row customHeight="1" r="71" ht="14.25">
      <c t="s" s="45" r="A71">
        <v>187</v>
      </c>
      <c s="57" r="B71">
        <v>90</v>
      </c>
      <c s="8" r="C71">
        <v>130</v>
      </c>
      <c s="8" r="D71">
        <v>80</v>
      </c>
      <c s="8" r="E71">
        <v>65</v>
      </c>
      <c s="8" r="F71">
        <v>85</v>
      </c>
      <c s="27" r="G71">
        <v>55</v>
      </c>
      <c s="68" r="H71"/>
      <c s="20" r="I71">
        <f>INDEX('Speed Factors'!$A$2:$B$256,(G71),2)</f>
        <v>233</v>
      </c>
      <c s="20" r="J71">
        <f>SUM(B71:G71)</f>
        <v>505</v>
      </c>
      <c s="68" r="K71"/>
      <c s="38" r="L71">
        <f>((((B71*2)+141)*((D71*2)+36))/(402.744996))-24.57966407</f>
        <v>131.638291770226</v>
      </c>
      <c s="38" r="M71">
        <f>((((B71*2)+141)*((F71*2)+36))/(416.310724))-19.16575597</f>
        <v>139.672333437469</v>
      </c>
      <c s="38" r="N71">
        <f>(((((C71*2)+36)*((((C71*2)+36)*(I71/672))+415))/((((C71*2)+36)*(1-(I71/672)))+415))/(1.92306))-3.576327284</f>
        <v>127.387694698249</v>
      </c>
      <c s="38" r="O71">
        <f>(((((E71*2)+36)*((((E71*2)+36)*(I71/672))+415))/((((E71*2)+36)*(1-(I71/672)))+415))/(1.980931))+4.9921912</f>
        <v>80.6445986541429</v>
      </c>
      <c s="68" r="P71"/>
      <c s="38" r="Q71">
        <f>((((L71+M71)+N71)+O71)/(1.535645))-60.47703745</f>
        <v>251.6673178926</v>
      </c>
      <c s="63" r="R71"/>
      <c s="26" r="S71"/>
      <c s="26" r="T71"/>
    </row>
    <row customHeight="1" r="72" ht="14.25">
      <c t="s" s="45" r="A72">
        <v>188</v>
      </c>
      <c s="75" r="B72">
        <v>50</v>
      </c>
      <c s="54" r="C72">
        <v>75</v>
      </c>
      <c s="54" r="D72">
        <v>35</v>
      </c>
      <c s="54" r="E72">
        <v>70</v>
      </c>
      <c s="54" r="F72">
        <v>30</v>
      </c>
      <c s="2" r="G72">
        <v>40</v>
      </c>
      <c s="68" r="H72"/>
      <c s="19" r="I72">
        <f>INDEX('Speed Factors'!$A$2:$B$256,(G72),2)</f>
        <v>111</v>
      </c>
      <c s="19" r="J72">
        <f>SUM(B72:G72)</f>
        <v>300</v>
      </c>
      <c s="68" r="K72"/>
      <c s="38" r="L72">
        <f>((((B72*2)+141)*((D72*2)+36))/(402.744996))-24.57966407</f>
        <v>38.8500501504592</v>
      </c>
      <c s="38" r="M72">
        <f>((((B72*2)+141)*((F72*2)+36))/(416.310724))-19.16575597</f>
        <v>36.4081187015542</v>
      </c>
      <c s="38" r="N72">
        <f>(((((C72*2)+36)*((((C72*2)+36)*(I72/672))+415))/((((C72*2)+36)*(1-(I72/672)))+415))/(1.92306))-3.576327284</f>
        <v>72.0198213583285</v>
      </c>
      <c s="38" r="O72">
        <f>(((((E72*2)+36)*((((E72*2)+36)*(I72/672))+415))/((((E72*2)+36)*(1-(I72/672)))+415))/(1.980931))+4.9921912</f>
        <v>75.2047881567455</v>
      </c>
      <c s="68" r="P72"/>
      <c s="38" r="Q72">
        <f>((((L72+M72)+N72)+O72)/(1.535645))-60.47703745</f>
        <v>84.4020057970314</v>
      </c>
      <c s="63" r="R72"/>
      <c s="26" r="S72"/>
      <c s="26" r="T72"/>
    </row>
    <row customHeight="1" r="73" ht="14.25">
      <c t="s" s="45" r="A73">
        <v>189</v>
      </c>
      <c s="57" r="B73">
        <v>65</v>
      </c>
      <c s="8" r="C73">
        <v>90</v>
      </c>
      <c s="8" r="D73">
        <v>50</v>
      </c>
      <c s="8" r="E73">
        <v>85</v>
      </c>
      <c s="8" r="F73">
        <v>45</v>
      </c>
      <c s="27" r="G73">
        <v>55</v>
      </c>
      <c s="68" r="H73"/>
      <c s="20" r="I73">
        <f>INDEX('Speed Factors'!$A$2:$B$256,(G73),2)</f>
        <v>233</v>
      </c>
      <c s="20" r="J73">
        <f>SUM(B73:G73)</f>
        <v>390</v>
      </c>
      <c s="68" r="K73"/>
      <c s="38" r="L73">
        <f>((((B73*2)+141)*((D73*2)+36))/(402.744996))-24.57966407</f>
        <v>66.9323357463801</v>
      </c>
      <c s="38" r="M73">
        <f>((((B73*2)+141)*((F73*2)+36))/(416.310724))-19.16575597</f>
        <v>62.8547110309894</v>
      </c>
      <c s="38" r="N73">
        <f>(((((C73*2)+36)*((((C73*2)+36)*(I73/672))+415))/((((C73*2)+36)*(1-(I73/672)))+415))/(1.92306))-3.576327284</f>
        <v>95.370882158013</v>
      </c>
      <c s="38" r="O73">
        <f>(((((E73*2)+36)*((((E73*2)+36)*(I73/672))+415))/((((E73*2)+36)*(1-(I73/672)))+415))/(1.980931))+4.9921912</f>
        <v>97.0345611965308</v>
      </c>
      <c s="68" r="P73"/>
      <c s="38" r="Q73">
        <f>((((L73+M73)+N73)+O73)/(1.535645))-60.47703745</f>
        <v>149.332189377759</v>
      </c>
      <c s="63" r="R73"/>
      <c s="26" r="S73"/>
      <c s="26" r="T73"/>
    </row>
    <row customHeight="1" r="74" ht="14.25">
      <c t="s" s="45" r="A74">
        <v>190</v>
      </c>
      <c s="75" r="B74">
        <v>80</v>
      </c>
      <c s="54" r="C74">
        <v>105</v>
      </c>
      <c s="54" r="D74">
        <v>65</v>
      </c>
      <c s="54" r="E74">
        <v>100</v>
      </c>
      <c s="54" r="F74">
        <v>60</v>
      </c>
      <c s="2" r="G74">
        <v>70</v>
      </c>
      <c s="68" r="H74"/>
      <c s="19" r="I74">
        <f>INDEX('Speed Factors'!$A$2:$B$256,(G74),2)</f>
        <v>369</v>
      </c>
      <c s="19" r="J74">
        <f>SUM(B74:G74)</f>
        <v>480</v>
      </c>
      <c s="68" r="K74"/>
      <c s="38" r="L74">
        <f>((((B74*2)+141)*((D74*2)+36))/(402.744996))-24.57966407</f>
        <v>99.4839506148613</v>
      </c>
      <c s="38" r="M74">
        <f>((((B74*2)+141)*((F74*2)+36))/(416.310724))-19.16575597</f>
        <v>93.6249969292695</v>
      </c>
      <c s="38" r="N74">
        <f>(((((C74*2)+36)*((((C74*2)+36)*(I74/672))+415))/((((C74*2)+36)*(1-(I74/672)))+415))/(1.92306))-3.576327284</f>
        <v>130.221486640846</v>
      </c>
      <c s="38" r="O74">
        <f>(((((E74*2)+36)*((((E74*2)+36)*(I74/672))+415))/((((E74*2)+36)*(1-(I74/672)))+415))/(1.980931))+4.9921912</f>
        <v>129.424109431298</v>
      </c>
      <c s="68" r="P74"/>
      <c s="38" r="Q74">
        <f>((((L74+M74)+N74)+O74)/(1.535645))-60.47703745</f>
        <v>234.353176314427</v>
      </c>
      <c s="63" r="R74"/>
      <c s="26" r="S74"/>
      <c s="26" r="T74"/>
    </row>
    <row customHeight="1" r="75" ht="14.25">
      <c t="s" s="45" r="A75">
        <v>191</v>
      </c>
      <c s="57" r="B75">
        <v>40</v>
      </c>
      <c s="8" r="C75">
        <v>40</v>
      </c>
      <c s="8" r="D75">
        <v>35</v>
      </c>
      <c s="8" r="E75">
        <v>50</v>
      </c>
      <c s="8" r="F75">
        <v>100</v>
      </c>
      <c s="27" r="G75">
        <v>70</v>
      </c>
      <c s="68" r="H75"/>
      <c s="20" r="I75">
        <f>INDEX('Speed Factors'!$A$2:$B$256,(G75),2)</f>
        <v>369</v>
      </c>
      <c s="20" r="J75">
        <f>SUM(B75:G75)</f>
        <v>335</v>
      </c>
      <c s="68" r="K75"/>
      <c s="38" r="L75">
        <f>((((B75*2)+141)*((D75*2)+36))/(402.744996))-24.57966407</f>
        <v>33.5861734516659</v>
      </c>
      <c s="38" r="M75">
        <f>((((B75*2)+141)*((F75*2)+36))/(416.310724))-19.16575597</f>
        <v>106.115667239266</v>
      </c>
      <c s="38" r="N75">
        <f>(((((C75*2)+36)*((((C75*2)+36)*(I75/672))+415))/((((C75*2)+36)*(1-(I75/672)))+415))/(1.92306))-3.576327284</f>
        <v>58.2148175709709</v>
      </c>
      <c s="38" r="O75">
        <f>(((((E75*2)+36)*((((E75*2)+36)*(I75/672))+415))/((((E75*2)+36)*(1-(I75/672)))+415))/(1.980931))+4.9921912</f>
        <v>75.5720100924374</v>
      </c>
      <c s="68" r="P75"/>
      <c s="38" r="Q75">
        <f>((((L75+M75)+N75)+O75)/(1.535645))-60.47703745</f>
        <v>117.616641983945</v>
      </c>
      <c s="63" r="R75"/>
      <c s="26" r="S75"/>
      <c s="26" r="T75"/>
    </row>
    <row customHeight="1" r="76" ht="14.25">
      <c t="s" s="45" r="A76">
        <v>99</v>
      </c>
      <c s="75" r="B76">
        <v>80</v>
      </c>
      <c s="54" r="C76">
        <v>70</v>
      </c>
      <c s="54" r="D76">
        <v>65</v>
      </c>
      <c s="54" r="E76">
        <v>80</v>
      </c>
      <c s="54" r="F76">
        <v>120</v>
      </c>
      <c s="2" r="G76">
        <v>100</v>
      </c>
      <c s="68" r="H76"/>
      <c s="19" r="I76">
        <f>INDEX('Speed Factors'!$A$2:$B$256,(G76),2)</f>
        <v>577</v>
      </c>
      <c s="19" r="J76">
        <f>SUM(B76:G76)</f>
        <v>515</v>
      </c>
      <c s="68" r="K76"/>
      <c s="38" r="L76">
        <f>((((B76*2)+141)*((D76*2)+36))/(402.744996))-24.57966407</f>
        <v>99.4839506148613</v>
      </c>
      <c s="38" r="M76">
        <f>((((B76*2)+141)*((F76*2)+36))/(416.310724))-19.16575597</f>
        <v>180.387114544092</v>
      </c>
      <c s="38" r="N76">
        <f>(((((C76*2)+36)*((((C76*2)+36)*(I76/672))+415))/((((C76*2)+36)*(1-(I76/672)))+415))/(1.92306))-3.576327284</f>
        <v>114.209339270461</v>
      </c>
      <c s="38" r="O76">
        <f>(((((E76*2)+36)*((((E76*2)+36)*(I76/672))+415))/((((E76*2)+36)*(1-(I76/672)))+415))/(1.980931))+4.9921912</f>
        <v>135.355326751207</v>
      </c>
      <c s="68" r="P76"/>
      <c s="38" r="Q76">
        <f>((((L76+M76)+N76)+O76)/(1.535645))-60.47703745</f>
        <v>284.287365247643</v>
      </c>
      <c s="63" r="R76"/>
      <c s="26" r="S76"/>
      <c s="26" r="T76"/>
    </row>
    <row customHeight="1" r="77" ht="14.25">
      <c t="s" s="45" r="A77">
        <v>192</v>
      </c>
      <c s="57" r="B77">
        <v>40</v>
      </c>
      <c s="8" r="C77">
        <v>80</v>
      </c>
      <c s="8" r="D77">
        <v>100</v>
      </c>
      <c s="8" r="E77">
        <v>30</v>
      </c>
      <c s="8" r="F77">
        <v>30</v>
      </c>
      <c s="27" r="G77">
        <v>20</v>
      </c>
      <c s="68" r="H77"/>
      <c s="20" r="I77">
        <f>INDEX('Speed Factors'!$A$2:$B$256,(G77),2)</f>
        <v>14</v>
      </c>
      <c s="20" r="J77">
        <f>SUM(B77:G77)</f>
        <v>300</v>
      </c>
      <c s="68" r="K77"/>
      <c s="38" r="L77">
        <f>((((B77*2)+141)*((D77*2)+36))/(402.744996))-24.57966407</f>
        <v>104.921634563143</v>
      </c>
      <c s="38" r="M77">
        <f>((((B77*2)+141)*((F77*2)+36))/(416.310724))-19.16575597</f>
        <v>31.7961788947862</v>
      </c>
      <c s="38" r="N77">
        <f>(((((C77*2)+36)*((((C77*2)+36)*(I77/672))+415))/((((C77*2)+36)*(1-(I77/672)))+415))/(1.92306))-3.576327284</f>
        <v>66.8012905286701</v>
      </c>
      <c s="38" r="O77">
        <f>(((((E77*2)+36)*((((E77*2)+36)*(I77/672))+415))/((((E77*2)+36)*(1-(I77/672)))+415))/(1.980931))+4.9921912</f>
        <v>44.6949017229506</v>
      </c>
      <c s="68" r="P77"/>
      <c s="38" r="Q77">
        <f>((((L77+M77)+N77)+O77)/(1.535645))-60.47703745</f>
        <v>101.157979568614</v>
      </c>
      <c s="63" r="R77"/>
      <c s="26" r="S77"/>
      <c s="26" r="T77"/>
    </row>
    <row customHeight="1" r="78" ht="14.25">
      <c t="s" s="45" r="A78">
        <v>193</v>
      </c>
      <c s="75" r="B78">
        <v>55</v>
      </c>
      <c s="54" r="C78">
        <v>95</v>
      </c>
      <c s="54" r="D78">
        <v>115</v>
      </c>
      <c s="54" r="E78">
        <v>45</v>
      </c>
      <c s="54" r="F78">
        <v>45</v>
      </c>
      <c s="2" r="G78">
        <v>35</v>
      </c>
      <c s="68" r="H78"/>
      <c s="19" r="I78">
        <f>INDEX('Speed Factors'!$A$2:$B$256,(G78),2)</f>
        <v>84</v>
      </c>
      <c s="19" r="J78">
        <f>SUM(B78:G78)</f>
        <v>390</v>
      </c>
      <c s="68" r="K78"/>
      <c s="38" r="L78">
        <f>((((B78*2)+141)*((D78*2)+36))/(402.744996))-24.57966407</f>
        <v>141.197690492091</v>
      </c>
      <c s="38" r="M78">
        <f>((((B78*2)+141)*((F78*2)+36))/(416.310724))-19.16575597</f>
        <v>56.8015400346064</v>
      </c>
      <c s="38" r="N78">
        <f>(((((C78*2)+36)*((((C78*2)+36)*(I78/672))+415))/((((C78*2)+36)*(1-(I78/672)))+415))/(1.92306))-3.576327284</f>
        <v>81.4358284117094</v>
      </c>
      <c s="38" r="O78">
        <f>(((((E78*2)+36)*((((E78*2)+36)*(I78/672))+415))/((((E78*2)+36)*(1-(I78/672)))+415))/(1.980931))+4.9921912</f>
        <v>57.1549343039197</v>
      </c>
      <c s="68" r="P78"/>
      <c s="38" r="Q78">
        <f>((((L78+M78)+N78)+O78)/(1.535645))-60.47703745</f>
        <v>158.707730671751</v>
      </c>
      <c s="63" r="R78"/>
      <c s="26" r="S78"/>
      <c s="26" r="T78"/>
    </row>
    <row customHeight="1" r="79" ht="14.25">
      <c t="s" s="45" r="A79">
        <v>194</v>
      </c>
      <c s="57" r="B79">
        <v>80</v>
      </c>
      <c s="8" r="C79">
        <v>110</v>
      </c>
      <c s="8" r="D79">
        <v>130</v>
      </c>
      <c s="8" r="E79">
        <v>55</v>
      </c>
      <c s="8" r="F79">
        <v>65</v>
      </c>
      <c s="27" r="G79">
        <v>45</v>
      </c>
      <c s="68" r="H79"/>
      <c s="20" r="I79">
        <f>INDEX('Speed Factors'!$A$2:$B$256,(G79),2)</f>
        <v>154</v>
      </c>
      <c s="20" r="J79">
        <f>SUM(B79:G79)</f>
        <v>485</v>
      </c>
      <c s="68" r="K79"/>
      <c s="38" r="L79">
        <f>((((B79*2)+141)*((D79*2)+36))/(402.744996))-24.57966407</f>
        <v>196.642203078909</v>
      </c>
      <c s="38" r="M79">
        <f>((((B79*2)+141)*((F79*2)+36))/(416.310724))-19.16575597</f>
        <v>100.855173397171</v>
      </c>
      <c s="38" r="N79">
        <f>(((((C79*2)+36)*((((C79*2)+36)*(I79/672))+415))/((((C79*2)+36)*(1-(I79/672)))+415))/(1.92306))-3.576327284</f>
        <v>99.3987324076848</v>
      </c>
      <c s="38" r="O79">
        <f>(((((E79*2)+36)*((((E79*2)+36)*(I79/672))+415))/((((E79*2)+36)*(1-(I79/672)))+415))/(1.980931))+4.9921912</f>
        <v>67.6461964105793</v>
      </c>
      <c s="68" r="P79"/>
      <c s="38" r="Q79">
        <f>((((L79+M79)+N79)+O79)/(1.535645))-60.47703745</f>
        <v>242.029274421783</v>
      </c>
      <c s="63" r="R79"/>
      <c s="26" r="S79"/>
      <c s="26" r="T79"/>
    </row>
    <row customHeight="1" r="80" ht="14.25">
      <c t="s" s="45" r="A80">
        <v>195</v>
      </c>
      <c s="75" r="B80">
        <v>50</v>
      </c>
      <c s="54" r="C80">
        <v>85</v>
      </c>
      <c s="54" r="D80">
        <v>55</v>
      </c>
      <c s="54" r="E80">
        <v>65</v>
      </c>
      <c s="54" r="F80">
        <v>65</v>
      </c>
      <c s="2" r="G80">
        <v>90</v>
      </c>
      <c s="68" r="H80"/>
      <c s="19" r="I80">
        <f>INDEX('Speed Factors'!$A$2:$B$256,(G80),2)</f>
        <v>503</v>
      </c>
      <c s="19" r="J80">
        <f>SUM(B80:G80)</f>
        <v>410</v>
      </c>
      <c s="68" r="K80"/>
      <c s="38" r="L80">
        <f>((((B80*2)+141)*((D80*2)+36))/(402.744996))-24.57966407</f>
        <v>62.7857913657269</v>
      </c>
      <c s="38" r="M80">
        <f>((((B80*2)+141)*((F80*2)+36))/(416.310724))-19.16575597</f>
        <v>76.9307356495625</v>
      </c>
      <c s="38" r="N80">
        <f>(((((C80*2)+36)*((((C80*2)+36)*(I80/672))+415))/((((C80*2)+36)*(1-(I80/672)))+415))/(1.92306))-3.576327284</f>
        <v>127.039962244036</v>
      </c>
      <c s="38" r="O80">
        <f>(((((E80*2)+36)*((((E80*2)+36)*(I80/672))+415))/((((E80*2)+36)*(1-(I80/672)))+415))/(1.980931))+4.9921912</f>
        <v>103.928468306599</v>
      </c>
      <c s="68" r="P80"/>
      <c s="38" r="Q80">
        <f>((((L80+M80)+N80)+O80)/(1.535645))-60.47703745</f>
        <v>180.910104477935</v>
      </c>
      <c s="63" r="R80"/>
      <c s="26" r="S80"/>
      <c s="26" r="T80"/>
    </row>
    <row customHeight="1" r="81" ht="14.25">
      <c t="s" s="45" r="A81">
        <v>196</v>
      </c>
      <c s="57" r="B81">
        <v>65</v>
      </c>
      <c s="8" r="C81">
        <v>100</v>
      </c>
      <c s="8" r="D81">
        <v>70</v>
      </c>
      <c s="8" r="E81">
        <v>80</v>
      </c>
      <c s="8" r="F81">
        <v>80</v>
      </c>
      <c s="27" r="G81">
        <v>105</v>
      </c>
      <c s="68" r="H81"/>
      <c s="20" r="I81">
        <f>INDEX('Speed Factors'!$A$2:$B$256,(G81),2)</f>
        <v>609</v>
      </c>
      <c s="20" r="J81">
        <f>SUM(B81:G81)</f>
        <v>500</v>
      </c>
      <c s="68" r="K81"/>
      <c s="38" r="L81">
        <f>((((B81*2)+141)*((D81*2)+36))/(402.744996))-24.57966407</f>
        <v>93.8476298100213</v>
      </c>
      <c s="38" r="M81">
        <f>((((B81*2)+141)*((F81*2)+36))/(416.310724))-19.16575597</f>
        <v>108.42163714265</v>
      </c>
      <c s="38" r="N81">
        <f>(((((C81*2)+36)*((((C81*2)+36)*(I81/672))+415))/((((C81*2)+36)*(1-(I81/672)))+415))/(1.92306))-3.576327284</f>
        <v>172.977791448007</v>
      </c>
      <c s="38" r="O81">
        <f>(((((E81*2)+36)*((((E81*2)+36)*(I81/672))+415))/((((E81*2)+36)*(1-(I81/672)))+415))/(1.980931))+4.9921912</f>
        <v>140.293761372992</v>
      </c>
      <c s="68" r="P81"/>
      <c s="38" r="Q81">
        <f>((((L81+M81)+N81)+O81)/(1.535645))-60.47703745</f>
        <v>275.239107735684</v>
      </c>
      <c s="63" r="R81"/>
      <c s="26" r="S81"/>
      <c s="26" r="T81"/>
    </row>
    <row customHeight="1" r="82" ht="14.25">
      <c t="s" s="45" r="A82">
        <v>197</v>
      </c>
      <c s="75" r="B82">
        <v>90</v>
      </c>
      <c s="54" r="C82">
        <v>65</v>
      </c>
      <c s="54" r="D82">
        <v>65</v>
      </c>
      <c s="54" r="E82">
        <v>40</v>
      </c>
      <c s="54" r="F82">
        <v>40</v>
      </c>
      <c s="2" r="G82">
        <v>15</v>
      </c>
      <c s="68" r="H82"/>
      <c s="19" r="I82">
        <f>INDEX('Speed Factors'!$A$2:$B$256,(G82),2)</f>
        <v>5</v>
      </c>
      <c s="19" r="J82">
        <f>SUM(B82:G82)</f>
        <v>315</v>
      </c>
      <c s="68" r="K82"/>
      <c s="38" r="L82">
        <f>((((B82*2)+141)*((D82*2)+36))/(402.744996))-24.57966407</f>
        <v>107.727380162028</v>
      </c>
      <c s="38" r="M82">
        <f>((((B82*2)+141)*((F82*2)+36))/(416.310724))-19.16575597</f>
        <v>70.2770516575066</v>
      </c>
      <c s="38" r="N82">
        <f>(((((C82*2)+36)*((((C82*2)+36)*(I82/672))+415))/((((C82*2)+36)*(1-(I82/672)))+415))/(1.92306))-3.576327284</f>
        <v>58.3966083633045</v>
      </c>
      <c s="38" r="O82">
        <f>(((((E82*2)+36)*((((E82*2)+36)*(I82/672))+415))/((((E82*2)+36)*(1-(I82/672)))+415))/(1.980931))+4.9921912</f>
        <v>50.9279594792554</v>
      </c>
      <c s="68" r="P82"/>
      <c s="38" r="Q82">
        <f>((((L82+M82)+N82)+O82)/(1.535645))-60.47703745</f>
        <v>126.629357362665</v>
      </c>
      <c s="63" r="R82"/>
      <c s="26" r="S82"/>
      <c s="26" r="T82"/>
    </row>
    <row customHeight="1" r="83" ht="14.25">
      <c t="s" s="45" r="A83">
        <v>198</v>
      </c>
      <c s="57" r="B83">
        <v>95</v>
      </c>
      <c s="8" r="C83">
        <v>75</v>
      </c>
      <c s="8" r="D83">
        <v>110</v>
      </c>
      <c s="8" r="E83">
        <v>100</v>
      </c>
      <c s="8" r="F83">
        <v>80</v>
      </c>
      <c s="27" r="G83">
        <v>30</v>
      </c>
      <c s="68" r="H83"/>
      <c s="20" r="I83">
        <f>INDEX('Speed Factors'!$A$2:$B$256,(G83),2)</f>
        <v>44</v>
      </c>
      <c s="20" r="J83">
        <f>SUM(B83:G83)</f>
        <v>490</v>
      </c>
      <c s="68" r="K83"/>
      <c s="38" r="L83">
        <f>((((B83*2)+141)*((D83*2)+36))/(402.744996))-24.57966407</f>
        <v>185.816494396485</v>
      </c>
      <c s="38" r="M83">
        <f>((((B83*2)+141)*((F83*2)+36))/(416.310724))-19.16575597</f>
        <v>136.669768459104</v>
      </c>
      <c s="38" r="N83">
        <f>(((((C83*2)+36)*((((C83*2)+36)*(I83/672))+415))/((((C83*2)+36)*(1-(I83/672)))+415))/(1.92306))-3.576327284</f>
        <v>66.5927817429476</v>
      </c>
      <c s="38" r="O83">
        <f>(((((E83*2)+36)*((((E83*2)+36)*(I83/672))+415))/((((E83*2)+36)*(1-(I83/672)))+415))/(1.980931))+4.9921912</f>
        <v>85.6821832843403</v>
      </c>
      <c s="68" r="P83"/>
      <c s="38" r="Q83">
        <f>((((L83+M83)+N83)+O83)/(1.535645))-60.47703745</f>
        <v>248.68375679794</v>
      </c>
      <c s="63" r="R83"/>
      <c s="26" r="S83"/>
      <c s="26" r="T83"/>
    </row>
    <row customHeight="1" r="84" ht="14.25">
      <c t="s" s="45" r="A84">
        <v>199</v>
      </c>
      <c s="75" r="B84">
        <v>25</v>
      </c>
      <c s="54" r="C84">
        <v>35</v>
      </c>
      <c s="54" r="D84">
        <v>70</v>
      </c>
      <c s="54" r="E84">
        <v>95</v>
      </c>
      <c s="54" r="F84">
        <v>55</v>
      </c>
      <c s="2" r="G84">
        <v>45</v>
      </c>
      <c s="68" r="H84"/>
      <c s="19" r="I84">
        <f>INDEX('Speed Factors'!$A$2:$B$256,(G84),2)</f>
        <v>154</v>
      </c>
      <c s="19" r="J84">
        <f>SUM(B84:G84)</f>
        <v>325</v>
      </c>
      <c s="68" r="K84"/>
      <c s="38" r="L84">
        <f>((((B84*2)+141)*((D84*2)+36))/(402.744996))-24.57966407</f>
        <v>58.8875430557715</v>
      </c>
      <c s="38" r="M84">
        <f>((((B84*2)+141)*((F84*2)+36))/(416.310724))-19.16575597</f>
        <v>47.8178656193396</v>
      </c>
      <c s="38" r="N84">
        <f>(((((C84*2)+36)*((((C84*2)+36)*(I84/672))+415))/((((C84*2)+36)*(1-(I84/672)))+415))/(1.92306))-3.576327284</f>
        <v>45.1725422731186</v>
      </c>
      <c s="38" r="O84">
        <f>(((((E84*2)+36)*((((E84*2)+36)*(I84/672))+415))/((((E84*2)+36)*(1-(I84/672)))+415))/(1.980931))+4.9921912</f>
        <v>95.3765547906183</v>
      </c>
      <c s="68" r="P84"/>
      <c s="38" r="Q84">
        <f>((((L84+M84)+N84)+O84)/(1.535645))-60.47703745</f>
        <v>100.533160700515</v>
      </c>
      <c s="63" r="R84"/>
      <c s="26" r="S84"/>
      <c s="26" r="T84"/>
    </row>
    <row customHeight="1" r="85" ht="14.25">
      <c t="s" s="45" r="A85">
        <v>200</v>
      </c>
      <c s="57" r="B85">
        <v>50</v>
      </c>
      <c s="8" r="C85">
        <v>60</v>
      </c>
      <c s="8" r="D85">
        <v>95</v>
      </c>
      <c s="8" r="E85">
        <v>120</v>
      </c>
      <c s="8" r="F85">
        <v>70</v>
      </c>
      <c s="27" r="G85">
        <v>70</v>
      </c>
      <c s="68" r="H85"/>
      <c s="20" r="I85">
        <f>INDEX('Speed Factors'!$A$2:$B$256,(G85),2)</f>
        <v>369</v>
      </c>
      <c s="20" r="J85">
        <f>SUM(B85:G85)</f>
        <v>465</v>
      </c>
      <c s="68" r="K85"/>
      <c s="38" r="L85">
        <f>((((B85*2)+141)*((D85*2)+36))/(402.744996))-24.57966407</f>
        <v>110.657273796262</v>
      </c>
      <c s="38" r="M85">
        <f>((((B85*2)+141)*((F85*2)+36))/(416.310724))-19.16575597</f>
        <v>82.7196809278494</v>
      </c>
      <c s="38" r="N85">
        <f>(((((C85*2)+36)*((((C85*2)+36)*(I85/672))+415))/((((C85*2)+36)*(1-(I85/672)))+415))/(1.92306))-3.576327284</f>
        <v>80.1052450533487</v>
      </c>
      <c s="38" r="O85">
        <f>(((((E85*2)+36)*((((E85*2)+36)*(I85/672))+415))/((((E85*2)+36)*(1-(I85/672)))+415))/(1.980931))+4.9921912</f>
        <v>151.321861159838</v>
      </c>
      <c s="68" r="P85"/>
      <c s="38" r="Q85">
        <f>((((L85+M85)+N85)+O85)/(1.535645))-60.47703745</f>
        <v>216.152040844331</v>
      </c>
      <c s="63" r="R85"/>
      <c s="26" r="S85"/>
      <c s="26" r="T85"/>
    </row>
    <row customHeight="1" r="86" ht="14.25">
      <c t="s" s="45" r="A86">
        <v>201</v>
      </c>
      <c s="75" r="B86">
        <v>52</v>
      </c>
      <c s="54" r="C86">
        <v>65</v>
      </c>
      <c s="54" r="D86">
        <v>55</v>
      </c>
      <c s="54" r="E86">
        <v>58</v>
      </c>
      <c s="54" r="F86">
        <v>62</v>
      </c>
      <c s="2" r="G86">
        <v>60</v>
      </c>
      <c s="68" r="H86"/>
      <c s="19" r="I86">
        <f>INDEX('Speed Factors'!$A$2:$B$256,(G86),2)</f>
        <v>274</v>
      </c>
      <c s="19" r="J86">
        <f>SUM(B86:G86)</f>
        <v>352</v>
      </c>
      <c s="68" r="K86"/>
      <c s="38" r="L86">
        <f>((((B86*2)+141)*((D86*2)+36))/(402.744996))-24.57966407</f>
        <v>64.235840418602</v>
      </c>
      <c s="38" r="M86">
        <f>((((B86*2)+141)*((F86*2)+36))/(416.310724))-19.16575597</f>
        <v>74.994681751513</v>
      </c>
      <c s="38" r="N86">
        <f>(((((C86*2)+36)*((((C86*2)+36)*(I86/672))+415))/((((C86*2)+36)*(1-(I86/672)))+415))/(1.92306))-3.576327284</f>
        <v>77.5934341706323</v>
      </c>
      <c s="38" r="O86">
        <f>(((((E86*2)+36)*((((E86*2)+36)*(I86/672))+415))/((((E86*2)+36)*(1-(I86/672)))+415))/(1.980931))+4.9921912</f>
        <v>77.4623289127852</v>
      </c>
      <c s="68" r="P86"/>
      <c s="38" r="Q86">
        <f>((((L86+M86)+N86)+O86)/(1.535645))-60.47703745</f>
        <v>131.159887264718</v>
      </c>
      <c s="63" r="R86"/>
      <c s="26" r="S86"/>
      <c s="26" r="T86"/>
    </row>
    <row customHeight="1" r="87" ht="14.25">
      <c t="s" s="45" r="A87">
        <v>202</v>
      </c>
      <c s="57" r="B87">
        <v>35</v>
      </c>
      <c s="8" r="C87">
        <v>85</v>
      </c>
      <c s="8" r="D87">
        <v>45</v>
      </c>
      <c s="8" r="E87">
        <v>35</v>
      </c>
      <c s="8" r="F87">
        <v>35</v>
      </c>
      <c s="27" r="G87">
        <v>75</v>
      </c>
      <c s="68" r="H87"/>
      <c s="20" r="I87">
        <f>INDEX('Speed Factors'!$A$2:$B$256,(G87),2)</f>
        <v>413</v>
      </c>
      <c s="20" r="J87">
        <f>SUM(B87:G87)</f>
        <v>310</v>
      </c>
      <c s="68" r="K87"/>
      <c s="38" r="L87">
        <f>((((B87*2)+141)*((D87*2)+36))/(402.744996))-24.57966407</f>
        <v>41.4323292857163</v>
      </c>
      <c s="38" r="M87">
        <f>((((B87*2)+141)*((F87*2)+36))/(416.310724))-19.16575597</f>
        <v>34.5585386748816</v>
      </c>
      <c s="38" r="N87">
        <f>(((((C87*2)+36)*((((C87*2)+36)*(I87/672))+415))/((((C87*2)+36)*(1-(I87/672)))+415))/(1.92306))-3.576327284</f>
        <v>113.77326381809</v>
      </c>
      <c s="38" r="O87">
        <f>(((((E87*2)+36)*((((E87*2)+36)*(I87/672))+415))/((((E87*2)+36)*(1-(I87/672)))+415))/(1.980931))+4.9921912</f>
        <v>61.3538481883558</v>
      </c>
      <c s="68" r="P87"/>
      <c s="38" r="Q87">
        <f>((((L87+M87)+N87)+O87)/(1.535645))-60.47703745</f>
        <v>103.049024867165</v>
      </c>
      <c s="63" r="R87"/>
      <c s="26" r="S87"/>
      <c s="26" r="T87"/>
    </row>
    <row customHeight="1" r="88" ht="14.25">
      <c t="s" s="45" r="A88">
        <v>203</v>
      </c>
      <c s="75" r="B88">
        <v>60</v>
      </c>
      <c s="54" r="C88">
        <v>110</v>
      </c>
      <c s="54" r="D88">
        <v>70</v>
      </c>
      <c s="54" r="E88">
        <v>60</v>
      </c>
      <c s="54" r="F88">
        <v>60</v>
      </c>
      <c s="2" r="G88">
        <v>100</v>
      </c>
      <c s="68" r="H88"/>
      <c s="19" r="I88">
        <f>INDEX('Speed Factors'!$A$2:$B$256,(G88),2)</f>
        <v>577</v>
      </c>
      <c s="19" r="J88">
        <f>SUM(B88:G88)</f>
        <v>460</v>
      </c>
      <c s="68" r="K88"/>
      <c s="38" r="L88">
        <f>((((B88*2)+141)*((D88*2)+36))/(402.744996))-24.57966407</f>
        <v>89.47761896574</v>
      </c>
      <c s="38" r="M88">
        <f>((((B88*2)+141)*((F88*2)+36))/(416.310724))-19.16575597</f>
        <v>78.6361925572736</v>
      </c>
      <c s="38" r="N88">
        <f>(((((C88*2)+36)*((((C88*2)+36)*(I88/672))+415))/((((C88*2)+36)*(1-(I88/672)))+415))/(1.92306))-3.576327284</f>
        <v>183.720594807542</v>
      </c>
      <c s="38" r="O88">
        <f>(((((E88*2)+36)*((((E88*2)+36)*(I88/672))+415))/((((E88*2)+36)*(1-(I88/672)))+415))/(1.980931))+4.9921912</f>
        <v>103.904545815253</v>
      </c>
      <c s="68" r="P88"/>
      <c s="38" r="Q88">
        <f>((((L88+M88)+N88)+O88)/(1.535645))-60.47703745</f>
        <v>236.296599781137</v>
      </c>
      <c s="63" r="R88"/>
      <c s="26" r="S88"/>
      <c s="26" r="T88"/>
    </row>
    <row customHeight="1" r="89" ht="14.25">
      <c t="s" s="45" r="A89">
        <v>204</v>
      </c>
      <c s="57" r="B89">
        <v>65</v>
      </c>
      <c s="8" r="C89">
        <v>45</v>
      </c>
      <c s="8" r="D89">
        <v>55</v>
      </c>
      <c s="8" r="E89">
        <v>45</v>
      </c>
      <c s="8" r="F89">
        <v>70</v>
      </c>
      <c s="27" r="G89">
        <v>45</v>
      </c>
      <c s="68" r="H89"/>
      <c s="20" r="I89">
        <f>INDEX('Speed Factors'!$A$2:$B$256,(G89),2)</f>
        <v>154</v>
      </c>
      <c s="20" r="J89">
        <f>SUM(B89:G89)</f>
        <v>325</v>
      </c>
      <c s="68" r="K89"/>
      <c s="38" r="L89">
        <f>((((B89*2)+141)*((D89*2)+36))/(402.744996))-24.57966407</f>
        <v>73.6611592622904</v>
      </c>
      <c s="38" r="M89">
        <f>((((B89*2)+141)*((F89*2)+36))/(416.310724))-19.16575597</f>
        <v>95.4025153964614</v>
      </c>
      <c s="38" r="N89">
        <f>(((((C89*2)+36)*((((C89*2)+36)*(I89/672))+415))/((((C89*2)+36)*(1-(I89/672)))+415))/(1.92306))-3.576327284</f>
        <v>53.2124370409679</v>
      </c>
      <c s="38" r="O89">
        <f>(((((E89*2)+36)*((((E89*2)+36)*(I89/672))+415))/((((E89*2)+36)*(1-(I89/672)))+415))/(1.980931))+4.9921912</f>
        <v>60.1219262199339</v>
      </c>
      <c s="68" r="P89"/>
      <c s="38" r="Q89">
        <f>((((L89+M89)+N89)+O89)/(1.535645))-60.47703745</f>
        <v>123.418353685095</v>
      </c>
      <c s="63" r="R89"/>
      <c s="26" r="S89"/>
      <c s="26" r="T89"/>
    </row>
    <row customHeight="1" r="90" ht="14.25">
      <c t="s" s="45" r="A90">
        <v>205</v>
      </c>
      <c s="75" r="B90">
        <v>90</v>
      </c>
      <c s="54" r="C90">
        <v>70</v>
      </c>
      <c s="54" r="D90">
        <v>80</v>
      </c>
      <c s="54" r="E90">
        <v>70</v>
      </c>
      <c s="54" r="F90">
        <v>95</v>
      </c>
      <c s="2" r="G90">
        <v>70</v>
      </c>
      <c s="68" r="H90"/>
      <c s="19" r="I90">
        <f>INDEX('Speed Factors'!$A$2:$B$256,(G90),2)</f>
        <v>369</v>
      </c>
      <c s="19" r="J90">
        <f>SUM(B90:G90)</f>
        <v>475</v>
      </c>
      <c s="68" r="K90"/>
      <c s="38" r="L90">
        <f>((((B90*2)+141)*((D90*2)+36))/(402.744996))-24.57966407</f>
        <v>131.638291770226</v>
      </c>
      <c s="38" r="M90">
        <f>((((B90*2)+141)*((F90*2)+36))/(416.310724))-19.16575597</f>
        <v>155.093507166349</v>
      </c>
      <c s="38" r="N90">
        <f>(((((C90*2)+36)*((((C90*2)+36)*(I90/672))+415))/((((C90*2)+36)*(1-(I90/672)))+415))/(1.92306))-3.576327284</f>
        <v>91.144598732335</v>
      </c>
      <c s="38" r="O90">
        <f>(((((E90*2)+36)*((((E90*2)+36)*(I90/672))+415))/((((E90*2)+36)*(1-(I90/672)))+415))/(1.980931))+4.9921912</f>
        <v>96.9459361739407</v>
      </c>
      <c s="68" r="P90"/>
      <c s="38" r="Q90">
        <f>((((L90+M90)+N90)+O90)/(1.535645))-60.47703745</f>
        <v>248.723548520619</v>
      </c>
      <c s="63" r="R90"/>
      <c s="26" r="S90"/>
      <c s="26" r="T90"/>
    </row>
    <row customHeight="1" r="91" ht="14.25">
      <c t="s" s="45" r="A91">
        <v>206</v>
      </c>
      <c s="57" r="B91">
        <v>80</v>
      </c>
      <c s="8" r="C91">
        <v>80</v>
      </c>
      <c s="8" r="D91">
        <v>50</v>
      </c>
      <c s="8" r="E91">
        <v>40</v>
      </c>
      <c s="8" r="F91">
        <v>50</v>
      </c>
      <c s="27" r="G91">
        <v>25</v>
      </c>
      <c s="68" r="H91"/>
      <c s="20" r="I91">
        <f>INDEX('Speed Factors'!$A$2:$B$256,(G91),2)</f>
        <v>32</v>
      </c>
      <c s="20" r="J91">
        <f>SUM(B91:G91)</f>
        <v>325</v>
      </c>
      <c s="68" r="K91"/>
      <c s="38" r="L91">
        <f>((((B91*2)+141)*((D91*2)+36))/(402.744996))-24.57966407</f>
        <v>77.0628154308502</v>
      </c>
      <c s="38" r="M91">
        <f>((((B91*2)+141)*((F91*2)+36))/(416.310724))-19.16575597</f>
        <v>79.1646439934658</v>
      </c>
      <c s="38" r="N91">
        <f>(((((C91*2)+36)*((((C91*2)+36)*(I91/672))+415))/((((C91*2)+36)*(1-(I91/672)))+415))/(1.92306))-3.576327284</f>
        <v>68.3047263219033</v>
      </c>
      <c s="38" r="O91">
        <f>(((((E91*2)+36)*((((E91*2)+36)*(I91/672))+415))/((((E91*2)+36)*(1-(I91/672)))+415))/(1.980931))+4.9921912</f>
        <v>51.8547704729524</v>
      </c>
      <c s="68" r="P91"/>
      <c s="38" r="Q91">
        <f>((((L91+M91)+N91)+O91)/(1.535645))-60.47703745</f>
        <v>119.503984348119</v>
      </c>
      <c s="63" r="R91"/>
      <c s="26" r="S91"/>
      <c s="26" r="T91"/>
    </row>
    <row customHeight="1" r="92" ht="14.25">
      <c t="s" s="45" r="A92">
        <v>207</v>
      </c>
      <c s="75" r="B92">
        <v>105</v>
      </c>
      <c s="54" r="C92">
        <v>105</v>
      </c>
      <c s="54" r="D92">
        <v>75</v>
      </c>
      <c s="54" r="E92">
        <v>65</v>
      </c>
      <c s="54" r="F92">
        <v>100</v>
      </c>
      <c s="2" r="G92">
        <v>50</v>
      </c>
      <c s="68" r="H92"/>
      <c s="19" r="I92">
        <f>INDEX('Speed Factors'!$A$2:$B$256,(G92),2)</f>
        <v>189</v>
      </c>
      <c s="19" r="J92">
        <f>SUM(B92:G92)</f>
        <v>500</v>
      </c>
      <c s="68" r="K92"/>
      <c s="38" r="L92">
        <f>((((B92*2)+141)*((D92*2)+36))/(402.744996))-24.57966407</f>
        <v>137.522908645764</v>
      </c>
      <c s="38" r="M92">
        <f>((((B92*2)+141)*((F92*2)+36))/(416.310724))-19.16575597</f>
        <v>179.810622068246</v>
      </c>
      <c s="38" r="N92">
        <f>(((((C92*2)+36)*((((C92*2)+36)*(I92/672))+415))/((((C92*2)+36)*(1-(I92/672)))+415))/(1.92306))-3.576327284</f>
        <v>101.081499397134</v>
      </c>
      <c s="38" r="O92">
        <f>(((((E92*2)+36)*((((E92*2)+36)*(I92/672))+415))/((((E92*2)+36)*(1-(I92/672)))+415))/(1.980931))+4.9921912</f>
        <v>77.4010197780189</v>
      </c>
      <c s="68" r="P92"/>
      <c s="38" r="Q92">
        <f>((((L92+M92)+N92)+O92)/(1.535645))-60.47703745</f>
        <v>262.394492030552</v>
      </c>
      <c s="63" r="R92"/>
      <c s="26" r="S92"/>
      <c s="26" r="T92"/>
    </row>
    <row customHeight="1" r="93" ht="14.25">
      <c t="s" s="45" r="A93">
        <v>208</v>
      </c>
      <c s="57" r="B93">
        <v>30</v>
      </c>
      <c s="8" r="C93">
        <v>65</v>
      </c>
      <c s="8" r="D93">
        <v>100</v>
      </c>
      <c s="8" r="E93">
        <v>45</v>
      </c>
      <c s="8" r="F93">
        <v>25</v>
      </c>
      <c s="27" r="G93">
        <v>40</v>
      </c>
      <c s="68" r="H93"/>
      <c s="20" r="I93">
        <f>INDEX('Speed Factors'!$A$2:$B$256,(G93),2)</f>
        <v>111</v>
      </c>
      <c s="20" r="J93">
        <f>SUM(B93:G93)</f>
        <v>305</v>
      </c>
      <c s="68" r="K93"/>
      <c s="38" r="L93">
        <f>((((B93*2)+141)*((D93*2)+36))/(402.744996))-24.57966407</f>
        <v>93.202060026207</v>
      </c>
      <c s="38" r="M93">
        <f>((((B93*2)+141)*((F93*2)+36))/(416.310724))-19.16575597</f>
        <v>22.356114602808</v>
      </c>
      <c s="38" r="N93">
        <f>(((((C93*2)+36)*((((C93*2)+36)*(I93/672))+415))/((((C93*2)+36)*(1-(I93/672)))+415))/(1.92306))-3.576327284</f>
        <v>65.4109464706757</v>
      </c>
      <c s="38" r="O93">
        <f>(((((E93*2)+36)*((((E93*2)+36)*(I93/672))+415))/((((E93*2)+36)*(1-(I93/672)))+415))/(1.980931))+4.9921912</f>
        <v>58.2816079921762</v>
      </c>
      <c s="68" r="P93"/>
      <c s="38" r="Q93">
        <f>((((L93+M93)+N93)+O93)/(1.535645))-60.47703745</f>
        <v>95.3211640170494</v>
      </c>
      <c s="63" r="R93"/>
      <c s="26" r="S93"/>
      <c s="26" r="T93"/>
    </row>
    <row customHeight="1" r="94" ht="14.25">
      <c t="s" s="45" r="A94">
        <v>59</v>
      </c>
      <c s="75" r="B94">
        <v>50</v>
      </c>
      <c s="54" r="C94">
        <v>95</v>
      </c>
      <c s="54" r="D94">
        <v>180</v>
      </c>
      <c s="54" r="E94">
        <v>85</v>
      </c>
      <c s="54" r="F94">
        <v>45</v>
      </c>
      <c s="2" r="G94">
        <v>70</v>
      </c>
      <c s="68" r="H94"/>
      <c s="19" r="I94">
        <f>INDEX('Speed Factors'!$A$2:$B$256,(G94),2)</f>
        <v>369</v>
      </c>
      <c s="19" r="J94">
        <f>SUM(B94:G94)</f>
        <v>525</v>
      </c>
      <c s="68" r="K94"/>
      <c s="38" r="L94">
        <f>((((B94*2)+141)*((D94*2)+36))/(402.744996))-24.57966407</f>
        <v>212.38417396115</v>
      </c>
      <c s="38" r="M94">
        <f>((((B94*2)+141)*((F94*2)+36))/(416.310724))-19.16575597</f>
        <v>53.7749545364149</v>
      </c>
      <c s="38" r="N94">
        <f>(((((C94*2)+36)*((((C94*2)+36)*(I94/672))+415))/((((C94*2)+36)*(1-(I94/672)))+415))/(1.92306))-3.576327284</f>
        <v>118.991211504147</v>
      </c>
      <c s="38" r="O94">
        <f>(((((E94*2)+36)*((((E94*2)+36)*(I94/672))+415))/((((E94*2)+36)*(1-(I94/672)))+415))/(1.980931))+4.9921912</f>
        <v>113.126320007304</v>
      </c>
      <c s="68" r="P94"/>
      <c s="38" r="Q94">
        <f>((((L94+M94)+N94)+O94)/(1.535645))-60.47703745</f>
        <v>263.996822074184</v>
      </c>
      <c s="63" r="R94"/>
      <c s="26" r="S94"/>
      <c s="26" r="T94"/>
    </row>
    <row customHeight="1" r="95" ht="14.25">
      <c t="s" s="45" r="A95">
        <v>209</v>
      </c>
      <c s="57" r="B95">
        <v>30</v>
      </c>
      <c s="8" r="C95">
        <v>35</v>
      </c>
      <c s="8" r="D95">
        <v>30</v>
      </c>
      <c s="8" r="E95">
        <v>100</v>
      </c>
      <c s="8" r="F95">
        <v>35</v>
      </c>
      <c s="27" r="G95">
        <v>80</v>
      </c>
      <c s="68" r="H95"/>
      <c s="20" r="I95">
        <f>INDEX('Speed Factors'!$A$2:$B$256,(G95),2)</f>
        <v>432</v>
      </c>
      <c s="20" r="J95">
        <f>SUM(B95:G95)</f>
        <v>310</v>
      </c>
      <c s="68" r="K95"/>
      <c s="38" r="L95">
        <f>((((B95*2)+141)*((D95*2)+36))/(402.744996))-24.57966407</f>
        <v>23.3315457318469</v>
      </c>
      <c s="38" r="M95">
        <f>((((B95*2)+141)*((F95*2)+36))/(416.310724))-19.16575597</f>
        <v>32.0123635732285</v>
      </c>
      <c s="38" r="N95">
        <f>(((((C95*2)+36)*((((C95*2)+36)*(I95/672))+415))/((((C95*2)+36)*(1-(I95/672)))+415))/(1.92306))-3.576327284</f>
        <v>55.2304488907092</v>
      </c>
      <c s="38" r="O95">
        <f>(((((E95*2)+36)*((((E95*2)+36)*(I95/672))+415))/((((E95*2)+36)*(1-(I95/672)))+415))/(1.980931))+4.9921912</f>
        <v>140.21740443623</v>
      </c>
      <c s="68" r="P95"/>
      <c s="38" r="Q95">
        <f>((((L95+M95)+N95)+O95)/(1.535645))-60.47703745</f>
        <v>102.836594692855</v>
      </c>
      <c s="63" r="R95"/>
      <c s="26" r="S95"/>
      <c s="26" r="T95"/>
    </row>
    <row customHeight="1" r="96" ht="14.25">
      <c t="s" s="45" r="A96">
        <v>210</v>
      </c>
      <c s="75" r="B96">
        <v>45</v>
      </c>
      <c s="54" r="C96">
        <v>50</v>
      </c>
      <c s="54" r="D96">
        <v>45</v>
      </c>
      <c s="54" r="E96">
        <v>115</v>
      </c>
      <c s="54" r="F96">
        <v>55</v>
      </c>
      <c s="2" r="G96">
        <v>95</v>
      </c>
      <c s="68" r="H96"/>
      <c s="19" r="I96">
        <f>INDEX('Speed Factors'!$A$2:$B$256,(G96),2)</f>
        <v>542</v>
      </c>
      <c s="19" r="J96">
        <f>SUM(B96:G96)</f>
        <v>405</v>
      </c>
      <c s="68" r="K96"/>
      <c s="38" r="L96">
        <f>((((B96*2)+141)*((D96*2)+36))/(402.744996))-24.57966407</f>
        <v>47.6893902673008</v>
      </c>
      <c s="38" r="M96">
        <f>((((B96*2)+141)*((F96*2)+36))/(416.310724))-19.16575597</f>
        <v>61.8458491982589</v>
      </c>
      <c s="38" r="N96">
        <f>(((((C96*2)+36)*((((C96*2)+36)*(I96/672))+415))/((((C96*2)+36)*(1-(I96/672)))+415))/(1.92306))-3.576327284</f>
        <v>80.5062383776736</v>
      </c>
      <c s="38" r="O96">
        <f>(((((E96*2)+36)*((((E96*2)+36)*(I96/672))+415))/((((E96*2)+36)*(1-(I96/672)))+415))/(1.980931))+4.9921912</f>
        <v>186.21961276011</v>
      </c>
      <c s="68" r="P96"/>
      <c s="38" r="Q96">
        <f>((((L96+M96)+N96)+O96)/(1.535645))-60.47703745</f>
        <v>184.541238651145</v>
      </c>
      <c s="63" r="R96"/>
      <c s="26" r="S96"/>
      <c s="26" r="T96"/>
    </row>
    <row customHeight="1" r="97" ht="14.25">
      <c t="s" s="45" r="A97">
        <v>71</v>
      </c>
      <c s="57" r="B97">
        <v>60</v>
      </c>
      <c s="8" r="C97">
        <v>65</v>
      </c>
      <c s="8" r="D97">
        <v>60</v>
      </c>
      <c s="8" r="E97">
        <v>130</v>
      </c>
      <c s="8" r="F97">
        <v>75</v>
      </c>
      <c s="27" r="G97">
        <v>110</v>
      </c>
      <c s="68" r="H97"/>
      <c s="20" r="I97">
        <f>INDEX('Speed Factors'!$A$2:$B$256,(G97),2)</f>
        <v>627</v>
      </c>
      <c s="20" r="J97">
        <f>SUM(B97:G97)</f>
        <v>500</v>
      </c>
      <c s="68" r="K97"/>
      <c s="38" r="L97">
        <f>((((B97*2)+141)*((D97*2)+36))/(402.744996))-24.57966407</f>
        <v>76.516564075315</v>
      </c>
      <c s="38" r="M97">
        <f>((((B97*2)+141)*((F97*2)+36))/(416.310724))-19.16575597</f>
        <v>97.4442595817493</v>
      </c>
      <c s="38" r="N97">
        <f>(((((C97*2)+36)*((((C97*2)+36)*(I97/672))+415))/((((C97*2)+36)*(1-(I97/672)))+415))/(1.92306))-3.576327284</f>
        <v>111.868306020077</v>
      </c>
      <c s="38" r="O97">
        <f>(((((E97*2)+36)*((((E97*2)+36)*(I97/672))+415))/((((E97*2)+36)*(1-(I97/672)))+415))/(1.980931))+4.9921912</f>
        <v>242.513014184902</v>
      </c>
      <c s="68" r="P97"/>
      <c s="38" r="Q97">
        <f>((((L97+M97)+N97)+O97)/(1.535645))-60.47703745</f>
        <v>283.575229748502</v>
      </c>
      <c s="63" r="R97"/>
      <c s="26" r="S97"/>
      <c s="26" r="T97"/>
    </row>
    <row customHeight="1" r="98" ht="14.25">
      <c t="s" s="45" r="A98">
        <v>211</v>
      </c>
      <c s="75" r="B98">
        <v>35</v>
      </c>
      <c s="54" r="C98">
        <v>45</v>
      </c>
      <c s="54" r="D98">
        <v>160</v>
      </c>
      <c s="54" r="E98">
        <v>30</v>
      </c>
      <c s="54" r="F98">
        <v>45</v>
      </c>
      <c s="2" r="G98">
        <v>70</v>
      </c>
      <c s="68" r="H98"/>
      <c s="19" r="I98">
        <f>INDEX('Speed Factors'!$A$2:$B$256,(G98),2)</f>
        <v>369</v>
      </c>
      <c s="19" r="J98">
        <f>SUM(B98:G98)</f>
        <v>385</v>
      </c>
      <c s="68" r="K98"/>
      <c s="38" r="L98">
        <f>((((B98*2)+141)*((D98*2)+36))/(402.744996))-24.57966407</f>
        <v>161.930412395357</v>
      </c>
      <c s="38" r="M98">
        <f>((((B98*2)+141)*((F98*2)+36))/(416.310724))-19.16575597</f>
        <v>44.6951980418404</v>
      </c>
      <c s="38" r="N98">
        <f>(((((C98*2)+36)*((((C98*2)+36)*(I98/672))+415))/((((C98*2)+36)*(1-(I98/672)))+415))/(1.92306))-3.576327284</f>
        <v>63.6627648836486</v>
      </c>
      <c s="38" r="O98">
        <f>(((((E98*2)+36)*((((E98*2)+36)*(I98/672))+415))/((((E98*2)+36)*(1-(I98/672)))+415))/(1.980931))+4.9921912</f>
        <v>54.4512901510183</v>
      </c>
      <c s="68" r="P98"/>
      <c s="38" r="Q98">
        <f>((((L98+M98)+N98)+O98)/(1.535645))-60.47703745</f>
        <v>150.990890014918</v>
      </c>
      <c s="63" r="R98"/>
      <c s="26" r="S98"/>
      <c s="26" r="T98"/>
    </row>
    <row customHeight="1" r="99" ht="14.25">
      <c t="s" s="45" r="A99">
        <v>212</v>
      </c>
      <c s="57" r="B99">
        <v>60</v>
      </c>
      <c s="8" r="C99">
        <v>48</v>
      </c>
      <c s="8" r="D99">
        <v>45</v>
      </c>
      <c s="8" r="E99">
        <v>43</v>
      </c>
      <c s="8" r="F99">
        <v>90</v>
      </c>
      <c s="27" r="G99">
        <v>42</v>
      </c>
      <c s="68" r="H99"/>
      <c s="20" r="I99">
        <f>INDEX('Speed Factors'!$A$2:$B$256,(G99),2)</f>
        <v>144</v>
      </c>
      <c s="20" r="J99">
        <f>SUM(B99:G99)</f>
        <v>328</v>
      </c>
      <c s="68" r="K99"/>
      <c s="38" r="L99">
        <f>((((B99*2)+141)*((D99*2)+36))/(402.744996))-24.57966407</f>
        <v>57.0749817396776</v>
      </c>
      <c s="38" r="M99">
        <f>((((B99*2)+141)*((F99*2)+36))/(416.310724))-19.16575597</f>
        <v>116.252326606225</v>
      </c>
      <c s="38" r="N99">
        <f>(((((C99*2)+36)*((((C99*2)+36)*(I99/672))+415))/((((C99*2)+36)*(1-(I99/672)))+415))/(1.92306))-3.576327284</f>
        <v>55.0829385732818</v>
      </c>
      <c s="38" r="O99">
        <f>(((((E99*2)+36)*((((E99*2)+36)*(I99/672))+415))/((((E99*2)+36)*(1-(I99/672)))+415))/(1.980931))+4.9921912</f>
        <v>58.1748767276917</v>
      </c>
      <c s="68" r="P99"/>
      <c s="38" r="Q99">
        <f>((((L99+M99)+N99)+O99)/(1.535645))-60.47703745</f>
        <v>126.144951126055</v>
      </c>
      <c s="63" r="R99"/>
      <c s="26" r="S99"/>
      <c s="26" r="T99"/>
    </row>
    <row customHeight="1" r="100" ht="14.25">
      <c t="s" s="45" r="A100">
        <v>213</v>
      </c>
      <c s="75" r="B100">
        <v>85</v>
      </c>
      <c s="54" r="C100">
        <v>73</v>
      </c>
      <c s="54" r="D100">
        <v>70</v>
      </c>
      <c s="54" r="E100">
        <v>73</v>
      </c>
      <c s="54" r="F100">
        <v>115</v>
      </c>
      <c s="2" r="G100">
        <v>67</v>
      </c>
      <c s="68" r="H100"/>
      <c s="19" r="I100">
        <f>INDEX('Speed Factors'!$A$2:$B$256,(G100),2)</f>
        <v>361</v>
      </c>
      <c s="19" r="J100">
        <f>SUM(B100:G100)</f>
        <v>483</v>
      </c>
      <c s="68" r="K100"/>
      <c s="38" r="L100">
        <f>((((B100*2)+141)*((D100*2)+36))/(402.744996))-24.57966407</f>
        <v>111.327673187146</v>
      </c>
      <c s="38" r="M100">
        <f>((((B100*2)+141)*((F100*2)+36))/(416.310724))-19.16575597</f>
        <v>179.54639635015</v>
      </c>
      <c s="38" r="N100">
        <f>(((((C100*2)+36)*((((C100*2)+36)*(I100/672))+415))/((((C100*2)+36)*(1-(I100/672)))+415))/(1.92306))-3.576327284</f>
        <v>93.6316524628766</v>
      </c>
      <c s="38" r="O100">
        <f>(((((E100*2)+36)*((((E100*2)+36)*(I100/672))+415))/((((E100*2)+36)*(1-(I100/672)))+415))/(1.980931))+4.9921912</f>
        <v>99.3603330141412</v>
      </c>
      <c s="68" r="P100"/>
      <c s="38" r="Q100">
        <f>((((L100+M100)+N100)+O100)/(1.535645))-60.47703745</f>
        <v>254.61274893573</v>
      </c>
      <c s="63" r="R100"/>
      <c s="26" r="S100"/>
      <c s="26" r="T100"/>
    </row>
    <row customHeight="1" r="101" ht="14.25">
      <c t="s" s="45" r="A101">
        <v>214</v>
      </c>
      <c s="57" r="B101">
        <v>30</v>
      </c>
      <c s="8" r="C101">
        <v>105</v>
      </c>
      <c s="8" r="D101">
        <v>90</v>
      </c>
      <c s="8" r="E101">
        <v>25</v>
      </c>
      <c s="8" r="F101">
        <v>25</v>
      </c>
      <c s="27" r="G101">
        <v>50</v>
      </c>
      <c s="68" r="H101"/>
      <c s="20" r="I101">
        <f>INDEX('Speed Factors'!$A$2:$B$256,(G101),2)</f>
        <v>189</v>
      </c>
      <c s="20" r="J101">
        <f>SUM(B101:G101)</f>
        <v>325</v>
      </c>
      <c s="68" r="K101"/>
      <c s="38" r="L101">
        <f>((((B101*2)+141)*((D101*2)+36))/(402.744996))-24.57966407</f>
        <v>83.2205579841556</v>
      </c>
      <c s="38" r="M101">
        <f>((((B101*2)+141)*((F101*2)+36))/(416.310724))-19.16575597</f>
        <v>22.356114602808</v>
      </c>
      <c s="38" r="N101">
        <f>(((((C101*2)+36)*((((C101*2)+36)*(I101/672))+415))/((((C101*2)+36)*(1-(I101/672)))+415))/(1.92306))-3.576327284</f>
        <v>101.081499397134</v>
      </c>
      <c s="38" r="O101">
        <f>(((((E101*2)+36)*((((E101*2)+36)*(I101/672))+415))/((((E101*2)+36)*(1-(I101/672)))+415))/(1.980931))+4.9921912</f>
        <v>44.9803530731203</v>
      </c>
      <c s="68" r="P101"/>
      <c s="38" r="Q101">
        <f>((((L101+M101)+N101)+O101)/(1.535645))-60.47703745</f>
        <v>103.387999754053</v>
      </c>
      <c s="63" r="R101"/>
      <c s="26" r="S101"/>
      <c s="26" r="T101"/>
    </row>
    <row customHeight="1" r="102" ht="14.25">
      <c t="s" s="45" r="A102">
        <v>215</v>
      </c>
      <c s="75" r="B102">
        <v>55</v>
      </c>
      <c s="54" r="C102">
        <v>130</v>
      </c>
      <c s="54" r="D102">
        <v>115</v>
      </c>
      <c s="54" r="E102">
        <v>50</v>
      </c>
      <c s="54" r="F102">
        <v>50</v>
      </c>
      <c s="2" r="G102">
        <v>75</v>
      </c>
      <c s="68" r="H102"/>
      <c s="19" r="I102">
        <f>INDEX('Speed Factors'!$A$2:$B$256,(G102),2)</f>
        <v>413</v>
      </c>
      <c s="19" r="J102">
        <f>SUM(B102:G102)</f>
        <v>475</v>
      </c>
      <c s="68" r="K102"/>
      <c s="38" r="L102">
        <f>((((B102*2)+141)*((D102*2)+36))/(402.744996))-24.57966407</f>
        <v>141.197690492091</v>
      </c>
      <c s="38" r="M102">
        <f>((((B102*2)+141)*((F102*2)+36))/(416.310724))-19.16575597</f>
        <v>62.8306905111625</v>
      </c>
      <c s="38" r="N102">
        <f>(((((C102*2)+36)*((((C102*2)+36)*(I102/672))+415))/((((C102*2)+36)*(1-(I102/672)))+415))/(1.92306))-3.576327284</f>
        <v>170.079155837787</v>
      </c>
      <c s="38" r="O102">
        <f>(((((E102*2)+36)*((((E102*2)+36)*(I102/672))+415))/((((E102*2)+36)*(1-(I102/672)))+415))/(1.980931))+4.9921912</f>
        <v>78.2245668437857</v>
      </c>
      <c s="68" r="P102"/>
      <c s="38" r="Q102">
        <f>((((L102+M102)+N102)+O102)/(1.535645))-60.47703745</f>
        <v>234.078086738746</v>
      </c>
      <c s="63" r="R102"/>
      <c s="26" r="S102"/>
      <c s="26" r="T102"/>
    </row>
    <row customHeight="1" r="103" ht="14.25">
      <c t="s" s="45" r="A103">
        <v>216</v>
      </c>
      <c s="57" r="B103">
        <v>40</v>
      </c>
      <c s="8" r="C103">
        <v>30</v>
      </c>
      <c s="8" r="D103">
        <v>50</v>
      </c>
      <c s="8" r="E103">
        <v>55</v>
      </c>
      <c s="8" r="F103">
        <v>55</v>
      </c>
      <c s="27" r="G103">
        <v>100</v>
      </c>
      <c s="68" r="H103"/>
      <c s="20" r="I103">
        <f>INDEX('Speed Factors'!$A$2:$B$256,(G103),2)</f>
        <v>577</v>
      </c>
      <c s="20" r="J103">
        <f>SUM(B103:G103)</f>
        <v>330</v>
      </c>
      <c s="68" r="K103"/>
      <c s="38" r="L103">
        <f>((((B103*2)+141)*((D103*2)+36))/(402.744996))-24.57966407</f>
        <v>50.0482029389299</v>
      </c>
      <c s="38" r="M103">
        <f>((((B103*2)+141)*((F103*2)+36))/(416.310724))-19.16575597</f>
        <v>58.3388533035291</v>
      </c>
      <c s="38" r="N103">
        <f>(((((C103*2)+36)*((((C103*2)+36)*(I103/672))+415))/((((C103*2)+36)*(1-(I103/672)))+415))/(1.92306))-3.576327284</f>
        <v>54.3646625967109</v>
      </c>
      <c s="38" r="O103">
        <f>(((((E103*2)+36)*((((E103*2)+36)*(I103/672))+415))/((((E103*2)+36)*(1-(I103/672)))+415))/(1.980931))+4.9921912</f>
        <v>96.4117593388589</v>
      </c>
      <c s="68" r="P103"/>
      <c s="38" r="Q103">
        <f>((((L103+M103)+N103)+O103)/(1.535645))-60.47703745</f>
        <v>108.288190306434</v>
      </c>
      <c s="63" r="R103"/>
      <c s="26" r="S103"/>
      <c s="26" r="T103"/>
    </row>
    <row customHeight="1" r="104" ht="14.25">
      <c t="s" s="45" r="A104">
        <v>217</v>
      </c>
      <c s="75" r="B104">
        <v>60</v>
      </c>
      <c s="54" r="C104">
        <v>50</v>
      </c>
      <c s="54" r="D104">
        <v>70</v>
      </c>
      <c s="54" r="E104">
        <v>80</v>
      </c>
      <c s="54" r="F104">
        <v>80</v>
      </c>
      <c s="2" r="G104">
        <v>140</v>
      </c>
      <c s="68" r="H104"/>
      <c s="19" r="I104">
        <f>INDEX('Speed Factors'!$A$2:$B$256,(G104),2)</f>
        <v>666</v>
      </c>
      <c s="19" r="J104">
        <f>SUM(B104:G104)</f>
        <v>480</v>
      </c>
      <c s="68" r="K104"/>
      <c s="38" r="L104">
        <f>((((B104*2)+141)*((D104*2)+36))/(402.744996))-24.57966407</f>
        <v>89.47761896574</v>
      </c>
      <c s="38" r="M104">
        <f>((((B104*2)+141)*((F104*2)+36))/(416.310724))-19.16575597</f>
        <v>103.713615256575</v>
      </c>
      <c s="38" r="N104">
        <f>(((((C104*2)+36)*((((C104*2)+36)*(I104/672))+415))/((((C104*2)+36)*(1-(I104/672)))+415))/(1.92306))-3.576327284</f>
        <v>89.839946984465</v>
      </c>
      <c s="38" r="O104">
        <f>(((((E104*2)+36)*((((E104*2)+36)*(I104/672))+415))/((((E104*2)+36)*(1-(I104/672)))+415))/(1.980931))+4.9921912</f>
        <v>149.638265809038</v>
      </c>
      <c s="68" r="P104"/>
      <c s="38" r="Q104">
        <f>((((L104+M104)+N104)+O104)/(1.535645))-60.47703745</f>
        <v>221.273918673204</v>
      </c>
      <c s="63" r="R104"/>
      <c s="26" r="S104"/>
      <c s="26" r="T104"/>
    </row>
    <row customHeight="1" r="105" ht="14.25">
      <c t="s" s="45" r="A105">
        <v>218</v>
      </c>
      <c s="57" r="B105">
        <v>60</v>
      </c>
      <c s="8" r="C105">
        <v>40</v>
      </c>
      <c s="8" r="D105">
        <v>80</v>
      </c>
      <c s="8" r="E105">
        <v>60</v>
      </c>
      <c s="8" r="F105">
        <v>45</v>
      </c>
      <c s="27" r="G105">
        <v>40</v>
      </c>
      <c s="68" r="H105"/>
      <c s="20" r="I105">
        <f>INDEX('Speed Factors'!$A$2:$B$256,(G105),2)</f>
        <v>111</v>
      </c>
      <c s="20" r="J105">
        <f>SUM(B105:G105)</f>
        <v>325</v>
      </c>
      <c s="68" r="K105"/>
      <c s="38" r="L105">
        <f>((((B105*2)+141)*((D105*2)+36))/(402.744996))-24.57966407</f>
        <v>102.438673856165</v>
      </c>
      <c s="38" r="M105">
        <f>((((B105*2)+141)*((F105*2)+36))/(416.310724))-19.16575597</f>
        <v>59.8281255327979</v>
      </c>
      <c s="38" r="N105">
        <f>(((((C105*2)+36)*((((C105*2)+36)*(I105/672))+415))/((((C105*2)+36)*(1-(I105/672)))+415))/(1.92306))-3.576327284</f>
        <v>47.589742765994</v>
      </c>
      <c s="38" r="O105">
        <f>(((((E105*2)+36)*((((E105*2)+36)*(I105/672))+415))/((((E105*2)+36)*(1-(I105/672)))+415))/(1.980931))+4.9921912</f>
        <v>68.6546950494339</v>
      </c>
      <c s="68" r="P105"/>
      <c s="38" r="Q105">
        <f>((((L105+M105)+N105)+O105)/(1.535645))-60.47703745</f>
        <v>120.887299492712</v>
      </c>
      <c s="63" r="R105"/>
      <c s="26" r="S105"/>
      <c s="26" r="T105"/>
    </row>
    <row customHeight="1" r="106" ht="14.25">
      <c t="s" s="45" r="A106">
        <v>219</v>
      </c>
      <c s="75" r="B106">
        <v>95</v>
      </c>
      <c s="54" r="C106">
        <v>95</v>
      </c>
      <c s="54" r="D106">
        <v>85</v>
      </c>
      <c s="54" r="E106">
        <v>125</v>
      </c>
      <c s="54" r="F106">
        <v>65</v>
      </c>
      <c s="2" r="G106">
        <v>55</v>
      </c>
      <c s="68" r="H106"/>
      <c s="19" r="I106">
        <f>INDEX('Speed Factors'!$A$2:$B$256,(G106),2)</f>
        <v>233</v>
      </c>
      <c s="19" r="J106">
        <f>SUM(B106:G106)</f>
        <v>520</v>
      </c>
      <c s="68" r="K106"/>
      <c s="38" r="L106">
        <f>((((B106*2)+141)*((D106*2)+36))/(402.744996))-24.57966407</f>
        <v>144.723494696</v>
      </c>
      <c s="38" r="M106">
        <f>((((B106*2)+141)*((F106*2)+36))/(416.310724))-19.16575597</f>
        <v>112.817392270976</v>
      </c>
      <c s="38" r="N106">
        <f>(((((C106*2)+36)*((((C106*2)+36)*(I106/672))+415))/((((C106*2)+36)*(1-(I106/672)))+415))/(1.92306))-3.576327284</f>
        <v>99.4739423094343</v>
      </c>
      <c s="38" r="O106">
        <f>(((((E106*2)+36)*((((E106*2)+36)*(I106/672))+415))/((((E106*2)+36)*(1-(I106/672)))+415))/(1.980931))+4.9921912</f>
        <v>128.336666859796</v>
      </c>
      <c s="68" r="P106"/>
      <c s="38" r="Q106">
        <f>((((L106+M106)+N106)+O106)/(1.535645))-60.47703745</f>
        <v>255.580056563399</v>
      </c>
      <c s="63" r="R106"/>
      <c s="26" r="S106"/>
      <c s="26" r="T106"/>
    </row>
    <row customHeight="1" r="107" ht="14.25">
      <c t="s" s="45" r="A107">
        <v>220</v>
      </c>
      <c s="57" r="B107">
        <v>50</v>
      </c>
      <c s="8" r="C107">
        <v>50</v>
      </c>
      <c s="8" r="D107">
        <v>95</v>
      </c>
      <c s="8" r="E107">
        <v>40</v>
      </c>
      <c s="8" r="F107">
        <v>50</v>
      </c>
      <c s="27" r="G107">
        <v>35</v>
      </c>
      <c s="68" r="H107"/>
      <c s="20" r="I107">
        <f>INDEX('Speed Factors'!$A$2:$B$256,(G107),2)</f>
        <v>84</v>
      </c>
      <c s="20" r="J107">
        <f>SUM(B107:G107)</f>
        <v>320</v>
      </c>
      <c s="68" r="K107"/>
      <c s="38" r="L107">
        <f>((((B107*2)+141)*((D107*2)+36))/(402.744996))-24.57966407</f>
        <v>110.657273796262</v>
      </c>
      <c s="38" r="M107">
        <f>((((B107*2)+141)*((F107*2)+36))/(416.310724))-19.16575597</f>
        <v>59.5638998147018</v>
      </c>
      <c s="38" r="N107">
        <f>(((((C107*2)+36)*((((C107*2)+36)*(I107/672))+415))/((((C107*2)+36)*(1-(I107/672)))+415))/(1.92306))-3.576327284</f>
        <v>53.6358615765204</v>
      </c>
      <c s="38" r="O107">
        <f>(((((E107*2)+36)*((((E107*2)+36)*(I107/672))+415))/((((E107*2)+36)*(1-(I107/672)))+415))/(1.980931))+4.9921912</f>
        <v>53.6868674933454</v>
      </c>
      <c s="68" r="P107"/>
      <c s="38" r="Q107">
        <f>((((L107+M107)+N107)+O107)/(1.535645))-60.47703745</f>
        <v>120.257378825135</v>
      </c>
      <c s="63" r="R107"/>
      <c s="26" r="S107"/>
      <c s="26" r="T107"/>
    </row>
    <row customHeight="1" r="108" ht="14.25">
      <c t="s" s="45" r="A108">
        <v>221</v>
      </c>
      <c s="75" r="B108">
        <v>60</v>
      </c>
      <c s="54" r="C108">
        <v>80</v>
      </c>
      <c s="54" r="D108">
        <v>110</v>
      </c>
      <c s="54" r="E108">
        <v>50</v>
      </c>
      <c s="54" r="F108">
        <v>80</v>
      </c>
      <c s="2" r="G108">
        <v>45</v>
      </c>
      <c s="68" r="H108"/>
      <c s="19" r="I108">
        <f>INDEX('Speed Factors'!$A$2:$B$256,(G108),2)</f>
        <v>154</v>
      </c>
      <c s="19" r="J108">
        <f>SUM(B108:G108)</f>
        <v>425</v>
      </c>
      <c s="68" r="K108"/>
      <c s="38" r="L108">
        <f>((((B108*2)+141)*((D108*2)+36))/(402.744996))-24.57966407</f>
        <v>141.32183852744</v>
      </c>
      <c s="38" r="M108">
        <f>((((B108*2)+141)*((F108*2)+36))/(416.310724))-19.16575597</f>
        <v>103.713615256575</v>
      </c>
      <c s="38" r="N108">
        <f>(((((C108*2)+36)*((((C108*2)+36)*(I108/672))+415))/((((C108*2)+36)*(1-(I108/672)))+415))/(1.92306))-3.576327284</f>
        <v>79.2297127590714</v>
      </c>
      <c s="38" r="O108">
        <f>(((((E108*2)+36)*((((E108*2)+36)*(I108/672))+415))/((((E108*2)+36)*(1-(I108/672)))+415))/(1.980931))+4.9921912</f>
        <v>63.917593518298</v>
      </c>
      <c s="68" r="P108"/>
      <c s="38" r="Q108">
        <f>((((L108+M108)+N108)+O108)/(1.535645))-60.47703745</f>
        <v>192.304536456329</v>
      </c>
      <c s="63" r="R108"/>
      <c s="26" r="S108"/>
      <c s="26" r="T108"/>
    </row>
    <row customHeight="1" r="109" ht="14.25">
      <c t="s" s="45" r="A109">
        <v>222</v>
      </c>
      <c s="57" r="B109">
        <v>50</v>
      </c>
      <c s="8" r="C109">
        <v>120</v>
      </c>
      <c s="8" r="D109">
        <v>53</v>
      </c>
      <c s="8" r="E109">
        <v>35</v>
      </c>
      <c s="8" r="F109">
        <v>110</v>
      </c>
      <c s="27" r="G109">
        <v>87</v>
      </c>
      <c s="68" r="H109"/>
      <c s="20" r="I109">
        <f>INDEX('Speed Factors'!$A$2:$B$256,(G109),2)</f>
        <v>501</v>
      </c>
      <c s="20" r="J109">
        <f>SUM(B109:G109)</f>
        <v>455</v>
      </c>
      <c s="68" r="K109"/>
      <c s="38" r="L109">
        <f>((((B109*2)+141)*((D109*2)+36))/(402.744996))-24.57966407</f>
        <v>60.3922172442001</v>
      </c>
      <c s="38" r="M109">
        <f>((((B109*2)+141)*((F109*2)+36))/(416.310724))-19.16575597</f>
        <v>129.031243154145</v>
      </c>
      <c s="38" r="N109">
        <f>(((((C109*2)+36)*((((C109*2)+36)*(I109/672))+415))/((((C109*2)+36)*(1-(I109/672)))+415))/(1.92306))-3.576327284</f>
        <v>180.033493686119</v>
      </c>
      <c s="38" r="O109">
        <f>(((((E109*2)+36)*((((E109*2)+36)*(I109/672))+415))/((((E109*2)+36)*(1-(I109/672)))+415))/(1.980931))+4.9921912</f>
        <v>64.8045684299695</v>
      </c>
      <c s="68" r="P109"/>
      <c s="38" r="Q109">
        <f>((((L109+M109)+N109)+O109)/(1.535645))-60.47703745</f>
        <v>222.310665772056</v>
      </c>
      <c s="63" r="R109"/>
      <c s="26" r="S109"/>
      <c s="26" r="T109"/>
    </row>
    <row customHeight="1" r="110" ht="14.25">
      <c t="s" s="45" r="A110">
        <v>223</v>
      </c>
      <c s="75" r="B110">
        <v>50</v>
      </c>
      <c s="54" r="C110">
        <v>105</v>
      </c>
      <c s="54" r="D110">
        <v>79</v>
      </c>
      <c s="54" r="E110">
        <v>35</v>
      </c>
      <c s="54" r="F110">
        <v>110</v>
      </c>
      <c s="2" r="G110">
        <v>76</v>
      </c>
      <c s="68" r="H110"/>
      <c s="19" r="I110">
        <f>INDEX('Speed Factors'!$A$2:$B$256,(G110),2)</f>
        <v>424</v>
      </c>
      <c s="19" r="J110">
        <f>SUM(B110:G110)</f>
        <v>455</v>
      </c>
      <c s="68" r="K110"/>
      <c s="38" r="L110">
        <f>((((B110*2)+141)*((D110*2)+36))/(402.744996))-24.57966407</f>
        <v>91.508680824048</v>
      </c>
      <c s="38" r="M110">
        <f>((((B110*2)+141)*((F110*2)+36))/(416.310724))-19.16575597</f>
        <v>129.031243154145</v>
      </c>
      <c s="38" r="N110">
        <f>(((((C110*2)+36)*((((C110*2)+36)*(I110/672))+415))/((((C110*2)+36)*(1-(I110/672)))+415))/(1.92306))-3.576327284</f>
        <v>140.639792827601</v>
      </c>
      <c s="38" r="O110">
        <f>(((((E110*2)+36)*((((E110*2)+36)*(I110/672))+415))/((((E110*2)+36)*(1-(I110/672)))+415))/(1.980931))+4.9921912</f>
        <v>61.7736516310827</v>
      </c>
      <c s="68" r="P110"/>
      <c s="38" r="Q110">
        <f>((((L110+M110)+N110)+O110)/(1.535645))-60.47703745</f>
        <v>214.946884378858</v>
      </c>
      <c s="63" r="R110"/>
      <c s="26" r="S110"/>
      <c s="26" r="T110"/>
    </row>
    <row customHeight="1" r="111" ht="14.25">
      <c t="s" s="45" r="A111">
        <v>224</v>
      </c>
      <c s="57" r="B111">
        <v>90</v>
      </c>
      <c s="8" r="C111">
        <v>55</v>
      </c>
      <c s="8" r="D111">
        <v>75</v>
      </c>
      <c s="8" r="E111">
        <v>60</v>
      </c>
      <c s="8" r="F111">
        <v>75</v>
      </c>
      <c s="27" r="G111">
        <v>30</v>
      </c>
      <c s="68" r="H111"/>
      <c s="20" r="I111">
        <f>INDEX('Speed Factors'!$A$2:$B$256,(G111),2)</f>
        <v>44</v>
      </c>
      <c s="20" r="J111">
        <f>SUM(B111:G111)</f>
        <v>385</v>
      </c>
      <c s="68" r="K111"/>
      <c s="38" r="L111">
        <f>((((B111*2)+141)*((D111*2)+36))/(402.744996))-24.57966407</f>
        <v>123.667987900827</v>
      </c>
      <c s="38" r="M111">
        <f>((((B111*2)+141)*((F111*2)+36))/(416.310724))-19.16575597</f>
        <v>124.251159708588</v>
      </c>
      <c s="38" r="N111">
        <f>(((((C111*2)+36)*((((C111*2)+36)*(I111/672))+415))/((((C111*2)+36)*(1-(I111/672)))+415))/(1.92306))-3.576327284</f>
        <v>54.8757524750147</v>
      </c>
      <c s="38" r="O111">
        <f>(((((E111*2)+36)*((((E111*2)+36)*(I111/672))+415))/((((E111*2)+36)*(1-(I111/672)))+415))/(1.980931))+4.9921912</f>
        <v>64.7048150601117</v>
      </c>
      <c s="68" r="P111"/>
      <c s="38" r="Q111">
        <f>((((L111+M111)+N111)+O111)/(1.535645))-60.47703745</f>
        <v>178.835899553371</v>
      </c>
      <c s="63" r="R111"/>
      <c s="26" r="S111"/>
      <c s="26" r="T111"/>
    </row>
    <row customHeight="1" r="112" ht="14.25">
      <c t="s" s="45" r="A112">
        <v>225</v>
      </c>
      <c s="75" r="B112">
        <v>40</v>
      </c>
      <c s="54" r="C112">
        <v>65</v>
      </c>
      <c s="54" r="D112">
        <v>95</v>
      </c>
      <c s="54" r="E112">
        <v>60</v>
      </c>
      <c s="54" r="F112">
        <v>45</v>
      </c>
      <c s="2" r="G112">
        <v>35</v>
      </c>
      <c s="68" r="H112"/>
      <c s="19" r="I112">
        <f>INDEX('Speed Factors'!$A$2:$B$256,(G112),2)</f>
        <v>84</v>
      </c>
      <c s="19" r="J112">
        <f>SUM(B112:G112)</f>
        <v>340</v>
      </c>
      <c s="68" r="K112"/>
      <c s="38" r="L112">
        <f>((((B112*2)+141)*((D112*2)+36))/(402.744996))-24.57966407</f>
        <v>99.4342914007217</v>
      </c>
      <c s="38" r="M112">
        <f>((((B112*2)+141)*((F112*2)+36))/(416.310724))-19.16575597</f>
        <v>47.7217835400319</v>
      </c>
      <c s="38" r="N112">
        <f>(((((C112*2)+36)*((((C112*2)+36)*(I112/672))+415))/((((C112*2)+36)*(1-(I112/672)))+415))/(1.92306))-3.576327284</f>
        <v>63.5620413114214</v>
      </c>
      <c s="38" r="O112">
        <f>(((((E112*2)+36)*((((E112*2)+36)*(I112/672))+415))/((((E112*2)+36)*(1-(I112/672)))+415))/(1.980931))+4.9921912</f>
        <v>67.0361518816505</v>
      </c>
      <c s="68" r="P112"/>
      <c s="38" r="Q112">
        <f>((((L112+M112)+N112)+O112)/(1.535645))-60.47703745</f>
        <v>120.394367160978</v>
      </c>
      <c s="63" r="R112"/>
      <c s="26" r="S112"/>
      <c s="26" r="T112"/>
    </row>
    <row customHeight="1" r="113" ht="14.25">
      <c t="s" s="45" r="A113">
        <v>226</v>
      </c>
      <c s="57" r="B113">
        <v>65</v>
      </c>
      <c s="8" r="C113">
        <v>90</v>
      </c>
      <c s="8" r="D113">
        <v>120</v>
      </c>
      <c s="8" r="E113">
        <v>85</v>
      </c>
      <c s="8" r="F113">
        <v>70</v>
      </c>
      <c s="27" r="G113">
        <v>60</v>
      </c>
      <c s="68" r="H113"/>
      <c s="20" r="I113">
        <f>INDEX('Speed Factors'!$A$2:$B$256,(G113),2)</f>
        <v>274</v>
      </c>
      <c s="20" r="J113">
        <f>SUM(B113:G113)</f>
        <v>490</v>
      </c>
      <c s="68" r="K113"/>
      <c s="38" r="L113">
        <f>((((B113*2)+141)*((D113*2)+36))/(402.744996))-24.57966407</f>
        <v>161.135864969124</v>
      </c>
      <c s="38" r="M113">
        <f>((((B113*2)+141)*((F113*2)+36))/(416.310724))-19.16575597</f>
        <v>95.4025153964614</v>
      </c>
      <c s="38" r="N113">
        <f>(((((C113*2)+36)*((((C113*2)+36)*(I113/672))+415))/((((C113*2)+36)*(1-(I113/672)))+415))/(1.92306))-3.576327284</f>
        <v>100.499020890602</v>
      </c>
      <c s="38" r="O113">
        <f>(((((E113*2)+36)*((((E113*2)+36)*(I113/672))+415))/((((E113*2)+36)*(1-(I113/672)))+415))/(1.980931))+4.9921912</f>
        <v>101.622671323538</v>
      </c>
      <c s="68" r="P113"/>
      <c s="38" r="Q113">
        <f>((((L113+M113)+N113)+O113)/(1.535645))-60.47703745</f>
        <v>238.198810535521</v>
      </c>
      <c s="63" r="R113"/>
      <c s="26" r="S113"/>
      <c s="26" r="T113"/>
    </row>
    <row customHeight="1" r="114" ht="14.25">
      <c t="s" s="45" r="A114">
        <v>227</v>
      </c>
      <c s="75" r="B114">
        <v>80</v>
      </c>
      <c s="54" r="C114">
        <v>85</v>
      </c>
      <c s="54" r="D114">
        <v>95</v>
      </c>
      <c s="54" r="E114">
        <v>30</v>
      </c>
      <c s="54" r="F114">
        <v>30</v>
      </c>
      <c s="2" r="G114">
        <v>25</v>
      </c>
      <c s="68" r="H114"/>
      <c s="19" r="I114">
        <f>INDEX('Speed Factors'!$A$2:$B$256,(G114),2)</f>
        <v>32</v>
      </c>
      <c s="19" r="J114">
        <f>SUM(B114:G114)</f>
        <v>345</v>
      </c>
      <c s="68" r="K114"/>
      <c s="38" r="L114">
        <f>((((B114*2)+141)*((D114*2)+36))/(402.744996))-24.57966407</f>
        <v>144.326220982883</v>
      </c>
      <c s="38" r="M114">
        <f>((((B114*2)+141)*((F114*2)+36))/(416.310724))-19.16575597</f>
        <v>50.2439381218582</v>
      </c>
      <c s="38" r="N114">
        <f>(((((C114*2)+36)*((((C114*2)+36)*(I114/672))+415))/((((C114*2)+36)*(1-(I114/672)))+415))/(1.92306))-3.576327284</f>
        <v>70.8783614194032</v>
      </c>
      <c s="38" r="O114">
        <f>(((((E114*2)+36)*((((E114*2)+36)*(I114/672))+415))/((((E114*2)+36)*(1-(I114/672)))+415))/(1.980931))+4.9921912</f>
        <v>45.1425648814483</v>
      </c>
      <c s="68" r="P114"/>
      <c s="38" r="Q114">
        <f>((((L114+M114)+N114)+O114)/(1.535645))-60.47703745</f>
        <v>141.77744545822</v>
      </c>
      <c s="63" r="R114"/>
      <c s="26" r="S114"/>
      <c s="26" r="T114"/>
    </row>
    <row customHeight="1" r="115" ht="14.25">
      <c t="s" s="45" r="A115">
        <v>228</v>
      </c>
      <c s="57" r="B115">
        <v>105</v>
      </c>
      <c s="8" r="C115">
        <v>130</v>
      </c>
      <c s="8" r="D115">
        <v>120</v>
      </c>
      <c s="8" r="E115">
        <v>45</v>
      </c>
      <c s="8" r="F115">
        <v>45</v>
      </c>
      <c s="27" r="G115">
        <v>40</v>
      </c>
      <c s="68" r="H115"/>
      <c s="20" r="I115">
        <f>INDEX('Speed Factors'!$A$2:$B$256,(G115),2)</f>
        <v>111</v>
      </c>
      <c s="20" r="J115">
        <f>SUM(B115:G115)</f>
        <v>485</v>
      </c>
      <c s="68" r="K115"/>
      <c s="38" r="L115">
        <f>((((B115*2)+141)*((D115*2)+36))/(402.744996))-24.57966407</f>
        <v>215.959637379198</v>
      </c>
      <c s="38" r="M115">
        <f>((((B115*2)+141)*((F115*2)+36))/(416.310724))-19.16575597</f>
        <v>87.0673950165213</v>
      </c>
      <c s="38" r="N115">
        <f>(((((C115*2)+36)*((((C115*2)+36)*(I115/672))+415))/((((C115*2)+36)*(1-(I115/672)))+415))/(1.92306))-3.576327284</f>
        <v>104.265760946399</v>
      </c>
      <c s="38" r="O115">
        <f>(((((E115*2)+36)*((((E115*2)+36)*(I115/672))+415))/((((E115*2)+36)*(1-(I115/672)))+415))/(1.980931))+4.9921912</f>
        <v>58.2816079921762</v>
      </c>
      <c s="68" r="P115"/>
      <c s="38" r="Q115">
        <f>((((L115+M115)+N115)+O115)/(1.535645))-60.47703745</f>
        <v>242.701367281754</v>
      </c>
      <c s="63" r="R115"/>
      <c s="26" r="S115"/>
      <c s="26" r="T115"/>
    </row>
    <row customHeight="1" r="116" ht="14.25">
      <c t="s" s="45" r="A116">
        <v>58</v>
      </c>
      <c s="75" r="B116">
        <v>250</v>
      </c>
      <c s="54" r="C116">
        <v>5</v>
      </c>
      <c s="54" r="D116">
        <v>5</v>
      </c>
      <c s="54" r="E116">
        <v>35</v>
      </c>
      <c s="54" r="F116">
        <v>105</v>
      </c>
      <c s="2" r="G116">
        <v>50</v>
      </c>
      <c s="68" r="H116"/>
      <c s="19" r="I116">
        <f>INDEX('Speed Factors'!$A$2:$B$256,(G116),2)</f>
        <v>189</v>
      </c>
      <c s="19" r="J116">
        <f>SUM(B116:G116)</f>
        <v>450</v>
      </c>
      <c s="68" r="K116"/>
      <c s="38" r="L116">
        <f>((((B116*2)+141)*((D116*2)+36))/(402.744996))-24.57966407</f>
        <v>48.6329153359524</v>
      </c>
      <c s="38" r="M116">
        <f>((((B116*2)+141)*((F116*2)+36))/(416.310724))-19.16575597</f>
        <v>359.604212972717</v>
      </c>
      <c s="38" r="N116">
        <f>(((((C116*2)+36)*((((C116*2)+36)*(I116/672))+415))/((((C116*2)+36)*(1-(I116/672)))+415))/(1.92306))-3.576327284</f>
        <v>19.2694923950062</v>
      </c>
      <c s="38" r="O116">
        <f>(((((E116*2)+36)*((((E116*2)+36)*(I116/672))+415))/((((E116*2)+36)*(1-(I116/672)))+415))/(1.980931))+4.9921912</f>
        <v>53.4502702323299</v>
      </c>
      <c s="68" r="P116"/>
      <c s="38" r="Q116">
        <f>((((L116+M116)+N116)+O116)/(1.535645))-60.47703745</f>
        <v>252.7183240665</v>
      </c>
      <c s="63" r="R116"/>
      <c s="26" r="S116"/>
      <c s="26" r="T116"/>
    </row>
    <row customHeight="1" r="117" ht="14.25">
      <c t="s" s="45" r="A117">
        <v>229</v>
      </c>
      <c s="57" r="B117">
        <v>65</v>
      </c>
      <c s="8" r="C117">
        <v>55</v>
      </c>
      <c s="8" r="D117">
        <v>115</v>
      </c>
      <c s="8" r="E117">
        <v>100</v>
      </c>
      <c s="8" r="F117">
        <v>40</v>
      </c>
      <c s="27" r="G117">
        <v>60</v>
      </c>
      <c s="68" r="H117"/>
      <c s="20" r="I117">
        <f>INDEX('Speed Factors'!$A$2:$B$256,(G117),2)</f>
        <v>274</v>
      </c>
      <c s="20" r="J117">
        <f>SUM(B117:G117)</f>
        <v>435</v>
      </c>
      <c s="68" r="K117"/>
      <c s="38" r="L117">
        <f>((((B117*2)+141)*((D117*2)+36))/(402.744996))-24.57966407</f>
        <v>154.407041453214</v>
      </c>
      <c s="38" r="M117">
        <f>((((B117*2)+141)*((F117*2)+36))/(416.310724))-19.16575597</f>
        <v>56.345150157895</v>
      </c>
      <c s="38" r="N117">
        <f>(((((C117*2)+36)*((((C117*2)+36)*(I117/672))+415))/((((C117*2)+36)*(1-(I117/672)))+415))/(1.92306))-3.576327284</f>
        <v>68.265656190188</v>
      </c>
      <c s="38" r="O117">
        <f>(((((E117*2)+36)*((((E117*2)+36)*(I117/672))+415))/((((E117*2)+36)*(1-(I117/672)))+415))/(1.980931))+4.9921912</f>
        <v>114.776380539264</v>
      </c>
      <c s="68" r="P117"/>
      <c s="38" r="Q117">
        <f>((((L117+M117)+N117)+O117)/(1.535645))-60.47703745</f>
        <v>195.958680662299</v>
      </c>
      <c s="63" r="R117"/>
      <c s="26" r="S117"/>
      <c s="26" r="T117"/>
    </row>
    <row customHeight="1" r="118" ht="14.25">
      <c t="s" s="45" r="A118">
        <v>230</v>
      </c>
      <c s="75" r="B118">
        <v>105</v>
      </c>
      <c s="54" r="C118">
        <v>95</v>
      </c>
      <c s="54" r="D118">
        <v>80</v>
      </c>
      <c s="54" r="E118">
        <v>40</v>
      </c>
      <c s="54" r="F118">
        <v>80</v>
      </c>
      <c s="2" r="G118">
        <v>90</v>
      </c>
      <c s="68" r="H118"/>
      <c s="19" r="I118">
        <f>INDEX('Speed Factors'!$A$2:$B$256,(G118),2)</f>
        <v>503</v>
      </c>
      <c s="19" r="J118">
        <f>SUM(B118:G118)</f>
        <v>490</v>
      </c>
      <c s="68" r="K118"/>
      <c s="38" r="L118">
        <f>((((B118*2)+141)*((D118*2)+36))/(402.744996))-24.57966407</f>
        <v>146.238100727256</v>
      </c>
      <c s="38" r="M118">
        <f>((((B118*2)+141)*((F118*2)+36))/(416.310724))-19.16575597</f>
        <v>146.085812231255</v>
      </c>
      <c s="38" r="N118">
        <f>(((((C118*2)+36)*((((C118*2)+36)*(I118/672))+415))/((((C118*2)+36)*(1-(I118/672)))+415))/(1.92306))-3.576327284</f>
        <v>141.92226969221</v>
      </c>
      <c s="38" r="O118">
        <f>(((((E118*2)+36)*((((E118*2)+36)*(I118/672))+415))/((((E118*2)+36)*(1-(I118/672)))+415))/(1.980931))+4.9921912</f>
        <v>71.1515384403675</v>
      </c>
      <c s="68" r="P118"/>
      <c s="38" r="Q118">
        <f>((((L118+M118)+N118)+O118)/(1.535645))-60.47703745</f>
        <v>268.634001293388</v>
      </c>
      <c s="63" r="R118"/>
      <c s="26" r="S118"/>
      <c s="26" r="T118"/>
    </row>
    <row customHeight="1" r="119" ht="14.25">
      <c t="s" s="45" r="A119">
        <v>231</v>
      </c>
      <c s="57" r="B119">
        <v>30</v>
      </c>
      <c s="8" r="C119">
        <v>40</v>
      </c>
      <c s="8" r="D119">
        <v>70</v>
      </c>
      <c s="8" r="E119">
        <v>70</v>
      </c>
      <c s="8" r="F119">
        <v>25</v>
      </c>
      <c s="27" r="G119">
        <v>60</v>
      </c>
      <c s="68" r="H119"/>
      <c s="20" r="I119">
        <f>INDEX('Speed Factors'!$A$2:$B$256,(G119),2)</f>
        <v>274</v>
      </c>
      <c s="20" r="J119">
        <f>SUM(B119:G119)</f>
        <v>295</v>
      </c>
      <c s="68" r="K119"/>
      <c s="38" r="L119">
        <f>((((B119*2)+141)*((D119*2)+36))/(402.744996))-24.57966407</f>
        <v>63.2575539000527</v>
      </c>
      <c s="38" r="M119">
        <f>((((B119*2)+141)*((F119*2)+36))/(416.310724))-19.16575597</f>
        <v>22.356114602808</v>
      </c>
      <c s="38" r="N119">
        <f>(((((C119*2)+36)*((((C119*2)+36)*(I119/672))+415))/((((C119*2)+36)*(1-(I119/672)))+415))/(1.92306))-3.576327284</f>
        <v>54.0749038783914</v>
      </c>
      <c s="38" r="O119">
        <f>(((((E119*2)+36)*((((E119*2)+36)*(I119/672))+415))/((((E119*2)+36)*(1-(I119/672)))+415))/(1.980931))+4.9921912</f>
        <v>88.2822853865877</v>
      </c>
      <c s="68" r="P119"/>
      <c s="38" r="Q119">
        <f>((((L119+M119)+N119)+O119)/(1.535645))-60.47703745</f>
        <v>87.9758001314982</v>
      </c>
      <c s="63" r="R119"/>
      <c s="26" r="S119"/>
      <c s="26" r="T119"/>
    </row>
    <row customHeight="1" r="120" ht="14.25">
      <c t="s" s="45" r="A120">
        <v>232</v>
      </c>
      <c s="75" r="B120">
        <v>55</v>
      </c>
      <c s="54" r="C120">
        <v>65</v>
      </c>
      <c s="54" r="D120">
        <v>95</v>
      </c>
      <c s="54" r="E120">
        <v>95</v>
      </c>
      <c s="54" r="F120">
        <v>45</v>
      </c>
      <c s="2" r="G120">
        <v>85</v>
      </c>
      <c s="68" r="H120"/>
      <c s="19" r="I120">
        <f>INDEX('Speed Factors'!$A$2:$B$256,(G120),2)</f>
        <v>469</v>
      </c>
      <c s="19" r="J120">
        <f>SUM(B120:G120)</f>
        <v>440</v>
      </c>
      <c s="68" r="K120"/>
      <c s="38" r="L120">
        <f>((((B120*2)+141)*((D120*2)+36))/(402.744996))-24.57966407</f>
        <v>116.268764994032</v>
      </c>
      <c s="38" r="M120">
        <f>((((B120*2)+141)*((F120*2)+36))/(416.310724))-19.16575597</f>
        <v>56.8015400346064</v>
      </c>
      <c s="38" r="N120">
        <f>(((((C120*2)+36)*((((C120*2)+36)*(I120/672))+415))/((((C120*2)+36)*(1-(I120/672)))+415))/(1.92306))-3.576327284</f>
        <v>94.9384429917033</v>
      </c>
      <c s="38" r="O120">
        <f>(((((E120*2)+36)*((((E120*2)+36)*(I120/672))+415))/((((E120*2)+36)*(1-(I120/672)))+415))/(1.980931))+4.9921912</f>
        <v>140.198764494571</v>
      </c>
      <c s="68" r="P120"/>
      <c s="38" r="Q120">
        <f>((((L120+M120)+N120)+O120)/(1.535645))-60.47703745</f>
        <v>205.344498461564</v>
      </c>
      <c s="63" r="R120"/>
      <c s="26" r="S120"/>
      <c s="26" r="T120"/>
    </row>
    <row customHeight="1" r="121" ht="14.25">
      <c t="s" s="45" r="A121">
        <v>233</v>
      </c>
      <c s="57" r="B121">
        <v>45</v>
      </c>
      <c s="8" r="C121">
        <v>67</v>
      </c>
      <c s="8" r="D121">
        <v>60</v>
      </c>
      <c s="8" r="E121">
        <v>35</v>
      </c>
      <c s="8" r="F121">
        <v>50</v>
      </c>
      <c s="27" r="G121">
        <v>63</v>
      </c>
      <c s="68" r="H121"/>
      <c s="20" r="I121">
        <f>INDEX('Speed Factors'!$A$2:$B$256,(G121),2)</f>
        <v>315</v>
      </c>
      <c s="20" r="J121">
        <f>SUM(B121:G121)</f>
        <v>320</v>
      </c>
      <c s="68" r="K121"/>
      <c s="38" r="L121">
        <f>((((B121*2)+141)*((D121*2)+36))/(402.744996))-24.57966407</f>
        <v>64.8963079666582</v>
      </c>
      <c s="38" r="M121">
        <f>((((B121*2)+141)*((F121*2)+36))/(416.310724))-19.16575597</f>
        <v>56.2971091182412</v>
      </c>
      <c s="38" r="N121">
        <f>(((((C121*2)+36)*((((C121*2)+36)*(I121/672))+415))/((((C121*2)+36)*(1-(I121/672)))+415))/(1.92306))-3.576327284</f>
        <v>82.9656835126585</v>
      </c>
      <c s="38" r="O121">
        <f>(((((E121*2)+36)*((((E121*2)+36)*(I121/672))+415))/((((E121*2)+36)*(1-(I121/672)))+415))/(1.980931))+4.9921912</f>
        <v>57.7502185794275</v>
      </c>
      <c s="68" r="P121"/>
      <c s="38" r="Q121">
        <f>((((L121+M121)+N121)+O121)/(1.535645))-60.47703745</f>
        <v>110.076260465199</v>
      </c>
      <c s="63" r="R121"/>
      <c s="26" r="S121"/>
      <c s="26" r="T121"/>
    </row>
    <row customHeight="1" r="122" ht="14.25">
      <c t="s" s="45" r="A122">
        <v>234</v>
      </c>
      <c s="75" r="B122">
        <v>80</v>
      </c>
      <c s="54" r="C122">
        <v>92</v>
      </c>
      <c s="54" r="D122">
        <v>65</v>
      </c>
      <c s="54" r="E122">
        <v>65</v>
      </c>
      <c s="54" r="F122">
        <v>80</v>
      </c>
      <c s="2" r="G122">
        <v>68</v>
      </c>
      <c s="68" r="H122"/>
      <c s="19" r="I122">
        <f>INDEX('Speed Factors'!$A$2:$B$256,(G122),2)</f>
        <v>365</v>
      </c>
      <c s="19" r="J122">
        <f>SUM(B122:G122)</f>
        <v>450</v>
      </c>
      <c s="68" r="K122"/>
      <c s="38" r="L122">
        <f>((((B122*2)+141)*((D122*2)+36))/(402.744996))-24.57966407</f>
        <v>99.4839506148613</v>
      </c>
      <c s="38" r="M122">
        <f>((((B122*2)+141)*((F122*2)+36))/(416.310724))-19.16575597</f>
        <v>122.545702800877</v>
      </c>
      <c s="38" r="N122">
        <f>(((((C122*2)+36)*((((C122*2)+36)*(I122/672))+415))/((((C122*2)+36)*(1-(I122/672)))+415))/(1.92306))-3.576327284</f>
        <v>115.038514806155</v>
      </c>
      <c s="38" r="O122">
        <f>(((((E122*2)+36)*((((E122*2)+36)*(I122/672))+415))/((((E122*2)+36)*(1-(I122/672)))+415))/(1.980931))+4.9921912</f>
        <v>91.2372425027431</v>
      </c>
      <c s="68" r="P122"/>
      <c s="38" r="Q122">
        <f>((((L122+M122)+N122)+O122)/(1.535645))-60.47703745</f>
        <v>218.432092410506</v>
      </c>
      <c s="63" r="R122"/>
      <c s="26" r="S122"/>
      <c s="26" r="T122"/>
    </row>
    <row customHeight="1" r="123" ht="14.25">
      <c t="s" s="45" r="A123">
        <v>235</v>
      </c>
      <c s="57" r="B123">
        <v>30</v>
      </c>
      <c s="8" r="C123">
        <v>45</v>
      </c>
      <c s="8" r="D123">
        <v>55</v>
      </c>
      <c s="8" r="E123">
        <v>70</v>
      </c>
      <c s="8" r="F123">
        <v>55</v>
      </c>
      <c s="27" r="G123">
        <v>85</v>
      </c>
      <c s="68" r="H123"/>
      <c s="20" r="I123">
        <f>INDEX('Speed Factors'!$A$2:$B$256,(G123),2)</f>
        <v>469</v>
      </c>
      <c s="20" r="J123">
        <f>SUM(B123:G123)</f>
        <v>340</v>
      </c>
      <c s="68" r="K123"/>
      <c s="38" r="L123">
        <f>((((B123*2)+141)*((D123*2)+36))/(402.744996))-24.57966407</f>
        <v>48.2853008369755</v>
      </c>
      <c s="38" r="M123">
        <f>((((B123*2)+141)*((F123*2)+36))/(416.310724))-19.16575597</f>
        <v>51.3248615140694</v>
      </c>
      <c s="38" r="N123">
        <f>(((((C123*2)+36)*((((C123*2)+36)*(I123/672))+415))/((((C123*2)+36)*(1-(I123/672)))+415))/(1.92306))-3.576327284</f>
        <v>69.1570262472321</v>
      </c>
      <c s="38" r="O123">
        <f>(((((E123*2)+36)*((((E123*2)+36)*(I123/672))+415))/((((E123*2)+36)*(1-(I123/672)))+415))/(1.980931))+4.9921912</f>
        <v>107.06041227362</v>
      </c>
      <c s="68" r="P123"/>
      <c s="38" r="Q123">
        <f>((((L123+M123)+N123)+O123)/(1.535645))-60.47703745</f>
        <v>119.139736525689</v>
      </c>
      <c s="63" r="R123"/>
      <c s="26" r="S123"/>
      <c s="26" r="T123"/>
    </row>
    <row customHeight="1" r="124" ht="14.25">
      <c t="s" s="45" r="A124">
        <v>98</v>
      </c>
      <c s="75" r="B124">
        <v>60</v>
      </c>
      <c s="54" r="C124">
        <v>75</v>
      </c>
      <c s="54" r="D124">
        <v>85</v>
      </c>
      <c s="54" r="E124">
        <v>100</v>
      </c>
      <c s="54" r="F124">
        <v>85</v>
      </c>
      <c s="2" r="G124">
        <v>115</v>
      </c>
      <c s="68" r="H124"/>
      <c s="19" r="I124">
        <f>INDEX('Speed Factors'!$A$2:$B$256,(G124),2)</f>
        <v>642</v>
      </c>
      <c s="19" r="J124">
        <f>SUM(B124:G124)</f>
        <v>520</v>
      </c>
      <c s="68" r="K124"/>
      <c s="38" r="L124">
        <f>((((B124*2)+141)*((D124*2)+36))/(402.744996))-24.57966407</f>
        <v>108.919201301378</v>
      </c>
      <c s="38" r="M124">
        <f>((((B124*2)+141)*((F124*2)+36))/(416.310724))-19.16575597</f>
        <v>109.9829709314</v>
      </c>
      <c s="38" r="N124">
        <f>(((((C124*2)+36)*((((C124*2)+36)*(I124/672))+415))/((((C124*2)+36)*(1-(I124/672)))+415))/(1.92306))-3.576327284</f>
        <v>131.849185067975</v>
      </c>
      <c s="38" r="O124">
        <f>(((((E124*2)+36)*((((E124*2)+36)*(I124/672))+415))/((((E124*2)+36)*(1-(I124/672)))+415))/(1.980931))+4.9921912</f>
        <v>184.30097148743</v>
      </c>
      <c s="68" r="P124"/>
      <c s="38" r="Q124">
        <f>((((L124+M124)+N124)+O124)/(1.535645))-60.47703745</f>
        <v>287.944849632094</v>
      </c>
      <c s="63" r="R124"/>
      <c s="26" r="S124"/>
      <c s="26" r="T124"/>
    </row>
    <row customHeight="1" r="125" ht="14.25">
      <c t="s" s="45" r="A125">
        <v>236</v>
      </c>
      <c s="57" r="B125">
        <v>40</v>
      </c>
      <c s="8" r="C125">
        <v>45</v>
      </c>
      <c s="8" r="D125">
        <v>65</v>
      </c>
      <c s="8" r="E125">
        <v>100</v>
      </c>
      <c s="8" r="F125">
        <v>120</v>
      </c>
      <c s="27" r="G125">
        <v>90</v>
      </c>
      <c s="68" r="H125"/>
      <c s="20" r="I125">
        <f>INDEX('Speed Factors'!$A$2:$B$256,(G125),2)</f>
        <v>503</v>
      </c>
      <c s="20" r="J125">
        <f>SUM(B125:G125)</f>
        <v>460</v>
      </c>
      <c s="68" r="K125"/>
      <c s="38" r="L125">
        <f>((((B125*2)+141)*((D125*2)+36))/(402.744996))-24.57966407</f>
        <v>66.5102324261938</v>
      </c>
      <c s="38" r="M125">
        <f>((((B125*2)+141)*((F125*2)+36))/(416.310724))-19.16575597</f>
        <v>127.34980676626</v>
      </c>
      <c s="38" r="N125">
        <f>(((((C125*2)+36)*((((C125*2)+36)*(I125/672))+415))/((((C125*2)+36)*(1-(I125/672)))+415))/(1.92306))-3.576327284</f>
        <v>71.1301479586432</v>
      </c>
      <c s="38" r="O125">
        <f>(((((E125*2)+36)*((((E125*2)+36)*(I125/672))+415))/((((E125*2)+36)*(1-(I125/672)))+415))/(1.980931))+4.9921912</f>
        <v>153.588032343833</v>
      </c>
      <c s="68" r="P125"/>
      <c s="38" r="Q125">
        <f>((((L125+M125)+N125)+O125)/(1.535645))-60.47703745</f>
        <v>212.097821644993</v>
      </c>
      <c s="63" r="R125"/>
      <c s="26" r="S125"/>
      <c s="26" r="T125"/>
    </row>
    <row customHeight="1" r="126" ht="14.25">
      <c t="s" s="45" r="A126">
        <v>237</v>
      </c>
      <c s="75" r="B126">
        <v>70</v>
      </c>
      <c s="54" r="C126">
        <v>110</v>
      </c>
      <c s="54" r="D126">
        <v>80</v>
      </c>
      <c s="54" r="E126">
        <v>55</v>
      </c>
      <c s="54" r="F126">
        <v>80</v>
      </c>
      <c s="2" r="G126">
        <v>105</v>
      </c>
      <c s="68" r="H126"/>
      <c s="19" r="I126">
        <f>INDEX('Speed Factors'!$A$2:$B$256,(G126),2)</f>
        <v>609</v>
      </c>
      <c s="19" r="J126">
        <f>SUM(B126:G126)</f>
        <v>500</v>
      </c>
      <c s="68" r="K126"/>
      <c s="38" r="L126">
        <f>((((B126*2)+141)*((D126*2)+36))/(402.744996))-24.57966407</f>
        <v>112.171879827519</v>
      </c>
      <c s="38" r="M126">
        <f>((((B126*2)+141)*((F126*2)+36))/(416.310724))-19.16575597</f>
        <v>113.129659028726</v>
      </c>
      <c s="38" r="N126">
        <f>(((((C126*2)+36)*((((C126*2)+36)*(I126/672))+415))/((((C126*2)+36)*(1-(I126/672)))+415))/(1.92306))-3.576327284</f>
        <v>192.618201050173</v>
      </c>
      <c s="38" r="O126">
        <f>(((((E126*2)+36)*((((E126*2)+36)*(I126/672))+415))/((((E126*2)+36)*(1-(I126/672)))+415))/(1.980931))+4.9921912</f>
        <v>99.089684496298</v>
      </c>
      <c s="68" r="P126"/>
      <c s="38" r="Q126">
        <f>((((L126+M126)+N126)+O126)/(1.535645))-60.47703745</f>
        <v>276.19545157104</v>
      </c>
      <c s="63" r="R126"/>
      <c s="26" r="S126"/>
      <c s="26" r="T126"/>
    </row>
    <row customHeight="1" r="127" ht="14.25">
      <c t="s" s="45" r="A127">
        <v>238</v>
      </c>
      <c s="57" r="B127">
        <v>65</v>
      </c>
      <c s="8" r="C127">
        <v>50</v>
      </c>
      <c s="8" r="D127">
        <v>35</v>
      </c>
      <c s="8" r="E127">
        <v>115</v>
      </c>
      <c s="8" r="F127">
        <v>95</v>
      </c>
      <c s="27" r="G127">
        <v>95</v>
      </c>
      <c s="68" r="H127"/>
      <c s="20" r="I127">
        <f>INDEX('Speed Factors'!$A$2:$B$256,(G127),2)</f>
        <v>542</v>
      </c>
      <c s="20" r="J127">
        <f>SUM(B127:G127)</f>
        <v>455</v>
      </c>
      <c s="68" r="K127"/>
      <c s="38" r="L127">
        <f>((((B127*2)+141)*((D127*2)+36))/(402.744996))-24.57966407</f>
        <v>46.7458651986492</v>
      </c>
      <c s="38" r="M127">
        <f>((((B127*2)+141)*((F127*2)+36))/(416.310724))-19.16575597</f>
        <v>127.950319761933</v>
      </c>
      <c s="38" r="N127">
        <f>(((((C127*2)+36)*((((C127*2)+36)*(I127/672))+415))/((((C127*2)+36)*(1-(I127/672)))+415))/(1.92306))-3.576327284</f>
        <v>80.5062383776736</v>
      </c>
      <c s="38" r="O127">
        <f>(((((E127*2)+36)*((((E127*2)+36)*(I127/672))+415))/((((E127*2)+36)*(1-(I127/672)))+415))/(1.980931))+4.9921912</f>
        <v>186.21961276011</v>
      </c>
      <c s="68" r="P127"/>
      <c s="38" r="Q127">
        <f>((((L127+M127)+N127)+O127)/(1.535645))-60.47703745</f>
        <v>226.973536151559</v>
      </c>
      <c s="63" r="R127"/>
      <c s="26" r="S127"/>
      <c s="26" r="T127"/>
    </row>
    <row customHeight="1" r="128" ht="14.25">
      <c t="s" s="45" r="A128">
        <v>239</v>
      </c>
      <c s="75" r="B128">
        <v>65</v>
      </c>
      <c s="54" r="C128">
        <v>83</v>
      </c>
      <c s="54" r="D128">
        <v>57</v>
      </c>
      <c s="54" r="E128">
        <v>95</v>
      </c>
      <c s="54" r="F128">
        <v>85</v>
      </c>
      <c s="2" r="G128">
        <v>105</v>
      </c>
      <c s="68" r="H128"/>
      <c s="19" r="I128">
        <f>INDEX('Speed Factors'!$A$2:$B$256,(G128),2)</f>
        <v>609</v>
      </c>
      <c s="19" r="J128">
        <f>SUM(B128:G128)</f>
        <v>490</v>
      </c>
      <c s="68" r="K128"/>
      <c s="38" r="L128">
        <f>((((B128*2)+141)*((D128*2)+36))/(402.744996))-24.57966407</f>
        <v>76.3526886686545</v>
      </c>
      <c s="38" r="M128">
        <f>((((B128*2)+141)*((F128*2)+36))/(416.310724))-19.16575597</f>
        <v>114.931198015745</v>
      </c>
      <c s="38" r="N128">
        <f>(((((C128*2)+36)*((((C128*2)+36)*(I128/672))+415))/((((C128*2)+36)*(1-(I128/672)))+415))/(1.92306))-3.576327284</f>
        <v>141.193455980025</v>
      </c>
      <c s="38" r="O128">
        <f>(((((E128*2)+36)*((((E128*2)+36)*(I128/672))+415))/((((E128*2)+36)*(1-(I128/672)))+415))/(1.980931))+4.9921912</f>
        <v>167.108312924988</v>
      </c>
      <c s="68" r="P128"/>
      <c s="38" r="Q128">
        <f>((((L128+M128)+N128)+O128)/(1.535645))-60.47703745</f>
        <v>264.849229746789</v>
      </c>
      <c s="63" r="R128"/>
      <c s="26" r="S128"/>
      <c s="26" r="T128"/>
    </row>
    <row customHeight="1" r="129" ht="14.25">
      <c t="s" s="45" r="A129">
        <v>240</v>
      </c>
      <c s="57" r="B129">
        <v>65</v>
      </c>
      <c s="8" r="C129">
        <v>95</v>
      </c>
      <c s="8" r="D129">
        <v>57</v>
      </c>
      <c s="8" r="E129">
        <v>100</v>
      </c>
      <c s="8" r="F129">
        <v>85</v>
      </c>
      <c s="27" r="G129">
        <v>93</v>
      </c>
      <c s="68" r="H129"/>
      <c s="20" r="I129">
        <f>INDEX('Speed Factors'!$A$2:$B$256,(G129),2)</f>
        <v>540</v>
      </c>
      <c s="20" r="J129">
        <f>SUM(B129:G129)</f>
        <v>495</v>
      </c>
      <c s="68" r="K129"/>
      <c s="38" r="L129">
        <f>((((B129*2)+141)*((D129*2)+36))/(402.744996))-24.57966407</f>
        <v>76.3526886686545</v>
      </c>
      <c s="38" r="M129">
        <f>((((B129*2)+141)*((F129*2)+36))/(416.310724))-19.16575597</f>
        <v>114.931198015745</v>
      </c>
      <c s="38" r="N129">
        <f>(((((C129*2)+36)*((((C129*2)+36)*(I129/672))+415))/((((C129*2)+36)*(1-(I129/672)))+415))/(1.92306))-3.576327284</f>
        <v>149.046612625983</v>
      </c>
      <c s="38" r="O129">
        <f>(((((E129*2)+36)*((((E129*2)+36)*(I129/672))+415))/((((E129*2)+36)*(1-(I129/672)))+415))/(1.980931))+4.9921912</f>
        <v>161.128652584928</v>
      </c>
      <c s="68" r="P129"/>
      <c s="38" r="Q129">
        <f>((((L129+M129)+N129)+O129)/(1.535645))-60.47703745</f>
        <v>266.069235871835</v>
      </c>
      <c s="63" r="R129"/>
      <c s="26" r="S129"/>
      <c s="26" r="T129"/>
    </row>
    <row customHeight="1" r="130" ht="14.25">
      <c t="s" s="45" r="A130">
        <v>241</v>
      </c>
      <c s="75" r="B130">
        <v>65</v>
      </c>
      <c s="54" r="C130">
        <v>125</v>
      </c>
      <c s="54" r="D130">
        <v>100</v>
      </c>
      <c s="54" r="E130">
        <v>55</v>
      </c>
      <c s="54" r="F130">
        <v>70</v>
      </c>
      <c s="2" r="G130">
        <v>85</v>
      </c>
      <c s="68" r="H130"/>
      <c s="19" r="I130">
        <f>INDEX('Speed Factors'!$A$2:$B$256,(G130),2)</f>
        <v>469</v>
      </c>
      <c s="19" r="J130">
        <f>SUM(B130:G130)</f>
        <v>500</v>
      </c>
      <c s="68" r="K130"/>
      <c s="38" r="L130">
        <f>((((B130*2)+141)*((D130*2)+36))/(402.744996))-24.57966407</f>
        <v>134.220570905483</v>
      </c>
      <c s="38" r="M130">
        <f>((((B130*2)+141)*((F130*2)+36))/(416.310724))-19.16575597</f>
        <v>95.4025153964614</v>
      </c>
      <c s="38" r="N130">
        <f>(((((C130*2)+36)*((((C130*2)+36)*(I130/672))+415))/((((C130*2)+36)*(1-(I130/672)))+415))/(1.92306))-3.576327284</f>
        <v>178.724222404806</v>
      </c>
      <c s="38" r="O130">
        <f>(((((E130*2)+36)*((((E130*2)+36)*(I130/672))+415))/((((E130*2)+36)*(1-(I130/672)))+415))/(1.980931))+4.9921912</f>
        <v>87.9725492544276</v>
      </c>
      <c s="68" r="P130"/>
      <c s="38" r="Q130">
        <f>((((L130+M130)+N130)+O130)/(1.535645))-60.47703745</f>
        <v>262.722567902265</v>
      </c>
      <c s="63" r="R130"/>
      <c s="26" r="S130"/>
      <c s="26" r="T130"/>
    </row>
    <row customHeight="1" r="131" ht="14.25">
      <c t="s" s="45" r="A131">
        <v>242</v>
      </c>
      <c s="57" r="B131">
        <v>75</v>
      </c>
      <c s="8" r="C131">
        <v>100</v>
      </c>
      <c s="8" r="D131">
        <v>95</v>
      </c>
      <c s="8" r="E131">
        <v>40</v>
      </c>
      <c s="8" r="F131">
        <v>70</v>
      </c>
      <c s="27" r="G131">
        <v>110</v>
      </c>
      <c s="68" r="H131"/>
      <c s="20" r="I131">
        <f>INDEX('Speed Factors'!$A$2:$B$256,(G131),2)</f>
        <v>627</v>
      </c>
      <c s="20" r="J131">
        <f>SUM(B131:G131)</f>
        <v>490</v>
      </c>
      <c s="68" r="K131"/>
      <c s="38" r="L131">
        <f>((((B131*2)+141)*((D131*2)+36))/(402.744996))-24.57966407</f>
        <v>138.714729785113</v>
      </c>
      <c s="38" r="M131">
        <f>((((B131*2)+141)*((F131*2)+36))/(416.310724))-19.16575597</f>
        <v>103.857738375536</v>
      </c>
      <c s="38" r="N131">
        <f>(((((C131*2)+36)*((((C131*2)+36)*(I131/672))+415))/((((C131*2)+36)*(1-(I131/672)))+415))/(1.92306))-3.576327284</f>
        <v>177.369228560207</v>
      </c>
      <c s="38" r="O131">
        <f>(((((E131*2)+36)*((((E131*2)+36)*(I131/672))+415))/((((E131*2)+36)*(1-(I131/672)))+415))/(1.980931))+4.9921912</f>
        <v>77.466001615523</v>
      </c>
      <c s="68" r="P131"/>
      <c s="38" r="Q131">
        <f>((((L131+M131)+N131)+O131)/(1.535645))-60.47703745</f>
        <v>263.430961036877</v>
      </c>
      <c s="63" r="R131"/>
      <c s="26" r="S131"/>
      <c s="26" r="T131"/>
    </row>
    <row customHeight="1" r="132" ht="14.25">
      <c t="s" s="45" r="A132">
        <v>243</v>
      </c>
      <c s="75" r="B132">
        <v>20</v>
      </c>
      <c s="54" r="C132">
        <v>10</v>
      </c>
      <c s="54" r="D132">
        <v>55</v>
      </c>
      <c s="54" r="E132">
        <v>15</v>
      </c>
      <c s="54" r="F132">
        <v>20</v>
      </c>
      <c s="2" r="G132">
        <v>80</v>
      </c>
      <c s="68" r="H132"/>
      <c s="19" r="I132">
        <f>INDEX('Speed Factors'!$A$2:$B$256,(G132),2)</f>
        <v>432</v>
      </c>
      <c s="19" r="J132">
        <f>SUM(B132:G132)</f>
        <v>200</v>
      </c>
      <c s="68" r="K132"/>
      <c s="38" r="L132">
        <f>((((B132*2)+141)*((D132*2)+36))/(402.744996))-24.57966407</f>
        <v>41.0350555725998</v>
      </c>
      <c s="38" r="M132">
        <f>((((B132*2)+141)*((F132*2)+36))/(416.310724))-19.16575597</f>
        <v>13.8768711039065</v>
      </c>
      <c s="38" r="N132">
        <f>(((((C132*2)+36)*((((C132*2)+36)*(I132/672))+415))/((((C132*2)+36)*(1-(I132/672)))+415))/(1.92306))-3.576327284</f>
        <v>26.6150188596162</v>
      </c>
      <c s="38" r="O132">
        <f>(((((E132*2)+36)*((((E132*2)+36)*(I132/672))+415))/((((E132*2)+36)*(1-(I132/672)))+415))/(1.980931))+4.9921912</f>
        <v>39.7424096661084</v>
      </c>
      <c s="68" r="P132"/>
      <c s="38" r="Q132">
        <f>((((L132+M132)+N132)+O132)/(1.535645))-60.47703745</f>
        <v>18.4926171265662</v>
      </c>
      <c s="63" r="R132"/>
      <c s="26" r="S132"/>
      <c s="26" r="T132"/>
    </row>
    <row customHeight="1" r="133" ht="14.25">
      <c t="s" s="45" r="A133">
        <v>73</v>
      </c>
      <c s="57" r="B133">
        <v>95</v>
      </c>
      <c s="8" r="C133">
        <v>125</v>
      </c>
      <c s="8" r="D133">
        <v>79</v>
      </c>
      <c s="8" r="E133">
        <v>60</v>
      </c>
      <c s="8" r="F133">
        <v>100</v>
      </c>
      <c s="27" r="G133">
        <v>81</v>
      </c>
      <c s="68" r="H133"/>
      <c s="20" r="I133">
        <f>INDEX('Speed Factors'!$A$2:$B$256,(G133),2)</f>
        <v>461</v>
      </c>
      <c s="20" r="J133">
        <f>SUM(B133:G133)</f>
        <v>540</v>
      </c>
      <c s="68" r="K133"/>
      <c s="38" r="L133">
        <f>((((B133*2)+141)*((D133*2)+36))/(402.744996))-24.57966407</f>
        <v>134.861174767883</v>
      </c>
      <c s="38" r="M133">
        <f>((((B133*2)+141)*((F133*2)+36))/(416.310724))-19.16575597</f>
        <v>168.472936709942</v>
      </c>
      <c s="38" r="N133">
        <f>(((((C133*2)+36)*((((C133*2)+36)*(I133/672))+415))/((((C133*2)+36)*(1-(I133/672)))+415))/(1.92306))-3.576327284</f>
        <v>176.491557420099</v>
      </c>
      <c s="38" r="O133">
        <f>(((((E133*2)+36)*((((E133*2)+36)*(I133/672))+415))/((((E133*2)+36)*(1-(I133/672)))+415))/(1.980931))+4.9921912</f>
        <v>93.5933380052107</v>
      </c>
      <c s="68" r="P133"/>
      <c s="38" r="Q133">
        <f>((((L133+M133)+N133)+O133)/(1.535645))-60.47703745</f>
        <v>312.928930011969</v>
      </c>
      <c s="63" r="R133"/>
      <c s="26" r="S133"/>
      <c s="26" r="T133"/>
    </row>
    <row customHeight="1" r="134" ht="14.25">
      <c t="s" s="45" r="A134">
        <v>244</v>
      </c>
      <c s="75" r="B134">
        <v>130</v>
      </c>
      <c s="54" r="C134">
        <v>85</v>
      </c>
      <c s="54" r="D134">
        <v>80</v>
      </c>
      <c s="54" r="E134">
        <v>85</v>
      </c>
      <c s="54" r="F134">
        <v>95</v>
      </c>
      <c s="2" r="G134">
        <v>60</v>
      </c>
      <c s="68" r="H134"/>
      <c s="19" r="I134">
        <f>INDEX('Speed Factors'!$A$2:$B$256,(G134),2)</f>
        <v>274</v>
      </c>
      <c s="19" r="J134">
        <f>SUM(B134:G134)</f>
        <v>535</v>
      </c>
      <c s="68" r="K134"/>
      <c s="38" r="L134">
        <f>((((B134*2)+141)*((D134*2)+36))/(402.744996))-24.57966407</f>
        <v>170.571115655641</v>
      </c>
      <c s="38" r="M134">
        <f>((((B134*2)+141)*((F134*2)+36))/(416.310724))-19.16575597</f>
        <v>198.522607013414</v>
      </c>
      <c s="38" r="N134">
        <f>(((((C134*2)+36)*((((C134*2)+36)*(I134/672))+415))/((((C134*2)+36)*(1-(I134/672)))+415))/(1.92306))-3.576327284</f>
        <v>95.962071737144</v>
      </c>
      <c s="38" r="O134">
        <f>(((((E134*2)+36)*((((E134*2)+36)*(I134/672))+415))/((((E134*2)+36)*(1-(I134/672)))+415))/(1.980931))+4.9921912</f>
        <v>101.622671323538</v>
      </c>
      <c s="68" r="P134"/>
      <c s="38" r="Q134">
        <f>((((L134+M134)+N134)+O134)/(1.535645))-60.47703745</f>
        <v>308.539542377849</v>
      </c>
      <c s="63" r="R134"/>
      <c s="26" r="S134"/>
      <c s="26" r="T134"/>
    </row>
    <row customHeight="1" r="135" ht="14.25">
      <c t="s" s="45" r="A135">
        <v>245</v>
      </c>
      <c s="57" r="B135">
        <v>48</v>
      </c>
      <c s="8" r="C135">
        <v>48</v>
      </c>
      <c s="8" r="D135">
        <v>48</v>
      </c>
      <c s="8" r="E135">
        <v>48</v>
      </c>
      <c s="8" r="F135">
        <v>48</v>
      </c>
      <c s="27" r="G135">
        <v>48</v>
      </c>
      <c s="68" r="H135"/>
      <c s="20" r="I135">
        <f>INDEX('Speed Factors'!$A$2:$B$256,(G135),2)</f>
        <v>184</v>
      </c>
      <c s="20" r="J135">
        <f>SUM(B135:G135)</f>
        <v>288</v>
      </c>
      <c s="68" r="K135"/>
      <c s="38" r="L135">
        <f>((((B135*2)+141)*((D135*2)+36))/(402.744996))-24.57966407</f>
        <v>53.0972786870988</v>
      </c>
      <c s="38" r="M135">
        <f>((((B135*2)+141)*((F135*2)+36))/(416.310724))-19.16575597</f>
        <v>55.9800382565259</v>
      </c>
      <c s="38" r="N135">
        <f>(((((C135*2)+36)*((((C135*2)+36)*(I135/672))+415))/((((C135*2)+36)*(1-(I135/672)))+415))/(1.92306))-3.576327284</f>
        <v>57.040850442466</v>
      </c>
      <c s="38" r="O135">
        <f>(((((E135*2)+36)*((((E135*2)+36)*(I135/672))+415))/((((E135*2)+36)*(1-(I135/672)))+415))/(1.980931))+4.9921912</f>
        <v>63.838496194297</v>
      </c>
      <c s="68" r="P135"/>
      <c s="38" r="Q135">
        <f>((((L135+M135)+N135)+O135)/(1.535645))-60.47703745</f>
        <v>89.2689413278996</v>
      </c>
      <c s="63" r="R135"/>
      <c s="26" r="S135"/>
      <c s="26" r="T135"/>
    </row>
    <row customHeight="1" r="136" ht="14.25">
      <c t="s" s="45" r="A136">
        <v>246</v>
      </c>
      <c s="75" r="B136">
        <v>55</v>
      </c>
      <c s="54" r="C136">
        <v>55</v>
      </c>
      <c s="54" r="D136">
        <v>50</v>
      </c>
      <c s="54" r="E136">
        <v>45</v>
      </c>
      <c s="54" r="F136">
        <v>65</v>
      </c>
      <c s="2" r="G136">
        <v>55</v>
      </c>
      <c s="68" r="H136"/>
      <c s="19" r="I136">
        <f>INDEX('Speed Factors'!$A$2:$B$256,(G136),2)</f>
        <v>233</v>
      </c>
      <c s="19" r="J136">
        <f>SUM(B136:G136)</f>
        <v>325</v>
      </c>
      <c s="68" r="K136"/>
      <c s="38" r="L136">
        <f>((((B136*2)+141)*((D136*2)+36))/(402.744996))-24.57966407</f>
        <v>60.1786826234</v>
      </c>
      <c s="38" r="M136">
        <f>((((B136*2)+141)*((F136*2)+36))/(416.310724))-19.16575597</f>
        <v>80.9181419408306</v>
      </c>
      <c s="38" r="N136">
        <f>(((((C136*2)+36)*((((C136*2)+36)*(I136/672))+415))/((((C136*2)+36)*(1-(I136/672)))+415))/(1.92306))-3.576327284</f>
        <v>65.6867224158076</v>
      </c>
      <c s="38" r="O136">
        <f>(((((E136*2)+36)*((((E136*2)+36)*(I136/672))+415))/((((E136*2)+36)*(1-(I136/672)))+415))/(1.980931))+4.9921912</f>
        <v>63.6584949283713</v>
      </c>
      <c s="68" r="P136"/>
      <c s="38" r="Q136">
        <f>((((L136+M136)+N136)+O136)/(1.535645))-60.47703745</f>
        <v>115.632702697241</v>
      </c>
      <c s="63" r="R136"/>
      <c s="26" r="S136"/>
      <c s="26" r="T136"/>
    </row>
    <row customHeight="1" r="137" ht="14.25">
      <c t="s" s="45" r="A137">
        <v>105</v>
      </c>
      <c s="57" r="B137">
        <v>130</v>
      </c>
      <c s="8" r="C137">
        <v>65</v>
      </c>
      <c s="8" r="D137">
        <v>60</v>
      </c>
      <c s="8" r="E137">
        <v>110</v>
      </c>
      <c s="8" r="F137">
        <v>95</v>
      </c>
      <c s="27" r="G137">
        <v>65</v>
      </c>
      <c s="68" r="H137"/>
      <c s="20" r="I137">
        <f>INDEX('Speed Factors'!$A$2:$B$256,(G137),2)</f>
        <v>321</v>
      </c>
      <c s="20" r="J137">
        <f>SUM(B137:G137)</f>
        <v>525</v>
      </c>
      <c s="68" r="K137"/>
      <c s="38" r="L137">
        <f>((((B137*2)+141)*((D137*2)+36))/(402.744996))-24.57966407</f>
        <v>130.744425915714</v>
      </c>
      <c s="38" r="M137">
        <f>((((B137*2)+141)*((F137*2)+36))/(416.310724))-19.16575597</f>
        <v>198.522607013414</v>
      </c>
      <c s="38" r="N137">
        <f>(((((C137*2)+36)*((((C137*2)+36)*(I137/672))+415))/((((C137*2)+36)*(1-(I137/672)))+415))/(1.92306))-3.576327284</f>
        <v>81.4693841906391</v>
      </c>
      <c s="38" r="O137">
        <f>(((((E137*2)+36)*((((E137*2)+36)*(I137/672))+415))/((((E137*2)+36)*(1-(I137/672)))+415))/(1.980931))+4.9921912</f>
        <v>131.53271946371</v>
      </c>
      <c s="68" r="P137"/>
      <c s="38" r="Q137">
        <f>((((L137+M137)+N137)+O137)/(1.535645))-60.47703745</f>
        <v>292.644378361257</v>
      </c>
      <c s="63" r="R137"/>
      <c s="26" r="S137"/>
      <c s="26" r="T137"/>
    </row>
    <row customHeight="1" r="138" ht="14.25">
      <c t="s" s="45" r="A138">
        <v>81</v>
      </c>
      <c s="75" r="B138">
        <v>65</v>
      </c>
      <c s="54" r="C138">
        <v>65</v>
      </c>
      <c s="54" r="D138">
        <v>60</v>
      </c>
      <c s="54" r="E138">
        <v>110</v>
      </c>
      <c s="54" r="F138">
        <v>95</v>
      </c>
      <c s="2" r="G138">
        <v>130</v>
      </c>
      <c s="68" r="H138"/>
      <c s="19" r="I138">
        <f>INDEX('Speed Factors'!$A$2:$B$256,(G138),2)</f>
        <v>662</v>
      </c>
      <c s="19" r="J138">
        <f>SUM(B138:G138)</f>
        <v>525</v>
      </c>
      <c s="68" r="K138"/>
      <c s="38" r="L138">
        <f>((((B138*2)+141)*((D138*2)+36))/(402.744996))-24.57966407</f>
        <v>80.3899827782007</v>
      </c>
      <c s="38" r="M138">
        <f>((((B138*2)+141)*((F138*2)+36))/(416.310724))-19.16575597</f>
        <v>127.950319761933</v>
      </c>
      <c s="38" r="N138">
        <f>(((((C138*2)+36)*((((C138*2)+36)*(I138/672))+415))/((((C138*2)+36)*(1-(I138/672)))+415))/(1.92306))-3.576327284</f>
        <v>116.046879246371</v>
      </c>
      <c s="38" r="O138">
        <f>(((((E138*2)+36)*((((E138*2)+36)*(I138/672))+415))/((((E138*2)+36)*(1-(I138/672)))+415))/(1.980931))+4.9921912</f>
        <v>210.86733057022</v>
      </c>
      <c s="68" r="P138"/>
      <c s="38" r="Q138">
        <f>((((L138+M138)+N138)+O138)/(1.535645))-60.47703745</f>
        <v>288.076509988845</v>
      </c>
      <c s="63" r="R138"/>
      <c s="26" r="S138"/>
      <c s="26" r="T138"/>
    </row>
    <row customHeight="1" r="139" ht="14.25">
      <c t="s" s="45" r="A139">
        <v>247</v>
      </c>
      <c s="57" r="B139">
        <v>65</v>
      </c>
      <c s="8" r="C139">
        <v>130</v>
      </c>
      <c s="8" r="D139">
        <v>60</v>
      </c>
      <c s="8" r="E139">
        <v>95</v>
      </c>
      <c s="8" r="F139">
        <v>110</v>
      </c>
      <c s="27" r="G139">
        <v>65</v>
      </c>
      <c s="68" r="H139"/>
      <c s="20" r="I139">
        <f>INDEX('Speed Factors'!$A$2:$B$256,(G139),2)</f>
        <v>321</v>
      </c>
      <c s="20" r="J139">
        <f>SUM(B139:G139)</f>
        <v>525</v>
      </c>
      <c s="68" r="K139"/>
      <c s="38" r="L139">
        <f>((((B139*2)+141)*((D139*2)+36))/(402.744996))-24.57966407</f>
        <v>80.3899827782007</v>
      </c>
      <c s="38" r="M139">
        <f>((((B139*2)+141)*((F139*2)+36))/(416.310724))-19.16575597</f>
        <v>147.479002381217</v>
      </c>
      <c s="38" r="N139">
        <f>(((((C139*2)+36)*((((C139*2)+36)*(I139/672))+415))/((((C139*2)+36)*(1-(I139/672)))+415))/(1.92306))-3.576327284</f>
        <v>146.774213933561</v>
      </c>
      <c s="38" r="O139">
        <f>(((((E139*2)+36)*((((E139*2)+36)*(I139/672))+415))/((((E139*2)+36)*(1-(I139/672)))+415))/(1.980931))+4.9921912</f>
        <v>116.920546962712</v>
      </c>
      <c s="68" r="P139"/>
      <c s="38" r="Q139">
        <f>((((L139+M139)+N139)+O139)/(1.535645))-60.47703745</f>
        <v>259.625425069456</v>
      </c>
      <c s="63" r="R139"/>
      <c s="26" r="S139"/>
      <c s="26" r="T139"/>
    </row>
    <row customHeight="1" r="140" ht="14.25">
      <c t="s" s="45" r="A140">
        <v>248</v>
      </c>
      <c s="75" r="B140">
        <v>65</v>
      </c>
      <c s="54" r="C140">
        <v>60</v>
      </c>
      <c s="54" r="D140">
        <v>70</v>
      </c>
      <c s="54" r="E140">
        <v>85</v>
      </c>
      <c s="54" r="F140">
        <v>75</v>
      </c>
      <c s="2" r="G140">
        <v>40</v>
      </c>
      <c s="68" r="H140"/>
      <c s="19" r="I140">
        <f>INDEX('Speed Factors'!$A$2:$B$256,(G140),2)</f>
        <v>111</v>
      </c>
      <c s="19" r="J140">
        <f>SUM(B140:G140)</f>
        <v>395</v>
      </c>
      <c s="68" r="K140"/>
      <c s="38" r="L140">
        <f>((((B140*2)+141)*((D140*2)+36))/(402.744996))-24.57966407</f>
        <v>93.8476298100213</v>
      </c>
      <c s="38" r="M140">
        <f>((((B140*2)+141)*((F140*2)+36))/(416.310724))-19.16575597</f>
        <v>101.912076269556</v>
      </c>
      <c s="38" r="N140">
        <f>(((((C140*2)+36)*((((C140*2)+36)*(I140/672))+415))/((((C140*2)+36)*(1-(I140/672)))+415))/(1.92306))-3.576327284</f>
        <v>62.0019840598806</v>
      </c>
      <c s="38" r="O140">
        <f>(((((E140*2)+36)*((((E140*2)+36)*(I140/672))+415))/((((E140*2)+36)*(1-(I140/672)))+415))/(1.980931))+4.9921912</f>
        <v>84.5443257846547</v>
      </c>
      <c s="68" r="P140"/>
      <c s="38" r="Q140">
        <f>((((L140+M140)+N140)+O140)/(1.535645))-60.47703745</f>
        <v>162.429959886046</v>
      </c>
      <c s="63" r="R140"/>
      <c s="26" r="S140"/>
      <c s="26" r="T140"/>
    </row>
    <row customHeight="1" r="141" ht="14.25">
      <c t="s" s="45" r="A141">
        <v>249</v>
      </c>
      <c s="57" r="B141">
        <v>35</v>
      </c>
      <c s="8" r="C141">
        <v>40</v>
      </c>
      <c s="8" r="D141">
        <v>100</v>
      </c>
      <c s="8" r="E141">
        <v>90</v>
      </c>
      <c s="8" r="F141">
        <v>55</v>
      </c>
      <c s="27" r="G141">
        <v>35</v>
      </c>
      <c s="68" r="H141"/>
      <c s="20" r="I141">
        <f>INDEX('Speed Factors'!$A$2:$B$256,(G141),2)</f>
        <v>84</v>
      </c>
      <c s="20" r="J141">
        <f>SUM(B141:G141)</f>
        <v>355</v>
      </c>
      <c s="68" r="K141"/>
      <c s="38" r="L141">
        <f>((((B141*2)+141)*((D141*2)+36))/(402.744996))-24.57966407</f>
        <v>99.061847294675</v>
      </c>
      <c s="38" r="M141">
        <f>((((B141*2)+141)*((F141*2)+36))/(416.310724))-19.16575597</f>
        <v>54.8318574087992</v>
      </c>
      <c s="38" r="N141">
        <f>(((((C141*2)+36)*((((C141*2)+36)*(I141/672))+415))/((((C141*2)+36)*(1-(I141/672)))+415))/(1.92306))-3.576327284</f>
        <v>46.5837269027924</v>
      </c>
      <c s="38" r="O141">
        <f>(((((E141*2)+36)*((((E141*2)+36)*(I141/672))+415))/((((E141*2)+36)*(1-(I141/672)))+415))/(1.980931))+4.9921912</f>
        <v>84.7860987947435</v>
      </c>
      <c s="68" r="P141"/>
      <c s="38" r="Q141">
        <f>((((L141+M141)+N141)+O141)/(1.535645))-60.47703745</f>
        <v>125.284339952336</v>
      </c>
      <c s="63" r="R141"/>
      <c s="26" r="S141"/>
      <c s="26" r="T141"/>
    </row>
    <row customHeight="1" r="142" ht="14.25">
      <c t="s" s="45" r="A142">
        <v>250</v>
      </c>
      <c s="75" r="B142">
        <v>70</v>
      </c>
      <c s="54" r="C142">
        <v>60</v>
      </c>
      <c s="54" r="D142">
        <v>125</v>
      </c>
      <c s="54" r="E142">
        <v>115</v>
      </c>
      <c s="54" r="F142">
        <v>70</v>
      </c>
      <c s="2" r="G142">
        <v>55</v>
      </c>
      <c s="68" r="H142"/>
      <c s="19" r="I142">
        <f>INDEX('Speed Factors'!$A$2:$B$256,(G142),2)</f>
        <v>233</v>
      </c>
      <c s="19" r="J142">
        <f>SUM(B142:G142)</f>
        <v>495</v>
      </c>
      <c s="68" r="K142"/>
      <c s="38" r="L142">
        <f>((((B142*2)+141)*((D142*2)+36))/(402.744996))-24.57966407</f>
        <v>174.965956106992</v>
      </c>
      <c s="38" r="M142">
        <f>((((B142*2)+141)*((F142*2)+36))/(416.310724))-19.16575597</f>
        <v>99.6301268859987</v>
      </c>
      <c s="38" r="N142">
        <f>(((((C142*2)+36)*((((C142*2)+36)*(I142/672))+415))/((((C142*2)+36)*(1-(I142/672)))+415))/(1.92306))-3.576327284</f>
        <v>70.0395925850118</v>
      </c>
      <c s="38" r="O142">
        <f>(((((E142*2)+36)*((((E142*2)+36)*(I142/672))+415))/((((E142*2)+36)*(1-(I142/672)))+415))/(1.980931))+4.9921912</f>
        <v>120.675371341681</v>
      </c>
      <c s="68" r="P142"/>
      <c s="38" r="Q142">
        <f>((((L142+M142)+N142)+O142)/(1.535645))-60.47703745</f>
        <v>242.529872949007</v>
      </c>
      <c s="63" r="R142"/>
      <c s="26" r="S142"/>
      <c s="26" r="T142"/>
    </row>
    <row customHeight="1" r="143" ht="14.25">
      <c t="s" s="45" r="A143">
        <v>251</v>
      </c>
      <c s="57" r="B143">
        <v>30</v>
      </c>
      <c s="8" r="C143">
        <v>80</v>
      </c>
      <c s="8" r="D143">
        <v>90</v>
      </c>
      <c s="8" r="E143">
        <v>55</v>
      </c>
      <c s="8" r="F143">
        <v>45</v>
      </c>
      <c s="27" r="G143">
        <v>55</v>
      </c>
      <c s="68" r="H143"/>
      <c s="20" r="I143">
        <f>INDEX('Speed Factors'!$A$2:$B$256,(G143),2)</f>
        <v>233</v>
      </c>
      <c s="20" r="J143">
        <f>SUM(B143:G143)</f>
        <v>355</v>
      </c>
      <c s="68" r="K143"/>
      <c s="38" r="L143">
        <f>((((B143*2)+141)*((D143*2)+36))/(402.744996))-24.57966407</f>
        <v>83.2205579841556</v>
      </c>
      <c s="38" r="M143">
        <f>((((B143*2)+141)*((F143*2)+36))/(416.310724))-19.16575597</f>
        <v>41.668612543649</v>
      </c>
      <c s="38" r="N143">
        <f>(((((C143*2)+36)*((((C143*2)+36)*(I143/672))+415))/((((C143*2)+36)*(1-(I143/672)))+415))/(1.92306))-3.576327284</f>
        <v>87.0678157385597</v>
      </c>
      <c s="38" r="O143">
        <f>(((((E143*2)+36)*((((E143*2)+36)*(I143/672))+415))/((((E143*2)+36)*(1-(I143/672)))+415))/(1.980931))+4.9921912</f>
        <v>72.2317873069376</v>
      </c>
      <c s="68" r="P143"/>
      <c s="38" r="Q143">
        <f>((((L143+M143)+N143)+O143)/(1.535645))-60.47703745</f>
        <v>124.584466721408</v>
      </c>
      <c s="63" r="R143"/>
      <c s="26" r="S143"/>
      <c s="26" r="T143"/>
    </row>
    <row customHeight="1" r="144" ht="14.25">
      <c t="s" s="45" r="A144">
        <v>252</v>
      </c>
      <c s="75" r="B144">
        <v>60</v>
      </c>
      <c s="54" r="C144">
        <v>115</v>
      </c>
      <c s="54" r="D144">
        <v>105</v>
      </c>
      <c s="54" r="E144">
        <v>65</v>
      </c>
      <c s="54" r="F144">
        <v>70</v>
      </c>
      <c s="2" r="G144">
        <v>80</v>
      </c>
      <c s="68" r="H144"/>
      <c s="19" r="I144">
        <f>INDEX('Speed Factors'!$A$2:$B$256,(G144),2)</f>
        <v>432</v>
      </c>
      <c s="19" r="J144">
        <f>SUM(B144:G144)</f>
        <v>495</v>
      </c>
      <c s="68" r="K144"/>
      <c s="38" r="L144">
        <f>((((B144*2)+141)*((D144*2)+36))/(402.744996))-24.57966407</f>
        <v>134.841311082228</v>
      </c>
      <c s="38" r="M144">
        <f>((((B144*2)+141)*((F144*2)+36))/(416.310724))-19.16575597</f>
        <v>91.174903906924</v>
      </c>
      <c s="38" r="N144">
        <f>(((((C144*2)+36)*((((C144*2)+36)*(I144/672))+415))/((((C144*2)+36)*(1-(I144/672)))+415))/(1.92306))-3.576327284</f>
        <v>155.357463490222</v>
      </c>
      <c s="38" r="O144">
        <f>(((((E144*2)+36)*((((E144*2)+36)*(I144/672))+415))/((((E144*2)+36)*(1-(I144/672)))+415))/(1.980931))+4.9921912</f>
        <v>97.1710707268487</v>
      </c>
      <c s="68" r="P144"/>
      <c s="38" r="Q144">
        <f>((((L144+M144)+N144)+O144)/(1.535645))-60.47703745</f>
        <v>251.147556258977</v>
      </c>
      <c s="63" r="R144"/>
      <c s="26" r="S144"/>
      <c s="26" r="T144"/>
    </row>
    <row customHeight="1" r="145" ht="14.25">
      <c t="s" s="45" r="A145">
        <v>253</v>
      </c>
      <c s="57" r="B145">
        <v>80</v>
      </c>
      <c s="8" r="C145">
        <v>105</v>
      </c>
      <c s="8" r="D145">
        <v>65</v>
      </c>
      <c s="8" r="E145">
        <v>60</v>
      </c>
      <c s="8" r="F145">
        <v>75</v>
      </c>
      <c s="27" r="G145">
        <v>130</v>
      </c>
      <c s="68" r="H145"/>
      <c s="20" r="I145">
        <f>INDEX('Speed Factors'!$A$2:$B$256,(G145),2)</f>
        <v>662</v>
      </c>
      <c s="20" r="J145">
        <f>SUM(B145:G145)</f>
        <v>515</v>
      </c>
      <c s="68" r="K145"/>
      <c s="38" r="L145">
        <f>((((B145*2)+141)*((D145*2)+36))/(402.744996))-24.57966407</f>
        <v>99.4839506148613</v>
      </c>
      <c s="38" r="M145">
        <f>((((B145*2)+141)*((F145*2)+36))/(416.310724))-19.16575597</f>
        <v>115.315526332975</v>
      </c>
      <c s="38" r="N145">
        <f>(((((C145*2)+36)*((((C145*2)+36)*(I145/672))+415))/((((C145*2)+36)*(1-(I145/672)))+415))/(1.92306))-3.576327284</f>
        <v>197.272662196065</v>
      </c>
      <c s="38" r="O145">
        <f>(((((E145*2)+36)*((((E145*2)+36)*(I145/672))+415))/((((E145*2)+36)*(1-(I145/672)))+415))/(1.980931))+4.9921912</f>
        <v>112.30496691396</v>
      </c>
      <c s="68" r="P145"/>
      <c s="38" r="Q145">
        <f>((((L145+M145)+N145)+O145)/(1.535645))-60.47703745</f>
        <v>280.993228176405</v>
      </c>
      <c s="63" r="R145"/>
      <c s="26" r="S145"/>
      <c s="26" r="T145"/>
    </row>
    <row customHeight="1" r="146" ht="14.25">
      <c t="s" s="45" r="A146">
        <v>254</v>
      </c>
      <c s="75" r="B146">
        <v>160</v>
      </c>
      <c s="54" r="C146">
        <v>110</v>
      </c>
      <c s="54" r="D146">
        <v>65</v>
      </c>
      <c s="54" r="E146">
        <v>65</v>
      </c>
      <c s="54" r="F146">
        <v>110</v>
      </c>
      <c s="2" r="G146">
        <v>30</v>
      </c>
      <c s="68" r="H146"/>
      <c s="19" r="I146">
        <f>INDEX('Speed Factors'!$A$2:$B$256,(G146),2)</f>
        <v>44</v>
      </c>
      <c s="19" r="J146">
        <f>SUM(B146:G146)</f>
        <v>540</v>
      </c>
      <c s="68" r="K146"/>
      <c s="38" r="L146">
        <f>((((B146*2)+141)*((D146*2)+36))/(402.744996))-24.57966407</f>
        <v>165.431386992196</v>
      </c>
      <c s="38" r="M146">
        <f>((((B146*2)+141)*((F146*2)+36))/(416.310724))-19.16575597</f>
        <v>264.314810819339</v>
      </c>
      <c s="38" r="N146">
        <f>(((((C146*2)+36)*((((C146*2)+36)*(I146/672))+415))/((((C146*2)+36)*(1-(I146/672)))+415))/(1.92306))-3.576327284</f>
        <v>84.2764758082937</v>
      </c>
      <c s="38" r="O146">
        <f>(((((E146*2)+36)*((((E146*2)+36)*(I146/672))+415))/((((E146*2)+36)*(1-(I146/672)))+415))/(1.980931))+4.9921912</f>
        <v>67.5872708850036</v>
      </c>
      <c s="68" r="P146"/>
      <c s="38" r="Q146">
        <f>((((L146+M146)+N146)+O146)/(1.535645))-60.47703745</f>
        <v>318.262804443688</v>
      </c>
      <c s="63" r="R146"/>
      <c s="26" r="S146"/>
      <c s="26" r="T146"/>
    </row>
    <row customHeight="1" r="147" ht="14.25">
      <c t="s" s="45" r="A147">
        <v>255</v>
      </c>
      <c s="57" r="B147">
        <v>90</v>
      </c>
      <c s="8" r="C147">
        <v>85</v>
      </c>
      <c s="8" r="D147">
        <v>100</v>
      </c>
      <c s="8" r="E147">
        <v>95</v>
      </c>
      <c s="8" r="F147">
        <v>125</v>
      </c>
      <c s="27" r="G147">
        <v>85</v>
      </c>
      <c s="68" r="H147"/>
      <c s="20" r="I147">
        <f>INDEX('Speed Factors'!$A$2:$B$256,(G147),2)</f>
        <v>469</v>
      </c>
      <c s="20" r="J147">
        <f>SUM(B147:G147)</f>
        <v>580</v>
      </c>
      <c s="68" r="K147"/>
      <c s="38" r="L147">
        <f>((((B147*2)+141)*((D147*2)+36))/(402.744996))-24.57966407</f>
        <v>163.519507247823</v>
      </c>
      <c s="38" r="M147">
        <f>((((B147*2)+141)*((F147*2)+36))/(416.310724))-19.16575597</f>
        <v>201.35702835299</v>
      </c>
      <c s="38" r="N147">
        <f>(((((C147*2)+36)*((((C147*2)+36)*(I147/672))+415))/((((C147*2)+36)*(1-(I147/672)))+415))/(1.92306))-3.576327284</f>
        <v>121.847813947897</v>
      </c>
      <c s="38" r="O147">
        <f>(((((E147*2)+36)*((((E147*2)+36)*(I147/672))+415))/((((E147*2)+36)*(1-(I147/672)))+415))/(1.980931))+4.9921912</f>
        <v>140.198764494571</v>
      </c>
      <c s="68" r="P147"/>
      <c s="38" r="Q147">
        <f>((((L147+M147)+N147)+O147)/(1.535645))-60.47703745</f>
        <v>347.77038564797</v>
      </c>
      <c s="63" r="R147"/>
      <c s="26" r="S147"/>
      <c s="26" r="T147"/>
    </row>
    <row customHeight="1" r="148" ht="14.25">
      <c t="s" s="45" r="A148">
        <v>256</v>
      </c>
      <c s="75" r="B148">
        <v>90</v>
      </c>
      <c s="54" r="C148">
        <v>90</v>
      </c>
      <c s="54" r="D148">
        <v>85</v>
      </c>
      <c s="54" r="E148">
        <v>125</v>
      </c>
      <c s="54" r="F148">
        <v>90</v>
      </c>
      <c s="2" r="G148">
        <v>100</v>
      </c>
      <c s="68" r="H148"/>
      <c s="19" r="I148">
        <f>INDEX('Speed Factors'!$A$2:$B$256,(G148),2)</f>
        <v>577</v>
      </c>
      <c s="19" r="J148">
        <f>SUM(B148:G148)</f>
        <v>580</v>
      </c>
      <c s="68" r="K148"/>
      <c s="38" r="L148">
        <f>((((B148*2)+141)*((D148*2)+36))/(402.744996))-24.57966407</f>
        <v>139.608595639625</v>
      </c>
      <c s="38" r="M148">
        <f>((((B148*2)+141)*((F148*2)+36))/(416.310724))-19.16575597</f>
        <v>147.382920301909</v>
      </c>
      <c s="38" r="N148">
        <f>(((((C148*2)+36)*((((C148*2)+36)*(I148/672))+415))/((((C148*2)+36)*(1-(I148/672)))+415))/(1.92306))-3.576327284</f>
        <v>147.802652947218</v>
      </c>
      <c s="38" r="O148">
        <f>(((((E148*2)+36)*((((E148*2)+36)*(I148/672))+415))/((((E148*2)+36)*(1-(I148/672)))+415))/(1.980931))+4.9921912</f>
        <v>214.399291282652</v>
      </c>
      <c s="68" r="P148"/>
      <c s="38" r="Q148">
        <f>((((L148+M148)+N148)+O148)/(1.535645))-60.47703745</f>
        <v>362.272660671248</v>
      </c>
      <c s="63" r="R148"/>
      <c s="26" r="S148"/>
      <c s="26" r="T148"/>
    </row>
    <row customHeight="1" r="149" ht="14.25">
      <c t="s" s="45" r="A149">
        <v>257</v>
      </c>
      <c s="57" r="B149">
        <v>90</v>
      </c>
      <c s="8" r="C149">
        <v>100</v>
      </c>
      <c s="8" r="D149">
        <v>90</v>
      </c>
      <c s="8" r="E149">
        <v>125</v>
      </c>
      <c s="8" r="F149">
        <v>85</v>
      </c>
      <c s="27" r="G149">
        <v>90</v>
      </c>
      <c s="68" r="H149"/>
      <c s="20" r="I149">
        <f>INDEX('Speed Factors'!$A$2:$B$256,(G149),2)</f>
        <v>503</v>
      </c>
      <c s="20" r="J149">
        <f>SUM(B149:G149)</f>
        <v>580</v>
      </c>
      <c s="68" r="K149"/>
      <c s="38" r="L149">
        <f>((((B149*2)+141)*((D149*2)+36))/(402.744996))-24.57966407</f>
        <v>147.578899509025</v>
      </c>
      <c s="38" r="M149">
        <f>((((B149*2)+141)*((F149*2)+36))/(416.310724))-19.16575597</f>
        <v>139.672333437469</v>
      </c>
      <c s="38" r="N149">
        <f>(((((C149*2)+36)*((((C149*2)+36)*(I149/672))+415))/((((C149*2)+36)*(1-(I149/672)))+415))/(1.92306))-3.576327284</f>
        <v>149.491235970862</v>
      </c>
      <c s="38" r="O149">
        <f>(((((E149*2)+36)*((((E149*2)+36)*(I149/672))+415))/((((E149*2)+36)*(1-(I149/672)))+415))/(1.980931))+4.9921912</f>
        <v>191.516782142132</v>
      </c>
      <c s="68" r="P149"/>
      <c s="38" r="Q149">
        <f>((((L149+M149)+N149)+O149)/(1.535645))-60.47703745</f>
        <v>348.640467611058</v>
      </c>
      <c s="63" r="R149"/>
      <c s="26" r="S149"/>
      <c s="26" r="T149"/>
    </row>
    <row customHeight="1" r="150" ht="14.25">
      <c t="s" s="45" r="A150">
        <v>258</v>
      </c>
      <c s="75" r="B150">
        <v>41</v>
      </c>
      <c s="54" r="C150">
        <v>64</v>
      </c>
      <c s="54" r="D150">
        <v>45</v>
      </c>
      <c s="54" r="E150">
        <v>50</v>
      </c>
      <c s="54" r="F150">
        <v>50</v>
      </c>
      <c s="2" r="G150">
        <v>50</v>
      </c>
      <c s="68" r="H150"/>
      <c s="19" r="I150">
        <f>INDEX('Speed Factors'!$A$2:$B$256,(G150),2)</f>
        <v>189</v>
      </c>
      <c s="19" r="J150">
        <f>SUM(B150:G150)</f>
        <v>300</v>
      </c>
      <c s="68" r="K150"/>
      <c s="38" r="L150">
        <f>((((B150*2)+141)*((D150*2)+36))/(402.744996))-24.57966407</f>
        <v>45.186565874667</v>
      </c>
      <c s="38" r="M150">
        <f>((((B150*2)+141)*((F150*2)+36))/(416.310724))-19.16575597</f>
        <v>53.6836765610726</v>
      </c>
      <c s="38" r="N150">
        <f>(((((C150*2)+36)*((((C150*2)+36)*(I150/672))+415))/((((C150*2)+36)*(1-(I150/672)))+415))/(1.92306))-3.576327284</f>
        <v>70.2216291987724</v>
      </c>
      <c s="38" r="O150">
        <f>(((((E150*2)+36)*((((E150*2)+36)*(I150/672))+415))/((((E150*2)+36)*(1-(I150/672)))+415))/(1.980931))+4.9921912</f>
        <v>65.6800344586141</v>
      </c>
      <c s="68" r="P150"/>
      <c s="38" r="Q150">
        <f>((((L150+M150)+N150)+O150)/(1.535645))-60.47703745</f>
        <v>92.4045895491607</v>
      </c>
      <c s="63" r="R150"/>
      <c s="26" r="S150"/>
      <c s="26" r="T150"/>
    </row>
    <row customHeight="1" r="151" ht="14.25">
      <c t="s" s="45" r="A151">
        <v>259</v>
      </c>
      <c s="57" r="B151">
        <v>61</v>
      </c>
      <c s="8" r="C151">
        <v>84</v>
      </c>
      <c s="8" r="D151">
        <v>65</v>
      </c>
      <c s="8" r="E151">
        <v>70</v>
      </c>
      <c s="8" r="F151">
        <v>70</v>
      </c>
      <c s="27" r="G151">
        <v>70</v>
      </c>
      <c s="68" r="H151"/>
      <c s="20" r="I151">
        <f>INDEX('Speed Factors'!$A$2:$B$256,(G151),2)</f>
        <v>369</v>
      </c>
      <c s="20" r="J151">
        <f>SUM(B151:G151)</f>
        <v>420</v>
      </c>
      <c s="68" r="K151"/>
      <c s="38" r="L151">
        <f>((((B151*2)+141)*((D151*2)+36))/(402.744996))-24.57966407</f>
        <v>83.8214344752442</v>
      </c>
      <c s="38" r="M151">
        <f>((((B151*2)+141)*((F151*2)+36))/(416.310724))-19.16575597</f>
        <v>92.0204262048315</v>
      </c>
      <c s="38" r="N151">
        <f>(((((C151*2)+36)*((((C151*2)+36)*(I151/672))+415))/((((C151*2)+36)*(1-(I151/672)))+415))/(1.92306))-3.576327284</f>
        <v>106.696878687822</v>
      </c>
      <c s="38" r="O151">
        <f>(((((E151*2)+36)*((((E151*2)+36)*(I151/672))+415))/((((E151*2)+36)*(1-(I151/672)))+415))/(1.980931))+4.9921912</f>
        <v>96.9459361739407</v>
      </c>
      <c s="68" r="P151"/>
      <c s="38" r="Q151">
        <f>((((L151+M151)+N151)+O151)/(1.535645))-60.47703745</f>
        <v>186.640411922634</v>
      </c>
      <c s="63" r="R151"/>
      <c s="26" r="S151"/>
      <c s="26" r="T151"/>
    </row>
    <row customHeight="1" r="152" ht="14.25">
      <c t="s" s="45" r="A152">
        <v>63</v>
      </c>
      <c s="75" r="B152">
        <v>91</v>
      </c>
      <c s="54" r="C152">
        <v>134</v>
      </c>
      <c s="54" r="D152">
        <v>95</v>
      </c>
      <c s="54" r="E152">
        <v>100</v>
      </c>
      <c s="54" r="F152">
        <v>100</v>
      </c>
      <c s="2" r="G152">
        <v>80</v>
      </c>
      <c s="68" r="H152"/>
      <c s="19" r="I152">
        <f>INDEX('Speed Factors'!$A$2:$B$256,(G152),2)</f>
        <v>432</v>
      </c>
      <c s="19" r="J152">
        <f>SUM(B152:G152)</f>
        <v>600</v>
      </c>
      <c s="68" r="K152"/>
      <c s="38" r="L152">
        <f>((((B152*2)+141)*((D152*2)+36))/(402.744996))-24.57966407</f>
        <v>156.671501617978</v>
      </c>
      <c s="38" r="M152">
        <f>((((B152*2)+141)*((F152*2)+36))/(416.310724))-19.16575597</f>
        <v>163.93786256662</v>
      </c>
      <c s="38" r="N152">
        <f>(((((C152*2)+36)*((((C152*2)+36)*(I152/672))+415))/((((C152*2)+36)*(1-(I152/672)))+415))/(1.92306))-3.576327284</f>
        <v>180.729752999684</v>
      </c>
      <c s="38" r="O152">
        <f>(((((E152*2)+36)*((((E152*2)+36)*(I152/672))+415))/((((E152*2)+36)*(1-(I152/672)))+415))/(1.980931))+4.9921912</f>
        <v>140.21740443623</v>
      </c>
      <c s="68" r="P152"/>
      <c s="38" r="Q152">
        <f>((((L152+M152)+N152)+O152)/(1.535645))-60.47703745</f>
        <v>357.299546083637</v>
      </c>
      <c s="63" r="R152"/>
      <c s="26" r="S152"/>
      <c s="26" r="T152"/>
    </row>
    <row customHeight="1" r="153" ht="14.25">
      <c t="s" s="45" r="A153">
        <v>260</v>
      </c>
      <c s="57" r="B153">
        <v>106</v>
      </c>
      <c s="8" r="C153">
        <v>110</v>
      </c>
      <c s="8" r="D153">
        <v>90</v>
      </c>
      <c s="8" r="E153">
        <v>154</v>
      </c>
      <c s="8" r="F153">
        <v>90</v>
      </c>
      <c s="27" r="G153">
        <v>130</v>
      </c>
      <c s="68" r="H153"/>
      <c s="20" r="I153">
        <f>INDEX('Speed Factors'!$A$2:$B$256,(G153),2)</f>
        <v>662</v>
      </c>
      <c s="20" r="J153">
        <f>SUM(B153:G153)</f>
        <v>680</v>
      </c>
      <c s="68" r="K153"/>
      <c s="38" r="L153">
        <f>((((B153*2)+141)*((D153*2)+36))/(402.744996))-24.57966407</f>
        <v>164.741123915656</v>
      </c>
      <c s="38" r="M153">
        <f>((((B153*2)+141)*((F153*2)+36))/(416.310724))-19.16575597</f>
        <v>163.985903606274</v>
      </c>
      <c s="38" r="N153">
        <f>(((((C153*2)+36)*((((C153*2)+36)*(I153/672))+415))/((((C153*2)+36)*(1-(I153/672)))+415))/(1.92306))-3.576327284</f>
        <v>208.494250705136</v>
      </c>
      <c s="38" r="O153">
        <f>(((((E153*2)+36)*((((E153*2)+36)*(I153/672))+415))/((((E153*2)+36)*(1-(I153/672)))+415))/(1.980931))+4.9921912</f>
        <v>316.608007416492</v>
      </c>
      <c s="68" r="P153"/>
      <c s="38" r="Q153">
        <f>((((L153+M153)+N153)+O153)/(1.535645))-60.47703745</f>
        <v>495.529907933574</v>
      </c>
      <c s="63" r="R153"/>
      <c s="26" r="S153"/>
      <c s="26" r="T153"/>
    </row>
    <row customHeight="1" r="154" ht="14.25">
      <c t="s" s="45" r="A154">
        <v>261</v>
      </c>
      <c s="75" r="B154">
        <v>100</v>
      </c>
      <c s="54" r="C154">
        <v>100</v>
      </c>
      <c s="54" r="D154">
        <v>100</v>
      </c>
      <c s="54" r="E154">
        <v>100</v>
      </c>
      <c s="54" r="F154">
        <v>100</v>
      </c>
      <c s="2" r="G154">
        <v>100</v>
      </c>
      <c s="68" r="H154"/>
      <c s="19" r="I154">
        <f>INDEX('Speed Factors'!$A$2:$B$256,(G154),2)</f>
        <v>577</v>
      </c>
      <c s="19" r="J154">
        <f>SUM(B154:G154)</f>
        <v>600</v>
      </c>
      <c s="68" r="K154"/>
      <c s="38" r="L154">
        <f>((((B154*2)+141)*((D154*2)+36))/(402.744996))-24.57966407</f>
        <v>175.239081784759</v>
      </c>
      <c s="38" r="M154">
        <f>((((B154*2)+141)*((F154*2)+36))/(416.310724))-19.16575597</f>
        <v>174.141779389094</v>
      </c>
      <c s="38" r="N154">
        <f>(((((C154*2)+36)*((((C154*2)+36)*(I154/672))+415))/((((C154*2)+36)*(1-(I154/672)))+415))/(1.92306))-3.576327284</f>
        <v>165.476542525297</v>
      </c>
      <c s="38" r="O154">
        <f>(((((E154*2)+36)*((((E154*2)+36)*(I154/672))+415))/((((E154*2)+36)*(1-(I154/672)))+415))/(1.980931))+4.9921912</f>
        <v>169.106343492769</v>
      </c>
      <c s="68" r="P154"/>
      <c s="38" r="Q154">
        <f>((((L154+M154)+N154)+O154)/(1.535645))-60.47703745</f>
        <v>384.914799329932</v>
      </c>
      <c s="63" r="R154"/>
      <c s="26" r="S154"/>
      <c s="26" r="T154"/>
    </row>
    <row customHeight="1" r="155" ht="14.25">
      <c t="s" s="45" r="A155">
        <v>262</v>
      </c>
      <c s="57" r="B155">
        <v>45</v>
      </c>
      <c s="8" r="C155">
        <v>49</v>
      </c>
      <c s="8" r="D155">
        <v>65</v>
      </c>
      <c s="8" r="E155">
        <v>49</v>
      </c>
      <c s="8" r="F155">
        <v>65</v>
      </c>
      <c s="27" r="G155">
        <v>45</v>
      </c>
      <c s="68" r="H155"/>
      <c s="20" r="I155">
        <f>INDEX('Speed Factors'!$A$2:$B$256,(G155),2)</f>
        <v>154</v>
      </c>
      <c s="20" r="J155">
        <f>SUM(B155:G155)</f>
        <v>318</v>
      </c>
      <c s="68" r="K155"/>
      <c s="38" r="L155">
        <f>((((B155*2)+141)*((D155*2)+36))/(402.744996))-24.57966407</f>
        <v>70.6319471997773</v>
      </c>
      <c s="38" r="M155">
        <f>((((B155*2)+141)*((F155*2)+36))/(416.310724))-19.16575597</f>
        <v>72.9433293582944</v>
      </c>
      <c s="38" r="N155">
        <f>(((((C155*2)+36)*((((C155*2)+36)*(I155/672))+415))/((((C155*2)+36)*(1-(I155/672)))+415))/(1.92306))-3.576327284</f>
        <v>56.345975094565</v>
      </c>
      <c s="38" r="O155">
        <f>(((((E155*2)+36)*((((E155*2)+36)*(I155/672))+415))/((((E155*2)+36)*(1-(I155/672)))+415))/(1.980931))+4.9921912</f>
        <v>63.1639209634916</v>
      </c>
      <c s="68" r="P155"/>
      <c s="38" r="Q155">
        <f>((((L155+M155)+N155)+O155)/(1.535645))-60.47703745</f>
        <v>110.841967017913</v>
      </c>
      <c s="63" r="R155"/>
      <c s="26" r="S155"/>
      <c s="26" r="T155"/>
    </row>
    <row customHeight="1" r="156" ht="14.25">
      <c t="s" s="45" r="A156">
        <v>263</v>
      </c>
      <c s="75" r="B156">
        <v>60</v>
      </c>
      <c s="54" r="C156">
        <v>62</v>
      </c>
      <c s="54" r="D156">
        <v>80</v>
      </c>
      <c s="54" r="E156">
        <v>63</v>
      </c>
      <c s="54" r="F156">
        <v>80</v>
      </c>
      <c s="2" r="G156">
        <v>60</v>
      </c>
      <c s="68" r="H156"/>
      <c s="19" r="I156">
        <f>INDEX('Speed Factors'!$A$2:$B$256,(G156),2)</f>
        <v>274</v>
      </c>
      <c s="19" r="J156">
        <f>SUM(B156:G156)</f>
        <v>405</v>
      </c>
      <c s="68" r="K156"/>
      <c s="38" r="L156">
        <f>((((B156*2)+141)*((D156*2)+36))/(402.744996))-24.57966407</f>
        <v>102.438673856165</v>
      </c>
      <c s="38" r="M156">
        <f>((((B156*2)+141)*((F156*2)+36))/(416.310724))-19.16575597</f>
        <v>103.713615256575</v>
      </c>
      <c s="38" r="N156">
        <f>(((((C156*2)+36)*((((C156*2)+36)*(I156/672))+415))/((((C156*2)+36)*(1-(I156/672)))+415))/(1.92306))-3.576327284</f>
        <v>74.8056796191834</v>
      </c>
      <c s="38" r="O156">
        <f>(((((E156*2)+36)*((((E156*2)+36)*(I156/672))+415))/((((E156*2)+36)*(1-(I156/672)))+415))/(1.980931))+4.9921912</f>
        <v>81.9874071788413</v>
      </c>
      <c s="68" r="P156"/>
      <c s="38" r="Q156">
        <f>((((L156+M156)+N156)+O156)/(1.535645))-60.47703745</f>
        <v>175.870149504514</v>
      </c>
      <c s="63" r="R156"/>
      <c s="26" r="S156"/>
      <c s="26" r="T156"/>
    </row>
    <row customHeight="1" r="157" ht="14.25">
      <c t="s" s="45" r="A157">
        <v>264</v>
      </c>
      <c s="57" r="B157">
        <v>80</v>
      </c>
      <c s="8" r="C157">
        <v>82</v>
      </c>
      <c s="8" r="D157">
        <v>100</v>
      </c>
      <c s="8" r="E157">
        <v>83</v>
      </c>
      <c s="8" r="F157">
        <v>100</v>
      </c>
      <c s="27" r="G157">
        <v>80</v>
      </c>
      <c s="68" r="H157"/>
      <c s="20" r="I157">
        <f>INDEX('Speed Factors'!$A$2:$B$256,(G157),2)</f>
        <v>432</v>
      </c>
      <c s="20" r="J157">
        <f>SUM(B157:G157)</f>
        <v>525</v>
      </c>
      <c s="68" r="K157"/>
      <c s="38" r="L157">
        <f>((((B157*2)+141)*((D157*2)+36))/(402.744996))-24.57966407</f>
        <v>151.799932710887</v>
      </c>
      <c s="38" r="M157">
        <f>((((B157*2)+141)*((F157*2)+36))/(416.310724))-19.16575597</f>
        <v>151.466408672485</v>
      </c>
      <c s="38" r="N157">
        <f>(((((C157*2)+36)*((((C157*2)+36)*(I157/672))+415))/((((C157*2)+36)*(1-(I157/672)))+415))/(1.92306))-3.576327284</f>
        <v>112.6420228971</v>
      </c>
      <c s="38" r="O157">
        <f>(((((E157*2)+36)*((((E157*2)+36)*(I157/672))+415))/((((E157*2)+36)*(1-(I157/672)))+415))/(1.980931))+4.9921912</f>
        <v>119.045615983288</v>
      </c>
      <c s="68" r="P157"/>
      <c s="38" r="Q157">
        <f>((((L157+M157)+N157)+O157)/(1.535645))-60.47703745</f>
        <v>287.880805843053</v>
      </c>
      <c s="63" r="R157"/>
      <c s="26" r="S157"/>
      <c s="26" r="T157"/>
    </row>
    <row customHeight="1" r="158" ht="14.25">
      <c t="s" s="45" r="A158">
        <v>265</v>
      </c>
      <c s="75" r="B158">
        <v>39</v>
      </c>
      <c s="54" r="C158">
        <v>52</v>
      </c>
      <c s="54" r="D158">
        <v>43</v>
      </c>
      <c s="54" r="E158">
        <v>60</v>
      </c>
      <c s="54" r="F158">
        <v>50</v>
      </c>
      <c s="2" r="G158">
        <v>65</v>
      </c>
      <c s="68" r="H158"/>
      <c s="19" r="I158">
        <f>INDEX('Speed Factors'!$A$2:$B$256,(G158),2)</f>
        <v>321</v>
      </c>
      <c s="19" r="J158">
        <f>SUM(B158:G158)</f>
        <v>309</v>
      </c>
      <c s="68" r="K158"/>
      <c s="38" r="L158">
        <f>((((B158*2)+141)*((D158*2)+36))/(402.744996))-24.57966407</f>
        <v>41.7600800990374</v>
      </c>
      <c s="38" r="M158">
        <f>((((B158*2)+141)*((F158*2)+36))/(416.310724))-19.16575597</f>
        <v>52.3769602824884</v>
      </c>
      <c s="38" r="N158">
        <f>(((((C158*2)+36)*((((C158*2)+36)*(I158/672))+415))/((((C158*2)+36)*(1-(I158/672)))+415))/(1.92306))-3.576327284</f>
        <v>68.2921668744976</v>
      </c>
      <c s="38" r="O158">
        <f>(((((E158*2)+36)*((((E158*2)+36)*(I158/672))+415))/((((E158*2)+36)*(1-(I158/672)))+415))/(1.980931))+4.9921912</f>
        <v>82.6383822757034</v>
      </c>
      <c s="68" r="P158"/>
      <c s="38" r="Q158">
        <f>((((L158+M158)+N158)+O158)/(1.535645))-60.47703745</f>
        <v>99.1090579898489</v>
      </c>
      <c s="63" r="R158"/>
      <c s="26" r="S158"/>
      <c s="26" r="T158"/>
    </row>
    <row customHeight="1" r="159" ht="14.25">
      <c t="s" s="45" r="A159">
        <v>266</v>
      </c>
      <c s="57" r="B159">
        <v>58</v>
      </c>
      <c s="8" r="C159">
        <v>64</v>
      </c>
      <c s="8" r="D159">
        <v>58</v>
      </c>
      <c s="8" r="E159">
        <v>80</v>
      </c>
      <c s="8" r="F159">
        <v>65</v>
      </c>
      <c s="27" r="G159">
        <v>80</v>
      </c>
      <c s="68" r="H159"/>
      <c s="20" r="I159">
        <f>INDEX('Speed Factors'!$A$2:$B$256,(G159),2)</f>
        <v>432</v>
      </c>
      <c s="20" r="J159">
        <f>SUM(B159:G159)</f>
        <v>405</v>
      </c>
      <c s="68" r="K159"/>
      <c s="38" r="L159">
        <f>((((B159*2)+141)*((D159*2)+36))/(402.744996))-24.57966407</f>
        <v>72.4147129873874</v>
      </c>
      <c s="38" r="M159">
        <f>((((B159*2)+141)*((F159*2)+36))/(416.310724))-19.16575597</f>
        <v>83.3105857155915</v>
      </c>
      <c s="38" r="N159">
        <f>(((((C159*2)+36)*((((C159*2)+36)*(I159/672))+415))/((((C159*2)+36)*(1-(I159/672)))+415))/(1.92306))-3.576327284</f>
        <v>90.1424582256262</v>
      </c>
      <c s="38" r="O159">
        <f>(((((E159*2)+36)*((((E159*2)+36)*(I159/672))+415))/((((E159*2)+36)*(1-(I159/672)))+415))/(1.980931))+4.9921912</f>
        <v>115.359956576508</v>
      </c>
      <c s="68" r="P159"/>
      <c s="38" r="Q159">
        <f>((((L159+M159)+N159)+O159)/(1.535645))-60.47703745</f>
        <v>174.751621195138</v>
      </c>
      <c s="63" r="R159"/>
      <c s="26" r="S159"/>
      <c s="26" r="T159"/>
    </row>
    <row customHeight="1" r="160" ht="14.25">
      <c t="s" s="45" r="A160">
        <v>267</v>
      </c>
      <c s="75" r="B160">
        <v>78</v>
      </c>
      <c s="54" r="C160">
        <v>84</v>
      </c>
      <c s="54" r="D160">
        <v>78</v>
      </c>
      <c s="54" r="E160">
        <v>109</v>
      </c>
      <c s="54" r="F160">
        <v>85</v>
      </c>
      <c s="2" r="G160">
        <v>100</v>
      </c>
      <c s="68" r="H160"/>
      <c s="19" r="I160">
        <f>INDEX('Speed Factors'!$A$2:$B$256,(G160),2)</f>
        <v>577</v>
      </c>
      <c s="19" r="J160">
        <f>SUM(B160:G160)</f>
        <v>534</v>
      </c>
      <c s="68" r="K160"/>
      <c s="38" r="L160">
        <f>((((B160*2)+141)*((D160*2)+36))/(402.744996))-24.57966407</f>
        <v>117.008687284712</v>
      </c>
      <c s="38" r="M160">
        <f>((((B160*2)+141)*((F160*2)+36))/(416.310724))-19.16575597</f>
        <v>127.796588435041</v>
      </c>
      <c s="38" r="N160">
        <f>(((((C160*2)+36)*((((C160*2)+36)*(I160/672))+415))/((((C160*2)+36)*(1-(I160/672)))+415))/(1.92306))-3.576327284</f>
        <v>137.476530154954</v>
      </c>
      <c s="38" r="O160">
        <f>(((((E160*2)+36)*((((E160*2)+36)*(I160/672))+415))/((((E160*2)+36)*(1-(I160/672)))+415))/(1.980931))+4.9921912</f>
        <v>185.021695278492</v>
      </c>
      <c s="68" r="P160"/>
      <c s="38" r="Q160">
        <f>((((L160+M160)+N160)+O160)/(1.535645))-60.47703745</f>
        <v>308.94656055162</v>
      </c>
      <c s="63" r="R160"/>
      <c s="26" r="S160"/>
      <c s="26" r="T160"/>
    </row>
    <row customHeight="1" r="161" ht="14.25">
      <c t="s" s="45" r="A161">
        <v>268</v>
      </c>
      <c s="57" r="B161">
        <v>50</v>
      </c>
      <c s="8" r="C161">
        <v>65</v>
      </c>
      <c s="8" r="D161">
        <v>64</v>
      </c>
      <c s="8" r="E161">
        <v>44</v>
      </c>
      <c s="8" r="F161">
        <v>48</v>
      </c>
      <c s="27" r="G161">
        <v>43</v>
      </c>
      <c s="68" r="H161"/>
      <c s="20" r="I161">
        <f>INDEX('Speed Factors'!$A$2:$B$256,(G161),2)</f>
        <v>149</v>
      </c>
      <c s="20" r="J161">
        <f>SUM(B161:G161)</f>
        <v>314</v>
      </c>
      <c s="68" r="K161"/>
      <c s="38" r="L161">
        <f>((((B161*2)+141)*((D161*2)+36))/(402.744996))-24.57966407</f>
        <v>73.5568749125973</v>
      </c>
      <c s="38" r="M161">
        <f>((((B161*2)+141)*((F161*2)+36))/(416.310724))-19.16575597</f>
        <v>57.248321703387</v>
      </c>
      <c s="38" r="N161">
        <f>(((((C161*2)+36)*((((C161*2)+36)*(I161/672))+415))/((((C161*2)+36)*(1-(I161/672)))+415))/(1.92306))-3.576327284</f>
        <v>68.089886674189</v>
      </c>
      <c s="38" r="O161">
        <f>(((((E161*2)+36)*((((E161*2)+36)*(I161/672))+415))/((((E161*2)+36)*(1-(I161/672)))+415))/(1.980931))+4.9921912</f>
        <v>59.1435149756623</v>
      </c>
      <c s="68" r="P161"/>
      <c s="38" r="Q161">
        <f>((((L161+M161)+N161)+O161)/(1.535645))-60.47703745</f>
        <v>107.55567731535</v>
      </c>
      <c s="63" r="R161"/>
      <c s="26" r="S161"/>
      <c s="26" r="T161"/>
    </row>
    <row customHeight="1" r="162" ht="14.25">
      <c t="s" s="45" r="A162">
        <v>269</v>
      </c>
      <c s="75" r="B162">
        <v>65</v>
      </c>
      <c s="54" r="C162">
        <v>80</v>
      </c>
      <c s="54" r="D162">
        <v>80</v>
      </c>
      <c s="54" r="E162">
        <v>59</v>
      </c>
      <c s="54" r="F162">
        <v>63</v>
      </c>
      <c s="2" r="G162">
        <v>58</v>
      </c>
      <c s="68" r="H162"/>
      <c s="19" r="I162">
        <f>INDEX('Speed Factors'!$A$2:$B$256,(G162),2)</f>
        <v>267</v>
      </c>
      <c s="19" r="J162">
        <f>SUM(B162:G162)</f>
        <v>405</v>
      </c>
      <c s="68" r="K162"/>
      <c s="38" r="L162">
        <f>((((B162*2)+141)*((D162*2)+36))/(402.744996))-24.57966407</f>
        <v>107.305276841842</v>
      </c>
      <c s="38" r="M162">
        <f>((((B162*2)+141)*((F162*2)+36))/(416.310724))-19.16575597</f>
        <v>86.2891301741292</v>
      </c>
      <c s="38" r="N162">
        <f>(((((C162*2)+36)*((((C162*2)+36)*(I162/672))+415))/((((C162*2)+36)*(1-(I162/672)))+415))/(1.92306))-3.576327284</f>
        <v>90.6497211314863</v>
      </c>
      <c s="38" r="O162">
        <f>(((((E162*2)+36)*((((E162*2)+36)*(I162/672))+415))/((((E162*2)+36)*(1-(I162/672)))+415))/(1.980931))+4.9921912</f>
        <v>77.891930689237</v>
      </c>
      <c s="68" r="P162"/>
      <c s="38" r="Q162">
        <f>((((L162+M162)+N162)+O162)/(1.535645))-60.47703745</f>
        <v>175.343128562779</v>
      </c>
      <c s="63" r="R162"/>
      <c s="26" r="S162"/>
      <c s="26" r="T162"/>
    </row>
    <row customHeight="1" r="163" ht="14.25">
      <c t="s" s="45" r="A163">
        <v>270</v>
      </c>
      <c s="57" r="B163">
        <v>85</v>
      </c>
      <c s="8" r="C163">
        <v>105</v>
      </c>
      <c s="8" r="D163">
        <v>100</v>
      </c>
      <c s="8" r="E163">
        <v>79</v>
      </c>
      <c s="8" r="F163">
        <v>83</v>
      </c>
      <c s="27" r="G163">
        <v>78</v>
      </c>
      <c s="68" r="H163"/>
      <c s="20" r="I163">
        <f>INDEX('Speed Factors'!$A$2:$B$256,(G163),2)</f>
        <v>429</v>
      </c>
      <c s="20" r="J163">
        <f>SUM(B163:G163)</f>
        <v>530</v>
      </c>
      <c s="68" r="K163"/>
      <c s="38" r="L163">
        <f>((((B163*2)+141)*((D163*2)+36))/(402.744996))-24.57966407</f>
        <v>157.659719979355</v>
      </c>
      <c s="38" r="M163">
        <f>((((B163*2)+141)*((F163*2)+36))/(416.310724))-19.16575597</f>
        <v>131.735953686655</v>
      </c>
      <c s="38" r="N163">
        <f>(((((C163*2)+36)*((((C163*2)+36)*(I163/672))+415))/((((C163*2)+36)*(1-(I163/672)))+415))/(1.92306))-3.576327284</f>
        <v>141.628190598673</v>
      </c>
      <c s="38" r="O163">
        <f>(((((E163*2)+36)*((((E163*2)+36)*(I163/672))+415))/((((E163*2)+36)*(1-(I163/672)))+415))/(1.980931))+4.9921912</f>
        <v>113.765213376359</v>
      </c>
      <c s="68" r="P163"/>
      <c s="38" r="Q163">
        <f>((((L163+M163)+N163)+O163)/(1.535645))-60.47703745</f>
        <v>294.285344246969</v>
      </c>
      <c s="63" r="R163"/>
      <c s="26" r="S163"/>
      <c s="26" r="T163"/>
    </row>
    <row customHeight="1" r="164" ht="14.25">
      <c t="s" s="45" r="A164">
        <v>271</v>
      </c>
      <c s="75" r="B164">
        <v>35</v>
      </c>
      <c s="54" r="C164">
        <v>46</v>
      </c>
      <c s="54" r="D164">
        <v>34</v>
      </c>
      <c s="54" r="E164">
        <v>35</v>
      </c>
      <c s="54" r="F164">
        <v>45</v>
      </c>
      <c s="2" r="G164">
        <v>20</v>
      </c>
      <c s="68" r="H164"/>
      <c s="19" r="I164">
        <f>INDEX('Speed Factors'!$A$2:$B$256,(G164),2)</f>
        <v>14</v>
      </c>
      <c s="19" r="J164">
        <f>SUM(B164:G164)</f>
        <v>215</v>
      </c>
      <c s="68" r="K164"/>
      <c s="38" r="L164">
        <f>((((B164*2)+141)*((D164*2)+36))/(402.744996))-24.57966407</f>
        <v>29.9064256839246</v>
      </c>
      <c s="38" r="M164">
        <f>((((B164*2)+141)*((F164*2)+36))/(416.310724))-19.16575597</f>
        <v>44.6951980418404</v>
      </c>
      <c s="38" r="N164">
        <f>(((((C164*2)+36)*((((C164*2)+36)*(I164/672))+415))/((((C164*2)+36)*(1-(I164/672)))+415))/(1.92306))-3.576327284</f>
        <v>47.8736504603816</v>
      </c>
      <c s="38" r="O164">
        <f>(((((E164*2)+36)*((((E164*2)+36)*(I164/672))+415))/((((E164*2)+36)*(1-(I164/672)))+415))/(1.980931))+4.9921912</f>
        <v>48.0246835181666</v>
      </c>
      <c s="68" r="P164"/>
      <c s="38" r="Q164">
        <f>((((L164+M164)+N164)+O164)/(1.535645))-60.47703745</f>
        <v>50.5512000035216</v>
      </c>
      <c s="63" r="R164"/>
      <c s="26" r="S164"/>
      <c s="26" r="T164"/>
    </row>
    <row customHeight="1" r="165" ht="14.25">
      <c t="s" s="45" r="A165">
        <v>272</v>
      </c>
      <c s="57" r="B165">
        <v>85</v>
      </c>
      <c s="8" r="C165">
        <v>76</v>
      </c>
      <c s="8" r="D165">
        <v>64</v>
      </c>
      <c s="8" r="E165">
        <v>45</v>
      </c>
      <c s="8" r="F165">
        <v>55</v>
      </c>
      <c s="27" r="G165">
        <v>90</v>
      </c>
      <c s="68" r="H165"/>
      <c s="20" r="I165">
        <f>INDEX('Speed Factors'!$A$2:$B$256,(G165),2)</f>
        <v>503</v>
      </c>
      <c s="20" r="J165">
        <f>SUM(B165:G165)</f>
        <v>415</v>
      </c>
      <c s="68" r="K165"/>
      <c s="38" r="L165">
        <f>((((B165*2)+141)*((D165*2)+36))/(402.744996))-24.57966407</f>
        <v>102.061263828704</v>
      </c>
      <c s="38" r="M165">
        <f>((((B165*2)+141)*((F165*2)+36))/(416.310724))-19.16575597</f>
        <v>89.9018163560975</v>
      </c>
      <c s="38" r="N165">
        <f>(((((C165*2)+36)*((((C165*2)+36)*(I165/672))+415))/((((C165*2)+36)*(1-(I165/672)))+415))/(1.92306))-3.576327284</f>
        <v>113.944907770721</v>
      </c>
      <c s="38" r="O165">
        <f>(((((E165*2)+36)*((((E165*2)+36)*(I165/672))+415))/((((E165*2)+36)*(1-(I165/672)))+415))/(1.980931))+4.9921912</f>
        <v>77.516188391279</v>
      </c>
      <c s="68" r="P165"/>
      <c s="38" r="Q165">
        <f>((((L165+M165)+N165)+O165)/(1.535645))-60.47703745</f>
        <v>189.205784000792</v>
      </c>
      <c s="63" r="R165"/>
      <c s="26" r="S165"/>
      <c s="26" r="T165"/>
    </row>
    <row customHeight="1" r="166" ht="14.25">
      <c t="s" s="45" r="A166">
        <v>273</v>
      </c>
      <c s="75" r="B166">
        <v>60</v>
      </c>
      <c s="54" r="C166">
        <v>30</v>
      </c>
      <c s="54" r="D166">
        <v>30</v>
      </c>
      <c s="54" r="E166">
        <v>36</v>
      </c>
      <c s="54" r="F166">
        <v>56</v>
      </c>
      <c s="2" r="G166">
        <v>50</v>
      </c>
      <c s="68" r="H166"/>
      <c s="19" r="I166">
        <f>INDEX('Speed Factors'!$A$2:$B$256,(G166),2)</f>
        <v>189</v>
      </c>
      <c s="19" r="J166">
        <f>SUM(B166:G166)</f>
        <v>262</v>
      </c>
      <c s="68" r="K166"/>
      <c s="38" r="L166">
        <f>((((B166*2)+141)*((D166*2)+36))/(402.744996))-24.57966407</f>
        <v>37.63339940404</v>
      </c>
      <c s="38" r="M166">
        <f>((((B166*2)+141)*((F166*2)+36))/(416.310724))-19.16575597</f>
        <v>73.6207080174134</v>
      </c>
      <c s="38" r="N166">
        <f>(((((C166*2)+36)*((((C166*2)+36)*(I166/672))+415))/((((C166*2)+36)*(1-(I166/672)))+415))/(1.92306))-3.576327284</f>
        <v>42.0121730683568</v>
      </c>
      <c s="38" r="O166">
        <f>(((((E166*2)+36)*((((E166*2)+36)*(I166/672))+415))/((((E166*2)+36)*(1-(I166/672)))+415))/(1.980931))+4.9921912</f>
        <v>54.2827559977013</v>
      </c>
      <c s="68" r="P166"/>
      <c s="38" r="Q166">
        <f>((((L166+M166)+N166)+O166)/(1.535645))-60.47703745</f>
        <v>74.6772700152746</v>
      </c>
      <c s="63" r="R166"/>
      <c s="26" r="S166"/>
      <c s="26" r="T166"/>
    </row>
    <row customHeight="1" r="167" ht="14.25">
      <c t="s" s="45" r="A167">
        <v>274</v>
      </c>
      <c s="57" r="B167">
        <v>100</v>
      </c>
      <c s="8" r="C167">
        <v>50</v>
      </c>
      <c s="8" r="D167">
        <v>50</v>
      </c>
      <c s="8" r="E167">
        <v>76</v>
      </c>
      <c s="8" r="F167">
        <v>96</v>
      </c>
      <c s="27" r="G167">
        <v>70</v>
      </c>
      <c s="68" r="H167"/>
      <c s="20" r="I167">
        <f>INDEX('Speed Factors'!$A$2:$B$256,(G167),2)</f>
        <v>369</v>
      </c>
      <c s="20" r="J167">
        <f>SUM(B167:G167)</f>
        <v>442</v>
      </c>
      <c s="68" r="K167"/>
      <c s="38" r="L167">
        <f>((((B167*2)+141)*((D167*2)+36))/(402.744996))-24.57966407</f>
        <v>90.5701216768104</v>
      </c>
      <c s="38" r="M167">
        <f>((((B167*2)+141)*((F167*2)+36))/(416.310724))-19.16575597</f>
        <v>167.588981580311</v>
      </c>
      <c s="38" r="N167">
        <f>(((((C167*2)+36)*((((C167*2)+36)*(I167/672))+415))/((((C167*2)+36)*(1-(I167/672)))+415))/(1.92306))-3.576327284</f>
        <v>69.1274631429315</v>
      </c>
      <c s="38" r="O167">
        <f>(((((E167*2)+36)*((((E167*2)+36)*(I167/672))+415))/((((E167*2)+36)*(1-(I167/672)))+415))/(1.980931))+4.9921912</f>
        <v>103.403390914958</v>
      </c>
      <c s="68" r="P167"/>
      <c s="38" r="Q167">
        <f>((((L167+M167)+N167)+O167)/(1.535645))-60.47703745</f>
        <v>219.984890479313</v>
      </c>
      <c s="63" r="R167"/>
      <c s="26" r="S167"/>
      <c s="26" r="T167"/>
    </row>
    <row customHeight="1" r="168" ht="14.25">
      <c t="s" s="45" r="A168">
        <v>275</v>
      </c>
      <c s="75" r="B168">
        <v>40</v>
      </c>
      <c s="54" r="C168">
        <v>20</v>
      </c>
      <c s="54" r="D168">
        <v>30</v>
      </c>
      <c s="54" r="E168">
        <v>40</v>
      </c>
      <c s="54" r="F168">
        <v>80</v>
      </c>
      <c s="2" r="G168">
        <v>55</v>
      </c>
      <c s="68" r="H168"/>
      <c s="19" r="I168">
        <f>INDEX('Speed Factors'!$A$2:$B$256,(G168),2)</f>
        <v>233</v>
      </c>
      <c s="19" r="J168">
        <f>SUM(B168:G168)</f>
        <v>265</v>
      </c>
      <c s="68" r="K168"/>
      <c s="38" r="L168">
        <f>((((B168*2)+141)*((D168*2)+36))/(402.744996))-24.57966407</f>
        <v>28.0988302892446</v>
      </c>
      <c s="38" r="M168">
        <f>((((B168*2)+141)*((F168*2)+36))/(416.310724))-19.16575597</f>
        <v>84.8815277122719</v>
      </c>
      <c s="38" r="N168">
        <f>(((((C168*2)+36)*((((C168*2)+36)*(I168/672))+415))/((((C168*2)+36)*(1-(I168/672)))+415))/(1.92306))-3.576327284</f>
        <v>33.9624593927527</v>
      </c>
      <c s="38" r="O168">
        <f>(((((E168*2)+36)*((((E168*2)+36)*(I168/672))+415))/((((E168*2)+36)*(1-(I168/672)))+415))/(1.980931))+4.9921912</f>
        <v>59.3076630658867</v>
      </c>
      <c s="68" r="P168"/>
      <c s="38" r="Q168">
        <f>((((L168+M168)+N168)+O168)/(1.535645))-60.47703745</f>
        <v>73.8316604978695</v>
      </c>
      <c s="63" r="R168"/>
      <c s="26" r="S168"/>
      <c s="26" r="T168"/>
    </row>
    <row customHeight="1" r="169" ht="14.25">
      <c t="s" s="45" r="A169">
        <v>276</v>
      </c>
      <c s="57" r="B169">
        <v>55</v>
      </c>
      <c s="8" r="C169">
        <v>35</v>
      </c>
      <c s="8" r="D169">
        <v>50</v>
      </c>
      <c s="8" r="E169">
        <v>55</v>
      </c>
      <c s="8" r="F169">
        <v>110</v>
      </c>
      <c s="27" r="G169">
        <v>85</v>
      </c>
      <c s="68" r="H169"/>
      <c s="20" r="I169">
        <f>INDEX('Speed Factors'!$A$2:$B$256,(G169),2)</f>
        <v>469</v>
      </c>
      <c s="20" r="J169">
        <f>SUM(B169:G169)</f>
        <v>390</v>
      </c>
      <c s="68" r="K169"/>
      <c s="38" r="L169">
        <f>((((B169*2)+141)*((D169*2)+36))/(402.744996))-24.57966407</f>
        <v>60.1786826234</v>
      </c>
      <c s="38" r="M169">
        <f>((((B169*2)+141)*((F169*2)+36))/(416.310724))-19.16575597</f>
        <v>135.180496229835</v>
      </c>
      <c s="38" r="N169">
        <f>(((((C169*2)+36)*((((C169*2)+36)*(I169/672))+415))/((((C169*2)+36)*(1-(I169/672)))+415))/(1.92306))-3.576327284</f>
        <v>56.7178846211854</v>
      </c>
      <c s="38" r="O169">
        <f>(((((E169*2)+36)*((((E169*2)+36)*(I169/672))+415))/((((E169*2)+36)*(1-(I169/672)))+415))/(1.980931))+4.9921912</f>
        <v>87.9725492544276</v>
      </c>
      <c s="68" r="P169"/>
      <c s="38" r="Q169">
        <f>((((L169+M169)+N169)+O169)/(1.535645))-60.47703745</f>
        <v>160.96060779278</v>
      </c>
      <c s="63" r="R169"/>
      <c s="26" r="S169"/>
      <c s="26" r="T169"/>
    </row>
    <row customHeight="1" r="170" ht="14.25">
      <c t="s" s="45" r="A170">
        <v>277</v>
      </c>
      <c s="75" r="B170">
        <v>40</v>
      </c>
      <c s="54" r="C170">
        <v>60</v>
      </c>
      <c s="54" r="D170">
        <v>40</v>
      </c>
      <c s="54" r="E170">
        <v>40</v>
      </c>
      <c s="54" r="F170">
        <v>40</v>
      </c>
      <c s="2" r="G170">
        <v>30</v>
      </c>
      <c s="68" r="H170"/>
      <c s="19" r="I170">
        <f>INDEX('Speed Factors'!$A$2:$B$256,(G170),2)</f>
        <v>44</v>
      </c>
      <c s="19" r="J170">
        <f>SUM(B170:G170)</f>
        <v>250</v>
      </c>
      <c s="68" r="K170"/>
      <c s="38" r="L170">
        <f>((((B170*2)+141)*((D170*2)+36))/(402.744996))-24.57966407</f>
        <v>39.0735166140873</v>
      </c>
      <c s="38" r="M170">
        <f>((((B170*2)+141)*((F170*2)+36))/(416.310724))-19.16575597</f>
        <v>42.4132486582834</v>
      </c>
      <c s="38" r="N170">
        <f>(((((C170*2)+36)*((((C170*2)+36)*(I170/672))+415))/((((C170*2)+36)*(1-(I170/672)))+415))/(1.92306))-3.576327284</f>
        <v>57.9332396020228</v>
      </c>
      <c s="38" r="O170">
        <f>(((((E170*2)+36)*((((E170*2)+36)*(I170/672))+415))/((((E170*2)+36)*(1-(I170/672)))+415))/(1.980931))+4.9921912</f>
        <v>52.2719846209135</v>
      </c>
      <c s="68" r="P170"/>
      <c s="38" r="Q170">
        <f>((((L170+M170)+N170)+O170)/(1.535645))-60.47703745</f>
        <v>64.3512851735926</v>
      </c>
      <c s="63" r="R170"/>
      <c s="26" r="S170"/>
      <c s="26" r="T170"/>
    </row>
    <row customHeight="1" r="171" ht="14.25">
      <c t="s" s="45" r="A171">
        <v>278</v>
      </c>
      <c s="57" r="B171">
        <v>70</v>
      </c>
      <c s="8" r="C171">
        <v>90</v>
      </c>
      <c s="8" r="D171">
        <v>70</v>
      </c>
      <c s="8" r="E171">
        <v>60</v>
      </c>
      <c s="8" r="F171">
        <v>60</v>
      </c>
      <c s="27" r="G171">
        <v>40</v>
      </c>
      <c s="68" r="H171"/>
      <c s="20" r="I171">
        <f>INDEX('Speed Factors'!$A$2:$B$256,(G171),2)</f>
        <v>111</v>
      </c>
      <c s="20" r="J171">
        <f>SUM(B171:G171)</f>
        <v>390</v>
      </c>
      <c s="68" r="K171"/>
      <c s="38" r="L171">
        <f>((((B171*2)+141)*((D171*2)+36))/(402.744996))-24.57966407</f>
        <v>98.2176406543025</v>
      </c>
      <c s="38" r="M171">
        <f>((((B171*2)+141)*((F171*2)+36))/(416.310724))-19.16575597</f>
        <v>86.1305947432716</v>
      </c>
      <c s="38" r="N171">
        <f>(((((C171*2)+36)*((((C171*2)+36)*(I171/672))+415))/((((C171*2)+36)*(1-(I171/672)))+415))/(1.92306))-3.576327284</f>
        <v>81.4544815786352</v>
      </c>
      <c s="38" r="O171">
        <f>(((((E171*2)+36)*((((E171*2)+36)*(I171/672))+415))/((((E171*2)+36)*(1-(I171/672)))+415))/(1.980931))+4.9921912</f>
        <v>68.6546950494339</v>
      </c>
      <c s="68" r="P171"/>
      <c s="38" r="Q171">
        <f>((((L171+M171)+N171)+O171)/(1.535645))-60.47703745</f>
        <v>157.319010481419</v>
      </c>
      <c s="63" r="R171"/>
      <c s="26" r="S171"/>
      <c s="26" r="T171"/>
    </row>
    <row customHeight="1" r="172" ht="14.25">
      <c t="s" s="45" r="A172">
        <v>279</v>
      </c>
      <c s="75" r="B172">
        <v>85</v>
      </c>
      <c s="54" r="C172">
        <v>90</v>
      </c>
      <c s="54" r="D172">
        <v>80</v>
      </c>
      <c s="54" r="E172">
        <v>70</v>
      </c>
      <c s="54" r="F172">
        <v>80</v>
      </c>
      <c s="2" r="G172">
        <v>130</v>
      </c>
      <c s="68" r="H172"/>
      <c s="19" r="I172">
        <f>INDEX('Speed Factors'!$A$2:$B$256,(G172),2)</f>
        <v>662</v>
      </c>
      <c s="19" r="J172">
        <f>SUM(B172:G172)</f>
        <v>535</v>
      </c>
      <c s="68" r="K172"/>
      <c s="38" r="L172">
        <f>((((B172*2)+141)*((D172*2)+36))/(402.744996))-24.57966407</f>
        <v>126.771688784549</v>
      </c>
      <c s="38" r="M172">
        <f>((((B172*2)+141)*((F172*2)+36))/(416.310724))-19.16575597</f>
        <v>127.253724686953</v>
      </c>
      <c s="38" r="N172">
        <f>(((((C172*2)+36)*((((C172*2)+36)*(I172/672))+415))/((((C172*2)+36)*(1-(I172/672)))+415))/(1.92306))-3.576327284</f>
        <v>165.029849874783</v>
      </c>
      <c s="38" r="O172">
        <f>(((((E172*2)+36)*((((E172*2)+36)*(I172/672))+415))/((((E172*2)+36)*(1-(I172/672)))+415))/(1.980931))+4.9921912</f>
        <v>130.16835148726</v>
      </c>
      <c s="68" r="P172"/>
      <c s="38" r="Q172">
        <f>((((L172+M172)+N172)+O172)/(1.535645))-60.47703745</f>
        <v>297.17308014459</v>
      </c>
      <c s="63" r="R172"/>
      <c s="26" r="S172"/>
      <c s="26" r="T172"/>
    </row>
    <row customHeight="1" r="173" ht="14.25">
      <c t="s" s="45" r="A173">
        <v>280</v>
      </c>
      <c s="57" r="B173">
        <v>75</v>
      </c>
      <c s="8" r="C173">
        <v>38</v>
      </c>
      <c s="8" r="D173">
        <v>38</v>
      </c>
      <c s="8" r="E173">
        <v>56</v>
      </c>
      <c s="8" r="F173">
        <v>56</v>
      </c>
      <c s="27" r="G173">
        <v>67</v>
      </c>
      <c s="68" r="H173"/>
      <c s="20" r="I173">
        <f>INDEX('Speed Factors'!$A$2:$B$256,(G173),2)</f>
        <v>361</v>
      </c>
      <c s="20" r="J173">
        <f>SUM(B173:G173)</f>
        <v>330</v>
      </c>
      <c s="68" r="K173"/>
      <c s="38" r="L173">
        <f>((((B173*2)+141)*((D173*2)+36))/(402.744996))-24.57966407</f>
        <v>56.344991291826</v>
      </c>
      <c s="38" r="M173">
        <f>((((B173*2)+141)*((F173*2)+36))/(416.310724))-19.16575597</f>
        <v>84.2858188205644</v>
      </c>
      <c s="38" r="N173">
        <f>(((((C173*2)+36)*((((C173*2)+36)*(I173/672))+415))/((((C173*2)+36)*(1-(I173/672)))+415))/(1.92306))-3.576327284</f>
        <v>55.7038230853575</v>
      </c>
      <c s="38" r="O173">
        <f>(((((E173*2)+36)*((((E173*2)+36)*(I173/672))+415))/((((E173*2)+36)*(1-(I173/672)))+415))/(1.980931))+4.9921912</f>
        <v>81.4061603638111</v>
      </c>
      <c s="68" r="P173"/>
      <c s="38" r="Q173">
        <f>((((L173+M173)+N173)+O173)/(1.535645))-60.47703745</f>
        <v>120.385592625023</v>
      </c>
      <c s="63" r="R173"/>
      <c s="26" r="S173"/>
      <c s="26" r="T173"/>
    </row>
    <row customHeight="1" r="174" ht="14.25">
      <c t="s" s="45" r="A174">
        <v>281</v>
      </c>
      <c s="75" r="B174">
        <v>125</v>
      </c>
      <c s="54" r="C174">
        <v>58</v>
      </c>
      <c s="54" r="D174">
        <v>58</v>
      </c>
      <c s="54" r="E174">
        <v>76</v>
      </c>
      <c s="54" r="F174">
        <v>76</v>
      </c>
      <c s="2" r="G174">
        <v>67</v>
      </c>
      <c s="68" r="H174"/>
      <c s="19" r="I174">
        <f>INDEX('Speed Factors'!$A$2:$B$256,(G174),2)</f>
        <v>361</v>
      </c>
      <c s="19" r="J174">
        <f>SUM(B174:G174)</f>
        <v>460</v>
      </c>
      <c s="68" r="K174"/>
      <c s="38" r="L174">
        <f>((((B174*2)+141)*((D174*2)+36))/(402.744996))-24.57966407</f>
        <v>122.987656667115</v>
      </c>
      <c s="38" r="M174">
        <f>((((B174*2)+141)*((F174*2)+36))/(416.310724))-19.16575597</f>
        <v>157.404281173698</v>
      </c>
      <c s="38" r="N174">
        <f>(((((C174*2)+36)*((((C174*2)+36)*(I174/672))+415))/((((C174*2)+36)*(1-(I174/672)))+415))/(1.92306))-3.576327284</f>
        <v>77.30617603934</v>
      </c>
      <c s="38" r="O174">
        <f>(((((E174*2)+36)*((((E174*2)+36)*(I174/672))+415))/((((E174*2)+36)*(1-(I174/672)))+415))/(1.980931))+4.9921912</f>
        <v>102.541529070261</v>
      </c>
      <c s="68" r="P174"/>
      <c s="38" r="Q174">
        <f>((((L174+M174)+N174)+O174)/(1.535645))-60.47703745</f>
        <v>239.227414392981</v>
      </c>
      <c s="63" r="R174"/>
      <c s="26" r="S174"/>
      <c s="26" r="T174"/>
    </row>
    <row customHeight="1" r="175" ht="14.25">
      <c t="s" s="45" r="A175">
        <v>282</v>
      </c>
      <c s="57" r="B175">
        <v>20</v>
      </c>
      <c s="8" r="C175">
        <v>40</v>
      </c>
      <c s="8" r="D175">
        <v>15</v>
      </c>
      <c s="8" r="E175">
        <v>35</v>
      </c>
      <c s="8" r="F175">
        <v>35</v>
      </c>
      <c s="27" r="G175">
        <v>60</v>
      </c>
      <c s="68" r="H175"/>
      <c s="20" r="I175">
        <f>INDEX('Speed Factors'!$A$2:$B$256,(G175),2)</f>
        <v>274</v>
      </c>
      <c s="20" r="J175">
        <f>SUM(B175:G175)</f>
        <v>205</v>
      </c>
      <c s="68" r="K175"/>
      <c s="38" r="L175">
        <f>((((B175*2)+141)*((D175*2)+36))/(402.744996))-24.57966407</f>
        <v>5.08178453555884</v>
      </c>
      <c s="38" r="M175">
        <f>((((B175*2)+141)*((F175*2)+36))/(416.310724))-19.16575597</f>
        <v>26.9200133699222</v>
      </c>
      <c s="38" r="N175">
        <f>(((((C175*2)+36)*((((C175*2)+36)*(I175/672))+415))/((((C175*2)+36)*(1-(I175/672)))+415))/(1.92306))-3.576327284</f>
        <v>54.0749038783914</v>
      </c>
      <c s="38" r="O175">
        <f>(((((E175*2)+36)*((((E175*2)+36)*(I175/672))+415))/((((E175*2)+36)*(1-(I175/672)))+415))/(1.980931))+4.9921912</f>
        <v>56.3117641539336</v>
      </c>
      <c s="68" r="P175"/>
      <c s="38" r="Q175">
        <f>((((L175+M175)+N175)+O175)/(1.535645))-60.47703745</f>
        <v>32.2452166763156</v>
      </c>
      <c s="63" r="R175"/>
      <c s="26" r="S175"/>
      <c s="26" r="T175"/>
    </row>
    <row customHeight="1" r="176" ht="14.25">
      <c t="s" s="45" r="A176">
        <v>283</v>
      </c>
      <c s="75" r="B176">
        <v>50</v>
      </c>
      <c s="54" r="C176">
        <v>25</v>
      </c>
      <c s="54" r="D176">
        <v>28</v>
      </c>
      <c s="54" r="E176">
        <v>45</v>
      </c>
      <c s="54" r="F176">
        <v>55</v>
      </c>
      <c s="2" r="G176">
        <v>15</v>
      </c>
      <c s="68" r="H176"/>
      <c s="19" r="I176">
        <f>INDEX('Speed Factors'!$A$2:$B$256,(G176),2)</f>
        <v>5</v>
      </c>
      <c s="19" r="J176">
        <f>SUM(B176:G176)</f>
        <v>218</v>
      </c>
      <c s="68" r="K176"/>
      <c s="38" r="L176">
        <f>((((B176*2)+141)*((D176*2)+36))/(402.744996))-24.57966407</f>
        <v>30.4725407251156</v>
      </c>
      <c s="38" r="M176">
        <f>((((B176*2)+141)*((F176*2)+36))/(416.310724))-19.16575597</f>
        <v>65.3528450929887</v>
      </c>
      <c s="38" r="N176">
        <f>(((((C176*2)+36)*((((C176*2)+36)*(I176/672))+415))/((((C176*2)+36)*(1-(I176/672)))+415))/(1.92306))-3.576327284</f>
        <v>33.572075115187</v>
      </c>
      <c s="38" r="O176">
        <f>(((((E176*2)+36)*((((E176*2)+36)*(I176/672))+415))/((((E176*2)+36)*(1-(I176/672)))+415))/(1.980931))+4.9921912</f>
        <v>53.9796883683866</v>
      </c>
      <c s="68" r="P176"/>
      <c s="38" r="Q176">
        <f>((((L176+M176)+N176)+O176)/(1.535645))-60.47703745</f>
        <v>58.9367263441568</v>
      </c>
      <c s="63" r="R176"/>
      <c s="26" r="S176"/>
      <c s="26" r="T176"/>
    </row>
    <row customHeight="1" r="177" ht="14.25">
      <c t="s" s="45" r="A177">
        <v>284</v>
      </c>
      <c s="57" r="B177">
        <v>90</v>
      </c>
      <c s="8" r="C177">
        <v>30</v>
      </c>
      <c s="8" r="D177">
        <v>15</v>
      </c>
      <c s="8" r="E177">
        <v>40</v>
      </c>
      <c s="8" r="F177">
        <v>20</v>
      </c>
      <c s="27" r="G177">
        <v>15</v>
      </c>
      <c s="68" r="H177"/>
      <c s="20" r="I177">
        <f>INDEX('Speed Factors'!$A$2:$B$256,(G177),2)</f>
        <v>5</v>
      </c>
      <c s="20" r="J177">
        <f>SUM(B177:G177)</f>
        <v>210</v>
      </c>
      <c s="68" r="K177"/>
      <c s="38" r="L177">
        <f>((((B177*2)+141)*((D177*2)+36))/(402.744996))-24.57966407</f>
        <v>28.0243414680353</v>
      </c>
      <c s="38" r="M177">
        <f>((((B177*2)+141)*((F177*2)+36))/(416.310724))-19.16575597</f>
        <v>39.4347041997457</v>
      </c>
      <c s="38" r="N177">
        <f>(((((C177*2)+36)*((((C177*2)+36)*(I177/672))+415))/((((C177*2)+36)*(1-(I177/672)))+415))/(1.92306))-3.576327284</f>
        <v>37.0923396708179</v>
      </c>
      <c s="38" r="O177">
        <f>(((((E177*2)+36)*((((E177*2)+36)*(I177/672))+415))/((((E177*2)+36)*(1-(I177/672)))+415))/(1.980931))+4.9921912</f>
        <v>50.9279594792554</v>
      </c>
      <c s="68" r="P177"/>
      <c s="38" r="Q177">
        <f>((((L177+M177)+N177)+O177)/(1.535645))-60.47703745</f>
        <v>40.7698945022769</v>
      </c>
      <c s="63" r="R177"/>
      <c s="26" r="S177"/>
      <c s="26" r="T177"/>
    </row>
    <row customHeight="1" r="178" ht="14.25">
      <c t="s" s="45" r="A178">
        <v>285</v>
      </c>
      <c s="75" r="B178">
        <v>35</v>
      </c>
      <c s="54" r="C178">
        <v>20</v>
      </c>
      <c s="54" r="D178">
        <v>65</v>
      </c>
      <c s="54" r="E178">
        <v>40</v>
      </c>
      <c s="54" r="F178">
        <v>65</v>
      </c>
      <c s="2" r="G178">
        <v>20</v>
      </c>
      <c s="68" r="H178"/>
      <c s="19" r="I178">
        <f>INDEX('Speed Factors'!$A$2:$B$256,(G178),2)</f>
        <v>14</v>
      </c>
      <c s="19" r="J178">
        <f>SUM(B178:G178)</f>
        <v>245</v>
      </c>
      <c s="68" r="K178"/>
      <c s="38" r="L178">
        <f>((((B178*2)+141)*((D178*2)+36))/(402.744996))-24.57966407</f>
        <v>62.3885176526104</v>
      </c>
      <c s="38" r="M178">
        <f>((((B178*2)+141)*((F178*2)+36))/(416.310724))-19.16575597</f>
        <v>64.968516775758</v>
      </c>
      <c s="38" r="N178">
        <f>(((((C178*2)+36)*((((C178*2)+36)*(I178/672))+415))/((((C178*2)+36)*(1-(I178/672)))+415))/(1.92306))-3.576327284</f>
        <v>30.0627359796682</v>
      </c>
      <c s="38" r="O178">
        <f>(((((E178*2)+36)*((((E178*2)+36)*(I178/672))+415))/((((E178*2)+36)*(1-(I178/672)))+415))/(1.980931))+4.9921912</f>
        <v>51.2350804694867</v>
      </c>
      <c s="68" r="P178"/>
      <c s="38" r="Q178">
        <f>((((L178+M178)+N178)+O178)/(1.535645))-60.47703745</f>
        <v>75.3973676875958</v>
      </c>
      <c s="63" r="R178"/>
      <c s="26" r="S178"/>
      <c s="26" r="T178"/>
    </row>
    <row customHeight="1" r="179" ht="14.25">
      <c t="s" s="45" r="A179">
        <v>286</v>
      </c>
      <c s="57" r="B179">
        <v>55</v>
      </c>
      <c s="8" r="C179">
        <v>40</v>
      </c>
      <c s="8" r="D179">
        <v>85</v>
      </c>
      <c s="8" r="E179">
        <v>80</v>
      </c>
      <c s="8" r="F179">
        <v>105</v>
      </c>
      <c s="27" r="G179">
        <v>40</v>
      </c>
      <c s="68" r="H179"/>
      <c s="20" r="I179">
        <f>INDEX('Speed Factors'!$A$2:$B$256,(G179),2)</f>
        <v>111</v>
      </c>
      <c s="20" r="J179">
        <f>SUM(B179:G179)</f>
        <v>405</v>
      </c>
      <c s="68" r="K179"/>
      <c s="38" r="L179">
        <f>((((B179*2)+141)*((D179*2)+36))/(402.744996))-24.57966407</f>
        <v>103.804302245003</v>
      </c>
      <c s="38" r="M179">
        <f>((((B179*2)+141)*((F179*2)+36))/(416.310724))-19.16575597</f>
        <v>129.151345753279</v>
      </c>
      <c s="38" r="N179">
        <f>(((((C179*2)+36)*((((C179*2)+36)*(I179/672))+415))/((((C179*2)+36)*(1-(I179/672)))+415))/(1.92306))-3.576327284</f>
        <v>47.589742765994</v>
      </c>
      <c s="38" r="O179">
        <f>(((((E179*2)+36)*((((E179*2)+36)*(I179/672))+415))/((((E179*2)+36)*(1-(I179/672)))+415))/(1.980931))+4.9921912</f>
        <v>81.4921569216174</v>
      </c>
      <c s="68" r="P179"/>
      <c s="38" r="Q179">
        <f>((((L179+M179)+N179)+O179)/(1.535645))-60.47703745</f>
        <v>175.278978872714</v>
      </c>
      <c s="63" r="R179"/>
      <c s="26" r="S179"/>
      <c s="26" r="T179"/>
    </row>
    <row customHeight="1" r="180" ht="14.25">
      <c t="s" s="45" r="A180">
        <v>287</v>
      </c>
      <c s="75" r="B180">
        <v>40</v>
      </c>
      <c s="54" r="C180">
        <v>50</v>
      </c>
      <c s="54" r="D180">
        <v>45</v>
      </c>
      <c s="54" r="E180">
        <v>70</v>
      </c>
      <c s="54" r="F180">
        <v>45</v>
      </c>
      <c s="2" r="G180">
        <v>70</v>
      </c>
      <c s="68" r="H180"/>
      <c s="19" r="I180">
        <f>INDEX('Speed Factors'!$A$2:$B$256,(G180),2)</f>
        <v>369</v>
      </c>
      <c s="19" r="J180">
        <f>SUM(B180:G180)</f>
        <v>320</v>
      </c>
      <c s="68" r="K180"/>
      <c s="38" r="L180">
        <f>((((B180*2)+141)*((D180*2)+36))/(402.744996))-24.57966407</f>
        <v>44.5608597765086</v>
      </c>
      <c s="38" r="M180">
        <f>((((B180*2)+141)*((F180*2)+36))/(416.310724))-19.16575597</f>
        <v>47.7217835400319</v>
      </c>
      <c s="38" r="N180">
        <f>(((((C180*2)+36)*((((C180*2)+36)*(I180/672))+415))/((((C180*2)+36)*(1-(I180/672)))+415))/(1.92306))-3.576327284</f>
        <v>69.1274631429315</v>
      </c>
      <c s="38" r="O180">
        <f>(((((E180*2)+36)*((((E180*2)+36)*(I180/672))+415))/((((E180*2)+36)*(1-(I180/672)))+415))/(1.980931))+4.9921912</f>
        <v>96.9459361739407</v>
      </c>
      <c s="68" r="P180"/>
      <c s="38" r="Q180">
        <f>((((L180+M180)+N180)+O180)/(1.535645))-60.47703745</f>
        <v>107.762394601947</v>
      </c>
      <c s="63" r="R180"/>
      <c s="26" r="S180"/>
      <c s="26" r="T180"/>
    </row>
    <row customHeight="1" r="181" ht="14.25">
      <c t="s" s="45" r="A181">
        <v>288</v>
      </c>
      <c s="57" r="B181">
        <v>65</v>
      </c>
      <c s="8" r="C181">
        <v>75</v>
      </c>
      <c s="8" r="D181">
        <v>70</v>
      </c>
      <c s="8" r="E181">
        <v>95</v>
      </c>
      <c s="8" r="F181">
        <v>70</v>
      </c>
      <c s="27" r="G181">
        <v>95</v>
      </c>
      <c s="68" r="H181"/>
      <c s="20" r="I181">
        <f>INDEX('Speed Factors'!$A$2:$B$256,(G181),2)</f>
        <v>542</v>
      </c>
      <c s="20" r="J181">
        <f>SUM(B181:G181)</f>
        <v>470</v>
      </c>
      <c s="68" r="K181"/>
      <c s="38" r="L181">
        <f>((((B181*2)+141)*((D181*2)+36))/(402.744996))-24.57966407</f>
        <v>93.8476298100213</v>
      </c>
      <c s="38" r="M181">
        <f>((((B181*2)+141)*((F181*2)+36))/(416.310724))-19.16575597</f>
        <v>95.4025153964614</v>
      </c>
      <c s="38" r="N181">
        <f>(((((C181*2)+36)*((((C181*2)+36)*(I181/672))+415))/((((C181*2)+36)*(1-(I181/672)))+415))/(1.92306))-3.576327284</f>
        <v>117.60143755588</v>
      </c>
      <c s="38" r="O181">
        <f>(((((E181*2)+36)*((((E181*2)+36)*(I181/672))+415))/((((E181*2)+36)*(1-(I181/672)))+415))/(1.980931))+4.9921912</f>
        <v>153.540936923884</v>
      </c>
      <c s="68" r="P181"/>
      <c s="38" r="Q181">
        <f>((((L181+M181)+N181)+O181)/(1.535645))-60.47703745</f>
        <v>239.32696652634</v>
      </c>
      <c s="63" r="R181"/>
      <c s="26" r="S181"/>
      <c s="26" r="T181"/>
    </row>
    <row customHeight="1" r="182" ht="14.25">
      <c t="s" s="45" r="A182">
        <v>289</v>
      </c>
      <c s="75" r="B182">
        <v>55</v>
      </c>
      <c s="54" r="C182">
        <v>40</v>
      </c>
      <c s="54" r="D182">
        <v>40</v>
      </c>
      <c s="54" r="E182">
        <v>65</v>
      </c>
      <c s="54" r="F182">
        <v>45</v>
      </c>
      <c s="2" r="G182">
        <v>35</v>
      </c>
      <c s="68" r="H182"/>
      <c s="19" r="I182">
        <f>INDEX('Speed Factors'!$A$2:$B$256,(G182),2)</f>
        <v>84</v>
      </c>
      <c s="19" r="J182">
        <f>SUM(B182:G182)</f>
        <v>280</v>
      </c>
      <c s="68" r="K182"/>
      <c s="38" r="L182">
        <f>((((B182*2)+141)*((D182*2)+36))/(402.744996))-24.57966407</f>
        <v>47.7142198743706</v>
      </c>
      <c s="38" r="M182">
        <f>((((B182*2)+141)*((F182*2)+36))/(416.310724))-19.16575597</f>
        <v>56.8015400346064</v>
      </c>
      <c s="38" r="N182">
        <f>(((((C182*2)+36)*((((C182*2)+36)*(I182/672))+415))/((((C182*2)+36)*(1-(I182/672)))+415))/(1.92306))-3.576327284</f>
        <v>46.5837269027924</v>
      </c>
      <c s="38" r="O182">
        <f>(((((E182*2)+36)*((((E182*2)+36)*(I182/672))+415))/((((E182*2)+36)*(1-(I182/672)))+415))/(1.980931))+4.9921912</f>
        <v>70.1691767240345</v>
      </c>
      <c s="68" r="P182"/>
      <c s="38" r="Q182">
        <f>((((L182+M182)+N182)+O182)/(1.535645))-60.47703745</f>
        <v>83.6113837253393</v>
      </c>
      <c s="63" r="R182"/>
      <c s="26" r="S182"/>
      <c s="26" r="T182"/>
    </row>
    <row customHeight="1" r="183" ht="14.25">
      <c t="s" s="45" r="A183">
        <v>290</v>
      </c>
      <c s="57" r="B183">
        <v>70</v>
      </c>
      <c s="8" r="C183">
        <v>55</v>
      </c>
      <c s="8" r="D183">
        <v>55</v>
      </c>
      <c s="8" r="E183">
        <v>80</v>
      </c>
      <c s="8" r="F183">
        <v>60</v>
      </c>
      <c s="27" r="G183">
        <v>45</v>
      </c>
      <c s="68" r="H183"/>
      <c s="20" r="I183">
        <f>INDEX('Speed Factors'!$A$2:$B$256,(G183),2)</f>
        <v>154</v>
      </c>
      <c s="20" r="J183">
        <f>SUM(B183:G183)</f>
        <v>365</v>
      </c>
      <c s="68" r="K183"/>
      <c s="38" r="L183">
        <f>((((B183*2)+141)*((D183*2)+36))/(402.744996))-24.57966407</f>
        <v>77.2862818944782</v>
      </c>
      <c s="38" r="M183">
        <f>((((B183*2)+141)*((F183*2)+36))/(416.310724))-19.16575597</f>
        <v>86.1305947432716</v>
      </c>
      <c s="38" r="N183">
        <f>(((((C183*2)+36)*((((C183*2)+36)*(I183/672))+415))/((((C183*2)+36)*(1-(I183/672)))+415))/(1.92306))-3.576327284</f>
        <v>60.9631364850962</v>
      </c>
      <c s="38" r="O183">
        <f>(((((E183*2)+36)*((((E183*2)+36)*(I183/672))+415))/((((E183*2)+36)*(1-(I183/672)))+415))/(1.980931))+4.9921912</f>
        <v>85.3791321713054</v>
      </c>
      <c s="68" r="P183"/>
      <c s="38" r="Q183">
        <f>((((L183+M183)+N183)+O183)/(1.535645))-60.47703745</f>
        <v>141.235692571686</v>
      </c>
      <c s="63" r="R183"/>
      <c s="26" r="S183"/>
      <c s="26" r="T183"/>
    </row>
    <row customHeight="1" r="184" ht="14.25">
      <c t="s" s="45" r="A184">
        <v>291</v>
      </c>
      <c s="75" r="B184">
        <v>90</v>
      </c>
      <c s="54" r="C184">
        <v>75</v>
      </c>
      <c s="54" r="D184">
        <v>75</v>
      </c>
      <c s="54" r="E184">
        <v>115</v>
      </c>
      <c s="54" r="F184">
        <v>90</v>
      </c>
      <c s="2" r="G184">
        <v>55</v>
      </c>
      <c s="68" r="H184"/>
      <c s="19" r="I184">
        <f>INDEX('Speed Factors'!$A$2:$B$256,(G184),2)</f>
        <v>233</v>
      </c>
      <c s="19" r="J184">
        <f>SUM(B184:G184)</f>
        <v>500</v>
      </c>
      <c s="68" r="K184"/>
      <c s="38" r="L184">
        <f>((((B184*2)+141)*((D184*2)+36))/(402.744996))-24.57966407</f>
        <v>123.667987900827</v>
      </c>
      <c s="38" r="M184">
        <f>((((B184*2)+141)*((F184*2)+36))/(416.310724))-19.16575597</f>
        <v>147.382920301909</v>
      </c>
      <c s="38" r="N184">
        <f>(((((C184*2)+36)*((((C184*2)+36)*(I184/672))+415))/((((C184*2)+36)*(1-(I184/672)))+415))/(1.92306))-3.576327284</f>
        <v>82.8654485644722</v>
      </c>
      <c s="38" r="O184">
        <f>(((((E184*2)+36)*((((E184*2)+36)*(I184/672))+415))/((((E184*2)+36)*(1-(I184/672)))+415))/(1.980931))+4.9921912</f>
        <v>120.675371341681</v>
      </c>
      <c s="68" r="P184"/>
      <c s="38" r="Q184">
        <f>((((L184+M184)+N184)+O184)/(1.535645))-60.47703745</f>
        <v>248.573379872291</v>
      </c>
      <c s="63" r="R184"/>
      <c s="26" r="S184"/>
      <c s="26" r="T184"/>
    </row>
    <row customHeight="1" r="185" ht="14.25">
      <c t="s" s="45" r="A185">
        <v>292</v>
      </c>
      <c s="57" r="B185">
        <v>75</v>
      </c>
      <c s="8" r="C185">
        <v>80</v>
      </c>
      <c s="8" r="D185">
        <v>85</v>
      </c>
      <c s="8" r="E185">
        <v>90</v>
      </c>
      <c s="8" r="F185">
        <v>100</v>
      </c>
      <c s="27" r="G185">
        <v>50</v>
      </c>
      <c s="68" r="H185"/>
      <c s="20" r="I185">
        <f>INDEX('Speed Factors'!$A$2:$B$256,(G185),2)</f>
        <v>189</v>
      </c>
      <c s="20" r="J185">
        <f>SUM(B185:G185)</f>
        <v>480</v>
      </c>
      <c s="68" r="K185"/>
      <c s="38" r="L185">
        <f>((((B185*2)+141)*((D185*2)+36))/(402.744996))-24.57966407</f>
        <v>124.263898470501</v>
      </c>
      <c s="38" r="M185">
        <f>((((B185*2)+141)*((F185*2)+36))/(416.310724))-19.16575597</f>
        <v>145.797565993332</v>
      </c>
      <c s="38" r="N185">
        <f>(((((C185*2)+36)*((((C185*2)+36)*(I185/672))+415))/((((C185*2)+36)*(1-(I185/672)))+415))/(1.92306))-3.576327284</f>
        <v>82.6221195915432</v>
      </c>
      <c s="38" r="O185">
        <f>(((((E185*2)+36)*((((E185*2)+36)*(I185/672))+415))/((((E185*2)+36)*(1-(I185/672)))+415))/(1.980931))+4.9921912</f>
        <v>95.962130672734</v>
      </c>
      <c s="68" r="P185"/>
      <c s="38" r="Q185">
        <f>((((L185+M185)+N185)+O185)/(1.535645))-60.47703745</f>
        <v>231.677539114317</v>
      </c>
      <c s="63" r="R185"/>
      <c s="26" r="S185"/>
      <c s="26" r="T185"/>
    </row>
    <row customHeight="1" r="186" ht="14.25">
      <c t="s" s="45" r="A186">
        <v>293</v>
      </c>
      <c s="75" r="B186">
        <v>70</v>
      </c>
      <c s="54" r="C186">
        <v>20</v>
      </c>
      <c s="54" r="D186">
        <v>50</v>
      </c>
      <c s="54" r="E186">
        <v>20</v>
      </c>
      <c s="54" r="F186">
        <v>50</v>
      </c>
      <c s="2" r="G186">
        <v>40</v>
      </c>
      <c s="68" r="H186"/>
      <c s="19" r="I186">
        <f>INDEX('Speed Factors'!$A$2:$B$256,(G186),2)</f>
        <v>111</v>
      </c>
      <c s="19" r="J186">
        <f>SUM(B186:G186)</f>
        <v>250</v>
      </c>
      <c s="68" r="K186"/>
      <c s="38" r="L186">
        <f>((((B186*2)+141)*((D186*2)+36))/(402.744996))-24.57966407</f>
        <v>70.3091623078701</v>
      </c>
      <c s="38" r="M186">
        <f>((((B186*2)+141)*((F186*2)+36))/(416.310724))-19.16575597</f>
        <v>72.6310626005444</v>
      </c>
      <c s="38" r="N186">
        <f>(((((C186*2)+36)*((((C186*2)+36)*(I186/672))+415))/((((C186*2)+36)*(1-(I186/672)))+415))/(1.92306))-3.576327284</f>
        <v>31.7401989308339</v>
      </c>
      <c s="38" r="O186">
        <f>(((((E186*2)+36)*((((E186*2)+36)*(I186/672))+415))/((((E186*2)+36)*(1-(I186/672)))+415))/(1.980931))+4.9921912</f>
        <v>39.2769789602493</v>
      </c>
      <c s="68" r="P186"/>
      <c s="38" r="Q186">
        <f>((((L186+M186)+N186)+O186)/(1.535645))-60.47703745</f>
        <v>78.8503479805506</v>
      </c>
      <c s="63" r="R186"/>
      <c s="26" r="S186"/>
      <c s="26" r="T186"/>
    </row>
    <row customHeight="1" r="187" ht="14.25">
      <c t="s" s="45" r="A187">
        <v>294</v>
      </c>
      <c s="57" r="B187">
        <v>100</v>
      </c>
      <c s="8" r="C187">
        <v>50</v>
      </c>
      <c s="8" r="D187">
        <v>80</v>
      </c>
      <c s="8" r="E187">
        <v>50</v>
      </c>
      <c s="8" r="F187">
        <v>80</v>
      </c>
      <c s="27" r="G187">
        <v>50</v>
      </c>
      <c s="68" r="H187"/>
      <c s="20" r="I187">
        <f>INDEX('Speed Factors'!$A$2:$B$256,(G187),2)</f>
        <v>189</v>
      </c>
      <c s="20" r="J187">
        <f>SUM(B187:G187)</f>
        <v>410</v>
      </c>
      <c s="68" r="K187"/>
      <c s="38" r="L187">
        <f>((((B187*2)+141)*((D187*2)+36))/(402.744996))-24.57966407</f>
        <v>141.37149774158</v>
      </c>
      <c s="38" r="M187">
        <f>((((B187*2)+141)*((F187*2)+36))/(416.310724))-19.16575597</f>
        <v>141.37779034518</v>
      </c>
      <c s="38" r="N187">
        <f>(((((C187*2)+36)*((((C187*2)+36)*(I187/672))+415))/((((C187*2)+36)*(1-(I187/672)))+415))/(1.92306))-3.576327284</f>
        <v>58.9378064581244</v>
      </c>
      <c s="38" r="O187">
        <f>(((((E187*2)+36)*((((E187*2)+36)*(I187/672))+415))/((((E187*2)+36)*(1-(I187/672)))+415))/(1.980931))+4.9921912</f>
        <v>65.6800344586141</v>
      </c>
      <c s="68" r="P187"/>
      <c s="38" r="Q187">
        <f>((((L187+M187)+N187)+O187)/(1.535645))-60.47703745</f>
        <v>204.797247299078</v>
      </c>
      <c s="63" r="R187"/>
      <c s="26" r="S187"/>
      <c s="26" r="T187"/>
    </row>
    <row customHeight="1" r="188" ht="14.25">
      <c t="s" s="45" r="A188">
        <v>295</v>
      </c>
      <c s="75" r="B188">
        <v>70</v>
      </c>
      <c s="54" r="C188">
        <v>100</v>
      </c>
      <c s="54" r="D188">
        <v>115</v>
      </c>
      <c s="54" r="E188">
        <v>30</v>
      </c>
      <c s="54" r="F188">
        <v>65</v>
      </c>
      <c s="2" r="G188">
        <v>30</v>
      </c>
      <c s="68" r="H188"/>
      <c s="19" r="I188">
        <f>INDEX('Speed Factors'!$A$2:$B$256,(G188),2)</f>
        <v>44</v>
      </c>
      <c s="19" r="J188">
        <f>SUM(B188:G188)</f>
        <v>410</v>
      </c>
      <c s="68" r="K188"/>
      <c s="38" r="L188">
        <f>((((B188*2)+141)*((D188*2)+36))/(402.744996))-24.57966407</f>
        <v>161.011716933775</v>
      </c>
      <c s="38" r="M188">
        <f>((((B188*2)+141)*((F188*2)+36))/(416.310724))-19.16575597</f>
        <v>92.8803608146351</v>
      </c>
      <c s="38" r="N188">
        <f>(((((C188*2)+36)*((((C188*2)+36)*(I188/672))+415))/((((C188*2)+36)*(1-(I188/672)))+415))/(1.92306))-3.576327284</f>
        <v>79.5418836452608</v>
      </c>
      <c s="38" r="O188">
        <f>(((((E188*2)+36)*((((E188*2)+36)*(I188/672))+415))/((((E188*2)+36)*(1-(I188/672)))+415))/(1.980931))+4.9921912</f>
        <v>45.4435411685937</v>
      </c>
      <c s="68" r="P188"/>
      <c s="38" r="Q188">
        <f>((((L188+M188)+N188)+O188)/(1.535645))-60.47703745</f>
        <v>186.24502563246</v>
      </c>
      <c s="63" r="R188"/>
      <c s="26" r="S188"/>
      <c s="26" r="T188"/>
    </row>
    <row customHeight="1" r="189" ht="14.25">
      <c t="s" s="45" r="A189">
        <v>92</v>
      </c>
      <c s="57" r="B189">
        <v>90</v>
      </c>
      <c s="8" r="C189">
        <v>75</v>
      </c>
      <c s="8" r="D189">
        <v>75</v>
      </c>
      <c s="8" r="E189">
        <v>90</v>
      </c>
      <c s="8" r="F189">
        <v>100</v>
      </c>
      <c s="27" r="G189">
        <v>70</v>
      </c>
      <c s="68" r="H189"/>
      <c s="20" r="I189">
        <f>INDEX('Speed Factors'!$A$2:$B$256,(G189),2)</f>
        <v>369</v>
      </c>
      <c s="20" r="J189">
        <f>SUM(B189:G189)</f>
        <v>500</v>
      </c>
      <c s="68" r="K189"/>
      <c s="38" r="L189">
        <f>((((B189*2)+141)*((D189*2)+36))/(402.744996))-24.57966407</f>
        <v>123.667987900827</v>
      </c>
      <c s="38" r="M189">
        <f>((((B189*2)+141)*((F189*2)+36))/(416.310724))-19.16575597</f>
        <v>162.804094030789</v>
      </c>
      <c s="38" r="N189">
        <f>(((((C189*2)+36)*((((C189*2)+36)*(I189/672))+415))/((((C189*2)+36)*(1-(I189/672)))+415))/(1.92306))-3.576327284</f>
        <v>96.6863215334932</v>
      </c>
      <c s="38" r="O189">
        <f>(((((E189*2)+36)*((((E189*2)+36)*(I189/672))+415))/((((E189*2)+36)*(1-(I189/672)))+415))/(1.980931))+4.9921912</f>
        <v>118.54633058956</v>
      </c>
      <c s="68" r="P189"/>
      <c s="38" r="Q189">
        <f>((((L189+M189)+N189)+O189)/(1.535645))-60.47703745</f>
        <v>266.229157051118</v>
      </c>
      <c s="63" r="R189"/>
      <c s="26" r="S189"/>
      <c s="26" r="T189"/>
    </row>
    <row customHeight="1" r="190" ht="14.25">
      <c t="s" s="45" r="A190">
        <v>296</v>
      </c>
      <c s="75" r="B190">
        <v>35</v>
      </c>
      <c s="54" r="C190">
        <v>35</v>
      </c>
      <c s="54" r="D190">
        <v>40</v>
      </c>
      <c s="54" r="E190">
        <v>35</v>
      </c>
      <c s="54" r="F190">
        <v>55</v>
      </c>
      <c s="2" r="G190">
        <v>50</v>
      </c>
      <c s="68" r="H190"/>
      <c s="19" r="I190">
        <f>INDEX('Speed Factors'!$A$2:$B$256,(G190),2)</f>
        <v>189</v>
      </c>
      <c s="19" r="J190">
        <f>SUM(B190:G190)</f>
        <v>250</v>
      </c>
      <c s="68" r="K190"/>
      <c s="38" r="L190">
        <f>((((B190*2)+141)*((D190*2)+36))/(402.744996))-24.57966407</f>
        <v>36.1932821939928</v>
      </c>
      <c s="38" r="M190">
        <f>((((B190*2)+141)*((F190*2)+36))/(416.310724))-19.16575597</f>
        <v>54.8318574087992</v>
      </c>
      <c s="38" r="N190">
        <f>(((((C190*2)+36)*((((C190*2)+36)*(I190/672))+415))/((((C190*2)+36)*(1-(I190/672)))+415))/(1.92306))-3.576327284</f>
        <v>46.3400096766733</v>
      </c>
      <c s="38" r="O190">
        <f>(((((E190*2)+36)*((((E190*2)+36)*(I190/672))+415))/((((E190*2)+36)*(1-(I190/672)))+415))/(1.980931))+4.9921912</f>
        <v>53.4502702323299</v>
      </c>
      <c s="68" r="P190"/>
      <c s="38" r="Q190">
        <f>((((L190+M190)+N190)+O190)/(1.535645))-60.47703745</f>
        <v>63.7804696638155</v>
      </c>
      <c s="63" r="R190"/>
      <c s="26" r="S190"/>
      <c s="26" r="T190"/>
    </row>
    <row customHeight="1" r="191" ht="14.25">
      <c t="s" s="45" r="A191">
        <v>297</v>
      </c>
      <c s="57" r="B191">
        <v>55</v>
      </c>
      <c s="8" r="C191">
        <v>45</v>
      </c>
      <c s="8" r="D191">
        <v>50</v>
      </c>
      <c s="8" r="E191">
        <v>45</v>
      </c>
      <c s="8" r="F191">
        <v>65</v>
      </c>
      <c s="27" r="G191">
        <v>80</v>
      </c>
      <c s="68" r="H191"/>
      <c s="20" r="I191">
        <f>INDEX('Speed Factors'!$A$2:$B$256,(G191),2)</f>
        <v>432</v>
      </c>
      <c s="20" r="J191">
        <f>SUM(B191:G191)</f>
        <v>340</v>
      </c>
      <c s="68" r="K191"/>
      <c s="38" r="L191">
        <f>((((B191*2)+141)*((D191*2)+36))/(402.744996))-24.57966407</f>
        <v>60.1786826234</v>
      </c>
      <c s="38" r="M191">
        <f>((((B191*2)+141)*((F191*2)+36))/(416.310724))-19.16575597</f>
        <v>80.9181419408306</v>
      </c>
      <c s="38" r="N191">
        <f>(((((C191*2)+36)*((((C191*2)+36)*(I191/672))+415))/((((C191*2)+36)*(1-(I191/672)))+415))/(1.92306))-3.576327284</f>
        <v>67.0719465947232</v>
      </c>
      <c s="38" r="O191">
        <f>(((((E191*2)+36)*((((E191*2)+36)*(I191/672))+415))/((((E191*2)+36)*(1-(I191/672)))+415))/(1.980931))+4.9921912</f>
        <v>73.5765434895131</v>
      </c>
      <c s="68" r="P191"/>
      <c s="38" r="Q191">
        <f>((((L191+M191)+N191)+O191)/(1.535645))-60.47703745</f>
        <v>122.993305401679</v>
      </c>
      <c s="63" r="R191"/>
      <c s="26" r="S191"/>
      <c s="26" r="T191"/>
    </row>
    <row customHeight="1" r="192" ht="14.25">
      <c t="s" s="45" r="A192">
        <v>298</v>
      </c>
      <c s="75" r="B192">
        <v>75</v>
      </c>
      <c s="54" r="C192">
        <v>55</v>
      </c>
      <c s="54" r="D192">
        <v>70</v>
      </c>
      <c s="54" r="E192">
        <v>55</v>
      </c>
      <c s="54" r="F192">
        <v>85</v>
      </c>
      <c s="2" r="G192">
        <v>110</v>
      </c>
      <c s="68" r="H192"/>
      <c s="19" r="I192">
        <f>INDEX('Speed Factors'!$A$2:$B$256,(G192),2)</f>
        <v>627</v>
      </c>
      <c s="19" r="J192">
        <f>SUM(B192:G192)</f>
        <v>450</v>
      </c>
      <c s="68" r="K192"/>
      <c s="38" r="L192">
        <f>((((B192*2)+141)*((D192*2)+36))/(402.744996))-24.57966407</f>
        <v>102.587651498584</v>
      </c>
      <c s="38" r="M192">
        <f>((((B192*2)+141)*((F192*2)+36))/(416.310724))-19.16575597</f>
        <v>124.827652184434</v>
      </c>
      <c s="38" r="N192">
        <f>(((((C192*2)+36)*((((C192*2)+36)*(I192/672))+415))/((((C192*2)+36)*(1-(I192/672)))+415))/(1.92306))-3.576327284</f>
        <v>94.9442042263672</v>
      </c>
      <c s="38" r="O192">
        <f>(((((E192*2)+36)*((((E192*2)+36)*(I192/672))+415))/((((E192*2)+36)*(1-(I192/672)))+415))/(1.980931))+4.9921912</f>
        <v>100.634539836236</v>
      </c>
      <c s="68" r="P192"/>
      <c s="38" r="Q192">
        <f>((((L192+M192)+N192)+O192)/(1.535645))-60.47703745</f>
        <v>214.973374426196</v>
      </c>
      <c s="63" r="R192"/>
      <c s="26" r="S192"/>
      <c s="26" r="T192"/>
    </row>
    <row customHeight="1" r="193" ht="14.25">
      <c t="s" s="45" r="A193">
        <v>299</v>
      </c>
      <c s="57" r="B193">
        <v>55</v>
      </c>
      <c s="8" r="C193">
        <v>70</v>
      </c>
      <c s="8" r="D193">
        <v>55</v>
      </c>
      <c s="8" r="E193">
        <v>40</v>
      </c>
      <c s="8" r="F193">
        <v>55</v>
      </c>
      <c s="27" r="G193">
        <v>85</v>
      </c>
      <c s="68" r="H193"/>
      <c s="20" r="I193">
        <f>INDEX('Speed Factors'!$A$2:$B$256,(G193),2)</f>
        <v>469</v>
      </c>
      <c s="20" r="J193">
        <f>SUM(B193:G193)</f>
        <v>360</v>
      </c>
      <c s="68" r="K193"/>
      <c s="38" r="L193">
        <f>((((B193*2)+141)*((D193*2)+36))/(402.744996))-24.57966407</f>
        <v>66.4109139979147</v>
      </c>
      <c s="38" r="M193">
        <f>((((B193*2)+141)*((F193*2)+36))/(416.310724))-19.16575597</f>
        <v>68.8598409877185</v>
      </c>
      <c s="38" r="N193">
        <f>(((((C193*2)+36)*((((C193*2)+36)*(I193/672))+415))/((((C193*2)+36)*(1-(I193/672)))+415))/(1.92306))-3.576327284</f>
        <v>101.56345163064</v>
      </c>
      <c s="38" r="O193">
        <f>(((((E193*2)+36)*((((E193*2)+36)*(I193/672))+415))/((((E193*2)+36)*(1-(I193/672)))+415))/(1.980931))+4.9921912</f>
        <v>69.5250802528763</v>
      </c>
      <c s="68" r="P193"/>
      <c s="38" r="Q193">
        <f>((((L193+M193)+N193)+O193)/(1.535645))-60.47703745</f>
        <v>139.021731385994</v>
      </c>
      <c s="63" r="R193"/>
      <c s="26" r="S193"/>
      <c s="26" r="T193"/>
    </row>
    <row customHeight="1" r="194" ht="14.25">
      <c t="s" s="45" r="A194">
        <v>300</v>
      </c>
      <c s="75" r="B194">
        <v>30</v>
      </c>
      <c s="54" r="C194">
        <v>30</v>
      </c>
      <c s="54" r="D194">
        <v>30</v>
      </c>
      <c s="54" r="E194">
        <v>30</v>
      </c>
      <c s="54" r="F194">
        <v>30</v>
      </c>
      <c s="2" r="G194">
        <v>30</v>
      </c>
      <c s="68" r="H194"/>
      <c s="19" r="I194">
        <f>INDEX('Speed Factors'!$A$2:$B$256,(G194),2)</f>
        <v>44</v>
      </c>
      <c s="19" r="J194">
        <f>SUM(B194:G194)</f>
        <v>180</v>
      </c>
      <c s="68" r="K194"/>
      <c s="38" r="L194">
        <f>((((B194*2)+141)*((D194*2)+36))/(402.744996))-24.57966407</f>
        <v>23.3315457318469</v>
      </c>
      <c s="38" r="M194">
        <f>((((B194*2)+141)*((F194*2)+36))/(416.310724))-19.16575597</f>
        <v>27.1842390880183</v>
      </c>
      <c s="38" r="N194">
        <f>(((((C194*2)+36)*((((C194*2)+36)*(I194/672))+415))/((((C194*2)+36)*(1-(I194/672)))+415))/(1.92306))-3.576327284</f>
        <v>38.0923326354182</v>
      </c>
      <c s="38" r="O194">
        <f>(((((E194*2)+36)*((((E194*2)+36)*(I194/672))+415))/((((E194*2)+36)*(1-(I194/672)))+415))/(1.980931))+4.9921912</f>
        <v>45.4435411685937</v>
      </c>
      <c s="68" r="P194"/>
      <c s="38" r="Q194">
        <f>((((L194+M194)+N194)+O194)/(1.535645))-60.47703745</f>
        <v>26.8163530301416</v>
      </c>
      <c s="63" r="R194"/>
      <c s="26" r="S194"/>
      <c s="26" r="T194"/>
    </row>
    <row customHeight="1" r="195" ht="14.25">
      <c t="s" s="45" r="A195">
        <v>301</v>
      </c>
      <c s="57" r="B195">
        <v>75</v>
      </c>
      <c s="8" r="C195">
        <v>75</v>
      </c>
      <c s="8" r="D195">
        <v>55</v>
      </c>
      <c s="8" r="E195">
        <v>105</v>
      </c>
      <c s="8" r="F195">
        <v>85</v>
      </c>
      <c s="27" r="G195">
        <v>30</v>
      </c>
      <c s="68" r="H195"/>
      <c s="20" r="I195">
        <f>INDEX('Speed Factors'!$A$2:$B$256,(G195),2)</f>
        <v>44</v>
      </c>
      <c s="20" r="J195">
        <f>SUM(B195:G195)</f>
        <v>425</v>
      </c>
      <c s="68" r="K195"/>
      <c s="38" r="L195">
        <f>((((B195*2)+141)*((D195*2)+36))/(402.744996))-24.57966407</f>
        <v>80.9114045266661</v>
      </c>
      <c s="38" r="M195">
        <f>((((B195*2)+141)*((F195*2)+36))/(416.310724))-19.16575597</f>
        <v>124.827652184434</v>
      </c>
      <c s="38" r="N195">
        <f>(((((C195*2)+36)*((((C195*2)+36)*(I195/672))+415))/((((C195*2)+36)*(1-(I195/672)))+415))/(1.92306))-3.576327284</f>
        <v>66.5927817429476</v>
      </c>
      <c s="38" r="O195">
        <f>(((((E195*2)+36)*((((E195*2)+36)*(I195/672))+415))/((((E195*2)+36)*(1-(I195/672)))+415))/(1.980931))+4.9921912</f>
        <v>88.0084983513268</v>
      </c>
      <c s="68" r="P195"/>
      <c s="38" r="Q195">
        <f>((((L195+M195)+N195)+O195)/(1.535645))-60.47703745</f>
        <v>174.17376843637</v>
      </c>
      <c s="63" r="R195"/>
      <c s="26" r="S195"/>
      <c s="26" r="T195"/>
    </row>
    <row customHeight="1" r="196" ht="14.25">
      <c t="s" s="45" r="A196">
        <v>302</v>
      </c>
      <c s="75" r="B196">
        <v>65</v>
      </c>
      <c s="54" r="C196">
        <v>65</v>
      </c>
      <c s="54" r="D196">
        <v>45</v>
      </c>
      <c s="54" r="E196">
        <v>75</v>
      </c>
      <c s="54" r="F196">
        <v>45</v>
      </c>
      <c s="2" r="G196">
        <v>95</v>
      </c>
      <c s="68" r="H196"/>
      <c s="19" r="I196">
        <f>INDEX('Speed Factors'!$A$2:$B$256,(G196),2)</f>
        <v>542</v>
      </c>
      <c s="19" r="J196">
        <f>SUM(B196:G196)</f>
        <v>390</v>
      </c>
      <c s="68" r="K196"/>
      <c s="38" r="L196">
        <f>((((B196*2)+141)*((D196*2)+36))/(402.744996))-24.57966407</f>
        <v>60.2035122304698</v>
      </c>
      <c s="38" r="M196">
        <f>((((B196*2)+141)*((F196*2)+36))/(416.310724))-19.16575597</f>
        <v>62.8547110309894</v>
      </c>
      <c s="38" r="N196">
        <f>(((((C196*2)+36)*((((C196*2)+36)*(I196/672))+415))/((((C196*2)+36)*(1-(I196/672)))+415))/(1.92306))-3.576327284</f>
        <v>102.393135634014</v>
      </c>
      <c s="38" r="O196">
        <f>(((((E196*2)+36)*((((E196*2)+36)*(I196/672))+415))/((((E196*2)+36)*(1-(I196/672)))+415))/(1.980931))+4.9921912</f>
        <v>122.629863816047</v>
      </c>
      <c s="68" r="P196"/>
      <c s="38" r="Q196">
        <f>((((L196+M196)+N196)+O196)/(1.535645))-60.47703745</f>
        <v>166.190729326515</v>
      </c>
      <c s="63" r="R196"/>
      <c s="26" r="S196"/>
      <c s="26" r="T196"/>
    </row>
    <row customHeight="1" r="197" ht="14.25">
      <c t="s" s="45" r="A197">
        <v>303</v>
      </c>
      <c s="57" r="B197">
        <v>55</v>
      </c>
      <c s="8" r="C197">
        <v>45</v>
      </c>
      <c s="8" r="D197">
        <v>45</v>
      </c>
      <c s="8" r="E197">
        <v>25</v>
      </c>
      <c s="8" r="F197">
        <v>25</v>
      </c>
      <c s="27" r="G197">
        <v>15</v>
      </c>
      <c s="68" r="H197"/>
      <c s="20" r="I197">
        <f>INDEX('Speed Factors'!$A$2:$B$256,(G197),2)</f>
        <v>5</v>
      </c>
      <c s="20" r="J197">
        <f>SUM(B197:G197)</f>
        <v>210</v>
      </c>
      <c s="68" r="K197"/>
      <c s="38" r="L197">
        <f>((((B197*2)+141)*((D197*2)+36))/(402.744996))-24.57966407</f>
        <v>53.9464512488853</v>
      </c>
      <c s="38" r="M197">
        <f>((((B197*2)+141)*((F197*2)+36))/(416.310724))-19.16575597</f>
        <v>32.6849381283822</v>
      </c>
      <c s="38" r="N197">
        <f>(((((C197*2)+36)*((((C197*2)+36)*(I197/672))+415))/((((C197*2)+36)*(1-(I197/672)))+415))/(1.92306))-3.576327284</f>
        <v>46.8853596905454</v>
      </c>
      <c s="38" r="O197">
        <f>(((((E197*2)+36)*((((E197*2)+36)*(I197/672))+415))/((((E197*2)+36)*(1-(I197/672)))+415))/(1.980931))+4.9921912</f>
        <v>41.0553386381393</v>
      </c>
      <c s="68" r="P197"/>
      <c s="38" r="Q197">
        <f>((((L197+M197)+N197)+O197)/(1.535645))-60.47703745</f>
        <v>53.2029391760771</v>
      </c>
      <c s="63" r="R197"/>
      <c s="26" r="S197"/>
      <c s="26" r="T197"/>
    </row>
    <row customHeight="1" r="198" ht="14.25">
      <c t="s" s="45" r="A198">
        <v>304</v>
      </c>
      <c s="75" r="B198">
        <v>95</v>
      </c>
      <c s="54" r="C198">
        <v>85</v>
      </c>
      <c s="54" r="D198">
        <v>85</v>
      </c>
      <c s="54" r="E198">
        <v>65</v>
      </c>
      <c s="54" r="F198">
        <v>65</v>
      </c>
      <c s="2" r="G198">
        <v>35</v>
      </c>
      <c s="68" r="H198"/>
      <c s="19" r="I198">
        <f>INDEX('Speed Factors'!$A$2:$B$256,(G198),2)</f>
        <v>84</v>
      </c>
      <c s="19" r="J198">
        <f>SUM(B198:G198)</f>
        <v>430</v>
      </c>
      <c s="68" r="K198"/>
      <c s="38" r="L198">
        <f>((((B198*2)+141)*((D198*2)+36))/(402.744996))-24.57966407</f>
        <v>144.723494696</v>
      </c>
      <c s="38" r="M198">
        <f>((((B198*2)+141)*((F198*2)+36))/(416.310724))-19.16575597</f>
        <v>112.817392270976</v>
      </c>
      <c s="38" r="N198">
        <f>(((((C198*2)+36)*((((C198*2)+36)*(I198/672))+415))/((((C198*2)+36)*(1-(I198/672)))+415))/(1.92306))-3.576327284</f>
        <v>75.740859577467</v>
      </c>
      <c s="38" r="O198">
        <f>(((((E198*2)+36)*((((E198*2)+36)*(I198/672))+415))/((((E198*2)+36)*(1-(I198/672)))+415))/(1.980931))+4.9921912</f>
        <v>70.1691767240345</v>
      </c>
      <c s="68" r="P198"/>
      <c s="38" r="Q198">
        <f>((((L198+M198)+N198)+O198)/(1.535645))-60.47703745</f>
        <v>202.247044788068</v>
      </c>
      <c s="63" r="R198"/>
      <c s="26" r="S198"/>
      <c s="26" r="T198"/>
    </row>
    <row customHeight="1" r="199" ht="14.25">
      <c t="s" s="45" r="A199">
        <v>65</v>
      </c>
      <c s="57" r="B199">
        <v>65</v>
      </c>
      <c s="8" r="C199">
        <v>65</v>
      </c>
      <c s="8" r="D199">
        <v>60</v>
      </c>
      <c s="8" r="E199">
        <v>130</v>
      </c>
      <c s="8" r="F199">
        <v>95</v>
      </c>
      <c s="27" r="G199">
        <v>110</v>
      </c>
      <c s="68" r="H199"/>
      <c s="20" r="I199">
        <f>INDEX('Speed Factors'!$A$2:$B$256,(G199),2)</f>
        <v>627</v>
      </c>
      <c s="20" r="J199">
        <f>SUM(B199:G199)</f>
        <v>525</v>
      </c>
      <c s="68" r="K199"/>
      <c s="38" r="L199">
        <f>((((B199*2)+141)*((D199*2)+36))/(402.744996))-24.57966407</f>
        <v>80.3899827782007</v>
      </c>
      <c s="38" r="M199">
        <f>((((B199*2)+141)*((F199*2)+36))/(416.310724))-19.16575597</f>
        <v>127.950319761933</v>
      </c>
      <c s="38" r="N199">
        <f>(((((C199*2)+36)*((((C199*2)+36)*(I199/672))+415))/((((C199*2)+36)*(1-(I199/672)))+415))/(1.92306))-3.576327284</f>
        <v>111.868306020077</v>
      </c>
      <c s="38" r="O199">
        <f>(((((E199*2)+36)*((((E199*2)+36)*(I199/672))+415))/((((E199*2)+36)*(1-(I199/672)))+415))/(1.980931))+4.9921912</f>
        <v>242.513014184902</v>
      </c>
      <c s="68" r="P199"/>
      <c s="38" r="Q199">
        <f>((((L199+M199)+N199)+O199)/(1.535645))-60.47703745</f>
        <v>305.962877208084</v>
      </c>
      <c s="63" r="R199"/>
      <c s="26" r="S199"/>
      <c s="26" r="T199"/>
    </row>
    <row customHeight="1" r="200" ht="14.25">
      <c t="s" s="45" r="A200">
        <v>305</v>
      </c>
      <c s="75" r="B200">
        <v>95</v>
      </c>
      <c s="54" r="C200">
        <v>65</v>
      </c>
      <c s="54" r="D200">
        <v>110</v>
      </c>
      <c s="54" r="E200">
        <v>60</v>
      </c>
      <c s="54" r="F200">
        <v>130</v>
      </c>
      <c s="2" r="G200">
        <v>65</v>
      </c>
      <c s="68" r="H200"/>
      <c s="19" r="I200">
        <f>INDEX('Speed Factors'!$A$2:$B$256,(G200),2)</f>
        <v>321</v>
      </c>
      <c s="19" r="J200">
        <f>SUM(B200:G200)</f>
        <v>525</v>
      </c>
      <c s="68" r="K200"/>
      <c s="38" r="L200">
        <f>((((B200*2)+141)*((D200*2)+36))/(402.744996))-24.57966407</f>
        <v>185.816494396485</v>
      </c>
      <c s="38" r="M200">
        <f>((((B200*2)+141)*((F200*2)+36))/(416.310724))-19.16575597</f>
        <v>216.177689086198</v>
      </c>
      <c s="38" r="N200">
        <f>(((((C200*2)+36)*((((C200*2)+36)*(I200/672))+415))/((((C200*2)+36)*(1-(I200/672)))+415))/(1.92306))-3.576327284</f>
        <v>81.4693841906391</v>
      </c>
      <c s="38" r="O200">
        <f>(((((E200*2)+36)*((((E200*2)+36)*(I200/672))+415))/((((E200*2)+36)*(1-(I200/672)))+415))/(1.980931))+4.9921912</f>
        <v>82.6383822757034</v>
      </c>
      <c s="68" r="P200"/>
      <c s="38" r="Q200">
        <f>((((L200+M200)+N200)+O200)/(1.535645))-60.47703745</f>
        <v>308.164119815531</v>
      </c>
      <c s="63" r="R200"/>
      <c s="26" r="S200"/>
      <c s="26" r="T200"/>
    </row>
    <row customHeight="1" r="201" ht="14.25">
      <c t="s" s="45" r="A201">
        <v>306</v>
      </c>
      <c s="57" r="B201">
        <v>60</v>
      </c>
      <c s="8" r="C201">
        <v>85</v>
      </c>
      <c s="8" r="D201">
        <v>42</v>
      </c>
      <c s="8" r="E201">
        <v>85</v>
      </c>
      <c s="8" r="F201">
        <v>42</v>
      </c>
      <c s="27" r="G201">
        <v>91</v>
      </c>
      <c s="68" r="H201"/>
      <c s="20" r="I201">
        <f>INDEX('Speed Factors'!$A$2:$B$256,(G201),2)</f>
        <v>532</v>
      </c>
      <c s="20" r="J201">
        <f>SUM(B201:G201)</f>
        <v>405</v>
      </c>
      <c s="68" r="K201"/>
      <c s="38" r="L201">
        <f>((((B201*2)+141)*((D201*2)+36))/(402.744996))-24.57966407</f>
        <v>53.18666527255</v>
      </c>
      <c s="38" r="M201">
        <f>((((B201*2)+141)*((F201*2)+36))/(416.310724))-19.16575597</f>
        <v>56.0665121279028</v>
      </c>
      <c s="38" r="N201">
        <f>(((((C201*2)+36)*((((C201*2)+36)*(I201/672))+415))/((((C201*2)+36)*(1-(I201/672)))+415))/(1.92306))-3.576327284</f>
        <v>131.6553340922</v>
      </c>
      <c s="38" r="O201">
        <f>(((((E201*2)+36)*((((E201*2)+36)*(I201/672))+415))/((((E201*2)+36)*(1-(I201/672)))+415))/(1.980931))+4.9921912</f>
        <v>136.273189238859</v>
      </c>
      <c s="68" r="P201"/>
      <c s="38" r="Q201">
        <f>((((L201+M201)+N201)+O201)/(1.535645))-60.47703745</f>
        <v>185.140732758291</v>
      </c>
      <c s="63" r="R201"/>
      <c s="26" r="S201"/>
      <c s="26" r="T201"/>
    </row>
    <row customHeight="1" r="202" ht="14.25">
      <c t="s" s="45" r="A202">
        <v>307</v>
      </c>
      <c s="75" r="B202">
        <v>95</v>
      </c>
      <c s="54" r="C202">
        <v>75</v>
      </c>
      <c s="54" r="D202">
        <v>80</v>
      </c>
      <c s="54" r="E202">
        <v>100</v>
      </c>
      <c s="54" r="F202">
        <v>110</v>
      </c>
      <c s="2" r="G202">
        <v>30</v>
      </c>
      <c s="68" r="H202"/>
      <c s="19" r="I202">
        <f>INDEX('Speed Factors'!$A$2:$B$256,(G202),2)</f>
        <v>44</v>
      </c>
      <c s="19" r="J202">
        <f>SUM(B202:G202)</f>
        <v>490</v>
      </c>
      <c s="68" r="K202"/>
      <c s="38" r="L202">
        <f>((((B202*2)+141)*((D202*2)+36))/(402.744996))-24.57966407</f>
        <v>136.504894755903</v>
      </c>
      <c s="38" r="M202">
        <f>((((B202*2)+141)*((F202*2)+36))/(416.310724))-19.16575597</f>
        <v>184.37452083536</v>
      </c>
      <c s="38" r="N202">
        <f>(((((C202*2)+36)*((((C202*2)+36)*(I202/672))+415))/((((C202*2)+36)*(1-(I202/672)))+415))/(1.92306))-3.576327284</f>
        <v>66.5927817429476</v>
      </c>
      <c s="38" r="O202">
        <f>(((((E202*2)+36)*((((E202*2)+36)*(I202/672))+415))/((((E202*2)+36)*(1-(I202/672)))+415))/(1.980931))+4.9921912</f>
        <v>85.6821832843403</v>
      </c>
      <c s="68" r="P202"/>
      <c s="38" r="Q202">
        <f>((((L202+M202)+N202)+O202)/(1.535645))-60.47703745</f>
        <v>247.63739044092</v>
      </c>
      <c s="63" r="R202"/>
      <c s="26" r="S202"/>
      <c s="26" r="T202"/>
    </row>
    <row customHeight="1" r="203" ht="14.25">
      <c t="s" s="45" r="A203">
        <v>308</v>
      </c>
      <c s="57" r="B203">
        <v>60</v>
      </c>
      <c s="8" r="C203">
        <v>60</v>
      </c>
      <c s="8" r="D203">
        <v>60</v>
      </c>
      <c s="8" r="E203">
        <v>85</v>
      </c>
      <c s="8" r="F203">
        <v>85</v>
      </c>
      <c s="27" r="G203">
        <v>85</v>
      </c>
      <c s="68" r="H203"/>
      <c s="20" r="I203">
        <f>INDEX('Speed Factors'!$A$2:$B$256,(G203),2)</f>
        <v>469</v>
      </c>
      <c s="20" r="J203">
        <f>SUM(B203:G203)</f>
        <v>435</v>
      </c>
      <c s="68" r="K203"/>
      <c s="38" r="L203">
        <f>((((B203*2)+141)*((D203*2)+36))/(402.744996))-24.57966407</f>
        <v>76.516564075315</v>
      </c>
      <c s="38" r="M203">
        <f>((((B203*2)+141)*((F203*2)+36))/(416.310724))-19.16575597</f>
        <v>109.9829709314</v>
      </c>
      <c s="38" r="N203">
        <f>(((((C203*2)+36)*((((C203*2)+36)*(I203/672))+415))/((((C203*2)+36)*(1-(I203/672)))+415))/(1.92306))-3.576327284</f>
        <v>88.3838868887952</v>
      </c>
      <c s="38" r="O203">
        <f>(((((E203*2)+36)*((((E203*2)+36)*(I203/672))+415))/((((E203*2)+36)*(1-(I203/672)))+415))/(1.980931))+4.9921912</f>
        <v>126.752186392872</v>
      </c>
      <c s="68" r="P203"/>
      <c s="38" r="Q203">
        <f>((((L203+M203)+N203)+O203)/(1.535645))-60.47703745</f>
        <v>201.064925886828</v>
      </c>
      <c s="63" r="R203"/>
      <c s="26" r="S203"/>
      <c s="26" r="T203"/>
    </row>
    <row customHeight="1" r="204" ht="14.25">
      <c t="s" s="45" r="A204">
        <v>309</v>
      </c>
      <c s="75" r="B204">
        <v>48</v>
      </c>
      <c s="54" r="C204">
        <v>72</v>
      </c>
      <c s="54" r="D204">
        <v>48</v>
      </c>
      <c s="54" r="E204">
        <v>72</v>
      </c>
      <c s="54" r="F204">
        <v>48</v>
      </c>
      <c s="2" r="G204">
        <v>48</v>
      </c>
      <c s="68" r="H204"/>
      <c s="19" r="I204">
        <f>INDEX('Speed Factors'!$A$2:$B$256,(G204),2)</f>
        <v>184</v>
      </c>
      <c s="19" r="J204">
        <f>SUM(B204:G204)</f>
        <v>336</v>
      </c>
      <c s="68" r="K204"/>
      <c s="38" r="L204">
        <f>((((B204*2)+141)*((D204*2)+36))/(402.744996))-24.57966407</f>
        <v>53.0972786870988</v>
      </c>
      <c s="38" r="M204">
        <f>((((B204*2)+141)*((F204*2)+36))/(416.310724))-19.16575597</f>
        <v>55.9800382565259</v>
      </c>
      <c s="38" r="N204">
        <f>(((((C204*2)+36)*((((C204*2)+36)*(I204/672))+415))/((((C204*2)+36)*(1-(I204/672)))+415))/(1.92306))-3.576327284</f>
        <v>76.0578813504391</v>
      </c>
      <c s="38" r="O204">
        <f>(((((E204*2)+36)*((((E204*2)+36)*(I204/672))+415))/((((E204*2)+36)*(1-(I204/672)))+415))/(1.980931))+4.9921912</f>
        <v>82.2999627763671</v>
      </c>
      <c s="68" r="P204"/>
      <c s="38" r="Q204">
        <f>((((L204+M204)+N204)+O204)/(1.535645))-60.47703745</f>
        <v>113.67464543923</v>
      </c>
      <c s="63" r="R204"/>
      <c s="26" r="S204"/>
      <c s="26" r="T204"/>
    </row>
    <row customHeight="1" r="205" ht="14.25">
      <c t="s" s="45" r="A205">
        <v>310</v>
      </c>
      <c s="57" r="B205">
        <v>190</v>
      </c>
      <c s="8" r="C205">
        <v>33</v>
      </c>
      <c s="8" r="D205">
        <v>58</v>
      </c>
      <c s="8" r="E205">
        <v>33</v>
      </c>
      <c s="8" r="F205">
        <v>58</v>
      </c>
      <c s="27" r="G205">
        <v>33</v>
      </c>
      <c s="68" r="H205"/>
      <c s="20" r="I205">
        <f>INDEX('Speed Factors'!$A$2:$B$256,(G205),2)</f>
        <v>81</v>
      </c>
      <c s="20" r="J205">
        <f>SUM(B205:G205)</f>
        <v>405</v>
      </c>
      <c s="68" r="K205"/>
      <c s="38" r="L205">
        <f>((((B205*2)+141)*((D205*2)+36))/(402.744996))-24.57966407</f>
        <v>172.050960236999</v>
      </c>
      <c s="38" r="M205">
        <f>((((B205*2)+141)*((F205*2)+36))/(416.310724))-19.16575597</f>
        <v>171.057544643318</v>
      </c>
      <c s="38" r="N205">
        <f>(((((C205*2)+36)*((((C205*2)+36)*(I205/672))+415))/((((C205*2)+36)*(1-(I205/672)))+415))/(1.92306))-3.576327284</f>
        <v>41.3288970786415</v>
      </c>
      <c s="38" r="O205">
        <f>(((((E205*2)+36)*((((E205*2)+36)*(I205/672))+415))/((((E205*2)+36)*(1-(I205/672)))+415))/(1.980931))+4.9921912</f>
        <v>48.5855524845785</v>
      </c>
      <c s="68" r="P205"/>
      <c s="38" r="Q205">
        <f>((((L205+M205)+N205)+O205)/(1.535645))-60.47703745</f>
        <v>221.504119942195</v>
      </c>
      <c s="63" r="R205"/>
      <c s="26" r="S205"/>
      <c s="26" r="T205"/>
    </row>
    <row customHeight="1" r="206" ht="14.25">
      <c t="s" s="45" r="A206">
        <v>311</v>
      </c>
      <c s="75" r="B206">
        <v>70</v>
      </c>
      <c s="54" r="C206">
        <v>80</v>
      </c>
      <c s="54" r="D206">
        <v>65</v>
      </c>
      <c s="54" r="E206">
        <v>90</v>
      </c>
      <c s="54" r="F206">
        <v>65</v>
      </c>
      <c s="2" r="G206">
        <v>85</v>
      </c>
      <c s="68" r="H206"/>
      <c s="19" r="I206">
        <f>INDEX('Speed Factors'!$A$2:$B$256,(G206),2)</f>
        <v>469</v>
      </c>
      <c s="19" r="J206">
        <f>SUM(B206:G206)</f>
        <v>455</v>
      </c>
      <c s="68" r="K206"/>
      <c s="38" r="L206">
        <f>((((B206*2)+141)*((D206*2)+36))/(402.744996))-24.57966407</f>
        <v>91.2405210676944</v>
      </c>
      <c s="38" r="M206">
        <f>((((B206*2)+141)*((F206*2)+36))/(416.310724))-19.16575597</f>
        <v>92.8803608146351</v>
      </c>
      <c s="38" r="N206">
        <f>(((((C206*2)+36)*((((C206*2)+36)*(I206/672))+415))/((((C206*2)+36)*(1-(I206/672)))+415))/(1.92306))-3.576327284</f>
        <v>115.019440899661</v>
      </c>
      <c s="38" r="O206">
        <f>(((((E206*2)+36)*((((E206*2)+36)*(I206/672))+415))/((((E206*2)+36)*(1-(I206/672)))+415))/(1.980931))+4.9921912</f>
        <v>133.444404512366</v>
      </c>
      <c s="68" r="P206"/>
      <c s="38" r="Q206">
        <f>((((L206+M206)+N206)+O206)/(1.535645))-60.47703745</f>
        <v>221.218749853939</v>
      </c>
      <c s="63" r="R206"/>
      <c s="26" r="S206"/>
      <c s="26" r="T206"/>
    </row>
    <row customHeight="1" r="207" ht="14.25">
      <c t="s" s="45" r="A207">
        <v>312</v>
      </c>
      <c s="57" r="B207">
        <v>50</v>
      </c>
      <c s="8" r="C207">
        <v>65</v>
      </c>
      <c s="8" r="D207">
        <v>90</v>
      </c>
      <c s="8" r="E207">
        <v>35</v>
      </c>
      <c s="8" r="F207">
        <v>35</v>
      </c>
      <c s="27" r="G207">
        <v>15</v>
      </c>
      <c s="68" r="H207"/>
      <c s="20" r="I207">
        <f>INDEX('Speed Factors'!$A$2:$B$256,(G207),2)</f>
        <v>5</v>
      </c>
      <c s="20" r="J207">
        <f>SUM(B207:G207)</f>
        <v>290</v>
      </c>
      <c s="68" r="K207"/>
      <c s="38" r="L207">
        <f>((((B207*2)+141)*((D207*2)+36))/(402.744996))-24.57966407</f>
        <v>104.673338492445</v>
      </c>
      <c s="38" r="M207">
        <f>((((B207*2)+141)*((F207*2)+36))/(416.310724))-19.16575597</f>
        <v>42.1970639798411</v>
      </c>
      <c s="38" r="N207">
        <f>(((((C207*2)+36)*((((C207*2)+36)*(I207/672))+415))/((((C207*2)+36)*(1-(I207/672)))+415))/(1.92306))-3.576327284</f>
        <v>58.3966083633045</v>
      </c>
      <c s="38" r="O207">
        <f>(((((E207*2)+36)*((((E207*2)+36)*(I207/672))+415))/((((E207*2)+36)*(1-(I207/672)))+415))/(1.980931))+4.9921912</f>
        <v>47.7612210923807</v>
      </c>
      <c s="68" r="P207"/>
      <c s="38" r="Q207">
        <f>((((L207+M207)+N207)+O207)/(1.535645))-60.47703745</f>
        <v>104.292965986974</v>
      </c>
      <c s="63" r="R207"/>
      <c s="26" r="S207"/>
      <c s="26" r="T207"/>
    </row>
    <row customHeight="1" r="208" ht="14.25">
      <c t="s" s="45" r="A208">
        <v>67</v>
      </c>
      <c s="75" r="B208">
        <v>75</v>
      </c>
      <c s="54" r="C208">
        <v>90</v>
      </c>
      <c s="54" r="D208">
        <v>140</v>
      </c>
      <c s="54" r="E208">
        <v>60</v>
      </c>
      <c s="54" r="F208">
        <v>60</v>
      </c>
      <c s="2" r="G208">
        <v>40</v>
      </c>
      <c s="68" r="H208"/>
      <c s="19" r="I208">
        <f>INDEX('Speed Factors'!$A$2:$B$256,(G208),2)</f>
        <v>111</v>
      </c>
      <c s="19" r="J208">
        <f>SUM(B208:G208)</f>
        <v>465</v>
      </c>
      <c s="68" r="K208"/>
      <c s="38" r="L208">
        <f>((((B208*2)+141)*((D208*2)+36))/(402.744996))-24.57966407</f>
        <v>203.743470700866</v>
      </c>
      <c s="38" r="M208">
        <f>((((B208*2)+141)*((F208*2)+36))/(416.310724))-19.16575597</f>
        <v>89.8777958362706</v>
      </c>
      <c s="38" r="N208">
        <f>(((((C208*2)+36)*((((C208*2)+36)*(I208/672))+415))/((((C208*2)+36)*(1-(I208/672)))+415))/(1.92306))-3.576327284</f>
        <v>81.4544815786352</v>
      </c>
      <c s="38" r="O208">
        <f>(((((E208*2)+36)*((((E208*2)+36)*(I208/672))+415))/((((E208*2)+36)*(1-(I208/672)))+415))/(1.980931))+4.9921912</f>
        <v>68.6546950494339</v>
      </c>
      <c s="68" r="P208"/>
      <c s="38" r="Q208">
        <f>((((L208+M208)+N208)+O208)/(1.535645))-60.47703745</f>
        <v>228.476752758809</v>
      </c>
      <c s="63" r="R208"/>
      <c s="26" r="S208"/>
      <c s="26" r="T208"/>
    </row>
    <row customHeight="1" r="209" ht="14.25">
      <c t="s" s="45" r="A209">
        <v>313</v>
      </c>
      <c s="57" r="B209">
        <v>100</v>
      </c>
      <c s="8" r="C209">
        <v>70</v>
      </c>
      <c s="8" r="D209">
        <v>70</v>
      </c>
      <c s="8" r="E209">
        <v>65</v>
      </c>
      <c s="8" r="F209">
        <v>65</v>
      </c>
      <c s="27" r="G209">
        <v>45</v>
      </c>
      <c s="68" r="H209"/>
      <c s="20" r="I209">
        <f>INDEX('Speed Factors'!$A$2:$B$256,(G209),2)</f>
        <v>154</v>
      </c>
      <c s="20" r="J209">
        <f>SUM(B209:G209)</f>
        <v>415</v>
      </c>
      <c s="68" r="K209"/>
      <c s="38" r="L209">
        <f>((((B209*2)+141)*((D209*2)+36))/(402.744996))-24.57966407</f>
        <v>124.43770571999</v>
      </c>
      <c s="38" r="M209">
        <f>((((B209*2)+141)*((F209*2)+36))/(416.310724))-19.16575597</f>
        <v>116.804798562244</v>
      </c>
      <c s="38" r="N209">
        <f>(((((C209*2)+36)*((((C209*2)+36)*(I209/672))+415))/((((C209*2)+36)*(1-(I209/672)))+415))/(1.92306))-3.576327284</f>
        <v>72.1000771671485</v>
      </c>
      <c s="38" r="O209">
        <f>(((((E209*2)+36)*((((E209*2)+36)*(I209/672))+415))/((((E209*2)+36)*(1-(I209/672)))+415))/(1.980931))+4.9921912</f>
        <v>74.9136342690051</v>
      </c>
      <c s="68" r="P209"/>
      <c s="38" r="Q209">
        <f>((((L209+M209)+N209)+O209)/(1.535645))-60.47703745</f>
        <v>192.352370205016</v>
      </c>
      <c s="63" r="R209"/>
      <c s="26" r="S209"/>
      <c s="26" r="T209"/>
    </row>
    <row customHeight="1" r="210" ht="14.25">
      <c t="s" s="45" r="A210">
        <v>314</v>
      </c>
      <c s="75" r="B210">
        <v>65</v>
      </c>
      <c s="54" r="C210">
        <v>75</v>
      </c>
      <c s="54" r="D210">
        <v>105</v>
      </c>
      <c s="54" r="E210">
        <v>35</v>
      </c>
      <c s="54" r="F210">
        <v>65</v>
      </c>
      <c s="2" r="G210">
        <v>85</v>
      </c>
      <c s="68" r="H210"/>
      <c s="19" r="I210">
        <f>INDEX('Speed Factors'!$A$2:$B$256,(G210),2)</f>
        <v>469</v>
      </c>
      <c s="19" r="J210">
        <f>SUM(B210:G210)</f>
        <v>430</v>
      </c>
      <c s="68" r="K210"/>
      <c s="38" r="L210">
        <f>((((B210*2)+141)*((D210*2)+36))/(402.744996))-24.57966407</f>
        <v>140.949394421393</v>
      </c>
      <c s="38" r="M210">
        <f>((((B210*2)+141)*((F210*2)+36))/(416.310724))-19.16575597</f>
        <v>88.892954523367</v>
      </c>
      <c s="38" r="N210">
        <f>(((((C210*2)+36)*((((C210*2)+36)*(I210/672))+415))/((((C210*2)+36)*(1-(I210/672)))+415))/(1.92306))-3.576327284</f>
        <v>108.257557769429</v>
      </c>
      <c s="38" r="O210">
        <f>(((((E210*2)+36)*((((E210*2)+36)*(I210/672))+415))/((((E210*2)+36)*(1-(I210/672)))+415))/(1.980931))+4.9921912</f>
        <v>63.5249655098502</v>
      </c>
      <c s="68" r="P210"/>
      <c s="38" r="Q210">
        <f>((((L210+M210)+N210)+O210)/(1.535645))-60.47703745</f>
        <v>201.05793464579</v>
      </c>
      <c s="63" r="R210"/>
      <c s="26" r="S210"/>
      <c s="26" r="T210"/>
    </row>
    <row customHeight="1" r="211" ht="14.25">
      <c t="s" s="45" r="A211">
        <v>315</v>
      </c>
      <c s="57" r="B211">
        <v>75</v>
      </c>
      <c s="8" r="C211">
        <v>85</v>
      </c>
      <c s="8" r="D211">
        <v>200</v>
      </c>
      <c s="8" r="E211">
        <v>55</v>
      </c>
      <c s="8" r="F211">
        <v>65</v>
      </c>
      <c s="27" r="G211">
        <v>30</v>
      </c>
      <c s="68" r="H211"/>
      <c s="20" r="I211">
        <f>INDEX('Speed Factors'!$A$2:$B$256,(G211),2)</f>
        <v>44</v>
      </c>
      <c s="20" r="J211">
        <f>SUM(B211:G211)</f>
        <v>510</v>
      </c>
      <c s="68" r="K211"/>
      <c s="38" r="L211">
        <f>((((B211*2)+141)*((D211*2)+36))/(402.744996))-24.57966407</f>
        <v>290.448458588537</v>
      </c>
      <c s="38" r="M211">
        <f>((((B211*2)+141)*((F211*2)+36))/(416.310724))-19.16575597</f>
        <v>96.8677671059033</v>
      </c>
      <c s="38" r="N211">
        <f>(((((C211*2)+36)*((((C211*2)+36)*(I211/672))+415))/((((C211*2)+36)*(1-(I211/672)))+415))/(1.92306))-3.576327284</f>
        <v>71.9778278239929</v>
      </c>
      <c s="38" r="O211">
        <f>(((((E211*2)+36)*((((E211*2)+36)*(I211/672))+415))/((((E211*2)+36)*(1-(I211/672)))+415))/(1.980931))+4.9921912</f>
        <v>61.7366494882346</v>
      </c>
      <c s="68" r="P211"/>
      <c s="38" r="Q211">
        <f>((((L211+M211)+N211)+O211)/(1.535645))-60.47703745</f>
        <v>278.814076711585</v>
      </c>
      <c s="63" r="R211"/>
      <c s="26" r="S211"/>
      <c s="26" r="T211"/>
    </row>
    <row customHeight="1" r="212" ht="14.25">
      <c t="s" s="45" r="A212">
        <v>316</v>
      </c>
      <c s="75" r="B212">
        <v>60</v>
      </c>
      <c s="54" r="C212">
        <v>80</v>
      </c>
      <c s="54" r="D212">
        <v>50</v>
      </c>
      <c s="54" r="E212">
        <v>40</v>
      </c>
      <c s="54" r="F212">
        <v>40</v>
      </c>
      <c s="2" r="G212">
        <v>30</v>
      </c>
      <c s="68" r="H212"/>
      <c s="19" r="I212">
        <f>INDEX('Speed Factors'!$A$2:$B$256,(G212),2)</f>
        <v>44</v>
      </c>
      <c s="19" r="J212">
        <f>SUM(B212:G212)</f>
        <v>300</v>
      </c>
      <c s="68" r="K212"/>
      <c s="38" r="L212">
        <f>((((B212*2)+141)*((D212*2)+36))/(402.744996))-24.57966407</f>
        <v>63.55550918489</v>
      </c>
      <c s="38" r="M212">
        <f>((((B212*2)+141)*((F212*2)+36))/(416.310724))-19.16575597</f>
        <v>53.5587698579727</v>
      </c>
      <c s="38" r="N212">
        <f>(((((C212*2)+36)*((((C212*2)+36)*(I212/672))+415))/((((C212*2)+36)*(1-(I212/672)))+415))/(1.92306))-3.576327284</f>
        <v>69.3216783867419</v>
      </c>
      <c s="38" r="O212">
        <f>(((((E212*2)+36)*((((E212*2)+36)*(I212/672))+415))/((((E212*2)+36)*(1-(I212/672)))+415))/(1.980931))+4.9921912</f>
        <v>52.2719846209135</v>
      </c>
      <c s="68" r="P212"/>
      <c s="38" r="Q212">
        <f>((((L212+M212)+N212)+O212)/(1.535645))-60.47703745</f>
        <v>94.96770534571</v>
      </c>
      <c s="63" r="R212"/>
      <c s="26" r="S212"/>
      <c s="26" r="T212"/>
    </row>
    <row customHeight="1" r="213" ht="14.25">
      <c t="s" s="45" r="A213">
        <v>317</v>
      </c>
      <c s="57" r="B213">
        <v>90</v>
      </c>
      <c s="8" r="C213">
        <v>120</v>
      </c>
      <c s="8" r="D213">
        <v>75</v>
      </c>
      <c s="8" r="E213">
        <v>60</v>
      </c>
      <c s="8" r="F213">
        <v>60</v>
      </c>
      <c s="27" r="G213">
        <v>45</v>
      </c>
      <c s="68" r="H213"/>
      <c s="20" r="I213">
        <f>INDEX('Speed Factors'!$A$2:$B$256,(G213),2)</f>
        <v>154</v>
      </c>
      <c s="20" r="J213">
        <f>SUM(B213:G213)</f>
        <v>450</v>
      </c>
      <c s="68" r="K213"/>
      <c s="38" r="L213">
        <f>((((B213*2)+141)*((D213*2)+36))/(402.744996))-24.57966407</f>
        <v>123.667987900827</v>
      </c>
      <c s="38" r="M213">
        <f>((((B213*2)+141)*((F213*2)+36))/(416.310724))-19.16575597</f>
        <v>101.119399115268</v>
      </c>
      <c s="38" r="N213">
        <f>(((((C213*2)+36)*((((C213*2)+36)*(I213/672))+415))/((((C213*2)+36)*(1-(I213/672)))+415))/(1.92306))-3.576327284</f>
        <v>105.765041132706</v>
      </c>
      <c s="38" r="O213">
        <f>(((((E213*2)+36)*((((E213*2)+36)*(I213/672))+415))/((((E213*2)+36)*(1-(I213/672)))+415))/(1.980931))+4.9921912</f>
        <v>71.3106323547707</v>
      </c>
      <c s="68" r="P213"/>
      <c s="38" r="Q213">
        <f>((((L213+M213)+N213)+O213)/(1.535645))-60.47703745</f>
        <v>201.213040988422</v>
      </c>
      <c s="63" r="R213"/>
      <c s="26" r="S213"/>
      <c s="26" r="T213"/>
    </row>
    <row customHeight="1" r="214" ht="14.25">
      <c t="s" s="45" r="A214">
        <v>318</v>
      </c>
      <c s="75" r="B214">
        <v>65</v>
      </c>
      <c s="54" r="C214">
        <v>95</v>
      </c>
      <c s="54" r="D214">
        <v>75</v>
      </c>
      <c s="54" r="E214">
        <v>55</v>
      </c>
      <c s="54" r="F214">
        <v>55</v>
      </c>
      <c s="2" r="G214">
        <v>85</v>
      </c>
      <c s="68" r="H214"/>
      <c s="19" r="I214">
        <f>INDEX('Speed Factors'!$A$2:$B$256,(G214),2)</f>
        <v>469</v>
      </c>
      <c s="19" r="J214">
        <f>SUM(B214:G214)</f>
        <v>430</v>
      </c>
      <c s="68" r="K214"/>
      <c s="38" r="L214">
        <f>((((B214*2)+141)*((D214*2)+36))/(402.744996))-24.57966407</f>
        <v>100.576453325932</v>
      </c>
      <c s="38" r="M214">
        <f>((((B214*2)+141)*((F214*2)+36))/(416.310724))-19.16575597</f>
        <v>75.8738327771782</v>
      </c>
      <c s="38" r="N214">
        <f>(((((C214*2)+36)*((((C214*2)+36)*(I214/672))+415))/((((C214*2)+36)*(1-(I214/672)))+415))/(1.92306))-3.576327284</f>
        <v>135.699042409607</v>
      </c>
      <c s="38" r="O214">
        <f>(((((E214*2)+36)*((((E214*2)+36)*(I214/672))+415))/((((E214*2)+36)*(1-(I214/672)))+415))/(1.980931))+4.9921912</f>
        <v>87.9725492544276</v>
      </c>
      <c s="68" r="P214"/>
      <c s="38" r="Q214">
        <f>((((L214+M214)+N214)+O214)/(1.535645))-60.47703745</f>
        <v>200.079196423808</v>
      </c>
      <c s="63" r="R214"/>
      <c s="26" r="S214"/>
      <c s="26" r="T214"/>
    </row>
    <row customHeight="1" r="215" ht="14.25">
      <c t="s" s="45" r="A215">
        <v>96</v>
      </c>
      <c s="57" r="B215">
        <v>70</v>
      </c>
      <c s="8" r="C215">
        <v>130</v>
      </c>
      <c s="8" r="D215">
        <v>100</v>
      </c>
      <c s="8" r="E215">
        <v>55</v>
      </c>
      <c s="8" r="F215">
        <v>80</v>
      </c>
      <c s="27" r="G215">
        <v>65</v>
      </c>
      <c s="68" r="H215"/>
      <c s="20" r="I215">
        <f>INDEX('Speed Factors'!$A$2:$B$256,(G215),2)</f>
        <v>321</v>
      </c>
      <c s="20" r="J215">
        <f>SUM(B215:G215)</f>
        <v>500</v>
      </c>
      <c s="68" r="K215"/>
      <c s="38" r="L215">
        <f>((((B215*2)+141)*((D215*2)+36))/(402.744996))-24.57966407</f>
        <v>140.080358173951</v>
      </c>
      <c s="38" r="M215">
        <f>((((B215*2)+141)*((F215*2)+36))/(416.310724))-19.16575597</f>
        <v>113.129659028726</v>
      </c>
      <c s="38" r="N215">
        <f>(((((C215*2)+36)*((((C215*2)+36)*(I215/672))+415))/((((C215*2)+36)*(1-(I215/672)))+415))/(1.92306))-3.576327284</f>
        <v>146.774213933561</v>
      </c>
      <c s="38" r="O215">
        <f>(((((E215*2)+36)*((((E215*2)+36)*(I215/672))+415))/((((E215*2)+36)*(1-(I215/672)))+415))/(1.980931))+4.9921912</f>
        <v>77.7170470531314</v>
      </c>
      <c s="68" r="P215"/>
      <c s="38" r="Q215">
        <f>((((L215+M215)+N215)+O215)/(1.535645))-60.47703745</f>
        <v>250.598294537125</v>
      </c>
      <c s="63" r="R215"/>
      <c s="26" r="S215"/>
      <c s="26" r="T215"/>
    </row>
    <row customHeight="1" r="216" ht="14.25">
      <c t="s" s="45" r="A216">
        <v>319</v>
      </c>
      <c s="75" r="B216">
        <v>20</v>
      </c>
      <c s="54" r="C216">
        <v>10</v>
      </c>
      <c s="54" r="D216">
        <v>230</v>
      </c>
      <c s="54" r="E216">
        <v>10</v>
      </c>
      <c s="54" r="F216">
        <v>230</v>
      </c>
      <c s="2" r="G216">
        <v>5</v>
      </c>
      <c s="68" r="H216"/>
      <c s="19" r="I216">
        <f>INDEX('Speed Factors'!$A$2:$B$256,(G216),2)</f>
        <v>0</v>
      </c>
      <c s="19" r="J216">
        <f>SUM(B216:G216)</f>
        <v>505</v>
      </c>
      <c s="68" r="K216"/>
      <c s="38" r="L216">
        <f>((((B216*2)+141)*((D216*2)+36))/(402.744996))-24.57966407</f>
        <v>198.330616359654</v>
      </c>
      <c s="38" r="M216">
        <f>((((B216*2)+141)*((F216*2)+36))/(416.310724))-19.16575597</f>
        <v>196.480862828126</v>
      </c>
      <c s="38" r="N216">
        <f>(((((C216*2)+36)*((((C216*2)+36)*(I216/672))+415))/((((C216*2)+36)*(1-(I216/672)))+415))/(1.92306))-3.576327284</f>
        <v>22.0816479753967</v>
      </c>
      <c s="38" r="O216">
        <f>(((((E216*2)+36)*((((E216*2)+36)*(I216/672))+415))/((((E216*2)+36)*(1-(I216/672)))+415))/(1.980931))+4.9921912</f>
        <v>29.900593311096</v>
      </c>
      <c s="68" r="P216"/>
      <c s="38" r="Q216">
        <f>((((L216+M216)+N216)+O216)/(1.535645))-60.47703745</f>
        <v>230.471534957212</v>
      </c>
      <c s="63" r="R216"/>
      <c s="26" r="S216"/>
      <c s="26" r="T216"/>
    </row>
    <row customHeight="1" r="217" ht="14.25">
      <c t="s" s="45" r="A217">
        <v>320</v>
      </c>
      <c s="57" r="B217">
        <v>80</v>
      </c>
      <c s="8" r="C217">
        <v>125</v>
      </c>
      <c s="8" r="D217">
        <v>75</v>
      </c>
      <c s="8" r="E217">
        <v>40</v>
      </c>
      <c s="8" r="F217">
        <v>95</v>
      </c>
      <c s="27" r="G217">
        <v>85</v>
      </c>
      <c s="68" r="H217"/>
      <c s="20" r="I217">
        <f>INDEX('Speed Factors'!$A$2:$B$256,(G217),2)</f>
        <v>469</v>
      </c>
      <c s="20" r="J217">
        <f>SUM(B217:G217)</f>
        <v>500</v>
      </c>
      <c s="68" r="K217"/>
      <c s="38" r="L217">
        <f>((((B217*2)+141)*((D217*2)+36))/(402.744996))-24.57966407</f>
        <v>114.431374070869</v>
      </c>
      <c s="38" r="M217">
        <f>((((B217*2)+141)*((F217*2)+36))/(416.310724))-19.16575597</f>
        <v>144.236232204583</v>
      </c>
      <c s="38" r="N217">
        <f>(((((C217*2)+36)*((((C217*2)+36)*(I217/672))+415))/((((C217*2)+36)*(1-(I217/672)))+415))/(1.92306))-3.576327284</f>
        <v>178.724222404806</v>
      </c>
      <c s="38" r="O217">
        <f>(((((E217*2)+36)*((((E217*2)+36)*(I217/672))+415))/((((E217*2)+36)*(1-(I217/672)))+415))/(1.980931))+4.9921912</f>
        <v>69.5250802528763</v>
      </c>
      <c s="68" r="P217"/>
      <c s="38" r="Q217">
        <f>((((L217+M217)+N217)+O217)/(1.535645))-60.47703745</f>
        <v>269.623284520985</v>
      </c>
      <c s="63" r="R217"/>
      <c s="26" r="S217"/>
      <c s="26" r="T217"/>
    </row>
    <row customHeight="1" r="218" ht="14.25">
      <c t="s" s="45" r="A218">
        <v>321</v>
      </c>
      <c s="75" r="B218">
        <v>55</v>
      </c>
      <c s="54" r="C218">
        <v>95</v>
      </c>
      <c s="54" r="D218">
        <v>55</v>
      </c>
      <c s="54" r="E218">
        <v>35</v>
      </c>
      <c s="54" r="F218">
        <v>75</v>
      </c>
      <c s="2" r="G218">
        <v>115</v>
      </c>
      <c s="68" r="H218"/>
      <c s="19" r="I218">
        <f>INDEX('Speed Factors'!$A$2:$B$256,(G218),2)</f>
        <v>642</v>
      </c>
      <c s="19" r="J218">
        <f>SUM(B218:G218)</f>
        <v>430</v>
      </c>
      <c s="68" r="K218"/>
      <c s="38" r="L218">
        <f>((((B218*2)+141)*((D218*2)+36))/(402.744996))-24.57966407</f>
        <v>66.4109139979147</v>
      </c>
      <c s="38" r="M218">
        <f>((((B218*2)+141)*((F218*2)+36))/(416.310724))-19.16575597</f>
        <v>92.9764428939428</v>
      </c>
      <c s="38" r="N218">
        <f>(((((C218*2)+36)*((((C218*2)+36)*(I218/672))+415))/((((C218*2)+36)*(1-(I218/672)))+415))/(1.92306))-3.576327284</f>
        <v>170.846510724561</v>
      </c>
      <c s="38" r="O218">
        <f>(((((E218*2)+36)*((((E218*2)+36)*(I218/672))+415))/((((E218*2)+36)*(1-(I218/672)))+415))/(1.980931))+4.9921912</f>
        <v>70.8093870277099</v>
      </c>
      <c s="68" r="P218"/>
      <c s="38" r="Q218">
        <f>((((L218+M218)+N218)+O218)/(1.535645))-60.47703745</f>
        <v>200.67918983178</v>
      </c>
      <c s="63" r="R218"/>
      <c s="26" r="S218"/>
      <c s="26" r="T218"/>
    </row>
    <row customHeight="1" r="219" ht="14.25">
      <c t="s" s="45" r="A219">
        <v>322</v>
      </c>
      <c s="57" r="B219">
        <v>60</v>
      </c>
      <c s="8" r="C219">
        <v>80</v>
      </c>
      <c s="8" r="D219">
        <v>50</v>
      </c>
      <c s="8" r="E219">
        <v>50</v>
      </c>
      <c s="8" r="F219">
        <v>50</v>
      </c>
      <c s="27" r="G219">
        <v>40</v>
      </c>
      <c s="68" r="H219"/>
      <c s="20" r="I219">
        <f>INDEX('Speed Factors'!$A$2:$B$256,(G219),2)</f>
        <v>111</v>
      </c>
      <c s="20" r="J219">
        <f>SUM(B219:G219)</f>
        <v>330</v>
      </c>
      <c s="68" r="K219"/>
      <c s="38" r="L219">
        <f>((((B219*2)+141)*((D219*2)+36))/(402.744996))-24.57966407</f>
        <v>63.55550918489</v>
      </c>
      <c s="38" r="M219">
        <f>((((B219*2)+141)*((F219*2)+36))/(416.310724))-19.16575597</f>
        <v>66.0974812076231</v>
      </c>
      <c s="38" r="N219">
        <f>(((((C219*2)+36)*((((C219*2)+36)*(I219/672))+415))/((((C219*2)+36)*(1-(I219/672)))+415))/(1.92306))-3.576327284</f>
        <v>75.2257660448037</v>
      </c>
      <c s="38" r="O219">
        <f>(((((E219*2)+36)*((((E219*2)+36)*(I219/672))+415))/((((E219*2)+36)*(1-(I219/672)))+415))/(1.980931))+4.9921912</f>
        <v>61.8169792355857</v>
      </c>
      <c s="68" r="P219"/>
      <c s="38" r="Q219">
        <f>((((L219+M219)+N219)+O219)/(1.535645))-60.47703745</f>
        <v>113.193137410012</v>
      </c>
      <c s="63" r="R219"/>
      <c s="26" r="S219"/>
      <c s="26" r="T219"/>
    </row>
    <row customHeight="1" r="220" ht="14.25">
      <c t="s" s="45" r="A220">
        <v>323</v>
      </c>
      <c s="75" r="B220">
        <v>90</v>
      </c>
      <c s="54" r="C220">
        <v>130</v>
      </c>
      <c s="54" r="D220">
        <v>75</v>
      </c>
      <c s="54" r="E220">
        <v>75</v>
      </c>
      <c s="54" r="F220">
        <v>75</v>
      </c>
      <c s="2" r="G220">
        <v>55</v>
      </c>
      <c s="68" r="H220"/>
      <c s="19" r="I220">
        <f>INDEX('Speed Factors'!$A$2:$B$256,(G220),2)</f>
        <v>233</v>
      </c>
      <c s="19" r="J220">
        <f>SUM(B220:G220)</f>
        <v>500</v>
      </c>
      <c s="68" r="K220"/>
      <c s="38" r="L220">
        <f>((((B220*2)+141)*((D220*2)+36))/(402.744996))-24.57966407</f>
        <v>123.667987900827</v>
      </c>
      <c s="38" r="M220">
        <f>((((B220*2)+141)*((F220*2)+36))/(416.310724))-19.16575597</f>
        <v>124.251159708588</v>
      </c>
      <c s="38" r="N220">
        <f>(((((C220*2)+36)*((((C220*2)+36)*(I220/672))+415))/((((C220*2)+36)*(1-(I220/672)))+415))/(1.92306))-3.576327284</f>
        <v>127.387694698249</v>
      </c>
      <c s="38" r="O220">
        <f>(((((E220*2)+36)*((((E220*2)+36)*(I220/672))+415))/((((E220*2)+36)*(1-(I220/672)))+415))/(1.980931))+4.9921912</f>
        <v>88.9086534408166</v>
      </c>
      <c s="68" r="P220"/>
      <c s="38" r="Q220">
        <f>((((L220+M220)+N220)+O220)/(1.535645))-60.47703745</f>
        <v>241.816458604414</v>
      </c>
      <c s="63" r="R220"/>
      <c s="26" r="S220"/>
      <c s="26" r="T220"/>
    </row>
    <row customHeight="1" r="221" ht="14.25">
      <c t="s" s="45" r="A221">
        <v>324</v>
      </c>
      <c s="57" r="B221">
        <v>40</v>
      </c>
      <c s="8" r="C221">
        <v>40</v>
      </c>
      <c s="8" r="D221">
        <v>40</v>
      </c>
      <c s="8" r="E221">
        <v>70</v>
      </c>
      <c s="8" r="F221">
        <v>40</v>
      </c>
      <c s="27" r="G221">
        <v>20</v>
      </c>
      <c s="68" r="H221"/>
      <c s="20" r="I221">
        <f>INDEX('Speed Factors'!$A$2:$B$256,(G221),2)</f>
        <v>14</v>
      </c>
      <c s="20" r="J221">
        <f>SUM(B221:G221)</f>
        <v>250</v>
      </c>
      <c s="68" r="K221"/>
      <c s="38" r="L221">
        <f>((((B221*2)+141)*((D221*2)+36))/(402.744996))-24.57966407</f>
        <v>39.0735166140873</v>
      </c>
      <c s="38" r="M221">
        <f>((((B221*2)+141)*((F221*2)+36))/(416.310724))-19.16575597</f>
        <v>42.4132486582834</v>
      </c>
      <c s="38" r="N221">
        <f>(((((C221*2)+36)*((((C221*2)+36)*(I221/672))+415))/((((C221*2)+36)*(1-(I221/672)))+415))/(1.92306))-3.576327284</f>
        <v>44.0581577988854</v>
      </c>
      <c s="38" r="O221">
        <f>(((((E221*2)+36)*((((E221*2)+36)*(I221/672))+415))/((((E221*2)+36)*(1-(I221/672)))+415))/(1.980931))+4.9921912</f>
        <v>68.324752875928</v>
      </c>
      <c s="68" r="P221"/>
      <c s="38" r="Q221">
        <f>((((L221+M221)+N221)+O221)/(1.535645))-60.47703745</f>
        <v>65.7693775399124</v>
      </c>
      <c s="63" r="R221"/>
      <c s="26" r="S221"/>
      <c s="26" r="T221"/>
    </row>
    <row customHeight="1" r="222" ht="14.25">
      <c t="s" s="45" r="A222">
        <v>325</v>
      </c>
      <c s="75" r="B222">
        <v>50</v>
      </c>
      <c s="54" r="C222">
        <v>50</v>
      </c>
      <c s="54" r="D222">
        <v>120</v>
      </c>
      <c s="54" r="E222">
        <v>80</v>
      </c>
      <c s="54" r="F222">
        <v>80</v>
      </c>
      <c s="2" r="G222">
        <v>30</v>
      </c>
      <c s="68" r="H222"/>
      <c s="19" r="I222">
        <f>INDEX('Speed Factors'!$A$2:$B$256,(G222),2)</f>
        <v>44</v>
      </c>
      <c s="19" r="J222">
        <f>SUM(B222:G222)</f>
        <v>410</v>
      </c>
      <c s="68" r="K222"/>
      <c s="38" r="L222">
        <f>((((B222*2)+141)*((D222*2)+36))/(402.744996))-24.57966407</f>
        <v>140.576950315347</v>
      </c>
      <c s="38" r="M222">
        <f>((((B222*2)+141)*((F222*2)+36))/(416.310724))-19.16575597</f>
        <v>94.2975714844232</v>
      </c>
      <c s="38" r="N222">
        <f>(((((C222*2)+36)*((((C222*2)+36)*(I222/672))+415))/((((C222*2)+36)*(1-(I222/672)))+415))/(1.92306))-3.576327284</f>
        <v>51.7254102497162</v>
      </c>
      <c s="38" r="O222">
        <f>(((((E222*2)+36)*((((E222*2)+36)*(I222/672))+415))/((((E222*2)+36)*(1-(I222/672)))+415))/(1.980931))+4.9921912</f>
        <v>75.7605515240986</v>
      </c>
      <c s="68" r="P222"/>
      <c s="38" r="Q222">
        <f>((((L222+M222)+N222)+O222)/(1.535645))-60.47703745</f>
        <v>175.489272194211</v>
      </c>
      <c s="63" r="R222"/>
      <c s="26" r="S222"/>
      <c s="26" r="T222"/>
    </row>
    <row customHeight="1" r="223" ht="14.25">
      <c t="s" s="45" r="A223">
        <v>326</v>
      </c>
      <c s="57" r="B223">
        <v>50</v>
      </c>
      <c s="8" r="C223">
        <v>50</v>
      </c>
      <c s="8" r="D223">
        <v>40</v>
      </c>
      <c s="8" r="E223">
        <v>30</v>
      </c>
      <c s="8" r="F223">
        <v>30</v>
      </c>
      <c s="27" r="G223">
        <v>50</v>
      </c>
      <c s="68" r="H223"/>
      <c s="20" r="I223">
        <f>INDEX('Speed Factors'!$A$2:$B$256,(G223),2)</f>
        <v>189</v>
      </c>
      <c s="20" r="J223">
        <f>SUM(B223:G223)</f>
        <v>250</v>
      </c>
      <c s="68" r="K223"/>
      <c s="38" r="L223">
        <f>((((B223*2)+141)*((D223*2)+36))/(402.744996))-24.57966407</f>
        <v>44.8339854542762</v>
      </c>
      <c s="38" r="M223">
        <f>((((B223*2)+141)*((F223*2)+36))/(416.310724))-19.16575597</f>
        <v>36.4081187015542</v>
      </c>
      <c s="38" r="N223">
        <f>(((((C223*2)+36)*((((C223*2)+36)*(I223/672))+415))/((((C223*2)+36)*(1-(I223/672)))+415))/(1.92306))-3.576327284</f>
        <v>58.9378064581244</v>
      </c>
      <c s="38" r="O223">
        <f>(((((E223*2)+36)*((((E223*2)+36)*(I223/672))+415))/((((E223*2)+36)*(1-(I223/672)))+415))/(1.980931))+4.9921912</f>
        <v>49.248867221327</v>
      </c>
      <c s="68" r="P223"/>
      <c s="38" r="Q223">
        <f>((((L223+M223)+N223)+O223)/(1.535645))-60.47703745</f>
        <v>62.8774994613837</v>
      </c>
      <c s="63" r="R223"/>
      <c s="26" r="S223"/>
      <c s="26" r="T223"/>
    </row>
    <row customHeight="1" r="224" ht="14.25">
      <c t="s" s="45" r="A224">
        <v>327</v>
      </c>
      <c s="75" r="B224">
        <v>100</v>
      </c>
      <c s="54" r="C224">
        <v>100</v>
      </c>
      <c s="54" r="D224">
        <v>80</v>
      </c>
      <c s="54" r="E224">
        <v>60</v>
      </c>
      <c s="54" r="F224">
        <v>60</v>
      </c>
      <c s="2" r="G224">
        <v>50</v>
      </c>
      <c s="68" r="H224"/>
      <c s="19" r="I224">
        <f>INDEX('Speed Factors'!$A$2:$B$256,(G224),2)</f>
        <v>189</v>
      </c>
      <c s="19" r="J224">
        <f>SUM(B224:G224)</f>
        <v>450</v>
      </c>
      <c s="68" r="K224"/>
      <c s="38" r="L224">
        <f>((((B224*2)+141)*((D224*2)+36))/(402.744996))-24.57966407</f>
        <v>141.37149774158</v>
      </c>
      <c s="38" r="M224">
        <f>((((B224*2)+141)*((F224*2)+36))/(416.310724))-19.16575597</f>
        <v>108.613801301265</v>
      </c>
      <c s="38" r="N224">
        <f>(((((C224*2)+36)*((((C224*2)+36)*(I224/672))+415))/((((C224*2)+36)*(1-(I224/672)))+415))/(1.92306))-3.576327284</f>
        <v>97.4711131415151</v>
      </c>
      <c s="38" r="O224">
        <f>(((((E224*2)+36)*((((E224*2)+36)*(I224/672))+415))/((((E224*2)+36)*(1-(I224/672)))+415))/(1.980931))+4.9921912</f>
        <v>73.5467015802161</v>
      </c>
      <c s="68" r="P224"/>
      <c s="38" r="Q224">
        <f>((((L224+M224)+N224)+O224)/(1.535645))-60.47703745</f>
        <v>213.676893806623</v>
      </c>
      <c s="63" r="R224"/>
      <c s="26" r="S224"/>
      <c s="26" r="T224"/>
    </row>
    <row customHeight="1" r="225" ht="14.25">
      <c t="s" s="45" r="A225">
        <v>328</v>
      </c>
      <c s="57" r="B225">
        <v>55</v>
      </c>
      <c s="8" r="C225">
        <v>55</v>
      </c>
      <c s="8" r="D225">
        <v>85</v>
      </c>
      <c s="8" r="E225">
        <v>65</v>
      </c>
      <c s="8" r="F225">
        <v>85</v>
      </c>
      <c s="27" r="G225">
        <v>35</v>
      </c>
      <c s="68" r="H225"/>
      <c s="20" r="I225">
        <f>INDEX('Speed Factors'!$A$2:$B$256,(G225),2)</f>
        <v>84</v>
      </c>
      <c s="20" r="J225">
        <f>SUM(B225:G225)</f>
        <v>380</v>
      </c>
      <c s="68" r="K225"/>
      <c s="38" r="L225">
        <f>((((B225*2)+141)*((D225*2)+36))/(402.744996))-24.57966407</f>
        <v>103.804302245003</v>
      </c>
      <c s="38" r="M225">
        <f>((((B225*2)+141)*((F225*2)+36))/(416.310724))-19.16575597</f>
        <v>105.034743847055</v>
      </c>
      <c s="38" r="N225">
        <f>(((((C225*2)+36)*((((C225*2)+36)*(I225/672))+415))/((((C225*2)+36)*(1-(I225/672)))+415))/(1.92306))-3.576327284</f>
        <v>57.0273198005494</v>
      </c>
      <c s="38" r="O225">
        <f>(((((E225*2)+36)*((((E225*2)+36)*(I225/672))+415))/((((E225*2)+36)*(1-(I225/672)))+415))/(1.980931))+4.9921912</f>
        <v>70.1691767240345</v>
      </c>
      <c s="68" r="P225"/>
      <c s="38" r="Q225">
        <f>((((L225+M225)+N225)+O225)/(1.535645))-60.47703745</f>
        <v>158.346676765617</v>
      </c>
      <c s="63" r="R225"/>
      <c s="26" r="S225"/>
      <c s="26" r="T225"/>
    </row>
    <row customHeight="1" r="226" ht="14.25">
      <c t="s" s="45" r="A226">
        <v>329</v>
      </c>
      <c s="75" r="B226">
        <v>35</v>
      </c>
      <c s="54" r="C226">
        <v>65</v>
      </c>
      <c s="54" r="D226">
        <v>35</v>
      </c>
      <c s="54" r="E226">
        <v>65</v>
      </c>
      <c s="54" r="F226">
        <v>35</v>
      </c>
      <c s="2" r="G226">
        <v>65</v>
      </c>
      <c s="68" r="H226"/>
      <c s="19" r="I226">
        <f>INDEX('Speed Factors'!$A$2:$B$256,(G226),2)</f>
        <v>321</v>
      </c>
      <c s="19" r="J226">
        <f>SUM(B226:G226)</f>
        <v>300</v>
      </c>
      <c s="68" r="K226"/>
      <c s="38" r="L226">
        <f>((((B226*2)+141)*((D226*2)+36))/(402.744996))-24.57966407</f>
        <v>30.9542351022693</v>
      </c>
      <c s="38" r="M226">
        <f>((((B226*2)+141)*((F226*2)+36))/(416.310724))-19.16575597</f>
        <v>34.5585386748816</v>
      </c>
      <c s="38" r="N226">
        <f>(((((C226*2)+36)*((((C226*2)+36)*(I226/672))+415))/((((C226*2)+36)*(1-(I226/672)))+415))/(1.92306))-3.576327284</f>
        <v>81.4693841906391</v>
      </c>
      <c s="38" r="O226">
        <f>(((((E226*2)+36)*((((E226*2)+36)*(I226/672))+415))/((((E226*2)+36)*(1-(I226/672)))+415))/(1.980931))+4.9921912</f>
        <v>87.5533737492253</v>
      </c>
      <c s="68" r="P226"/>
      <c s="38" r="Q226">
        <f>((((L226+M226)+N226)+O226)/(1.535645))-60.47703745</f>
        <v>92.2506644062333</v>
      </c>
      <c s="63" r="R226"/>
      <c s="26" r="S226"/>
      <c s="26" r="T226"/>
    </row>
    <row customHeight="1" r="227" ht="14.25">
      <c t="s" s="45" r="A227">
        <v>330</v>
      </c>
      <c s="57" r="B227">
        <v>75</v>
      </c>
      <c s="8" r="C227">
        <v>105</v>
      </c>
      <c s="8" r="D227">
        <v>75</v>
      </c>
      <c s="8" r="E227">
        <v>105</v>
      </c>
      <c s="8" r="F227">
        <v>75</v>
      </c>
      <c s="27" r="G227">
        <v>45</v>
      </c>
      <c s="68" r="H227"/>
      <c s="20" r="I227">
        <f>INDEX('Speed Factors'!$A$2:$B$256,(G227),2)</f>
        <v>154</v>
      </c>
      <c s="20" r="J227">
        <f>SUM(B227:G227)</f>
        <v>480</v>
      </c>
      <c s="68" r="K227"/>
      <c s="38" r="L227">
        <f>((((B227*2)+141)*((D227*2)+36))/(402.744996))-24.57966407</f>
        <v>109.81306715589</v>
      </c>
      <c s="38" r="M227">
        <f>((((B227*2)+141)*((F227*2)+36))/(416.310724))-19.16575597</f>
        <v>110.847709645169</v>
      </c>
      <c s="38" r="N227">
        <f>(((((C227*2)+36)*((((C227*2)+36)*(I227/672))+415))/((((C227*2)+36)*(1-(I227/672)))+415))/(1.92306))-3.576327284</f>
        <v>96.1529605053265</v>
      </c>
      <c s="38" r="O227">
        <f>(((((E227*2)+36)*((((E227*2)+36)*(I227/672))+415))/((((E227*2)+36)*(1-(I227/672)))+415))/(1.980931))+4.9921912</f>
        <v>101.807983459368</v>
      </c>
      <c s="68" r="P227"/>
      <c s="38" r="Q227">
        <f>((((L227+M227)+N227)+O227)/(1.535645))-60.47703745</f>
        <v>212.12614933194</v>
      </c>
      <c s="63" r="R227"/>
      <c s="26" r="S227"/>
      <c s="26" r="T227"/>
    </row>
    <row customHeight="1" r="228" ht="14.25">
      <c t="s" s="45" r="A228">
        <v>331</v>
      </c>
      <c s="75" r="B228">
        <v>45</v>
      </c>
      <c s="54" r="C228">
        <v>55</v>
      </c>
      <c s="54" r="D228">
        <v>45</v>
      </c>
      <c s="54" r="E228">
        <v>65</v>
      </c>
      <c s="54" r="F228">
        <v>45</v>
      </c>
      <c s="2" r="G228">
        <v>75</v>
      </c>
      <c s="68" r="H228"/>
      <c s="19" r="I228">
        <f>INDEX('Speed Factors'!$A$2:$B$256,(G228),2)</f>
        <v>413</v>
      </c>
      <c s="19" r="J228">
        <f>SUM(B228:G228)</f>
        <v>330</v>
      </c>
      <c s="68" r="K228"/>
      <c s="38" r="L228">
        <f>((((B228*2)+141)*((D228*2)+36))/(402.744996))-24.57966407</f>
        <v>47.6893902673008</v>
      </c>
      <c s="38" r="M228">
        <f>((((B228*2)+141)*((F228*2)+36))/(416.310724))-19.16575597</f>
        <v>50.7483690382234</v>
      </c>
      <c s="38" r="N228">
        <f>(((((C228*2)+36)*((((C228*2)+36)*(I228/672))+415))/((((C228*2)+36)*(1-(I228/672)))+415))/(1.92306))-3.576327284</f>
        <v>77.7344028386396</v>
      </c>
      <c s="38" r="O228">
        <f>(((((E228*2)+36)*((((E228*2)+36)*(I228/672))+415))/((((E228*2)+36)*(1-(I228/672)))+415))/(1.980931))+4.9921912</f>
        <v>95.4466873553258</v>
      </c>
      <c s="68" r="P228"/>
      <c s="38" r="Q228">
        <f>((((L228+M228)+N228)+O228)/(1.535645))-60.47703745</f>
        <v>116.399030586226</v>
      </c>
      <c s="63" r="R228"/>
      <c s="26" r="S228"/>
      <c s="26" r="T228"/>
    </row>
    <row customHeight="1" r="229" ht="14.25">
      <c t="s" s="45" r="A229">
        <v>332</v>
      </c>
      <c s="57" r="B229">
        <v>65</v>
      </c>
      <c s="8" r="C229">
        <v>40</v>
      </c>
      <c s="8" r="D229">
        <v>70</v>
      </c>
      <c s="8" r="E229">
        <v>80</v>
      </c>
      <c s="8" r="F229">
        <v>140</v>
      </c>
      <c s="27" r="G229">
        <v>70</v>
      </c>
      <c s="68" r="H229"/>
      <c s="20" r="I229">
        <f>INDEX('Speed Factors'!$A$2:$B$256,(G229),2)</f>
        <v>369</v>
      </c>
      <c s="20" r="J229">
        <f>SUM(B229:G229)</f>
        <v>465</v>
      </c>
      <c s="68" r="K229"/>
      <c s="38" r="L229">
        <f>((((B229*2)+141)*((D229*2)+36))/(402.744996))-24.57966407</f>
        <v>93.8476298100213</v>
      </c>
      <c s="38" r="M229">
        <f>((((B229*2)+141)*((F229*2)+36))/(416.310724))-19.16575597</f>
        <v>186.536367619783</v>
      </c>
      <c s="38" r="N229">
        <f>(((((C229*2)+36)*((((C229*2)+36)*(I229/672))+415))/((((C229*2)+36)*(1-(I229/672)))+415))/(1.92306))-3.576327284</f>
        <v>58.2148175709709</v>
      </c>
      <c s="38" r="O229">
        <f>(((((E229*2)+36)*((((E229*2)+36)*(I229/672))+415))/((((E229*2)+36)*(1-(I229/672)))+415))/(1.980931))+4.9921912</f>
        <v>107.719346264682</v>
      </c>
      <c s="68" r="P229"/>
      <c s="38" r="Q229">
        <f>((((L229+M229)+N229)+O229)/(1.535645))-60.47703745</f>
        <v>230.161854524029</v>
      </c>
      <c s="63" r="R229"/>
      <c s="26" r="S229"/>
      <c s="26" r="T229"/>
    </row>
    <row customHeight="1" r="230" ht="14.25">
      <c t="s" s="45" r="A230">
        <v>97</v>
      </c>
      <c s="75" r="B230">
        <v>65</v>
      </c>
      <c s="54" r="C230">
        <v>80</v>
      </c>
      <c s="54" r="D230">
        <v>140</v>
      </c>
      <c s="54" r="E230">
        <v>40</v>
      </c>
      <c s="54" r="F230">
        <v>70</v>
      </c>
      <c s="2" r="G230">
        <v>70</v>
      </c>
      <c s="68" r="H230"/>
      <c s="19" r="I230">
        <f>INDEX('Speed Factors'!$A$2:$B$256,(G230),2)</f>
        <v>369</v>
      </c>
      <c s="19" r="J230">
        <f>SUM(B230:G230)</f>
        <v>465</v>
      </c>
      <c s="68" r="K230"/>
      <c s="38" r="L230">
        <f>((((B230*2)+141)*((D230*2)+36))/(402.744996))-24.57966407</f>
        <v>188.051159032766</v>
      </c>
      <c s="38" r="M230">
        <f>((((B230*2)+141)*((F230*2)+36))/(416.310724))-19.16575597</f>
        <v>95.4025153964614</v>
      </c>
      <c s="38" r="N230">
        <f>(((((C230*2)+36)*((((C230*2)+36)*(I230/672))+415))/((((C230*2)+36)*(1-(I230/672)))+415))/(1.92306))-3.576327284</f>
        <v>102.242215044079</v>
      </c>
      <c s="38" r="O230">
        <f>(((((E230*2)+36)*((((E230*2)+36)*(I230/672))+415))/((((E230*2)+36)*(1-(I230/672)))+415))/(1.980931))+4.9921912</f>
        <v>64.9781669986524</v>
      </c>
      <c s="68" r="P230"/>
      <c s="38" r="Q230">
        <f>((((L230+M230)+N230)+O230)/(1.535645))-60.47703745</f>
        <v>232.998379376128</v>
      </c>
      <c s="63" r="R230"/>
      <c s="26" r="S230"/>
      <c s="26" r="T230"/>
    </row>
    <row customHeight="1" r="231" ht="14.25">
      <c t="s" s="45" r="A231">
        <v>333</v>
      </c>
      <c s="57" r="B231">
        <v>45</v>
      </c>
      <c s="8" r="C231">
        <v>60</v>
      </c>
      <c s="8" r="D231">
        <v>30</v>
      </c>
      <c s="8" r="E231">
        <v>80</v>
      </c>
      <c s="8" r="F231">
        <v>50</v>
      </c>
      <c s="27" r="G231">
        <v>65</v>
      </c>
      <c s="68" r="H231"/>
      <c s="20" r="I231">
        <f>INDEX('Speed Factors'!$A$2:$B$256,(G231),2)</f>
        <v>321</v>
      </c>
      <c s="20" r="J231">
        <f>SUM(B231:G231)</f>
        <v>330</v>
      </c>
      <c s="68" r="K231"/>
      <c s="38" r="L231">
        <f>((((B231*2)+141)*((D231*2)+36))/(402.744996))-24.57966407</f>
        <v>30.4824725679435</v>
      </c>
      <c s="38" r="M231">
        <f>((((B231*2)+141)*((F231*2)+36))/(416.310724))-19.16575597</f>
        <v>56.2971091182412</v>
      </c>
      <c s="38" r="N231">
        <f>(((((C231*2)+36)*((((C231*2)+36)*(I231/672))+415))/((((C231*2)+36)*(1-(I231/672)))+415))/(1.92306))-3.576327284</f>
        <v>76.4064849703156</v>
      </c>
      <c s="38" r="O231">
        <f>(((((E231*2)+36)*((((E231*2)+36)*(I231/672))+415))/((((E231*2)+36)*(1-(I231/672)))+415))/(1.980931))+4.9921912</f>
        <v>102.262206995269</v>
      </c>
      <c s="68" r="P231"/>
      <c s="38" r="Q231">
        <f>((((L231+M231)+N231)+O231)/(1.535645))-60.47703745</f>
        <v>112.380799909396</v>
      </c>
      <c s="63" r="R231"/>
      <c s="26" r="S231"/>
      <c s="26" r="T231"/>
    </row>
    <row customHeight="1" r="232" ht="14.25">
      <c t="s" s="45" r="A232">
        <v>334</v>
      </c>
      <c s="75" r="B232">
        <v>75</v>
      </c>
      <c s="54" r="C232">
        <v>90</v>
      </c>
      <c s="54" r="D232">
        <v>50</v>
      </c>
      <c s="54" r="E232">
        <v>110</v>
      </c>
      <c s="54" r="F232">
        <v>80</v>
      </c>
      <c s="2" r="G232">
        <v>95</v>
      </c>
      <c s="68" r="H232"/>
      <c s="19" r="I232">
        <f>INDEX('Speed Factors'!$A$2:$B$256,(G232),2)</f>
        <v>542</v>
      </c>
      <c s="19" r="J232">
        <f>SUM(B232:G232)</f>
        <v>500</v>
      </c>
      <c s="68" r="K232"/>
      <c s="38" r="L232">
        <f>((((B232*2)+141)*((D232*2)+36))/(402.744996))-24.57966407</f>
        <v>73.6859888693602</v>
      </c>
      <c s="38" r="M232">
        <f>((((B232*2)+141)*((F232*2)+36))/(416.310724))-19.16575597</f>
        <v>117.837680914801</v>
      </c>
      <c s="38" r="N232">
        <f>(((((C232*2)+36)*((((C232*2)+36)*(I232/672))+415))/((((C232*2)+36)*(1-(I232/672)))+415))/(1.92306))-3.576327284</f>
        <v>141.30808765194</v>
      </c>
      <c s="38" r="O232">
        <f>(((((E232*2)+36)*((((E232*2)+36)*(I232/672))+415))/((((E232*2)+36)*(1-(I232/672)))+415))/(1.980931))+4.9921912</f>
        <v>177.889061856638</v>
      </c>
      <c s="68" r="P232"/>
      <c s="38" r="Q232">
        <f>((((L232+M232)+N232)+O232)/(1.535645))-60.47703745</f>
        <v>272.100361162791</v>
      </c>
      <c s="63" r="R232"/>
      <c s="26" r="S232"/>
      <c s="26" r="T232"/>
    </row>
    <row customHeight="1" r="233" ht="14.25">
      <c t="s" s="45" r="A233">
        <v>335</v>
      </c>
      <c s="57" r="B233">
        <v>75</v>
      </c>
      <c s="8" r="C233">
        <v>95</v>
      </c>
      <c s="8" r="D233">
        <v>95</v>
      </c>
      <c s="8" r="E233">
        <v>95</v>
      </c>
      <c s="8" r="F233">
        <v>95</v>
      </c>
      <c s="27" r="G233">
        <v>85</v>
      </c>
      <c s="68" r="H233"/>
      <c s="20" r="I233">
        <f>INDEX('Speed Factors'!$A$2:$B$256,(G233),2)</f>
        <v>469</v>
      </c>
      <c s="20" r="J233">
        <f>SUM(B233:G233)</f>
        <v>540</v>
      </c>
      <c s="68" r="K233"/>
      <c s="38" r="L233">
        <f>((((B233*2)+141)*((D233*2)+36))/(402.744996))-24.57966407</f>
        <v>138.714729785113</v>
      </c>
      <c s="38" r="M233">
        <f>((((B233*2)+141)*((F233*2)+36))/(416.310724))-19.16575597</f>
        <v>138.8075947237</v>
      </c>
      <c s="38" r="N233">
        <f>(((((C233*2)+36)*((((C233*2)+36)*(I233/672))+415))/((((C233*2)+36)*(1-(I233/672)))+415))/(1.92306))-3.576327284</f>
        <v>135.699042409607</v>
      </c>
      <c s="38" r="O233">
        <f>(((((E233*2)+36)*((((E233*2)+36)*(I233/672))+415))/((((E233*2)+36)*(1-(I233/672)))+415))/(1.980931))+4.9921912</f>
        <v>140.198764494571</v>
      </c>
      <c s="68" r="P233"/>
      <c s="38" r="Q233">
        <f>((((L233+M233)+N233)+O233)/(1.535645))-60.47703745</f>
        <v>299.905818882675</v>
      </c>
      <c s="63" r="R233"/>
      <c s="26" r="S233"/>
      <c s="26" r="T233"/>
    </row>
    <row customHeight="1" r="234" ht="14.25">
      <c t="s" s="45" r="A234">
        <v>336</v>
      </c>
      <c s="75" r="B234">
        <v>90</v>
      </c>
      <c s="54" r="C234">
        <v>60</v>
      </c>
      <c s="54" r="D234">
        <v>60</v>
      </c>
      <c s="54" r="E234">
        <v>40</v>
      </c>
      <c s="54" r="F234">
        <v>40</v>
      </c>
      <c s="2" r="G234">
        <v>40</v>
      </c>
      <c s="68" r="H234"/>
      <c s="19" r="I234">
        <f>INDEX('Speed Factors'!$A$2:$B$256,(G234),2)</f>
        <v>111</v>
      </c>
      <c s="19" r="J234">
        <f>SUM(B234:G234)</f>
        <v>330</v>
      </c>
      <c s="68" r="K234"/>
      <c s="38" r="L234">
        <f>((((B234*2)+141)*((D234*2)+36))/(402.744996))-24.57966407</f>
        <v>99.7570762926288</v>
      </c>
      <c s="38" r="M234">
        <f>((((B234*2)+141)*((F234*2)+36))/(416.310724))-19.16575597</f>
        <v>70.2770516575066</v>
      </c>
      <c s="38" r="N234">
        <f>(((((C234*2)+36)*((((C234*2)+36)*(I234/672))+415))/((((C234*2)+36)*(1-(I234/672)))+415))/(1.92306))-3.576327284</f>
        <v>62.0019840598806</v>
      </c>
      <c s="38" r="O234">
        <f>(((((E234*2)+36)*((((E234*2)+36)*(I234/672))+415))/((((E234*2)+36)*(1-(I234/672)))+415))/(1.980931))+4.9921912</f>
        <v>54.6634935675946</v>
      </c>
      <c s="68" r="P234"/>
      <c s="38" r="Q234">
        <f>((((L234+M234)+N234)+O234)/(1.535645))-60.47703745</f>
        <v>126.219500862963</v>
      </c>
      <c s="63" r="R234"/>
      <c s="26" r="S234"/>
      <c s="26" r="T234"/>
    </row>
    <row customHeight="1" r="235" ht="14.25">
      <c t="s" s="45" r="A235">
        <v>62</v>
      </c>
      <c s="57" r="B235">
        <v>90</v>
      </c>
      <c s="8" r="C235">
        <v>120</v>
      </c>
      <c s="8" r="D235">
        <v>120</v>
      </c>
      <c s="8" r="E235">
        <v>60</v>
      </c>
      <c s="8" r="F235">
        <v>60</v>
      </c>
      <c s="27" r="G235">
        <v>50</v>
      </c>
      <c s="68" r="H235"/>
      <c s="20" r="I235">
        <f>INDEX('Speed Factors'!$A$2:$B$256,(G235),2)</f>
        <v>189</v>
      </c>
      <c s="20" r="J235">
        <f>SUM(B235:G235)</f>
        <v>500</v>
      </c>
      <c s="68" r="K235"/>
      <c s="38" r="L235">
        <f>((((B235*2)+141)*((D235*2)+36))/(402.744996))-24.57966407</f>
        <v>195.40072272542</v>
      </c>
      <c s="38" r="M235">
        <f>((((B235*2)+141)*((F235*2)+36))/(416.310724))-19.16575597</f>
        <v>101.119399115268</v>
      </c>
      <c s="38" r="N235">
        <f>(((((C235*2)+36)*((((C235*2)+36)*(I235/672))+415))/((((C235*2)+36)*(1-(I235/672)))+415))/(1.92306))-3.576327284</f>
        <v>111.691106470273</v>
      </c>
      <c s="38" r="O235">
        <f>(((((E235*2)+36)*((((E235*2)+36)*(I235/672))+415))/((((E235*2)+36)*(1-(I235/672)))+415))/(1.980931))+4.9921912</f>
        <v>73.5467015802161</v>
      </c>
      <c s="68" r="P235"/>
      <c s="38" r="Q235">
        <f>((((L235+M235)+N235)+O235)/(1.535645))-60.47703745</f>
        <v>253.239954362025</v>
      </c>
      <c s="63" r="R235"/>
      <c s="26" r="S235"/>
      <c s="26" r="T235"/>
    </row>
    <row customHeight="1" r="236" ht="14.25">
      <c t="s" s="45" r="A236">
        <v>337</v>
      </c>
      <c s="75" r="B236">
        <v>85</v>
      </c>
      <c s="54" r="C236">
        <v>80</v>
      </c>
      <c s="54" r="D236">
        <v>90</v>
      </c>
      <c s="54" r="E236">
        <v>105</v>
      </c>
      <c s="54" r="F236">
        <v>95</v>
      </c>
      <c s="2" r="G236">
        <v>60</v>
      </c>
      <c s="68" r="H236"/>
      <c s="19" r="I236">
        <f>INDEX('Speed Factors'!$A$2:$B$256,(G236),2)</f>
        <v>274</v>
      </c>
      <c s="19" r="J236">
        <f>SUM(B236:G236)</f>
        <v>515</v>
      </c>
      <c s="68" r="K236"/>
      <c s="38" r="L236">
        <f>((((B236*2)+141)*((D236*2)+36))/(402.744996))-24.57966407</f>
        <v>142.215704381952</v>
      </c>
      <c s="38" r="M236">
        <f>((((B236*2)+141)*((F236*2)+36))/(416.310724))-19.16575597</f>
        <v>149.664869685466</v>
      </c>
      <c s="38" r="N236">
        <f>(((((C236*2)+36)*((((C236*2)+36)*(I236/672))+415))/((((C236*2)+36)*(1-(I236/672)))+415))/(1.92306))-3.576327284</f>
        <v>91.4037773311293</v>
      </c>
      <c s="38" r="O236">
        <f>(((((E236*2)+36)*((((E236*2)+36)*(I236/672))+415))/((((E236*2)+36)*(1-(I236/672)))+415))/(1.980931))+4.9921912</f>
        <v>119.12253390047</v>
      </c>
      <c s="68" r="P236"/>
      <c s="38" r="Q236">
        <f>((((L236+M236)+N236)+O236)/(1.535645))-60.47703745</f>
        <v>266.686392443639</v>
      </c>
      <c s="63" r="R236"/>
      <c s="26" r="S236"/>
      <c s="26" r="T236"/>
    </row>
    <row customHeight="1" r="237" ht="14.25">
      <c t="s" s="45" r="A237">
        <v>338</v>
      </c>
      <c s="57" r="B237">
        <v>73</v>
      </c>
      <c s="8" r="C237">
        <v>95</v>
      </c>
      <c s="8" r="D237">
        <v>62</v>
      </c>
      <c s="8" r="E237">
        <v>85</v>
      </c>
      <c s="8" r="F237">
        <v>65</v>
      </c>
      <c s="27" r="G237">
        <v>85</v>
      </c>
      <c s="68" r="H237"/>
      <c s="20" r="I237">
        <f>INDEX('Speed Factors'!$A$2:$B$256,(G237),2)</f>
        <v>469</v>
      </c>
      <c s="20" r="J237">
        <f>SUM(B237:G237)</f>
        <v>465</v>
      </c>
      <c s="68" r="K237"/>
      <c s="38" r="L237">
        <f>((((B237*2)+141)*((D237*2)+36))/(402.744996))-24.57966407</f>
        <v>89.4378915944284</v>
      </c>
      <c s="38" r="M237">
        <f>((((B237*2)+141)*((F237*2)+36))/(416.310724))-19.16575597</f>
        <v>95.272804589396</v>
      </c>
      <c s="38" r="N237">
        <f>(((((C237*2)+36)*((((C237*2)+36)*(I237/672))+415))/((((C237*2)+36)*(1-(I237/672)))+415))/(1.92306))-3.576327284</f>
        <v>135.699042409607</v>
      </c>
      <c s="38" r="O237">
        <f>(((((E237*2)+36)*((((E237*2)+36)*(I237/672))+415))/((((E237*2)+36)*(1-(I237/672)))+415))/(1.980931))+4.9921912</f>
        <v>126.752186392872</v>
      </c>
      <c s="68" r="P237"/>
      <c s="38" r="Q237">
        <f>((((L237+M237)+N237)+O237)/(1.535645))-60.47703745</f>
        <v>230.711306852429</v>
      </c>
      <c s="63" r="R237"/>
      <c s="26" r="S237"/>
      <c s="26" r="T237"/>
    </row>
    <row customHeight="1" r="238" ht="14.25">
      <c t="s" s="45" r="A238">
        <v>339</v>
      </c>
      <c s="75" r="B238">
        <v>55</v>
      </c>
      <c s="54" r="C238">
        <v>20</v>
      </c>
      <c s="54" r="D238">
        <v>35</v>
      </c>
      <c s="54" r="E238">
        <v>20</v>
      </c>
      <c s="54" r="F238">
        <v>45</v>
      </c>
      <c s="2" r="G238">
        <v>75</v>
      </c>
      <c s="68" r="H238"/>
      <c s="19" r="I238">
        <f>INDEX('Speed Factors'!$A$2:$B$256,(G238),2)</f>
        <v>413</v>
      </c>
      <c s="19" r="J238">
        <f>SUM(B238:G238)</f>
        <v>250</v>
      </c>
      <c s="68" r="K238"/>
      <c s="38" r="L238">
        <f>((((B238*2)+141)*((D238*2)+36))/(402.744996))-24.57966407</f>
        <v>41.4819884998559</v>
      </c>
      <c s="38" r="M238">
        <f>((((B238*2)+141)*((F238*2)+36))/(416.310724))-19.16575597</f>
        <v>56.8015400346064</v>
      </c>
      <c s="38" r="N238">
        <f>(((((C238*2)+36)*((((C238*2)+36)*(I238/672))+415))/((((C238*2)+36)*(1-(I238/672)))+415))/(1.92306))-3.576327284</f>
        <v>37.4932566735887</v>
      </c>
      <c s="38" r="O238">
        <f>(((((E238*2)+36)*((((E238*2)+36)*(I238/672))+415))/((((E238*2)+36)*(1-(I238/672)))+415))/(1.980931))+4.9921912</f>
        <v>44.861966636641</v>
      </c>
      <c s="68" r="P238"/>
      <c s="38" r="Q238">
        <f>((((L238+M238)+N238)+O238)/(1.535645))-60.47703745</f>
        <v>57.1535033616407</v>
      </c>
      <c s="63" r="R238"/>
      <c s="26" r="S238"/>
      <c s="26" r="T238"/>
    </row>
    <row customHeight="1" r="239" ht="14.25">
      <c t="s" s="45" r="A239">
        <v>340</v>
      </c>
      <c s="57" r="B239">
        <v>35</v>
      </c>
      <c s="8" r="C239">
        <v>35</v>
      </c>
      <c s="8" r="D239">
        <v>35</v>
      </c>
      <c s="8" r="E239">
        <v>35</v>
      </c>
      <c s="8" r="F239">
        <v>35</v>
      </c>
      <c s="27" r="G239">
        <v>35</v>
      </c>
      <c s="68" r="H239"/>
      <c s="20" r="I239">
        <f>INDEX('Speed Factors'!$A$2:$B$256,(G239),2)</f>
        <v>84</v>
      </c>
      <c s="20" r="J239">
        <f>SUM(B239:G239)</f>
        <v>210</v>
      </c>
      <c s="68" r="K239"/>
      <c s="38" r="L239">
        <f>((((B239*2)+141)*((D239*2)+36))/(402.744996))-24.57966407</f>
        <v>30.9542351022693</v>
      </c>
      <c s="38" r="M239">
        <f>((((B239*2)+141)*((F239*2)+36))/(416.310724))-19.16575597</f>
        <v>34.5585386748816</v>
      </c>
      <c s="38" r="N239">
        <f>(((((C239*2)+36)*((((C239*2)+36)*(I239/672))+415))/((((C239*2)+36)*(1-(I239/672)))+415))/(1.92306))-3.576327284</f>
        <v>42.9137716368469</v>
      </c>
      <c s="38" r="O239">
        <f>(((((E239*2)+36)*((((E239*2)+36)*(I239/672))+415))/((((E239*2)+36)*(1-(I239/672)))+415))/(1.980931))+4.9921912</f>
        <v>50.1241264520223</v>
      </c>
      <c s="68" r="P239"/>
      <c s="38" r="Q239">
        <f>((((L239+M239)+N239)+O239)/(1.535645))-60.47703745</f>
        <v>42.7699186277524</v>
      </c>
      <c s="63" r="R239"/>
      <c s="26" r="S239"/>
      <c s="26" r="T239"/>
    </row>
    <row customHeight="1" r="240" ht="14.25">
      <c t="s" s="45" r="A240">
        <v>341</v>
      </c>
      <c s="75" r="B240">
        <v>50</v>
      </c>
      <c s="54" r="C240">
        <v>95</v>
      </c>
      <c s="54" r="D240">
        <v>95</v>
      </c>
      <c s="54" r="E240">
        <v>35</v>
      </c>
      <c s="54" r="F240">
        <v>110</v>
      </c>
      <c s="2" r="G240">
        <v>70</v>
      </c>
      <c s="68" r="H240"/>
      <c s="19" r="I240">
        <f>INDEX('Speed Factors'!$A$2:$B$256,(G240),2)</f>
        <v>369</v>
      </c>
      <c s="19" r="J240">
        <f>SUM(B240:G240)</f>
        <v>455</v>
      </c>
      <c s="68" r="K240"/>
      <c s="38" r="L240">
        <f>((((B240*2)+141)*((D240*2)+36))/(402.744996))-24.57966407</f>
        <v>110.657273796262</v>
      </c>
      <c s="38" r="M240">
        <f>((((B240*2)+141)*((F240*2)+36))/(416.310724))-19.16575597</f>
        <v>129.031243154145</v>
      </c>
      <c s="38" r="N240">
        <f>(((((C240*2)+36)*((((C240*2)+36)*(I240/672))+415))/((((C240*2)+36)*(1-(I240/672)))+415))/(1.92306))-3.576327284</f>
        <v>118.991211504147</v>
      </c>
      <c s="38" r="O240">
        <f>(((((E240*2)+36)*((((E240*2)+36)*(I240/672))+415))/((((E240*2)+36)*(1-(I240/672)))+415))/(1.980931))+4.9921912</f>
        <v>59.7061131288366</v>
      </c>
      <c s="68" r="P240"/>
      <c s="38" r="Q240">
        <f>((((L240+M240)+N240)+O240)/(1.535645))-60.47703745</f>
        <v>211.972546655305</v>
      </c>
      <c s="63" r="R240"/>
      <c s="26" r="S240"/>
      <c s="26" r="T240"/>
    </row>
    <row customHeight="1" r="241" ht="14.25">
      <c t="s" s="45" r="A241">
        <v>342</v>
      </c>
      <c s="57" r="B241">
        <v>45</v>
      </c>
      <c s="8" r="C241">
        <v>30</v>
      </c>
      <c s="8" r="D241">
        <v>15</v>
      </c>
      <c s="8" r="E241">
        <v>85</v>
      </c>
      <c s="8" r="F241">
        <v>65</v>
      </c>
      <c s="27" r="G241">
        <v>65</v>
      </c>
      <c s="68" r="H241"/>
      <c s="20" r="I241">
        <f>INDEX('Speed Factors'!$A$2:$B$256,(G241),2)</f>
        <v>321</v>
      </c>
      <c s="20" r="J241">
        <f>SUM(B241:G241)</f>
        <v>305</v>
      </c>
      <c s="68" r="K241"/>
      <c s="38" r="L241">
        <f>((((B241*2)+141)*((D241*2)+36))/(402.744996))-24.57966407</f>
        <v>13.2755548685861</v>
      </c>
      <c s="38" r="M241">
        <f>((((B241*2)+141)*((F241*2)+36))/(416.310724))-19.16575597</f>
        <v>72.9433293582944</v>
      </c>
      <c s="38" r="N241">
        <f>(((((C241*2)+36)*((((C241*2)+36)*(I241/672))+415))/((((C241*2)+36)*(1-(I241/672)))+415))/(1.92306))-3.576327284</f>
        <v>45.8841571083118</v>
      </c>
      <c s="38" r="O241">
        <f>(((((E241*2)+36)*((((E241*2)+36)*(I241/672))+415))/((((E241*2)+36)*(1-(I241/672)))+415))/(1.980931))+4.9921912</f>
        <v>107.153706386325</v>
      </c>
      <c s="68" r="P241"/>
      <c s="38" r="Q241">
        <f>((((L241+M241)+N241)+O241)/(1.535645))-60.47703745</f>
        <v>95.3250833015521</v>
      </c>
      <c s="63" r="R241"/>
      <c s="26" r="S241"/>
      <c s="26" r="T241"/>
    </row>
    <row customHeight="1" r="242" ht="14.25">
      <c t="s" s="45" r="A242">
        <v>343</v>
      </c>
      <c s="75" r="B242">
        <v>45</v>
      </c>
      <c s="54" r="C242">
        <v>63</v>
      </c>
      <c s="54" r="D242">
        <v>37</v>
      </c>
      <c s="54" r="E242">
        <v>65</v>
      </c>
      <c s="54" r="F242">
        <v>55</v>
      </c>
      <c s="2" r="G242">
        <v>95</v>
      </c>
      <c s="68" r="H242"/>
      <c s="19" r="I242">
        <f>INDEX('Speed Factors'!$A$2:$B$256,(G242),2)</f>
        <v>542</v>
      </c>
      <c s="19" r="J242">
        <f>SUM(B242:G242)</f>
        <v>360</v>
      </c>
      <c s="68" r="K242"/>
      <c s="38" r="L242">
        <f>((((B242*2)+141)*((D242*2)+36))/(402.744996))-24.57966407</f>
        <v>38.5123674943102</v>
      </c>
      <c s="38" r="M242">
        <f>((((B242*2)+141)*((F242*2)+36))/(416.310724))-19.16575597</f>
        <v>61.8458491982589</v>
      </c>
      <c s="38" r="N242">
        <f>(((((C242*2)+36)*((((C242*2)+36)*(I242/672))+415))/((((C242*2)+36)*(1-(I242/672)))+415))/(1.92306))-3.576327284</f>
        <v>99.4100432889196</v>
      </c>
      <c s="38" r="O242">
        <f>(((((E242*2)+36)*((((E242*2)+36)*(I242/672))+415))/((((E242*2)+36)*(1-(I242/672)))+415))/(1.980931))+4.9921912</f>
        <v>107.865857854273</v>
      </c>
      <c s="68" r="P242"/>
      <c s="38" r="Q242">
        <f>((((L242+M242)+N242)+O242)/(1.535645))-60.47703745</f>
        <v>139.851891329609</v>
      </c>
      <c s="63" r="R242"/>
      <c s="26" r="S242"/>
      <c s="26" r="T242"/>
    </row>
    <row customHeight="1" r="243" ht="14.25">
      <c t="s" s="45" r="A243">
        <v>344</v>
      </c>
      <c s="57" r="B243">
        <v>45</v>
      </c>
      <c s="8" r="C243">
        <v>75</v>
      </c>
      <c s="8" r="D243">
        <v>37</v>
      </c>
      <c s="8" r="E243">
        <v>70</v>
      </c>
      <c s="8" r="F243">
        <v>55</v>
      </c>
      <c s="27" r="G243">
        <v>83</v>
      </c>
      <c s="68" r="H243"/>
      <c s="20" r="I243">
        <f>INDEX('Speed Factors'!$A$2:$B$256,(G243),2)</f>
        <v>465</v>
      </c>
      <c s="20" r="J243">
        <f>SUM(B243:G243)</f>
        <v>365</v>
      </c>
      <c s="68" r="K243"/>
      <c s="38" r="L243">
        <f>((((B243*2)+141)*((D243*2)+36))/(402.744996))-24.57966407</f>
        <v>38.5123674943102</v>
      </c>
      <c s="38" r="M243">
        <f>((((B243*2)+141)*((F243*2)+36))/(416.310724))-19.16575597</f>
        <v>61.8458491982589</v>
      </c>
      <c s="38" r="N243">
        <f>(((((C243*2)+36)*((((C243*2)+36)*(I243/672))+415))/((((C243*2)+36)*(1-(I243/672)))+415))/(1.92306))-3.576327284</f>
        <v>107.768668280641</v>
      </c>
      <c s="38" r="O243">
        <f>(((((E243*2)+36)*((((E243*2)+36)*(I243/672))+415))/((((E243*2)+36)*(1-(I243/672)))+415))/(1.980931))+4.9921912</f>
        <v>106.634153853246</v>
      </c>
      <c s="68" r="P243"/>
      <c s="38" r="Q243">
        <f>((((L243+M243)+N243)+O243)/(1.535645))-60.47703745</f>
        <v>144.492886475423</v>
      </c>
      <c s="63" r="R243"/>
      <c s="26" r="S243"/>
      <c s="26" r="T243"/>
    </row>
    <row customHeight="1" r="244" ht="14.25">
      <c t="s" s="45" r="A244">
        <v>345</v>
      </c>
      <c s="75" r="B244">
        <v>95</v>
      </c>
      <c s="54" r="C244">
        <v>80</v>
      </c>
      <c s="54" r="D244">
        <v>105</v>
      </c>
      <c s="54" r="E244">
        <v>40</v>
      </c>
      <c s="54" r="F244">
        <v>70</v>
      </c>
      <c s="2" r="G244">
        <v>100</v>
      </c>
      <c s="68" r="H244"/>
      <c s="19" r="I244">
        <f>INDEX('Speed Factors'!$A$2:$B$256,(G244),2)</f>
        <v>577</v>
      </c>
      <c s="19" r="J244">
        <f>SUM(B244:G244)</f>
        <v>490</v>
      </c>
      <c s="68" r="K244"/>
      <c s="38" r="L244">
        <f>((((B244*2)+141)*((D244*2)+36))/(402.744996))-24.57966407</f>
        <v>177.597894456388</v>
      </c>
      <c s="38" r="M244">
        <f>((((B244*2)+141)*((F244*2)+36))/(416.310724))-19.16575597</f>
        <v>120.768184333685</v>
      </c>
      <c s="38" r="N244">
        <f>(((((C244*2)+36)*((((C244*2)+36)*(I244/672))+415))/((((C244*2)+36)*(1-(I244/672)))+415))/(1.92306))-3.576327284</f>
        <v>130.709850199068</v>
      </c>
      <c s="38" r="O244">
        <f>(((((E244*2)+36)*((((E244*2)+36)*(I244/672))+415))/((((E244*2)+36)*(1-(I244/672)))+415))/(1.980931))+4.9921912</f>
        <v>74.8444549387308</v>
      </c>
      <c s="68" r="P244"/>
      <c s="38" r="Q244">
        <f>((((L244+M244)+N244)+O244)/(1.535645))-60.47703745</f>
        <v>267.671970900154</v>
      </c>
      <c s="63" r="R244"/>
      <c s="26" r="S244"/>
      <c s="26" r="T244"/>
    </row>
    <row customHeight="1" r="245" ht="14.25">
      <c t="s" s="45" r="A245">
        <v>55</v>
      </c>
      <c s="57" r="B245">
        <v>255</v>
      </c>
      <c s="8" r="C245">
        <v>10</v>
      </c>
      <c s="8" r="D245">
        <v>10</v>
      </c>
      <c s="8" r="E245">
        <v>75</v>
      </c>
      <c s="8" r="F245">
        <v>135</v>
      </c>
      <c s="27" r="G245">
        <v>55</v>
      </c>
      <c s="68" r="H245"/>
      <c s="20" r="I245">
        <f>INDEX('Speed Factors'!$A$2:$B$256,(G245),2)</f>
        <v>233</v>
      </c>
      <c s="20" r="J245">
        <f>SUM(B245:G245)</f>
        <v>540</v>
      </c>
      <c s="68" r="K245"/>
      <c s="38" r="L245">
        <f>((((B245*2)+141)*((D245*2)+36))/(402.744996))-24.57966407</f>
        <v>65.9391514635889</v>
      </c>
      <c s="38" r="M245">
        <f>((((B245*2)+141)*((F245*2)+36))/(416.310724))-19.16575597</f>
        <v>459.337411294075</v>
      </c>
      <c s="38" r="N245">
        <f>(((((C245*2)+36)*((((C245*2)+36)*(I245/672))+415))/((((C245*2)+36)*(1-(I245/672)))+415))/(1.92306))-3.576327284</f>
        <v>24.4369400853087</v>
      </c>
      <c s="38" r="O245">
        <f>(((((E245*2)+36)*((((E245*2)+36)*(I245/672))+415))/((((E245*2)+36)*(1-(I245/672)))+415))/(1.980931))+4.9921912</f>
        <v>88.9086534408166</v>
      </c>
      <c s="68" r="P245"/>
      <c s="38" r="Q245">
        <f>((((L245+M245)+N245)+O245)/(1.535645))-60.47703745</f>
        <v>355.388710352252</v>
      </c>
      <c s="63" r="R245"/>
      <c s="26" r="S245"/>
      <c s="26" r="T245"/>
    </row>
    <row customHeight="1" r="246" ht="14.25">
      <c t="s" s="45" r="A246">
        <v>346</v>
      </c>
      <c s="75" r="B246">
        <v>90</v>
      </c>
      <c s="54" r="C246">
        <v>85</v>
      </c>
      <c s="54" r="D246">
        <v>75</v>
      </c>
      <c s="54" r="E246">
        <v>115</v>
      </c>
      <c s="54" r="F246">
        <v>100</v>
      </c>
      <c s="2" r="G246">
        <v>115</v>
      </c>
      <c s="68" r="H246"/>
      <c s="19" r="I246">
        <f>INDEX('Speed Factors'!$A$2:$B$256,(G246),2)</f>
        <v>642</v>
      </c>
      <c s="19" r="J246">
        <f>SUM(B246:G246)</f>
        <v>580</v>
      </c>
      <c s="68" r="K246"/>
      <c s="38" r="L246">
        <f>((((B246*2)+141)*((D246*2)+36))/(402.744996))-24.57966407</f>
        <v>123.667987900827</v>
      </c>
      <c s="38" r="M246">
        <f>((((B246*2)+141)*((F246*2)+36))/(416.310724))-19.16575597</f>
        <v>162.804094030789</v>
      </c>
      <c s="38" r="N246">
        <f>(((((C246*2)+36)*((((C246*2)+36)*(I246/672))+415))/((((C246*2)+36)*(1-(I246/672)))+415))/(1.92306))-3.576327284</f>
        <v>150.920436202484</v>
      </c>
      <c s="38" r="O246">
        <f>(((((E246*2)+36)*((((E246*2)+36)*(I246/672))+415))/((((E246*2)+36)*(1-(I246/672)))+415))/(1.980931))+4.9921912</f>
        <v>215.47606285142</v>
      </c>
      <c s="68" r="P246"/>
      <c s="38" r="Q246">
        <f>((((L246+M246)+N246)+O246)/(1.535645))-60.47703745</f>
        <v>364.665870569445</v>
      </c>
      <c s="63" r="R246"/>
      <c s="26" r="S246"/>
      <c s="26" r="T246"/>
    </row>
    <row customHeight="1" r="247" ht="14.25">
      <c t="s" s="45" r="A247">
        <v>347</v>
      </c>
      <c s="57" r="B247">
        <v>115</v>
      </c>
      <c s="8" r="C247">
        <v>115</v>
      </c>
      <c s="8" r="D247">
        <v>85</v>
      </c>
      <c s="8" r="E247">
        <v>90</v>
      </c>
      <c s="8" r="F247">
        <v>75</v>
      </c>
      <c s="27" r="G247">
        <v>100</v>
      </c>
      <c s="68" r="H247"/>
      <c s="20" r="I247">
        <f>INDEX('Speed Factors'!$A$2:$B$256,(G247),2)</f>
        <v>577</v>
      </c>
      <c s="20" r="J247">
        <f>SUM(B247:G247)</f>
        <v>580</v>
      </c>
      <c s="68" r="K247"/>
      <c s="38" r="L247">
        <f>((((B247*2)+141)*((D247*2)+36))/(402.744996))-24.57966407</f>
        <v>165.183090921498</v>
      </c>
      <c s="38" r="M247">
        <f>((((B247*2)+141)*((F247*2)+36))/(416.310724))-19.16575597</f>
        <v>146.590243147621</v>
      </c>
      <c s="38" r="N247">
        <f>(((((C247*2)+36)*((((C247*2)+36)*(I247/672))+415))/((((C247*2)+36)*(1-(I247/672)))+415))/(1.92306))-3.576327284</f>
        <v>193.05309281324</v>
      </c>
      <c s="38" r="O247">
        <f>(((((E247*2)+36)*((((E247*2)+36)*(I247/672))+415))/((((E247*2)+36)*(1-(I247/672)))+415))/(1.980931))+4.9921912</f>
        <v>151.948779654341</v>
      </c>
      <c s="68" r="P247"/>
      <c s="38" r="Q247">
        <f>((((L247+M247)+N247)+O247)/(1.535645))-60.47703745</f>
        <v>367.20983453975</v>
      </c>
      <c s="63" r="R247"/>
      <c s="26" r="S247"/>
      <c s="26" r="T247"/>
    </row>
    <row customHeight="1" r="248" ht="14.25">
      <c t="s" s="45" r="A248">
        <v>348</v>
      </c>
      <c s="75" r="B248">
        <v>100</v>
      </c>
      <c s="54" r="C248">
        <v>75</v>
      </c>
      <c s="54" r="D248">
        <v>115</v>
      </c>
      <c s="54" r="E248">
        <v>90</v>
      </c>
      <c s="54" r="F248">
        <v>115</v>
      </c>
      <c s="2" r="G248">
        <v>85</v>
      </c>
      <c s="68" r="H248"/>
      <c s="19" r="I248">
        <f>INDEX('Speed Factors'!$A$2:$B$256,(G248),2)</f>
        <v>469</v>
      </c>
      <c s="19" r="J248">
        <f>SUM(B248:G248)</f>
        <v>580</v>
      </c>
      <c s="68" r="K248"/>
      <c s="38" r="L248">
        <f>((((B248*2)+141)*((D248*2)+36))/(402.744996))-24.57966407</f>
        <v>200.639769817144</v>
      </c>
      <c s="38" r="M248">
        <f>((((B248*2)+141)*((F248*2)+36))/(416.310724))-19.16575597</f>
        <v>198.71477117203</v>
      </c>
      <c s="38" r="N248">
        <f>(((((C248*2)+36)*((((C248*2)+36)*(I248/672))+415))/((((C248*2)+36)*(1-(I248/672)))+415))/(1.92306))-3.576327284</f>
        <v>108.257557769429</v>
      </c>
      <c s="38" r="O248">
        <f>(((((E248*2)+36)*((((E248*2)+36)*(I248/672))+415))/((((E248*2)+36)*(1-(I248/672)))+415))/(1.980931))+4.9921912</f>
        <v>133.444404512366</v>
      </c>
      <c s="68" r="P248"/>
      <c s="38" r="Q248">
        <f>((((L248+M248)+N248)+O248)/(1.535645))-60.47703745</f>
        <v>356.973938049525</v>
      </c>
      <c s="63" r="R248"/>
      <c s="26" r="S248"/>
      <c s="26" r="T248"/>
    </row>
    <row customHeight="1" r="249" ht="14.25">
      <c t="s" s="45" r="A249">
        <v>349</v>
      </c>
      <c s="57" r="B249">
        <v>50</v>
      </c>
      <c s="8" r="C249">
        <v>64</v>
      </c>
      <c s="8" r="D249">
        <v>50</v>
      </c>
      <c s="8" r="E249">
        <v>45</v>
      </c>
      <c s="8" r="F249">
        <v>50</v>
      </c>
      <c s="27" r="G249">
        <v>41</v>
      </c>
      <c s="68" r="H249"/>
      <c s="20" r="I249">
        <f>INDEX('Speed Factors'!$A$2:$B$256,(G249),2)</f>
        <v>142</v>
      </c>
      <c s="20" r="J249">
        <f>SUM(B249:G249)</f>
        <v>300</v>
      </c>
      <c s="68" r="K249"/>
      <c s="38" r="L249">
        <f>((((B249*2)+141)*((D249*2)+36))/(402.744996))-24.57966407</f>
        <v>56.80185606191</v>
      </c>
      <c s="38" r="M249">
        <f>((((B249*2)+141)*((F249*2)+36))/(416.310724))-19.16575597</f>
        <v>59.5638998147018</v>
      </c>
      <c s="38" r="N249">
        <f>(((((C249*2)+36)*((((C249*2)+36)*(I249/672))+415))/((((C249*2)+36)*(1-(I249/672)))+415))/(1.92306))-3.576327284</f>
        <v>66.8695825251895</v>
      </c>
      <c s="38" r="O249">
        <f>(((((E249*2)+36)*((((E249*2)+36)*(I249/672))+415))/((((E249*2)+36)*(1-(I249/672)))+415))/(1.980931))+4.9921912</f>
        <v>59.6025455555594</v>
      </c>
      <c s="68" r="P249"/>
      <c s="38" r="Q249">
        <f>((((L249+M249)+N249)+O249)/(1.535645))-60.47703745</f>
        <v>97.6570911782706</v>
      </c>
      <c s="63" r="R249"/>
      <c s="26" r="S249"/>
      <c s="26" r="T249"/>
    </row>
    <row customHeight="1" r="250" ht="14.25">
      <c t="s" s="45" r="A250">
        <v>350</v>
      </c>
      <c s="75" r="B250">
        <v>70</v>
      </c>
      <c s="54" r="C250">
        <v>84</v>
      </c>
      <c s="54" r="D250">
        <v>70</v>
      </c>
      <c s="54" r="E250">
        <v>65</v>
      </c>
      <c s="54" r="F250">
        <v>70</v>
      </c>
      <c s="2" r="G250">
        <v>51</v>
      </c>
      <c s="68" r="H250"/>
      <c s="19" r="I250">
        <f>INDEX('Speed Factors'!$A$2:$B$256,(G250),2)</f>
        <v>229</v>
      </c>
      <c s="19" r="J250">
        <f>SUM(B250:G250)</f>
        <v>410</v>
      </c>
      <c s="68" r="K250"/>
      <c s="38" r="L250">
        <f>((((B250*2)+141)*((D250*2)+36))/(402.744996))-24.57966407</f>
        <v>98.2176406543025</v>
      </c>
      <c s="38" r="M250">
        <f>((((B250*2)+141)*((F250*2)+36))/(416.310724))-19.16575597</f>
        <v>99.6301268859987</v>
      </c>
      <c s="38" r="N250">
        <f>(((((C250*2)+36)*((((C250*2)+36)*(I250/672))+415))/((((C250*2)+36)*(1-(I250/672)))+415))/(1.92306))-3.576327284</f>
        <v>89.9628482054845</v>
      </c>
      <c s="38" r="O250">
        <f>(((((E250*2)+36)*((((E250*2)+36)*(I250/672))+415))/((((E250*2)+36)*(1-(I250/672)))+415))/(1.980931))+4.9921912</f>
        <v>80.3441721089857</v>
      </c>
      <c s="68" r="P250"/>
      <c s="38" r="Q250">
        <f>((((L250+M250)+N250)+O250)/(1.535645))-60.47703745</f>
        <v>179.262477773096</v>
      </c>
      <c s="63" r="R250"/>
      <c s="26" r="S250"/>
      <c s="26" r="T250"/>
    </row>
    <row customHeight="1" r="251" ht="14.25">
      <c t="s" s="45" r="A251">
        <v>104</v>
      </c>
      <c s="57" r="B251">
        <v>100</v>
      </c>
      <c s="8" r="C251">
        <v>134</v>
      </c>
      <c s="8" r="D251">
        <v>110</v>
      </c>
      <c s="8" r="E251">
        <v>95</v>
      </c>
      <c s="8" r="F251">
        <v>100</v>
      </c>
      <c s="27" r="G251">
        <v>61</v>
      </c>
      <c s="68" r="H251"/>
      <c s="20" r="I251">
        <f>INDEX('Speed Factors'!$A$2:$B$256,(G251),2)</f>
        <v>313</v>
      </c>
      <c s="20" r="J251">
        <f>SUM(B251:G251)</f>
        <v>600</v>
      </c>
      <c s="68" r="K251"/>
      <c s="38" r="L251">
        <f>((((B251*2)+141)*((D251*2)+36))/(402.744996))-24.57966407</f>
        <v>192.172873806349</v>
      </c>
      <c s="38" r="M251">
        <f>((((B251*2)+141)*((F251*2)+36))/(416.310724))-19.16575597</f>
        <v>174.141779389094</v>
      </c>
      <c s="38" r="N251">
        <f>(((((C251*2)+36)*((((C251*2)+36)*(I251/672))+415))/((((C251*2)+36)*(1-(I251/672)))+415))/(1.92306))-3.576327284</f>
        <v>148.807849868463</v>
      </c>
      <c s="38" r="O251">
        <f>(((((E251*2)+36)*((((E251*2)+36)*(I251/672))+415))/((((E251*2)+36)*(1-(I251/672)))+415))/(1.980931))+4.9921912</f>
        <v>115.785487895308</v>
      </c>
      <c s="68" r="P251"/>
      <c s="38" r="Q251">
        <f>((((L251+M251)+N251)+O251)/(1.535645))-60.47703745</f>
        <v>350.365306294299</v>
      </c>
      <c s="63" r="R251"/>
      <c s="26" r="S251"/>
      <c s="26" r="T251"/>
    </row>
    <row customHeight="1" r="252" ht="14.25">
      <c t="s" s="45" r="A252">
        <v>351</v>
      </c>
      <c s="75" r="B252">
        <v>106</v>
      </c>
      <c s="54" r="C252">
        <v>90</v>
      </c>
      <c s="54" r="D252">
        <v>130</v>
      </c>
      <c s="54" r="E252">
        <v>90</v>
      </c>
      <c s="54" r="F252">
        <v>154</v>
      </c>
      <c s="2" r="G252">
        <v>110</v>
      </c>
      <c s="68" r="H252"/>
      <c s="19" r="I252">
        <f>INDEX('Speed Factors'!$A$2:$B$256,(G252),2)</f>
        <v>627</v>
      </c>
      <c s="19" r="J252">
        <f>SUM(B252:G252)</f>
        <v>680</v>
      </c>
      <c s="68" r="K252"/>
      <c s="38" r="L252">
        <f>((((B252*2)+141)*((D252*2)+36))/(402.744996))-24.57966407</f>
        <v>234.859934280714</v>
      </c>
      <c s="38" r="M252">
        <f>((((B252*2)+141)*((F252*2)+36))/(416.310724))-19.16575597</f>
        <v>272.520220392214</v>
      </c>
      <c s="38" r="N252">
        <f>(((((C252*2)+36)*((((C252*2)+36)*(I252/672))+415))/((((C252*2)+36)*(1-(I252/672)))+415))/(1.92306))-3.576327284</f>
        <v>157.67084304245</v>
      </c>
      <c s="38" r="O252">
        <f>(((((E252*2)+36)*((((E252*2)+36)*(I252/672))+415))/((((E252*2)+36)*(1-(I252/672)))+415))/(1.980931))+4.9921912</f>
        <v>161.528680036806</v>
      </c>
      <c s="68" r="P252"/>
      <c s="38" r="Q252">
        <f>((((L252+M252)+N252)+O252)/(1.535645))-60.47703745</f>
        <v>477.78517663736</v>
      </c>
      <c s="63" r="R252"/>
      <c s="26" r="S252"/>
      <c s="26" r="T252"/>
    </row>
    <row customHeight="1" r="253" ht="14.25">
      <c t="s" s="45" r="A253">
        <v>352</v>
      </c>
      <c s="57" r="B253">
        <v>106</v>
      </c>
      <c s="8" r="C253">
        <v>130</v>
      </c>
      <c s="8" r="D253">
        <v>90</v>
      </c>
      <c s="8" r="E253">
        <v>110</v>
      </c>
      <c s="8" r="F253">
        <v>154</v>
      </c>
      <c s="27" r="G253">
        <v>90</v>
      </c>
      <c s="68" r="H253"/>
      <c s="20" r="I253">
        <f>INDEX('Speed Factors'!$A$2:$B$256,(G253),2)</f>
        <v>503</v>
      </c>
      <c s="20" r="J253">
        <f>SUM(B253:G253)</f>
        <v>680</v>
      </c>
      <c s="68" r="K253"/>
      <c s="38" r="L253">
        <f>((((B253*2)+141)*((D253*2)+36))/(402.744996))-24.57966407</f>
        <v>164.741123915656</v>
      </c>
      <c s="38" r="M253">
        <f>((((B253*2)+141)*((F253*2)+36))/(416.310724))-19.16575597</f>
        <v>272.520220392214</v>
      </c>
      <c s="38" r="N253">
        <f>(((((C253*2)+36)*((((C253*2)+36)*(I253/672))+415))/((((C253*2)+36)*(1-(I253/672)))+415))/(1.92306))-3.576327284</f>
        <v>196.611660624763</v>
      </c>
      <c s="38" r="O253">
        <f>(((((E253*2)+36)*((((E253*2)+36)*(I253/672))+415))/((((E253*2)+36)*(1-(I253/672)))+415))/(1.980931))+4.9921912</f>
        <v>168.525372690632</v>
      </c>
      <c s="68" r="P253"/>
      <c s="38" r="Q253">
        <f>((((L253+M253)+N253)+O253)/(1.535645))-60.47703745</f>
        <v>462.038503331408</v>
      </c>
      <c s="63" r="R253"/>
      <c s="26" r="S253"/>
      <c s="26" r="T253"/>
    </row>
    <row customHeight="1" r="254" ht="14.25">
      <c t="s" s="45" r="A254">
        <v>57</v>
      </c>
      <c s="75" r="B254">
        <v>100</v>
      </c>
      <c s="54" r="C254">
        <v>100</v>
      </c>
      <c s="54" r="D254">
        <v>100</v>
      </c>
      <c s="54" r="E254">
        <v>100</v>
      </c>
      <c s="54" r="F254">
        <v>100</v>
      </c>
      <c s="2" r="G254">
        <v>100</v>
      </c>
      <c s="68" r="H254"/>
      <c s="19" r="I254">
        <f>INDEX('Speed Factors'!$A$2:$B$256,(G254),2)</f>
        <v>577</v>
      </c>
      <c s="19" r="J254">
        <f>SUM(B254:G254)</f>
        <v>600</v>
      </c>
      <c s="68" r="K254"/>
      <c s="38" r="L254">
        <f>((((B254*2)+141)*((D254*2)+36))/(402.744996))-24.57966407</f>
        <v>175.239081784759</v>
      </c>
      <c s="38" r="M254">
        <f>((((B254*2)+141)*((F254*2)+36))/(416.310724))-19.16575597</f>
        <v>174.141779389094</v>
      </c>
      <c s="38" r="N254">
        <f>(((((C254*2)+36)*((((C254*2)+36)*(I254/672))+415))/((((C254*2)+36)*(1-(I254/672)))+415))/(1.92306))-3.576327284</f>
        <v>165.476542525297</v>
      </c>
      <c s="38" r="O254">
        <f>(((((E254*2)+36)*((((E254*2)+36)*(I254/672))+415))/((((E254*2)+36)*(1-(I254/672)))+415))/(1.980931))+4.9921912</f>
        <v>169.106343492769</v>
      </c>
      <c s="68" r="P254"/>
      <c s="38" r="Q254">
        <f>((((L254+M254)+N254)+O254)/(1.535645))-60.47703745</f>
        <v>384.914799329932</v>
      </c>
      <c s="63" r="R254"/>
      <c s="26" r="S254"/>
      <c s="26" r="T254"/>
    </row>
    <row customHeight="1" r="255" ht="14.25">
      <c t="s" s="45" r="A255">
        <v>353</v>
      </c>
      <c s="57" r="B255">
        <v>40</v>
      </c>
      <c s="8" r="C255">
        <v>45</v>
      </c>
      <c s="8" r="D255">
        <v>35</v>
      </c>
      <c s="8" r="E255">
        <v>65</v>
      </c>
      <c s="8" r="F255">
        <v>55</v>
      </c>
      <c s="27" r="G255">
        <v>70</v>
      </c>
      <c s="68" r="H255"/>
      <c s="20" r="I255">
        <f>INDEX('Speed Factors'!$A$2:$B$256,(G255),2)</f>
        <v>369</v>
      </c>
      <c s="20" r="J255">
        <f>SUM(B255:G255)</f>
        <v>310</v>
      </c>
      <c s="68" r="K255"/>
      <c s="38" r="L255">
        <f>((((B255*2)+141)*((D255*2)+36))/(402.744996))-24.57966407</f>
        <v>33.5861734516659</v>
      </c>
      <c s="38" r="M255">
        <f>((((B255*2)+141)*((F255*2)+36))/(416.310724))-19.16575597</f>
        <v>58.3388533035291</v>
      </c>
      <c s="38" r="N255">
        <f>(((((C255*2)+36)*((((C255*2)+36)*(I255/672))+415))/((((C255*2)+36)*(1-(I255/672)))+415))/(1.92306))-3.576327284</f>
        <v>63.6627648836486</v>
      </c>
      <c s="38" r="O255">
        <f>(((((E255*2)+36)*((((E255*2)+36)*(I255/672))+415))/((((E255*2)+36)*(1-(I255/672)))+415))/(1.980931))+4.9921912</f>
        <v>91.5802460986903</v>
      </c>
      <c s="68" r="P255"/>
      <c s="38" r="Q255">
        <f>((((L255+M255)+N255)+O255)/(1.535645))-60.47703745</f>
        <v>100.476853415098</v>
      </c>
      <c s="63" r="R255"/>
      <c s="26" r="S255"/>
      <c s="26" r="T255"/>
    </row>
    <row customHeight="1" r="256" ht="14.25">
      <c t="s" s="45" r="A256">
        <v>354</v>
      </c>
      <c s="75" r="B256">
        <v>50</v>
      </c>
      <c s="54" r="C256">
        <v>65</v>
      </c>
      <c s="54" r="D256">
        <v>45</v>
      </c>
      <c s="54" r="E256">
        <v>85</v>
      </c>
      <c s="54" r="F256">
        <v>65</v>
      </c>
      <c s="2" r="G256">
        <v>95</v>
      </c>
      <c s="68" r="H256"/>
      <c s="19" r="I256">
        <f>INDEX('Speed Factors'!$A$2:$B$256,(G256),2)</f>
        <v>542</v>
      </c>
      <c s="19" r="J256">
        <f>SUM(B256:G256)</f>
        <v>405</v>
      </c>
      <c s="68" r="K256"/>
      <c s="38" r="L256">
        <f>((((B256*2)+141)*((D256*2)+36))/(402.744996))-24.57966407</f>
        <v>50.8179207580931</v>
      </c>
      <c s="38" r="M256">
        <f>((((B256*2)+141)*((F256*2)+36))/(416.310724))-19.16575597</f>
        <v>76.9307356495625</v>
      </c>
      <c s="38" r="N256">
        <f>(((((C256*2)+36)*((((C256*2)+36)*(I256/672))+415))/((((C256*2)+36)*(1-(I256/672)))+415))/(1.92306))-3.576327284</f>
        <v>102.393135634014</v>
      </c>
      <c s="38" r="O256">
        <f>(((((E256*2)+36)*((((E256*2)+36)*(I256/672))+415))/((((E256*2)+36)*(1-(I256/672)))+415))/(1.980931))+4.9921912</f>
        <v>137.858811696586</v>
      </c>
      <c s="68" r="P256"/>
      <c s="38" r="Q256">
        <f>((((L256+M256)+N256)+O256)/(1.535645))-60.47703745</f>
        <v>179.162074283673</v>
      </c>
      <c s="63" r="R256"/>
      <c s="26" r="S256"/>
      <c s="26" r="T256"/>
    </row>
    <row customHeight="1" r="257" ht="14.25">
      <c t="s" s="45" r="A257">
        <v>355</v>
      </c>
      <c s="57" r="B257">
        <v>70</v>
      </c>
      <c s="8" r="C257">
        <v>85</v>
      </c>
      <c s="8" r="D257">
        <v>65</v>
      </c>
      <c s="8" r="E257">
        <v>105</v>
      </c>
      <c s="8" r="F257">
        <v>85</v>
      </c>
      <c s="27" r="G257">
        <v>120</v>
      </c>
      <c s="68" r="H257"/>
      <c s="20" r="I257">
        <f>INDEX('Speed Factors'!$A$2:$B$256,(G257),2)</f>
        <v>652</v>
      </c>
      <c s="20" r="J257">
        <f>SUM(B257:G257)</f>
        <v>530</v>
      </c>
      <c s="68" r="K257"/>
      <c s="38" r="L257">
        <f>((((B257*2)+141)*((D257*2)+36))/(402.744996))-24.57966407</f>
        <v>91.2405210676944</v>
      </c>
      <c s="38" r="M257">
        <f>((((B257*2)+141)*((F257*2)+36))/(416.310724))-19.16575597</f>
        <v>119.879425100089</v>
      </c>
      <c s="38" r="N257">
        <f>(((((C257*2)+36)*((((C257*2)+36)*(I257/672))+415))/((((C257*2)+36)*(1-(I257/672)))+415))/(1.92306))-3.576327284</f>
        <v>152.824791236656</v>
      </c>
      <c s="38" r="O257">
        <f>(((((E257*2)+36)*((((E257*2)+36)*(I257/672))+415))/((((E257*2)+36)*(1-(I257/672)))+415))/(1.980931))+4.9921912</f>
        <v>197.207019932755</v>
      </c>
      <c s="68" r="P257"/>
      <c s="38" r="Q257">
        <f>((((L257+M257)+N257)+O257)/(1.535645))-60.47703745</f>
        <v>304.940593146391</v>
      </c>
      <c s="63" r="R257"/>
      <c s="26" r="S257"/>
      <c s="26" r="T257"/>
    </row>
    <row customHeight="1" r="258" ht="14.25">
      <c t="s" s="45" r="A258">
        <v>356</v>
      </c>
      <c s="75" r="B258">
        <v>45</v>
      </c>
      <c s="54" r="C258">
        <v>60</v>
      </c>
      <c s="54" r="D258">
        <v>40</v>
      </c>
      <c s="54" r="E258">
        <v>70</v>
      </c>
      <c s="54" r="F258">
        <v>50</v>
      </c>
      <c s="2" r="G258">
        <v>45</v>
      </c>
      <c s="68" r="H258"/>
      <c s="19" r="I258">
        <f>INDEX('Speed Factors'!$A$2:$B$256,(G258),2)</f>
        <v>154</v>
      </c>
      <c s="19" r="J258">
        <f>SUM(B258:G258)</f>
        <v>310</v>
      </c>
      <c s="68" r="K258"/>
      <c s="38" r="L258">
        <f>((((B258*2)+141)*((D258*2)+36))/(402.744996))-24.57966407</f>
        <v>41.9537510341817</v>
      </c>
      <c s="38" r="M258">
        <f>((((B258*2)+141)*((F258*2)+36))/(416.310724))-19.16575597</f>
        <v>56.2971091182412</v>
      </c>
      <c s="38" r="N258">
        <f>(((((C258*2)+36)*((((C258*2)+36)*(I258/672))+415))/((((C258*2)+36)*(1-(I258/672)))+415))/(1.92306))-3.576327284</f>
        <v>64.7378469774173</v>
      </c>
      <c s="38" r="O258">
        <f>(((((E258*2)+36)*((((E258*2)+36)*(I258/672))+415))/((((E258*2)+36)*(1-(I258/672)))+415))/(1.980931))+4.9921912</f>
        <v>78.4577820478516</v>
      </c>
      <c s="68" r="P258"/>
      <c s="38" r="Q258">
        <f>((((L258+M258)+N258)+O258)/(1.535645))-60.47703745</f>
        <v>96.7510257922805</v>
      </c>
      <c s="63" r="R258"/>
      <c s="26" r="S258"/>
      <c s="26" r="T258"/>
    </row>
    <row customHeight="1" r="259" ht="14.25">
      <c t="s" s="45" r="A259">
        <v>357</v>
      </c>
      <c s="57" r="B259">
        <v>60</v>
      </c>
      <c s="8" r="C259">
        <v>85</v>
      </c>
      <c s="8" r="D259">
        <v>60</v>
      </c>
      <c s="8" r="E259">
        <v>85</v>
      </c>
      <c s="8" r="F259">
        <v>60</v>
      </c>
      <c s="27" r="G259">
        <v>55</v>
      </c>
      <c s="68" r="H259"/>
      <c s="20" r="I259">
        <f>INDEX('Speed Factors'!$A$2:$B$256,(G259),2)</f>
        <v>233</v>
      </c>
      <c s="20" r="J259">
        <f>SUM(B259:G259)</f>
        <v>405</v>
      </c>
      <c s="68" r="K259"/>
      <c s="38" r="L259">
        <f>((((B259*2)+141)*((D259*2)+36))/(402.744996))-24.57966407</f>
        <v>76.516564075315</v>
      </c>
      <c s="38" r="M259">
        <f>((((B259*2)+141)*((F259*2)+36))/(416.310724))-19.16575597</f>
        <v>78.6361925572736</v>
      </c>
      <c s="38" r="N259">
        <f>(((((C259*2)+36)*((((C259*2)+36)*(I259/672))+415))/((((C259*2)+36)*(1-(I259/672)))+415))/(1.92306))-3.576327284</f>
        <v>91.2358907641096</v>
      </c>
      <c s="38" r="O259">
        <f>(((((E259*2)+36)*((((E259*2)+36)*(I259/672))+415))/((((E259*2)+36)*(1-(I259/672)))+415))/(1.980931))+4.9921912</f>
        <v>97.0345611965308</v>
      </c>
      <c s="68" r="P259"/>
      <c s="38" r="Q259">
        <f>((((L259+M259)+N259)+O259)/(1.535645))-60.47703745</f>
        <v>163.157467004629</v>
      </c>
      <c s="63" r="R259"/>
      <c s="26" r="S259"/>
      <c s="26" r="T259"/>
    </row>
    <row customHeight="1" r="260" ht="14.25">
      <c t="s" s="45" r="A260">
        <v>358</v>
      </c>
      <c s="75" r="B260">
        <v>80</v>
      </c>
      <c s="54" r="C260">
        <v>120</v>
      </c>
      <c s="54" r="D260">
        <v>70</v>
      </c>
      <c s="54" r="E260">
        <v>110</v>
      </c>
      <c s="54" r="F260">
        <v>70</v>
      </c>
      <c s="2" r="G260">
        <v>80</v>
      </c>
      <c s="68" r="H260"/>
      <c s="19" r="I260">
        <f>INDEX('Speed Factors'!$A$2:$B$256,(G260),2)</f>
        <v>432</v>
      </c>
      <c s="19" r="J260">
        <f>SUM(B260:G260)</f>
        <v>530</v>
      </c>
      <c s="68" r="K260"/>
      <c s="38" r="L260">
        <f>((((B260*2)+141)*((D260*2)+36))/(402.744996))-24.57966407</f>
        <v>106.957662342865</v>
      </c>
      <c s="38" r="M260">
        <f>((((B260*2)+141)*((F260*2)+36))/(416.310724))-19.16575597</f>
        <v>108.085349865073</v>
      </c>
      <c s="38" r="N260">
        <f>(((((C260*2)+36)*((((C260*2)+36)*(I260/672))+415))/((((C260*2)+36)*(1-(I260/672)))+415))/(1.92306))-3.576327284</f>
        <v>161.982136584585</v>
      </c>
      <c s="38" r="O260">
        <f>(((((E260*2)+36)*((((E260*2)+36)*(I260/672))+415))/((((E260*2)+36)*(1-(I260/672)))+415))/(1.980931))+4.9921912</f>
        <v>152.88919814644</v>
      </c>
      <c s="68" r="P260"/>
      <c s="38" r="Q260">
        <f>((((L260+M260)+N260)+O260)/(1.535645))-60.47703745</f>
        <v>284.599036081945</v>
      </c>
      <c s="63" r="R260"/>
      <c s="26" r="S260"/>
      <c s="26" r="T260"/>
    </row>
    <row customHeight="1" r="261" ht="14.25">
      <c t="s" s="45" r="A261">
        <v>359</v>
      </c>
      <c s="57" r="B261">
        <v>50</v>
      </c>
      <c s="8" r="C261">
        <v>70</v>
      </c>
      <c s="8" r="D261">
        <v>50</v>
      </c>
      <c s="8" r="E261">
        <v>50</v>
      </c>
      <c s="8" r="F261">
        <v>50</v>
      </c>
      <c s="27" r="G261">
        <v>40</v>
      </c>
      <c s="68" r="H261"/>
      <c s="20" r="I261">
        <f>INDEX('Speed Factors'!$A$2:$B$256,(G261),2)</f>
        <v>111</v>
      </c>
      <c s="20" r="J261">
        <f>SUM(B261:G261)</f>
        <v>310</v>
      </c>
      <c s="68" r="K261"/>
      <c s="38" r="L261">
        <f>((((B261*2)+141)*((D261*2)+36))/(402.744996))-24.57966407</f>
        <v>56.80185606191</v>
      </c>
      <c s="38" r="M261">
        <f>((((B261*2)+141)*((F261*2)+36))/(416.310724))-19.16575597</f>
        <v>59.5638998147018</v>
      </c>
      <c s="38" r="N261">
        <f>(((((C261*2)+36)*((((C261*2)+36)*(I261/672))+415))/((((C261*2)+36)*(1-(I261/672)))+415))/(1.92306))-3.576327284</f>
        <v>68.7491903296588</v>
      </c>
      <c s="38" r="O261">
        <f>(((((E261*2)+36)*((((E261*2)+36)*(I261/672))+415))/((((E261*2)+36)*(1-(I261/672)))+415))/(1.980931))+4.9921912</f>
        <v>61.8169792355857</v>
      </c>
      <c s="68" r="P261"/>
      <c s="38" r="Q261">
        <f>((((L261+M261)+N261)+O261)/(1.535645))-60.47703745</f>
        <v>100.323098936897</v>
      </c>
      <c s="63" r="R261"/>
      <c s="26" r="S261"/>
      <c s="26" r="T261"/>
    </row>
    <row customHeight="1" r="262" ht="14.25">
      <c t="s" s="45" r="A262">
        <v>360</v>
      </c>
      <c s="75" r="B262">
        <v>70</v>
      </c>
      <c s="54" r="C262">
        <v>85</v>
      </c>
      <c s="54" r="D262">
        <v>70</v>
      </c>
      <c s="54" r="E262">
        <v>60</v>
      </c>
      <c s="54" r="F262">
        <v>70</v>
      </c>
      <c s="2" r="G262">
        <v>50</v>
      </c>
      <c s="68" r="H262"/>
      <c s="19" r="I262">
        <f>INDEX('Speed Factors'!$A$2:$B$256,(G262),2)</f>
        <v>189</v>
      </c>
      <c s="19" r="J262">
        <f>SUM(B262:G262)</f>
        <v>405</v>
      </c>
      <c s="68" r="K262"/>
      <c s="38" r="L262">
        <f>((((B262*2)+141)*((D262*2)+36))/(402.744996))-24.57966407</f>
        <v>98.2176406543025</v>
      </c>
      <c s="38" r="M262">
        <f>((((B262*2)+141)*((F262*2)+36))/(416.310724))-19.16575597</f>
        <v>99.6301268859987</v>
      </c>
      <c s="38" r="N262">
        <f>(((((C262*2)+36)*((((C262*2)+36)*(I262/672))+415))/((((C262*2)+36)*(1-(I262/672)))+415))/(1.92306))-3.576327284</f>
        <v>86.3986059095535</v>
      </c>
      <c s="38" r="O262">
        <f>(((((E262*2)+36)*((((E262*2)+36)*(I262/672))+415))/((((E262*2)+36)*(1-(I262/672)))+415))/(1.980931))+4.9921912</f>
        <v>73.5467015802161</v>
      </c>
      <c s="68" r="P262"/>
      <c s="38" r="Q262">
        <f>((((L262+M262)+N262)+O262)/(1.535645))-60.47703745</f>
        <v>172.515011513185</v>
      </c>
      <c s="63" r="R262"/>
      <c s="26" r="S262"/>
      <c s="26" r="T262"/>
    </row>
    <row customHeight="1" r="263" ht="14.25">
      <c t="s" s="45" r="A263">
        <v>361</v>
      </c>
      <c s="57" r="B263">
        <v>100</v>
      </c>
      <c s="8" r="C263">
        <v>110</v>
      </c>
      <c s="8" r="D263">
        <v>90</v>
      </c>
      <c s="8" r="E263">
        <v>85</v>
      </c>
      <c s="8" r="F263">
        <v>90</v>
      </c>
      <c s="27" r="G263">
        <v>60</v>
      </c>
      <c s="68" r="H263"/>
      <c s="20" r="I263">
        <f>INDEX('Speed Factors'!$A$2:$B$256,(G263),2)</f>
        <v>274</v>
      </c>
      <c s="20" r="J263">
        <f>SUM(B263:G263)</f>
        <v>535</v>
      </c>
      <c s="68" r="K263"/>
      <c s="38" r="L263">
        <f>((((B263*2)+141)*((D263*2)+36))/(402.744996))-24.57966407</f>
        <v>158.305289763169</v>
      </c>
      <c s="38" r="M263">
        <f>((((B263*2)+141)*((F263*2)+36))/(416.310724))-19.16575597</f>
        <v>157.759784867137</v>
      </c>
      <c s="38" r="N263">
        <f>(((((C263*2)+36)*((((C263*2)+36)*(I263/672))+415))/((((C263*2)+36)*(1-(I263/672)))+415))/(1.92306))-3.576327284</f>
        <v>118.446751729617</v>
      </c>
      <c s="38" r="O263">
        <f>(((((E263*2)+36)*((((E263*2)+36)*(I263/672))+415))/((((E263*2)+36)*(1-(I263/672)))+415))/(1.980931))+4.9921912</f>
        <v>101.622671323538</v>
      </c>
      <c s="68" r="P263"/>
      <c s="38" r="Q263">
        <f>((((L263+M263)+N263)+O263)/(1.535645))-60.47703745</f>
        <v>288.649549543388</v>
      </c>
      <c s="63" r="R263"/>
      <c s="26" r="S263"/>
      <c s="26" r="T263"/>
    </row>
    <row customHeight="1" r="264" ht="14.25">
      <c t="s" s="45" r="A264">
        <v>362</v>
      </c>
      <c s="75" r="B264">
        <v>35</v>
      </c>
      <c s="54" r="C264">
        <v>55</v>
      </c>
      <c s="54" r="D264">
        <v>35</v>
      </c>
      <c s="54" r="E264">
        <v>30</v>
      </c>
      <c s="54" r="F264">
        <v>30</v>
      </c>
      <c s="2" r="G264">
        <v>35</v>
      </c>
      <c s="68" r="H264"/>
      <c s="19" r="I264">
        <f>INDEX('Speed Factors'!$A$2:$B$256,(G264),2)</f>
        <v>84</v>
      </c>
      <c s="19" r="J264">
        <f>SUM(B264:G264)</f>
        <v>220</v>
      </c>
      <c s="68" r="K264"/>
      <c s="38" r="L264">
        <f>((((B264*2)+141)*((D264*2)+36))/(402.744996))-24.57966407</f>
        <v>30.9542351022693</v>
      </c>
      <c s="38" r="M264">
        <f>((((B264*2)+141)*((F264*2)+36))/(416.310724))-19.16575597</f>
        <v>29.4902089914022</v>
      </c>
      <c s="38" r="N264">
        <f>(((((C264*2)+36)*((((C264*2)+36)*(I264/672))+415))/((((C264*2)+36)*(1-(I264/672)))+415))/(1.92306))-3.576327284</f>
        <v>57.0273198005494</v>
      </c>
      <c s="38" r="O264">
        <f>(((((E264*2)+36)*((((E264*2)+36)*(I264/672))+415))/((((E264*2)+36)*(1-(I264/672)))+415))/(1.980931))+4.9921912</f>
        <v>46.4617308221203</v>
      </c>
      <c s="68" r="P264"/>
      <c s="38" r="Q264">
        <f>((((L264+M264)+N264)+O264)/(1.535645))-60.47703745</f>
        <v>46.2751707207304</v>
      </c>
      <c s="63" r="R264"/>
      <c s="26" r="S264"/>
      <c s="26" r="T264"/>
    </row>
    <row customHeight="1" r="265" ht="14.25">
      <c t="s" s="45" r="A265">
        <v>363</v>
      </c>
      <c s="57" r="B265">
        <v>70</v>
      </c>
      <c s="8" r="C265">
        <v>90</v>
      </c>
      <c s="8" r="D265">
        <v>70</v>
      </c>
      <c s="8" r="E265">
        <v>60</v>
      </c>
      <c s="8" r="F265">
        <v>60</v>
      </c>
      <c s="27" r="G265">
        <v>70</v>
      </c>
      <c s="68" r="H265"/>
      <c s="20" r="I265">
        <f>INDEX('Speed Factors'!$A$2:$B$256,(G265),2)</f>
        <v>369</v>
      </c>
      <c s="20" r="J265">
        <f>SUM(B265:G265)</f>
        <v>420</v>
      </c>
      <c s="68" r="K265"/>
      <c s="38" r="L265">
        <f>((((B265*2)+141)*((D265*2)+36))/(402.744996))-24.57966407</f>
        <v>98.2176406543025</v>
      </c>
      <c s="38" r="M265">
        <f>((((B265*2)+141)*((F265*2)+36))/(416.310724))-19.16575597</f>
        <v>86.1305947432716</v>
      </c>
      <c s="38" r="N265">
        <f>(((((C265*2)+36)*((((C265*2)+36)*(I265/672))+415))/((((C265*2)+36)*(1-(I265/672)))+415))/(1.92306))-3.576327284</f>
        <v>113.395017809289</v>
      </c>
      <c s="38" r="O265">
        <f>(((((E265*2)+36)*((((E265*2)+36)*(I265/672))+415))/((((E265*2)+36)*(1-(I265/672)))+415))/(1.980931))+4.9921912</f>
        <v>86.2290866289987</v>
      </c>
      <c s="68" r="P265"/>
      <c s="38" r="Q265">
        <f>((((L265+M265)+N265)+O265)/(1.535645))-60.47703745</f>
        <v>189.562743772784</v>
      </c>
      <c s="63" r="R265"/>
      <c s="26" r="S265"/>
      <c s="26" r="T265"/>
    </row>
    <row customHeight="1" r="266" ht="14.25">
      <c t="s" s="45" r="A266">
        <v>364</v>
      </c>
      <c s="75" r="B266">
        <v>38</v>
      </c>
      <c s="54" r="C266">
        <v>30</v>
      </c>
      <c s="54" r="D266">
        <v>41</v>
      </c>
      <c s="54" r="E266">
        <v>30</v>
      </c>
      <c s="54" r="F266">
        <v>41</v>
      </c>
      <c s="2" r="G266">
        <v>60</v>
      </c>
      <c s="68" r="H266"/>
      <c s="19" r="I266">
        <f>INDEX('Speed Factors'!$A$2:$B$256,(G266),2)</f>
        <v>274</v>
      </c>
      <c s="19" r="J266">
        <f>SUM(B266:G266)</f>
        <v>240</v>
      </c>
      <c s="68" r="K266"/>
      <c s="38" r="L266">
        <f>((((B266*2)+141)*((D266*2)+36))/(402.744996))-24.57966407</f>
        <v>38.9990277928779</v>
      </c>
      <c s="38" r="M266">
        <f>((((B266*2)+141)*((F266*2)+36))/(416.310724))-19.16575597</f>
        <v>42.3411870988026</v>
      </c>
      <c s="38" r="N266">
        <f>(((((C266*2)+36)*((((C266*2)+36)*(I266/672))+415))/((((C266*2)+36)*(1-(I266/672)))+415))/(1.92306))-3.576327284</f>
        <v>44.470017413025</v>
      </c>
      <c s="38" r="O266">
        <f>(((((E266*2)+36)*((((E266*2)+36)*(I266/672))+415))/((((E266*2)+36)*(1-(I266/672)))+415))/(1.980931))+4.9921912</f>
        <v>51.6349079998587</v>
      </c>
      <c s="68" r="P266"/>
      <c s="38" r="Q266">
        <f>((((L266+M266)+N266)+O266)/(1.535645))-60.47703745</f>
        <v>55.0738485324792</v>
      </c>
      <c s="63" r="R266"/>
      <c s="26" r="S266"/>
      <c s="26" r="T266"/>
    </row>
    <row customHeight="1" r="267" ht="14.25">
      <c t="s" s="45" r="A267">
        <v>365</v>
      </c>
      <c s="57" r="B267">
        <v>78</v>
      </c>
      <c s="8" r="C267">
        <v>70</v>
      </c>
      <c s="8" r="D267">
        <v>61</v>
      </c>
      <c s="8" r="E267">
        <v>50</v>
      </c>
      <c s="8" r="F267">
        <v>61</v>
      </c>
      <c s="27" r="G267">
        <v>100</v>
      </c>
      <c s="68" r="H267"/>
      <c s="20" r="I267">
        <f>INDEX('Speed Factors'!$A$2:$B$256,(G267),2)</f>
        <v>577</v>
      </c>
      <c s="20" r="J267">
        <f>SUM(B267:G267)</f>
        <v>420</v>
      </c>
      <c s="68" r="K267"/>
      <c s="38" r="L267">
        <f>((((B267*2)+141)*((D267*2)+36))/(402.744996))-24.57966407</f>
        <v>91.9357500656482</v>
      </c>
      <c s="38" r="M267">
        <f>((((B267*2)+141)*((F267*2)+36))/(416.310724))-19.16575597</f>
        <v>93.5529353697888</v>
      </c>
      <c s="38" r="N267">
        <f>(((((C267*2)+36)*((((C267*2)+36)*(I267/672))+415))/((((C267*2)+36)*(1-(I267/672)))+415))/(1.92306))-3.576327284</f>
        <v>114.209339270461</v>
      </c>
      <c s="38" r="O267">
        <f>(((((E267*2)+36)*((((E267*2)+36)*(I267/672))+415))/((((E267*2)+36)*(1-(I267/672)))+415))/(1.980931))+4.9921912</f>
        <v>89.0698266738213</v>
      </c>
      <c s="68" r="P267"/>
      <c s="38" r="Q267">
        <f>((((L267+M267)+N267)+O267)/(1.535645))-60.47703745</f>
        <v>192.685543341602</v>
      </c>
      <c s="63" r="R267"/>
      <c s="26" r="S267"/>
      <c s="26" r="T267"/>
    </row>
    <row customHeight="1" r="268" ht="14.25">
      <c t="s" s="45" r="A268">
        <v>366</v>
      </c>
      <c s="75" r="B268">
        <v>45</v>
      </c>
      <c s="54" r="C268">
        <v>45</v>
      </c>
      <c s="54" r="D268">
        <v>35</v>
      </c>
      <c s="54" r="E268">
        <v>20</v>
      </c>
      <c s="54" r="F268">
        <v>30</v>
      </c>
      <c s="2" r="G268">
        <v>20</v>
      </c>
      <c s="68" r="H268"/>
      <c s="19" r="I268">
        <f>INDEX('Speed Factors'!$A$2:$B$256,(G268),2)</f>
        <v>14</v>
      </c>
      <c s="19" r="J268">
        <f>SUM(B268:G268)</f>
        <v>195</v>
      </c>
      <c s="68" r="K268"/>
      <c s="38" r="L268">
        <f>((((B268*2)+141)*((D268*2)+36))/(402.744996))-24.57966407</f>
        <v>36.2181118010626</v>
      </c>
      <c s="38" r="M268">
        <f>((((B268*2)+141)*((F268*2)+36))/(416.310724))-19.16575597</f>
        <v>34.1021487981702</v>
      </c>
      <c s="38" r="N268">
        <f>(((((C268*2)+36)*((((C268*2)+36)*(I268/672))+415))/((((C268*2)+36)*(1-(I268/672)))+415))/(1.92306))-3.576327284</f>
        <v>47.2488982459206</v>
      </c>
      <c s="38" r="O268">
        <f>(((((E268*2)+36)*((((E268*2)+36)*(I268/672))+415))/((((E268*2)+36)*(1-(I268/672)))+415))/(1.980931))+4.9921912</f>
        <v>37.6485214809789</v>
      </c>
      <c s="68" r="P268"/>
      <c s="38" r="Q268">
        <f>((((L268+M268)+N268)+O268)/(1.535645))-60.47703745</f>
        <v>40.5995006340834</v>
      </c>
      <c s="63" r="R268"/>
      <c s="26" r="S268"/>
      <c s="26" r="T268"/>
    </row>
    <row customHeight="1" r="269" ht="14.25">
      <c t="s" s="45" r="A269">
        <v>367</v>
      </c>
      <c s="57" r="B269">
        <v>50</v>
      </c>
      <c s="8" r="C269">
        <v>35</v>
      </c>
      <c s="8" r="D269">
        <v>55</v>
      </c>
      <c s="8" r="E269">
        <v>25</v>
      </c>
      <c s="8" r="F269">
        <v>25</v>
      </c>
      <c s="27" r="G269">
        <v>15</v>
      </c>
      <c s="68" r="H269"/>
      <c s="20" r="I269">
        <f>INDEX('Speed Factors'!$A$2:$B$256,(G269),2)</f>
        <v>5</v>
      </c>
      <c s="20" r="J269">
        <f>SUM(B269:G269)</f>
        <v>205</v>
      </c>
      <c s="68" r="K269"/>
      <c s="38" r="L269">
        <f>((((B269*2)+141)*((D269*2)+36))/(402.744996))-24.57966407</f>
        <v>62.7857913657269</v>
      </c>
      <c s="38" r="M269">
        <f>((((B269*2)+141)*((F269*2)+36))/(416.310724))-19.16575597</f>
        <v>30.6191734232673</v>
      </c>
      <c s="38" r="N269">
        <f>(((((C269*2)+36)*((((C269*2)+36)*(I269/672))+415))/((((C269*2)+36)*(1-(I269/672)))+415))/(1.92306))-3.576327284</f>
        <v>40.4797589295054</v>
      </c>
      <c s="38" r="O269">
        <f>(((((E269*2)+36)*((((E269*2)+36)*(I269/672))+415))/((((E269*2)+36)*(1-(I269/672)))+415))/(1.980931))+4.9921912</f>
        <v>41.0553386381393</v>
      </c>
      <c s="68" r="P269"/>
      <c s="38" r="Q269">
        <f>((((L269+M269)+N269)+O269)/(1.535645))-60.47703745</f>
        <v>53.4425613873868</v>
      </c>
      <c s="63" r="R269"/>
      <c s="26" r="S269"/>
      <c s="26" r="T269"/>
    </row>
    <row customHeight="1" r="270" ht="14.25">
      <c t="s" s="45" r="A270">
        <v>368</v>
      </c>
      <c s="75" r="B270">
        <v>60</v>
      </c>
      <c s="54" r="C270">
        <v>70</v>
      </c>
      <c s="54" r="D270">
        <v>50</v>
      </c>
      <c s="54" r="E270">
        <v>90</v>
      </c>
      <c s="54" r="F270">
        <v>50</v>
      </c>
      <c s="2" r="G270">
        <v>65</v>
      </c>
      <c s="68" r="H270"/>
      <c s="19" r="I270">
        <f>INDEX('Speed Factors'!$A$2:$B$256,(G270),2)</f>
        <v>321</v>
      </c>
      <c s="19" r="J270">
        <f>SUM(B270:G270)</f>
        <v>385</v>
      </c>
      <c s="68" r="K270"/>
      <c s="38" r="L270">
        <f>((((B270*2)+141)*((D270*2)+36))/(402.744996))-24.57966407</f>
        <v>63.55550918489</v>
      </c>
      <c s="38" r="M270">
        <f>((((B270*2)+141)*((F270*2)+36))/(416.310724))-19.16575597</f>
        <v>66.0974812076231</v>
      </c>
      <c s="38" r="N270">
        <f>(((((C270*2)+36)*((((C270*2)+36)*(I270/672))+415))/((((C270*2)+36)*(1-(I270/672)))+415))/(1.92306))-3.576327284</f>
        <v>86.5259507506106</v>
      </c>
      <c s="38" r="O270">
        <f>(((((E270*2)+36)*((((E270*2)+36)*(I270/672))+415))/((((E270*2)+36)*(1-(I270/672)))+415))/(1.980931))+4.9921912</f>
        <v>112.039766409359</v>
      </c>
      <c s="68" r="P270"/>
      <c s="38" r="Q270">
        <f>((((L270+M270)+N270)+O270)/(1.535645))-60.47703745</f>
        <v>153.256414977145</v>
      </c>
      <c s="63" r="R270"/>
      <c s="26" r="S270"/>
      <c s="26" r="T270"/>
    </row>
    <row customHeight="1" r="271" ht="14.25">
      <c t="s" s="45" r="A271">
        <v>369</v>
      </c>
      <c s="57" r="B271">
        <v>50</v>
      </c>
      <c s="8" r="C271">
        <v>35</v>
      </c>
      <c s="8" r="D271">
        <v>55</v>
      </c>
      <c s="8" r="E271">
        <v>25</v>
      </c>
      <c s="8" r="F271">
        <v>25</v>
      </c>
      <c s="27" r="G271">
        <v>15</v>
      </c>
      <c s="68" r="H271"/>
      <c s="20" r="I271">
        <f>INDEX('Speed Factors'!$A$2:$B$256,(G271),2)</f>
        <v>5</v>
      </c>
      <c s="20" r="J271">
        <f>SUM(B271:G271)</f>
        <v>205</v>
      </c>
      <c s="68" r="K271"/>
      <c s="38" r="L271">
        <f>((((B271*2)+141)*((D271*2)+36))/(402.744996))-24.57966407</f>
        <v>62.7857913657269</v>
      </c>
      <c s="38" r="M271">
        <f>((((B271*2)+141)*((F271*2)+36))/(416.310724))-19.16575597</f>
        <v>30.6191734232673</v>
      </c>
      <c s="38" r="N271">
        <f>(((((C271*2)+36)*((((C271*2)+36)*(I271/672))+415))/((((C271*2)+36)*(1-(I271/672)))+415))/(1.92306))-3.576327284</f>
        <v>40.4797589295054</v>
      </c>
      <c s="38" r="O271">
        <f>(((((E271*2)+36)*((((E271*2)+36)*(I271/672))+415))/((((E271*2)+36)*(1-(I271/672)))+415))/(1.980931))+4.9921912</f>
        <v>41.0553386381393</v>
      </c>
      <c s="68" r="P271"/>
      <c s="38" r="Q271">
        <f>((((L271+M271)+N271)+O271)/(1.535645))-60.47703745</f>
        <v>53.4425613873868</v>
      </c>
      <c s="63" r="R271"/>
      <c s="26" r="S271"/>
      <c s="26" r="T271"/>
    </row>
    <row customHeight="1" r="272" ht="14.25">
      <c t="s" s="45" r="A272">
        <v>370</v>
      </c>
      <c s="75" r="B272">
        <v>60</v>
      </c>
      <c s="54" r="C272">
        <v>50</v>
      </c>
      <c s="54" r="D272">
        <v>70</v>
      </c>
      <c s="54" r="E272">
        <v>50</v>
      </c>
      <c s="54" r="F272">
        <v>90</v>
      </c>
      <c s="2" r="G272">
        <v>65</v>
      </c>
      <c s="68" r="H272"/>
      <c s="19" r="I272">
        <f>INDEX('Speed Factors'!$A$2:$B$256,(G272),2)</f>
        <v>321</v>
      </c>
      <c s="19" r="J272">
        <f>SUM(B272:G272)</f>
        <v>385</v>
      </c>
      <c s="68" r="K272"/>
      <c s="38" r="L272">
        <f>((((B272*2)+141)*((D272*2)+36))/(402.744996))-24.57966407</f>
        <v>89.47761896574</v>
      </c>
      <c s="38" r="M272">
        <f>((((B272*2)+141)*((F272*2)+36))/(416.310724))-19.16575597</f>
        <v>116.252326606225</v>
      </c>
      <c s="38" r="N272">
        <f>(((((C272*2)+36)*((((C272*2)+36)*(I272/672))+415))/((((C272*2)+36)*(1-(I272/672)))+415))/(1.92306))-3.576327284</f>
        <v>66.2608718964765</v>
      </c>
      <c s="38" r="O272">
        <f>(((((E272*2)+36)*((((E272*2)+36)*(I272/672))+415))/((((E272*2)+36)*(1-(I272/672)))+415))/(1.980931))+4.9921912</f>
        <v>72.7891635609793</v>
      </c>
      <c s="68" r="P272"/>
      <c s="38" r="Q272">
        <f>((((L272+M272)+N272)+O272)/(1.535645))-60.47703745</f>
        <v>164.040986591638</v>
      </c>
      <c s="63" r="R272"/>
      <c s="26" r="S272"/>
      <c s="26" r="T272"/>
    </row>
    <row customHeight="1" r="273" ht="14.25">
      <c t="s" s="45" r="A273">
        <v>371</v>
      </c>
      <c s="57" r="B273">
        <v>40</v>
      </c>
      <c s="8" r="C273">
        <v>30</v>
      </c>
      <c s="8" r="D273">
        <v>30</v>
      </c>
      <c s="8" r="E273">
        <v>40</v>
      </c>
      <c s="8" r="F273">
        <v>50</v>
      </c>
      <c s="27" r="G273">
        <v>30</v>
      </c>
      <c s="68" r="H273"/>
      <c s="20" r="I273">
        <f>INDEX('Speed Factors'!$A$2:$B$256,(G273),2)</f>
        <v>44</v>
      </c>
      <c s="20" r="J273">
        <f>SUM(B273:G273)</f>
        <v>220</v>
      </c>
      <c s="68" r="K273"/>
      <c s="38" r="L273">
        <f>((((B273*2)+141)*((D273*2)+36))/(402.744996))-24.57966407</f>
        <v>28.0988302892446</v>
      </c>
      <c s="38" r="M273">
        <f>((((B273*2)+141)*((F273*2)+36))/(416.310724))-19.16575597</f>
        <v>53.0303184217805</v>
      </c>
      <c s="38" r="N273">
        <f>(((((C273*2)+36)*((((C273*2)+36)*(I273/672))+415))/((((C273*2)+36)*(1-(I273/672)))+415))/(1.92306))-3.576327284</f>
        <v>38.0923326354182</v>
      </c>
      <c s="38" r="O273">
        <f>(((((E273*2)+36)*((((E273*2)+36)*(I273/672))+415))/((((E273*2)+36)*(1-(I273/672)))+415))/(1.980931))+4.9921912</f>
        <v>52.2719846209135</v>
      </c>
      <c s="68" r="P273"/>
      <c s="38" r="Q273">
        <f>((((L273+M273)+N273)+O273)/(1.535645))-60.47703745</f>
        <v>51.1981648053108</v>
      </c>
      <c s="63" r="R273"/>
      <c s="26" r="S273"/>
      <c s="26" r="T273"/>
    </row>
    <row customHeight="1" r="274" ht="14.25">
      <c t="s" s="45" r="A274">
        <v>372</v>
      </c>
      <c s="75" r="B274">
        <v>60</v>
      </c>
      <c s="54" r="C274">
        <v>50</v>
      </c>
      <c s="54" r="D274">
        <v>50</v>
      </c>
      <c s="54" r="E274">
        <v>60</v>
      </c>
      <c s="54" r="F274">
        <v>70</v>
      </c>
      <c s="2" r="G274">
        <v>50</v>
      </c>
      <c s="68" r="H274"/>
      <c s="19" r="I274">
        <f>INDEX('Speed Factors'!$A$2:$B$256,(G274),2)</f>
        <v>189</v>
      </c>
      <c s="19" r="J274">
        <f>SUM(B274:G274)</f>
        <v>340</v>
      </c>
      <c s="68" r="K274"/>
      <c s="38" r="L274">
        <f>((((B274*2)+141)*((D274*2)+36))/(402.744996))-24.57966407</f>
        <v>63.55550918489</v>
      </c>
      <c s="38" r="M274">
        <f>((((B274*2)+141)*((F274*2)+36))/(416.310724))-19.16575597</f>
        <v>91.174903906924</v>
      </c>
      <c s="38" r="N274">
        <f>(((((C274*2)+36)*((((C274*2)+36)*(I274/672))+415))/((((C274*2)+36)*(1-(I274/672)))+415))/(1.92306))-3.576327284</f>
        <v>58.9378064581244</v>
      </c>
      <c s="38" r="O274">
        <f>(((((E274*2)+36)*((((E274*2)+36)*(I274/672))+415))/((((E274*2)+36)*(1-(I274/672)))+415))/(1.980931))+4.9921912</f>
        <v>73.5467015802161</v>
      </c>
      <c s="68" r="P274"/>
      <c s="38" r="Q274">
        <f>((((L274+M274)+N274)+O274)/(1.535645))-60.47703745</f>
        <v>126.555070315893</v>
      </c>
      <c s="63" r="R274"/>
      <c s="26" r="S274"/>
      <c s="26" r="T274"/>
    </row>
    <row customHeight="1" r="275" ht="14.25">
      <c t="s" s="45" r="A275">
        <v>373</v>
      </c>
      <c s="57" r="B275">
        <v>80</v>
      </c>
      <c s="8" r="C275">
        <v>70</v>
      </c>
      <c s="8" r="D275">
        <v>70</v>
      </c>
      <c s="8" r="E275">
        <v>90</v>
      </c>
      <c s="8" r="F275">
        <v>100</v>
      </c>
      <c s="27" r="G275">
        <v>70</v>
      </c>
      <c s="68" r="H275"/>
      <c s="20" r="I275">
        <f>INDEX('Speed Factors'!$A$2:$B$256,(G275),2)</f>
        <v>369</v>
      </c>
      <c s="20" r="J275">
        <f>SUM(B275:G275)</f>
        <v>480</v>
      </c>
      <c s="68" r="K275"/>
      <c s="38" r="L275">
        <f>((((B275*2)+141)*((D275*2)+36))/(402.744996))-24.57966407</f>
        <v>106.957662342865</v>
      </c>
      <c s="38" r="M275">
        <f>((((B275*2)+141)*((F275*2)+36))/(416.310724))-19.16575597</f>
        <v>151.466408672485</v>
      </c>
      <c s="38" r="N275">
        <f>(((((C275*2)+36)*((((C275*2)+36)*(I275/672))+415))/((((C275*2)+36)*(1-(I275/672)))+415))/(1.92306))-3.576327284</f>
        <v>91.144598732335</v>
      </c>
      <c s="38" r="O275">
        <f>(((((E275*2)+36)*((((E275*2)+36)*(I275/672))+415))/((((E275*2)+36)*(1-(I275/672)))+415))/(1.980931))+4.9921912</f>
        <v>118.54633058956</v>
      </c>
      <c s="68" r="P275"/>
      <c s="38" r="Q275">
        <f>((((L275+M275)+N275)+O275)/(1.535645))-60.47703745</f>
        <v>244.355785459751</v>
      </c>
      <c s="63" r="R275"/>
      <c s="26" r="S275"/>
      <c s="26" r="T275"/>
    </row>
    <row customHeight="1" r="276" ht="14.25">
      <c t="s" s="45" r="A276">
        <v>374</v>
      </c>
      <c s="75" r="B276">
        <v>40</v>
      </c>
      <c s="54" r="C276">
        <v>40</v>
      </c>
      <c s="54" r="D276">
        <v>50</v>
      </c>
      <c s="54" r="E276">
        <v>30</v>
      </c>
      <c s="54" r="F276">
        <v>30</v>
      </c>
      <c s="2" r="G276">
        <v>30</v>
      </c>
      <c s="68" r="H276"/>
      <c s="19" r="I276">
        <f>INDEX('Speed Factors'!$A$2:$B$256,(G276),2)</f>
        <v>44</v>
      </c>
      <c s="19" r="J276">
        <f>SUM(B276:G276)</f>
        <v>220</v>
      </c>
      <c s="68" r="K276"/>
      <c s="38" r="L276">
        <f>((((B276*2)+141)*((D276*2)+36))/(402.744996))-24.57966407</f>
        <v>50.0482029389299</v>
      </c>
      <c s="38" r="M276">
        <f>((((B276*2)+141)*((F276*2)+36))/(416.310724))-19.16575597</f>
        <v>31.7961788947862</v>
      </c>
      <c s="38" r="N276">
        <f>(((((C276*2)+36)*((((C276*2)+36)*(I276/672))+415))/((((C276*2)+36)*(1-(I276/672)))+415))/(1.92306))-3.576327284</f>
        <v>45.1262656985817</v>
      </c>
      <c s="38" r="O276">
        <f>(((((E276*2)+36)*((((E276*2)+36)*(I276/672))+415))/((((E276*2)+36)*(1-(I276/672)))+415))/(1.980931))+4.9921912</f>
        <v>45.4435411685937</v>
      </c>
      <c s="68" r="P276"/>
      <c s="38" r="Q276">
        <f>((((L276+M276)+N276)+O276)/(1.535645))-60.47703745</f>
        <v>51.7977322401898</v>
      </c>
      <c s="63" r="R276"/>
      <c s="26" r="S276"/>
      <c s="26" r="T276"/>
    </row>
    <row customHeight="1" r="277" ht="14.25">
      <c t="s" s="45" r="A277">
        <v>375</v>
      </c>
      <c s="57" r="B277">
        <v>70</v>
      </c>
      <c s="8" r="C277">
        <v>70</v>
      </c>
      <c s="8" r="D277">
        <v>40</v>
      </c>
      <c s="8" r="E277">
        <v>60</v>
      </c>
      <c s="8" r="F277">
        <v>40</v>
      </c>
      <c s="27" r="G277">
        <v>60</v>
      </c>
      <c s="68" r="H277"/>
      <c s="20" r="I277">
        <f>INDEX('Speed Factors'!$A$2:$B$256,(G277),2)</f>
        <v>274</v>
      </c>
      <c s="20" r="J277">
        <f>SUM(B277:G277)</f>
        <v>340</v>
      </c>
      <c s="68" r="K277"/>
      <c s="38" r="L277">
        <f>((((B277*2)+141)*((D277*2)+36))/(402.744996))-24.57966407</f>
        <v>56.3549231346539</v>
      </c>
      <c s="38" r="M277">
        <f>((((B277*2)+141)*((F277*2)+36))/(416.310724))-19.16575597</f>
        <v>59.1315304578173</v>
      </c>
      <c s="38" r="N277">
        <f>(((((C277*2)+36)*((((C277*2)+36)*(I277/672))+415))/((((C277*2)+36)*(1-(I277/672)))+415))/(1.92306))-3.576327284</f>
        <v>82.2202311006221</v>
      </c>
      <c s="38" r="O277">
        <f>(((((E277*2)+36)*((((E277*2)+36)*(I277/672))+415))/((((E277*2)+36)*(1-(I277/672)))+415))/(1.980931))+4.9921912</f>
        <v>79.2753009747777</v>
      </c>
      <c s="68" r="P277"/>
      <c s="38" r="Q277">
        <f>((((L277+M277)+N277)+O277)/(1.535645))-60.47703745</f>
        <v>119.89146286607</v>
      </c>
      <c s="63" r="R277"/>
      <c s="26" r="S277"/>
      <c s="26" r="T277"/>
    </row>
    <row customHeight="1" r="278" ht="14.25">
      <c t="s" s="45" r="A278">
        <v>376</v>
      </c>
      <c s="75" r="B278">
        <v>90</v>
      </c>
      <c s="54" r="C278">
        <v>100</v>
      </c>
      <c s="54" r="D278">
        <v>60</v>
      </c>
      <c s="54" r="E278">
        <v>90</v>
      </c>
      <c s="54" r="F278">
        <v>60</v>
      </c>
      <c s="2" r="G278">
        <v>80</v>
      </c>
      <c s="68" r="H278"/>
      <c s="19" r="I278">
        <f>INDEX('Speed Factors'!$A$2:$B$256,(G278),2)</f>
        <v>432</v>
      </c>
      <c s="19" r="J278">
        <f>SUM(B278:G278)</f>
        <v>480</v>
      </c>
      <c s="68" r="K278"/>
      <c s="38" r="L278">
        <f>((((B278*2)+141)*((D278*2)+36))/(402.744996))-24.57966407</f>
        <v>99.7570762926288</v>
      </c>
      <c s="38" r="M278">
        <f>((((B278*2)+141)*((F278*2)+36))/(416.310724))-19.16575597</f>
        <v>101.119399115268</v>
      </c>
      <c s="38" r="N278">
        <f>(((((C278*2)+36)*((((C278*2)+36)*(I278/672))+415))/((((C278*2)+36)*(1-(I278/672)))+415))/(1.92306))-3.576327284</f>
        <v>135.718243286476</v>
      </c>
      <c s="38" r="O278">
        <f>(((((E278*2)+36)*((((E278*2)+36)*(I278/672))+415))/((((E278*2)+36)*(1-(I278/672)))+415))/(1.980931))+4.9921912</f>
        <v>127.705305337396</v>
      </c>
      <c s="68" r="P278"/>
      <c s="38" r="Q278">
        <f>((((L278+M278)+N278)+O278)/(1.535645))-60.47703745</f>
        <v>241.87150276064</v>
      </c>
      <c s="63" r="R278"/>
      <c s="26" r="S278"/>
      <c s="26" r="T278"/>
    </row>
    <row customHeight="1" r="279" ht="14.25">
      <c t="s" s="45" r="A279">
        <v>377</v>
      </c>
      <c s="57" r="B279">
        <v>40</v>
      </c>
      <c s="8" r="C279">
        <v>55</v>
      </c>
      <c s="8" r="D279">
        <v>30</v>
      </c>
      <c s="8" r="E279">
        <v>30</v>
      </c>
      <c s="8" r="F279">
        <v>30</v>
      </c>
      <c s="27" r="G279">
        <v>85</v>
      </c>
      <c s="68" r="H279"/>
      <c s="20" r="I279">
        <f>INDEX('Speed Factors'!$A$2:$B$256,(G279),2)</f>
        <v>469</v>
      </c>
      <c s="20" r="J279">
        <f>SUM(B279:G279)</f>
        <v>270</v>
      </c>
      <c s="68" r="K279"/>
      <c s="38" r="L279">
        <f>((((B279*2)+141)*((D279*2)+36))/(402.744996))-24.57966407</f>
        <v>28.0988302892446</v>
      </c>
      <c s="38" r="M279">
        <f>((((B279*2)+141)*((F279*2)+36))/(416.310724))-19.16575597</f>
        <v>31.7961788947862</v>
      </c>
      <c s="38" r="N279">
        <f>(((((C279*2)+36)*((((C279*2)+36)*(I279/672))+415))/((((C279*2)+36)*(1-(I279/672)))+415))/(1.92306))-3.576327284</f>
        <v>81.9011740217915</v>
      </c>
      <c s="38" r="O279">
        <f>(((((E279*2)+36)*((((E279*2)+36)*(I279/672))+415))/((((E279*2)+36)*(1-(I279/672)))+415))/(1.980931))+4.9921912</f>
        <v>57.6019066399705</v>
      </c>
      <c s="68" r="P279"/>
      <c s="38" r="Q279">
        <f>((((L279+M279)+N279)+O279)/(1.535645))-60.47703745</f>
        <v>69.3694373835669</v>
      </c>
      <c s="63" r="R279"/>
      <c s="26" r="S279"/>
      <c s="26" r="T279"/>
    </row>
    <row customHeight="1" r="280" ht="14.25">
      <c t="s" s="45" r="A280">
        <v>378</v>
      </c>
      <c s="75" r="B280">
        <v>60</v>
      </c>
      <c s="54" r="C280">
        <v>85</v>
      </c>
      <c s="54" r="D280">
        <v>60</v>
      </c>
      <c s="54" r="E280">
        <v>50</v>
      </c>
      <c s="54" r="F280">
        <v>50</v>
      </c>
      <c s="2" r="G280">
        <v>125</v>
      </c>
      <c s="68" r="H280"/>
      <c s="19" r="I280">
        <f>INDEX('Speed Factors'!$A$2:$B$256,(G280),2)</f>
        <v>657</v>
      </c>
      <c s="19" r="J280">
        <f>SUM(B280:G280)</f>
        <v>430</v>
      </c>
      <c s="68" r="K280"/>
      <c s="38" r="L280">
        <f>((((B280*2)+141)*((D280*2)+36))/(402.744996))-24.57966407</f>
        <v>76.516564075315</v>
      </c>
      <c s="38" r="M280">
        <f>((((B280*2)+141)*((F280*2)+36))/(416.310724))-19.16575597</f>
        <v>66.0974812076231</v>
      </c>
      <c s="38" r="N280">
        <f>(((((C280*2)+36)*((((C280*2)+36)*(I280/672))+415))/((((C280*2)+36)*(1-(I280/672)))+415))/(1.92306))-3.576327284</f>
        <v>153.787403298295</v>
      </c>
      <c s="38" r="O280">
        <f>(((((E280*2)+36)*((((E280*2)+36)*(I280/672))+415))/((((E280*2)+36)*(1-(I280/672)))+415))/(1.980931))+4.9921912</f>
        <v>94.985128476007</v>
      </c>
      <c s="68" r="P280"/>
      <c s="38" r="Q280">
        <f>((((L280+M280)+N280)+O280)/(1.535645))-60.47703745</f>
        <v>194.390836998353</v>
      </c>
      <c s="63" r="R280"/>
      <c s="26" r="S280"/>
      <c s="26" r="T280"/>
    </row>
    <row customHeight="1" r="281" ht="14.25">
      <c t="s" s="45" r="A281">
        <v>379</v>
      </c>
      <c s="57" r="B281">
        <v>40</v>
      </c>
      <c s="8" r="C281">
        <v>30</v>
      </c>
      <c s="8" r="D281">
        <v>30</v>
      </c>
      <c s="8" r="E281">
        <v>55</v>
      </c>
      <c s="8" r="F281">
        <v>30</v>
      </c>
      <c s="27" r="G281">
        <v>85</v>
      </c>
      <c s="68" r="H281"/>
      <c s="20" r="I281">
        <f>INDEX('Speed Factors'!$A$2:$B$256,(G281),2)</f>
        <v>469</v>
      </c>
      <c s="20" r="J281">
        <f>SUM(B281:G281)</f>
        <v>270</v>
      </c>
      <c s="68" r="K281"/>
      <c s="38" r="L281">
        <f>((((B281*2)+141)*((D281*2)+36))/(402.744996))-24.57966407</f>
        <v>28.0988302892446</v>
      </c>
      <c s="38" r="M281">
        <f>((((B281*2)+141)*((F281*2)+36))/(416.310724))-19.16575597</f>
        <v>31.7961788947862</v>
      </c>
      <c s="38" r="N281">
        <f>(((((C281*2)+36)*((((C281*2)+36)*(I281/672))+415))/((((C281*2)+36)*(1-(I281/672)))+415))/(1.92306))-3.576327284</f>
        <v>50.6165820460345</v>
      </c>
      <c s="38" r="O281">
        <f>(((((E281*2)+36)*((((E281*2)+36)*(I281/672))+415))/((((E281*2)+36)*(1-(I281/672)))+415))/(1.980931))+4.9921912</f>
        <v>87.9725492544276</v>
      </c>
      <c s="68" r="P281"/>
      <c s="38" r="Q281">
        <f>((((L281+M281)+N281)+O281)/(1.535645))-60.47703745</f>
        <v>68.7742807156522</v>
      </c>
      <c s="63" r="R281"/>
      <c s="26" r="S281"/>
      <c s="26" r="T281"/>
    </row>
    <row customHeight="1" r="282" ht="14.25">
      <c t="s" s="45" r="A282">
        <v>380</v>
      </c>
      <c s="75" r="B282">
        <v>60</v>
      </c>
      <c s="54" r="C282">
        <v>50</v>
      </c>
      <c s="54" r="D282">
        <v>100</v>
      </c>
      <c s="54" r="E282">
        <v>85</v>
      </c>
      <c s="54" r="F282">
        <v>70</v>
      </c>
      <c s="2" r="G282">
        <v>65</v>
      </c>
      <c s="68" r="H282"/>
      <c s="19" r="I282">
        <f>INDEX('Speed Factors'!$A$2:$B$256,(G282),2)</f>
        <v>321</v>
      </c>
      <c s="19" r="J282">
        <f>SUM(B282:G282)</f>
        <v>430</v>
      </c>
      <c s="68" r="K282"/>
      <c s="38" r="L282">
        <f>((((B282*2)+141)*((D282*2)+36))/(402.744996))-24.57966407</f>
        <v>128.360783637015</v>
      </c>
      <c s="38" r="M282">
        <f>((((B282*2)+141)*((F282*2)+36))/(416.310724))-19.16575597</f>
        <v>91.174903906924</v>
      </c>
      <c s="38" r="N282">
        <f>(((((C282*2)+36)*((((C282*2)+36)*(I282/672))+415))/((((C282*2)+36)*(1-(I282/672)))+415))/(1.92306))-3.576327284</f>
        <v>66.2608718964765</v>
      </c>
      <c s="38" r="O282">
        <f>(((((E282*2)+36)*((((E282*2)+36)*(I282/672))+415))/((((E282*2)+36)*(1-(I282/672)))+415))/(1.980931))+4.9921912</f>
        <v>107.153706386325</v>
      </c>
      <c s="68" r="P282"/>
      <c s="38" r="Q282">
        <f>((((L282+M282)+N282)+O282)/(1.535645))-60.47703745</f>
        <v>195.40909888147</v>
      </c>
      <c s="63" r="R282"/>
      <c s="26" r="S282"/>
      <c s="26" r="T282"/>
    </row>
    <row customHeight="1" r="283" ht="14.25">
      <c t="s" s="45" r="A283">
        <v>381</v>
      </c>
      <c s="57" r="B283">
        <v>28</v>
      </c>
      <c s="8" r="C283">
        <v>25</v>
      </c>
      <c s="8" r="D283">
        <v>25</v>
      </c>
      <c s="8" r="E283">
        <v>45</v>
      </c>
      <c s="8" r="F283">
        <v>35</v>
      </c>
      <c s="27" r="G283">
        <v>40</v>
      </c>
      <c s="68" r="H283"/>
      <c s="20" r="I283">
        <f>INDEX('Speed Factors'!$A$2:$B$256,(G283),2)</f>
        <v>111</v>
      </c>
      <c s="20" r="J283">
        <f>SUM(B283:G283)</f>
        <v>198</v>
      </c>
      <c s="68" r="K283"/>
      <c s="38" r="L283">
        <f>((((B283*2)+141)*((D283*2)+36))/(402.744996))-24.57966407</f>
        <v>17.4866562276208</v>
      </c>
      <c s="38" r="M283">
        <f>((((B283*2)+141)*((F283*2)+36))/(416.310724))-19.16575597</f>
        <v>30.9938935325672</v>
      </c>
      <c s="38" r="N283">
        <f>(((((C283*2)+36)*((((C283*2)+36)*(I283/672))+415))/((((C283*2)+36)*(1-(I283/672)))+415))/(1.92306))-3.576327284</f>
        <v>35.8535077857077</v>
      </c>
      <c s="38" r="O283">
        <f>(((((E283*2)+36)*((((E283*2)+36)*(I283/672))+415))/((((E283*2)+36)*(1-(I283/672)))+415))/(1.980931))+4.9921912</f>
        <v>58.2816079921762</v>
      </c>
      <c s="68" r="P283"/>
      <c s="38" r="Q283">
        <f>((((L283+M283)+N283)+O283)/(1.535645))-60.47703745</f>
        <v>32.3931672770508</v>
      </c>
      <c s="63" r="R283"/>
      <c s="26" r="S283"/>
      <c s="26" r="T283"/>
    </row>
    <row customHeight="1" r="284" ht="14.25">
      <c t="s" s="45" r="A284">
        <v>382</v>
      </c>
      <c s="75" r="B284">
        <v>38</v>
      </c>
      <c s="54" r="C284">
        <v>35</v>
      </c>
      <c s="54" r="D284">
        <v>35</v>
      </c>
      <c s="54" r="E284">
        <v>65</v>
      </c>
      <c s="54" r="F284">
        <v>55</v>
      </c>
      <c s="2" r="G284">
        <v>50</v>
      </c>
      <c s="68" r="H284"/>
      <c s="19" r="I284">
        <f>INDEX('Speed Factors'!$A$2:$B$256,(G284),2)</f>
        <v>189</v>
      </c>
      <c s="19" r="J284">
        <f>SUM(B284:G284)</f>
        <v>278</v>
      </c>
      <c s="68" r="K284"/>
      <c s="38" r="L284">
        <f>((((B284*2)+141)*((D284*2)+36))/(402.744996))-24.57966407</f>
        <v>32.5333981119073</v>
      </c>
      <c s="38" r="M284">
        <f>((((B284*2)+141)*((F284*2)+36))/(416.310724))-19.16575597</f>
        <v>56.9360549456372</v>
      </c>
      <c s="38" r="N284">
        <f>(((((C284*2)+36)*((((C284*2)+36)*(I284/672))+415))/((((C284*2)+36)*(1-(I284/672)))+415))/(1.92306))-3.576327284</f>
        <v>46.3400096766733</v>
      </c>
      <c s="38" r="O284">
        <f>(((((E284*2)+36)*((((E284*2)+36)*(I284/672))+415))/((((E284*2)+36)*(1-(I284/672)))+415))/(1.980931))+4.9921912</f>
        <v>77.4010197780189</v>
      </c>
      <c s="68" r="P284"/>
      <c s="38" r="Q284">
        <f>((((L284+M284)+N284)+O284)/(1.535645))-60.47703745</f>
        <v>78.3639593378231</v>
      </c>
      <c s="63" r="R284"/>
      <c s="26" r="S284"/>
      <c s="26" r="T284"/>
    </row>
    <row customHeight="1" r="285" ht="14.25">
      <c t="s" s="45" r="A285">
        <v>383</v>
      </c>
      <c s="57" r="B285">
        <v>68</v>
      </c>
      <c s="8" r="C285">
        <v>65</v>
      </c>
      <c s="8" r="D285">
        <v>65</v>
      </c>
      <c s="8" r="E285">
        <v>125</v>
      </c>
      <c s="8" r="F285">
        <v>115</v>
      </c>
      <c s="27" r="G285">
        <v>80</v>
      </c>
      <c s="68" r="H285"/>
      <c s="20" r="I285">
        <f>INDEX('Speed Factors'!$A$2:$B$256,(G285),2)</f>
        <v>432</v>
      </c>
      <c s="20" r="J285">
        <f>SUM(B285:G285)</f>
        <v>518</v>
      </c>
      <c s="68" r="K285"/>
      <c s="38" r="L285">
        <f>((((B285*2)+141)*((D285*2)+36))/(402.744996))-24.57966407</f>
        <v>89.591835158261</v>
      </c>
      <c s="38" r="M285">
        <f>((((B285*2)+141)*((F285*2)+36))/(416.310724))-19.16575597</f>
        <v>157.822238218687</v>
      </c>
      <c s="38" r="N285">
        <f>(((((C285*2)+36)*((((C285*2)+36)*(I285/672))+415))/((((C285*2)+36)*(1-(I285/672)))+415))/(1.92306))-3.576327284</f>
        <v>91.3765083009532</v>
      </c>
      <c s="38" r="O285">
        <f>(((((E285*2)+36)*((((E285*2)+36)*(I285/672))+415))/((((E285*2)+36)*(1-(I285/672)))+415))/(1.980931))+4.9921912</f>
        <v>172.181841026771</v>
      </c>
      <c s="68" r="P285"/>
      <c s="38" r="Q285">
        <f>((((L285+M285)+N285)+O285)/(1.535645))-60.47703745</f>
        <v>272.264203334603</v>
      </c>
      <c s="63" r="R285"/>
      <c s="26" r="S285"/>
      <c s="26" r="T285"/>
    </row>
    <row customHeight="1" r="286" ht="14.25">
      <c t="s" s="45" r="A286">
        <v>384</v>
      </c>
      <c s="75" r="B286">
        <v>40</v>
      </c>
      <c s="54" r="C286">
        <v>30</v>
      </c>
      <c s="54" r="D286">
        <v>32</v>
      </c>
      <c s="54" r="E286">
        <v>50</v>
      </c>
      <c s="54" r="F286">
        <v>52</v>
      </c>
      <c s="2" r="G286">
        <v>65</v>
      </c>
      <c s="68" r="H286"/>
      <c s="19" r="I286">
        <f>INDEX('Speed Factors'!$A$2:$B$256,(G286),2)</f>
        <v>321</v>
      </c>
      <c s="19" r="J286">
        <f>SUM(B286:G286)</f>
        <v>269</v>
      </c>
      <c s="68" r="K286"/>
      <c s="38" r="L286">
        <f>((((B286*2)+141)*((D286*2)+36))/(402.744996))-24.57966407</f>
        <v>30.2937675542132</v>
      </c>
      <c s="38" r="M286">
        <f>((((B286*2)+141)*((F286*2)+36))/(416.310724))-19.16575597</f>
        <v>55.1537323744799</v>
      </c>
      <c s="38" r="N286">
        <f>(((((C286*2)+36)*((((C286*2)+36)*(I286/672))+415))/((((C286*2)+36)*(1-(I286/672)))+415))/(1.92306))-3.576327284</f>
        <v>45.8841571083118</v>
      </c>
      <c s="38" r="O286">
        <f>(((((E286*2)+36)*((((E286*2)+36)*(I286/672))+415))/((((E286*2)+36)*(1-(I286/672)))+415))/(1.980931))+4.9921912</f>
        <v>72.7891635609793</v>
      </c>
      <c s="68" r="P286"/>
      <c s="38" r="Q286">
        <f>((((L286+M286)+N286)+O286)/(1.535645))-60.47703745</f>
        <v>72.4448426707207</v>
      </c>
      <c s="63" r="R286"/>
      <c s="26" r="S286"/>
      <c s="26" r="T286"/>
    </row>
    <row customHeight="1" r="287" ht="14.25">
      <c t="s" s="45" r="A287">
        <v>385</v>
      </c>
      <c s="57" r="B287">
        <v>70</v>
      </c>
      <c s="8" r="C287">
        <v>60</v>
      </c>
      <c s="8" r="D287">
        <v>62</v>
      </c>
      <c s="8" r="E287">
        <v>80</v>
      </c>
      <c s="8" r="F287">
        <v>82</v>
      </c>
      <c s="27" r="G287">
        <v>60</v>
      </c>
      <c s="68" r="H287"/>
      <c s="20" r="I287">
        <f>INDEX('Speed Factors'!$A$2:$B$256,(G287),2)</f>
        <v>274</v>
      </c>
      <c s="20" r="J287">
        <f>SUM(B287:G287)</f>
        <v>414</v>
      </c>
      <c s="68" r="K287"/>
      <c s="38" r="L287">
        <f>((((B287*2)+141)*((D287*2)+36))/(402.744996))-24.57966407</f>
        <v>87.0542493157296</v>
      </c>
      <c s="38" r="M287">
        <f>((((B287*2)+141)*((F287*2)+36))/(416.310724))-19.16575597</f>
        <v>115.829565457271</v>
      </c>
      <c s="38" r="N287">
        <f>(((((C287*2)+36)*((((C287*2)+36)*(I287/672))+415))/((((C287*2)+36)*(1-(I287/672)))+415))/(1.92306))-3.576327284</f>
        <v>72.9421978422364</v>
      </c>
      <c s="38" r="O287">
        <f>(((((E287*2)+36)*((((E287*2)+36)*(I287/672))+415))/((((E287*2)+36)*(1-(I287/672)))+415))/(1.980931))+4.9921912</f>
        <v>97.1975431184518</v>
      </c>
      <c s="68" r="P287"/>
      <c s="38" r="Q287">
        <f>((((L287+M287)+N287)+O287)/(1.535645))-60.47703745</f>
        <v>182.432981293713</v>
      </c>
      <c s="63" r="R287"/>
      <c s="26" r="S287"/>
      <c s="26" r="T287"/>
    </row>
    <row customHeight="1" r="288" ht="14.25">
      <c t="s" s="45" r="A288">
        <v>386</v>
      </c>
      <c s="75" r="B288">
        <v>60</v>
      </c>
      <c s="54" r="C288">
        <v>40</v>
      </c>
      <c s="54" r="D288">
        <v>60</v>
      </c>
      <c s="54" r="E288">
        <v>40</v>
      </c>
      <c s="54" r="F288">
        <v>60</v>
      </c>
      <c s="2" r="G288">
        <v>35</v>
      </c>
      <c s="68" r="H288"/>
      <c s="19" r="I288">
        <f>INDEX('Speed Factors'!$A$2:$B$256,(G288),2)</f>
        <v>84</v>
      </c>
      <c s="19" r="J288">
        <f>SUM(B288:G288)</f>
        <v>295</v>
      </c>
      <c s="68" r="K288"/>
      <c s="38" r="L288">
        <f>((((B288*2)+141)*((D288*2)+36))/(402.744996))-24.57966407</f>
        <v>76.516564075315</v>
      </c>
      <c s="38" r="M288">
        <f>((((B288*2)+141)*((F288*2)+36))/(416.310724))-19.16575597</f>
        <v>78.6361925572736</v>
      </c>
      <c s="38" r="N288">
        <f>(((((C288*2)+36)*((((C288*2)+36)*(I288/672))+415))/((((C288*2)+36)*(1-(I288/672)))+415))/(1.92306))-3.576327284</f>
        <v>46.5837269027924</v>
      </c>
      <c s="38" r="O288">
        <f>(((((E288*2)+36)*((((E288*2)+36)*(I288/672))+415))/((((E288*2)+36)*(1-(I288/672)))+415))/(1.980931))+4.9921912</f>
        <v>53.6868674933454</v>
      </c>
      <c s="68" r="P288"/>
      <c s="38" r="Q288">
        <f>((((L288+M288)+N288)+O288)/(1.535645))-60.47703745</f>
        <v>105.852648791759</v>
      </c>
      <c s="63" r="R288"/>
      <c s="26" r="S288"/>
      <c s="26" r="T288"/>
    </row>
    <row customHeight="1" r="289" ht="14.25">
      <c t="s" s="45" r="A289">
        <v>56</v>
      </c>
      <c s="57" r="B289">
        <v>60</v>
      </c>
      <c s="8" r="C289">
        <v>130</v>
      </c>
      <c s="8" r="D289">
        <v>80</v>
      </c>
      <c s="8" r="E289">
        <v>60</v>
      </c>
      <c s="8" r="F289">
        <v>60</v>
      </c>
      <c s="27" r="G289">
        <v>70</v>
      </c>
      <c s="68" r="H289"/>
      <c s="20" r="I289">
        <f>INDEX('Speed Factors'!$A$2:$B$256,(G289),2)</f>
        <v>369</v>
      </c>
      <c s="20" r="J289">
        <f>SUM(B289:G289)</f>
        <v>460</v>
      </c>
      <c s="68" r="K289"/>
      <c s="38" r="L289">
        <f>((((B289*2)+141)*((D289*2)+36))/(402.744996))-24.57966407</f>
        <v>102.438673856165</v>
      </c>
      <c s="38" r="M289">
        <f>((((B289*2)+141)*((F289*2)+36))/(416.310724))-19.16575597</f>
        <v>78.6361925572736</v>
      </c>
      <c s="38" r="N289">
        <f>(((((C289*2)+36)*((((C289*2)+36)*(I289/672))+415))/((((C289*2)+36)*(1-(I289/672)))+415))/(1.92306))-3.576327284</f>
        <v>158.503650820289</v>
      </c>
      <c s="38" r="O289">
        <f>(((((E289*2)+36)*((((E289*2)+36)*(I289/672))+415))/((((E289*2)+36)*(1-(I289/672)))+415))/(1.980931))+4.9921912</f>
        <v>86.2290866289987</v>
      </c>
      <c s="68" r="P289"/>
      <c s="38" r="Q289">
        <f>((((L289+M289)+N289)+O289)/(1.535645))-60.47703745</f>
        <v>216.805540139695</v>
      </c>
      <c s="63" r="R289"/>
      <c s="26" r="S289"/>
      <c s="26" r="T289"/>
    </row>
    <row customHeight="1" r="290" ht="14.25">
      <c t="s" s="45" r="A290">
        <v>387</v>
      </c>
      <c s="75" r="B290">
        <v>60</v>
      </c>
      <c s="54" r="C290">
        <v>60</v>
      </c>
      <c s="54" r="D290">
        <v>60</v>
      </c>
      <c s="54" r="E290">
        <v>35</v>
      </c>
      <c s="54" r="F290">
        <v>35</v>
      </c>
      <c s="2" r="G290">
        <v>30</v>
      </c>
      <c s="68" r="H290"/>
      <c s="19" r="I290">
        <f>INDEX('Speed Factors'!$A$2:$B$256,(G290),2)</f>
        <v>44</v>
      </c>
      <c s="19" r="J290">
        <f>SUM(B290:G290)</f>
        <v>280</v>
      </c>
      <c s="68" r="K290"/>
      <c s="38" r="L290">
        <f>((((B290*2)+141)*((D290*2)+36))/(402.744996))-24.57966407</f>
        <v>76.516564075315</v>
      </c>
      <c s="38" r="M290">
        <f>((((B290*2)+141)*((F290*2)+36))/(416.310724))-19.16575597</f>
        <v>47.2894141831474</v>
      </c>
      <c s="38" r="N290">
        <f>(((((C290*2)+36)*((((C290*2)+36)*(I290/672))+415))/((((C290*2)+36)*(1-(I290/672)))+415))/(1.92306))-3.576327284</f>
        <v>57.9332396020228</v>
      </c>
      <c s="38" r="O290">
        <f>(((((E290*2)+36)*((((E290*2)+36)*(I290/672))+415))/((((E290*2)+36)*(1-(I290/672)))+415))/(1.980931))+4.9921912</f>
        <v>48.9134011807485</v>
      </c>
      <c s="68" r="P290"/>
      <c s="38" r="Q290">
        <f>((((L290+M290)+N290)+O290)/(1.535645))-60.47703745</f>
        <v>89.7221420747168</v>
      </c>
      <c s="63" r="R290"/>
      <c s="26" r="S290"/>
      <c s="26" r="T290"/>
    </row>
    <row customHeight="1" r="291" ht="14.25">
      <c t="s" s="45" r="A291">
        <v>388</v>
      </c>
      <c s="57" r="B291">
        <v>80</v>
      </c>
      <c s="8" r="C291">
        <v>80</v>
      </c>
      <c s="8" r="D291">
        <v>80</v>
      </c>
      <c s="8" r="E291">
        <v>55</v>
      </c>
      <c s="8" r="F291">
        <v>55</v>
      </c>
      <c s="27" r="G291">
        <v>90</v>
      </c>
      <c s="68" r="H291"/>
      <c s="20" r="I291">
        <f>INDEX('Speed Factors'!$A$2:$B$256,(G291),2)</f>
        <v>503</v>
      </c>
      <c s="20" r="J291">
        <f>SUM(B291:G291)</f>
        <v>440</v>
      </c>
      <c s="68" r="K291"/>
      <c s="38" r="L291">
        <f>((((B291*2)+141)*((D291*2)+36))/(402.744996))-24.57966407</f>
        <v>121.905085798872</v>
      </c>
      <c s="38" r="M291">
        <f>((((B291*2)+141)*((F291*2)+36))/(416.310724))-19.16575597</f>
        <v>86.3948204613677</v>
      </c>
      <c s="38" r="N291">
        <f>(((((C291*2)+36)*((((C291*2)+36)*(I291/672))+415))/((((C291*2)+36)*(1-(I291/672)))+415))/(1.92306))-3.576327284</f>
        <v>119.729390311026</v>
      </c>
      <c s="38" r="O291">
        <f>(((((E291*2)+36)*((((E291*2)+36)*(I291/672))+415))/((((E291*2)+36)*(1-(I291/672)))+415))/(1.980931))+4.9921912</f>
        <v>90.534778025469</v>
      </c>
      <c s="68" r="P291"/>
      <c s="38" r="Q291">
        <f>((((L291+M291)+N291)+O291)/(1.535645))-60.47703745</f>
        <v>212.088610598042</v>
      </c>
      <c s="63" r="R291"/>
      <c s="26" r="S291"/>
      <c s="26" r="T291"/>
    </row>
    <row customHeight="1" r="292" ht="14.25">
      <c t="s" s="45" r="A292">
        <v>389</v>
      </c>
      <c s="75" r="B292">
        <v>150</v>
      </c>
      <c s="54" r="C292">
        <v>160</v>
      </c>
      <c s="54" r="D292">
        <v>100</v>
      </c>
      <c s="54" r="E292">
        <v>95</v>
      </c>
      <c s="54" r="F292">
        <v>65</v>
      </c>
      <c s="2" r="G292">
        <v>100</v>
      </c>
      <c s="68" r="H292"/>
      <c s="19" r="I292">
        <f>INDEX('Speed Factors'!$A$2:$B$256,(G292),2)</f>
        <v>577</v>
      </c>
      <c s="19" r="J292">
        <f>SUM(B292:G292)</f>
        <v>670</v>
      </c>
      <c s="68" r="K292"/>
      <c s="38" r="L292">
        <f>((((B292*2)+141)*((D292*2)+36))/(402.744996))-24.57966407</f>
        <v>233.836954469439</v>
      </c>
      <c s="38" r="M292">
        <f>((((B292*2)+141)*((F292*2)+36))/(416.310724))-19.16575597</f>
        <v>156.678861474926</v>
      </c>
      <c s="38" r="N292">
        <f>(((((C292*2)+36)*((((C292*2)+36)*(I292/672))+415))/((((C292*2)+36)*(1-(I292/672)))+415))/(1.92306))-3.576327284</f>
        <v>283.129537716739</v>
      </c>
      <c s="38" r="O292">
        <f>(((((E292*2)+36)*((((E292*2)+36)*(I292/672))+415))/((((E292*2)+36)*(1-(I292/672)))+415))/(1.980931))+4.9921912</f>
        <v>160.457716807761</v>
      </c>
      <c s="68" r="P292"/>
      <c s="38" r="Q292">
        <f>((((L292+M292)+N292)+O292)/(1.535645))-60.47703745</f>
        <v>482.684351066789</v>
      </c>
      <c s="63" r="R292"/>
      <c s="26" r="S292"/>
      <c s="26" r="T292"/>
    </row>
    <row customHeight="1" r="293" ht="14.25">
      <c t="s" s="45" r="A293">
        <v>390</v>
      </c>
      <c s="57" r="B293">
        <v>31</v>
      </c>
      <c s="8" r="C293">
        <v>45</v>
      </c>
      <c s="8" r="D293">
        <v>90</v>
      </c>
      <c s="8" r="E293">
        <v>30</v>
      </c>
      <c s="8" r="F293">
        <v>30</v>
      </c>
      <c s="27" r="G293">
        <v>40</v>
      </c>
      <c s="68" r="H293"/>
      <c s="20" r="I293">
        <f>INDEX('Speed Factors'!$A$2:$B$256,(G293),2)</f>
        <v>111</v>
      </c>
      <c s="20" r="J293">
        <f>SUM(B293:G293)</f>
        <v>266</v>
      </c>
      <c s="68" r="K293"/>
      <c s="38" r="L293">
        <f>((((B293*2)+141)*((D293*2)+36))/(402.744996))-24.57966407</f>
        <v>84.2931970095701</v>
      </c>
      <c s="38" r="M293">
        <f>((((B293*2)+141)*((F293*2)+36))/(416.310724))-19.16575597</f>
        <v>27.645433068695</v>
      </c>
      <c s="38" r="N293">
        <f>(((((C293*2)+36)*((((C293*2)+36)*(I293/672))+415))/((((C293*2)+36)*(1-(I293/672)))+415))/(1.92306))-3.576327284</f>
        <v>51.3167377766546</v>
      </c>
      <c s="38" r="O293">
        <f>(((((E293*2)+36)*((((E293*2)+36)*(I293/672))+415))/((((E293*2)+36)*(1-(I293/672)))+415))/(1.980931))+4.9921912</f>
        <v>47.1622943625095</v>
      </c>
      <c s="68" r="P293"/>
      <c s="38" r="Q293">
        <f>((((L293+M293)+N293)+O293)/(1.535645))-60.47703745</f>
        <v>76.5452966294449</v>
      </c>
      <c s="63" r="R293"/>
      <c s="26" r="S293"/>
      <c s="26" r="T293"/>
    </row>
    <row customHeight="1" r="294" ht="14.25">
      <c t="s" s="45" r="A294">
        <v>391</v>
      </c>
      <c s="75" r="B294">
        <v>61</v>
      </c>
      <c s="54" r="C294">
        <v>90</v>
      </c>
      <c s="54" r="D294">
        <v>45</v>
      </c>
      <c s="54" r="E294">
        <v>50</v>
      </c>
      <c s="54" r="F294">
        <v>50</v>
      </c>
      <c s="2" r="G294">
        <v>160</v>
      </c>
      <c s="68" r="H294"/>
      <c s="19" r="I294">
        <f>INDEX('Speed Factors'!$A$2:$B$256,(G294),2)</f>
        <v>670</v>
      </c>
      <c s="19" r="J294">
        <f>SUM(B294:G294)</f>
        <v>456</v>
      </c>
      <c s="68" r="K294"/>
      <c s="38" r="L294">
        <f>((((B294*2)+141)*((D294*2)+36))/(402.744996))-24.57966407</f>
        <v>57.700687837836</v>
      </c>
      <c s="38" r="M294">
        <f>((((B294*2)+141)*((F294*2)+36))/(416.310724))-19.16575597</f>
        <v>66.7508393469153</v>
      </c>
      <c s="38" r="N294">
        <f>(((((C294*2)+36)*((((C294*2)+36)*(I294/672))+415))/((((C294*2)+36)*(1-(I294/672)))+415))/(1.92306))-3.576327284</f>
        <v>166.767842306645</v>
      </c>
      <c s="38" r="O294">
        <f>(((((E294*2)+36)*((((E294*2)+36)*(I294/672))+415))/((((E294*2)+36)*(1-(I294/672)))+415))/(1.980931))+4.9921912</f>
        <v>95.9899173480378</v>
      </c>
      <c s="68" r="P294"/>
      <c s="38" r="Q294">
        <f>((((L294+M294)+N294)+O294)/(1.535645))-60.47703745</f>
        <v>191.670618316426</v>
      </c>
      <c s="63" r="R294"/>
      <c s="26" r="S294"/>
      <c s="26" r="T294"/>
    </row>
    <row customHeight="1" r="295" ht="14.25">
      <c t="s" s="45" r="A295">
        <v>392</v>
      </c>
      <c s="57" r="B295">
        <v>1</v>
      </c>
      <c s="8" r="C295">
        <v>90</v>
      </c>
      <c s="8" r="D295">
        <v>45</v>
      </c>
      <c s="8" r="E295">
        <v>30</v>
      </c>
      <c s="8" r="F295">
        <v>30</v>
      </c>
      <c s="27" r="G295">
        <v>40</v>
      </c>
      <c s="68" r="H295"/>
      <c s="20" r="I295">
        <f>INDEX('Speed Factors'!$A$2:$B$256,(G295),2)</f>
        <v>111</v>
      </c>
      <c s="20" r="J295">
        <f>SUM(B295:G295)</f>
        <v>236</v>
      </c>
      <c s="68" r="K295"/>
      <c s="38" r="L295">
        <f>((((B295*2)+141)*((D295*2)+36))/(402.744996))-24.57966407</f>
        <v>20.1583219483291</v>
      </c>
      <c s="38" r="M295">
        <f>((((B295*2)+141)*((F295*2)+36))/(416.310724))-19.16575597</f>
        <v>13.8096136483911</v>
      </c>
      <c s="38" r="N295">
        <f>(((((C295*2)+36)*((((C295*2)+36)*(I295/672))+415))/((((C295*2)+36)*(1-(I295/672)))+415))/(1.92306))-3.576327284</f>
        <v>81.4544815786352</v>
      </c>
      <c s="38" r="O295">
        <f>(((((E295*2)+36)*((((E295*2)+36)*(I295/672))+415))/((((E295*2)+36)*(1-(I295/672)))+415))/(1.980931))+4.9921912</f>
        <v>47.1622943625095</v>
      </c>
      <c s="68" r="P295"/>
      <c s="38" r="Q295">
        <f>((((L295+M295)+N295)+O295)/(1.535645))-60.47703745</f>
        <v>45.3968536757907</v>
      </c>
      <c s="63" r="R295"/>
      <c s="26" r="S295"/>
      <c s="26" r="T295"/>
    </row>
    <row customHeight="1" r="296" ht="14.25">
      <c t="s" s="45" r="A296">
        <v>393</v>
      </c>
      <c s="75" r="B296">
        <v>64</v>
      </c>
      <c s="54" r="C296">
        <v>51</v>
      </c>
      <c s="54" r="D296">
        <v>23</v>
      </c>
      <c s="54" r="E296">
        <v>51</v>
      </c>
      <c s="54" r="F296">
        <v>23</v>
      </c>
      <c s="2" r="G296">
        <v>28</v>
      </c>
      <c s="68" r="H296"/>
      <c s="19" r="I296">
        <f>INDEX('Speed Factors'!$A$2:$B$256,(G296),2)</f>
        <v>42</v>
      </c>
      <c s="19" r="J296">
        <f>SUM(B296:G296)</f>
        <v>240</v>
      </c>
      <c s="68" r="K296"/>
      <c s="38" r="L296">
        <f>((((B296*2)+141)*((D296*2)+36))/(402.744996))-24.57966407</f>
        <v>30.1894832045201</v>
      </c>
      <c s="38" r="M296">
        <f>((((B296*2)+141)*((F296*2)+36))/(416.310724))-19.16575597</f>
        <v>33.8187066642126</v>
      </c>
      <c s="38" r="N296">
        <f>(((((C296*2)+36)*((((C296*2)+36)*(I296/672))+415))/((((C296*2)+36)*(1-(I296/672)))+415))/(1.92306))-3.576327284</f>
        <v>52.2667910011126</v>
      </c>
      <c s="38" r="O296">
        <f>(((((E296*2)+36)*((((E296*2)+36)*(I296/672))+415))/((((E296*2)+36)*(1-(I296/672)))+415))/(1.980931))+4.9921912</f>
        <v>59.2039063225199</v>
      </c>
      <c s="68" r="P296"/>
      <c s="38" r="Q296">
        <f>((((L296+M296)+N296)+O296)/(1.535645))-60.47703745</f>
        <v>53.7934399014486</v>
      </c>
      <c s="63" r="R296"/>
      <c s="26" r="S296"/>
      <c s="26" r="T296"/>
    </row>
    <row customHeight="1" r="297" ht="14.25">
      <c t="s" s="45" r="A297">
        <v>394</v>
      </c>
      <c s="57" r="B297">
        <v>84</v>
      </c>
      <c s="8" r="C297">
        <v>71</v>
      </c>
      <c s="8" r="D297">
        <v>43</v>
      </c>
      <c s="8" r="E297">
        <v>71</v>
      </c>
      <c s="8" r="F297">
        <v>43</v>
      </c>
      <c s="27" r="G297">
        <v>48</v>
      </c>
      <c s="68" r="H297"/>
      <c s="20" r="I297">
        <f>INDEX('Speed Factors'!$A$2:$B$256,(G297),2)</f>
        <v>184</v>
      </c>
      <c s="20" r="J297">
        <f>SUM(B297:G297)</f>
        <v>360</v>
      </c>
      <c s="68" r="K297"/>
      <c s="38" r="L297">
        <f>((((B297*2)+141)*((D297*2)+36))/(402.744996))-24.57966407</f>
        <v>69.0229886616556</v>
      </c>
      <c s="38" r="M297">
        <f>((((B297*2)+141)*((F297*2)+36))/(416.310724))-19.16575597</f>
        <v>71.3867996735102</v>
      </c>
      <c s="38" r="N297">
        <f>(((((C297*2)+36)*((((C297*2)+36)*(I297/672))+415))/((((C297*2)+36)*(1-(I297/672)))+415))/(1.92306))-3.576327284</f>
        <v>75.2900704018771</v>
      </c>
      <c s="38" r="O297">
        <f>(((((E297*2)+36)*((((E297*2)+36)*(I297/672))+415))/((((E297*2)+36)*(1-(I297/672)))+415))/(1.980931))+4.9921912</f>
        <v>81.554582688549</v>
      </c>
      <c s="68" r="P297"/>
      <c s="38" r="Q297">
        <f>((((L297+M297)+N297)+O297)/(1.535645))-60.47703745</f>
        <v>133.092727323494</v>
      </c>
      <c s="63" r="R297"/>
      <c s="26" r="S297"/>
      <c s="26" r="T297"/>
    </row>
    <row customHeight="1" r="298" ht="14.25">
      <c t="s" s="45" r="A298">
        <v>395</v>
      </c>
      <c s="75" r="B298">
        <v>104</v>
      </c>
      <c s="54" r="C298">
        <v>91</v>
      </c>
      <c s="54" r="D298">
        <v>63</v>
      </c>
      <c s="54" r="E298">
        <v>91</v>
      </c>
      <c s="54" r="F298">
        <v>63</v>
      </c>
      <c s="2" r="G298">
        <v>68</v>
      </c>
      <c s="68" r="H298"/>
      <c s="19" r="I298">
        <f>INDEX('Speed Factors'!$A$2:$B$256,(G298),2)</f>
        <v>365</v>
      </c>
      <c s="19" r="J298">
        <f>SUM(B298:G298)</f>
        <v>480</v>
      </c>
      <c s="68" r="K298"/>
      <c s="38" r="L298">
        <f>((((B298*2)+141)*((D298*2)+36))/(402.744996))-24.57966407</f>
        <v>115.80196838112</v>
      </c>
      <c s="38" r="M298">
        <f>((((B298*2)+141)*((F298*2)+36))/(416.310724))-19.16575597</f>
        <v>116.641459027421</v>
      </c>
      <c s="38" r="N298">
        <f>(((((C298*2)+36)*((((C298*2)+36)*(I298/672))+415))/((((C298*2)+36)*(1-(I298/672)))+415))/(1.92306))-3.576327284</f>
        <v>113.929585225894</v>
      </c>
      <c s="38" r="O298">
        <f>(((((E298*2)+36)*((((E298*2)+36)*(I298/672))+415))/((((E298*2)+36)*(1-(I298/672)))+415))/(1.980931))+4.9921912</f>
        <v>119.065281131591</v>
      </c>
      <c s="68" r="P298"/>
      <c s="38" r="Q298">
        <f>((((L298+M298)+N298)+O298)/(1.535645))-60.47703745</f>
        <v>242.612735099011</v>
      </c>
      <c s="63" r="R298"/>
      <c s="26" r="S298"/>
      <c s="26" r="T298"/>
    </row>
    <row customHeight="1" r="299" ht="14.25">
      <c t="s" s="45" r="A299">
        <v>396</v>
      </c>
      <c s="57" r="B299">
        <v>72</v>
      </c>
      <c s="8" r="C299">
        <v>60</v>
      </c>
      <c s="8" r="D299">
        <v>30</v>
      </c>
      <c s="8" r="E299">
        <v>20</v>
      </c>
      <c s="8" r="F299">
        <v>30</v>
      </c>
      <c s="27" r="G299">
        <v>25</v>
      </c>
      <c s="68" r="H299"/>
      <c s="20" r="I299">
        <f>INDEX('Speed Factors'!$A$2:$B$256,(G299),2)</f>
        <v>32</v>
      </c>
      <c s="20" r="J299">
        <f>SUM(B299:G299)</f>
        <v>237</v>
      </c>
      <c s="68" r="K299"/>
      <c s="38" r="L299">
        <f>((((B299*2)+141)*((D299*2)+36))/(402.744996))-24.57966407</f>
        <v>43.3541408729173</v>
      </c>
      <c s="38" r="M299">
        <f>((((B299*2)+141)*((F299*2)+36))/(416.310724))-19.16575597</f>
        <v>46.5543862764438</v>
      </c>
      <c s="38" r="N299">
        <f>(((((C299*2)+36)*((((C299*2)+36)*(I299/672))+415))/((((C299*2)+36)*(1-(I299/672)))+415))/(1.92306))-3.576327284</f>
        <v>57.228223005168</v>
      </c>
      <c s="38" r="O299">
        <f>(((((E299*2)+36)*((((E299*2)+36)*(I299/672))+415))/((((E299*2)+36)*(1-(I299/672)))+415))/(1.980931))+4.9921912</f>
        <v>37.9451698458318</v>
      </c>
      <c s="68" r="P299"/>
      <c s="38" r="Q299">
        <f>((((L299+M299)+N299)+O299)/(1.535645))-60.47703745</f>
        <v>60.0468596748959</v>
      </c>
      <c s="63" r="R299"/>
      <c s="26" r="S299"/>
      <c s="26" r="T299"/>
    </row>
    <row customHeight="1" r="300" ht="14.25">
      <c t="s" s="45" r="A300">
        <v>397</v>
      </c>
      <c s="75" r="B300">
        <v>144</v>
      </c>
      <c s="54" r="C300">
        <v>120</v>
      </c>
      <c s="54" r="D300">
        <v>60</v>
      </c>
      <c s="54" r="E300">
        <v>40</v>
      </c>
      <c s="54" r="F300">
        <v>60</v>
      </c>
      <c s="2" r="G300">
        <v>50</v>
      </c>
      <c s="68" r="H300"/>
      <c s="19" r="I300">
        <f>INDEX('Speed Factors'!$A$2:$B$256,(G300),2)</f>
        <v>189</v>
      </c>
      <c s="19" r="J300">
        <f>SUM(B300:G300)</f>
        <v>474</v>
      </c>
      <c s="68" r="K300"/>
      <c s="38" r="L300">
        <f>((((B300*2)+141)*((D300*2)+36))/(402.744996))-24.57966407</f>
        <v>141.589998283794</v>
      </c>
      <c s="38" r="M300">
        <f>((((B300*2)+141)*((F300*2)+36))/(416.310724))-19.16575597</f>
        <v>141.589170919657</v>
      </c>
      <c s="38" r="N300">
        <f>(((((C300*2)+36)*((((C300*2)+36)*(I300/672))+415))/((((C300*2)+36)*(1-(I300/672)))+415))/(1.92306))-3.576327284</f>
        <v>111.691106470273</v>
      </c>
      <c s="38" r="O300">
        <f>(((((E300*2)+36)*((((E300*2)+36)*(I300/672))+415))/((((E300*2)+36)*(1-(I300/672)))+415))/(1.980931))+4.9921912</f>
        <v>57.5874657106356</v>
      </c>
      <c s="68" r="P300"/>
      <c s="38" r="Q300">
        <f>((((L300+M300)+N300)+O300)/(1.535645))-60.47703745</f>
        <v>234.159901024946</v>
      </c>
      <c s="63" r="R300"/>
      <c s="26" r="S300"/>
      <c s="26" r="T300"/>
    </row>
    <row customHeight="1" r="301" ht="14.25">
      <c t="s" s="45" r="A301">
        <v>398</v>
      </c>
      <c s="57" r="B301">
        <v>50</v>
      </c>
      <c s="8" r="C301">
        <v>20</v>
      </c>
      <c s="8" r="D301">
        <v>40</v>
      </c>
      <c s="8" r="E301">
        <v>20</v>
      </c>
      <c s="8" r="F301">
        <v>40</v>
      </c>
      <c s="27" r="G301">
        <v>20</v>
      </c>
      <c s="68" r="H301"/>
      <c s="20" r="I301">
        <f>INDEX('Speed Factors'!$A$2:$B$256,(G301),2)</f>
        <v>14</v>
      </c>
      <c s="20" r="J301">
        <f>SUM(B301:G301)</f>
        <v>190</v>
      </c>
      <c s="68" r="K301"/>
      <c s="38" r="L301">
        <f>((((B301*2)+141)*((D301*2)+36))/(402.744996))-24.57966407</f>
        <v>44.8339854542762</v>
      </c>
      <c s="38" r="M301">
        <f>((((B301*2)+141)*((F301*2)+36))/(416.310724))-19.16575597</f>
        <v>47.986009258128</v>
      </c>
      <c s="38" r="N301">
        <f>(((((C301*2)+36)*((((C301*2)+36)*(I301/672))+415))/((((C301*2)+36)*(1-(I301/672)))+415))/(1.92306))-3.576327284</f>
        <v>30.0627359796682</v>
      </c>
      <c s="38" r="O301">
        <f>(((((E301*2)+36)*((((E301*2)+36)*(I301/672))+415))/((((E301*2)+36)*(1-(I301/672)))+415))/(1.980931))+4.9921912</f>
        <v>37.6485214809789</v>
      </c>
      <c s="68" r="P301"/>
      <c s="38" r="Q301">
        <f>((((L301+M301)+N301)+O301)/(1.535645))-60.47703745</f>
        <v>44.0596570158767</v>
      </c>
      <c s="63" r="R301"/>
      <c s="26" r="S301"/>
      <c s="26" r="T301"/>
    </row>
    <row customHeight="1" r="302" ht="14.25">
      <c t="s" s="45" r="A302">
        <v>399</v>
      </c>
      <c s="75" r="B302">
        <v>30</v>
      </c>
      <c s="54" r="C302">
        <v>45</v>
      </c>
      <c s="54" r="D302">
        <v>135</v>
      </c>
      <c s="54" r="E302">
        <v>45</v>
      </c>
      <c s="54" r="F302">
        <v>90</v>
      </c>
      <c s="2" r="G302">
        <v>30</v>
      </c>
      <c s="68" r="H302"/>
      <c s="19" r="I302">
        <f>INDEX('Speed Factors'!$A$2:$B$256,(G302),2)</f>
        <v>44</v>
      </c>
      <c s="19" r="J302">
        <f>SUM(B302:G302)</f>
        <v>375</v>
      </c>
      <c s="68" r="K302"/>
      <c s="38" r="L302">
        <f>((((B302*2)+141)*((D302*2)+36))/(402.744996))-24.57966407</f>
        <v>128.137317173387</v>
      </c>
      <c s="38" r="M302">
        <f>((((B302*2)+141)*((F302*2)+36))/(416.310724))-19.16575597</f>
        <v>85.121732910541</v>
      </c>
      <c s="38" r="N302">
        <f>(((((C302*2)+36)*((((C302*2)+36)*(I302/672))+415))/((((C302*2)+36)*(1-(I302/672)))+415))/(1.92306))-3.576327284</f>
        <v>48.4773264709311</v>
      </c>
      <c s="38" r="O302">
        <f>(((((E302*2)+36)*((((E302*2)+36)*(I302/672))+415))/((((E302*2)+36)*(1-(I302/672)))+415))/(1.980931))+4.9921912</f>
        <v>55.5251473655392</v>
      </c>
      <c s="68" r="P302"/>
      <c s="38" r="Q302">
        <f>((((L302+M302)+N302)+O302)/(1.535645))-60.47703745</f>
        <v>146.121182789963</v>
      </c>
      <c s="63" r="R302"/>
      <c s="26" r="S302"/>
      <c s="26" r="T302"/>
    </row>
    <row customHeight="1" r="303" ht="14.25">
      <c t="s" s="45" r="A303">
        <v>400</v>
      </c>
      <c s="57" r="B303">
        <v>50</v>
      </c>
      <c s="8" r="C303">
        <v>45</v>
      </c>
      <c s="8" r="D303">
        <v>45</v>
      </c>
      <c s="8" r="E303">
        <v>35</v>
      </c>
      <c s="8" r="F303">
        <v>35</v>
      </c>
      <c s="27" r="G303">
        <v>50</v>
      </c>
      <c s="68" r="H303"/>
      <c s="20" r="I303">
        <f>INDEX('Speed Factors'!$A$2:$B$256,(G303),2)</f>
        <v>189</v>
      </c>
      <c s="20" r="J303">
        <f>SUM(B303:G303)</f>
        <v>260</v>
      </c>
      <c s="68" r="K303"/>
      <c s="38" r="L303">
        <f>((((B303*2)+141)*((D303*2)+36))/(402.744996))-24.57966407</f>
        <v>50.8179207580931</v>
      </c>
      <c s="38" r="M303">
        <f>((((B303*2)+141)*((F303*2)+36))/(416.310724))-19.16575597</f>
        <v>42.1970639798411</v>
      </c>
      <c s="38" r="N303">
        <f>(((((C303*2)+36)*((((C303*2)+36)*(I303/672))+415))/((((C303*2)+36)*(1-(I303/672)))+415))/(1.92306))-3.576327284</f>
        <v>54.8000845616916</v>
      </c>
      <c s="38" r="O303">
        <f>(((((E303*2)+36)*((((E303*2)+36)*(I303/672))+415))/((((E303*2)+36)*(1-(I303/672)))+415))/(1.980931))+4.9921912</f>
        <v>53.4502702323299</v>
      </c>
      <c s="68" r="P303"/>
      <c s="38" r="Q303">
        <f>((((L303+M303)+N303)+O303)/(1.535645))-60.47703745</f>
        <v>70.5853757587532</v>
      </c>
      <c s="63" r="R303"/>
      <c s="26" r="S303"/>
      <c s="26" r="T303"/>
    </row>
    <row customHeight="1" r="304" ht="14.25">
      <c t="s" s="45" r="A304">
        <v>401</v>
      </c>
      <c s="75" r="B304">
        <v>70</v>
      </c>
      <c s="54" r="C304">
        <v>65</v>
      </c>
      <c s="54" r="D304">
        <v>65</v>
      </c>
      <c s="54" r="E304">
        <v>55</v>
      </c>
      <c s="54" r="F304">
        <v>55</v>
      </c>
      <c s="2" r="G304">
        <v>70</v>
      </c>
      <c s="68" r="H304"/>
      <c s="19" r="I304">
        <f>INDEX('Speed Factors'!$A$2:$B$256,(G304),2)</f>
        <v>369</v>
      </c>
      <c s="19" r="J304">
        <f>SUM(B304:G304)</f>
        <v>380</v>
      </c>
      <c s="68" r="K304"/>
      <c s="38" r="L304">
        <f>((((B304*2)+141)*((D304*2)+36))/(402.744996))-24.57966407</f>
        <v>91.2405210676944</v>
      </c>
      <c s="38" r="M304">
        <f>((((B304*2)+141)*((F304*2)+36))/(416.310724))-19.16575597</f>
        <v>79.380828671908</v>
      </c>
      <c s="38" r="N304">
        <f>(((((C304*2)+36)*((((C304*2)+36)*(I304/672))+415))/((((C304*2)+36)*(1-(I304/672)))+415))/(1.92306))-3.576327284</f>
        <v>85.6174379539632</v>
      </c>
      <c s="38" r="O304">
        <f>(((((E304*2)+36)*((((E304*2)+36)*(I304/672))+415))/((((E304*2)+36)*(1-(I304/672)))+415))/(1.980931))+4.9921912</f>
        <v>80.8928665418592</v>
      </c>
      <c s="68" r="P304"/>
      <c s="38" r="Q304">
        <f>((((L304+M304)+N304)+O304)/(1.535645))-60.47703745</f>
        <v>159.060456069287</v>
      </c>
      <c s="63" r="R304"/>
      <c s="26" r="S304"/>
      <c s="26" r="T304"/>
    </row>
    <row customHeight="1" r="305" ht="14.25">
      <c t="s" s="45" r="A305">
        <v>402</v>
      </c>
      <c s="57" r="B305">
        <v>50</v>
      </c>
      <c s="8" r="C305">
        <v>75</v>
      </c>
      <c s="8" r="D305">
        <v>75</v>
      </c>
      <c s="8" r="E305">
        <v>65</v>
      </c>
      <c s="8" r="F305">
        <v>65</v>
      </c>
      <c s="27" r="G305">
        <v>50</v>
      </c>
      <c s="68" r="H305"/>
      <c s="20" r="I305">
        <f>INDEX('Speed Factors'!$A$2:$B$256,(G305),2)</f>
        <v>189</v>
      </c>
      <c s="20" r="J305">
        <f>SUM(B305:G305)</f>
        <v>380</v>
      </c>
      <c s="68" r="K305"/>
      <c s="38" r="L305">
        <f>((((B305*2)+141)*((D305*2)+36))/(402.744996))-24.57966407</f>
        <v>86.7215325809945</v>
      </c>
      <c s="38" r="M305">
        <f>((((B305*2)+141)*((F305*2)+36))/(416.310724))-19.16575597</f>
        <v>76.9307356495625</v>
      </c>
      <c s="38" r="N305">
        <f>(((((C305*2)+36)*((((C305*2)+36)*(I305/672))+415))/((((C305*2)+36)*(1-(I305/672)))+415))/(1.92306))-3.576327284</f>
        <v>78.8000030497368</v>
      </c>
      <c s="38" r="O305">
        <f>(((((E305*2)+36)*((((E305*2)+36)*(I305/672))+415))/((((E305*2)+36)*(1-(I305/672)))+415))/(1.980931))+4.9921912</f>
        <v>77.4010197780189</v>
      </c>
      <c s="68" r="P305"/>
      <c s="38" r="Q305">
        <f>((((L305+M305)+N305)+O305)/(1.535645))-60.47703745</f>
        <v>147.808921256806</v>
      </c>
      <c s="63" r="R305"/>
      <c s="26" r="S305"/>
      <c s="26" r="T305"/>
    </row>
    <row customHeight="1" r="306" ht="14.25">
      <c t="s" s="45" r="A306">
        <v>403</v>
      </c>
      <c s="75" r="B306">
        <v>50</v>
      </c>
      <c s="54" r="C306">
        <v>85</v>
      </c>
      <c s="54" r="D306">
        <v>85</v>
      </c>
      <c s="54" r="E306">
        <v>55</v>
      </c>
      <c s="54" r="F306">
        <v>55</v>
      </c>
      <c s="2" r="G306">
        <v>50</v>
      </c>
      <c s="68" r="H306"/>
      <c s="19" r="I306">
        <f>INDEX('Speed Factors'!$A$2:$B$256,(G306),2)</f>
        <v>189</v>
      </c>
      <c s="19" r="J306">
        <f>SUM(B306:G306)</f>
        <v>380</v>
      </c>
      <c s="68" r="K306"/>
      <c s="38" r="L306">
        <f>((((B306*2)+141)*((D306*2)+36))/(402.744996))-24.57966407</f>
        <v>98.6894031886283</v>
      </c>
      <c s="38" r="M306">
        <f>((((B306*2)+141)*((F306*2)+36))/(416.310724))-19.16575597</f>
        <v>65.3528450929887</v>
      </c>
      <c s="38" r="N306">
        <f>(((((C306*2)+36)*((((C306*2)+36)*(I306/672))+415))/((((C306*2)+36)*(1-(I306/672)))+415))/(1.92306))-3.576327284</f>
        <v>86.3986059095535</v>
      </c>
      <c s="38" r="O306">
        <f>(((((E306*2)+36)*((((E306*2)+36)*(I306/672))+415))/((((E306*2)+36)*(1-(I306/672)))+415))/(1.980931))+4.9921912</f>
        <v>69.6404346675808</v>
      </c>
      <c s="68" r="P306"/>
      <c s="38" r="Q306">
        <f>((((L306+M306)+N306)+O306)/(1.535645))-60.47703745</f>
        <v>147.957391639244</v>
      </c>
      <c s="63" r="R306"/>
      <c s="26" r="S306"/>
      <c s="26" r="T306"/>
    </row>
    <row customHeight="1" r="307" ht="14.25">
      <c t="s" s="45" r="A307">
        <v>404</v>
      </c>
      <c s="57" r="B307">
        <v>50</v>
      </c>
      <c s="8" r="C307">
        <v>70</v>
      </c>
      <c s="8" r="D307">
        <v>100</v>
      </c>
      <c s="8" r="E307">
        <v>40</v>
      </c>
      <c s="8" r="F307">
        <v>40</v>
      </c>
      <c s="27" r="G307">
        <v>30</v>
      </c>
      <c s="68" r="H307"/>
      <c s="20" r="I307">
        <f>INDEX('Speed Factors'!$A$2:$B$256,(G307),2)</f>
        <v>44</v>
      </c>
      <c s="20" r="J307">
        <f>SUM(B307:G307)</f>
        <v>330</v>
      </c>
      <c s="68" r="K307"/>
      <c s="38" r="L307">
        <f>((((B307*2)+141)*((D307*2)+36))/(402.744996))-24.57966407</f>
        <v>116.641209100079</v>
      </c>
      <c s="38" r="M307">
        <f>((((B307*2)+141)*((F307*2)+36))/(416.310724))-19.16575597</f>
        <v>47.986009258128</v>
      </c>
      <c s="38" r="N307">
        <f>(((((C307*2)+36)*((((C307*2)+36)*(I307/672))+415))/((((C307*2)+36)*(1-(I307/672)))+415))/(1.92306))-3.576327284</f>
        <v>63.7876183003794</v>
      </c>
      <c s="38" r="O307">
        <f>(((((E307*2)+36)*((((E307*2)+36)*(I307/672))+415))/((((E307*2)+36)*(1-(I307/672)))+415))/(1.980931))+4.9921912</f>
        <v>52.2719846209135</v>
      </c>
      <c s="68" r="P307"/>
      <c s="38" r="Q307">
        <f>((((L307+M307)+N307)+O307)/(1.535645))-60.47703745</f>
        <v>122.304022807742</v>
      </c>
      <c s="63" r="R307"/>
      <c s="26" r="S307"/>
      <c s="26" r="T307"/>
    </row>
    <row customHeight="1" r="308" ht="14.25">
      <c t="s" s="45" r="A308">
        <v>405</v>
      </c>
      <c s="75" r="B308">
        <v>60</v>
      </c>
      <c s="54" r="C308">
        <v>90</v>
      </c>
      <c s="54" r="D308">
        <v>140</v>
      </c>
      <c s="54" r="E308">
        <v>50</v>
      </c>
      <c s="54" r="F308">
        <v>50</v>
      </c>
      <c s="2" r="G308">
        <v>40</v>
      </c>
      <c s="68" r="H308"/>
      <c s="19" r="I308">
        <f>INDEX('Speed Factors'!$A$2:$B$256,(G308),2)</f>
        <v>111</v>
      </c>
      <c s="19" r="J308">
        <f>SUM(B308:G308)</f>
        <v>430</v>
      </c>
      <c s="68" r="K308"/>
      <c s="38" r="L308">
        <f>((((B308*2)+141)*((D308*2)+36))/(402.744996))-24.57966407</f>
        <v>180.205003198715</v>
      </c>
      <c s="38" r="M308">
        <f>((((B308*2)+141)*((F308*2)+36))/(416.310724))-19.16575597</f>
        <v>66.0974812076231</v>
      </c>
      <c s="38" r="N308">
        <f>(((((C308*2)+36)*((((C308*2)+36)*(I308/672))+415))/((((C308*2)+36)*(1-(I308/672)))+415))/(1.92306))-3.576327284</f>
        <v>81.4544815786352</v>
      </c>
      <c s="38" r="O308">
        <f>(((((E308*2)+36)*((((E308*2)+36)*(I308/672))+415))/((((E308*2)+36)*(1-(I308/672)))+415))/(1.980931))+4.9921912</f>
        <v>61.8169792355857</v>
      </c>
      <c s="68" r="P308"/>
      <c s="38" r="Q308">
        <f>((((L308+M308)+N308)+O308)/(1.535645))-60.47703745</f>
        <v>193.210465339095</v>
      </c>
      <c s="63" r="R308"/>
      <c s="26" r="S308"/>
      <c s="26" r="T308"/>
    </row>
    <row customHeight="1" r="309" ht="14.25">
      <c t="s" s="45" r="A309">
        <v>406</v>
      </c>
      <c s="57" r="B309">
        <v>70</v>
      </c>
      <c s="8" r="C309">
        <v>110</v>
      </c>
      <c s="8" r="D309">
        <v>180</v>
      </c>
      <c s="8" r="E309">
        <v>60</v>
      </c>
      <c s="8" r="F309">
        <v>60</v>
      </c>
      <c s="27" r="G309">
        <v>50</v>
      </c>
      <c s="68" r="H309"/>
      <c s="20" r="I309">
        <f>INDEX('Speed Factors'!$A$2:$B$256,(G309),2)</f>
        <v>189</v>
      </c>
      <c s="20" r="J309">
        <f>SUM(B309:G309)</f>
        <v>530</v>
      </c>
      <c s="68" r="K309"/>
      <c s="38" r="L309">
        <f>((((B309*2)+141)*((D309*2)+36))/(402.744996))-24.57966407</f>
        <v>251.714271559681</v>
      </c>
      <c s="38" r="M309">
        <f>((((B309*2)+141)*((F309*2)+36))/(416.310724))-19.16575597</f>
        <v>86.1305947432716</v>
      </c>
      <c s="38" r="N309">
        <f>(((((C309*2)+36)*((((C309*2)+36)*(I309/672))+415))/((((C309*2)+36)*(1-(I309/672)))+415))/(1.92306))-3.576327284</f>
        <v>104.654074225336</v>
      </c>
      <c s="38" r="O309">
        <f>(((((E309*2)+36)*((((E309*2)+36)*(I309/672))+415))/((((E309*2)+36)*(1-(I309/672)))+415))/(1.980931))+4.9921912</f>
        <v>73.5467015802161</v>
      </c>
      <c s="68" r="P309"/>
      <c s="38" r="Q309">
        <f>((((L309+M309)+N309)+O309)/(1.535645))-60.47703745</f>
        <v>275.567844087403</v>
      </c>
      <c s="63" r="R309"/>
      <c s="26" r="S309"/>
      <c s="26" r="T309"/>
    </row>
    <row customHeight="1" r="310" ht="14.25">
      <c t="s" s="45" r="A310">
        <v>407</v>
      </c>
      <c s="75" r="B310">
        <v>30</v>
      </c>
      <c s="54" r="C310">
        <v>40</v>
      </c>
      <c s="54" r="D310">
        <v>55</v>
      </c>
      <c s="54" r="E310">
        <v>40</v>
      </c>
      <c s="54" r="F310">
        <v>55</v>
      </c>
      <c s="2" r="G310">
        <v>60</v>
      </c>
      <c s="68" r="H310"/>
      <c s="19" r="I310">
        <f>INDEX('Speed Factors'!$A$2:$B$256,(G310),2)</f>
        <v>274</v>
      </c>
      <c s="19" r="J310">
        <f>SUM(B310:G310)</f>
        <v>280</v>
      </c>
      <c s="68" r="K310"/>
      <c s="38" r="L310">
        <f>((((B310*2)+141)*((D310*2)+36))/(402.744996))-24.57966407</f>
        <v>48.2853008369755</v>
      </c>
      <c s="38" r="M310">
        <f>((((B310*2)+141)*((F310*2)+36))/(416.310724))-19.16575597</f>
        <v>51.3248615140694</v>
      </c>
      <c s="38" r="N310">
        <f>(((((C310*2)+36)*((((C310*2)+36)*(I310/672))+415))/((((C310*2)+36)*(1-(I310/672)))+415))/(1.92306))-3.576327284</f>
        <v>54.0749038783914</v>
      </c>
      <c s="38" r="O310">
        <f>(((((E310*2)+36)*((((E310*2)+36)*(I310/672))+415))/((((E310*2)+36)*(1-(I310/672)))+415))/(1.980931))+4.9921912</f>
        <v>60.9591969155693</v>
      </c>
      <c s="68" r="P310"/>
      <c s="38" r="Q310">
        <f>((((L310+M310)+N310)+O310)/(1.535645))-60.47703745</f>
        <v>79.2976260594737</v>
      </c>
      <c s="63" r="R310"/>
      <c s="26" r="S310"/>
      <c s="26" r="T310"/>
    </row>
    <row customHeight="1" r="311" ht="14.25">
      <c t="s" s="45" r="A311">
        <v>408</v>
      </c>
      <c s="57" r="B311">
        <v>60</v>
      </c>
      <c s="8" r="C311">
        <v>60</v>
      </c>
      <c s="8" r="D311">
        <v>75</v>
      </c>
      <c s="8" r="E311">
        <v>60</v>
      </c>
      <c s="8" r="F311">
        <v>75</v>
      </c>
      <c s="27" r="G311">
        <v>80</v>
      </c>
      <c s="68" r="H311"/>
      <c s="20" r="I311">
        <f>INDEX('Speed Factors'!$A$2:$B$256,(G311),2)</f>
        <v>432</v>
      </c>
      <c s="20" r="J311">
        <f>SUM(B311:G311)</f>
        <v>410</v>
      </c>
      <c s="68" r="K311"/>
      <c s="38" r="L311">
        <f>((((B311*2)+141)*((D311*2)+36))/(402.744996))-24.57966407</f>
        <v>95.9581464109526</v>
      </c>
      <c s="38" r="M311">
        <f>((((B311*2)+141)*((F311*2)+36))/(416.310724))-19.16575597</f>
        <v>97.4442595817493</v>
      </c>
      <c s="38" r="N311">
        <f>(((((C311*2)+36)*((((C311*2)+36)*(I311/672))+415))/((((C311*2)+36)*(1-(I311/672)))+415))/(1.92306))-3.576327284</f>
        <v>85.2256195752568</v>
      </c>
      <c s="38" r="O311">
        <f>(((((E311*2)+36)*((((E311*2)+36)*(I311/672))+415))/((((E311*2)+36)*(1-(I311/672)))+415))/(1.980931))+4.9921912</f>
        <v>91.1998743182724</v>
      </c>
      <c s="68" r="P311"/>
      <c s="38" r="Q311">
        <f>((((L311+M311)+N311)+O311)/(1.535645))-60.47703745</f>
        <v>180.351995227625</v>
      </c>
      <c s="63" r="R311"/>
      <c s="26" r="S311"/>
      <c s="26" r="T311"/>
    </row>
    <row customHeight="1" r="312" ht="14.25">
      <c t="s" s="45" r="A312">
        <v>409</v>
      </c>
      <c s="75" r="B312">
        <v>40</v>
      </c>
      <c s="54" r="C312">
        <v>45</v>
      </c>
      <c s="54" r="D312">
        <v>40</v>
      </c>
      <c s="54" r="E312">
        <v>65</v>
      </c>
      <c s="54" r="F312">
        <v>40</v>
      </c>
      <c s="2" r="G312">
        <v>65</v>
      </c>
      <c s="68" r="H312"/>
      <c s="19" r="I312">
        <f>INDEX('Speed Factors'!$A$2:$B$256,(G312),2)</f>
        <v>321</v>
      </c>
      <c s="19" r="J312">
        <f>SUM(B312:G312)</f>
        <v>295</v>
      </c>
      <c s="68" r="K312"/>
      <c s="38" r="L312">
        <f>((((B312*2)+141)*((D312*2)+36))/(402.744996))-24.57966407</f>
        <v>39.0735166140873</v>
      </c>
      <c s="38" r="M312">
        <f>((((B312*2)+141)*((F312*2)+36))/(416.310724))-19.16575597</f>
        <v>42.4132486582834</v>
      </c>
      <c s="38" r="N312">
        <f>(((((C312*2)+36)*((((C312*2)+36)*(I312/672))+415))/((((C312*2)+36)*(1-(I312/672)))+415))/(1.92306))-3.576327284</f>
        <v>61.1777275380337</v>
      </c>
      <c s="38" r="O312">
        <f>(((((E312*2)+36)*((((E312*2)+36)*(I312/672))+415))/((((E312*2)+36)*(1-(I312/672)))+415))/(1.980931))+4.9921912</f>
        <v>87.5533737492253</v>
      </c>
      <c s="68" r="P312"/>
      <c s="38" r="Q312">
        <f>((((L312+M312)+N312)+O312)/(1.535645))-60.47703745</f>
        <v>89.4390346627797</v>
      </c>
      <c s="63" r="R312"/>
      <c s="26" r="S312"/>
      <c s="26" r="T312"/>
    </row>
    <row customHeight="1" r="313" ht="14.25">
      <c t="s" s="45" r="A313">
        <v>410</v>
      </c>
      <c s="57" r="B313">
        <v>70</v>
      </c>
      <c s="8" r="C313">
        <v>75</v>
      </c>
      <c s="8" r="D313">
        <v>60</v>
      </c>
      <c s="8" r="E313">
        <v>105</v>
      </c>
      <c s="8" r="F313">
        <v>60</v>
      </c>
      <c s="27" r="G313">
        <v>105</v>
      </c>
      <c s="68" r="H313"/>
      <c s="20" r="I313">
        <f>INDEX('Speed Factors'!$A$2:$B$256,(G313),2)</f>
        <v>609</v>
      </c>
      <c s="20" r="J313">
        <f>SUM(B313:G313)</f>
        <v>475</v>
      </c>
      <c s="68" r="K313"/>
      <c s="38" r="L313">
        <f>((((B313*2)+141)*((D313*2)+36))/(402.744996))-24.57966407</f>
        <v>84.2634014810863</v>
      </c>
      <c s="38" r="M313">
        <f>((((B313*2)+141)*((F313*2)+36))/(416.310724))-19.16575597</f>
        <v>86.1305947432716</v>
      </c>
      <c s="38" r="N313">
        <f>(((((C313*2)+36)*((((C313*2)+36)*(I313/672))+415))/((((C313*2)+36)*(1-(I313/672)))+415))/(1.92306))-3.576327284</f>
        <v>126.945798330506</v>
      </c>
      <c s="38" r="O313">
        <f>(((((E313*2)+36)*((((E313*2)+36)*(I313/672))+415))/((((E313*2)+36)*(1-(I313/672)))+415))/(1.980931))+4.9921912</f>
        <v>185.837735693423</v>
      </c>
      <c s="68" r="P313"/>
      <c s="38" r="Q313">
        <f>((((L313+M313)+N313)+O313)/(1.535645))-60.47703745</f>
        <v>254.164386999197</v>
      </c>
      <c s="63" r="R313"/>
      <c s="26" r="S313"/>
      <c s="26" r="T313"/>
    </row>
    <row customHeight="1" r="314" ht="14.25">
      <c t="s" s="45" r="A314">
        <v>411</v>
      </c>
      <c s="75" r="B314">
        <v>60</v>
      </c>
      <c s="54" r="C314">
        <v>50</v>
      </c>
      <c s="54" r="D314">
        <v>40</v>
      </c>
      <c s="54" r="E314">
        <v>85</v>
      </c>
      <c s="54" r="F314">
        <v>75</v>
      </c>
      <c s="2" r="G314">
        <v>95</v>
      </c>
      <c s="68" r="H314"/>
      <c s="19" r="I314">
        <f>INDEX('Speed Factors'!$A$2:$B$256,(G314),2)</f>
        <v>542</v>
      </c>
      <c s="19" r="J314">
        <f>SUM(B314:G314)</f>
        <v>405</v>
      </c>
      <c s="68" r="K314"/>
      <c s="38" r="L314">
        <f>((((B314*2)+141)*((D314*2)+36))/(402.744996))-24.57966407</f>
        <v>50.594454294465</v>
      </c>
      <c s="38" r="M314">
        <f>((((B314*2)+141)*((F314*2)+36))/(416.310724))-19.16575597</f>
        <v>97.4442595817493</v>
      </c>
      <c s="38" r="N314">
        <f>(((((C314*2)+36)*((((C314*2)+36)*(I314/672))+415))/((((C314*2)+36)*(1-(I314/672)))+415))/(1.92306))-3.576327284</f>
        <v>80.5062383776736</v>
      </c>
      <c s="38" r="O314">
        <f>(((((E314*2)+36)*((((E314*2)+36)*(I314/672))+415))/((((E314*2)+36)*(1-(I314/672)))+415))/(1.980931))+4.9921912</f>
        <v>137.858811696586</v>
      </c>
      <c s="68" r="P314"/>
      <c s="38" r="Q314">
        <f>((((L314+M314)+N314)+O314)/(1.535645))-60.47703745</f>
        <v>178.12222471702</v>
      </c>
      <c s="63" r="R314"/>
      <c s="26" r="S314"/>
      <c s="26" r="T314"/>
    </row>
    <row customHeight="1" r="315" ht="14.25">
      <c t="s" s="45" r="A315">
        <v>412</v>
      </c>
      <c s="57" r="B315">
        <v>60</v>
      </c>
      <c s="8" r="C315">
        <v>40</v>
      </c>
      <c s="8" r="D315">
        <v>50</v>
      </c>
      <c s="8" r="E315">
        <v>75</v>
      </c>
      <c s="8" r="F315">
        <v>85</v>
      </c>
      <c s="27" r="G315">
        <v>95</v>
      </c>
      <c s="68" r="H315"/>
      <c s="20" r="I315">
        <f>INDEX('Speed Factors'!$A$2:$B$256,(G315),2)</f>
        <v>542</v>
      </c>
      <c s="20" r="J315">
        <f>SUM(B315:G315)</f>
        <v>405</v>
      </c>
      <c s="68" r="K315"/>
      <c s="38" r="L315">
        <f>((((B315*2)+141)*((D315*2)+36))/(402.744996))-24.57966407</f>
        <v>63.55550918489</v>
      </c>
      <c s="38" r="M315">
        <f>((((B315*2)+141)*((F315*2)+36))/(416.310724))-19.16575597</f>
        <v>109.9829709314</v>
      </c>
      <c s="38" r="N315">
        <f>(((((C315*2)+36)*((((C315*2)+36)*(I315/672))+415))/((((C315*2)+36)*(1-(I315/672)))+415))/(1.92306))-3.576327284</f>
        <v>66.5511119901394</v>
      </c>
      <c s="38" r="O315">
        <f>(((((E315*2)+36)*((((E315*2)+36)*(I315/672))+415))/((((E315*2)+36)*(1-(I315/672)))+415))/(1.980931))+4.9921912</f>
        <v>122.629863816047</v>
      </c>
      <c s="68" r="P315"/>
      <c s="38" r="Q315">
        <f>((((L315+M315)+N315)+O315)/(1.535645))-60.47703745</f>
        <v>175.72303217708</v>
      </c>
      <c s="63" r="R315"/>
      <c s="26" r="S315"/>
      <c s="26" r="T315"/>
    </row>
    <row customHeight="1" r="316" ht="14.25">
      <c t="s" s="45" r="A316">
        <v>413</v>
      </c>
      <c s="75" r="B316">
        <v>65</v>
      </c>
      <c s="54" r="C316">
        <v>73</v>
      </c>
      <c s="54" r="D316">
        <v>55</v>
      </c>
      <c s="54" r="E316">
        <v>47</v>
      </c>
      <c s="54" r="F316">
        <v>75</v>
      </c>
      <c s="2" r="G316">
        <v>85</v>
      </c>
      <c s="68" r="H316"/>
      <c s="19" r="I316">
        <f>INDEX('Speed Factors'!$A$2:$B$256,(G316),2)</f>
        <v>469</v>
      </c>
      <c s="19" r="J316">
        <f>SUM(B316:G316)</f>
        <v>400</v>
      </c>
      <c s="68" r="K316"/>
      <c s="38" r="L316">
        <f>((((B316*2)+141)*((D316*2)+36))/(402.744996))-24.57966407</f>
        <v>73.6611592622904</v>
      </c>
      <c s="38" r="M316">
        <f>((((B316*2)+141)*((F316*2)+36))/(416.310724))-19.16575597</f>
        <v>101.912076269556</v>
      </c>
      <c s="38" r="N316">
        <f>(((((C316*2)+36)*((((C316*2)+36)*(I316/672))+415))/((((C316*2)+36)*(1-(I316/672)))+415))/(1.92306))-3.576327284</f>
        <v>105.571708886966</v>
      </c>
      <c s="38" r="O316">
        <f>(((((E316*2)+36)*((((E316*2)+36)*(I316/672))+415))/((((E316*2)+36)*(1-(I316/672)))+415))/(1.980931))+4.9921912</f>
        <v>78.0517678736713</v>
      </c>
      <c s="68" r="P316"/>
      <c s="38" r="Q316">
        <f>((((L316+M316)+N316)+O316)/(1.535645))-60.47703745</f>
        <v>173.42904910808</v>
      </c>
      <c s="63" r="R316"/>
      <c s="26" r="S316"/>
      <c s="26" r="T316"/>
    </row>
    <row customHeight="1" r="317" ht="14.25">
      <c t="s" s="45" r="A317">
        <v>414</v>
      </c>
      <c s="57" r="B317">
        <v>65</v>
      </c>
      <c s="8" r="C317">
        <v>47</v>
      </c>
      <c s="8" r="D317">
        <v>55</v>
      </c>
      <c s="8" r="E317">
        <v>73</v>
      </c>
      <c s="8" r="F317">
        <v>75</v>
      </c>
      <c s="27" r="G317">
        <v>85</v>
      </c>
      <c s="68" r="H317"/>
      <c s="20" r="I317">
        <f>INDEX('Speed Factors'!$A$2:$B$256,(G317),2)</f>
        <v>469</v>
      </c>
      <c s="20" r="J317">
        <f>SUM(B317:G317)</f>
        <v>400</v>
      </c>
      <c s="68" r="K317"/>
      <c s="38" r="L317">
        <f>((((B317*2)+141)*((D317*2)+36))/(402.744996))-24.57966407</f>
        <v>73.6611592622904</v>
      </c>
      <c s="38" r="M317">
        <f>((((B317*2)+141)*((F317*2)+36))/(416.310724))-19.16575597</f>
        <v>101.912076269556</v>
      </c>
      <c s="38" r="N317">
        <f>(((((C317*2)+36)*((((C317*2)+36)*(I317/672))+415))/((((C317*2)+36)*(1-(I317/672)))+415))/(1.92306))-3.576327284</f>
        <v>71.681844733385</v>
      </c>
      <c s="38" r="O317">
        <f>(((((E317*2)+36)*((((E317*2)+36)*(I317/672))+415))/((((E317*2)+36)*(1-(I317/672)))+415))/(1.980931))+4.9921912</f>
        <v>110.951572137013</v>
      </c>
      <c s="68" r="P317"/>
      <c s="38" r="Q317">
        <f>((((L317+M317)+N317)+O317)/(1.535645))-60.47703745</f>
        <v>172.784329859661</v>
      </c>
      <c s="63" r="R317"/>
      <c s="26" r="S317"/>
      <c s="26" r="T317"/>
    </row>
    <row customHeight="1" r="318" ht="14.25">
      <c t="s" s="45" r="A318">
        <v>415</v>
      </c>
      <c s="75" r="B318">
        <v>50</v>
      </c>
      <c s="54" r="C318">
        <v>60</v>
      </c>
      <c s="54" r="D318">
        <v>45</v>
      </c>
      <c s="54" r="E318">
        <v>100</v>
      </c>
      <c s="54" r="F318">
        <v>80</v>
      </c>
      <c s="2" r="G318">
        <v>65</v>
      </c>
      <c s="68" r="H318"/>
      <c s="19" r="I318">
        <f>INDEX('Speed Factors'!$A$2:$B$256,(G318),2)</f>
        <v>321</v>
      </c>
      <c s="19" r="J318">
        <f>SUM(B318:G318)</f>
        <v>400</v>
      </c>
      <c s="68" r="K318"/>
      <c s="38" r="L318">
        <f>((((B318*2)+141)*((D318*2)+36))/(402.744996))-24.57966407</f>
        <v>50.8179207580931</v>
      </c>
      <c s="38" r="M318">
        <f>((((B318*2)+141)*((F318*2)+36))/(416.310724))-19.16575597</f>
        <v>94.2975714844232</v>
      </c>
      <c s="38" r="N318">
        <f>(((((C318*2)+36)*((((C318*2)+36)*(I318/672))+415))/((((C318*2)+36)*(1-(I318/672)))+415))/(1.92306))-3.576327284</f>
        <v>76.4064849703156</v>
      </c>
      <c s="38" r="O318">
        <f>(((((E318*2)+36)*((((E318*2)+36)*(I318/672))+415))/((((E318*2)+36)*(1-(I318/672)))+415))/(1.980931))+4.9921912</f>
        <v>121.796201738275</v>
      </c>
      <c s="68" r="P318"/>
      <c s="38" r="Q318">
        <f>((((L318+M318)+N318)+O318)/(1.535645))-60.47703745</f>
        <v>163.089072524054</v>
      </c>
      <c s="63" r="R318"/>
      <c s="26" r="S318"/>
      <c s="26" r="T318"/>
    </row>
    <row customHeight="1" r="319" ht="14.25">
      <c t="s" s="45" r="A319">
        <v>416</v>
      </c>
      <c s="57" r="B319">
        <v>70</v>
      </c>
      <c s="8" r="C319">
        <v>43</v>
      </c>
      <c s="8" r="D319">
        <v>53</v>
      </c>
      <c s="8" r="E319">
        <v>43</v>
      </c>
      <c s="8" r="F319">
        <v>53</v>
      </c>
      <c s="27" r="G319">
        <v>40</v>
      </c>
      <c s="68" r="H319"/>
      <c s="20" r="I319">
        <f>INDEX('Speed Factors'!$A$2:$B$256,(G319),2)</f>
        <v>111</v>
      </c>
      <c s="20" r="J319">
        <f>SUM(B319:G319)</f>
        <v>302</v>
      </c>
      <c s="68" r="K319"/>
      <c s="38" r="L319">
        <f>((((B319*2)+141)*((D319*2)+36))/(402.744996))-24.57966407</f>
        <v>74.495434059835</v>
      </c>
      <c s="38" r="M319">
        <f>((((B319*2)+141)*((F319*2)+36))/(416.310724))-19.16575597</f>
        <v>76.6809222433626</v>
      </c>
      <c s="38" r="N319">
        <f>(((((C319*2)+36)*((((C319*2)+36)*(I319/672))+415))/((((C319*2)+36)*(1-(I319/672)))+415))/(1.92306))-3.576327284</f>
        <v>49.8363990404235</v>
      </c>
      <c s="38" r="O319">
        <f>(((((E319*2)+36)*((((E319*2)+36)*(I319/672))+415))/((((E319*2)+36)*(1-(I319/672)))+415))/(1.980931))+4.9921912</f>
        <v>56.8445159328886</v>
      </c>
      <c s="68" r="P319"/>
      <c s="38" r="Q319">
        <f>((((L319+M319)+N319)+O319)/(1.535645))-60.47703745</f>
        <v>107.437598599679</v>
      </c>
      <c s="63" r="R319"/>
      <c s="26" r="S319"/>
      <c s="26" r="T319"/>
    </row>
    <row customHeight="1" r="320" ht="14.25">
      <c t="s" s="45" r="A320">
        <v>417</v>
      </c>
      <c s="75" r="B320">
        <v>100</v>
      </c>
      <c s="54" r="C320">
        <v>73</v>
      </c>
      <c s="54" r="D320">
        <v>83</v>
      </c>
      <c s="54" r="E320">
        <v>73</v>
      </c>
      <c s="54" r="F320">
        <v>83</v>
      </c>
      <c s="2" r="G320">
        <v>55</v>
      </c>
      <c s="68" r="H320"/>
      <c s="19" r="I320">
        <f>INDEX('Speed Factors'!$A$2:$B$256,(G320),2)</f>
        <v>233</v>
      </c>
      <c s="19" r="J320">
        <f>SUM(B320:G320)</f>
        <v>467</v>
      </c>
      <c s="68" r="K320"/>
      <c s="38" r="L320">
        <f>((((B320*2)+141)*((D320*2)+36))/(402.744996))-24.57966407</f>
        <v>146.451635348057</v>
      </c>
      <c s="38" r="M320">
        <f>((((B320*2)+141)*((F320*2)+36))/(416.310724))-19.16575597</f>
        <v>146.292388701767</v>
      </c>
      <c s="38" r="N320">
        <f>(((((C320*2)+36)*((((C320*2)+36)*(I320/672))+415))/((((C320*2)+36)*(1-(I320/672)))+415))/(1.92306))-3.576327284</f>
        <v>81.1746179233891</v>
      </c>
      <c s="38" r="O320">
        <f>(((((E320*2)+36)*((((E320*2)+36)*(I320/672))+415))/((((E320*2)+36)*(1-(I320/672)))+415))/(1.980931))+4.9921912</f>
        <v>87.2672187958737</v>
      </c>
      <c s="68" r="P320"/>
      <c s="38" r="Q320">
        <f>((((L320+M320)+N320)+O320)/(1.535645))-60.47703745</f>
        <v>239.843584027676</v>
      </c>
      <c s="63" r="R320"/>
      <c s="26" r="S320"/>
      <c s="26" r="T320"/>
    </row>
    <row customHeight="1" r="321" ht="14.25">
      <c t="s" s="45" r="A321">
        <v>418</v>
      </c>
      <c s="57" r="B321">
        <v>45</v>
      </c>
      <c s="8" r="C321">
        <v>90</v>
      </c>
      <c s="8" r="D321">
        <v>20</v>
      </c>
      <c s="8" r="E321">
        <v>65</v>
      </c>
      <c s="8" r="F321">
        <v>20</v>
      </c>
      <c s="27" r="G321">
        <v>65</v>
      </c>
      <c s="68" r="H321"/>
      <c s="20" r="I321">
        <f>INDEX('Speed Factors'!$A$2:$B$256,(G321),2)</f>
        <v>321</v>
      </c>
      <c s="20" r="J321">
        <f>SUM(B321:G321)</f>
        <v>305</v>
      </c>
      <c s="68" r="K321"/>
      <c s="38" r="L321">
        <f>((((B321*2)+141)*((D321*2)+36))/(402.744996))-24.57966407</f>
        <v>19.0111941017052</v>
      </c>
      <c s="38" r="M321">
        <f>((((B321*2)+141)*((F321*2)+36))/(416.310724))-19.16575597</f>
        <v>23.0046686381348</v>
      </c>
      <c s="38" r="N321">
        <f>(((((C321*2)+36)*((((C321*2)+36)*(I321/672))+415))/((((C321*2)+36)*(1-(I321/672)))+415))/(1.92306))-3.576327284</f>
        <v>106.69265039067</v>
      </c>
      <c s="38" r="O321">
        <f>(((((E321*2)+36)*((((E321*2)+36)*(I321/672))+415))/((((E321*2)+36)*(1-(I321/672)))+415))/(1.980931))+4.9921912</f>
        <v>87.5533737492253</v>
      </c>
      <c s="68" r="P321"/>
      <c s="38" r="Q321">
        <f>((((L321+M321)+N321)+O321)/(1.535645))-60.47703745</f>
        <v>93.3748533709484</v>
      </c>
      <c s="63" r="R321"/>
      <c s="26" r="S321"/>
      <c s="26" r="T321"/>
    </row>
    <row customHeight="1" r="322" ht="14.25">
      <c t="s" s="45" r="A322">
        <v>419</v>
      </c>
      <c s="75" r="B322">
        <v>70</v>
      </c>
      <c s="54" r="C322">
        <v>120</v>
      </c>
      <c s="54" r="D322">
        <v>40</v>
      </c>
      <c s="54" r="E322">
        <v>95</v>
      </c>
      <c s="54" r="F322">
        <v>40</v>
      </c>
      <c s="2" r="G322">
        <v>95</v>
      </c>
      <c s="68" r="H322"/>
      <c s="19" r="I322">
        <f>INDEX('Speed Factors'!$A$2:$B$256,(G322),2)</f>
        <v>542</v>
      </c>
      <c s="19" r="J322">
        <f>SUM(B322:G322)</f>
        <v>460</v>
      </c>
      <c s="68" r="K322"/>
      <c s="38" r="L322">
        <f>((((B322*2)+141)*((D322*2)+36))/(402.744996))-24.57966407</f>
        <v>56.3549231346539</v>
      </c>
      <c s="38" r="M322">
        <f>((((B322*2)+141)*((F322*2)+36))/(416.310724))-19.16575597</f>
        <v>59.1315304578173</v>
      </c>
      <c s="38" r="N322">
        <f>(((((C322*2)+36)*((((C322*2)+36)*(I322/672))+415))/((((C322*2)+36)*(1-(I322/672)))+415))/(1.92306))-3.576327284</f>
        <v>191.794249011002</v>
      </c>
      <c s="38" r="O322">
        <f>(((((E322*2)+36)*((((E322*2)+36)*(I322/672))+415))/((((E322*2)+36)*(1-(I322/672)))+415))/(1.980931))+4.9921912</f>
        <v>153.540936923884</v>
      </c>
      <c s="68" r="P322"/>
      <c s="38" r="Q322">
        <f>((((L322+M322)+N322)+O322)/(1.535645))-60.47703745</f>
        <v>239.606406006891</v>
      </c>
      <c s="63" r="R322"/>
      <c s="26" r="S322"/>
      <c s="26" r="T322"/>
    </row>
    <row customHeight="1" r="323" ht="14.25">
      <c t="s" s="45" r="A323">
        <v>420</v>
      </c>
      <c s="57" r="B323">
        <v>130</v>
      </c>
      <c s="8" r="C323">
        <v>70</v>
      </c>
      <c s="8" r="D323">
        <v>35</v>
      </c>
      <c s="8" r="E323">
        <v>70</v>
      </c>
      <c s="8" r="F323">
        <v>35</v>
      </c>
      <c s="27" r="G323">
        <v>60</v>
      </c>
      <c s="68" r="H323"/>
      <c s="20" r="I323">
        <f>INDEX('Speed Factors'!$A$2:$B$256,(G323),2)</f>
        <v>274</v>
      </c>
      <c s="20" r="J323">
        <f>SUM(B323:G323)</f>
        <v>400</v>
      </c>
      <c s="68" r="K323"/>
      <c s="38" r="L323">
        <f>((((B323*2)+141)*((D323*2)+36))/(402.744996))-24.57966407</f>
        <v>80.9610637408056</v>
      </c>
      <c s="38" r="M323">
        <f>((((B323*2)+141)*((F323*2)+36))/(416.310724))-19.16575597</f>
        <v>82.9358656062917</v>
      </c>
      <c s="38" r="N323">
        <f>(((((C323*2)+36)*((((C323*2)+36)*(I323/672))+415))/((((C323*2)+36)*(1-(I323/672)))+415))/(1.92306))-3.576327284</f>
        <v>82.2202311006221</v>
      </c>
      <c s="38" r="O323">
        <f>(((((E323*2)+36)*((((E323*2)+36)*(I323/672))+415))/((((E323*2)+36)*(1-(I323/672)))+415))/(1.980931))+4.9921912</f>
        <v>88.2822853865877</v>
      </c>
      <c s="68" r="P323"/>
      <c s="38" r="Q323">
        <f>((((L323+M323)+N323)+O323)/(1.535645))-60.47703745</f>
        <v>157.281263351492</v>
      </c>
      <c s="63" r="R323"/>
      <c s="26" r="S323"/>
      <c s="26" r="T323"/>
    </row>
    <row customHeight="1" r="324" ht="14.25">
      <c t="s" s="45" r="A324">
        <v>421</v>
      </c>
      <c s="75" r="B324">
        <v>170</v>
      </c>
      <c s="54" r="C324">
        <v>90</v>
      </c>
      <c s="54" r="D324">
        <v>45</v>
      </c>
      <c s="54" r="E324">
        <v>90</v>
      </c>
      <c s="54" r="F324">
        <v>45</v>
      </c>
      <c s="2" r="G324">
        <v>60</v>
      </c>
      <c s="68" r="H324"/>
      <c s="19" r="I324">
        <f>INDEX('Speed Factors'!$A$2:$B$256,(G324),2)</f>
        <v>274</v>
      </c>
      <c s="19" r="J324">
        <f>SUM(B324:G324)</f>
        <v>500</v>
      </c>
      <c s="68" r="K324"/>
      <c s="38" r="L324">
        <f>((((B324*2)+141)*((D324*2)+36))/(402.744996))-24.57966407</f>
        <v>125.902652537107</v>
      </c>
      <c s="38" r="M324">
        <f>((((B324*2)+141)*((F324*2)+36))/(416.310724))-19.16575597</f>
        <v>126.413006493011</v>
      </c>
      <c s="38" r="N324">
        <f>(((((C324*2)+36)*((((C324*2)+36)*(I324/672))+415))/((((C324*2)+36)*(1-(I324/672)))+415))/(1.92306))-3.576327284</f>
        <v>100.499020890602</v>
      </c>
      <c s="38" r="O324">
        <f>(((((E324*2)+36)*((((E324*2)+36)*(I324/672))+415))/((((E324*2)+36)*(1-(I324/672)))+415))/(1.980931))+4.9921912</f>
        <v>106.027077857158</v>
      </c>
      <c s="68" r="P324"/>
      <c s="38" r="Q324">
        <f>((((L324+M324)+N324)+O324)/(1.535645))-60.47703745</f>
        <v>238.317122513974</v>
      </c>
      <c s="63" r="R324"/>
      <c s="26" r="S324"/>
      <c s="26" r="T324"/>
    </row>
    <row customHeight="1" r="325" ht="14.25">
      <c t="s" s="45" r="A325">
        <v>422</v>
      </c>
      <c s="57" r="B325">
        <v>60</v>
      </c>
      <c s="8" r="C325">
        <v>60</v>
      </c>
      <c s="8" r="D325">
        <v>40</v>
      </c>
      <c s="8" r="E325">
        <v>65</v>
      </c>
      <c s="8" r="F325">
        <v>45</v>
      </c>
      <c s="27" r="G325">
        <v>35</v>
      </c>
      <c s="68" r="H325"/>
      <c s="20" r="I325">
        <f>INDEX('Speed Factors'!$A$2:$B$256,(G325),2)</f>
        <v>84</v>
      </c>
      <c s="20" r="J325">
        <f>SUM(B325:G325)</f>
        <v>305</v>
      </c>
      <c s="68" r="K325"/>
      <c s="38" r="L325">
        <f>((((B325*2)+141)*((D325*2)+36))/(402.744996))-24.57966407</f>
        <v>50.594454294465</v>
      </c>
      <c s="38" r="M325">
        <f>((((B325*2)+141)*((F325*2)+36))/(416.310724))-19.16575597</f>
        <v>59.8281255327979</v>
      </c>
      <c s="38" r="N325">
        <f>(((((C325*2)+36)*((((C325*2)+36)*(I325/672))+415))/((((C325*2)+36)*(1-(I325/672)))+415))/(1.92306))-3.576327284</f>
        <v>60.3347337734098</v>
      </c>
      <c s="38" r="O325">
        <f>(((((E325*2)+36)*((((E325*2)+36)*(I325/672))+415))/((((E325*2)+36)*(1-(I325/672)))+415))/(1.980931))+4.9921912</f>
        <v>70.1691767240345</v>
      </c>
      <c s="68" r="P325"/>
      <c s="38" r="Q325">
        <f>((((L325+M325)+N325)+O325)/(1.535645))-60.47703745</f>
        <v>96.412406610774</v>
      </c>
      <c s="63" r="R325"/>
      <c s="26" r="S325"/>
      <c s="26" r="T325"/>
    </row>
    <row customHeight="1" r="326" ht="14.25">
      <c t="s" s="45" r="A326">
        <v>423</v>
      </c>
      <c s="75" r="B326">
        <v>70</v>
      </c>
      <c s="54" r="C326">
        <v>100</v>
      </c>
      <c s="54" r="D326">
        <v>70</v>
      </c>
      <c s="54" r="E326">
        <v>105</v>
      </c>
      <c s="54" r="F326">
        <v>75</v>
      </c>
      <c s="2" r="G326">
        <v>40</v>
      </c>
      <c s="68" r="H326"/>
      <c s="19" r="I326">
        <f>INDEX('Speed Factors'!$A$2:$B$256,(G326),2)</f>
        <v>111</v>
      </c>
      <c s="19" r="J326">
        <f>SUM(B326:G326)</f>
        <v>460</v>
      </c>
      <c s="68" r="K326"/>
      <c s="38" r="L326">
        <f>((((B326*2)+141)*((D326*2)+36))/(402.744996))-24.57966407</f>
        <v>98.2176406543025</v>
      </c>
      <c s="38" r="M326">
        <f>((((B326*2)+141)*((F326*2)+36))/(416.310724))-19.16575597</f>
        <v>106.379892957362</v>
      </c>
      <c s="38" r="N326">
        <f>(((((C326*2)+36)*((((C326*2)+36)*(I326/672))+415))/((((C326*2)+36)*(1-(I326/672)))+415))/(1.92306))-3.576327284</f>
        <v>87.4556225148077</v>
      </c>
      <c s="38" r="O326">
        <f>(((((E326*2)+36)*((((E326*2)+36)*(I326/672))+415))/((((E326*2)+36)*(1-(I326/672)))+415))/(1.980931))+4.9921912</f>
        <v>96.2003685526774</v>
      </c>
      <c s="68" r="P326"/>
      <c s="38" r="Q326">
        <f>((((L326+M326)+N326)+O326)/(1.535645))-60.47703745</f>
        <v>192.350617821335</v>
      </c>
      <c s="63" r="R326"/>
      <c s="26" r="S326"/>
      <c s="26" r="T326"/>
    </row>
    <row customHeight="1" r="327" ht="14.25">
      <c t="s" s="45" r="A327">
        <v>424</v>
      </c>
      <c s="57" r="B327">
        <v>70</v>
      </c>
      <c s="8" r="C327">
        <v>85</v>
      </c>
      <c s="8" r="D327">
        <v>140</v>
      </c>
      <c s="8" r="E327">
        <v>85</v>
      </c>
      <c s="8" r="F327">
        <v>70</v>
      </c>
      <c s="27" r="G327">
        <v>20</v>
      </c>
      <c s="68" r="H327"/>
      <c s="20" r="I327">
        <f>INDEX('Speed Factors'!$A$2:$B$256,(G327),2)</f>
        <v>14</v>
      </c>
      <c s="20" r="J327">
        <f>SUM(B327:G327)</f>
        <v>470</v>
      </c>
      <c s="68" r="K327"/>
      <c s="38" r="L327">
        <f>((((B327*2)+141)*((D327*2)+36))/(402.744996))-24.57966407</f>
        <v>195.897314866816</v>
      </c>
      <c s="38" r="M327">
        <f>((((B327*2)+141)*((F327*2)+36))/(416.310724))-19.16575597</f>
        <v>99.6301268859987</v>
      </c>
      <c s="38" r="N327">
        <f>(((((C327*2)+36)*((((C327*2)+36)*(I327/672))+415))/((((C327*2)+36)*(1-(I327/672)))+415))/(1.92306))-3.576327284</f>
        <v>69.2537548746923</v>
      </c>
      <c s="38" r="O327">
        <f>(((((E327*2)+36)*((((E327*2)+36)*(I327/672))+415))/((((E327*2)+36)*(1-(I327/672)))+415))/(1.980931))+4.9921912</f>
        <v>75.6946123323337</v>
      </c>
      <c s="68" r="P327"/>
      <c s="38" r="Q327">
        <f>((((L327+M327)+N327)+O327)/(1.535645))-60.47703745</f>
        <v>226.357360447848</v>
      </c>
      <c s="63" r="R327"/>
      <c s="26" r="S327"/>
      <c s="26" r="T327"/>
    </row>
    <row customHeight="1" r="328" ht="14.25">
      <c t="s" s="45" r="A328">
        <v>425</v>
      </c>
      <c s="75" r="B328">
        <v>60</v>
      </c>
      <c s="54" r="C328">
        <v>25</v>
      </c>
      <c s="54" r="D328">
        <v>35</v>
      </c>
      <c s="54" r="E328">
        <v>70</v>
      </c>
      <c s="54" r="F328">
        <v>80</v>
      </c>
      <c s="2" r="G328">
        <v>60</v>
      </c>
      <c s="68" r="H328"/>
      <c s="19" r="I328">
        <f>INDEX('Speed Factors'!$A$2:$B$256,(G328),2)</f>
        <v>274</v>
      </c>
      <c s="19" r="J328">
        <f>SUM(B328:G328)</f>
        <v>330</v>
      </c>
      <c s="68" r="K328"/>
      <c s="38" r="L328">
        <f>((((B328*2)+141)*((D328*2)+36))/(402.744996))-24.57966407</f>
        <v>44.1139268492525</v>
      </c>
      <c s="38" r="M328">
        <f>((((B328*2)+141)*((F328*2)+36))/(416.310724))-19.16575597</f>
        <v>103.713615256575</v>
      </c>
      <c s="38" r="N328">
        <f>(((((C328*2)+36)*((((C328*2)+36)*(I328/672))+415))/((((C328*2)+36)*(1-(I328/672)))+415))/(1.92306))-3.576327284</f>
        <v>39.6209551350036</v>
      </c>
      <c s="38" r="O328">
        <f>(((((E328*2)+36)*((((E328*2)+36)*(I328/672))+415))/((((E328*2)+36)*(1-(I328/672)))+415))/(1.980931))+4.9921912</f>
        <v>88.2822853865877</v>
      </c>
      <c s="68" r="P328"/>
      <c s="38" r="Q328">
        <f>((((L328+M328)+N328)+O328)/(1.535645))-60.47703745</f>
        <v>119.076689242965</v>
      </c>
      <c s="63" r="R328"/>
      <c s="26" r="S328"/>
      <c s="26" r="T328"/>
    </row>
    <row customHeight="1" r="329" ht="14.25">
      <c t="s" s="45" r="A329">
        <v>426</v>
      </c>
      <c s="57" r="B329">
        <v>80</v>
      </c>
      <c s="8" r="C329">
        <v>45</v>
      </c>
      <c s="8" r="D329">
        <v>65</v>
      </c>
      <c s="8" r="E329">
        <v>90</v>
      </c>
      <c s="8" r="F329">
        <v>110</v>
      </c>
      <c s="27" r="G329">
        <v>80</v>
      </c>
      <c s="68" r="H329"/>
      <c s="20" r="I329">
        <f>INDEX('Speed Factors'!$A$2:$B$256,(G329),2)</f>
        <v>432</v>
      </c>
      <c s="20" r="J329">
        <f>SUM(B329:G329)</f>
        <v>470</v>
      </c>
      <c s="68" r="K329"/>
      <c s="38" r="L329">
        <f>((((B329*2)+141)*((D329*2)+36))/(402.744996))-24.57966407</f>
        <v>99.4839506148613</v>
      </c>
      <c s="38" r="M329">
        <f>((((B329*2)+141)*((F329*2)+36))/(416.310724))-19.16575597</f>
        <v>165.926761608288</v>
      </c>
      <c s="38" r="N329">
        <f>(((((C329*2)+36)*((((C329*2)+36)*(I329/672))+415))/((((C329*2)+36)*(1-(I329/672)))+415))/(1.92306))-3.576327284</f>
        <v>67.0719465947232</v>
      </c>
      <c s="38" r="O329">
        <f>(((((E329*2)+36)*((((E329*2)+36)*(I329/672))+415))/((((E329*2)+36)*(1-(I329/672)))+415))/(1.980931))+4.9921912</f>
        <v>127.705305337396</v>
      </c>
      <c s="68" r="P329"/>
      <c s="38" r="Q329">
        <f>((((L329+M329)+N329)+O329)/(1.535645))-60.47703745</f>
        <v>239.193761566224</v>
      </c>
      <c s="63" r="R329"/>
      <c s="26" r="S329"/>
      <c s="26" r="T329"/>
    </row>
    <row customHeight="1" r="330" ht="14.25">
      <c t="s" s="45" r="A330">
        <v>427</v>
      </c>
      <c s="75" r="B330">
        <v>60</v>
      </c>
      <c s="54" r="C330">
        <v>60</v>
      </c>
      <c s="54" r="D330">
        <v>60</v>
      </c>
      <c s="54" r="E330">
        <v>60</v>
      </c>
      <c s="54" r="F330">
        <v>60</v>
      </c>
      <c s="2" r="G330">
        <v>60</v>
      </c>
      <c s="68" r="H330"/>
      <c s="19" r="I330">
        <f>INDEX('Speed Factors'!$A$2:$B$256,(G330),2)</f>
        <v>274</v>
      </c>
      <c s="19" r="J330">
        <f>SUM(B330:G330)</f>
        <v>360</v>
      </c>
      <c s="68" r="K330"/>
      <c s="38" r="L330">
        <f>((((B330*2)+141)*((D330*2)+36))/(402.744996))-24.57966407</f>
        <v>76.516564075315</v>
      </c>
      <c s="38" r="M330">
        <f>((((B330*2)+141)*((F330*2)+36))/(416.310724))-19.16575597</f>
        <v>78.6361925572736</v>
      </c>
      <c s="38" r="N330">
        <f>(((((C330*2)+36)*((((C330*2)+36)*(I330/672))+415))/((((C330*2)+36)*(1-(I330/672)))+415))/(1.92306))-3.576327284</f>
        <v>72.9421978422364</v>
      </c>
      <c s="38" r="O330">
        <f>(((((E330*2)+36)*((((E330*2)+36)*(I330/672))+415))/((((E330*2)+36)*(1-(I330/672)))+415))/(1.980931))+4.9921912</f>
        <v>79.2753009747777</v>
      </c>
      <c s="68" r="P330"/>
      <c s="38" r="Q330">
        <f>((((L330+M330)+N330)+O330)/(1.535645))-60.47703745</f>
        <v>139.680066209767</v>
      </c>
      <c s="63" r="R330"/>
      <c s="26" r="S330"/>
      <c s="26" r="T330"/>
    </row>
    <row customHeight="1" r="331" ht="14.25">
      <c t="s" s="45" r="A331">
        <v>428</v>
      </c>
      <c s="57" r="B331">
        <v>45</v>
      </c>
      <c s="8" r="C331">
        <v>100</v>
      </c>
      <c s="8" r="D331">
        <v>45</v>
      </c>
      <c s="8" r="E331">
        <v>45</v>
      </c>
      <c s="8" r="F331">
        <v>45</v>
      </c>
      <c s="27" r="G331">
        <v>10</v>
      </c>
      <c s="68" r="H331"/>
      <c s="20" r="I331">
        <f>INDEX('Speed Factors'!$A$2:$B$256,(G331),2)</f>
        <v>2</v>
      </c>
      <c s="20" r="J331">
        <f>SUM(B331:G331)</f>
        <v>290</v>
      </c>
      <c s="68" r="K331"/>
      <c s="38" r="L331">
        <f>((((B331*2)+141)*((D331*2)+36))/(402.744996))-24.57966407</f>
        <v>47.6893902673008</v>
      </c>
      <c s="38" r="M331">
        <f>((((B331*2)+141)*((F331*2)+36))/(416.310724))-19.16575597</f>
        <v>50.7483690382234</v>
      </c>
      <c s="38" r="N331">
        <f>(((((C331*2)+36)*((((C331*2)+36)*(I331/672))+415))/((((C331*2)+36)*(1-(I331/672)))+415))/(1.92306))-3.576327284</f>
        <v>74.8730528645956</v>
      </c>
      <c s="38" r="O331">
        <f>(((((E331*2)+36)*((((E331*2)+36)*(I331/672))+415))/((((E331*2)+36)*(1-(I331/672)))+415))/(1.980931))+4.9921912</f>
        <v>53.8625385907812</v>
      </c>
      <c s="68" r="P331"/>
      <c s="38" r="Q331">
        <f>((((L331+M331)+N331)+O331)/(1.535645))-60.47703745</f>
        <v>87.4564698130075</v>
      </c>
      <c s="63" r="R331"/>
      <c s="26" r="S331"/>
      <c s="26" r="T331"/>
    </row>
    <row customHeight="1" r="332" ht="14.25">
      <c t="s" s="45" r="A332">
        <v>429</v>
      </c>
      <c s="75" r="B332">
        <v>50</v>
      </c>
      <c s="54" r="C332">
        <v>70</v>
      </c>
      <c s="54" r="D332">
        <v>50</v>
      </c>
      <c s="54" r="E332">
        <v>50</v>
      </c>
      <c s="54" r="F332">
        <v>50</v>
      </c>
      <c s="2" r="G332">
        <v>70</v>
      </c>
      <c s="68" r="H332"/>
      <c s="19" r="I332">
        <f>INDEX('Speed Factors'!$A$2:$B$256,(G332),2)</f>
        <v>369</v>
      </c>
      <c s="19" r="J332">
        <f>SUM(B332:G332)</f>
        <v>340</v>
      </c>
      <c s="68" r="K332"/>
      <c s="38" r="L332">
        <f>((((B332*2)+141)*((D332*2)+36))/(402.744996))-24.57966407</f>
        <v>56.80185606191</v>
      </c>
      <c s="38" r="M332">
        <f>((((B332*2)+141)*((F332*2)+36))/(416.310724))-19.16575597</f>
        <v>59.5638998147018</v>
      </c>
      <c s="38" r="N332">
        <f>(((((C332*2)+36)*((((C332*2)+36)*(I332/672))+415))/((((C332*2)+36)*(1-(I332/672)))+415))/(1.92306))-3.576327284</f>
        <v>91.144598732335</v>
      </c>
      <c s="38" r="O332">
        <f>(((((E332*2)+36)*((((E332*2)+36)*(I332/672))+415))/((((E332*2)+36)*(1-(I332/672)))+415))/(1.980931))+4.9921912</f>
        <v>75.5720100924374</v>
      </c>
      <c s="68" r="P332"/>
      <c s="38" r="Q332">
        <f>((((L332+M332)+N332)+O332)/(1.535645))-60.47703745</f>
        <v>123.863981927124</v>
      </c>
      <c s="63" r="R332"/>
      <c s="26" r="S332"/>
      <c s="26" r="T332"/>
    </row>
    <row customHeight="1" r="333" ht="14.25">
      <c t="s" s="45" r="A333">
        <v>430</v>
      </c>
      <c s="57" r="B333">
        <v>80</v>
      </c>
      <c s="8" r="C333">
        <v>100</v>
      </c>
      <c s="8" r="D333">
        <v>80</v>
      </c>
      <c s="8" r="E333">
        <v>80</v>
      </c>
      <c s="8" r="F333">
        <v>80</v>
      </c>
      <c s="27" r="G333">
        <v>100</v>
      </c>
      <c s="68" r="H333"/>
      <c s="20" r="I333">
        <f>INDEX('Speed Factors'!$A$2:$B$256,(G333),2)</f>
        <v>577</v>
      </c>
      <c s="20" r="J333">
        <f>SUM(B333:G333)</f>
        <v>520</v>
      </c>
      <c s="68" r="K333"/>
      <c s="38" r="L333">
        <f>((((B333*2)+141)*((D333*2)+36))/(402.744996))-24.57966407</f>
        <v>121.905085798872</v>
      </c>
      <c s="38" r="M333">
        <f>((((B333*2)+141)*((F333*2)+36))/(416.310724))-19.16575597</f>
        <v>122.545702800877</v>
      </c>
      <c s="38" r="N333">
        <f>(((((C333*2)+36)*((((C333*2)+36)*(I333/672))+415))/((((C333*2)+36)*(1-(I333/672)))+415))/(1.92306))-3.576327284</f>
        <v>165.476542525297</v>
      </c>
      <c s="38" r="O333">
        <f>(((((E333*2)+36)*((((E333*2)+36)*(I333/672))+415))/((((E333*2)+36)*(1-(I333/672)))+415))/(1.980931))+4.9921912</f>
        <v>135.355326751207</v>
      </c>
      <c s="68" r="P333"/>
      <c s="38" r="Q333">
        <f>((((L333+M333)+N333)+O333)/(1.535645))-60.47703745</f>
        <v>294.606759831438</v>
      </c>
      <c s="63" r="R333"/>
      <c s="26" r="S333"/>
      <c s="26" r="T333"/>
    </row>
    <row customHeight="1" r="334" ht="14.25">
      <c t="s" s="45" r="A334">
        <v>431</v>
      </c>
      <c s="75" r="B334">
        <v>50</v>
      </c>
      <c s="54" r="C334">
        <v>85</v>
      </c>
      <c s="54" r="D334">
        <v>40</v>
      </c>
      <c s="54" r="E334">
        <v>85</v>
      </c>
      <c s="54" r="F334">
        <v>40</v>
      </c>
      <c s="2" r="G334">
        <v>35</v>
      </c>
      <c s="68" r="H334"/>
      <c s="19" r="I334">
        <f>INDEX('Speed Factors'!$A$2:$B$256,(G334),2)</f>
        <v>84</v>
      </c>
      <c s="19" r="J334">
        <f>SUM(B334:G334)</f>
        <v>335</v>
      </c>
      <c s="68" r="K334"/>
      <c s="38" r="L334">
        <f>((((B334*2)+141)*((D334*2)+36))/(402.744996))-24.57966407</f>
        <v>44.8339854542762</v>
      </c>
      <c s="38" r="M334">
        <f>((((B334*2)+141)*((F334*2)+36))/(416.310724))-19.16575597</f>
        <v>47.986009258128</v>
      </c>
      <c s="38" r="N334">
        <f>(((((C334*2)+36)*((((C334*2)+36)*(I334/672))+415))/((((C334*2)+36)*(1-(I334/672)))+415))/(1.92306))-3.576327284</f>
        <v>75.740859577467</v>
      </c>
      <c s="38" r="O334">
        <f>(((((E334*2)+36)*((((E334*2)+36)*(I334/672))+415))/((((E334*2)+36)*(1-(I334/672)))+415))/(1.980931))+4.9921912</f>
        <v>81.9922024905561</v>
      </c>
      <c s="68" r="P334"/>
      <c s="38" r="Q334">
        <f>((((L334+M334)+N334)+O334)/(1.535645))-60.47703745</f>
        <v>102.681151311353</v>
      </c>
      <c s="63" r="R334"/>
      <c s="26" r="S334"/>
      <c s="26" r="T334"/>
    </row>
    <row customHeight="1" r="335" ht="14.25">
      <c t="s" s="45" r="A335">
        <v>432</v>
      </c>
      <c s="57" r="B335">
        <v>70</v>
      </c>
      <c s="8" r="C335">
        <v>115</v>
      </c>
      <c s="8" r="D335">
        <v>60</v>
      </c>
      <c s="8" r="E335">
        <v>115</v>
      </c>
      <c s="8" r="F335">
        <v>60</v>
      </c>
      <c s="27" r="G335">
        <v>55</v>
      </c>
      <c s="68" r="H335"/>
      <c s="20" r="I335">
        <f>INDEX('Speed Factors'!$A$2:$B$256,(G335),2)</f>
        <v>233</v>
      </c>
      <c s="20" r="J335">
        <f>SUM(B335:G335)</f>
        <v>475</v>
      </c>
      <c s="68" r="K335"/>
      <c s="38" r="L335">
        <f>((((B335*2)+141)*((D335*2)+36))/(402.744996))-24.57966407</f>
        <v>84.2634014810863</v>
      </c>
      <c s="38" r="M335">
        <f>((((B335*2)+141)*((F335*2)+36))/(416.310724))-19.16575597</f>
        <v>86.1305947432716</v>
      </c>
      <c s="38" r="N335">
        <f>(((((C335*2)+36)*((((C335*2)+36)*(I335/672))+415))/((((C335*2)+36)*(1-(I335/672)))+415))/(1.92306))-3.576327284</f>
        <v>115.588128178254</v>
      </c>
      <c s="38" r="O335">
        <f>(((((E335*2)+36)*((((E335*2)+36)*(I335/672))+415))/((((E335*2)+36)*(1-(I335/672)))+415))/(1.980931))+4.9921912</f>
        <v>120.675371341681</v>
      </c>
      <c s="68" r="P335"/>
      <c s="38" r="Q335">
        <f>((((L335+M335)+N335)+O335)/(1.535645))-60.47703745</f>
        <v>204.335139677066</v>
      </c>
      <c s="63" r="R335"/>
      <c s="26" r="S335"/>
      <c s="26" r="T335"/>
    </row>
    <row customHeight="1" r="336" ht="14.25">
      <c t="s" s="45" r="A336">
        <v>433</v>
      </c>
      <c s="75" r="B336">
        <v>45</v>
      </c>
      <c s="54" r="C336">
        <v>40</v>
      </c>
      <c s="54" r="D336">
        <v>60</v>
      </c>
      <c s="54" r="E336">
        <v>40</v>
      </c>
      <c s="54" r="F336">
        <v>75</v>
      </c>
      <c s="2" r="G336">
        <v>50</v>
      </c>
      <c s="68" r="H336"/>
      <c s="19" r="I336">
        <f>INDEX('Speed Factors'!$A$2:$B$256,(G336),2)</f>
        <v>189</v>
      </c>
      <c s="19" r="J336">
        <f>SUM(B336:G336)</f>
        <v>310</v>
      </c>
      <c s="68" r="K336"/>
      <c s="38" r="L336">
        <f>((((B336*2)+141)*((D336*2)+36))/(402.744996))-24.57966407</f>
        <v>64.8963079666582</v>
      </c>
      <c s="38" r="M336">
        <f>((((B336*2)+141)*((F336*2)+36))/(416.310724))-19.16575597</f>
        <v>84.0408095183298</v>
      </c>
      <c s="38" r="N336">
        <f>(((((C336*2)+36)*((((C336*2)+36)*(I336/672))+415))/((((C336*2)+36)*(1-(I336/672)))+415))/(1.92306))-3.576327284</f>
        <v>50.6017065431441</v>
      </c>
      <c s="38" r="O336">
        <f>(((((E336*2)+36)*((((E336*2)+36)*(I336/672))+415))/((((E336*2)+36)*(1-(I336/672)))+415))/(1.980931))+4.9921912</f>
        <v>57.5874657106356</v>
      </c>
      <c s="68" r="P336"/>
      <c s="38" r="Q336">
        <f>((((L336+M336)+N336)+O336)/(1.535645))-60.47703745</f>
        <v>106.961589145839</v>
      </c>
      <c s="63" r="R336"/>
      <c s="26" r="S336"/>
      <c s="26" r="T336"/>
    </row>
    <row customHeight="1" r="337" ht="14.25">
      <c t="s" s="45" r="A337">
        <v>434</v>
      </c>
      <c s="57" r="B337">
        <v>75</v>
      </c>
      <c s="8" r="C337">
        <v>70</v>
      </c>
      <c s="8" r="D337">
        <v>90</v>
      </c>
      <c s="8" r="E337">
        <v>70</v>
      </c>
      <c s="8" r="F337">
        <v>105</v>
      </c>
      <c s="27" r="G337">
        <v>80</v>
      </c>
      <c s="68" r="H337"/>
      <c s="20" r="I337">
        <f>INDEX('Speed Factors'!$A$2:$B$256,(G337),2)</f>
        <v>432</v>
      </c>
      <c s="20" r="J337">
        <f>SUM(B337:G337)</f>
        <v>490</v>
      </c>
      <c s="68" r="K337"/>
      <c s="38" r="L337">
        <f>((((B337*2)+141)*((D337*2)+36))/(402.744996))-24.57966407</f>
        <v>131.489314127807</v>
      </c>
      <c s="38" r="M337">
        <f>((((B337*2)+141)*((F337*2)+36))/(416.310724))-19.16575597</f>
        <v>152.787537262965</v>
      </c>
      <c s="38" r="N337">
        <f>(((((C337*2)+36)*((((C337*2)+36)*(I337/672))+415))/((((C337*2)+36)*(1-(I337/672)))+415))/(1.92306))-3.576327284</f>
        <v>97.5753670362613</v>
      </c>
      <c s="38" r="O337">
        <f>(((((E337*2)+36)*((((E337*2)+36)*(I337/672))+415))/((((E337*2)+36)*(1-(I337/672)))+415))/(1.980931))+4.9921912</f>
        <v>103.188835747196</v>
      </c>
      <c s="68" r="P337"/>
      <c s="38" r="Q337">
        <f>((((L337+M337)+N337)+O337)/(1.535645))-60.47703745</f>
        <v>255.3778991885</v>
      </c>
      <c s="63" r="R337"/>
      <c s="26" r="S337"/>
      <c s="26" r="T337"/>
    </row>
    <row customHeight="1" r="338" ht="14.25">
      <c t="s" s="45" r="A338">
        <v>435</v>
      </c>
      <c s="75" r="B338">
        <v>73</v>
      </c>
      <c s="54" r="C338">
        <v>115</v>
      </c>
      <c s="54" r="D338">
        <v>60</v>
      </c>
      <c s="54" r="E338">
        <v>60</v>
      </c>
      <c s="54" r="F338">
        <v>60</v>
      </c>
      <c s="2" r="G338">
        <v>90</v>
      </c>
      <c s="68" r="H338"/>
      <c s="19" r="I338">
        <f>INDEX('Speed Factors'!$A$2:$B$256,(G338),2)</f>
        <v>503</v>
      </c>
      <c s="19" r="J338">
        <f>SUM(B338:G338)</f>
        <v>458</v>
      </c>
      <c s="68" r="K338"/>
      <c s="38" r="L338">
        <f>((((B338*2)+141)*((D338*2)+36))/(402.744996))-24.57966407</f>
        <v>86.5874527028177</v>
      </c>
      <c s="38" r="M338">
        <f>((((B338*2)+141)*((F338*2)+36))/(416.310724))-19.16575597</f>
        <v>88.378915399071</v>
      </c>
      <c s="38" r="N338">
        <f>(((((C338*2)+36)*((((C338*2)+36)*(I338/672))+415))/((((C338*2)+36)*(1-(I338/672)))+415))/(1.92306))-3.576327284</f>
        <v>172.693376584911</v>
      </c>
      <c s="38" r="O338">
        <f>(((((E338*2)+36)*((((E338*2)+36)*(I338/672))+415))/((((E338*2)+36)*(1-(I338/672)))+415))/(1.980931))+4.9921912</f>
        <v>97.1855143720876</v>
      </c>
      <c s="68" r="P338"/>
      <c s="38" r="Q338">
        <f>((((L338+M338)+N338)+O338)/(1.535645))-60.47703745</f>
        <v>229.202712139838</v>
      </c>
      <c s="63" r="R338"/>
      <c s="26" r="S338"/>
      <c s="26" r="T338"/>
    </row>
    <row customHeight="1" r="339" ht="14.25">
      <c t="s" s="45" r="A339">
        <v>436</v>
      </c>
      <c s="57" r="B339">
        <v>73</v>
      </c>
      <c s="8" r="C339">
        <v>100</v>
      </c>
      <c s="8" r="D339">
        <v>60</v>
      </c>
      <c s="8" r="E339">
        <v>100</v>
      </c>
      <c s="8" r="F339">
        <v>60</v>
      </c>
      <c s="27" r="G339">
        <v>65</v>
      </c>
      <c s="68" r="H339"/>
      <c s="20" r="I339">
        <f>INDEX('Speed Factors'!$A$2:$B$256,(G339),2)</f>
        <v>321</v>
      </c>
      <c s="20" r="J339">
        <f>SUM(B339:G339)</f>
        <v>458</v>
      </c>
      <c s="68" r="K339"/>
      <c s="38" r="L339">
        <f>((((B339*2)+141)*((D339*2)+36))/(402.744996))-24.57966407</f>
        <v>86.5874527028177</v>
      </c>
      <c s="38" r="M339">
        <f>((((B339*2)+141)*((F339*2)+36))/(416.310724))-19.16575597</f>
        <v>88.378915399071</v>
      </c>
      <c s="38" r="N339">
        <f>(((((C339*2)+36)*((((C339*2)+36)*(I339/672))+415))/((((C339*2)+36)*(1-(I339/672)))+415))/(1.92306))-3.576327284</f>
        <v>116.742687931123</v>
      </c>
      <c s="38" r="O339">
        <f>(((((E339*2)+36)*((((E339*2)+36)*(I339/672))+415))/((((E339*2)+36)*(1-(I339/672)))+415))/(1.980931))+4.9921912</f>
        <v>121.796201738275</v>
      </c>
      <c s="68" r="P339"/>
      <c s="38" r="Q339">
        <f>((((L339+M339)+N339)+O339)/(1.535645))-60.47703745</f>
        <v>208.794348691515</v>
      </c>
      <c s="63" r="R339"/>
      <c s="26" r="S339"/>
      <c s="26" r="T339"/>
    </row>
    <row customHeight="1" r="340" ht="14.25">
      <c t="s" s="45" r="A340">
        <v>437</v>
      </c>
      <c s="75" r="B340">
        <v>70</v>
      </c>
      <c s="54" r="C340">
        <v>55</v>
      </c>
      <c s="54" r="D340">
        <v>65</v>
      </c>
      <c s="54" r="E340">
        <v>95</v>
      </c>
      <c s="54" r="F340">
        <v>85</v>
      </c>
      <c s="2" r="G340">
        <v>70</v>
      </c>
      <c s="68" r="H340"/>
      <c s="19" r="I340">
        <f>INDEX('Speed Factors'!$A$2:$B$256,(G340),2)</f>
        <v>369</v>
      </c>
      <c s="19" r="J340">
        <f>SUM(B340:G340)</f>
        <v>440</v>
      </c>
      <c s="68" r="K340"/>
      <c s="38" r="L340">
        <f>((((B340*2)+141)*((D340*2)+36))/(402.744996))-24.57966407</f>
        <v>91.2405210676944</v>
      </c>
      <c s="38" r="M340">
        <f>((((B340*2)+141)*((F340*2)+36))/(416.310724))-19.16575597</f>
        <v>119.879425100089</v>
      </c>
      <c s="38" r="N340">
        <f>(((((C340*2)+36)*((((C340*2)+36)*(I340/672))+415))/((((C340*2)+36)*(1-(I340/672)))+415))/(1.92306))-3.576327284</f>
        <v>74.6084411088866</v>
      </c>
      <c s="38" r="O340">
        <f>(((((E340*2)+36)*((((E340*2)+36)*(I340/672))+415))/((((E340*2)+36)*(1-(I340/672)))+415))/(1.980931))+4.9921912</f>
        <v>123.979036850825</v>
      </c>
      <c s="68" r="P340"/>
      <c s="38" r="Q340">
        <f>((((L340+M340)+N340)+O340)/(1.535645))-60.47703745</f>
        <v>206.321229159467</v>
      </c>
      <c s="63" r="R340"/>
      <c s="26" r="S340"/>
      <c s="26" r="T340"/>
    </row>
    <row customHeight="1" r="341" ht="14.25">
      <c t="s" s="45" r="A341">
        <v>438</v>
      </c>
      <c s="57" r="B341">
        <v>70</v>
      </c>
      <c s="8" r="C341">
        <v>95</v>
      </c>
      <c s="8" r="D341">
        <v>85</v>
      </c>
      <c s="8" r="E341">
        <v>55</v>
      </c>
      <c s="8" r="F341">
        <v>65</v>
      </c>
      <c s="27" r="G341">
        <v>70</v>
      </c>
      <c s="68" r="H341"/>
      <c s="20" r="I341">
        <f>INDEX('Speed Factors'!$A$2:$B$256,(G341),2)</f>
        <v>369</v>
      </c>
      <c s="20" r="J341">
        <f>SUM(B341:G341)</f>
        <v>440</v>
      </c>
      <c s="68" r="K341"/>
      <c s="38" r="L341">
        <f>((((B341*2)+141)*((D341*2)+36))/(402.744996))-24.57966407</f>
        <v>119.148999414127</v>
      </c>
      <c s="38" r="M341">
        <f>((((B341*2)+141)*((F341*2)+36))/(416.310724))-19.16575597</f>
        <v>92.8803608146351</v>
      </c>
      <c s="38" r="N341">
        <f>(((((C341*2)+36)*((((C341*2)+36)*(I341/672))+415))/((((C341*2)+36)*(1-(I341/672)))+415))/(1.92306))-3.576327284</f>
        <v>118.991211504147</v>
      </c>
      <c s="38" r="O341">
        <f>(((((E341*2)+36)*((((E341*2)+36)*(I341/672))+415))/((((E341*2)+36)*(1-(I341/672)))+415))/(1.980931))+4.9921912</f>
        <v>80.8928665418592</v>
      </c>
      <c s="68" r="P341"/>
      <c s="38" r="Q341">
        <f>((((L341+M341)+N341)+O341)/(1.535645))-60.47703745</f>
        <v>207.757768299225</v>
      </c>
      <c s="63" r="R341"/>
      <c s="26" r="S341"/>
      <c s="26" r="T341"/>
    </row>
    <row customHeight="1" r="342" ht="14.25">
      <c t="s" s="45" r="A342">
        <v>439</v>
      </c>
      <c s="75" r="B342">
        <v>50</v>
      </c>
      <c s="54" r="C342">
        <v>48</v>
      </c>
      <c s="54" r="D342">
        <v>43</v>
      </c>
      <c s="54" r="E342">
        <v>46</v>
      </c>
      <c s="54" r="F342">
        <v>41</v>
      </c>
      <c s="2" r="G342">
        <v>60</v>
      </c>
      <c s="68" r="H342"/>
      <c s="19" r="I342">
        <f>INDEX('Speed Factors'!$A$2:$B$256,(G342),2)</f>
        <v>274</v>
      </c>
      <c s="19" r="J342">
        <f>SUM(B342:G342)</f>
        <v>288</v>
      </c>
      <c s="68" r="K342"/>
      <c s="38" r="L342">
        <f>((((B342*2)+141)*((D342*2)+36))/(402.744996))-24.57966407</f>
        <v>48.4243466365663</v>
      </c>
      <c s="38" r="M342">
        <f>((((B342*2)+141)*((F342*2)+36))/(416.310724))-19.16575597</f>
        <v>49.1437983137854</v>
      </c>
      <c s="38" r="N342">
        <f>(((((C342*2)+36)*((((C342*2)+36)*(I342/672))+415))/((((C342*2)+36)*(1-(I342/672)))+415))/(1.92306))-3.576327284</f>
        <v>61.6742490935683</v>
      </c>
      <c s="38" r="O342">
        <f>(((((E342*2)+36)*((((E342*2)+36)*(I342/672))+415))/((((E342*2)+36)*(1-(I342/672)))+415))/(1.980931))+4.9921912</f>
        <v>66.498777096681</v>
      </c>
      <c s="68" r="P342"/>
      <c s="38" r="Q342">
        <f>((((L342+M342)+N342)+O342)/(1.535645))-60.47703745</f>
        <v>86.5238456581409</v>
      </c>
      <c s="63" r="R342"/>
      <c s="26" r="S342"/>
      <c s="26" r="T342"/>
    </row>
    <row customHeight="1" r="343" ht="14.25">
      <c t="s" s="45" r="A343">
        <v>440</v>
      </c>
      <c s="57" r="B343">
        <v>110</v>
      </c>
      <c s="8" r="C343">
        <v>78</v>
      </c>
      <c s="8" r="D343">
        <v>73</v>
      </c>
      <c s="8" r="E343">
        <v>76</v>
      </c>
      <c s="8" r="F343">
        <v>71</v>
      </c>
      <c s="27" r="G343">
        <v>60</v>
      </c>
      <c s="68" r="H343"/>
      <c s="20" r="I343">
        <f>INDEX('Speed Factors'!$A$2:$B$256,(G343),2)</f>
        <v>274</v>
      </c>
      <c s="20" r="J343">
        <f>SUM(B343:G343)</f>
        <v>468</v>
      </c>
      <c s="68" r="K343"/>
      <c s="38" r="L343">
        <f>((((B343*2)+141)*((D343*2)+36))/(402.744996))-24.57966407</f>
        <v>138.555820299867</v>
      </c>
      <c s="38" r="M343">
        <f>((((B343*2)+141)*((F343*2)+36))/(416.310724))-19.16575597</f>
        <v>135.185300333801</v>
      </c>
      <c s="38" r="N343">
        <f>(((((C343*2)+36)*((((C343*2)+36)*(I343/672))+415))/((((C343*2)+36)*(1-(I343/672)))+415))/(1.92306))-3.576327284</f>
        <v>89.5743222174519</v>
      </c>
      <c s="38" r="O343">
        <f>(((((E343*2)+36)*((((E343*2)+36)*(I343/672))+415))/((((E343*2)+36)*(1-(I343/672)))+415))/(1.980931))+4.9921912</f>
        <v>93.642050885388</v>
      </c>
      <c s="68" r="P343"/>
      <c s="38" r="Q343">
        <f>((((L343+M343)+N343)+O343)/(1.535645))-60.47703745</f>
        <v>237.090104523898</v>
      </c>
      <c s="63" r="R343"/>
      <c s="26" r="S343"/>
      <c s="26" r="T343"/>
    </row>
    <row customHeight="1" r="344" ht="14.25">
      <c t="s" s="45" r="A344">
        <v>441</v>
      </c>
      <c s="75" r="B344">
        <v>43</v>
      </c>
      <c s="54" r="C344">
        <v>80</v>
      </c>
      <c s="54" r="D344">
        <v>65</v>
      </c>
      <c s="54" r="E344">
        <v>50</v>
      </c>
      <c s="54" r="F344">
        <v>35</v>
      </c>
      <c s="2" r="G344">
        <v>35</v>
      </c>
      <c s="68" r="H344"/>
      <c s="19" r="I344">
        <f>INDEX('Speed Factors'!$A$2:$B$256,(G344),2)</f>
        <v>84</v>
      </c>
      <c s="19" r="J344">
        <f>SUM(B344:G344)</f>
        <v>308</v>
      </c>
      <c s="68" r="K344"/>
      <c s="38" r="L344">
        <f>((((B344*2)+141)*((D344*2)+36))/(402.744996))-24.57966407</f>
        <v>68.9832612903439</v>
      </c>
      <c s="38" r="M344">
        <f>((((B344*2)+141)*((F344*2)+36))/(416.310724))-19.16575597</f>
        <v>38.6324188375267</v>
      </c>
      <c s="38" r="N344">
        <f>(((((C344*2)+36)*((((C344*2)+36)*(I344/672))+415))/((((C344*2)+36)*(1-(I344/672)))+415))/(1.92306))-3.576327284</f>
        <v>72.7991785800424</v>
      </c>
      <c s="38" r="O344">
        <f>(((((E344*2)+36)*((((E344*2)+36)*(I344/672))+415))/((((E344*2)+36)*(1-(I344/672)))+415))/(1.980931))+4.9921912</f>
        <v>60.5329808136273</v>
      </c>
      <c s="68" r="P344"/>
      <c s="38" r="Q344">
        <f>((((L344+M344)+N344)+O344)/(1.535645))-60.47703745</f>
        <v>96.4263090405889</v>
      </c>
      <c s="63" r="R344"/>
      <c s="26" r="S344"/>
      <c s="26" r="T344"/>
    </row>
    <row customHeight="1" r="345" ht="14.25">
      <c t="s" s="45" r="A345">
        <v>442</v>
      </c>
      <c s="57" r="B345">
        <v>63</v>
      </c>
      <c s="8" r="C345">
        <v>120</v>
      </c>
      <c s="8" r="D345">
        <v>85</v>
      </c>
      <c s="8" r="E345">
        <v>90</v>
      </c>
      <c s="8" r="F345">
        <v>55</v>
      </c>
      <c s="27" r="G345">
        <v>55</v>
      </c>
      <c s="68" r="H345"/>
      <c s="20" r="I345">
        <f>INDEX('Speed Factors'!$A$2:$B$256,(G345),2)</f>
        <v>233</v>
      </c>
      <c s="20" r="J345">
        <f>SUM(B345:G345)</f>
        <v>468</v>
      </c>
      <c s="68" r="K345"/>
      <c s="38" r="L345">
        <f>((((B345*2)+141)*((D345*2)+36))/(402.744996))-24.57966407</f>
        <v>111.988140735202</v>
      </c>
      <c s="38" r="M345">
        <f>((((B345*2)+141)*((F345*2)+36))/(416.310724))-19.16575597</f>
        <v>74.4710344192862</v>
      </c>
      <c s="38" r="N345">
        <f>(((((C345*2)+36)*((((C345*2)+36)*(I345/672))+415))/((((C345*2)+36)*(1-(I345/672)))+415))/(1.92306))-3.576327284</f>
        <v>119.547067147667</v>
      </c>
      <c s="38" r="O345">
        <f>(((((E345*2)+36)*((((E345*2)+36)*(I345/672))+415))/((((E345*2)+36)*(1-(I345/672)))+415))/(1.980931))+4.9921912</f>
        <v>101.048752781174</v>
      </c>
      <c s="68" r="P345"/>
      <c s="38" r="Q345">
        <f>((((L345+M345)+N345)+O345)/(1.535645))-60.47703745</f>
        <v>204.593988134253</v>
      </c>
      <c s="63" r="R345"/>
      <c s="26" r="S345"/>
      <c s="26" r="T345"/>
    </row>
    <row customHeight="1" r="346" ht="14.25">
      <c t="s" s="45" r="A346">
        <v>443</v>
      </c>
      <c s="75" r="B346">
        <v>40</v>
      </c>
      <c s="54" r="C346">
        <v>40</v>
      </c>
      <c s="54" r="D346">
        <v>55</v>
      </c>
      <c s="54" r="E346">
        <v>40</v>
      </c>
      <c s="54" r="F346">
        <v>70</v>
      </c>
      <c s="2" r="G346">
        <v>55</v>
      </c>
      <c s="68" r="H346"/>
      <c s="19" r="I346">
        <f>INDEX('Speed Factors'!$A$2:$B$256,(G346),2)</f>
        <v>233</v>
      </c>
      <c s="19" r="J346">
        <f>SUM(B346:G346)</f>
        <v>300</v>
      </c>
      <c s="68" r="K346"/>
      <c s="38" r="L346">
        <f>((((B346*2)+141)*((D346*2)+36))/(402.744996))-24.57966407</f>
        <v>55.5355461013512</v>
      </c>
      <c s="38" r="M346">
        <f>((((B346*2)+141)*((F346*2)+36))/(416.310724))-19.16575597</f>
        <v>74.2644579487748</v>
      </c>
      <c s="38" r="N346">
        <f>(((((C346*2)+36)*((((C346*2)+36)*(I346/672))+415))/((((C346*2)+36)*(1-(I346/672)))+415))/(1.92306))-3.576327284</f>
        <v>52.3736701153338</v>
      </c>
      <c s="38" r="O346">
        <f>(((((E346*2)+36)*((((E346*2)+36)*(I346/672))+415))/((((E346*2)+36)*(1-(I346/672)))+415))/(1.980931))+4.9921912</f>
        <v>59.3076630658867</v>
      </c>
      <c s="68" r="P346"/>
      <c s="38" r="Q346">
        <f>((((L346+M346)+N346)+O346)/(1.535645))-60.47703745</f>
        <v>96.7737185719625</v>
      </c>
      <c s="63" r="R346"/>
      <c s="26" r="S346"/>
      <c s="26" r="T346"/>
    </row>
    <row customHeight="1" r="347" ht="14.25">
      <c t="s" s="45" r="A347">
        <v>444</v>
      </c>
      <c s="57" r="B347">
        <v>60</v>
      </c>
      <c s="8" r="C347">
        <v>70</v>
      </c>
      <c s="8" r="D347">
        <v>105</v>
      </c>
      <c s="8" r="E347">
        <v>70</v>
      </c>
      <c s="8" r="F347">
        <v>120</v>
      </c>
      <c s="27" r="G347">
        <v>75</v>
      </c>
      <c s="68" r="H347"/>
      <c s="20" r="I347">
        <f>INDEX('Speed Factors'!$A$2:$B$256,(G347),2)</f>
        <v>413</v>
      </c>
      <c s="20" r="J347">
        <f>SUM(B347:G347)</f>
        <v>500</v>
      </c>
      <c s="68" r="K347"/>
      <c s="38" r="L347">
        <f>((((B347*2)+141)*((D347*2)+36))/(402.744996))-24.57966407</f>
        <v>134.841311082228</v>
      </c>
      <c s="38" r="M347">
        <f>((((B347*2)+141)*((F347*2)+36))/(416.310724))-19.16575597</f>
        <v>153.868460655176</v>
      </c>
      <c s="38" r="N347">
        <f>(((((C347*2)+36)*((((C347*2)+36)*(I347/672))+415))/((((C347*2)+36)*(1-(I347/672)))+415))/(1.92306))-3.576327284</f>
        <v>95.5896403023</v>
      </c>
      <c s="38" r="O347">
        <f>(((((E347*2)+36)*((((E347*2)+36)*(I347/672))+415))/((((E347*2)+36)*(1-(I347/672)))+415))/(1.980931))+4.9921912</f>
        <v>101.261120116005</v>
      </c>
      <c s="68" r="P347"/>
      <c s="38" r="Q347">
        <f>((((L347+M347)+N347)+O347)/(1.535645))-60.47703745</f>
        <v>255.716179182561</v>
      </c>
      <c s="63" r="R347"/>
      <c s="26" r="S347"/>
      <c s="26" r="T347"/>
    </row>
    <row customHeight="1" r="348" ht="14.25">
      <c t="s" s="45" r="A348">
        <v>445</v>
      </c>
      <c s="75" r="B348">
        <v>66</v>
      </c>
      <c s="54" r="C348">
        <v>41</v>
      </c>
      <c s="54" r="D348">
        <v>77</v>
      </c>
      <c s="54" r="E348">
        <v>61</v>
      </c>
      <c s="54" r="F348">
        <v>87</v>
      </c>
      <c s="2" r="G348">
        <v>23</v>
      </c>
      <c s="68" r="H348"/>
      <c s="19" r="I348">
        <f>INDEX('Speed Factors'!$A$2:$B$256,(G348),2)</f>
        <v>28</v>
      </c>
      <c s="19" r="J348">
        <f>SUM(B348:G348)</f>
        <v>355</v>
      </c>
      <c s="68" r="K348"/>
      <c s="38" r="L348">
        <f>((((B348*2)+141)*((D348*2)+36))/(402.744996))-24.57966407</f>
        <v>104.211507800947</v>
      </c>
      <c s="38" r="M348">
        <f>((((B348*2)+141)*((F348*2)+36))/(416.310724))-19.16575597</f>
        <v>118.543884197713</v>
      </c>
      <c s="38" r="N348">
        <f>(((((C348*2)+36)*((((C348*2)+36)*(I348/672))+415))/((((C348*2)+36)*(1-(I348/672)))+415))/(1.92306))-3.576327284</f>
        <v>45.2158079412953</v>
      </c>
      <c s="38" r="O348">
        <f>(((((E348*2)+36)*((((E348*2)+36)*(I348/672))+415))/((((E348*2)+36)*(1-(I348/672)))+415))/(1.980931))+4.9921912</f>
        <v>64.3578303649171</v>
      </c>
      <c s="68" r="P348"/>
      <c s="38" r="Q348">
        <f>((((L348+M348)+N348)+O348)/(1.535645))-60.47703745</f>
        <v>155.933024969943</v>
      </c>
      <c s="63" r="R348"/>
      <c s="26" r="S348"/>
      <c s="26" r="T348"/>
    </row>
    <row customHeight="1" r="349" ht="14.25">
      <c t="s" s="45" r="A349">
        <v>446</v>
      </c>
      <c s="57" r="B349">
        <v>86</v>
      </c>
      <c s="8" r="C349">
        <v>81</v>
      </c>
      <c s="8" r="D349">
        <v>97</v>
      </c>
      <c s="8" r="E349">
        <v>81</v>
      </c>
      <c s="8" r="F349">
        <v>107</v>
      </c>
      <c s="27" r="G349">
        <v>43</v>
      </c>
      <c s="68" r="H349"/>
      <c s="20" r="I349">
        <f>INDEX('Speed Factors'!$A$2:$B$256,(G349),2)</f>
        <v>149</v>
      </c>
      <c s="20" r="J349">
        <f>SUM(B349:G349)</f>
        <v>495</v>
      </c>
      <c s="68" r="K349"/>
      <c s="38" r="L349">
        <f>((((B349*2)+141)*((D349*2)+36))/(402.744996))-24.57966407</f>
        <v>154.168677225344</v>
      </c>
      <c s="38" r="M349">
        <f>((((B349*2)+141)*((F349*2)+36))/(416.310724))-19.16575597</f>
        <v>168.794811675622</v>
      </c>
      <c s="38" r="N349">
        <f>(((((C349*2)+36)*((((C349*2)+36)*(I349/672))+415))/((((C349*2)+36)*(1-(I349/672)))+415))/(1.92306))-3.576327284</f>
        <v>79.4479073064213</v>
      </c>
      <c s="38" r="O349">
        <f>(((((E349*2)+36)*((((E349*2)+36)*(I349/672))+415))/((((E349*2)+36)*(1-(I349/672)))+415))/(1.980931))+4.9921912</f>
        <v>85.5909523741426</v>
      </c>
      <c s="68" r="P349"/>
      <c s="38" r="Q349">
        <f>((((L349+M349)+N349)+O349)/(1.535645))-60.47703745</f>
        <v>257.306270919793</v>
      </c>
      <c s="63" r="R349"/>
      <c s="26" r="S349"/>
      <c s="26" r="T349"/>
    </row>
    <row customHeight="1" r="350" ht="14.25">
      <c t="s" s="45" r="A350">
        <v>447</v>
      </c>
      <c s="75" r="B350">
        <v>45</v>
      </c>
      <c s="54" r="C350">
        <v>95</v>
      </c>
      <c s="54" r="D350">
        <v>50</v>
      </c>
      <c s="54" r="E350">
        <v>40</v>
      </c>
      <c s="54" r="F350">
        <v>50</v>
      </c>
      <c s="2" r="G350">
        <v>75</v>
      </c>
      <c s="68" r="H350"/>
      <c s="19" r="I350">
        <f>INDEX('Speed Factors'!$A$2:$B$256,(G350),2)</f>
        <v>413</v>
      </c>
      <c s="19" r="J350">
        <f>SUM(B350:G350)</f>
        <v>355</v>
      </c>
      <c s="68" r="K350"/>
      <c s="38" r="L350">
        <f>((((B350*2)+141)*((D350*2)+36))/(402.744996))-24.57966407</f>
        <v>53.4250295004199</v>
      </c>
      <c s="38" r="M350">
        <f>((((B350*2)+141)*((F350*2)+36))/(416.310724))-19.16575597</f>
        <v>56.2971091182412</v>
      </c>
      <c s="38" r="N350">
        <f>(((((C350*2)+36)*((((C350*2)+36)*(I350/672))+415))/((((C350*2)+36)*(1-(I350/672)))+415))/(1.92306))-3.576327284</f>
        <v>126.066913074461</v>
      </c>
      <c s="38" r="O350">
        <f>(((((E350*2)+36)*((((E350*2)+36)*(I350/672))+415))/((((E350*2)+36)*(1-(I350/672)))+415))/(1.980931))+4.9921912</f>
        <v>66.9367396829544</v>
      </c>
      <c s="68" r="P350"/>
      <c s="38" r="Q350">
        <f>((((L350+M350)+N350)+O350)/(1.535645))-60.47703745</f>
        <v>136.655627570937</v>
      </c>
      <c s="63" r="R350"/>
      <c s="26" r="S350"/>
      <c s="26" r="T350"/>
    </row>
    <row customHeight="1" r="351" ht="14.25">
      <c t="s" s="45" r="A351">
        <v>448</v>
      </c>
      <c s="57" r="B351">
        <v>75</v>
      </c>
      <c s="8" r="C351">
        <v>125</v>
      </c>
      <c s="8" r="D351">
        <v>100</v>
      </c>
      <c s="8" r="E351">
        <v>70</v>
      </c>
      <c s="8" r="F351">
        <v>80</v>
      </c>
      <c s="27" r="G351">
        <v>45</v>
      </c>
      <c s="68" r="H351"/>
      <c s="20" r="I351">
        <f>INDEX('Speed Factors'!$A$2:$B$256,(G351),2)</f>
        <v>154</v>
      </c>
      <c s="20" r="J351">
        <f>SUM(B351:G351)</f>
        <v>495</v>
      </c>
      <c s="68" r="K351"/>
      <c s="38" r="L351">
        <f>((((B351*2)+141)*((D351*2)+36))/(402.744996))-24.57966407</f>
        <v>145.940145442419</v>
      </c>
      <c s="38" r="M351">
        <f>((((B351*2)+141)*((F351*2)+36))/(416.310724))-19.16575597</f>
        <v>117.837680914801</v>
      </c>
      <c s="38" r="N351">
        <f>(((((C351*2)+36)*((((C351*2)+36)*(I351/672))+415))/((((C351*2)+36)*(1-(I351/672)))+415))/(1.92306))-3.576327284</f>
        <v>108.888616246596</v>
      </c>
      <c s="38" r="O351">
        <f>(((((E351*2)+36)*((((E351*2)+36)*(I351/672))+415))/((((E351*2)+36)*(1-(I351/672)))+415))/(1.980931))+4.9921912</f>
        <v>78.4577820478516</v>
      </c>
      <c s="68" r="P351"/>
      <c s="38" r="Q351">
        <f>((((L351+M351)+N351)+O351)/(1.535645))-60.47703745</f>
        <v>233.291525369967</v>
      </c>
      <c s="63" r="R351"/>
      <c s="26" r="S351"/>
      <c s="26" r="T351"/>
    </row>
    <row customHeight="1" r="352" ht="14.25">
      <c t="s" s="45" r="A352">
        <v>449</v>
      </c>
      <c s="75" r="B352">
        <v>20</v>
      </c>
      <c s="54" r="C352">
        <v>15</v>
      </c>
      <c s="54" r="D352">
        <v>20</v>
      </c>
      <c s="54" r="E352">
        <v>10</v>
      </c>
      <c s="54" r="F352">
        <v>55</v>
      </c>
      <c s="2" r="G352">
        <v>80</v>
      </c>
      <c s="68" r="H352"/>
      <c s="19" r="I352">
        <f>INDEX('Speed Factors'!$A$2:$B$256,(G352),2)</f>
        <v>432</v>
      </c>
      <c s="19" r="J352">
        <f>SUM(B352:G352)</f>
        <v>200</v>
      </c>
      <c s="68" r="K352"/>
      <c s="38" r="L352">
        <f>((((B352*2)+141)*((D352*2)+36))/(402.744996))-24.57966407</f>
        <v>9.57594341518897</v>
      </c>
      <c s="38" r="M352">
        <f>((((B352*2)+141)*((F352*2)+36))/(416.310724))-19.16575597</f>
        <v>44.3108697246098</v>
      </c>
      <c s="38" r="N352">
        <f>(((((C352*2)+36)*((((C352*2)+36)*(I352/672))+415))/((((C352*2)+36)*(1-(I352/672)))+415))/(1.92306))-3.576327284</f>
        <v>32.2196359289453</v>
      </c>
      <c s="38" r="O352">
        <f>(((((E352*2)+36)*((((E352*2)+36)*(I352/672))+415))/((((E352*2)+36)*(1-(I352/672)))+415))/(1.980931))+4.9921912</f>
        <v>34.3015261111819</v>
      </c>
      <c s="68" r="P352"/>
      <c s="38" r="Q352">
        <f>((((L352+M352)+N352)+O352)/(1.535645))-60.47703745</f>
        <v>17.9316932005905</v>
      </c>
      <c s="63" r="R352"/>
      <c s="26" r="S352"/>
      <c s="26" r="T352"/>
    </row>
    <row customHeight="1" r="353" ht="14.25">
      <c t="s" s="45" r="A353">
        <v>450</v>
      </c>
      <c s="57" r="B353">
        <v>95</v>
      </c>
      <c s="8" r="C353">
        <v>60</v>
      </c>
      <c s="8" r="D353">
        <v>79</v>
      </c>
      <c s="8" r="E353">
        <v>100</v>
      </c>
      <c s="8" r="F353">
        <v>125</v>
      </c>
      <c s="27" r="G353">
        <v>81</v>
      </c>
      <c s="68" r="H353"/>
      <c s="20" r="I353">
        <f>INDEX('Speed Factors'!$A$2:$B$256,(G353),2)</f>
        <v>461</v>
      </c>
      <c s="20" r="J353">
        <f>SUM(B353:G353)</f>
        <v>540</v>
      </c>
      <c s="68" r="K353"/>
      <c s="38" r="L353">
        <f>((((B353*2)+141)*((D353*2)+36))/(402.744996))-24.57966407</f>
        <v>134.861174767883</v>
      </c>
      <c s="38" r="M353">
        <f>((((B353*2)+141)*((F353*2)+36))/(416.310724))-19.16575597</f>
        <v>208.226897023489</v>
      </c>
      <c s="38" r="N353">
        <f>(((((C353*2)+36)*((((C353*2)+36)*(I353/672))+415))/((((C353*2)+36)*(1-(I353/672)))+415))/(1.92306))-3.576327284</f>
        <v>87.6911102072862</v>
      </c>
      <c s="38" r="O353">
        <f>(((((E353*2)+36)*((((E353*2)+36)*(I353/672))+415))/((((E353*2)+36)*(1-(I353/672)))+415))/(1.980931))+4.9921912</f>
        <v>145.513950175947</v>
      </c>
      <c s="68" r="P353"/>
      <c s="38" r="Q353">
        <f>((((L353+M353)+N353)+O353)/(1.535645))-60.47703745</f>
        <v>314.800537884537</v>
      </c>
      <c s="63" r="R353"/>
      <c s="26" r="S353"/>
      <c s="26" r="T353"/>
    </row>
    <row customHeight="1" r="354" ht="14.25">
      <c t="s" s="45" r="A354">
        <v>451</v>
      </c>
      <c s="75" r="B354">
        <v>70</v>
      </c>
      <c s="54" r="C354">
        <v>70</v>
      </c>
      <c s="54" r="D354">
        <v>70</v>
      </c>
      <c s="54" r="E354">
        <v>70</v>
      </c>
      <c s="54" r="F354">
        <v>70</v>
      </c>
      <c s="2" r="G354">
        <v>70</v>
      </c>
      <c s="68" r="H354"/>
      <c s="19" r="I354">
        <f>INDEX('Speed Factors'!$A$2:$B$256,(G354),2)</f>
        <v>369</v>
      </c>
      <c s="19" r="J354">
        <f>SUM(B354:G354)</f>
        <v>420</v>
      </c>
      <c s="68" r="K354"/>
      <c s="38" r="L354">
        <f>((((B354*2)+141)*((D354*2)+36))/(402.744996))-24.57966407</f>
        <v>98.2176406543025</v>
      </c>
      <c s="38" r="M354">
        <f>((((B354*2)+141)*((F354*2)+36))/(416.310724))-19.16575597</f>
        <v>99.6301268859987</v>
      </c>
      <c s="38" r="N354">
        <f>(((((C354*2)+36)*((((C354*2)+36)*(I354/672))+415))/((((C354*2)+36)*(1-(I354/672)))+415))/(1.92306))-3.576327284</f>
        <v>91.144598732335</v>
      </c>
      <c s="38" r="O354">
        <f>(((((E354*2)+36)*((((E354*2)+36)*(I354/672))+415))/((((E354*2)+36)*(1-(I354/672)))+415))/(1.980931))+4.9921912</f>
        <v>96.9459361739407</v>
      </c>
      <c s="68" r="P354"/>
      <c s="38" r="Q354">
        <f>((((L354+M354)+N354)+O354)/(1.535645))-60.47703745</f>
        <v>190.842963231523</v>
      </c>
      <c s="63" r="R354"/>
      <c s="26" r="S354"/>
      <c s="26" r="T354"/>
    </row>
    <row customHeight="1" r="355" ht="14.25">
      <c t="s" s="45" r="A355">
        <v>452</v>
      </c>
      <c s="57" r="B355">
        <v>70</v>
      </c>
      <c s="8" r="C355">
        <v>70</v>
      </c>
      <c s="8" r="D355">
        <v>70</v>
      </c>
      <c s="8" r="E355">
        <v>70</v>
      </c>
      <c s="8" r="F355">
        <v>70</v>
      </c>
      <c s="27" r="G355">
        <v>70</v>
      </c>
      <c s="68" r="H355"/>
      <c s="20" r="I355">
        <f>INDEX('Speed Factors'!$A$2:$B$256,(G355),2)</f>
        <v>369</v>
      </c>
      <c s="20" r="J355">
        <f>SUM(B355:G355)</f>
        <v>420</v>
      </c>
      <c s="68" r="K355"/>
      <c s="38" r="L355">
        <f>((((B355*2)+141)*((D355*2)+36))/(402.744996))-24.57966407</f>
        <v>98.2176406543025</v>
      </c>
      <c s="38" r="M355">
        <f>((((B355*2)+141)*((F355*2)+36))/(416.310724))-19.16575597</f>
        <v>99.6301268859987</v>
      </c>
      <c s="38" r="N355">
        <f>(((((C355*2)+36)*((((C355*2)+36)*(I355/672))+415))/((((C355*2)+36)*(1-(I355/672)))+415))/(1.92306))-3.576327284</f>
        <v>91.144598732335</v>
      </c>
      <c s="38" r="O355">
        <f>(((((E355*2)+36)*((((E355*2)+36)*(I355/672))+415))/((((E355*2)+36)*(1-(I355/672)))+415))/(1.980931))+4.9921912</f>
        <v>96.9459361739407</v>
      </c>
      <c s="68" r="P355"/>
      <c s="38" r="Q355">
        <f>((((L355+M355)+N355)+O355)/(1.535645))-60.47703745</f>
        <v>190.842963231523</v>
      </c>
      <c s="63" r="R355"/>
      <c s="26" r="S355"/>
      <c s="26" r="T355"/>
    </row>
    <row customHeight="1" r="356" ht="14.25">
      <c t="s" s="45" r="A356">
        <v>453</v>
      </c>
      <c s="75" r="B356">
        <v>70</v>
      </c>
      <c s="54" r="C356">
        <v>70</v>
      </c>
      <c s="54" r="D356">
        <v>70</v>
      </c>
      <c s="54" r="E356">
        <v>70</v>
      </c>
      <c s="54" r="F356">
        <v>70</v>
      </c>
      <c s="2" r="G356">
        <v>70</v>
      </c>
      <c s="68" r="H356"/>
      <c s="19" r="I356">
        <f>INDEX('Speed Factors'!$A$2:$B$256,(G356),2)</f>
        <v>369</v>
      </c>
      <c s="19" r="J356">
        <f>SUM(B356:G356)</f>
        <v>420</v>
      </c>
      <c s="68" r="K356"/>
      <c s="38" r="L356">
        <f>((((B356*2)+141)*((D356*2)+36))/(402.744996))-24.57966407</f>
        <v>98.2176406543025</v>
      </c>
      <c s="38" r="M356">
        <f>((((B356*2)+141)*((F356*2)+36))/(416.310724))-19.16575597</f>
        <v>99.6301268859987</v>
      </c>
      <c s="38" r="N356">
        <f>(((((C356*2)+36)*((((C356*2)+36)*(I356/672))+415))/((((C356*2)+36)*(1-(I356/672)))+415))/(1.92306))-3.576327284</f>
        <v>91.144598732335</v>
      </c>
      <c s="38" r="O356">
        <f>(((((E356*2)+36)*((((E356*2)+36)*(I356/672))+415))/((((E356*2)+36)*(1-(I356/672)))+415))/(1.980931))+4.9921912</f>
        <v>96.9459361739407</v>
      </c>
      <c s="68" r="P356"/>
      <c s="38" r="Q356">
        <f>((((L356+M356)+N356)+O356)/(1.535645))-60.47703745</f>
        <v>190.842963231523</v>
      </c>
      <c s="63" r="R356"/>
      <c s="26" r="S356"/>
      <c s="26" r="T356"/>
    </row>
    <row customHeight="1" r="357" ht="14.25">
      <c t="s" s="45" r="A357">
        <v>454</v>
      </c>
      <c s="57" r="B357">
        <v>70</v>
      </c>
      <c s="8" r="C357">
        <v>70</v>
      </c>
      <c s="8" r="D357">
        <v>70</v>
      </c>
      <c s="8" r="E357">
        <v>70</v>
      </c>
      <c s="8" r="F357">
        <v>70</v>
      </c>
      <c s="27" r="G357">
        <v>70</v>
      </c>
      <c s="68" r="H357"/>
      <c s="20" r="I357">
        <f>INDEX('Speed Factors'!$A$2:$B$256,(G357),2)</f>
        <v>369</v>
      </c>
      <c s="20" r="J357">
        <f>SUM(B357:G357)</f>
        <v>420</v>
      </c>
      <c s="68" r="K357"/>
      <c s="38" r="L357">
        <f>((((B357*2)+141)*((D357*2)+36))/(402.744996))-24.57966407</f>
        <v>98.2176406543025</v>
      </c>
      <c s="38" r="M357">
        <f>((((B357*2)+141)*((F357*2)+36))/(416.310724))-19.16575597</f>
        <v>99.6301268859987</v>
      </c>
      <c s="38" r="N357">
        <f>(((((C357*2)+36)*((((C357*2)+36)*(I357/672))+415))/((((C357*2)+36)*(1-(I357/672)))+415))/(1.92306))-3.576327284</f>
        <v>91.144598732335</v>
      </c>
      <c s="38" r="O357">
        <f>(((((E357*2)+36)*((((E357*2)+36)*(I357/672))+415))/((((E357*2)+36)*(1-(I357/672)))+415))/(1.980931))+4.9921912</f>
        <v>96.9459361739407</v>
      </c>
      <c s="68" r="P357"/>
      <c s="38" r="Q357">
        <f>((((L357+M357)+N357)+O357)/(1.535645))-60.47703745</f>
        <v>190.842963231523</v>
      </c>
      <c s="63" r="R357"/>
      <c s="26" r="S357"/>
      <c s="26" r="T357"/>
    </row>
    <row customHeight="1" r="358" ht="14.25">
      <c t="s" s="45" r="A358">
        <v>455</v>
      </c>
      <c s="75" r="B358">
        <v>60</v>
      </c>
      <c s="54" r="C358">
        <v>90</v>
      </c>
      <c s="54" r="D358">
        <v>70</v>
      </c>
      <c s="54" r="E358">
        <v>60</v>
      </c>
      <c s="54" r="F358">
        <v>120</v>
      </c>
      <c s="2" r="G358">
        <v>40</v>
      </c>
      <c s="68" r="H358"/>
      <c s="19" r="I358">
        <f>INDEX('Speed Factors'!$A$2:$B$256,(G358),2)</f>
        <v>111</v>
      </c>
      <c s="19" r="J358">
        <f>SUM(B358:G358)</f>
        <v>440</v>
      </c>
      <c s="68" r="K358"/>
      <c s="38" r="L358">
        <f>((((B358*2)+141)*((D358*2)+36))/(402.744996))-24.57966407</f>
        <v>89.47761896574</v>
      </c>
      <c s="38" r="M358">
        <f>((((B358*2)+141)*((F358*2)+36))/(416.310724))-19.16575597</f>
        <v>153.868460655176</v>
      </c>
      <c s="38" r="N358">
        <f>(((((C358*2)+36)*((((C358*2)+36)*(I358/672))+415))/((((C358*2)+36)*(1-(I358/672)))+415))/(1.92306))-3.576327284</f>
        <v>81.4544815786352</v>
      </c>
      <c s="38" r="O358">
        <f>(((((E358*2)+36)*((((E358*2)+36)*(I358/672))+415))/((((E358*2)+36)*(1-(I358/672)))+415))/(1.980931))+4.9921912</f>
        <v>68.6546950494339</v>
      </c>
      <c s="68" r="P358"/>
      <c s="38" r="Q358">
        <f>((((L358+M358)+N358)+O358)/(1.535645))-60.47703745</f>
        <v>195.737944690394</v>
      </c>
      <c s="63" r="R358"/>
      <c s="26" r="S358"/>
      <c s="26" r="T358"/>
    </row>
    <row customHeight="1" r="359" ht="14.25">
      <c t="s" s="45" r="A359">
        <v>456</v>
      </c>
      <c s="57" r="B359">
        <v>44</v>
      </c>
      <c s="8" r="C359">
        <v>75</v>
      </c>
      <c s="8" r="D359">
        <v>35</v>
      </c>
      <c s="8" r="E359">
        <v>63</v>
      </c>
      <c s="8" r="F359">
        <v>33</v>
      </c>
      <c s="27" r="G359">
        <v>45</v>
      </c>
      <c s="68" r="H359"/>
      <c s="20" r="I359">
        <f>INDEX('Speed Factors'!$A$2:$B$256,(G359),2)</f>
        <v>154</v>
      </c>
      <c s="20" r="J359">
        <f>SUM(B359:G359)</f>
        <v>295</v>
      </c>
      <c s="68" r="K359"/>
      <c s="38" r="L359">
        <f>((((B359*2)+141)*((D359*2)+36))/(402.744996))-24.57966407</f>
        <v>35.6917241311833</v>
      </c>
      <c s="38" r="M359">
        <f>((((B359*2)+141)*((F359*2)+36))/(416.310724))-19.16575597</f>
        <v>36.9413742417118</v>
      </c>
      <c s="38" r="N359">
        <f>(((((C359*2)+36)*((((C359*2)+36)*(I359/672))+415))/((((C359*2)+36)*(1-(I359/672)))+415))/(1.92306))-3.576327284</f>
        <v>75.692765179917</v>
      </c>
      <c s="38" r="O359">
        <f>(((((E359*2)+36)*((((E359*2)+36)*(I359/672))+415))/((((E359*2)+36)*(1-(I359/672)))+415))/(1.980931))+4.9921912</f>
        <v>73.4796371731728</v>
      </c>
      <c s="68" r="P359"/>
      <c s="38" r="Q359">
        <f>((((L359+M359)+N359)+O359)/(1.535645))-60.47703745</f>
        <v>83.9609679001849</v>
      </c>
      <c s="63" r="R359"/>
      <c s="26" r="S359"/>
      <c s="26" r="T359"/>
    </row>
    <row customHeight="1" r="360" ht="14.25">
      <c t="s" s="45" r="A360">
        <v>457</v>
      </c>
      <c s="75" r="B360">
        <v>64</v>
      </c>
      <c s="54" r="C360">
        <v>115</v>
      </c>
      <c s="54" r="D360">
        <v>65</v>
      </c>
      <c s="54" r="E360">
        <v>83</v>
      </c>
      <c s="54" r="F360">
        <v>63</v>
      </c>
      <c s="2" r="G360">
        <v>65</v>
      </c>
      <c s="68" r="H360"/>
      <c s="19" r="I360">
        <f>INDEX('Speed Factors'!$A$2:$B$256,(G360),2)</f>
        <v>321</v>
      </c>
      <c s="19" r="J360">
        <f>SUM(B360:G360)</f>
        <v>455</v>
      </c>
      <c s="68" r="K360"/>
      <c s="38" r="L360">
        <f>((((B360*2)+141)*((D360*2)+36))/(402.744996))-24.57966407</f>
        <v>86.2944633393943</v>
      </c>
      <c s="38" r="M360">
        <f>((((B360*2)+141)*((F360*2)+36))/(416.310724))-19.16575597</f>
        <v>85.5108653317371</v>
      </c>
      <c s="38" r="N360">
        <f>(((((C360*2)+36)*((((C360*2)+36)*(I360/672))+415))/((((C360*2)+36)*(1-(I360/672)))+415))/(1.92306))-3.576327284</f>
        <v>131.779637627122</v>
      </c>
      <c s="38" r="O360">
        <f>(((((E360*2)+36)*((((E360*2)+36)*(I360/672))+415))/((((E360*2)+36)*(1-(I360/672)))+415))/(1.980931))+4.9921912</f>
        <v>105.197768524024</v>
      </c>
      <c s="68" r="P360"/>
      <c s="38" r="Q360">
        <f>((((L360+M360)+N360)+O360)/(1.535645))-60.47703745</f>
        <v>205.719078724166</v>
      </c>
      <c s="63" r="R360"/>
      <c s="26" r="S360"/>
      <c s="26" r="T360"/>
    </row>
    <row customHeight="1" r="361" ht="14.25">
      <c t="s" s="45" r="A361">
        <v>458</v>
      </c>
      <c s="57" r="B361">
        <v>20</v>
      </c>
      <c s="8" r="C361">
        <v>40</v>
      </c>
      <c s="8" r="D361">
        <v>90</v>
      </c>
      <c s="8" r="E361">
        <v>30</v>
      </c>
      <c s="8" r="F361">
        <v>90</v>
      </c>
      <c s="27" r="G361">
        <v>25</v>
      </c>
      <c s="68" r="H361"/>
      <c s="20" r="I361">
        <f>INDEX('Speed Factors'!$A$2:$B$256,(G361),2)</f>
        <v>32</v>
      </c>
      <c s="20" r="J361">
        <f>SUM(B361:G361)</f>
        <v>295</v>
      </c>
      <c s="68" r="K361"/>
      <c s="38" r="L361">
        <f>((((B361*2)+141)*((D361*2)+36))/(402.744996))-24.57966407</f>
        <v>72.4941677300107</v>
      </c>
      <c s="38" r="M361">
        <f>((((B361*2)+141)*((F361*2)+36))/(416.310724))-19.16575597</f>
        <v>74.7448683453131</v>
      </c>
      <c s="38" r="N361">
        <f>(((((C361*2)+36)*((((C361*2)+36)*(I361/672))+415))/((((C361*2)+36)*(1-(I361/672)))+415))/(1.92306))-3.576327284</f>
        <v>44.6964962481566</v>
      </c>
      <c s="38" r="O361">
        <f>(((((E361*2)+36)*((((E361*2)+36)*(I361/672))+415))/((((E361*2)+36)*(1-(I361/672)))+415))/(1.980931))+4.9921912</f>
        <v>45.1425648814483</v>
      </c>
      <c s="68" r="P361"/>
      <c s="38" r="Q361">
        <f>((((L361+M361)+N361)+O361)/(1.535645))-60.47703745</f>
        <v>93.9063631438408</v>
      </c>
      <c s="63" r="R361"/>
      <c s="26" r="S361"/>
      <c s="26" r="T361"/>
    </row>
    <row customHeight="1" r="362" ht="14.25">
      <c t="s" s="45" r="A362">
        <v>459</v>
      </c>
      <c s="75" r="B362">
        <v>40</v>
      </c>
      <c s="54" r="C362">
        <v>70</v>
      </c>
      <c s="54" r="D362">
        <v>130</v>
      </c>
      <c s="54" r="E362">
        <v>60</v>
      </c>
      <c s="54" r="F362">
        <v>130</v>
      </c>
      <c s="2" r="G362">
        <v>25</v>
      </c>
      <c s="68" r="H362"/>
      <c s="19" r="I362">
        <f>INDEX('Speed Factors'!$A$2:$B$256,(G362),2)</f>
        <v>32</v>
      </c>
      <c s="19" r="J362">
        <f>SUM(B362:G362)</f>
        <v>455</v>
      </c>
      <c s="68" r="K362"/>
      <c s="38" r="L362">
        <f>((((B362*2)+141)*((D362*2)+36))/(402.744996))-24.57966407</f>
        <v>137.845693537671</v>
      </c>
      <c s="38" r="M362">
        <f>((((B362*2)+141)*((F362*2)+36))/(416.310724))-19.16575597</f>
        <v>137.966876529758</v>
      </c>
      <c s="38" r="N362">
        <f>(((((C362*2)+36)*((((C362*2)+36)*(I362/672))+415))/((((C362*2)+36)*(1-(I362/672)))+415))/(1.92306))-3.576327284</f>
        <v>62.9305366850257</v>
      </c>
      <c s="38" r="O362">
        <f>(((((E362*2)+36)*((((E362*2)+36)*(I362/672))+415))/((((E362*2)+36)*(1-(I362/672)))+415))/(1.980931))+4.9921912</f>
        <v>64.0203948472181</v>
      </c>
      <c s="68" r="P362"/>
      <c s="38" r="Q362">
        <f>((((L362+M362)+N362)+O362)/(1.535645))-60.47703745</f>
        <v>201.799401179809</v>
      </c>
      <c s="63" r="R362"/>
      <c s="26" r="S362"/>
      <c s="26" r="T362"/>
    </row>
    <row customHeight="1" r="363" ht="14.25">
      <c t="s" s="45" r="A363">
        <v>460</v>
      </c>
      <c s="57" r="B363">
        <v>99</v>
      </c>
      <c s="8" r="C363">
        <v>68</v>
      </c>
      <c s="8" r="D363">
        <v>83</v>
      </c>
      <c s="8" r="E363">
        <v>72</v>
      </c>
      <c s="8" r="F363">
        <v>87</v>
      </c>
      <c s="27" r="G363">
        <v>51</v>
      </c>
      <c s="68" r="H363"/>
      <c s="20" r="I363">
        <f>INDEX('Speed Factors'!$A$2:$B$256,(G363),2)</f>
        <v>229</v>
      </c>
      <c s="20" r="J363">
        <f>SUM(B363:G363)</f>
        <v>460</v>
      </c>
      <c s="68" r="K363"/>
      <c s="38" r="L363">
        <f>((((B363*2)+141)*((D363*2)+36))/(402.744996))-24.57966407</f>
        <v>145.448519222437</v>
      </c>
      <c s="38" r="M363">
        <f>((((B363*2)+141)*((F363*2)+36))/(416.310724))-19.16575597</f>
        <v>151.836324677819</v>
      </c>
      <c s="38" r="N363">
        <f>(((((C363*2)+36)*((((C363*2)+36)*(I363/672))+415))/((((C363*2)+36)*(1-(I363/672)))+415))/(1.92306))-3.576327284</f>
        <v>76.5928207914422</v>
      </c>
      <c s="38" r="O363">
        <f>(((((E363*2)+36)*((((E363*2)+36)*(I363/672))+415))/((((E363*2)+36)*(1-(I363/672)))+415))/(1.980931))+4.9921912</f>
        <v>86.0984416932955</v>
      </c>
      <c s="68" r="P363"/>
      <c s="38" r="Q363">
        <f>((((L363+M363)+N363)+O363)/(1.535645))-60.47703745</f>
        <v>239.055801445053</v>
      </c>
      <c s="63" r="R363"/>
      <c s="26" r="S363"/>
      <c s="26" r="T363"/>
    </row>
    <row customHeight="1" r="364" ht="14.25">
      <c t="s" s="45" r="A364">
        <v>461</v>
      </c>
      <c s="75" r="B364">
        <v>65</v>
      </c>
      <c s="54" r="C364">
        <v>50</v>
      </c>
      <c s="54" r="D364">
        <v>70</v>
      </c>
      <c s="54" r="E364">
        <v>95</v>
      </c>
      <c s="54" r="F364">
        <v>80</v>
      </c>
      <c s="2" r="G364">
        <v>65</v>
      </c>
      <c s="68" r="H364"/>
      <c s="19" r="I364">
        <f>INDEX('Speed Factors'!$A$2:$B$256,(G364),2)</f>
        <v>321</v>
      </c>
      <c s="19" r="J364">
        <f>SUM(B364:G364)</f>
        <v>425</v>
      </c>
      <c s="68" r="K364"/>
      <c s="38" r="L364">
        <f>((((B364*2)+141)*((D364*2)+36))/(402.744996))-24.57966407</f>
        <v>93.8476298100213</v>
      </c>
      <c s="38" r="M364">
        <f>((((B364*2)+141)*((F364*2)+36))/(416.310724))-19.16575597</f>
        <v>108.42163714265</v>
      </c>
      <c s="38" r="N364">
        <f>(((((C364*2)+36)*((((C364*2)+36)*(I364/672))+415))/((((C364*2)+36)*(1-(I364/672)))+415))/(1.92306))-3.576327284</f>
        <v>66.2608718964765</v>
      </c>
      <c s="38" r="O364">
        <f>(((((E364*2)+36)*((((E364*2)+36)*(I364/672))+415))/((((E364*2)+36)*(1-(I364/672)))+415))/(1.980931))+4.9921912</f>
        <v>116.920546962712</v>
      </c>
      <c s="68" r="P364"/>
      <c s="38" r="Q364">
        <f>((((L364+M364)+N364)+O364)/(1.535645))-60.47703745</f>
        <v>190.525431097001</v>
      </c>
      <c s="63" r="R364"/>
      <c s="26" r="S364"/>
      <c s="26" r="T364"/>
    </row>
    <row customHeight="1" r="365" ht="14.25">
      <c t="s" s="45" r="A365">
        <v>462</v>
      </c>
      <c s="57" r="B365">
        <v>65</v>
      </c>
      <c s="8" r="C365">
        <v>130</v>
      </c>
      <c s="8" r="D365">
        <v>60</v>
      </c>
      <c s="8" r="E365">
        <v>75</v>
      </c>
      <c s="8" r="F365">
        <v>60</v>
      </c>
      <c s="27" r="G365">
        <v>75</v>
      </c>
      <c s="68" r="H365"/>
      <c s="20" r="I365">
        <f>INDEX('Speed Factors'!$A$2:$B$256,(G365),2)</f>
        <v>413</v>
      </c>
      <c s="20" r="J365">
        <f>SUM(B365:G365)</f>
        <v>465</v>
      </c>
      <c s="68" r="K365"/>
      <c s="38" r="L365">
        <f>((((B365*2)+141)*((D365*2)+36))/(402.744996))-24.57966407</f>
        <v>80.3899827782007</v>
      </c>
      <c s="38" r="M365">
        <f>((((B365*2)+141)*((F365*2)+36))/(416.310724))-19.16575597</f>
        <v>82.3833936502726</v>
      </c>
      <c s="38" r="N365">
        <f>(((((C365*2)+36)*((((C365*2)+36)*(I365/672))+415))/((((C365*2)+36)*(1-(I365/672)))+415))/(1.92306))-3.576327284</f>
        <v>170.079155837787</v>
      </c>
      <c s="38" r="O365">
        <f>(((((E365*2)+36)*((((E365*2)+36)*(I365/672))+415))/((((E365*2)+36)*(1-(I365/672)))+415))/(1.980931))+4.9921912</f>
        <v>107.110956216002</v>
      </c>
      <c s="68" r="P365"/>
      <c s="38" r="Q365">
        <f>((((L365+M365)+N365)+O365)/(1.535645))-60.47703745</f>
        <v>226.023741364285</v>
      </c>
      <c s="63" r="R365"/>
      <c s="26" r="S365"/>
      <c s="26" r="T365"/>
    </row>
    <row customHeight="1" r="366" ht="14.25">
      <c t="s" s="45" r="A366">
        <v>463</v>
      </c>
      <c s="75" r="B366">
        <v>95</v>
      </c>
      <c s="54" r="C366">
        <v>23</v>
      </c>
      <c s="54" r="D366">
        <v>48</v>
      </c>
      <c s="54" r="E366">
        <v>23</v>
      </c>
      <c s="54" r="F366">
        <v>48</v>
      </c>
      <c s="2" r="G366">
        <v>23</v>
      </c>
      <c s="68" r="H366"/>
      <c s="19" r="I366">
        <f>INDEX('Speed Factors'!$A$2:$B$256,(G366),2)</f>
        <v>28</v>
      </c>
      <c s="19" r="J366">
        <f>SUM(B366:G366)</f>
        <v>260</v>
      </c>
      <c s="68" r="K366"/>
      <c s="38" r="L366">
        <f>((((B366*2)+141)*((D366*2)+36))/(402.744996))-24.57966407</f>
        <v>83.9058551392815</v>
      </c>
      <c s="38" r="M366">
        <f>((((B366*2)+141)*((F366*2)+36))/(416.310724))-19.16575597</f>
        <v>85.784699257764</v>
      </c>
      <c s="38" r="N366">
        <f>(((((C366*2)+36)*((((C366*2)+36)*(I366/672))+415))/((((C366*2)+36)*(1-(I366/672)))+415))/(1.92306))-3.576327284</f>
        <v>32.5704436186594</v>
      </c>
      <c s="38" r="O366">
        <f>(((((E366*2)+36)*((((E366*2)+36)*(I366/672))+415))/((((E366*2)+36)*(1-(I366/672)))+415))/(1.980931))+4.9921912</f>
        <v>40.0829688454951</v>
      </c>
      <c s="68" r="P366"/>
      <c s="38" r="Q366">
        <f>((((L366+M366)+N366)+O366)/(1.535645))-60.47703745</f>
        <v>97.3354562325894</v>
      </c>
      <c s="63" r="R366"/>
      <c s="26" r="S366"/>
      <c s="26" r="T366"/>
    </row>
    <row customHeight="1" r="367" ht="14.25">
      <c t="s" s="45" r="A367">
        <v>464</v>
      </c>
      <c s="57" r="B367">
        <v>50</v>
      </c>
      <c s="8" r="C367">
        <v>50</v>
      </c>
      <c s="8" r="D367">
        <v>50</v>
      </c>
      <c s="8" r="E367">
        <v>50</v>
      </c>
      <c s="8" r="F367">
        <v>50</v>
      </c>
      <c s="27" r="G367">
        <v>50</v>
      </c>
      <c s="68" r="H367"/>
      <c s="20" r="I367">
        <f>INDEX('Speed Factors'!$A$2:$B$256,(G367),2)</f>
        <v>189</v>
      </c>
      <c s="20" r="J367">
        <f>SUM(B367:G367)</f>
        <v>300</v>
      </c>
      <c s="68" r="K367"/>
      <c s="38" r="L367">
        <f>((((B367*2)+141)*((D367*2)+36))/(402.744996))-24.57966407</f>
        <v>56.80185606191</v>
      </c>
      <c s="38" r="M367">
        <f>((((B367*2)+141)*((F367*2)+36))/(416.310724))-19.16575597</f>
        <v>59.5638998147018</v>
      </c>
      <c s="38" r="N367">
        <f>(((((C367*2)+36)*((((C367*2)+36)*(I367/672))+415))/((((C367*2)+36)*(1-(I367/672)))+415))/(1.92306))-3.576327284</f>
        <v>58.9378064581244</v>
      </c>
      <c s="38" r="O367">
        <f>(((((E367*2)+36)*((((E367*2)+36)*(I367/672))+415))/((((E367*2)+36)*(1-(I367/672)))+415))/(1.980931))+4.9921912</f>
        <v>65.6800344586141</v>
      </c>
      <c s="68" r="P367"/>
      <c s="38" r="Q367">
        <f>((((L367+M367)+N367)+O367)/(1.535645))-60.47703745</f>
        <v>96.4495938960144</v>
      </c>
      <c s="63" r="R367"/>
      <c s="26" r="S367"/>
      <c s="26" r="T367"/>
    </row>
    <row customHeight="1" r="368" ht="14.25">
      <c t="s" s="45" r="A368">
        <v>465</v>
      </c>
      <c s="75" r="B368">
        <v>80</v>
      </c>
      <c s="54" r="C368">
        <v>80</v>
      </c>
      <c s="54" r="D368">
        <v>80</v>
      </c>
      <c s="54" r="E368">
        <v>80</v>
      </c>
      <c s="54" r="F368">
        <v>80</v>
      </c>
      <c s="2" r="G368">
        <v>80</v>
      </c>
      <c s="68" r="H368"/>
      <c s="19" r="I368">
        <f>INDEX('Speed Factors'!$A$2:$B$256,(G368),2)</f>
        <v>432</v>
      </c>
      <c s="19" r="J368">
        <f>SUM(B368:G368)</f>
        <v>480</v>
      </c>
      <c s="68" r="K368"/>
      <c s="38" r="L368">
        <f>((((B368*2)+141)*((D368*2)+36))/(402.744996))-24.57966407</f>
        <v>121.905085798872</v>
      </c>
      <c s="38" r="M368">
        <f>((((B368*2)+141)*((F368*2)+36))/(416.310724))-19.16575597</f>
        <v>122.545702800877</v>
      </c>
      <c s="38" r="N368">
        <f>(((((C368*2)+36)*((((C368*2)+36)*(I368/672))+415))/((((C368*2)+36)*(1-(I368/672)))+415))/(1.92306))-3.576327284</f>
        <v>110.112755654157</v>
      </c>
      <c s="38" r="O368">
        <f>(((((E368*2)+36)*((((E368*2)+36)*(I368/672))+415))/((((E368*2)+36)*(1-(I368/672)))+415))/(1.980931))+4.9921912</f>
        <v>115.359956576508</v>
      </c>
      <c s="68" r="P368"/>
      <c s="38" r="Q368">
        <f>((((L368+M368)+N368)+O368)/(1.535645))-60.47703745</f>
        <v>245.533466820462</v>
      </c>
      <c s="63" r="R368"/>
      <c s="26" r="S368"/>
      <c s="26" r="T368"/>
    </row>
    <row customHeight="1" r="369" ht="14.25">
      <c t="s" s="45" r="A369">
        <v>466</v>
      </c>
      <c s="57" r="B369">
        <v>70</v>
      </c>
      <c s="8" r="C369">
        <v>40</v>
      </c>
      <c s="8" r="D369">
        <v>50</v>
      </c>
      <c s="8" r="E369">
        <v>55</v>
      </c>
      <c s="8" r="F369">
        <v>50</v>
      </c>
      <c s="27" r="G369">
        <v>25</v>
      </c>
      <c s="68" r="H369"/>
      <c s="20" r="I369">
        <f>INDEX('Speed Factors'!$A$2:$B$256,(G369),2)</f>
        <v>32</v>
      </c>
      <c s="20" r="J369">
        <f>SUM(B369:G369)</f>
        <v>290</v>
      </c>
      <c s="68" r="K369"/>
      <c s="38" r="L369">
        <f>((((B369*2)+141)*((D369*2)+36))/(402.744996))-24.57966407</f>
        <v>70.3091623078701</v>
      </c>
      <c s="38" r="M369">
        <f>((((B369*2)+141)*((F369*2)+36))/(416.310724))-19.16575597</f>
        <v>72.6310626005444</v>
      </c>
      <c s="38" r="N369">
        <f>(((((C369*2)+36)*((((C369*2)+36)*(I369/672))+415))/((((C369*2)+36)*(1-(I369/672)))+415))/(1.92306))-3.576327284</f>
        <v>44.6964962481566</v>
      </c>
      <c s="38" r="O369">
        <f>(((((E369*2)+36)*((((E369*2)+36)*(I369/672))+415))/((((E369*2)+36)*(1-(I369/672)))+415))/(1.980931))+4.9921912</f>
        <v>61.1228133960129</v>
      </c>
      <c s="68" r="P369"/>
      <c s="38" r="Q369">
        <f>((((L369+M369)+N369)+O369)/(1.535645))-60.47703745</f>
        <v>101.513223679743</v>
      </c>
      <c s="63" r="R369"/>
      <c s="26" r="S369"/>
      <c s="26" r="T369"/>
    </row>
    <row customHeight="1" r="370" ht="14.25">
      <c t="s" s="45" r="A370">
        <v>467</v>
      </c>
      <c s="75" r="B370">
        <v>90</v>
      </c>
      <c s="54" r="C370">
        <v>60</v>
      </c>
      <c s="54" r="D370">
        <v>70</v>
      </c>
      <c s="54" r="E370">
        <v>75</v>
      </c>
      <c s="54" r="F370">
        <v>70</v>
      </c>
      <c s="2" r="G370">
        <v>45</v>
      </c>
      <c s="68" r="H370"/>
      <c s="19" r="I370">
        <f>INDEX('Speed Factors'!$A$2:$B$256,(G370),2)</f>
        <v>154</v>
      </c>
      <c s="19" r="J370">
        <f>SUM(B370:G370)</f>
        <v>410</v>
      </c>
      <c s="68" r="K370"/>
      <c s="38" r="L370">
        <f>((((B370*2)+141)*((D370*2)+36))/(402.744996))-24.57966407</f>
        <v>115.697684031427</v>
      </c>
      <c s="38" r="M370">
        <f>((((B370*2)+141)*((F370*2)+36))/(416.310724))-19.16575597</f>
        <v>116.540572844148</v>
      </c>
      <c s="38" r="N370">
        <f>(((((C370*2)+36)*((((C370*2)+36)*(I370/672))+415))/((((C370*2)+36)*(1-(I370/672)))+415))/(1.92306))-3.576327284</f>
        <v>64.7378469774173</v>
      </c>
      <c s="38" r="O370">
        <f>(((((E370*2)+36)*((((E370*2)+36)*(I370/672))+415))/((((E370*2)+36)*(1-(I370/672)))+415))/(1.980931))+4.9921912</f>
        <v>81.9455131247213</v>
      </c>
      <c s="68" r="P370"/>
      <c s="38" r="Q370">
        <f>((((L370+M370)+N370)+O370)/(1.535645))-60.47703745</f>
        <v>186.273752594388</v>
      </c>
      <c s="63" r="R370"/>
      <c s="26" r="S370"/>
      <c s="26" r="T370"/>
    </row>
    <row customHeight="1" r="371" ht="14.25">
      <c t="s" s="45" r="A371">
        <v>468</v>
      </c>
      <c s="57" r="B371">
        <v>110</v>
      </c>
      <c s="8" r="C371">
        <v>80</v>
      </c>
      <c s="8" r="D371">
        <v>90</v>
      </c>
      <c s="8" r="E371">
        <v>95</v>
      </c>
      <c s="8" r="F371">
        <v>90</v>
      </c>
      <c s="27" r="G371">
        <v>65</v>
      </c>
      <c s="68" r="H371"/>
      <c s="20" r="I371">
        <f>INDEX('Speed Factors'!$A$2:$B$256,(G371),2)</f>
        <v>321</v>
      </c>
      <c s="20" r="J371">
        <f>SUM(B371:G371)</f>
        <v>530</v>
      </c>
      <c s="68" r="K371"/>
      <c s="38" r="L371">
        <f>((((B371*2)+141)*((D371*2)+36))/(402.744996))-24.57966407</f>
        <v>169.031680017314</v>
      </c>
      <c s="38" r="M371">
        <f>((((B371*2)+141)*((F371*2)+36))/(416.310724))-19.16575597</f>
        <v>168.136649432365</v>
      </c>
      <c s="38" r="N371">
        <f>(((((C371*2)+36)*((((C371*2)+36)*(I371/672))+415))/((((C371*2)+36)*(1-(I371/672)))+415))/(1.92306))-3.576327284</f>
        <v>96.6208530740429</v>
      </c>
      <c s="38" r="O371">
        <f>(((((E371*2)+36)*((((E371*2)+36)*(I371/672))+415))/((((E371*2)+36)*(1-(I371/672)))+415))/(1.980931))+4.9921912</f>
        <v>116.920546962712</v>
      </c>
      <c s="68" r="P371"/>
      <c s="38" r="Q371">
        <f>((((L371+M371)+N371)+O371)/(1.535645))-60.47703745</f>
        <v>298.140826370371</v>
      </c>
      <c s="63" r="R371"/>
      <c s="26" r="S371"/>
      <c s="26" r="T371"/>
    </row>
    <row customHeight="1" r="372" ht="14.25">
      <c t="s" s="45" r="A372">
        <v>469</v>
      </c>
      <c s="75" r="B372">
        <v>35</v>
      </c>
      <c s="54" r="C372">
        <v>64</v>
      </c>
      <c s="54" r="D372">
        <v>85</v>
      </c>
      <c s="54" r="E372">
        <v>74</v>
      </c>
      <c s="54" r="F372">
        <v>55</v>
      </c>
      <c s="2" r="G372">
        <v>32</v>
      </c>
      <c s="68" r="H372"/>
      <c s="19" r="I372">
        <f>INDEX('Speed Factors'!$A$2:$B$256,(G372),2)</f>
        <v>77</v>
      </c>
      <c s="19" r="J372">
        <f>SUM(B372:G372)</f>
        <v>345</v>
      </c>
      <c s="68" r="K372"/>
      <c s="38" r="L372">
        <f>((((B372*2)+141)*((D372*2)+36))/(402.744996))-24.57966407</f>
        <v>83.3447060195045</v>
      </c>
      <c s="38" r="M372">
        <f>((((B372*2)+141)*((F372*2)+36))/(416.310724))-19.16575597</f>
        <v>54.8318574087992</v>
      </c>
      <c s="38" r="N372">
        <f>(((((C372*2)+36)*((((C372*2)+36)*(I372/672))+415))/((((C372*2)+36)*(1-(I372/672)))+415))/(1.92306))-3.576327284</f>
        <v>62.4599607895932</v>
      </c>
      <c s="38" r="O372">
        <f>(((((E372*2)+36)*((((E372*2)+36)*(I372/672))+415))/((((E372*2)+36)*(1-(I372/672)))+415))/(1.980931))+4.9921912</f>
        <v>75.0816560301083</v>
      </c>
      <c s="68" r="P372"/>
      <c s="38" r="Q372">
        <f>((((L372+M372)+N372)+O372)/(1.535645))-60.47703745</f>
        <v>119.068482672167</v>
      </c>
      <c s="63" r="R372"/>
      <c s="26" r="S372"/>
      <c s="26" r="T372"/>
    </row>
    <row customHeight="1" r="373" ht="14.25">
      <c t="s" s="45" r="A373">
        <v>470</v>
      </c>
      <c s="57" r="B373">
        <v>55</v>
      </c>
      <c s="8" r="C373">
        <v>104</v>
      </c>
      <c s="8" r="D373">
        <v>105</v>
      </c>
      <c s="8" r="E373">
        <v>94</v>
      </c>
      <c s="8" r="F373">
        <v>75</v>
      </c>
      <c s="27" r="G373">
        <v>52</v>
      </c>
      <c s="68" r="H373"/>
      <c s="20" r="I373">
        <f>INDEX('Speed Factors'!$A$2:$B$256,(G373),2)</f>
        <v>231</v>
      </c>
      <c s="20" r="J373">
        <f>SUM(B373:G373)</f>
        <v>485</v>
      </c>
      <c s="68" r="K373"/>
      <c s="38" r="L373">
        <f>((((B373*2)+141)*((D373*2)+36))/(402.744996))-24.57966407</f>
        <v>128.733227743062</v>
      </c>
      <c s="38" r="M373">
        <f>((((B373*2)+141)*((F373*2)+36))/(416.310724))-19.16575597</f>
        <v>92.9764428939428</v>
      </c>
      <c s="38" r="N373">
        <f>(((((C373*2)+36)*((((C373*2)+36)*(I373/672))+415))/((((C373*2)+36)*(1-(I373/672)))+415))/(1.92306))-3.576327284</f>
        <v>106.482906831696</v>
      </c>
      <c s="38" r="O373">
        <f>(((((E373*2)+36)*((((E373*2)+36)*(I373/672))+415))/((((E373*2)+36)*(1-(I373/672)))+415))/(1.980931))+4.9921912</f>
        <v>103.985868480084</v>
      </c>
      <c s="68" r="P373"/>
      <c s="38" r="Q373">
        <f>((((L373+M373)+N373)+O373)/(1.535645))-60.47703745</f>
        <v>220.954182622858</v>
      </c>
      <c s="63" r="R373"/>
      <c s="26" r="S373"/>
      <c s="26" r="T373"/>
    </row>
    <row customHeight="1" r="374" ht="14.25">
      <c t="s" s="45" r="A374">
        <v>471</v>
      </c>
      <c s="75" r="B374">
        <v>55</v>
      </c>
      <c s="54" r="C374">
        <v>84</v>
      </c>
      <c s="54" r="D374">
        <v>105</v>
      </c>
      <c s="54" r="E374">
        <v>114</v>
      </c>
      <c s="54" r="F374">
        <v>75</v>
      </c>
      <c s="2" r="G374">
        <v>52</v>
      </c>
      <c s="68" r="H374"/>
      <c s="19" r="I374">
        <f>INDEX('Speed Factors'!$A$2:$B$256,(G374),2)</f>
        <v>231</v>
      </c>
      <c s="19" r="J374">
        <f>SUM(B374:G374)</f>
        <v>485</v>
      </c>
      <c s="68" r="K374"/>
      <c s="38" r="L374">
        <f>((((B374*2)+141)*((D374*2)+36))/(402.744996))-24.57966407</f>
        <v>128.733227743062</v>
      </c>
      <c s="38" r="M374">
        <f>((((B374*2)+141)*((F374*2)+36))/(416.310724))-19.16575597</f>
        <v>92.9764428939428</v>
      </c>
      <c s="38" r="N374">
        <f>(((((C374*2)+36)*((((C374*2)+36)*(I374/672))+415))/((((C374*2)+36)*(1-(I374/672)))+415))/(1.92306))-3.576327284</f>
        <v>90.1836597259991</v>
      </c>
      <c s="38" r="O374">
        <f>(((((E374*2)+36)*((((E374*2)+36)*(I374/672))+415))/((((E374*2)+36)*(1-(I374/672)))+415))/(1.980931))+4.9921912</f>
        <v>119.572116309385</v>
      </c>
      <c s="68" r="P374"/>
      <c s="38" r="Q374">
        <f>((((L374+M374)+N374)+O374)/(1.535645))-60.47703745</f>
        <v>220.489883076807</v>
      </c>
      <c s="63" r="R374"/>
      <c s="26" r="S374"/>
      <c s="26" r="T374"/>
    </row>
    <row customHeight="1" r="375" ht="14.25">
      <c t="s" s="45" r="A375">
        <v>472</v>
      </c>
      <c s="57" r="B375">
        <v>100</v>
      </c>
      <c s="8" r="C375">
        <v>90</v>
      </c>
      <c s="8" r="D375">
        <v>130</v>
      </c>
      <c s="8" r="E375">
        <v>45</v>
      </c>
      <c s="8" r="F375">
        <v>65</v>
      </c>
      <c s="27" r="G375">
        <v>55</v>
      </c>
      <c s="68" r="H375"/>
      <c s="20" r="I375">
        <f>INDEX('Speed Factors'!$A$2:$B$256,(G375),2)</f>
        <v>233</v>
      </c>
      <c s="20" r="J375">
        <f>SUM(B375:G375)</f>
        <v>485</v>
      </c>
      <c s="68" r="K375"/>
      <c s="38" r="L375">
        <f>((((B375*2)+141)*((D375*2)+36))/(402.744996))-24.57966407</f>
        <v>226.040457849528</v>
      </c>
      <c s="38" r="M375">
        <f>((((B375*2)+141)*((F375*2)+36))/(416.310724))-19.16575597</f>
        <v>116.804798562244</v>
      </c>
      <c s="38" r="N375">
        <f>(((((C375*2)+36)*((((C375*2)+36)*(I375/672))+415))/((((C375*2)+36)*(1-(I375/672)))+415))/(1.92306))-3.576327284</f>
        <v>95.370882158013</v>
      </c>
      <c s="38" r="O375">
        <f>(((((E375*2)+36)*((((E375*2)+36)*(I375/672))+415))/((((E375*2)+36)*(1-(I375/672)))+415))/(1.980931))+4.9921912</f>
        <v>63.6584949283713</v>
      </c>
      <c s="68" r="P375"/>
      <c s="38" r="Q375">
        <f>((((L375+M375)+N375)+O375)/(1.535645))-60.47703745</f>
        <v>266.339794238416</v>
      </c>
      <c s="63" r="R375"/>
      <c s="26" r="S375"/>
      <c s="26" r="T375"/>
    </row>
    <row customHeight="1" r="376" ht="14.25">
      <c t="s" s="45" r="A376">
        <v>473</v>
      </c>
      <c s="75" r="B376">
        <v>43</v>
      </c>
      <c s="54" r="C376">
        <v>30</v>
      </c>
      <c s="54" r="D376">
        <v>55</v>
      </c>
      <c s="54" r="E376">
        <v>40</v>
      </c>
      <c s="54" r="F376">
        <v>65</v>
      </c>
      <c s="2" r="G376">
        <v>97</v>
      </c>
      <c s="68" r="H376"/>
      <c s="19" r="I376">
        <f>INDEX('Speed Factors'!$A$2:$B$256,(G376),2)</f>
        <v>568</v>
      </c>
      <c s="19" r="J376">
        <f>SUM(B376:G376)</f>
        <v>330</v>
      </c>
      <c s="68" r="K376"/>
      <c s="38" r="L376">
        <f>((((B376*2)+141)*((D376*2)+36))/(402.744996))-24.57966407</f>
        <v>57.7106196806639</v>
      </c>
      <c s="38" r="M376">
        <f>((((B376*2)+141)*((F376*2)+36))/(416.310724))-19.16575597</f>
        <v>71.3483668417871</v>
      </c>
      <c s="38" r="N376">
        <f>(((((C376*2)+36)*((((C376*2)+36)*(I376/672))+415))/((((C376*2)+36)*(1-(I376/672)))+415))/(1.92306))-3.576327284</f>
        <v>54.0420461584839</v>
      </c>
      <c s="38" r="O376">
        <f>(((((E376*2)+36)*((((E376*2)+36)*(I376/672))+415))/((((E376*2)+36)*(1-(I376/672)))+415))/(1.980931))+4.9921912</f>
        <v>74.3836767341354</v>
      </c>
      <c s="68" r="P376"/>
      <c s="38" r="Q376">
        <f>((((L376+M376)+N376)+O376)/(1.535645))-60.47703745</f>
        <v>107.194989232645</v>
      </c>
      <c s="63" r="R376"/>
      <c s="26" r="S376"/>
      <c s="26" r="T376"/>
    </row>
    <row customHeight="1" r="377" ht="14.25">
      <c t="s" s="45" r="A377">
        <v>474</v>
      </c>
      <c s="57" r="B377">
        <v>45</v>
      </c>
      <c s="8" r="C377">
        <v>75</v>
      </c>
      <c s="8" r="D377">
        <v>60</v>
      </c>
      <c s="8" r="E377">
        <v>40</v>
      </c>
      <c s="8" r="F377">
        <v>30</v>
      </c>
      <c s="27" r="G377">
        <v>50</v>
      </c>
      <c s="68" r="H377"/>
      <c s="20" r="I377">
        <f>INDEX('Speed Factors'!$A$2:$B$256,(G377),2)</f>
        <v>189</v>
      </c>
      <c s="20" r="J377">
        <f>SUM(B377:G377)</f>
        <v>300</v>
      </c>
      <c s="68" r="K377"/>
      <c s="38" r="L377">
        <f>((((B377*2)+141)*((D377*2)+36))/(402.744996))-24.57966407</f>
        <v>64.8963079666582</v>
      </c>
      <c s="38" r="M377">
        <f>((((B377*2)+141)*((F377*2)+36))/(416.310724))-19.16575597</f>
        <v>34.1021487981702</v>
      </c>
      <c s="38" r="N377">
        <f>(((((C377*2)+36)*((((C377*2)+36)*(I377/672))+415))/((((C377*2)+36)*(1-(I377/672)))+415))/(1.92306))-3.576327284</f>
        <v>78.8000030497368</v>
      </c>
      <c s="38" r="O377">
        <f>(((((E377*2)+36)*((((E377*2)+36)*(I377/672))+415))/((((E377*2)+36)*(1-(I377/672)))+415))/(1.980931))+4.9921912</f>
        <v>57.5874657106356</v>
      </c>
      <c s="68" r="P377"/>
      <c s="38" r="Q377">
        <f>((((L377+M377)+N377)+O377)/(1.535645))-60.47703745</f>
        <v>92.8044341955956</v>
      </c>
      <c s="63" r="R377"/>
      <c s="26" r="S377"/>
      <c s="26" r="T377"/>
    </row>
    <row customHeight="1" r="378" ht="14.25">
      <c t="s" s="45" r="A378">
        <v>475</v>
      </c>
      <c s="75" r="B378">
        <v>65</v>
      </c>
      <c s="54" r="C378">
        <v>95</v>
      </c>
      <c s="54" r="D378">
        <v>100</v>
      </c>
      <c s="54" r="E378">
        <v>60</v>
      </c>
      <c s="54" r="F378">
        <v>50</v>
      </c>
      <c s="2" r="G378">
        <v>50</v>
      </c>
      <c s="68" r="H378"/>
      <c s="19" r="I378">
        <f>INDEX('Speed Factors'!$A$2:$B$256,(G378),2)</f>
        <v>189</v>
      </c>
      <c s="19" r="J378">
        <f>SUM(B378:G378)</f>
        <v>420</v>
      </c>
      <c s="68" r="K378"/>
      <c s="38" r="L378">
        <f>((((B378*2)+141)*((D378*2)+36))/(402.744996))-24.57966407</f>
        <v>134.220570905483</v>
      </c>
      <c s="38" r="M378">
        <f>((((B378*2)+141)*((F378*2)+36))/(416.310724))-19.16575597</f>
        <v>69.3642719040838</v>
      </c>
      <c s="38" r="N378">
        <f>(((((C378*2)+36)*((((C378*2)+36)*(I378/672))+415))/((((C378*2)+36)*(1-(I378/672)))+415))/(1.92306))-3.576327284</f>
        <v>93.8215035153632</v>
      </c>
      <c s="38" r="O378">
        <f>(((((E378*2)+36)*((((E378*2)+36)*(I378/672))+415))/((((E378*2)+36)*(1-(I378/672)))+415))/(1.980931))+4.9921912</f>
        <v>73.5467015802161</v>
      </c>
      <c s="68" r="P378"/>
      <c s="38" r="Q378">
        <f>((((L378+M378)+N378)+O378)/(1.535645))-60.47703745</f>
        <v>181.084682807707</v>
      </c>
      <c s="63" r="R378"/>
      <c s="26" r="S378"/>
      <c s="26" r="T378"/>
    </row>
    <row customHeight="1" r="379" ht="14.25">
      <c t="s" s="45" r="A379">
        <v>95</v>
      </c>
      <c s="57" r="B379">
        <v>95</v>
      </c>
      <c s="8" r="C379">
        <v>135</v>
      </c>
      <c s="8" r="D379">
        <v>80</v>
      </c>
      <c s="8" r="E379">
        <v>110</v>
      </c>
      <c s="8" r="F379">
        <v>80</v>
      </c>
      <c s="27" r="G379">
        <v>100</v>
      </c>
      <c s="68" r="H379"/>
      <c s="20" r="I379">
        <f>INDEX('Speed Factors'!$A$2:$B$256,(G379),2)</f>
        <v>577</v>
      </c>
      <c s="20" r="J379">
        <f>SUM(B379:G379)</f>
        <v>600</v>
      </c>
      <c s="68" r="K379"/>
      <c s="38" r="L379">
        <f>((((B379*2)+141)*((D379*2)+36))/(402.744996))-24.57966407</f>
        <v>136.504894755903</v>
      </c>
      <c s="38" r="M379">
        <f>((((B379*2)+141)*((F379*2)+36))/(416.310724))-19.16575597</f>
        <v>136.669768459104</v>
      </c>
      <c s="38" r="N379">
        <f>(((((C379*2)+36)*((((C379*2)+36)*(I379/672))+415))/((((C379*2)+36)*(1-(I379/672)))+415))/(1.92306))-3.576327284</f>
        <v>231.755930488383</v>
      </c>
      <c s="38" r="O379">
        <f>(((((E379*2)+36)*((((E379*2)+36)*(I379/672))+415))/((((E379*2)+36)*(1-(I379/672)))+415))/(1.980931))+4.9921912</f>
        <v>186.817413278589</v>
      </c>
      <c s="68" r="P379"/>
      <c s="38" r="Q379">
        <f>((((L379+M379)+N379)+O379)/(1.535645))-60.47703745</f>
        <v>389.983848354974</v>
      </c>
      <c s="63" r="R379"/>
      <c s="26" r="S379"/>
      <c s="26" r="T379"/>
    </row>
    <row customHeight="1" r="380" ht="14.25">
      <c t="s" s="45" r="A380">
        <v>476</v>
      </c>
      <c s="75" r="B380">
        <v>40</v>
      </c>
      <c s="54" r="C380">
        <v>55</v>
      </c>
      <c s="54" r="D380">
        <v>80</v>
      </c>
      <c s="54" r="E380">
        <v>35</v>
      </c>
      <c s="54" r="F380">
        <v>60</v>
      </c>
      <c s="2" r="G380">
        <v>30</v>
      </c>
      <c s="68" r="H380"/>
      <c s="19" r="I380">
        <f>INDEX('Speed Factors'!$A$2:$B$256,(G380),2)</f>
        <v>44</v>
      </c>
      <c s="19" r="J380">
        <f>SUM(B380:G380)</f>
        <v>300</v>
      </c>
      <c s="68" r="K380"/>
      <c s="38" r="L380">
        <f>((((B380*2)+141)*((D380*2)+36))/(402.744996))-24.57966407</f>
        <v>82.9722619134578</v>
      </c>
      <c s="38" r="M380">
        <f>((((B380*2)+141)*((F380*2)+36))/(416.310724))-19.16575597</f>
        <v>63.6473881852776</v>
      </c>
      <c s="38" r="N380">
        <f>(((((C380*2)+36)*((((C380*2)+36)*(I380/672))+415))/((((C380*2)+36)*(1-(I380/672)))+415))/(1.92306))-3.576327284</f>
        <v>54.8757524750147</v>
      </c>
      <c s="38" r="O380">
        <f>(((((E380*2)+36)*((((E380*2)+36)*(I380/672))+415))/((((E380*2)+36)*(1-(I380/672)))+415))/(1.980931))+4.9921912</f>
        <v>48.9134011807485</v>
      </c>
      <c s="68" r="P380"/>
      <c s="38" r="Q380">
        <f>((((L380+M380)+N380)+O380)/(1.535645))-60.47703745</f>
        <v>102.58721487036</v>
      </c>
      <c s="63" r="R380"/>
      <c s="26" r="S380"/>
      <c s="26" r="T380"/>
    </row>
    <row customHeight="1" r="381" ht="14.25">
      <c t="s" s="45" r="A381">
        <v>477</v>
      </c>
      <c s="57" r="B381">
        <v>60</v>
      </c>
      <c s="8" r="C381">
        <v>75</v>
      </c>
      <c s="8" r="D381">
        <v>100</v>
      </c>
      <c s="8" r="E381">
        <v>55</v>
      </c>
      <c s="8" r="F381">
        <v>80</v>
      </c>
      <c s="27" r="G381">
        <v>50</v>
      </c>
      <c s="68" r="H381"/>
      <c s="20" r="I381">
        <f>INDEX('Speed Factors'!$A$2:$B$256,(G381),2)</f>
        <v>189</v>
      </c>
      <c s="20" r="J381">
        <f>SUM(B381:G381)</f>
        <v>420</v>
      </c>
      <c s="68" r="K381"/>
      <c s="38" r="L381">
        <f>((((B381*2)+141)*((D381*2)+36))/(402.744996))-24.57966407</f>
        <v>128.360783637015</v>
      </c>
      <c s="38" r="M381">
        <f>((((B381*2)+141)*((F381*2)+36))/(416.310724))-19.16575597</f>
        <v>103.713615256575</v>
      </c>
      <c s="38" r="N381">
        <f>(((((C381*2)+36)*((((C381*2)+36)*(I381/672))+415))/((((C381*2)+36)*(1-(I381/672)))+415))/(1.92306))-3.576327284</f>
        <v>78.8000030497368</v>
      </c>
      <c s="38" r="O381">
        <f>(((((E381*2)+36)*((((E381*2)+36)*(I381/672))+415))/((((E381*2)+36)*(1-(I381/672)))+415))/(1.980931))+4.9921912</f>
        <v>69.6404346675808</v>
      </c>
      <c s="68" r="P381"/>
      <c s="38" r="Q381">
        <f>((((L381+M381)+N381)+O381)/(1.535645))-60.47703745</f>
        <v>187.311244744718</v>
      </c>
      <c s="63" r="R381"/>
      <c s="26" r="S381"/>
      <c s="26" r="T381"/>
    </row>
    <row customHeight="1" r="382" ht="14.25">
      <c t="s" s="45" r="A382">
        <v>90</v>
      </c>
      <c s="75" r="B382">
        <v>80</v>
      </c>
      <c s="54" r="C382">
        <v>135</v>
      </c>
      <c s="54" r="D382">
        <v>130</v>
      </c>
      <c s="54" r="E382">
        <v>95</v>
      </c>
      <c s="54" r="F382">
        <v>90</v>
      </c>
      <c s="2" r="G382">
        <v>70</v>
      </c>
      <c s="68" r="H382"/>
      <c s="19" r="I382">
        <f>INDEX('Speed Factors'!$A$2:$B$256,(G382),2)</f>
        <v>369</v>
      </c>
      <c s="19" r="J382">
        <f>SUM(B382:G382)</f>
        <v>600</v>
      </c>
      <c s="68" r="K382"/>
      <c s="38" r="L382">
        <f>((((B382*2)+141)*((D382*2)+36))/(402.744996))-24.57966407</f>
        <v>196.642203078909</v>
      </c>
      <c s="38" r="M382">
        <f>((((B382*2)+141)*((F382*2)+36))/(416.310724))-19.16575597</f>
        <v>137.006055736681</v>
      </c>
      <c s="38" r="N382">
        <f>(((((C382*2)+36)*((((C382*2)+36)*(I382/672))+415))/((((C382*2)+36)*(1-(I382/672)))+415))/(1.92306))-3.576327284</f>
        <v>164.19317065928</v>
      </c>
      <c s="38" r="O382">
        <f>(((((E382*2)+36)*((((E382*2)+36)*(I382/672))+415))/((((E382*2)+36)*(1-(I382/672)))+415))/(1.980931))+4.9921912</f>
        <v>123.979036850825</v>
      </c>
      <c s="68" r="P382"/>
      <c s="38" r="Q382">
        <f>((((L382+M382)+N382)+O382)/(1.535645))-60.47703745</f>
        <v>344.447581407676</v>
      </c>
      <c s="63" r="R382"/>
      <c s="26" r="S382"/>
      <c s="26" r="T382"/>
    </row>
    <row customHeight="1" r="383" ht="14.25">
      <c t="s" s="45" r="A383">
        <v>478</v>
      </c>
      <c s="57" r="B383">
        <v>80</v>
      </c>
      <c s="8" r="C383">
        <v>100</v>
      </c>
      <c s="8" r="D383">
        <v>200</v>
      </c>
      <c s="8" r="E383">
        <v>50</v>
      </c>
      <c s="8" r="F383">
        <v>100</v>
      </c>
      <c s="27" r="G383">
        <v>50</v>
      </c>
      <c s="68" r="H383"/>
      <c s="20" r="I383">
        <f>INDEX('Speed Factors'!$A$2:$B$256,(G383),2)</f>
        <v>189</v>
      </c>
      <c s="20" r="J383">
        <f>SUM(B383:G383)</f>
        <v>580</v>
      </c>
      <c s="68" r="K383"/>
      <c s="38" r="L383">
        <f>((((B383*2)+141)*((D383*2)+36))/(402.744996))-24.57966407</f>
        <v>301.274167270961</v>
      </c>
      <c s="38" r="M383">
        <f>((((B383*2)+141)*((F383*2)+36))/(416.310724))-19.16575597</f>
        <v>151.466408672485</v>
      </c>
      <c s="38" r="N383">
        <f>(((((C383*2)+36)*((((C383*2)+36)*(I383/672))+415))/((((C383*2)+36)*(1-(I383/672)))+415))/(1.92306))-3.576327284</f>
        <v>97.4711131415151</v>
      </c>
      <c s="38" r="O383">
        <f>(((((E383*2)+36)*((((E383*2)+36)*(I383/672))+415))/((((E383*2)+36)*(1-(I383/672)))+415))/(1.980931))+4.9921912</f>
        <v>65.6800344586141</v>
      </c>
      <c s="68" r="P383"/>
      <c s="38" r="Q383">
        <f>((((L383+M383)+N383)+O383)/(1.535645))-60.47703745</f>
        <v>340.586830529627</v>
      </c>
      <c s="63" r="R383"/>
      <c s="26" r="S383"/>
      <c s="26" r="T383"/>
    </row>
    <row customHeight="1" r="384" ht="14.25">
      <c t="s" s="45" r="A384">
        <v>479</v>
      </c>
      <c s="75" r="B384">
        <v>80</v>
      </c>
      <c s="54" r="C384">
        <v>50</v>
      </c>
      <c s="54" r="D384">
        <v>100</v>
      </c>
      <c s="54" r="E384">
        <v>100</v>
      </c>
      <c s="54" r="F384">
        <v>200</v>
      </c>
      <c s="2" r="G384">
        <v>50</v>
      </c>
      <c s="68" r="H384"/>
      <c s="19" r="I384">
        <f>INDEX('Speed Factors'!$A$2:$B$256,(G384),2)</f>
        <v>189</v>
      </c>
      <c s="19" r="J384">
        <f>SUM(B384:G384)</f>
        <v>580</v>
      </c>
      <c s="68" r="K384"/>
      <c s="38" r="L384">
        <f>((((B384*2)+141)*((D384*2)+36))/(402.744996))-24.57966407</f>
        <v>151.799932710887</v>
      </c>
      <c s="38" r="M384">
        <f>((((B384*2)+141)*((F384*2)+36))/(416.310724))-19.16575597</f>
        <v>296.069938030523</v>
      </c>
      <c s="38" r="N384">
        <f>(((((C384*2)+36)*((((C384*2)+36)*(I384/672))+415))/((((C384*2)+36)*(1-(I384/672)))+415))/(1.92306))-3.576327284</f>
        <v>58.9378064581244</v>
      </c>
      <c s="38" r="O384">
        <f>(((((E384*2)+36)*((((E384*2)+36)*(I384/672))+415))/((((E384*2)+36)*(1-(I384/672)))+415))/(1.980931))+4.9921912</f>
        <v>103.087627530034</v>
      </c>
      <c s="68" r="P384"/>
      <c s="38" r="Q384">
        <f>((((L384+M384)+N384)+O384)/(1.535645))-60.47703745</f>
        <v>336.682009549514</v>
      </c>
      <c s="63" r="R384"/>
      <c s="26" r="S384"/>
      <c s="26" r="T384"/>
    </row>
    <row customHeight="1" r="385" ht="14.25">
      <c t="s" s="45" r="A385">
        <v>480</v>
      </c>
      <c s="57" r="B385">
        <v>80</v>
      </c>
      <c s="8" r="C385">
        <v>75</v>
      </c>
      <c s="8" r="D385">
        <v>150</v>
      </c>
      <c s="8" r="E385">
        <v>75</v>
      </c>
      <c s="8" r="F385">
        <v>150</v>
      </c>
      <c s="27" r="G385">
        <v>50</v>
      </c>
      <c s="68" r="H385"/>
      <c s="20" r="I385">
        <f>INDEX('Speed Factors'!$A$2:$B$256,(G385),2)</f>
        <v>189</v>
      </c>
      <c s="20" r="J385">
        <f>SUM(B385:G385)</f>
        <v>580</v>
      </c>
      <c s="68" r="K385"/>
      <c s="38" r="L385">
        <f>((((B385*2)+141)*((D385*2)+36))/(402.744996))-24.57966407</f>
        <v>226.537049990924</v>
      </c>
      <c s="38" r="M385">
        <f>((((B385*2)+141)*((F385*2)+36))/(416.310724))-19.16575597</f>
        <v>223.768173351504</v>
      </c>
      <c s="38" r="N385">
        <f>(((((C385*2)+36)*((((C385*2)+36)*(I385/672))+415))/((((C385*2)+36)*(1-(I385/672)))+415))/(1.92306))-3.576327284</f>
        <v>78.8000030497368</v>
      </c>
      <c s="38" r="O385">
        <f>(((((E385*2)+36)*((((E385*2)+36)*(I385/672))+415))/((((E385*2)+36)*(1-(I385/672)))+415))/(1.980931))+4.9921912</f>
        <v>84.9619760191562</v>
      </c>
      <c s="68" r="P385"/>
      <c s="38" r="Q385">
        <f>((((L385+M385)+N385)+O385)/(1.535645))-60.47703745</f>
        <v>339.398716654185</v>
      </c>
      <c s="63" r="R385"/>
      <c s="26" r="S385"/>
      <c s="26" r="T385"/>
    </row>
    <row customHeight="1" r="386" ht="14.25">
      <c t="s" s="45" r="A386">
        <v>85</v>
      </c>
      <c s="75" r="B386">
        <v>80</v>
      </c>
      <c s="54" r="C386">
        <v>80</v>
      </c>
      <c s="54" r="D386">
        <v>90</v>
      </c>
      <c s="54" r="E386">
        <v>110</v>
      </c>
      <c s="54" r="F386">
        <v>130</v>
      </c>
      <c s="2" r="G386">
        <v>110</v>
      </c>
      <c s="68" r="H386"/>
      <c s="19" r="I386">
        <f>INDEX('Speed Factors'!$A$2:$B$256,(G386),2)</f>
        <v>627</v>
      </c>
      <c s="19" r="J386">
        <f>SUM(B386:G386)</f>
        <v>600</v>
      </c>
      <c s="68" r="K386"/>
      <c s="38" r="L386">
        <f>((((B386*2)+141)*((D386*2)+36))/(402.744996))-24.57966407</f>
        <v>136.85250925488</v>
      </c>
      <c s="38" r="M386">
        <f>((((B386*2)+141)*((F386*2)+36))/(416.310724))-19.16575597</f>
        <v>194.847467479896</v>
      </c>
      <c s="38" r="N386">
        <f>(((((C386*2)+36)*((((C386*2)+36)*(I386/672))+415))/((((C386*2)+36)*(1-(I386/672)))+415))/(1.92306))-3.576327284</f>
        <v>138.75583326821</v>
      </c>
      <c s="38" r="O386">
        <f>(((((E386*2)+36)*((((E386*2)+36)*(I386/672))+415))/((((E386*2)+36)*(1-(I386/672)))+415))/(1.980931))+4.9921912</f>
        <v>200.527931676248</v>
      </c>
      <c s="68" r="P386"/>
      <c s="38" r="Q386">
        <f>((((L386+M386)+N386)+O386)/(1.535645))-60.47703745</f>
        <v>376.462321372667</v>
      </c>
      <c s="63" r="R386"/>
      <c s="26" r="S386"/>
      <c s="26" r="T386"/>
    </row>
    <row customHeight="1" r="387" ht="14.25">
      <c t="s" s="45" r="A387">
        <v>86</v>
      </c>
      <c s="57" r="B387">
        <v>80</v>
      </c>
      <c s="8" r="C387">
        <v>90</v>
      </c>
      <c s="8" r="D387">
        <v>80</v>
      </c>
      <c s="8" r="E387">
        <v>130</v>
      </c>
      <c s="8" r="F387">
        <v>110</v>
      </c>
      <c s="27" r="G387">
        <v>110</v>
      </c>
      <c s="68" r="H387"/>
      <c s="20" r="I387">
        <f>INDEX('Speed Factors'!$A$2:$B$256,(G387),2)</f>
        <v>627</v>
      </c>
      <c s="20" r="J387">
        <f>SUM(B387:G387)</f>
        <v>600</v>
      </c>
      <c s="68" r="K387"/>
      <c s="38" r="L387">
        <f>((((B387*2)+141)*((D387*2)+36))/(402.744996))-24.57966407</f>
        <v>121.905085798872</v>
      </c>
      <c s="38" r="M387">
        <f>((((B387*2)+141)*((F387*2)+36))/(416.310724))-19.16575597</f>
        <v>165.926761608288</v>
      </c>
      <c s="38" r="N387">
        <f>(((((C387*2)+36)*((((C387*2)+36)*(I387/672))+415))/((((C387*2)+36)*(1-(I387/672)))+415))/(1.92306))-3.576327284</f>
        <v>157.67084304245</v>
      </c>
      <c s="38" r="O387">
        <f>(((((E387*2)+36)*((((E387*2)+36)*(I387/672))+415))/((((E387*2)+36)*(1-(I387/672)))+415))/(1.980931))+4.9921912</f>
        <v>242.513014184902</v>
      </c>
      <c s="68" r="P387"/>
      <c s="38" r="Q387">
        <f>((((L387+M387)+N387)+O387)/(1.535645))-60.47703745</f>
        <v>387.553402289987</v>
      </c>
      <c s="63" r="R387"/>
      <c s="26" r="S387"/>
      <c s="26" r="T387"/>
    </row>
    <row customHeight="1" r="388" ht="14.25">
      <c t="s" s="45" r="A388">
        <v>481</v>
      </c>
      <c s="75" r="B388">
        <v>100</v>
      </c>
      <c s="54" r="C388">
        <v>100</v>
      </c>
      <c s="54" r="D388">
        <v>90</v>
      </c>
      <c s="54" r="E388">
        <v>150</v>
      </c>
      <c s="54" r="F388">
        <v>140</v>
      </c>
      <c s="2" r="G388">
        <v>90</v>
      </c>
      <c s="68" r="H388"/>
      <c s="19" r="I388">
        <f>INDEX('Speed Factors'!$A$2:$B$256,(G388),2)</f>
        <v>503</v>
      </c>
      <c s="19" r="J388">
        <f>SUM(B388:G388)</f>
        <v>670</v>
      </c>
      <c s="68" r="K388"/>
      <c s="38" r="L388">
        <f>((((B388*2)+141)*((D388*2)+36))/(402.744996))-24.57966407</f>
        <v>158.305289763169</v>
      </c>
      <c s="38" r="M388">
        <f>((((B388*2)+141)*((F388*2)+36))/(416.310724))-19.16575597</f>
        <v>239.669757476922</v>
      </c>
      <c s="38" r="N388">
        <f>(((((C388*2)+36)*((((C388*2)+36)*(I388/672))+415))/((((C388*2)+36)*(1-(I388/672)))+415))/(1.92306))-3.576327284</f>
        <v>149.491235970862</v>
      </c>
      <c s="38" r="O388">
        <f>(((((E388*2)+36)*((((E388*2)+36)*(I388/672))+415))/((((E388*2)+36)*(1-(I388/672)))+415))/(1.980931))+4.9921912</f>
        <v>231.318265321883</v>
      </c>
      <c s="68" r="P388"/>
      <c s="38" r="Q388">
        <f>((((L388+M388)+N388)+O388)/(1.535645))-60.47703745</f>
        <v>446.66136272246</v>
      </c>
      <c s="63" r="R388"/>
      <c s="26" r="S388"/>
      <c s="26" r="T388"/>
    </row>
    <row customHeight="1" r="389" ht="14.25">
      <c t="s" s="45" r="A389">
        <v>482</v>
      </c>
      <c s="57" r="B389">
        <v>100</v>
      </c>
      <c s="8" r="C389">
        <v>150</v>
      </c>
      <c s="8" r="D389">
        <v>140</v>
      </c>
      <c s="8" r="E389">
        <v>100</v>
      </c>
      <c s="8" r="F389">
        <v>90</v>
      </c>
      <c s="27" r="G389">
        <v>90</v>
      </c>
      <c s="68" r="H389"/>
      <c s="20" r="I389">
        <f>INDEX('Speed Factors'!$A$2:$B$256,(G389),2)</f>
        <v>503</v>
      </c>
      <c s="20" r="J389">
        <f>SUM(B389:G389)</f>
        <v>670</v>
      </c>
      <c s="68" r="K389"/>
      <c s="38" r="L389">
        <f>((((B389*2)+141)*((D389*2)+36))/(402.744996))-24.57966407</f>
        <v>242.974249871118</v>
      </c>
      <c s="38" r="M389">
        <f>((((B389*2)+141)*((F389*2)+36))/(416.310724))-19.16575597</f>
        <v>157.759784867137</v>
      </c>
      <c s="38" r="N389">
        <f>(((((C389*2)+36)*((((C389*2)+36)*(I389/672))+415))/((((C389*2)+36)*(1-(I389/672)))+415))/(1.92306))-3.576327284</f>
        <v>229.560619216024</v>
      </c>
      <c s="38" r="O389">
        <f>(((((E389*2)+36)*((((E389*2)+36)*(I389/672))+415))/((((E389*2)+36)*(1-(I389/672)))+415))/(1.980931))+4.9921912</f>
        <v>153.588032343833</v>
      </c>
      <c s="68" r="P389"/>
      <c s="38" r="Q389">
        <f>((((L389+M389)+N389)+O389)/(1.535645))-60.47703745</f>
        <v>449.981230117122</v>
      </c>
      <c s="63" r="R389"/>
      <c s="26" r="S389"/>
      <c s="26" r="T389"/>
    </row>
    <row customHeight="1" r="390" ht="14.25">
      <c t="s" s="45" r="A390">
        <v>483</v>
      </c>
      <c s="75" r="B390">
        <v>105</v>
      </c>
      <c s="54" r="C390">
        <v>150</v>
      </c>
      <c s="54" r="D390">
        <v>90</v>
      </c>
      <c s="54" r="E390">
        <v>150</v>
      </c>
      <c s="54" r="F390">
        <v>90</v>
      </c>
      <c s="2" r="G390">
        <v>95</v>
      </c>
      <c s="68" r="H390"/>
      <c s="19" r="I390">
        <f>INDEX('Speed Factors'!$A$2:$B$256,(G390),2)</f>
        <v>542</v>
      </c>
      <c s="19" r="J390">
        <f>SUM(B390:G390)</f>
        <v>680</v>
      </c>
      <c s="68" r="K390"/>
      <c s="38" r="L390">
        <f>((((B390*2)+141)*((D390*2)+36))/(402.744996))-24.57966407</f>
        <v>163.668484890242</v>
      </c>
      <c s="38" r="M390">
        <f>((((B390*2)+141)*((F390*2)+36))/(416.310724))-19.16575597</f>
        <v>162.948217149751</v>
      </c>
      <c s="38" r="N390">
        <f>(((((C390*2)+36)*((((C390*2)+36)*(I390/672))+415))/((((C390*2)+36)*(1-(I390/672)))+415))/(1.92306))-3.576327284</f>
        <v>246.129870130537</v>
      </c>
      <c s="38" r="O390">
        <f>(((((E390*2)+36)*((((E390*2)+36)*(I390/672))+415))/((((E390*2)+36)*(1-(I390/672)))+415))/(1.980931))+4.9921912</f>
        <v>247.403461456258</v>
      </c>
      <c s="68" r="P390"/>
      <c s="38" r="Q390">
        <f>((((L390+M390)+N390)+O390)/(1.535645))-60.47703745</f>
        <v>473.598242726596</v>
      </c>
      <c s="63" r="R390"/>
      <c s="26" r="S390"/>
      <c s="26" r="T390"/>
    </row>
    <row customHeight="1" r="391" ht="14.25">
      <c t="s" s="45" r="A391">
        <v>80</v>
      </c>
      <c s="57" r="B391">
        <v>100</v>
      </c>
      <c s="8" r="C391">
        <v>100</v>
      </c>
      <c s="8" r="D391">
        <v>100</v>
      </c>
      <c s="8" r="E391">
        <v>100</v>
      </c>
      <c s="8" r="F391">
        <v>100</v>
      </c>
      <c s="27" r="G391">
        <v>100</v>
      </c>
      <c s="68" r="H391"/>
      <c s="20" r="I391">
        <f>INDEX('Speed Factors'!$A$2:$B$256,(G391),2)</f>
        <v>577</v>
      </c>
      <c s="20" r="J391">
        <f>SUM(B391:G391)</f>
        <v>600</v>
      </c>
      <c s="68" r="K391"/>
      <c s="38" r="L391">
        <f>((((B391*2)+141)*((D391*2)+36))/(402.744996))-24.57966407</f>
        <v>175.239081784759</v>
      </c>
      <c s="38" r="M391">
        <f>((((B391*2)+141)*((F391*2)+36))/(416.310724))-19.16575597</f>
        <v>174.141779389094</v>
      </c>
      <c s="38" r="N391">
        <f>(((((C391*2)+36)*((((C391*2)+36)*(I391/672))+415))/((((C391*2)+36)*(1-(I391/672)))+415))/(1.92306))-3.576327284</f>
        <v>165.476542525297</v>
      </c>
      <c s="38" r="O391">
        <f>(((((E391*2)+36)*((((E391*2)+36)*(I391/672))+415))/((((E391*2)+36)*(1-(I391/672)))+415))/(1.980931))+4.9921912</f>
        <v>169.106343492769</v>
      </c>
      <c s="68" r="P391"/>
      <c s="38" r="Q391">
        <f>((((L391+M391)+N391)+O391)/(1.535645))-60.47703745</f>
        <v>384.914799329932</v>
      </c>
      <c s="63" r="R391"/>
      <c s="26" r="S391"/>
      <c s="26" r="T391"/>
    </row>
    <row customHeight="1" r="392" ht="14.25">
      <c t="s" s="45" r="A392">
        <v>484</v>
      </c>
      <c s="75" r="B392">
        <v>50</v>
      </c>
      <c s="54" r="C392">
        <v>150</v>
      </c>
      <c s="54" r="D392">
        <v>50</v>
      </c>
      <c s="54" r="E392">
        <v>150</v>
      </c>
      <c s="54" r="F392">
        <v>50</v>
      </c>
      <c s="2" r="G392">
        <v>150</v>
      </c>
      <c s="68" r="H392"/>
      <c s="19" r="I392">
        <f>INDEX('Speed Factors'!$A$2:$B$256,(G392),2)</f>
        <v>668</v>
      </c>
      <c s="19" r="J392">
        <f>SUM(B392:G392)</f>
        <v>600</v>
      </c>
      <c s="68" r="K392"/>
      <c s="38" r="L392">
        <f>((((B392*2)+141)*((D392*2)+36))/(402.744996))-24.57966407</f>
        <v>56.80185606191</v>
      </c>
      <c s="38" r="M392">
        <f>((((B392*2)+141)*((F392*2)+36))/(416.310724))-19.16575597</f>
        <v>59.5638998147018</v>
      </c>
      <c s="38" r="N392">
        <f>(((((C392*2)+36)*((((C392*2)+36)*(I392/672))+415))/((((C392*2)+36)*(1-(I392/672)))+415))/(1.92306))-3.576327284</f>
        <v>310.252045916476</v>
      </c>
      <c s="38" r="O392">
        <f>(((((E392*2)+36)*((((E392*2)+36)*(I392/672))+415))/((((E392*2)+36)*(1-(I392/672)))+415))/(1.980931))+4.9921912</f>
        <v>309.652369352044</v>
      </c>
      <c s="68" r="P392"/>
      <c s="38" r="Q392">
        <f>((((L392+M392)+N392)+O392)/(1.535645))-60.47703745</f>
        <v>418.976333052382</v>
      </c>
      <c s="63" r="R392"/>
      <c s="26" r="S392"/>
      <c s="26" r="T392"/>
    </row>
    <row customHeight="1" r="393" ht="14.25">
      <c t="s" s="45" r="A393">
        <v>485</v>
      </c>
      <c s="57" r="B393">
        <v>50</v>
      </c>
      <c s="8" r="C393">
        <v>180</v>
      </c>
      <c s="8" r="D393">
        <v>20</v>
      </c>
      <c s="8" r="E393">
        <v>180</v>
      </c>
      <c s="8" r="F393">
        <v>20</v>
      </c>
      <c s="27" r="G393">
        <v>150</v>
      </c>
      <c s="68" r="H393"/>
      <c s="20" r="I393">
        <f>INDEX('Speed Factors'!$A$2:$B$256,(G393),2)</f>
        <v>668</v>
      </c>
      <c s="20" r="J393">
        <f>SUM(B393:G393)</f>
        <v>600</v>
      </c>
      <c s="68" r="K393"/>
      <c s="38" r="L393">
        <f>((((B393*2)+141)*((D393*2)+36))/(402.744996))-24.57966407</f>
        <v>20.8982442390085</v>
      </c>
      <c s="38" r="M393">
        <f>((((B393*2)+141)*((F393*2)+36))/(416.310724))-19.16575597</f>
        <v>24.8302281449804</v>
      </c>
      <c s="38" r="N393">
        <f>(((((C393*2)+36)*((((C393*2)+36)*(I393/672))+415))/((((C393*2)+36)*(1-(I393/672)))+415))/(1.92306))-3.576327284</f>
        <v>395.403791647944</v>
      </c>
      <c s="38" r="O393">
        <f>(((((E393*2)+36)*((((E393*2)+36)*(I393/672))+415))/((((E393*2)+36)*(1-(I393/672)))+415))/(1.980931))+4.9921912</f>
        <v>392.316488468943</v>
      </c>
      <c s="68" r="P393"/>
      <c s="38" r="Q393">
        <f>((((L393+M393)+N393)+O393)/(1.535645))-60.47703745</f>
        <v>482.258264329302</v>
      </c>
      <c s="63" r="R393"/>
      <c s="26" r="S393"/>
      <c s="26" r="T393"/>
    </row>
    <row customHeight="1" r="394" ht="14.25">
      <c t="s" s="45" r="A394">
        <v>486</v>
      </c>
      <c s="75" r="B394">
        <v>50</v>
      </c>
      <c s="54" r="C394">
        <v>70</v>
      </c>
      <c s="54" r="D394">
        <v>160</v>
      </c>
      <c s="54" r="E394">
        <v>70</v>
      </c>
      <c s="54" r="F394">
        <v>160</v>
      </c>
      <c s="2" r="G394">
        <v>90</v>
      </c>
      <c s="68" r="H394"/>
      <c s="19" r="I394">
        <f>INDEX('Speed Factors'!$A$2:$B$256,(G394),2)</f>
        <v>503</v>
      </c>
      <c s="19" r="J394">
        <f>SUM(B394:G394)</f>
        <v>600</v>
      </c>
      <c s="68" r="K394"/>
      <c s="38" r="L394">
        <f>((((B394*2)+141)*((D394*2)+36))/(402.744996))-24.57966407</f>
        <v>188.448432745882</v>
      </c>
      <c s="38" r="M394">
        <f>((((B394*2)+141)*((F394*2)+36))/(416.310724))-19.16575597</f>
        <v>186.920695937014</v>
      </c>
      <c s="38" r="N394">
        <f>(((((C394*2)+36)*((((C394*2)+36)*(I394/672))+415))/((((C394*2)+36)*(1-(I394/672)))+415))/(1.92306))-3.576327284</f>
        <v>105.376560580163</v>
      </c>
      <c s="38" r="O394">
        <f>(((((E394*2)+36)*((((E394*2)+36)*(I394/672))+415))/((((E394*2)+36)*(1-(I394/672)))+415))/(1.980931))+4.9921912</f>
        <v>110.7621249009</v>
      </c>
      <c s="68" r="P394"/>
      <c s="38" r="Q394">
        <f>((((L394+M394)+N394)+O394)/(1.535645))-60.47703745</f>
        <v>324.708219666038</v>
      </c>
      <c s="63" r="R394"/>
      <c s="26" r="S394"/>
      <c s="26" r="T394"/>
    </row>
    <row customHeight="1" r="395" ht="14.25">
      <c t="s" s="45" r="A395">
        <v>487</v>
      </c>
      <c s="57" r="B395">
        <v>50</v>
      </c>
      <c s="8" r="C395">
        <v>95</v>
      </c>
      <c s="8" r="D395">
        <v>90</v>
      </c>
      <c s="8" r="E395">
        <v>95</v>
      </c>
      <c s="8" r="F395">
        <v>90</v>
      </c>
      <c s="27" r="G395">
        <v>180</v>
      </c>
      <c s="68" r="H395"/>
      <c s="20" r="I395">
        <f>INDEX('Speed Factors'!$A$2:$B$256,(G395),2)</f>
        <v>671</v>
      </c>
      <c s="20" r="J395">
        <f>SUM(B395:G395)</f>
        <v>600</v>
      </c>
      <c s="68" r="K395"/>
      <c s="38" r="L395">
        <f>((((B395*2)+141)*((D395*2)+36))/(402.744996))-24.57966407</f>
        <v>104.673338492445</v>
      </c>
      <c s="38" r="M395">
        <f>((((B395*2)+141)*((F395*2)+36))/(416.310724))-19.16575597</f>
        <v>105.875462040997</v>
      </c>
      <c s="38" r="N395">
        <f>(((((C395*2)+36)*((((C395*2)+36)*(I395/672))+415))/((((C395*2)+36)*(1-(I395/672)))+415))/(1.92306))-3.576327284</f>
        <v>177.701971153062</v>
      </c>
      <c s="38" r="O395">
        <f>(((((E395*2)+36)*((((E395*2)+36)*(I395/672))+415))/((((E395*2)+36)*(1-(I395/672)))+415))/(1.980931))+4.9921912</f>
        <v>180.974617943979</v>
      </c>
      <c s="68" r="P395"/>
      <c s="38" r="Q395">
        <f>((((L395+M395)+N395)+O395)/(1.535645))-60.47703745</f>
        <v>310.198079279767</v>
      </c>
      <c s="63" r="R395"/>
      <c s="26" r="S395"/>
      <c s="26" r="T395"/>
    </row>
    <row customHeight="1" r="396" ht="14.25">
      <c t="s" s="45" r="A396">
        <v>488</v>
      </c>
      <c s="75" r="B396">
        <v>55</v>
      </c>
      <c s="54" r="C396">
        <v>68</v>
      </c>
      <c s="54" r="D396">
        <v>64</v>
      </c>
      <c s="54" r="E396">
        <v>45</v>
      </c>
      <c s="54" r="F396">
        <v>55</v>
      </c>
      <c s="2" r="G396">
        <v>31</v>
      </c>
      <c s="68" r="H396"/>
      <c s="19" r="I396">
        <f>INDEX('Speed Factors'!$A$2:$B$256,(G396),2)</f>
        <v>75</v>
      </c>
      <c s="19" r="J396">
        <f>SUM(B396:G396)</f>
        <v>318</v>
      </c>
      <c s="68" r="K396"/>
      <c s="38" r="L396">
        <f>((((B396*2)+141)*((D396*2)+36))/(402.744996))-24.57966407</f>
        <v>77.6289304720412</v>
      </c>
      <c s="38" r="M396">
        <f>((((B396*2)+141)*((F396*2)+36))/(416.310724))-19.16575597</f>
        <v>68.8598409877185</v>
      </c>
      <c s="38" r="N396">
        <f>(((((C396*2)+36)*((((C396*2)+36)*(I396/672))+415))/((((C396*2)+36)*(1-(I396/672)))+415))/(1.92306))-3.576327284</f>
        <v>64.8185759403322</v>
      </c>
      <c s="38" r="O396">
        <f>(((((E396*2)+36)*((((E396*2)+36)*(I396/672))+415))/((((E396*2)+36)*(1-(I396/672)))+415))/(1.980931))+4.9921912</f>
        <v>56.7841872550382</v>
      </c>
      <c s="68" r="P396"/>
      <c s="38" r="Q396">
        <f>((((L396+M396)+N396)+O396)/(1.535645))-60.47703745</f>
        <v>114.102070778223</v>
      </c>
      <c s="63" r="R396"/>
      <c s="26" r="S396"/>
      <c s="26" r="T396"/>
    </row>
    <row customHeight="1" r="397" ht="14.25">
      <c t="s" s="45" r="A397">
        <v>489</v>
      </c>
      <c s="57" r="B397">
        <v>75</v>
      </c>
      <c s="8" r="C397">
        <v>89</v>
      </c>
      <c s="8" r="D397">
        <v>85</v>
      </c>
      <c s="8" r="E397">
        <v>55</v>
      </c>
      <c s="8" r="F397">
        <v>65</v>
      </c>
      <c s="27" r="G397">
        <v>36</v>
      </c>
      <c s="68" r="H397"/>
      <c s="20" r="I397">
        <f>INDEX('Speed Factors'!$A$2:$B$256,(G397),2)</f>
        <v>104</v>
      </c>
      <c s="20" r="J397">
        <f>SUM(B397:G397)</f>
        <v>405</v>
      </c>
      <c s="68" r="K397"/>
      <c s="38" r="L397">
        <f>((((B397*2)+141)*((D397*2)+36))/(402.744996))-24.57966407</f>
        <v>124.263898470501</v>
      </c>
      <c s="38" r="M397">
        <f>((((B397*2)+141)*((F397*2)+36))/(416.310724))-19.16575597</f>
        <v>96.8677671059033</v>
      </c>
      <c s="38" r="N397">
        <f>(((((C397*2)+36)*((((C397*2)+36)*(I397/672))+415))/((((C397*2)+36)*(1-(I397/672)))+415))/(1.92306))-3.576327284</f>
        <v>80.1100638491736</v>
      </c>
      <c s="38" r="O397">
        <f>(((((E397*2)+36)*((((E397*2)+36)*(I397/672))+415))/((((E397*2)+36)*(1-(I397/672)))+415))/(1.980931))+4.9921912</f>
        <v>64.8950021760689</v>
      </c>
      <c s="68" r="P397"/>
      <c s="38" r="Q397">
        <f>((((L397+M397)+N397)+O397)/(1.535645))-60.47703745</f>
        <v>177.94833534231</v>
      </c>
      <c s="63" r="R397"/>
      <c s="26" r="S397"/>
      <c s="26" r="T397"/>
    </row>
    <row customHeight="1" r="398" ht="14.25">
      <c t="s" s="45" r="A398">
        <v>490</v>
      </c>
      <c s="75" r="B398">
        <v>95</v>
      </c>
      <c s="54" r="C398">
        <v>109</v>
      </c>
      <c s="54" r="D398">
        <v>105</v>
      </c>
      <c s="54" r="E398">
        <v>75</v>
      </c>
      <c s="54" r="F398">
        <v>85</v>
      </c>
      <c s="2" r="G398">
        <v>56</v>
      </c>
      <c s="68" r="H398"/>
      <c s="19" r="I398">
        <f>INDEX('Speed Factors'!$A$2:$B$256,(G398),2)</f>
        <v>262</v>
      </c>
      <c s="19" r="J398">
        <f>SUM(B398:G398)</f>
        <v>525</v>
      </c>
      <c s="68" r="K398"/>
      <c s="38" r="L398">
        <f>((((B398*2)+141)*((D398*2)+36))/(402.744996))-24.57966407</f>
        <v>177.597894456388</v>
      </c>
      <c s="38" r="M398">
        <f>((((B398*2)+141)*((F398*2)+36))/(416.310724))-19.16575597</f>
        <v>144.620560521813</v>
      </c>
      <c s="38" r="N398">
        <f>(((((C398*2)+36)*((((C398*2)+36)*(I398/672))+415))/((((C398*2)+36)*(1-(I398/672)))+415))/(1.92306))-3.576327284</f>
        <v>115.541556210019</v>
      </c>
      <c s="38" r="O398">
        <f>(((((E398*2)+36)*((((E398*2)+36)*(I398/672))+415))/((((E398*2)+36)*(1-(I398/672)))+415))/(1.980931))+4.9921912</f>
        <v>91.6093245693109</v>
      </c>
      <c s="68" r="P398"/>
      <c s="38" r="Q398">
        <f>((((L398+M398)+N398)+O398)/(1.535645))-60.47703745</f>
        <v>284.244129067998</v>
      </c>
      <c s="63" r="R398"/>
      <c s="26" r="S398"/>
      <c s="26" r="T398"/>
    </row>
    <row customHeight="1" r="399" ht="14.25">
      <c t="s" s="45" r="A399">
        <v>491</v>
      </c>
      <c s="57" r="B399">
        <v>44</v>
      </c>
      <c s="8" r="C399">
        <v>58</v>
      </c>
      <c s="8" r="D399">
        <v>44</v>
      </c>
      <c s="8" r="E399">
        <v>58</v>
      </c>
      <c s="8" r="F399">
        <v>44</v>
      </c>
      <c s="27" r="G399">
        <v>61</v>
      </c>
      <c s="68" r="H399"/>
      <c s="20" r="I399">
        <f>INDEX('Speed Factors'!$A$2:$B$256,(G399),2)</f>
        <v>313</v>
      </c>
      <c s="20" r="J399">
        <f>SUM(B399:G399)</f>
        <v>309</v>
      </c>
      <c s="68" r="K399"/>
      <c s="38" r="L399">
        <f>((((B399*2)+141)*((D399*2)+36))/(402.744996))-24.57966407</f>
        <v>45.9264881653464</v>
      </c>
      <c s="38" r="M399">
        <f>((((B399*2)+141)*((F399*2)+36))/(416.310724))-19.16575597</f>
        <v>49.0429121305124</v>
      </c>
      <c s="38" r="N399">
        <f>(((((C399*2)+36)*((((C399*2)+36)*(I399/672))+415))/((((C399*2)+36)*(1-(I399/672)))+415))/(1.92306))-3.576327284</f>
        <v>73.8069807853899</v>
      </c>
      <c s="38" r="O399">
        <f>(((((E399*2)+36)*((((E399*2)+36)*(I399/672))+415))/((((E399*2)+36)*(1-(I399/672)))+415))/(1.980931))+4.9921912</f>
        <v>80.1148201133346</v>
      </c>
      <c s="68" r="P399"/>
      <c s="38" r="Q399">
        <f>((((L399+M399)+N399)+O399)/(1.535645))-60.47703745</f>
        <v>101.598963966072</v>
      </c>
      <c s="63" r="R399"/>
      <c s="26" r="S399"/>
      <c s="26" r="T399"/>
    </row>
    <row customHeight="1" r="400" ht="14.25">
      <c t="s" s="45" r="A400">
        <v>492</v>
      </c>
      <c s="75" r="B400">
        <v>64</v>
      </c>
      <c s="54" r="C400">
        <v>78</v>
      </c>
      <c s="54" r="D400">
        <v>52</v>
      </c>
      <c s="54" r="E400">
        <v>78</v>
      </c>
      <c s="54" r="F400">
        <v>52</v>
      </c>
      <c s="2" r="G400">
        <v>81</v>
      </c>
      <c s="68" r="H400"/>
      <c s="19" r="I400">
        <f>INDEX('Speed Factors'!$A$2:$B$256,(G400),2)</f>
        <v>461</v>
      </c>
      <c s="19" r="J400">
        <f>SUM(B400:G400)</f>
        <v>405</v>
      </c>
      <c s="68" r="K400"/>
      <c s="38" r="L400">
        <f>((((B400*2)+141)*((D400*2)+36))/(402.744996))-24.57966407</f>
        <v>68.9286361547904</v>
      </c>
      <c s="38" r="M400">
        <f>((((B400*2)+141)*((F400*2)+36))/(416.310724))-19.16575597</f>
        <v>71.2955216981679</v>
      </c>
      <c s="38" r="N400">
        <f>(((((C400*2)+36)*((((C400*2)+36)*(I400/672))+415))/((((C400*2)+36)*(1-(I400/672)))+415))/(1.92306))-3.576327284</f>
        <v>111.269191922845</v>
      </c>
      <c s="38" r="O400">
        <f>(((((E400*2)+36)*((((E400*2)+36)*(I400/672))+415))/((((E400*2)+36)*(1-(I400/672)))+415))/(1.980931))+4.9921912</f>
        <v>116.482608668309</v>
      </c>
      <c s="68" r="P400"/>
      <c s="38" r="Q400">
        <f>((((L400+M400)+N400)+O400)/(1.535645))-60.47703745</f>
        <v>179.146025461098</v>
      </c>
      <c s="63" r="R400"/>
      <c s="26" r="S400"/>
      <c s="26" r="T400"/>
    </row>
    <row customHeight="1" r="401" ht="14.25">
      <c t="s" s="45" r="A401">
        <v>78</v>
      </c>
      <c s="57" r="B401">
        <v>76</v>
      </c>
      <c s="8" r="C401">
        <v>104</v>
      </c>
      <c s="8" r="D401">
        <v>71</v>
      </c>
      <c s="8" r="E401">
        <v>104</v>
      </c>
      <c s="8" r="F401">
        <v>71</v>
      </c>
      <c s="27" r="G401">
        <v>108</v>
      </c>
      <c s="68" r="H401"/>
      <c s="20" r="I401">
        <f>INDEX('Speed Factors'!$A$2:$B$256,(G401),2)</f>
        <v>620</v>
      </c>
      <c s="20" r="J401">
        <f>SUM(B401:G401)</f>
        <v>534</v>
      </c>
      <c s="68" r="K401"/>
      <c s="38" r="L401">
        <f>((((B401*2)+141)*((D401*2)+36))/(402.744996))-24.57966407</f>
        <v>104.916668641729</v>
      </c>
      <c s="38" r="M401">
        <f>((((B401*2)+141)*((F401*2)+36))/(416.310724))-19.16575597</f>
        <v>106.110863135301</v>
      </c>
      <c s="38" r="N401">
        <f>(((((C401*2)+36)*((((C401*2)+36)*(I401/672))+415))/((((C401*2)+36)*(1-(I401/672)))+415))/(1.92306))-3.576327284</f>
        <v>183.615617980205</v>
      </c>
      <c s="38" r="O401">
        <f>(((((E401*2)+36)*((((E401*2)+36)*(I401/672))+415))/((((E401*2)+36)*(1-(I401/672)))+415))/(1.980931))+4.9921912</f>
        <v>186.715503248618</v>
      </c>
      <c s="68" r="P401"/>
      <c s="38" r="Q401">
        <f>((((L401+M401)+N401)+O401)/(1.535645))-60.47703745</f>
        <v>318.099165387148</v>
      </c>
      <c s="63" r="R401"/>
      <c s="26" r="S401"/>
      <c s="26" r="T401"/>
    </row>
    <row customHeight="1" r="402" ht="14.25">
      <c t="s" s="45" r="A402">
        <v>493</v>
      </c>
      <c s="75" r="B402">
        <v>53</v>
      </c>
      <c s="54" r="C402">
        <v>51</v>
      </c>
      <c s="54" r="D402">
        <v>53</v>
      </c>
      <c s="54" r="E402">
        <v>61</v>
      </c>
      <c s="54" r="F402">
        <v>56</v>
      </c>
      <c s="2" r="G402">
        <v>40</v>
      </c>
      <c s="68" r="H402"/>
      <c s="19" r="I402">
        <f>INDEX('Speed Factors'!$A$2:$B$256,(G402),2)</f>
        <v>111</v>
      </c>
      <c s="19" r="J402">
        <f>SUM(B402:G402)</f>
        <v>314</v>
      </c>
      <c s="68" r="K402"/>
      <c s="38" r="L402">
        <f>((((B402*2)+141)*((D402*2)+36))/(402.744996))-24.57966407</f>
        <v>62.5076997665453</v>
      </c>
      <c s="38" r="M402">
        <f>((((B402*2)+141)*((F402*2)+36))/(416.310724))-19.16575597</f>
        <v>68.6436563092763</v>
      </c>
      <c s="38" r="N402">
        <f>(((((C402*2)+36)*((((C402*2)+36)*(I402/672))+415))/((((C402*2)+36)*(1-(I402/672)))+415))/(1.92306))-3.576327284</f>
        <v>55.6769782752272</v>
      </c>
      <c s="38" r="O402">
        <f>(((((E402*2)+36)*((((E402*2)+36)*(I402/672))+415))/((((E402*2)+36)*(1-(I402/672)))+415))/(1.980931))+4.9921912</f>
        <v>69.3222127290307</v>
      </c>
      <c s="68" r="P402"/>
      <c s="38" r="Q402">
        <f>((((L402+M402)+N402)+O402)/(1.535645))-60.47703745</f>
        <v>106.326193166503</v>
      </c>
      <c s="63" r="R402"/>
      <c s="26" r="S402"/>
      <c s="26" r="T402"/>
    </row>
    <row customHeight="1" r="403" ht="14.25">
      <c t="s" s="45" r="A403">
        <v>494</v>
      </c>
      <c s="57" r="B403">
        <v>64</v>
      </c>
      <c s="8" r="C403">
        <v>66</v>
      </c>
      <c s="8" r="D403">
        <v>68</v>
      </c>
      <c s="8" r="E403">
        <v>81</v>
      </c>
      <c s="8" r="F403">
        <v>76</v>
      </c>
      <c s="27" r="G403">
        <v>50</v>
      </c>
      <c s="68" r="H403"/>
      <c s="20" r="I403">
        <f>INDEX('Speed Factors'!$A$2:$B$256,(G403),2)</f>
        <v>189</v>
      </c>
      <c s="20" r="J403">
        <f>SUM(B403:G403)</f>
        <v>405</v>
      </c>
      <c s="68" r="K403"/>
      <c s="38" r="L403">
        <f>((((B403*2)+141)*((D403*2)+36))/(402.744996))-24.57966407</f>
        <v>90.3019619204567</v>
      </c>
      <c s="38" r="M403">
        <f>((((B403*2)+141)*((F403*2)+36))/(416.310724))-19.16575597</f>
        <v>102.310816898683</v>
      </c>
      <c s="38" r="N403">
        <f>(((((C403*2)+36)*((((C403*2)+36)*(I403/672))+415))/((((C403*2)+36)*(1-(I403/672)))+415))/(1.92306))-3.576327284</f>
        <v>71.799343021432</v>
      </c>
      <c s="38" r="O403">
        <f>(((((E403*2)+36)*((((E403*2)+36)*(I403/672))+415))/((((E403*2)+36)*(1-(I403/672)))+415))/(1.980931))+4.9921912</f>
        <v>89.4091539995028</v>
      </c>
      <c s="68" r="P403"/>
      <c s="38" r="Q403">
        <f>((((L403+M403)+N403)+O403)/(1.535645))-60.47703745</f>
        <v>169.928606979588</v>
      </c>
      <c s="63" r="R403"/>
      <c s="26" r="S403"/>
      <c s="26" r="T403"/>
    </row>
    <row customHeight="1" r="404" ht="14.25">
      <c t="s" s="45" r="A404">
        <v>495</v>
      </c>
      <c s="75" r="B404">
        <v>84</v>
      </c>
      <c s="54" r="C404">
        <v>86</v>
      </c>
      <c s="54" r="D404">
        <v>88</v>
      </c>
      <c s="54" r="E404">
        <v>111</v>
      </c>
      <c s="54" r="F404">
        <v>101</v>
      </c>
      <c s="2" r="G404">
        <v>60</v>
      </c>
      <c s="68" r="H404"/>
      <c s="19" r="I404">
        <f>INDEX('Speed Factors'!$A$2:$B$256,(G404),2)</f>
        <v>274</v>
      </c>
      <c s="19" r="J404">
        <f>SUM(B404:G404)</f>
        <v>530</v>
      </c>
      <c s="68" r="K404"/>
      <c s="38" r="L404">
        <f>((((B404*2)+141)*((D404*2)+36))/(402.744996))-24.57966407</f>
        <v>138.074125922713</v>
      </c>
      <c s="38" r="M404">
        <f>((((B404*2)+141)*((F404*2)+36))/(416.310724))-19.16575597</f>
        <v>157.48595094111</v>
      </c>
      <c s="38" r="N404">
        <f>(((((C404*2)+36)*((((C404*2)+36)*(I404/672))+415))/((((C404*2)+36)*(1-(I404/672)))+415))/(1.92306))-3.576327284</f>
        <v>96.8711466378441</v>
      </c>
      <c s="38" r="O404">
        <f>(((((E404*2)+36)*((((E404*2)+36)*(I404/672))+415))/((((E404*2)+36)*(1-(I404/672)))+415))/(1.980931))+4.9921912</f>
        <v>124.313938367612</v>
      </c>
      <c s="68" r="P404"/>
      <c s="38" r="Q404">
        <f>((((L404+M404)+N404)+O404)/(1.535645))-60.47703745</f>
        <v>276.023365878425</v>
      </c>
      <c s="63" r="R404"/>
      <c s="26" r="S404"/>
      <c s="26" r="T404"/>
    </row>
    <row customHeight="1" r="405" ht="14.25">
      <c t="s" s="45" r="A405">
        <v>496</v>
      </c>
      <c s="57" r="B405">
        <v>40</v>
      </c>
      <c s="8" r="C405">
        <v>55</v>
      </c>
      <c s="8" r="D405">
        <v>30</v>
      </c>
      <c s="8" r="E405">
        <v>30</v>
      </c>
      <c s="8" r="F405">
        <v>30</v>
      </c>
      <c s="27" r="G405">
        <v>60</v>
      </c>
      <c s="68" r="H405"/>
      <c s="20" r="I405">
        <f>INDEX('Speed Factors'!$A$2:$B$256,(G405),2)</f>
        <v>274</v>
      </c>
      <c s="20" r="J405">
        <f>SUM(B405:G405)</f>
        <v>245</v>
      </c>
      <c s="68" r="K405"/>
      <c s="38" r="L405">
        <f>((((B405*2)+141)*((D405*2)+36))/(402.744996))-24.57966407</f>
        <v>28.0988302892446</v>
      </c>
      <c s="38" r="M405">
        <f>((((B405*2)+141)*((F405*2)+36))/(416.310724))-19.16575597</f>
        <v>31.7961788947862</v>
      </c>
      <c s="38" r="N405">
        <f>(((((C405*2)+36)*((((C405*2)+36)*(I405/672))+415))/((((C405*2)+36)*(1-(I405/672)))+415))/(1.92306))-3.576327284</f>
        <v>68.265656190188</v>
      </c>
      <c s="38" r="O405">
        <f>(((((E405*2)+36)*((((E405*2)+36)*(I405/672))+415))/((((E405*2)+36)*(1-(I405/672)))+415))/(1.980931))+4.9921912</f>
        <v>51.6349079998587</v>
      </c>
      <c s="68" r="P405"/>
      <c s="38" r="Q405">
        <f>((((L405+M405)+N405)+O405)/(1.535645))-60.47703745</f>
        <v>56.6044321436089</v>
      </c>
      <c s="63" r="R405"/>
      <c s="26" r="S405"/>
      <c s="26" r="T405"/>
    </row>
    <row customHeight="1" r="406" ht="14.25">
      <c t="s" s="45" r="A406">
        <v>497</v>
      </c>
      <c s="75" r="B406">
        <v>55</v>
      </c>
      <c s="54" r="C406">
        <v>75</v>
      </c>
      <c s="54" r="D406">
        <v>50</v>
      </c>
      <c s="54" r="E406">
        <v>40</v>
      </c>
      <c s="54" r="F406">
        <v>40</v>
      </c>
      <c s="2" r="G406">
        <v>80</v>
      </c>
      <c s="68" r="H406"/>
      <c s="19" r="I406">
        <f>INDEX('Speed Factors'!$A$2:$B$256,(G406),2)</f>
        <v>432</v>
      </c>
      <c s="19" r="J406">
        <f>SUM(B406:G406)</f>
        <v>340</v>
      </c>
      <c s="68" r="K406"/>
      <c s="38" r="L406">
        <f>((((B406*2)+141)*((D406*2)+36))/(402.744996))-24.57966407</f>
        <v>60.1786826234</v>
      </c>
      <c s="38" r="M406">
        <f>((((B406*2)+141)*((F406*2)+36))/(416.310724))-19.16575597</f>
        <v>50.7723895580503</v>
      </c>
      <c s="38" r="N406">
        <f>(((((C406*2)+36)*((((C406*2)+36)*(I406/672))+415))/((((C406*2)+36)*(1-(I406/672)))+415))/(1.92306))-3.576327284</f>
        <v>103.821128199365</v>
      </c>
      <c s="38" r="O406">
        <f>(((((E406*2)+36)*((((E406*2)+36)*(I406/672))+415))/((((E406*2)+36)*(1-(I406/672)))+415))/(1.980931))+4.9921912</f>
        <v>67.8026379996908</v>
      </c>
      <c s="68" r="P406"/>
      <c s="38" r="Q406">
        <f>((((L406+M406)+N406)+O406)/(1.535645))-60.47703745</f>
        <v>123.533484760867</v>
      </c>
      <c s="63" r="R406"/>
      <c s="26" r="S406"/>
      <c s="26" r="T406"/>
    </row>
    <row customHeight="1" r="407" ht="14.25">
      <c t="s" s="45" r="A407">
        <v>498</v>
      </c>
      <c s="57" r="B407">
        <v>85</v>
      </c>
      <c s="8" r="C407">
        <v>120</v>
      </c>
      <c s="8" r="D407">
        <v>70</v>
      </c>
      <c s="8" r="E407">
        <v>50</v>
      </c>
      <c s="8" r="F407">
        <v>50</v>
      </c>
      <c s="27" r="G407">
        <v>100</v>
      </c>
      <c s="68" r="H407"/>
      <c s="20" r="I407">
        <f>INDEX('Speed Factors'!$A$2:$B$256,(G407),2)</f>
        <v>577</v>
      </c>
      <c s="20" r="J407">
        <f>SUM(B407:G407)</f>
        <v>475</v>
      </c>
      <c s="68" r="K407"/>
      <c s="38" r="L407">
        <f>((((B407*2)+141)*((D407*2)+36))/(402.744996))-24.57966407</f>
        <v>111.327673187146</v>
      </c>
      <c s="38" r="M407">
        <f>((((B407*2)+141)*((F407*2)+36))/(416.310724))-19.16575597</f>
        <v>82.4314346899264</v>
      </c>
      <c s="38" r="N407">
        <f>(((((C407*2)+36)*((((C407*2)+36)*(I407/672))+415))/((((C407*2)+36)*(1-(I407/672)))+415))/(1.92306))-3.576327284</f>
        <v>202.524157786699</v>
      </c>
      <c s="38" r="O407">
        <f>(((((E407*2)+36)*((((E407*2)+36)*(I407/672))+415))/((((E407*2)+36)*(1-(I407/672)))+415))/(1.980931))+4.9921912</f>
        <v>89.0698266738213</v>
      </c>
      <c s="68" r="P407"/>
      <c s="38" r="Q407">
        <f>((((L407+M407)+N407)+O407)/(1.535645))-60.47703745</f>
        <v>255.581095997244</v>
      </c>
      <c s="63" r="R407"/>
      <c s="26" r="S407"/>
      <c s="26" r="T407"/>
    </row>
    <row customHeight="1" r="408" ht="14.25">
      <c t="s" s="45" r="A408">
        <v>499</v>
      </c>
      <c s="75" r="B408">
        <v>59</v>
      </c>
      <c s="54" r="C408">
        <v>45</v>
      </c>
      <c s="54" r="D408">
        <v>40</v>
      </c>
      <c s="54" r="E408">
        <v>35</v>
      </c>
      <c s="54" r="F408">
        <v>40</v>
      </c>
      <c s="2" r="G408">
        <v>31</v>
      </c>
      <c s="68" r="H408"/>
      <c s="19" r="I408">
        <f>INDEX('Speed Factors'!$A$2:$B$256,(G408),2)</f>
        <v>75</v>
      </c>
      <c s="19" r="J408">
        <f>SUM(B408:G408)</f>
        <v>250</v>
      </c>
      <c s="68" r="K408"/>
      <c s="38" r="L408">
        <f>((((B408*2)+141)*((D408*2)+36))/(402.744996))-24.57966407</f>
        <v>50.0184074104462</v>
      </c>
      <c s="38" r="M408">
        <f>((((B408*2)+141)*((F408*2)+36))/(416.310724))-19.16575597</f>
        <v>53.0014937979882</v>
      </c>
      <c s="38" r="N408">
        <f>(((((C408*2)+36)*((((C408*2)+36)*(I408/672))+415))/((((C408*2)+36)*(1-(I408/672)))+415))/(1.92306))-3.576327284</f>
        <v>49.7742548805205</v>
      </c>
      <c s="38" r="O408">
        <f>(((((E408*2)+36)*((((E408*2)+36)*(I408/672))+415))/((((E408*2)+36)*(1-(I408/672)))+415))/(1.980931))+4.9921912</f>
        <v>49.8490971083489</v>
      </c>
      <c s="68" r="P408"/>
      <c s="38" r="Q408">
        <f>((((L408+M408)+N408)+O408)/(1.535645))-60.47703745</f>
        <v>71.4826623486538</v>
      </c>
      <c s="63" r="R408"/>
      <c s="26" r="S408"/>
      <c s="26" r="T408"/>
    </row>
    <row customHeight="1" r="409" ht="14.25">
      <c t="s" s="45" r="A409">
        <v>500</v>
      </c>
      <c s="57" r="B409">
        <v>79</v>
      </c>
      <c s="8" r="C409">
        <v>85</v>
      </c>
      <c s="8" r="D409">
        <v>60</v>
      </c>
      <c s="8" r="E409">
        <v>55</v>
      </c>
      <c s="8" r="F409">
        <v>60</v>
      </c>
      <c s="27" r="G409">
        <v>71</v>
      </c>
      <c s="68" r="H409"/>
      <c s="20" r="I409">
        <f>INDEX('Speed Factors'!$A$2:$B$256,(G409),2)</f>
        <v>405</v>
      </c>
      <c s="20" r="J409">
        <f>SUM(B409:G409)</f>
        <v>410</v>
      </c>
      <c s="68" r="K409"/>
      <c s="38" r="L409">
        <f>((((B409*2)+141)*((D409*2)+36))/(402.744996))-24.57966407</f>
        <v>91.2355551462805</v>
      </c>
      <c s="38" r="M409">
        <f>((((B409*2)+141)*((F409*2)+36))/(416.310724))-19.16575597</f>
        <v>92.8755567106697</v>
      </c>
      <c s="38" r="N409">
        <f>(((((C409*2)+36)*((((C409*2)+36)*(I409/672))+415))/((((C409*2)+36)*(1-(I409/672)))+415))/(1.92306))-3.576327284</f>
        <v>112.665305199036</v>
      </c>
      <c s="38" r="O409">
        <f>(((((E409*2)+36)*((((E409*2)+36)*(I409/672))+415))/((((E409*2)+36)*(1-(I409/672)))+415))/(1.980931))+4.9921912</f>
        <v>83.3666301197698</v>
      </c>
      <c s="68" r="P409"/>
      <c s="38" r="Q409">
        <f>((((L409+M409)+N409)+O409)/(1.535645))-60.47703745</f>
        <v>187.069138375634</v>
      </c>
      <c s="63" r="R409"/>
      <c s="26" r="S409"/>
      <c s="26" r="T409"/>
    </row>
    <row customHeight="1" r="410" ht="14.25">
      <c t="s" s="45" r="A410">
        <v>501</v>
      </c>
      <c s="75" r="B410">
        <v>37</v>
      </c>
      <c s="54" r="C410">
        <v>25</v>
      </c>
      <c s="54" r="D410">
        <v>41</v>
      </c>
      <c s="54" r="E410">
        <v>25</v>
      </c>
      <c s="54" r="F410">
        <v>41</v>
      </c>
      <c s="2" r="G410">
        <v>25</v>
      </c>
      <c s="68" r="H410"/>
      <c s="19" r="I410">
        <f>INDEX('Speed Factors'!$A$2:$B$256,(G410),2)</f>
        <v>32</v>
      </c>
      <c s="19" r="J410">
        <f>SUM(B410:G410)</f>
        <v>194</v>
      </c>
      <c s="68" r="K410"/>
      <c s="38" r="L410">
        <f>((((B410*2)+141)*((D410*2)+36))/(402.744996))-24.57966407</f>
        <v>38.4130490660311</v>
      </c>
      <c s="38" r="M410">
        <f>((((B410*2)+141)*((F410*2)+36))/(416.310724))-19.16575597</f>
        <v>41.7743028308874</v>
      </c>
      <c s="38" r="N410">
        <f>(((((C410*2)+36)*((((C410*2)+36)*(I410/672))+415))/((((C410*2)+36)*(1-(I410/672)))+415))/(1.92306))-3.576327284</f>
        <v>34.14137118661</v>
      </c>
      <c s="38" r="O410">
        <f>(((((E410*2)+36)*((((E410*2)+36)*(I410/672))+415))/((((E410*2)+36)*(1-(I410/672)))+415))/(1.980931))+4.9921912</f>
        <v>41.6080032706331</v>
      </c>
      <c s="68" r="P410"/>
      <c s="38" r="Q410">
        <f>((((L410+M410)+N410)+O410)/(1.535645))-60.47703745</f>
        <v>41.0677377774526</v>
      </c>
      <c s="63" r="R410"/>
      <c s="26" r="S410"/>
      <c s="26" r="T410"/>
    </row>
    <row customHeight="1" r="411" ht="14.25">
      <c t="s" s="45" r="A411">
        <v>502</v>
      </c>
      <c s="57" r="B411">
        <v>77</v>
      </c>
      <c s="8" r="C411">
        <v>85</v>
      </c>
      <c s="8" r="D411">
        <v>51</v>
      </c>
      <c s="8" r="E411">
        <v>55</v>
      </c>
      <c s="8" r="F411">
        <v>51</v>
      </c>
      <c s="27" r="G411">
        <v>65</v>
      </c>
      <c s="68" r="H411"/>
      <c s="20" r="I411">
        <f>INDEX('Speed Factors'!$A$2:$B$256,(G411),2)</f>
        <v>321</v>
      </c>
      <c s="20" r="J411">
        <f>SUM(B411:G411)</f>
        <v>384</v>
      </c>
      <c s="68" r="K411"/>
      <c s="38" r="L411">
        <f>((((B411*2)+141)*((D411*2)+36))/(402.744996))-24.57966407</f>
        <v>76.5016663110732</v>
      </c>
      <c s="38" r="M411">
        <f>((((B411*2)+141)*((F411*2)+36))/(416.310724))-19.16575597</f>
        <v>78.6217802453774</v>
      </c>
      <c s="38" r="N411">
        <f>(((((C411*2)+36)*((((C411*2)+36)*(I411/672))+415))/((((C411*2)+36)*(1-(I411/672)))+415))/(1.92306))-3.576327284</f>
        <v>101.659553260321</v>
      </c>
      <c s="38" r="O411">
        <f>(((((E411*2)+36)*((((E411*2)+36)*(I411/672))+415))/((((E411*2)+36)*(1-(I411/672)))+415))/(1.980931))+4.9921912</f>
        <v>77.7170470531314</v>
      </c>
      <c s="68" r="P411"/>
      <c s="38" r="Q411">
        <f>((((L411+M411)+N411)+O411)/(1.535645))-60.47703745</f>
        <v>157.346773958172</v>
      </c>
      <c s="63" r="R411"/>
      <c s="26" r="S411"/>
      <c s="26" r="T411"/>
    </row>
    <row customHeight="1" r="412" ht="14.25">
      <c t="s" s="45" r="A412">
        <v>503</v>
      </c>
      <c s="75" r="B412">
        <v>45</v>
      </c>
      <c s="54" r="C412">
        <v>65</v>
      </c>
      <c s="54" r="D412">
        <v>34</v>
      </c>
      <c s="54" r="E412">
        <v>40</v>
      </c>
      <c s="54" r="F412">
        <v>34</v>
      </c>
      <c s="2" r="G412">
        <v>45</v>
      </c>
      <c s="68" r="H412"/>
      <c s="19" r="I412">
        <f>INDEX('Speed Factors'!$A$2:$B$256,(G412),2)</f>
        <v>154</v>
      </c>
      <c s="19" r="J412">
        <f>SUM(B412:G412)</f>
        <v>263</v>
      </c>
      <c s="68" r="K412"/>
      <c s="38" r="L412">
        <f>((((B412*2)+141)*((D412*2)+36))/(402.744996))-24.57966407</f>
        <v>35.0709839544388</v>
      </c>
      <c s="38" r="M412">
        <f>((((B412*2)+141)*((F412*2)+36))/(416.310724))-19.16575597</f>
        <v>38.5411408621844</v>
      </c>
      <c s="38" r="N412">
        <f>(((((C412*2)+36)*((((C412*2)+36)*(I412/672))+415))/((((C412*2)+36)*(1-(I412/672)))+415))/(1.92306))-3.576327284</f>
        <v>68.4492746941636</v>
      </c>
      <c s="38" r="O412">
        <f>(((((E412*2)+36)*((((E412*2)+36)*(I412/672))+415))/((((E412*2)+36)*(1-(I412/672)))+415))/(1.980931))+4.9921912</f>
        <v>56.2561199454082</v>
      </c>
      <c s="68" r="P412"/>
      <c s="38" r="Q412">
        <f>((((L412+M412)+N412)+O412)/(1.535645))-60.47703745</f>
        <v>68.6657784066563</v>
      </c>
      <c s="63" r="R412"/>
      <c s="26" r="S412"/>
      <c s="26" r="T412"/>
    </row>
    <row customHeight="1" r="413" ht="14.25">
      <c t="s" s="45" r="A413">
        <v>504</v>
      </c>
      <c s="57" r="B413">
        <v>60</v>
      </c>
      <c s="8" r="C413">
        <v>85</v>
      </c>
      <c s="8" r="D413">
        <v>49</v>
      </c>
      <c s="8" r="E413">
        <v>60</v>
      </c>
      <c s="8" r="F413">
        <v>49</v>
      </c>
      <c s="27" r="G413">
        <v>60</v>
      </c>
      <c s="68" r="H413"/>
      <c s="20" r="I413">
        <f>INDEX('Speed Factors'!$A$2:$B$256,(G413),2)</f>
        <v>274</v>
      </c>
      <c s="20" r="J413">
        <f>SUM(B413:G413)</f>
        <v>363</v>
      </c>
      <c s="68" r="K413"/>
      <c s="38" r="L413">
        <f>((((B413*2)+141)*((D413*2)+36))/(402.744996))-24.57966407</f>
        <v>62.2594036958476</v>
      </c>
      <c s="38" r="M413">
        <f>((((B413*2)+141)*((F413*2)+36))/(416.310724))-19.16575597</f>
        <v>64.8436100726581</v>
      </c>
      <c s="38" r="N413">
        <f>(((((C413*2)+36)*((((C413*2)+36)*(I413/672))+415))/((((C413*2)+36)*(1-(I413/672)))+415))/(1.92306))-3.576327284</f>
        <v>95.962071737144</v>
      </c>
      <c s="38" r="O413">
        <f>(((((E413*2)+36)*((((E413*2)+36)*(I413/672))+415))/((((E413*2)+36)*(1-(I413/672)))+415))/(1.980931))+4.9921912</f>
        <v>79.2753009747777</v>
      </c>
      <c s="68" r="P413"/>
      <c s="38" r="Q413">
        <f>((((L413+M413)+N413)+O413)/(1.535645))-60.47703745</f>
        <v>136.404654920585</v>
      </c>
      <c s="63" r="R413"/>
      <c s="26" r="S413"/>
      <c s="26" r="T413"/>
    </row>
    <row customHeight="1" r="414" ht="14.25">
      <c t="s" s="45" r="A414">
        <v>505</v>
      </c>
      <c s="75" r="B414">
        <v>80</v>
      </c>
      <c s="54" r="C414">
        <v>120</v>
      </c>
      <c s="54" r="D414">
        <v>79</v>
      </c>
      <c s="54" r="E414">
        <v>95</v>
      </c>
      <c s="54" r="F414">
        <v>79</v>
      </c>
      <c s="2" r="G414">
        <v>70</v>
      </c>
      <c s="68" r="H414"/>
      <c s="19" r="I414">
        <f>INDEX('Speed Factors'!$A$2:$B$256,(G414),2)</f>
        <v>369</v>
      </c>
      <c s="19" r="J414">
        <f>SUM(B414:G414)</f>
        <v>523</v>
      </c>
      <c s="68" r="K414"/>
      <c s="38" r="L414">
        <f>((((B414*2)+141)*((D414*2)+36))/(402.744996))-24.57966407</f>
        <v>120.410343453272</v>
      </c>
      <c s="38" r="M414">
        <f>((((B414*2)+141)*((F414*2)+36))/(416.310724))-19.16575597</f>
        <v>121.099667507297</v>
      </c>
      <c s="38" r="N414">
        <f>(((((C414*2)+36)*((((C414*2)+36)*(I414/672))+415))/((((C414*2)+36)*(1-(I414/672)))+415))/(1.92306))-3.576327284</f>
        <v>147.156868478593</v>
      </c>
      <c s="38" r="O414">
        <f>(((((E414*2)+36)*((((E414*2)+36)*(I414/672))+415))/((((E414*2)+36)*(1-(I414/672)))+415))/(1.980931))+4.9921912</f>
        <v>123.979036850825</v>
      </c>
      <c s="68" r="P414"/>
      <c s="38" r="Q414">
        <f>((((L414+M414)+N414)+O414)/(1.535645))-60.47703745</f>
        <v>273.353969254015</v>
      </c>
      <c s="63" r="R414"/>
      <c s="26" r="S414"/>
      <c s="26" r="T414"/>
    </row>
    <row customHeight="1" r="415" ht="14.25">
      <c t="s" s="45" r="A415">
        <v>506</v>
      </c>
      <c s="57" r="B415">
        <v>40</v>
      </c>
      <c s="8" r="C415">
        <v>30</v>
      </c>
      <c s="8" r="D415">
        <v>35</v>
      </c>
      <c s="8" r="E415">
        <v>50</v>
      </c>
      <c s="8" r="F415">
        <v>70</v>
      </c>
      <c s="27" r="G415">
        <v>55</v>
      </c>
      <c s="68" r="H415"/>
      <c s="20" r="I415">
        <f>INDEX('Speed Factors'!$A$2:$B$256,(G415),2)</f>
        <v>233</v>
      </c>
      <c s="20" r="J415">
        <f>SUM(B415:G415)</f>
        <v>280</v>
      </c>
      <c s="68" r="K415"/>
      <c s="38" r="L415">
        <f>((((B415*2)+141)*((D415*2)+36))/(402.744996))-24.57966407</f>
        <v>33.5861734516659</v>
      </c>
      <c s="38" r="M415">
        <f>((((B415*2)+141)*((F415*2)+36))/(416.310724))-19.16575597</f>
        <v>74.2644579487748</v>
      </c>
      <c s="38" r="N415">
        <f>(((((C415*2)+36)*((((C415*2)+36)*(I415/672))+415))/((((C415*2)+36)*(1-(I415/672)))+415))/(1.92306))-3.576327284</f>
        <v>43.2688696427282</v>
      </c>
      <c s="38" r="O415">
        <f>(((((E415*2)+36)*((((E415*2)+36)*(I415/672))+415))/((((E415*2)+36)*(1-(I415/672)))+415))/(1.980931))+4.9921912</f>
        <v>67.9659815312244</v>
      </c>
      <c s="68" r="P415"/>
      <c s="38" r="Q415">
        <f>((((L415+M415)+N415)+O415)/(1.535645))-60.47703745</f>
        <v>82.189713377433</v>
      </c>
      <c s="63" r="R415"/>
      <c s="26" r="S415"/>
      <c s="26" r="T415"/>
    </row>
    <row customHeight="1" r="416" ht="14.25">
      <c t="s" s="45" r="A416">
        <v>507</v>
      </c>
      <c s="75" r="B416">
        <v>60</v>
      </c>
      <c s="54" r="C416">
        <v>70</v>
      </c>
      <c s="54" r="D416">
        <v>55</v>
      </c>
      <c s="54" r="E416">
        <v>125</v>
      </c>
      <c s="54" r="F416">
        <v>105</v>
      </c>
      <c s="2" r="G416">
        <v>90</v>
      </c>
      <c s="68" r="H416"/>
      <c s="19" r="I416">
        <f>INDEX('Speed Factors'!$A$2:$B$256,(G416),2)</f>
        <v>503</v>
      </c>
      <c s="19" r="J416">
        <f>SUM(B416:G416)</f>
        <v>505</v>
      </c>
      <c s="68" r="K416"/>
      <c s="38" r="L416">
        <f>((((B416*2)+141)*((D416*2)+36))/(402.744996))-24.57966407</f>
        <v>70.0360366301026</v>
      </c>
      <c s="38" r="M416">
        <f>((((B416*2)+141)*((F416*2)+36))/(416.310724))-19.16575597</f>
        <v>135.060393630701</v>
      </c>
      <c s="38" r="N416">
        <f>(((((C416*2)+36)*((((C416*2)+36)*(I416/672))+415))/((((C416*2)+36)*(1-(I416/672)))+415))/(1.92306))-3.576327284</f>
        <v>105.376560580163</v>
      </c>
      <c s="38" r="O416">
        <f>(((((E416*2)+36)*((((E416*2)+36)*(I416/672))+415))/((((E416*2)+36)*(1-(I416/672)))+415))/(1.980931))+4.9921912</f>
        <v>191.516782142132</v>
      </c>
      <c s="68" r="P416"/>
      <c s="38" r="Q416">
        <f>((((L416+M416)+N416)+O416)/(1.535645))-60.47703745</f>
        <v>266.414772169475</v>
      </c>
      <c s="63" r="R416"/>
      <c s="26" r="S416"/>
      <c s="26" r="T416"/>
    </row>
    <row customHeight="1" r="417" ht="14.25">
      <c t="s" s="45" r="A417">
        <v>508</v>
      </c>
      <c s="57" r="B417">
        <v>67</v>
      </c>
      <c s="8" r="C417">
        <v>125</v>
      </c>
      <c s="8" r="D417">
        <v>40</v>
      </c>
      <c s="8" r="E417">
        <v>30</v>
      </c>
      <c s="8" r="F417">
        <v>30</v>
      </c>
      <c s="27" r="G417">
        <v>58</v>
      </c>
      <c s="68" r="H417"/>
      <c s="20" r="I417">
        <f>INDEX('Speed Factors'!$A$2:$B$256,(G417),2)</f>
        <v>267</v>
      </c>
      <c s="20" r="J417">
        <f>SUM(B417:G417)</f>
        <v>350</v>
      </c>
      <c s="68" r="K417"/>
      <c s="38" r="L417">
        <f>((((B417*2)+141)*((D417*2)+36))/(402.744996))-24.57966407</f>
        <v>54.6267824825973</v>
      </c>
      <c s="38" r="M417">
        <f>((((B417*2)+141)*((F417*2)+36))/(416.310724))-19.16575597</f>
        <v>44.2484163730598</v>
      </c>
      <c s="38" r="N417">
        <f>(((((C417*2)+36)*((((C417*2)+36)*(I417/672))+415))/((((C417*2)+36)*(1-(I417/672)))+415))/(1.92306))-3.576327284</f>
        <v>130.273980947576</v>
      </c>
      <c s="38" r="O417">
        <f>(((((E417*2)+36)*((((E417*2)+36)*(I417/672))+415))/((((E417*2)+36)*(1-(I417/672)))+415))/(1.980931))+4.9921912</f>
        <v>51.4337800698652</v>
      </c>
      <c s="68" r="P417"/>
      <c s="38" r="Q417">
        <f>((((L417+M417)+N417)+O417)/(1.535645))-60.47703745</f>
        <v>122.236389073121</v>
      </c>
      <c s="63" r="R417"/>
      <c s="26" r="S417"/>
      <c s="26" r="T417"/>
    </row>
    <row customHeight="1" r="418" ht="14.25">
      <c t="s" s="45" r="A418">
        <v>509</v>
      </c>
      <c s="75" r="B418">
        <v>97</v>
      </c>
      <c s="54" r="C418">
        <v>165</v>
      </c>
      <c s="54" r="D418">
        <v>60</v>
      </c>
      <c s="54" r="E418">
        <v>65</v>
      </c>
      <c s="54" r="F418">
        <v>50</v>
      </c>
      <c s="2" r="G418">
        <v>58</v>
      </c>
      <c s="68" r="H418"/>
      <c s="19" r="I418">
        <f>INDEX('Speed Factors'!$A$2:$B$256,(G418),2)</f>
        <v>267</v>
      </c>
      <c s="19" r="J418">
        <f>SUM(B418:G418)</f>
        <v>495</v>
      </c>
      <c s="68" r="K418"/>
      <c s="38" r="L418">
        <f>((((B418*2)+141)*((D418*2)+36))/(402.744996))-24.57966407</f>
        <v>105.179862476669</v>
      </c>
      <c s="38" r="M418">
        <f>((((B418*2)+141)*((F418*2)+36))/(416.310724))-19.16575597</f>
        <v>90.271732361432</v>
      </c>
      <c s="38" r="N418">
        <f>(((((C418*2)+36)*((((C418*2)+36)*(I418/672))+415))/((((C418*2)+36)*(1-(I418/672)))+415))/(1.92306))-3.576327284</f>
        <v>164.238810232344</v>
      </c>
      <c s="38" r="O418">
        <f>(((((E418*2)+36)*((((E418*2)+36)*(I418/672))+415))/((((E418*2)+36)*(1-(I418/672)))+415))/(1.980931))+4.9921912</f>
        <v>83.2447651868212</v>
      </c>
      <c s="68" r="P418"/>
      <c s="38" r="Q418">
        <f>((((L418+M418)+N418)+O418)/(1.535645))-60.47703745</f>
        <v>227.958877268093</v>
      </c>
      <c s="63" r="R418"/>
      <c s="26" r="S418"/>
      <c s="26" r="T418"/>
    </row>
    <row customHeight="1" r="419" ht="14.25">
      <c t="s" s="45" r="A419">
        <v>510</v>
      </c>
      <c s="57" r="B419">
        <v>30</v>
      </c>
      <c s="8" r="C419">
        <v>42</v>
      </c>
      <c s="8" r="D419">
        <v>118</v>
      </c>
      <c s="8" r="E419">
        <v>42</v>
      </c>
      <c s="8" r="F419">
        <v>88</v>
      </c>
      <c s="27" r="G419">
        <v>30</v>
      </c>
      <c s="68" r="H419"/>
      <c s="20" r="I419">
        <f>INDEX('Speed Factors'!$A$2:$B$256,(G419),2)</f>
        <v>44</v>
      </c>
      <c s="20" r="J419">
        <f>SUM(B419:G419)</f>
        <v>350</v>
      </c>
      <c s="68" r="K419"/>
      <c s="38" r="L419">
        <f>((((B419*2)+141)*((D419*2)+36))/(402.744996))-24.57966407</f>
        <v>111.1687637019</v>
      </c>
      <c s="38" r="M419">
        <f>((((B419*2)+141)*((F419*2)+36))/(416.310724))-19.16575597</f>
        <v>83.190483116457</v>
      </c>
      <c s="38" r="N419">
        <f>(((((C419*2)+36)*((((C419*2)+36)*(I419/672))+415))/((((C419*2)+36)*(1-(I419/672)))+415))/(1.92306))-3.576327284</f>
        <v>46.4793977592259</v>
      </c>
      <c s="38" r="O419">
        <f>(((((E419*2)+36)*((((E419*2)+36)*(I419/672))+415))/((((E419*2)+36)*(1-(I419/672)))+415))/(1.980931))+4.9921912</f>
        <v>53.5855862256854</v>
      </c>
      <c s="68" r="P419"/>
      <c s="38" r="Q419">
        <f>((((L419+M419)+N419)+O419)/(1.535645))-60.47703745</f>
        <v>131.249716326601</v>
      </c>
      <c s="63" r="R419"/>
      <c s="26" r="S419"/>
      <c s="26" r="T419"/>
    </row>
    <row customHeight="1" r="420" ht="14.25">
      <c t="s" s="45" r="A420">
        <v>511</v>
      </c>
      <c s="75" r="B420">
        <v>60</v>
      </c>
      <c s="54" r="C420">
        <v>52</v>
      </c>
      <c s="54" r="D420">
        <v>168</v>
      </c>
      <c s="54" r="E420">
        <v>47</v>
      </c>
      <c s="54" r="F420">
        <v>138</v>
      </c>
      <c s="2" r="G420">
        <v>30</v>
      </c>
      <c s="68" r="H420"/>
      <c s="19" r="I420">
        <f>INDEX('Speed Factors'!$A$2:$B$256,(G420),2)</f>
        <v>44</v>
      </c>
      <c s="19" r="J420">
        <f>SUM(B420:G420)</f>
        <v>495</v>
      </c>
      <c s="68" r="K420"/>
      <c s="38" r="L420">
        <f>((((B420*2)+141)*((D420*2)+36))/(402.744996))-24.57966407</f>
        <v>216.495956891905</v>
      </c>
      <c s="38" r="M420">
        <f>((((B420*2)+141)*((F420*2)+36))/(416.310724))-19.16575597</f>
        <v>176.438141084547</v>
      </c>
      <c s="38" r="N420">
        <f>(((((C420*2)+36)*((((C420*2)+36)*(I420/672))+415))/((((C420*2)+36)*(1-(I420/672)))+415))/(1.92306))-3.576327284</f>
        <v>52.9969949887169</v>
      </c>
      <c s="38" r="O420">
        <f>(((((E420*2)+36)*((((E420*2)+36)*(I420/672))+415))/((((E420*2)+36)*(1-(I420/672)))+415))/(1.980931))+4.9921912</f>
        <v>56.7981286978255</v>
      </c>
      <c s="68" r="P420"/>
      <c s="38" r="Q420">
        <f>((((L420+M420)+N420)+O420)/(1.535645))-60.47703745</f>
        <v>266.896295359988</v>
      </c>
      <c s="63" r="R420"/>
      <c s="26" r="S420"/>
      <c s="26" r="T420"/>
    </row>
    <row customHeight="1" r="421" ht="14.25">
      <c t="s" s="45" r="A421">
        <v>512</v>
      </c>
      <c s="57" r="B421">
        <v>40</v>
      </c>
      <c s="8" r="C421">
        <v>29</v>
      </c>
      <c s="8" r="D421">
        <v>45</v>
      </c>
      <c s="8" r="E421">
        <v>29</v>
      </c>
      <c s="8" r="F421">
        <v>45</v>
      </c>
      <c s="27" r="G421">
        <v>36</v>
      </c>
      <c s="68" r="H421"/>
      <c s="20" r="I421">
        <f>INDEX('Speed Factors'!$A$2:$B$256,(G421),2)</f>
        <v>104</v>
      </c>
      <c s="20" r="J421">
        <f>SUM(B421:G421)</f>
        <v>224</v>
      </c>
      <c s="68" r="K421"/>
      <c s="38" r="L421">
        <f>((((B421*2)+141)*((D421*2)+36))/(402.744996))-24.57966407</f>
        <v>44.5608597765086</v>
      </c>
      <c s="38" r="M421">
        <f>((((B421*2)+141)*((F421*2)+36))/(416.310724))-19.16575597</f>
        <v>47.7217835400319</v>
      </c>
      <c s="38" r="N421">
        <f>(((((C421*2)+36)*((((C421*2)+36)*(I421/672))+415))/((((C421*2)+36)*(1-(I421/672)))+415))/(1.92306))-3.576327284</f>
        <v>38.8877667255437</v>
      </c>
      <c s="38" r="O421">
        <f>(((((E421*2)+36)*((((E421*2)+36)*(I421/672))+415))/((((E421*2)+36)*(1-(I421/672)))+415))/(1.980931))+4.9921912</f>
        <v>46.2157374143776</v>
      </c>
      <c s="68" r="P421"/>
      <c s="38" r="Q421">
        <f>((((L421+M421)+N421)+O421)/(1.535645))-60.47703745</f>
        <v>55.035432851705</v>
      </c>
      <c s="63" r="R421"/>
      <c s="26" r="S421"/>
      <c s="26" r="T421"/>
    </row>
    <row customHeight="1" r="422" ht="14.25">
      <c t="s" s="45" r="A422">
        <v>513</v>
      </c>
      <c s="75" r="B422">
        <v>60</v>
      </c>
      <c s="54" r="C422">
        <v>59</v>
      </c>
      <c s="54" r="D422">
        <v>85</v>
      </c>
      <c s="54" r="E422">
        <v>79</v>
      </c>
      <c s="54" r="F422">
        <v>105</v>
      </c>
      <c s="2" r="G422">
        <v>36</v>
      </c>
      <c s="68" r="H422"/>
      <c s="19" r="I422">
        <f>INDEX('Speed Factors'!$A$2:$B$256,(G422),2)</f>
        <v>104</v>
      </c>
      <c s="19" r="J422">
        <f>SUM(B422:G422)</f>
        <v>424</v>
      </c>
      <c s="68" r="K422"/>
      <c s="38" r="L422">
        <f>((((B422*2)+141)*((D422*2)+36))/(402.744996))-24.57966407</f>
        <v>108.919201301378</v>
      </c>
      <c s="38" r="M422">
        <f>((((B422*2)+141)*((F422*2)+36))/(416.310724))-19.16575597</f>
        <v>135.060393630701</v>
      </c>
      <c s="38" r="N422">
        <f>(((((C422*2)+36)*((((C422*2)+36)*(I422/672))+415))/((((C422*2)+36)*(1-(I422/672)))+415))/(1.92306))-3.576327284</f>
        <v>60.8848452937928</v>
      </c>
      <c s="38" r="O422">
        <f>(((((E422*2)+36)*((((E422*2)+36)*(I422/672))+415))/((((E422*2)+36)*(1-(I422/672)))+415))/(1.980931))+4.9921912</f>
        <v>80.2679122504336</v>
      </c>
      <c s="68" r="P422"/>
      <c s="38" r="Q422">
        <f>((((L422+M422)+N422)+O422)/(1.535645))-60.47703745</f>
        <v>190.318134921417</v>
      </c>
      <c s="63" r="R422"/>
      <c s="26" r="S422"/>
      <c s="26" r="T422"/>
    </row>
    <row customHeight="1" r="423" ht="14.25">
      <c t="s" s="45" r="A423">
        <v>514</v>
      </c>
      <c s="57" r="B423">
        <v>60</v>
      </c>
      <c s="8" r="C423">
        <v>79</v>
      </c>
      <c s="8" r="D423">
        <v>105</v>
      </c>
      <c s="8" r="E423">
        <v>59</v>
      </c>
      <c s="8" r="F423">
        <v>85</v>
      </c>
      <c s="27" r="G423">
        <v>36</v>
      </c>
      <c s="68" r="H423"/>
      <c s="20" r="I423">
        <f>INDEX('Speed Factors'!$A$2:$B$256,(G423),2)</f>
        <v>104</v>
      </c>
      <c s="20" r="J423">
        <f>SUM(B423:G423)</f>
        <v>424</v>
      </c>
      <c s="68" r="K423"/>
      <c s="38" r="L423">
        <f>((((B423*2)+141)*((D423*2)+36))/(402.744996))-24.57966407</f>
        <v>134.841311082228</v>
      </c>
      <c s="38" r="M423">
        <f>((((B423*2)+141)*((F423*2)+36))/(416.310724))-19.16575597</f>
        <v>109.9829709314</v>
      </c>
      <c s="38" r="N423">
        <f>(((((C423*2)+36)*((((C423*2)+36)*(I423/672))+415))/((((C423*2)+36)*(1-(I423/672)))+415))/(1.92306))-3.576327284</f>
        <v>73.9646799524651</v>
      </c>
      <c s="38" r="O423">
        <f>(((((E423*2)+36)*((((E423*2)+36)*(I423/672))+415))/((((E423*2)+36)*(1-(I423/672)))+415))/(1.980931))+4.9921912</f>
        <v>67.5701924213703</v>
      </c>
      <c s="68" r="P423"/>
      <c s="38" r="Q423">
        <f>((((L423+M423)+N423)+O423)/(1.535645))-60.47703745</f>
        <v>191.117018720184</v>
      </c>
      <c s="63" r="R423"/>
      <c s="26" r="S423"/>
      <c s="26" r="T423"/>
    </row>
    <row customHeight="1" r="424" ht="14.25">
      <c t="s" s="45" r="A424">
        <v>515</v>
      </c>
      <c s="75" r="B424">
        <v>60</v>
      </c>
      <c s="54" r="C424">
        <v>69</v>
      </c>
      <c s="54" r="D424">
        <v>95</v>
      </c>
      <c s="54" r="E424">
        <v>69</v>
      </c>
      <c s="54" r="F424">
        <v>95</v>
      </c>
      <c s="2" r="G424">
        <v>36</v>
      </c>
      <c s="68" r="H424"/>
      <c s="19" r="I424">
        <f>INDEX('Speed Factors'!$A$2:$B$256,(G424),2)</f>
        <v>104</v>
      </c>
      <c s="19" r="J424">
        <f>SUM(B424:G424)</f>
        <v>424</v>
      </c>
      <c s="68" r="K424"/>
      <c s="38" r="L424">
        <f>((((B424*2)+141)*((D424*2)+36))/(402.744996))-24.57966407</f>
        <v>121.880256191803</v>
      </c>
      <c s="38" r="M424">
        <f>((((B424*2)+141)*((F424*2)+36))/(416.310724))-19.16575597</f>
        <v>122.52168228105</v>
      </c>
      <c s="38" r="N424">
        <f>(((((C424*2)+36)*((((C424*2)+36)*(I424/672))+415))/((((C424*2)+36)*(1-(I424/672)))+415))/(1.92306))-3.576327284</f>
        <v>67.5641843796472</v>
      </c>
      <c s="38" r="O424">
        <f>(((((E424*2)+36)*((((E424*2)+36)*(I424/672))+415))/((((E424*2)+36)*(1-(I424/672)))+415))/(1.980931))+4.9921912</f>
        <v>74.0544010194704</v>
      </c>
      <c s="68" r="P424"/>
      <c s="38" r="Q424">
        <f>((((L424+M424)+N424)+O424)/(1.535645))-60.47703745</f>
        <v>190.89650517995</v>
      </c>
      <c s="63" r="R424"/>
      <c s="26" r="S424"/>
      <c s="26" r="T424"/>
    </row>
    <row customHeight="1" r="425" ht="14.25">
      <c t="s" s="45" r="A425">
        <v>516</v>
      </c>
      <c s="57" r="B425">
        <v>70</v>
      </c>
      <c s="8" r="C425">
        <v>94</v>
      </c>
      <c s="8" r="D425">
        <v>50</v>
      </c>
      <c s="8" r="E425">
        <v>94</v>
      </c>
      <c s="8" r="F425">
        <v>50</v>
      </c>
      <c s="27" r="G425">
        <v>66</v>
      </c>
      <c s="68" r="H425"/>
      <c s="20" r="I425">
        <f>INDEX('Speed Factors'!$A$2:$B$256,(G425),2)</f>
        <v>357</v>
      </c>
      <c s="20" r="J425">
        <f>SUM(B425:G425)</f>
        <v>424</v>
      </c>
      <c s="68" r="K425"/>
      <c s="38" r="L425">
        <f>((((B425*2)+141)*((D425*2)+36))/(402.744996))-24.57966407</f>
        <v>70.3091623078701</v>
      </c>
      <c s="38" r="M425">
        <f>((((B425*2)+141)*((F425*2)+36))/(416.310724))-19.16575597</f>
        <v>72.6310626005444</v>
      </c>
      <c s="38" r="N425">
        <f>(((((C425*2)+36)*((((C425*2)+36)*(I425/672))+415))/((((C425*2)+36)*(1-(I425/672)))+415))/(1.92306))-3.576327284</f>
        <v>116.040725346063</v>
      </c>
      <c s="38" r="O425">
        <f>(((((E425*2)+36)*((((E425*2)+36)*(I425/672))+415))/((((E425*2)+36)*(1-(I425/672)))+415))/(1.980931))+4.9921912</f>
        <v>121.114746317149</v>
      </c>
      <c s="68" r="P425"/>
      <c s="38" r="Q425">
        <f>((((L425+M425)+N425)+O425)/(1.535645))-60.47703745</f>
        <v>187.038304032977</v>
      </c>
      <c s="63" r="R425"/>
      <c s="26" r="S425"/>
      <c s="26" r="T425"/>
    </row>
    <row customHeight="1" r="426" ht="14.25">
      <c t="s" s="45" r="A426">
        <v>517</v>
      </c>
      <c s="75" r="B426">
        <v>30</v>
      </c>
      <c s="54" r="C426">
        <v>30</v>
      </c>
      <c s="54" r="D426">
        <v>42</v>
      </c>
      <c s="54" r="E426">
        <v>30</v>
      </c>
      <c s="54" r="F426">
        <v>42</v>
      </c>
      <c s="2" r="G426">
        <v>70</v>
      </c>
      <c s="68" r="H426"/>
      <c s="19" r="I426">
        <f>INDEX('Speed Factors'!$A$2:$B$256,(G426),2)</f>
        <v>369</v>
      </c>
      <c s="19" r="J426">
        <f>SUM(B426:G426)</f>
        <v>244</v>
      </c>
      <c s="68" r="K426"/>
      <c s="38" r="L426">
        <f>((((B426*2)+141)*((D426*2)+36))/(402.744996))-24.57966407</f>
        <v>35.3093481823087</v>
      </c>
      <c s="38" r="M426">
        <f>((((B426*2)+141)*((F426*2)+36))/(416.310724))-19.16575597</f>
        <v>38.7717378525228</v>
      </c>
      <c s="38" r="N426">
        <f>(((((C426*2)+36)*((((C426*2)+36)*(I426/672))+415))/((((C426*2)+36)*(1-(I426/672)))+415))/(1.92306))-3.576327284</f>
        <v>47.3711534727833</v>
      </c>
      <c s="38" r="O426">
        <f>(((((E426*2)+36)*((((E426*2)+36)*(I426/672))+415))/((((E426*2)+36)*(1-(I426/672)))+415))/(1.980931))+4.9921912</f>
        <v>54.4512901510183</v>
      </c>
      <c s="68" r="P426"/>
      <c s="38" r="Q426">
        <f>((((L426+M426)+N426)+O426)/(1.535645))-60.47703745</f>
        <v>54.0699637505594</v>
      </c>
      <c s="63" r="R426"/>
      <c s="26" r="S426"/>
      <c s="26" r="T426"/>
    </row>
    <row customHeight="1" r="427" ht="14.25">
      <c t="s" s="45" r="A427">
        <v>518</v>
      </c>
      <c s="57" r="B427">
        <v>70</v>
      </c>
      <c s="8" r="C427">
        <v>80</v>
      </c>
      <c s="8" r="D427">
        <v>102</v>
      </c>
      <c s="8" r="E427">
        <v>80</v>
      </c>
      <c s="8" r="F427">
        <v>102</v>
      </c>
      <c s="27" r="G427">
        <v>40</v>
      </c>
      <c s="68" r="H427"/>
      <c s="20" r="I427">
        <f>INDEX('Speed Factors'!$A$2:$B$256,(G427),2)</f>
        <v>111</v>
      </c>
      <c s="20" r="J427">
        <f>SUM(B427:G427)</f>
        <v>474</v>
      </c>
      <c s="68" r="K427"/>
      <c s="38" r="L427">
        <f>((((B427*2)+141)*((D427*2)+36))/(402.744996))-24.57966407</f>
        <v>142.871206008594</v>
      </c>
      <c s="38" r="M427">
        <f>((((B427*2)+141)*((F427*2)+36))/(416.310724))-19.16575597</f>
        <v>142.828629742726</v>
      </c>
      <c s="38" r="N427">
        <f>(((((C427*2)+36)*((((C427*2)+36)*(I427/672))+415))/((((C427*2)+36)*(1-(I427/672)))+415))/(1.92306))-3.576327284</f>
        <v>75.2257660448037</v>
      </c>
      <c s="38" r="O427">
        <f>(((((E427*2)+36)*((((E427*2)+36)*(I427/672))+415))/((((E427*2)+36)*(1-(I427/672)))+415))/(1.980931))+4.9921912</f>
        <v>81.4921569216174</v>
      </c>
      <c s="68" r="P427"/>
      <c s="38" r="Q427">
        <f>((((L427+M427)+N427)+O427)/(1.535645))-60.47703745</f>
        <v>227.621942924853</v>
      </c>
      <c s="63" r="R427"/>
      <c s="26" r="S427"/>
      <c s="26" r="T427"/>
    </row>
    <row customHeight="1" r="428" ht="14.25">
      <c t="s" s="45" r="A428">
        <v>519</v>
      </c>
      <c s="75" r="B428">
        <v>60</v>
      </c>
      <c s="54" r="C428">
        <v>45</v>
      </c>
      <c s="54" r="D428">
        <v>70</v>
      </c>
      <c s="54" r="E428">
        <v>45</v>
      </c>
      <c s="54" r="F428">
        <v>90</v>
      </c>
      <c s="2" r="G428">
        <v>95</v>
      </c>
      <c s="68" r="H428"/>
      <c s="19" r="I428">
        <f>INDEX('Speed Factors'!$A$2:$B$256,(G428),2)</f>
        <v>542</v>
      </c>
      <c s="19" r="J428">
        <f>SUM(B428:G428)</f>
        <v>405</v>
      </c>
      <c s="68" r="K428"/>
      <c s="38" r="L428">
        <f>((((B428*2)+141)*((D428*2)+36))/(402.744996))-24.57966407</f>
        <v>89.47761896574</v>
      </c>
      <c s="38" r="M428">
        <f>((((B428*2)+141)*((F428*2)+36))/(416.310724))-19.16575597</f>
        <v>116.252326606225</v>
      </c>
      <c s="38" r="N428">
        <f>(((((C428*2)+36)*((((C428*2)+36)*(I428/672))+415))/((((C428*2)+36)*(1-(I428/672)))+415))/(1.92306))-3.576327284</f>
        <v>73.4639409975302</v>
      </c>
      <c s="38" r="O428">
        <f>(((((E428*2)+36)*((((E428*2)+36)*(I428/672))+415))/((((E428*2)+36)*(1-(I428/672)))+415))/(1.980931))+4.9921912</f>
        <v>79.7818019039969</v>
      </c>
      <c s="68" r="P428"/>
      <c s="38" r="Q428">
        <f>((((L428+M428)+N428)+O428)/(1.535645))-60.47703745</f>
        <v>173.285120127755</v>
      </c>
      <c s="63" r="R428"/>
      <c s="26" r="S428"/>
      <c s="26" r="T428"/>
    </row>
    <row customHeight="1" r="429" ht="14.25">
      <c t="s" s="45" r="A429">
        <v>520</v>
      </c>
      <c s="57" r="B429">
        <v>55</v>
      </c>
      <c s="8" r="C429">
        <v>65</v>
      </c>
      <c s="8" r="D429">
        <v>35</v>
      </c>
      <c s="8" r="E429">
        <v>60</v>
      </c>
      <c s="8" r="F429">
        <v>30</v>
      </c>
      <c s="27" r="G429">
        <v>85</v>
      </c>
      <c s="68" r="H429"/>
      <c s="20" r="I429">
        <f>INDEX('Speed Factors'!$A$2:$B$256,(G429),2)</f>
        <v>469</v>
      </c>
      <c s="20" r="J429">
        <f>SUM(B429:G429)</f>
        <v>330</v>
      </c>
      <c s="68" r="K429"/>
      <c s="38" r="L429">
        <f>((((B429*2)+141)*((D429*2)+36))/(402.744996))-24.57966407</f>
        <v>41.4819884998559</v>
      </c>
      <c s="38" r="M429">
        <f>((((B429*2)+141)*((F429*2)+36))/(416.310724))-19.16575597</f>
        <v>38.7140886049382</v>
      </c>
      <c s="38" r="N429">
        <f>(((((C429*2)+36)*((((C429*2)+36)*(I429/672))+415))/((((C429*2)+36)*(1-(I429/672)))+415))/(1.92306))-3.576327284</f>
        <v>94.9384429917033</v>
      </c>
      <c s="38" r="O429">
        <f>(((((E429*2)+36)*((((E429*2)+36)*(I429/672))+415))/((((E429*2)+36)*(1-(I429/672)))+415))/(1.980931))+4.9921912</f>
        <v>94.2658758801507</v>
      </c>
      <c s="68" r="P429"/>
      <c s="38" r="Q429">
        <f>((((L429+M429)+N429)+O429)/(1.535645))-60.47703745</f>
        <v>114.954391022497</v>
      </c>
      <c s="63" r="R429"/>
      <c s="26" r="S429"/>
      <c s="26" r="T429"/>
    </row>
    <row customHeight="1" r="430" ht="14.25">
      <c t="s" s="45" r="A430">
        <v>521</v>
      </c>
      <c s="75" r="B430">
        <v>85</v>
      </c>
      <c s="54" r="C430">
        <v>105</v>
      </c>
      <c s="54" r="D430">
        <v>55</v>
      </c>
      <c s="54" r="E430">
        <v>85</v>
      </c>
      <c s="54" r="F430">
        <v>50</v>
      </c>
      <c s="2" r="G430">
        <v>115</v>
      </c>
      <c s="68" r="H430"/>
      <c s="19" r="I430">
        <f>INDEX('Speed Factors'!$A$2:$B$256,(G430),2)</f>
        <v>642</v>
      </c>
      <c s="19" r="J430">
        <f>SUM(B430:G430)</f>
        <v>495</v>
      </c>
      <c s="68" r="K430"/>
      <c s="38" r="L430">
        <f>((((B430*2)+141)*((D430*2)+36))/(402.744996))-24.57966407</f>
        <v>88.1616497910417</v>
      </c>
      <c s="38" r="M430">
        <f>((((B430*2)+141)*((F430*2)+36))/(416.310724))-19.16575597</f>
        <v>82.4314346899264</v>
      </c>
      <c s="38" r="N430">
        <f>(((((C430*2)+36)*((((C430*2)+36)*(I430/672))+415))/((((C430*2)+36)*(1-(I430/672)))+415))/(1.92306))-3.576327284</f>
        <v>191.622033513346</v>
      </c>
      <c s="38" r="O430">
        <f>(((((E430*2)+36)*((((E430*2)+36)*(I430/672))+415))/((((E430*2)+36)*(1-(I430/672)))+415))/(1.980931))+4.9921912</f>
        <v>154.975479860896</v>
      </c>
      <c s="68" r="P430"/>
      <c s="38" r="Q430">
        <f>((((L430+M430)+N430)+O430)/(1.535645))-60.47703745</f>
        <v>276.313430304729</v>
      </c>
      <c s="63" r="R430"/>
      <c s="26" r="S430"/>
      <c s="26" r="T430"/>
    </row>
    <row customHeight="1" r="431" ht="14.25">
      <c t="s" s="45" r="A431">
        <v>522</v>
      </c>
      <c s="57" r="B431">
        <v>45</v>
      </c>
      <c s="8" r="C431">
        <v>35</v>
      </c>
      <c s="8" r="D431">
        <v>45</v>
      </c>
      <c s="8" r="E431">
        <v>62</v>
      </c>
      <c s="8" r="F431">
        <v>53</v>
      </c>
      <c s="27" r="G431">
        <v>35</v>
      </c>
      <c s="68" r="H431"/>
      <c s="20" r="I431">
        <f>INDEX('Speed Factors'!$A$2:$B$256,(G431),2)</f>
        <v>84</v>
      </c>
      <c s="20" r="J431">
        <f>SUM(B431:G431)</f>
        <v>275</v>
      </c>
      <c s="68" r="K431"/>
      <c s="38" r="L431">
        <f>((((B431*2)+141)*((D431*2)+36))/(402.744996))-24.57966407</f>
        <v>47.6893902673008</v>
      </c>
      <c s="38" r="M431">
        <f>((((B431*2)+141)*((F431*2)+36))/(416.310724))-19.16575597</f>
        <v>59.6263531662518</v>
      </c>
      <c s="38" r="N431">
        <f>(((((C431*2)+36)*((((C431*2)+36)*(I431/672))+415))/((((C431*2)+36)*(1-(I431/672)))+415))/(1.92306))-3.576327284</f>
        <v>42.9137716368469</v>
      </c>
      <c s="38" r="O431">
        <f>(((((E431*2)+36)*((((E431*2)+36)*(I431/672))+415))/((((E431*2)+36)*(1-(I431/672)))+415))/(1.980931))+4.9921912</f>
        <v>68.2984877875164</v>
      </c>
      <c s="68" r="P431"/>
      <c s="38" r="Q431">
        <f>((((L431+M431)+N431)+O431)/(1.535645))-60.47703745</f>
        <v>81.8266869510926</v>
      </c>
      <c s="63" r="R431"/>
      <c s="26" r="S431"/>
      <c s="26" r="T431"/>
    </row>
    <row customHeight="1" r="432" ht="14.25">
      <c t="s" s="45" r="A432">
        <v>523</v>
      </c>
      <c s="75" r="B432">
        <v>70</v>
      </c>
      <c s="54" r="C432">
        <v>60</v>
      </c>
      <c s="54" r="D432">
        <v>70</v>
      </c>
      <c s="54" r="E432">
        <v>87</v>
      </c>
      <c s="54" r="F432">
        <v>78</v>
      </c>
      <c s="2" r="G432">
        <v>85</v>
      </c>
      <c s="68" r="H432"/>
      <c s="19" r="I432">
        <f>INDEX('Speed Factors'!$A$2:$B$256,(G432),2)</f>
        <v>469</v>
      </c>
      <c s="19" r="J432">
        <f>SUM(B432:G432)</f>
        <v>450</v>
      </c>
      <c s="68" r="K432"/>
      <c s="38" r="L432">
        <f>((((B432*2)+141)*((D432*2)+36))/(402.744996))-24.57966407</f>
        <v>98.2176406543025</v>
      </c>
      <c s="38" r="M432">
        <f>((((B432*2)+141)*((F432*2)+36))/(416.310724))-19.16575597</f>
        <v>110.42975260018</v>
      </c>
      <c s="38" r="N432">
        <f>(((((C432*2)+36)*((((C432*2)+36)*(I432/672))+415))/((((C432*2)+36)*(1-(I432/672)))+415))/(1.92306))-3.576327284</f>
        <v>88.3838868887952</v>
      </c>
      <c s="38" r="O432">
        <f>(((((E432*2)+36)*((((E432*2)+36)*(I432/672))+415))/((((E432*2)+36)*(1-(I432/672)))+415))/(1.980931))+4.9921912</f>
        <v>129.421541283835</v>
      </c>
      <c s="68" r="P432"/>
      <c s="38" r="Q432">
        <f>((((L432+M432)+N432)+O432)/(1.535645))-60.47703745</f>
        <v>217.225700765612</v>
      </c>
      <c s="63" r="R432"/>
      <c s="26" r="S432"/>
      <c s="26" r="T432"/>
    </row>
    <row customHeight="1" r="433" ht="14.25">
      <c t="s" s="45" r="A433">
        <v>524</v>
      </c>
      <c s="57" r="B433">
        <v>76</v>
      </c>
      <c s="8" r="C433">
        <v>48</v>
      </c>
      <c s="8" r="D433">
        <v>48</v>
      </c>
      <c s="8" r="E433">
        <v>57</v>
      </c>
      <c s="8" r="F433">
        <v>62</v>
      </c>
      <c s="27" r="G433">
        <v>34</v>
      </c>
      <c s="68" r="H433"/>
      <c s="20" r="I433">
        <f>INDEX('Speed Factors'!$A$2:$B$256,(G433),2)</f>
        <v>83</v>
      </c>
      <c s="20" r="J433">
        <f>SUM(B433:G433)</f>
        <v>325</v>
      </c>
      <c s="68" r="K433"/>
      <c s="38" r="L433">
        <f>((((B433*2)+141)*((D433*2)+36))/(402.744996))-24.57966407</f>
        <v>71.45132423308</v>
      </c>
      <c s="38" r="M433">
        <f>((((B433*2)+141)*((F433*2)+36))/(416.310724))-19.16575597</f>
        <v>93.442440978585</v>
      </c>
      <c s="38" r="N433">
        <f>(((((C433*2)+36)*((((C433*2)+36)*(I433/672))+415))/((((C433*2)+36)*(1-(I433/672)))+415))/(1.92306))-3.576327284</f>
        <v>52.2087431865166</v>
      </c>
      <c s="38" r="O433">
        <f>(((((E433*2)+36)*((((E433*2)+36)*(I433/672))+415))/((((E433*2)+36)*(1-(I433/672)))+415))/(1.980931))+4.9921912</f>
        <v>65.0637590196298</v>
      </c>
      <c s="68" r="P433"/>
      <c s="38" r="Q433">
        <f>((((L433+M433)+N433)+O433)/(1.535645))-60.47703745</f>
        <v>123.267426549044</v>
      </c>
      <c s="63" r="R433"/>
      <c s="26" r="S433"/>
      <c s="26" r="T433"/>
    </row>
    <row customHeight="1" r="434" ht="14.25">
      <c t="s" s="45" r="A434">
        <v>69</v>
      </c>
      <c s="75" r="B434">
        <v>111</v>
      </c>
      <c s="54" r="C434">
        <v>83</v>
      </c>
      <c s="54" r="D434">
        <v>68</v>
      </c>
      <c s="54" r="E434">
        <v>92</v>
      </c>
      <c s="54" r="F434">
        <v>82</v>
      </c>
      <c s="2" r="G434">
        <v>39</v>
      </c>
      <c s="68" r="H434"/>
      <c s="19" r="I434">
        <f>INDEX('Speed Factors'!$A$2:$B$256,(G434),2)</f>
        <v>110</v>
      </c>
      <c s="19" r="J434">
        <f>SUM(B434:G434)</f>
        <v>475</v>
      </c>
      <c s="68" r="K434"/>
      <c s="38" r="L434">
        <f>((((B434*2)+141)*((D434*2)+36))/(402.744996))-24.57966407</f>
        <v>130.446470630877</v>
      </c>
      <c s="38" r="M434">
        <f>((((B434*2)+141)*((F434*2)+36))/(416.310724))-19.16575597</f>
        <v>155.223217973414</v>
      </c>
      <c s="38" r="N434">
        <f>(((((C434*2)+36)*((((C434*2)+36)*(I434/672))+415))/((((C434*2)+36)*(1-(I434/672)))+415))/(1.92306))-3.576327284</f>
        <v>77.0238254280938</v>
      </c>
      <c s="38" r="O434">
        <f>(((((E434*2)+36)*((((E434*2)+36)*(I434/672))+415))/((((E434*2)+36)*(1-(I434/672)))+415))/(1.980931))+4.9921912</f>
        <v>88.6146911580873</v>
      </c>
      <c s="68" r="P434"/>
      <c s="38" r="Q434">
        <f>((((L434+M434)+N434)+O434)/(1.535645))-60.47703745</f>
        <v>233.41133205628</v>
      </c>
      <c s="63" r="R434"/>
      <c s="26" r="S434"/>
      <c s="26" r="T434"/>
    </row>
    <row customHeight="1" r="435" ht="14.25">
      <c t="s" s="45" r="A435">
        <v>525</v>
      </c>
      <c s="57" r="B435">
        <v>75</v>
      </c>
      <c s="8" r="C435">
        <v>100</v>
      </c>
      <c s="8" r="D435">
        <v>66</v>
      </c>
      <c s="8" r="E435">
        <v>60</v>
      </c>
      <c s="8" r="F435">
        <v>66</v>
      </c>
      <c s="27" r="G435">
        <v>115</v>
      </c>
      <c s="68" r="H435"/>
      <c s="20" r="I435">
        <f>INDEX('Speed Factors'!$A$2:$B$256,(G435),2)</f>
        <v>642</v>
      </c>
      <c s="20" r="J435">
        <f>SUM(B435:G435)</f>
        <v>482</v>
      </c>
      <c s="68" r="K435"/>
      <c s="38" r="L435">
        <f>((((B435*2)+141)*((D435*2)+36))/(402.744996))-24.57966407</f>
        <v>96.807318972739</v>
      </c>
      <c s="38" r="M435">
        <f>((((B435*2)+141)*((F435*2)+36))/(416.310724))-19.16575597</f>
        <v>98.2657613598298</v>
      </c>
      <c s="38" r="N435">
        <f>(((((C435*2)+36)*((((C435*2)+36)*(I435/672))+415))/((((C435*2)+36)*(1-(I435/672)))+415))/(1.92306))-3.576327284</f>
        <v>181.128425268473</v>
      </c>
      <c s="38" r="O435">
        <f>(((((E435*2)+36)*((((E435*2)+36)*(I435/672))+415))/((((E435*2)+36)*(1-(I435/672)))+415))/(1.980931))+4.9921912</f>
        <v>110.257715848357</v>
      </c>
      <c s="68" r="P435"/>
      <c s="38" r="Q435">
        <f>((((L435+M435)+N435)+O435)/(1.535645))-60.47703745</f>
        <v>256.301398613933</v>
      </c>
      <c s="63" r="R435"/>
      <c s="26" r="S435"/>
      <c s="26" r="T435"/>
    </row>
    <row customHeight="1" r="436" ht="14.25">
      <c t="s" s="45" r="A436">
        <v>526</v>
      </c>
      <c s="75" r="B436">
        <v>90</v>
      </c>
      <c s="54" r="C436">
        <v>50</v>
      </c>
      <c s="54" r="D436">
        <v>34</v>
      </c>
      <c s="54" r="E436">
        <v>60</v>
      </c>
      <c s="54" r="F436">
        <v>44</v>
      </c>
      <c s="2" r="G436">
        <v>70</v>
      </c>
      <c s="68" r="H436"/>
      <c s="19" r="I436">
        <f>INDEX('Speed Factors'!$A$2:$B$256,(G436),2)</f>
        <v>369</v>
      </c>
      <c s="19" r="J436">
        <f>SUM(B436:G436)</f>
        <v>348</v>
      </c>
      <c s="68" r="K436"/>
      <c s="38" r="L436">
        <f>((((B436*2)+141)*((D436*2)+36))/(402.744996))-24.57966407</f>
        <v>58.3114961717526</v>
      </c>
      <c s="38" r="M436">
        <f>((((B436*2)+141)*((F436*2)+36))/(416.310724))-19.16575597</f>
        <v>76.4455211490588</v>
      </c>
      <c s="38" r="N436">
        <f>(((((C436*2)+36)*((((C436*2)+36)*(I436/672))+415))/((((C436*2)+36)*(1-(I436/672)))+415))/(1.92306))-3.576327284</f>
        <v>69.1274631429315</v>
      </c>
      <c s="38" r="O436">
        <f>(((((E436*2)+36)*((((E436*2)+36)*(I436/672))+415))/((((E436*2)+36)*(1-(I436/672)))+415))/(1.980931))+4.9921912</f>
        <v>86.2290866289987</v>
      </c>
      <c s="68" r="P436"/>
      <c s="38" r="Q436">
        <f>((((L436+M436)+N436)+O436)/(1.535645))-60.47703745</f>
        <v>128.442645870521</v>
      </c>
      <c s="63" r="R436"/>
      <c s="26" r="S436"/>
      <c s="26" r="T436"/>
    </row>
    <row customHeight="1" r="437" ht="14.25">
      <c t="s" s="45" r="A437">
        <v>527</v>
      </c>
      <c s="57" r="B437">
        <v>150</v>
      </c>
      <c s="8" r="C437">
        <v>80</v>
      </c>
      <c s="8" r="D437">
        <v>44</v>
      </c>
      <c s="8" r="E437">
        <v>90</v>
      </c>
      <c s="8" r="F437">
        <v>54</v>
      </c>
      <c s="27" r="G437">
        <v>80</v>
      </c>
      <c s="68" r="H437"/>
      <c s="20" r="I437">
        <f>INDEX('Speed Factors'!$A$2:$B$256,(G437),2)</f>
        <v>432</v>
      </c>
      <c s="20" r="J437">
        <f>SUM(B437:G437)</f>
        <v>498</v>
      </c>
      <c s="68" r="K437"/>
      <c s="38" r="L437">
        <f>((((B437*2)+141)*((D437*2)+36))/(402.744996))-24.57966407</f>
        <v>111.198559230383</v>
      </c>
      <c s="38" r="M437">
        <f>((((B437*2)+141)*((F437*2)+36))/(416.310724))-19.16575597</f>
        <v>133.374153138851</v>
      </c>
      <c s="38" r="N437">
        <f>(((((C437*2)+36)*((((C437*2)+36)*(I437/672))+415))/((((C437*2)+36)*(1-(I437/672)))+415))/(1.92306))-3.576327284</f>
        <v>110.112755654157</v>
      </c>
      <c s="38" r="O437">
        <f>(((((E437*2)+36)*((((E437*2)+36)*(I437/672))+415))/((((E437*2)+36)*(1-(I437/672)))+415))/(1.980931))+4.9921912</f>
        <v>127.705305337396</v>
      </c>
      <c s="68" r="P437"/>
      <c s="38" r="Q437">
        <f>((((L437+M437)+N437)+O437)/(1.535645))-60.47703745</f>
        <v>253.652057074312</v>
      </c>
      <c s="63" r="R437"/>
      <c s="26" r="S437"/>
      <c s="26" r="T437"/>
    </row>
    <row customHeight="1" r="438" ht="14.25">
      <c t="s" s="45" r="A438">
        <v>528</v>
      </c>
      <c s="75" r="B438">
        <v>55</v>
      </c>
      <c s="54" r="C438">
        <v>66</v>
      </c>
      <c s="54" r="D438">
        <v>44</v>
      </c>
      <c s="54" r="E438">
        <v>44</v>
      </c>
      <c s="54" r="F438">
        <v>56</v>
      </c>
      <c s="2" r="G438">
        <v>85</v>
      </c>
      <c s="68" r="H438"/>
      <c s="19" r="I438">
        <f>INDEX('Speed Factors'!$A$2:$B$256,(G438),2)</f>
        <v>469</v>
      </c>
      <c s="19" r="J438">
        <f>SUM(B438:G438)</f>
        <v>350</v>
      </c>
      <c s="68" r="K438"/>
      <c s="38" r="L438">
        <f>((((B438*2)+141)*((D438*2)+36))/(402.744996))-24.57966407</f>
        <v>52.7000049739824</v>
      </c>
      <c s="38" r="M438">
        <f>((((B438*2)+141)*((F438*2)+36))/(416.310724))-19.16575597</f>
        <v>70.0656710830297</v>
      </c>
      <c s="38" r="N438">
        <f>(((((C438*2)+36)*((((C438*2)+36)*(I438/672))+415))/((((C438*2)+36)*(1-(I438/672)))+415))/(1.92306))-3.576327284</f>
        <v>96.2578523839953</v>
      </c>
      <c s="38" r="O438">
        <f>(((((E438*2)+36)*((((E438*2)+36)*(I438/672))+415))/((((E438*2)+36)*(1-(I438/672)))+415))/(1.980931))+4.9921912</f>
        <v>74.3796151190956</v>
      </c>
      <c s="68" r="P438"/>
      <c s="38" r="Q438">
        <f>((((L438+M438)+N438)+O438)/(1.535645))-60.47703745</f>
        <v>130.584792308898</v>
      </c>
      <c s="63" r="R438"/>
      <c s="26" r="S438"/>
      <c s="26" r="T438"/>
    </row>
    <row customHeight="1" r="439" ht="14.25">
      <c t="s" s="45" r="A439">
        <v>529</v>
      </c>
      <c s="57" r="B439">
        <v>65</v>
      </c>
      <c s="8" r="C439">
        <v>76</v>
      </c>
      <c s="8" r="D439">
        <v>84</v>
      </c>
      <c s="8" r="E439">
        <v>54</v>
      </c>
      <c s="8" r="F439">
        <v>96</v>
      </c>
      <c s="27" r="G439">
        <v>105</v>
      </c>
      <c s="68" r="H439"/>
      <c s="20" r="I439">
        <f>INDEX('Speed Factors'!$A$2:$B$256,(G439),2)</f>
        <v>609</v>
      </c>
      <c s="20" r="J439">
        <f>SUM(B439:G439)</f>
        <v>480</v>
      </c>
      <c s="68" r="K439"/>
      <c s="38" r="L439">
        <f>((((B439*2)+141)*((D439*2)+36))/(402.744996))-24.57966407</f>
        <v>112.68833565457</v>
      </c>
      <c s="38" r="M439">
        <f>((((B439*2)+141)*((F439*2)+36))/(416.310724))-19.16575597</f>
        <v>129.252231936552</v>
      </c>
      <c s="38" r="N439">
        <f>(((((C439*2)+36)*((((C439*2)+36)*(I439/672))+415))/((((C439*2)+36)*(1-(I439/672)))+415))/(1.92306))-3.576327284</f>
        <v>128.701658490099</v>
      </c>
      <c s="38" r="O439">
        <f>(((((E439*2)+36)*((((E439*2)+36)*(I439/672))+415))/((((E439*2)+36)*(1-(I439/672)))+415))/(1.980931))+4.9921912</f>
        <v>97.5338057702107</v>
      </c>
      <c s="68" r="P439"/>
      <c s="38" r="Q439">
        <f>((((L439+M439)+N439)+O439)/(1.535645))-60.47703745</f>
        <v>244.395528703917</v>
      </c>
      <c s="63" r="R439"/>
      <c s="26" r="S439"/>
      <c s="26" r="T439"/>
    </row>
    <row customHeight="1" r="440" ht="14.25">
      <c t="s" s="45" r="A440">
        <v>530</v>
      </c>
      <c s="75" r="B440">
        <v>60</v>
      </c>
      <c s="54" r="C440">
        <v>60</v>
      </c>
      <c s="54" r="D440">
        <v>60</v>
      </c>
      <c s="54" r="E440">
        <v>105</v>
      </c>
      <c s="54" r="F440">
        <v>105</v>
      </c>
      <c s="2" r="G440">
        <v>105</v>
      </c>
      <c s="68" r="H440"/>
      <c s="19" r="I440">
        <f>INDEX('Speed Factors'!$A$2:$B$256,(G440),2)</f>
        <v>609</v>
      </c>
      <c s="19" r="J440">
        <f>SUM(B440:G440)</f>
        <v>495</v>
      </c>
      <c s="68" r="K440"/>
      <c s="38" r="L440">
        <f>((((B440*2)+141)*((D440*2)+36))/(402.744996))-24.57966407</f>
        <v>76.516564075315</v>
      </c>
      <c s="38" r="M440">
        <f>((((B440*2)+141)*((F440*2)+36))/(416.310724))-19.16575597</f>
        <v>135.060393630701</v>
      </c>
      <c s="38" r="N440">
        <f>(((((C440*2)+36)*((((C440*2)+36)*(I440/672))+415))/((((C440*2)+36)*(1-(I440/672)))+415))/(1.92306))-3.576327284</f>
        <v>101.47700335348</v>
      </c>
      <c s="38" r="O440">
        <f>(((((E440*2)+36)*((((E440*2)+36)*(I440/672))+415))/((((E440*2)+36)*(1-(I440/672)))+415))/(1.980931))+4.9921912</f>
        <v>185.837735693423</v>
      </c>
      <c s="68" r="P440"/>
      <c s="38" r="Q440">
        <f>((((L440+M440)+N440)+O440)/(1.535645))-60.47703745</f>
        <v>264.397329186116</v>
      </c>
      <c s="63" r="R440"/>
      <c s="26" r="S440"/>
      <c s="26" r="T440"/>
    </row>
    <row customHeight="1" r="441" ht="14.25">
      <c t="s" s="45" r="A441">
        <v>531</v>
      </c>
      <c s="57" r="B441">
        <v>100</v>
      </c>
      <c s="8" r="C441">
        <v>125</v>
      </c>
      <c s="8" r="D441">
        <v>52</v>
      </c>
      <c s="8" r="E441">
        <v>105</v>
      </c>
      <c s="8" r="F441">
        <v>52</v>
      </c>
      <c s="27" r="G441">
        <v>71</v>
      </c>
      <c s="68" r="H441"/>
      <c s="20" r="I441">
        <f>INDEX('Speed Factors'!$A$2:$B$256,(G441),2)</f>
        <v>405</v>
      </c>
      <c s="20" r="J441">
        <f>SUM(B441:G441)</f>
        <v>505</v>
      </c>
      <c s="68" r="K441"/>
      <c s="38" r="L441">
        <f>((((B441*2)+141)*((D441*2)+36))/(402.744996))-24.57966407</f>
        <v>93.9568800811283</v>
      </c>
      <c s="38" r="M441">
        <f>((((B441*2)+141)*((F441*2)+36))/(416.310724))-19.16575597</f>
        <v>95.5082056836998</v>
      </c>
      <c s="38" r="N441">
        <f>(((((C441*2)+36)*((((C441*2)+36)*(I441/672))+415))/((((C441*2)+36)*(1-(I441/672)))+415))/(1.92306))-3.576327284</f>
        <v>161.668175831432</v>
      </c>
      <c s="38" r="O441">
        <f>(((((E441*2)+36)*((((E441*2)+36)*(I441/672))+415))/((((E441*2)+36)*(1-(I441/672)))+415))/(1.980931))+4.9921912</f>
        <v>141.411466111064</v>
      </c>
      <c s="68" r="P441"/>
      <c s="38" r="Q441">
        <f>((((L441+M441)+N441)+O441)/(1.535645))-60.47703745</f>
        <v>260.264232639978</v>
      </c>
      <c s="63" r="R441"/>
      <c s="26" r="S441"/>
      <c s="26" r="T441"/>
    </row>
    <row customHeight="1" r="442" ht="14.25">
      <c t="s" s="45" r="A442">
        <v>532</v>
      </c>
      <c s="75" r="B442">
        <v>49</v>
      </c>
      <c s="54" r="C442">
        <v>55</v>
      </c>
      <c s="54" r="D442">
        <v>42</v>
      </c>
      <c s="54" r="E442">
        <v>42</v>
      </c>
      <c s="54" r="F442">
        <v>37</v>
      </c>
      <c s="2" r="G442">
        <v>85</v>
      </c>
      <c s="68" r="H442"/>
      <c s="19" r="I442">
        <f>INDEX('Speed Factors'!$A$2:$B$256,(G442),2)</f>
        <v>469</v>
      </c>
      <c s="19" r="J442">
        <f>SUM(B442:G442)</f>
        <v>310</v>
      </c>
      <c s="68" r="K442"/>
      <c s="38" r="L442">
        <f>((((B442*2)+141)*((D442*2)+36))/(402.744996))-24.57966407</f>
        <v>46.6316490061282</v>
      </c>
      <c s="38" r="M442">
        <f>((((B442*2)+141)*((F442*2)+36))/(416.310724))-19.16575597</f>
        <v>43.9841906549637</v>
      </c>
      <c s="38" r="N442">
        <f>(((((C442*2)+36)*((((C442*2)+36)*(I442/672))+415))/((((C442*2)+36)*(1-(I442/672)))+415))/(1.92306))-3.576327284</f>
        <v>81.9011740217915</v>
      </c>
      <c s="38" r="O442">
        <f>(((((E442*2)+36)*((((E442*2)+36)*(I442/672))+415))/((((E442*2)+36)*(1-(I442/672)))+415))/(1.980931))+4.9921912</f>
        <v>71.9463551498642</v>
      </c>
      <c s="68" r="P442"/>
      <c s="38" r="Q442">
        <f>((((L442+M442)+N442)+O442)/(1.535645))-60.47703745</f>
        <v>98.7155942016823</v>
      </c>
      <c s="63" r="R442"/>
      <c s="26" r="S442"/>
      <c s="26" r="T442"/>
    </row>
    <row customHeight="1" r="443" ht="14.25">
      <c t="s" s="45" r="A443">
        <v>533</v>
      </c>
      <c s="57" r="B443">
        <v>71</v>
      </c>
      <c s="8" r="C443">
        <v>82</v>
      </c>
      <c s="8" r="D443">
        <v>64</v>
      </c>
      <c s="8" r="E443">
        <v>64</v>
      </c>
      <c s="8" r="F443">
        <v>59</v>
      </c>
      <c s="27" r="G443">
        <v>112</v>
      </c>
      <c s="68" r="H443"/>
      <c s="20" r="I443">
        <f>INDEX('Speed Factors'!$A$2:$B$256,(G443),2)</f>
        <v>638</v>
      </c>
      <c s="20" r="J443">
        <f>SUM(B443:G443)</f>
        <v>452</v>
      </c>
      <c s="68" r="K443"/>
      <c s="38" r="L443">
        <f>((((B443*2)+141)*((D443*2)+36))/(402.744996))-24.57966407</f>
        <v>90.6595082622616</v>
      </c>
      <c s="38" r="M443">
        <f>((((B443*2)+141)*((F443*2)+36))/(416.310724))-19.16575597</f>
        <v>85.5204735396679</v>
      </c>
      <c s="38" r="N443">
        <f>(((((C443*2)+36)*((((C443*2)+36)*(I443/672))+415))/((((C443*2)+36)*(1-(I443/672)))+415))/(1.92306))-3.576327284</f>
        <v>144.40145209772</v>
      </c>
      <c s="38" r="O443">
        <f>(((((E443*2)+36)*((((E443*2)+36)*(I443/672))+415))/((((E443*2)+36)*(1-(I443/672)))+415))/(1.980931))+4.9921912</f>
        <v>116.61125058181</v>
      </c>
      <c s="68" r="P443"/>
      <c s="38" r="Q443">
        <f>((((L443+M443)+N443)+O443)/(1.535645))-60.47703745</f>
        <v>224.219415494176</v>
      </c>
      <c s="63" r="R443"/>
      <c s="26" r="S443"/>
      <c s="26" r="T443"/>
    </row>
    <row customHeight="1" r="444" ht="14.25">
      <c t="s" s="45" r="A444">
        <v>534</v>
      </c>
      <c s="75" r="B444">
        <v>45</v>
      </c>
      <c s="54" r="C444">
        <v>30</v>
      </c>
      <c s="54" r="D444">
        <v>50</v>
      </c>
      <c s="54" r="E444">
        <v>65</v>
      </c>
      <c s="54" r="F444">
        <v>50</v>
      </c>
      <c s="2" r="G444">
        <v>45</v>
      </c>
      <c s="68" r="H444"/>
      <c s="19" r="I444">
        <f>INDEX('Speed Factors'!$A$2:$B$256,(G444),2)</f>
        <v>154</v>
      </c>
      <c s="19" r="J444">
        <f>SUM(B444:G444)</f>
        <v>285</v>
      </c>
      <c s="68" r="K444"/>
      <c s="38" r="L444">
        <f>((((B444*2)+141)*((D444*2)+36))/(402.744996))-24.57966407</f>
        <v>53.4250295004199</v>
      </c>
      <c s="38" r="M444">
        <f>((((B444*2)+141)*((F444*2)+36))/(416.310724))-19.16575597</f>
        <v>56.2971091182412</v>
      </c>
      <c s="38" r="N444">
        <f>(((((C444*2)+36)*((((C444*2)+36)*(I444/672))+415))/((((C444*2)+36)*(1-(I444/672)))+415))/(1.92306))-3.576327284</f>
        <v>41.035599043283</v>
      </c>
      <c s="38" r="O444">
        <f>(((((E444*2)+36)*((((E444*2)+36)*(I444/672))+415))/((((E444*2)+36)*(1-(I444/672)))+415))/(1.980931))+4.9921912</f>
        <v>74.9136342690051</v>
      </c>
      <c s="68" r="P444"/>
      <c s="38" r="Q444">
        <f>((((L444+M444)+N444)+O444)/(1.535645))-60.47703745</f>
        <v>86.4783929593389</v>
      </c>
      <c s="63" r="R444"/>
      <c s="26" r="S444"/>
      <c s="26" r="T444"/>
    </row>
    <row customHeight="1" r="445" ht="14.25">
      <c t="s" s="45" r="A445">
        <v>535</v>
      </c>
      <c s="57" r="B445">
        <v>63</v>
      </c>
      <c s="8" r="C445">
        <v>63</v>
      </c>
      <c s="8" r="D445">
        <v>47</v>
      </c>
      <c s="8" r="E445">
        <v>41</v>
      </c>
      <c s="8" r="F445">
        <v>41</v>
      </c>
      <c s="27" r="G445">
        <v>74</v>
      </c>
      <c s="68" r="H445"/>
      <c s="20" r="I445">
        <f>INDEX('Speed Factors'!$A$2:$B$256,(G445),2)</f>
        <v>410</v>
      </c>
      <c s="20" r="J445">
        <f>SUM(B445:G445)</f>
        <v>329</v>
      </c>
      <c s="68" r="K445"/>
      <c s="38" r="L445">
        <f>((((B445*2)+141)*((D445*2)+36))/(402.744996))-24.57966407</f>
        <v>61.6039020692054</v>
      </c>
      <c s="38" r="M445">
        <f>((((B445*2)+141)*((F445*2)+36))/(416.310724))-19.16575597</f>
        <v>56.5132937966834</v>
      </c>
      <c s="38" r="N445">
        <f>(((((C445*2)+36)*((((C445*2)+36)*(I445/672))+415))/((((C445*2)+36)*(1-(I445/672)))+415))/(1.92306))-3.576327284</f>
        <v>86.9501443685569</v>
      </c>
      <c s="38" r="O445">
        <f>(((((E445*2)+36)*((((E445*2)+36)*(I445/672))+415))/((((E445*2)+36)*(1-(I445/672)))+415))/(1.980931))+4.9921912</f>
        <v>67.918140926965</v>
      </c>
      <c s="68" r="P445"/>
      <c s="38" r="Q445">
        <f>((((L445+M445)+N445)+O445)/(1.535645))-60.47703745</f>
        <v>117.288970423832</v>
      </c>
      <c s="63" r="R445"/>
      <c s="26" r="S445"/>
      <c s="26" r="T445"/>
    </row>
    <row customHeight="1" r="446" ht="14.25">
      <c t="s" s="45" r="A446">
        <v>536</v>
      </c>
      <c s="75" r="B446">
        <v>103</v>
      </c>
      <c s="54" r="C446">
        <v>93</v>
      </c>
      <c s="54" r="D446">
        <v>67</v>
      </c>
      <c s="54" r="E446">
        <v>71</v>
      </c>
      <c s="54" r="F446">
        <v>61</v>
      </c>
      <c s="2" r="G446">
        <v>84</v>
      </c>
      <c s="68" r="H446"/>
      <c s="19" r="I446">
        <f>INDEX('Speed Factors'!$A$2:$B$256,(G446),2)</f>
        <v>468</v>
      </c>
      <c s="19" r="J446">
        <f>SUM(B446:G446)</f>
        <v>479</v>
      </c>
      <c s="68" r="K446"/>
      <c s="38" r="L446">
        <f>((((B446*2)+141)*((D446*2)+36))/(402.744996))-24.57966407</f>
        <v>121.89018803463</v>
      </c>
      <c s="38" r="M446">
        <f>((((B446*2)+141)*((F446*2)+36))/(416.310724))-19.16575597</f>
        <v>112.529146033053</v>
      </c>
      <c s="38" r="N446">
        <f>(((((C446*2)+36)*((((C446*2)+36)*(I446/672))+415))/((((C446*2)+36)*(1-(I446/672)))+415))/(1.92306))-3.576327284</f>
        <v>132.735863601105</v>
      </c>
      <c s="38" r="O446">
        <f>(((((E446*2)+36)*((((E446*2)+36)*(I446/672))+415))/((((E446*2)+36)*(1-(I446/672)))+415))/(1.980931))+4.9921912</f>
        <v>108.245678555316</v>
      </c>
      <c s="68" r="P446"/>
      <c s="38" r="Q446">
        <f>((((L446+M446)+N446)+O446)/(1.535645))-60.47703745</f>
        <v>249.100290789342</v>
      </c>
      <c s="63" r="R446"/>
      <c s="26" r="S446"/>
      <c s="26" r="T446"/>
    </row>
    <row customHeight="1" r="447" ht="14.25">
      <c t="s" s="45" r="A447">
        <v>537</v>
      </c>
      <c s="57" r="B447">
        <v>57</v>
      </c>
      <c s="8" r="C447">
        <v>24</v>
      </c>
      <c s="8" r="D447">
        <v>86</v>
      </c>
      <c s="8" r="E447">
        <v>24</v>
      </c>
      <c s="8" r="F447">
        <v>86</v>
      </c>
      <c s="27" r="G447">
        <v>23</v>
      </c>
      <c s="68" r="H447"/>
      <c s="20" r="I447">
        <f>INDEX('Speed Factors'!$A$2:$B$256,(G447),2)</f>
        <v>28</v>
      </c>
      <c s="20" r="J447">
        <f>SUM(B447:G447)</f>
        <v>300</v>
      </c>
      <c s="68" r="K447"/>
      <c s="38" r="L447">
        <f>((((B447*2)+141)*((D447*2)+36))/(402.744996))-24.57966407</f>
        <v>107.116571828112</v>
      </c>
      <c s="38" r="M447">
        <f>((((B447*2)+141)*((F447*2)+36))/(416.310724))-19.16575597</f>
        <v>108.239081191966</v>
      </c>
      <c s="38" r="N447">
        <f>(((((C447*2)+36)*((((C447*2)+36)*(I447/672))+415))/((((C447*2)+36)*(1-(I447/672)))+415))/(1.92306))-3.576327284</f>
        <v>33.3161870774927</v>
      </c>
      <c s="38" r="O447">
        <f>(((((E447*2)+36)*((((E447*2)+36)*(I447/672))+415))/((((E447*2)+36)*(1-(I447/672)))+415))/(1.980931))+4.9921912</f>
        <v>40.8069261241403</v>
      </c>
      <c s="68" r="P447"/>
      <c s="38" r="Q447">
        <f>((((L447+M447)+N447)+O447)/(1.535645))-60.47703745</f>
        <v>128.029268513755</v>
      </c>
      <c s="63" r="R447"/>
      <c s="26" r="S447"/>
      <c s="26" r="T447"/>
    </row>
    <row customHeight="1" r="448" ht="14.25">
      <c t="s" s="45" r="A448">
        <v>538</v>
      </c>
      <c s="75" r="B448">
        <v>67</v>
      </c>
      <c s="54" r="C448">
        <v>89</v>
      </c>
      <c s="54" r="D448">
        <v>116</v>
      </c>
      <c s="54" r="E448">
        <v>79</v>
      </c>
      <c s="54" r="F448">
        <v>116</v>
      </c>
      <c s="2" r="G448">
        <v>33</v>
      </c>
      <c s="68" r="H448"/>
      <c s="19" r="I448">
        <f>INDEX('Speed Factors'!$A$2:$B$256,(G448),2)</f>
        <v>81</v>
      </c>
      <c s="19" r="J448">
        <f>SUM(B448:G448)</f>
        <v>500</v>
      </c>
      <c s="68" r="K448"/>
      <c s="38" r="L448">
        <f>((((B448*2)+141)*((D448*2)+36))/(402.744996))-24.57966407</f>
        <v>158.414540034276</v>
      </c>
      <c s="38" r="M448">
        <f>((((B448*2)+141)*((F448*2)+36))/(416.310724))-19.16575597</f>
        <v>157.865475154375</v>
      </c>
      <c s="38" r="N448">
        <f>(((((C448*2)+36)*((((C448*2)+36)*(I448/672))+415))/((((C448*2)+36)*(1-(I448/672)))+415))/(1.92306))-3.576327284</f>
        <v>77.7426778183529</v>
      </c>
      <c s="38" r="O448">
        <f>(((((E448*2)+36)*((((E448*2)+36)*(I448/672))+415))/((((E448*2)+36)*(1-(I448/672)))+415))/(1.980931))+4.9921912</f>
        <v>78.3040141962606</v>
      </c>
      <c s="68" r="P448"/>
      <c s="38" r="Q448">
        <f>((((L448+M448)+N448)+O448)/(1.535645))-60.47703745</f>
        <v>247.098415993514</v>
      </c>
      <c s="63" r="R448"/>
      <c s="26" r="S448"/>
      <c s="26" r="T448"/>
    </row>
    <row customHeight="1" r="449" ht="14.25">
      <c t="s" s="45" r="A449">
        <v>539</v>
      </c>
      <c s="57" r="B449">
        <v>50</v>
      </c>
      <c s="8" r="C449">
        <v>80</v>
      </c>
      <c s="8" r="D449">
        <v>95</v>
      </c>
      <c s="8" r="E449">
        <v>10</v>
      </c>
      <c s="8" r="F449">
        <v>45</v>
      </c>
      <c s="27" r="G449">
        <v>10</v>
      </c>
      <c s="68" r="H449"/>
      <c s="20" r="I449">
        <f>INDEX('Speed Factors'!$A$2:$B$256,(G449),2)</f>
        <v>2</v>
      </c>
      <c s="20" r="J449">
        <f>SUM(B449:G449)</f>
        <v>290</v>
      </c>
      <c s="68" r="K449"/>
      <c s="38" r="L449">
        <f>((((B449*2)+141)*((D449*2)+36))/(402.744996))-24.57966407</f>
        <v>110.657273796262</v>
      </c>
      <c s="38" r="M449">
        <f>((((B449*2)+141)*((F449*2)+36))/(416.310724))-19.16575597</f>
        <v>53.7749545364149</v>
      </c>
      <c s="38" r="N449">
        <f>(((((C449*2)+36)*((((C449*2)+36)*(I449/672))+415))/((((C449*2)+36)*(1-(I449/672)))+415))/(1.92306))-3.576327284</f>
        <v>65.8133673043568</v>
      </c>
      <c s="38" r="O449">
        <f>(((((E449*2)+36)*((((E449*2)+36)*(I449/672))+415))/((((E449*2)+36)*(1-(I449/672)))+415))/(1.980931))+4.9921912</f>
        <v>29.9194173599459</v>
      </c>
      <c s="68" r="P449"/>
      <c s="38" r="Q449">
        <f>((((L449+M449)+N449)+O449)/(1.535645))-60.47703745</f>
        <v>108.940381938582</v>
      </c>
      <c s="63" r="R449"/>
      <c s="26" r="S449"/>
      <c s="26" r="T449"/>
    </row>
    <row customHeight="1" r="450" ht="14.25">
      <c t="s" s="45" r="A450">
        <v>540</v>
      </c>
      <c s="75" r="B450">
        <v>20</v>
      </c>
      <c s="54" r="C450">
        <v>25</v>
      </c>
      <c s="54" r="D450">
        <v>45</v>
      </c>
      <c s="54" r="E450">
        <v>70</v>
      </c>
      <c s="54" r="F450">
        <v>90</v>
      </c>
      <c s="2" r="G450">
        <v>60</v>
      </c>
      <c s="68" r="H450"/>
      <c s="19" r="I450">
        <f>INDEX('Speed Factors'!$A$2:$B$256,(G450),2)</f>
        <v>274</v>
      </c>
      <c s="19" r="J450">
        <f>SUM(B450:G450)</f>
        <v>310</v>
      </c>
      <c s="68" r="K450"/>
      <c s="38" r="L450">
        <f>((((B450*2)+141)*((D450*2)+36))/(402.744996))-24.57966407</f>
        <v>32.0467378133396</v>
      </c>
      <c s="38" r="M450">
        <f>((((B450*2)+141)*((F450*2)+36))/(416.310724))-19.16575597</f>
        <v>74.7448683453131</v>
      </c>
      <c s="38" r="N450">
        <f>(((((C450*2)+36)*((((C450*2)+36)*(I450/672))+415))/((((C450*2)+36)*(1-(I450/672)))+415))/(1.92306))-3.576327284</f>
        <v>39.6209551350036</v>
      </c>
      <c s="38" r="O450">
        <f>(((((E450*2)+36)*((((E450*2)+36)*(I450/672))+415))/((((E450*2)+36)*(1-(I450/672)))+415))/(1.980931))+4.9921912</f>
        <v>88.2822853865877</v>
      </c>
      <c s="68" r="P450"/>
      <c s="38" r="Q450">
        <f>((((L450+M450)+N450)+O450)/(1.535645))-60.47703745</f>
        <v>92.354409062862</v>
      </c>
      <c s="63" r="R450"/>
      <c s="26" r="S450"/>
      <c s="26" r="T450"/>
    </row>
    <row customHeight="1" r="451" ht="14.25">
      <c t="s" s="45" r="A451">
        <v>541</v>
      </c>
      <c s="57" r="B451">
        <v>100</v>
      </c>
      <c s="8" r="C451">
        <v>5</v>
      </c>
      <c s="8" r="D451">
        <v>5</v>
      </c>
      <c s="8" r="E451">
        <v>15</v>
      </c>
      <c s="8" r="F451">
        <v>65</v>
      </c>
      <c s="27" r="G451">
        <v>30</v>
      </c>
      <c s="68" r="H451"/>
      <c s="20" r="I451">
        <f>INDEX('Speed Factors'!$A$2:$B$256,(G451),2)</f>
        <v>44</v>
      </c>
      <c s="20" r="J451">
        <f>SUM(B451:G451)</f>
        <v>220</v>
      </c>
      <c s="68" r="K451"/>
      <c s="38" r="L451">
        <f>((((B451*2)+141)*((D451*2)+36))/(402.744996))-24.57966407</f>
        <v>14.3680575796564</v>
      </c>
      <c s="38" r="M451">
        <f>((((B451*2)+141)*((F451*2)+36))/(416.310724))-19.16575597</f>
        <v>116.804798562244</v>
      </c>
      <c s="38" r="N451">
        <f>(((((C451*2)+36)*((((C451*2)+36)*(I451/672))+415))/((((C451*2)+36)*(1-(I451/672)))+415))/(1.92306))-3.576327284</f>
        <v>18.2559711020854</v>
      </c>
      <c s="38" r="O451">
        <f>(((((E451*2)+36)*((((E451*2)+36)*(I451/672))+415))/((((E451*2)+36)*(1-(I451/672)))+415))/(1.980931))+4.9921912</f>
        <v>34.3008547016054</v>
      </c>
      <c s="68" r="P451"/>
      <c s="38" r="Q451">
        <f>((((L451+M451)+N451)+O451)/(1.535645))-60.47703745</f>
        <v>59.1662928415656</v>
      </c>
      <c s="63" r="R451"/>
      <c s="26" r="S451"/>
      <c s="26" r="T451"/>
    </row>
    <row customHeight="1" r="452" ht="14.25">
      <c t="s" s="45" r="A452">
        <v>542</v>
      </c>
      <c s="75" r="B452">
        <v>76</v>
      </c>
      <c s="54" r="C452">
        <v>65</v>
      </c>
      <c s="54" r="D452">
        <v>45</v>
      </c>
      <c s="54" r="E452">
        <v>92</v>
      </c>
      <c s="54" r="F452">
        <v>42</v>
      </c>
      <c s="2" r="G452">
        <v>91</v>
      </c>
      <c s="68" r="H452"/>
      <c s="19" r="I452">
        <f>INDEX('Speed Factors'!$A$2:$B$256,(G452),2)</f>
        <v>532</v>
      </c>
      <c s="19" r="J452">
        <f>SUM(B452:G452)</f>
        <v>411</v>
      </c>
      <c s="68" r="K452"/>
      <c s="38" r="L452">
        <f>((((B452*2)+141)*((D452*2)+36))/(402.744996))-24.57966407</f>
        <v>67.0862793102127</v>
      </c>
      <c s="38" r="M452">
        <f>((((B452*2)+141)*((F452*2)+36))/(416.310724))-19.16575597</f>
        <v>65.2903917414387</v>
      </c>
      <c s="38" r="N452">
        <f>(((((C452*2)+36)*((((C452*2)+36)*(I452/672))+415))/((((C452*2)+36)*(1-(I452/672)))+415))/(1.92306))-3.576327284</f>
        <v>101.336595949724</v>
      </c>
      <c s="38" r="O452">
        <f>(((((E452*2)+36)*((((E452*2)+36)*(I452/672))+415))/((((E452*2)+36)*(1-(I452/672)))+415))/(1.980931))+4.9921912</f>
        <v>146.978874625526</v>
      </c>
      <c s="68" r="P452"/>
      <c s="38" r="Q452">
        <f>((((L452+M452)+N452)+O452)/(1.535645))-60.47703745</f>
        <v>187.426704382847</v>
      </c>
      <c s="63" r="R452"/>
      <c s="26" r="S452"/>
      <c s="26" r="T452"/>
    </row>
    <row customHeight="1" r="453" ht="14.25">
      <c t="s" s="45" r="A453">
        <v>543</v>
      </c>
      <c s="57" r="B453">
        <v>50</v>
      </c>
      <c s="8" r="C453">
        <v>92</v>
      </c>
      <c s="8" r="D453">
        <v>108</v>
      </c>
      <c s="8" r="E453">
        <v>92</v>
      </c>
      <c s="8" r="F453">
        <v>108</v>
      </c>
      <c s="27" r="G453">
        <v>35</v>
      </c>
      <c s="68" r="H453"/>
      <c s="20" r="I453">
        <f>INDEX('Speed Factors'!$A$2:$B$256,(G453),2)</f>
        <v>84</v>
      </c>
      <c s="20" r="J453">
        <f>SUM(B453:G453)</f>
        <v>485</v>
      </c>
      <c s="68" r="K453"/>
      <c s="38" r="L453">
        <f>((((B453*2)+141)*((D453*2)+36))/(402.744996))-24.57966407</f>
        <v>126.215505586186</v>
      </c>
      <c s="38" r="M453">
        <f>((((B453*2)+141)*((F453*2)+36))/(416.310724))-19.16575597</f>
        <v>126.71566504283</v>
      </c>
      <c s="38" r="N453">
        <f>(((((C453*2)+36)*((((C453*2)+36)*(I453/672))+415))/((((C453*2)+36)*(1-(I453/672)))+415))/(1.92306))-3.576327284</f>
        <v>79.7528010740579</v>
      </c>
      <c s="38" r="O453">
        <f>(((((E453*2)+36)*((((E453*2)+36)*(I453/672))+415))/((((E453*2)+36)*(1-(I453/672)))+415))/(1.980931))+4.9921912</f>
        <v>85.8869389626666</v>
      </c>
      <c s="68" r="P453"/>
      <c s="38" r="Q453">
        <f>((((L453+M453)+N453)+O453)/(1.535645))-60.47703745</f>
        <v>212.093062192652</v>
      </c>
      <c s="63" r="R453"/>
      <c s="26" r="S453"/>
      <c s="26" r="T453"/>
    </row>
    <row customHeight="1" r="454" ht="14.25">
      <c t="s" s="45" r="A454">
        <v>544</v>
      </c>
      <c s="75" r="B454">
        <v>58</v>
      </c>
      <c s="54" r="C454">
        <v>70</v>
      </c>
      <c s="54" r="D454">
        <v>45</v>
      </c>
      <c s="54" r="E454">
        <v>40</v>
      </c>
      <c s="54" r="F454">
        <v>45</v>
      </c>
      <c s="2" r="G454">
        <v>42</v>
      </c>
      <c s="68" r="H454"/>
      <c s="19" r="I454">
        <f>INDEX('Speed Factors'!$A$2:$B$256,(G454),2)</f>
        <v>144</v>
      </c>
      <c s="19" r="J454">
        <f>SUM(B454:G454)</f>
        <v>300</v>
      </c>
      <c s="68" r="K454"/>
      <c s="38" r="L454">
        <f>((((B454*2)+141)*((D454*2)+36))/(402.744996))-24.57966407</f>
        <v>55.8235695433606</v>
      </c>
      <c s="38" r="M454">
        <f>((((B454*2)+141)*((F454*2)+36))/(416.310724))-19.16575597</f>
        <v>58.6174913335213</v>
      </c>
      <c s="38" r="N454">
        <f>(((((C454*2)+36)*((((C454*2)+36)*(I454/672))+415))/((((C454*2)+36)*(1-(I454/672)))+415))/(1.92306))-3.576327284</f>
        <v>71.3086281146584</v>
      </c>
      <c s="38" r="O454">
        <f>(((((E454*2)+36)*((((E454*2)+36)*(I454/672))+415))/((((E454*2)+36)*(1-(I454/672)))+415))/(1.980931))+4.9921912</f>
        <v>55.8815732642085</v>
      </c>
      <c s="68" r="P454"/>
      <c s="38" r="Q454">
        <f>((((L454+M454)+N454)+O454)/(1.535645))-60.47703745</f>
        <v>96.8713485739501</v>
      </c>
      <c s="63" r="R454"/>
      <c s="26" r="S454"/>
      <c s="26" r="T454"/>
    </row>
    <row customHeight="1" r="455" ht="14.25">
      <c t="s" s="45" r="A455">
        <v>545</v>
      </c>
      <c s="57" r="B455">
        <v>68</v>
      </c>
      <c s="8" r="C455">
        <v>90</v>
      </c>
      <c s="8" r="D455">
        <v>65</v>
      </c>
      <c s="8" r="E455">
        <v>50</v>
      </c>
      <c s="8" r="F455">
        <v>55</v>
      </c>
      <c s="27" r="G455">
        <v>82</v>
      </c>
      <c s="68" r="H455"/>
      <c s="20" r="I455">
        <f>INDEX('Speed Factors'!$A$2:$B$256,(G455),2)</f>
        <v>464</v>
      </c>
      <c s="20" r="J455">
        <f>SUM(B455:G455)</f>
        <v>410</v>
      </c>
      <c s="68" r="K455"/>
      <c s="38" r="L455">
        <f>((((B455*2)+141)*((D455*2)+36))/(402.744996))-24.57966407</f>
        <v>89.591835158261</v>
      </c>
      <c s="38" r="M455">
        <f>((((B455*2)+141)*((F455*2)+36))/(416.310724))-19.16575597</f>
        <v>77.9780303140161</v>
      </c>
      <c s="38" r="N455">
        <f>(((((C455*2)+36)*((((C455*2)+36)*(I455/672))+415))/((((C455*2)+36)*(1-(I455/672)))+415))/(1.92306))-3.576327284</f>
        <v>127.925476240795</v>
      </c>
      <c s="38" r="O455">
        <f>(((((E455*2)+36)*((((E455*2)+36)*(I455/672))+415))/((((E455*2)+36)*(1-(I455/672)))+415))/(1.980931))+4.9921912</f>
        <v>81.4284421628814</v>
      </c>
      <c s="68" r="P455"/>
      <c s="38" r="Q455">
        <f>((((L455+M455)+N455)+O455)/(1.535645))-60.47703745</f>
        <v>184.972779321424</v>
      </c>
      <c s="63" r="R455"/>
      <c s="26" r="S455"/>
      <c s="26" r="T455"/>
    </row>
    <row customHeight="1" r="456" ht="14.25">
      <c t="s" s="45" r="A456">
        <v>68</v>
      </c>
      <c s="75" r="B456">
        <v>108</v>
      </c>
      <c s="54" r="C456">
        <v>130</v>
      </c>
      <c s="54" r="D456">
        <v>95</v>
      </c>
      <c s="54" r="E456">
        <v>80</v>
      </c>
      <c s="54" r="F456">
        <v>85</v>
      </c>
      <c s="2" r="G456">
        <v>102</v>
      </c>
      <c s="68" r="H456"/>
      <c s="19" r="I456">
        <f>INDEX('Speed Factors'!$A$2:$B$256,(G456),2)</f>
        <v>607</v>
      </c>
      <c s="19" r="J456">
        <f>SUM(B456:G456)</f>
        <v>600</v>
      </c>
      <c s="68" r="K456"/>
      <c s="38" r="L456">
        <f>((((B456*2)+141)*((D456*2)+36))/(402.744996))-24.57966407</f>
        <v>175.750571690397</v>
      </c>
      <c s="38" r="M456">
        <f>((((B456*2)+141)*((F456*2)+36))/(416.310724))-19.16575597</f>
        <v>157.48595094111</v>
      </c>
      <c s="38" r="N456">
        <f>(((((C456*2)+36)*((((C456*2)+36)*(I456/672))+415))/((((C456*2)+36)*(1-(I456/672)))+415))/(1.92306))-3.576327284</f>
        <v>233.177144312389</v>
      </c>
      <c s="38" r="O456">
        <f>(((((E456*2)+36)*((((E456*2)+36)*(I456/672))+415))/((((E456*2)+36)*(1-(I456/672)))+415))/(1.980931))+4.9921912</f>
        <v>139.978885785759</v>
      </c>
      <c s="68" r="P456"/>
      <c s="38" r="Q456">
        <f>((((L456+M456)+N456)+O456)/(1.535645))-60.47703745</f>
        <v>399.520261880024</v>
      </c>
      <c s="63" r="R456"/>
      <c s="26" r="S456"/>
      <c s="26" r="T456"/>
    </row>
    <row customHeight="1" r="457" ht="14.25">
      <c t="s" s="45" r="A457">
        <v>546</v>
      </c>
      <c s="57" r="B457">
        <v>135</v>
      </c>
      <c s="8" r="C457">
        <v>85</v>
      </c>
      <c s="8" r="D457">
        <v>40</v>
      </c>
      <c s="8" r="E457">
        <v>40</v>
      </c>
      <c s="8" r="F457">
        <v>85</v>
      </c>
      <c s="27" r="G457">
        <v>5</v>
      </c>
      <c s="68" r="H457"/>
      <c s="20" r="I457">
        <f>INDEX('Speed Factors'!$A$2:$B$256,(G457),2)</f>
        <v>0</v>
      </c>
      <c s="20" r="J457">
        <f>SUM(B457:G457)</f>
        <v>390</v>
      </c>
      <c s="68" r="K457"/>
      <c s="38" r="L457">
        <f>((((B457*2)+141)*((D457*2)+36))/(402.744996))-24.57966407</f>
        <v>93.7979705958817</v>
      </c>
      <c s="38" r="M457">
        <f>((((B457*2)+141)*((F457*2)+36))/(416.310724))-19.16575597</f>
        <v>184.206377196572</v>
      </c>
      <c s="38" r="N457">
        <f>(((((C457*2)+36)*((((C457*2)+36)*(I457/672))+415))/((((C457*2)+36)*(1-(I457/672)))+415))/(1.92306))-3.576327284</f>
        <v>68.01013198441</v>
      </c>
      <c s="38" r="O457">
        <f>(((((E457*2)+36)*((((E457*2)+36)*(I457/672))+415))/((((E457*2)+36)*(1-(I457/672)))+415))/(1.980931))+4.9921912</f>
        <v>50.7581132386683</v>
      </c>
      <c s="68" r="P457"/>
      <c s="38" r="Q457">
        <f>((((L457+M457)+N457)+O457)/(1.535645))-60.47703745</f>
        <v>197.898168418239</v>
      </c>
      <c s="63" r="R457"/>
      <c s="26" r="S457"/>
      <c s="26" r="T457"/>
    </row>
    <row customHeight="1" r="458" ht="14.25">
      <c t="s" s="45" r="A458">
        <v>547</v>
      </c>
      <c s="75" r="B458">
        <v>40</v>
      </c>
      <c s="54" r="C458">
        <v>70</v>
      </c>
      <c s="54" r="D458">
        <v>40</v>
      </c>
      <c s="54" r="E458">
        <v>35</v>
      </c>
      <c s="54" r="F458">
        <v>40</v>
      </c>
      <c s="2" r="G458">
        <v>60</v>
      </c>
      <c s="68" r="H458"/>
      <c s="19" r="I458">
        <f>INDEX('Speed Factors'!$A$2:$B$256,(G458),2)</f>
        <v>274</v>
      </c>
      <c s="19" r="J458">
        <f>SUM(B458:G458)</f>
        <v>285</v>
      </c>
      <c s="68" r="K458"/>
      <c s="38" r="L458">
        <f>((((B458*2)+141)*((D458*2)+36))/(402.744996))-24.57966407</f>
        <v>39.0735166140873</v>
      </c>
      <c s="38" r="M458">
        <f>((((B458*2)+141)*((F458*2)+36))/(416.310724))-19.16575597</f>
        <v>42.4132486582834</v>
      </c>
      <c s="38" r="N458">
        <f>(((((C458*2)+36)*((((C458*2)+36)*(I458/672))+415))/((((C458*2)+36)*(1-(I458/672)))+415))/(1.92306))-3.576327284</f>
        <v>82.2202311006221</v>
      </c>
      <c s="38" r="O458">
        <f>(((((E458*2)+36)*((((E458*2)+36)*(I458/672))+415))/((((E458*2)+36)*(1-(I458/672)))+415))/(1.980931))+4.9921912</f>
        <v>56.3117641539336</v>
      </c>
      <c s="68" r="P458"/>
      <c s="38" r="Q458">
        <f>((((L458+M458)+N458)+O458)/(1.535645))-60.47703745</f>
        <v>82.7974566726171</v>
      </c>
      <c s="63" r="R458"/>
      <c s="26" r="S458"/>
      <c s="26" r="T458"/>
    </row>
    <row customHeight="1" r="459" ht="14.25">
      <c t="s" s="45" r="A459">
        <v>87</v>
      </c>
      <c s="57" r="B459">
        <v>70</v>
      </c>
      <c s="8" r="C459">
        <v>110</v>
      </c>
      <c s="8" r="D459">
        <v>70</v>
      </c>
      <c s="8" r="E459">
        <v>115</v>
      </c>
      <c s="8" r="F459">
        <v>70</v>
      </c>
      <c s="27" r="G459">
        <v>90</v>
      </c>
      <c s="68" r="H459"/>
      <c s="20" r="I459">
        <f>INDEX('Speed Factors'!$A$2:$B$256,(G459),2)</f>
        <v>503</v>
      </c>
      <c s="20" r="J459">
        <f>SUM(B459:G459)</f>
        <v>525</v>
      </c>
      <c s="68" r="K459"/>
      <c s="38" r="L459">
        <f>((((B459*2)+141)*((D459*2)+36))/(402.744996))-24.57966407</f>
        <v>98.2176406543025</v>
      </c>
      <c s="38" r="M459">
        <f>((((B459*2)+141)*((F459*2)+36))/(416.310724))-19.16575597</f>
        <v>99.6301268859987</v>
      </c>
      <c s="38" r="N459">
        <f>(((((C459*2)+36)*((((C459*2)+36)*(I459/672))+415))/((((C459*2)+36)*(1-(I459/672)))+415))/(1.92306))-3.576327284</f>
        <v>164.878088461436</v>
      </c>
      <c s="38" r="O459">
        <f>(((((E459*2)+36)*((((E459*2)+36)*(I459/672))+415))/((((E459*2)+36)*(1-(I459/672)))+415))/(1.980931))+4.9921912</f>
        <v>176.112344664279</v>
      </c>
      <c s="68" r="P459"/>
      <c s="38" r="Q459">
        <f>((((L459+M459)+N459)+O459)/(1.535645))-60.47703745</f>
        <v>290.41017975581</v>
      </c>
      <c s="63" r="R459"/>
      <c s="26" r="S459"/>
      <c s="26" r="T459"/>
    </row>
    <row customHeight="1" r="460" ht="14.25">
      <c t="s" s="45" r="A460">
        <v>548</v>
      </c>
      <c s="75" r="B460">
        <v>68</v>
      </c>
      <c s="54" r="C460">
        <v>72</v>
      </c>
      <c s="54" r="D460">
        <v>78</v>
      </c>
      <c s="54" r="E460">
        <v>38</v>
      </c>
      <c s="54" r="F460">
        <v>42</v>
      </c>
      <c s="2" r="G460">
        <v>32</v>
      </c>
      <c s="68" r="H460"/>
      <c s="19" r="I460">
        <f>INDEX('Speed Factors'!$A$2:$B$256,(G460),2)</f>
        <v>77</v>
      </c>
      <c s="19" r="J460">
        <f>SUM(B460:G460)</f>
        <v>330</v>
      </c>
      <c s="68" r="K460"/>
      <c s="38" r="L460">
        <f>((((B460*2)+141)*((D460*2)+36))/(402.744996))-24.57966407</f>
        <v>107.474118169916</v>
      </c>
      <c s="38" r="M460">
        <f>((((B460*2)+141)*((F460*2)+36))/(416.310724))-19.16575597</f>
        <v>60.6784519346707</v>
      </c>
      <c s="38" r="N460">
        <f>(((((C460*2)+36)*((((C460*2)+36)*(I460/672))+415))/((((C460*2)+36)*(1-(I460/672)))+415))/(1.92306))-3.576327284</f>
        <v>67.4136336626944</v>
      </c>
      <c s="38" r="O460">
        <f>(((((E460*2)+36)*((((E460*2)+36)*(I460/672))+415))/((((E460*2)+36)*(1-(I460/672)))+415))/(1.980931))+4.9921912</f>
        <v>52.0378305059856</v>
      </c>
      <c s="68" r="P460"/>
      <c s="38" r="Q460">
        <f>((((L460+M460)+N460)+O460)/(1.535645))-60.47703745</f>
        <v>126.808457747957</v>
      </c>
      <c s="63" r="R460"/>
      <c s="26" r="S460"/>
      <c s="26" r="T460"/>
    </row>
    <row customHeight="1" r="461" ht="14.25">
      <c t="s" s="45" r="A461">
        <v>76</v>
      </c>
      <c s="57" r="B461">
        <v>108</v>
      </c>
      <c s="8" r="C461">
        <v>112</v>
      </c>
      <c s="8" r="D461">
        <v>118</v>
      </c>
      <c s="8" r="E461">
        <v>68</v>
      </c>
      <c s="8" r="F461">
        <v>72</v>
      </c>
      <c s="27" r="G461">
        <v>47</v>
      </c>
      <c s="68" r="H461"/>
      <c s="20" r="I461">
        <f>INDEX('Speed Factors'!$A$2:$B$256,(G461),2)</f>
        <v>182</v>
      </c>
      <c s="20" r="J461">
        <f>SUM(B461:G461)</f>
        <v>525</v>
      </c>
      <c s="68" r="K461"/>
      <c s="38" r="L461">
        <f>((((B461*2)+141)*((D461*2)+36))/(402.744996))-24.57966407</f>
        <v>216.525752420389</v>
      </c>
      <c s="38" r="M461">
        <f>((((B461*2)+141)*((F461*2)+36))/(416.310724))-19.16575597</f>
        <v>135.190104437766</v>
      </c>
      <c s="38" r="N461">
        <f>(((((C461*2)+36)*((((C461*2)+36)*(I461/672))+415))/((((C461*2)+36)*(1-(I461/672)))+415))/(1.92306))-3.576327284</f>
        <v>104.975971876991</v>
      </c>
      <c s="38" r="O461">
        <f>(((((E461*2)+36)*((((E461*2)+36)*(I461/672))+415))/((((E461*2)+36)*(1-(I461/672)))+415))/(1.980931))+4.9921912</f>
        <v>79.1540289537049</v>
      </c>
      <c s="68" r="P461"/>
      <c s="38" r="Q461">
        <f>((((L461+M461)+N461)+O461)/(1.535645))-60.47703745</f>
        <v>288.46158943893</v>
      </c>
      <c s="63" r="R461"/>
      <c s="26" r="S461"/>
      <c s="26" r="T461"/>
    </row>
    <row customHeight="1" r="462" ht="14.25">
      <c t="s" s="45" r="A462">
        <v>549</v>
      </c>
      <c s="75" r="B462">
        <v>40</v>
      </c>
      <c s="54" r="C462">
        <v>50</v>
      </c>
      <c s="54" r="D462">
        <v>90</v>
      </c>
      <c s="54" r="E462">
        <v>30</v>
      </c>
      <c s="54" r="F462">
        <v>55</v>
      </c>
      <c s="2" r="G462">
        <v>65</v>
      </c>
      <c s="68" r="H462"/>
      <c s="19" r="I462">
        <f>INDEX('Speed Factors'!$A$2:$B$256,(G462),2)</f>
        <v>321</v>
      </c>
      <c s="19" r="J462">
        <f>SUM(B462:G462)</f>
        <v>330</v>
      </c>
      <c s="68" r="K462"/>
      <c s="38" r="L462">
        <f>((((B462*2)+141)*((D462*2)+36))/(402.744996))-24.57966407</f>
        <v>93.9469482383004</v>
      </c>
      <c s="38" r="M462">
        <f>((((B462*2)+141)*((F462*2)+36))/(416.310724))-19.16575597</f>
        <v>58.3388533035291</v>
      </c>
      <c s="38" r="N462">
        <f>(((((C462*2)+36)*((((C462*2)+36)*(I462/672))+415))/((((C462*2)+36)*(1-(I462/672)))+415))/(1.92306))-3.576327284</f>
        <v>66.2608718964765</v>
      </c>
      <c s="38" r="O462">
        <f>(((((E462*2)+36)*((((E462*2)+36)*(I462/672))+415))/((((E462*2)+36)*(1-(I462/672)))+415))/(1.980931))+4.9921912</f>
        <v>53.0077349597166</v>
      </c>
      <c s="68" r="P462"/>
      <c s="38" r="Q462">
        <f>((((L462+M462)+N462)+O462)/(1.535645))-60.47703745</f>
        <v>116.35706704552</v>
      </c>
      <c s="63" r="R462"/>
      <c s="26" r="S462"/>
      <c s="26" r="T462"/>
    </row>
    <row customHeight="1" r="463" ht="14.25">
      <c t="s" s="45" r="A463">
        <v>550</v>
      </c>
      <c s="57" r="B463">
        <v>70</v>
      </c>
      <c s="8" r="C463">
        <v>90</v>
      </c>
      <c s="8" r="D463">
        <v>110</v>
      </c>
      <c s="8" r="E463">
        <v>60</v>
      </c>
      <c s="8" r="F463">
        <v>75</v>
      </c>
      <c s="27" r="G463">
        <v>95</v>
      </c>
      <c s="68" r="H463"/>
      <c s="20" r="I463">
        <f>INDEX('Speed Factors'!$A$2:$B$256,(G463),2)</f>
        <v>542</v>
      </c>
      <c s="20" r="J463">
        <f>SUM(B463:G463)</f>
        <v>500</v>
      </c>
      <c s="68" r="K463"/>
      <c s="38" r="L463">
        <f>((((B463*2)+141)*((D463*2)+36))/(402.744996))-24.57966407</f>
        <v>154.034597347167</v>
      </c>
      <c s="38" r="M463">
        <f>((((B463*2)+141)*((F463*2)+36))/(416.310724))-19.16575597</f>
        <v>106.379892957362</v>
      </c>
      <c s="38" r="N463">
        <f>(((((C463*2)+36)*((((C463*2)+36)*(I463/672))+415))/((((C463*2)+36)*(1-(I463/672)))+415))/(1.92306))-3.576327284</f>
        <v>141.30808765194</v>
      </c>
      <c s="38" r="O463">
        <f>(((((E463*2)+36)*((((E463*2)+36)*(I463/672))+415))/((((E463*2)+36)*(1-(I463/672)))+415))/(1.980931))+4.9921912</f>
        <v>100.661996353141</v>
      </c>
      <c s="68" r="P463"/>
      <c s="38" r="Q463">
        <f>((((L463+M463)+N463)+O463)/(1.535645))-60.47703745</f>
        <v>266.671863702031</v>
      </c>
      <c s="63" r="R463"/>
      <c s="26" r="S463"/>
      <c s="26" r="T463"/>
    </row>
    <row customHeight="1" r="464" ht="14.25">
      <c t="s" s="45" r="A464">
        <v>551</v>
      </c>
      <c s="75" r="B464">
        <v>48</v>
      </c>
      <c s="54" r="C464">
        <v>61</v>
      </c>
      <c s="54" r="D464">
        <v>40</v>
      </c>
      <c s="54" r="E464">
        <v>61</v>
      </c>
      <c s="54" r="F464">
        <v>40</v>
      </c>
      <c s="2" r="G464">
        <v>50</v>
      </c>
      <c s="68" r="H464"/>
      <c s="19" r="I464">
        <f>INDEX('Speed Factors'!$A$2:$B$256,(G464),2)</f>
        <v>189</v>
      </c>
      <c s="19" r="J464">
        <f>SUM(B464:G464)</f>
        <v>300</v>
      </c>
      <c s="68" r="K464"/>
      <c s="38" r="L464">
        <f>((((B464*2)+141)*((D464*2)+36))/(402.744996))-24.57966407</f>
        <v>43.6818916862384</v>
      </c>
      <c s="38" r="M464">
        <f>((((B464*2)+141)*((F464*2)+36))/(416.310724))-19.16575597</f>
        <v>46.8714571381591</v>
      </c>
      <c s="38" r="N464">
        <f>(((((C464*2)+36)*((((C464*2)+36)*(I464/672))+415))/((((C464*2)+36)*(1-(I464/672)))+415))/(1.92306))-3.576327284</f>
        <v>67.8394791341836</v>
      </c>
      <c s="38" r="O464">
        <f>(((((E464*2)+36)*((((E464*2)+36)*(I464/672))+415))/((((E464*2)+36)*(1-(I464/672)))+415))/(1.980931))+4.9921912</f>
        <v>74.3216533016846</v>
      </c>
      <c s="68" r="P464"/>
      <c s="38" r="Q464">
        <f>((((L464+M464)+N464)+O464)/(1.535645))-60.47703745</f>
        <v>91.064810607504</v>
      </c>
      <c s="63" r="R464"/>
      <c s="26" r="S464"/>
      <c s="26" r="T464"/>
    </row>
    <row customHeight="1" r="465" ht="14.25">
      <c t="s" s="45" r="A465">
        <v>103</v>
      </c>
      <c s="57" r="B465">
        <v>83</v>
      </c>
      <c s="8" r="C465">
        <v>106</v>
      </c>
      <c s="8" r="D465">
        <v>65</v>
      </c>
      <c s="8" r="E465">
        <v>86</v>
      </c>
      <c s="8" r="F465">
        <v>65</v>
      </c>
      <c s="27" r="G465">
        <v>85</v>
      </c>
      <c s="68" r="H465"/>
      <c s="20" r="I465">
        <f>INDEX('Speed Factors'!$A$2:$B$256,(G465),2)</f>
        <v>469</v>
      </c>
      <c s="20" r="J465">
        <f>SUM(B465:G465)</f>
        <v>490</v>
      </c>
      <c s="68" r="K465"/>
      <c s="38" r="L465">
        <f>((((B465*2)+141)*((D465*2)+36))/(402.744996))-24.57966407</f>
        <v>101.956979479011</v>
      </c>
      <c s="38" r="M465">
        <f>((((B465*2)+141)*((F465*2)+36))/(416.310724))-19.16575597</f>
        <v>103.247617171932</v>
      </c>
      <c s="38" r="N465">
        <f>(((((C465*2)+36)*((((C465*2)+36)*(I465/672))+415))/((((C465*2)+36)*(1-(I465/672)))+415))/(1.92306))-3.576327284</f>
        <v>151.225293517635</v>
      </c>
      <c s="38" r="O465">
        <f>(((((E465*2)+36)*((((E465*2)+36)*(I465/672))+415))/((((E465*2)+36)*(1-(I465/672)))+415))/(1.980931))+4.9921912</f>
        <v>128.085602096334</v>
      </c>
      <c s="68" r="P465"/>
      <c s="38" r="Q465">
        <f>((((L465+M465)+N465)+O465)/(1.535645))-60.47703745</f>
        <v>255.035657388269</v>
      </c>
      <c s="63" r="R465"/>
      <c s="26" r="S465"/>
      <c s="26" r="T465"/>
    </row>
    <row customHeight="1" r="466" ht="14.25">
      <c t="s" s="45" r="A466">
        <v>552</v>
      </c>
      <c s="75" r="B466">
        <v>74</v>
      </c>
      <c s="54" r="C466">
        <v>100</v>
      </c>
      <c s="54" r="D466">
        <v>72</v>
      </c>
      <c s="54" r="E466">
        <v>90</v>
      </c>
      <c s="54" r="F466">
        <v>72</v>
      </c>
      <c s="2" r="G466">
        <v>46</v>
      </c>
      <c s="68" r="H466"/>
      <c s="19" r="I466">
        <f>INDEX('Speed Factors'!$A$2:$B$256,(G466),2)</f>
        <v>181</v>
      </c>
      <c s="19" r="J466">
        <f>SUM(B466:G466)</f>
        <v>454</v>
      </c>
      <c s="68" r="K466"/>
      <c s="38" r="L466">
        <f>((((B466*2)+141)*((D466*2)+36))/(402.744996))-24.57966407</f>
        <v>104.583951906994</v>
      </c>
      <c s="38" r="M466">
        <f>((((B466*2)+141)*((F466*2)+36))/(416.310724))-19.16575597</f>
        <v>105.78898816962</v>
      </c>
      <c s="38" r="N466">
        <f>(((((C466*2)+36)*((((C466*2)+36)*(I466/672))+415))/((((C466*2)+36)*(1-(I466/672)))+415))/(1.92306))-3.576327284</f>
        <v>96.4008951677275</v>
      </c>
      <c s="38" r="O466">
        <f>(((((E466*2)+36)*((((E466*2)+36)*(I466/672))+415))/((((E466*2)+36)*(1-(I466/672)))+415))/(1.980931))+4.9921912</f>
        <v>95.0642760926987</v>
      </c>
      <c s="68" r="P466"/>
      <c s="38" r="Q466">
        <f>((((L466+M466)+N466)+O466)/(1.535645))-60.47703745</f>
        <v>201.196794286528</v>
      </c>
      <c s="63" r="R466"/>
      <c s="26" r="S466"/>
      <c s="26" r="T466"/>
    </row>
    <row customHeight="1" r="467" ht="14.25">
      <c t="s" s="45" r="A467">
        <v>553</v>
      </c>
      <c s="57" r="B467">
        <v>49</v>
      </c>
      <c s="8" r="C467">
        <v>49</v>
      </c>
      <c s="8" r="D467">
        <v>56</v>
      </c>
      <c s="8" r="E467">
        <v>49</v>
      </c>
      <c s="8" r="F467">
        <v>61</v>
      </c>
      <c s="27" r="G467">
        <v>66</v>
      </c>
      <c s="68" r="H467"/>
      <c s="20" r="I467">
        <f>INDEX('Speed Factors'!$A$2:$B$256,(G467),2)</f>
        <v>357</v>
      </c>
      <c s="20" r="J467">
        <f>SUM(B467:G467)</f>
        <v>330</v>
      </c>
      <c s="68" r="K467"/>
      <c s="38" r="L467">
        <f>((((B467*2)+141)*((D467*2)+36))/(402.744996))-24.57966407</f>
        <v>63.2476220572248</v>
      </c>
      <c s="38" r="M467">
        <f>((((B467*2)+141)*((F467*2)+36))/(416.310724))-19.16575597</f>
        <v>71.5405310004024</v>
      </c>
      <c s="38" r="N467">
        <f>(((((C467*2)+36)*((((C467*2)+36)*(I467/672))+415))/((((C467*2)+36)*(1-(I467/672)))+415))/(1.92306))-3.576327284</f>
        <v>67.3256334747066</v>
      </c>
      <c s="38" r="O467">
        <f>(((((E467*2)+36)*((((E467*2)+36)*(I467/672))+415))/((((E467*2)+36)*(1-(I467/672)))+415))/(1.980931))+4.9921912</f>
        <v>73.8228191505133</v>
      </c>
      <c s="68" r="P467"/>
      <c s="38" r="Q467">
        <f>((((L467+M467)+N467)+O467)/(1.535645))-60.47703745</f>
        <v>119.210719605079</v>
      </c>
      <c s="63" r="R467"/>
      <c s="26" r="S467"/>
      <c s="26" r="T467"/>
    </row>
    <row customHeight="1" r="468" ht="14.25">
      <c t="s" s="45" r="A468">
        <v>554</v>
      </c>
      <c s="75" r="B468">
        <v>69</v>
      </c>
      <c s="54" r="C468">
        <v>69</v>
      </c>
      <c s="54" r="D468">
        <v>76</v>
      </c>
      <c s="54" r="E468">
        <v>69</v>
      </c>
      <c s="54" r="F468">
        <v>86</v>
      </c>
      <c s="2" r="G468">
        <v>91</v>
      </c>
      <c s="68" r="H468"/>
      <c s="19" r="I468">
        <f>INDEX('Speed Factors'!$A$2:$B$256,(G468),2)</f>
        <v>532</v>
      </c>
      <c s="19" r="J468">
        <f>SUM(B468:G468)</f>
        <v>460</v>
      </c>
      <c s="68" r="K468"/>
      <c s="38" r="L468">
        <f>((((B468*2)+141)*((D468*2)+36))/(402.744996))-24.57966407</f>
        <v>105.656590932408</v>
      </c>
      <c s="38" r="M468">
        <f>((((B468*2)+141)*((F468*2)+36))/(416.310724))-19.16575597</f>
        <v>120.230124689562</v>
      </c>
      <c s="38" r="N468">
        <f>(((((C468*2)+36)*((((C468*2)+36)*(I468/672))+415))/((((C468*2)+36)*(1-(I468/672)))+415))/(1.92306))-3.576327284</f>
        <v>107.256382115865</v>
      </c>
      <c s="38" r="O468">
        <f>(((((E468*2)+36)*((((E468*2)+36)*(I468/672))+415))/((((E468*2)+36)*(1-(I468/672)))+415))/(1.980931))+4.9921912</f>
        <v>112.587029252665</v>
      </c>
      <c s="68" r="P468"/>
      <c s="38" r="Q468">
        <f>((((L468+M468)+N468)+O468)/(1.535645))-60.47703745</f>
        <v>229.778931208447</v>
      </c>
      <c s="63" r="R468"/>
      <c s="26" r="S468"/>
      <c s="26" r="T468"/>
    </row>
    <row customHeight="1" r="469" ht="14.25">
      <c t="s" s="45" r="A469">
        <v>555</v>
      </c>
      <c s="57" r="B469">
        <v>45</v>
      </c>
      <c s="8" r="C469">
        <v>20</v>
      </c>
      <c s="8" r="D469">
        <v>50</v>
      </c>
      <c s="8" r="E469">
        <v>60</v>
      </c>
      <c s="8" r="F469">
        <v>120</v>
      </c>
      <c s="27" r="G469">
        <v>50</v>
      </c>
      <c s="68" r="H469"/>
      <c s="20" r="I469">
        <f>INDEX('Speed Factors'!$A$2:$B$256,(G469),2)</f>
        <v>189</v>
      </c>
      <c s="20" r="J469">
        <f>SUM(B469:G469)</f>
        <v>345</v>
      </c>
      <c s="68" r="K469"/>
      <c s="38" r="L469">
        <f>((((B469*2)+141)*((D469*2)+36))/(402.744996))-24.57966407</f>
        <v>53.4250295004199</v>
      </c>
      <c s="38" r="M469">
        <f>((((B469*2)+141)*((F469*2)+36))/(416.310724))-19.16575597</f>
        <v>133.979470238489</v>
      </c>
      <c s="38" r="N469">
        <f>(((((C469*2)+36)*((((C469*2)+36)*(I469/672))+415))/((((C469*2)+36)*(1-(I469/672)))+415))/(1.92306))-3.576327284</f>
        <v>33.1459335881586</v>
      </c>
      <c s="38" r="O469">
        <f>(((((E469*2)+36)*((((E469*2)+36)*(I469/672))+415))/((((E469*2)+36)*(1-(I469/672)))+415))/(1.980931))+4.9921912</f>
        <v>73.5467015802161</v>
      </c>
      <c s="68" r="P469"/>
      <c s="38" r="Q469">
        <f>((((L469+M469)+N469)+O469)/(1.535645))-60.47703745</f>
        <v>131.036714040276</v>
      </c>
      <c s="63" r="R469"/>
      <c s="26" r="S469"/>
      <c s="26" r="T469"/>
    </row>
    <row customHeight="1" r="470" ht="14.25">
      <c t="s" s="45" r="A470">
        <v>556</v>
      </c>
      <c s="75" r="B470">
        <v>60</v>
      </c>
      <c s="54" r="C470">
        <v>62</v>
      </c>
      <c s="54" r="D470">
        <v>50</v>
      </c>
      <c s="54" r="E470">
        <v>62</v>
      </c>
      <c s="54" r="F470">
        <v>60</v>
      </c>
      <c s="2" r="G470">
        <v>40</v>
      </c>
      <c s="68" r="H470"/>
      <c s="19" r="I470">
        <f>INDEX('Speed Factors'!$A$2:$B$256,(G470),2)</f>
        <v>111</v>
      </c>
      <c s="19" r="J470">
        <f>SUM(B470:G470)</f>
        <v>334</v>
      </c>
      <c s="68" r="K470"/>
      <c s="38" r="L470">
        <f>((((B470*2)+141)*((D470*2)+36))/(402.744996))-24.57966407</f>
        <v>63.55550918489</v>
      </c>
      <c s="38" r="M470">
        <f>((((B470*2)+141)*((F470*2)+36))/(416.310724))-19.16575597</f>
        <v>78.6361925572736</v>
      </c>
      <c s="38" r="N470">
        <f>(((((C470*2)+36)*((((C470*2)+36)*(I470/672))+415))/((((C470*2)+36)*(1-(I470/672)))+415))/(1.92306))-3.576327284</f>
        <v>63.3742618811847</v>
      </c>
      <c s="38" r="O470">
        <f>(((((E470*2)+36)*((((E470*2)+36)*(I470/672))+415))/((((E470*2)+36)*(1-(I470/672)))+415))/(1.980931))+4.9921912</f>
        <v>69.9868830898235</v>
      </c>
      <c s="68" r="P470"/>
      <c s="38" r="Q470">
        <f>((((L470+M470)+N470)+O470)/(1.535645))-60.47703745</f>
        <v>118.960818768834</v>
      </c>
      <c s="63" r="R470"/>
      <c s="26" r="S470"/>
      <c s="26" r="T470"/>
    </row>
    <row customHeight="1" r="471" ht="14.25">
      <c t="s" s="45" r="A471">
        <v>53</v>
      </c>
      <c s="57" r="B471">
        <v>90</v>
      </c>
      <c s="8" r="C471">
        <v>92</v>
      </c>
      <c s="8" r="D471">
        <v>75</v>
      </c>
      <c s="8" r="E471">
        <v>92</v>
      </c>
      <c s="8" r="F471">
        <v>85</v>
      </c>
      <c s="27" r="G471">
        <v>60</v>
      </c>
      <c s="68" r="H471"/>
      <c s="20" r="I471">
        <f>INDEX('Speed Factors'!$A$2:$B$256,(G471),2)</f>
        <v>274</v>
      </c>
      <c s="20" r="J471">
        <f>SUM(B471:G471)</f>
        <v>494</v>
      </c>
      <c s="68" r="K471"/>
      <c s="38" r="L471">
        <f>((((B471*2)+141)*((D471*2)+36))/(402.744996))-24.57966407</f>
        <v>123.667987900827</v>
      </c>
      <c s="38" r="M471">
        <f>((((B471*2)+141)*((F471*2)+36))/(416.310724))-19.16575597</f>
        <v>139.672333437469</v>
      </c>
      <c s="38" r="N471">
        <f>(((((C471*2)+36)*((((C471*2)+36)*(I471/672))+415))/((((C471*2)+36)*(1-(I471/672)))+415))/(1.92306))-3.576327284</f>
        <v>102.307979675284</v>
      </c>
      <c s="38" r="O471">
        <f>(((((E471*2)+36)*((((E471*2)+36)*(I471/672))+415))/((((E471*2)+36)*(1-(I471/672)))+415))/(1.980931))+4.9921912</f>
        <v>107.783189645236</v>
      </c>
      <c s="68" r="P471"/>
      <c s="38" r="Q471">
        <f>((((L471+M471)+N471)+O471)/(1.535645))-60.47703745</f>
        <v>247.817842329386</v>
      </c>
      <c s="63" r="R471"/>
      <c s="26" r="S471"/>
      <c s="26" r="T471"/>
    </row>
    <row customHeight="1" r="472" ht="14.25">
      <c t="s" s="45" r="A472">
        <v>557</v>
      </c>
      <c s="75" r="B472">
        <v>70</v>
      </c>
      <c s="54" r="C472">
        <v>120</v>
      </c>
      <c s="54" r="D472">
        <v>65</v>
      </c>
      <c s="54" r="E472">
        <v>45</v>
      </c>
      <c s="54" r="F472">
        <v>85</v>
      </c>
      <c s="2" r="G472">
        <v>125</v>
      </c>
      <c s="68" r="H472"/>
      <c s="19" r="I472">
        <f>INDEX('Speed Factors'!$A$2:$B$256,(G472),2)</f>
        <v>657</v>
      </c>
      <c s="19" r="J472">
        <f>SUM(B472:G472)</f>
        <v>510</v>
      </c>
      <c s="68" r="K472"/>
      <c s="38" r="L472">
        <f>((((B472*2)+141)*((D472*2)+36))/(402.744996))-24.57966407</f>
        <v>91.2405210676944</v>
      </c>
      <c s="38" r="M472">
        <f>((((B472*2)+141)*((F472*2)+36))/(416.310724))-19.16575597</f>
        <v>119.879425100089</v>
      </c>
      <c s="38" r="N472">
        <f>(((((C472*2)+36)*((((C472*2)+36)*(I472/672))+415))/((((C472*2)+36)*(1-(I472/672)))+415))/(1.92306))-3.576327284</f>
        <v>229.800138979253</v>
      </c>
      <c s="38" r="O472">
        <f>(((((E472*2)+36)*((((E472*2)+36)*(I472/672))+415))/((((E472*2)+36)*(1-(I472/672)))+415))/(1.980931))+4.9921912</f>
        <v>86.9241568669658</v>
      </c>
      <c s="68" r="P472"/>
      <c s="38" r="Q472">
        <f>((((L472+M472)+N472)+O472)/(1.535645))-60.47703745</f>
        <v>283.250999963597</v>
      </c>
      <c s="63" r="R472"/>
      <c s="26" r="S472"/>
      <c s="26" r="T472"/>
    </row>
    <row customHeight="1" r="473" ht="14.25">
      <c t="s" s="45" r="A473">
        <v>88</v>
      </c>
      <c s="57" r="B473">
        <v>70</v>
      </c>
      <c s="8" r="C473">
        <v>70</v>
      </c>
      <c s="8" r="D473">
        <v>115</v>
      </c>
      <c s="8" r="E473">
        <v>130</v>
      </c>
      <c s="8" r="F473">
        <v>90</v>
      </c>
      <c s="27" r="G473">
        <v>60</v>
      </c>
      <c s="68" r="H473"/>
      <c s="20" r="I473">
        <f>INDEX('Speed Factors'!$A$2:$B$256,(G473),2)</f>
        <v>274</v>
      </c>
      <c s="20" r="J473">
        <f>SUM(B473:G473)</f>
        <v>535</v>
      </c>
      <c s="68" r="K473"/>
      <c s="38" r="L473">
        <f>((((B473*2)+141)*((D473*2)+36))/(402.744996))-24.57966407</f>
        <v>161.011716933775</v>
      </c>
      <c s="38" r="M473">
        <f>((((B473*2)+141)*((F473*2)+36))/(416.310724))-19.16575597</f>
        <v>126.629191171453</v>
      </c>
      <c s="38" r="N473">
        <f>(((((C473*2)+36)*((((C473*2)+36)*(I473/672))+415))/((((C473*2)+36)*(1-(I473/672)))+415))/(1.92306))-3.576327284</f>
        <v>82.2202311006221</v>
      </c>
      <c s="38" r="O473">
        <f>(((((E473*2)+36)*((((E473*2)+36)*(I473/672))+415))/((((E473*2)+36)*(1-(I473/672)))+415))/(1.980931))+4.9921912</f>
        <v>140.591194694934</v>
      </c>
      <c s="68" r="P473"/>
      <c s="38" r="Q473">
        <f>((((L473+M473)+N473)+O473)/(1.535645))-60.47703745</f>
        <v>271.925525577773</v>
      </c>
      <c s="63" r="R473"/>
      <c s="26" r="S473"/>
      <c s="26" r="T473"/>
    </row>
    <row customHeight="1" r="474" ht="14.25">
      <c t="s" s="45" r="A474">
        <v>558</v>
      </c>
      <c s="75" r="B474">
        <v>110</v>
      </c>
      <c s="54" r="C474">
        <v>85</v>
      </c>
      <c s="54" r="D474">
        <v>95</v>
      </c>
      <c s="54" r="E474">
        <v>80</v>
      </c>
      <c s="54" r="F474">
        <v>95</v>
      </c>
      <c s="2" r="G474">
        <v>50</v>
      </c>
      <c s="68" r="H474"/>
      <c s="19" r="I474">
        <f>INDEX('Speed Factors'!$A$2:$B$256,(G474),2)</f>
        <v>189</v>
      </c>
      <c s="19" r="J474">
        <f>SUM(B474:G474)</f>
        <v>515</v>
      </c>
      <c s="68" r="K474"/>
      <c s="38" r="L474">
        <f>((((B474*2)+141)*((D474*2)+36))/(402.744996))-24.57966407</f>
        <v>177.995168169505</v>
      </c>
      <c s="38" r="M474">
        <f>((((B474*2)+141)*((F474*2)+36))/(416.310724))-19.16575597</f>
        <v>176.808057089882</v>
      </c>
      <c s="38" r="N474">
        <f>(((((C474*2)+36)*((((C474*2)+36)*(I474/672))+415))/((((C474*2)+36)*(1-(I474/672)))+415))/(1.92306))-3.576327284</f>
        <v>86.3986059095535</v>
      </c>
      <c s="38" r="O474">
        <f>(((((E474*2)+36)*((((E474*2)+36)*(I474/672))+415))/((((E474*2)+36)*(1-(I474/672)))+415))/(1.980931))+4.9921912</f>
        <v>88.6724330905465</v>
      </c>
      <c s="68" r="P474"/>
      <c s="38" r="Q474">
        <f>((((L474+M474)+N474)+O474)/(1.535645))-60.47703745</f>
        <v>284.572934554914</v>
      </c>
      <c s="63" r="R474"/>
      <c s="26" r="S474"/>
      <c s="26" r="T474"/>
    </row>
    <row customHeight="1" r="475" ht="14.25">
      <c t="s" s="45" r="A475">
        <v>559</v>
      </c>
      <c s="57" r="B475">
        <v>115</v>
      </c>
      <c s="8" r="C475">
        <v>140</v>
      </c>
      <c s="8" r="D475">
        <v>130</v>
      </c>
      <c s="8" r="E475">
        <v>55</v>
      </c>
      <c s="8" r="F475">
        <v>55</v>
      </c>
      <c s="27" r="G475">
        <v>40</v>
      </c>
      <c s="68" r="H475"/>
      <c s="20" r="I475">
        <f>INDEX('Speed Factors'!$A$2:$B$256,(G475),2)</f>
        <v>111</v>
      </c>
      <c s="20" r="J475">
        <f>SUM(B475:G475)</f>
        <v>535</v>
      </c>
      <c s="68" r="K475"/>
      <c s="38" r="L475">
        <f>((((B475*2)+141)*((D475*2)+36))/(402.744996))-24.57966407</f>
        <v>248.089148927493</v>
      </c>
      <c s="38" r="M475">
        <f>((((B475*2)+141)*((F475*2)+36))/(416.310724))-19.16575597</f>
        <v>110.943791724476</v>
      </c>
      <c s="38" r="N475">
        <f>(((((C475*2)+36)*((((C475*2)+36)*(I475/672))+415))/((((C475*2)+36)*(1-(I475/672)))+415))/(1.92306))-3.576327284</f>
        <v>109.520297356242</v>
      </c>
      <c s="38" r="O475">
        <f>(((((E475*2)+36)*((((E475*2)+36)*(I475/672))+415))/((((E475*2)+36)*(1-(I475/672)))+415))/(1.980931))+4.9921912</f>
        <v>65.2734671142769</v>
      </c>
      <c s="68" r="P475"/>
      <c s="38" r="Q475">
        <f>((((L475+M475)+N475)+O475)/(1.535645))-60.47703745</f>
        <v>287.146733097547</v>
      </c>
      <c s="63" r="R475"/>
      <c s="26" r="S475"/>
      <c s="26" r="T475"/>
    </row>
    <row customHeight="1" r="476" ht="14.25">
      <c t="s" s="45" r="A476">
        <v>560</v>
      </c>
      <c s="75" r="B476">
        <v>100</v>
      </c>
      <c s="54" r="C476">
        <v>100</v>
      </c>
      <c s="54" r="D476">
        <v>125</v>
      </c>
      <c s="54" r="E476">
        <v>110</v>
      </c>
      <c s="54" r="F476">
        <v>50</v>
      </c>
      <c s="2" r="G476">
        <v>50</v>
      </c>
      <c s="68" r="H476"/>
      <c s="19" r="I476">
        <f>INDEX('Speed Factors'!$A$2:$B$256,(G476),2)</f>
        <v>189</v>
      </c>
      <c s="19" r="J476">
        <f>SUM(B476:G476)</f>
        <v>535</v>
      </c>
      <c s="68" r="K476"/>
      <c s="38" r="L476">
        <f>((((B476*2)+141)*((D476*2)+36))/(402.744996))-24.57966407</f>
        <v>217.573561838734</v>
      </c>
      <c s="38" r="M476">
        <f>((((B476*2)+141)*((F476*2)+36))/(416.310724))-19.16575597</f>
        <v>92.2318067793084</v>
      </c>
      <c s="38" r="N476">
        <f>(((((C476*2)+36)*((((C476*2)+36)*(I476/672))+415))/((((C476*2)+36)*(1-(I476/672)))+415))/(1.92306))-3.576327284</f>
        <v>97.4711131415151</v>
      </c>
      <c s="38" r="O476">
        <f>(((((E476*2)+36)*((((E476*2)+36)*(I476/672))+415))/((((E476*2)+36)*(1-(I476/672)))+415))/(1.980931))+4.9921912</f>
        <v>110.060745292265</v>
      </c>
      <c s="68" r="P476"/>
      <c s="38" r="Q476">
        <f>((((L476+M476)+N476)+O476)/(1.535645))-60.47703745</f>
        <v>276.408914089465</v>
      </c>
      <c s="63" r="R476"/>
      <c s="26" r="S476"/>
      <c s="26" r="T476"/>
    </row>
    <row customHeight="1" r="477" ht="14.25">
      <c t="s" s="45" r="A477">
        <v>561</v>
      </c>
      <c s="57" r="B477">
        <v>75</v>
      </c>
      <c s="8" r="C477">
        <v>123</v>
      </c>
      <c s="8" r="D477">
        <v>67</v>
      </c>
      <c s="8" r="E477">
        <v>95</v>
      </c>
      <c s="8" r="F477">
        <v>85</v>
      </c>
      <c s="27" r="G477">
        <v>95</v>
      </c>
      <c s="68" r="H477"/>
      <c s="20" r="I477">
        <f>INDEX('Speed Factors'!$A$2:$B$256,(G477),2)</f>
        <v>542</v>
      </c>
      <c s="20" r="J477">
        <f>SUM(B477:G477)</f>
        <v>540</v>
      </c>
      <c s="68" r="K477"/>
      <c s="38" r="L477">
        <f>((((B477*2)+141)*((D477*2)+36))/(402.744996))-24.57966407</f>
        <v>98.2524021042002</v>
      </c>
      <c s="38" r="M477">
        <f>((((B477*2)+141)*((F477*2)+36))/(416.310724))-19.16575597</f>
        <v>124.827652184434</v>
      </c>
      <c s="38" r="N477">
        <f>(((((C477*2)+36)*((((C477*2)+36)*(I477/672))+415))/((((C477*2)+36)*(1-(I477/672)))+415))/(1.92306))-3.576327284</f>
        <v>197.059295696818</v>
      </c>
      <c s="38" r="O477">
        <f>(((((E477*2)+36)*((((E477*2)+36)*(I477/672))+415))/((((E477*2)+36)*(1-(I477/672)))+415))/(1.980931))+4.9921912</f>
        <v>153.540936923884</v>
      </c>
      <c s="68" r="P477"/>
      <c s="38" r="Q477">
        <f>((((L477+M477)+N477)+O477)/(1.535645))-60.47703745</f>
        <v>313.099073506202</v>
      </c>
      <c s="63" r="R477"/>
      <c s="26" r="S477"/>
      <c s="26" r="T477"/>
    </row>
    <row customHeight="1" r="478" ht="14.25">
      <c t="s" s="45" r="A478">
        <v>562</v>
      </c>
      <c s="75" r="B478">
        <v>75</v>
      </c>
      <c s="54" r="C478">
        <v>95</v>
      </c>
      <c s="54" r="D478">
        <v>67</v>
      </c>
      <c s="54" r="E478">
        <v>125</v>
      </c>
      <c s="54" r="F478">
        <v>95</v>
      </c>
      <c s="2" r="G478">
        <v>83</v>
      </c>
      <c s="68" r="H478"/>
      <c s="19" r="I478">
        <f>INDEX('Speed Factors'!$A$2:$B$256,(G478),2)</f>
        <v>465</v>
      </c>
      <c s="19" r="J478">
        <f>SUM(B478:G478)</f>
        <v>540</v>
      </c>
      <c s="68" r="K478"/>
      <c s="38" r="L478">
        <f>((((B478*2)+141)*((D478*2)+36))/(402.744996))-24.57966407</f>
        <v>98.2524021042002</v>
      </c>
      <c s="38" r="M478">
        <f>((((B478*2)+141)*((F478*2)+36))/(416.310724))-19.16575597</f>
        <v>138.8075947237</v>
      </c>
      <c s="38" r="N478">
        <f>(((((C478*2)+36)*((((C478*2)+36)*(I478/672))+415))/((((C478*2)+36)*(1-(I478/672)))+415))/(1.92306))-3.576327284</f>
        <v>134.986205329732</v>
      </c>
      <c s="38" r="O478">
        <f>(((((E478*2)+36)*((((E478*2)+36)*(I478/672))+415))/((((E478*2)+36)*(1-(I478/672)))+415))/(1.980931))+4.9921912</f>
        <v>180.879618111188</v>
      </c>
      <c s="68" r="P478"/>
      <c s="38" r="Q478">
        <f>((((L478+M478)+N478)+O478)/(1.535645))-60.47703745</f>
        <v>299.583927336015</v>
      </c>
      <c s="63" r="R478"/>
      <c s="26" r="S478"/>
      <c s="26" r="T478"/>
    </row>
    <row customHeight="1" r="479" ht="14.25">
      <c t="s" s="45" r="A479">
        <v>563</v>
      </c>
      <c s="57" r="B479">
        <v>85</v>
      </c>
      <c s="8" r="C479">
        <v>50</v>
      </c>
      <c s="8" r="D479">
        <v>95</v>
      </c>
      <c s="8" r="E479">
        <v>120</v>
      </c>
      <c s="8" r="F479">
        <v>115</v>
      </c>
      <c s="27" r="G479">
        <v>80</v>
      </c>
      <c s="68" r="H479"/>
      <c s="20" r="I479">
        <f>INDEX('Speed Factors'!$A$2:$B$256,(G479),2)</f>
        <v>432</v>
      </c>
      <c s="20" r="J479">
        <f>SUM(B479:G479)</f>
        <v>545</v>
      </c>
      <c s="68" r="K479"/>
      <c s="38" r="L479">
        <f>((((B479*2)+141)*((D479*2)+36))/(402.744996))-24.57966407</f>
        <v>149.937712180654</v>
      </c>
      <c s="38" r="M479">
        <f>((((B479*2)+141)*((F479*2)+36))/(416.310724))-19.16575597</f>
        <v>179.54639635015</v>
      </c>
      <c s="38" r="N479">
        <f>(((((C479*2)+36)*((((C479*2)+36)*(I479/672))+415))/((((C479*2)+36)*(1-(I479/672)))+415))/(1.92306))-3.576327284</f>
        <v>73.0721869763924</v>
      </c>
      <c s="38" r="O479">
        <f>(((((E479*2)+36)*((((E479*2)+36)*(I479/672))+415))/((((E479*2)+36)*(1-(I479/672)))+415))/(1.980931))+4.9921912</f>
        <v>165.714023271446</v>
      </c>
      <c s="68" r="P479"/>
      <c s="38" r="Q479">
        <f>((((L479+M479)+N479)+O479)/(1.535645))-60.47703745</f>
        <v>309.57614461919</v>
      </c>
      <c s="63" r="R479"/>
      <c s="26" r="S479"/>
      <c s="26" r="T479"/>
    </row>
    <row customHeight="1" r="480" ht="14.25">
      <c t="s" s="45" r="A480">
        <v>564</v>
      </c>
      <c s="75" r="B480">
        <v>86</v>
      </c>
      <c s="54" r="C480">
        <v>76</v>
      </c>
      <c s="54" r="D480">
        <v>86</v>
      </c>
      <c s="54" r="E480">
        <v>116</v>
      </c>
      <c s="54" r="F480">
        <v>56</v>
      </c>
      <c s="2" r="G480">
        <v>95</v>
      </c>
      <c s="68" r="H480"/>
      <c s="19" r="I480">
        <f>INDEX('Speed Factors'!$A$2:$B$256,(G480),2)</f>
        <v>542</v>
      </c>
      <c s="19" r="J480">
        <f>SUM(B480:G480)</f>
        <v>515</v>
      </c>
      <c s="68" r="K480"/>
      <c s="38" r="L480">
        <f>((((B480*2)+141)*((D480*2)+36))/(402.744996))-24.57966407</f>
        <v>137.071009797094</v>
      </c>
      <c s="38" r="M480">
        <f>((((B480*2)+141)*((F480*2)+36))/(416.310724))-19.16575597</f>
        <v>92.1069000762084</v>
      </c>
      <c s="38" r="N480">
        <f>(((((C480*2)+36)*((((C480*2)+36)*(I480/672))+415))/((((C480*2)+36)*(1-(I480/672)))+415))/(1.92306))-3.576327284</f>
        <v>119.148812304244</v>
      </c>
      <c s="38" r="O480">
        <f>(((((E480*2)+36)*((((E480*2)+36)*(I480/672))+415))/((((E480*2)+36)*(1-(I480/672)))+415))/(1.980931))+4.9921912</f>
        <v>187.898369496506</v>
      </c>
      <c s="68" r="P480"/>
      <c s="38" r="Q480">
        <f>((((L480+M480)+N480)+O480)/(1.535645))-60.47703745</f>
        <v>288.708543640716</v>
      </c>
      <c s="63" r="R480"/>
      <c s="26" r="S480"/>
      <c s="26" r="T480"/>
    </row>
    <row customHeight="1" r="481" ht="14.25">
      <c t="s" s="45" r="A481">
        <v>565</v>
      </c>
      <c s="57" r="B481">
        <v>65</v>
      </c>
      <c s="8" r="C481">
        <v>110</v>
      </c>
      <c s="8" r="D481">
        <v>130</v>
      </c>
      <c s="8" r="E481">
        <v>60</v>
      </c>
      <c s="8" r="F481">
        <v>65</v>
      </c>
      <c s="27" r="G481">
        <v>95</v>
      </c>
      <c s="68" r="H481"/>
      <c s="20" r="I481">
        <f>INDEX('Speed Factors'!$A$2:$B$256,(G481),2)</f>
        <v>542</v>
      </c>
      <c s="20" r="J481">
        <f>SUM(B481:G481)</f>
        <v>525</v>
      </c>
      <c s="68" r="K481"/>
      <c s="38" r="L481">
        <f>((((B481*2)+141)*((D481*2)+36))/(402.744996))-24.57966407</f>
        <v>174.593512000945</v>
      </c>
      <c s="38" r="M481">
        <f>((((B481*2)+141)*((F481*2)+36))/(416.310724))-19.16575597</f>
        <v>88.892954523367</v>
      </c>
      <c s="38" r="N481">
        <f>(((((C481*2)+36)*((((C481*2)+36)*(I481/672))+415))/((((C481*2)+36)*(1-(I481/672)))+415))/(1.92306))-3.576327284</f>
        <v>174.523560856112</v>
      </c>
      <c s="38" r="O481">
        <f>(((((E481*2)+36)*((((E481*2)+36)*(I481/672))+415))/((((E481*2)+36)*(1-(I481/672)))+415))/(1.980931))+4.9921912</f>
        <v>100.661996353141</v>
      </c>
      <c s="68" r="P481"/>
      <c s="38" r="Q481">
        <f>((((L481+M481)+N481)+O481)/(1.535645))-60.47703745</f>
        <v>290.301966638553</v>
      </c>
      <c s="63" r="R481"/>
      <c s="26" r="S481"/>
      <c s="26" r="T481"/>
    </row>
    <row customHeight="1" r="482" ht="14.25">
      <c t="s" s="45" r="A482">
        <v>566</v>
      </c>
      <c s="75" r="B482">
        <v>65</v>
      </c>
      <c s="54" r="C482">
        <v>60</v>
      </c>
      <c s="54" r="D482">
        <v>110</v>
      </c>
      <c s="54" r="E482">
        <v>130</v>
      </c>
      <c s="54" r="F482">
        <v>95</v>
      </c>
      <c s="2" r="G482">
        <v>65</v>
      </c>
      <c s="68" r="H482"/>
      <c s="19" r="I482">
        <f>INDEX('Speed Factors'!$A$2:$B$256,(G482),2)</f>
        <v>321</v>
      </c>
      <c s="19" r="J482">
        <f>SUM(B482:G482)</f>
        <v>525</v>
      </c>
      <c s="68" r="K482"/>
      <c s="38" r="L482">
        <f>((((B482*2)+141)*((D482*2)+36))/(402.744996))-24.57966407</f>
        <v>147.678217937304</v>
      </c>
      <c s="38" r="M482">
        <f>((((B482*2)+141)*((F482*2)+36))/(416.310724))-19.16575597</f>
        <v>127.950319761933</v>
      </c>
      <c s="38" r="N482">
        <f>(((((C482*2)+36)*((((C482*2)+36)*(I482/672))+415))/((((C482*2)+36)*(1-(I482/672)))+415))/(1.92306))-3.576327284</f>
        <v>76.4064849703156</v>
      </c>
      <c s="38" r="O482">
        <f>(((((E482*2)+36)*((((E482*2)+36)*(I482/672))+415))/((((E482*2)+36)*(1-(I482/672)))+415))/(1.980931))+4.9921912</f>
        <v>150.950385500479</v>
      </c>
      <c s="68" r="P482"/>
      <c s="38" r="Q482">
        <f>((((L482+M482)+N482)+O482)/(1.535645))-60.47703745</f>
        <v>267.063122007448</v>
      </c>
      <c s="63" r="R482"/>
      <c s="26" r="S482"/>
      <c s="26" r="T482"/>
    </row>
    <row customHeight="1" r="483" ht="14.25">
      <c t="s" s="45" r="A483">
        <v>72</v>
      </c>
      <c s="57" r="B483">
        <v>75</v>
      </c>
      <c s="8" r="C483">
        <v>95</v>
      </c>
      <c s="8" r="D483">
        <v>125</v>
      </c>
      <c s="8" r="E483">
        <v>45</v>
      </c>
      <c s="8" r="F483">
        <v>75</v>
      </c>
      <c s="27" r="G483">
        <v>95</v>
      </c>
      <c s="68" r="H483"/>
      <c s="20" r="I483">
        <f>INDEX('Speed Factors'!$A$2:$B$256,(G483),2)</f>
        <v>542</v>
      </c>
      <c s="20" r="J483">
        <f>SUM(B483:G483)</f>
        <v>510</v>
      </c>
      <c s="68" r="K483"/>
      <c s="38" r="L483">
        <f>((((B483*2)+141)*((D483*2)+36))/(402.744996))-24.57966407</f>
        <v>182.067223728949</v>
      </c>
      <c s="38" r="M483">
        <f>((((B483*2)+141)*((F483*2)+36))/(416.310724))-19.16575597</f>
        <v>110.847709645169</v>
      </c>
      <c s="38" r="N483">
        <f>(((((C483*2)+36)*((((C483*2)+36)*(I483/672))+415))/((((C483*2)+36)*(1-(I483/672)))+415))/(1.92306))-3.576327284</f>
        <v>149.442723299735</v>
      </c>
      <c s="38" r="O483">
        <f>(((((E483*2)+36)*((((E483*2)+36)*(I483/672))+415))/((((E483*2)+36)*(1-(I483/672)))+415))/(1.980931))+4.9921912</f>
        <v>79.7818019039969</v>
      </c>
      <c s="68" r="P483"/>
      <c s="38" r="Q483">
        <f>((((L483+M483)+N483)+O483)/(1.535645))-60.47703745</f>
        <v>279.536089658055</v>
      </c>
      <c s="63" r="R483"/>
      <c s="26" r="S483"/>
      <c s="26" r="T483"/>
    </row>
    <row customHeight="1" r="484" ht="14.25">
      <c t="s" s="45" r="A484">
        <v>89</v>
      </c>
      <c s="75" r="B484">
        <v>110</v>
      </c>
      <c s="54" r="C484">
        <v>130</v>
      </c>
      <c s="54" r="D484">
        <v>80</v>
      </c>
      <c s="54" r="E484">
        <v>70</v>
      </c>
      <c s="54" r="F484">
        <v>60</v>
      </c>
      <c s="2" r="G484">
        <v>80</v>
      </c>
      <c s="68" r="H484"/>
      <c s="19" r="I484">
        <f>INDEX('Speed Factors'!$A$2:$B$256,(G484),2)</f>
        <v>432</v>
      </c>
      <c s="19" r="J484">
        <f>SUM(B484:G484)</f>
        <v>530</v>
      </c>
      <c s="68" r="K484"/>
      <c s="38" r="L484">
        <f>((((B484*2)+141)*((D484*2)+36))/(402.744996))-24.57966407</f>
        <v>151.104703712933</v>
      </c>
      <c s="38" r="M484">
        <f>((((B484*2)+141)*((F484*2)+36))/(416.310724))-19.16575597</f>
        <v>116.108203487263</v>
      </c>
      <c s="38" r="N484">
        <f>(((((C484*2)+36)*((((C484*2)+36)*(I484/672))+415))/((((C484*2)+36)*(1-(I484/672)))+415))/(1.92306))-3.576327284</f>
        <v>175.344051056207</v>
      </c>
      <c s="38" r="O484">
        <f>(((((E484*2)+36)*((((E484*2)+36)*(I484/672))+415))/((((E484*2)+36)*(1-(I484/672)))+415))/(1.980931))+4.9921912</f>
        <v>103.188835747196</v>
      </c>
      <c s="68" r="P484"/>
      <c s="38" r="Q484">
        <f>((((L484+M484)+N484)+O484)/(1.535645))-60.47703745</f>
        <v>294.90835045124</v>
      </c>
      <c s="63" r="R484"/>
      <c s="26" r="S484"/>
      <c s="26" r="T484"/>
    </row>
    <row customHeight="1" r="485" ht="14.25">
      <c t="s" s="45" r="A485">
        <v>567</v>
      </c>
      <c s="57" r="B485">
        <v>85</v>
      </c>
      <c s="8" r="C485">
        <v>80</v>
      </c>
      <c s="8" r="D485">
        <v>70</v>
      </c>
      <c s="8" r="E485">
        <v>135</v>
      </c>
      <c s="8" r="F485">
        <v>75</v>
      </c>
      <c s="27" r="G485">
        <v>90</v>
      </c>
      <c s="68" r="H485"/>
      <c s="20" r="I485">
        <f>INDEX('Speed Factors'!$A$2:$B$256,(G485),2)</f>
        <v>503</v>
      </c>
      <c s="20" r="J485">
        <f>SUM(B485:G485)</f>
        <v>535</v>
      </c>
      <c s="68" r="K485"/>
      <c s="38" r="L485">
        <f>((((B485*2)+141)*((D485*2)+36))/(402.744996))-24.57966407</f>
        <v>111.327673187146</v>
      </c>
      <c s="38" r="M485">
        <f>((((B485*2)+141)*((F485*2)+36))/(416.310724))-19.16575597</f>
        <v>119.783343020782</v>
      </c>
      <c s="38" r="N485">
        <f>(((((C485*2)+36)*((((C485*2)+36)*(I485/672))+415))/((((C485*2)+36)*(1-(I485/672)))+415))/(1.92306))-3.576327284</f>
        <v>119.729390311026</v>
      </c>
      <c s="38" r="O485">
        <f>(((((E485*2)+36)*((((E485*2)+36)*(I485/672))+415))/((((E485*2)+36)*(1-(I485/672)))+415))/(1.980931))+4.9921912</f>
        <v>207.220689091738</v>
      </c>
      <c s="68" r="P485"/>
      <c s="38" r="Q485">
        <f>((((L485+M485)+N485)+O485)/(1.535645))-60.47703745</f>
        <v>302.927978429772</v>
      </c>
      <c s="63" r="R485"/>
      <c s="26" r="S485"/>
      <c s="26" r="T485"/>
    </row>
    <row customHeight="1" r="486" ht="14.25">
      <c t="s" s="45" r="A486">
        <v>568</v>
      </c>
      <c s="75" r="B486">
        <v>68</v>
      </c>
      <c s="54" r="C486">
        <v>125</v>
      </c>
      <c s="54" r="D486">
        <v>65</v>
      </c>
      <c s="54" r="E486">
        <v>65</v>
      </c>
      <c s="54" r="F486">
        <v>115</v>
      </c>
      <c s="2" r="G486">
        <v>80</v>
      </c>
      <c s="68" r="H486"/>
      <c s="19" r="I486">
        <f>INDEX('Speed Factors'!$A$2:$B$256,(G486),2)</f>
        <v>432</v>
      </c>
      <c s="19" r="J486">
        <f>SUM(B486:G486)</f>
        <v>518</v>
      </c>
      <c s="68" r="K486"/>
      <c s="38" r="L486">
        <f>((((B486*2)+141)*((D486*2)+36))/(402.744996))-24.57966407</f>
        <v>89.591835158261</v>
      </c>
      <c s="38" r="M486">
        <f>((((B486*2)+141)*((F486*2)+36))/(416.310724))-19.16575597</f>
        <v>157.822238218687</v>
      </c>
      <c s="38" r="N486">
        <f>(((((C486*2)+36)*((((C486*2)+36)*(I486/672))+415))/((((C486*2)+36)*(1-(I486/672)))+415))/(1.92306))-3.576327284</f>
        <v>168.644591575003</v>
      </c>
      <c s="38" r="O486">
        <f>(((((E486*2)+36)*((((E486*2)+36)*(I486/672))+415))/((((E486*2)+36)*(1-(I486/672)))+415))/(1.980931))+4.9921912</f>
        <v>97.1710707268487</v>
      </c>
      <c s="68" r="P486"/>
      <c s="38" r="Q486">
        <f>((((L486+M486)+N486)+O486)/(1.535645))-60.47703745</f>
        <v>273.734147868742</v>
      </c>
      <c s="63" r="R486"/>
      <c s="26" r="S486"/>
      <c s="26" r="T486"/>
    </row>
    <row customHeight="1" r="487" ht="14.25">
      <c t="s" s="45" r="A487">
        <v>569</v>
      </c>
      <c s="57" r="B487">
        <v>60</v>
      </c>
      <c s="8" r="C487">
        <v>55</v>
      </c>
      <c s="8" r="D487">
        <v>145</v>
      </c>
      <c s="8" r="E487">
        <v>75</v>
      </c>
      <c s="8" r="F487">
        <v>150</v>
      </c>
      <c s="27" r="G487">
        <v>40</v>
      </c>
      <c s="68" r="H487"/>
      <c s="20" r="I487">
        <f>INDEX('Speed Factors'!$A$2:$B$256,(G487),2)</f>
        <v>111</v>
      </c>
      <c s="20" r="J487">
        <f>SUM(B487:G487)</f>
        <v>525</v>
      </c>
      <c s="68" r="K487"/>
      <c s="38" r="L487">
        <f>((((B487*2)+141)*((D487*2)+36))/(402.744996))-24.57966407</f>
        <v>186.685530643928</v>
      </c>
      <c s="38" r="M487">
        <f>((((B487*2)+141)*((F487*2)+36))/(416.310724))-19.16575597</f>
        <v>191.484594704128</v>
      </c>
      <c s="38" r="N487">
        <f>(((((C487*2)+36)*((((C487*2)+36)*(I487/672))+415))/((((C487*2)+36)*(1-(I487/672)))+415))/(1.92306))-3.576327284</f>
        <v>58.5190042075522</v>
      </c>
      <c s="38" r="O487">
        <f>(((((E487*2)+36)*((((E487*2)+36)*(I487/672))+415))/((((E487*2)+36)*(1-(I487/672)))+415))/(1.980931))+4.9921912</f>
        <v>78.3798708355432</v>
      </c>
      <c s="68" r="P487"/>
      <c s="38" r="Q487">
        <f>((((L487+M487)+N487)+O487)/(1.535645))-60.47703745</f>
        <v>274.931862648103</v>
      </c>
      <c s="63" r="R487"/>
      <c s="26" r="S487"/>
      <c s="26" r="T487"/>
    </row>
    <row customHeight="1" r="488" ht="14.25">
      <c t="s" s="45" r="A488">
        <v>570</v>
      </c>
      <c s="75" r="B488">
        <v>45</v>
      </c>
      <c s="54" r="C488">
        <v>100</v>
      </c>
      <c s="54" r="D488">
        <v>135</v>
      </c>
      <c s="54" r="E488">
        <v>65</v>
      </c>
      <c s="54" r="F488">
        <v>135</v>
      </c>
      <c s="2" r="G488">
        <v>45</v>
      </c>
      <c s="68" r="H488"/>
      <c s="19" r="I488">
        <f>INDEX('Speed Factors'!$A$2:$B$256,(G488),2)</f>
        <v>154</v>
      </c>
      <c s="19" r="J488">
        <f>SUM(B488:G488)</f>
        <v>525</v>
      </c>
      <c s="68" r="K488"/>
      <c s="38" r="L488">
        <f>((((B488*2)+141)*((D488*2)+36))/(402.744996))-24.57966407</f>
        <v>150.930896463445</v>
      </c>
      <c s="38" r="M488">
        <f>((((B488*2)+141)*((F488*2)+36))/(416.310724))-19.16575597</f>
        <v>150.625690478543</v>
      </c>
      <c s="38" r="N488">
        <f>(((((C488*2)+36)*((((C488*2)+36)*(I488/672))+415))/((((C488*2)+36)*(1-(I488/672)))+415))/(1.92306))-3.576327284</f>
        <v>92.8632872648258</v>
      </c>
      <c s="38" r="O488">
        <f>(((((E488*2)+36)*((((E488*2)+36)*(I488/672))+415))/((((E488*2)+36)*(1-(I488/672)))+415))/(1.980931))+4.9921912</f>
        <v>74.9136342690051</v>
      </c>
      <c s="68" r="P488"/>
      <c s="38" r="Q488">
        <f>((((L488+M488)+N488)+O488)/(1.535645))-60.47703745</f>
        <v>245.149268418751</v>
      </c>
      <c s="63" r="R488"/>
      <c s="26" r="S488"/>
      <c s="26" r="T488"/>
    </row>
    <row customHeight="1" r="489" ht="14.25">
      <c t="s" s="45" r="A489">
        <v>571</v>
      </c>
      <c s="57" r="B489">
        <v>70</v>
      </c>
      <c s="8" r="C489">
        <v>80</v>
      </c>
      <c s="8" r="D489">
        <v>70</v>
      </c>
      <c s="8" r="E489">
        <v>80</v>
      </c>
      <c s="8" r="F489">
        <v>70</v>
      </c>
      <c s="27" r="G489">
        <v>110</v>
      </c>
      <c s="68" r="H489"/>
      <c s="20" r="I489">
        <f>INDEX('Speed Factors'!$A$2:$B$256,(G489),2)</f>
        <v>627</v>
      </c>
      <c s="20" r="J489">
        <f>SUM(B489:G489)</f>
        <v>480</v>
      </c>
      <c s="68" r="K489"/>
      <c s="38" r="L489">
        <f>((((B489*2)+141)*((D489*2)+36))/(402.744996))-24.57966407</f>
        <v>98.2176406543025</v>
      </c>
      <c s="38" r="M489">
        <f>((((B489*2)+141)*((F489*2)+36))/(416.310724))-19.16575597</f>
        <v>99.6301268859987</v>
      </c>
      <c s="38" r="N489">
        <f>(((((C489*2)+36)*((((C489*2)+36)*(I489/672))+415))/((((C489*2)+36)*(1-(I489/672)))+415))/(1.92306))-3.576327284</f>
        <v>138.75583326821</v>
      </c>
      <c s="38" r="O489">
        <f>(((((E489*2)+36)*((((E489*2)+36)*(I489/672))+415))/((((E489*2)+36)*(1-(I489/672)))+415))/(1.980931))+4.9921912</f>
        <v>143.166254138857</v>
      </c>
      <c s="68" r="P489"/>
      <c s="38" r="Q489">
        <f>((((L489+M489)+N489)+O489)/(1.535645))-60.47703745</f>
        <v>251.945335525113</v>
      </c>
      <c s="63" r="R489"/>
      <c s="26" r="S489"/>
      <c s="26" r="T489"/>
    </row>
    <row customHeight="1" r="490" ht="14.25">
      <c t="s" s="45" r="A490">
        <v>572</v>
      </c>
      <c s="75" r="B490">
        <v>50</v>
      </c>
      <c s="54" r="C490">
        <v>50</v>
      </c>
      <c s="54" r="D490">
        <v>77</v>
      </c>
      <c s="54" r="E490">
        <v>95</v>
      </c>
      <c s="54" r="F490">
        <v>77</v>
      </c>
      <c s="2" r="G490">
        <v>91</v>
      </c>
      <c s="68" r="H490"/>
      <c s="19" r="I490">
        <f>INDEX('Speed Factors'!$A$2:$B$256,(G490),2)</f>
        <v>532</v>
      </c>
      <c s="19" r="J490">
        <f>SUM(B490:G490)</f>
        <v>440</v>
      </c>
      <c s="68" r="K490"/>
      <c s="38" r="L490">
        <f>((((B490*2)+141)*((D490*2)+36))/(402.744996))-24.57966407</f>
        <v>89.1151067025213</v>
      </c>
      <c s="38" r="M490">
        <f>((((B490*2)+141)*((F490*2)+36))/(416.310724))-19.16575597</f>
        <v>90.8242043174511</v>
      </c>
      <c s="38" r="N490">
        <f>(((((C490*2)+36)*((((C490*2)+36)*(I490/672))+415))/((((C490*2)+36)*(1-(I490/672)))+415))/(1.92306))-3.576327284</f>
        <v>79.7995643185829</v>
      </c>
      <c s="38" r="O490">
        <f>(((((E490*2)+36)*((((E490*2)+36)*(I490/672))+415))/((((E490*2)+36)*(1-(I490/672)))+415))/(1.980931))+4.9921912</f>
        <v>151.629438388595</v>
      </c>
      <c s="68" r="P490"/>
      <c s="38" r="Q490">
        <f>((((L490+M490)+N490)+O490)/(1.535645))-60.47703745</f>
        <v>207.402787462105</v>
      </c>
      <c s="63" r="R490"/>
      <c s="26" r="S490"/>
      <c s="26" r="T490"/>
    </row>
    <row customHeight="1" r="491" ht="14.25">
      <c t="s" s="45" r="A491">
        <v>573</v>
      </c>
      <c s="57" r="B491">
        <v>50</v>
      </c>
      <c s="8" r="C491">
        <v>65</v>
      </c>
      <c s="8" r="D491">
        <v>107</v>
      </c>
      <c s="8" r="E491">
        <v>105</v>
      </c>
      <c s="8" r="F491">
        <v>107</v>
      </c>
      <c s="27" r="G491">
        <v>86</v>
      </c>
      <c s="68" r="H491"/>
      <c s="20" r="I491">
        <f>INDEX('Speed Factors'!$A$2:$B$256,(G491),2)</f>
        <v>496</v>
      </c>
      <c s="20" r="J491">
        <f>SUM(B491:G491)</f>
        <v>520</v>
      </c>
      <c s="68" r="K491"/>
      <c s="38" r="L491">
        <f>((((B491*2)+141)*((D491*2)+36))/(402.744996))-24.57966407</f>
        <v>125.018718525423</v>
      </c>
      <c s="38" r="M491">
        <f>((((B491*2)+141)*((F491*2)+36))/(416.310724))-19.16575597</f>
        <v>125.557875987172</v>
      </c>
      <c s="38" r="N491">
        <f>(((((C491*2)+36)*((((C491*2)+36)*(I491/672))+415))/((((C491*2)+36)*(1-(I491/672)))+415))/(1.92306))-3.576327284</f>
        <v>97.6273219288027</v>
      </c>
      <c s="38" r="O491">
        <f>(((((E491*2)+36)*((((E491*2)+36)*(I491/672))+415))/((((E491*2)+36)*(1-(I491/672)))+415))/(1.980931))+4.9921912</f>
        <v>159.519163901316</v>
      </c>
      <c s="68" r="P491"/>
      <c s="38" r="Q491">
        <f>((((L491+M491)+N491)+O491)/(1.535645))-60.47703745</f>
        <v>270.148257030634</v>
      </c>
      <c s="63" r="R491"/>
      <c s="26" r="S491"/>
      <c s="26" r="T491"/>
    </row>
    <row customHeight="1" r="492" ht="14.25">
      <c t="s" s="45" r="A492">
        <v>574</v>
      </c>
      <c s="75" r="B492">
        <v>50</v>
      </c>
      <c s="54" r="C492">
        <v>65</v>
      </c>
      <c s="54" r="D492">
        <v>107</v>
      </c>
      <c s="54" r="E492">
        <v>105</v>
      </c>
      <c s="54" r="F492">
        <v>107</v>
      </c>
      <c s="2" r="G492">
        <v>86</v>
      </c>
      <c s="68" r="H492"/>
      <c s="19" r="I492">
        <f>INDEX('Speed Factors'!$A$2:$B$256,(G492),2)</f>
        <v>496</v>
      </c>
      <c s="19" r="J492">
        <f>SUM(B492:G492)</f>
        <v>520</v>
      </c>
      <c s="68" r="K492"/>
      <c s="38" r="L492">
        <f>((((B492*2)+141)*((D492*2)+36))/(402.744996))-24.57966407</f>
        <v>125.018718525423</v>
      </c>
      <c s="38" r="M492">
        <f>((((B492*2)+141)*((F492*2)+36))/(416.310724))-19.16575597</f>
        <v>125.557875987172</v>
      </c>
      <c s="38" r="N492">
        <f>(((((C492*2)+36)*((((C492*2)+36)*(I492/672))+415))/((((C492*2)+36)*(1-(I492/672)))+415))/(1.92306))-3.576327284</f>
        <v>97.6273219288027</v>
      </c>
      <c s="38" r="O492">
        <f>(((((E492*2)+36)*((((E492*2)+36)*(I492/672))+415))/((((E492*2)+36)*(1-(I492/672)))+415))/(1.980931))+4.9921912</f>
        <v>159.519163901316</v>
      </c>
      <c s="68" r="P492"/>
      <c s="38" r="Q492">
        <f>((((L492+M492)+N492)+O492)/(1.535645))-60.47703745</f>
        <v>270.148257030634</v>
      </c>
      <c s="63" r="R492"/>
      <c s="26" r="S492"/>
      <c s="26" r="T492"/>
    </row>
    <row customHeight="1" r="493" ht="14.25">
      <c t="s" s="45" r="A493">
        <v>575</v>
      </c>
      <c s="57" r="B493">
        <v>50</v>
      </c>
      <c s="8" r="C493">
        <v>65</v>
      </c>
      <c s="8" r="D493">
        <v>107</v>
      </c>
      <c s="8" r="E493">
        <v>105</v>
      </c>
      <c s="8" r="F493">
        <v>107</v>
      </c>
      <c s="27" r="G493">
        <v>86</v>
      </c>
      <c s="68" r="H493"/>
      <c s="20" r="I493">
        <f>INDEX('Speed Factors'!$A$2:$B$256,(G493),2)</f>
        <v>496</v>
      </c>
      <c s="20" r="J493">
        <f>SUM(B493:G493)</f>
        <v>520</v>
      </c>
      <c s="68" r="K493"/>
      <c s="38" r="L493">
        <f>((((B493*2)+141)*((D493*2)+36))/(402.744996))-24.57966407</f>
        <v>125.018718525423</v>
      </c>
      <c s="38" r="M493">
        <f>((((B493*2)+141)*((F493*2)+36))/(416.310724))-19.16575597</f>
        <v>125.557875987172</v>
      </c>
      <c s="38" r="N493">
        <f>(((((C493*2)+36)*((((C493*2)+36)*(I493/672))+415))/((((C493*2)+36)*(1-(I493/672)))+415))/(1.92306))-3.576327284</f>
        <v>97.6273219288027</v>
      </c>
      <c s="38" r="O493">
        <f>(((((E493*2)+36)*((((E493*2)+36)*(I493/672))+415))/((((E493*2)+36)*(1-(I493/672)))+415))/(1.980931))+4.9921912</f>
        <v>159.519163901316</v>
      </c>
      <c s="68" r="P493"/>
      <c s="38" r="Q493">
        <f>((((L493+M493)+N493)+O493)/(1.535645))-60.47703745</f>
        <v>270.148257030634</v>
      </c>
      <c s="63" r="R493"/>
      <c s="26" r="S493"/>
      <c s="26" r="T493"/>
    </row>
    <row customHeight="1" r="494" ht="14.25">
      <c t="s" s="45" r="A494">
        <v>576</v>
      </c>
      <c s="75" r="B494">
        <v>50</v>
      </c>
      <c s="54" r="C494">
        <v>65</v>
      </c>
      <c s="54" r="D494">
        <v>107</v>
      </c>
      <c s="54" r="E494">
        <v>105</v>
      </c>
      <c s="54" r="F494">
        <v>107</v>
      </c>
      <c s="2" r="G494">
        <v>86</v>
      </c>
      <c s="68" r="H494"/>
      <c s="19" r="I494">
        <f>INDEX('Speed Factors'!$A$2:$B$256,(G494),2)</f>
        <v>496</v>
      </c>
      <c s="19" r="J494">
        <f>SUM(B494:G494)</f>
        <v>520</v>
      </c>
      <c s="68" r="K494"/>
      <c s="38" r="L494">
        <f>((((B494*2)+141)*((D494*2)+36))/(402.744996))-24.57966407</f>
        <v>125.018718525423</v>
      </c>
      <c s="38" r="M494">
        <f>((((B494*2)+141)*((F494*2)+36))/(416.310724))-19.16575597</f>
        <v>125.557875987172</v>
      </c>
      <c s="38" r="N494">
        <f>(((((C494*2)+36)*((((C494*2)+36)*(I494/672))+415))/((((C494*2)+36)*(1-(I494/672)))+415))/(1.92306))-3.576327284</f>
        <v>97.6273219288027</v>
      </c>
      <c s="38" r="O494">
        <f>(((((E494*2)+36)*((((E494*2)+36)*(I494/672))+415))/((((E494*2)+36)*(1-(I494/672)))+415))/(1.980931))+4.9921912</f>
        <v>159.519163901316</v>
      </c>
      <c s="68" r="P494"/>
      <c s="38" r="Q494">
        <f>((((L494+M494)+N494)+O494)/(1.535645))-60.47703745</f>
        <v>270.148257030634</v>
      </c>
      <c s="63" r="R494"/>
      <c s="26" r="S494"/>
      <c s="26" r="T494"/>
    </row>
    <row customHeight="1" r="495" ht="14.25">
      <c t="s" s="45" r="A495">
        <v>577</v>
      </c>
      <c s="57" r="B495">
        <v>50</v>
      </c>
      <c s="8" r="C495">
        <v>65</v>
      </c>
      <c s="8" r="D495">
        <v>107</v>
      </c>
      <c s="8" r="E495">
        <v>105</v>
      </c>
      <c s="8" r="F495">
        <v>107</v>
      </c>
      <c s="27" r="G495">
        <v>86</v>
      </c>
      <c s="68" r="H495"/>
      <c s="20" r="I495">
        <f>INDEX('Speed Factors'!$A$2:$B$256,(G495),2)</f>
        <v>496</v>
      </c>
      <c s="20" r="J495">
        <f>SUM(B495:G495)</f>
        <v>520</v>
      </c>
      <c s="68" r="K495"/>
      <c s="38" r="L495">
        <f>((((B495*2)+141)*((D495*2)+36))/(402.744996))-24.57966407</f>
        <v>125.018718525423</v>
      </c>
      <c s="38" r="M495">
        <f>((((B495*2)+141)*((F495*2)+36))/(416.310724))-19.16575597</f>
        <v>125.557875987172</v>
      </c>
      <c s="38" r="N495">
        <f>(((((C495*2)+36)*((((C495*2)+36)*(I495/672))+415))/((((C495*2)+36)*(1-(I495/672)))+415))/(1.92306))-3.576327284</f>
        <v>97.6273219288027</v>
      </c>
      <c s="38" r="O495">
        <f>(((((E495*2)+36)*((((E495*2)+36)*(I495/672))+415))/((((E495*2)+36)*(1-(I495/672)))+415))/(1.980931))+4.9921912</f>
        <v>159.519163901316</v>
      </c>
      <c s="68" r="P495"/>
      <c s="38" r="Q495">
        <f>((((L495+M495)+N495)+O495)/(1.535645))-60.47703745</f>
        <v>270.148257030634</v>
      </c>
      <c s="63" r="R495"/>
      <c s="26" r="S495"/>
      <c s="26" r="T495"/>
    </row>
    <row customHeight="1" r="496" ht="14.25">
      <c t="s" s="45" r="A496">
        <v>578</v>
      </c>
      <c s="75" r="B496">
        <v>75</v>
      </c>
      <c s="54" r="C496">
        <v>75</v>
      </c>
      <c s="54" r="D496">
        <v>130</v>
      </c>
      <c s="54" r="E496">
        <v>75</v>
      </c>
      <c s="54" r="F496">
        <v>130</v>
      </c>
      <c s="2" r="G496">
        <v>95</v>
      </c>
      <c s="68" r="H496"/>
      <c s="19" r="I496">
        <f>INDEX('Speed Factors'!$A$2:$B$256,(G496),2)</f>
        <v>542</v>
      </c>
      <c s="19" r="J496">
        <f>SUM(B496:G496)</f>
        <v>580</v>
      </c>
      <c s="68" r="K496"/>
      <c s="38" r="L496">
        <f>((((B496*2)+141)*((D496*2)+36))/(402.744996))-24.57966407</f>
        <v>189.292639386254</v>
      </c>
      <c s="38" r="M496">
        <f>((((B496*2)+141)*((F496*2)+36))/(416.310724))-19.16575597</f>
        <v>187.737393611129</v>
      </c>
      <c s="38" r="N496">
        <f>(((((C496*2)+36)*((((C496*2)+36)*(I496/672))+415))/((((C496*2)+36)*(1-(I496/672)))+415))/(1.92306))-3.576327284</f>
        <v>117.60143755588</v>
      </c>
      <c s="38" r="O496">
        <f>(((((E496*2)+36)*((((E496*2)+36)*(I496/672))+415))/((((E496*2)+36)*(1-(I496/672)))+415))/(1.980931))+4.9921912</f>
        <v>122.629863816047</v>
      </c>
      <c s="68" r="P496"/>
      <c s="38" r="Q496">
        <f>((((L496+M496)+N496)+O496)/(1.535645))-60.47703745</f>
        <v>341.478710375383</v>
      </c>
      <c s="63" r="R496"/>
      <c s="26" r="S496"/>
      <c s="26" r="T496"/>
    </row>
    <row customHeight="1" r="497" ht="14.25">
      <c t="s" s="45" r="A497">
        <v>579</v>
      </c>
      <c s="57" r="B497">
        <v>80</v>
      </c>
      <c s="8" r="C497">
        <v>105</v>
      </c>
      <c s="8" r="D497">
        <v>105</v>
      </c>
      <c s="8" r="E497">
        <v>105</v>
      </c>
      <c s="8" r="F497">
        <v>105</v>
      </c>
      <c s="27" r="G497">
        <v>80</v>
      </c>
      <c s="68" r="H497"/>
      <c s="20" r="I497">
        <f>INDEX('Speed Factors'!$A$2:$B$256,(G497),2)</f>
        <v>432</v>
      </c>
      <c s="20" r="J497">
        <f>SUM(B497:G497)</f>
        <v>580</v>
      </c>
      <c s="68" r="K497"/>
      <c s="38" r="L497">
        <f>((((B497*2)+141)*((D497*2)+36))/(402.744996))-24.57966407</f>
        <v>159.273644438891</v>
      </c>
      <c s="38" r="M497">
        <f>((((B497*2)+141)*((F497*2)+36))/(416.310724))-19.16575597</f>
        <v>158.696585140387</v>
      </c>
      <c s="38" r="N497">
        <f>(((((C497*2)+36)*((((C497*2)+36)*(I497/672))+415))/((((C497*2)+36)*(1-(I497/672)))+415))/(1.92306))-3.576327284</f>
        <v>142.224683037618</v>
      </c>
      <c s="38" r="O497">
        <f>(((((E497*2)+36)*((((E497*2)+36)*(I497/672))+415))/((((E497*2)+36)*(1-(I497/672)))+415))/(1.980931))+4.9921912</f>
        <v>146.533764787919</v>
      </c>
      <c s="68" r="P497"/>
      <c s="38" r="Q497">
        <f>((((L497+M497)+N497)+O497)/(1.535645))-60.47703745</f>
        <v>334.619926630119</v>
      </c>
      <c s="63" r="R497"/>
      <c s="26" r="S497"/>
      <c s="26" r="T497"/>
    </row>
    <row customHeight="1" r="498" ht="14.25">
      <c t="s" s="45" r="A498">
        <v>580</v>
      </c>
      <c s="75" r="B498">
        <v>75</v>
      </c>
      <c s="54" r="C498">
        <v>125</v>
      </c>
      <c s="54" r="D498">
        <v>70</v>
      </c>
      <c s="54" r="E498">
        <v>125</v>
      </c>
      <c s="54" r="F498">
        <v>70</v>
      </c>
      <c s="2" r="G498">
        <v>115</v>
      </c>
      <c s="68" r="H498"/>
      <c s="19" r="I498">
        <f>INDEX('Speed Factors'!$A$2:$B$256,(G498),2)</f>
        <v>642</v>
      </c>
      <c s="19" r="J498">
        <f>SUM(B498:G498)</f>
        <v>580</v>
      </c>
      <c s="68" r="K498"/>
      <c s="38" r="L498">
        <f>((((B498*2)+141)*((D498*2)+36))/(402.744996))-24.57966407</f>
        <v>102.587651498584</v>
      </c>
      <c s="38" r="M498">
        <f>((((B498*2)+141)*((F498*2)+36))/(416.310724))-19.16575597</f>
        <v>103.857738375536</v>
      </c>
      <c s="38" r="N498">
        <f>(((((C498*2)+36)*((((C498*2)+36)*(I498/672))+415))/((((C498*2)+36)*(1-(I498/672)))+415))/(1.92306))-3.576327284</f>
        <v>235.700147791686</v>
      </c>
      <c s="38" r="O498">
        <f>(((((E498*2)+36)*((((E498*2)+36)*(I498/672))+415))/((((E498*2)+36)*(1-(I498/672)))+415))/(1.980931))+4.9921912</f>
        <v>237.278433456317</v>
      </c>
      <c s="68" r="P498"/>
      <c s="38" r="Q498">
        <f>((((L498+M498)+N498)+O498)/(1.535645))-60.47703745</f>
        <v>381.958532699431</v>
      </c>
      <c s="63" r="R498"/>
      <c s="26" r="S498"/>
      <c s="26" r="T498"/>
    </row>
    <row customHeight="1" r="499" ht="14.25">
      <c t="s" s="45" r="A499">
        <v>581</v>
      </c>
      <c s="57" r="B499">
        <v>100</v>
      </c>
      <c s="8" r="C499">
        <v>120</v>
      </c>
      <c s="8" r="D499">
        <v>120</v>
      </c>
      <c s="8" r="E499">
        <v>150</v>
      </c>
      <c s="8" r="F499">
        <v>100</v>
      </c>
      <c s="27" r="G499">
        <v>90</v>
      </c>
      <c s="68" r="H499"/>
      <c s="20" r="I499">
        <f>INDEX('Speed Factors'!$A$2:$B$256,(G499),2)</f>
        <v>503</v>
      </c>
      <c s="20" r="J499">
        <f>SUM(B499:G499)</f>
        <v>680</v>
      </c>
      <c s="68" r="K499"/>
      <c s="38" r="L499">
        <f>((((B499*2)+141)*((D499*2)+36))/(402.744996))-24.57966407</f>
        <v>209.106665827939</v>
      </c>
      <c s="38" r="M499">
        <f>((((B499*2)+141)*((F499*2)+36))/(416.310724))-19.16575597</f>
        <v>174.141779389094</v>
      </c>
      <c s="38" r="N499">
        <f>(((((C499*2)+36)*((((C499*2)+36)*(I499/672))+415))/((((C499*2)+36)*(1-(I499/672)))+415))/(1.92306))-3.576327284</f>
        <v>180.588218862587</v>
      </c>
      <c s="38" r="O499">
        <f>(((((E499*2)+36)*((((E499*2)+36)*(I499/672))+415))/((((E499*2)+36)*(1-(I499/672)))+415))/(1.980931))+4.9921912</f>
        <v>231.318265321883</v>
      </c>
      <c s="68" r="P499"/>
      <c s="38" r="Q499">
        <f>((((L499+M499)+N499)+O499)/(1.535645))-60.47703745</f>
        <v>457.321626565122</v>
      </c>
      <c s="63" r="R499"/>
      <c s="26" r="S499"/>
      <c s="26" r="T499"/>
    </row>
    <row customHeight="1" r="500" ht="14.25">
      <c t="s" s="45" r="A500">
        <v>582</v>
      </c>
      <c s="75" r="B500">
        <v>90</v>
      </c>
      <c s="54" r="C500">
        <v>120</v>
      </c>
      <c s="54" r="D500">
        <v>100</v>
      </c>
      <c s="54" r="E500">
        <v>150</v>
      </c>
      <c s="54" r="F500">
        <v>120</v>
      </c>
      <c s="2" r="G500">
        <v>100</v>
      </c>
      <c s="68" r="H500"/>
      <c s="19" r="I500">
        <f>INDEX('Speed Factors'!$A$2:$B$256,(G500),2)</f>
        <v>577</v>
      </c>
      <c s="19" r="J500">
        <f>SUM(B500:G500)</f>
        <v>680</v>
      </c>
      <c s="68" r="K500"/>
      <c s="38" r="L500">
        <f>((((B500*2)+141)*((D500*2)+36))/(402.744996))-24.57966407</f>
        <v>163.519507247823</v>
      </c>
      <c s="38" r="M500">
        <f>((((B500*2)+141)*((F500*2)+36))/(416.310724))-19.16575597</f>
        <v>193.64644148855</v>
      </c>
      <c s="38" r="N500">
        <f>(((((C500*2)+36)*((((C500*2)+36)*(I500/672))+415))/((((C500*2)+36)*(1-(I500/672)))+415))/(1.92306))-3.576327284</f>
        <v>202.524157786699</v>
      </c>
      <c s="38" r="O500">
        <f>(((((E500*2)+36)*((((E500*2)+36)*(I500/672))+415))/((((E500*2)+36)*(1-(I500/672)))+415))/(1.980931))+4.9921912</f>
        <v>262.993728478806</v>
      </c>
      <c s="68" r="P500"/>
      <c s="38" r="Q500">
        <f>((((L500+M500)+N500)+O500)/(1.535645))-60.47703745</f>
        <v>475.248234342556</v>
      </c>
      <c s="63" r="R500"/>
      <c s="26" r="S500"/>
      <c s="26" r="T500"/>
    </row>
    <row customHeight="1" r="501" ht="14.25">
      <c t="s" s="45" r="A501">
        <v>75</v>
      </c>
      <c s="57" r="B501">
        <v>91</v>
      </c>
      <c s="8" r="C501">
        <v>90</v>
      </c>
      <c s="8" r="D501">
        <v>106</v>
      </c>
      <c s="8" r="E501">
        <v>130</v>
      </c>
      <c s="8" r="F501">
        <v>106</v>
      </c>
      <c s="27" r="G501">
        <v>77</v>
      </c>
      <c s="68" r="H501"/>
      <c s="20" r="I501">
        <f>INDEX('Speed Factors'!$A$2:$B$256,(G501),2)</f>
        <v>427</v>
      </c>
      <c s="20" r="J501">
        <f>SUM(B501:G501)</f>
        <v>600</v>
      </c>
      <c s="68" r="K501"/>
      <c s="38" r="L501">
        <f>((((B501*2)+141)*((D501*2)+36))/(402.744996))-24.57966407</f>
        <v>174.315420401763</v>
      </c>
      <c s="38" r="M501">
        <f>((((B501*2)+141)*((F501*2)+36))/(416.310724))-19.16575597</f>
        <v>173.248216051533</v>
      </c>
      <c s="38" r="N501">
        <f>(((((C501*2)+36)*((((C501*2)+36)*(I501/672))+415))/((((C501*2)+36)*(1-(I501/672)))+415))/(1.92306))-3.576327284</f>
        <v>122.052565592029</v>
      </c>
      <c s="38" r="O501">
        <f>(((((E501*2)+36)*((((E501*2)+36)*(I501/672))+415))/((((E501*2)+36)*(1-(I501/672)))+415))/(1.980931))+4.9921912</f>
        <v>177.324697875334</v>
      </c>
      <c s="68" r="P501"/>
      <c s="38" r="Q501">
        <f>((((L501+M501)+N501)+O501)/(1.535645))-60.47703745</f>
        <v>360.805811073363</v>
      </c>
      <c s="63" r="R501"/>
      <c s="26" r="S501"/>
      <c s="26" r="T501"/>
    </row>
    <row customHeight="1" r="502" ht="14.25">
      <c t="s" s="45" r="A502">
        <v>583</v>
      </c>
      <c s="75" r="B502">
        <v>110</v>
      </c>
      <c s="54" r="C502">
        <v>160</v>
      </c>
      <c s="54" r="D502">
        <v>110</v>
      </c>
      <c s="54" r="E502">
        <v>80</v>
      </c>
      <c s="54" r="F502">
        <v>110</v>
      </c>
      <c s="2" r="G502">
        <v>100</v>
      </c>
      <c s="68" r="H502"/>
      <c s="19" r="I502">
        <f>INDEX('Speed Factors'!$A$2:$B$256,(G502),2)</f>
        <v>577</v>
      </c>
      <c s="19" r="J502">
        <f>SUM(B502:G502)</f>
        <v>670</v>
      </c>
      <c s="68" r="K502"/>
      <c s="38" r="L502">
        <f>((((B502*2)+141)*((D502*2)+36))/(402.744996))-24.57966407</f>
        <v>204.885632626076</v>
      </c>
      <c s="38" r="M502">
        <f>((((B502*2)+141)*((F502*2)+36))/(416.310724))-19.16575597</f>
        <v>202.822280062432</v>
      </c>
      <c s="38" r="N502">
        <f>(((((C502*2)+36)*((((C502*2)+36)*(I502/672))+415))/((((C502*2)+36)*(1-(I502/672)))+415))/(1.92306))-3.576327284</f>
        <v>283.129537716739</v>
      </c>
      <c s="38" r="O502">
        <f>(((((E502*2)+36)*((((E502*2)+36)*(I502/672))+415))/((((E502*2)+36)*(1-(I502/672)))+415))/(1.980931))+4.9921912</f>
        <v>135.355326751207</v>
      </c>
      <c s="68" r="P502"/>
      <c s="38" r="Q502">
        <f>((((L502+M502)+N502)+O502)/(1.535645))-60.47703745</f>
        <v>477.533229998827</v>
      </c>
      <c s="63" r="R502"/>
      <c s="26" r="S502"/>
      <c s="26" r="T502"/>
    </row>
    <row customHeight="1" r="503" ht="14.25">
      <c t="s" s="45" r="A503">
        <v>584</v>
      </c>
      <c s="57" r="B503">
        <v>150</v>
      </c>
      <c s="8" r="C503">
        <v>100</v>
      </c>
      <c s="8" r="D503">
        <v>120</v>
      </c>
      <c s="8" r="E503">
        <v>100</v>
      </c>
      <c s="8" r="F503">
        <v>120</v>
      </c>
      <c s="27" r="G503">
        <v>90</v>
      </c>
      <c s="68" r="H503"/>
      <c s="20" r="I503">
        <f>INDEX('Speed Factors'!$A$2:$B$256,(G503),2)</f>
        <v>503</v>
      </c>
      <c s="20" r="J503">
        <f>SUM(B503:G503)</f>
        <v>680</v>
      </c>
      <c s="68" r="K503"/>
      <c s="38" r="L503">
        <f>((((B503*2)+141)*((D503*2)+36))/(402.744996))-24.57966407</f>
        <v>277.636381340531</v>
      </c>
      <c s="38" r="M503">
        <f>((((B503*2)+141)*((F503*2)+36))/(416.310724))-19.16575597</f>
        <v>273.202403155298</v>
      </c>
      <c s="38" r="N503">
        <f>(((((C503*2)+36)*((((C503*2)+36)*(I503/672))+415))/((((C503*2)+36)*(1-(I503/672)))+415))/(1.92306))-3.576327284</f>
        <v>149.491235970862</v>
      </c>
      <c s="38" r="O503">
        <f>(((((E503*2)+36)*((((E503*2)+36)*(I503/672))+415))/((((E503*2)+36)*(1-(I503/672)))+415))/(1.980931))+4.9921912</f>
        <v>153.588032343833</v>
      </c>
      <c s="68" r="P503"/>
      <c s="38" r="Q503">
        <f>((((L503+M503)+N503)+O503)/(1.535645))-60.47703745</f>
        <v>495.587712417661</v>
      </c>
      <c s="63" r="R503"/>
      <c s="26" r="S503"/>
      <c s="26" r="T503"/>
    </row>
    <row customHeight="1" r="504" ht="14.25">
      <c t="s" s="45" r="A504">
        <v>585</v>
      </c>
      <c s="75" r="B504">
        <v>150</v>
      </c>
      <c s="54" r="C504">
        <v>120</v>
      </c>
      <c s="54" r="D504">
        <v>100</v>
      </c>
      <c s="54" r="E504">
        <v>120</v>
      </c>
      <c s="54" r="F504">
        <v>100</v>
      </c>
      <c s="2" r="G504">
        <v>90</v>
      </c>
      <c s="68" r="H504"/>
      <c s="19" r="I504">
        <f>INDEX('Speed Factors'!$A$2:$B$256,(G504),2)</f>
        <v>503</v>
      </c>
      <c s="19" r="J504">
        <f>SUM(B504:G504)</f>
        <v>680</v>
      </c>
      <c s="68" r="K504"/>
      <c s="38" r="L504">
        <f>((((B504*2)+141)*((D504*2)+36))/(402.744996))-24.57966407</f>
        <v>233.836954469439</v>
      </c>
      <c s="38" r="M504">
        <f>((((B504*2)+141)*((F504*2)+36))/(416.310724))-19.16575597</f>
        <v>230.830206180617</v>
      </c>
      <c s="38" r="N504">
        <f>(((((C504*2)+36)*((((C504*2)+36)*(I504/672))+415))/((((C504*2)+36)*(1-(I504/672)))+415))/(1.92306))-3.576327284</f>
        <v>180.588218862587</v>
      </c>
      <c s="38" r="O504">
        <f>(((((E504*2)+36)*((((E504*2)+36)*(I504/672))+415))/((((E504*2)+36)*(1-(I504/672)))+415))/(1.980931))+4.9921912</f>
        <v>183.776546693783</v>
      </c>
      <c s="68" r="P504"/>
      <c s="38" r="Q504">
        <f>((((L504+M504)+N504)+O504)/(1.535645))-60.47703745</f>
        <v>479.382061629818</v>
      </c>
      <c s="63" r="R504"/>
      <c s="26" r="S504"/>
      <c s="26" r="T504"/>
    </row>
    <row customHeight="1" r="505" ht="14.25">
      <c t="s" s="45" r="A505">
        <v>586</v>
      </c>
      <c s="57" r="B505">
        <v>120</v>
      </c>
      <c s="8" r="C505">
        <v>70</v>
      </c>
      <c s="8" r="D505">
        <v>120</v>
      </c>
      <c s="8" r="E505">
        <v>75</v>
      </c>
      <c s="8" r="F505">
        <v>130</v>
      </c>
      <c s="27" r="G505">
        <v>85</v>
      </c>
      <c s="68" r="H505"/>
      <c s="20" r="I505">
        <f>INDEX('Speed Factors'!$A$2:$B$256,(G505),2)</f>
        <v>469</v>
      </c>
      <c s="20" r="J505">
        <f>SUM(B505:G505)</f>
        <v>600</v>
      </c>
      <c s="68" r="K505"/>
      <c s="38" r="L505">
        <f>((((B505*2)+141)*((D505*2)+36))/(402.744996))-24.57966407</f>
        <v>236.518552032975</v>
      </c>
      <c s="38" r="M505">
        <f>((((B505*2)+141)*((F505*2)+36))/(416.310724))-19.16575597</f>
        <v>251.728058430035</v>
      </c>
      <c s="38" r="N505">
        <f>(((((C505*2)+36)*((((C505*2)+36)*(I505/672))+415))/((((C505*2)+36)*(1-(I505/672)))+415))/(1.92306))-3.576327284</f>
        <v>101.56345163064</v>
      </c>
      <c s="38" r="O505">
        <f>(((((E505*2)+36)*((((E505*2)+36)*(I505/672))+415))/((((E505*2)+36)*(1-(I505/672)))+415))/(1.980931))+4.9921912</f>
        <v>113.558956519361</v>
      </c>
      <c s="68" r="P505"/>
      <c s="38" r="Q505">
        <f>((((L505+M505)+N505)+O505)/(1.535645))-60.47703745</f>
        <v>397.55136013734</v>
      </c>
      <c s="63" r="R505"/>
      <c s="26" r="S505"/>
      <c s="26" r="T505"/>
    </row>
    <row customHeight="1" r="506" ht="14.25">
      <c t="s" s="45" r="A506">
        <v>587</v>
      </c>
      <c s="75" r="B506">
        <v>80</v>
      </c>
      <c s="54" r="C506">
        <v>80</v>
      </c>
      <c s="54" r="D506">
        <v>80</v>
      </c>
      <c s="54" r="E506">
        <v>80</v>
      </c>
      <c s="54" r="F506">
        <v>80</v>
      </c>
      <c s="2" r="G506">
        <v>80</v>
      </c>
      <c s="68" r="H506"/>
      <c s="19" r="I506">
        <f>INDEX('Speed Factors'!$A$2:$B$256,(G506),2)</f>
        <v>432</v>
      </c>
      <c s="19" r="J506">
        <f>SUM(B506:G506)</f>
        <v>480</v>
      </c>
      <c s="68" r="K506"/>
      <c s="38" r="L506">
        <f>((((B506*2)+141)*((D506*2)+36))/(402.744996))-24.57966407</f>
        <v>121.905085798872</v>
      </c>
      <c s="38" r="M506">
        <f>((((B506*2)+141)*((F506*2)+36))/(416.310724))-19.16575597</f>
        <v>122.545702800877</v>
      </c>
      <c s="38" r="N506">
        <f>(((((C506*2)+36)*((((C506*2)+36)*(I506/672))+415))/((((C506*2)+36)*(1-(I506/672)))+415))/(1.92306))-3.576327284</f>
        <v>110.112755654157</v>
      </c>
      <c s="38" r="O506">
        <f>(((((E506*2)+36)*((((E506*2)+36)*(I506/672))+415))/((((E506*2)+36)*(1-(I506/672)))+415))/(1.980931))+4.9921912</f>
        <v>115.359956576508</v>
      </c>
      <c s="68" r="P506"/>
      <c s="38" r="Q506">
        <f>((((L506+M506)+N506)+O506)/(1.535645))-60.47703745</f>
        <v>245.533466820462</v>
      </c>
      <c s="63" r="R506"/>
      <c s="26" r="S506"/>
      <c s="26" r="T506"/>
    </row>
    <row customHeight="1" r="507" ht="14.25">
      <c t="s" s="45" r="A507">
        <v>588</v>
      </c>
      <c s="57" r="B507">
        <v>100</v>
      </c>
      <c s="8" r="C507">
        <v>100</v>
      </c>
      <c s="8" r="D507">
        <v>100</v>
      </c>
      <c s="8" r="E507">
        <v>100</v>
      </c>
      <c s="8" r="F507">
        <v>100</v>
      </c>
      <c s="27" r="G507">
        <v>100</v>
      </c>
      <c s="68" r="H507"/>
      <c s="20" r="I507">
        <f>INDEX('Speed Factors'!$A$2:$B$256,(G507),2)</f>
        <v>577</v>
      </c>
      <c s="20" r="J507">
        <f>SUM(B507:G507)</f>
        <v>600</v>
      </c>
      <c s="68" r="K507"/>
      <c s="38" r="L507">
        <f>((((B507*2)+141)*((D507*2)+36))/(402.744996))-24.57966407</f>
        <v>175.239081784759</v>
      </c>
      <c s="38" r="M507">
        <f>((((B507*2)+141)*((F507*2)+36))/(416.310724))-19.16575597</f>
        <v>174.141779389094</v>
      </c>
      <c s="38" r="N507">
        <f>(((((C507*2)+36)*((((C507*2)+36)*(I507/672))+415))/((((C507*2)+36)*(1-(I507/672)))+415))/(1.92306))-3.576327284</f>
        <v>165.476542525297</v>
      </c>
      <c s="38" r="O507">
        <f>(((((E507*2)+36)*((((E507*2)+36)*(I507/672))+415))/((((E507*2)+36)*(1-(I507/672)))+415))/(1.980931))+4.9921912</f>
        <v>169.106343492769</v>
      </c>
      <c s="68" r="P507"/>
      <c s="38" r="Q507">
        <f>((((L507+M507)+N507)+O507)/(1.535645))-60.47703745</f>
        <v>384.914799329932</v>
      </c>
      <c s="63" r="R507"/>
      <c s="26" r="S507"/>
      <c s="26" r="T507"/>
    </row>
    <row customHeight="1" r="508" ht="14.25">
      <c t="s" s="45" r="A508">
        <v>589</v>
      </c>
      <c s="75" r="B508">
        <v>70</v>
      </c>
      <c s="54" r="C508">
        <v>90</v>
      </c>
      <c s="54" r="D508">
        <v>90</v>
      </c>
      <c s="54" r="E508">
        <v>135</v>
      </c>
      <c s="54" r="F508">
        <v>90</v>
      </c>
      <c s="2" r="G508">
        <v>125</v>
      </c>
      <c s="68" r="H508"/>
      <c s="19" r="I508">
        <f>INDEX('Speed Factors'!$A$2:$B$256,(G508),2)</f>
        <v>657</v>
      </c>
      <c s="19" r="J508">
        <f>SUM(B508:G508)</f>
        <v>600</v>
      </c>
      <c s="68" r="K508"/>
      <c s="38" r="L508">
        <f>((((B508*2)+141)*((D508*2)+36))/(402.744996))-24.57966407</f>
        <v>126.126119000735</v>
      </c>
      <c s="38" r="M508">
        <f>((((B508*2)+141)*((F508*2)+36))/(416.310724))-19.16575597</f>
        <v>126.629191171453</v>
      </c>
      <c s="38" r="N508">
        <f>(((((C508*2)+36)*((((C508*2)+36)*(I508/672))+415))/((((C508*2)+36)*(1-(I508/672)))+415))/(1.92306))-3.576327284</f>
        <v>163.954416233672</v>
      </c>
      <c s="38" r="O508">
        <f>(((((E508*2)+36)*((((E508*2)+36)*(I508/672))+415))/((((E508*2)+36)*(1-(I508/672)))+415))/(1.980931))+4.9921912</f>
        <v>266.518649922777</v>
      </c>
      <c s="68" r="P508"/>
      <c s="38" r="Q508">
        <f>((((L508+M508)+N508)+O508)/(1.535645))-60.47703745</f>
        <v>384.435931581669</v>
      </c>
      <c s="63" r="R508"/>
      <c s="26" r="S508"/>
      <c s="26" r="T508"/>
    </row>
    <row customHeight="1" r="509" ht="14.25">
      <c t="s" s="45" r="A509">
        <v>590</v>
      </c>
      <c s="57" r="B509">
        <v>100</v>
      </c>
      <c s="8" r="C509">
        <v>100</v>
      </c>
      <c s="8" r="D509">
        <v>100</v>
      </c>
      <c s="8" r="E509">
        <v>100</v>
      </c>
      <c s="8" r="F509">
        <v>100</v>
      </c>
      <c s="27" r="G509">
        <v>100</v>
      </c>
      <c s="68" r="H509"/>
      <c s="20" r="I509">
        <f>INDEX('Speed Factors'!$A$2:$B$256,(G509),2)</f>
        <v>577</v>
      </c>
      <c s="20" r="J509">
        <f>SUM(B509:G509)</f>
        <v>600</v>
      </c>
      <c s="68" r="K509"/>
      <c s="38" r="L509">
        <f>((((B509*2)+141)*((D509*2)+36))/(402.744996))-24.57966407</f>
        <v>175.239081784759</v>
      </c>
      <c s="38" r="M509">
        <f>((((B509*2)+141)*((F509*2)+36))/(416.310724))-19.16575597</f>
        <v>174.141779389094</v>
      </c>
      <c s="38" r="N509">
        <f>(((((C509*2)+36)*((((C509*2)+36)*(I509/672))+415))/((((C509*2)+36)*(1-(I509/672)))+415))/(1.92306))-3.576327284</f>
        <v>165.476542525297</v>
      </c>
      <c s="38" r="O509">
        <f>(((((E509*2)+36)*((((E509*2)+36)*(I509/672))+415))/((((E509*2)+36)*(1-(I509/672)))+415))/(1.980931))+4.9921912</f>
        <v>169.106343492769</v>
      </c>
      <c s="68" r="P509"/>
      <c s="38" r="Q509">
        <f>((((L509+M509)+N509)+O509)/(1.535645))-60.47703745</f>
        <v>384.914799329932</v>
      </c>
      <c s="63" r="R509"/>
      <c s="26" r="S509"/>
      <c s="26" r="T509"/>
    </row>
    <row customHeight="1" r="510" ht="14.25">
      <c t="s" s="45" r="A510">
        <v>591</v>
      </c>
      <c s="75" r="B510">
        <v>100</v>
      </c>
      <c s="54" r="C510">
        <v>103</v>
      </c>
      <c s="54" r="D510">
        <v>75</v>
      </c>
      <c s="54" r="E510">
        <v>120</v>
      </c>
      <c s="54" r="F510">
        <v>75</v>
      </c>
      <c s="2" r="G510">
        <v>127</v>
      </c>
      <c s="68" r="H510"/>
      <c s="19" r="I510">
        <f>INDEX('Speed Factors'!$A$2:$B$256,(G510),2)</f>
        <v>660</v>
      </c>
      <c s="19" r="J510">
        <f>SUM(B510:G510)</f>
        <v>600</v>
      </c>
      <c s="68" r="K510"/>
      <c s="38" r="L510">
        <f>((((B510*2)+141)*((D510*2)+36))/(402.744996))-24.57966407</f>
        <v>132.904601730785</v>
      </c>
      <c s="38" r="M510">
        <f>((((B510*2)+141)*((F510*2)+36))/(416.310724))-19.16575597</f>
        <v>133.186793084201</v>
      </c>
      <c s="38" r="N510">
        <f>(((((C510*2)+36)*((((C510*2)+36)*(I510/672))+415))/((((C510*2)+36)*(1-(I510/672)))+415))/(1.92306))-3.576327284</f>
        <v>192.296787251976</v>
      </c>
      <c s="38" r="O510">
        <f>(((((E510*2)+36)*((((E510*2)+36)*(I510/672))+415))/((((E510*2)+36)*(1-(I510/672)))+415))/(1.980931))+4.9921912</f>
        <v>232.624363379186</v>
      </c>
      <c s="68" r="P510"/>
      <c s="38" r="Q510">
        <f>((((L510+M510)+N510)+O510)/(1.535645))-60.47703745</f>
        <v>389.504921561456</v>
      </c>
      <c s="63" r="R510"/>
      <c s="26" r="S510"/>
      <c s="26" r="T510"/>
    </row>
    <row customHeight="1" r="511" ht="14.25">
      <c t="s" s="45" r="A511">
        <v>592</v>
      </c>
      <c s="57" r="B511">
        <v>120</v>
      </c>
      <c s="8" r="C511">
        <v>120</v>
      </c>
      <c s="8" r="D511">
        <v>120</v>
      </c>
      <c s="8" r="E511">
        <v>120</v>
      </c>
      <c s="8" r="F511">
        <v>120</v>
      </c>
      <c s="27" r="G511">
        <v>120</v>
      </c>
      <c s="68" r="H511"/>
      <c s="20" r="I511">
        <f>INDEX('Speed Factors'!$A$2:$B$256,(G511),2)</f>
        <v>652</v>
      </c>
      <c s="20" r="J511">
        <f>SUM(B511:G511)</f>
        <v>720</v>
      </c>
      <c s="68" r="K511"/>
      <c s="38" r="L511">
        <f>((((B511*2)+141)*((D511*2)+36))/(402.744996))-24.57966407</f>
        <v>236.518552032975</v>
      </c>
      <c s="38" r="M511">
        <f>((((B511*2)+141)*((F511*2)+36))/(416.310724))-19.16575597</f>
        <v>233.424422321924</v>
      </c>
      <c s="38" r="N511">
        <f>(((((C511*2)+36)*((((C511*2)+36)*(I511/672))+415))/((((C511*2)+36)*(1-(I511/672)))+415))/(1.92306))-3.576327284</f>
        <v>227.971310335211</v>
      </c>
      <c s="38" r="O511">
        <f>(((((E511*2)+36)*((((E511*2)+36)*(I511/672))+415))/((((E511*2)+36)*(1-(I511/672)))+415))/(1.980931))+4.9921912</f>
        <v>229.775386576315</v>
      </c>
      <c s="68" r="P511"/>
      <c s="38" r="Q511">
        <f>((((L511+M511)+N511)+O511)/(1.535645))-60.47703745</f>
        <v>543.627212729192</v>
      </c>
      <c s="63" r="R511"/>
      <c s="26" r="S511"/>
      <c s="26" r="T511"/>
    </row>
    <row customHeight="1" r="512" ht="14.25">
      <c t="s" s="45" r="A512">
        <v>593</v>
      </c>
      <c s="75" r="B512">
        <v>100</v>
      </c>
      <c s="54" r="C512">
        <v>100</v>
      </c>
      <c s="54" r="D512">
        <v>100</v>
      </c>
      <c s="54" r="E512">
        <v>100</v>
      </c>
      <c s="54" r="F512">
        <v>100</v>
      </c>
      <c s="2" r="G512">
        <v>100</v>
      </c>
      <c s="68" r="H512"/>
      <c s="19" r="I512">
        <f>INDEX('Speed Factors'!$A$2:$B$256,(G512),2)</f>
        <v>577</v>
      </c>
      <c s="19" r="J512">
        <f>SUM(B512:G512)</f>
        <v>600</v>
      </c>
      <c s="68" r="K512"/>
      <c s="38" r="L512">
        <f>((((B512*2)+141)*((D512*2)+36))/(402.744996))-24.57966407</f>
        <v>175.239081784759</v>
      </c>
      <c s="38" r="M512">
        <f>((((B512*2)+141)*((F512*2)+36))/(416.310724))-19.16575597</f>
        <v>174.141779389094</v>
      </c>
      <c s="38" r="N512">
        <f>(((((C512*2)+36)*((((C512*2)+36)*(I512/672))+415))/((((C512*2)+36)*(1-(I512/672)))+415))/(1.92306))-3.576327284</f>
        <v>165.476542525297</v>
      </c>
      <c s="38" r="O512">
        <f>(((((E512*2)+36)*((((E512*2)+36)*(I512/672))+415))/((((E512*2)+36)*(1-(I512/672)))+415))/(1.980931))+4.9921912</f>
        <v>169.106343492769</v>
      </c>
      <c s="68" r="P512"/>
      <c s="38" r="Q512">
        <f>((((L512+M512)+N512)+O512)/(1.535645))-60.47703745</f>
        <v>384.914799329932</v>
      </c>
      <c s="63" r="R512"/>
      <c s="26" r="S512"/>
      <c s="26" r="T512"/>
    </row>
    <row customHeight="1" r="513" ht="14.25">
      <c t="s" s="45" r="A513">
        <v>594</v>
      </c>
      <c s="57" r="B513">
        <v>45</v>
      </c>
      <c s="8" r="C513">
        <v>45</v>
      </c>
      <c s="8" r="D513">
        <v>55</v>
      </c>
      <c s="8" r="E513">
        <v>45</v>
      </c>
      <c s="8" r="F513">
        <v>55</v>
      </c>
      <c s="27" r="G513">
        <v>63</v>
      </c>
      <c s="68" r="H513"/>
      <c s="20" r="I513">
        <f>INDEX('Speed Factors'!$A$2:$B$256,(G513),2)</f>
        <v>315</v>
      </c>
      <c s="20" r="J513">
        <f>SUM(B513:G513)</f>
        <v>308</v>
      </c>
      <c s="68" r="K513"/>
      <c s="38" r="L513">
        <f>((((B513*2)+141)*((D513*2)+36))/(402.744996))-24.57966407</f>
        <v>59.160668733539</v>
      </c>
      <c s="38" r="M513">
        <f>((((B513*2)+141)*((F513*2)+36))/(416.310724))-19.16575597</f>
        <v>61.8458491982589</v>
      </c>
      <c s="38" r="N513">
        <f>(((((C513*2)+36)*((((C513*2)+36)*(I513/672))+415))/((((C513*2)+36)*(1-(I513/672)))+415))/(1.92306))-3.576327284</f>
        <v>60.8736238724577</v>
      </c>
      <c s="38" r="O513">
        <f>(((((E513*2)+36)*((((E513*2)+36)*(I513/672))+415))/((((E513*2)+36)*(1-(I513/672)))+415))/(1.980931))+4.9921912</f>
        <v>67.5592988231013</v>
      </c>
      <c s="68" r="P513"/>
      <c s="38" r="Q513">
        <f>((((L513+M513)+N513)+O513)/(1.535645))-60.47703745</f>
        <v>101.955973192015</v>
      </c>
      <c s="63" r="R513"/>
      <c s="26" r="S513"/>
      <c s="26" r="T513"/>
    </row>
    <row customHeight="1" r="514" ht="14.25">
      <c t="s" s="45" r="A514">
        <v>595</v>
      </c>
      <c s="75" r="B514">
        <v>60</v>
      </c>
      <c s="54" r="C514">
        <v>60</v>
      </c>
      <c s="54" r="D514">
        <v>75</v>
      </c>
      <c s="54" r="E514">
        <v>60</v>
      </c>
      <c s="54" r="F514">
        <v>75</v>
      </c>
      <c s="2" r="G514">
        <v>83</v>
      </c>
      <c s="68" r="H514"/>
      <c s="19" r="I514">
        <f>INDEX('Speed Factors'!$A$2:$B$256,(G514),2)</f>
        <v>465</v>
      </c>
      <c s="19" r="J514">
        <f>SUM(B514:G514)</f>
        <v>413</v>
      </c>
      <c s="68" r="K514"/>
      <c s="38" r="L514">
        <f>((((B514*2)+141)*((D514*2)+36))/(402.744996))-24.57966407</f>
        <v>95.9581464109526</v>
      </c>
      <c s="38" r="M514">
        <f>((((B514*2)+141)*((F514*2)+36))/(416.310724))-19.16575597</f>
        <v>97.4442595817493</v>
      </c>
      <c s="38" r="N514">
        <f>(((((C514*2)+36)*((((C514*2)+36)*(I514/672))+415))/((((C514*2)+36)*(1-(I514/672)))+415))/(1.92306))-3.576327284</f>
        <v>88.0368039279443</v>
      </c>
      <c s="38" r="O514">
        <f>(((((E514*2)+36)*((((E514*2)+36)*(I514/672))+415))/((((E514*2)+36)*(1-(I514/672)))+415))/(1.980931))+4.9921912</f>
        <v>93.9289326152444</v>
      </c>
      <c s="68" r="P514"/>
      <c s="38" r="Q514">
        <f>((((L514+M514)+N514)+O514)/(1.535645))-60.47703745</f>
        <v>183.959757861345</v>
      </c>
      <c s="63" r="R514"/>
      <c s="26" r="S514"/>
      <c s="26" r="T514"/>
    </row>
    <row customHeight="1" r="515" ht="14.25">
      <c t="s" s="45" r="A515">
        <v>596</v>
      </c>
      <c s="57" r="B515">
        <v>75</v>
      </c>
      <c s="8" r="C515">
        <v>75</v>
      </c>
      <c s="8" r="D515">
        <v>95</v>
      </c>
      <c s="8" r="E515">
        <v>75</v>
      </c>
      <c s="8" r="F515">
        <v>95</v>
      </c>
      <c s="27" r="G515">
        <v>113</v>
      </c>
      <c s="68" r="H515"/>
      <c s="20" r="I515">
        <f>INDEX('Speed Factors'!$A$2:$B$256,(G515),2)</f>
        <v>640</v>
      </c>
      <c s="20" r="J515">
        <f>SUM(B515:G515)</f>
        <v>528</v>
      </c>
      <c s="68" r="K515"/>
      <c s="38" r="L515">
        <f>((((B515*2)+141)*((D515*2)+36))/(402.744996))-24.57966407</f>
        <v>138.714729785113</v>
      </c>
      <c s="38" r="M515">
        <f>((((B515*2)+141)*((F515*2)+36))/(416.310724))-19.16575597</f>
        <v>138.8075947237</v>
      </c>
      <c s="38" r="N515">
        <f>(((((C515*2)+36)*((((C515*2)+36)*(I515/672))+415))/((((C515*2)+36)*(1-(I515/672)))+415))/(1.92306))-3.576327284</f>
        <v>131.545994249457</v>
      </c>
      <c s="38" r="O515">
        <f>(((((E515*2)+36)*((((E515*2)+36)*(I515/672))+415))/((((E515*2)+36)*(1-(I515/672)))+415))/(1.980931))+4.9921912</f>
        <v>136.167043654795</v>
      </c>
      <c s="68" r="P515"/>
      <c s="38" r="Q515">
        <f>((((L515+M515)+N515)+O515)/(1.535645))-60.47703745</f>
        <v>294.57596139613</v>
      </c>
      <c s="63" r="R515"/>
      <c s="26" r="S515"/>
      <c s="26" r="T515"/>
    </row>
    <row customHeight="1" r="516" ht="14.25">
      <c t="s" s="45" r="A516">
        <v>597</v>
      </c>
      <c s="75" r="B516">
        <v>65</v>
      </c>
      <c s="54" r="C516">
        <v>63</v>
      </c>
      <c s="54" r="D516">
        <v>45</v>
      </c>
      <c s="54" r="E516">
        <v>45</v>
      </c>
      <c s="54" r="F516">
        <v>45</v>
      </c>
      <c s="2" r="G516">
        <v>45</v>
      </c>
      <c s="68" r="H516"/>
      <c s="19" r="I516">
        <f>INDEX('Speed Factors'!$A$2:$B$256,(G516),2)</f>
        <v>154</v>
      </c>
      <c s="19" r="J516">
        <f>SUM(B516:G516)</f>
        <v>308</v>
      </c>
      <c s="68" r="K516"/>
      <c s="38" r="L516">
        <f>((((B516*2)+141)*((D516*2)+36))/(402.744996))-24.57966407</f>
        <v>60.2035122304698</v>
      </c>
      <c s="38" r="M516">
        <f>((((B516*2)+141)*((F516*2)+36))/(416.310724))-19.16575597</f>
        <v>62.8547110309894</v>
      </c>
      <c s="38" r="N516">
        <f>(((((C516*2)+36)*((((C516*2)+36)*(I516/672))+415))/((((C516*2)+36)*(1-(I516/672)))+415))/(1.92306))-3.576327284</f>
        <v>66.972124058695</v>
      </c>
      <c s="38" r="O516">
        <f>(((((E516*2)+36)*((((E516*2)+36)*(I516/672))+415))/((((E516*2)+36)*(1-(I516/672)))+415))/(1.980931))+4.9921912</f>
        <v>60.1219262199339</v>
      </c>
      <c s="68" r="P516"/>
      <c s="38" r="Q516">
        <f>((((L516+M516)+N516)+O516)/(1.535645))-60.47703745</f>
        <v>102.42016440335</v>
      </c>
      <c s="63" r="R516"/>
      <c s="26" r="S516"/>
      <c s="26" r="T516"/>
    </row>
    <row customHeight="1" r="517" ht="14.25">
      <c t="s" s="45" r="A517">
        <v>598</v>
      </c>
      <c s="57" r="B517">
        <v>90</v>
      </c>
      <c s="8" r="C517">
        <v>93</v>
      </c>
      <c s="8" r="D517">
        <v>55</v>
      </c>
      <c s="8" r="E517">
        <v>70</v>
      </c>
      <c s="8" r="F517">
        <v>55</v>
      </c>
      <c s="27" r="G517">
        <v>55</v>
      </c>
      <c s="68" r="H517"/>
      <c s="20" r="I517">
        <f>INDEX('Speed Factors'!$A$2:$B$256,(G517),2)</f>
        <v>233</v>
      </c>
      <c s="20" r="J517">
        <f>SUM(B517:G517)</f>
        <v>418</v>
      </c>
      <c s="68" r="K517"/>
      <c s="38" r="L517">
        <f>((((B517*2)+141)*((D517*2)+36))/(402.744996))-24.57966407</f>
        <v>91.7867724232296</v>
      </c>
      <c s="38" r="M517">
        <f>((((B517*2)+141)*((F517*2)+36))/(416.310724))-19.16575597</f>
        <v>93.4088122508273</v>
      </c>
      <c s="38" r="N517">
        <f>(((((C517*2)+36)*((((C517*2)+36)*(I517/672))+415))/((((C517*2)+36)*(1-(I517/672)))+415))/(1.92306))-3.576327284</f>
        <v>97.8364784819178</v>
      </c>
      <c s="38" r="O517">
        <f>(((((E517*2)+36)*((((E517*2)+36)*(I517/672))+415))/((((E517*2)+36)*(1-(I517/672)))+415))/(1.980931))+4.9921912</f>
        <v>84.7945330010546</v>
      </c>
      <c s="68" r="P517"/>
      <c s="38" r="Q517">
        <f>((((L517+M517)+N517)+O517)/(1.535645))-60.47703745</f>
        <v>179.048761909246</v>
      </c>
      <c s="63" r="R517"/>
      <c s="26" r="S517"/>
      <c s="26" r="T517"/>
    </row>
    <row customHeight="1" r="518" ht="14.25">
      <c t="s" s="45" r="A518">
        <v>599</v>
      </c>
      <c s="75" r="B518">
        <v>110</v>
      </c>
      <c s="54" r="C518">
        <v>123</v>
      </c>
      <c s="54" r="D518">
        <v>65</v>
      </c>
      <c s="54" r="E518">
        <v>100</v>
      </c>
      <c s="54" r="F518">
        <v>65</v>
      </c>
      <c s="2" r="G518">
        <v>65</v>
      </c>
      <c s="68" r="H518"/>
      <c s="19" r="I518">
        <f>INDEX('Speed Factors'!$A$2:$B$256,(G518),2)</f>
        <v>321</v>
      </c>
      <c s="19" r="J518">
        <f>SUM(B518:G518)</f>
        <v>528</v>
      </c>
      <c s="68" r="K518"/>
      <c s="38" r="L518">
        <f>((((B518*2)+141)*((D518*2)+36))/(402.744996))-24.57966407</f>
        <v>124.214239256362</v>
      </c>
      <c s="38" r="M518">
        <f>((((B518*2)+141)*((F518*2)+36))/(416.310724))-19.16575597</f>
        <v>124.77961114478</v>
      </c>
      <c s="38" r="N518">
        <f>(((((C518*2)+36)*((((C518*2)+36)*(I518/672))+415))/((((C518*2)+36)*(1-(I518/672)))+415))/(1.92306))-3.576327284</f>
        <v>139.781792803113</v>
      </c>
      <c s="38" r="O518">
        <f>(((((E518*2)+36)*((((E518*2)+36)*(I518/672))+415))/((((E518*2)+36)*(1-(I518/672)))+415))/(1.980931))+4.9921912</f>
        <v>121.796201738275</v>
      </c>
      <c s="68" r="P518"/>
      <c s="38" r="Q518">
        <f>((((L518+M518)+N518)+O518)/(1.535645))-60.47703745</f>
        <v>272.003350232394</v>
      </c>
      <c s="63" r="R518"/>
      <c s="26" r="S518"/>
      <c s="26" r="T518"/>
    </row>
    <row customHeight="1" r="519" ht="14.25">
      <c t="s" s="45" r="A519">
        <v>600</v>
      </c>
      <c s="57" r="B519">
        <v>55</v>
      </c>
      <c s="8" r="C519">
        <v>55</v>
      </c>
      <c s="8" r="D519">
        <v>45</v>
      </c>
      <c s="8" r="E519">
        <v>63</v>
      </c>
      <c s="8" r="F519">
        <v>45</v>
      </c>
      <c s="27" r="G519">
        <v>45</v>
      </c>
      <c s="68" r="H519"/>
      <c s="20" r="I519">
        <f>INDEX('Speed Factors'!$A$2:$B$256,(G519),2)</f>
        <v>154</v>
      </c>
      <c s="20" r="J519">
        <f>SUM(B519:G519)</f>
        <v>308</v>
      </c>
      <c s="68" r="K519"/>
      <c s="38" r="L519">
        <f>((((B519*2)+141)*((D519*2)+36))/(402.744996))-24.57966407</f>
        <v>53.9464512488853</v>
      </c>
      <c s="38" r="M519">
        <f>((((B519*2)+141)*((F519*2)+36))/(416.310724))-19.16575597</f>
        <v>56.8015400346064</v>
      </c>
      <c s="38" r="N519">
        <f>(((((C519*2)+36)*((((C519*2)+36)*(I519/672))+415))/((((C519*2)+36)*(1-(I519/672)))+415))/(1.92306))-3.576327284</f>
        <v>60.9631364850962</v>
      </c>
      <c s="38" r="O519">
        <f>(((((E519*2)+36)*((((E519*2)+36)*(I519/672))+415))/((((E519*2)+36)*(1-(I519/672)))+415))/(1.980931))+4.9921912</f>
        <v>73.4796371731728</v>
      </c>
      <c s="68" r="P519"/>
      <c s="38" r="Q519">
        <f>((((L519+M519)+N519)+O519)/(1.535645))-60.47703745</f>
        <v>99.1892688524076</v>
      </c>
      <c s="63" r="R519"/>
      <c s="26" r="S519"/>
      <c s="26" r="T519"/>
    </row>
    <row customHeight="1" r="520" ht="14.25">
      <c t="s" s="45" r="A520">
        <v>601</v>
      </c>
      <c s="75" r="B520">
        <v>75</v>
      </c>
      <c s="54" r="C520">
        <v>75</v>
      </c>
      <c s="54" r="D520">
        <v>60</v>
      </c>
      <c s="54" r="E520">
        <v>83</v>
      </c>
      <c s="54" r="F520">
        <v>60</v>
      </c>
      <c s="2" r="G520">
        <v>60</v>
      </c>
      <c s="68" r="H520"/>
      <c s="19" r="I520">
        <f>INDEX('Speed Factors'!$A$2:$B$256,(G520),2)</f>
        <v>274</v>
      </c>
      <c s="19" r="J520">
        <f>SUM(B520:G520)</f>
        <v>413</v>
      </c>
      <c s="68" r="K520"/>
      <c s="38" r="L520">
        <f>((((B520*2)+141)*((D520*2)+36))/(402.744996))-24.57966407</f>
        <v>88.136820183972</v>
      </c>
      <c s="38" r="M520">
        <f>((((B520*2)+141)*((F520*2)+36))/(416.310724))-19.16575597</f>
        <v>89.8777958362706</v>
      </c>
      <c s="38" r="N520">
        <f>(((((C520*2)+36)*((((C520*2)+36)*(I520/672))+415))/((((C520*2)+36)*(1-(I520/672)))+415))/(1.92306))-3.576327284</f>
        <v>86.823415494779</v>
      </c>
      <c s="38" r="O520">
        <f>(((((E520*2)+36)*((((E520*2)+36)*(I520/672))+415))/((((E520*2)+36)*(1-(I520/672)))+415))/(1.980931))+4.9921912</f>
        <v>99.8551452066888</v>
      </c>
      <c s="68" r="P520"/>
      <c s="38" r="Q520">
        <f>((((L520+M520)+N520)+O520)/(1.535645))-60.47703745</f>
        <v>177.008303707436</v>
      </c>
      <c s="63" r="R520"/>
      <c s="26" r="S520"/>
      <c s="26" r="T520"/>
    </row>
    <row customHeight="1" r="521" ht="14.25">
      <c t="s" s="45" r="A521">
        <v>602</v>
      </c>
      <c s="57" r="B521">
        <v>95</v>
      </c>
      <c s="8" r="C521">
        <v>100</v>
      </c>
      <c s="8" r="D521">
        <v>85</v>
      </c>
      <c s="8" r="E521">
        <v>108</v>
      </c>
      <c s="8" r="F521">
        <v>70</v>
      </c>
      <c s="27" r="G521">
        <v>70</v>
      </c>
      <c s="68" r="H521"/>
      <c s="20" r="I521">
        <f>INDEX('Speed Factors'!$A$2:$B$256,(G521),2)</f>
        <v>369</v>
      </c>
      <c s="20" r="J521">
        <f>SUM(B521:G521)</f>
        <v>528</v>
      </c>
      <c s="68" r="K521"/>
      <c s="38" r="L521">
        <f>((((B521*2)+141)*((D521*2)+36))/(402.744996))-24.57966407</f>
        <v>144.723494696</v>
      </c>
      <c s="38" r="M521">
        <f>((((B521*2)+141)*((F521*2)+36))/(416.310724))-19.16575597</f>
        <v>120.768184333685</v>
      </c>
      <c s="38" r="N521">
        <f>(((((C521*2)+36)*((((C521*2)+36)*(I521/672))+415))/((((C521*2)+36)*(1-(I521/672)))+415))/(1.92306))-3.576327284</f>
        <v>124.600143660143</v>
      </c>
      <c s="38" r="O521">
        <f>(((((E521*2)+36)*((((E521*2)+36)*(I521/672))+415))/((((E521*2)+36)*(1-(I521/672)))+415))/(1.980931))+4.9921912</f>
        <v>138.161157677061</v>
      </c>
      <c s="68" r="P521"/>
      <c s="38" r="Q521">
        <f>((((L521+M521)+N521)+O521)/(1.535645))-60.47703745</f>
        <v>283.517167178602</v>
      </c>
      <c s="63" r="R521"/>
      <c s="26" r="S521"/>
      <c s="26" r="T521"/>
    </row>
    <row customHeight="1" r="522" ht="14.25">
      <c t="s" s="45" r="A522">
        <v>603</v>
      </c>
      <c s="75" r="B522">
        <v>45</v>
      </c>
      <c s="54" r="C522">
        <v>55</v>
      </c>
      <c s="54" r="D522">
        <v>39</v>
      </c>
      <c s="54" r="E522">
        <v>35</v>
      </c>
      <c s="54" r="F522">
        <v>39</v>
      </c>
      <c s="2" r="G522">
        <v>42</v>
      </c>
      <c s="68" r="H522"/>
      <c s="19" r="I522">
        <f>INDEX('Speed Factors'!$A$2:$B$256,(G522),2)</f>
        <v>144</v>
      </c>
      <c s="19" r="J522">
        <f>SUM(B522:G522)</f>
        <v>255</v>
      </c>
      <c s="68" r="K522"/>
      <c s="38" r="L522">
        <f>((((B522*2)+141)*((D522*2)+36))/(402.744996))-24.57966407</f>
        <v>40.8066231875579</v>
      </c>
      <c s="38" r="M522">
        <f>((((B522*2)+141)*((F522*2)+36))/(416.310724))-19.16575597</f>
        <v>44.0898809422022</v>
      </c>
      <c s="38" r="N522">
        <f>(((((C522*2)+36)*((((C522*2)+36)*(I522/672))+415))/((((C522*2)+36)*(1-(I522/672)))+415))/(1.92306))-3.576327284</f>
        <v>60.3870403401292</v>
      </c>
      <c s="38" r="O522">
        <f>(((((E522*2)+36)*((((E522*2)+36)*(I522/672))+415))/((((E522*2)+36)*(1-(I522/672)))+415))/(1.980931))+4.9921912</f>
        <v>51.9977047181804</v>
      </c>
      <c s="68" r="P522"/>
      <c s="38" r="Q522">
        <f>((((L522+M522)+N522)+O522)/(1.535645))-60.47703745</f>
        <v>67.9909673219815</v>
      </c>
      <c s="63" r="R522"/>
      <c s="26" r="S522"/>
      <c s="26" r="T522"/>
    </row>
    <row customHeight="1" r="523" ht="14.25">
      <c t="s" s="45" r="A523">
        <v>604</v>
      </c>
      <c s="57" r="B523">
        <v>60</v>
      </c>
      <c s="8" r="C523">
        <v>85</v>
      </c>
      <c s="8" r="D523">
        <v>69</v>
      </c>
      <c s="8" r="E523">
        <v>60</v>
      </c>
      <c s="8" r="F523">
        <v>69</v>
      </c>
      <c s="27" r="G523">
        <v>77</v>
      </c>
      <c s="68" r="H523"/>
      <c s="20" r="I523">
        <f>INDEX('Speed Factors'!$A$2:$B$256,(G523),2)</f>
        <v>427</v>
      </c>
      <c s="20" r="J523">
        <f>SUM(B523:G523)</f>
        <v>420</v>
      </c>
      <c s="68" r="K523"/>
      <c s="38" r="L523">
        <f>((((B523*2)+141)*((D523*2)+36))/(402.744996))-24.57966407</f>
        <v>88.1815134766976</v>
      </c>
      <c s="38" r="M523">
        <f>((((B523*2)+141)*((F523*2)+36))/(416.310724))-19.16575597</f>
        <v>89.921032771959</v>
      </c>
      <c s="38" r="N523">
        <f>(((((C523*2)+36)*((((C523*2)+36)*(I523/672))+415))/((((C523*2)+36)*(1-(I523/672)))+415))/(1.92306))-3.576327284</f>
        <v>115.738871892728</v>
      </c>
      <c s="38" r="O523">
        <f>(((((E523*2)+36)*((((E523*2)+36)*(I523/672))+415))/((((E523*2)+36)*(1-(I523/672)))+415))/(1.980931))+4.9921912</f>
        <v>90.7941106607007</v>
      </c>
      <c s="68" r="P523"/>
      <c s="38" r="Q523">
        <f>((((L523+M523)+N523)+O523)/(1.535645))-60.47703745</f>
        <v>189.994607234862</v>
      </c>
      <c s="63" r="R523"/>
      <c s="26" r="S523"/>
      <c s="26" r="T523"/>
    </row>
    <row customHeight="1" r="524" ht="14.25">
      <c t="s" s="45" r="A524">
        <v>605</v>
      </c>
      <c s="75" r="B524">
        <v>45</v>
      </c>
      <c s="54" r="C524">
        <v>60</v>
      </c>
      <c s="54" r="D524">
        <v>45</v>
      </c>
      <c s="54" r="E524">
        <v>25</v>
      </c>
      <c s="54" r="F524">
        <v>45</v>
      </c>
      <c s="2" r="G524">
        <v>55</v>
      </c>
      <c s="68" r="H524"/>
      <c s="19" r="I524">
        <f>INDEX('Speed Factors'!$A$2:$B$256,(G524),2)</f>
        <v>233</v>
      </c>
      <c s="19" r="J524">
        <f>SUM(B524:G524)</f>
        <v>275</v>
      </c>
      <c s="68" r="K524"/>
      <c s="38" r="L524">
        <f>((((B524*2)+141)*((D524*2)+36))/(402.744996))-24.57966407</f>
        <v>47.6893902673008</v>
      </c>
      <c s="38" r="M524">
        <f>((((B524*2)+141)*((F524*2)+36))/(416.310724))-19.16575597</f>
        <v>50.7483690382234</v>
      </c>
      <c s="38" r="N524">
        <f>(((((C524*2)+36)*((((C524*2)+36)*(I524/672))+415))/((((C524*2)+36)*(1-(I524/672)))+415))/(1.92306))-3.576327284</f>
        <v>70.0395925850118</v>
      </c>
      <c s="38" r="O524">
        <f>(((((E524*2)+36)*((((E524*2)+36)*(I524/672))+415))/((((E524*2)+36)*(1-(I524/672)))+415))/(1.980931))+4.9921912</f>
        <v>45.9770669954706</v>
      </c>
      <c s="68" r="P524"/>
      <c s="38" r="Q524">
        <f>((((L524+M524)+N524)+O524)/(1.535645))-60.47703745</f>
        <v>79.1740009644816</v>
      </c>
      <c s="63" r="R524"/>
      <c s="26" r="S524"/>
      <c s="26" r="T524"/>
    </row>
    <row customHeight="1" r="525" ht="14.25">
      <c t="s" s="45" r="A525">
        <v>606</v>
      </c>
      <c s="57" r="B525">
        <v>65</v>
      </c>
      <c s="8" r="C525">
        <v>80</v>
      </c>
      <c s="8" r="D525">
        <v>65</v>
      </c>
      <c s="8" r="E525">
        <v>35</v>
      </c>
      <c s="8" r="F525">
        <v>65</v>
      </c>
      <c s="27" r="G525">
        <v>60</v>
      </c>
      <c s="68" r="H525"/>
      <c s="20" r="I525">
        <f>INDEX('Speed Factors'!$A$2:$B$256,(G525),2)</f>
        <v>274</v>
      </c>
      <c s="20" r="J525">
        <f>SUM(B525:G525)</f>
        <v>370</v>
      </c>
      <c s="68" r="K525"/>
      <c s="38" r="L525">
        <f>((((B525*2)+141)*((D525*2)+36))/(402.744996))-24.57966407</f>
        <v>87.118806294111</v>
      </c>
      <c s="38" r="M525">
        <f>((((B525*2)+141)*((F525*2)+36))/(416.310724))-19.16575597</f>
        <v>88.892954523367</v>
      </c>
      <c s="38" r="N525">
        <f>(((((C525*2)+36)*((((C525*2)+36)*(I525/672))+415))/((((C525*2)+36)*(1-(I525/672)))+415))/(1.92306))-3.576327284</f>
        <v>91.4037773311293</v>
      </c>
      <c s="38" r="O525">
        <f>(((((E525*2)+36)*((((E525*2)+36)*(I525/672))+415))/((((E525*2)+36)*(1-(I525/672)))+415))/(1.980931))+4.9921912</f>
        <v>56.3117641539336</v>
      </c>
      <c s="68" r="P525"/>
      <c s="38" r="Q525">
        <f>((((L525+M525)+N525)+O525)/(1.535645))-60.47703745</f>
        <v>150.331647045792</v>
      </c>
      <c s="63" r="R525"/>
      <c s="26" r="S525"/>
      <c s="26" r="T525"/>
    </row>
    <row customHeight="1" r="526" ht="14.25">
      <c t="s" s="45" r="A526">
        <v>607</v>
      </c>
      <c s="75" r="B526">
        <v>85</v>
      </c>
      <c s="54" r="C526">
        <v>100</v>
      </c>
      <c s="54" r="D526">
        <v>90</v>
      </c>
      <c s="54" r="E526">
        <v>45</v>
      </c>
      <c s="54" r="F526">
        <v>90</v>
      </c>
      <c s="2" r="G526">
        <v>80</v>
      </c>
      <c s="68" r="H526"/>
      <c s="19" r="I526">
        <f>INDEX('Speed Factors'!$A$2:$B$256,(G526),2)</f>
        <v>432</v>
      </c>
      <c s="19" r="J526">
        <f>SUM(B526:G526)</f>
        <v>490</v>
      </c>
      <c s="68" r="K526"/>
      <c s="38" r="L526">
        <f>((((B526*2)+141)*((D526*2)+36))/(402.744996))-24.57966407</f>
        <v>142.215704381952</v>
      </c>
      <c s="38" r="M526">
        <f>((((B526*2)+141)*((F526*2)+36))/(416.310724))-19.16575597</f>
        <v>142.194488019295</v>
      </c>
      <c s="38" r="N526">
        <f>(((((C526*2)+36)*((((C526*2)+36)*(I526/672))+415))/((((C526*2)+36)*(1-(I526/672)))+415))/(1.92306))-3.576327284</f>
        <v>135.718243286476</v>
      </c>
      <c s="38" r="O526">
        <f>(((((E526*2)+36)*((((E526*2)+36)*(I526/672))+415))/((((E526*2)+36)*(1-(I526/672)))+415))/(1.980931))+4.9921912</f>
        <v>73.5765434895131</v>
      </c>
      <c s="68" r="P526"/>
      <c s="38" r="Q526">
        <f>((((L526+M526)+N526)+O526)/(1.535645))-60.47703745</f>
        <v>261.019779312491</v>
      </c>
      <c s="63" r="R526"/>
      <c s="26" r="S526"/>
      <c s="26" r="T526"/>
    </row>
    <row customHeight="1" r="527" ht="14.25">
      <c t="s" s="45" r="A527">
        <v>608</v>
      </c>
      <c s="57" r="B527">
        <v>41</v>
      </c>
      <c s="8" r="C527">
        <v>50</v>
      </c>
      <c s="8" r="D527">
        <v>37</v>
      </c>
      <c s="8" r="E527">
        <v>50</v>
      </c>
      <c s="8" r="F527">
        <v>37</v>
      </c>
      <c s="27" r="G527">
        <v>66</v>
      </c>
      <c s="68" r="H527"/>
      <c s="20" r="I527">
        <f>INDEX('Speed Factors'!$A$2:$B$256,(G527),2)</f>
        <v>357</v>
      </c>
      <c s="20" r="J527">
        <f>SUM(B527:G527)</f>
        <v>281</v>
      </c>
      <c s="68" r="K527"/>
      <c s="38" r="L527">
        <f>((((B527*2)+141)*((D527*2)+36))/(402.744996))-24.57966407</f>
        <v>36.3273620721696</v>
      </c>
      <c s="38" r="M527">
        <f>((((B527*2)+141)*((F527*2)+36))/(416.310724))-19.16575597</f>
        <v>39.7565791654264</v>
      </c>
      <c s="38" r="N527">
        <f>(((((C527*2)+36)*((((C527*2)+36)*(I527/672))+415))/((((C527*2)+36)*(1-(I527/672)))+415))/(1.92306))-3.576327284</f>
        <v>68.3999092400407</v>
      </c>
      <c s="38" r="O527">
        <f>(((((E527*2)+36)*((((E527*2)+36)*(I527/672))+415))/((((E527*2)+36)*(1-(I527/672)))+415))/(1.980931))+4.9921912</f>
        <v>74.8657109792965</v>
      </c>
      <c s="68" r="P527"/>
      <c s="38" r="Q527">
        <f>((((L527+M527)+N527)+O527)/(1.535645))-60.47703745</f>
        <v>82.3616794780226</v>
      </c>
      <c s="63" r="R527"/>
      <c s="26" r="S527"/>
      <c s="26" r="T527"/>
    </row>
    <row customHeight="1" r="528" ht="14.25">
      <c t="s" s="45" r="A528">
        <v>609</v>
      </c>
      <c s="75" r="B528">
        <v>64</v>
      </c>
      <c s="54" r="C528">
        <v>88</v>
      </c>
      <c s="54" r="D528">
        <v>50</v>
      </c>
      <c s="54" r="E528">
        <v>88</v>
      </c>
      <c s="54" r="F528">
        <v>50</v>
      </c>
      <c s="2" r="G528">
        <v>106</v>
      </c>
      <c s="68" r="H528"/>
      <c s="19" r="I528">
        <f>INDEX('Speed Factors'!$A$2:$B$256,(G528),2)</f>
        <v>619</v>
      </c>
      <c s="19" r="J528">
        <f>SUM(B528:G528)</f>
        <v>446</v>
      </c>
      <c s="68" r="K528"/>
      <c s="38" r="L528">
        <f>((((B528*2)+141)*((D528*2)+36))/(402.744996))-24.57966407</f>
        <v>66.2569704340821</v>
      </c>
      <c s="38" r="M528">
        <f>((((B528*2)+141)*((F528*2)+36))/(416.310724))-19.16575597</f>
        <v>68.7109137647916</v>
      </c>
      <c s="38" r="N528">
        <f>(((((C528*2)+36)*((((C528*2)+36)*(I528/672))+415))/((((C528*2)+36)*(1-(I528/672)))+415))/(1.92306))-3.576327284</f>
        <v>152.260316590151</v>
      </c>
      <c s="38" r="O528">
        <f>(((((E528*2)+36)*((((E528*2)+36)*(I528/672))+415))/((((E528*2)+36)*(1-(I528/672)))+415))/(1.980931))+4.9921912</f>
        <v>156.276216927612</v>
      </c>
      <c s="68" r="P528"/>
      <c s="38" r="Q528">
        <f>((((L528+M528)+N528)+O528)/(1.535645))-60.47703745</f>
        <v>228.329566756465</v>
      </c>
      <c s="63" r="R528"/>
      <c s="26" r="S528"/>
      <c s="26" r="T528"/>
    </row>
    <row customHeight="1" r="529" ht="14.25">
      <c t="s" s="45" r="A529">
        <v>610</v>
      </c>
      <c s="57" r="B529">
        <v>50</v>
      </c>
      <c s="8" r="C529">
        <v>53</v>
      </c>
      <c s="8" r="D529">
        <v>48</v>
      </c>
      <c s="8" r="E529">
        <v>53</v>
      </c>
      <c s="8" r="F529">
        <v>48</v>
      </c>
      <c s="27" r="G529">
        <v>64</v>
      </c>
      <c s="68" r="H529"/>
      <c s="20" r="I529">
        <f>INDEX('Speed Factors'!$A$2:$B$256,(G529),2)</f>
        <v>317</v>
      </c>
      <c s="20" r="J529">
        <f>SUM(B529:G529)</f>
        <v>316</v>
      </c>
      <c s="68" r="K529"/>
      <c s="38" r="L529">
        <f>((((B529*2)+141)*((D529*2)+36))/(402.744996))-24.57966407</f>
        <v>54.4082819403832</v>
      </c>
      <c s="38" r="M529">
        <f>((((B529*2)+141)*((F529*2)+36))/(416.310724))-19.16575597</f>
        <v>57.248321703387</v>
      </c>
      <c s="38" r="N529">
        <f>(((((C529*2)+36)*((((C529*2)+36)*(I529/672))+415))/((((C529*2)+36)*(1-(I529/672)))+415))/(1.92306))-3.576327284</f>
        <v>69.054312655209</v>
      </c>
      <c s="38" r="O529">
        <f>(((((E529*2)+36)*((((E529*2)+36)*(I529/672))+415))/((((E529*2)+36)*(1-(I529/672)))+415))/(1.980931))+4.9921912</f>
        <v>75.5009966260826</v>
      </c>
      <c s="68" r="P529"/>
      <c s="38" r="Q529">
        <f>((((L529+M529)+N529)+O529)/(1.535645))-60.47703745</f>
        <v>106.366154124265</v>
      </c>
      <c s="63" r="R529"/>
      <c s="26" r="S529"/>
      <c s="26" r="T529"/>
    </row>
    <row customHeight="1" r="530" ht="14.25">
      <c t="s" s="45" r="A530">
        <v>611</v>
      </c>
      <c s="75" r="B530">
        <v>75</v>
      </c>
      <c s="54" r="C530">
        <v>98</v>
      </c>
      <c s="54" r="D530">
        <v>63</v>
      </c>
      <c s="54" r="E530">
        <v>98</v>
      </c>
      <c s="54" r="F530">
        <v>63</v>
      </c>
      <c s="2" r="G530">
        <v>101</v>
      </c>
      <c s="68" r="H530"/>
      <c s="19" r="I530">
        <f>INDEX('Speed Factors'!$A$2:$B$256,(G530),2)</f>
        <v>602</v>
      </c>
      <c s="19" r="J530">
        <f>SUM(B530:G530)</f>
        <v>498</v>
      </c>
      <c s="68" r="K530"/>
      <c s="38" r="L530">
        <f>((((B530*2)+141)*((D530*2)+36))/(402.744996))-24.57966407</f>
        <v>92.4720695783555</v>
      </c>
      <c s="38" r="M530">
        <f>((((B530*2)+141)*((F530*2)+36))/(416.310724))-19.16575597</f>
        <v>94.0717785980502</v>
      </c>
      <c s="38" r="N530">
        <f>(((((C530*2)+36)*((((C530*2)+36)*(I530/672))+415))/((((C530*2)+36)*(1-(I530/672)))+415))/(1.92306))-3.576327284</f>
        <v>167.518795051369</v>
      </c>
      <c s="38" r="O530">
        <f>(((((E530*2)+36)*((((E530*2)+36)*(I530/672))+415))/((((E530*2)+36)*(1-(I530/672)))+415))/(1.980931))+4.9921912</f>
        <v>171.088933569247</v>
      </c>
      <c s="68" r="P530"/>
      <c s="38" r="Q530">
        <f>((((L530+M530)+N530)+O530)/(1.535645))-60.47703745</f>
        <v>281.497557457691</v>
      </c>
      <c s="63" r="R530"/>
      <c s="26" r="S530"/>
      <c s="26" r="T530"/>
    </row>
    <row customHeight="1" r="531" ht="14.25">
      <c t="s" s="45" r="A531">
        <v>612</v>
      </c>
      <c s="57" r="B531">
        <v>50</v>
      </c>
      <c s="8" r="C531">
        <v>53</v>
      </c>
      <c s="8" r="D531">
        <v>48</v>
      </c>
      <c s="8" r="E531">
        <v>53</v>
      </c>
      <c s="8" r="F531">
        <v>48</v>
      </c>
      <c s="27" r="G531">
        <v>64</v>
      </c>
      <c s="68" r="H531"/>
      <c s="20" r="I531">
        <f>INDEX('Speed Factors'!$A$2:$B$256,(G531),2)</f>
        <v>317</v>
      </c>
      <c s="20" r="J531">
        <f>SUM(B531:G531)</f>
        <v>316</v>
      </c>
      <c s="68" r="K531"/>
      <c s="38" r="L531">
        <f>((((B531*2)+141)*((D531*2)+36))/(402.744996))-24.57966407</f>
        <v>54.4082819403832</v>
      </c>
      <c s="38" r="M531">
        <f>((((B531*2)+141)*((F531*2)+36))/(416.310724))-19.16575597</f>
        <v>57.248321703387</v>
      </c>
      <c s="38" r="N531">
        <f>(((((C531*2)+36)*((((C531*2)+36)*(I531/672))+415))/((((C531*2)+36)*(1-(I531/672)))+415))/(1.92306))-3.576327284</f>
        <v>69.054312655209</v>
      </c>
      <c s="38" r="O531">
        <f>(((((E531*2)+36)*((((E531*2)+36)*(I531/672))+415))/((((E531*2)+36)*(1-(I531/672)))+415))/(1.980931))+4.9921912</f>
        <v>75.5009966260826</v>
      </c>
      <c s="68" r="P531"/>
      <c s="38" r="Q531">
        <f>((((L531+M531)+N531)+O531)/(1.535645))-60.47703745</f>
        <v>106.366154124265</v>
      </c>
      <c s="63" r="R531"/>
      <c s="26" r="S531"/>
      <c s="26" r="T531"/>
    </row>
    <row customHeight="1" r="532" ht="14.25">
      <c t="s" s="45" r="A532">
        <v>613</v>
      </c>
      <c s="75" r="B532">
        <v>75</v>
      </c>
      <c s="54" r="C532">
        <v>98</v>
      </c>
      <c s="54" r="D532">
        <v>63</v>
      </c>
      <c s="54" r="E532">
        <v>98</v>
      </c>
      <c s="54" r="F532">
        <v>63</v>
      </c>
      <c s="2" r="G532">
        <v>101</v>
      </c>
      <c s="68" r="H532"/>
      <c s="19" r="I532">
        <f>INDEX('Speed Factors'!$A$2:$B$256,(G532),2)</f>
        <v>602</v>
      </c>
      <c s="19" r="J532">
        <f>SUM(B532:G532)</f>
        <v>498</v>
      </c>
      <c s="68" r="K532"/>
      <c s="38" r="L532">
        <f>((((B532*2)+141)*((D532*2)+36))/(402.744996))-24.57966407</f>
        <v>92.4720695783555</v>
      </c>
      <c s="38" r="M532">
        <f>((((B532*2)+141)*((F532*2)+36))/(416.310724))-19.16575597</f>
        <v>94.0717785980502</v>
      </c>
      <c s="38" r="N532">
        <f>(((((C532*2)+36)*((((C532*2)+36)*(I532/672))+415))/((((C532*2)+36)*(1-(I532/672)))+415))/(1.92306))-3.576327284</f>
        <v>167.518795051369</v>
      </c>
      <c s="38" r="O532">
        <f>(((((E532*2)+36)*((((E532*2)+36)*(I532/672))+415))/((((E532*2)+36)*(1-(I532/672)))+415))/(1.980931))+4.9921912</f>
        <v>171.088933569247</v>
      </c>
      <c s="68" r="P532"/>
      <c s="38" r="Q532">
        <f>((((L532+M532)+N532)+O532)/(1.535645))-60.47703745</f>
        <v>281.497557457691</v>
      </c>
      <c s="63" r="R532"/>
      <c s="26" r="S532"/>
      <c s="26" r="T532"/>
    </row>
    <row customHeight="1" r="533" ht="14.25">
      <c t="s" s="45" r="A533">
        <v>614</v>
      </c>
      <c s="57" r="B533">
        <v>50</v>
      </c>
      <c s="8" r="C533">
        <v>53</v>
      </c>
      <c s="8" r="D533">
        <v>48</v>
      </c>
      <c s="8" r="E533">
        <v>53</v>
      </c>
      <c s="8" r="F533">
        <v>48</v>
      </c>
      <c s="27" r="G533">
        <v>64</v>
      </c>
      <c s="68" r="H533"/>
      <c s="20" r="I533">
        <f>INDEX('Speed Factors'!$A$2:$B$256,(G533),2)</f>
        <v>317</v>
      </c>
      <c s="20" r="J533">
        <f>SUM(B533:G533)</f>
        <v>316</v>
      </c>
      <c s="68" r="K533"/>
      <c s="38" r="L533">
        <f>((((B533*2)+141)*((D533*2)+36))/(402.744996))-24.57966407</f>
        <v>54.4082819403832</v>
      </c>
      <c s="38" r="M533">
        <f>((((B533*2)+141)*((F533*2)+36))/(416.310724))-19.16575597</f>
        <v>57.248321703387</v>
      </c>
      <c s="38" r="N533">
        <f>(((((C533*2)+36)*((((C533*2)+36)*(I533/672))+415))/((((C533*2)+36)*(1-(I533/672)))+415))/(1.92306))-3.576327284</f>
        <v>69.054312655209</v>
      </c>
      <c s="38" r="O533">
        <f>(((((E533*2)+36)*((((E533*2)+36)*(I533/672))+415))/((((E533*2)+36)*(1-(I533/672)))+415))/(1.980931))+4.9921912</f>
        <v>75.5009966260826</v>
      </c>
      <c s="68" r="P533"/>
      <c s="38" r="Q533">
        <f>((((L533+M533)+N533)+O533)/(1.535645))-60.47703745</f>
        <v>106.366154124265</v>
      </c>
      <c s="63" r="R533"/>
      <c s="26" r="S533"/>
      <c s="26" r="T533"/>
    </row>
    <row customHeight="1" r="534" ht="14.25">
      <c t="s" s="45" r="A534">
        <v>615</v>
      </c>
      <c s="75" r="B534">
        <v>75</v>
      </c>
      <c s="54" r="C534">
        <v>98</v>
      </c>
      <c s="54" r="D534">
        <v>63</v>
      </c>
      <c s="54" r="E534">
        <v>98</v>
      </c>
      <c s="54" r="F534">
        <v>63</v>
      </c>
      <c s="2" r="G534">
        <v>101</v>
      </c>
      <c s="68" r="H534"/>
      <c s="19" r="I534">
        <f>INDEX('Speed Factors'!$A$2:$B$256,(G534),2)</f>
        <v>602</v>
      </c>
      <c s="19" r="J534">
        <f>SUM(B534:G534)</f>
        <v>498</v>
      </c>
      <c s="68" r="K534"/>
      <c s="38" r="L534">
        <f>((((B534*2)+141)*((D534*2)+36))/(402.744996))-24.57966407</f>
        <v>92.4720695783555</v>
      </c>
      <c s="38" r="M534">
        <f>((((B534*2)+141)*((F534*2)+36))/(416.310724))-19.16575597</f>
        <v>94.0717785980502</v>
      </c>
      <c s="38" r="N534">
        <f>(((((C534*2)+36)*((((C534*2)+36)*(I534/672))+415))/((((C534*2)+36)*(1-(I534/672)))+415))/(1.92306))-3.576327284</f>
        <v>167.518795051369</v>
      </c>
      <c s="38" r="O534">
        <f>(((((E534*2)+36)*((((E534*2)+36)*(I534/672))+415))/((((E534*2)+36)*(1-(I534/672)))+415))/(1.980931))+4.9921912</f>
        <v>171.088933569247</v>
      </c>
      <c s="68" r="P534"/>
      <c s="38" r="Q534">
        <f>((((L534+M534)+N534)+O534)/(1.535645))-60.47703745</f>
        <v>281.497557457691</v>
      </c>
      <c s="63" r="R534"/>
      <c s="26" r="S534"/>
      <c s="26" r="T534"/>
    </row>
    <row customHeight="1" r="535" ht="14.25">
      <c t="s" s="45" r="A535">
        <v>616</v>
      </c>
      <c s="57" r="B535">
        <v>76</v>
      </c>
      <c s="8" r="C535">
        <v>25</v>
      </c>
      <c s="8" r="D535">
        <v>45</v>
      </c>
      <c s="8" r="E535">
        <v>67</v>
      </c>
      <c s="8" r="F535">
        <v>55</v>
      </c>
      <c s="27" r="G535">
        <v>24</v>
      </c>
      <c s="68" r="H535"/>
      <c s="20" r="I535">
        <f>INDEX('Speed Factors'!$A$2:$B$256,(G535),2)</f>
        <v>31</v>
      </c>
      <c s="20" r="J535">
        <f>SUM(B535:G535)</f>
        <v>292</v>
      </c>
      <c s="68" r="K535"/>
      <c s="38" r="L535">
        <f>((((B535*2)+141)*((D535*2)+36))/(402.744996))-24.57966407</f>
        <v>67.0862793102127</v>
      </c>
      <c s="38" r="M535">
        <f>((((B535*2)+141)*((F535*2)+36))/(416.310724))-19.16575597</f>
        <v>83.5892237455838</v>
      </c>
      <c s="38" r="N535">
        <f>(((((C535*2)+36)*((((C535*2)+36)*(I535/672))+415))/((((C535*2)+36)*(1-(I535/672)))+415))/(1.92306))-3.576327284</f>
        <v>34.1201449933294</v>
      </c>
      <c s="38" r="O535">
        <f>(((((E535*2)+36)*((((E535*2)+36)*(I535/672))+415))/((((E535*2)+36)*(1-(I535/672)))+415))/(1.980931))+4.9921912</f>
        <v>67.8650832390626</v>
      </c>
      <c s="68" r="P535"/>
      <c s="38" r="Q535">
        <f>((((L535+M535)+N535)+O535)/(1.535645))-60.47703745</f>
        <v>104.053652447853</v>
      </c>
      <c s="63" r="R535"/>
      <c s="26" r="S535"/>
      <c s="26" r="T535"/>
    </row>
    <row customHeight="1" r="536" ht="14.25">
      <c t="s" s="45" r="A536">
        <v>617</v>
      </c>
      <c s="75" r="B536">
        <v>116</v>
      </c>
      <c s="54" r="C536">
        <v>55</v>
      </c>
      <c s="54" r="D536">
        <v>85</v>
      </c>
      <c s="54" r="E536">
        <v>107</v>
      </c>
      <c s="54" r="F536">
        <v>95</v>
      </c>
      <c s="2" r="G536">
        <v>29</v>
      </c>
      <c s="68" r="H536"/>
      <c s="19" r="I536">
        <f>INDEX('Speed Factors'!$A$2:$B$256,(G536),2)</f>
        <v>43</v>
      </c>
      <c s="19" r="J536">
        <f>SUM(B536:G536)</f>
        <v>487</v>
      </c>
      <c s="68" r="K536"/>
      <c s="38" r="L536">
        <f>((((B536*2)+141)*((D536*2)+36))/(402.744996))-24.57966407</f>
        <v>166.206070732773</v>
      </c>
      <c s="38" r="M536">
        <f>((((B536*2)+141)*((F536*2)+36))/(416.310724))-19.16575597</f>
        <v>183.322422066941</v>
      </c>
      <c s="38" r="N536">
        <f>(((((C536*2)+36)*((((C536*2)+36)*(I536/672))+415))/((((C536*2)+36)*(1-(I536/672)))+415))/(1.92306))-3.576327284</f>
        <v>54.8228318375754</v>
      </c>
      <c s="38" r="O536">
        <f>(((((E536*2)+36)*((((E536*2)+36)*(I536/672))+415))/((((E536*2)+36)*(1-(I536/672)))+415))/(1.980931))+4.9921912</f>
        <v>88.8026548212262</v>
      </c>
      <c s="68" r="P536"/>
      <c s="38" r="Q536">
        <f>((((L536+M536)+N536)+O536)/(1.535645))-60.47703745</f>
        <v>260.660972609953</v>
      </c>
      <c s="63" r="R536"/>
      <c s="26" r="S536"/>
      <c s="26" r="T536"/>
    </row>
    <row customHeight="1" r="537" ht="14.25">
      <c t="s" s="45" r="A537">
        <v>618</v>
      </c>
      <c s="57" r="B537">
        <v>50</v>
      </c>
      <c s="8" r="C537">
        <v>55</v>
      </c>
      <c s="8" r="D537">
        <v>50</v>
      </c>
      <c s="8" r="E537">
        <v>36</v>
      </c>
      <c s="8" r="F537">
        <v>30</v>
      </c>
      <c s="27" r="G537">
        <v>43</v>
      </c>
      <c s="68" r="H537"/>
      <c s="20" r="I537">
        <f>INDEX('Speed Factors'!$A$2:$B$256,(G537),2)</f>
        <v>149</v>
      </c>
      <c s="20" r="J537">
        <f>SUM(B537:G537)</f>
        <v>264</v>
      </c>
      <c s="68" r="K537"/>
      <c s="38" r="L537">
        <f>((((B537*2)+141)*((D537*2)+36))/(402.744996))-24.57966407</f>
        <v>56.80185606191</v>
      </c>
      <c s="38" r="M537">
        <f>((((B537*2)+141)*((F537*2)+36))/(416.310724))-19.16575597</f>
        <v>36.4081187015542</v>
      </c>
      <c s="38" r="N537">
        <f>(((((C537*2)+36)*((((C537*2)+36)*(I537/672))+415))/((((C537*2)+36)*(1-(I537/672)))+415))/(1.92306))-3.576327284</f>
        <v>60.6744964852487</v>
      </c>
      <c s="38" r="O537">
        <f>(((((E537*2)+36)*((((E537*2)+36)*(I537/672))+415))/((((E537*2)+36)*(1-(I537/672)))+415))/(1.980931))+4.9921912</f>
        <v>52.9455198634098</v>
      </c>
      <c s="68" r="P537"/>
      <c s="38" r="Q537">
        <f>((((L537+M537)+N537)+O537)/(1.535645))-60.47703745</f>
        <v>74.2090332968996</v>
      </c>
      <c s="63" r="R537"/>
      <c s="26" r="S537"/>
      <c s="26" r="T537"/>
    </row>
    <row customHeight="1" r="538" ht="14.25">
      <c t="s" s="45" r="A538">
        <v>619</v>
      </c>
      <c s="75" r="B538">
        <v>62</v>
      </c>
      <c s="54" r="C538">
        <v>77</v>
      </c>
      <c s="54" r="D538">
        <v>62</v>
      </c>
      <c s="54" r="E538">
        <v>50</v>
      </c>
      <c s="54" r="F538">
        <v>42</v>
      </c>
      <c s="2" r="G538">
        <v>65</v>
      </c>
      <c s="68" r="H538"/>
      <c s="19" r="I538">
        <f>INDEX('Speed Factors'!$A$2:$B$256,(G538),2)</f>
        <v>321</v>
      </c>
      <c s="19" r="J538">
        <f>SUM(B538:G538)</f>
        <v>358</v>
      </c>
      <c s="68" r="K538"/>
      <c s="38" r="L538">
        <f>((((B538*2)+141)*((D538*2)+36))/(402.744996))-24.57966407</f>
        <v>80.697869905866</v>
      </c>
      <c s="38" r="M538">
        <f>((((B538*2)+141)*((F538*2)+36))/(416.310724))-19.16575597</f>
        <v>57.2194970795948</v>
      </c>
      <c s="38" r="N538">
        <f>(((((C538*2)+36)*((((C538*2)+36)*(I538/672))+415))/((((C538*2)+36)*(1-(I538/672)))+415))/(1.92306))-3.576327284</f>
        <v>93.5948724705308</v>
      </c>
      <c s="38" r="O538">
        <f>(((((E538*2)+36)*((((E538*2)+36)*(I538/672))+415))/((((E538*2)+36)*(1-(I538/672)))+415))/(1.980931))+4.9921912</f>
        <v>72.7891635609793</v>
      </c>
      <c s="68" r="P538"/>
      <c s="38" r="Q538">
        <f>((((L538+M538)+N538)+O538)/(1.535645))-60.47703745</f>
        <v>137.681653534551</v>
      </c>
      <c s="63" r="R538"/>
      <c s="26" r="S538"/>
      <c s="26" r="T538"/>
    </row>
    <row customHeight="1" r="539" ht="14.25">
      <c t="s" s="45" r="A539">
        <v>620</v>
      </c>
      <c s="57" r="B539">
        <v>80</v>
      </c>
      <c s="8" r="C539">
        <v>105</v>
      </c>
      <c s="8" r="D539">
        <v>80</v>
      </c>
      <c s="8" r="E539">
        <v>65</v>
      </c>
      <c s="8" r="F539">
        <v>55</v>
      </c>
      <c s="27" r="G539">
        <v>93</v>
      </c>
      <c s="68" r="H539"/>
      <c s="20" r="I539">
        <f>INDEX('Speed Factors'!$A$2:$B$256,(G539),2)</f>
        <v>540</v>
      </c>
      <c s="20" r="J539">
        <f>SUM(B539:G539)</f>
        <v>478</v>
      </c>
      <c s="68" r="K539"/>
      <c s="38" r="L539">
        <f>((((B539*2)+141)*((D539*2)+36))/(402.744996))-24.57966407</f>
        <v>121.905085798872</v>
      </c>
      <c s="38" r="M539">
        <f>((((B539*2)+141)*((F539*2)+36))/(416.310724))-19.16575597</f>
        <v>86.3948204613677</v>
      </c>
      <c s="38" r="N539">
        <f>(((((C539*2)+36)*((((C539*2)+36)*(I539/672))+415))/((((C539*2)+36)*(1-(I539/672)))+415))/(1.92306))-3.576327284</f>
        <v>165.581686397093</v>
      </c>
      <c s="38" r="O539">
        <f>(((((E539*2)+36)*((((E539*2)+36)*(I539/672))+415))/((((E539*2)+36)*(1-(I539/672)))+415))/(1.980931))+4.9921912</f>
        <v>107.659817403895</v>
      </c>
      <c s="68" r="P539"/>
      <c s="38" r="Q539">
        <f>((((L539+M539)+N539)+O539)/(1.535645))-60.47703745</f>
        <v>253.098958344099</v>
      </c>
      <c s="63" r="R539"/>
      <c s="26" r="S539"/>
      <c s="26" r="T539"/>
    </row>
    <row customHeight="1" r="540" ht="14.25">
      <c t="s" s="45" r="A540">
        <v>621</v>
      </c>
      <c s="75" r="B540">
        <v>45</v>
      </c>
      <c s="54" r="C540">
        <v>60</v>
      </c>
      <c s="54" r="D540">
        <v>32</v>
      </c>
      <c s="54" r="E540">
        <v>50</v>
      </c>
      <c s="54" r="F540">
        <v>32</v>
      </c>
      <c s="2" r="G540">
        <v>76</v>
      </c>
      <c s="68" r="H540"/>
      <c s="19" r="I540">
        <f>INDEX('Speed Factors'!$A$2:$B$256,(G540),2)</f>
        <v>424</v>
      </c>
      <c s="19" r="J540">
        <f>SUM(B540:G540)</f>
        <v>295</v>
      </c>
      <c s="68" r="K540"/>
      <c s="38" r="L540">
        <f>((((B540*2)+141)*((D540*2)+36))/(402.744996))-24.57966407</f>
        <v>32.7767282611911</v>
      </c>
      <c s="38" r="M540">
        <f>((((B540*2)+141)*((F540*2)+36))/(416.310724))-19.16575597</f>
        <v>36.3216448301773</v>
      </c>
      <c s="38" r="N540">
        <f>(((((C540*2)+36)*((((C540*2)+36)*(I540/672))+415))/((((C540*2)+36)*(1-(I540/672)))+415))/(1.92306))-3.576327284</f>
        <v>84.5578461201842</v>
      </c>
      <c s="38" r="O540">
        <f>(((((E540*2)+36)*((((E540*2)+36)*(I540/672))+415))/((((E540*2)+36)*(1-(I540/672)))+415))/(1.980931))+4.9921912</f>
        <v>78.9035734474439</v>
      </c>
      <c s="68" r="P540"/>
      <c s="38" r="Q540">
        <f>((((L540+M540)+N540)+O540)/(1.535645))-60.47703745</f>
        <v>90.9640786015592</v>
      </c>
      <c s="63" r="R540"/>
      <c s="26" r="S540"/>
      <c s="26" r="T540"/>
    </row>
    <row customHeight="1" r="541" ht="14.25">
      <c t="s" s="45" r="A541">
        <v>622</v>
      </c>
      <c s="57" r="B541">
        <v>75</v>
      </c>
      <c s="8" r="C541">
        <v>100</v>
      </c>
      <c s="8" r="D541">
        <v>63</v>
      </c>
      <c s="8" r="E541">
        <v>80</v>
      </c>
      <c s="8" r="F541">
        <v>63</v>
      </c>
      <c s="27" r="G541">
        <v>116</v>
      </c>
      <c s="68" r="H541"/>
      <c s="20" r="I541">
        <f>INDEX('Speed Factors'!$A$2:$B$256,(G541),2)</f>
        <v>650</v>
      </c>
      <c s="20" r="J541">
        <f>SUM(B541:G541)</f>
        <v>497</v>
      </c>
      <c s="68" r="K541"/>
      <c s="38" r="L541">
        <f>((((B541*2)+141)*((D541*2)+36))/(402.744996))-24.57966407</f>
        <v>92.4720695783555</v>
      </c>
      <c s="38" r="M541">
        <f>((((B541*2)+141)*((F541*2)+36))/(416.310724))-19.16575597</f>
        <v>94.0717785980502</v>
      </c>
      <c s="38" r="N541">
        <f>(((((C541*2)+36)*((((C541*2)+36)*(I541/672))+415))/((((C541*2)+36)*(1-(I541/672)))+415))/(1.92306))-3.576327284</f>
        <v>183.171639565398</v>
      </c>
      <c s="38" r="O541">
        <f>(((((E541*2)+36)*((((E541*2)+36)*(I541/672))+415))/((((E541*2)+36)*(1-(I541/672)))+415))/(1.980931))+4.9921912</f>
        <v>146.940814906816</v>
      </c>
      <c s="68" r="P541"/>
      <c s="38" r="Q541">
        <f>((((L541+M541)+N541)+O541)/(1.535645))-60.47703745</f>
        <v>275.965501449694</v>
      </c>
      <c s="63" r="R541"/>
      <c s="26" r="S541"/>
      <c s="26" r="T541"/>
    </row>
    <row customHeight="1" r="542" ht="14.25">
      <c t="s" s="45" r="A542">
        <v>623</v>
      </c>
      <c s="75" r="B542">
        <v>55</v>
      </c>
      <c s="54" r="C542">
        <v>75</v>
      </c>
      <c s="54" r="D542">
        <v>85</v>
      </c>
      <c s="54" r="E542">
        <v>25</v>
      </c>
      <c s="54" r="F542">
        <v>25</v>
      </c>
      <c s="2" r="G542">
        <v>15</v>
      </c>
      <c s="68" r="H542"/>
      <c s="19" r="I542">
        <f>INDEX('Speed Factors'!$A$2:$B$256,(G542),2)</f>
        <v>5</v>
      </c>
      <c s="19" r="J542">
        <f>SUM(B542:G542)</f>
        <v>280</v>
      </c>
      <c s="68" r="K542"/>
      <c s="38" r="L542">
        <f>((((B542*2)+141)*((D542*2)+36))/(402.744996))-24.57966407</f>
        <v>103.804302245003</v>
      </c>
      <c s="38" r="M542">
        <f>((((B542*2)+141)*((F542*2)+36))/(416.310724))-19.16575597</f>
        <v>32.6849381283822</v>
      </c>
      <c s="38" r="N542">
        <f>(((((C542*2)+36)*((((C542*2)+36)*(I542/672))+415))/((((C542*2)+36)*(1-(I542/672)))+415))/(1.92306))-3.576327284</f>
        <v>63.5883300574038</v>
      </c>
      <c s="38" r="O542">
        <f>(((((E542*2)+36)*((((E542*2)+36)*(I542/672))+415))/((((E542*2)+36)*(1-(I542/672)))+415))/(1.980931))+4.9921912</f>
        <v>41.0553386381393</v>
      </c>
      <c s="68" r="P542"/>
      <c s="38" r="Q542">
        <f>((((L542+M542)+N542)+O542)/(1.535645))-60.47703745</f>
        <v>96.5468248807654</v>
      </c>
      <c s="63" r="R542"/>
      <c s="26" r="S542"/>
      <c s="26" r="T542"/>
    </row>
    <row customHeight="1" r="543" ht="14.25">
      <c t="s" s="45" r="A543">
        <v>624</v>
      </c>
      <c s="57" r="B543">
        <v>70</v>
      </c>
      <c s="8" r="C543">
        <v>105</v>
      </c>
      <c s="8" r="D543">
        <v>105</v>
      </c>
      <c s="8" r="E543">
        <v>50</v>
      </c>
      <c s="8" r="F543">
        <v>40</v>
      </c>
      <c s="27" r="G543">
        <v>20</v>
      </c>
      <c s="68" r="H543"/>
      <c s="20" r="I543">
        <f>INDEX('Speed Factors'!$A$2:$B$256,(G543),2)</f>
        <v>14</v>
      </c>
      <c s="20" r="J543">
        <f>SUM(B543:G543)</f>
        <v>390</v>
      </c>
      <c s="68" r="K543"/>
      <c s="38" r="L543">
        <f>((((B543*2)+141)*((D543*2)+36))/(402.744996))-24.57966407</f>
        <v>147.057477760559</v>
      </c>
      <c s="38" r="M543">
        <f>((((B543*2)+141)*((F543*2)+36))/(416.310724))-19.16575597</f>
        <v>59.1315304578173</v>
      </c>
      <c s="38" r="N543">
        <f>(((((C543*2)+36)*((((C543*2)+36)*(I543/672))+415))/((((C543*2)+36)*(1-(I543/672)))+415))/(1.92306))-3.576327284</f>
        <v>78.3643823591391</v>
      </c>
      <c s="38" r="O543">
        <f>(((((E543*2)+36)*((((E543*2)+36)*(I543/672))+415))/((((E543*2)+36)*(1-(I543/672)))+415))/(1.980931))+4.9921912</f>
        <v>57.3233100851786</v>
      </c>
      <c s="68" r="P543"/>
      <c s="38" r="Q543">
        <f>((((L543+M543)+N543)+O543)/(1.535645))-60.47703745</f>
        <v>162.150393149321</v>
      </c>
      <c s="63" r="R543"/>
      <c s="26" r="S543"/>
      <c s="26" r="T543"/>
    </row>
    <row customHeight="1" r="544" ht="14.25">
      <c t="s" s="45" r="A544">
        <v>625</v>
      </c>
      <c s="75" r="B544">
        <v>85</v>
      </c>
      <c s="54" r="C544">
        <v>135</v>
      </c>
      <c s="54" r="D544">
        <v>130</v>
      </c>
      <c s="54" r="E544">
        <v>60</v>
      </c>
      <c s="54" r="F544">
        <v>70</v>
      </c>
      <c s="2" r="G544">
        <v>25</v>
      </c>
      <c s="68" r="H544"/>
      <c s="19" r="I544">
        <f>INDEX('Speed Factors'!$A$2:$B$256,(G544),2)</f>
        <v>32</v>
      </c>
      <c s="19" r="J544">
        <f>SUM(B544:G544)</f>
        <v>505</v>
      </c>
      <c s="68" r="K544"/>
      <c s="38" r="L544">
        <f>((((B544*2)+141)*((D544*2)+36))/(402.744996))-24.57966407</f>
        <v>203.991766771564</v>
      </c>
      <c s="38" r="M544">
        <f>((((B544*2)+141)*((F544*2)+36))/(416.310724))-19.16575597</f>
        <v>112.312961354611</v>
      </c>
      <c s="38" r="N544">
        <f>(((((C544*2)+36)*((((C544*2)+36)*(I544/672))+415))/((((C544*2)+36)*(1-(I544/672)))+415))/(1.92306))-3.576327284</f>
        <v>93.1836425050486</v>
      </c>
      <c s="38" r="O544">
        <f>(((((E544*2)+36)*((((E544*2)+36)*(I544/672))+415))/((((E544*2)+36)*(1-(I544/672)))+415))/(1.980931))+4.9921912</f>
        <v>64.0203948472181</v>
      </c>
      <c s="68" r="P544"/>
      <c s="38" r="Q544">
        <f>((((L544+M544)+N544)+O544)/(1.535645))-60.47703745</f>
        <v>247.86816308687</v>
      </c>
      <c s="63" r="R544"/>
      <c s="26" r="S544"/>
      <c s="26" r="T544"/>
    </row>
    <row customHeight="1" r="545" ht="14.25">
      <c t="s" s="45" r="A545">
        <v>626</v>
      </c>
      <c s="57" r="B545">
        <v>55</v>
      </c>
      <c s="8" r="C545">
        <v>45</v>
      </c>
      <c s="8" r="D545">
        <v>43</v>
      </c>
      <c s="8" r="E545">
        <v>55</v>
      </c>
      <c s="8" r="F545">
        <v>43</v>
      </c>
      <c s="27" r="G545">
        <v>72</v>
      </c>
      <c s="68" r="H545"/>
      <c s="20" r="I545">
        <f>INDEX('Speed Factors'!$A$2:$B$256,(G545),2)</f>
        <v>408</v>
      </c>
      <c s="20" r="J545">
        <f>SUM(B545:G545)</f>
        <v>313</v>
      </c>
      <c s="68" r="K545"/>
      <c s="38" r="L545">
        <f>((((B545*2)+141)*((D545*2)+36))/(402.744996))-24.57966407</f>
        <v>51.4535586990794</v>
      </c>
      <c s="38" r="M545">
        <f>((((B545*2)+141)*((F545*2)+36))/(416.310724))-19.16575597</f>
        <v>54.389879843984</v>
      </c>
      <c s="38" r="N545">
        <f>(((((C545*2)+36)*((((C545*2)+36)*(I545/672))+415))/((((C545*2)+36)*(1-(I545/672)))+415))/(1.92306))-3.576327284</f>
        <v>65.7527650509792</v>
      </c>
      <c s="38" r="O545">
        <f>(((((E545*2)+36)*((((E545*2)+36)*(I545/672))+415))/((((E545*2)+36)*(1-(I545/672)))+415))/(1.980931))+4.9921912</f>
        <v>83.5764749802108</v>
      </c>
      <c s="68" r="P545"/>
      <c s="38" r="Q545">
        <f>((((L545+M545)+N545)+O545)/(1.535645))-60.47703745</f>
        <v>105.689412852155</v>
      </c>
      <c s="63" r="R545"/>
      <c s="26" r="S545"/>
      <c s="26" r="T545"/>
    </row>
    <row customHeight="1" r="546" ht="14.25">
      <c t="s" s="45" r="A546">
        <v>627</v>
      </c>
      <c s="75" r="B546">
        <v>67</v>
      </c>
      <c s="54" r="C546">
        <v>57</v>
      </c>
      <c s="54" r="D546">
        <v>55</v>
      </c>
      <c s="54" r="E546">
        <v>77</v>
      </c>
      <c s="54" r="F546">
        <v>55</v>
      </c>
      <c s="2" r="G546">
        <v>114</v>
      </c>
      <c s="68" r="H546"/>
      <c s="19" r="I546">
        <f>INDEX('Speed Factors'!$A$2:$B$256,(G546),2)</f>
        <v>641</v>
      </c>
      <c s="19" r="J546">
        <f>SUM(B546:G546)</f>
        <v>425</v>
      </c>
      <c s="68" r="K546"/>
      <c s="38" r="L546">
        <f>((((B546*2)+141)*((D546*2)+36))/(402.744996))-24.57966407</f>
        <v>75.1112083151655</v>
      </c>
      <c s="38" r="M546">
        <f>((((B546*2)+141)*((F546*2)+36))/(416.310724))-19.16575597</f>
        <v>77.2766311350701</v>
      </c>
      <c s="38" r="N546">
        <f>(((((C546*2)+36)*((((C546*2)+36)*(I546/672))+415))/((((C546*2)+36)*(1-(I546/672)))+415))/(1.92306))-3.576327284</f>
        <v>99.5965201143611</v>
      </c>
      <c s="38" r="O546">
        <f>(((((E546*2)+36)*((((E546*2)+36)*(I546/672))+415))/((((E546*2)+36)*(1-(I546/672)))+415))/(1.980931))+4.9921912</f>
        <v>139.943419983281</v>
      </c>
      <c s="68" r="P546"/>
      <c s="38" r="Q546">
        <f>((((L546+M546)+N546)+O546)/(1.535645))-60.47703745</f>
        <v>194.743263822675</v>
      </c>
      <c s="63" r="R546"/>
      <c s="26" r="S546"/>
      <c s="26" r="T546"/>
    </row>
    <row customHeight="1" r="547" ht="14.25">
      <c t="s" s="45" r="A547">
        <v>628</v>
      </c>
      <c s="57" r="B547">
        <v>60</v>
      </c>
      <c s="8" r="C547">
        <v>85</v>
      </c>
      <c s="8" r="D547">
        <v>40</v>
      </c>
      <c s="8" r="E547">
        <v>30</v>
      </c>
      <c s="8" r="F547">
        <v>45</v>
      </c>
      <c s="27" r="G547">
        <v>68</v>
      </c>
      <c s="68" r="H547"/>
      <c s="20" r="I547">
        <f>INDEX('Speed Factors'!$A$2:$B$256,(G547),2)</f>
        <v>365</v>
      </c>
      <c s="20" r="J547">
        <f>SUM(B547:G547)</f>
        <v>328</v>
      </c>
      <c s="68" r="K547"/>
      <c s="38" r="L547">
        <f>((((B547*2)+141)*((D547*2)+36))/(402.744996))-24.57966407</f>
        <v>50.594454294465</v>
      </c>
      <c s="38" r="M547">
        <f>((((B547*2)+141)*((F547*2)+36))/(416.310724))-19.16575597</f>
        <v>59.8281255327979</v>
      </c>
      <c s="38" r="N547">
        <f>(((((C547*2)+36)*((((C547*2)+36)*(I547/672))+415))/((((C547*2)+36)*(1-(I547/672)))+415))/(1.92306))-3.576327284</f>
        <v>107.285623041168</v>
      </c>
      <c s="38" r="O547">
        <f>(((((E547*2)+36)*((((E547*2)+36)*(I547/672))+415))/((((E547*2)+36)*(1-(I547/672)))+415))/(1.980931))+4.9921912</f>
        <v>54.3293459910225</v>
      </c>
      <c s="68" r="P547"/>
      <c s="38" r="Q547">
        <f>((((L547+M547)+N547)+O547)/(1.535645))-60.47703745</f>
        <v>116.671684331045</v>
      </c>
      <c s="63" r="R547"/>
      <c s="26" r="S547"/>
      <c s="26" r="T547"/>
    </row>
    <row customHeight="1" r="548" ht="14.25">
      <c t="s" s="45" r="A548">
        <v>629</v>
      </c>
      <c s="75" r="B548">
        <v>110</v>
      </c>
      <c s="54" r="C548">
        <v>135</v>
      </c>
      <c s="54" r="D548">
        <v>60</v>
      </c>
      <c s="54" r="E548">
        <v>50</v>
      </c>
      <c s="54" r="F548">
        <v>65</v>
      </c>
      <c s="2" r="G548">
        <v>88</v>
      </c>
      <c s="68" r="H548"/>
      <c s="19" r="I548">
        <f>INDEX('Speed Factors'!$A$2:$B$256,(G548),2)</f>
        <v>502</v>
      </c>
      <c s="19" r="J548">
        <f>SUM(B548:G548)</f>
        <v>508</v>
      </c>
      <c s="68" r="K548"/>
      <c s="38" r="L548">
        <f>((((B548*2)+141)*((D548*2)+36))/(402.744996))-24.57966407</f>
        <v>115.250751104171</v>
      </c>
      <c s="38" r="M548">
        <f>((((B548*2)+141)*((F548*2)+36))/(416.310724))-19.16575597</f>
        <v>124.77961114478</v>
      </c>
      <c s="38" r="N548">
        <f>(((((C548*2)+36)*((((C548*2)+36)*(I548/672))+415))/((((C548*2)+36)*(1-(I548/672)))+415))/(1.92306))-3.576327284</f>
        <v>204.398083851833</v>
      </c>
      <c s="38" r="O548">
        <f>(((((E548*2)+36)*((((E548*2)+36)*(I548/672))+415))/((((E548*2)+36)*(1-(I548/672)))+415))/(1.980931))+4.9921912</f>
        <v>83.9113211411123</v>
      </c>
      <c s="68" r="P548"/>
      <c s="38" r="Q548">
        <f>((((L548+M548)+N548)+O548)/(1.535645))-60.47703745</f>
        <v>283.573682112072</v>
      </c>
      <c s="63" r="R548"/>
      <c s="26" r="S548"/>
      <c s="26" r="T548"/>
    </row>
    <row customHeight="1" r="549" ht="14.25">
      <c t="s" s="45" r="A549">
        <v>630</v>
      </c>
      <c s="57" r="B549">
        <v>103</v>
      </c>
      <c s="8" r="C549">
        <v>60</v>
      </c>
      <c s="8" r="D549">
        <v>86</v>
      </c>
      <c s="8" r="E549">
        <v>60</v>
      </c>
      <c s="8" r="F549">
        <v>86</v>
      </c>
      <c s="27" r="G549">
        <v>50</v>
      </c>
      <c s="68" r="H549"/>
      <c s="20" r="I549">
        <f>INDEX('Speed Factors'!$A$2:$B$256,(G549),2)</f>
        <v>189</v>
      </c>
      <c s="20" r="J549">
        <f>SUM(B549:G549)</f>
        <v>445</v>
      </c>
      <c s="68" r="K549"/>
      <c s="38" r="L549">
        <f>((((B549*2)+141)*((D549*2)+36))/(402.744996))-24.57966407</f>
        <v>154.630507916842</v>
      </c>
      <c s="38" r="M549">
        <f>((((B549*2)+141)*((F549*2)+36))/(416.310724))-19.16575597</f>
        <v>154.204747932753</v>
      </c>
      <c s="38" r="N549">
        <f>(((((C549*2)+36)*((((C549*2)+36)*(I549/672))+415))/((((C549*2)+36)*(1-(I549/672)))+415))/(1.92306))-3.576327284</f>
        <v>67.0412066473344</v>
      </c>
      <c s="38" r="O549">
        <f>(((((E549*2)+36)*((((E549*2)+36)*(I549/672))+415))/((((E549*2)+36)*(1-(I549/672)))+415))/(1.980931))+4.9921912</f>
        <v>73.5467015802161</v>
      </c>
      <c s="68" r="P549"/>
      <c s="38" r="Q549">
        <f>((((L549+M549)+N549)+O549)/(1.535645))-60.47703745</f>
        <v>232.183808043031</v>
      </c>
      <c s="63" r="R549"/>
      <c s="26" r="S549"/>
      <c s="26" r="T549"/>
    </row>
    <row customHeight="1" r="550" ht="14.25">
      <c t="s" s="45" r="A550">
        <v>631</v>
      </c>
      <c s="75" r="B550">
        <v>75</v>
      </c>
      <c s="54" r="C550">
        <v>80</v>
      </c>
      <c s="54" r="D550">
        <v>55</v>
      </c>
      <c s="54" r="E550">
        <v>25</v>
      </c>
      <c s="54" r="F550">
        <v>35</v>
      </c>
      <c s="2" r="G550">
        <v>35</v>
      </c>
      <c s="68" r="H550"/>
      <c s="19" r="I550">
        <f>INDEX('Speed Factors'!$A$2:$B$256,(G550),2)</f>
        <v>84</v>
      </c>
      <c s="19" r="J550">
        <f>SUM(B550:G550)</f>
        <v>305</v>
      </c>
      <c s="68" r="K550"/>
      <c s="38" r="L550">
        <f>((((B550*2)+141)*((D550*2)+36))/(402.744996))-24.57966407</f>
        <v>80.9114045266661</v>
      </c>
      <c s="38" r="M550">
        <f>((((B550*2)+141)*((F550*2)+36))/(416.310724))-19.16575597</f>
        <v>54.9279394881069</v>
      </c>
      <c s="38" r="N550">
        <f>(((((C550*2)+36)*((((C550*2)+36)*(I550/672))+415))/((((C550*2)+36)*(1-(I550/672)))+415))/(1.92306))-3.576327284</f>
        <v>72.7991785800424</v>
      </c>
      <c s="38" r="O550">
        <f>(((((E550*2)+36)*((((E550*2)+36)*(I550/672))+415))/((((E550*2)+36)*(1-(I550/672)))+415))/(1.980931))+4.9921912</f>
        <v>42.6943446873718</v>
      </c>
      <c s="68" r="P550"/>
      <c s="38" r="Q550">
        <f>((((L550+M550)+N550)+O550)/(1.535645))-60.47703745</f>
        <v>103.188957804233</v>
      </c>
      <c s="63" r="R550"/>
      <c s="26" r="S550"/>
      <c s="26" r="T550"/>
    </row>
    <row customHeight="1" r="551" ht="14.25">
      <c t="s" s="45" r="A551">
        <v>632</v>
      </c>
      <c s="57" r="B551">
        <v>85</v>
      </c>
      <c s="8" r="C551">
        <v>105</v>
      </c>
      <c s="8" r="D551">
        <v>85</v>
      </c>
      <c s="8" r="E551">
        <v>40</v>
      </c>
      <c s="8" r="F551">
        <v>50</v>
      </c>
      <c s="27" r="G551">
        <v>40</v>
      </c>
      <c s="68" r="H551"/>
      <c s="20" r="I551">
        <f>INDEX('Speed Factors'!$A$2:$B$256,(G551),2)</f>
        <v>111</v>
      </c>
      <c s="20" r="J551">
        <f>SUM(B551:G551)</f>
        <v>405</v>
      </c>
      <c s="68" r="K551"/>
      <c s="38" r="L551">
        <f>((((B551*2)+141)*((D551*2)+36))/(402.744996))-24.57966407</f>
        <v>134.493696583251</v>
      </c>
      <c s="38" r="M551">
        <f>((((B551*2)+141)*((F551*2)+36))/(416.310724))-19.16575597</f>
        <v>82.4314346899264</v>
      </c>
      <c s="38" r="N551">
        <f>(((((C551*2)+36)*((((C551*2)+36)*(I551/672))+415))/((((C551*2)+36)*(1-(I551/672)))+415))/(1.92306))-3.576327284</f>
        <v>90.3765946068493</v>
      </c>
      <c s="38" r="O551">
        <f>(((((E551*2)+36)*((((E551*2)+36)*(I551/672))+415))/((((E551*2)+36)*(1-(I551/672)))+415))/(1.980931))+4.9921912</f>
        <v>54.6634935675946</v>
      </c>
      <c s="68" r="P551"/>
      <c s="38" r="Q551">
        <f>((((L551+M551)+N551)+O551)/(1.535645))-60.47703745</f>
        <v>175.231879290276</v>
      </c>
      <c s="63" r="R551"/>
      <c s="26" r="S551"/>
      <c s="26" r="T551"/>
    </row>
    <row customHeight="1" r="552" ht="14.25">
      <c t="s" s="45" r="A552">
        <v>60</v>
      </c>
      <c s="75" r="B552">
        <v>105</v>
      </c>
      <c s="54" r="C552">
        <v>140</v>
      </c>
      <c s="54" r="D552">
        <v>95</v>
      </c>
      <c s="54" r="E552">
        <v>55</v>
      </c>
      <c s="54" r="F552">
        <v>65</v>
      </c>
      <c s="2" r="G552">
        <v>45</v>
      </c>
      <c s="68" r="H552"/>
      <c s="19" r="I552">
        <f>INDEX('Speed Factors'!$A$2:$B$256,(G552),2)</f>
        <v>154</v>
      </c>
      <c s="19" r="J552">
        <f>SUM(B552:G552)</f>
        <v>505</v>
      </c>
      <c s="68" r="K552"/>
      <c s="38" r="L552">
        <f>((((B552*2)+141)*((D552*2)+36))/(402.744996))-24.57966407</f>
        <v>172.383676971734</v>
      </c>
      <c s="38" r="M552">
        <f>((((B552*2)+141)*((F552*2)+36))/(416.310724))-19.16575597</f>
        <v>120.792204853512</v>
      </c>
      <c s="38" r="N552">
        <f>(((((C552*2)+36)*((((C552*2)+36)*(I552/672))+415))/((((C552*2)+36)*(1-(I552/672)))+415))/(1.92306))-3.576327284</f>
        <v>118.037760761301</v>
      </c>
      <c s="38" r="O552">
        <f>(((((E552*2)+36)*((((E552*2)+36)*(I552/672))+415))/((((E552*2)+36)*(1-(I552/672)))+415))/(1.980931))+4.9921912</f>
        <v>67.6461964105793</v>
      </c>
      <c s="68" r="P552"/>
      <c s="38" r="Q552">
        <f>((((L552+M552)+N552)+O552)/(1.535645))-60.47703745</f>
        <v>251.352740263682</v>
      </c>
      <c s="63" r="R552"/>
      <c s="26" r="S552"/>
      <c s="26" r="T552"/>
    </row>
    <row customHeight="1" r="553" ht="14.25">
      <c t="s" s="45" r="A553">
        <v>633</v>
      </c>
      <c s="57" r="B553">
        <v>50</v>
      </c>
      <c s="8" r="C553">
        <v>50</v>
      </c>
      <c s="8" r="D553">
        <v>40</v>
      </c>
      <c s="8" r="E553">
        <v>50</v>
      </c>
      <c s="8" r="F553">
        <v>40</v>
      </c>
      <c s="27" r="G553">
        <v>64</v>
      </c>
      <c s="68" r="H553"/>
      <c s="20" r="I553">
        <f>INDEX('Speed Factors'!$A$2:$B$256,(G553),2)</f>
        <v>317</v>
      </c>
      <c s="20" r="J553">
        <f>SUM(B553:G553)</f>
        <v>294</v>
      </c>
      <c s="68" r="K553"/>
      <c s="38" r="L553">
        <f>((((B553*2)+141)*((D553*2)+36))/(402.744996))-24.57966407</f>
        <v>44.8339854542762</v>
      </c>
      <c s="38" r="M553">
        <f>((((B553*2)+141)*((F553*2)+36))/(416.310724))-19.16575597</f>
        <v>47.986009258128</v>
      </c>
      <c s="38" r="N553">
        <f>(((((C553*2)+36)*((((C553*2)+36)*(I553/672))+415))/((((C553*2)+36)*(1-(I553/672)))+415))/(1.92306))-3.576327284</f>
        <v>66.0271530588804</v>
      </c>
      <c s="38" r="O553">
        <f>(((((E553*2)+36)*((((E553*2)+36)*(I553/672))+415))/((((E553*2)+36)*(1-(I553/672)))+415))/(1.980931))+4.9921912</f>
        <v>72.5622725951518</v>
      </c>
      <c s="68" r="P553"/>
      <c s="38" r="Q553">
        <f>((((L553+M553)+N553)+O553)/(1.535645))-60.47703745</f>
        <v>90.2149651719838</v>
      </c>
      <c s="63" r="R553"/>
      <c s="26" r="S553"/>
      <c s="26" r="T553"/>
    </row>
    <row customHeight="1" r="554" ht="14.25">
      <c t="s" s="45" r="A554">
        <v>634</v>
      </c>
      <c s="75" r="B554">
        <v>75</v>
      </c>
      <c s="54" r="C554">
        <v>65</v>
      </c>
      <c s="54" r="D554">
        <v>55</v>
      </c>
      <c s="54" r="E554">
        <v>65</v>
      </c>
      <c s="54" r="F554">
        <v>55</v>
      </c>
      <c s="2" r="G554">
        <v>69</v>
      </c>
      <c s="68" r="H554"/>
      <c s="19" r="I554">
        <f>INDEX('Speed Factors'!$A$2:$B$256,(G554),2)</f>
        <v>368</v>
      </c>
      <c s="19" r="J554">
        <f>SUM(B554:G554)</f>
        <v>384</v>
      </c>
      <c s="68" r="K554"/>
      <c s="38" r="L554">
        <f>((((B554*2)+141)*((D554*2)+36))/(402.744996))-24.57966407</f>
        <v>80.9114045266661</v>
      </c>
      <c s="38" r="M554">
        <f>((((B554*2)+141)*((F554*2)+36))/(416.310724))-19.16575597</f>
        <v>82.8878245666378</v>
      </c>
      <c s="38" r="N554">
        <f>(((((C554*2)+36)*((((C554*2)+36)*(I554/672))+415))/((((C554*2)+36)*(1-(I554/672)))+415))/(1.92306))-3.576327284</f>
        <v>85.5289729716745</v>
      </c>
      <c s="38" r="O554">
        <f>(((((E554*2)+36)*((((E554*2)+36)*(I554/672))+415))/((((E554*2)+36)*(1-(I554/672)))+415))/(1.980931))+4.9921912</f>
        <v>91.4943655360457</v>
      </c>
      <c s="68" r="P554"/>
      <c s="38" r="Q554">
        <f>((((L554+M554)+N554)+O554)/(1.535645))-60.47703745</f>
        <v>161.463949953354</v>
      </c>
      <c s="63" r="R554"/>
      <c s="26" r="S554"/>
      <c s="26" r="T554"/>
    </row>
    <row customHeight="1" r="555" ht="14.25">
      <c t="s" s="45" r="A555">
        <v>635</v>
      </c>
      <c s="57" r="B555">
        <v>105</v>
      </c>
      <c s="8" r="C555">
        <v>85</v>
      </c>
      <c s="8" r="D555">
        <v>75</v>
      </c>
      <c s="8" r="E555">
        <v>85</v>
      </c>
      <c s="8" r="F555">
        <v>75</v>
      </c>
      <c s="27" r="G555">
        <v>74</v>
      </c>
      <c s="68" r="H555"/>
      <c s="20" r="I555">
        <f>INDEX('Speed Factors'!$A$2:$B$256,(G555),2)</f>
        <v>410</v>
      </c>
      <c s="20" r="J555">
        <f>SUM(B555:G555)</f>
        <v>499</v>
      </c>
      <c s="68" r="K555"/>
      <c s="38" r="L555">
        <f>((((B555*2)+141)*((D555*2)+36))/(402.744996))-24.57966407</f>
        <v>137.522908645764</v>
      </c>
      <c s="38" r="M555">
        <f>((((B555*2)+141)*((F555*2)+36))/(416.310724))-19.16575597</f>
        <v>137.654609772008</v>
      </c>
      <c s="38" r="N555">
        <f>(((((C555*2)+36)*((((C555*2)+36)*(I555/672))+415))/((((C555*2)+36)*(1-(I555/672)))+415))/(1.92306))-3.576327284</f>
        <v>113.356493632339</v>
      </c>
      <c s="38" r="O555">
        <f>(((((E555*2)+36)*((((E555*2)+36)*(I555/672))+415))/((((E555*2)+36)*(1-(I555/672)))+415))/(1.980931))+4.9921912</f>
        <v>118.508931859505</v>
      </c>
      <c s="68" r="P555"/>
      <c s="38" r="Q555">
        <f>((((L555+M555)+N555)+O555)/(1.535645))-60.47703745</f>
        <v>269.705357510824</v>
      </c>
      <c s="63" r="R555"/>
      <c s="26" r="S555"/>
      <c s="26" r="T555"/>
    </row>
    <row customHeight="1" r="556" ht="14.25">
      <c t="s" s="45" r="A556">
        <v>636</v>
      </c>
      <c s="75" r="B556">
        <v>120</v>
      </c>
      <c s="54" r="C556">
        <v>100</v>
      </c>
      <c s="54" r="D556">
        <v>85</v>
      </c>
      <c s="54" r="E556">
        <v>30</v>
      </c>
      <c s="54" r="F556">
        <v>85</v>
      </c>
      <c s="2" r="G556">
        <v>45</v>
      </c>
      <c s="68" r="H556"/>
      <c s="19" r="I556">
        <f>INDEX('Speed Factors'!$A$2:$B$256,(G556),2)</f>
        <v>154</v>
      </c>
      <c s="19" r="J556">
        <f>SUM(B556:G556)</f>
        <v>465</v>
      </c>
      <c s="68" r="K556"/>
      <c s="38" r="L556">
        <f>((((B556*2)+141)*((D556*2)+36))/(402.744996))-24.57966407</f>
        <v>170.297989977873</v>
      </c>
      <c s="38" r="M556">
        <f>((((B556*2)+141)*((F556*2)+36))/(416.310724))-19.16575597</f>
        <v>169.361695943538</v>
      </c>
      <c s="38" r="N556">
        <f>(((((C556*2)+36)*((((C556*2)+36)*(I556/672))+415))/((((C556*2)+36)*(1-(I556/672)))+415))/(1.92306))-3.576327284</f>
        <v>92.8632872648258</v>
      </c>
      <c s="38" r="O556">
        <f>(((((E556*2)+36)*((((E556*2)+36)*(I556/672))+415))/((((E556*2)+36)*(1-(I556/672)))+415))/(1.980931))+4.9921912</f>
        <v>48.3008228701313</v>
      </c>
      <c s="68" r="P556"/>
      <c s="38" r="Q556">
        <f>((((L556+M556)+N556)+O556)/(1.535645))-60.47703745</f>
        <v>252.631653723004</v>
      </c>
      <c s="63" r="R556"/>
      <c s="26" r="S556"/>
      <c s="26" r="T556"/>
    </row>
    <row customHeight="1" r="557" ht="14.25">
      <c t="s" s="45" r="A557">
        <v>637</v>
      </c>
      <c s="57" r="B557">
        <v>75</v>
      </c>
      <c s="8" r="C557">
        <v>125</v>
      </c>
      <c s="8" r="D557">
        <v>75</v>
      </c>
      <c s="8" r="E557">
        <v>30</v>
      </c>
      <c s="8" r="F557">
        <v>75</v>
      </c>
      <c s="27" r="G557">
        <v>85</v>
      </c>
      <c s="68" r="H557"/>
      <c s="20" r="I557">
        <f>INDEX('Speed Factors'!$A$2:$B$256,(G557),2)</f>
        <v>469</v>
      </c>
      <c s="20" r="J557">
        <f>SUM(B557:G557)</f>
        <v>465</v>
      </c>
      <c s="68" r="K557"/>
      <c s="38" r="L557">
        <f>((((B557*2)+141)*((D557*2)+36))/(402.744996))-24.57966407</f>
        <v>109.81306715589</v>
      </c>
      <c s="38" r="M557">
        <f>((((B557*2)+141)*((F557*2)+36))/(416.310724))-19.16575597</f>
        <v>110.847709645169</v>
      </c>
      <c s="38" r="N557">
        <f>(((((C557*2)+36)*((((C557*2)+36)*(I557/672))+415))/((((C557*2)+36)*(1-(I557/672)))+415))/(1.92306))-3.576327284</f>
        <v>178.724222404806</v>
      </c>
      <c s="38" r="O557">
        <f>(((((E557*2)+36)*((((E557*2)+36)*(I557/672))+415))/((((E557*2)+36)*(1-(I557/672)))+415))/(1.980931))+4.9921912</f>
        <v>57.6019066399705</v>
      </c>
      <c s="68" r="P557"/>
      <c s="38" r="Q557">
        <f>((((L557+M557)+N557)+O557)/(1.535645))-60.47703745</f>
        <v>237.109257459198</v>
      </c>
      <c s="63" r="R557"/>
      <c s="26" r="S557"/>
      <c s="26" r="T557"/>
    </row>
    <row customHeight="1" r="558" ht="14.25">
      <c t="s" s="45" r="A558">
        <v>638</v>
      </c>
      <c s="75" r="B558">
        <v>45</v>
      </c>
      <c s="54" r="C558">
        <v>53</v>
      </c>
      <c s="54" r="D558">
        <v>70</v>
      </c>
      <c s="54" r="E558">
        <v>40</v>
      </c>
      <c s="54" r="F558">
        <v>60</v>
      </c>
      <c s="2" r="G558">
        <v>42</v>
      </c>
      <c s="68" r="H558"/>
      <c s="19" r="I558">
        <f>INDEX('Speed Factors'!$A$2:$B$256,(G558),2)</f>
        <v>144</v>
      </c>
      <c s="19" r="J558">
        <f>SUM(B558:G558)</f>
        <v>310</v>
      </c>
      <c s="68" r="K558"/>
      <c s="38" r="L558">
        <f>((((B558*2)+141)*((D558*2)+36))/(402.744996))-24.57966407</f>
        <v>76.3675864328964</v>
      </c>
      <c s="38" r="M558">
        <f>((((B558*2)+141)*((F558*2)+36))/(416.310724))-19.16575597</f>
        <v>67.3945892782766</v>
      </c>
      <c s="38" r="N558">
        <f>(((((C558*2)+36)*((((C558*2)+36)*(I558/672))+415))/((((C558*2)+36)*(1-(I558/672)))+415))/(1.92306))-3.576327284</f>
        <v>58.8857307923118</v>
      </c>
      <c s="38" r="O558">
        <f>(((((E558*2)+36)*((((E558*2)+36)*(I558/672))+415))/((((E558*2)+36)*(1-(I558/672)))+415))/(1.980931))+4.9921912</f>
        <v>55.8815732642085</v>
      </c>
      <c s="68" r="P558"/>
      <c s="38" r="Q558">
        <f>((((L558+M558)+N558)+O558)/(1.535645))-60.47703745</f>
        <v>107.875335505789</v>
      </c>
      <c s="63" r="R558"/>
      <c s="26" r="S558"/>
      <c s="26" r="T558"/>
    </row>
    <row customHeight="1" r="559" ht="14.25">
      <c t="s" s="45" r="A559">
        <v>639</v>
      </c>
      <c s="57" r="B559">
        <v>55</v>
      </c>
      <c s="8" r="C559">
        <v>63</v>
      </c>
      <c s="8" r="D559">
        <v>90</v>
      </c>
      <c s="8" r="E559">
        <v>50</v>
      </c>
      <c s="8" r="F559">
        <v>80</v>
      </c>
      <c s="27" r="G559">
        <v>42</v>
      </c>
      <c s="68" r="H559"/>
      <c s="20" r="I559">
        <f>INDEX('Speed Factors'!$A$2:$B$256,(G559),2)</f>
        <v>144</v>
      </c>
      <c s="20" r="J559">
        <f>SUM(B559:G559)</f>
        <v>380</v>
      </c>
      <c s="68" r="K559"/>
      <c s="38" r="L559">
        <f>((((B559*2)+141)*((D559*2)+36))/(402.744996))-24.57966407</f>
        <v>110.036533619518</v>
      </c>
      <c s="38" r="M559">
        <f>((((B559*2)+141)*((F559*2)+36))/(416.310724))-19.16575597</f>
        <v>99.0055933704988</v>
      </c>
      <c s="38" r="N559">
        <f>(((((C559*2)+36)*((((C559*2)+36)*(I559/672))+415))/((((C559*2)+36)*(1-(I559/672)))+415))/(1.92306))-3.576327284</f>
        <v>66.2840135143963</v>
      </c>
      <c s="38" r="O559">
        <f>(((((E559*2)+36)*((((E559*2)+36)*(I559/672))+415))/((((E559*2)+36)*(1-(I559/672)))+415))/(1.980931))+4.9921912</f>
        <v>63.4228267008071</v>
      </c>
      <c s="68" r="P559"/>
      <c s="38" r="Q559">
        <f>((((L559+M559)+N559)+O559)/(1.535645))-60.47703745</f>
        <v>160.113637611762</v>
      </c>
      <c s="63" r="R559"/>
      <c s="26" r="S559"/>
      <c s="26" r="T559"/>
    </row>
    <row customHeight="1" r="560" ht="14.25">
      <c t="s" s="45" r="A560">
        <v>640</v>
      </c>
      <c s="75" r="B560">
        <v>75</v>
      </c>
      <c s="54" r="C560">
        <v>103</v>
      </c>
      <c s="54" r="D560">
        <v>80</v>
      </c>
      <c s="54" r="E560">
        <v>70</v>
      </c>
      <c s="54" r="F560">
        <v>70</v>
      </c>
      <c s="2" r="G560">
        <v>92</v>
      </c>
      <c s="68" r="H560"/>
      <c s="19" r="I560">
        <f>INDEX('Speed Factors'!$A$2:$B$256,(G560),2)</f>
        <v>538</v>
      </c>
      <c s="19" r="J560">
        <f>SUM(B560:G560)</f>
        <v>490</v>
      </c>
      <c s="68" r="K560"/>
      <c s="38" r="L560">
        <f>((((B560*2)+141)*((D560*2)+36))/(402.744996))-24.57966407</f>
        <v>117.038482813196</v>
      </c>
      <c s="38" r="M560">
        <f>((((B560*2)+141)*((F560*2)+36))/(416.310724))-19.16575597</f>
        <v>103.857738375536</v>
      </c>
      <c s="38" r="N560">
        <f>(((((C560*2)+36)*((((C560*2)+36)*(I560/672))+415))/((((C560*2)+36)*(1-(I560/672)))+415))/(1.92306))-3.576327284</f>
        <v>161.785876229807</v>
      </c>
      <c s="38" r="O560">
        <f>(((((E560*2)+36)*((((E560*2)+36)*(I560/672))+415))/((((E560*2)+36)*(1-(I560/672)))+415))/(1.980931))+4.9921912</f>
        <v>114.725707365017</v>
      </c>
      <c s="68" r="P560"/>
      <c s="38" r="Q560">
        <f>((((L560+M560)+N560)+O560)/(1.535645))-60.47703745</f>
        <v>263.431030354444</v>
      </c>
      <c s="63" r="R560"/>
      <c s="26" r="S560"/>
      <c s="26" r="T560"/>
    </row>
    <row customHeight="1" r="561" ht="14.25">
      <c t="s" s="45" r="A561">
        <v>641</v>
      </c>
      <c s="57" r="B561">
        <v>30</v>
      </c>
      <c s="8" r="C561">
        <v>45</v>
      </c>
      <c s="8" r="D561">
        <v>59</v>
      </c>
      <c s="8" r="E561">
        <v>30</v>
      </c>
      <c s="8" r="F561">
        <v>39</v>
      </c>
      <c s="27" r="G561">
        <v>57</v>
      </c>
      <c s="68" r="H561"/>
      <c s="20" r="I561">
        <f>INDEX('Speed Factors'!$A$2:$B$256,(G561),2)</f>
        <v>265</v>
      </c>
      <c s="20" r="J561">
        <f>SUM(B561:G561)</f>
        <v>260</v>
      </c>
      <c s="68" r="K561"/>
      <c s="38" r="L561">
        <f>((((B561*2)+141)*((D561*2)+36))/(402.744996))-24.57966407</f>
        <v>52.2779016537961</v>
      </c>
      <c s="38" r="M561">
        <f>((((B561*2)+141)*((F561*2)+36))/(416.310724))-19.16575597</f>
        <v>35.8748631613967</v>
      </c>
      <c s="38" r="N561">
        <f>(((((C561*2)+36)*((((C561*2)+36)*(I561/672))+415))/((((C561*2)+36)*(1-(I561/672)))+415))/(1.92306))-3.576327284</f>
        <v>58.3935858161507</v>
      </c>
      <c s="38" r="O561">
        <f>(((((E561*2)+36)*((((E561*2)+36)*(I561/672))+415))/((((E561*2)+36)*(1-(I561/672)))+415))/(1.980931))+4.9921912</f>
        <v>51.3764711022351</v>
      </c>
      <c s="68" r="P561"/>
      <c s="38" r="Q561">
        <f>((((L561+M561)+N561)+O561)/(1.535645))-60.47703745</f>
        <v>68.4087543401459</v>
      </c>
      <c s="63" r="R561"/>
      <c s="26" r="S561"/>
      <c s="26" r="T561"/>
    </row>
    <row customHeight="1" r="562" ht="14.25">
      <c t="s" s="45" r="A562">
        <v>642</v>
      </c>
      <c s="75" r="B562">
        <v>40</v>
      </c>
      <c s="54" r="C562">
        <v>55</v>
      </c>
      <c s="54" r="D562">
        <v>99</v>
      </c>
      <c s="54" r="E562">
        <v>40</v>
      </c>
      <c s="54" r="F562">
        <v>79</v>
      </c>
      <c s="2" r="G562">
        <v>47</v>
      </c>
      <c s="68" r="H562"/>
      <c s="19" r="I562">
        <f>INDEX('Speed Factors'!$A$2:$B$256,(G562),2)</f>
        <v>182</v>
      </c>
      <c s="19" r="J562">
        <f>SUM(B562:G562)</f>
        <v>360</v>
      </c>
      <c s="68" r="K562"/>
      <c s="38" r="L562">
        <f>((((B562*2)+141)*((D562*2)+36))/(402.744996))-24.57966407</f>
        <v>103.824165930659</v>
      </c>
      <c s="38" r="M562">
        <f>((((B562*2)+141)*((F562*2)+36))/(416.310724))-19.16575597</f>
        <v>83.8198207359222</v>
      </c>
      <c s="38" r="N562">
        <f>(((((C562*2)+36)*((((C562*2)+36)*(I562/672))+415))/((((C562*2)+36)*(1-(I562/672)))+415))/(1.92306))-3.576327284</f>
        <v>62.6017444957364</v>
      </c>
      <c s="38" r="O562">
        <f>(((((E562*2)+36)*((((E562*2)+36)*(I562/672))+415))/((((E562*2)+36)*(1-(I562/672)))+415))/(1.980931))+4.9921912</f>
        <v>57.3186204757091</v>
      </c>
      <c s="68" r="P562"/>
      <c s="38" r="Q562">
        <f>((((L562+M562)+N562)+O562)/(1.535645))-60.47703745</f>
        <v>139.806460127908</v>
      </c>
      <c s="63" r="R562"/>
      <c s="26" r="S562"/>
      <c s="26" r="T562"/>
    </row>
    <row customHeight="1" r="563" ht="14.25">
      <c t="s" s="45" r="A563">
        <v>643</v>
      </c>
      <c s="57" r="B563">
        <v>60</v>
      </c>
      <c s="8" r="C563">
        <v>90</v>
      </c>
      <c s="8" r="D563">
        <v>89</v>
      </c>
      <c s="8" r="E563">
        <v>55</v>
      </c>
      <c s="8" r="F563">
        <v>69</v>
      </c>
      <c s="27" r="G563">
        <v>112</v>
      </c>
      <c s="68" r="H563"/>
      <c s="20" r="I563">
        <f>INDEX('Speed Factors'!$A$2:$B$256,(G563),2)</f>
        <v>638</v>
      </c>
      <c s="20" r="J563">
        <f>SUM(B563:G563)</f>
        <v>475</v>
      </c>
      <c s="68" r="K563"/>
      <c s="38" r="L563">
        <f>((((B563*2)+141)*((D563*2)+36))/(402.744996))-24.57966407</f>
        <v>114.103623257548</v>
      </c>
      <c s="38" r="M563">
        <f>((((B563*2)+141)*((F563*2)+36))/(416.310724))-19.16575597</f>
        <v>89.921032771959</v>
      </c>
      <c s="38" r="N563">
        <f>(((((C563*2)+36)*((((C563*2)+36)*(I563/672))+415))/((((C563*2)+36)*(1-(I563/672)))+415))/(1.92306))-3.576327284</f>
        <v>159.94178449108</v>
      </c>
      <c s="38" r="O563">
        <f>(((((E563*2)+36)*((((E563*2)+36)*(I563/672))+415))/((((E563*2)+36)*(1-(I563/672)))+415))/(1.980931))+4.9921912</f>
        <v>101.592700579227</v>
      </c>
      <c s="68" r="P563"/>
      <c s="38" r="Q563">
        <f>((((L563+M563)+N563)+O563)/(1.535645))-60.47703745</f>
        <v>242.691429936547</v>
      </c>
      <c s="63" r="R563"/>
      <c s="26" r="S563"/>
      <c s="26" r="T563"/>
    </row>
    <row customHeight="1" r="564" ht="14.25">
      <c t="s" s="45" r="A564">
        <v>644</v>
      </c>
      <c s="75" r="B564">
        <v>40</v>
      </c>
      <c s="54" r="C564">
        <v>27</v>
      </c>
      <c s="54" r="D564">
        <v>60</v>
      </c>
      <c s="54" r="E564">
        <v>37</v>
      </c>
      <c s="54" r="F564">
        <v>50</v>
      </c>
      <c s="2" r="G564">
        <v>66</v>
      </c>
      <c s="68" r="H564"/>
      <c s="19" r="I564">
        <f>INDEX('Speed Factors'!$A$2:$B$256,(G564),2)</f>
        <v>357</v>
      </c>
      <c s="19" r="J564">
        <f>SUM(B564:G564)</f>
        <v>280</v>
      </c>
      <c s="68" r="K564"/>
      <c s="38" r="L564">
        <f>((((B564*2)+141)*((D564*2)+36))/(402.744996))-24.57966407</f>
        <v>61.0228892637725</v>
      </c>
      <c s="38" r="M564">
        <f>((((B564*2)+141)*((F564*2)+36))/(416.310724))-19.16575597</f>
        <v>53.0303184217805</v>
      </c>
      <c s="38" r="N564">
        <f>(((((C564*2)+36)*((((C564*2)+36)*(I564/672))+415))/((((C564*2)+36)*(1-(I564/672)))+415))/(1.92306))-3.576327284</f>
        <v>43.7998927709607</v>
      </c>
      <c s="38" r="O564">
        <f>(((((E564*2)+36)*((((E564*2)+36)*(I564/672))+415))/((((E564*2)+36)*(1-(I564/672)))+415))/(1.980931))+4.9921912</f>
        <v>61.3398870671293</v>
      </c>
      <c s="68" r="P564"/>
      <c s="38" r="Q564">
        <f>((((L564+M564)+N564)+O564)/(1.535645))-60.47703745</f>
        <v>82.2597197586276</v>
      </c>
      <c s="63" r="R564"/>
      <c s="26" r="S564"/>
      <c s="26" r="T564"/>
    </row>
    <row customHeight="1" r="565" ht="14.25">
      <c t="s" s="45" r="A565">
        <v>645</v>
      </c>
      <c s="57" r="B565">
        <v>60</v>
      </c>
      <c s="8" r="C565">
        <v>67</v>
      </c>
      <c s="8" r="D565">
        <v>85</v>
      </c>
      <c s="8" r="E565">
        <v>77</v>
      </c>
      <c s="8" r="F565">
        <v>75</v>
      </c>
      <c s="27" r="G565">
        <v>116</v>
      </c>
      <c s="68" r="H565"/>
      <c s="20" r="I565">
        <f>INDEX('Speed Factors'!$A$2:$B$256,(G565),2)</f>
        <v>650</v>
      </c>
      <c s="20" r="J565">
        <f>SUM(B565:G565)</f>
        <v>480</v>
      </c>
      <c s="68" r="K565"/>
      <c s="38" r="L565">
        <f>((((B565*2)+141)*((D565*2)+36))/(402.744996))-24.57966407</f>
        <v>108.919201301378</v>
      </c>
      <c s="38" r="M565">
        <f>((((B565*2)+141)*((F565*2)+36))/(416.310724))-19.16575597</f>
        <v>97.4442595817493</v>
      </c>
      <c s="38" r="N565">
        <f>(((((C565*2)+36)*((((C565*2)+36)*(I565/672))+415))/((((C565*2)+36)*(1-(I565/672)))+415))/(1.92306))-3.576327284</f>
        <v>118.217936777833</v>
      </c>
      <c s="38" r="O565">
        <f>(((((E565*2)+36)*((((E565*2)+36)*(I565/672))+415))/((((E565*2)+36)*(1-(I565/672)))+415))/(1.980931))+4.9921912</f>
        <v>141.338108002412</v>
      </c>
      <c s="68" r="P565"/>
      <c s="38" r="Q565">
        <f>((((L565+M565)+N565)+O565)/(1.535645))-60.47703745</f>
        <v>242.926096518704</v>
      </c>
      <c s="63" r="R565"/>
      <c s="26" r="S565"/>
      <c s="26" r="T565"/>
    </row>
    <row customHeight="1" r="566" ht="14.25">
      <c t="s" s="45" r="A566">
        <v>646</v>
      </c>
      <c s="75" r="B566">
        <v>45</v>
      </c>
      <c s="54" r="C566">
        <v>35</v>
      </c>
      <c s="54" r="D566">
        <v>50</v>
      </c>
      <c s="54" r="E566">
        <v>70</v>
      </c>
      <c s="54" r="F566">
        <v>50</v>
      </c>
      <c s="2" r="G566">
        <v>30</v>
      </c>
      <c s="68" r="H566"/>
      <c s="19" r="I566">
        <f>INDEX('Speed Factors'!$A$2:$B$256,(G566),2)</f>
        <v>44</v>
      </c>
      <c s="19" r="J566">
        <f>SUM(B566:G566)</f>
        <v>280</v>
      </c>
      <c s="68" r="K566"/>
      <c s="38" r="L566">
        <f>((((B566*2)+141)*((D566*2)+36))/(402.744996))-24.57966407</f>
        <v>53.4250295004199</v>
      </c>
      <c s="38" r="M566">
        <f>((((B566*2)+141)*((F566*2)+36))/(416.310724))-19.16575597</f>
        <v>56.2971091182412</v>
      </c>
      <c s="38" r="N566">
        <f>(((((C566*2)+36)*((((C566*2)+36)*(I566/672))+415))/((((C566*2)+36)*(1-(I566/672)))+415))/(1.92306))-3.576327284</f>
        <v>41.6666117862183</v>
      </c>
      <c s="38" r="O566">
        <f>(((((E566*2)+36)*((((E566*2)+36)*(I566/672))+415))/((((E566*2)+36)*(1-(I566/672)))+415))/(1.980931))+4.9921912</f>
        <v>70.388163697526</v>
      </c>
      <c s="68" r="P566"/>
      <c s="38" r="Q566">
        <f>((((L566+M566)+N566)+O566)/(1.535645))-60.47703745</f>
        <v>83.9423525147415</v>
      </c>
      <c s="63" r="R566"/>
      <c s="26" r="S566"/>
      <c s="26" r="T566"/>
    </row>
    <row customHeight="1" r="567" ht="14.25">
      <c t="s" s="45" r="A567">
        <v>647</v>
      </c>
      <c s="57" r="B567">
        <v>70</v>
      </c>
      <c s="8" r="C567">
        <v>60</v>
      </c>
      <c s="8" r="D567">
        <v>75</v>
      </c>
      <c s="8" r="E567">
        <v>110</v>
      </c>
      <c s="8" r="F567">
        <v>75</v>
      </c>
      <c s="27" r="G567">
        <v>90</v>
      </c>
      <c s="68" r="H567"/>
      <c s="20" r="I567">
        <f>INDEX('Speed Factors'!$A$2:$B$256,(G567),2)</f>
        <v>503</v>
      </c>
      <c s="20" r="J567">
        <f>SUM(B567:G567)</f>
        <v>480</v>
      </c>
      <c s="68" r="K567"/>
      <c s="38" r="L567">
        <f>((((B567*2)+141)*((D567*2)+36))/(402.744996))-24.57966407</f>
        <v>105.194760240911</v>
      </c>
      <c s="38" r="M567">
        <f>((((B567*2)+141)*((F567*2)+36))/(416.310724))-19.16575597</f>
        <v>106.379892957362</v>
      </c>
      <c s="38" r="N567">
        <f>(((((C567*2)+36)*((((C567*2)+36)*(I567/672))+415))/((((C567*2)+36)*(1-(I567/672)))+415))/(1.92306))-3.576327284</f>
        <v>91.3913866014777</v>
      </c>
      <c s="38" r="O567">
        <f>(((((E567*2)+36)*((((E567*2)+36)*(I567/672))+415))/((((E567*2)+36)*(1-(I567/672)))+415))/(1.980931))+4.9921912</f>
        <v>168.525372690632</v>
      </c>
      <c s="68" r="P567"/>
      <c s="38" r="Q567">
        <f>((((L567+M567)+N567)+O567)/(1.535645))-60.47703745</f>
        <v>246.554478616788</v>
      </c>
      <c s="63" r="R567"/>
      <c s="26" r="S567"/>
      <c s="26" r="T567"/>
    </row>
    <row customHeight="1" r="568" ht="14.25">
      <c t="s" s="45" r="A568">
        <v>648</v>
      </c>
      <c s="75" r="B568">
        <v>70</v>
      </c>
      <c s="54" r="C568">
        <v>92</v>
      </c>
      <c s="54" r="D568">
        <v>65</v>
      </c>
      <c s="54" r="E568">
        <v>80</v>
      </c>
      <c s="54" r="F568">
        <v>55</v>
      </c>
      <c s="2" r="G568">
        <v>98</v>
      </c>
      <c s="68" r="H568"/>
      <c s="19" r="I568">
        <f>INDEX('Speed Factors'!$A$2:$B$256,(G568),2)</f>
        <v>572</v>
      </c>
      <c s="19" r="J568">
        <f>SUM(B568:G568)</f>
        <v>460</v>
      </c>
      <c s="68" r="K568"/>
      <c s="38" r="L568">
        <f>((((B568*2)+141)*((D568*2)+36))/(402.744996))-24.57966407</f>
        <v>91.2405210676944</v>
      </c>
      <c s="38" r="M568">
        <f>((((B568*2)+141)*((F568*2)+36))/(416.310724))-19.16575597</f>
        <v>79.380828671908</v>
      </c>
      <c s="38" r="N568">
        <f>(((((C568*2)+36)*((((C568*2)+36)*(I568/672))+415))/((((C568*2)+36)*(1-(I568/672)))+415))/(1.92306))-3.576327284</f>
        <v>150.306866824295</v>
      </c>
      <c s="38" r="O568">
        <f>(((((E568*2)+36)*((((E568*2)+36)*(I568/672))+415))/((((E568*2)+36)*(1-(I568/672)))+415))/(1.980931))+4.9921912</f>
        <v>134.602444209855</v>
      </c>
      <c s="68" r="P568"/>
      <c s="38" r="Q568">
        <f>((((L568+M568)+N568)+O568)/(1.535645))-60.47703745</f>
        <v>236.160962070562</v>
      </c>
      <c s="63" r="R568"/>
      <c s="26" r="S568"/>
      <c s="26" r="T568"/>
    </row>
    <row customHeight="1" r="569" ht="14.25">
      <c t="s" s="45" r="A569">
        <v>649</v>
      </c>
      <c s="57" r="B569">
        <v>70</v>
      </c>
      <c s="8" r="C569">
        <v>92</v>
      </c>
      <c s="8" r="D569">
        <v>65</v>
      </c>
      <c s="8" r="E569">
        <v>80</v>
      </c>
      <c s="8" r="F569">
        <v>55</v>
      </c>
      <c s="27" r="G569">
        <v>98</v>
      </c>
      <c s="68" r="H569"/>
      <c s="20" r="I569">
        <f>INDEX('Speed Factors'!$A$2:$B$256,(G569),2)</f>
        <v>572</v>
      </c>
      <c s="20" r="J569">
        <f>SUM(B569:G569)</f>
        <v>460</v>
      </c>
      <c s="68" r="K569"/>
      <c s="38" r="L569">
        <f>((((B569*2)+141)*((D569*2)+36))/(402.744996))-24.57966407</f>
        <v>91.2405210676944</v>
      </c>
      <c s="38" r="M569">
        <f>((((B569*2)+141)*((F569*2)+36))/(416.310724))-19.16575597</f>
        <v>79.380828671908</v>
      </c>
      <c s="38" r="N569">
        <f>(((((C569*2)+36)*((((C569*2)+36)*(I569/672))+415))/((((C569*2)+36)*(1-(I569/672)))+415))/(1.92306))-3.576327284</f>
        <v>150.306866824295</v>
      </c>
      <c s="38" r="O569">
        <f>(((((E569*2)+36)*((((E569*2)+36)*(I569/672))+415))/((((E569*2)+36)*(1-(I569/672)))+415))/(1.980931))+4.9921912</f>
        <v>134.602444209855</v>
      </c>
      <c s="68" r="P569"/>
      <c s="38" r="Q569">
        <f>((((L569+M569)+N569)+O569)/(1.535645))-60.47703745</f>
        <v>236.160962070562</v>
      </c>
      <c s="63" r="R569"/>
      <c s="26" r="S569"/>
      <c s="26" r="T569"/>
    </row>
    <row customHeight="1" r="570" ht="14.25">
      <c t="s" s="45" r="A570">
        <v>650</v>
      </c>
      <c s="75" r="B570">
        <v>50</v>
      </c>
      <c s="54" r="C570">
        <v>72</v>
      </c>
      <c s="54" r="D570">
        <v>35</v>
      </c>
      <c s="54" r="E570">
        <v>35</v>
      </c>
      <c s="54" r="F570">
        <v>35</v>
      </c>
      <c s="2" r="G570">
        <v>65</v>
      </c>
      <c s="68" r="H570"/>
      <c s="19" r="I570">
        <f>INDEX('Speed Factors'!$A$2:$B$256,(G570),2)</f>
        <v>321</v>
      </c>
      <c s="19" r="J570">
        <f>SUM(B570:G570)</f>
        <v>292</v>
      </c>
      <c s="68" r="K570"/>
      <c s="38" r="L570">
        <f>((((B570*2)+141)*((D570*2)+36))/(402.744996))-24.57966407</f>
        <v>38.8500501504592</v>
      </c>
      <c s="38" r="M570">
        <f>((((B570*2)+141)*((F570*2)+36))/(416.310724))-19.16575597</f>
        <v>42.1970639798411</v>
      </c>
      <c s="38" r="N570">
        <f>(((((C570*2)+36)*((((C570*2)+36)*(I570/672))+415))/((((C570*2)+36)*(1-(I570/672)))+415))/(1.92306))-3.576327284</f>
        <v>88.5468478973982</v>
      </c>
      <c s="38" r="O570">
        <f>(((((E570*2)+36)*((((E570*2)+36)*(I570/672))+415))/((((E570*2)+36)*(1-(I570/672)))+415))/(1.980931))+4.9921912</f>
        <v>57.9640419949526</v>
      </c>
      <c s="68" r="P570"/>
      <c s="38" r="Q570">
        <f>((((L570+M570)+N570)+O570)/(1.535645))-60.47703745</f>
        <v>87.7069530052492</v>
      </c>
      <c s="63" r="R570"/>
      <c s="26" r="S570"/>
      <c s="26" r="T570"/>
    </row>
    <row customHeight="1" r="571" ht="14.25">
      <c t="s" s="45" r="A571">
        <v>651</v>
      </c>
      <c s="57" r="B571">
        <v>60</v>
      </c>
      <c s="8" r="C571">
        <v>82</v>
      </c>
      <c s="8" r="D571">
        <v>45</v>
      </c>
      <c s="8" r="E571">
        <v>45</v>
      </c>
      <c s="8" r="F571">
        <v>45</v>
      </c>
      <c s="27" r="G571">
        <v>74</v>
      </c>
      <c s="68" r="H571"/>
      <c s="20" r="I571">
        <f>INDEX('Speed Factors'!$A$2:$B$256,(G571),2)</f>
        <v>410</v>
      </c>
      <c s="20" r="J571">
        <f>SUM(B571:G571)</f>
        <v>351</v>
      </c>
      <c s="68" r="K571"/>
      <c s="38" r="L571">
        <f>((((B571*2)+141)*((D571*2)+36))/(402.744996))-24.57966407</f>
        <v>57.0749817396776</v>
      </c>
      <c s="38" r="M571">
        <f>((((B571*2)+141)*((F571*2)+36))/(416.310724))-19.16575597</f>
        <v>59.8281255327979</v>
      </c>
      <c s="38" r="N571">
        <f>(((((C571*2)+36)*((((C571*2)+36)*(I571/672))+415))/((((C571*2)+36)*(1-(I571/672)))+415))/(1.92306))-3.576327284</f>
        <v>109.717111137524</v>
      </c>
      <c s="38" r="O571">
        <f>(((((E571*2)+36)*((((E571*2)+36)*(I571/672))+415))/((((E571*2)+36)*(1-(I571/672)))+415))/(1.980931))+4.9921912</f>
        <v>72.4016723165041</v>
      </c>
      <c s="68" r="P571"/>
      <c s="38" r="Q571">
        <f>((((L571+M571)+N571)+O571)/(1.535645))-60.47703745</f>
        <v>134.243676469235</v>
      </c>
      <c s="63" r="R571"/>
      <c s="26" r="S571"/>
      <c s="26" r="T571"/>
    </row>
    <row customHeight="1" r="572" ht="14.25">
      <c t="s" s="45" r="A572">
        <v>652</v>
      </c>
      <c s="75" r="B572">
        <v>95</v>
      </c>
      <c s="54" r="C572">
        <v>117</v>
      </c>
      <c s="54" r="D572">
        <v>70</v>
      </c>
      <c s="54" r="E572">
        <v>65</v>
      </c>
      <c s="54" r="F572">
        <v>70</v>
      </c>
      <c s="2" r="G572">
        <v>92</v>
      </c>
      <c s="68" r="H572"/>
      <c s="19" r="I572">
        <f>INDEX('Speed Factors'!$A$2:$B$256,(G572),2)</f>
        <v>538</v>
      </c>
      <c s="19" r="J572">
        <f>SUM(B572:G572)</f>
        <v>509</v>
      </c>
      <c s="68" r="K572"/>
      <c s="38" r="L572">
        <f>((((B572*2)+141)*((D572*2)+36))/(402.744996))-24.57966407</f>
        <v>120.067694875709</v>
      </c>
      <c s="38" r="M572">
        <f>((((B572*2)+141)*((F572*2)+36))/(416.310724))-19.16575597</f>
        <v>120.768184333685</v>
      </c>
      <c s="38" r="N572">
        <f>(((((C572*2)+36)*((((C572*2)+36)*(I572/672))+415))/((((C572*2)+36)*(1-(I572/672)))+415))/(1.92306))-3.576327284</f>
        <v>185.434591392012</v>
      </c>
      <c s="38" r="O572">
        <f>(((((E572*2)+36)*((((E572*2)+36)*(I572/672))+415))/((((E572*2)+36)*(1-(I572/672)))+415))/(1.980931))+4.9921912</f>
        <v>107.454231287476</v>
      </c>
      <c s="68" r="P572"/>
      <c s="38" r="Q572">
        <f>((((L572+M572)+N572)+O572)/(1.535645))-60.47703745</f>
        <v>287.080309390502</v>
      </c>
      <c s="63" r="R572"/>
      <c s="26" r="S572"/>
      <c s="26" r="T572"/>
    </row>
    <row customHeight="1" r="573" ht="14.25">
      <c t="s" s="45" r="A573">
        <v>653</v>
      </c>
      <c s="57" r="B573">
        <v>70</v>
      </c>
      <c s="8" r="C573">
        <v>90</v>
      </c>
      <c s="8" r="D573">
        <v>45</v>
      </c>
      <c s="8" r="E573">
        <v>15</v>
      </c>
      <c s="8" r="F573">
        <v>45</v>
      </c>
      <c s="27" r="G573">
        <v>50</v>
      </c>
      <c s="68" r="H573"/>
      <c s="20" r="I573">
        <f>INDEX('Speed Factors'!$A$2:$B$256,(G573),2)</f>
        <v>189</v>
      </c>
      <c s="20" r="J573">
        <f>SUM(B573:G573)</f>
        <v>315</v>
      </c>
      <c s="68" r="K573"/>
      <c s="38" r="L573">
        <f>((((B573*2)+141)*((D573*2)+36))/(402.744996))-24.57966407</f>
        <v>63.332042721262</v>
      </c>
      <c s="38" r="M573">
        <f>((((B573*2)+141)*((F573*2)+36))/(416.310724))-19.16575597</f>
        <v>65.8812965291809</v>
      </c>
      <c s="38" r="N573">
        <f>(((((C573*2)+36)*((((C573*2)+36)*(I573/672))+415))/((((C573*2)+36)*(1-(I573/672)))+415))/(1.92306))-3.576327284</f>
        <v>90.1311873903536</v>
      </c>
      <c s="38" r="O573">
        <f>(((((E573*2)+36)*((((E573*2)+36)*(I573/672))+415))/((((E573*2)+36)*(1-(I573/672)))+415))/(1.980931))+4.9921912</f>
        <v>36.229474353426</v>
      </c>
      <c s="68" r="P573"/>
      <c s="38" r="Q573">
        <f>((((L573+M573)+N573)+O573)/(1.535645))-60.47703745</f>
        <v>105.950750869711</v>
      </c>
      <c s="63" r="R573"/>
      <c s="26" r="S573"/>
      <c s="26" r="T573"/>
    </row>
    <row customHeight="1" r="574" ht="14.25">
      <c t="s" s="45" r="A574">
        <v>654</v>
      </c>
      <c s="75" r="B574">
        <v>105</v>
      </c>
      <c s="54" r="C574">
        <v>140</v>
      </c>
      <c s="54" r="D574">
        <v>55</v>
      </c>
      <c s="54" r="E574">
        <v>30</v>
      </c>
      <c s="54" r="F574">
        <v>55</v>
      </c>
      <c s="2" r="G574">
        <v>95</v>
      </c>
      <c s="68" r="H574"/>
      <c s="19" r="I574">
        <f>INDEX('Speed Factors'!$A$2:$B$256,(G574),2)</f>
        <v>542</v>
      </c>
      <c s="19" r="J574">
        <f>SUM(B574:G574)</f>
        <v>480</v>
      </c>
      <c s="68" r="K574"/>
      <c s="38" r="L574">
        <f>((((B574*2)+141)*((D574*2)+36))/(402.744996))-24.57966407</f>
        <v>102.662140319793</v>
      </c>
      <c s="38" r="M574">
        <f>((((B574*2)+141)*((F574*2)+36))/(416.310724))-19.16575597</f>
        <v>103.929799935017</v>
      </c>
      <c s="38" r="N574">
        <f>(((((C574*2)+36)*((((C574*2)+36)*(I574/672))+415))/((((C574*2)+36)*(1-(I574/672)))+415))/(1.92306))-3.576327284</f>
        <v>227.607656878779</v>
      </c>
      <c s="38" r="O574">
        <f>(((((E574*2)+36)*((((E574*2)+36)*(I574/672))+415))/((((E574*2)+36)*(1-(I574/672)))+415))/(1.980931))+4.9921912</f>
        <v>60.0329576180554</v>
      </c>
      <c s="68" r="P574"/>
      <c s="38" r="Q574">
        <f>((((L574+M574)+N574)+O574)/(1.535645))-60.47703745</f>
        <v>261.363332395663</v>
      </c>
      <c s="63" r="R574"/>
      <c s="26" r="S574"/>
      <c s="26" r="T574"/>
    </row>
    <row customHeight="1" r="575" ht="14.25">
      <c t="s" s="45" r="A575">
        <v>655</v>
      </c>
      <c s="57" r="B575">
        <v>105</v>
      </c>
      <c s="8" r="C575">
        <v>30</v>
      </c>
      <c s="8" r="D575">
        <v>105</v>
      </c>
      <c s="8" r="E575">
        <v>140</v>
      </c>
      <c s="8" r="F575">
        <v>105</v>
      </c>
      <c s="27" r="G575">
        <v>55</v>
      </c>
      <c s="68" r="H575"/>
      <c s="20" r="I575">
        <f>INDEX('Speed Factors'!$A$2:$B$256,(G575),2)</f>
        <v>233</v>
      </c>
      <c s="20" r="J575">
        <f>SUM(B575:G575)</f>
        <v>540</v>
      </c>
      <c s="68" r="K575"/>
      <c s="38" r="L575">
        <f>((((B575*2)+141)*((D575*2)+36))/(402.744996))-24.57966407</f>
        <v>189.81406113472</v>
      </c>
      <c s="38" r="M575">
        <f>((((B575*2)+141)*((F575*2)+36))/(416.310724))-19.16575597</f>
        <v>188.241824527494</v>
      </c>
      <c s="38" r="N575">
        <f>(((((C575*2)+36)*((((C575*2)+36)*(I575/672))+415))/((((C575*2)+36)*(1-(I575/672)))+415))/(1.92306))-3.576327284</f>
        <v>43.2688696427282</v>
      </c>
      <c s="38" r="O575">
        <f>(((((E575*2)+36)*((((E575*2)+36)*(I575/672))+415))/((((E575*2)+36)*(1-(I575/672)))+415))/(1.980931))+4.9921912</f>
        <v>139.64706024235</v>
      </c>
      <c s="68" r="P575"/>
      <c s="38" r="Q575">
        <f>((((L575+M575)+N575)+O575)/(1.535645))-60.47703745</f>
        <v>304.823416461739</v>
      </c>
      <c s="63" r="R575"/>
      <c s="26" r="S575"/>
      <c s="26" r="T575"/>
    </row>
    <row customHeight="1" r="576" ht="14.25">
      <c t="s" s="45" r="A576">
        <v>656</v>
      </c>
      <c s="75" r="B576">
        <v>75</v>
      </c>
      <c s="54" r="C576">
        <v>86</v>
      </c>
      <c s="54" r="D576">
        <v>67</v>
      </c>
      <c s="54" r="E576">
        <v>106</v>
      </c>
      <c s="54" r="F576">
        <v>67</v>
      </c>
      <c s="2" r="G576">
        <v>60</v>
      </c>
      <c s="68" r="H576"/>
      <c s="19" r="I576">
        <f>INDEX('Speed Factors'!$A$2:$B$256,(G576),2)</f>
        <v>274</v>
      </c>
      <c s="19" r="J576">
        <f>SUM(B576:G576)</f>
        <v>461</v>
      </c>
      <c s="68" r="K576"/>
      <c s="38" r="L576">
        <f>((((B576*2)+141)*((D576*2)+36))/(402.744996))-24.57966407</f>
        <v>98.2524021042002</v>
      </c>
      <c s="38" r="M576">
        <f>((((B576*2)+141)*((F576*2)+36))/(416.310724))-19.16575597</f>
        <v>99.6637556137564</v>
      </c>
      <c s="38" r="N576">
        <f>(((((C576*2)+36)*((((C576*2)+36)*(I576/672))+415))/((((C576*2)+36)*(1-(I576/672)))+415))/(1.92306))-3.576327284</f>
        <v>96.8711466378441</v>
      </c>
      <c s="38" r="O576">
        <f>(((((E576*2)+36)*((((E576*2)+36)*(I576/672))+415))/((((E576*2)+36)*(1-(I576/672)))+415))/(1.980931))+4.9921912</f>
        <v>119.989561633825</v>
      </c>
      <c s="68" r="P576"/>
      <c s="38" r="Q576">
        <f>((((L576+M576)+N576)+O576)/(1.535645))-60.47703745</f>
        <v>209.622410006688</v>
      </c>
      <c s="63" r="R576"/>
      <c s="26" r="S576"/>
      <c s="26" r="T576"/>
    </row>
    <row customHeight="1" r="577" ht="14.25">
      <c t="s" s="45" r="A577">
        <v>657</v>
      </c>
      <c s="57" r="B577">
        <v>50</v>
      </c>
      <c s="8" r="C577">
        <v>65</v>
      </c>
      <c s="8" r="D577">
        <v>85</v>
      </c>
      <c s="8" r="E577">
        <v>35</v>
      </c>
      <c s="8" r="F577">
        <v>35</v>
      </c>
      <c s="27" r="G577">
        <v>55</v>
      </c>
      <c s="68" r="H577"/>
      <c s="20" r="I577">
        <f>INDEX('Speed Factors'!$A$2:$B$256,(G577),2)</f>
        <v>233</v>
      </c>
      <c s="20" r="J577">
        <f>SUM(B577:G577)</f>
        <v>325</v>
      </c>
      <c s="68" r="K577"/>
      <c s="38" r="L577">
        <f>((((B577*2)+141)*((D577*2)+36))/(402.744996))-24.57966407</f>
        <v>98.6894031886283</v>
      </c>
      <c s="38" r="M577">
        <f>((((B577*2)+141)*((F577*2)+36))/(416.310724))-19.16575597</f>
        <v>42.1970639798411</v>
      </c>
      <c s="38" r="N577">
        <f>(((((C577*2)+36)*((((C577*2)+36)*(I577/672))+415))/((((C577*2)+36)*(1-(I577/672)))+415))/(1.92306))-3.576327284</f>
        <v>74.3527020497403</v>
      </c>
      <c s="38" r="O577">
        <f>(((((E577*2)+36)*((((E577*2)+36)*(I577/672))+415))/((((E577*2)+36)*(1-(I577/672)))+415))/(1.980931))+4.9921912</f>
        <v>54.9117316951233</v>
      </c>
      <c s="68" r="P577"/>
      <c s="38" r="Q577">
        <f>((((L577+M577)+N577)+O577)/(1.535645))-60.47703745</f>
        <v>115.443113960862</v>
      </c>
      <c s="63" r="R577"/>
      <c s="26" r="S577"/>
      <c s="26" r="T577"/>
    </row>
    <row customHeight="1" r="578" ht="14.25">
      <c t="s" s="45" r="A578">
        <v>658</v>
      </c>
      <c s="75" r="B578">
        <v>70</v>
      </c>
      <c s="54" r="C578">
        <v>95</v>
      </c>
      <c s="54" r="D578">
        <v>125</v>
      </c>
      <c s="54" r="E578">
        <v>65</v>
      </c>
      <c s="54" r="F578">
        <v>75</v>
      </c>
      <c s="2" r="G578">
        <v>45</v>
      </c>
      <c s="68" r="H578"/>
      <c s="19" r="I578">
        <f>INDEX('Speed Factors'!$A$2:$B$256,(G578),2)</f>
        <v>154</v>
      </c>
      <c s="19" r="J578">
        <f>SUM(B578:G578)</f>
        <v>475</v>
      </c>
      <c s="68" r="K578"/>
      <c s="38" r="L578">
        <f>((((B578*2)+141)*((D578*2)+36))/(402.744996))-24.57966407</f>
        <v>174.965956106992</v>
      </c>
      <c s="38" r="M578">
        <f>((((B578*2)+141)*((F578*2)+36))/(416.310724))-19.16575597</f>
        <v>106.379892957362</v>
      </c>
      <c s="38" r="N578">
        <f>(((((C578*2)+36)*((((C578*2)+36)*(I578/672))+415))/((((C578*2)+36)*(1-(I578/672)))+415))/(1.92306))-3.576327284</f>
        <v>89.5279896649912</v>
      </c>
      <c s="38" r="O578">
        <f>(((((E578*2)+36)*((((E578*2)+36)*(I578/672))+415))/((((E578*2)+36)*(1-(I578/672)))+415))/(1.980931))+4.9921912</f>
        <v>74.9136342690051</v>
      </c>
      <c s="68" r="P578"/>
      <c s="38" r="Q578">
        <f>((((L578+M578)+N578)+O578)/(1.535645))-60.47703745</f>
        <v>229.816274479743</v>
      </c>
      <c s="63" r="R578"/>
      <c s="26" r="S578"/>
      <c s="26" r="T578"/>
    </row>
    <row customHeight="1" r="579" ht="14.25">
      <c t="s" s="45" r="A579">
        <v>659</v>
      </c>
      <c s="57" r="B579">
        <v>50</v>
      </c>
      <c s="8" r="C579">
        <v>75</v>
      </c>
      <c s="8" r="D579">
        <v>70</v>
      </c>
      <c s="8" r="E579">
        <v>35</v>
      </c>
      <c s="8" r="F579">
        <v>70</v>
      </c>
      <c s="27" r="G579">
        <v>48</v>
      </c>
      <c s="68" r="H579"/>
      <c s="20" r="I579">
        <f>INDEX('Speed Factors'!$A$2:$B$256,(G579),2)</f>
        <v>184</v>
      </c>
      <c s="20" r="J579">
        <f>SUM(B579:G579)</f>
        <v>348</v>
      </c>
      <c s="68" r="K579"/>
      <c s="38" r="L579">
        <f>((((B579*2)+141)*((D579*2)+36))/(402.744996))-24.57966407</f>
        <v>80.7375972771776</v>
      </c>
      <c s="38" r="M579">
        <f>((((B579*2)+141)*((F579*2)+36))/(416.310724))-19.16575597</f>
        <v>82.7196809278494</v>
      </c>
      <c s="38" r="N579">
        <f>(((((C579*2)+36)*((((C579*2)+36)*(I579/672))+415))/((((C579*2)+36)*(1-(I579/672)))+415))/(1.92306))-3.576327284</f>
        <v>78.3494111926895</v>
      </c>
      <c s="38" r="O579">
        <f>(((((E579*2)+36)*((((E579*2)+36)*(I579/672))+415))/((((E579*2)+36)*(1-(I579/672)))+415))/(1.980931))+4.9921912</f>
        <v>53.2868041814708</v>
      </c>
      <c s="68" r="P579"/>
      <c s="38" r="Q579">
        <f>((((L579+M579)+N579)+O579)/(1.535645))-60.47703745</f>
        <v>131.685535005996</v>
      </c>
      <c s="63" r="R579"/>
      <c s="26" r="S579"/>
      <c s="26" r="T579"/>
    </row>
    <row customHeight="1" r="580" ht="14.25">
      <c t="s" s="45" r="A580">
        <v>660</v>
      </c>
      <c s="75" r="B580">
        <v>65</v>
      </c>
      <c s="54" r="C580">
        <v>90</v>
      </c>
      <c s="54" r="D580">
        <v>115</v>
      </c>
      <c s="54" r="E580">
        <v>45</v>
      </c>
      <c s="54" r="F580">
        <v>115</v>
      </c>
      <c s="2" r="G580">
        <v>58</v>
      </c>
      <c s="68" r="H580"/>
      <c s="19" r="I580">
        <f>INDEX('Speed Factors'!$A$2:$B$256,(G580),2)</f>
        <v>267</v>
      </c>
      <c s="19" r="J580">
        <f>SUM(B580:G580)</f>
        <v>488</v>
      </c>
      <c s="68" r="K580"/>
      <c s="38" r="L580">
        <f>((((B580*2)+141)*((D580*2)+36))/(402.744996))-24.57966407</f>
        <v>154.407041453214</v>
      </c>
      <c s="38" r="M580">
        <f>((((B580*2)+141)*((F580*2)+36))/(416.310724))-19.16575597</f>
        <v>153.988563254311</v>
      </c>
      <c s="38" r="N580">
        <f>(((((C580*2)+36)*((((C580*2)+36)*(I580/672))+415))/((((C580*2)+36)*(1-(I580/672)))+415))/(1.92306))-3.576327284</f>
        <v>99.6059341427633</v>
      </c>
      <c s="38" r="O580">
        <f>(((((E580*2)+36)*((((E580*2)+36)*(I580/672))+415))/((((E580*2)+36)*(1-(I580/672)))+415))/(1.980931))+4.9921912</f>
        <v>65.2462506848367</v>
      </c>
      <c s="68" r="P580"/>
      <c s="38" r="Q580">
        <f>((((L580+M580)+N580)+O580)/(1.535645))-60.47703745</f>
        <v>247.698217596007</v>
      </c>
      <c s="63" r="R580"/>
      <c s="26" r="S580"/>
      <c s="26" r="T580"/>
    </row>
    <row customHeight="1" r="581" ht="14.25">
      <c t="s" s="45" r="A581">
        <v>661</v>
      </c>
      <c s="57" r="B581">
        <v>72</v>
      </c>
      <c s="8" r="C581">
        <v>58</v>
      </c>
      <c s="8" r="D581">
        <v>80</v>
      </c>
      <c s="8" r="E581">
        <v>103</v>
      </c>
      <c s="8" r="F581">
        <v>80</v>
      </c>
      <c s="27" r="G581">
        <v>97</v>
      </c>
      <c s="68" r="H581"/>
      <c s="20" r="I581">
        <f>INDEX('Speed Factors'!$A$2:$B$256,(G581),2)</f>
        <v>568</v>
      </c>
      <c s="20" r="J581">
        <f>SUM(B581:G581)</f>
        <v>490</v>
      </c>
      <c s="68" r="K581"/>
      <c s="38" r="L581">
        <f>((((B581*2)+141)*((D581*2)+36))/(402.744996))-24.57966407</f>
        <v>114.118521021789</v>
      </c>
      <c s="38" r="M581">
        <f>((((B581*2)+141)*((F581*2)+36))/(416.310724))-19.16575597</f>
        <v>115.012867783156</v>
      </c>
      <c s="38" r="N581">
        <f>(((((C581*2)+36)*((((C581*2)+36)*(I581/672))+415))/((((C581*2)+36)*(1-(I581/672)))+415))/(1.92306))-3.576327284</f>
        <v>94.381264029371</v>
      </c>
      <c s="38" r="O581">
        <f>(((((E581*2)+36)*((((E581*2)+36)*(I581/672))+415))/((((E581*2)+36)*(1-(I581/672)))+415))/(1.980931))+4.9921912</f>
        <v>172.273659540442</v>
      </c>
      <c s="68" r="P581"/>
      <c s="38" r="Q581">
        <f>((((L581+M581)+N581)+O581)/(1.535645))-60.47703745</f>
        <v>262.375127194015</v>
      </c>
      <c s="63" r="R581"/>
      <c s="26" r="S581"/>
      <c s="26" r="T581"/>
    </row>
    <row customHeight="1" r="582" ht="14.25">
      <c t="s" s="45" r="A582">
        <v>662</v>
      </c>
      <c s="75" r="B582">
        <v>38</v>
      </c>
      <c s="54" r="C582">
        <v>30</v>
      </c>
      <c s="54" r="D582">
        <v>85</v>
      </c>
      <c s="54" r="E582">
        <v>55</v>
      </c>
      <c s="54" r="F582">
        <v>65</v>
      </c>
      <c s="2" r="G582">
        <v>30</v>
      </c>
      <c s="68" r="H582"/>
      <c s="19" r="I582">
        <f>INDEX('Speed Factors'!$A$2:$B$256,(G582),2)</f>
        <v>44</v>
      </c>
      <c s="19" r="J582">
        <f>SUM(B582:G582)</f>
        <v>303</v>
      </c>
      <c s="68" r="K582"/>
      <c s="38" r="L582">
        <f>((((B582*2)+141)*((D582*2)+36))/(402.744996))-24.57966407</f>
        <v>86.4136454533292</v>
      </c>
      <c s="38" r="M582">
        <f>((((B582*2)+141)*((F582*2)+36))/(416.310724))-19.16575597</f>
        <v>67.3609605505189</v>
      </c>
      <c s="38" r="N582">
        <f>(((((C582*2)+36)*((((C582*2)+36)*(I582/672))+415))/((((C582*2)+36)*(1-(I582/672)))+415))/(1.92306))-3.576327284</f>
        <v>38.0923326354182</v>
      </c>
      <c s="38" r="O582">
        <f>(((((E582*2)+36)*((((E582*2)+36)*(I582/672))+415))/((((E582*2)+36)*(1-(I582/672)))+415))/(1.980931))+4.9921912</f>
        <v>61.7366494882346</v>
      </c>
      <c s="68" r="P582"/>
      <c s="38" r="Q582">
        <f>((((L582+M582)+N582)+O582)/(1.535645))-60.47703745</f>
        <v>104.667633439106</v>
      </c>
      <c s="63" r="R582"/>
      <c s="26" r="S582"/>
      <c s="26" r="T582"/>
    </row>
    <row customHeight="1" r="583" ht="14.25">
      <c t="s" s="45" r="A583">
        <v>663</v>
      </c>
      <c s="57" r="B583">
        <v>58</v>
      </c>
      <c s="8" r="C583">
        <v>50</v>
      </c>
      <c s="8" r="D583">
        <v>145</v>
      </c>
      <c s="8" r="E583">
        <v>95</v>
      </c>
      <c s="8" r="F583">
        <v>105</v>
      </c>
      <c s="27" r="G583">
        <v>30</v>
      </c>
      <c s="68" r="H583"/>
      <c s="20" r="I583">
        <f>INDEX('Speed Factors'!$A$2:$B$256,(G583),2)</f>
        <v>44</v>
      </c>
      <c s="20" r="J583">
        <f>SUM(B583:G583)</f>
        <v>483</v>
      </c>
      <c s="68" r="K583"/>
      <c s="38" r="L583">
        <f>((((B583*2)+141)*((D583*2)+36))/(402.744996))-24.57966407</f>
        <v>183.447749882028</v>
      </c>
      <c s="38" r="M583">
        <f>((((B583*2)+141)*((F583*2)+36))/(416.310724))-19.16575597</f>
        <v>132.696774479732</v>
      </c>
      <c s="38" r="N583">
        <f>(((((C583*2)+36)*((((C583*2)+36)*(I583/672))+415))/((((C583*2)+36)*(1-(I583/672)))+415))/(1.92306))-3.576327284</f>
        <v>51.7254102497162</v>
      </c>
      <c s="38" r="O583">
        <f>(((((E583*2)+36)*((((E583*2)+36)*(I583/672))+415))/((((E583*2)+36)*(1-(I583/672)))+415))/(1.980931))+4.9921912</f>
        <v>83.2969906256694</v>
      </c>
      <c s="68" r="P583"/>
      <c s="38" r="Q583">
        <f>((((L583+M583)+N583)+O583)/(1.535645))-60.47703745</f>
        <v>233.319331656887</v>
      </c>
      <c s="63" r="R583"/>
      <c s="26" r="S583"/>
      <c s="26" r="T583"/>
    </row>
    <row customHeight="1" r="584" ht="14.25">
      <c t="s" s="45" r="A584">
        <v>664</v>
      </c>
      <c s="75" r="B584">
        <v>54</v>
      </c>
      <c s="54" r="C584">
        <v>78</v>
      </c>
      <c s="54" r="D584">
        <v>103</v>
      </c>
      <c s="54" r="E584">
        <v>53</v>
      </c>
      <c s="54" r="F584">
        <v>45</v>
      </c>
      <c s="2" r="G584">
        <v>22</v>
      </c>
      <c s="68" r="H584"/>
      <c s="19" r="I584">
        <f>INDEX('Speed Factors'!$A$2:$B$256,(G584),2)</f>
        <v>27</v>
      </c>
      <c s="19" r="J584">
        <f>SUM(B584:G584)</f>
        <v>355</v>
      </c>
      <c s="68" r="K584"/>
      <c s="38" r="L584">
        <f>((((B584*2)+141)*((D584*2)+36))/(402.744996))-24.57966407</f>
        <v>125.038582211079</v>
      </c>
      <c s="38" r="M584">
        <f>((((B584*2)+141)*((F584*2)+36))/(416.310724))-19.16575597</f>
        <v>56.1962229349681</v>
      </c>
      <c s="38" r="N584">
        <f>(((((C584*2)+36)*((((C584*2)+36)*(I584/672))+415))/((((C584*2)+36)*(1-(I584/672)))+415))/(1.92306))-3.576327284</f>
        <v>66.8477870846784</v>
      </c>
      <c s="38" r="O584">
        <f>(((((E584*2)+36)*((((E584*2)+36)*(I584/672))+415))/((((E584*2)+36)*(1-(I584/672)))+415))/(1.980931))+4.9921912</f>
        <v>59.6954584243402</v>
      </c>
      <c s="68" r="P584"/>
      <c s="38" r="Q584">
        <f>((((L584+M584)+N584)+O584)/(1.535645))-60.47703745</f>
        <v>139.945619254554</v>
      </c>
      <c s="63" r="R584"/>
      <c s="26" r="S584"/>
      <c s="26" r="T584"/>
    </row>
    <row customHeight="1" r="585" ht="14.25">
      <c t="s" s="45" r="A585">
        <v>665</v>
      </c>
      <c s="57" r="B585">
        <v>74</v>
      </c>
      <c s="8" r="C585">
        <v>108</v>
      </c>
      <c s="8" r="D585">
        <v>133</v>
      </c>
      <c s="8" r="E585">
        <v>83</v>
      </c>
      <c s="8" r="F585">
        <v>65</v>
      </c>
      <c s="27" r="G585">
        <v>32</v>
      </c>
      <c s="68" r="H585"/>
      <c s="20" r="I585">
        <f>INDEX('Speed Factors'!$A$2:$B$256,(G585),2)</f>
        <v>77</v>
      </c>
      <c s="20" r="J585">
        <f>SUM(B585:G585)</f>
        <v>495</v>
      </c>
      <c s="68" r="K585"/>
      <c s="38" r="L585">
        <f>((((B585*2)+141)*((D585*2)+36))/(402.744996))-24.57966407</f>
        <v>192.128180513623</v>
      </c>
      <c s="38" r="M585">
        <f>((((B585*2)+141)*((F585*2)+36))/(416.310724))-19.16575597</f>
        <v>96.0702858476496</v>
      </c>
      <c s="38" r="N585">
        <f>(((((C585*2)+36)*((((C585*2)+36)*(I585/672))+415))/((((C585*2)+36)*(1-(I585/672)))+415))/(1.92306))-3.576327284</f>
        <v>87.57492342683</v>
      </c>
      <c s="38" r="O585">
        <f>(((((E585*2)+36)*((((E585*2)+36)*(I585/672))+415))/((((E585*2)+36)*(1-(I585/672)))+415))/(1.980931))+4.9921912</f>
        <v>80.2273598915075</v>
      </c>
      <c s="68" r="P585"/>
      <c s="38" r="Q585">
        <f>((((L585+M585)+N585)+O585)/(1.535645))-60.47703745</f>
        <v>236.467080285291</v>
      </c>
      <c s="63" r="R585"/>
      <c s="26" r="S585"/>
      <c s="26" r="T585"/>
    </row>
    <row customHeight="1" r="586" ht="14.25">
      <c t="s" s="45" r="A586">
        <v>666</v>
      </c>
      <c s="75" r="B586">
        <v>55</v>
      </c>
      <c s="54" r="C586">
        <v>112</v>
      </c>
      <c s="54" r="D586">
        <v>45</v>
      </c>
      <c s="54" r="E586">
        <v>74</v>
      </c>
      <c s="54" r="F586">
        <v>45</v>
      </c>
      <c s="2" r="G586">
        <v>70</v>
      </c>
      <c s="68" r="H586"/>
      <c s="19" r="I586">
        <f>INDEX('Speed Factors'!$A$2:$B$256,(G586),2)</f>
        <v>369</v>
      </c>
      <c s="19" r="J586">
        <f>SUM(B586:G586)</f>
        <v>401</v>
      </c>
      <c s="68" r="K586"/>
      <c s="38" r="L586">
        <f>((((B586*2)+141)*((D586*2)+36))/(402.744996))-24.57966407</f>
        <v>53.9464512488853</v>
      </c>
      <c s="38" r="M586">
        <f>((((B586*2)+141)*((F586*2)+36))/(416.310724))-19.16575597</f>
        <v>56.8015400346064</v>
      </c>
      <c s="38" r="N586">
        <f>(((((C586*2)+36)*((((C586*2)+36)*(I586/672))+415))/((((C586*2)+36)*(1-(I586/672)))+415))/(1.92306))-3.576327284</f>
        <v>138.111616432847</v>
      </c>
      <c s="38" r="O586">
        <f>(((((E586*2)+36)*((((E586*2)+36)*(I586/672))+415))/((((E586*2)+36)*(1-(I586/672)))+415))/(1.980931))+4.9921912</f>
        <v>101.248685023803</v>
      </c>
      <c s="68" r="P586"/>
      <c s="38" r="Q586">
        <f>((((L586+M586)+N586)+O586)/(1.535645))-60.47703745</f>
        <v>167.510741457327</v>
      </c>
      <c s="63" r="R586"/>
      <c s="26" r="S586"/>
      <c s="26" r="T586"/>
    </row>
    <row customHeight="1" r="587" ht="14.25">
      <c t="s" s="45" r="A587">
        <v>667</v>
      </c>
      <c s="57" r="B587">
        <v>75</v>
      </c>
      <c s="8" r="C587">
        <v>140</v>
      </c>
      <c s="8" r="D587">
        <v>65</v>
      </c>
      <c s="8" r="E587">
        <v>112</v>
      </c>
      <c s="8" r="F587">
        <v>65</v>
      </c>
      <c s="27" r="G587">
        <v>110</v>
      </c>
      <c s="68" r="H587"/>
      <c s="20" r="I587">
        <f>INDEX('Speed Factors'!$A$2:$B$256,(G587),2)</f>
        <v>627</v>
      </c>
      <c s="20" r="J587">
        <f>SUM(B587:G587)</f>
        <v>567</v>
      </c>
      <c s="68" r="K587"/>
      <c s="38" r="L587">
        <f>((((B587*2)+141)*((D587*2)+36))/(402.744996))-24.57966407</f>
        <v>95.3622358412778</v>
      </c>
      <c s="38" r="M587">
        <f>((((B587*2)+141)*((F587*2)+36))/(416.310724))-19.16575597</f>
        <v>96.8677671059033</v>
      </c>
      <c s="38" r="N587">
        <f>(((((C587*2)+36)*((((C587*2)+36)*(I587/672))+415))/((((C587*2)+36)*(1-(I587/672)))+415))/(1.92306))-3.576327284</f>
        <v>263.852200907928</v>
      </c>
      <c s="38" r="O587">
        <f>(((((E587*2)+36)*((((E587*2)+36)*(I587/672))+415))/((((E587*2)+36)*(1-(I587/672)))+415))/(1.980931))+4.9921912</f>
        <v>204.592993077714</v>
      </c>
      <c s="68" r="P587"/>
      <c s="38" r="Q587">
        <f>((((L587+M587)+N587)+O587)/(1.535645))-60.47703745</f>
        <v>369.749477749036</v>
      </c>
      <c s="63" r="R587"/>
      <c s="26" r="S587"/>
      <c s="26" r="T587"/>
    </row>
    <row customHeight="1" r="588" ht="14.25">
      <c t="s" s="45" r="A588">
        <v>668</v>
      </c>
      <c s="75" r="B588">
        <v>50</v>
      </c>
      <c s="54" r="C588">
        <v>50</v>
      </c>
      <c s="54" r="D588">
        <v>62</v>
      </c>
      <c s="54" r="E588">
        <v>40</v>
      </c>
      <c s="54" r="F588">
        <v>62</v>
      </c>
      <c s="2" r="G588">
        <v>65</v>
      </c>
      <c s="68" r="H588"/>
      <c s="19" r="I588">
        <f>INDEX('Speed Factors'!$A$2:$B$256,(G588),2)</f>
        <v>321</v>
      </c>
      <c s="19" r="J588">
        <f>SUM(B588:G588)</f>
        <v>329</v>
      </c>
      <c s="68" r="K588"/>
      <c s="38" r="L588">
        <f>((((B588*2)+141)*((D588*2)+36))/(402.744996))-24.57966407</f>
        <v>71.1633007910706</v>
      </c>
      <c s="38" r="M588">
        <f>((((B588*2)+141)*((F588*2)+36))/(416.310724))-19.16575597</f>
        <v>73.4573684825904</v>
      </c>
      <c s="38" r="N588">
        <f>(((((C588*2)+36)*((((C588*2)+36)*(I588/672))+415))/((((C588*2)+36)*(1-(I588/672)))+415))/(1.92306))-3.576327284</f>
        <v>66.2608718964765</v>
      </c>
      <c s="38" r="O588">
        <f>(((((E588*2)+36)*((((E588*2)+36)*(I588/672))+415))/((((E588*2)+36)*(1-(I588/672)))+415))/(1.980931))+4.9921912</f>
        <v>62.9128887624065</v>
      </c>
      <c s="68" r="P588"/>
      <c s="38" r="Q588">
        <f>((((L588+M588)+N588)+O588)/(1.535645))-60.47703745</f>
        <v>117.815751529578</v>
      </c>
      <c s="63" r="R588"/>
      <c s="26" r="S588"/>
      <c s="26" r="T588"/>
    </row>
    <row customHeight="1" r="589" ht="14.25">
      <c t="s" s="45" r="A589">
        <v>669</v>
      </c>
      <c s="57" r="B589">
        <v>80</v>
      </c>
      <c s="8" r="C589">
        <v>95</v>
      </c>
      <c s="8" r="D589">
        <v>82</v>
      </c>
      <c s="8" r="E589">
        <v>60</v>
      </c>
      <c s="8" r="F589">
        <v>82</v>
      </c>
      <c s="27" r="G589">
        <v>75</v>
      </c>
      <c s="68" r="H589"/>
      <c s="20" r="I589">
        <f>INDEX('Speed Factors'!$A$2:$B$256,(G589),2)</f>
        <v>413</v>
      </c>
      <c s="20" r="J589">
        <f>SUM(B589:G589)</f>
        <v>474</v>
      </c>
      <c s="68" r="K589"/>
      <c s="38" r="L589">
        <f>((((B589*2)+141)*((D589*2)+36))/(402.744996))-24.57966407</f>
        <v>124.894570490074</v>
      </c>
      <c s="38" r="M589">
        <f>((((B589*2)+141)*((F589*2)+36))/(416.310724))-19.16575597</f>
        <v>125.437773388038</v>
      </c>
      <c s="38" r="N589">
        <f>(((((C589*2)+36)*((((C589*2)+36)*(I589/672))+415))/((((C589*2)+36)*(1-(I589/672)))+415))/(1.92306))-3.576327284</f>
        <v>126.066913074461</v>
      </c>
      <c s="38" r="O589">
        <f>(((((E589*2)+36)*((((E589*2)+36)*(I589/672))+415))/((((E589*2)+36)*(1-(I589/672)))+415))/(1.980931))+4.9921912</f>
        <v>89.6685194990497</v>
      </c>
      <c s="68" r="P589"/>
      <c s="38" r="Q589">
        <f>((((L589+M589)+N589)+O589)/(1.535645))-60.47703745</f>
        <v>243.022649295063</v>
      </c>
      <c s="63" r="R589"/>
      <c s="26" r="S589"/>
      <c s="26" r="T589"/>
    </row>
    <row customHeight="1" r="590" ht="14.25">
      <c t="s" s="45" r="A590">
        <v>670</v>
      </c>
      <c s="75" r="B590">
        <v>40</v>
      </c>
      <c s="54" r="C590">
        <v>65</v>
      </c>
      <c s="54" r="D590">
        <v>40</v>
      </c>
      <c s="54" r="E590">
        <v>80</v>
      </c>
      <c s="54" r="F590">
        <v>40</v>
      </c>
      <c s="2" r="G590">
        <v>65</v>
      </c>
      <c s="68" r="H590"/>
      <c s="19" r="I590">
        <f>INDEX('Speed Factors'!$A$2:$B$256,(G590),2)</f>
        <v>321</v>
      </c>
      <c s="19" r="J590">
        <f>SUM(B590:G590)</f>
        <v>330</v>
      </c>
      <c s="68" r="K590"/>
      <c s="38" r="L590">
        <f>((((B590*2)+141)*((D590*2)+36))/(402.744996))-24.57966407</f>
        <v>39.0735166140873</v>
      </c>
      <c s="38" r="M590">
        <f>((((B590*2)+141)*((F590*2)+36))/(416.310724))-19.16575597</f>
        <v>42.4132486582834</v>
      </c>
      <c s="38" r="N590">
        <f>(((((C590*2)+36)*((((C590*2)+36)*(I590/672))+415))/((((C590*2)+36)*(1-(I590/672)))+415))/(1.92306))-3.576327284</f>
        <v>81.4693841906391</v>
      </c>
      <c s="38" r="O590">
        <f>(((((E590*2)+36)*((((E590*2)+36)*(I590/672))+415))/((((E590*2)+36)*(1-(I590/672)))+415))/(1.980931))+4.9921912</f>
        <v>102.262206995269</v>
      </c>
      <c s="68" r="P590"/>
      <c s="38" r="Q590">
        <f>((((L590+M590)+N590)+O590)/(1.535645))-60.47703745</f>
        <v>112.231079633231</v>
      </c>
      <c s="63" r="R590"/>
      <c s="26" r="S590"/>
      <c s="26" r="T590"/>
    </row>
    <row customHeight="1" r="591" ht="14.25">
      <c t="s" s="45" r="A591">
        <v>671</v>
      </c>
      <c s="57" r="B591">
        <v>60</v>
      </c>
      <c s="8" r="C591">
        <v>105</v>
      </c>
      <c s="8" r="D591">
        <v>60</v>
      </c>
      <c s="8" r="E591">
        <v>120</v>
      </c>
      <c s="8" r="F591">
        <v>60</v>
      </c>
      <c s="27" r="G591">
        <v>105</v>
      </c>
      <c s="68" r="H591"/>
      <c s="20" r="I591">
        <f>INDEX('Speed Factors'!$A$2:$B$256,(G591),2)</f>
        <v>609</v>
      </c>
      <c s="20" r="J591">
        <f>SUM(B591:G591)</f>
        <v>510</v>
      </c>
      <c s="68" r="K591"/>
      <c s="38" r="L591">
        <f>((((B591*2)+141)*((D591*2)+36))/(402.744996))-24.57966407</f>
        <v>76.516564075315</v>
      </c>
      <c s="38" r="M591">
        <f>((((B591*2)+141)*((F591*2)+36))/(416.310724))-19.16575597</f>
        <v>78.6361925572736</v>
      </c>
      <c s="38" r="N591">
        <f>(((((C591*2)+36)*((((C591*2)+36)*(I591/672))+415))/((((C591*2)+36)*(1-(I591/672)))+415))/(1.92306))-3.576327284</f>
        <v>182.711435603742</v>
      </c>
      <c s="38" r="O591">
        <f>(((((E591*2)+36)*((((E591*2)+36)*(I591/672))+415))/((((E591*2)+36)*(1-(I591/672)))+415))/(1.980931))+4.9921912</f>
        <v>215.189684667871</v>
      </c>
      <c s="68" r="P591"/>
      <c s="38" r="Q591">
        <f>((((L591+M591)+N591)+O591)/(1.535645))-60.47703745</f>
        <v>299.667316814301</v>
      </c>
      <c s="63" r="R591"/>
      <c s="26" r="S591"/>
      <c s="26" r="T591"/>
    </row>
    <row customHeight="1" r="592" ht="14.25">
      <c t="s" s="45" r="A592">
        <v>672</v>
      </c>
      <c s="75" r="B592">
        <v>55</v>
      </c>
      <c s="54" r="C592">
        <v>50</v>
      </c>
      <c s="54" r="D592">
        <v>40</v>
      </c>
      <c s="54" r="E592">
        <v>40</v>
      </c>
      <c s="54" r="F592">
        <v>40</v>
      </c>
      <c s="2" r="G592">
        <v>75</v>
      </c>
      <c s="68" r="H592"/>
      <c s="19" r="I592">
        <f>INDEX('Speed Factors'!$A$2:$B$256,(G592),2)</f>
        <v>413</v>
      </c>
      <c s="19" r="J592">
        <f>SUM(B592:G592)</f>
        <v>300</v>
      </c>
      <c s="68" r="K592"/>
      <c s="38" r="L592">
        <f>((((B592*2)+141)*((D592*2)+36))/(402.744996))-24.57966407</f>
        <v>47.7142198743706</v>
      </c>
      <c s="38" r="M592">
        <f>((((B592*2)+141)*((F592*2)+36))/(416.310724))-19.16575597</f>
        <v>50.7723895580503</v>
      </c>
      <c s="38" r="N592">
        <f>(((((C592*2)+36)*((((C592*2)+36)*(I592/672))+415))/((((C592*2)+36)*(1-(I592/672)))+415))/(1.92306))-3.576327284</f>
        <v>71.8598437748437</v>
      </c>
      <c s="38" r="O592">
        <f>(((((E592*2)+36)*((((E592*2)+36)*(I592/672))+415))/((((E592*2)+36)*(1-(I592/672)))+415))/(1.980931))+4.9921912</f>
        <v>66.9367396829544</v>
      </c>
      <c s="68" r="P592"/>
      <c s="38" r="Q592">
        <f>((((L592+M592)+N592)+O592)/(1.535645))-60.47703745</f>
        <v>94.0399198482161</v>
      </c>
      <c s="63" r="R592"/>
      <c s="26" r="S592"/>
      <c s="26" r="T592"/>
    </row>
    <row customHeight="1" r="593" ht="14.25">
      <c t="s" s="45" r="A593">
        <v>673</v>
      </c>
      <c s="57" r="B593">
        <v>75</v>
      </c>
      <c s="8" r="C593">
        <v>95</v>
      </c>
      <c s="8" r="D593">
        <v>60</v>
      </c>
      <c s="8" r="E593">
        <v>65</v>
      </c>
      <c s="8" r="F593">
        <v>60</v>
      </c>
      <c s="27" r="G593">
        <v>115</v>
      </c>
      <c s="68" r="H593"/>
      <c s="20" r="I593">
        <f>INDEX('Speed Factors'!$A$2:$B$256,(G593),2)</f>
        <v>642</v>
      </c>
      <c s="20" r="J593">
        <f>SUM(B593:G593)</f>
        <v>470</v>
      </c>
      <c s="68" r="K593"/>
      <c s="38" r="L593">
        <f>((((B593*2)+141)*((D593*2)+36))/(402.744996))-24.57966407</f>
        <v>88.136820183972</v>
      </c>
      <c s="38" r="M593">
        <f>((((B593*2)+141)*((F593*2)+36))/(416.310724))-19.16575597</f>
        <v>89.8777958362706</v>
      </c>
      <c s="38" r="N593">
        <f>(((((C593*2)+36)*((((C593*2)+36)*(I593/672))+415))/((((C593*2)+36)*(1-(I593/672)))+415))/(1.92306))-3.576327284</f>
        <v>170.846510724561</v>
      </c>
      <c s="38" r="O593">
        <f>(((((E593*2)+36)*((((E593*2)+36)*(I593/672))+415))/((((E593*2)+36)*(1-(I593/672)))+415))/(1.980931))+4.9921912</f>
        <v>118.782386979555</v>
      </c>
      <c s="68" r="P593"/>
      <c s="38" r="Q593">
        <f>((((L593+M593)+N593)+O593)/(1.535645))-60.47703745</f>
        <v>244.048757069149</v>
      </c>
      <c s="63" r="R593"/>
      <c s="26" r="S593"/>
      <c s="26" r="T593"/>
    </row>
    <row customHeight="1" r="594" ht="14.25">
      <c t="s" s="45" r="A594">
        <v>674</v>
      </c>
      <c s="75" r="B594">
        <v>45</v>
      </c>
      <c s="54" r="C594">
        <v>30</v>
      </c>
      <c s="54" r="D594">
        <v>50</v>
      </c>
      <c s="54" r="E594">
        <v>55</v>
      </c>
      <c s="54" r="F594">
        <v>65</v>
      </c>
      <c s="2" r="G594">
        <v>45</v>
      </c>
      <c s="68" r="H594"/>
      <c s="19" r="I594">
        <f>INDEX('Speed Factors'!$A$2:$B$256,(G594),2)</f>
        <v>154</v>
      </c>
      <c s="19" r="J594">
        <f>SUM(B594:G594)</f>
        <v>290</v>
      </c>
      <c s="68" r="K594"/>
      <c s="38" r="L594">
        <f>((((B594*2)+141)*((D594*2)+36))/(402.744996))-24.57966407</f>
        <v>53.4250295004199</v>
      </c>
      <c s="38" r="M594">
        <f>((((B594*2)+141)*((F594*2)+36))/(416.310724))-19.16575597</f>
        <v>72.9433293582944</v>
      </c>
      <c s="38" r="N594">
        <f>(((((C594*2)+36)*((((C594*2)+36)*(I594/672))+415))/((((C594*2)+36)*(1-(I594/672)))+415))/(1.92306))-3.576327284</f>
        <v>41.035599043283</v>
      </c>
      <c s="38" r="O594">
        <f>(((((E594*2)+36)*((((E594*2)+36)*(I594/672))+415))/((((E594*2)+36)*(1-(I594/672)))+415))/(1.980931))+4.9921912</f>
        <v>67.6461964105793</v>
      </c>
      <c s="68" r="P594"/>
      <c s="38" r="Q594">
        <f>((((L594+M594)+N594)+O594)/(1.535645))-60.47703745</f>
        <v>92.5857826110015</v>
      </c>
      <c s="63" r="R594"/>
      <c s="26" r="S594"/>
      <c s="26" r="T594"/>
    </row>
    <row customHeight="1" r="595" ht="14.25">
      <c t="s" s="45" r="A595">
        <v>675</v>
      </c>
      <c s="57" r="B595">
        <v>60</v>
      </c>
      <c s="8" r="C595">
        <v>45</v>
      </c>
      <c s="8" r="D595">
        <v>70</v>
      </c>
      <c s="8" r="E595">
        <v>75</v>
      </c>
      <c s="8" r="F595">
        <v>85</v>
      </c>
      <c s="27" r="G595">
        <v>55</v>
      </c>
      <c s="68" r="H595"/>
      <c s="20" r="I595">
        <f>INDEX('Speed Factors'!$A$2:$B$256,(G595),2)</f>
        <v>233</v>
      </c>
      <c s="20" r="J595">
        <f>SUM(B595:G595)</f>
        <v>390</v>
      </c>
      <c s="68" r="K595"/>
      <c s="38" r="L595">
        <f>((((B595*2)+141)*((D595*2)+36))/(402.744996))-24.57966407</f>
        <v>89.47761896574</v>
      </c>
      <c s="38" r="M595">
        <f>((((B595*2)+141)*((F595*2)+36))/(416.310724))-19.16575597</f>
        <v>109.9829709314</v>
      </c>
      <c s="38" r="N595">
        <f>(((((C595*2)+36)*((((C595*2)+36)*(I595/672))+415))/((((C595*2)+36)*(1-(I595/672)))+415))/(1.92306))-3.576327284</f>
        <v>56.855432365177</v>
      </c>
      <c s="38" r="O595">
        <f>(((((E595*2)+36)*((((E595*2)+36)*(I595/672))+415))/((((E595*2)+36)*(1-(I595/672)))+415))/(1.980931))+4.9921912</f>
        <v>88.9086534408166</v>
      </c>
      <c s="68" r="P595"/>
      <c s="38" r="Q595">
        <f>((((L595+M595)+N595)+O595)/(1.535645))-60.47703745</f>
        <v>164.330568281229</v>
      </c>
      <c s="63" r="R595"/>
      <c s="26" r="S595"/>
      <c s="26" r="T595"/>
    </row>
    <row customHeight="1" r="596" ht="14.25">
      <c t="s" s="45" r="A596">
        <v>676</v>
      </c>
      <c s="75" r="B596">
        <v>70</v>
      </c>
      <c s="54" r="C596">
        <v>55</v>
      </c>
      <c s="54" r="D596">
        <v>95</v>
      </c>
      <c s="54" r="E596">
        <v>95</v>
      </c>
      <c s="54" r="F596">
        <v>110</v>
      </c>
      <c s="2" r="G596">
        <v>65</v>
      </c>
      <c s="68" r="H596"/>
      <c s="19" r="I596">
        <f>INDEX('Speed Factors'!$A$2:$B$256,(G596),2)</f>
        <v>321</v>
      </c>
      <c s="19" r="J596">
        <f>SUM(B596:G596)</f>
        <v>490</v>
      </c>
      <c s="68" r="K596"/>
      <c s="38" r="L596">
        <f>((((B596*2)+141)*((D596*2)+36))/(402.744996))-24.57966407</f>
        <v>133.103238587343</v>
      </c>
      <c s="38" r="M596">
        <f>((((B596*2)+141)*((F596*2)+36))/(416.310724))-19.16575597</f>
        <v>153.628255456907</v>
      </c>
      <c s="38" r="N596">
        <f>(((((C596*2)+36)*((((C596*2)+36)*(I596/672))+415))/((((C596*2)+36)*(1-(I596/672)))+415))/(1.92306))-3.576327284</f>
        <v>71.3370510973295</v>
      </c>
      <c s="38" r="O596">
        <f>(((((E596*2)+36)*((((E596*2)+36)*(I596/672))+415))/((((E596*2)+36)*(1-(I596/672)))+415))/(1.980931))+4.9921912</f>
        <v>116.920546962712</v>
      </c>
      <c s="68" r="P596"/>
      <c s="38" r="Q596">
        <f>((((L596+M596)+N596)+O596)/(1.535645))-60.47703745</f>
        <v>248.832140194763</v>
      </c>
      <c s="63" r="R596"/>
      <c s="26" r="S596"/>
      <c s="26" r="T596"/>
    </row>
    <row customHeight="1" r="597" ht="14.25">
      <c t="s" s="45" r="A597">
        <v>677</v>
      </c>
      <c s="57" r="B597">
        <v>45</v>
      </c>
      <c s="8" r="C597">
        <v>30</v>
      </c>
      <c s="8" r="D597">
        <v>40</v>
      </c>
      <c s="8" r="E597">
        <v>105</v>
      </c>
      <c s="8" r="F597">
        <v>50</v>
      </c>
      <c s="27" r="G597">
        <v>20</v>
      </c>
      <c s="68" r="H597"/>
      <c s="20" r="I597">
        <f>INDEX('Speed Factors'!$A$2:$B$256,(G597),2)</f>
        <v>14</v>
      </c>
      <c s="20" r="J597">
        <f>SUM(B597:G597)</f>
        <v>290</v>
      </c>
      <c s="68" r="K597"/>
      <c s="38" r="L597">
        <f>((((B597*2)+141)*((D597*2)+36))/(402.744996))-24.57966407</f>
        <v>41.9537510341817</v>
      </c>
      <c s="38" r="M597">
        <f>((((B597*2)+141)*((F597*2)+36))/(416.310724))-19.16575597</f>
        <v>56.2971091182412</v>
      </c>
      <c s="38" r="N597">
        <f>(((((C597*2)+36)*((((C597*2)+36)*(I597/672))+415))/((((C597*2)+36)*(1-(I597/672)))+415))/(1.92306))-3.576327284</f>
        <v>37.3211642445738</v>
      </c>
      <c s="38" r="O597">
        <f>(((((E597*2)+36)*((((E597*2)+36)*(I597/672))+415))/((((E597*2)+36)*(1-(I597/672)))+415))/(1.980931))+4.9921912</f>
        <v>84.5390815693945</v>
      </c>
      <c s="68" r="P597"/>
      <c s="38" r="Q597">
        <f>((((L597+M597)+N597)+O597)/(1.535645))-60.47703745</f>
        <v>82.8575912997378</v>
      </c>
      <c s="63" r="R597"/>
      <c s="26" r="S597"/>
      <c s="26" r="T597"/>
    </row>
    <row customHeight="1" r="598" ht="14.25">
      <c t="s" s="45" r="A598">
        <v>678</v>
      </c>
      <c s="75" r="B598">
        <v>65</v>
      </c>
      <c s="54" r="C598">
        <v>40</v>
      </c>
      <c s="54" r="D598">
        <v>50</v>
      </c>
      <c s="54" r="E598">
        <v>125</v>
      </c>
      <c s="54" r="F598">
        <v>60</v>
      </c>
      <c s="2" r="G598">
        <v>30</v>
      </c>
      <c s="68" r="H598"/>
      <c s="19" r="I598">
        <f>INDEX('Speed Factors'!$A$2:$B$256,(G598),2)</f>
        <v>44</v>
      </c>
      <c s="19" r="J598">
        <f>SUM(B598:G598)</f>
        <v>370</v>
      </c>
      <c s="68" r="K598"/>
      <c s="38" r="L598">
        <f>((((B598*2)+141)*((D598*2)+36))/(402.744996))-24.57966407</f>
        <v>66.9323357463801</v>
      </c>
      <c s="38" r="M598">
        <f>((((B598*2)+141)*((F598*2)+36))/(416.310724))-19.16575597</f>
        <v>82.3833936502726</v>
      </c>
      <c s="38" r="N598">
        <f>(((((C598*2)+36)*((((C598*2)+36)*(I598/672))+415))/((((C598*2)+36)*(1-(I598/672)))+415))/(1.92306))-3.576327284</f>
        <v>45.1262656985817</v>
      </c>
      <c s="38" r="O598">
        <f>(((((E598*2)+36)*((((E598*2)+36)*(I598/672))+415))/((((E598*2)+36)*(1-(I598/672)))+415))/(1.980931))+4.9921912</f>
        <v>96.7733701772308</v>
      </c>
      <c s="68" r="P598"/>
      <c s="38" r="Q598">
        <f>((((L598+M598)+N598)+O598)/(1.535645))-60.47703745</f>
        <v>129.160128218149</v>
      </c>
      <c s="63" r="R598"/>
      <c s="26" r="S598"/>
      <c s="26" r="T598"/>
    </row>
    <row customHeight="1" r="599" ht="14.25">
      <c t="s" s="45" r="A599">
        <v>93</v>
      </c>
      <c s="57" r="B599">
        <v>110</v>
      </c>
      <c s="8" r="C599">
        <v>65</v>
      </c>
      <c s="8" r="D599">
        <v>75</v>
      </c>
      <c s="8" r="E599">
        <v>125</v>
      </c>
      <c s="8" r="F599">
        <v>85</v>
      </c>
      <c s="27" r="G599">
        <v>30</v>
      </c>
      <c s="68" r="H599"/>
      <c s="20" r="I599">
        <f>INDEX('Speed Factors'!$A$2:$B$256,(G599),2)</f>
        <v>44</v>
      </c>
      <c s="20" r="J599">
        <f>SUM(B599:G599)</f>
        <v>490</v>
      </c>
      <c s="68" r="K599"/>
      <c s="38" r="L599">
        <f>((((B599*2)+141)*((D599*2)+36))/(402.744996))-24.57966407</f>
        <v>142.141215560743</v>
      </c>
      <c s="38" r="M599">
        <f>((((B599*2)+141)*((F599*2)+36))/(416.310724))-19.16575597</f>
        <v>159.465241774848</v>
      </c>
      <c s="38" r="N599">
        <f>(((((C599*2)+36)*((((C599*2)+36)*(I599/672))+415))/((((C599*2)+36)*(1-(I599/672)))+415))/(1.92306))-3.576327284</f>
        <v>60.9024377027887</v>
      </c>
      <c s="38" r="O599">
        <f>(((((E599*2)+36)*((((E599*2)+36)*(I599/672))+415))/((((E599*2)+36)*(1-(I599/672)))+415))/(1.980931))+4.9921912</f>
        <v>96.7733701772308</v>
      </c>
      <c s="68" r="P599"/>
      <c s="38" r="Q599">
        <f>((((L599+M599)+N599)+O599)/(1.535645))-60.47703745</f>
        <v>238.603977508282</v>
      </c>
      <c s="63" r="R599"/>
      <c s="26" r="S599"/>
      <c s="26" r="T599"/>
    </row>
    <row customHeight="1" r="600" ht="14.25">
      <c t="s" s="45" r="A600">
        <v>679</v>
      </c>
      <c s="75" r="B600">
        <v>62</v>
      </c>
      <c s="54" r="C600">
        <v>44</v>
      </c>
      <c s="54" r="D600">
        <v>50</v>
      </c>
      <c s="54" r="E600">
        <v>44</v>
      </c>
      <c s="54" r="F600">
        <v>50</v>
      </c>
      <c s="2" r="G600">
        <v>55</v>
      </c>
      <c s="68" r="H600"/>
      <c s="19" r="I600">
        <f>INDEX('Speed Factors'!$A$2:$B$256,(G600),2)</f>
        <v>233</v>
      </c>
      <c s="19" r="J600">
        <f>SUM(B600:G600)</f>
        <v>305</v>
      </c>
      <c s="68" r="K600"/>
      <c s="38" r="L600">
        <f>((((B600*2)+141)*((D600*2)+36))/(402.744996))-24.57966407</f>
        <v>64.9062398094861</v>
      </c>
      <c s="38" r="M600">
        <f>((((B600*2)+141)*((F600*2)+36))/(416.310724))-19.16575597</f>
        <v>67.4041974862074</v>
      </c>
      <c s="38" r="N600">
        <f>(((((C600*2)+36)*((((C600*2)+36)*(I600/672))+415))/((((C600*2)+36)*(1-(I600/672)))+415))/(1.92306))-3.576327284</f>
        <v>55.962708342121</v>
      </c>
      <c s="38" r="O600">
        <f>(((((E600*2)+36)*((((E600*2)+36)*(I600/672))+415))/((((E600*2)+36)*(1-(I600/672)))+415))/(1.980931))+4.9921912</f>
        <v>62.7918509817734</v>
      </c>
      <c s="68" r="P600"/>
      <c s="38" r="Q600">
        <f>((((L600+M600)+N600)+O600)/(1.535645))-60.47703745</f>
        <v>103.014522526158</v>
      </c>
      <c s="63" r="R600"/>
      <c s="26" r="S600"/>
      <c s="26" r="T600"/>
    </row>
    <row customHeight="1" r="601" ht="14.25">
      <c t="s" s="45" r="A601">
        <v>680</v>
      </c>
      <c s="57" r="B601">
        <v>75</v>
      </c>
      <c s="8" r="C601">
        <v>87</v>
      </c>
      <c s="8" r="D601">
        <v>63</v>
      </c>
      <c s="8" r="E601">
        <v>87</v>
      </c>
      <c s="8" r="F601">
        <v>63</v>
      </c>
      <c s="27" r="G601">
        <v>98</v>
      </c>
      <c s="68" r="H601"/>
      <c s="20" r="I601">
        <f>INDEX('Speed Factors'!$A$2:$B$256,(G601),2)</f>
        <v>572</v>
      </c>
      <c s="20" r="J601">
        <f>SUM(B601:G601)</f>
        <v>473</v>
      </c>
      <c s="68" r="K601"/>
      <c s="38" r="L601">
        <f>((((B601*2)+141)*((D601*2)+36))/(402.744996))-24.57966407</f>
        <v>92.4720695783555</v>
      </c>
      <c s="38" r="M601">
        <f>((((B601*2)+141)*((F601*2)+36))/(416.310724))-19.16575597</f>
        <v>94.0717785980502</v>
      </c>
      <c s="38" r="N601">
        <f>(((((C601*2)+36)*((((C601*2)+36)*(I601/672))+415))/((((C601*2)+36)*(1-(I601/672)))+415))/(1.92306))-3.576327284</f>
        <v>141.719068962546</v>
      </c>
      <c s="38" r="O601">
        <f>(((((E601*2)+36)*((((E601*2)+36)*(I601/672))+415))/((((E601*2)+36)*(1-(I601/672)))+415))/(1.980931))+4.9921912</f>
        <v>146.042921743306</v>
      </c>
      <c s="68" r="P601"/>
      <c s="38" r="Q601">
        <f>((((L601+M601)+N601)+O601)/(1.535645))-60.47703745</f>
        <v>248.387211046402</v>
      </c>
      <c s="63" r="R601"/>
      <c s="26" r="S601"/>
      <c s="26" r="T601"/>
    </row>
    <row customHeight="1" r="602" ht="14.25">
      <c t="s" s="45" r="A602">
        <v>681</v>
      </c>
      <c s="75" r="B602">
        <v>36</v>
      </c>
      <c s="54" r="C602">
        <v>50</v>
      </c>
      <c s="54" r="D602">
        <v>50</v>
      </c>
      <c s="54" r="E602">
        <v>65</v>
      </c>
      <c s="54" r="F602">
        <v>60</v>
      </c>
      <c s="2" r="G602">
        <v>44</v>
      </c>
      <c s="68" r="H602"/>
      <c s="19" r="I602">
        <f>INDEX('Speed Factors'!$A$2:$B$256,(G602),2)</f>
        <v>153</v>
      </c>
      <c s="19" r="J602">
        <f>SUM(B602:G602)</f>
        <v>305</v>
      </c>
      <c s="68" r="K602"/>
      <c s="38" r="L602">
        <f>((((B602*2)+141)*((D602*2)+36))/(402.744996))-24.57966407</f>
        <v>47.3467416897379</v>
      </c>
      <c s="38" r="M602">
        <f>((((B602*2)+141)*((F602*2)+36))/(416.310724))-19.16575597</f>
        <v>60.6496273108784</v>
      </c>
      <c s="38" r="N602">
        <f>(((((C602*2)+36)*((((C602*2)+36)*(I602/672))+415))/((((C602*2)+36)*(1-(I602/672)))+415))/(1.92306))-3.576327284</f>
        <v>57.0711839568501</v>
      </c>
      <c s="38" r="O602">
        <f>(((((E602*2)+36)*((((E602*2)+36)*(I602/672))+415))/((((E602*2)+36)*(1-(I602/672)))+415))/(1.980931))+4.9921912</f>
        <v>74.843729573936</v>
      </c>
      <c s="68" r="P602"/>
      <c s="38" r="Q602">
        <f>((((L602+M602)+N602)+O602)/(1.535645))-60.47703745</f>
        <v>95.7513112447845</v>
      </c>
      <c s="63" r="R602"/>
      <c s="26" r="S602"/>
      <c s="26" r="T602"/>
    </row>
    <row customHeight="1" r="603" ht="14.25">
      <c t="s" s="45" r="A603">
        <v>682</v>
      </c>
      <c s="57" r="B603">
        <v>51</v>
      </c>
      <c s="8" r="C603">
        <v>65</v>
      </c>
      <c s="8" r="D603">
        <v>65</v>
      </c>
      <c s="8" r="E603">
        <v>80</v>
      </c>
      <c s="8" r="F603">
        <v>75</v>
      </c>
      <c s="27" r="G603">
        <v>59</v>
      </c>
      <c s="68" r="H603"/>
      <c s="20" r="I603">
        <f>INDEX('Speed Factors'!$A$2:$B$256,(G603),2)</f>
        <v>273</v>
      </c>
      <c s="20" r="J603">
        <f>SUM(B603:G603)</f>
        <v>395</v>
      </c>
      <c s="68" r="K603"/>
      <c s="38" r="L603">
        <f>((((B603*2)+141)*((D603*2)+36))/(402.744996))-24.57966407</f>
        <v>75.5780049280774</v>
      </c>
      <c s="38" r="M603">
        <f>((((B603*2)+141)*((F603*2)+36))/(416.310724))-19.16575597</f>
        <v>89.4021895436976</v>
      </c>
      <c s="38" r="N603">
        <f>(((((C603*2)+36)*((((C603*2)+36)*(I603/672))+415))/((((C603*2)+36)*(1-(I603/672)))+415))/(1.92306))-3.576327284</f>
        <v>77.5128711494311</v>
      </c>
      <c s="38" r="O603">
        <f>(((((E603*2)+36)*((((E603*2)+36)*(I603/672))+415))/((((E603*2)+36)*(1-(I603/672)))+415))/(1.980931))+4.9921912</f>
        <v>97.0926234060129</v>
      </c>
      <c s="68" r="P603"/>
      <c s="38" r="Q603">
        <f>((((L603+M603)+N603)+O603)/(1.535645))-60.47703745</f>
        <v>160.658504310771</v>
      </c>
      <c s="63" r="R603"/>
      <c s="26" r="S603"/>
      <c s="26" r="T603"/>
    </row>
    <row customHeight="1" r="604" ht="14.25">
      <c t="s" s="45" r="A604">
        <v>683</v>
      </c>
      <c s="75" r="B604">
        <v>71</v>
      </c>
      <c s="54" r="C604">
        <v>95</v>
      </c>
      <c s="54" r="D604">
        <v>85</v>
      </c>
      <c s="54" r="E604">
        <v>110</v>
      </c>
      <c s="54" r="F604">
        <v>95</v>
      </c>
      <c s="2" r="G604">
        <v>79</v>
      </c>
      <c s="68" r="H604"/>
      <c s="19" r="I604">
        <f>INDEX('Speed Factors'!$A$2:$B$256,(G604),2)</f>
        <v>431</v>
      </c>
      <c s="19" r="J604">
        <f>SUM(B604:G604)</f>
        <v>535</v>
      </c>
      <c s="68" r="K604"/>
      <c s="38" r="L604">
        <f>((((B604*2)+141)*((D604*2)+36))/(402.744996))-24.57966407</f>
        <v>120.171979225402</v>
      </c>
      <c s="38" r="M604">
        <f>((((B604*2)+141)*((F604*2)+36))/(416.310724))-19.16575597</f>
        <v>134.464684738993</v>
      </c>
      <c s="38" r="N604">
        <f>(((((C604*2)+36)*((((C604*2)+36)*(I604/672))+415))/((((C604*2)+36)*(1-(I604/672)))+415))/(1.92306))-3.576327284</f>
        <v>129.08319126242</v>
      </c>
      <c s="38" r="O604">
        <f>(((((E604*2)+36)*((((E604*2)+36)*(I604/672))+415))/((((E604*2)+36)*(1-(I604/672)))+415))/(1.980931))+4.9921912</f>
        <v>152.680889082444</v>
      </c>
      <c s="68" r="P604"/>
      <c s="38" r="Q604">
        <f>((((L604+M604)+N604)+O604)/(1.535645))-60.47703745</f>
        <v>288.822927261413</v>
      </c>
      <c s="63" r="R604"/>
      <c s="26" r="S604"/>
      <c s="26" r="T604"/>
    </row>
    <row customHeight="1" r="605" ht="14.25">
      <c t="s" s="45" r="A605">
        <v>684</v>
      </c>
      <c s="57" r="B605">
        <v>60</v>
      </c>
      <c s="8" r="C605">
        <v>60</v>
      </c>
      <c s="8" r="D605">
        <v>50</v>
      </c>
      <c s="8" r="E605">
        <v>40</v>
      </c>
      <c s="8" r="F605">
        <v>50</v>
      </c>
      <c s="27" r="G605">
        <v>75</v>
      </c>
      <c s="68" r="H605"/>
      <c s="20" r="I605">
        <f>INDEX('Speed Factors'!$A$2:$B$256,(G605),2)</f>
        <v>413</v>
      </c>
      <c s="20" r="J605">
        <f>SUM(B605:G605)</f>
        <v>335</v>
      </c>
      <c s="68" r="K605"/>
      <c s="38" r="L605">
        <f>((((B605*2)+141)*((D605*2)+36))/(402.744996))-24.57966407</f>
        <v>63.55550918489</v>
      </c>
      <c s="38" r="M605">
        <f>((((B605*2)+141)*((F605*2)+36))/(416.310724))-19.16575597</f>
        <v>66.0974812076231</v>
      </c>
      <c s="38" r="N605">
        <f>(((((C605*2)+36)*((((C605*2)+36)*(I605/672))+415))/((((C605*2)+36)*(1-(I605/672)))+415))/(1.92306))-3.576327284</f>
        <v>83.6481814124342</v>
      </c>
      <c s="38" r="O605">
        <f>(((((E605*2)+36)*((((E605*2)+36)*(I605/672))+415))/((((E605*2)+36)*(1-(I605/672)))+415))/(1.980931))+4.9921912</f>
        <v>66.9367396829544</v>
      </c>
      <c s="68" r="P605"/>
      <c s="38" r="Q605">
        <f>((((L605+M605)+N605)+O605)/(1.535645))-60.47703745</f>
        <v>122.011696266387</v>
      </c>
      <c s="63" r="R605"/>
      <c s="26" r="S605"/>
      <c s="26" r="T605"/>
    </row>
    <row customHeight="1" r="606" ht="14.25">
      <c t="s" s="45" r="A606">
        <v>685</v>
      </c>
      <c s="75" r="B606">
        <v>80</v>
      </c>
      <c s="54" r="C606">
        <v>100</v>
      </c>
      <c s="54" r="D606">
        <v>70</v>
      </c>
      <c s="54" r="E606">
        <v>60</v>
      </c>
      <c s="54" r="F606">
        <v>70</v>
      </c>
      <c s="2" r="G606">
        <v>95</v>
      </c>
      <c s="68" r="H606"/>
      <c s="19" r="I606">
        <f>INDEX('Speed Factors'!$A$2:$B$256,(G606),2)</f>
        <v>542</v>
      </c>
      <c s="19" r="J606">
        <f>SUM(B606:G606)</f>
        <v>475</v>
      </c>
      <c s="68" r="K606"/>
      <c s="38" r="L606">
        <f>((((B606*2)+141)*((D606*2)+36))/(402.744996))-24.57966407</f>
        <v>106.957662342865</v>
      </c>
      <c s="38" r="M606">
        <f>((((B606*2)+141)*((F606*2)+36))/(416.310724))-19.16575597</f>
        <v>108.085349865073</v>
      </c>
      <c s="38" r="N606">
        <f>(((((C606*2)+36)*((((C606*2)+36)*(I606/672))+415))/((((C606*2)+36)*(1-(I606/672)))+415))/(1.92306))-3.576327284</f>
        <v>157.691128308426</v>
      </c>
      <c s="38" r="O606">
        <f>(((((E606*2)+36)*((((E606*2)+36)*(I606/672))+415))/((((E606*2)+36)*(1-(I606/672)))+415))/(1.980931))+4.9921912</f>
        <v>100.661996353141</v>
      </c>
      <c s="68" r="P606"/>
      <c s="38" r="Q606">
        <f>((((L606+M606)+N606)+O606)/(1.535645))-60.47703745</f>
        <v>247.794820218605</v>
      </c>
      <c s="63" r="R606"/>
      <c s="26" r="S606"/>
      <c s="26" r="T606"/>
    </row>
    <row customHeight="1" r="607" ht="14.25">
      <c t="s" s="45" r="A607">
        <v>686</v>
      </c>
      <c s="57" r="B607">
        <v>55</v>
      </c>
      <c s="8" r="C607">
        <v>75</v>
      </c>
      <c s="8" r="D607">
        <v>60</v>
      </c>
      <c s="8" r="E607">
        <v>75</v>
      </c>
      <c s="8" r="F607">
        <v>60</v>
      </c>
      <c s="27" r="G607">
        <v>103</v>
      </c>
      <c s="68" r="H607"/>
      <c s="20" r="I607">
        <f>INDEX('Speed Factors'!$A$2:$B$256,(G607),2)</f>
        <v>608</v>
      </c>
      <c s="20" r="J607">
        <f>SUM(B607:G607)</f>
        <v>428</v>
      </c>
      <c s="68" r="K607"/>
      <c s="38" r="L607">
        <f>((((B607*2)+141)*((D607*2)+36))/(402.744996))-24.57966407</f>
        <v>72.6431453724294</v>
      </c>
      <c s="38" r="M607">
        <f>((((B607*2)+141)*((F607*2)+36))/(416.310724))-19.16575597</f>
        <v>74.8889914642746</v>
      </c>
      <c s="38" r="N607">
        <f>(((((C607*2)+36)*((((C607*2)+36)*(I607/672))+415))/((((C607*2)+36)*(1-(I607/672)))+415))/(1.92306))-3.576327284</f>
        <v>126.800442349169</v>
      </c>
      <c s="38" r="O607">
        <f>(((((E607*2)+36)*((((E607*2)+36)*(I607/672))+415))/((((E607*2)+36)*(1-(I607/672)))+415))/(1.980931))+4.9921912</f>
        <v>131.560128503602</v>
      </c>
      <c s="68" r="P607"/>
      <c s="38" r="Q607">
        <f>((((L607+M607)+N607)+O607)/(1.535645))-60.47703745</f>
        <v>203.837115684009</v>
      </c>
      <c s="63" r="R607"/>
      <c s="26" r="S607"/>
      <c s="26" r="T607"/>
    </row>
    <row customHeight="1" r="608" ht="14.25">
      <c t="s" s="45" r="A608">
        <v>687</v>
      </c>
      <c s="75" r="B608">
        <v>50</v>
      </c>
      <c s="54" r="C608">
        <v>75</v>
      </c>
      <c s="54" r="D608">
        <v>45</v>
      </c>
      <c s="54" r="E608">
        <v>40</v>
      </c>
      <c s="54" r="F608">
        <v>45</v>
      </c>
      <c s="2" r="G608">
        <v>60</v>
      </c>
      <c s="68" r="H608"/>
      <c s="19" r="I608">
        <f>INDEX('Speed Factors'!$A$2:$B$256,(G608),2)</f>
        <v>274</v>
      </c>
      <c s="19" r="J608">
        <f>SUM(B608:G608)</f>
        <v>315</v>
      </c>
      <c s="68" r="K608"/>
      <c s="38" r="L608">
        <f>((((B608*2)+141)*((D608*2)+36))/(402.744996))-24.57966407</f>
        <v>50.8179207580931</v>
      </c>
      <c s="38" r="M608">
        <f>((((B608*2)+141)*((F608*2)+36))/(416.310724))-19.16575597</f>
        <v>53.7749545364149</v>
      </c>
      <c s="38" r="N608">
        <f>(((((C608*2)+36)*((((C608*2)+36)*(I608/672))+415))/((((C608*2)+36)*(1-(I608/672)))+415))/(1.92306))-3.576327284</f>
        <v>86.823415494779</v>
      </c>
      <c s="38" r="O608">
        <f>(((((E608*2)+36)*((((E608*2)+36)*(I608/672))+415))/((((E608*2)+36)*(1-(I608/672)))+415))/(1.980931))+4.9921912</f>
        <v>60.9591969155693</v>
      </c>
      <c s="68" r="P608"/>
      <c s="38" r="Q608">
        <f>((((L608+M608)+N608)+O608)/(1.535645))-60.47703745</f>
        <v>103.867904059826</v>
      </c>
      <c s="63" r="R608"/>
      <c s="26" r="S608"/>
      <c s="26" r="T608"/>
    </row>
    <row customHeight="1" r="609" ht="14.25">
      <c t="s" s="45" r="A609">
        <v>688</v>
      </c>
      <c s="57" r="B609">
        <v>70</v>
      </c>
      <c s="8" r="C609">
        <v>135</v>
      </c>
      <c s="8" r="D609">
        <v>105</v>
      </c>
      <c s="8" r="E609">
        <v>60</v>
      </c>
      <c s="8" r="F609">
        <v>105</v>
      </c>
      <c s="27" r="G609">
        <v>20</v>
      </c>
      <c s="68" r="H609"/>
      <c s="20" r="I609">
        <f>INDEX('Speed Factors'!$A$2:$B$256,(G609),2)</f>
        <v>14</v>
      </c>
      <c s="20" r="J609">
        <f>SUM(B609:G609)</f>
        <v>495</v>
      </c>
      <c s="68" r="K609"/>
      <c s="38" r="L609">
        <f>((((B609*2)+141)*((D609*2)+36))/(402.744996))-24.57966407</f>
        <v>147.057477760559</v>
      </c>
      <c s="38" r="M609">
        <f>((((B609*2)+141)*((F609*2)+36))/(416.310724))-19.16575597</f>
        <v>146.878489385544</v>
      </c>
      <c s="38" r="N609">
        <f>(((((C609*2)+36)*((((C609*2)+36)*(I609/672))+415))/((((C609*2)+36)*(1-(I609/672)))+415))/(1.92306))-3.576327284</f>
        <v>90.2487978348586</v>
      </c>
      <c s="38" r="O609">
        <f>(((((E609*2)+36)*((((E609*2)+36)*(I609/672))+415))/((((E609*2)+36)*(1-(I609/672)))+415))/(1.980931))+4.9921912</f>
        <v>63.0063576531386</v>
      </c>
      <c s="68" r="P609"/>
      <c s="38" r="Q609">
        <f>((((L609+M609)+N609)+O609)/(1.535645))-60.47703745</f>
        <v>230.730320132058</v>
      </c>
      <c s="63" r="R609"/>
      <c s="26" r="S609"/>
      <c s="26" r="T609"/>
    </row>
    <row customHeight="1" r="610" ht="14.25">
      <c t="s" s="45" r="A610">
        <v>689</v>
      </c>
      <c s="75" r="B610">
        <v>69</v>
      </c>
      <c s="54" r="C610">
        <v>55</v>
      </c>
      <c s="54" r="D610">
        <v>45</v>
      </c>
      <c s="54" r="E610">
        <v>55</v>
      </c>
      <c s="54" r="F610">
        <v>55</v>
      </c>
      <c s="2" r="G610">
        <v>15</v>
      </c>
      <c s="68" r="H610"/>
      <c s="19" r="I610">
        <f>INDEX('Speed Factors'!$A$2:$B$256,(G610),2)</f>
        <v>5</v>
      </c>
      <c s="19" r="J610">
        <f>SUM(B610:G610)</f>
        <v>294</v>
      </c>
      <c s="68" r="K610"/>
      <c s="38" r="L610">
        <f>((((B610*2)+141)*((D610*2)+36))/(402.744996))-24.57966407</f>
        <v>62.7063366231036</v>
      </c>
      <c s="38" r="M610">
        <f>((((B610*2)+141)*((F610*2)+36))/(416.310724))-19.16575597</f>
        <v>78.679429492962</v>
      </c>
      <c s="38" r="N610">
        <f>(((((C610*2)+36)*((((C610*2)+36)*(I610/672))+415))/((((C610*2)+36)*(1-(I610/672)))+415))/(1.92306))-3.576327284</f>
        <v>52.8422799842505</v>
      </c>
      <c s="38" r="O610">
        <f>(((((E610*2)+36)*((((E610*2)+36)*(I610/672))+415))/((((E610*2)+36)*(1-(I610/672)))+415))/(1.980931))+4.9921912</f>
        <v>59.7625829467503</v>
      </c>
      <c s="68" r="P610"/>
      <c s="38" r="Q610">
        <f>((((L610+M610)+N610)+O610)/(1.535645))-60.47703745</f>
        <v>104.919671455422</v>
      </c>
      <c s="63" r="R610"/>
      <c s="26" r="S610"/>
      <c s="26" r="T610"/>
    </row>
    <row customHeight="1" r="611" ht="14.25">
      <c t="s" s="45" r="A611">
        <v>690</v>
      </c>
      <c s="57" r="B611">
        <v>114</v>
      </c>
      <c s="8" r="C611">
        <v>85</v>
      </c>
      <c s="8" r="D611">
        <v>70</v>
      </c>
      <c s="8" r="E611">
        <v>85</v>
      </c>
      <c s="8" r="F611">
        <v>80</v>
      </c>
      <c s="27" r="G611">
        <v>30</v>
      </c>
      <c s="68" r="H611"/>
      <c s="20" r="I611">
        <f>INDEX('Speed Factors'!$A$2:$B$256,(G611),2)</f>
        <v>44</v>
      </c>
      <c s="20" r="J611">
        <f>SUM(B611:G611)</f>
        <v>464</v>
      </c>
      <c s="68" r="K611"/>
      <c s="38" r="L611">
        <f>((((B611*2)+141)*((D611*2)+36))/(402.744996))-24.57966407</f>
        <v>136.673736083977</v>
      </c>
      <c s="38" r="M611">
        <f>((((B611*2)+141)*((F611*2)+36))/(416.310724))-19.16575597</f>
        <v>154.560251626192</v>
      </c>
      <c s="38" r="N611">
        <f>(((((C611*2)+36)*((((C611*2)+36)*(I611/672))+415))/((((C611*2)+36)*(1-(I611/672)))+415))/(1.92306))-3.576327284</f>
        <v>71.9778278239929</v>
      </c>
      <c s="38" r="O611">
        <f>(((((E611*2)+36)*((((E611*2)+36)*(I611/672))+415))/((((E611*2)+36)*(1-(I611/672)))+415))/(1.980931))+4.9921912</f>
        <v>78.339104102053</v>
      </c>
      <c s="68" r="P611"/>
      <c s="38" r="Q611">
        <f>((((L611+M611)+N611)+O611)/(1.535645))-60.47703745</f>
        <v>227.057464102256</v>
      </c>
      <c s="63" r="R611"/>
      <c s="26" r="S611"/>
      <c s="26" r="T611"/>
    </row>
    <row customHeight="1" r="612" ht="14.25">
      <c t="s" s="45" r="A612">
        <v>691</v>
      </c>
      <c s="75" r="B612">
        <v>55</v>
      </c>
      <c s="54" r="C612">
        <v>40</v>
      </c>
      <c s="54" r="D612">
        <v>50</v>
      </c>
      <c s="54" r="E612">
        <v>65</v>
      </c>
      <c s="54" r="F612">
        <v>85</v>
      </c>
      <c s="2" r="G612">
        <v>40</v>
      </c>
      <c s="68" r="H612"/>
      <c s="19" r="I612">
        <f>INDEX('Speed Factors'!$A$2:$B$256,(G612),2)</f>
        <v>111</v>
      </c>
      <c s="19" r="J612">
        <f>SUM(B612:G612)</f>
        <v>335</v>
      </c>
      <c s="68" r="K612"/>
      <c s="38" r="L612">
        <f>((((B612*2)+141)*((D612*2)+36))/(402.744996))-24.57966407</f>
        <v>60.1786826234</v>
      </c>
      <c s="38" r="M612">
        <f>((((B612*2)+141)*((F612*2)+36))/(416.310724))-19.16575597</f>
        <v>105.034743847055</v>
      </c>
      <c s="38" r="N612">
        <f>(((((C612*2)+36)*((((C612*2)+36)*(I612/672))+415))/((((C612*2)+36)*(1-(I612/672)))+415))/(1.92306))-3.576327284</f>
        <v>47.589742765994</v>
      </c>
      <c s="38" r="O612">
        <f>(((((E612*2)+36)*((((E612*2)+36)*(I612/672))+415))/((((E612*2)+36)*(1-(I612/672)))+415))/(1.980931))+4.9921912</f>
        <v>71.9640678916499</v>
      </c>
      <c s="68" r="P612"/>
      <c s="38" r="Q612">
        <f>((((L612+M612)+N612)+O612)/(1.535645))-60.47703745</f>
        <v>124.96115765896</v>
      </c>
      <c s="63" r="R612"/>
      <c s="26" r="S612"/>
      <c s="26" r="T612"/>
    </row>
    <row customHeight="1" r="613" ht="14.25">
      <c t="s" s="45" r="A613">
        <v>79</v>
      </c>
      <c s="57" r="B613">
        <v>100</v>
      </c>
      <c s="8" r="C613">
        <v>60</v>
      </c>
      <c s="8" r="D613">
        <v>70</v>
      </c>
      <c s="8" r="E613">
        <v>85</v>
      </c>
      <c s="8" r="F613">
        <v>105</v>
      </c>
      <c s="27" r="G613">
        <v>60</v>
      </c>
      <c s="68" r="H613"/>
      <c s="20" r="I613">
        <f>INDEX('Speed Factors'!$A$2:$B$256,(G613),2)</f>
        <v>274</v>
      </c>
      <c s="20" r="J613">
        <f>SUM(B613:G613)</f>
        <v>480</v>
      </c>
      <c s="68" r="K613"/>
      <c s="38" r="L613">
        <f>((((B613*2)+141)*((D613*2)+36))/(402.744996))-24.57966407</f>
        <v>124.43770571999</v>
      </c>
      <c s="38" r="M613">
        <f>((((B613*2)+141)*((F613*2)+36))/(416.310724))-19.16575597</f>
        <v>182.332776650072</v>
      </c>
      <c s="38" r="N613">
        <f>(((((C613*2)+36)*((((C613*2)+36)*(I613/672))+415))/((((C613*2)+36)*(1-(I613/672)))+415))/(1.92306))-3.576327284</f>
        <v>72.9421978422364</v>
      </c>
      <c s="38" r="O613">
        <f>(((((E613*2)+36)*((((E613*2)+36)*(I613/672))+415))/((((E613*2)+36)*(1-(I613/672)))+415))/(1.980931))+4.9921912</f>
        <v>101.622671323538</v>
      </c>
      <c s="68" r="P613"/>
      <c s="38" r="Q613">
        <f>((((L613+M613)+N613)+O613)/(1.535645))-60.47703745</f>
        <v>252.964774645789</v>
      </c>
      <c s="63" r="R613"/>
      <c s="26" r="S613"/>
      <c s="26" r="T613"/>
    </row>
    <row customHeight="1" r="614" ht="14.25">
      <c t="s" s="45" r="A614">
        <v>692</v>
      </c>
      <c s="75" r="B614">
        <v>165</v>
      </c>
      <c s="54" r="C614">
        <v>75</v>
      </c>
      <c s="54" r="D614">
        <v>80</v>
      </c>
      <c s="54" r="E614">
        <v>40</v>
      </c>
      <c s="54" r="F614">
        <v>45</v>
      </c>
      <c s="2" r="G614">
        <v>65</v>
      </c>
      <c s="68" r="H614"/>
      <c s="19" r="I614">
        <f>INDEX('Speed Factors'!$A$2:$B$256,(G614),2)</f>
        <v>321</v>
      </c>
      <c s="19" r="J614">
        <f>SUM(B614:G614)</f>
        <v>470</v>
      </c>
      <c s="68" r="K614"/>
      <c s="38" r="L614">
        <f>((((B614*2)+141)*((D614*2)+36))/(402.744996))-24.57966407</f>
        <v>204.637336555378</v>
      </c>
      <c s="38" r="M614">
        <f>((((B614*2)+141)*((F614*2)+36))/(416.310724))-19.16575597</f>
        <v>123.386420994819</v>
      </c>
      <c s="38" r="N614">
        <f>(((((C614*2)+36)*((((C614*2)+36)*(I614/672))+415))/((((C614*2)+36)*(1-(I614/672)))+415))/(1.92306))-3.576327284</f>
        <v>91.5763784024121</v>
      </c>
      <c s="38" r="O614">
        <f>(((((E614*2)+36)*((((E614*2)+36)*(I614/672))+415))/((((E614*2)+36)*(1-(I614/672)))+415))/(1.980931))+4.9921912</f>
        <v>62.9128887624065</v>
      </c>
      <c s="68" r="P614"/>
      <c s="38" r="Q614">
        <f>((((L614+M614)+N614)+O614)/(1.535645))-60.47703745</f>
        <v>253.731666198966</v>
      </c>
      <c s="63" r="R614"/>
      <c s="26" r="S614"/>
      <c s="26" r="T614"/>
    </row>
    <row customHeight="1" r="615" ht="14.25">
      <c t="s" s="45" r="A615">
        <v>693</v>
      </c>
      <c s="57" r="B615">
        <v>50</v>
      </c>
      <c s="8" r="C615">
        <v>47</v>
      </c>
      <c s="8" r="D615">
        <v>50</v>
      </c>
      <c s="8" r="E615">
        <v>57</v>
      </c>
      <c s="8" r="F615">
        <v>50</v>
      </c>
      <c s="27" r="G615">
        <v>65</v>
      </c>
      <c s="68" r="H615"/>
      <c s="20" r="I615">
        <f>INDEX('Speed Factors'!$A$2:$B$256,(G615),2)</f>
        <v>321</v>
      </c>
      <c s="20" r="J615">
        <f>SUM(B615:G615)</f>
        <v>319</v>
      </c>
      <c s="68" r="K615"/>
      <c s="38" r="L615">
        <f>((((B615*2)+141)*((D615*2)+36))/(402.744996))-24.57966407</f>
        <v>56.80185606191</v>
      </c>
      <c s="38" r="M615">
        <f>((((B615*2)+141)*((F615*2)+36))/(416.310724))-19.16575597</f>
        <v>59.5638998147018</v>
      </c>
      <c s="38" r="N615">
        <f>(((((C615*2)+36)*((((C615*2)+36)*(I615/672))+415))/((((C615*2)+36)*(1-(I615/672)))+415))/(1.92306))-3.576327284</f>
        <v>63.2118355650807</v>
      </c>
      <c s="38" r="O615">
        <f>(((((E615*2)+36)*((((E615*2)+36)*(I615/672))+415))/((((E615*2)+36)*(1-(I615/672)))+415))/(1.980931))+4.9921912</f>
        <v>79.6863552873478</v>
      </c>
      <c s="68" r="P615"/>
      <c s="38" r="Q615">
        <f>((((L615+M615)+N615)+O615)/(1.535645))-60.47703745</f>
        <v>108.35361464019</v>
      </c>
      <c s="63" r="R615"/>
      <c s="26" r="S615"/>
      <c s="26" r="T615"/>
    </row>
    <row customHeight="1" r="616" ht="14.25">
      <c t="s" s="45" r="A616">
        <v>694</v>
      </c>
      <c s="75" r="B616">
        <v>70</v>
      </c>
      <c s="54" r="C616">
        <v>77</v>
      </c>
      <c s="54" r="D616">
        <v>60</v>
      </c>
      <c s="54" r="E616">
        <v>97</v>
      </c>
      <c s="54" r="F616">
        <v>60</v>
      </c>
      <c s="2" r="G616">
        <v>108</v>
      </c>
      <c s="68" r="H616"/>
      <c s="19" r="I616">
        <f>INDEX('Speed Factors'!$A$2:$B$256,(G616),2)</f>
        <v>620</v>
      </c>
      <c s="19" r="J616">
        <f>SUM(B616:G616)</f>
        <v>472</v>
      </c>
      <c s="68" r="K616"/>
      <c s="38" r="L616">
        <f>((((B616*2)+141)*((D616*2)+36))/(402.744996))-24.57966407</f>
        <v>84.2634014810863</v>
      </c>
      <c s="38" r="M616">
        <f>((((B616*2)+141)*((F616*2)+36))/(416.310724))-19.16575597</f>
        <v>86.1305947432716</v>
      </c>
      <c s="38" r="N616">
        <f>(((((C616*2)+36)*((((C616*2)+36)*(I616/672))+415))/((((C616*2)+36)*(1-(I616/672)))+415))/(1.92306))-3.576327284</f>
        <v>132.149981389273</v>
      </c>
      <c s="38" r="O616">
        <f>(((((E616*2)+36)*((((E616*2)+36)*(I616/672))+415))/((((E616*2)+36)*(1-(I616/672)))+415))/(1.980931))+4.9921912</f>
        <v>173.252361064223</v>
      </c>
      <c s="68" r="P616"/>
      <c s="38" r="Q616">
        <f>((((L616+M616)+N616)+O616)/(1.535645))-60.47703745</f>
        <v>249.357812842778</v>
      </c>
      <c s="63" r="R616"/>
      <c s="26" r="S616"/>
      <c s="26" r="T616"/>
    </row>
    <row customHeight="1" r="617" ht="14.25">
      <c t="s" s="45" r="A617">
        <v>695</v>
      </c>
      <c s="57" r="B617">
        <v>44</v>
      </c>
      <c s="8" r="C617">
        <v>50</v>
      </c>
      <c s="8" r="D617">
        <v>91</v>
      </c>
      <c s="8" r="E617">
        <v>24</v>
      </c>
      <c s="8" r="F617">
        <v>86</v>
      </c>
      <c s="27" r="G617">
        <v>10</v>
      </c>
      <c s="68" r="H617"/>
      <c s="20" r="I617">
        <f>INDEX('Speed Factors'!$A$2:$B$256,(G617),2)</f>
        <v>2</v>
      </c>
      <c s="20" r="J617">
        <f>SUM(B617:G617)</f>
        <v>305</v>
      </c>
      <c s="68" r="K617"/>
      <c s="38" r="L617">
        <f>((((B617*2)+141)*((D617*2)+36))/(402.744996))-24.57966407</f>
        <v>99.3747003437542</v>
      </c>
      <c s="38" r="M617">
        <f>((((B617*2)+141)*((F617*2)+36))/(416.310724))-19.16575597</f>
        <v>95.2487840695691</v>
      </c>
      <c s="38" r="N617">
        <f>(((((C617*2)+36)*((((C617*2)+36)*(I617/672))+415))/((((C617*2)+36)*(1-(I617/672)))+415))/(1.92306))-3.576327284</f>
        <v>49.7798974940213</v>
      </c>
      <c s="38" r="O617">
        <f>(((((E617*2)+36)*((((E617*2)+36)*(I617/672))+415))/((((E617*2)+36)*(1-(I617/672)))+415))/(1.980931))+4.9921912</f>
        <v>40.2972281272141</v>
      </c>
      <c s="68" r="P617"/>
      <c s="38" r="Q617">
        <f>((((L617+M617)+N617)+O617)/(1.535645))-60.47703745</f>
        <v>124.917770617332</v>
      </c>
      <c s="63" r="R617"/>
      <c s="26" r="S617"/>
      <c s="26" r="T617"/>
    </row>
    <row customHeight="1" r="618" ht="14.25">
      <c t="s" s="45" r="A618">
        <v>66</v>
      </c>
      <c s="75" r="B618">
        <v>74</v>
      </c>
      <c s="54" r="C618">
        <v>94</v>
      </c>
      <c s="54" r="D618">
        <v>131</v>
      </c>
      <c s="54" r="E618">
        <v>54</v>
      </c>
      <c s="54" r="F618">
        <v>116</v>
      </c>
      <c s="2" r="G618">
        <v>20</v>
      </c>
      <c s="68" r="H618"/>
      <c s="19" r="I618">
        <f>INDEX('Speed Factors'!$A$2:$B$256,(G618),2)</f>
        <v>14</v>
      </c>
      <c s="19" r="J618">
        <f>SUM(B618:G618)</f>
        <v>489</v>
      </c>
      <c s="68" r="K618"/>
      <c s="38" r="L618">
        <f>((((B618*2)+141)*((D618*2)+36))/(402.744996))-24.57966407</f>
        <v>189.257877936357</v>
      </c>
      <c s="38" r="M618">
        <f>((((B618*2)+141)*((F618*2)+36))/(416.310724))-19.16575597</f>
        <v>166.877974193434</v>
      </c>
      <c s="38" r="N618">
        <f>(((((C618*2)+36)*((((C618*2)+36)*(I618/672))+415))/((((C618*2)+36)*(1-(I618/672)))+415))/(1.92306))-3.576327284</f>
        <v>73.4860008907622</v>
      </c>
      <c s="38" r="O618">
        <f>(((((E618*2)+36)*((((E618*2)+36)*(I618/672))+415))/((((E618*2)+36)*(1-(I618/672)))+415))/(1.980931))+4.9921912</f>
        <v>59.6427533880598</v>
      </c>
      <c s="68" r="P618"/>
      <c s="38" r="Q618">
        <f>((((L618+M618)+N618)+O618)/(1.535645))-60.47703745</f>
        <v>258.128243333393</v>
      </c>
      <c s="63" r="R618"/>
      <c s="26" r="S618"/>
      <c s="26" r="T618"/>
    </row>
    <row customHeight="1" r="619" ht="14.25">
      <c t="s" s="45" r="A619">
        <v>696</v>
      </c>
      <c s="57" r="B619">
        <v>40</v>
      </c>
      <c s="8" r="C619">
        <v>55</v>
      </c>
      <c s="8" r="D619">
        <v>70</v>
      </c>
      <c s="8" r="E619">
        <v>45</v>
      </c>
      <c s="8" r="F619">
        <v>60</v>
      </c>
      <c s="27" r="G619">
        <v>30</v>
      </c>
      <c s="68" r="H619"/>
      <c s="20" r="I619">
        <f>INDEX('Speed Factors'!$A$2:$B$256,(G619),2)</f>
        <v>44</v>
      </c>
      <c s="20" r="J619">
        <f>SUM(B619:G619)</f>
        <v>300</v>
      </c>
      <c s="68" r="K619"/>
      <c s="38" r="L619">
        <f>((((B619*2)+141)*((D619*2)+36))/(402.744996))-24.57966407</f>
        <v>71.9975755886152</v>
      </c>
      <c s="38" r="M619">
        <f>((((B619*2)+141)*((F619*2)+36))/(416.310724))-19.16575597</f>
        <v>63.6473881852776</v>
      </c>
      <c s="38" r="N619">
        <f>(((((C619*2)+36)*((((C619*2)+36)*(I619/672))+415))/((((C619*2)+36)*(1-(I619/672)))+415))/(1.92306))-3.576327284</f>
        <v>54.8757524750147</v>
      </c>
      <c s="38" r="O619">
        <f>(((((E619*2)+36)*((((E619*2)+36)*(I619/672))+415))/((((E619*2)+36)*(1-(I619/672)))+415))/(1.980931))+4.9921912</f>
        <v>55.5251473655392</v>
      </c>
      <c s="68" r="P619"/>
      <c s="38" r="Q619">
        <f>((((L619+M619)+N619)+O619)/(1.535645))-60.47703745</f>
        <v>99.746102412694</v>
      </c>
      <c s="63" r="R619"/>
      <c s="26" r="S619"/>
      <c s="26" r="T619"/>
    </row>
    <row customHeight="1" r="620" ht="14.25">
      <c t="s" s="45" r="A620">
        <v>697</v>
      </c>
      <c s="75" r="B620">
        <v>60</v>
      </c>
      <c s="54" r="C620">
        <v>80</v>
      </c>
      <c s="54" r="D620">
        <v>95</v>
      </c>
      <c s="54" r="E620">
        <v>70</v>
      </c>
      <c s="54" r="F620">
        <v>85</v>
      </c>
      <c s="2" r="G620">
        <v>50</v>
      </c>
      <c s="68" r="H620"/>
      <c s="19" r="I620">
        <f>INDEX('Speed Factors'!$A$2:$B$256,(G620),2)</f>
        <v>189</v>
      </c>
      <c s="19" r="J620">
        <f>SUM(B620:G620)</f>
        <v>440</v>
      </c>
      <c s="68" r="K620"/>
      <c s="38" r="L620">
        <f>((((B620*2)+141)*((D620*2)+36))/(402.744996))-24.57966407</f>
        <v>121.880256191803</v>
      </c>
      <c s="38" r="M620">
        <f>((((B620*2)+141)*((F620*2)+36))/(416.310724))-19.16575597</f>
        <v>109.9829709314</v>
      </c>
      <c s="38" r="N620">
        <f>(((((C620*2)+36)*((((C620*2)+36)*(I620/672))+415))/((((C620*2)+36)*(1-(I620/672)))+415))/(1.92306))-3.576327284</f>
        <v>82.6221195915432</v>
      </c>
      <c s="38" r="O620">
        <f>(((((E620*2)+36)*((((E620*2)+36)*(I620/672))+415))/((((E620*2)+36)*(1-(I620/672)))+415))/(1.980931))+4.9921912</f>
        <v>81.2054578559356</v>
      </c>
      <c s="68" r="P620"/>
      <c s="38" r="Q620">
        <f>((((L620+M620)+N620)+O620)/(1.535645))-60.47703745</f>
        <v>197.193716253285</v>
      </c>
      <c s="63" r="R620"/>
      <c s="26" r="S620"/>
      <c s="26" r="T620"/>
    </row>
    <row customHeight="1" r="621" ht="14.25">
      <c t="s" s="45" r="A621">
        <v>698</v>
      </c>
      <c s="57" r="B621">
        <v>60</v>
      </c>
      <c s="8" r="C621">
        <v>100</v>
      </c>
      <c s="8" r="D621">
        <v>115</v>
      </c>
      <c s="8" r="E621">
        <v>70</v>
      </c>
      <c s="8" r="F621">
        <v>85</v>
      </c>
      <c s="27" r="G621">
        <v>90</v>
      </c>
      <c s="68" r="H621"/>
      <c s="20" r="I621">
        <f>INDEX('Speed Factors'!$A$2:$B$256,(G621),2)</f>
        <v>503</v>
      </c>
      <c s="20" r="J621">
        <f>SUM(B621:G621)</f>
        <v>520</v>
      </c>
      <c s="68" r="K621"/>
      <c s="38" r="L621">
        <f>((((B621*2)+141)*((D621*2)+36))/(402.744996))-24.57966407</f>
        <v>147.802365972653</v>
      </c>
      <c s="38" r="M621">
        <f>((((B621*2)+141)*((F621*2)+36))/(416.310724))-19.16575597</f>
        <v>109.9829709314</v>
      </c>
      <c s="38" r="N621">
        <f>(((((C621*2)+36)*((((C621*2)+36)*(I621/672))+415))/((((C621*2)+36)*(1-(I621/672)))+415))/(1.92306))-3.576327284</f>
        <v>149.491235970862</v>
      </c>
      <c s="38" r="O621">
        <f>(((((E621*2)+36)*((((E621*2)+36)*(I621/672))+415))/((((E621*2)+36)*(1-(I621/672)))+415))/(1.980931))+4.9921912</f>
        <v>110.7621249009</v>
      </c>
      <c s="68" r="P621"/>
      <c s="38" r="Q621">
        <f>((((L621+M621)+N621)+O621)/(1.535645))-60.47703745</f>
        <v>276.865706332459</v>
      </c>
      <c s="63" r="R621"/>
      <c s="26" r="S621"/>
      <c s="26" r="T621"/>
    </row>
    <row customHeight="1" r="622" ht="14.25">
      <c t="s" s="45" r="A622">
        <v>699</v>
      </c>
      <c s="75" r="B622">
        <v>35</v>
      </c>
      <c s="54" r="C622">
        <v>55</v>
      </c>
      <c s="54" r="D622">
        <v>40</v>
      </c>
      <c s="54" r="E622">
        <v>45</v>
      </c>
      <c s="54" r="F622">
        <v>40</v>
      </c>
      <c s="2" r="G622">
        <v>60</v>
      </c>
      <c s="68" r="H622"/>
      <c s="19" r="I622">
        <f>INDEX('Speed Factors'!$A$2:$B$256,(G622),2)</f>
        <v>274</v>
      </c>
      <c s="19" r="J622">
        <f>SUM(B622:G622)</f>
        <v>275</v>
      </c>
      <c s="68" r="K622"/>
      <c s="38" r="L622">
        <f>((((B622*2)+141)*((D622*2)+36))/(402.744996))-24.57966407</f>
        <v>36.1932821939928</v>
      </c>
      <c s="38" r="M622">
        <f>((((B622*2)+141)*((F622*2)+36))/(416.310724))-19.16575597</f>
        <v>39.626868358361</v>
      </c>
      <c s="38" r="N622">
        <f>(((((C622*2)+36)*((((C622*2)+36)*(I622/672))+415))/((((C622*2)+36)*(1-(I622/672)))+415))/(1.92306))-3.576327284</f>
        <v>68.265656190188</v>
      </c>
      <c s="38" r="O622">
        <f>(((((E622*2)+36)*((((E622*2)+36)*(I622/672))+415))/((((E622*2)+36)*(1-(I622/672)))+415))/(1.980931))+4.9921912</f>
        <v>65.5782740215716</v>
      </c>
      <c s="68" r="P622"/>
      <c s="38" r="Q622">
        <f>((((L622+M622)+N622)+O622)/(1.535645))-60.47703745</f>
        <v>76.0545702875393</v>
      </c>
      <c s="63" r="R622"/>
      <c s="26" r="S622"/>
      <c s="26" r="T622"/>
    </row>
    <row customHeight="1" r="623" ht="14.25">
      <c t="s" s="45" r="A623">
        <v>700</v>
      </c>
      <c s="57" r="B623">
        <v>65</v>
      </c>
      <c s="8" r="C623">
        <v>85</v>
      </c>
      <c s="8" r="D623">
        <v>70</v>
      </c>
      <c s="8" r="E623">
        <v>75</v>
      </c>
      <c s="8" r="F623">
        <v>70</v>
      </c>
      <c s="27" r="G623">
        <v>40</v>
      </c>
      <c s="68" r="H623"/>
      <c s="20" r="I623">
        <f>INDEX('Speed Factors'!$A$2:$B$256,(G623),2)</f>
        <v>111</v>
      </c>
      <c s="20" r="J623">
        <f>SUM(B623:G623)</f>
        <v>405</v>
      </c>
      <c s="68" r="K623"/>
      <c s="38" r="L623">
        <f>((((B623*2)+141)*((D623*2)+36))/(402.744996))-24.57966407</f>
        <v>93.8476298100213</v>
      </c>
      <c s="38" r="M623">
        <f>((((B623*2)+141)*((F623*2)+36))/(416.310724))-19.16575597</f>
        <v>95.4025153964614</v>
      </c>
      <c s="38" r="N623">
        <f>(((((C623*2)+36)*((((C623*2)+36)*(I623/672))+415))/((((C623*2)+36)*(1-(I623/672)))+415))/(1.92306))-3.576327284</f>
        <v>78.3697843895383</v>
      </c>
      <c s="38" r="O623">
        <f>(((((E623*2)+36)*((((E623*2)+36)*(I623/672))+415))/((((E623*2)+36)*(1-(I623/672)))+415))/(1.980931))+4.9921912</f>
        <v>78.3798708355432</v>
      </c>
      <c s="68" r="P623"/>
      <c s="38" r="Q623">
        <f>((((L623+M623)+N623)+O623)/(1.535645))-60.47703745</f>
        <v>164.835323435207</v>
      </c>
      <c s="63" r="R623"/>
      <c s="26" r="S623"/>
      <c s="26" r="T623"/>
    </row>
    <row customHeight="1" r="624" ht="14.25">
      <c t="s" s="45" r="A624">
        <v>701</v>
      </c>
      <c s="75" r="B624">
        <v>85</v>
      </c>
      <c s="54" r="C624">
        <v>115</v>
      </c>
      <c s="54" r="D624">
        <v>80</v>
      </c>
      <c s="54" r="E624">
        <v>105</v>
      </c>
      <c s="54" r="F624">
        <v>80</v>
      </c>
      <c s="2" r="G624">
        <v>50</v>
      </c>
      <c s="68" r="H624"/>
      <c s="19" r="I624">
        <f>INDEX('Speed Factors'!$A$2:$B$256,(G624),2)</f>
        <v>189</v>
      </c>
      <c s="19" r="J624">
        <f>SUM(B624:G624)</f>
        <v>515</v>
      </c>
      <c s="68" r="K624"/>
      <c s="38" r="L624">
        <f>((((B624*2)+141)*((D624*2)+36))/(402.744996))-24.57966407</f>
        <v>126.771688784549</v>
      </c>
      <c s="38" r="M624">
        <f>((((B624*2)+141)*((F624*2)+36))/(416.310724))-19.16575597</f>
        <v>127.253724686953</v>
      </c>
      <c s="38" r="N624">
        <f>(((((C624*2)+36)*((((C624*2)+36)*(I624/672))+415))/((((C624*2)+36)*(1-(I624/672)))+415))/(1.92306))-3.576327284</f>
        <v>108.190182604209</v>
      </c>
      <c s="38" r="O624">
        <f>(((((E624*2)+36)*((((E624*2)+36)*(I624/672))+415))/((((E624*2)+36)*(1-(I624/672)))+415))/(1.980931))+4.9921912</f>
        <v>106.592539812557</v>
      </c>
      <c s="68" r="P624"/>
      <c s="38" r="Q624">
        <f>((((L624+M624)+N624)+O624)/(1.535645))-60.47703745</f>
        <v>244.807149903371</v>
      </c>
      <c s="63" r="R624"/>
      <c s="26" r="S624"/>
      <c s="26" r="T624"/>
    </row>
    <row customHeight="1" r="625" ht="14.25">
      <c t="s" s="45" r="A625">
        <v>702</v>
      </c>
      <c s="57" r="B625">
        <v>55</v>
      </c>
      <c s="8" r="C625">
        <v>55</v>
      </c>
      <c s="8" r="D625">
        <v>55</v>
      </c>
      <c s="8" r="E625">
        <v>85</v>
      </c>
      <c s="8" r="F625">
        <v>55</v>
      </c>
      <c s="27" r="G625">
        <v>30</v>
      </c>
      <c s="68" r="H625"/>
      <c s="20" r="I625">
        <f>INDEX('Speed Factors'!$A$2:$B$256,(G625),2)</f>
        <v>44</v>
      </c>
      <c s="20" r="J625">
        <f>SUM(B625:G625)</f>
        <v>335</v>
      </c>
      <c s="68" r="K625"/>
      <c s="38" r="L625">
        <f>((((B625*2)+141)*((D625*2)+36))/(402.744996))-24.57966407</f>
        <v>66.4109139979147</v>
      </c>
      <c s="38" r="M625">
        <f>((((B625*2)+141)*((F625*2)+36))/(416.310724))-19.16575597</f>
        <v>68.8598409877185</v>
      </c>
      <c s="38" r="N625">
        <f>(((((C625*2)+36)*((((C625*2)+36)*(I625/672))+415))/((((C625*2)+36)*(1-(I625/672)))+415))/(1.92306))-3.576327284</f>
        <v>54.8757524750147</v>
      </c>
      <c s="38" r="O625">
        <f>(((((E625*2)+36)*((((E625*2)+36)*(I625/672))+415))/((((E625*2)+36)*(1-(I625/672)))+415))/(1.980931))+4.9921912</f>
        <v>78.339104102053</v>
      </c>
      <c s="68" r="P625"/>
      <c s="38" r="Q625">
        <f>((((L625+M625)+N625)+O625)/(1.535645))-60.47703745</f>
        <v>114.358690574837</v>
      </c>
      <c s="63" r="R625"/>
      <c s="26" r="S625"/>
      <c s="26" r="T625"/>
    </row>
    <row customHeight="1" r="626" ht="14.25">
      <c t="s" s="45" r="A626">
        <v>703</v>
      </c>
      <c s="75" r="B626">
        <v>75</v>
      </c>
      <c s="54" r="C626">
        <v>75</v>
      </c>
      <c s="54" r="D626">
        <v>75</v>
      </c>
      <c s="54" r="E626">
        <v>125</v>
      </c>
      <c s="54" r="F626">
        <v>95</v>
      </c>
      <c s="2" r="G626">
        <v>40</v>
      </c>
      <c s="68" r="H626"/>
      <c s="19" r="I626">
        <f>INDEX('Speed Factors'!$A$2:$B$256,(G626),2)</f>
        <v>111</v>
      </c>
      <c s="19" r="J626">
        <f>SUM(B626:G626)</f>
        <v>485</v>
      </c>
      <c s="68" r="K626"/>
      <c s="38" r="L626">
        <f>((((B626*2)+141)*((D626*2)+36))/(402.744996))-24.57966407</f>
        <v>109.81306715589</v>
      </c>
      <c s="38" r="M626">
        <f>((((B626*2)+141)*((F626*2)+36))/(416.310724))-19.16575597</f>
        <v>138.8075947237</v>
      </c>
      <c s="38" r="N626">
        <f>(((((C626*2)+36)*((((C626*2)+36)*(I626/672))+415))/((((C626*2)+36)*(1-(I626/672)))+415))/(1.92306))-3.576327284</f>
        <v>72.0198213583285</v>
      </c>
      <c s="38" r="O626">
        <f>(((((E626*2)+36)*((((E626*2)+36)*(I626/672))+415))/((((E626*2)+36)*(1-(I626/672)))+415))/(1.980931))+4.9921912</f>
        <v>107.07381804877</v>
      </c>
      <c s="68" r="P626"/>
      <c s="38" r="Q626">
        <f>((((L626+M626)+N626)+O626)/(1.535645))-60.47703745</f>
        <v>218.047166572862</v>
      </c>
      <c s="63" r="R626"/>
      <c s="26" r="S626"/>
      <c s="26" r="T626"/>
    </row>
    <row customHeight="1" r="627" ht="14.25">
      <c t="s" s="45" r="A627">
        <v>704</v>
      </c>
      <c s="57" r="B627">
        <v>50</v>
      </c>
      <c s="8" r="C627">
        <v>30</v>
      </c>
      <c s="8" r="D627">
        <v>55</v>
      </c>
      <c s="8" r="E627">
        <v>65</v>
      </c>
      <c s="8" r="F627">
        <v>55</v>
      </c>
      <c s="27" r="G627">
        <v>20</v>
      </c>
      <c s="68" r="H627"/>
      <c s="20" r="I627">
        <f>INDEX('Speed Factors'!$A$2:$B$256,(G627),2)</f>
        <v>14</v>
      </c>
      <c s="20" r="J627">
        <f>SUM(B627:G627)</f>
        <v>275</v>
      </c>
      <c s="68" r="K627"/>
      <c s="38" r="L627">
        <f>((((B627*2)+141)*((D627*2)+36))/(402.744996))-24.57966407</f>
        <v>62.7857913657269</v>
      </c>
      <c s="38" r="M627">
        <f>((((B627*2)+141)*((F627*2)+36))/(416.310724))-19.16575597</f>
        <v>65.3528450929887</v>
      </c>
      <c s="38" r="N627">
        <f>(((((C627*2)+36)*((((C627*2)+36)*(I627/672))+415))/((((C627*2)+36)*(1-(I627/672)))+415))/(1.92306))-3.576327284</f>
        <v>37.3211642445738</v>
      </c>
      <c s="38" r="O627">
        <f>(((((E627*2)+36)*((((E627*2)+36)*(I627/672))+415))/((((E627*2)+36)*(1-(I627/672)))+415))/(1.980931))+4.9921912</f>
        <v>65.7088184332536</v>
      </c>
      <c s="68" r="P627"/>
      <c s="38" r="Q627">
        <f>((((L627+M627)+N627)+O627)/(1.535645))-60.47703745</f>
        <v>90.0581572965352</v>
      </c>
      <c s="63" r="R627"/>
      <c s="26" r="S627"/>
      <c s="26" r="T627"/>
    </row>
    <row customHeight="1" r="628" ht="14.25">
      <c t="s" s="45" r="A628">
        <v>705</v>
      </c>
      <c s="75" r="B628">
        <v>60</v>
      </c>
      <c s="54" r="C628">
        <v>40</v>
      </c>
      <c s="54" r="D628">
        <v>60</v>
      </c>
      <c s="54" r="E628">
        <v>95</v>
      </c>
      <c s="54" r="F628">
        <v>60</v>
      </c>
      <c s="2" r="G628">
        <v>55</v>
      </c>
      <c s="68" r="H628"/>
      <c s="19" r="I628">
        <f>INDEX('Speed Factors'!$A$2:$B$256,(G628),2)</f>
        <v>233</v>
      </c>
      <c s="19" r="J628">
        <f>SUM(B628:G628)</f>
        <v>370</v>
      </c>
      <c s="68" r="K628"/>
      <c s="38" r="L628">
        <f>((((B628*2)+141)*((D628*2)+36))/(402.744996))-24.57966407</f>
        <v>76.516564075315</v>
      </c>
      <c s="38" r="M628">
        <f>((((B628*2)+141)*((F628*2)+36))/(416.310724))-19.16575597</f>
        <v>78.6361925572736</v>
      </c>
      <c s="38" r="N628">
        <f>(((((C628*2)+36)*((((C628*2)+36)*(I628/672))+415))/((((C628*2)+36)*(1-(I628/672)))+415))/(1.92306))-3.576327284</f>
        <v>52.3736701153338</v>
      </c>
      <c s="38" r="O628">
        <f>(((((E628*2)+36)*((((E628*2)+36)*(I628/672))+415))/((((E628*2)+36)*(1-(I628/672)))+415))/(1.980931))+4.9921912</f>
        <v>105.031945963972</v>
      </c>
      <c s="68" r="P628"/>
      <c s="38" r="Q628">
        <f>((((L628+M628)+N628)+O628)/(1.535645))-60.47703745</f>
        <v>143.058527548352</v>
      </c>
      <c s="63" r="R628"/>
      <c s="26" r="S628"/>
      <c s="26" r="T628"/>
    </row>
    <row customHeight="1" r="629" ht="14.25">
      <c t="s" s="45" r="A629">
        <v>706</v>
      </c>
      <c s="57" r="B629">
        <v>60</v>
      </c>
      <c s="8" r="C629">
        <v>55</v>
      </c>
      <c s="8" r="D629">
        <v>90</v>
      </c>
      <c s="8" r="E629">
        <v>145</v>
      </c>
      <c s="8" r="F629">
        <v>90</v>
      </c>
      <c s="27" r="G629">
        <v>80</v>
      </c>
      <c s="68" r="H629"/>
      <c s="20" r="I629">
        <f>INDEX('Speed Factors'!$A$2:$B$256,(G629),2)</f>
        <v>432</v>
      </c>
      <c s="20" r="J629">
        <f>SUM(B629:G629)</f>
        <v>520</v>
      </c>
      <c s="68" r="K629"/>
      <c s="38" r="L629">
        <f>((((B629*2)+141)*((D629*2)+36))/(402.744996))-24.57966407</f>
        <v>115.39972874659</v>
      </c>
      <c s="38" r="M629">
        <f>((((B629*2)+141)*((F629*2)+36))/(416.310724))-19.16575597</f>
        <v>116.252326606225</v>
      </c>
      <c s="38" r="N629">
        <f>(((((C629*2)+36)*((((C629*2)+36)*(I629/672))+415))/((((C629*2)+36)*(1-(I629/672)))+415))/(1.92306))-3.576327284</f>
        <v>79.1238010887505</v>
      </c>
      <c s="38" r="O629">
        <f>(((((E629*2)+36)*((((E629*2)+36)*(I629/672))+415))/((((E629*2)+36)*(1-(I629/672)))+415))/(1.980931))+4.9921912</f>
        <v>198.405103819673</v>
      </c>
      <c s="68" r="P629"/>
      <c s="38" r="Q629">
        <f>((((L629+M629)+N629)+O629)/(1.535645))-60.47703745</f>
        <v>271.097617018473</v>
      </c>
      <c s="63" r="R629"/>
      <c s="26" r="S629"/>
      <c s="26" r="T629"/>
    </row>
    <row customHeight="1" r="630" ht="14.25">
      <c t="s" s="45" r="A630">
        <v>707</v>
      </c>
      <c s="75" r="B630">
        <v>46</v>
      </c>
      <c s="54" r="C630">
        <v>87</v>
      </c>
      <c s="54" r="D630">
        <v>60</v>
      </c>
      <c s="54" r="E630">
        <v>30</v>
      </c>
      <c s="54" r="F630">
        <v>40</v>
      </c>
      <c s="2" r="G630">
        <v>57</v>
      </c>
      <c s="68" r="H630"/>
      <c s="19" r="I630">
        <f>INDEX('Speed Factors'!$A$2:$B$256,(G630),2)</f>
        <v>265</v>
      </c>
      <c s="19" r="J630">
        <f>SUM(B630:G630)</f>
        <v>320</v>
      </c>
      <c s="68" r="K630"/>
      <c s="38" r="L630">
        <f>((((B630*2)+141)*((D630*2)+36))/(402.744996))-24.57966407</f>
        <v>65.6709917072353</v>
      </c>
      <c s="38" r="M630">
        <f>((((B630*2)+141)*((F630*2)+36))/(416.310724))-19.16575597</f>
        <v>45.7569050181902</v>
      </c>
      <c s="38" r="N630">
        <f>(((((C630*2)+36)*((((C630*2)+36)*(I630/672))+415))/((((C630*2)+36)*(1-(I630/672)))+415))/(1.92306))-3.576327284</f>
        <v>96.687148694531</v>
      </c>
      <c s="38" r="O630">
        <f>(((((E630*2)+36)*((((E630*2)+36)*(I630/672))+415))/((((E630*2)+36)*(1-(I630/672)))+415))/(1.980931))+4.9921912</f>
        <v>51.3764711022351</v>
      </c>
      <c s="68" r="P630"/>
      <c s="38" r="Q630">
        <f>((((L630+M630)+N630)+O630)/(1.535645))-60.47703745</f>
        <v>108.501806307634</v>
      </c>
      <c s="63" r="R630"/>
      <c s="26" r="S630"/>
      <c s="26" r="T630"/>
    </row>
    <row customHeight="1" r="631" ht="14.25">
      <c t="s" s="45" r="A631">
        <v>708</v>
      </c>
      <c s="57" r="B631">
        <v>66</v>
      </c>
      <c s="8" r="C631">
        <v>117</v>
      </c>
      <c s="8" r="D631">
        <v>70</v>
      </c>
      <c s="8" r="E631">
        <v>40</v>
      </c>
      <c s="8" r="F631">
        <v>50</v>
      </c>
      <c s="27" r="G631">
        <v>67</v>
      </c>
      <c s="68" r="H631"/>
      <c s="20" r="I631">
        <f>INDEX('Speed Factors'!$A$2:$B$256,(G631),2)</f>
        <v>361</v>
      </c>
      <c s="20" r="J631">
        <f>SUM(B631:G631)</f>
        <v>410</v>
      </c>
      <c s="68" r="K631"/>
      <c s="38" r="L631">
        <f>((((B631*2)+141)*((D631*2)+36))/(402.744996))-24.57966407</f>
        <v>94.7216319788775</v>
      </c>
      <c s="38" r="M631">
        <f>((((B631*2)+141)*((F631*2)+36))/(416.310724))-19.16575597</f>
        <v>70.0176300433759</v>
      </c>
      <c s="38" r="N631">
        <f>(((((C631*2)+36)*((((C631*2)+36)*(I631/672))+415))/((((C631*2)+36)*(1-(I631/672)))+415))/(1.92306))-3.576327284</f>
        <v>142.04860035013</v>
      </c>
      <c s="38" r="O631">
        <f>(((((E631*2)+36)*((((E631*2)+36)*(I631/672))+415))/((((E631*2)+36)*(1-(I631/672)))+415))/(1.980931))+4.9921912</f>
        <v>64.628882938238</v>
      </c>
      <c s="68" r="P631"/>
      <c s="38" r="Q631">
        <f>((((L631+M631)+N631)+O631)/(1.535645))-60.47703745</f>
        <v>181.386638927432</v>
      </c>
      <c s="63" r="R631"/>
      <c s="26" r="S631"/>
      <c s="26" r="T631"/>
    </row>
    <row customHeight="1" r="632" ht="14.25">
      <c t="s" s="45" r="A632">
        <v>74</v>
      </c>
      <c s="75" r="B632">
        <v>76</v>
      </c>
      <c s="54" r="C632">
        <v>147</v>
      </c>
      <c s="54" r="D632">
        <v>90</v>
      </c>
      <c s="54" r="E632">
        <v>60</v>
      </c>
      <c s="54" r="F632">
        <v>70</v>
      </c>
      <c s="2" r="G632">
        <v>97</v>
      </c>
      <c s="68" r="H632"/>
      <c s="19" r="I632">
        <f>INDEX('Speed Factors'!$A$2:$B$256,(G632),2)</f>
        <v>568</v>
      </c>
      <c s="19" r="J632">
        <f>SUM(B632:G632)</f>
        <v>540</v>
      </c>
      <c s="68" r="K632"/>
      <c s="38" r="L632">
        <f>((((B632*2)+141)*((D632*2)+36))/(402.744996))-24.57966407</f>
        <v>132.561953153222</v>
      </c>
      <c s="38" r="M632">
        <f>((((B632*2)+141)*((F632*2)+36))/(416.310724))-19.16575597</f>
        <v>104.703260673443</v>
      </c>
      <c s="38" r="N632">
        <f>(((((C632*2)+36)*((((C632*2)+36)*(I632/672))+415))/((((C632*2)+36)*(1-(I632/672)))+415))/(1.92306))-3.576327284</f>
        <v>251.919254410452</v>
      </c>
      <c s="38" r="O632">
        <f>(((((E632*2)+36)*((((E632*2)+36)*(I632/672))+415))/((((E632*2)+36)*(1-(I632/672)))+415))/(1.980931))+4.9921912</f>
        <v>103.059287400421</v>
      </c>
      <c s="68" r="P632"/>
      <c s="38" r="Q632">
        <f>((((L632+M632)+N632)+O632)/(1.535645))-60.47703745</f>
        <v>325.18745899126</v>
      </c>
      <c s="63" r="R632"/>
      <c s="26" r="S632"/>
      <c s="26" r="T632"/>
    </row>
    <row customHeight="1" r="633" ht="14.25">
      <c t="s" s="45" r="A633">
        <v>709</v>
      </c>
      <c s="57" r="B633">
        <v>55</v>
      </c>
      <c s="8" r="C633">
        <v>70</v>
      </c>
      <c s="8" r="D633">
        <v>40</v>
      </c>
      <c s="8" r="E633">
        <v>60</v>
      </c>
      <c s="8" r="F633">
        <v>40</v>
      </c>
      <c s="27" r="G633">
        <v>40</v>
      </c>
      <c s="68" r="H633"/>
      <c s="20" r="I633">
        <f>INDEX('Speed Factors'!$A$2:$B$256,(G633),2)</f>
        <v>111</v>
      </c>
      <c s="20" r="J633">
        <f>SUM(B633:G633)</f>
        <v>305</v>
      </c>
      <c s="68" r="K633"/>
      <c s="38" r="L633">
        <f>((((B633*2)+141)*((D633*2)+36))/(402.744996))-24.57966407</f>
        <v>47.7142198743706</v>
      </c>
      <c s="38" r="M633">
        <f>((((B633*2)+141)*((F633*2)+36))/(416.310724))-19.16575597</f>
        <v>50.7723895580503</v>
      </c>
      <c s="38" r="N633">
        <f>(((((C633*2)+36)*((((C633*2)+36)*(I633/672))+415))/((((C633*2)+36)*(1-(I633/672)))+415))/(1.92306))-3.576327284</f>
        <v>68.7491903296588</v>
      </c>
      <c s="38" r="O633">
        <f>(((((E633*2)+36)*((((E633*2)+36)*(I633/672))+415))/((((E633*2)+36)*(1-(I633/672)))+415))/(1.980931))+4.9921912</f>
        <v>68.6546950494339</v>
      </c>
      <c s="68" r="P633"/>
      <c s="38" r="Q633">
        <f>((((L633+M633)+N633)+O633)/(1.535645))-60.47703745</f>
        <v>93.1330057640981</v>
      </c>
      <c s="63" r="R633"/>
      <c s="26" r="S633"/>
      <c s="26" r="T633"/>
    </row>
    <row customHeight="1" r="634" ht="14.25">
      <c t="s" s="45" r="A634">
        <v>710</v>
      </c>
      <c s="75" r="B634">
        <v>95</v>
      </c>
      <c s="54" r="C634">
        <v>110</v>
      </c>
      <c s="54" r="D634">
        <v>80</v>
      </c>
      <c s="54" r="E634">
        <v>70</v>
      </c>
      <c s="54" r="F634">
        <v>80</v>
      </c>
      <c s="2" r="G634">
        <v>50</v>
      </c>
      <c s="68" r="H634"/>
      <c s="19" r="I634">
        <f>INDEX('Speed Factors'!$A$2:$B$256,(G634),2)</f>
        <v>189</v>
      </c>
      <c s="19" r="J634">
        <f>SUM(B634:G634)</f>
        <v>485</v>
      </c>
      <c s="68" r="K634"/>
      <c s="38" r="L634">
        <f>((((B634*2)+141)*((D634*2)+36))/(402.744996))-24.57966407</f>
        <v>136.504894755903</v>
      </c>
      <c s="38" r="M634">
        <f>((((B634*2)+141)*((F634*2)+36))/(416.310724))-19.16575597</f>
        <v>136.669768459104</v>
      </c>
      <c s="38" r="N634">
        <f>(((((C634*2)+36)*((((C634*2)+36)*(I634/672))+415))/((((C634*2)+36)*(1-(I634/672)))+415))/(1.92306))-3.576327284</f>
        <v>104.654074225336</v>
      </c>
      <c s="38" r="O634">
        <f>(((((E634*2)+36)*((((E634*2)+36)*(I634/672))+415))/((((E634*2)+36)*(1-(I634/672)))+415))/(1.980931))+4.9921912</f>
        <v>81.2054578559356</v>
      </c>
      <c s="68" r="P634"/>
      <c s="38" r="Q634">
        <f>((((L634+M634)+N634)+O634)/(1.535645))-60.47703745</f>
        <v>238.442436319184</v>
      </c>
      <c s="63" r="R634"/>
      <c s="26" r="S634"/>
      <c s="26" r="T634"/>
    </row>
    <row customHeight="1" r="635" ht="14.25">
      <c t="s" s="45" r="A635">
        <v>711</v>
      </c>
      <c s="57" r="B635">
        <v>70</v>
      </c>
      <c s="8" r="C635">
        <v>50</v>
      </c>
      <c s="8" r="D635">
        <v>30</v>
      </c>
      <c s="8" r="E635">
        <v>95</v>
      </c>
      <c s="8" r="F635">
        <v>135</v>
      </c>
      <c s="27" r="G635">
        <v>105</v>
      </c>
      <c s="68" r="H635"/>
      <c s="20" r="I635">
        <f>INDEX('Speed Factors'!$A$2:$B$256,(G635),2)</f>
        <v>609</v>
      </c>
      <c s="20" r="J635">
        <f>SUM(B635:G635)</f>
        <v>485</v>
      </c>
      <c s="68" r="K635"/>
      <c s="38" r="L635">
        <f>((((B635*2)+141)*((D635*2)+36))/(402.744996))-24.57966407</f>
        <v>42.4006839614377</v>
      </c>
      <c s="38" r="M635">
        <f>((((B635*2)+141)*((F635*2)+36))/(416.310724))-19.16575597</f>
        <v>187.377085813725</v>
      </c>
      <c s="38" r="N635">
        <f>(((((C635*2)+36)*((((C635*2)+36)*(I635/672))+415))/((((C635*2)+36)*(1-(I635/672)))+415))/(1.92306))-3.576327284</f>
        <v>85.4134447213765</v>
      </c>
      <c s="38" r="O635">
        <f>(((((E635*2)+36)*((((E635*2)+36)*(I635/672))+415))/((((E635*2)+36)*(1-(I635/672)))+415))/(1.980931))+4.9921912</f>
        <v>167.108312924988</v>
      </c>
      <c s="68" r="P635"/>
      <c s="38" r="Q635">
        <f>((((L635+M635)+N635)+O635)/(1.535645))-60.47703745</f>
        <v>253.592638433116</v>
      </c>
      <c s="63" r="R635"/>
      <c s="26" r="S635"/>
      <c s="26" r="T635"/>
    </row>
    <row customHeight="1" r="636" ht="14.25">
      <c t="s" s="45" r="A636">
        <v>712</v>
      </c>
      <c s="75" r="B636">
        <v>50</v>
      </c>
      <c s="54" r="C636">
        <v>40</v>
      </c>
      <c s="54" r="D636">
        <v>85</v>
      </c>
      <c s="54" r="E636">
        <v>40</v>
      </c>
      <c s="54" r="F636">
        <v>65</v>
      </c>
      <c s="2" r="G636">
        <v>25</v>
      </c>
      <c s="68" r="H636"/>
      <c s="19" r="I636">
        <f>INDEX('Speed Factors'!$A$2:$B$256,(G636),2)</f>
        <v>32</v>
      </c>
      <c s="19" r="J636">
        <f>SUM(B636:G636)</f>
        <v>305</v>
      </c>
      <c s="68" r="K636"/>
      <c s="38" r="L636">
        <f>((((B636*2)+141)*((D636*2)+36))/(402.744996))-24.57966407</f>
        <v>98.6894031886283</v>
      </c>
      <c s="38" r="M636">
        <f>((((B636*2)+141)*((F636*2)+36))/(416.310724))-19.16575597</f>
        <v>76.9307356495625</v>
      </c>
      <c s="38" r="N636">
        <f>(((((C636*2)+36)*((((C636*2)+36)*(I636/672))+415))/((((C636*2)+36)*(1-(I636/672)))+415))/(1.92306))-3.576327284</f>
        <v>44.6964962481566</v>
      </c>
      <c s="38" r="O636">
        <f>(((((E636*2)+36)*((((E636*2)+36)*(I636/672))+415))/((((E636*2)+36)*(1-(I636/672)))+415))/(1.980931))+4.9921912</f>
        <v>51.8547704729524</v>
      </c>
      <c s="68" r="P636"/>
      <c s="38" r="Q636">
        <f>((((L636+M636)+N636)+O636)/(1.535645))-60.47703745</f>
        <v>116.758850765896</v>
      </c>
      <c s="63" r="R636"/>
      <c s="26" r="S636"/>
      <c s="26" r="T636"/>
    </row>
    <row customHeight="1" r="637" ht="14.25">
      <c t="s" s="45" r="A637">
        <v>713</v>
      </c>
      <c s="57" r="B637">
        <v>80</v>
      </c>
      <c s="8" r="C637">
        <v>70</v>
      </c>
      <c s="8" r="D637">
        <v>40</v>
      </c>
      <c s="8" r="E637">
        <v>100</v>
      </c>
      <c s="8" r="F637">
        <v>60</v>
      </c>
      <c s="27" r="G637">
        <v>145</v>
      </c>
      <c s="68" r="H637"/>
      <c s="20" r="I637">
        <f>INDEX('Speed Factors'!$A$2:$B$256,(G637),2)</f>
        <v>667</v>
      </c>
      <c s="20" r="J637">
        <f>SUM(B637:G637)</f>
        <v>495</v>
      </c>
      <c s="68" r="K637"/>
      <c s="38" r="L637">
        <f>((((B637*2)+141)*((D637*2)+36))/(402.744996))-24.57966407</f>
        <v>62.1153919748428</v>
      </c>
      <c s="38" r="M637">
        <f>((((B637*2)+141)*((F637*2)+36))/(416.310724))-19.16575597</f>
        <v>93.6249969292695</v>
      </c>
      <c s="38" r="N637">
        <f>(((((C637*2)+36)*((((C637*2)+36)*(I637/672))+415))/((((C637*2)+36)*(1-(I637/672)))+415))/(1.92306))-3.576327284</f>
        <v>126.060263332124</v>
      </c>
      <c s="38" r="O637">
        <f>(((((E637*2)+36)*((((E637*2)+36)*(I637/672))+415))/((((E637*2)+36)*(1-(I637/672)))+415))/(1.980931))+4.9921912</f>
        <v>190.588279996584</v>
      </c>
      <c s="68" r="P637"/>
      <c s="38" r="Q637">
        <f>((((L637+M637)+N637)+O637)/(1.535645))-60.47703745</f>
        <v>247.138936445542</v>
      </c>
      <c s="63" r="R637"/>
      <c s="26" r="S637"/>
      <c s="26" r="T637"/>
    </row>
    <row customHeight="1" r="638" ht="14.25">
      <c t="s" s="45" r="A638">
        <v>714</v>
      </c>
      <c s="75" r="B638">
        <v>109</v>
      </c>
      <c s="54" r="C638">
        <v>66</v>
      </c>
      <c s="54" r="D638">
        <v>84</v>
      </c>
      <c s="54" r="E638">
        <v>81</v>
      </c>
      <c s="54" r="F638">
        <v>99</v>
      </c>
      <c s="2" r="G638">
        <v>32</v>
      </c>
      <c s="68" r="H638"/>
      <c s="19" r="I638">
        <f>INDEX('Speed Factors'!$A$2:$B$256,(G638),2)</f>
        <v>77</v>
      </c>
      <c s="19" r="J638">
        <f>SUM(B638:G638)</f>
        <v>471</v>
      </c>
      <c s="68" r="K638"/>
      <c s="38" r="L638">
        <f>((((B638*2)+141)*((D638*2)+36))/(402.744996))-24.57966407</f>
        <v>157.262446266239</v>
      </c>
      <c s="38" r="M638">
        <f>((((B638*2)+141)*((F638*2)+36))/(416.310724))-19.16575597</f>
        <v>182.621022887996</v>
      </c>
      <c s="38" r="N638">
        <f>(((((C638*2)+36)*((((C638*2)+36)*(I638/672))+415))/((((C638*2)+36)*(1-(I638/672)))+415))/(1.92306))-3.576327284</f>
        <v>63.7166462688901</v>
      </c>
      <c s="38" r="O638">
        <f>(((((E638*2)+36)*((((E638*2)+36)*(I638/672))+415))/((((E638*2)+36)*(1-(I638/672)))+415))/(1.980931))+4.9921912</f>
        <v>79.1023947237449</v>
      </c>
      <c s="68" r="P638"/>
      <c s="38" r="Q638">
        <f>((((L638+M638)+N638)+O638)/(1.535645))-60.47703745</f>
        <v>253.85505762853</v>
      </c>
      <c s="63" r="R638"/>
      <c s="26" r="S638"/>
      <c s="26" r="T638"/>
    </row>
    <row customHeight="1" r="639" ht="14.25">
      <c t="s" s="45" r="A639">
        <v>715</v>
      </c>
      <c s="57" r="B639">
        <v>45</v>
      </c>
      <c s="8" r="C639">
        <v>85</v>
      </c>
      <c s="8" r="D639">
        <v>50</v>
      </c>
      <c s="8" r="E639">
        <v>55</v>
      </c>
      <c s="8" r="F639">
        <v>50</v>
      </c>
      <c s="27" r="G639">
        <v>65</v>
      </c>
      <c s="68" r="H639"/>
      <c s="20" r="I639">
        <f>INDEX('Speed Factors'!$A$2:$B$256,(G639),2)</f>
        <v>321</v>
      </c>
      <c s="20" r="J639">
        <f>SUM(B639:G639)</f>
        <v>350</v>
      </c>
      <c s="68" r="K639"/>
      <c s="38" r="L639">
        <f>((((B639*2)+141)*((D639*2)+36))/(402.744996))-24.57966407</f>
        <v>53.4250295004199</v>
      </c>
      <c s="38" r="M639">
        <f>((((B639*2)+141)*((F639*2)+36))/(416.310724))-19.16575597</f>
        <v>56.2971091182412</v>
      </c>
      <c s="38" r="N639">
        <f>(((((C639*2)+36)*((((C639*2)+36)*(I639/672))+415))/((((C639*2)+36)*(1-(I639/672)))+415))/(1.92306))-3.576327284</f>
        <v>101.659553260321</v>
      </c>
      <c s="38" r="O639">
        <f>(((((E639*2)+36)*((((E639*2)+36)*(I639/672))+415))/((((E639*2)+36)*(1-(I639/672)))+415))/(1.980931))+4.9921912</f>
        <v>77.7170470531314</v>
      </c>
      <c s="68" r="P639"/>
      <c s="38" r="Q639">
        <f>((((L639+M639)+N639)+O639)/(1.535645))-60.47703745</f>
        <v>127.781797718358</v>
      </c>
      <c s="63" r="R639"/>
      <c s="26" r="S639"/>
      <c s="26" r="T639"/>
    </row>
    <row customHeight="1" r="640" ht="14.25">
      <c t="s" s="45" r="A640">
        <v>716</v>
      </c>
      <c s="75" r="B640">
        <v>65</v>
      </c>
      <c s="54" r="C640">
        <v>125</v>
      </c>
      <c s="54" r="D640">
        <v>60</v>
      </c>
      <c s="54" r="E640">
        <v>95</v>
      </c>
      <c s="54" r="F640">
        <v>60</v>
      </c>
      <c s="2" r="G640">
        <v>105</v>
      </c>
      <c s="68" r="H640"/>
      <c s="19" r="I640">
        <f>INDEX('Speed Factors'!$A$2:$B$256,(G640),2)</f>
        <v>609</v>
      </c>
      <c s="19" r="J640">
        <f>SUM(B640:G640)</f>
        <v>510</v>
      </c>
      <c s="68" r="K640"/>
      <c s="38" r="L640">
        <f>((((B640*2)+141)*((D640*2)+36))/(402.744996))-24.57966407</f>
        <v>80.3899827782007</v>
      </c>
      <c s="38" r="M640">
        <f>((((B640*2)+141)*((F640*2)+36))/(416.310724))-19.16575597</f>
        <v>82.3833936502726</v>
      </c>
      <c s="38" r="N640">
        <f>(((((C640*2)+36)*((((C640*2)+36)*(I640/672))+415))/((((C640*2)+36)*(1-(I640/672)))+415))/(1.92306))-3.576327284</f>
        <v>223.366204539379</v>
      </c>
      <c s="38" r="O640">
        <f>(((((E640*2)+36)*((((E640*2)+36)*(I640/672))+415))/((((E640*2)+36)*(1-(I640/672)))+415))/(1.980931))+4.9921912</f>
        <v>167.108312924988</v>
      </c>
      <c s="68" r="P640"/>
      <c s="38" r="Q640">
        <f>((((L640+M640)+N640)+O640)/(1.535645))-60.47703745</f>
        <v>299.793659158162</v>
      </c>
      <c s="63" r="R640"/>
      <c s="26" r="S640"/>
      <c s="26" r="T640"/>
    </row>
    <row customHeight="1" r="641" ht="14.25">
      <c t="s" s="45" r="A641">
        <v>717</v>
      </c>
      <c s="57" r="B641">
        <v>77</v>
      </c>
      <c s="8" r="C641">
        <v>120</v>
      </c>
      <c s="8" r="D641">
        <v>90</v>
      </c>
      <c s="8" r="E641">
        <v>60</v>
      </c>
      <c s="8" r="F641">
        <v>90</v>
      </c>
      <c s="27" r="G641">
        <v>48</v>
      </c>
      <c s="68" r="H641"/>
      <c s="20" r="I641">
        <f>INDEX('Speed Factors'!$A$2:$B$256,(G641),2)</f>
        <v>184</v>
      </c>
      <c s="20" r="J641">
        <f>SUM(B641:G641)</f>
        <v>485</v>
      </c>
      <c s="68" r="K641"/>
      <c s="38" r="L641">
        <f>((((B641*2)+141)*((D641*2)+36))/(402.744996))-24.57966407</f>
        <v>133.634592178636</v>
      </c>
      <c s="38" r="M641">
        <f>((((B641*2)+141)*((F641*2)+36))/(416.310724))-19.16575597</f>
        <v>133.892996367113</v>
      </c>
      <c s="38" r="N641">
        <f>(((((C641*2)+36)*((((C641*2)+36)*(I641/672))+415))/((((C641*2)+36)*(1-(I641/672)))+415))/(1.92306))-3.576327284</f>
        <v>110.827576406286</v>
      </c>
      <c s="38" r="O641">
        <f>(((((E641*2)+36)*((((E641*2)+36)*(I641/672))+415))/((((E641*2)+36)*(1-(I641/672)))+415))/(1.980931))+4.9921912</f>
        <v>73.2230520256138</v>
      </c>
      <c s="68" r="P641"/>
      <c s="38" r="Q641">
        <f>((((L641+M641)+N641)+O641)/(1.535645))-60.47703745</f>
        <v>233.587161617915</v>
      </c>
      <c s="63" r="R641"/>
      <c s="26" r="S641"/>
      <c s="26" r="T641"/>
    </row>
    <row customHeight="1" r="642" ht="14.25">
      <c t="s" s="45" r="A642">
        <v>718</v>
      </c>
      <c s="75" r="B642">
        <v>59</v>
      </c>
      <c s="54" r="C642">
        <v>74</v>
      </c>
      <c s="54" r="D642">
        <v>50</v>
      </c>
      <c s="54" r="E642">
        <v>35</v>
      </c>
      <c s="54" r="F642">
        <v>50</v>
      </c>
      <c s="2" r="G642">
        <v>35</v>
      </c>
      <c s="68" r="H642"/>
      <c s="19" r="I642">
        <f>INDEX('Speed Factors'!$A$2:$B$256,(G642),2)</f>
        <v>84</v>
      </c>
      <c s="19" r="J642">
        <f>SUM(B642:G642)</f>
        <v>303</v>
      </c>
      <c s="68" r="K642"/>
      <c s="38" r="L642">
        <f>((((B642*2)+141)*((D642*2)+36))/(402.744996))-24.57966407</f>
        <v>62.880143872592</v>
      </c>
      <c s="38" r="M642">
        <f>((((B642*2)+141)*((F642*2)+36))/(416.310724))-19.16575597</f>
        <v>65.444123068331</v>
      </c>
      <c s="38" r="N642">
        <f>(((((C642*2)+36)*((((C642*2)+36)*(I642/672))+415))/((((C642*2)+36)*(1-(I642/672)))+415))/(1.92306))-3.576327284</f>
        <v>69.1809796469677</v>
      </c>
      <c s="38" r="O642">
        <f>(((((E642*2)+36)*((((E642*2)+36)*(I642/672))+415))/((((E642*2)+36)*(1-(I642/672)))+415))/(1.980931))+4.9921912</f>
        <v>50.1241264520223</v>
      </c>
      <c s="68" r="P642"/>
      <c s="38" r="Q642">
        <f>((((L642+M642)+N642)+O642)/(1.535645))-60.47703745</f>
        <v>100.777271351782</v>
      </c>
      <c s="63" r="R642"/>
      <c s="26" r="S642"/>
      <c s="26" r="T642"/>
    </row>
    <row customHeight="1" r="643" ht="14.25">
      <c t="s" s="45" r="A643">
        <v>719</v>
      </c>
      <c s="57" r="B643">
        <v>89</v>
      </c>
      <c s="8" r="C643">
        <v>124</v>
      </c>
      <c s="8" r="D643">
        <v>80</v>
      </c>
      <c s="8" r="E643">
        <v>55</v>
      </c>
      <c s="8" r="F643">
        <v>80</v>
      </c>
      <c s="27" r="G643">
        <v>55</v>
      </c>
      <c s="68" r="H643"/>
      <c s="20" r="I643">
        <f>INDEX('Speed Factors'!$A$2:$B$256,(G643),2)</f>
        <v>233</v>
      </c>
      <c s="20" r="J643">
        <f>SUM(B643:G643)</f>
        <v>483</v>
      </c>
      <c s="68" r="K643"/>
      <c s="38" r="L643">
        <f>((((B643*2)+141)*((D643*2)+36))/(402.744996))-24.57966407</f>
        <v>130.664971173091</v>
      </c>
      <c s="38" r="M643">
        <f>((((B643*2)+141)*((F643*2)+36))/(416.310724))-19.16575597</f>
        <v>131.020142195813</v>
      </c>
      <c s="38" r="N643">
        <f>(((((C643*2)+36)*((((C643*2)+36)*(I643/672))+415))/((((C643*2)+36)*(1-(I643/672)))+415))/(1.92306))-3.576327284</f>
        <v>122.695436208562</v>
      </c>
      <c s="38" r="O643">
        <f>(((((E643*2)+36)*((((E643*2)+36)*(I643/672))+415))/((((E643*2)+36)*(1-(I643/672)))+415))/(1.980931))+4.9921912</f>
        <v>72.2317873069376</v>
      </c>
      <c s="68" r="P643"/>
      <c s="38" r="Q643">
        <f>((((L643+M643)+N643)+O643)/(1.535645))-60.47703745</f>
        <v>236.865341084364</v>
      </c>
      <c s="63" r="R643"/>
      <c s="26" r="S643"/>
      <c s="26" r="T643"/>
    </row>
    <row customHeight="1" r="644" ht="14.25">
      <c t="s" s="45" r="A644">
        <v>720</v>
      </c>
      <c s="75" r="B644">
        <v>45</v>
      </c>
      <c s="54" r="C644">
        <v>85</v>
      </c>
      <c s="54" r="D644">
        <v>70</v>
      </c>
      <c s="54" r="E644">
        <v>40</v>
      </c>
      <c s="54" r="F644">
        <v>40</v>
      </c>
      <c s="2" r="G644">
        <v>60</v>
      </c>
      <c s="68" r="H644"/>
      <c s="19" r="I644">
        <f>INDEX('Speed Factors'!$A$2:$B$256,(G644),2)</f>
        <v>274</v>
      </c>
      <c s="19" r="J644">
        <f>SUM(B644:G644)</f>
        <v>340</v>
      </c>
      <c s="68" r="K644"/>
      <c s="38" r="L644">
        <f>((((B644*2)+141)*((D644*2)+36))/(402.744996))-24.57966407</f>
        <v>76.3675864328964</v>
      </c>
      <c s="38" r="M644">
        <f>((((B644*2)+141)*((F644*2)+36))/(416.310724))-19.16575597</f>
        <v>45.1996289582057</v>
      </c>
      <c s="38" r="N644">
        <f>(((((C644*2)+36)*((((C644*2)+36)*(I644/672))+415))/((((C644*2)+36)*(1-(I644/672)))+415))/(1.92306))-3.576327284</f>
        <v>95.962071737144</v>
      </c>
      <c s="38" r="O644">
        <f>(((((E644*2)+36)*((((E644*2)+36)*(I644/672))+415))/((((E644*2)+36)*(1-(I644/672)))+415))/(1.980931))+4.9921912</f>
        <v>60.9591969155693</v>
      </c>
      <c s="68" r="P644"/>
      <c s="38" r="Q644">
        <f>((((L644+M644)+N644)+O644)/(1.535645))-60.47703745</f>
        <v>120.872482812701</v>
      </c>
      <c s="63" r="R644"/>
      <c s="26" r="S644"/>
      <c s="26" r="T644"/>
    </row>
    <row customHeight="1" r="645" ht="14.25">
      <c t="s" s="45" r="A645">
        <v>721</v>
      </c>
      <c s="57" r="B645">
        <v>65</v>
      </c>
      <c s="8" r="C645">
        <v>125</v>
      </c>
      <c s="8" r="D645">
        <v>100</v>
      </c>
      <c s="8" r="E645">
        <v>60</v>
      </c>
      <c s="8" r="F645">
        <v>70</v>
      </c>
      <c s="27" r="G645">
        <v>70</v>
      </c>
      <c s="68" r="H645"/>
      <c s="20" r="I645">
        <f>INDEX('Speed Factors'!$A$2:$B$256,(G645),2)</f>
        <v>369</v>
      </c>
      <c s="20" r="J645">
        <f>SUM(B645:G645)</f>
        <v>490</v>
      </c>
      <c s="68" r="K645"/>
      <c s="38" r="L645">
        <f>((((B645*2)+141)*((D645*2)+36))/(402.744996))-24.57966407</f>
        <v>134.220570905483</v>
      </c>
      <c s="38" r="M645">
        <f>((((B645*2)+141)*((F645*2)+36))/(416.310724))-19.16575597</f>
        <v>95.4025153964614</v>
      </c>
      <c s="38" r="N645">
        <f>(((((C645*2)+36)*((((C645*2)+36)*(I645/672))+415))/((((C645*2)+36)*(1-(I645/672)))+415))/(1.92306))-3.576327284</f>
        <v>152.824794298074</v>
      </c>
      <c s="38" r="O645">
        <f>(((((E645*2)+36)*((((E645*2)+36)*(I645/672))+415))/((((E645*2)+36)*(1-(I645/672)))+415))/(1.980931))+4.9921912</f>
        <v>86.2290866289987</v>
      </c>
      <c s="68" r="P645"/>
      <c s="38" r="Q645">
        <f>((((L645+M645)+N645)+O645)/(1.535645))-60.47703745</f>
        <v>244.721733899509</v>
      </c>
      <c s="63" r="R645"/>
      <c s="26" r="S645"/>
      <c s="26" r="T645"/>
    </row>
    <row customHeight="1" r="646" ht="14.25">
      <c t="s" s="45" r="A646">
        <v>722</v>
      </c>
      <c s="75" r="B646">
        <v>95</v>
      </c>
      <c s="54" r="C646">
        <v>110</v>
      </c>
      <c s="54" r="D646">
        <v>95</v>
      </c>
      <c s="54" r="E646">
        <v>40</v>
      </c>
      <c s="54" r="F646">
        <v>95</v>
      </c>
      <c s="2" r="G646">
        <v>55</v>
      </c>
      <c s="68" r="H646"/>
      <c s="19" r="I646">
        <f>INDEX('Speed Factors'!$A$2:$B$256,(G646),2)</f>
        <v>233</v>
      </c>
      <c s="19" r="J646">
        <f>SUM(B646:G646)</f>
        <v>490</v>
      </c>
      <c s="68" r="K646"/>
      <c s="38" r="L646">
        <f>((((B646*2)+141)*((D646*2)+36))/(402.744996))-24.57966407</f>
        <v>161.160694576194</v>
      </c>
      <c s="38" r="M646">
        <f>((((B646*2)+141)*((F646*2)+36))/(416.310724))-19.16575597</f>
        <v>160.522144647232</v>
      </c>
      <c s="38" r="N646">
        <f>(((((C646*2)+36)*((((C646*2)+36)*(I646/672))+415))/((((C646*2)+36)*(1-(I646/672)))+415))/(1.92306))-3.576327284</f>
        <v>111.602283408899</v>
      </c>
      <c s="38" r="O646">
        <f>(((((E646*2)+36)*((((E646*2)+36)*(I646/672))+415))/((((E646*2)+36)*(1-(I646/672)))+415))/(1.980931))+4.9921912</f>
        <v>59.3076630658867</v>
      </c>
      <c s="68" r="P646"/>
      <c s="38" r="Q646">
        <f>((((L646+M646)+N646)+O646)/(1.535645))-60.47703745</f>
        <v>260.295527627354</v>
      </c>
      <c s="63" r="R646"/>
      <c s="26" r="S646"/>
      <c s="26" r="T646"/>
    </row>
    <row customHeight="1" r="647" ht="14.25">
      <c t="s" s="45" r="A647">
        <v>723</v>
      </c>
      <c s="57" r="B647">
        <v>70</v>
      </c>
      <c s="8" r="C647">
        <v>83</v>
      </c>
      <c s="8" r="D647">
        <v>50</v>
      </c>
      <c s="8" r="E647">
        <v>37</v>
      </c>
      <c s="8" r="F647">
        <v>50</v>
      </c>
      <c s="27" r="G647">
        <v>60</v>
      </c>
      <c s="68" r="H647"/>
      <c s="20" r="I647">
        <f>INDEX('Speed Factors'!$A$2:$B$256,(G647),2)</f>
        <v>274</v>
      </c>
      <c s="20" r="J647">
        <f>SUM(B647:G647)</f>
        <v>350</v>
      </c>
      <c s="68" r="K647"/>
      <c s="38" r="L647">
        <f>((((B647*2)+141)*((D647*2)+36))/(402.744996))-24.57966407</f>
        <v>70.3091623078701</v>
      </c>
      <c s="38" r="M647">
        <f>((((B647*2)+141)*((F647*2)+36))/(416.310724))-19.16575597</f>
        <v>72.6310626005444</v>
      </c>
      <c s="38" r="N647">
        <f>(((((C647*2)+36)*((((C647*2)+36)*(I647/672))+415))/((((C647*2)+36)*(1-(I647/672)))+415))/(1.92306))-3.576327284</f>
        <v>94.1413551301857</v>
      </c>
      <c s="38" r="O647">
        <f>(((((E647*2)+36)*((((E647*2)+36)*(I647/672))+415))/((((E647*2)+36)*(1-(I647/672)))+415))/(1.980931))+4.9921912</f>
        <v>58.1742070923429</v>
      </c>
      <c s="68" r="P647"/>
      <c s="38" r="Q647">
        <f>((((L647+M647)+N647)+O647)/(1.535645))-60.47703745</f>
        <v>131.791219296151</v>
      </c>
      <c s="63" r="R647"/>
      <c s="26" r="S647"/>
      <c s="26" r="T647"/>
    </row>
    <row customHeight="1" r="648" ht="14.25">
      <c t="s" s="45" r="A648">
        <v>724</v>
      </c>
      <c s="75" r="B648">
        <v>100</v>
      </c>
      <c s="54" r="C648">
        <v>123</v>
      </c>
      <c s="54" r="D648">
        <v>75</v>
      </c>
      <c s="54" r="E648">
        <v>57</v>
      </c>
      <c s="54" r="F648">
        <v>75</v>
      </c>
      <c s="2" r="G648">
        <v>80</v>
      </c>
      <c s="68" r="H648"/>
      <c s="19" r="I648">
        <f>INDEX('Speed Factors'!$A$2:$B$256,(G648),2)</f>
        <v>432</v>
      </c>
      <c s="19" r="J648">
        <f>SUM(B648:G648)</f>
        <v>510</v>
      </c>
      <c s="68" r="K648"/>
      <c s="38" r="L648">
        <f>((((B648*2)+141)*((D648*2)+36))/(402.744996))-24.57966407</f>
        <v>132.904601730785</v>
      </c>
      <c s="38" r="M648">
        <f>((((B648*2)+141)*((F648*2)+36))/(416.310724))-19.16575597</f>
        <v>133.186793084201</v>
      </c>
      <c s="38" r="N648">
        <f>(((((C648*2)+36)*((((C648*2)+36)*(I648/672))+415))/((((C648*2)+36)*(1-(I648/672)))+415))/(1.92306))-3.576327284</f>
        <v>165.975125987625</v>
      </c>
      <c s="38" r="O648">
        <f>(((((E648*2)+36)*((((E648*2)+36)*(I648/672))+415))/((((E648*2)+36)*(1-(I648/672)))+415))/(1.980931))+4.9921912</f>
        <v>87.6399523764983</v>
      </c>
      <c s="68" r="P648"/>
      <c s="38" r="Q648">
        <f>((((L648+M648)+N648)+O648)/(1.535645))-60.47703745</f>
        <v>277.951748616513</v>
      </c>
      <c s="63" r="R648"/>
      <c s="26" r="S648"/>
      <c s="26" r="T648"/>
    </row>
    <row customHeight="1" r="649" ht="14.25">
      <c t="s" s="45" r="A649">
        <v>725</v>
      </c>
      <c s="57" r="B649">
        <v>70</v>
      </c>
      <c s="8" r="C649">
        <v>55</v>
      </c>
      <c s="8" r="D649">
        <v>75</v>
      </c>
      <c s="8" r="E649">
        <v>45</v>
      </c>
      <c s="8" r="F649">
        <v>65</v>
      </c>
      <c s="27" r="G649">
        <v>60</v>
      </c>
      <c s="68" r="H649"/>
      <c s="20" r="I649">
        <f>INDEX('Speed Factors'!$A$2:$B$256,(G649),2)</f>
        <v>274</v>
      </c>
      <c s="20" r="J649">
        <f>SUM(B649:G649)</f>
        <v>370</v>
      </c>
      <c s="68" r="K649"/>
      <c s="38" r="L649">
        <f>((((B649*2)+141)*((D649*2)+36))/(402.744996))-24.57966407</f>
        <v>105.194760240911</v>
      </c>
      <c s="38" r="M649">
        <f>((((B649*2)+141)*((F649*2)+36))/(416.310724))-19.16575597</f>
        <v>92.8803608146351</v>
      </c>
      <c s="38" r="N649">
        <f>(((((C649*2)+36)*((((C649*2)+36)*(I649/672))+415))/((((C649*2)+36)*(1-(I649/672)))+415))/(1.92306))-3.576327284</f>
        <v>68.265656190188</v>
      </c>
      <c s="38" r="O649">
        <f>(((((E649*2)+36)*((((E649*2)+36)*(I649/672))+415))/((((E649*2)+36)*(1-(I649/672)))+415))/(1.980931))+4.9921912</f>
        <v>65.5782740215716</v>
      </c>
      <c s="68" r="P649"/>
      <c s="38" r="Q649">
        <f>((((L649+M649)+N649)+O649)/(1.535645))-60.47703745</f>
        <v>155.666049830788</v>
      </c>
      <c s="63" r="R649"/>
      <c s="26" r="S649"/>
      <c s="26" r="T649"/>
    </row>
    <row customHeight="1" r="650" ht="14.25">
      <c t="s" s="45" r="A650">
        <v>726</v>
      </c>
      <c s="75" r="B650">
        <v>110</v>
      </c>
      <c s="54" r="C650">
        <v>65</v>
      </c>
      <c s="54" r="D650">
        <v>105</v>
      </c>
      <c s="54" r="E650">
        <v>55</v>
      </c>
      <c s="54" r="F650">
        <v>95</v>
      </c>
      <c s="2" r="G650">
        <v>80</v>
      </c>
      <c s="68" r="H650"/>
      <c s="19" r="I650">
        <f>INDEX('Speed Factors'!$A$2:$B$256,(G650),2)</f>
        <v>432</v>
      </c>
      <c s="19" r="J650">
        <f>SUM(B650:G650)</f>
        <v>510</v>
      </c>
      <c s="68" r="K650"/>
      <c s="38" r="L650">
        <f>((((B650*2)+141)*((D650*2)+36))/(402.744996))-24.57966407</f>
        <v>195.922144473886</v>
      </c>
      <c s="38" r="M650">
        <f>((((B650*2)+141)*((F650*2)+36))/(416.310724))-19.16575597</f>
        <v>176.808057089882</v>
      </c>
      <c s="38" r="N650">
        <f>(((((C650*2)+36)*((((C650*2)+36)*(I650/672))+415))/((((C650*2)+36)*(1-(I650/672)))+415))/(1.92306))-3.576327284</f>
        <v>91.3765083009532</v>
      </c>
      <c s="38" r="O650">
        <f>(((((E650*2)+36)*((((E650*2)+36)*(I650/672))+415))/((((E650*2)+36)*(1-(I650/672)))+415))/(1.980931))+4.9921912</f>
        <v>85.2763146088928</v>
      </c>
      <c s="68" r="P650"/>
      <c s="38" r="Q650">
        <f>((((L650+M650)+N650)+O650)/(1.535645))-60.47703745</f>
        <v>297.276886454036</v>
      </c>
      <c s="63" r="R650"/>
      <c s="26" r="S650"/>
      <c s="26" r="T650"/>
    </row>
    <row customHeight="1" r="651" ht="14.25">
      <c t="s" s="45" r="A651">
        <v>727</v>
      </c>
      <c s="57" r="B651">
        <v>85</v>
      </c>
      <c s="8" r="C651">
        <v>97</v>
      </c>
      <c s="8" r="D651">
        <v>66</v>
      </c>
      <c s="8" r="E651">
        <v>105</v>
      </c>
      <c s="8" r="F651">
        <v>66</v>
      </c>
      <c s="27" r="G651">
        <v>65</v>
      </c>
      <c s="68" r="H651"/>
      <c s="20" r="I651">
        <f>INDEX('Speed Factors'!$A$2:$B$256,(G651),2)</f>
        <v>321</v>
      </c>
      <c s="20" r="J651">
        <f>SUM(B651:G651)</f>
        <v>484</v>
      </c>
      <c s="68" r="K651"/>
      <c s="38" r="L651">
        <f>((((B651*2)+141)*((D651*2)+36))/(402.744996))-24.57966407</f>
        <v>105.150066948185</v>
      </c>
      <c s="38" r="M651">
        <f>((((B651*2)+141)*((F651*2)+36))/(416.310724))-19.16575597</f>
        <v>106.336656021674</v>
      </c>
      <c s="38" r="N651">
        <f>(((((C651*2)+36)*((((C651*2)+36)*(I651/672))+415))/((((C651*2)+36)*(1-(I651/672)))+415))/(1.92306))-3.576327284</f>
        <v>113.729885623004</v>
      </c>
      <c s="38" r="O651">
        <f>(((((E651*2)+36)*((((E651*2)+36)*(I651/672))+415))/((((E651*2)+36)*(1-(I651/672)))+415))/(1.980931))+4.9921912</f>
        <v>126.666878519721</v>
      </c>
      <c s="68" r="P651"/>
      <c s="38" r="Q651">
        <f>((((L651+M651)+N651)+O651)/(1.535645))-60.47703745</f>
        <v>233.78595113954</v>
      </c>
      <c s="63" r="R651"/>
      <c s="26" r="S651"/>
      <c s="26" r="T651"/>
    </row>
    <row customHeight="1" r="652" ht="14.25">
      <c t="s" s="45" r="A652">
        <v>728</v>
      </c>
      <c s="75" r="B652">
        <v>58</v>
      </c>
      <c s="54" r="C652">
        <v>109</v>
      </c>
      <c s="54" r="D652">
        <v>112</v>
      </c>
      <c s="54" r="E652">
        <v>48</v>
      </c>
      <c s="54" r="F652">
        <v>48</v>
      </c>
      <c s="2" r="G652">
        <v>109</v>
      </c>
      <c s="68" r="H652"/>
      <c s="19" r="I652">
        <f>INDEX('Speed Factors'!$A$2:$B$256,(G652),2)</f>
        <v>626</v>
      </c>
      <c s="19" r="J652">
        <f>SUM(B652:G652)</f>
        <v>484</v>
      </c>
      <c s="68" r="K652"/>
      <c s="38" r="L652">
        <f>((((B652*2)+141)*((D652*2)+36))/(402.744996))-24.57966407</f>
        <v>141.331770370268</v>
      </c>
      <c s="38" r="M652">
        <f>((((B652*2)+141)*((F652*2)+36))/(416.310724))-19.16575597</f>
        <v>62.3214554908318</v>
      </c>
      <c s="38" r="N652">
        <f>(((((C652*2)+36)*((((C652*2)+36)*(I652/672))+415))/((((C652*2)+36)*(1-(I652/672)))+415))/(1.92306))-3.576327284</f>
        <v>195.471826233998</v>
      </c>
      <c s="38" r="O652">
        <f>(((((E652*2)+36)*((((E652*2)+36)*(I652/672))+415))/((((E652*2)+36)*(1-(I652/672)))+415))/(1.980931))+4.9921912</f>
        <v>89.5308962488913</v>
      </c>
      <c s="68" r="P652"/>
      <c s="38" r="Q652">
        <f>((((L652+M652)+N652)+O652)/(1.535645))-60.47703745</f>
        <v>257.731889967462</v>
      </c>
      <c s="63" r="R652"/>
      <c s="26" r="S652"/>
      <c s="26" r="T652"/>
    </row>
    <row customHeight="1" r="653" ht="14.25">
      <c t="s" s="45" r="A653">
        <v>729</v>
      </c>
      <c s="57" r="B653">
        <v>52</v>
      </c>
      <c s="8" r="C653">
        <v>65</v>
      </c>
      <c s="8" r="D653">
        <v>50</v>
      </c>
      <c s="8" r="E653">
        <v>45</v>
      </c>
      <c s="8" r="F653">
        <v>50</v>
      </c>
      <c s="27" r="G653">
        <v>38</v>
      </c>
      <c s="68" r="H653"/>
      <c s="20" r="I653">
        <f>INDEX('Speed Factors'!$A$2:$B$256,(G653),2)</f>
        <v>109</v>
      </c>
      <c s="20" r="J653">
        <f>SUM(B653:G653)</f>
        <v>300</v>
      </c>
      <c s="68" r="K653"/>
      <c s="38" r="L653">
        <f>((((B653*2)+141)*((D653*2)+36))/(402.744996))-24.57966407</f>
        <v>58.152586686506</v>
      </c>
      <c s="38" r="M653">
        <f>((((B653*2)+141)*((F653*2)+36))/(416.310724))-19.16575597</f>
        <v>60.8706160932861</v>
      </c>
      <c s="38" r="N653">
        <f>(((((C653*2)+36)*((((C653*2)+36)*(I653/672))+415))/((((C653*2)+36)*(1-(I653/672)))+415))/(1.92306))-3.576327284</f>
        <v>65.2724640512576</v>
      </c>
      <c s="38" r="O653">
        <f>(((((E653*2)+36)*((((E653*2)+36)*(I653/672))+415))/((((E653*2)+36)*(1-(I653/672)))+415))/(1.980931))+4.9921912</f>
        <v>58.1973991753594</v>
      </c>
      <c s="68" r="P653"/>
      <c s="38" r="Q653">
        <f>((((L653+M653)+N653)+O653)/(1.535645))-60.47703745</f>
        <v>97.432548428513</v>
      </c>
      <c s="63" r="R653"/>
      <c s="26" r="S653"/>
      <c s="26" r="T653"/>
    </row>
    <row customHeight="1" r="654" ht="14.25">
      <c t="s" s="45" r="A654">
        <v>730</v>
      </c>
      <c s="75" r="B654">
        <v>72</v>
      </c>
      <c s="54" r="C654">
        <v>85</v>
      </c>
      <c s="54" r="D654">
        <v>70</v>
      </c>
      <c s="54" r="E654">
        <v>65</v>
      </c>
      <c s="54" r="F654">
        <v>70</v>
      </c>
      <c s="2" r="G654">
        <v>58</v>
      </c>
      <c s="68" r="H654"/>
      <c s="19" r="I654">
        <f>INDEX('Speed Factors'!$A$2:$B$256,(G654),2)</f>
        <v>267</v>
      </c>
      <c s="19" r="J654">
        <f>SUM(B654:G654)</f>
        <v>420</v>
      </c>
      <c s="68" r="K654"/>
      <c s="38" r="L654">
        <f>((((B654*2)+141)*((D654*2)+36))/(402.744996))-24.57966407</f>
        <v>99.965644992015</v>
      </c>
      <c s="38" r="M654">
        <f>((((B654*2)+141)*((F654*2)+36))/(416.310724))-19.16575597</f>
        <v>101.321171481814</v>
      </c>
      <c s="38" r="N654">
        <f>(((((C654*2)+36)*((((C654*2)+36)*(I654/672))+415))/((((C654*2)+36)*(1-(I654/672)))+415))/(1.92306))-3.576327284</f>
        <v>95.1395640207951</v>
      </c>
      <c s="38" r="O654">
        <f>(((((E654*2)+36)*((((E654*2)+36)*(I654/672))+415))/((((E654*2)+36)*(1-(I654/672)))+415))/(1.980931))+4.9921912</f>
        <v>83.2447651868212</v>
      </c>
      <c s="68" r="P654"/>
      <c s="38" r="Q654">
        <f>((((L654+M654)+N654)+O654)/(1.535645))-60.47703745</f>
        <v>186.761839817497</v>
      </c>
      <c s="63" r="R654"/>
      <c s="26" r="S654"/>
      <c s="26" r="T654"/>
    </row>
    <row customHeight="1" r="655" ht="14.25">
      <c t="s" s="45" r="A655">
        <v>77</v>
      </c>
      <c s="57" r="B655">
        <v>92</v>
      </c>
      <c s="8" r="C655">
        <v>105</v>
      </c>
      <c s="8" r="D655">
        <v>90</v>
      </c>
      <c s="8" r="E655">
        <v>125</v>
      </c>
      <c s="8" r="F655">
        <v>90</v>
      </c>
      <c s="27" r="G655">
        <v>98</v>
      </c>
      <c s="68" r="H655"/>
      <c s="20" r="I655">
        <f>INDEX('Speed Factors'!$A$2:$B$256,(G655),2)</f>
        <v>572</v>
      </c>
      <c s="20" r="J655">
        <f>SUM(B655:G655)</f>
        <v>600</v>
      </c>
      <c s="68" r="K655"/>
      <c s="38" r="L655">
        <f>((((B655*2)+141)*((D655*2)+36))/(402.744996))-24.57966407</f>
        <v>149.724177559854</v>
      </c>
      <c s="38" r="M655">
        <f>((((B655*2)+141)*((F655*2)+36))/(416.310724))-19.16575597</f>
        <v>149.458293214954</v>
      </c>
      <c s="38" r="N655">
        <f>(((((C655*2)+36)*((((C655*2)+36)*(I655/672))+415))/((((C655*2)+36)*(1-(I655/672)))+415))/(1.92306))-3.576327284</f>
        <v>173.287653792818</v>
      </c>
      <c s="38" r="O655">
        <f>(((((E655*2)+36)*((((E655*2)+36)*(I655/672))+415))/((((E655*2)+36)*(1-(I655/672)))+415))/(1.980931))+4.9921912</f>
        <v>212.753946442402</v>
      </c>
      <c s="68" r="P655"/>
      <c s="38" r="Q655">
        <f>((((L655+M655)+N655)+O655)/(1.535645))-60.47703745</f>
        <v>385.735512332031</v>
      </c>
      <c s="63" r="R655"/>
      <c s="26" r="S655"/>
      <c s="26" r="T655"/>
    </row>
    <row customHeight="1" r="656" ht="14.25">
      <c t="s" s="45" r="A656">
        <v>731</v>
      </c>
      <c s="75" r="B656">
        <v>55</v>
      </c>
      <c s="54" r="C656">
        <v>85</v>
      </c>
      <c s="54" r="D656">
        <v>55</v>
      </c>
      <c s="54" r="E656">
        <v>50</v>
      </c>
      <c s="54" r="F656">
        <v>55</v>
      </c>
      <c s="2" r="G656">
        <v>60</v>
      </c>
      <c s="68" r="H656"/>
      <c s="19" r="I656">
        <f>INDEX('Speed Factors'!$A$2:$B$256,(G656),2)</f>
        <v>274</v>
      </c>
      <c s="19" r="J656">
        <f>SUM(B656:G656)</f>
        <v>360</v>
      </c>
      <c s="68" r="K656"/>
      <c s="38" r="L656">
        <f>((((B656*2)+141)*((D656*2)+36))/(402.744996))-24.57966407</f>
        <v>66.4109139979147</v>
      </c>
      <c s="38" r="M656">
        <f>((((B656*2)+141)*((F656*2)+36))/(416.310724))-19.16575597</f>
        <v>68.8598409877185</v>
      </c>
      <c s="38" r="N656">
        <f>(((((C656*2)+36)*((((C656*2)+36)*(I656/672))+415))/((((C656*2)+36)*(1-(I656/672)))+415))/(1.92306))-3.576327284</f>
        <v>95.962071737144</v>
      </c>
      <c s="38" r="O656">
        <f>(((((E656*2)+36)*((((E656*2)+36)*(I656/672))+415))/((((E656*2)+36)*(1-(I656/672)))+415))/(1.980931))+4.9921912</f>
        <v>70.1700121638166</v>
      </c>
      <c s="68" r="P656"/>
      <c s="38" r="Q656">
        <f>((((L656+M656)+N656)+O656)/(1.535645))-60.47703745</f>
        <v>135.794131268417</v>
      </c>
      <c s="63" r="R656"/>
      <c s="26" r="S656"/>
      <c s="26" r="T656"/>
    </row>
    <row customHeight="1" r="657" ht="14.25">
      <c t="s" s="45" r="A657">
        <v>107</v>
      </c>
      <c s="57" r="B657">
        <v>85</v>
      </c>
      <c s="8" r="C657">
        <v>60</v>
      </c>
      <c s="8" r="D657">
        <v>65</v>
      </c>
      <c s="8" r="E657">
        <v>135</v>
      </c>
      <c s="8" r="F657">
        <v>105</v>
      </c>
      <c s="27" r="G657">
        <v>100</v>
      </c>
      <c s="68" r="H657"/>
      <c s="20" r="I657">
        <f>INDEX('Speed Factors'!$A$2:$B$256,(G657),2)</f>
        <v>577</v>
      </c>
      <c s="20" r="J657">
        <f>SUM(B657:G657)</f>
        <v>550</v>
      </c>
      <c s="68" r="K657"/>
      <c s="38" r="L657">
        <f>((((B657*2)+141)*((D657*2)+36))/(402.744996))-24.57966407</f>
        <v>103.605665388445</v>
      </c>
      <c s="38" r="M657">
        <f>((((B657*2)+141)*((F657*2)+36))/(416.310724))-19.16575597</f>
        <v>164.605633017808</v>
      </c>
      <c s="38" r="N657">
        <f>(((((C657*2)+36)*((((C657*2)+36)*(I657/672))+415))/((((C657*2)+36)*(1-(I657/672)))+415))/(1.92306))-3.576327284</f>
        <v>98.3126150996736</v>
      </c>
      <c s="38" r="O657">
        <f>(((((E657*2)+36)*((((E657*2)+36)*(I657/672))+415))/((((E657*2)+36)*(1-(I657/672)))+415))/(1.980931))+4.9921912</f>
        <v>233.449442680116</v>
      </c>
      <c s="68" r="P657"/>
      <c s="38" r="Q657">
        <f>((((L657+M657)+N657)+O657)/(1.535645))-60.47703745</f>
        <v>330.220914346179</v>
      </c>
      <c s="63" r="R657"/>
      <c s="26" r="S657"/>
      <c s="26" r="T657"/>
    </row>
    <row customHeight="1" r="658" ht="14.25">
      <c t="s" s="45" r="A658">
        <v>732</v>
      </c>
      <c s="75" r="B658">
        <v>91</v>
      </c>
      <c s="54" r="C658">
        <v>90</v>
      </c>
      <c s="54" r="D658">
        <v>129</v>
      </c>
      <c s="54" r="E658">
        <v>90</v>
      </c>
      <c s="54" r="F658">
        <v>72</v>
      </c>
      <c s="2" r="G658">
        <v>108</v>
      </c>
      <c s="68" r="H658"/>
      <c s="19" r="I658">
        <f>INDEX('Speed Factors'!$A$2:$B$256,(G658),2)</f>
        <v>620</v>
      </c>
      <c s="19" r="J658">
        <f>SUM(B658:G658)</f>
        <v>580</v>
      </c>
      <c s="68" r="K658"/>
      <c s="38" r="L658">
        <f>((((B658*2)+141)*((D658*2)+36))/(402.744996))-24.57966407</f>
        <v>211.207250586042</v>
      </c>
      <c s="38" r="M658">
        <f>((((B658*2)+141)*((F658*2)+36))/(416.310724))-19.16575597</f>
        <v>120.489546303693</v>
      </c>
      <c s="38" r="N658">
        <f>(((((C658*2)+36)*((((C658*2)+36)*(I658/672))+415))/((((C658*2)+36)*(1-(I658/672)))+415))/(1.92306))-3.576327284</f>
        <v>156.245065907993</v>
      </c>
      <c s="38" r="O658">
        <f>(((((E658*2)+36)*((((E658*2)+36)*(I658/672))+415))/((((E658*2)+36)*(1-(I658/672)))+415))/(1.980931))+4.9921912</f>
        <v>160.144555614406</v>
      </c>
      <c s="68" r="P658"/>
      <c s="38" r="Q658">
        <f>((((L658+M658)+N658)+O658)/(1.535645))-60.47703745</f>
        <v>361.551763745676</v>
      </c>
      <c s="63" r="R658"/>
      <c s="26" r="S658"/>
      <c s="26" r="T658"/>
    </row>
    <row customHeight="1" r="659" ht="14.25">
      <c t="s" s="45" r="A659">
        <v>100</v>
      </c>
      <c s="57" r="B659">
        <v>91</v>
      </c>
      <c s="8" r="C659">
        <v>129</v>
      </c>
      <c s="8" r="D659">
        <v>90</v>
      </c>
      <c s="8" r="E659">
        <v>72</v>
      </c>
      <c s="8" r="F659">
        <v>90</v>
      </c>
      <c s="27" r="G659">
        <v>108</v>
      </c>
      <c s="68" r="H659"/>
      <c s="20" r="I659">
        <f>INDEX('Speed Factors'!$A$2:$B$256,(G659),2)</f>
        <v>620</v>
      </c>
      <c s="20" r="J659">
        <f>SUM(B659:G659)</f>
        <v>580</v>
      </c>
      <c s="68" r="K659"/>
      <c s="38" r="L659">
        <f>((((B659*2)+141)*((D659*2)+36))/(402.744996))-24.57966407</f>
        <v>148.651538534439</v>
      </c>
      <c s="38" r="M659">
        <f>((((B659*2)+141)*((F659*2)+36))/(416.310724))-19.16575597</f>
        <v>148.420606758432</v>
      </c>
      <c s="38" r="N659">
        <f>(((((C659*2)+36)*((((C659*2)+36)*(I659/672))+415))/((((C659*2)+36)*(1-(I659/672)))+415))/(1.92306))-3.576327284</f>
        <v>236.092029655908</v>
      </c>
      <c s="38" r="O659">
        <f>(((((E659*2)+36)*((((E659*2)+36)*(I659/672))+415))/((((E659*2)+36)*(1-(I659/672)))+415))/(1.980931))+4.9921912</f>
        <v>128.089257346197</v>
      </c>
      <c s="68" r="P659"/>
      <c s="38" r="Q659">
        <f>((((L659+M659)+N659)+O659)/(1.535645))-60.47703745</f>
        <v>370.126020089324</v>
      </c>
      <c s="63" r="R659"/>
      <c s="26" r="S659"/>
      <c s="26" r="T659"/>
    </row>
    <row customHeight="1" r="660" ht="14.25">
      <c t="s" s="45" r="A660">
        <v>733</v>
      </c>
      <c s="75" r="B660">
        <v>91</v>
      </c>
      <c s="54" r="C660">
        <v>90</v>
      </c>
      <c s="54" r="D660">
        <v>72</v>
      </c>
      <c s="54" r="E660">
        <v>90</v>
      </c>
      <c s="54" r="F660">
        <v>129</v>
      </c>
      <c s="2" r="G660">
        <v>108</v>
      </c>
      <c s="68" r="H660"/>
      <c s="19" r="I660">
        <f>INDEX('Speed Factors'!$A$2:$B$256,(G660),2)</f>
        <v>620</v>
      </c>
      <c s="19" r="J660">
        <f>SUM(B660:G660)</f>
        <v>580</v>
      </c>
      <c s="68" r="K660"/>
      <c s="38" r="L660">
        <f>((((B660*2)+141)*((D660*2)+36))/(402.744996))-24.57966407</f>
        <v>119.779671433699</v>
      </c>
      <c s="38" r="M660">
        <f>((((B660*2)+141)*((F660*2)+36))/(416.310724))-19.16575597</f>
        <v>208.937904410365</v>
      </c>
      <c s="38" r="N660">
        <f>(((((C660*2)+36)*((((C660*2)+36)*(I660/672))+415))/((((C660*2)+36)*(1-(I660/672)))+415))/(1.92306))-3.576327284</f>
        <v>156.245065907993</v>
      </c>
      <c s="38" r="O660">
        <f>(((((E660*2)+36)*((((E660*2)+36)*(I660/672))+415))/((((E660*2)+36)*(1-(I660/672)))+415))/(1.980931))+4.9921912</f>
        <v>160.144555614406</v>
      </c>
      <c s="68" r="P660"/>
      <c s="38" r="Q660">
        <f>((((L660+M660)+N660)+O660)/(1.535645))-60.47703745</f>
        <v>359.611718327841</v>
      </c>
      <c s="63" r="R660"/>
      <c s="26" r="S660"/>
      <c s="26" r="T660"/>
    </row>
    <row customHeight="1" r="661" ht="14.25">
      <c t="s" s="45" r="A661">
        <v>734</v>
      </c>
      <c s="57" r="B661">
        <v>79</v>
      </c>
      <c s="8" r="C661">
        <v>115</v>
      </c>
      <c s="8" r="D661">
        <v>70</v>
      </c>
      <c s="8" r="E661">
        <v>125</v>
      </c>
      <c s="8" r="F661">
        <v>80</v>
      </c>
      <c s="27" r="G661">
        <v>111</v>
      </c>
      <c s="68" r="H661"/>
      <c s="20" r="I661">
        <f>INDEX('Speed Factors'!$A$2:$B$256,(G661),2)</f>
        <v>636</v>
      </c>
      <c s="20" r="J661">
        <f>SUM(B661:G661)</f>
        <v>580</v>
      </c>
      <c s="68" r="K661"/>
      <c s="38" r="L661">
        <f>((((B661*2)+141)*((D661*2)+36))/(402.744996))-24.57966407</f>
        <v>106.083660174009</v>
      </c>
      <c s="38" r="M661">
        <f>((((B661*2)+141)*((F661*2)+36))/(416.310724))-19.16575597</f>
        <v>121.604098423662</v>
      </c>
      <c s="38" r="N661">
        <f>(((((C661*2)+36)*((((C661*2)+36)*(I661/672))+415))/((((C661*2)+36)*(1-(I661/672)))+415))/(1.92306))-3.576327284</f>
        <v>211.27672242109</v>
      </c>
      <c s="38" r="O661">
        <f>(((((E661*2)+36)*((((E661*2)+36)*(I661/672))+415))/((((E661*2)+36)*(1-(I661/672)))+415))/(1.980931))+4.9921912</f>
        <v>235.043277821872</v>
      </c>
      <c s="68" r="P661"/>
      <c s="38" r="Q661">
        <f>((((L661+M661)+N661)+O661)/(1.535645))-60.47703745</f>
        <v>378.431537670313</v>
      </c>
      <c s="63" r="R661"/>
      <c s="26" r="S661"/>
      <c s="26" r="T661"/>
    </row>
    <row customHeight="1" r="662" ht="14.25">
      <c t="s" s="45" r="A662">
        <v>102</v>
      </c>
      <c s="75" r="B662">
        <v>79</v>
      </c>
      <c s="54" r="C662">
        <v>100</v>
      </c>
      <c s="54" r="D662">
        <v>80</v>
      </c>
      <c s="54" r="E662">
        <v>110</v>
      </c>
      <c s="54" r="F662">
        <v>90</v>
      </c>
      <c s="2" r="G662">
        <v>121</v>
      </c>
      <c s="68" r="H662"/>
      <c s="19" r="I662">
        <f>INDEX('Speed Factors'!$A$2:$B$256,(G662),2)</f>
        <v>657</v>
      </c>
      <c s="19" r="J662">
        <f>SUM(B662:G662)</f>
        <v>580</v>
      </c>
      <c s="68" r="K662"/>
      <c s="38" r="L662">
        <f>((((B662*2)+141)*((D662*2)+36))/(402.744996))-24.57966407</f>
        <v>120.931765201737</v>
      </c>
      <c s="38" r="M662">
        <f>((((B662*2)+141)*((F662*2)+36))/(416.310724))-19.16575597</f>
        <v>135.968369280158</v>
      </c>
      <c s="38" r="N662">
        <f>(((((C662*2)+36)*((((C662*2)+36)*(I662/672))+415))/((((C662*2)+36)*(1-(I662/672)))+415))/(1.92306))-3.576327284</f>
        <v>184.981861452323</v>
      </c>
      <c s="38" r="O662">
        <f>(((((E662*2)+36)*((((E662*2)+36)*(I662/672))+415))/((((E662*2)+36)*(1-(I662/672)))+415))/(1.980931))+4.9921912</f>
        <v>209.350149796304</v>
      </c>
      <c s="68" r="P662"/>
      <c s="38" r="Q662">
        <f>((((L662+M662)+N662)+O662)/(1.535645))-60.47703745</f>
        <v>363.600236744571</v>
      </c>
      <c s="63" r="R662"/>
      <c s="26" r="S662"/>
      <c s="26" r="T662"/>
    </row>
    <row customHeight="1" r="663" ht="14.25">
      <c t="s" s="45" r="A663">
        <v>735</v>
      </c>
      <c s="57" r="B663">
        <v>79</v>
      </c>
      <c s="8" r="C663">
        <v>115</v>
      </c>
      <c s="8" r="D663">
        <v>70</v>
      </c>
      <c s="8" r="E663">
        <v>125</v>
      </c>
      <c s="8" r="F663">
        <v>80</v>
      </c>
      <c s="27" r="G663">
        <v>111</v>
      </c>
      <c s="68" r="H663"/>
      <c s="20" r="I663">
        <f>INDEX('Speed Factors'!$A$2:$B$256,(G663),2)</f>
        <v>636</v>
      </c>
      <c s="20" r="J663">
        <f>SUM(B663:G663)</f>
        <v>580</v>
      </c>
      <c s="68" r="K663"/>
      <c s="38" r="L663">
        <f>((((B663*2)+141)*((D663*2)+36))/(402.744996))-24.57966407</f>
        <v>106.083660174009</v>
      </c>
      <c s="38" r="M663">
        <f>((((B663*2)+141)*((F663*2)+36))/(416.310724))-19.16575597</f>
        <v>121.604098423662</v>
      </c>
      <c s="38" r="N663">
        <f>(((((C663*2)+36)*((((C663*2)+36)*(I663/672))+415))/((((C663*2)+36)*(1-(I663/672)))+415))/(1.92306))-3.576327284</f>
        <v>211.27672242109</v>
      </c>
      <c s="38" r="O663">
        <f>(((((E663*2)+36)*((((E663*2)+36)*(I663/672))+415))/((((E663*2)+36)*(1-(I663/672)))+415))/(1.980931))+4.9921912</f>
        <v>235.043277821872</v>
      </c>
      <c s="68" r="P663"/>
      <c s="38" r="Q663">
        <f>((((L663+M663)+N663)+O663)/(1.535645))-60.47703745</f>
        <v>378.431537670313</v>
      </c>
      <c s="63" r="R663"/>
      <c s="26" r="S663"/>
      <c s="26" r="T663"/>
    </row>
    <row customHeight="1" r="664" ht="14.25">
      <c t="s" s="45" r="A664">
        <v>101</v>
      </c>
      <c s="75" r="B664">
        <v>79</v>
      </c>
      <c s="54" r="C664">
        <v>105</v>
      </c>
      <c s="54" r="D664">
        <v>70</v>
      </c>
      <c s="54" r="E664">
        <v>145</v>
      </c>
      <c s="54" r="F664">
        <v>80</v>
      </c>
      <c s="2" r="G664">
        <v>105</v>
      </c>
      <c s="68" r="H664"/>
      <c s="19" r="I664">
        <f>INDEX('Speed Factors'!$A$2:$B$256,(G664),2)</f>
        <v>609</v>
      </c>
      <c s="19" r="J664">
        <f>SUM(B664:G664)</f>
        <v>584</v>
      </c>
      <c s="68" r="K664"/>
      <c s="38" r="L664">
        <f>((((B664*2)+141)*((D664*2)+36))/(402.744996))-24.57966407</f>
        <v>106.083660174009</v>
      </c>
      <c s="38" r="M664">
        <f>((((B664*2)+141)*((F664*2)+36))/(416.310724))-19.16575597</f>
        <v>121.604098423662</v>
      </c>
      <c s="38" r="N664">
        <f>(((((C664*2)+36)*((((C664*2)+36)*(I664/672))+415))/((((C664*2)+36)*(1-(I664/672)))+415))/(1.92306))-3.576327284</f>
        <v>182.711435603742</v>
      </c>
      <c s="38" r="O664">
        <f>(((((E664*2)+36)*((((E664*2)+36)*(I664/672))+415))/((((E664*2)+36)*(1-(I664/672)))+415))/(1.980931))+4.9921912</f>
        <v>267.39319793877</v>
      </c>
      <c s="68" r="P664"/>
      <c s="38" r="Q664">
        <f>((((L664+M664)+N664)+O664)/(1.535645))-60.47703745</f>
        <v>380.896061241549</v>
      </c>
      <c s="63" r="R664"/>
      <c s="26" r="S664"/>
      <c s="26" r="T664"/>
    </row>
    <row customHeight="1" r="665" ht="14.25">
      <c t="s" s="45" r="A665">
        <v>736</v>
      </c>
      <c s="57" r="B665">
        <v>100</v>
      </c>
      <c s="8" r="C665">
        <v>120</v>
      </c>
      <c s="8" r="D665">
        <v>100</v>
      </c>
      <c s="8" r="E665">
        <v>150</v>
      </c>
      <c s="8" r="F665">
        <v>120</v>
      </c>
      <c s="27" r="G665">
        <v>90</v>
      </c>
      <c s="68" r="H665"/>
      <c s="20" r="I665">
        <f>INDEX('Speed Factors'!$A$2:$B$256,(G665),2)</f>
        <v>503</v>
      </c>
      <c s="20" r="J665">
        <f>SUM(B665:G665)</f>
        <v>680</v>
      </c>
      <c s="68" r="K665"/>
      <c s="38" r="L665">
        <f>((((B665*2)+141)*((D665*2)+36))/(402.744996))-24.57966407</f>
        <v>175.239081784759</v>
      </c>
      <c s="38" r="M665">
        <f>((((B665*2)+141)*((F665*2)+36))/(416.310724))-19.16575597</f>
        <v>206.905768433008</v>
      </c>
      <c s="38" r="N665">
        <f>(((((C665*2)+36)*((((C665*2)+36)*(I665/672))+415))/((((C665*2)+36)*(1-(I665/672)))+415))/(1.92306))-3.576327284</f>
        <v>180.588218862587</v>
      </c>
      <c s="38" r="O665">
        <f>(((((E665*2)+36)*((((E665*2)+36)*(I665/672))+415))/((((E665*2)+36)*(1-(I665/672)))+415))/(1.980931))+4.9921912</f>
        <v>231.318265321883</v>
      </c>
      <c s="68" r="P665"/>
      <c s="38" r="Q665">
        <f>((((L665+M665)+N665)+O665)/(1.535645))-60.47703745</f>
        <v>456.602974142678</v>
      </c>
      <c s="63" r="R665"/>
      <c s="26" r="S665"/>
      <c s="26" r="T665"/>
    </row>
    <row customHeight="1" r="666" ht="14.25">
      <c t="s" s="45" r="A666">
        <v>737</v>
      </c>
      <c s="75" r="B666">
        <v>100</v>
      </c>
      <c s="54" r="C666">
        <v>150</v>
      </c>
      <c s="54" r="D666">
        <v>120</v>
      </c>
      <c s="54" r="E666">
        <v>120</v>
      </c>
      <c s="54" r="F666">
        <v>100</v>
      </c>
      <c s="2" r="G666">
        <v>90</v>
      </c>
      <c s="68" r="H666"/>
      <c s="19" r="I666">
        <f>INDEX('Speed Factors'!$A$2:$B$256,(G666),2)</f>
        <v>503</v>
      </c>
      <c s="19" r="J666">
        <f>SUM(B666:G666)</f>
        <v>680</v>
      </c>
      <c s="68" r="K666"/>
      <c s="38" r="L666">
        <f>((((B666*2)+141)*((D666*2)+36))/(402.744996))-24.57966407</f>
        <v>209.106665827939</v>
      </c>
      <c s="38" r="M666">
        <f>((((B666*2)+141)*((F666*2)+36))/(416.310724))-19.16575597</f>
        <v>174.141779389094</v>
      </c>
      <c s="38" r="N666">
        <f>(((((C666*2)+36)*((((C666*2)+36)*(I666/672))+415))/((((C666*2)+36)*(1-(I666/672)))+415))/(1.92306))-3.576327284</f>
        <v>229.560619216024</v>
      </c>
      <c s="38" r="O666">
        <f>(((((E666*2)+36)*((((E666*2)+36)*(I666/672))+415))/((((E666*2)+36)*(1-(I666/672)))+415))/(1.980931))+4.9921912</f>
        <v>183.776546693783</v>
      </c>
      <c s="68" r="P666"/>
      <c s="38" r="Q666">
        <f>((((L666+M666)+N666)+O666)/(1.535645))-60.47703745</f>
        <v>458.253275302518</v>
      </c>
      <c s="63" r="R666"/>
      <c s="26" r="S666"/>
      <c s="26" r="T666"/>
    </row>
    <row customHeight="1" r="667" ht="14.25">
      <c t="s" s="45" r="A667">
        <v>83</v>
      </c>
      <c s="57" r="B667">
        <v>89</v>
      </c>
      <c s="8" r="C667">
        <v>125</v>
      </c>
      <c s="8" r="D667">
        <v>90</v>
      </c>
      <c s="8" r="E667">
        <v>115</v>
      </c>
      <c s="8" r="F667">
        <v>80</v>
      </c>
      <c s="27" r="G667">
        <v>101</v>
      </c>
      <c s="68" r="H667"/>
      <c s="20" r="I667">
        <f>INDEX('Speed Factors'!$A$2:$B$256,(G667),2)</f>
        <v>602</v>
      </c>
      <c s="20" r="J667">
        <f>SUM(B667:G667)</f>
        <v>600</v>
      </c>
      <c s="68" r="K667"/>
      <c s="38" r="L667">
        <f>((((B667*2)+141)*((D667*2)+36))/(402.744996))-24.57966407</f>
        <v>146.50626048361</v>
      </c>
      <c s="38" r="M667">
        <f>((((B667*2)+141)*((F667*2)+36))/(416.310724))-19.16575597</f>
        <v>131.020142195813</v>
      </c>
      <c s="38" r="N667">
        <f>(((((C667*2)+36)*((((C667*2)+36)*(I667/672))+415))/((((C667*2)+36)*(1-(I667/672)))+415))/(1.92306))-3.576327284</f>
        <v>220.850048604876</v>
      </c>
      <c s="38" r="O667">
        <f>(((((E667*2)+36)*((((E667*2)+36)*(I667/672))+415))/((((E667*2)+36)*(1-(I667/672)))+415))/(1.980931))+4.9921912</f>
        <v>203.14567381529</v>
      </c>
      <c s="68" r="P667"/>
      <c s="38" r="Q667">
        <f>((((L667+M667)+N667)+O667)/(1.535645))-60.47703745</f>
        <v>396.348677542455</v>
      </c>
      <c s="63" r="R667"/>
      <c s="26" r="S667"/>
      <c s="26" r="T667"/>
    </row>
    <row customHeight="1" r="668" ht="14.25">
      <c t="s" s="45" r="A668">
        <v>84</v>
      </c>
      <c s="75" r="B668">
        <v>89</v>
      </c>
      <c s="54" r="C668">
        <v>145</v>
      </c>
      <c s="54" r="D668">
        <v>90</v>
      </c>
      <c s="54" r="E668">
        <v>105</v>
      </c>
      <c s="54" r="F668">
        <v>80</v>
      </c>
      <c s="2" r="G668">
        <v>91</v>
      </c>
      <c s="68" r="H668"/>
      <c s="19" r="I668">
        <f>INDEX('Speed Factors'!$A$2:$B$256,(G668),2)</f>
        <v>532</v>
      </c>
      <c s="19" r="J668">
        <f>SUM(B668:G668)</f>
        <v>600</v>
      </c>
      <c s="68" r="K668"/>
      <c s="38" r="L668">
        <f>((((B668*2)+141)*((D668*2)+36))/(402.744996))-24.57966407</f>
        <v>146.50626048361</v>
      </c>
      <c s="38" r="M668">
        <f>((((B668*2)+141)*((F668*2)+36))/(416.310724))-19.16575597</f>
        <v>131.020142195813</v>
      </c>
      <c s="38" r="N668">
        <f>(((((C668*2)+36)*((((C668*2)+36)*(I668/672))+415))/((((C668*2)+36)*(1-(I668/672)))+415))/(1.92306))-3.576327284</f>
        <v>232.700651004315</v>
      </c>
      <c s="38" r="O668">
        <f>(((((E668*2)+36)*((((E668*2)+36)*(I668/672))+415))/((((E668*2)+36)*(1-(I668/672)))+415))/(1.980931))+4.9921912</f>
        <v>167.396939541155</v>
      </c>
      <c s="68" r="P668"/>
      <c s="38" r="Q668">
        <f>((((L668+M668)+N668)+O668)/(1.535645))-60.47703745</f>
        <v>380.786401186464</v>
      </c>
      <c s="63" r="R668"/>
      <c s="26" r="S668"/>
      <c s="26" r="T668"/>
    </row>
    <row customHeight="1" r="669" ht="14.25">
      <c t="s" s="45" r="A669">
        <v>738</v>
      </c>
      <c s="57" r="B669">
        <v>125</v>
      </c>
      <c s="8" r="C669">
        <v>130</v>
      </c>
      <c s="8" r="D669">
        <v>90</v>
      </c>
      <c s="8" r="E669">
        <v>130</v>
      </c>
      <c s="8" r="F669">
        <v>90</v>
      </c>
      <c s="27" r="G669">
        <v>95</v>
      </c>
      <c s="68" r="H669"/>
      <c s="20" r="I669">
        <f>INDEX('Speed Factors'!$A$2:$B$256,(G669),2)</f>
        <v>542</v>
      </c>
      <c s="20" r="J669">
        <f>SUM(B669:G669)</f>
        <v>660</v>
      </c>
      <c s="68" r="K669"/>
      <c s="38" r="L669">
        <f>((((B669*2)+141)*((D669*2)+36))/(402.744996))-24.57966407</f>
        <v>185.121265398531</v>
      </c>
      <c s="38" r="M669">
        <f>((((B669*2)+141)*((F669*2)+36))/(416.310724))-19.16575597</f>
        <v>183.701946280207</v>
      </c>
      <c s="38" r="N669">
        <f>(((((C669*2)+36)*((((C669*2)+36)*(I669/672))+415))/((((C669*2)+36)*(1-(I669/672)))+415))/(1.92306))-3.576327284</f>
        <v>209.49242142908</v>
      </c>
      <c s="38" r="O669">
        <f>(((((E669*2)+36)*((((E669*2)+36)*(I669/672))+415))/((((E669*2)+36)*(1-(I669/672)))+415))/(1.980931))+4.9921912</f>
        <v>211.836340693433</v>
      </c>
      <c s="68" r="P669"/>
      <c s="38" r="Q669">
        <f>((((L669+M669)+N669)+O669)/(1.535645))-60.47703745</f>
        <v>454.063741051055</v>
      </c>
      <c s="63" r="R669"/>
      <c s="26" r="S669"/>
      <c s="26" r="T669"/>
    </row>
    <row customHeight="1" r="670" ht="14.25">
      <c t="s" s="45" r="A670">
        <v>739</v>
      </c>
      <c s="75" r="B670">
        <v>125</v>
      </c>
      <c s="54" r="C670">
        <v>170</v>
      </c>
      <c s="54" r="D670">
        <v>100</v>
      </c>
      <c s="54" r="E670">
        <v>120</v>
      </c>
      <c s="54" r="F670">
        <v>90</v>
      </c>
      <c s="2" r="G670">
        <v>95</v>
      </c>
      <c s="68" r="H670"/>
      <c s="19" r="I670">
        <f>INDEX('Speed Factors'!$A$2:$B$256,(G670),2)</f>
        <v>542</v>
      </c>
      <c s="19" r="J670">
        <f>SUM(B670:G670)</f>
        <v>700</v>
      </c>
      <c s="68" r="K670"/>
      <c s="38" r="L670">
        <f>((((B670*2)+141)*((D670*2)+36))/(402.744996))-24.57966407</f>
        <v>204.538018127099</v>
      </c>
      <c s="38" r="M670">
        <f>((((B670*2)+141)*((F670*2)+36))/(416.310724))-19.16575597</f>
        <v>183.701946280207</v>
      </c>
      <c s="38" r="N670">
        <f>(((((C670*2)+36)*((((C670*2)+36)*(I670/672))+415))/((((C670*2)+36)*(1-(I670/672)))+415))/(1.92306))-3.576327284</f>
        <v>284.356489170623</v>
      </c>
      <c s="38" r="O670">
        <f>(((((E670*2)+36)*((((E670*2)+36)*(I670/672))+415))/((((E670*2)+36)*(1-(I670/672)))+415))/(1.980931))+4.9921912</f>
        <v>194.655203414896</v>
      </c>
      <c s="68" r="P670"/>
      <c s="38" r="Q670">
        <f>((((L670+M670)+N670)+O670)/(1.535645))-60.47703745</f>
        <v>504.270451059926</v>
      </c>
      <c s="63" r="R670"/>
      <c s="26" r="S670"/>
      <c s="26" r="T670"/>
    </row>
    <row customHeight="1" r="671" ht="14.25">
      <c t="s" s="45" r="A671">
        <v>740</v>
      </c>
      <c s="57" r="B671">
        <v>125</v>
      </c>
      <c s="8" r="C671">
        <v>120</v>
      </c>
      <c s="8" r="D671">
        <v>90</v>
      </c>
      <c s="8" r="E671">
        <v>170</v>
      </c>
      <c s="8" r="F671">
        <v>100</v>
      </c>
      <c s="27" r="G671">
        <v>95</v>
      </c>
      <c s="68" r="H671"/>
      <c s="20" r="I671">
        <f>INDEX('Speed Factors'!$A$2:$B$256,(G671),2)</f>
        <v>542</v>
      </c>
      <c s="20" r="J671">
        <f>SUM(B671:G671)</f>
        <v>700</v>
      </c>
      <c s="68" r="K671"/>
      <c s="38" r="L671">
        <f>((((B671*2)+141)*((D671*2)+36))/(402.744996))-24.57966407</f>
        <v>185.121265398531</v>
      </c>
      <c s="38" r="M671">
        <f>((((B671*2)+141)*((F671*2)+36))/(416.310724))-19.16575597</f>
        <v>202.485992784856</v>
      </c>
      <c s="38" r="N671">
        <f>(((((C671*2)+36)*((((C671*2)+36)*(I671/672))+415))/((((C671*2)+36)*(1-(I671/672)))+415))/(1.92306))-3.576327284</f>
        <v>191.794249011002</v>
      </c>
      <c s="38" r="O671">
        <f>(((((E671*2)+36)*((((E671*2)+36)*(I671/672))+415))/((((E671*2)+36)*(1-(I671/672)))+415))/(1.980931))+4.9921912</f>
        <v>284.513326469844</v>
      </c>
      <c s="68" r="P671"/>
      <c s="38" r="Q671">
        <f>((((L671+M671)+N671)+O671)/(1.535645))-60.47703745</f>
        <v>502.097537835455</v>
      </c>
      <c s="63" r="R671"/>
      <c s="26" r="S671"/>
      <c s="26" r="T671"/>
    </row>
    <row customHeight="1" r="672" ht="14.25">
      <c t="s" s="45" r="A672">
        <v>82</v>
      </c>
      <c s="75" r="B672">
        <v>91</v>
      </c>
      <c s="54" r="C672">
        <v>72</v>
      </c>
      <c s="54" r="D672">
        <v>90</v>
      </c>
      <c s="54" r="E672">
        <v>129</v>
      </c>
      <c s="54" r="F672">
        <v>90</v>
      </c>
      <c s="2" r="G672">
        <v>108</v>
      </c>
      <c s="68" r="H672"/>
      <c s="19" r="I672">
        <f>INDEX('Speed Factors'!$A$2:$B$256,(G672),2)</f>
        <v>620</v>
      </c>
      <c s="19" r="J672">
        <f>SUM(B672:G672)</f>
        <v>580</v>
      </c>
      <c s="68" r="K672"/>
      <c s="38" r="L672">
        <f>((((B672*2)+141)*((D672*2)+36))/(402.744996))-24.57966407</f>
        <v>148.651538534439</v>
      </c>
      <c s="38" r="M672">
        <f>((((B672*2)+141)*((F672*2)+36))/(416.310724))-19.16575597</f>
        <v>148.420606758432</v>
      </c>
      <c s="38" r="N672">
        <f>(((((C672*2)+36)*((((C672*2)+36)*(I672/672))+415))/((((C672*2)+36)*(1-(I672/672)))+415))/(1.92306))-3.576327284</f>
        <v>123.225121624537</v>
      </c>
      <c s="38" r="O672">
        <f>(((((E672*2)+36)*((((E672*2)+36)*(I672/672))+415))/((((E672*2)+36)*(1-(I672/672)))+415))/(1.980931))+4.9921912</f>
        <v>237.658866867582</v>
      </c>
      <c s="68" r="P672"/>
      <c s="38" r="Q672">
        <f>((((L672+M672)+N672)+O672)/(1.535645))-60.47703745</f>
        <v>367.978845117254</v>
      </c>
      <c s="63" r="R672"/>
      <c s="26" r="S672"/>
      <c s="26" r="T672"/>
    </row>
    <row customHeight="1" r="673" ht="14.25">
      <c t="s" s="45" r="A673">
        <v>741</v>
      </c>
      <c s="57" r="B673">
        <v>100</v>
      </c>
      <c s="8" r="C673">
        <v>77</v>
      </c>
      <c s="8" r="D673">
        <v>77</v>
      </c>
      <c s="8" r="E673">
        <v>128</v>
      </c>
      <c s="8" r="F673">
        <v>128</v>
      </c>
      <c s="27" r="G673">
        <v>90</v>
      </c>
      <c s="68" r="H673"/>
      <c s="20" r="I673">
        <f>INDEX('Speed Factors'!$A$2:$B$256,(G673),2)</f>
        <v>503</v>
      </c>
      <c s="20" r="J673">
        <f>SUM(B673:G673)</f>
        <v>600</v>
      </c>
      <c s="68" r="K673"/>
      <c s="38" r="L673">
        <f>((((B673*2)+141)*((D673*2)+36))/(402.744996))-24.57966407</f>
        <v>136.291360135103</v>
      </c>
      <c s="38" r="M673">
        <f>((((B673*2)+141)*((F673*2)+36))/(416.310724))-19.16575597</f>
        <v>220.011364050574</v>
      </c>
      <c s="38" r="N673">
        <f>(((((C673*2)+36)*((((C673*2)+36)*(I673/672))+415))/((((C673*2)+36)*(1-(I673/672)))+415))/(1.92306))-3.576327284</f>
        <v>115.385650801061</v>
      </c>
      <c s="38" r="O673">
        <f>(((((E673*2)+36)*((((E673*2)+36)*(I673/672))+415))/((((E673*2)+36)*(1-(I673/672)))+415))/(1.980931))+4.9921912</f>
        <v>196.196930878378</v>
      </c>
      <c s="68" r="P673"/>
      <c s="38" r="Q673">
        <f>((((L673+M673)+N673)+O673)/(1.535645))-60.47703745</f>
        <v>374.444644231062</v>
      </c>
      <c s="63" r="R673"/>
      <c s="26" r="S673"/>
      <c s="26" r="T673"/>
    </row>
    <row customHeight="1" r="674" ht="14.25">
      <c t="s" s="45" r="A674">
        <v>742</v>
      </c>
      <c s="75" r="B674">
        <v>100</v>
      </c>
      <c s="54" r="C674">
        <v>128</v>
      </c>
      <c s="54" r="D674">
        <v>90</v>
      </c>
      <c s="54" r="E674">
        <v>77</v>
      </c>
      <c s="54" r="F674">
        <v>77</v>
      </c>
      <c s="2" r="G674">
        <v>128</v>
      </c>
      <c s="68" r="H674"/>
      <c s="19" r="I674">
        <f>INDEX('Speed Factors'!$A$2:$B$256,(G674),2)</f>
        <v>661</v>
      </c>
      <c s="19" r="J674">
        <f>SUM(B674:G674)</f>
        <v>600</v>
      </c>
      <c s="68" r="K674"/>
      <c s="38" r="L674">
        <f>((((B674*2)+141)*((D674*2)+36))/(402.744996))-24.57966407</f>
        <v>158.305289763169</v>
      </c>
      <c s="38" r="M674">
        <f>((((B674*2)+141)*((F674*2)+36))/(416.310724))-19.16575597</f>
        <v>136.463191988593</v>
      </c>
      <c s="38" r="N674">
        <f>(((((C674*2)+36)*((((C674*2)+36)*(I674/672))+415))/((((C674*2)+36)*(1-(I674/672)))+415))/(1.92306))-3.576327284</f>
        <v>250.428436494711</v>
      </c>
      <c s="38" r="O674">
        <f>(((((E674*2)+36)*((((E674*2)+36)*(I674/672))+415))/((((E674*2)+36)*(1-(I674/672)))+415))/(1.980931))+4.9921912</f>
        <v>143.065780936765</v>
      </c>
      <c s="68" r="P674"/>
      <c s="38" r="Q674">
        <f>((((L674+M674)+N674)+O674)/(1.535645))-60.47703745</f>
        <v>387.714243206166</v>
      </c>
      <c s="63" r="R674"/>
      <c s="26" r="S674"/>
      <c s="26" r="T674"/>
    </row>
    <row customHeight="1" r="675" ht="14.25">
      <c t="s" s="45" r="A675">
        <v>70</v>
      </c>
      <c s="57" r="B675">
        <v>71</v>
      </c>
      <c s="8" r="C675">
        <v>120</v>
      </c>
      <c s="8" r="D675">
        <v>95</v>
      </c>
      <c s="8" r="E675">
        <v>120</v>
      </c>
      <c s="8" r="F675">
        <v>95</v>
      </c>
      <c s="27" r="G675">
        <v>99</v>
      </c>
      <c s="68" r="H675"/>
      <c s="20" r="I675">
        <f>INDEX('Speed Factors'!$A$2:$B$256,(G675),2)</f>
        <v>576</v>
      </c>
      <c s="20" r="J675">
        <f>SUM(B675:G675)</f>
        <v>600</v>
      </c>
      <c s="68" r="K675"/>
      <c s="38" r="L675">
        <f>((((B675*2)+141)*((D675*2)+36))/(402.744996))-24.57966407</f>
        <v>134.225536826897</v>
      </c>
      <c s="38" r="M675">
        <f>((((B675*2)+141)*((F675*2)+36))/(416.310724))-19.16575597</f>
        <v>134.464684738993</v>
      </c>
      <c s="38" r="N675">
        <f>(((((C675*2)+36)*((((C675*2)+36)*(I675/672))+415))/((((C675*2)+36)*(1-(I675/672)))+415))/(1.92306))-3.576327284</f>
        <v>202.20816830991</v>
      </c>
      <c s="38" r="O675">
        <f>(((((E675*2)+36)*((((E675*2)+36)*(I675/672))+415))/((((E675*2)+36)*(1-(I675/672)))+415))/(1.980931))+4.9921912</f>
        <v>204.764890045555</v>
      </c>
      <c s="68" r="P675"/>
      <c s="38" r="Q675">
        <f>((((L675+M675)+N675)+O675)/(1.535645))-60.47703745</f>
        <v>379.509600035458</v>
      </c>
      <c s="63" r="R675"/>
      <c s="26" r="S675"/>
      <c s="26" r="T675"/>
    </row>
    <row customHeight="1" r="676" ht="14.25">
      <c s="11" r="A676"/>
      <c s="11" r="B676"/>
      <c s="11" r="C676"/>
      <c s="11" r="D676"/>
      <c s="11" r="E676"/>
      <c s="11" r="F676"/>
      <c s="11" r="G676"/>
      <c s="26" r="H676"/>
      <c s="11" r="I676"/>
      <c s="11" r="J676"/>
      <c s="26" r="K676"/>
      <c s="11" r="L676"/>
      <c s="11" r="M676"/>
      <c s="11" r="N676"/>
      <c s="11" r="O676"/>
      <c s="26" r="P676"/>
      <c s="11" r="Q676"/>
      <c s="26" r="R676"/>
      <c s="26" r="S676"/>
      <c s="26" r="T676"/>
    </row>
    <row customHeight="1" r="677" ht="14.25">
      <c t="s" s="45" r="A677">
        <v>743</v>
      </c>
      <c s="75" r="B677">
        <v>40</v>
      </c>
      <c s="54" r="C677">
        <v>76</v>
      </c>
      <c s="54" r="D677">
        <v>45</v>
      </c>
      <c s="54" r="E677">
        <v>74</v>
      </c>
      <c s="54" r="F677">
        <v>39</v>
      </c>
      <c s="2" r="G677">
        <v>91</v>
      </c>
      <c s="68" r="H677"/>
      <c s="19" r="I677">
        <f>INDEX('Speed Factors'!$A$2:$B$256,(G677),2)</f>
        <v>532</v>
      </c>
      <c s="19" r="J677">
        <f>SUM(B677:G677)</f>
        <v>365</v>
      </c>
      <c s="68" r="K677"/>
      <c s="38" r="L677">
        <f>((((B677*2)+141)*((D677*2)+36))/(402.744996))-24.57966407</f>
        <v>44.5608597765086</v>
      </c>
      <c s="38" r="M677">
        <f>((((B677*2)+141)*((F677*2)+36))/(416.310724))-19.16575597</f>
        <v>41.3515416819337</v>
      </c>
      <c s="38" r="N677">
        <f>(((((C677*2)+36)*((((C677*2)+36)*(I677/672))+415))/((((C677*2)+36)*(1-(I677/672)))+415))/(1.92306))-3.576327284</f>
        <v>117.790641662758</v>
      </c>
      <c s="38" r="O677">
        <f>(((((E677*2)+36)*((((E677*2)+36)*(I677/672))+415))/((((E677*2)+36)*(1-(I677/672)))+415))/(1.980931))+4.9921912</f>
        <v>119.869845132597</v>
      </c>
      <c s="68" r="P677"/>
      <c s="38" r="Q677">
        <f>((((L677+M677)+N677)+O677)/(1.535645))-60.47703745</f>
        <v>150.231093826302</v>
      </c>
      <c s="63" r="R677"/>
      <c s="26" r="S677"/>
      <c s="26" r="T677"/>
    </row>
    <row customHeight="1" r="678" ht="14.25">
      <c t="s" s="45" r="A678">
        <v>108</v>
      </c>
      <c s="57" r="B678">
        <v>70</v>
      </c>
      <c s="8" r="C678">
        <v>116</v>
      </c>
      <c s="8" r="D678">
        <v>70</v>
      </c>
      <c s="8" r="E678">
        <v>114</v>
      </c>
      <c s="8" r="F678">
        <v>64</v>
      </c>
      <c s="27" r="G678">
        <v>121</v>
      </c>
      <c s="68" r="H678"/>
      <c s="20" r="I678">
        <f>INDEX('Speed Factors'!$A$2:$B$256,(G678),2)</f>
        <v>657</v>
      </c>
      <c s="20" r="J678">
        <f>SUM(B678:G678)</f>
        <v>555</v>
      </c>
      <c s="68" r="K678"/>
      <c s="38" r="L678">
        <f>((((B678*2)+141)*((D678*2)+36))/(402.744996))-24.57966407</f>
        <v>98.2176406543025</v>
      </c>
      <c s="38" r="M678">
        <f>((((B678*2)+141)*((F678*2)+36))/(416.310724))-19.16575597</f>
        <v>91.5304076003624</v>
      </c>
      <c s="38" r="N678">
        <f>(((((C678*2)+36)*((((C678*2)+36)*(I678/672))+415))/((((C678*2)+36)*(1-(I678/672)))+415))/(1.92306))-3.576327284</f>
        <v>220.542534887756</v>
      </c>
      <c s="38" r="O678">
        <f>(((((E678*2)+36)*((((E678*2)+36)*(I678/672))+415))/((((E678*2)+36)*(1-(I678/672)))+415))/(1.980931))+4.9921912</f>
        <v>218.123485415234</v>
      </c>
      <c s="68" r="P678"/>
      <c s="38" r="Q678">
        <f>((((L678+M678)+N678)+O678)/(1.535645))-60.47703745</f>
        <v>348.741283553653</v>
      </c>
      <c s="63" r="R678"/>
      <c s="26" r="S678"/>
      <c s="26" r="T678"/>
    </row>
    <row customHeight="1" r="679" ht="14.25">
      <c t="s" s="45" r="A679">
        <v>109</v>
      </c>
      <c s="75" r="B679">
        <v>90</v>
      </c>
      <c s="54" r="C679">
        <v>105</v>
      </c>
      <c s="54" r="D679">
        <v>90</v>
      </c>
      <c s="54" r="E679">
        <v>65</v>
      </c>
      <c s="54" r="F679">
        <v>110</v>
      </c>
      <c s="2" r="G679">
        <v>65</v>
      </c>
      <c s="68" r="H679"/>
      <c s="19" r="I679">
        <f>INDEX('Speed Factors'!$A$2:$B$256,(G679),2)</f>
        <v>321</v>
      </c>
      <c s="19" r="J679">
        <f>SUM(B679:G679)</f>
        <v>525</v>
      </c>
      <c s="68" r="K679"/>
      <c s="38" r="L679">
        <f>((((B679*2)+141)*((D679*2)+36))/(402.744996))-24.57966407</f>
        <v>147.578899509025</v>
      </c>
      <c s="38" r="M679">
        <f>((((B679*2)+141)*((F679*2)+36))/(416.310724))-19.16575597</f>
        <v>178.22526775967</v>
      </c>
      <c s="38" r="N679">
        <f>(((((C679*2)+36)*((((C679*2)+36)*(I679/672))+415))/((((C679*2)+36)*(1-(I679/672)))+415))/(1.92306))-3.576327284</f>
        <v>121.759938889152</v>
      </c>
      <c s="38" r="O679">
        <f>(((((E679*2)+36)*((((E679*2)+36)*(I679/672))+415))/((((E679*2)+36)*(1-(I679/672)))+415))/(1.980931))+4.9921912</f>
        <v>87.5533737492253</v>
      </c>
      <c s="68" r="P679"/>
      <c s="38" r="Q679">
        <f>((((L679+M679)+N679)+O679)/(1.535645))-60.47703745</f>
        <v>287.987275530586</v>
      </c>
      <c s="63" r="R679"/>
      <c s="26" r="S679"/>
      <c s="26" r="T679"/>
    </row>
    <row customHeight="1" r="680" ht="14.25">
      <c t="s" s="45" r="A680">
        <v>744</v>
      </c>
      <c t="s" s="57" r="B680">
        <v>745</v>
      </c>
      <c t="s" s="8" r="C680">
        <v>745</v>
      </c>
      <c t="s" s="8" r="D680">
        <v>745</v>
      </c>
      <c t="s" s="8" r="E680">
        <v>745</v>
      </c>
      <c t="s" s="8" r="F680">
        <v>745</v>
      </c>
      <c t="s" s="27" r="G680">
        <v>745</v>
      </c>
      <c s="68" r="H680"/>
      <c t="str" s="20" r="I680">
        <f>INDEX('Speed Factors'!$A$2:$B$256,(G680),2)</f>
        <v>#VALUE!:notNumber:??</v>
      </c>
      <c s="20" r="J680">
        <f>SUM(B680:G680)</f>
        <v>0</v>
      </c>
      <c s="68" r="K680"/>
      <c t="str" s="38" r="L680">
        <f>((((B680*2)+141)*((D680*2)+36))/(402.744996))-24.57966407</f>
        <v>#VALUE!:notNumber:??</v>
      </c>
      <c t="str" s="38" r="M680">
        <f>((((B680*2)+141)*((F680*2)+36))/(416.310724))-19.16575597</f>
        <v>#VALUE!:notNumber:??</v>
      </c>
      <c t="str" s="38" r="N680">
        <f>(((((C680*2)+36)*((((C680*2)+36)*(I680/672))+415))/((((C680*2)+36)*(1-(I680/672)))+415))/(1.92306))-3.576327284</f>
        <v>#VALUE!:notNumber:??</v>
      </c>
      <c t="str" s="38" r="O680">
        <f>(((((E680*2)+36)*((((E680*2)+36)*(I680/672))+415))/((((E680*2)+36)*(1-(I680/672)))+415))/(1.980931))+4.9921912</f>
        <v>#VALUE!:notNumber:??</v>
      </c>
      <c s="68" r="P680"/>
      <c t="str" s="38" r="Q680">
        <f>((((L680+M680)+N680)+O680)/(1.535645))-60.47703745</f>
        <v>#VALUE!:notNumber:??</v>
      </c>
      <c s="63" r="R680"/>
      <c s="26" r="S680"/>
      <c s="26" r="T680"/>
    </row>
    <row customHeight="1" r="681" ht="14.25">
      <c t="s" s="45" r="A681">
        <v>746</v>
      </c>
      <c t="s" s="75" r="B681">
        <v>745</v>
      </c>
      <c t="s" s="54" r="C681">
        <v>745</v>
      </c>
      <c t="s" s="54" r="D681">
        <v>745</v>
      </c>
      <c t="s" s="54" r="E681">
        <v>745</v>
      </c>
      <c t="s" s="54" r="F681">
        <v>745</v>
      </c>
      <c t="s" s="2" r="G681">
        <v>745</v>
      </c>
      <c s="68" r="H681"/>
      <c t="str" s="19" r="I681">
        <f>INDEX('Speed Factors'!$A$2:$B$256,(G681),2)</f>
        <v>#VALUE!:notNumber:??</v>
      </c>
      <c s="19" r="J681">
        <f>SUM(B681:G681)</f>
        <v>0</v>
      </c>
      <c s="68" r="K681"/>
      <c t="str" s="38" r="L681">
        <f>((((B681*2)+141)*((D681*2)+36))/(402.744996))-24.57966407</f>
        <v>#VALUE!:notNumber:??</v>
      </c>
      <c t="str" s="38" r="M681">
        <f>((((B681*2)+141)*((F681*2)+36))/(416.310724))-19.16575597</f>
        <v>#VALUE!:notNumber:??</v>
      </c>
      <c t="str" s="38" r="N681">
        <f>(((((C681*2)+36)*((((C681*2)+36)*(I681/672))+415))/((((C681*2)+36)*(1-(I681/672)))+415))/(1.92306))-3.576327284</f>
        <v>#VALUE!:notNumber:??</v>
      </c>
      <c t="str" s="38" r="O681">
        <f>(((((E681*2)+36)*((((E681*2)+36)*(I681/672))+415))/((((E681*2)+36)*(1-(I681/672)))+415))/(1.980931))+4.9921912</f>
        <v>#VALUE!:notNumber:??</v>
      </c>
      <c s="68" r="P681"/>
      <c t="str" s="38" r="Q681">
        <f>((((L681+M681)+N681)+O681)/(1.535645))-60.47703745</f>
        <v>#VALUE!:notNumber:??</v>
      </c>
      <c s="63" r="R681"/>
      <c s="26" r="S681"/>
      <c s="26" r="T681"/>
    </row>
    <row customHeight="1" r="682" ht="14.25">
      <c t="s" s="45" r="A682">
        <v>110</v>
      </c>
      <c s="57" r="B682">
        <v>120</v>
      </c>
      <c s="8" r="C682">
        <v>70</v>
      </c>
      <c s="8" r="D682">
        <v>105</v>
      </c>
      <c s="8" r="E682">
        <v>95</v>
      </c>
      <c s="8" r="F682">
        <v>90</v>
      </c>
      <c s="27" r="G682">
        <v>60</v>
      </c>
      <c s="68" r="H682"/>
      <c s="20" r="I682">
        <f>INDEX('Speed Factors'!$A$2:$B$256,(G682),2)</f>
        <v>274</v>
      </c>
      <c s="20" r="J682">
        <f>SUM(B682:G682)</f>
        <v>540</v>
      </c>
      <c s="68" r="K682"/>
      <c s="38" r="L682">
        <f>((((B682*2)+141)*((D682*2)+36))/(402.744996))-24.57966407</f>
        <v>208.138311152217</v>
      </c>
      <c s="38" r="M682">
        <f>((((B682*2)+141)*((F682*2)+36))/(416.310724))-19.16575597</f>
        <v>178.513513997593</v>
      </c>
      <c s="38" r="N682">
        <f>(((((C682*2)+36)*((((C682*2)+36)*(I682/672))+415))/((((C682*2)+36)*(1-(I682/672)))+415))/(1.92306))-3.576327284</f>
        <v>82.2202311006221</v>
      </c>
      <c s="38" r="O682">
        <f>(((((E682*2)+36)*((((E682*2)+36)*(I682/672))+415))/((((E682*2)+36)*(1-(I682/672)))+415))/(1.980931))+4.9921912</f>
        <v>110.411433538112</v>
      </c>
      <c s="68" r="P682"/>
      <c s="38" r="Q682">
        <f>((((L682+M682)+N682)+O682)/(1.535645))-60.47703745</f>
        <v>316.747835348429</v>
      </c>
      <c s="63" r="R682"/>
      <c s="26" r="S682"/>
      <c s="26" r="T682"/>
    </row>
    <row customHeight="1" r="683" ht="14.25">
      <c t="s" s="45" r="A683">
        <v>747</v>
      </c>
      <c t="s" s="75" r="B683">
        <v>745</v>
      </c>
      <c t="s" s="54" r="C683">
        <v>745</v>
      </c>
      <c t="s" s="54" r="D683">
        <v>745</v>
      </c>
      <c t="s" s="54" r="E683">
        <v>745</v>
      </c>
      <c t="s" s="54" r="F683">
        <v>745</v>
      </c>
      <c t="s" s="2" r="G683">
        <v>745</v>
      </c>
      <c s="68" r="H683"/>
      <c t="str" s="19" r="I683">
        <f>INDEX('Speed Factors'!$A$2:$B$256,(G683),2)</f>
        <v>#VALUE!:notNumber:??</v>
      </c>
      <c s="19" r="J683">
        <f>SUM(B683:G683)</f>
        <v>0</v>
      </c>
      <c s="68" r="K683"/>
      <c t="str" s="38" r="L683">
        <f>((((B683*2)+141)*((D683*2)+36))/(402.744996))-24.57966407</f>
        <v>#VALUE!:notNumber:??</v>
      </c>
      <c t="str" s="38" r="M683">
        <f>((((B683*2)+141)*((F683*2)+36))/(416.310724))-19.16575597</f>
        <v>#VALUE!:notNumber:??</v>
      </c>
      <c t="str" s="38" r="N683">
        <f>(((((C683*2)+36)*((((C683*2)+36)*(I683/672))+415))/((((C683*2)+36)*(1-(I683/672)))+415))/(1.92306))-3.576327284</f>
        <v>#VALUE!:notNumber:??</v>
      </c>
      <c t="str" s="38" r="O683">
        <f>(((((E683*2)+36)*((((E683*2)+36)*(I683/672))+415))/((((E683*2)+36)*(1-(I683/672)))+415))/(1.980931))+4.9921912</f>
        <v>#VALUE!:notNumber:??</v>
      </c>
      <c s="68" r="P683"/>
      <c t="str" s="38" r="Q683">
        <f>((((L683+M683)+N683)+O683)/(1.535645))-60.47703745</f>
        <v>#VALUE!:notNumber:??</v>
      </c>
      <c s="63" r="R683"/>
      <c s="26" r="S683"/>
      <c s="26" r="T683"/>
    </row>
    <row customHeight="1" r="684" ht="14.25">
      <c t="s" s="45" r="A684">
        <v>111</v>
      </c>
      <c s="57" r="B684">
        <v>95</v>
      </c>
      <c s="8" r="C684">
        <v>76</v>
      </c>
      <c s="8" r="D684">
        <v>109</v>
      </c>
      <c s="8" r="E684">
        <v>90</v>
      </c>
      <c s="8" r="F684">
        <v>80</v>
      </c>
      <c s="27" r="G684">
        <v>105</v>
      </c>
      <c s="68" r="H684"/>
      <c s="20" r="I684">
        <f>INDEX('Speed Factors'!$A$2:$B$256,(G684),2)</f>
        <v>609</v>
      </c>
      <c s="20" r="J684">
        <f>SUM(B684:G684)</f>
        <v>555</v>
      </c>
      <c s="68" r="K684"/>
      <c s="38" r="L684">
        <f>((((B684*2)+141)*((D684*2)+36))/(402.744996))-24.57966407</f>
        <v>184.172774408466</v>
      </c>
      <c s="38" r="M684">
        <f>((((B684*2)+141)*((F684*2)+36))/(416.310724))-19.16575597</f>
        <v>136.669768459104</v>
      </c>
      <c s="38" r="N684">
        <f>(((((C684*2)+36)*((((C684*2)+36)*(I684/672))+415))/((((C684*2)+36)*(1-(I684/672)))+415))/(1.92306))-3.576327284</f>
        <v>128.701658490099</v>
      </c>
      <c s="38" r="O684">
        <f>(((((E684*2)+36)*((((E684*2)+36)*(I684/672))+415))/((((E684*2)+36)*(1-(I684/672)))+415))/(1.980931))+4.9921912</f>
        <v>157.998415606048</v>
      </c>
      <c s="68" r="P684"/>
      <c s="38" r="Q684">
        <f>((((L684+M684)+N684)+O684)/(1.535645))-60.47703745</f>
        <v>335.149957697783</v>
      </c>
      <c s="63" r="R684"/>
      <c s="26" r="S684"/>
      <c s="26" r="T684"/>
    </row>
    <row customHeight="1" r="685" ht="14.25">
      <c t="s" s="45" r="A685">
        <v>748</v>
      </c>
      <c t="s" s="75" r="B685">
        <v>745</v>
      </c>
      <c t="s" s="54" r="C685">
        <v>745</v>
      </c>
      <c t="s" s="54" r="D685">
        <v>745</v>
      </c>
      <c t="s" s="54" r="E685">
        <v>745</v>
      </c>
      <c t="s" s="54" r="F685">
        <v>745</v>
      </c>
      <c t="s" s="2" r="G685">
        <v>745</v>
      </c>
      <c s="68" r="H685"/>
      <c t="str" s="19" r="I685">
        <f>INDEX('Speed Factors'!$A$2:$B$256,(G685),2)</f>
        <v>#VALUE!:notNumber:??</v>
      </c>
      <c s="19" r="J685">
        <f>SUM(B685:G685)</f>
        <v>0</v>
      </c>
      <c s="68" r="K685"/>
      <c t="str" s="38" r="L685">
        <f>((((B685*2)+141)*((D685*2)+36))/(402.744996))-24.57966407</f>
        <v>#VALUE!:notNumber:??</v>
      </c>
      <c t="str" s="38" r="M685">
        <f>((((B685*2)+141)*((F685*2)+36))/(416.310724))-19.16575597</f>
        <v>#VALUE!:notNumber:??</v>
      </c>
      <c t="str" s="38" r="N685">
        <f>(((((C685*2)+36)*((((C685*2)+36)*(I685/672))+415))/((((C685*2)+36)*(1-(I685/672)))+415))/(1.92306))-3.576327284</f>
        <v>#VALUE!:notNumber:??</v>
      </c>
      <c t="str" s="38" r="O685">
        <f>(((((E685*2)+36)*((((E685*2)+36)*(I685/672))+415))/((((E685*2)+36)*(1-(I685/672)))+415))/(1.980931))+4.9921912</f>
        <v>#VALUE!:notNumber:??</v>
      </c>
      <c s="68" r="P685"/>
      <c t="str" s="38" r="Q685">
        <f>((((L685+M685)+N685)+O685)/(1.535645))-60.47703745</f>
        <v>#VALUE!:notNumber:??</v>
      </c>
      <c s="63" r="R685"/>
      <c s="26" r="S685"/>
      <c s="26" r="T685"/>
    </row>
    <row customHeight="1" r="686" ht="14.25">
      <c t="s" s="45" r="A686">
        <v>749</v>
      </c>
      <c t="s" s="57" r="B686">
        <v>745</v>
      </c>
      <c t="s" s="8" r="C686">
        <v>745</v>
      </c>
      <c t="s" s="8" r="D686">
        <v>745</v>
      </c>
      <c t="s" s="8" r="E686">
        <v>745</v>
      </c>
      <c t="s" s="8" r="F686">
        <v>745</v>
      </c>
      <c t="s" s="27" r="G686">
        <v>745</v>
      </c>
      <c s="68" r="H686"/>
      <c t="str" s="20" r="I686">
        <f>INDEX('Speed Factors'!$A$2:$B$256,(G686),2)</f>
        <v>#VALUE!:notNumber:??</v>
      </c>
      <c s="20" r="J686">
        <f>SUM(B686:G686)</f>
        <v>0</v>
      </c>
      <c s="68" r="K686"/>
      <c t="str" s="38" r="L686">
        <f>((((B686*2)+141)*((D686*2)+36))/(402.744996))-24.57966407</f>
        <v>#VALUE!:notNumber:??</v>
      </c>
      <c t="str" s="38" r="M686">
        <f>((((B686*2)+141)*((F686*2)+36))/(416.310724))-19.16575597</f>
        <v>#VALUE!:notNumber:??</v>
      </c>
      <c t="str" s="38" r="N686">
        <f>(((((C686*2)+36)*((((C686*2)+36)*(I686/672))+415))/((((C686*2)+36)*(1-(I686/672)))+415))/(1.92306))-3.576327284</f>
        <v>#VALUE!:notNumber:??</v>
      </c>
      <c t="str" s="38" r="O686">
        <f>(((((E686*2)+36)*((((E686*2)+36)*(I686/672))+415))/((((E686*2)+36)*(1-(I686/672)))+415))/(1.980931))+4.9921912</f>
        <v>#VALUE!:notNumber:??</v>
      </c>
      <c s="68" r="P686"/>
      <c t="str" s="38" r="Q686">
        <f>((((L686+M686)+N686)+O686)/(1.535645))-60.47703745</f>
        <v>#VALUE!:notNumber:??</v>
      </c>
      <c s="63" r="R686"/>
      <c s="26" r="S686"/>
      <c s="26" r="T686"/>
    </row>
    <row customHeight="1" r="687" ht="14.25">
      <c t="s" s="45" r="A687">
        <v>112</v>
      </c>
      <c s="75" r="B687">
        <v>90</v>
      </c>
      <c s="54" r="C687">
        <v>60</v>
      </c>
      <c s="54" r="D687">
        <v>65</v>
      </c>
      <c s="54" r="E687">
        <v>120</v>
      </c>
      <c s="54" r="F687">
        <v>70</v>
      </c>
      <c s="2" r="G687">
        <v>130</v>
      </c>
      <c s="68" r="H687"/>
      <c s="19" r="I687">
        <f>INDEX('Speed Factors'!$A$2:$B$256,(G687),2)</f>
        <v>662</v>
      </c>
      <c s="19" r="J687">
        <f>SUM(B687:G687)</f>
        <v>535</v>
      </c>
      <c s="68" r="K687"/>
      <c s="38" r="L687">
        <f>((((B687*2)+141)*((D687*2)+36))/(402.744996))-24.57966407</f>
        <v>107.727380162028</v>
      </c>
      <c s="38" r="M687">
        <f>((((B687*2)+141)*((F687*2)+36))/(416.310724))-19.16575597</f>
        <v>116.540572844148</v>
      </c>
      <c s="38" r="N687">
        <f>(((((C687*2)+36)*((((C687*2)+36)*(I687/672))+415))/((((C687*2)+36)*(1-(I687/672)))+415))/(1.92306))-3.576327284</f>
        <v>106.96583162307</v>
      </c>
      <c s="38" r="O687">
        <f>(((((E687*2)+36)*((((E687*2)+36)*(I687/672))+415))/((((E687*2)+36)*(1-(I687/672)))+415))/(1.980931))+4.9921912</f>
        <v>233.343587390988</v>
      </c>
      <c s="68" r="P687"/>
      <c s="38" r="Q687">
        <f>((((L687+M687)+N687)+O687)/(1.535645))-60.47703745</f>
        <v>307.171326605647</v>
      </c>
      <c s="63" r="R687"/>
      <c s="26" r="S687"/>
      <c s="26" r="T687"/>
    </row>
    <row customHeight="1" r="688" ht="14.25">
      <c t="s" s="45" r="A688">
        <v>750</v>
      </c>
      <c t="s" s="57" r="B688">
        <v>745</v>
      </c>
      <c t="s" s="8" r="C688">
        <v>745</v>
      </c>
      <c t="s" s="8" r="D688">
        <v>745</v>
      </c>
      <c t="s" s="8" r="E688">
        <v>745</v>
      </c>
      <c t="s" s="8" r="F688">
        <v>745</v>
      </c>
      <c t="s" s="27" r="G688">
        <v>745</v>
      </c>
      <c s="68" r="H688"/>
      <c t="str" s="20" r="I688">
        <f>INDEX('Speed Factors'!$A$2:$B$256,(G688),2)</f>
        <v>#VALUE!:notNumber:??</v>
      </c>
      <c s="20" r="J688">
        <f>SUM(B688:G688)</f>
        <v>0</v>
      </c>
      <c s="68" r="K688"/>
      <c t="str" s="38" r="L688">
        <f>((((B688*2)+141)*((D688*2)+36))/(402.744996))-24.57966407</f>
        <v>#VALUE!:notNumber:??</v>
      </c>
      <c t="str" s="38" r="M688">
        <f>((((B688*2)+141)*((F688*2)+36))/(416.310724))-19.16575597</f>
        <v>#VALUE!:notNumber:??</v>
      </c>
      <c t="str" s="38" r="N688">
        <f>(((((C688*2)+36)*((((C688*2)+36)*(I688/672))+415))/((((C688*2)+36)*(1-(I688/672)))+415))/(1.92306))-3.576327284</f>
        <v>#VALUE!:notNumber:??</v>
      </c>
      <c t="str" s="38" r="O688">
        <f>(((((E688*2)+36)*((((E688*2)+36)*(I688/672))+415))/((((E688*2)+36)*(1-(I688/672)))+415))/(1.980931))+4.9921912</f>
        <v>#VALUE!:notNumber:??</v>
      </c>
      <c s="68" r="P688"/>
      <c t="str" s="38" r="Q688">
        <f>((((L688+M688)+N688)+O688)/(1.535645))-60.47703745</f>
        <v>#VALUE!:notNumber:??</v>
      </c>
      <c s="63" r="R688"/>
      <c s="26" r="S688"/>
      <c s="26" r="T688"/>
    </row>
    <row customHeight="1" r="689" ht="14.25">
      <c t="s" s="45" r="A689">
        <v>113</v>
      </c>
      <c s="75" r="B689">
        <v>105</v>
      </c>
      <c s="54" r="C689">
        <v>110</v>
      </c>
      <c s="54" r="D689">
        <v>95</v>
      </c>
      <c s="54" r="E689">
        <v>70</v>
      </c>
      <c s="54" r="F689">
        <v>100</v>
      </c>
      <c s="2" r="G689">
        <v>75</v>
      </c>
      <c s="68" r="H689"/>
      <c s="19" r="I689">
        <f>INDEX('Speed Factors'!$A$2:$B$256,(G689),2)</f>
        <v>413</v>
      </c>
      <c s="19" r="J689">
        <f>SUM(B689:G689)</f>
        <v>555</v>
      </c>
      <c s="68" r="K689"/>
      <c s="38" r="L689">
        <f>((((B689*2)+141)*((D689*2)+36))/(402.744996))-24.57966407</f>
        <v>172.383676971734</v>
      </c>
      <c s="38" r="M689">
        <f>((((B689*2)+141)*((F689*2)+36))/(416.310724))-19.16575597</f>
        <v>179.810622068246</v>
      </c>
      <c s="38" r="N689">
        <f>(((((C689*2)+36)*((((C689*2)+36)*(I689/672))+415))/((((C689*2)+36)*(1-(I689/672)))+415))/(1.92306))-3.576327284</f>
        <v>144.748819638552</v>
      </c>
      <c s="38" r="O689">
        <f>(((((E689*2)+36)*((((E689*2)+36)*(I689/672))+415))/((((E689*2)+36)*(1-(I689/672)))+415))/(1.980931))+4.9921912</f>
        <v>101.261120116005</v>
      </c>
      <c s="68" r="P689"/>
      <c s="38" r="Q689">
        <f>((((L689+M689)+N689)+O689)/(1.535645))-60.47703745</f>
        <v>329.068878952904</v>
      </c>
      <c s="63" r="R689"/>
      <c s="26" r="S689"/>
      <c s="26" r="T689"/>
    </row>
    <row customHeight="1" r="690" ht="14.25">
      <c t="s" s="45" r="A690">
        <v>751</v>
      </c>
      <c t="s" s="57" r="B690">
        <v>745</v>
      </c>
      <c t="s" s="8" r="C690">
        <v>745</v>
      </c>
      <c t="s" s="8" r="D690">
        <v>745</v>
      </c>
      <c t="s" s="8" r="E690">
        <v>745</v>
      </c>
      <c t="s" s="8" r="F690">
        <v>745</v>
      </c>
      <c t="s" s="27" r="G690">
        <v>745</v>
      </c>
      <c s="68" r="H690"/>
      <c t="str" s="20" r="I690">
        <f>INDEX('Speed Factors'!$A$2:$B$256,(G690),2)</f>
        <v>#VALUE!:notNumber:??</v>
      </c>
      <c s="20" r="J690">
        <f>SUM(B690:G690)</f>
        <v>0</v>
      </c>
      <c s="68" r="K690"/>
      <c t="str" s="38" r="L690">
        <f>((((B690*2)+141)*((D690*2)+36))/(402.744996))-24.57966407</f>
        <v>#VALUE!:notNumber:??</v>
      </c>
      <c t="str" s="38" r="M690">
        <f>((((B690*2)+141)*((F690*2)+36))/(416.310724))-19.16575597</f>
        <v>#VALUE!:notNumber:??</v>
      </c>
      <c t="str" s="38" r="N690">
        <f>(((((C690*2)+36)*((((C690*2)+36)*(I690/672))+415))/((((C690*2)+36)*(1-(I690/672)))+415))/(1.92306))-3.576327284</f>
        <v>#VALUE!:notNumber:??</v>
      </c>
      <c t="str" s="38" r="O690">
        <f>(((((E690*2)+36)*((((E690*2)+36)*(I690/672))+415))/((((E690*2)+36)*(1-(I690/672)))+415))/(1.980931))+4.9921912</f>
        <v>#VALUE!:notNumber:??</v>
      </c>
      <c s="68" r="P690"/>
      <c t="str" s="38" r="Q690">
        <f>((((L690+M690)+N690)+O690)/(1.535645))-60.47703745</f>
        <v>#VALUE!:notNumber:??</v>
      </c>
      <c s="63" r="R690"/>
      <c s="26" r="S690"/>
      <c s="26" r="T690"/>
    </row>
    <row customHeight="1" r="691" ht="14.25">
      <c t="s" s="45" r="A691">
        <v>114</v>
      </c>
      <c s="75" r="B691">
        <v>80</v>
      </c>
      <c s="54" r="C691">
        <v>103</v>
      </c>
      <c s="54" r="D691">
        <v>85</v>
      </c>
      <c s="54" r="E691">
        <v>55</v>
      </c>
      <c s="54" r="F691">
        <v>80</v>
      </c>
      <c s="2" r="G691">
        <v>110</v>
      </c>
      <c s="68" r="H691"/>
      <c s="19" r="I691">
        <f>INDEX('Speed Factors'!$A$2:$B$256,(G691),2)</f>
        <v>627</v>
      </c>
      <c s="19" r="J691">
        <f>SUM(B691:G691)</f>
        <v>513</v>
      </c>
      <c s="68" r="K691"/>
      <c s="38" r="L691">
        <f>((((B691*2)+141)*((D691*2)+36))/(402.744996))-24.57966407</f>
        <v>129.378797526876</v>
      </c>
      <c s="38" r="M691">
        <f>((((B691*2)+141)*((F691*2)+36))/(416.310724))-19.16575597</f>
        <v>122.545702800877</v>
      </c>
      <c s="38" r="N691">
        <f>(((((C691*2)+36)*((((C691*2)+36)*(I691/672))+415))/((((C691*2)+36)*(1-(I691/672)))+415))/(1.92306))-3.576327284</f>
        <v>183.430411242055</v>
      </c>
      <c s="38" r="O691">
        <f>(((((E691*2)+36)*((((E691*2)+36)*(I691/672))+415))/((((E691*2)+36)*(1-(I691/672)))+415))/(1.980931))+4.9921912</f>
        <v>100.634539836236</v>
      </c>
      <c s="68" r="P691"/>
      <c s="38" r="Q691">
        <f>((((L691+M691)+N691)+O691)/(1.535645))-60.47703745</f>
        <v>288.555096543237</v>
      </c>
      <c s="63" r="R691"/>
      <c s="26" r="S691"/>
      <c s="26" r="T691"/>
    </row>
    <row customHeight="1" r="692" ht="14.25">
      <c t="s" s="45" r="A692">
        <v>752</v>
      </c>
      <c t="s" s="57" r="B692">
        <v>745</v>
      </c>
      <c t="s" s="8" r="C692">
        <v>745</v>
      </c>
      <c t="s" s="8" r="D692">
        <v>745</v>
      </c>
      <c t="s" s="8" r="E692">
        <v>745</v>
      </c>
      <c t="s" s="8" r="F692">
        <v>745</v>
      </c>
      <c t="s" s="27" r="G692">
        <v>745</v>
      </c>
      <c s="68" r="H692"/>
      <c t="str" s="20" r="I692">
        <f>INDEX('Speed Factors'!$A$2:$B$256,(G692),2)</f>
        <v>#VALUE!:notNumber:??</v>
      </c>
      <c s="20" r="J692">
        <f>SUM(B692:G692)</f>
        <v>0</v>
      </c>
      <c s="68" r="K692"/>
      <c t="str" s="38" r="L692">
        <f>((((B692*2)+141)*((D692*2)+36))/(402.744996))-24.57966407</f>
        <v>#VALUE!:notNumber:??</v>
      </c>
      <c t="str" s="38" r="M692">
        <f>((((B692*2)+141)*((F692*2)+36))/(416.310724))-19.16575597</f>
        <v>#VALUE!:notNumber:??</v>
      </c>
      <c t="str" s="38" r="N692">
        <f>(((((C692*2)+36)*((((C692*2)+36)*(I692/672))+415))/((((C692*2)+36)*(1-(I692/672)))+415))/(1.92306))-3.576327284</f>
        <v>#VALUE!:notNumber:??</v>
      </c>
      <c t="str" s="38" r="O692">
        <f>(((((E692*2)+36)*((((E692*2)+36)*(I692/672))+415))/((((E692*2)+36)*(1-(I692/672)))+415))/(1.980931))+4.9921912</f>
        <v>#VALUE!:notNumber:??</v>
      </c>
      <c s="68" r="P692"/>
      <c t="str" s="38" r="Q692">
        <f>((((L692+M692)+N692)+O692)/(1.535645))-60.47703745</f>
        <v>#VALUE!:notNumber:??</v>
      </c>
      <c s="63" r="R692"/>
      <c s="26" r="S692"/>
      <c s="26" r="T692"/>
    </row>
    <row customHeight="1" r="693" ht="14.25">
      <c t="s" s="45" r="A693">
        <v>753</v>
      </c>
      <c t="s" s="75" r="B693">
        <v>745</v>
      </c>
      <c t="s" s="54" r="C693">
        <v>745</v>
      </c>
      <c t="s" s="54" r="D693">
        <v>745</v>
      </c>
      <c t="s" s="54" r="E693">
        <v>745</v>
      </c>
      <c t="s" s="54" r="F693">
        <v>745</v>
      </c>
      <c t="s" s="2" r="G693">
        <v>745</v>
      </c>
      <c s="68" r="H693"/>
      <c t="str" s="19" r="I693">
        <f>INDEX('Speed Factors'!$A$2:$B$256,(G693),2)</f>
        <v>#VALUE!:notNumber:??</v>
      </c>
      <c s="19" r="J693">
        <f>SUM(B693:G693)</f>
        <v>0</v>
      </c>
      <c s="68" r="K693"/>
      <c t="str" s="38" r="L693">
        <f>((((B693*2)+141)*((D693*2)+36))/(402.744996))-24.57966407</f>
        <v>#VALUE!:notNumber:??</v>
      </c>
      <c t="str" s="38" r="M693">
        <f>((((B693*2)+141)*((F693*2)+36))/(416.310724))-19.16575597</f>
        <v>#VALUE!:notNumber:??</v>
      </c>
      <c t="str" s="38" r="N693">
        <f>(((((C693*2)+36)*((((C693*2)+36)*(I693/672))+415))/((((C693*2)+36)*(1-(I693/672)))+415))/(1.92306))-3.576327284</f>
        <v>#VALUE!:notNumber:??</v>
      </c>
      <c t="str" s="38" r="O693">
        <f>(((((E693*2)+36)*((((E693*2)+36)*(I693/672))+415))/((((E693*2)+36)*(1-(I693/672)))+415))/(1.980931))+4.9921912</f>
        <v>#VALUE!:notNumber:??</v>
      </c>
      <c s="68" r="P693"/>
      <c t="str" s="38" r="Q693">
        <f>((((L693+M693)+N693)+O693)/(1.535645))-60.47703745</f>
        <v>#VALUE!:notNumber:??</v>
      </c>
      <c s="63" r="R693"/>
      <c s="26" r="S693"/>
      <c s="26" r="T693"/>
    </row>
    <row customHeight="1" r="694" ht="14.25">
      <c t="s" s="45" r="A694">
        <v>115</v>
      </c>
      <c s="57" r="B694">
        <v>108</v>
      </c>
      <c s="8" r="C694">
        <v>60</v>
      </c>
      <c s="8" r="D694">
        <v>118</v>
      </c>
      <c s="8" r="E694">
        <v>112</v>
      </c>
      <c s="8" r="F694">
        <v>70</v>
      </c>
      <c s="27" r="G694">
        <v>80</v>
      </c>
      <c s="68" r="H694"/>
      <c s="20" r="I694">
        <f>INDEX('Speed Factors'!$A$2:$B$256,(G694),2)</f>
        <v>432</v>
      </c>
      <c s="20" r="J694">
        <f>SUM(B694:G694)</f>
        <v>548</v>
      </c>
      <c s="68" r="K694"/>
      <c s="38" r="L694">
        <f>((((B694*2)+141)*((D694*2)+36))/(402.744996))-24.57966407</f>
        <v>216.525752420389</v>
      </c>
      <c s="38" r="M694">
        <f>((((B694*2)+141)*((F694*2)+36))/(416.310724))-19.16575597</f>
        <v>131.759974206482</v>
      </c>
      <c s="38" r="N694">
        <f>(((((C694*2)+36)*((((C694*2)+36)*(I694/672))+415))/((((C694*2)+36)*(1-(I694/672)))+415))/(1.92306))-3.576327284</f>
        <v>85.2256195752568</v>
      </c>
      <c s="38" r="O694">
        <f>(((((E694*2)+36)*((((E694*2)+36)*(I694/672))+415))/((((E694*2)+36)*(1-(I694/672)))+415))/(1.980931))+4.9921912</f>
        <v>155.442127282953</v>
      </c>
      <c s="68" r="P694"/>
      <c s="38" r="Q694">
        <f>((((L694+M694)+N694)+O694)/(1.535645))-60.47703745</f>
        <v>323.044853016274</v>
      </c>
      <c s="63" r="R694"/>
      <c s="26" r="S694"/>
      <c s="26" r="T694"/>
    </row>
    <row customHeight="1" r="695" ht="14.25">
      <c t="s" s="45" r="A695">
        <v>754</v>
      </c>
      <c t="s" s="75" r="B695">
        <v>745</v>
      </c>
      <c t="s" s="54" r="C695">
        <v>745</v>
      </c>
      <c t="s" s="54" r="D695">
        <v>745</v>
      </c>
      <c t="s" s="54" r="E695">
        <v>745</v>
      </c>
      <c t="s" s="54" r="F695">
        <v>745</v>
      </c>
      <c t="s" s="2" r="G695">
        <v>745</v>
      </c>
      <c s="68" r="H695"/>
      <c t="str" s="19" r="I695">
        <f>INDEX('Speed Factors'!$A$2:$B$256,(G695),2)</f>
        <v>#VALUE!:notNumber:??</v>
      </c>
      <c s="19" r="J695">
        <f>SUM(B695:G695)</f>
        <v>0</v>
      </c>
      <c s="68" r="K695"/>
      <c t="str" s="38" r="L695">
        <f>((((B695*2)+141)*((D695*2)+36))/(402.744996))-24.57966407</f>
        <v>#VALUE!:notNumber:??</v>
      </c>
      <c t="str" s="38" r="M695">
        <f>((((B695*2)+141)*((F695*2)+36))/(416.310724))-19.16575597</f>
        <v>#VALUE!:notNumber:??</v>
      </c>
      <c t="str" s="38" r="N695">
        <f>(((((C695*2)+36)*((((C695*2)+36)*(I695/672))+415))/((((C695*2)+36)*(1-(I695/672)))+415))/(1.92306))-3.576327284</f>
        <v>#VALUE!:notNumber:??</v>
      </c>
      <c t="str" s="38" r="O695">
        <f>(((((E695*2)+36)*((((E695*2)+36)*(I695/672))+415))/((((E695*2)+36)*(1-(I695/672)))+415))/(1.980931))+4.9921912</f>
        <v>#VALUE!:notNumber:??</v>
      </c>
      <c s="68" r="P695"/>
      <c t="str" s="38" r="Q695">
        <f>((((L695+M695)+N695)+O695)/(1.535645))-60.47703745</f>
        <v>#VALUE!:notNumber:??</v>
      </c>
      <c s="63" r="R695"/>
      <c s="26" r="S695"/>
      <c s="26" r="T695"/>
    </row>
    <row customHeight="1" r="696" ht="14.25">
      <c t="s" s="45" r="A696">
        <v>116</v>
      </c>
      <c s="57" r="B696">
        <v>133</v>
      </c>
      <c s="8" r="C696">
        <v>122</v>
      </c>
      <c s="8" r="D696">
        <v>72</v>
      </c>
      <c s="8" r="E696">
        <v>71</v>
      </c>
      <c s="8" r="F696">
        <v>72</v>
      </c>
      <c s="27" r="G696">
        <v>95</v>
      </c>
      <c s="68" r="H696"/>
      <c s="20" r="I696">
        <f>INDEX('Speed Factors'!$A$2:$B$256,(G696),2)</f>
        <v>542</v>
      </c>
      <c s="20" r="J696">
        <f>SUM(B696:G696)</f>
        <v>565</v>
      </c>
      <c s="68" r="K696"/>
      <c s="38" r="L696">
        <f>((((B696*2)+141)*((D696*2)+36))/(402.744996))-24.57966407</f>
        <v>157.322037323206</v>
      </c>
      <c s="38" r="M696">
        <f>((((B696*2)+141)*((F696*2)+36))/(416.310724))-19.16575597</f>
        <v>156.808572281991</v>
      </c>
      <c s="38" r="N696">
        <f>(((((C696*2)+36)*((((C696*2)+36)*(I696/672))+415))/((((C696*2)+36)*(1-(I696/672)))+415))/(1.92306))-3.576327284</f>
        <v>195.300023183124</v>
      </c>
      <c s="38" r="O696">
        <f>(((((E696*2)+36)*((((E696*2)+36)*(I696/672))+415))/((((E696*2)+36)*(1-(I696/672)))+415))/(1.980931))+4.9921912</f>
        <v>116.667795973333</v>
      </c>
      <c s="68" r="P696"/>
      <c s="38" r="Q696">
        <f>((((L696+M696)+N696)+O696)/(1.535645))-60.47703745</f>
        <v>347.233357049805</v>
      </c>
      <c s="63" r="R696"/>
      <c s="26" r="S696"/>
      <c s="26" r="T696"/>
    </row>
    <row customHeight="1" r="697" ht="14.25">
      <c t="s" s="45" r="A697">
        <v>755</v>
      </c>
      <c t="s" s="75" r="B697">
        <v>745</v>
      </c>
      <c t="s" s="54" r="C697">
        <v>745</v>
      </c>
      <c t="s" s="54" r="D697">
        <v>745</v>
      </c>
      <c t="s" s="54" r="E697">
        <v>745</v>
      </c>
      <c t="s" s="54" r="F697">
        <v>745</v>
      </c>
      <c t="s" s="2" r="G697">
        <v>745</v>
      </c>
      <c s="68" r="H697"/>
      <c t="str" s="19" r="I697">
        <f>INDEX('Speed Factors'!$A$2:$B$256,(G697),2)</f>
        <v>#VALUE!:notNumber:??</v>
      </c>
      <c s="19" r="J697">
        <f>SUM(B697:G697)</f>
        <v>0</v>
      </c>
      <c s="68" r="K697"/>
      <c t="str" s="38" r="L697">
        <f>((((B697*2)+141)*((D697*2)+36))/(402.744996))-24.57966407</f>
        <v>#VALUE!:notNumber:??</v>
      </c>
      <c t="str" s="38" r="M697">
        <f>((((B697*2)+141)*((F697*2)+36))/(416.310724))-19.16575597</f>
        <v>#VALUE!:notNumber:??</v>
      </c>
      <c t="str" s="38" r="N697">
        <f>(((((C697*2)+36)*((((C697*2)+36)*(I697/672))+415))/((((C697*2)+36)*(1-(I697/672)))+415))/(1.92306))-3.576327284</f>
        <v>#VALUE!:notNumber:??</v>
      </c>
      <c t="str" s="38" r="O697">
        <f>(((((E697*2)+36)*((((E697*2)+36)*(I697/672))+415))/((((E697*2)+36)*(1-(I697/672)))+415))/(1.980931))+4.9921912</f>
        <v>#VALUE!:notNumber:??</v>
      </c>
      <c s="68" r="P697"/>
      <c t="str" s="38" r="Q697">
        <f>((((L697+M697)+N697)+O697)/(1.535645))-60.47703745</f>
        <v>#VALUE!:notNumber:??</v>
      </c>
      <c s="63" r="R697"/>
      <c s="26" r="S697"/>
      <c s="26" r="T697"/>
    </row>
    <row customHeight="1" r="698" ht="14.25">
      <c t="s" s="45" r="A698">
        <v>117</v>
      </c>
      <c s="57" r="B698">
        <v>151</v>
      </c>
      <c s="8" r="C698">
        <v>84</v>
      </c>
      <c s="8" r="D698">
        <v>73</v>
      </c>
      <c s="8" r="E698">
        <v>83</v>
      </c>
      <c s="8" r="F698">
        <v>74</v>
      </c>
      <c s="27" r="G698">
        <v>105</v>
      </c>
      <c s="68" r="H698"/>
      <c s="20" r="I698">
        <f>INDEX('Speed Factors'!$A$2:$B$256,(G698),2)</f>
        <v>609</v>
      </c>
      <c s="20" r="J698">
        <f>SUM(B698:G698)</f>
        <v>570</v>
      </c>
      <c s="68" r="K698"/>
      <c s="38" r="L698">
        <f>((((B698*2)+141)*((D698*2)+36))/(402.744996))-24.57966407</f>
        <v>175.611525890806</v>
      </c>
      <c s="38" r="M698">
        <f>((((B698*2)+141)*((F698*2)+36))/(416.310724))-19.16575597</f>
        <v>176.630305243163</v>
      </c>
      <c s="38" r="N698">
        <f>(((((C698*2)+36)*((((C698*2)+36)*(I698/672))+415))/((((C698*2)+36)*(1-(I698/672)))+415))/(1.92306))-3.576327284</f>
        <v>143.006569325594</v>
      </c>
      <c s="38" r="O698">
        <f>(((((E698*2)+36)*((((E698*2)+36)*(I698/672))+415))/((((E698*2)+36)*(1-(I698/672)))+415))/(1.980931))+4.9921912</f>
        <v>145.532664040152</v>
      </c>
      <c s="68" r="P698"/>
      <c s="38" r="Q698">
        <f>((((L698+M698)+N698)+O698)/(1.535645))-60.47703745</f>
        <v>356.794574478352</v>
      </c>
      <c s="63" r="R698"/>
      <c s="26" r="S698"/>
      <c s="26" r="T698"/>
    </row>
    <row customHeight="1" r="699" ht="14.25">
      <c t="s" s="45" r="A699">
        <v>756</v>
      </c>
      <c t="s" s="75" r="B699">
        <v>745</v>
      </c>
      <c t="s" s="54" r="C699">
        <v>745</v>
      </c>
      <c t="s" s="54" r="D699">
        <v>745</v>
      </c>
      <c t="s" s="54" r="E699">
        <v>745</v>
      </c>
      <c t="s" s="54" r="F699">
        <v>745</v>
      </c>
      <c t="s" s="2" r="G699">
        <v>745</v>
      </c>
      <c s="68" r="H699"/>
      <c t="str" s="19" r="I699">
        <f>INDEX('Speed Factors'!$A$2:$B$256,(G699),2)</f>
        <v>#VALUE!:notNumber:??</v>
      </c>
      <c s="19" r="J699">
        <f>SUM(B699:G699)</f>
        <v>0</v>
      </c>
      <c s="68" r="K699"/>
      <c t="str" s="38" r="L699">
        <f>((((B699*2)+141)*((D699*2)+36))/(402.744996))-24.57966407</f>
        <v>#VALUE!:notNumber:??</v>
      </c>
      <c t="str" s="38" r="M699">
        <f>((((B699*2)+141)*((F699*2)+36))/(416.310724))-19.16575597</f>
        <v>#VALUE!:notNumber:??</v>
      </c>
      <c t="str" s="38" r="N699">
        <f>(((((C699*2)+36)*((((C699*2)+36)*(I699/672))+415))/((((C699*2)+36)*(1-(I699/672)))+415))/(1.92306))-3.576327284</f>
        <v>#VALUE!:notNumber:??</v>
      </c>
      <c t="str" s="38" r="O699">
        <f>(((((E699*2)+36)*((((E699*2)+36)*(I699/672))+415))/((((E699*2)+36)*(1-(I699/672)))+415))/(1.980931))+4.9921912</f>
        <v>#VALUE!:notNumber:??</v>
      </c>
      <c s="68" r="P699"/>
      <c t="str" s="38" r="Q699">
        <f>((((L699+M699)+N699)+O699)/(1.535645))-60.47703745</f>
        <v>#VALUE!:notNumber:??</v>
      </c>
      <c s="63" r="R699"/>
      <c s="26" r="S699"/>
      <c s="26" r="T699"/>
    </row>
    <row customHeight="1" r="700" ht="14.25">
      <c t="s" s="45" r="A700">
        <v>118</v>
      </c>
      <c s="57" r="B700">
        <v>90</v>
      </c>
      <c s="8" r="C700">
        <v>85</v>
      </c>
      <c s="8" r="D700">
        <v>80</v>
      </c>
      <c s="8" r="E700">
        <v>105</v>
      </c>
      <c s="8" r="F700">
        <v>80</v>
      </c>
      <c s="27" r="G700">
        <v>110</v>
      </c>
      <c s="68" r="H700"/>
      <c s="20" r="I700">
        <f>INDEX('Speed Factors'!$A$2:$B$256,(G700),2)</f>
        <v>627</v>
      </c>
      <c s="20" r="J700">
        <f>SUM(B700:G700)</f>
        <v>550</v>
      </c>
      <c s="68" r="K700"/>
      <c s="38" r="L700">
        <f>((((B700*2)+141)*((D700*2)+36))/(402.744996))-24.57966407</f>
        <v>131.638291770226</v>
      </c>
      <c s="38" r="M700">
        <f>((((B700*2)+141)*((F700*2)+36))/(416.310724))-19.16575597</f>
        <v>131.961746573028</v>
      </c>
      <c s="38" r="N700">
        <f>(((((C700*2)+36)*((((C700*2)+36)*(I700/672))+415))/((((C700*2)+36)*(1-(I700/672)))+415))/(1.92306))-3.576327284</f>
        <v>148.114957417109</v>
      </c>
      <c s="38" r="O700">
        <f>(((((E700*2)+36)*((((E700*2)+36)*(I700/672))+415))/((((E700*2)+36)*(1-(I700/672)))+415))/(1.980931))+4.9921912</f>
        <v>190.496024942027</v>
      </c>
      <c s="68" r="P700"/>
      <c s="38" r="Q700">
        <f>((((L700+M700)+N700)+O700)/(1.535645))-60.47703745</f>
        <v>331.678063958457</v>
      </c>
      <c s="63" r="R700"/>
      <c s="26" r="S700"/>
      <c s="26" r="T700"/>
    </row>
    <row customHeight="1" r="701" ht="14.25">
      <c t="s" s="45" r="A701">
        <v>757</v>
      </c>
      <c s="75" r="B701">
        <v>55</v>
      </c>
      <c s="54" r="C701">
        <v>85</v>
      </c>
      <c s="54" r="D701">
        <v>80</v>
      </c>
      <c s="54" r="E701">
        <v>20</v>
      </c>
      <c s="54" r="F701">
        <v>70</v>
      </c>
      <c s="2" r="G701">
        <v>40</v>
      </c>
      <c s="68" r="H701"/>
      <c s="19" r="I701">
        <f>INDEX('Speed Factors'!$A$2:$B$256,(G701),2)</f>
        <v>111</v>
      </c>
      <c s="19" r="J701">
        <f>SUM(B701:G701)</f>
        <v>350</v>
      </c>
      <c s="68" r="K701"/>
      <c s="38" r="L701">
        <f>((((B701*2)+141)*((D701*2)+36))/(402.744996))-24.57966407</f>
        <v>97.5720708704882</v>
      </c>
      <c s="38" r="M701">
        <f>((((B701*2)+141)*((F701*2)+36))/(416.310724))-19.16575597</f>
        <v>86.9472924173867</v>
      </c>
      <c s="38" r="N701">
        <f>(((((C701*2)+36)*((((C701*2)+36)*(I701/672))+415))/((((C701*2)+36)*(1-(I701/672)))+415))/(1.92306))-3.576327284</f>
        <v>78.3697843895383</v>
      </c>
      <c s="38" r="O701">
        <f>(((((E701*2)+36)*((((E701*2)+36)*(I701/672))+415))/((((E701*2)+36)*(1-(I701/672)))+415))/(1.980931))+4.9921912</f>
        <v>39.2769789602493</v>
      </c>
      <c s="68" r="P701"/>
      <c s="38" r="Q701">
        <f>((((L701+M701)+N701)+O701)/(1.535645))-60.47703745</f>
        <v>136.29117827542</v>
      </c>
      <c s="63" r="R701"/>
      <c s="26" r="S701"/>
      <c s="26" r="T701"/>
    </row>
    <row customHeight="1" r="702" ht="14.25">
      <c t="s" s="45" r="A702">
        <v>119</v>
      </c>
      <c s="57" r="B702">
        <v>105</v>
      </c>
      <c s="8" r="C702">
        <v>60</v>
      </c>
      <c s="8" r="D702">
        <v>90</v>
      </c>
      <c s="8" r="E702">
        <v>115</v>
      </c>
      <c s="8" r="F702">
        <v>80</v>
      </c>
      <c s="27" r="G702">
        <v>85</v>
      </c>
      <c s="68" r="H702"/>
      <c s="20" r="I702">
        <f>INDEX('Speed Factors'!$A$2:$B$256,(G702),2)</f>
        <v>469</v>
      </c>
      <c s="20" r="J702">
        <f>SUM(B702:G702)</f>
        <v>535</v>
      </c>
      <c s="68" r="K702"/>
      <c s="38" r="L702">
        <f>((((B702*2)+141)*((D702*2)+36))/(402.744996))-24.57966407</f>
        <v>163.668484890242</v>
      </c>
      <c s="38" r="M702">
        <f>((((B702*2)+141)*((F702*2)+36))/(416.310724))-19.16575597</f>
        <v>146.085812231255</v>
      </c>
      <c s="38" r="N702">
        <f>(((((C702*2)+36)*((((C702*2)+36)*(I702/672))+415))/((((C702*2)+36)*(1-(I702/672)))+415))/(1.92306))-3.576327284</f>
        <v>88.3838868887952</v>
      </c>
      <c s="38" r="O702">
        <f>(((((E702*2)+36)*((((E702*2)+36)*(I702/672))+415))/((((E702*2)+36)*(1-(I702/672)))+415))/(1.980931))+4.9921912</f>
        <v>167.814885354181</v>
      </c>
      <c s="68" r="P702"/>
      <c s="38" r="Q702">
        <f>((((L702+M702)+N702)+O702)/(1.535645))-60.47703745</f>
        <v>308.067169944595</v>
      </c>
      <c s="63" r="R702"/>
      <c s="26" r="S702"/>
      <c s="26" r="T702"/>
    </row>
    <row customHeight="1" r="703" ht="14.25">
      <c t="s" s="45" r="A703">
        <v>758</v>
      </c>
      <c s="75" r="B703">
        <v>49</v>
      </c>
      <c s="54" r="C703">
        <v>55</v>
      </c>
      <c s="54" r="D703">
        <v>60</v>
      </c>
      <c s="54" r="E703">
        <v>50</v>
      </c>
      <c s="54" r="F703">
        <v>75</v>
      </c>
      <c s="2" r="G703">
        <v>51</v>
      </c>
      <c s="68" r="H703"/>
      <c s="19" r="I703">
        <f>INDEX('Speed Factors'!$A$2:$B$256,(G703),2)</f>
        <v>229</v>
      </c>
      <c s="19" r="J703">
        <f>SUM(B703:G703)</f>
        <v>340</v>
      </c>
      <c s="68" r="K703"/>
      <c s="38" r="L703">
        <f>((((B703*2)+141)*((D703*2)+36))/(402.744996))-24.57966407</f>
        <v>67.9950429289666</v>
      </c>
      <c s="38" r="M703">
        <f>((((B703*2)+141)*((F703*2)+36))/(416.310724))-19.16575597</f>
        <v>87.615062868575</v>
      </c>
      <c s="38" r="N703">
        <f>(((((C703*2)+36)*((((C703*2)+36)*(I703/672))+415))/((((C703*2)+36)*(1-(I703/672)))+415))/(1.92306))-3.576327284</f>
        <v>65.4399306333541</v>
      </c>
      <c s="38" r="O703">
        <f>(((((E703*2)+36)*((((E703*2)+36)*(I703/672))+415))/((((E703*2)+36)*(1-(I703/672)))+415))/(1.980931))+4.9921912</f>
        <v>67.7548345974533</v>
      </c>
      <c s="68" r="P703"/>
      <c s="38" r="Q703">
        <f>((((L703+M703)+N703)+O703)/(1.535645))-60.47703745</f>
        <v>127.590433240393</v>
      </c>
      <c s="63" r="R703"/>
      <c s="26" r="S703"/>
      <c s="26" r="T703"/>
    </row>
    <row customHeight="1" r="704" ht="14.25">
      <c t="s" s="45" r="A704">
        <v>120</v>
      </c>
      <c s="57" r="B704">
        <v>64</v>
      </c>
      <c s="8" r="C704">
        <v>120</v>
      </c>
      <c s="8" r="D704">
        <v>100</v>
      </c>
      <c s="8" r="E704">
        <v>85</v>
      </c>
      <c s="8" r="F704">
        <v>120</v>
      </c>
      <c s="27" r="G704">
        <v>81</v>
      </c>
      <c s="68" r="H704"/>
      <c s="20" r="I704">
        <f>INDEX('Speed Factors'!$A$2:$B$256,(G704),2)</f>
        <v>461</v>
      </c>
      <c s="20" r="J704">
        <f>SUM(B704:G704)</f>
        <v>570</v>
      </c>
      <c s="68" r="K704"/>
      <c s="38" r="L704">
        <f>((((B704*2)+141)*((D704*2)+36))/(402.744996))-24.57966407</f>
        <v>133.04861345179</v>
      </c>
      <c s="38" r="M704">
        <f>((((B704*2)+141)*((F704*2)+36))/(416.310724))-19.16575597</f>
        <v>159.17219143296</v>
      </c>
      <c s="38" r="N704">
        <f>(((((C704*2)+36)*((((C704*2)+36)*(I704/672))+415))/((((C704*2)+36)*(1-(I704/672)))+415))/(1.92306))-3.576327284</f>
        <v>169.320483425889</v>
      </c>
      <c s="38" r="O704">
        <f>(((((E704*2)+36)*((((E704*2)+36)*(I704/672))+415))/((((E704*2)+36)*(1-(I704/672)))+415))/(1.980931))+4.9921912</f>
        <v>125.59802758323</v>
      </c>
      <c s="68" r="P704"/>
      <c s="38" r="Q704">
        <f>((((L704+M704)+N704)+O704)/(1.535645))-60.47703745</f>
        <v>321.863487797611</v>
      </c>
      <c s="63" r="R704"/>
      <c s="26" r="S704"/>
      <c s="26" r="T704"/>
    </row>
    <row customHeight="1" r="705" ht="14.25">
      <c t="s" s="45" r="A705">
        <v>121</v>
      </c>
      <c s="75" r="B705">
        <v>95</v>
      </c>
      <c s="54" r="C705">
        <v>45</v>
      </c>
      <c s="54" r="D705">
        <v>83</v>
      </c>
      <c s="54" r="E705">
        <v>131</v>
      </c>
      <c s="54" r="F705">
        <v>105</v>
      </c>
      <c s="2" r="G705">
        <v>76</v>
      </c>
      <c s="68" r="H705"/>
      <c s="19" r="I705">
        <f>INDEX('Speed Factors'!$A$2:$B$256,(G705),2)</f>
        <v>424</v>
      </c>
      <c s="19" r="J705">
        <f>SUM(B705:G705)</f>
        <v>535</v>
      </c>
      <c s="68" r="K705"/>
      <c s="38" r="L705">
        <f>((((B705*2)+141)*((D705*2)+36))/(402.744996))-24.57966407</f>
        <v>141.436054719961</v>
      </c>
      <c s="38" r="M705">
        <f>((((B705*2)+141)*((F705*2)+36))/(416.310724))-19.16575597</f>
        <v>176.423728772651</v>
      </c>
      <c s="38" r="N705">
        <f>(((((C705*2)+36)*((((C705*2)+36)*(I705/672))+415))/((((C705*2)+36)*(1-(I705/672)))+415))/(1.92306))-3.576327284</f>
        <v>66.6293609485916</v>
      </c>
      <c s="38" r="O705">
        <f>(((((E705*2)+36)*((((E705*2)+36)*(I705/672))+415))/((((E705*2)+36)*(1-(I705/672)))+415))/(1.980931))+4.9921912</f>
        <v>177.791407535049</v>
      </c>
      <c s="68" r="P705"/>
      <c s="38" r="Q705">
        <f>((((L705+M705)+N705)+O705)/(1.535645))-60.47703745</f>
        <v>305.675655376957</v>
      </c>
      <c s="63" r="R705"/>
      <c s="26" r="S705"/>
      <c s="26" r="T705"/>
    </row>
    <row customHeight="1" r="706" ht="14.25">
      <c t="s" s="45" r="A706">
        <v>122</v>
      </c>
      <c s="57" r="B706">
        <v>110</v>
      </c>
      <c s="8" r="C706">
        <v>120</v>
      </c>
      <c s="8" r="D706">
        <v>99</v>
      </c>
      <c s="8" r="E706">
        <v>117</v>
      </c>
      <c s="8" r="F706">
        <v>60</v>
      </c>
      <c s="27" r="G706">
        <v>94</v>
      </c>
      <c s="68" r="H706"/>
      <c s="20" r="I706">
        <f>INDEX('Speed Factors'!$A$2:$B$256,(G706),2)</f>
        <v>542</v>
      </c>
      <c s="20" r="J706">
        <f>SUM(B706:G706)</f>
        <v>600</v>
      </c>
      <c s="68" r="K706"/>
      <c s="38" r="L706">
        <f>((((B706*2)+141)*((D706*2)+36))/(402.744996))-24.57966407</f>
        <v>185.165958691257</v>
      </c>
      <c s="38" r="M706">
        <f>((((B706*2)+141)*((F706*2)+36))/(416.310724))-19.16575597</f>
        <v>116.108203487263</v>
      </c>
      <c s="38" r="N706">
        <f>(((((C706*2)+36)*((((C706*2)+36)*(I706/672))+415))/((((C706*2)+36)*(1-(I706/672)))+415))/(1.92306))-3.576327284</f>
        <v>191.794249011002</v>
      </c>
      <c s="38" r="O706">
        <f>(((((E706*2)+36)*((((E706*2)+36)*(I706/672))+415))/((((E706*2)+36)*(1-(I706/672)))+415))/(1.980931))+4.9921912</f>
        <v>189.581317316016</v>
      </c>
      <c s="68" r="P706"/>
      <c s="38" r="Q706">
        <f>((((L706+M706)+N706)+O706)/(1.535645))-60.47703745</f>
        <v>384.059120650042</v>
      </c>
      <c s="63" r="R706"/>
      <c s="26" r="S706"/>
      <c s="26" r="T706"/>
    </row>
  </sheetData>
  <conditionalFormatting sqref="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Q497 Q498 Q499 Q500 Q501 Q502 Q503 Q504 Q505 Q506 Q507 Q508 Q509 Q510 Q511 Q512 Q513 Q514 Q515 Q516 Q517 Q518 Q519 Q520 Q521 Q522 Q523 Q524 Q525 Q526 Q527 Q528 Q529 Q530 Q531 Q532 Q533 Q534 Q535 Q536 Q537 Q538 Q539 Q540 Q541 Q542 Q543 Q544 Q545 Q546 Q547 Q548 Q549 Q550 Q551 Q552 Q553 Q554 Q555 Q556 Q557 Q558 Q559 Q560 Q561 Q562 Q563 Q564 Q565 Q566 Q567 Q568 Q569 Q570 Q571 Q572 Q573 Q574 Q575 Q576 Q577 Q578 Q579 Q580 Q581 Q582 Q583 Q584 Q585 Q586 Q587 Q588 Q589 Q590 Q591 Q592 Q593 Q594 Q595 Q596 Q597 Q598 Q599 Q600 Q601 Q602 Q603 Q604 Q605 Q606 Q607 Q608 Q609 Q610 Q611 Q612 Q613 Q614 Q615 Q616 Q617 Q618 Q619 Q620 Q621 Q622 Q623 Q624 Q625 Q626 Q627 Q628 Q629 Q630 Q631 Q632 Q633 Q634 Q635 Q636 Q637 Q638 Q639 Q640 Q641 Q642 Q643 Q644 Q645 Q646 Q647 Q648 Q649 Q650 Q651 Q652 Q653 Q654 Q655 Q656 Q657 Q658 Q659 Q660 Q661 Q662 Q663 Q664 Q665 Q666 Q667 Q668 Q669 Q670 Q671 Q672 Q673 Q674 Q675 Q677 Q678 Q679 Q680 Q681 Q682 Q683 Q684 Q685 Q686 Q687 Q688 Q689 Q690 Q691 Q692 Q693 Q694 Q695 Q696 Q697 Q698 Q699 Q700 Q701 Q702 Q703 Q704 Q705 Q706">
    <cfRule priority="1" type="cellIs" operator="greaterThanOrEqual" stopIfTrue="1" dxfId="20">
      <formula>450</formula>
    </cfRule>
    <cfRule priority="2" type="cellIs" operator="between" stopIfTrue="1" dxfId="21">
      <formula>400</formula>
      <formula>450</formula>
    </cfRule>
    <cfRule priority="3" type="cellIs" operator="between" stopIfTrue="1" dxfId="22">
      <formula>350</formula>
      <formula>400</formula>
    </cfRule>
    <cfRule priority="4" type="cellIs" operator="between" stopIfTrue="1" dxfId="23">
      <formula>300</formula>
      <formula>350</formula>
    </cfRule>
    <cfRule priority="5" type="cellIs" operator="between" stopIfTrue="1" dxfId="24">
      <formula>250</formula>
      <formula>300</formula>
    </cfRule>
    <cfRule priority="6" type="cellIs" operator="between" stopIfTrue="1" dxfId="25">
      <formula>200</formula>
      <formula>250</formula>
    </cfRule>
    <cfRule priority="7" type="cellIs" operator="between" stopIfTrue="1" dxfId="26">
      <formula>150</formula>
      <formula>200</formula>
    </cfRule>
    <cfRule priority="8" type="cellIs" operator="between" stopIfTrue="1" dxfId="27">
      <formula>100</formula>
      <formula>150</formula>
    </cfRule>
    <cfRule priority="9" type="cellIs" operator="between" stopIfTrue="1" dxfId="28">
      <formula>50</formula>
      <formula>100</formula>
    </cfRule>
    <cfRule priority="10" type="cellIs" operator="lessThanOrEqual" stopIfTrue="1" dxfId="29">
      <formula>50</formula>
    </cfRule>
  </conditionalFormatting>
  <conditionalFormatting sqref="L4 M4 N4 O4 L5 M5 N5 O5 L6 M6 N6 O6 L7 M7 N7 O7 L8 M8 N8 O8 L9 M9 N9 O9 L10 M10 N10 O10 L11 M11 N11 O11 L12 M12 N12 O12 L13 M13 N13 O13 L14 M14 N14 O14 L15 M15 N15 O15 L16 M16 N16 O16 L17 M17 N17 O17 L18 M18 N18 O18 L19 M19 N19 O19 L20 M20 N20 O20 L21 M21 N21 O21 L22 M22 N22 O22 L23 M23 N23 O23 L24 M24 N24 O24 L25 M25 N25 O25 L26 M26 N26 O26 L27 M27 N27 O27 L28 M28 N28 O28 L29 M29 N29 O29 L30 M30 N30 O30 L31 M31 N31 O31 L32 M32 N32 O32 L33 M33 N33 O33 L34 M34 N34 O34 L35 M35 N35 O35 L36 M36 N36 O36 L37 M37 N37 O37 L38 M38 N38 O38 L39 M39 N39 O39 L40 M40 N40 O40 L41 M41 N41 O41 L42 M42 N42 O42 L43 M43 N43 O43 L44 M44 N44 O44 L45 M45 N45 O45 L46 M46 N46 O46 L47 M47 N47 O47 L48 M48 N48 O48 L49 M49 N49 O49 L50 M50 N50 O50 L51 M51 N51 O51 L52 M52 N52 O52 L53 M53 N53 O53 L54 M54 N54 O54 L55 M55 N55 O55 L56 M56 N56 O56 L57 M57 N57 O57 L58 M58 N58 O58 L59 M59 N59 O59 L60 M60 N60 O60 L61 M61 N61 O61 L62 M62 N62 O62 L63 M63 N63 O63 L64 M64 N64 O64 L65 M65 N65 O65 L66 M66 N66 O66 L67 M67 N67 O67 L68 M68 N68 O68 L69 M69 N69 O69 L70 M70 N70 O70 L71 M71 N71 O71 L72 M72 N72 O72 L73 M73 N73 O73 L74 M74 N74 O74 L75 M75 N75 O75 L76 M76 N76 O76 L77 M77 N77 O77 L78 M78 N78 O78 L79 M79 N79 O79 L80 M80 N80 O80 L81 M81 N81 O81 L82 M82 N82 O82 L83 M83 N83 O83 L84 M84 N84 O84 L85 M85 N85 O85 L86 M86 N86 O86 L87 M87 N87 O87 L88 M88 N88 O88 L89 M89 N89 O89 L90 M90 N90 O90 L91 M91 N91 O91 L92 M92 N92 O92 L93 M93 N93 O93 L94 M94 N94 O94 L95 M95 N95 O95 L96 M96 N96 O96 L97 M97 N97 O97 L98 M98 N98 O98 L99 M99 N99 O99 L100 M100 N100 O100 L101 M101 N101 O101 L102 M102 N102 O102 L103 M103 N103 O103 L104 M104 N104 O104 L105 M105 N105 O105 L106 M106 N106 O106 L107 M107 N107 O107 L108 M108 N108 O108 L109 M109 N109 O109 L110 M110 N110 O110 L111 M111 N111 O111 L112 M112 N112 O112 L113 M113 N113 O113 L114 M114 N114 O114 L115 M115 N115 O115 L116 M116 N116 O116 L117 M117 N117 O117 L118 M118 N118 O118 L119 M119 N119 O119 L120 M120 N120 O120 L121 M121 N121 O121 L122 M122 N122 O122 L123 M123 N123 O123 L124 M124 N124 O124 L125 M125 N125 O125 L126 M126 N126 O126 L127 M127 N127 O127 L128 M128 N128 O128 L129 M129 N129 O129 L130 M130 N130 O130 L131 M131 N131 O131 L132 M132 N132 O132 L133 M133 N133 O133 L134 M134 N134 O134 L135 M135 N135 O135 L136 M136 N136 O136 L137 M137 N137 O137 L138 M138 N138 O138 L139 M139 N139 O139 L140 M140 N140 O140 L141 M141 N141 O141 L142 M142 N142 O142 L143 M143 N143 O143 L144 M144 N144 O144 L145 M145 N145 O145 L146 M146 N146 O146 L147 M147 N147 O147 L148 M148 N148 O148 L149 M149 N149 O149 L150 M150 N150 O150 L151 M151 N151 O151 L152 M152 N152 O152 L153 M153 N153 O153 L154 M154 N154 O154 L155 M155 N155 O155 L156 M156 N156 O156 L157 M157 N157 O157 L158 M158 N158 O158 L159 M159 N159 O159 L160 M160 N160 O160 L161 M161 N161 O161 L162 M162 N162 O162 L163 M163 N163 O163 L164 M164 N164 O164 L165 M165 N165 O165 L166 M166 N166 O166 L167 M167 N167 O167 L168 M168 N168 O168 L169 M169 N169 O169 L170 M170 N170 O170 L171 M171 N171 O171 L172 M172 N172 O172 L173 M173 N173 O173 L174 M174 N174 O174 L175 M175 N175 O175 L176 M176 N176 O176 L177 M177 N177 O177 L178 M178 N178 O178 L179 M179 N179 O179 L180 M180 N180 O180 L181 M181 N181 O181 L182 M182 N182 O182 L183 M183 N183 O183 L184 M184 N184 O184 L185 M185 N185 O185 L186 M186 N186 O186 L187 M187 N187 O187 L188 M188 N188 O188 L189 M189 N189 O189 L190 M190 N190 O190 L191 M191 N191 O191 L192 M192 N192 O192 L193 M193 N193 O193 L194 M194 N194 O194 L195 M195 N195 O195 L196 M196 N196 O196 L197 M197 N197 O197 L198 M198 N198 O198 L199 M199 N199 O199 L200 M200 N200 O200 L201 M201 N201 O201 L202 M202 N202 O202 L203 M203 N203 O203 L204 M204 N204 O204 L205 M205 N205 O205 L206 M206 N206 O206 L207 M207 N207 O207 L208 M208 N208 O208 L209 M209 N209 O209 L210 M210 N210 O210 L211 M211 N211 O211 L212 M212 N212 O212 L213 M213 N213 O213 L214 M214 N214 O214 L215 M215 N215 O215 L216 M216 N216 O216 L217 M217 N217 O217 L218 M218 N218 O218 L219 M219 N219 O219 L220 M220 N220 O220 L221 M221 N221 O221 L222 M222 N222 O222 L223 M223 N223 O223 L224 M224 N224 O224 L225 M225 N225 O225 L226 M226 N226 O226 L227 M227 N227 O227 L228 M228 N228 O228 L229 M229 N229 O229 L230 M230 N230 O230 L231 M231 N231 O231 L232 M232 N232 O232 L233 M233 N233 O233 L234 M234 N234 O234 L235 M235 N235 O235 L236 M236 N236 O236 L237 M237 N237 O237 L238 M238 N238 O238 L239 M239 N239 O239 L240 M240 N240 O240 L241 M241 N241 O241 L242 M242 N242 O242 L243 M243 N243 O243 L244 M244 N244 O244 L245 M245 N245 O245 L246 M246 N246 O246 L247 M247 N247 O247 L248 M248 N248 O248 L249 M249 N249 O249 L250 M250 N250 O250 L251 M251 N251 O251 L252 M252 N252 O252 L253 M253 N253 O253 L254 M254 N254 O254 L255 M255 N255 O255 L256 M256 N256 O256 L257 M257 N257 O257 L258 M258 N258 O258 L259 M259 N259 O259 L260 M260 N260 O260 L261 M261 N261 O261 L262 M262 N262 O262 L263 M263 N263 O263 L264 M264 N264 O264 L265 M265 N265 O265 L266 M266 N266 O266 L267 M267 N267 O267 L268 M268 N268 O268 L269 M269 N269 O269 L270 M270 N270 O270 L271 M271 N271 O271 L272 M272 N272 O272 L273 M273 N273 O273 L274 M274 N274 O274 L275 M275 N275 O275 L276 M276 N276 O276 L277 M277 N277 O277 L278 M278 N278 O278 L279 M279 N279 O279 L280 M280 N280 O280 L281 M281 N281 O281 L282 M282 N282 O282 L283 M283 N283 O283 L284 M284 N284 O284 L285 M285 N285 O285 L286 M286 N286 O286 L287 M287 N287 O287 L288 M288 N288 O288 L289 M289 N289 O289 L290 M290 N290 O290 L291 M291 N291 O291 L292 M292 N292 O292 L293 M293 N293 O293 L294 M294 N294 O294 L295 M295 N295 O295 L296 M296 N296 O296 L297 M297 N297 O297 L298 M298 N298 O298 L299 M299 N299 O299 L300 M300 N300 O300 L301 M301 N301 O301 L302 M302 N302 O302 L303 M303 N303 O303 L304 M304 N304 O304 L305 M305 N305 O305 L306 M306 N306 O306 L307 M307 N307 O307 L308 M308 N308 O308 L309 M309 N309 O309 L310 M310 N310 O310 L311 M311 N311 O311 L312 M312 N312 O312 L313 M313 N313 O313 L314 M314 N314 O314 L315 M315 N315 O315 L316 M316 N316 O316 L317 M317 N317 O317 L318 M318 N318 O318 L319 M319 N319 O319 L320 M320 N320 O320 L321 M321 N321 O321 L322 M322 N322 O322 L323 M323 N323 O323 L324 M324 N324 O324 L325 M325 N325 O325 L326 M326 N326 O326 L327 M327 N327 O327 L328 M328 N328 O328 L329 M329 N329 O329 L330 M330 N330 O330 L331 M331 N331 O331 L332 M332 N332 O332 L333 M333 N333 O333 L334 M334 N334 O334 L335 M335 N335 O335 L336 M336 N336 O336 L337 M337 N337 O337 L338 M338 N338 O338 L339 M339 N339 O339 L340 M340 N340 O340 L341 M341 N341 O341 L342 M342 N342 O342 L343 M343 N343 O343 L344 M344 N344 O344 L345 M345 N345 O345 L346 M346 N346 O346 L347 M347 N347 O347 L348 M348 N348 O348 L349 M349 N349 O349 L350 M350 N350 O350 L351 M351 N351 O351 L352 M352 N352 O352 L353 M353 N353 O353 L354 M354 N354 O354 L355 M355 N355 O355 L356 M356 N356 O356 L357 M357 N357 O357 L358 M358 N358 O358 L359 M359 N359 O359 L360 M360 N360 O360 L361 M361 N361 O361 L362 M362 N362 O362 L363 M363 N363 O363 L364 M364 N364 O364 L365 M365 N365 O365 L366 M366 N366 O366 L367 M367 N367 O367 L368 M368 N368 O368 L369 M369 N369 O369 L370 M370 N370 O370 L371 M371 N371 O371 L372 M372 N372 O372 L373 M373 N373 O373 L374 M374 N374 O374 L375 M375 N375 O375 L376 M376 N376 O376 L377 M377 N377 O377 L378 M378 N378 O378 L379 M379 N379 O379 L380 M380 N380 O380 L381 M381 N381 O381 L382 M382 N382 O382 L383 M383 N383 O383 L384 M384 N384 O384 L385 M385 N385 O385 L386 M386 N386 O386 L387 M387 N387 O387 L388 M388 N388 O388 L389 M389 N389 O389 L390 M390 N390 O390 L391 M391 N391 O391 L392 M392 N392 O392 L393 M393 N393 O393 L394 M394 N394 O394 L395 M395 N395 O395 L396 M396 N396 O396 L397 M397 N397 O397 L398 M398 N398 O398 L399 M399 N399 O399 L400 M400 N400 O400 L401 M401 N401 O401 L402 M402 N402 O402 L403 M403 N403 O403 L404 M404 N404 O404 L405 M405 N405 O405 L406 M406 N406 O406 L407 M407 N407 O407 L408 M408 N408 O408 L409 M409 N409 O409 L410 M410 N410 O410 L411 M411 N411 O411 L412 M412 N412 O412 L413 M413 N413 O413 L414 M414 N414 O414 L415 M415 N415 O415 L416 M416 N416 O416 L417 M417 N417 O417 L418 M418 N418 O418 L419 M419 N419 O419 L420 M420 N420 O420 L421 M421 N421 O421 L422 M422 N422 O422 L423 M423 N423 O423 L424 M424 N424 O424 L425 M425 N425 O425 L426 M426 N426 O426 L427 M427 N427 O427 L428 M428 N428 O428 L429 M429 N429 O429 L430 M430 N430 O430 L431 M431 N431 O431 L432 M432 N432 O432 L433 M433 N433 O433 L434 M434 N434 O434 L435 M435 N435 O435 L436 M436 N436 O436 L437 M437 N437 O437 L438 M438 N438 O438 L439 M439 N439 O439 L440 M440 N440 O440 L441 M441 N441 O441 L442 M442 N442 O442 L443 M443 N443 O443 L444 M444 N444 O444 L445 M445 N445 O445 L446 M446 N446 O446 L447 M447 N447 O447 L448 M448 N448 O448 L449 M449 N449 O449 L450 M450 N450 O450 L451 M451 N451 O451 L452 M452 N452 O452 L453 M453 N453 O453 L454 M454 N454 O454 L455 M455 N455 O455 L456 M456 N456 O456 L457 M457 N457 O457 L458 M458 N458 O458 L459 M459 N459 O459 L460 M460 N460 O460 L461 M461 N461 O461 L462 M462 N462 O462 L463 M463 N463 O463 L464 M464 N464 O464 L465 M465 N465 O465 L466 M466 N466 O466 L467 M467 N467 O467 L468 M468 N468 O468 L469 M469 N469 O469 L470 M470 N470 O470 L471 M471 N471 O471 L472 M472 N472 O472 L473 M473 N473 O473 L474 M474 N474 O474 L475 M475 N475 O475 L476 M476 N476 O476 L477 M477 N477 O477 L478 M478 N478 O478 L479 M479 N479 O479 L480 M480 N480 O480 L481 M481 N481 O481 L482 M482 N482 O482 L483 M483 N483 O483 L484 M484 N484 O484 L485 M485 N485 O485 L486 M486 N486 O486 L487 M487 N487 O487 L488 M488 N488 O488 L489 M489 N489 O489 L490 M490 N490 O490 L491 M491 N491 O491 L492 M492 N492 O492 L493 M493 N493 O493 L494 M494 N494 O494 L495 M495 N495 O495 L496 M496 N496 O496 L497 M497 N497 O497 L498 M498 N498 O498 L499 M499 N499 O499 L500 M500 N500 O500 L501 M501 N501 O501 L502 M502 N502 O502 L503 M503 N503 O503 L504 M504 N504 O504 L505 M505 N505 O505 L506 M506 N506 O506 L507 M507 N507 O507 L508 M508 N508 O508 L509 M509 N509 O509 L510 M510 N510 O510 L511 M511 N511 O511 L512 M512 N512 O512 L513 M513 N513 O513 L514 M514 N514 O514 L515 M515 N515 O515 L516 M516 N516 O516 L517 M517 N517 O517 L518 M518 N518 O518 L519 M519 N519 O519 L520 M520 N520 O520 L521 M521 N521 O521 L522 M522 N522 O522 L523 M523 N523 O523 L524 M524 N524 O524 L525 M525 N525 O525 L526 M526 N526 O526 L527 M527 N527 O527 L528 M528 N528 O528 L529 M529 N529 O529 L530 M530 N530 O530 L531 M531 N531 O531 L532 M532 N532 O532 L533 M533 N533 O533 L534 M534 N534 O534 L535 M535 N535 O535 L536 M536 N536 O536 L537 M537 N537 O537 L538 M538 N538 O538 L539 M539 N539 O539 L540 M540 N540 O540 L541 M541 N541 O541 L542 M542 N542 O542 L543 M543 N543 O543 L544 M544 N544 O544 L545 M545 N545 O545 L546 M546 N546 O546 L547 M547 N547 O547 L548 M548 N548 O548 L549 M549 N549 O549 L550 M550 N550 O550 L551 M551 N551 O551 L552 M552 N552 O552 L553 M553 N553 O553 L554 M554 N554 O554 L555 M555 N555 O555 L556 M556 N556 O556 L557 M557 N557 O557 L558 M558 N558 O558 L559 M559 N559 O559 L560 M560 N560 O560 L561 M561 N561 O561 L562 M562 N562 O562 L563 M563 N563 O563 L564 M564 N564 O564 L565 M565 N565 O565 L566 M566 N566 O566 L567 M567 N567 O567 L568 M568 N568 O568 L569 M569 N569 O569 L570 M570 N570 O570 L571 M571 N571 O571 L572 M572 N572 O572 L573 M573 N573 O573 L574 M574 N574 O574 L575 M575 N575 O575 L576 M576 N576 O576 L577 M577 N577 O577 L578 M578 N578 O578 L579 M579 N579 O579 L580 M580 N580 O580 L581 M581 N581 O581 L582 M582 N582 O582 L583 M583 N583 O583 L584 M584 N584 O584 L585 M585 N585 O585 L586 M586 N586 O586 L587 M587 N587 O587 L588 M588 N588 O588 L589 M589 N589 O589 L590 M590 N590 O590 L591 M591 N591 O591 L592 M592 N592 O592 L593 M593 N593 O593 L594 M594 N594 O594 L595 M595 N595 O595 L596 M596 N596 O596 L597 M597 N597 O597 L598 M598 N598 O598 L599 M599 N599 O599 L600 M600 N600 O600 L601 M601 N601 O601 L602 M602 N602 O602 L603 M603 N603 O603 L604 M604 N604 O604 L605 M605 N605 O605 L606 M606 N606 O606 L607 M607 N607 O607 L608 M608 N608 O608 L609 M609 N609 O609 L610 M610 N610 O610 L611 M611 N611 O611 L612 M612 N612 O612 L613 M613 N613 O613 L614 M614 N614 O614 L615 M615 N615 O615 L616 M616 N616 O616 L617 M617 N617 O617 L618 M618 N618 O618 L619 M619 N619 O619 L620 M620 N620 O620 L621 M621 N621 O621 L622 M622 N622 O622 L623 M623 N623 O623 L624 M624 N624 O624 L625 M625 N625 O625 L626 M626 N626 O626 L627 M627 N627 O627 L628 M628 N628 O628 L629 M629 N629 O629 L630 M630 N630 O630 L631 M631 N631 O631 L632 M632 N632 O632 L633 M633 N633 O633 L634 M634 N634 O634 L635 M635 N635 O635 L636 M636 N636 O636 L637 M637 N637 O637 L638 M638 N638 O638 L639 M639 N639 O639 L640 M640 N640 O640 L641 M641 N641 O641 L642 M642 N642 O642 L643 M643 N643 O643 L644 M644 N644 O644 L645 M645 N645 O645 L646 M646 N646 O646 L647 M647 N647 O647 L648 M648 N648 O648 L649 M649 N649 O649 L650 M650 N650 O650 L651 M651 N651 O651 L652 M652 N652 O652 L653 M653 N653 O653 L654 M654 N654 O654 L655 M655 N655 O655 L656 M656 N656 O656 L657 M657 N657 O657 L658 M658 N658 O658 L659 M659 N659 O659 L660 M660 N660 O660 L661 M661 N661 O661 L662 M662 N662 O662 L663 M663 N663 O663 L664 M664 N664 O664 L665 M665 N665 O665 L666 M666 N666 O666 L667 M667 N667 O667 L668 M668 N668 O668 L669 M669 N669 O669 L670 M670 N670 O670 L671 M671 N671 O671 L672 M672 N672 O672 L673 M673 N673 O673 L674 M674 N674 O674 L675 M675 N675 O675 L677 M677 N677 O677 L678 M678 N678 O678 L679 M679 N679 O679 L680 M680 N680 O680 L681 M681 N681 O681 L682 M682 N682 O682 L683 M683 N683 O683 L684 M684 N684 O684 L685 M685 N685 O685 L686 M686 N686 O686 L687 M687 N687 O687 L688 M688 N688 O688 L689 M689 N689 O689 L690 M690 N690 O690 L691 M691 N691 O691 L692 M692 N692 O692 L693 M693 N693 O693 L694 M694 N694 O694 L695 M695 N695 O695 L696 M696 N696 O696 L697 M697 N697 O697 L698 M698 N698 O698 L699 M699 N699 O699 L700 M700 N700 O700 L701 M701 N701 O701 L702 M702 N702 O702 L703 M703 N703 O703 L704 M704 N704 O704 L705 M705 N705 O705 L706 M706 N706 O706">
    <cfRule priority="1" type="cellIs" operator="greaterThanOrEqual" stopIfTrue="1" dxfId="20">
      <formula>225</formula>
    </cfRule>
    <cfRule priority="2" type="cellIs" operator="between" stopIfTrue="1" dxfId="21">
      <formula>200</formula>
      <formula>225</formula>
    </cfRule>
    <cfRule priority="3" type="cellIs" operator="between" stopIfTrue="1" dxfId="22">
      <formula>175</formula>
      <formula>200</formula>
    </cfRule>
    <cfRule priority="4" type="cellIs" operator="between" stopIfTrue="1" dxfId="23">
      <formula>150</formula>
      <formula>175</formula>
    </cfRule>
    <cfRule priority="5" type="cellIs" operator="between" stopIfTrue="1" dxfId="24">
      <formula>125</formula>
      <formula>150</formula>
    </cfRule>
    <cfRule priority="6" type="cellIs" operator="between" stopIfTrue="1" dxfId="25">
      <formula>100</formula>
      <formula>125</formula>
    </cfRule>
    <cfRule priority="7" type="cellIs" operator="between" stopIfTrue="1" dxfId="26">
      <formula>75</formula>
      <formula>100</formula>
    </cfRule>
    <cfRule priority="8" type="cellIs" operator="between" stopIfTrue="1" dxfId="27">
      <formula>50</formula>
      <formula>75</formula>
    </cfRule>
    <cfRule priority="9" type="cellIs" operator="between" stopIfTrue="1" dxfId="28">
      <formula>25</formula>
      <formula>50</formula>
    </cfRule>
    <cfRule priority="10" type="cellIs" operator="lessThanOrEqual" stopIfTrue="1" dxfId="29">
      <formula>25</formula>
    </cfRule>
  </conditionalFormatting>
</worksheet>
</file>