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5580" windowHeight="8325"/>
  </bookViews>
  <sheets>
    <sheet name="Labor-Task" sheetId="5" r:id="rId1"/>
    <sheet name="ODCs" sheetId="6" r:id="rId2"/>
    <sheet name="Enclosure A" sheetId="2" r:id="rId3"/>
    <sheet name="Enclosure B" sheetId="7" r:id="rId4"/>
  </sheets>
  <definedNames>
    <definedName name="_xlnm.Print_Area" localSheetId="3">'Enclosure B'!$A$1:$A$29</definedName>
  </definedNames>
  <calcPr calcId="125725"/>
</workbook>
</file>

<file path=xl/calcChain.xml><?xml version="1.0" encoding="utf-8"?>
<calcChain xmlns="http://schemas.openxmlformats.org/spreadsheetml/2006/main">
  <c r="J11" i="6"/>
  <c r="J12"/>
  <c r="J13"/>
  <c r="J14"/>
  <c r="J15"/>
  <c r="I11"/>
  <c r="I12"/>
  <c r="I13"/>
  <c r="I14"/>
  <c r="I15"/>
  <c r="I16"/>
  <c r="J16" s="1"/>
  <c r="G11"/>
  <c r="G12"/>
  <c r="G13"/>
  <c r="G14"/>
  <c r="G15"/>
  <c r="G16"/>
  <c r="J10" i="5"/>
  <c r="J11"/>
  <c r="J12"/>
  <c r="J13"/>
  <c r="J14"/>
  <c r="J15"/>
  <c r="J16"/>
  <c r="I10"/>
  <c r="I11"/>
  <c r="I12"/>
  <c r="I13"/>
  <c r="I14"/>
  <c r="I15"/>
  <c r="I16"/>
  <c r="I17"/>
  <c r="J17" s="1"/>
  <c r="G17"/>
  <c r="G10"/>
  <c r="G11"/>
  <c r="G12"/>
  <c r="G13"/>
  <c r="G14"/>
  <c r="G15"/>
  <c r="G16"/>
  <c r="I10" i="6"/>
  <c r="J10" s="1"/>
  <c r="G10"/>
  <c r="I9" i="5"/>
  <c r="G9"/>
  <c r="J9" l="1"/>
</calcChain>
</file>

<file path=xl/sharedStrings.xml><?xml version="1.0" encoding="utf-8"?>
<sst xmlns="http://schemas.openxmlformats.org/spreadsheetml/2006/main" count="96" uniqueCount="86">
  <si>
    <t>MOST FAVORED CUSTOMER (MFC)</t>
  </si>
  <si>
    <t>DISCOUNT OFFERED TO MFC (%)</t>
  </si>
  <si>
    <t>MFC PRICE</t>
  </si>
  <si>
    <t>PRICE OFFERED TO GSA (including IFF)</t>
  </si>
  <si>
    <t>SUPPORTING INVOICE NUMBER</t>
  </si>
  <si>
    <t>541-1</t>
  </si>
  <si>
    <t>Project Mgr</t>
  </si>
  <si>
    <t>Hourly</t>
  </si>
  <si>
    <t>PRICE OFFERED TO GSA (excluding IFF)</t>
  </si>
  <si>
    <t>Photographer</t>
  </si>
  <si>
    <t>SIN(s) Proposed:</t>
  </si>
  <si>
    <t>Service Proposed:</t>
  </si>
  <si>
    <t>Unit of Issue:</t>
  </si>
  <si>
    <t>Most Favored Customer (MFC):</t>
  </si>
  <si>
    <t>Discount offered to MFC (%):</t>
  </si>
  <si>
    <t>MFC Price:</t>
  </si>
  <si>
    <t>Discount Offered to GSA (excluding IFF):</t>
  </si>
  <si>
    <r>
      <t xml:space="preserve">Price Offered to GSA </t>
    </r>
    <r>
      <rPr>
        <b/>
        <i/>
        <u/>
        <sz val="10"/>
        <color theme="1"/>
        <rFont val="Arial"/>
        <family val="2"/>
      </rPr>
      <t xml:space="preserve">(excluding </t>
    </r>
    <r>
      <rPr>
        <b/>
        <i/>
        <sz val="10"/>
        <color theme="1"/>
        <rFont val="Arial"/>
        <family val="2"/>
      </rPr>
      <t xml:space="preserve"> IFF):</t>
    </r>
  </si>
  <si>
    <r>
      <t xml:space="preserve">Price Offered to GSA </t>
    </r>
    <r>
      <rPr>
        <b/>
        <i/>
        <u/>
        <sz val="10"/>
        <color theme="1"/>
        <rFont val="Arial"/>
        <family val="2"/>
      </rPr>
      <t>(including</t>
    </r>
    <r>
      <rPr>
        <b/>
        <i/>
        <sz val="10"/>
        <color theme="1"/>
        <rFont val="Arial"/>
        <family val="2"/>
      </rPr>
      <t xml:space="preserve"> IFF):</t>
    </r>
  </si>
  <si>
    <t>SINS(s) Proposed:</t>
  </si>
  <si>
    <t>Enter the name of the ODC element.</t>
  </si>
  <si>
    <t>Invoicing/Supplier Quotations:</t>
  </si>
  <si>
    <t>SERVICE PROPOSED (e.g. Job Title/Task)</t>
  </si>
  <si>
    <t>SIN(s) PROPOSED</t>
  </si>
  <si>
    <t>UNIT OF ISSUE (e.g. Hour, Task, Sq ft)</t>
  </si>
  <si>
    <t>All Commercial Customers</t>
  </si>
  <si>
    <t>DISCOUNT OFFERED TO GSA (off CPL or Market Prices) (%)</t>
  </si>
  <si>
    <t>Products, Services and Labor acquired from a third party.  Other Direct Costs are established at Not-To-Exceed Amounts</t>
  </si>
  <si>
    <t>Other Direct Costs (ODCs)</t>
  </si>
  <si>
    <t>Labor/Task Pricing</t>
  </si>
  <si>
    <t>Enclosure A</t>
  </si>
  <si>
    <t>541-1000 and/or 541-2000</t>
  </si>
  <si>
    <t>SUPPORT PRODUCT/ LABOR (ODCs)</t>
  </si>
  <si>
    <t>COMMERCIAL MARKUP (%)</t>
  </si>
  <si>
    <t>COMMERCIAL PRICE INCLUDING MARKUP</t>
  </si>
  <si>
    <t>CEILING PRICE/RATE OFFERED TO GSA (including IFF)</t>
  </si>
  <si>
    <t>ENCLOSURE A</t>
  </si>
  <si>
    <t>ENCLOSURE B</t>
  </si>
  <si>
    <r>
      <t xml:space="preserve">Enter fully burdened direct labor Title or Task </t>
    </r>
    <r>
      <rPr>
        <u/>
        <sz val="10"/>
        <color theme="1"/>
        <rFont val="Arial"/>
        <family val="2"/>
      </rPr>
      <t>name.</t>
    </r>
  </si>
  <si>
    <t xml:space="preserve">Note: Order entries in the Pricing for Direct Labor as they appear on the Commercial Price list or Market Rate Sheet (Market Prices), to facilitate sequential review. </t>
  </si>
  <si>
    <r>
      <t xml:space="preserve">Commercial Price (dollar amount) </t>
    </r>
    <r>
      <rPr>
        <u/>
        <sz val="10"/>
        <color theme="1"/>
        <rFont val="Arial"/>
        <family val="2"/>
      </rPr>
      <t>discounted by</t>
    </r>
    <r>
      <rPr>
        <sz val="10"/>
        <color theme="1"/>
        <rFont val="Arial"/>
        <family val="2"/>
      </rPr>
      <t xml:space="preserve"> the GSA discount percentage (X%).</t>
    </r>
  </si>
  <si>
    <t>Discounted GSA price (dollar amount) (Price Offered to GSA (excluding IFF)) / .9925 (This formula incorporates the 0.75% Industrial Funding Fee). The price inclusive of IFF is referred to as the GSA Net Price.</t>
  </si>
  <si>
    <r>
      <t xml:space="preserve">Enter SIN, SIN(s), or ‘All’ applicable to the labor or task element entry.  </t>
    </r>
    <r>
      <rPr>
        <b/>
        <sz val="10"/>
        <color theme="1"/>
        <rFont val="Arial"/>
        <family val="2"/>
      </rPr>
      <t>NOTE:</t>
    </r>
    <r>
      <rPr>
        <sz val="10"/>
        <color theme="1"/>
        <rFont val="Arial"/>
        <family val="2"/>
      </rPr>
      <t xml:space="preserve"> ODC SIN(s) 541-1000 and/or 541-2000 should </t>
    </r>
    <r>
      <rPr>
        <u/>
        <sz val="10"/>
        <color theme="1"/>
        <rFont val="Arial"/>
        <family val="2"/>
      </rPr>
      <t>not</t>
    </r>
    <r>
      <rPr>
        <sz val="10"/>
        <color theme="1"/>
        <rFont val="Arial"/>
        <family val="2"/>
      </rPr>
      <t xml:space="preserve"> be included in this section.</t>
    </r>
  </si>
  <si>
    <t>Supporting Invoice Number:</t>
  </si>
  <si>
    <t>Enter the MFC name corresponding to the direct labor or task entry (i.e.: Company name or Category of Customers). The MFC is the company or category of customers that receives the most favorable discount, if any, from commercial pricing (Commercial Price List rates). If no discount is offered to any commercial customer from the Commercial Price List rates, the MFC is ‘All Commercial Customers’. The MFC discount is "0%" if no firm obtains a discount from the Commercial Price List rates.</t>
  </si>
  <si>
    <r>
      <t xml:space="preserve">Enter the discount (X%) from the commercial pricing (Commercial Price List rates) </t>
    </r>
    <r>
      <rPr>
        <b/>
        <sz val="10"/>
        <color theme="1"/>
        <rFont val="Arial"/>
        <family val="2"/>
      </rPr>
      <t xml:space="preserve">offered to the MFC </t>
    </r>
    <r>
      <rPr>
        <sz val="10"/>
        <color theme="1"/>
        <rFont val="Arial"/>
        <family val="2"/>
      </rPr>
      <t>for the direct labor or task element entry.</t>
    </r>
  </si>
  <si>
    <r>
      <t xml:space="preserve">Enter the discount (X%) from commercial pricing (Commercial Price List rates) </t>
    </r>
    <r>
      <rPr>
        <b/>
        <sz val="10"/>
        <color theme="1"/>
        <rFont val="Arial"/>
        <family val="2"/>
      </rPr>
      <t xml:space="preserve">offered to GSA </t>
    </r>
    <r>
      <rPr>
        <sz val="10"/>
        <color theme="1"/>
        <rFont val="Arial"/>
        <family val="2"/>
      </rPr>
      <t>for the direct labor or task element entry.</t>
    </r>
  </si>
  <si>
    <t xml:space="preserve">Instructions - Direct Labor or Task entries: </t>
  </si>
  <si>
    <t xml:space="preserve">Instructions - Other Direct Costs (ODCs): </t>
  </si>
  <si>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direct labor or task element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</si>
  <si>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ODC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</si>
  <si>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t>Enter the unit of issue for the ODC element (Ex.: Hourly, Per Shipment, Per Event).</t>
  </si>
  <si>
    <t>CEILING PRICE/RATE OFFERED TO GSA (excluding IFF)</t>
  </si>
  <si>
    <t xml:space="preserve">COMMERCIAL PRICE EXCLUDING MARKUP </t>
  </si>
  <si>
    <t>Commercial Price Excluding Markup (CPL):</t>
  </si>
  <si>
    <t>Commercial Markup (%):</t>
  </si>
  <si>
    <t xml:space="preserve">Enter the MFC name corresponding to the ODC entry (i.e.: Company name or Category of Customers). The MFC is the company or category of customers that receives the most favorable (lowest) markup added to the commercial pricing (Commercial Price Excluding Markup rate). If no firm is offered a reduced markup from the Commercial Price excluding Markup rate, the MFC is ‘All Commercial Customers’. </t>
  </si>
  <si>
    <r>
      <t xml:space="preserve">Enter the markup (X%) applied to the commercial pricing (Commercial Price Excluding Markup rate) </t>
    </r>
    <r>
      <rPr>
        <b/>
        <sz val="10"/>
        <color theme="1"/>
        <rFont val="Arial"/>
        <family val="2"/>
      </rPr>
      <t xml:space="preserve">offered to the MFC </t>
    </r>
    <r>
      <rPr>
        <sz val="10"/>
        <color theme="1"/>
        <rFont val="Arial"/>
        <family val="2"/>
      </rPr>
      <t>for the ODC element entry.</t>
    </r>
  </si>
  <si>
    <t>Commercial Price Including Markup (CPL):</t>
  </si>
  <si>
    <t>Markup Offered To GSA (%):</t>
  </si>
  <si>
    <r>
      <t xml:space="preserve">Enter the markup (X%) applied to the commercial pricing (Commercial Price Excluding Markup rate) </t>
    </r>
    <r>
      <rPr>
        <b/>
        <sz val="10"/>
        <color theme="1"/>
        <rFont val="Arial"/>
        <family val="2"/>
      </rPr>
      <t xml:space="preserve">offered to GSA </t>
    </r>
    <r>
      <rPr>
        <sz val="10"/>
        <color theme="1"/>
        <rFont val="Arial"/>
        <family val="2"/>
      </rPr>
      <t>for the ODC element entry.</t>
    </r>
  </si>
  <si>
    <t>Support Product/Labor (ODCs):</t>
  </si>
  <si>
    <r>
      <t xml:space="preserve">Enter the commercial price paid (dollar amount) </t>
    </r>
    <r>
      <rPr>
        <b/>
        <u/>
        <sz val="10"/>
        <color theme="1"/>
        <rFont val="Arial"/>
        <family val="2"/>
      </rPr>
      <t>including markup</t>
    </r>
    <r>
      <rPr>
        <sz val="10"/>
        <color theme="1"/>
        <rFont val="Arial"/>
        <family val="2"/>
      </rPr>
      <t xml:space="preserve"> to acquire the ODC element from a third party provider, supported by a commercial invoice or supplier quote. A Maximum Ceiling Price (i.e. Not-To-Exceed Price) will be established from the invoice or quotation price.</t>
    </r>
  </si>
  <si>
    <t xml:space="preserve">Ceiling Price/Rate Offered to GSA (excluding IFF): </t>
  </si>
  <si>
    <r>
      <t xml:space="preserve">Enter the commercial price paid (dollar amount) </t>
    </r>
    <r>
      <rPr>
        <b/>
        <u/>
        <sz val="10"/>
        <color theme="1"/>
        <rFont val="Arial"/>
        <family val="2"/>
      </rPr>
      <t>including GSA Offered markup</t>
    </r>
    <r>
      <rPr>
        <sz val="10"/>
        <color theme="1"/>
        <rFont val="Arial"/>
        <family val="2"/>
      </rPr>
      <t xml:space="preserve"> to acquire the ODC element from a third party provider.</t>
    </r>
  </si>
  <si>
    <t>Ceiling Price/Rate Offered to GSA (including IFF):</t>
  </si>
  <si>
    <t>GSA price with proposed markup (dollar amount) (Price Offered to GSA (excluding IFF)) / .9925 (This formula incorporates the 0.75% Industrial Funding Fee). The price inclusive of IFF is referred to as the GSA Net Price.</t>
  </si>
  <si>
    <r>
      <t xml:space="preserve">Enter the fully burdened direct labor or task element commercial pricing (Commercial Price List rate) </t>
    </r>
    <r>
      <rPr>
        <u/>
        <sz val="10"/>
        <color theme="1"/>
        <rFont val="Arial"/>
        <family val="2"/>
      </rPr>
      <t>discounted by</t>
    </r>
    <r>
      <rPr>
        <sz val="10"/>
        <color theme="1"/>
        <rFont val="Arial"/>
        <family val="2"/>
      </rPr>
      <t xml:space="preserve"> the MFC discount percentage (X%) (dollar amount).</t>
    </r>
  </si>
  <si>
    <t>Contractor Name:</t>
  </si>
  <si>
    <t>COMMERCIAL PRICE LIST (CPL) OR MARKET PRICES</t>
  </si>
  <si>
    <r>
      <t>MARKUP OFFERED TO GSA (%)</t>
    </r>
    <r>
      <rPr>
        <b/>
        <sz val="12"/>
        <color theme="1"/>
        <rFont val="Calibri"/>
        <family val="2"/>
        <scheme val="minor"/>
      </rPr>
      <t>*</t>
    </r>
  </si>
  <si>
    <t>Schedule 541 - Proposal Price List Preparation Spreadsheet (Labor/Task)</t>
  </si>
  <si>
    <t>Schedule 541 - Proposal Price List Preparation Spreadsheet (ODCs)</t>
  </si>
  <si>
    <t>Enclosure B</t>
  </si>
  <si>
    <t>Enter unit of issue for the labor or task element (Example: Hourly).</t>
  </si>
  <si>
    <r>
      <rPr>
        <b/>
        <u/>
        <sz val="10"/>
        <color theme="1"/>
        <rFont val="Arial"/>
        <family val="2"/>
      </rPr>
      <t>Note: Pass Through Other Direct Costs</t>
    </r>
    <r>
      <rPr>
        <u/>
        <sz val="10"/>
        <color theme="1"/>
        <rFont val="Arial"/>
        <family val="2"/>
      </rPr>
      <t>:</t>
    </r>
    <r>
      <rPr>
        <sz val="10"/>
        <color theme="1"/>
        <rFont val="Arial"/>
        <family val="2"/>
      </rPr>
      <t xml:space="preserve">  Priced at actual cost (price invoiced to your firm) plus Industrial Funding Fee (IFF) and are established at maximum ceiling price/rate.  “</t>
    </r>
    <r>
      <rPr>
        <b/>
        <sz val="10"/>
        <color theme="1"/>
        <rFont val="Arial"/>
        <family val="2"/>
      </rPr>
      <t>Pass Through Other Direct Costs” is/are GSA’s preferred method for use when contracting for Other Direct Costs.</t>
    </r>
  </si>
  <si>
    <t>Note: The table above is an example, for further instructions, see tab:</t>
  </si>
  <si>
    <r>
      <t>Note: If Proposing ODCs With A Markup</t>
    </r>
    <r>
      <rPr>
        <sz val="10"/>
        <color theme="1"/>
        <rFont val="Arial"/>
        <family val="2"/>
      </rPr>
      <t>:  Commercial Markup Relationship.  The contractor must demonstrate a clear/documented relationship between what was charged to their firm (i.e. invoice reflecting actual cost paid or a supplier quote) versus what they charged to their customer (i.e. actual invoice amount to your customer which reflects the total cost billed inclusive of any claimed markup) to establish their standard commercial practice and markup rate(s).  Supporting pricing documentation may consist of copies of invoices, contracts, quote sheets, etc. and MUST be included in the Offer.  There must be a clear and relevant relationship between the supporting document and the proposed price it is meant to substantiate.  The Government will attempt negotiation of a more favorable markup in comparison to the contractor’s MFC.</t>
    </r>
  </si>
  <si>
    <r>
      <t xml:space="preserve">* Note: ODCs are </t>
    </r>
    <r>
      <rPr>
        <b/>
        <i/>
        <u/>
        <sz val="12"/>
        <color theme="1"/>
        <rFont val="Calibri"/>
        <family val="2"/>
        <scheme val="minor"/>
      </rPr>
      <t>normally</t>
    </r>
    <r>
      <rPr>
        <b/>
        <i/>
        <sz val="12"/>
        <color theme="1"/>
        <rFont val="Calibri"/>
        <family val="2"/>
        <scheme val="minor"/>
      </rPr>
      <t xml:space="preserve"> priced at actual cost (plus IFF), however, if your firm has a standard commercial markup and have documentation to demonstrate this markup relationship, the Government may allow a negotiated discounted markup rate. See Enclosure B for additional information.</t>
    </r>
  </si>
  <si>
    <r>
      <t xml:space="preserve">Commercial Price List (CPL) or Market Prices: </t>
    </r>
    <r>
      <rPr>
        <sz val="10"/>
        <color theme="1"/>
        <rFont val="Arial"/>
        <family val="2"/>
      </rPr>
      <t>Enter the fully burdened/undiscounted direct labor or task element commercial pricing (Commercial Price List rate) (dollar amount).</t>
    </r>
  </si>
  <si>
    <t>Enter 541-1000 for ODCs which support unrestricted SIN(s) (i.e. 541-1, 541-2, 541-4A, 541-4B, 541-4C, 541-4G and 541-5). Enter 541-2000 for ODCs which support Small Business Set-Aside SIN(s) (i.e. 541-3, 541-4D, 541-4E and 541-4F). If your proposed ODCs are applicable to both restricted and unrestricted SIN(s), you may enter 'ALL' or '541-1000/541-2000'.</t>
  </si>
  <si>
    <t>Enter the commercial price paid (dollar amount) excluding markup to acquire the ODC element from a third party provider.</t>
  </si>
  <si>
    <t>Advertising and Integrated Marketing Solutions (AIMS )         Solicitation 7FCB-H2-07-0541-B              Page 3 of 4</t>
  </si>
  <si>
    <t>Advertising and Integrated Marketing Solutions (AIMS )         Solicitation 7FCB-H2-07-0541-B              Page 4 of 4</t>
  </si>
  <si>
    <t xml:space="preserve">            Advertising and Integrated Marketing Solutions (AIMS )                                          Solicitation 7FCB-H2-07-0541-B                                                                       Page 1 of 4</t>
  </si>
  <si>
    <t xml:space="preserve">            Advertising and Integrated Marketing Solutions (AIMS )                                            Solicitation 7FCB-H2-07-0541-B                                                                                      Page 2 of 4</t>
  </si>
</sst>
</file>

<file path=xl/styles.xml><?xml version="1.0" encoding="utf-8"?>
<styleSheet xmlns="http://schemas.openxmlformats.org/spreadsheetml/2006/main">
  <numFmts count="2">
    <numFmt numFmtId="8" formatCode="&quot;$&quot;#,##0.00_);[Red]\(&quot;$&quot;#,##0.00\)"/>
    <numFmt numFmtId="44" formatCode="_(&quot;$&quot;* #,##0.00_);_(&quot;$&quot;* \(#,##0.00\);_(&quot;$&quot;* &quot;-&quot;??_);_(@_)"/>
  </numFmts>
  <fonts count="14">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u/>
      <sz val="10"/>
      <color theme="1"/>
      <name val="Arial"/>
      <family val="2"/>
    </font>
    <font>
      <b/>
      <i/>
      <sz val="10"/>
      <color theme="1"/>
      <name val="Arial"/>
      <family val="2"/>
    </font>
    <font>
      <sz val="10"/>
      <color theme="1"/>
      <name val="Arial"/>
      <family val="2"/>
    </font>
    <font>
      <u/>
      <sz val="10"/>
      <color theme="1"/>
      <name val="Arial"/>
      <family val="2"/>
    </font>
    <font>
      <b/>
      <sz val="10"/>
      <color theme="1"/>
      <name val="Arial"/>
      <family val="2"/>
    </font>
    <font>
      <b/>
      <i/>
      <u/>
      <sz val="10"/>
      <color theme="1"/>
      <name val="Arial"/>
      <family val="2"/>
    </font>
    <font>
      <b/>
      <sz val="12"/>
      <color theme="1"/>
      <name val="Arial"/>
      <family val="2"/>
    </font>
    <font>
      <u/>
      <sz val="11"/>
      <color theme="10"/>
      <name val="Calibri"/>
      <family val="2"/>
    </font>
    <font>
      <b/>
      <i/>
      <sz val="12"/>
      <color theme="1"/>
      <name val="Calibri"/>
      <family val="2"/>
      <scheme val="minor"/>
    </font>
    <font>
      <b/>
      <i/>
      <u/>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alignment vertical="top"/>
      <protection locked="0"/>
    </xf>
  </cellStyleXfs>
  <cellXfs count="47">
    <xf numFmtId="0" fontId="0" fillId="0" borderId="0" xfId="0"/>
    <xf numFmtId="0" fontId="0" fillId="0" borderId="0" xfId="0" applyAlignment="1">
      <alignment wrapText="1"/>
    </xf>
    <xf numFmtId="0" fontId="0" fillId="0" borderId="1" xfId="0" applyBorder="1"/>
    <xf numFmtId="0" fontId="2" fillId="0" borderId="0" xfId="0" applyFont="1"/>
    <xf numFmtId="0" fontId="0" fillId="0" borderId="2" xfId="0" applyBorder="1"/>
    <xf numFmtId="0" fontId="0" fillId="0" borderId="0" xfId="0" applyBorder="1"/>
    <xf numFmtId="0" fontId="4" fillId="0" borderId="0" xfId="0" applyFont="1"/>
    <xf numFmtId="0" fontId="5" fillId="0" borderId="0" xfId="0" applyFont="1"/>
    <xf numFmtId="0" fontId="6" fillId="0" borderId="0" xfId="0" applyFont="1"/>
    <xf numFmtId="0" fontId="4" fillId="0" borderId="0" xfId="0" applyFont="1" applyAlignment="1">
      <alignment wrapText="1"/>
    </xf>
    <xf numFmtId="0" fontId="6" fillId="0" borderId="0" xfId="0" applyFont="1" applyAlignment="1">
      <alignment wrapText="1"/>
    </xf>
    <xf numFmtId="0" fontId="2" fillId="0" borderId="1" xfId="0" applyFont="1" applyBorder="1" applyAlignment="1">
      <alignment horizontal="center" wrapText="1"/>
    </xf>
    <xf numFmtId="0" fontId="6" fillId="2" borderId="0" xfId="0" applyFont="1" applyFill="1" applyAlignment="1"/>
    <xf numFmtId="0" fontId="2" fillId="0" borderId="0" xfId="0" applyFont="1" applyAlignment="1">
      <alignment horizontal="center"/>
    </xf>
    <xf numFmtId="0" fontId="0" fillId="0" borderId="1" xfId="0" applyBorder="1" applyAlignment="1">
      <alignment horizontal="center"/>
    </xf>
    <xf numFmtId="44" fontId="0" fillId="0" borderId="1" xfId="1" applyFont="1" applyBorder="1" applyAlignment="1">
      <alignment horizontal="center"/>
    </xf>
    <xf numFmtId="44" fontId="0" fillId="0" borderId="1" xfId="0" applyNumberFormat="1" applyBorder="1" applyAlignment="1">
      <alignment horizontal="center"/>
    </xf>
    <xf numFmtId="0" fontId="0" fillId="0" borderId="1" xfId="0" applyBorder="1" applyAlignment="1">
      <alignment horizontal="center" wrapText="1"/>
    </xf>
    <xf numFmtId="0" fontId="2" fillId="0" borderId="4" xfId="0" applyFont="1" applyBorder="1" applyAlignment="1"/>
    <xf numFmtId="0" fontId="11" fillId="0" borderId="0" xfId="3" applyAlignment="1" applyProtection="1"/>
    <xf numFmtId="8" fontId="0" fillId="0" borderId="0" xfId="0" applyNumberFormat="1"/>
    <xf numFmtId="9" fontId="0" fillId="0" borderId="0" xfId="0" applyNumberFormat="1"/>
    <xf numFmtId="0" fontId="2" fillId="0" borderId="0" xfId="0" applyFont="1" applyBorder="1" applyAlignment="1">
      <alignment horizontal="center" wrapText="1"/>
    </xf>
    <xf numFmtId="0" fontId="0" fillId="0" borderId="0" xfId="0" applyBorder="1" applyAlignment="1">
      <alignment horizontal="center"/>
    </xf>
    <xf numFmtId="44" fontId="0" fillId="0" borderId="0" xfId="1" applyFont="1" applyBorder="1" applyAlignment="1">
      <alignment horizontal="center"/>
    </xf>
    <xf numFmtId="0" fontId="0" fillId="0" borderId="0" xfId="0" applyBorder="1" applyAlignment="1">
      <alignment horizontal="center" wrapText="1"/>
    </xf>
    <xf numFmtId="9" fontId="0" fillId="0" borderId="0" xfId="0" applyNumberFormat="1" applyBorder="1" applyAlignment="1">
      <alignment horizontal="center"/>
    </xf>
    <xf numFmtId="0" fontId="6" fillId="0" borderId="0" xfId="0" applyFont="1" applyAlignment="1">
      <alignment vertical="top" wrapText="1"/>
    </xf>
    <xf numFmtId="0" fontId="5"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xf>
    <xf numFmtId="0" fontId="8" fillId="0" borderId="0" xfId="0" applyFont="1" applyAlignment="1">
      <alignment horizontal="left"/>
    </xf>
    <xf numFmtId="0" fontId="5" fillId="0" borderId="0" xfId="0" applyFont="1" applyAlignment="1">
      <alignment wrapText="1"/>
    </xf>
    <xf numFmtId="44" fontId="0" fillId="0" borderId="1" xfId="1" applyFont="1" applyBorder="1"/>
    <xf numFmtId="0" fontId="11" fillId="0" borderId="0" xfId="3" applyBorder="1" applyAlignment="1" applyProtection="1"/>
    <xf numFmtId="0" fontId="8" fillId="0" borderId="0" xfId="0" applyFont="1" applyAlignment="1">
      <alignment wrapText="1"/>
    </xf>
    <xf numFmtId="0" fontId="4" fillId="0" borderId="0" xfId="0" applyFont="1" applyAlignment="1">
      <alignment horizontal="left" vertical="top" wrapText="1"/>
    </xf>
    <xf numFmtId="0" fontId="0" fillId="0" borderId="4" xfId="0" applyBorder="1" applyAlignment="1">
      <alignment horizontal="center"/>
    </xf>
    <xf numFmtId="0" fontId="2" fillId="0" borderId="4" xfId="0" applyFont="1" applyBorder="1" applyAlignment="1">
      <alignment horizontal="left"/>
    </xf>
    <xf numFmtId="0" fontId="10"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3" xfId="0" applyFont="1" applyBorder="1" applyAlignment="1">
      <alignment horizontal="center"/>
    </xf>
    <xf numFmtId="0" fontId="12" fillId="0" borderId="0" xfId="0" applyFont="1" applyAlignment="1">
      <alignment horizontal="left" wrapText="1"/>
    </xf>
    <xf numFmtId="0" fontId="3" fillId="0" borderId="0" xfId="0" applyFont="1" applyBorder="1" applyAlignment="1">
      <alignment horizontal="center"/>
    </xf>
    <xf numFmtId="10" fontId="0" fillId="0" borderId="1" xfId="0" applyNumberFormat="1" applyBorder="1" applyAlignment="1">
      <alignment horizontal="center"/>
    </xf>
    <xf numFmtId="10" fontId="0" fillId="0" borderId="1" xfId="2" applyNumberFormat="1" applyFont="1" applyBorder="1" applyAlignment="1">
      <alignment horizontal="center"/>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18"/>
  <sheetViews>
    <sheetView tabSelected="1" zoomScaleNormal="100" workbookViewId="0">
      <selection activeCell="K18" sqref="K18"/>
    </sheetView>
  </sheetViews>
  <sheetFormatPr defaultRowHeight="15"/>
  <cols>
    <col min="1" max="1" width="13.140625" customWidth="1"/>
    <col min="2" max="2" width="21.7109375" customWidth="1"/>
    <col min="3" max="3" width="13.28515625" customWidth="1"/>
    <col min="4" max="4" width="14.42578125" customWidth="1"/>
    <col min="5" max="5" width="13.5703125" customWidth="1"/>
    <col min="6" max="6" width="13" customWidth="1"/>
    <col min="7" max="7" width="11" customWidth="1"/>
    <col min="8" max="8" width="14.28515625" customWidth="1"/>
    <col min="9" max="9" width="14.140625" customWidth="1"/>
    <col min="10" max="10" width="14.28515625" customWidth="1"/>
    <col min="11" max="11" width="20.7109375" customWidth="1"/>
  </cols>
  <sheetData>
    <row r="1" spans="1:11">
      <c r="A1" s="12" t="s">
        <v>84</v>
      </c>
      <c r="B1" s="12"/>
      <c r="C1" s="12"/>
      <c r="D1" s="12"/>
      <c r="E1" s="12"/>
      <c r="F1" s="12"/>
      <c r="G1" s="12"/>
      <c r="H1" s="12"/>
      <c r="I1" s="12"/>
      <c r="J1" s="12"/>
      <c r="K1" s="12"/>
    </row>
    <row r="3" spans="1:11" ht="15.75">
      <c r="A3" s="39" t="s">
        <v>71</v>
      </c>
      <c r="B3" s="39"/>
      <c r="C3" s="39"/>
      <c r="D3" s="39"/>
      <c r="E3" s="39"/>
      <c r="F3" s="39"/>
      <c r="G3" s="39"/>
      <c r="H3" s="39"/>
      <c r="I3" s="39"/>
      <c r="J3" s="39"/>
      <c r="K3" s="39"/>
    </row>
    <row r="5" spans="1:11" ht="15.75" thickBot="1">
      <c r="A5" s="40" t="s">
        <v>68</v>
      </c>
      <c r="B5" s="41"/>
      <c r="C5" s="4"/>
      <c r="D5" s="4"/>
      <c r="E5" s="4"/>
      <c r="F5" s="4"/>
      <c r="G5" s="5"/>
      <c r="H5" s="5"/>
      <c r="I5" s="5"/>
      <c r="J5" s="5"/>
    </row>
    <row r="6" spans="1:11">
      <c r="A6" s="3"/>
      <c r="B6" s="3"/>
      <c r="C6" s="5"/>
      <c r="D6" s="5"/>
      <c r="E6" s="5"/>
      <c r="F6" s="5"/>
      <c r="G6" s="5"/>
      <c r="H6" s="5"/>
      <c r="I6" s="5"/>
      <c r="J6" s="5"/>
    </row>
    <row r="7" spans="1:11" ht="15" customHeight="1">
      <c r="A7" s="42" t="s">
        <v>29</v>
      </c>
      <c r="B7" s="42"/>
      <c r="C7" s="42"/>
      <c r="D7" s="42"/>
      <c r="E7" s="42"/>
      <c r="F7" s="42"/>
      <c r="G7" s="42"/>
      <c r="H7" s="42"/>
      <c r="I7" s="42"/>
      <c r="J7" s="42"/>
      <c r="K7" s="42"/>
    </row>
    <row r="8" spans="1:11" s="1" customFormat="1" ht="81.75" customHeight="1">
      <c r="A8" s="11" t="s">
        <v>23</v>
      </c>
      <c r="B8" s="11" t="s">
        <v>22</v>
      </c>
      <c r="C8" s="11" t="s">
        <v>69</v>
      </c>
      <c r="D8" s="11" t="s">
        <v>24</v>
      </c>
      <c r="E8" s="11" t="s">
        <v>0</v>
      </c>
      <c r="F8" s="11" t="s">
        <v>1</v>
      </c>
      <c r="G8" s="11" t="s">
        <v>2</v>
      </c>
      <c r="H8" s="11" t="s">
        <v>26</v>
      </c>
      <c r="I8" s="11" t="s">
        <v>8</v>
      </c>
      <c r="J8" s="11" t="s">
        <v>3</v>
      </c>
      <c r="K8" s="11" t="s">
        <v>4</v>
      </c>
    </row>
    <row r="9" spans="1:11" ht="45">
      <c r="A9" s="14" t="s">
        <v>5</v>
      </c>
      <c r="B9" s="14" t="s">
        <v>6</v>
      </c>
      <c r="C9" s="15">
        <v>150</v>
      </c>
      <c r="D9" s="14" t="s">
        <v>7</v>
      </c>
      <c r="E9" s="17" t="s">
        <v>25</v>
      </c>
      <c r="F9" s="45">
        <v>0.05</v>
      </c>
      <c r="G9" s="15">
        <f>C9-(C9*F9)</f>
        <v>142.5</v>
      </c>
      <c r="H9" s="45">
        <v>0.1</v>
      </c>
      <c r="I9" s="15">
        <f>C9-(C9*H9)</f>
        <v>135</v>
      </c>
      <c r="J9" s="15">
        <f>I9/0.9925</f>
        <v>136.02015113350126</v>
      </c>
      <c r="K9" s="14">
        <v>123456</v>
      </c>
    </row>
    <row r="10" spans="1:11">
      <c r="A10" s="2"/>
      <c r="B10" s="2"/>
      <c r="C10" s="33"/>
      <c r="D10" s="2"/>
      <c r="E10" s="2"/>
      <c r="F10" s="46"/>
      <c r="G10" s="15">
        <f t="shared" ref="G10:G17" si="0">C10-(C10*F10)</f>
        <v>0</v>
      </c>
      <c r="H10" s="46"/>
      <c r="I10" s="15">
        <f t="shared" ref="I10:I17" si="1">C10-(C10*H10)</f>
        <v>0</v>
      </c>
      <c r="J10" s="15">
        <f t="shared" ref="J10:J17" si="2">I10/0.9925</f>
        <v>0</v>
      </c>
      <c r="K10" s="2"/>
    </row>
    <row r="11" spans="1:11">
      <c r="A11" s="2"/>
      <c r="B11" s="2"/>
      <c r="C11" s="33"/>
      <c r="D11" s="2"/>
      <c r="E11" s="2"/>
      <c r="F11" s="46"/>
      <c r="G11" s="15">
        <f t="shared" si="0"/>
        <v>0</v>
      </c>
      <c r="H11" s="46"/>
      <c r="I11" s="15">
        <f t="shared" si="1"/>
        <v>0</v>
      </c>
      <c r="J11" s="15">
        <f t="shared" si="2"/>
        <v>0</v>
      </c>
      <c r="K11" s="2"/>
    </row>
    <row r="12" spans="1:11">
      <c r="A12" s="2"/>
      <c r="B12" s="2"/>
      <c r="C12" s="33"/>
      <c r="D12" s="2"/>
      <c r="E12" s="2"/>
      <c r="F12" s="46"/>
      <c r="G12" s="15">
        <f t="shared" si="0"/>
        <v>0</v>
      </c>
      <c r="H12" s="46"/>
      <c r="I12" s="15">
        <f t="shared" si="1"/>
        <v>0</v>
      </c>
      <c r="J12" s="15">
        <f t="shared" si="2"/>
        <v>0</v>
      </c>
      <c r="K12" s="2"/>
    </row>
    <row r="13" spans="1:11">
      <c r="A13" s="2"/>
      <c r="B13" s="2"/>
      <c r="C13" s="33"/>
      <c r="D13" s="2"/>
      <c r="E13" s="2"/>
      <c r="F13" s="46"/>
      <c r="G13" s="15">
        <f t="shared" si="0"/>
        <v>0</v>
      </c>
      <c r="H13" s="46"/>
      <c r="I13" s="15">
        <f t="shared" si="1"/>
        <v>0</v>
      </c>
      <c r="J13" s="15">
        <f t="shared" si="2"/>
        <v>0</v>
      </c>
      <c r="K13" s="2"/>
    </row>
    <row r="14" spans="1:11">
      <c r="A14" s="2"/>
      <c r="B14" s="2"/>
      <c r="C14" s="33"/>
      <c r="D14" s="2"/>
      <c r="E14" s="2"/>
      <c r="F14" s="46"/>
      <c r="G14" s="15">
        <f t="shared" si="0"/>
        <v>0</v>
      </c>
      <c r="H14" s="46"/>
      <c r="I14" s="15">
        <f t="shared" si="1"/>
        <v>0</v>
      </c>
      <c r="J14" s="15">
        <f t="shared" si="2"/>
        <v>0</v>
      </c>
      <c r="K14" s="2"/>
    </row>
    <row r="15" spans="1:11">
      <c r="A15" s="2"/>
      <c r="B15" s="2"/>
      <c r="C15" s="33"/>
      <c r="D15" s="2"/>
      <c r="E15" s="2"/>
      <c r="F15" s="46"/>
      <c r="G15" s="15">
        <f t="shared" si="0"/>
        <v>0</v>
      </c>
      <c r="H15" s="46"/>
      <c r="I15" s="15">
        <f t="shared" si="1"/>
        <v>0</v>
      </c>
      <c r="J15" s="15">
        <f t="shared" si="2"/>
        <v>0</v>
      </c>
      <c r="K15" s="2"/>
    </row>
    <row r="16" spans="1:11">
      <c r="A16" s="2"/>
      <c r="B16" s="2"/>
      <c r="C16" s="33"/>
      <c r="D16" s="2"/>
      <c r="E16" s="2"/>
      <c r="F16" s="46"/>
      <c r="G16" s="15">
        <f t="shared" si="0"/>
        <v>0</v>
      </c>
      <c r="H16" s="46"/>
      <c r="I16" s="15">
        <f t="shared" si="1"/>
        <v>0</v>
      </c>
      <c r="J16" s="15">
        <f t="shared" si="2"/>
        <v>0</v>
      </c>
      <c r="K16" s="2"/>
    </row>
    <row r="17" spans="1:11">
      <c r="A17" s="2"/>
      <c r="B17" s="2"/>
      <c r="C17" s="33"/>
      <c r="D17" s="2"/>
      <c r="E17" s="2"/>
      <c r="F17" s="46"/>
      <c r="G17" s="15">
        <f t="shared" si="0"/>
        <v>0</v>
      </c>
      <c r="H17" s="46"/>
      <c r="I17" s="15">
        <f t="shared" si="1"/>
        <v>0</v>
      </c>
      <c r="J17" s="15">
        <f t="shared" si="2"/>
        <v>0</v>
      </c>
      <c r="K17" s="2"/>
    </row>
    <row r="18" spans="1:11">
      <c r="A18" s="18" t="s">
        <v>76</v>
      </c>
      <c r="B18" s="18"/>
      <c r="C18" s="18"/>
      <c r="D18" s="18"/>
      <c r="E18" s="19" t="s">
        <v>30</v>
      </c>
      <c r="G18" s="18"/>
      <c r="H18" s="18"/>
      <c r="I18" s="18"/>
    </row>
  </sheetData>
  <mergeCells count="3">
    <mergeCell ref="A3:K3"/>
    <mergeCell ref="A5:B5"/>
    <mergeCell ref="A7:K7"/>
  </mergeCells>
  <hyperlinks>
    <hyperlink ref="E18" location="'Enclosure A'!A1" display="Enclosure A"/>
  </hyperlinks>
  <pageMargins left="0.7" right="0.7" top="0.75" bottom="0.75" header="0.3" footer="0.3"/>
  <pageSetup scale="46" orientation="landscape" r:id="rId1"/>
</worksheet>
</file>

<file path=xl/worksheets/sheet2.xml><?xml version="1.0" encoding="utf-8"?>
<worksheet xmlns="http://schemas.openxmlformats.org/spreadsheetml/2006/main" xmlns:r="http://schemas.openxmlformats.org/officeDocument/2006/relationships">
  <dimension ref="A1:K29"/>
  <sheetViews>
    <sheetView zoomScaleNormal="100" workbookViewId="0">
      <selection activeCell="K18" sqref="K18"/>
    </sheetView>
  </sheetViews>
  <sheetFormatPr defaultRowHeight="15"/>
  <cols>
    <col min="1" max="1" width="13.140625" customWidth="1"/>
    <col min="2" max="2" width="21.7109375" customWidth="1"/>
    <col min="3" max="3" width="14.140625" customWidth="1"/>
    <col min="4" max="4" width="14.42578125" customWidth="1"/>
    <col min="5" max="5" width="13.5703125" customWidth="1"/>
    <col min="6" max="6" width="13" customWidth="1"/>
    <col min="7" max="7" width="15" customWidth="1"/>
    <col min="8" max="8" width="14.28515625" customWidth="1"/>
    <col min="9" max="9" width="16.7109375" customWidth="1"/>
    <col min="10" max="10" width="16.42578125" customWidth="1"/>
    <col min="11" max="11" width="20.7109375" customWidth="1"/>
  </cols>
  <sheetData>
    <row r="1" spans="1:11">
      <c r="A1" s="12" t="s">
        <v>85</v>
      </c>
      <c r="B1" s="12"/>
      <c r="C1" s="12"/>
      <c r="D1" s="12"/>
      <c r="E1" s="12"/>
      <c r="F1" s="12"/>
      <c r="G1" s="12"/>
      <c r="H1" s="12"/>
      <c r="I1" s="12"/>
      <c r="J1" s="12"/>
      <c r="K1" s="12"/>
    </row>
    <row r="3" spans="1:11" ht="15.75">
      <c r="A3" s="39" t="s">
        <v>72</v>
      </c>
      <c r="B3" s="39"/>
      <c r="C3" s="39"/>
      <c r="D3" s="39"/>
      <c r="E3" s="39"/>
      <c r="F3" s="39"/>
      <c r="G3" s="39"/>
      <c r="H3" s="39"/>
      <c r="I3" s="39"/>
      <c r="J3" s="39"/>
      <c r="K3" s="39"/>
    </row>
    <row r="5" spans="1:11" ht="15.75" thickBot="1">
      <c r="A5" s="40" t="s">
        <v>68</v>
      </c>
      <c r="B5" s="41"/>
      <c r="C5" s="4"/>
      <c r="D5" s="4"/>
      <c r="E5" s="4"/>
      <c r="F5" s="4"/>
      <c r="G5" s="5"/>
      <c r="H5" s="5"/>
      <c r="I5" s="5"/>
      <c r="J5" s="5"/>
    </row>
    <row r="6" spans="1:11">
      <c r="A6" s="3"/>
      <c r="B6" s="3"/>
      <c r="C6" s="5"/>
      <c r="D6" s="5"/>
      <c r="E6" s="5"/>
      <c r="F6" s="5"/>
      <c r="G6" s="5"/>
      <c r="H6" s="5"/>
      <c r="I6" s="5"/>
      <c r="J6" s="5"/>
    </row>
    <row r="7" spans="1:11" ht="15" customHeight="1">
      <c r="A7" s="44" t="s">
        <v>28</v>
      </c>
      <c r="B7" s="44"/>
      <c r="C7" s="44"/>
      <c r="D7" s="44"/>
      <c r="E7" s="44"/>
      <c r="F7" s="44"/>
      <c r="G7" s="44"/>
      <c r="H7" s="44"/>
      <c r="I7" s="44"/>
      <c r="J7" s="44"/>
    </row>
    <row r="8" spans="1:11" ht="15" customHeight="1">
      <c r="A8" s="42" t="s">
        <v>27</v>
      </c>
      <c r="B8" s="42"/>
      <c r="C8" s="42"/>
      <c r="D8" s="42"/>
      <c r="E8" s="42"/>
      <c r="F8" s="42"/>
      <c r="G8" s="42"/>
      <c r="H8" s="42"/>
      <c r="I8" s="42"/>
      <c r="J8" s="42"/>
    </row>
    <row r="9" spans="1:11" ht="74.25" customHeight="1">
      <c r="A9" s="11" t="s">
        <v>23</v>
      </c>
      <c r="B9" s="11" t="s">
        <v>32</v>
      </c>
      <c r="C9" s="11" t="s">
        <v>53</v>
      </c>
      <c r="D9" s="11" t="s">
        <v>24</v>
      </c>
      <c r="E9" s="11" t="s">
        <v>0</v>
      </c>
      <c r="F9" s="11" t="s">
        <v>33</v>
      </c>
      <c r="G9" s="11" t="s">
        <v>34</v>
      </c>
      <c r="H9" s="11" t="s">
        <v>70</v>
      </c>
      <c r="I9" s="11" t="s">
        <v>52</v>
      </c>
      <c r="J9" s="11" t="s">
        <v>35</v>
      </c>
      <c r="K9" s="11" t="s">
        <v>4</v>
      </c>
    </row>
    <row r="10" spans="1:11" ht="45">
      <c r="A10" s="17" t="s">
        <v>31</v>
      </c>
      <c r="B10" s="14" t="s">
        <v>9</v>
      </c>
      <c r="C10" s="15">
        <v>100</v>
      </c>
      <c r="D10" s="14" t="s">
        <v>7</v>
      </c>
      <c r="E10" s="17" t="s">
        <v>25</v>
      </c>
      <c r="F10" s="46">
        <v>0.1</v>
      </c>
      <c r="G10" s="16">
        <f>SUM(C10)+SUM(C10*F10)</f>
        <v>110</v>
      </c>
      <c r="H10" s="46">
        <v>0.05</v>
      </c>
      <c r="I10" s="16">
        <f>SUM(C10)+SUM(C10*H10)</f>
        <v>105</v>
      </c>
      <c r="J10" s="15">
        <f>I10/0.9925</f>
        <v>105.79345088161209</v>
      </c>
      <c r="K10" s="14">
        <v>123456</v>
      </c>
    </row>
    <row r="11" spans="1:11">
      <c r="A11" s="2"/>
      <c r="B11" s="2"/>
      <c r="C11" s="33"/>
      <c r="D11" s="2"/>
      <c r="E11" s="2"/>
      <c r="F11" s="46"/>
      <c r="G11" s="16">
        <f t="shared" ref="G11:G16" si="0">SUM(C11)+SUM(C11*F11)</f>
        <v>0</v>
      </c>
      <c r="H11" s="46"/>
      <c r="I11" s="16">
        <f t="shared" ref="I11:I16" si="1">SUM(C11)+SUM(C11*H11)</f>
        <v>0</v>
      </c>
      <c r="J11" s="15">
        <f t="shared" ref="J11:J16" si="2">I11/0.9925</f>
        <v>0</v>
      </c>
      <c r="K11" s="2"/>
    </row>
    <row r="12" spans="1:11">
      <c r="A12" s="2"/>
      <c r="B12" s="2"/>
      <c r="C12" s="33"/>
      <c r="D12" s="2"/>
      <c r="E12" s="2"/>
      <c r="F12" s="46"/>
      <c r="G12" s="16">
        <f t="shared" si="0"/>
        <v>0</v>
      </c>
      <c r="H12" s="46"/>
      <c r="I12" s="16">
        <f t="shared" si="1"/>
        <v>0</v>
      </c>
      <c r="J12" s="15">
        <f t="shared" si="2"/>
        <v>0</v>
      </c>
      <c r="K12" s="2"/>
    </row>
    <row r="13" spans="1:11">
      <c r="A13" s="2"/>
      <c r="B13" s="2"/>
      <c r="C13" s="33"/>
      <c r="D13" s="2"/>
      <c r="E13" s="2"/>
      <c r="F13" s="46"/>
      <c r="G13" s="16">
        <f t="shared" si="0"/>
        <v>0</v>
      </c>
      <c r="H13" s="46"/>
      <c r="I13" s="16">
        <f t="shared" si="1"/>
        <v>0</v>
      </c>
      <c r="J13" s="15">
        <f t="shared" si="2"/>
        <v>0</v>
      </c>
      <c r="K13" s="2"/>
    </row>
    <row r="14" spans="1:11">
      <c r="A14" s="2"/>
      <c r="B14" s="2"/>
      <c r="C14" s="33"/>
      <c r="D14" s="2"/>
      <c r="E14" s="2"/>
      <c r="F14" s="46"/>
      <c r="G14" s="16">
        <f t="shared" si="0"/>
        <v>0</v>
      </c>
      <c r="H14" s="46"/>
      <c r="I14" s="16">
        <f t="shared" si="1"/>
        <v>0</v>
      </c>
      <c r="J14" s="15">
        <f t="shared" si="2"/>
        <v>0</v>
      </c>
      <c r="K14" s="2"/>
    </row>
    <row r="15" spans="1:11">
      <c r="A15" s="2"/>
      <c r="B15" s="2"/>
      <c r="C15" s="33"/>
      <c r="D15" s="2"/>
      <c r="E15" s="2"/>
      <c r="F15" s="46"/>
      <c r="G15" s="16">
        <f t="shared" si="0"/>
        <v>0</v>
      </c>
      <c r="H15" s="46"/>
      <c r="I15" s="16">
        <f t="shared" si="1"/>
        <v>0</v>
      </c>
      <c r="J15" s="15">
        <f t="shared" si="2"/>
        <v>0</v>
      </c>
      <c r="K15" s="2"/>
    </row>
    <row r="16" spans="1:11">
      <c r="A16" s="2"/>
      <c r="B16" s="2"/>
      <c r="C16" s="33"/>
      <c r="D16" s="2"/>
      <c r="E16" s="2"/>
      <c r="F16" s="46"/>
      <c r="G16" s="16">
        <f t="shared" si="0"/>
        <v>0</v>
      </c>
      <c r="H16" s="46"/>
      <c r="I16" s="16">
        <f t="shared" si="1"/>
        <v>0</v>
      </c>
      <c r="J16" s="15">
        <f t="shared" si="2"/>
        <v>0</v>
      </c>
      <c r="K16" s="2"/>
    </row>
    <row r="17" spans="1:11">
      <c r="A17" s="38" t="s">
        <v>76</v>
      </c>
      <c r="D17" s="37"/>
      <c r="E17" s="34" t="s">
        <v>73</v>
      </c>
      <c r="F17" s="37"/>
      <c r="G17" s="37"/>
      <c r="H17" s="37"/>
      <c r="I17" s="37"/>
    </row>
    <row r="18" spans="1:11" ht="30" customHeight="1">
      <c r="A18" s="43" t="s">
        <v>78</v>
      </c>
      <c r="B18" s="43"/>
      <c r="C18" s="43"/>
      <c r="D18" s="43"/>
      <c r="E18" s="43"/>
      <c r="F18" s="43"/>
      <c r="G18" s="43"/>
      <c r="H18" s="43"/>
      <c r="I18" s="43"/>
      <c r="J18" s="43"/>
    </row>
    <row r="21" spans="1:11">
      <c r="A21" s="5"/>
      <c r="B21" s="5"/>
      <c r="C21" s="5"/>
      <c r="D21" s="5"/>
      <c r="E21" s="5"/>
      <c r="F21" s="5"/>
      <c r="G21" s="5"/>
      <c r="H21" s="5"/>
      <c r="K21" s="5"/>
    </row>
    <row r="22" spans="1:11">
      <c r="A22" s="22"/>
      <c r="B22" s="22"/>
      <c r="C22" s="22"/>
      <c r="D22" s="22"/>
      <c r="E22" s="22"/>
      <c r="F22" s="22"/>
      <c r="G22" s="22"/>
      <c r="H22" s="22"/>
      <c r="K22" s="22"/>
    </row>
    <row r="23" spans="1:11">
      <c r="A23" s="23"/>
      <c r="B23" s="23"/>
      <c r="C23" s="24"/>
      <c r="D23" s="23"/>
      <c r="E23" s="25"/>
      <c r="F23" s="26"/>
      <c r="G23" s="24"/>
      <c r="H23" s="26"/>
      <c r="K23" s="23"/>
    </row>
    <row r="24" spans="1:11">
      <c r="K24" s="5"/>
    </row>
    <row r="29" spans="1:11">
      <c r="D29" s="20"/>
      <c r="E29" s="21"/>
      <c r="F29" s="20"/>
      <c r="G29" s="21"/>
      <c r="H29" s="20"/>
      <c r="I29" s="20"/>
    </row>
  </sheetData>
  <mergeCells count="5">
    <mergeCell ref="A18:J18"/>
    <mergeCell ref="A3:K3"/>
    <mergeCell ref="A5:B5"/>
    <mergeCell ref="A7:J7"/>
    <mergeCell ref="A8:J8"/>
  </mergeCells>
  <hyperlinks>
    <hyperlink ref="E17" location="'Enclosure B'!A1" display="Enclosure B"/>
  </hyperlinks>
  <pageMargins left="0.7" right="0.7" top="0.75" bottom="0.75" header="0.3" footer="0.3"/>
  <pageSetup scale="46" orientation="landscape" r:id="rId1"/>
</worksheet>
</file>

<file path=xl/worksheets/sheet3.xml><?xml version="1.0" encoding="utf-8"?>
<worksheet xmlns="http://schemas.openxmlformats.org/spreadsheetml/2006/main" xmlns:r="http://schemas.openxmlformats.org/officeDocument/2006/relationships">
  <dimension ref="A1:A25"/>
  <sheetViews>
    <sheetView zoomScaleNormal="100" workbookViewId="0">
      <selection activeCell="A26" sqref="A26"/>
    </sheetView>
  </sheetViews>
  <sheetFormatPr defaultRowHeight="15"/>
  <cols>
    <col min="1" max="1" width="105.140625" bestFit="1" customWidth="1"/>
  </cols>
  <sheetData>
    <row r="1" spans="1:1">
      <c r="A1" s="12" t="s">
        <v>82</v>
      </c>
    </row>
    <row r="2" spans="1:1">
      <c r="A2" s="13" t="s">
        <v>36</v>
      </c>
    </row>
    <row r="3" spans="1:1">
      <c r="A3" s="6" t="s">
        <v>47</v>
      </c>
    </row>
    <row r="4" spans="1:1" s="1" customFormat="1" ht="26.25">
      <c r="A4" s="9" t="s">
        <v>39</v>
      </c>
    </row>
    <row r="5" spans="1:1">
      <c r="A5" s="7" t="s">
        <v>10</v>
      </c>
    </row>
    <row r="6" spans="1:1" ht="26.25">
      <c r="A6" s="10" t="s">
        <v>42</v>
      </c>
    </row>
    <row r="7" spans="1:1">
      <c r="A7" s="7" t="s">
        <v>11</v>
      </c>
    </row>
    <row r="8" spans="1:1">
      <c r="A8" s="8" t="s">
        <v>38</v>
      </c>
    </row>
    <row r="9" spans="1:1" ht="26.25">
      <c r="A9" s="32" t="s">
        <v>79</v>
      </c>
    </row>
    <row r="10" spans="1:1">
      <c r="A10" s="7" t="s">
        <v>12</v>
      </c>
    </row>
    <row r="11" spans="1:1">
      <c r="A11" s="8" t="s">
        <v>74</v>
      </c>
    </row>
    <row r="12" spans="1:1">
      <c r="A12" s="7" t="s">
        <v>13</v>
      </c>
    </row>
    <row r="13" spans="1:1" ht="54.75" customHeight="1">
      <c r="A13" s="27" t="s">
        <v>44</v>
      </c>
    </row>
    <row r="14" spans="1:1">
      <c r="A14" s="7" t="s">
        <v>14</v>
      </c>
    </row>
    <row r="15" spans="1:1" ht="26.25">
      <c r="A15" s="10" t="s">
        <v>45</v>
      </c>
    </row>
    <row r="16" spans="1:1">
      <c r="A16" s="7" t="s">
        <v>15</v>
      </c>
    </row>
    <row r="17" spans="1:1" ht="26.25">
      <c r="A17" s="10" t="s">
        <v>67</v>
      </c>
    </row>
    <row r="18" spans="1:1">
      <c r="A18" s="7" t="s">
        <v>16</v>
      </c>
    </row>
    <row r="19" spans="1:1" ht="26.25">
      <c r="A19" s="10" t="s">
        <v>46</v>
      </c>
    </row>
    <row r="20" spans="1:1">
      <c r="A20" s="7" t="s">
        <v>17</v>
      </c>
    </row>
    <row r="21" spans="1:1">
      <c r="A21" s="8" t="s">
        <v>40</v>
      </c>
    </row>
    <row r="22" spans="1:1">
      <c r="A22" s="7" t="s">
        <v>18</v>
      </c>
    </row>
    <row r="23" spans="1:1" ht="26.25">
      <c r="A23" s="10" t="s">
        <v>41</v>
      </c>
    </row>
    <row r="24" spans="1:1">
      <c r="A24" s="7" t="s">
        <v>43</v>
      </c>
    </row>
    <row r="25" spans="1:1" ht="26.25">
      <c r="A25" s="10" t="s">
        <v>49</v>
      </c>
    </row>
  </sheetData>
  <pageMargins left="0.7" right="0.7" top="0.75" bottom="0.75" header="0.3" footer="0.3"/>
  <pageSetup scale="90" orientation="portrait" horizontalDpi="300" verticalDpi="300" r:id="rId1"/>
</worksheet>
</file>

<file path=xl/worksheets/sheet4.xml><?xml version="1.0" encoding="utf-8"?>
<worksheet xmlns="http://schemas.openxmlformats.org/spreadsheetml/2006/main" xmlns:r="http://schemas.openxmlformats.org/officeDocument/2006/relationships">
  <dimension ref="A1:A29"/>
  <sheetViews>
    <sheetView zoomScaleNormal="100" workbookViewId="0">
      <selection activeCell="A30" sqref="A30"/>
    </sheetView>
  </sheetViews>
  <sheetFormatPr defaultRowHeight="15"/>
  <cols>
    <col min="1" max="1" width="104.85546875" customWidth="1"/>
  </cols>
  <sheetData>
    <row r="1" spans="1:1">
      <c r="A1" s="12" t="s">
        <v>83</v>
      </c>
    </row>
    <row r="2" spans="1:1">
      <c r="A2" s="13" t="s">
        <v>37</v>
      </c>
    </row>
    <row r="3" spans="1:1">
      <c r="A3" s="6" t="s">
        <v>48</v>
      </c>
    </row>
    <row r="4" spans="1:1">
      <c r="A4" s="28" t="s">
        <v>19</v>
      </c>
    </row>
    <row r="5" spans="1:1" ht="39">
      <c r="A5" s="29" t="s">
        <v>80</v>
      </c>
    </row>
    <row r="6" spans="1:1">
      <c r="A6" s="28" t="s">
        <v>61</v>
      </c>
    </row>
    <row r="7" spans="1:1">
      <c r="A7" s="30" t="s">
        <v>20</v>
      </c>
    </row>
    <row r="8" spans="1:1">
      <c r="A8" s="28" t="s">
        <v>54</v>
      </c>
    </row>
    <row r="9" spans="1:1">
      <c r="A9" s="27" t="s">
        <v>81</v>
      </c>
    </row>
    <row r="10" spans="1:1">
      <c r="A10" s="28" t="s">
        <v>12</v>
      </c>
    </row>
    <row r="11" spans="1:1">
      <c r="A11" s="30" t="s">
        <v>51</v>
      </c>
    </row>
    <row r="12" spans="1:1">
      <c r="A12" s="7" t="s">
        <v>13</v>
      </c>
    </row>
    <row r="13" spans="1:1" ht="52.5" customHeight="1">
      <c r="A13" s="27" t="s">
        <v>56</v>
      </c>
    </row>
    <row r="14" spans="1:1">
      <c r="A14" s="7" t="s">
        <v>55</v>
      </c>
    </row>
    <row r="15" spans="1:1" ht="26.25">
      <c r="A15" s="10" t="s">
        <v>57</v>
      </c>
    </row>
    <row r="16" spans="1:1">
      <c r="A16" s="28" t="s">
        <v>58</v>
      </c>
    </row>
    <row r="17" spans="1:1" ht="39">
      <c r="A17" s="29" t="s">
        <v>62</v>
      </c>
    </row>
    <row r="18" spans="1:1">
      <c r="A18" s="7" t="s">
        <v>59</v>
      </c>
    </row>
    <row r="19" spans="1:1" ht="26.25">
      <c r="A19" s="10" t="s">
        <v>60</v>
      </c>
    </row>
    <row r="20" spans="1:1">
      <c r="A20" s="28" t="s">
        <v>63</v>
      </c>
    </row>
    <row r="21" spans="1:1" ht="26.25">
      <c r="A21" s="29" t="s">
        <v>64</v>
      </c>
    </row>
    <row r="22" spans="1:1">
      <c r="A22" s="28" t="s">
        <v>65</v>
      </c>
    </row>
    <row r="23" spans="1:1" ht="26.25">
      <c r="A23" s="10" t="s">
        <v>66</v>
      </c>
    </row>
    <row r="24" spans="1:1">
      <c r="A24" s="31" t="s">
        <v>21</v>
      </c>
    </row>
    <row r="25" spans="1:1" ht="26.25">
      <c r="A25" s="29" t="s">
        <v>50</v>
      </c>
    </row>
    <row r="26" spans="1:1">
      <c r="A26" s="29"/>
    </row>
    <row r="27" spans="1:1" ht="39">
      <c r="A27" s="35" t="s">
        <v>75</v>
      </c>
    </row>
    <row r="28" spans="1:1">
      <c r="A28" s="29"/>
    </row>
    <row r="29" spans="1:1" ht="93" customHeight="1">
      <c r="A29" s="36" t="s">
        <v>77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Labor-Task</vt:lpstr>
      <vt:lpstr>ODCs</vt:lpstr>
      <vt:lpstr>Enclosure A</vt:lpstr>
      <vt:lpstr>Enclosure B</vt:lpstr>
      <vt:lpstr>'Enclosure B'!Print_Area</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kathylsnell</dc:creator>
  <cp:lastModifiedBy>DionEDuarte</cp:lastModifiedBy>
  <cp:lastPrinted>2012-02-03T16:42:19Z</cp:lastPrinted>
  <dcterms:created xsi:type="dcterms:W3CDTF">2011-07-18T18:35:37Z</dcterms:created>
  <dcterms:modified xsi:type="dcterms:W3CDTF">2013-02-21T12:47:25Z</dcterms:modified>
</cp:coreProperties>
</file>