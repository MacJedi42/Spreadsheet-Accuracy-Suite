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workbookProtection workbookPassword="CC76" lockStructure="1"/>
  <bookViews>
    <workbookView xWindow="-15" yWindow="6570" windowWidth="18720" windowHeight="2100" tabRatio="805" activeTab="1"/>
  </bookViews>
  <sheets>
    <sheet name="1-Instructions" sheetId="13" r:id="rId1"/>
    <sheet name="2-Cover Page" sheetId="2" r:id="rId2"/>
    <sheet name="3-Budget Detail" sheetId="3" r:id="rId3"/>
    <sheet name="4-Equipment" sheetId="4" r:id="rId4"/>
    <sheet name="5-Budget Summary" sheetId="5" r:id="rId5"/>
    <sheet name="6- AFR Detail" sheetId="18" r:id="rId6"/>
    <sheet name="7-AFR Equipment Detail" sheetId="19" r:id="rId7"/>
    <sheet name="8-Annual Financial Report" sheetId="17" r:id="rId8"/>
    <sheet name="9-Error Checking" sheetId="8" r:id="rId9"/>
    <sheet name="10-Revisions-Comments" sheetId="12" r:id="rId10"/>
    <sheet name="Indirect Rates" sheetId="20" state="hidden" r:id="rId11"/>
    <sheet name="Other" sheetId="11" state="hidden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Budget" localSheetId="7">'[1]List Data'!$A$1:$A$2</definedName>
    <definedName name="budget" localSheetId="10">[2]Other!$A$1:$A$4</definedName>
    <definedName name="budget">Other!$A$1:$A$2</definedName>
    <definedName name="Budget_Object">'3-Budget Detail'!$A$6:$A$500</definedName>
    <definedName name="capitalized">Other!$D$20:$D$21</definedName>
    <definedName name="coverpage">'[3]2-Cover Page'!$C$4</definedName>
    <definedName name="detailcode" localSheetId="7">'[4]Calculation Detail'!$E$6:$E$500</definedName>
    <definedName name="detailcode">#REF!</definedName>
    <definedName name="detailcost" localSheetId="7">'[4]Calculation Detail'!$C$6:$C$500</definedName>
    <definedName name="detailcost">#REF!</definedName>
    <definedName name="equipmentcost">#REF!</definedName>
    <definedName name="fundingyear">#REF!</definedName>
    <definedName name="Look1" localSheetId="10">#REF!</definedName>
    <definedName name="Look1">'[5]7-Rate Table'!$A$2:$D$67</definedName>
    <definedName name="Objects" localSheetId="7">'[1]List Data'!$C$1:$C$8</definedName>
    <definedName name="objects" localSheetId="10">[2]Other!$D$1:$D$12</definedName>
    <definedName name="objects">Other!$D$1:$D$16</definedName>
    <definedName name="_xlnm.Print_Area" localSheetId="1">'2-Cover Page'!$A$1:$G$29</definedName>
    <definedName name="_xlnm.Print_Area" localSheetId="4">'5-Budget Summary'!$A$1:$Z$33</definedName>
    <definedName name="_xlnm.Print_Area" localSheetId="7">'8-Annual Financial Report'!$A$1:$I$44</definedName>
    <definedName name="_xlnm.Print_Titles" localSheetId="2">'3-Budget Detail'!$1:$5</definedName>
    <definedName name="_xlnm.Print_Titles" localSheetId="3">'4-Equipment'!$1:$5</definedName>
    <definedName name="Program">'[1]List Data'!$C$11:$C$12</definedName>
    <definedName name="Programs">#REF!</definedName>
    <definedName name="Projects" localSheetId="10">[2]Other!$A$5:$A$14</definedName>
    <definedName name="Projects">Other!$A$5:$A$9</definedName>
    <definedName name="years" localSheetId="10">[3]Other!$A$5</definedName>
    <definedName name="years">[5]Other!$A$5:$A$7</definedName>
  </definedNames>
  <calcPr calcId="145621"/>
</workbook>
</file>

<file path=xl/calcChain.xml><?xml version="1.0" encoding="utf-8"?>
<calcChain xmlns="http://schemas.openxmlformats.org/spreadsheetml/2006/main">
  <c r="E19" i="17" l="1"/>
  <c r="D19" i="17"/>
  <c r="E29" i="17"/>
  <c r="D29" i="17"/>
  <c r="C24" i="5" l="1" a="1"/>
  <c r="C24" i="5" s="1"/>
  <c r="C13" i="5" l="1" a="1"/>
  <c r="C13" i="5" s="1"/>
  <c r="A1" i="12" l="1"/>
  <c r="C1" i="12"/>
  <c r="B2" i="8"/>
  <c r="F5" i="8"/>
  <c r="C10" i="8"/>
  <c r="C11" i="8"/>
  <c r="C6" i="17"/>
  <c r="E13" i="17"/>
  <c r="E14" i="17"/>
  <c r="E15" i="17"/>
  <c r="E16" i="17"/>
  <c r="E17" i="17"/>
  <c r="E18" i="17"/>
  <c r="E20" i="17"/>
  <c r="E23" i="17"/>
  <c r="E24" i="17"/>
  <c r="E25" i="17"/>
  <c r="E26" i="17"/>
  <c r="E27" i="17"/>
  <c r="E28" i="17"/>
  <c r="E30" i="17"/>
  <c r="E33" i="17"/>
  <c r="E34" i="17"/>
  <c r="A3" i="19"/>
  <c r="F3" i="19"/>
  <c r="A3" i="18"/>
  <c r="D3" i="18"/>
  <c r="A4" i="5"/>
  <c r="C4" i="5"/>
  <c r="C7" i="5" a="1"/>
  <c r="C7" i="5" s="1"/>
  <c r="C8" i="5" a="1"/>
  <c r="C8" i="5" s="1"/>
  <c r="D14" i="17" s="1"/>
  <c r="C9" i="5" a="1"/>
  <c r="C9" i="5" s="1"/>
  <c r="D15" i="17" s="1"/>
  <c r="C10" i="5" a="1"/>
  <c r="C10" i="5" s="1"/>
  <c r="D16" i="17" s="1"/>
  <c r="C11" i="5" a="1"/>
  <c r="C11" i="5" s="1"/>
  <c r="D17" i="17" s="1"/>
  <c r="C12" i="5" a="1"/>
  <c r="C12" i="5" s="1"/>
  <c r="D18" i="17" s="1"/>
  <c r="C14" i="5" a="1"/>
  <c r="C14" i="5" s="1"/>
  <c r="D20" i="17" s="1"/>
  <c r="C18" i="5" a="1"/>
  <c r="C18" i="5" s="1"/>
  <c r="D23" i="17" s="1"/>
  <c r="C19" i="5" a="1"/>
  <c r="C19" i="5" s="1"/>
  <c r="D24" i="17" s="1"/>
  <c r="C20" i="5" a="1"/>
  <c r="C20" i="5" s="1"/>
  <c r="D25" i="17" s="1"/>
  <c r="C21" i="5" a="1"/>
  <c r="C21" i="5" s="1"/>
  <c r="D26" i="17" s="1"/>
  <c r="C22" i="5" a="1"/>
  <c r="C22" i="5" s="1"/>
  <c r="D27" i="17" s="1"/>
  <c r="C23" i="5" a="1"/>
  <c r="C23" i="5" s="1"/>
  <c r="D28" i="17" s="1"/>
  <c r="C25" i="5" a="1"/>
  <c r="C25" i="5" s="1"/>
  <c r="C31" i="5"/>
  <c r="C32" i="5"/>
  <c r="D34" i="17" s="1"/>
  <c r="A3" i="4"/>
  <c r="G3" i="4"/>
  <c r="A1" i="3"/>
  <c r="A1" i="4" s="1"/>
  <c r="A1" i="5" s="1"/>
  <c r="A1" i="18" s="1"/>
  <c r="A1" i="19" s="1"/>
  <c r="A1" i="17" s="1"/>
  <c r="A3" i="3"/>
  <c r="D3" i="3"/>
  <c r="C7" i="2"/>
  <c r="C5" i="17" s="1"/>
  <c r="E21" i="17" l="1"/>
  <c r="D11" i="8"/>
  <c r="E11" i="8" s="1"/>
  <c r="C12" i="8"/>
  <c r="E31" i="17"/>
  <c r="D33" i="17"/>
  <c r="C26" i="5"/>
  <c r="D30" i="17"/>
  <c r="D31" i="17" s="1"/>
  <c r="D13" i="17"/>
  <c r="D21" i="17" s="1"/>
  <c r="C15" i="5"/>
  <c r="E35" i="17" l="1"/>
  <c r="D10" i="8"/>
  <c r="D12" i="8" s="1"/>
  <c r="E12" i="8" s="1"/>
  <c r="C27" i="5"/>
  <c r="E10" i="8" l="1"/>
  <c r="C29" i="5"/>
  <c r="D32" i="17" s="1"/>
  <c r="D35" i="17" s="1"/>
  <c r="C33" i="5" l="1"/>
  <c r="C27" i="2" s="1"/>
</calcChain>
</file>

<file path=xl/comments1.xml><?xml version="1.0" encoding="utf-8"?>
<comments xmlns="http://schemas.openxmlformats.org/spreadsheetml/2006/main">
  <authors>
    <author>Diana Martinez</author>
  </authors>
  <commentList>
    <comment ref="C11" authorId="0">
      <text>
        <r>
          <rPr>
            <sz val="8"/>
            <color indexed="81"/>
            <rFont val="Tahoma"/>
            <family val="2"/>
          </rPr>
          <t xml:space="preserve">Enter date as shown in the following example:
(March 05, 2014)
</t>
        </r>
      </text>
    </comment>
  </commentList>
</comments>
</file>

<file path=xl/comments2.xml><?xml version="1.0" encoding="utf-8"?>
<comments xmlns="http://schemas.openxmlformats.org/spreadsheetml/2006/main">
  <authors>
    <author>Diana Martinez</author>
  </authors>
  <commentList>
    <comment ref="A5" authorId="0">
      <text>
        <r>
          <rPr>
            <b/>
            <u/>
            <sz val="8"/>
            <color indexed="81"/>
            <rFont val="Tahoma"/>
            <family val="2"/>
          </rPr>
          <t xml:space="preserve">Budget Object:
</t>
        </r>
        <r>
          <rPr>
            <b/>
            <i/>
            <sz val="8"/>
            <color indexed="81"/>
            <rFont val="Tahoma"/>
            <family val="2"/>
          </rPr>
          <t>Instructional Program:</t>
        </r>
        <r>
          <rPr>
            <sz val="8"/>
            <color indexed="81"/>
            <rFont val="Tahoma"/>
            <family val="2"/>
          </rPr>
          <t xml:space="preserve">
Salaries (0100)
Employee Benefits (0200)
Purchased Professional &amp; Technical Services (0300)
Other Purchased Services (0500)
Travel, Registration, and Entrance (0580)
Supplies (0600)
</t>
        </r>
        <r>
          <rPr>
            <b/>
            <i/>
            <sz val="8"/>
            <color indexed="81"/>
            <rFont val="Tahoma"/>
            <family val="2"/>
          </rPr>
          <t>Support Program</t>
        </r>
        <r>
          <rPr>
            <sz val="8"/>
            <color indexed="81"/>
            <rFont val="Tahoma"/>
            <family val="2"/>
          </rPr>
          <t>:
Salaries (0100)
Employee Benefits (0200)
Purchased Professional &amp; Technical Services (0300)
Other Purchased Services (0500)
Travel, Registration, and Entrance (0580)
Supplies (0600)</t>
        </r>
      </text>
    </comment>
    <comment ref="B5" authorId="0">
      <text>
        <r>
          <rPr>
            <b/>
            <sz val="8"/>
            <color indexed="81"/>
            <rFont val="Tahoma"/>
            <family val="2"/>
          </rPr>
          <t xml:space="preserve">Show whole dollars only
</t>
        </r>
      </text>
    </comment>
    <comment ref="C5" authorId="0">
      <text>
        <r>
          <rPr>
            <sz val="8"/>
            <color indexed="81"/>
            <rFont val="Tahoma"/>
            <family val="2"/>
          </rPr>
          <t xml:space="preserve">Provide a detailed description of the budgeted costs.  Be very specific.
</t>
        </r>
      </text>
    </comment>
  </commentList>
</comments>
</file>

<file path=xl/comments3.xml><?xml version="1.0" encoding="utf-8"?>
<comments xmlns="http://schemas.openxmlformats.org/spreadsheetml/2006/main">
  <authors>
    <author>Diana Martinez</author>
  </authors>
  <commentList>
    <comment ref="C5" authorId="0">
      <text>
        <r>
          <rPr>
            <sz val="8"/>
            <color indexed="81"/>
            <rFont val="Tahoma"/>
            <family val="2"/>
          </rPr>
          <t xml:space="preserve">This field is optional.  You may use this to keep track of equipment acquired from this grant and fill in the date acquired after the purchase of the equipment.
</t>
        </r>
      </text>
    </comment>
  </commentList>
</comments>
</file>

<file path=xl/comments4.xml><?xml version="1.0" encoding="utf-8"?>
<comments xmlns="http://schemas.openxmlformats.org/spreadsheetml/2006/main">
  <authors>
    <author>petrov_m</author>
  </authors>
  <commentList>
    <comment ref="C28" authorId="0">
      <text>
        <r>
          <rPr>
            <b/>
            <sz val="8"/>
            <color indexed="81"/>
            <rFont val="Tahoma"/>
            <family val="2"/>
          </rPr>
          <t>Input your Indirect Cost rate as a percentage ex. 4.5%</t>
        </r>
      </text>
    </comment>
    <comment ref="C30" authorId="0">
      <text>
        <r>
          <rPr>
            <b/>
            <sz val="8"/>
            <color indexed="81"/>
            <rFont val="Tahoma"/>
            <family val="2"/>
          </rPr>
          <t>Use to override the Indirect Cost from Line 19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Diana Martinez</author>
  </authors>
  <commentList>
    <comment ref="A5" authorId="0">
      <text>
        <r>
          <rPr>
            <b/>
            <u/>
            <sz val="8"/>
            <color indexed="81"/>
            <rFont val="Tahoma"/>
            <family val="2"/>
          </rPr>
          <t xml:space="preserve">Budget Object:
</t>
        </r>
        <r>
          <rPr>
            <b/>
            <i/>
            <sz val="8"/>
            <color indexed="81"/>
            <rFont val="Tahoma"/>
            <family val="2"/>
          </rPr>
          <t>Instructional Program:</t>
        </r>
        <r>
          <rPr>
            <sz val="8"/>
            <color indexed="81"/>
            <rFont val="Tahoma"/>
            <family val="2"/>
          </rPr>
          <t xml:space="preserve">
Salaries (0100)
Employee Benefits (0200)
Purchased Professional &amp; Technical Services (0300)
Other Purchased Services (0500)
Travel, Registration, and Entrance (0580)
Supplies (0600)
</t>
        </r>
        <r>
          <rPr>
            <b/>
            <i/>
            <sz val="8"/>
            <color indexed="81"/>
            <rFont val="Tahoma"/>
            <family val="2"/>
          </rPr>
          <t>Support Program</t>
        </r>
        <r>
          <rPr>
            <sz val="8"/>
            <color indexed="81"/>
            <rFont val="Tahoma"/>
            <family val="2"/>
          </rPr>
          <t>:
Salaries (0100)
Employee Benefits (0200)
Purchased Professional &amp; Technical Services (0300)
Other Purchased Services (0500)
Travel, Registration, and Entrance (0580)
Supplies (0600)</t>
        </r>
      </text>
    </comment>
    <comment ref="B5" authorId="0">
      <text>
        <r>
          <rPr>
            <b/>
            <sz val="8"/>
            <color indexed="81"/>
            <rFont val="Tahoma"/>
            <family val="2"/>
          </rPr>
          <t xml:space="preserve">Show whole dollars only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Provide a detailed description of the budgeted costs.  Be very specific.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Diana Martinez</author>
  </authors>
  <commentList>
    <comment ref="C5" authorId="0">
      <text>
        <r>
          <rPr>
            <sz val="8"/>
            <color indexed="81"/>
            <rFont val="Tahoma"/>
            <family val="2"/>
          </rPr>
          <t xml:space="preserve">This field is optional.  You may use this to keep track of equipment acquired from this grant and fill in the date acquired after the purchase of the equipment.
</t>
        </r>
      </text>
    </comment>
  </commentList>
</comments>
</file>

<file path=xl/comments7.xml><?xml version="1.0" encoding="utf-8"?>
<comments xmlns="http://schemas.openxmlformats.org/spreadsheetml/2006/main">
  <authors>
    <author>williams_a</author>
  </authors>
  <commentList>
    <comment ref="E189" authorId="0">
      <text>
        <r>
          <rPr>
            <b/>
            <sz val="8"/>
            <color indexed="81"/>
            <rFont val="Tahoma"/>
            <family val="2"/>
          </rPr>
          <t>williams_a:</t>
        </r>
        <r>
          <rPr>
            <sz val="8"/>
            <color indexed="81"/>
            <rFont val="Tahoma"/>
            <family val="2"/>
          </rPr>
          <t xml:space="preserve">
Merged rate
</t>
        </r>
      </text>
    </comment>
    <comment ref="F189" authorId="0">
      <text>
        <r>
          <rPr>
            <b/>
            <sz val="8"/>
            <color indexed="81"/>
            <rFont val="Tahoma"/>
            <family val="2"/>
          </rPr>
          <t>williams_a:</t>
        </r>
        <r>
          <rPr>
            <sz val="8"/>
            <color indexed="81"/>
            <rFont val="Tahoma"/>
            <family val="2"/>
          </rPr>
          <t xml:space="preserve">
Merged rate
</t>
        </r>
      </text>
    </comment>
  </commentList>
</comments>
</file>

<file path=xl/sharedStrings.xml><?xml version="1.0" encoding="utf-8"?>
<sst xmlns="http://schemas.openxmlformats.org/spreadsheetml/2006/main" count="575" uniqueCount="408">
  <si>
    <t>Original Budget</t>
  </si>
  <si>
    <t>Revision number:</t>
  </si>
  <si>
    <t>Date:</t>
  </si>
  <si>
    <t>Name:</t>
  </si>
  <si>
    <t>Phone No.:</t>
  </si>
  <si>
    <t>E-mail:</t>
  </si>
  <si>
    <t>CDE use only</t>
  </si>
  <si>
    <t>Funding Summary</t>
  </si>
  <si>
    <t>BUDGET DETAIL</t>
  </si>
  <si>
    <t>Budget Object</t>
  </si>
  <si>
    <t>Cost</t>
  </si>
  <si>
    <t>Inst. - Salaries (0100)</t>
  </si>
  <si>
    <t>Inst. - Employee Benefits (0200)</t>
  </si>
  <si>
    <t>Inst. - Purchased Professional &amp; Technical Services (0300)</t>
  </si>
  <si>
    <t>Project 1-Year 2</t>
  </si>
  <si>
    <t>Project 2-Year 2</t>
  </si>
  <si>
    <t>Inst. - Supplies (0600)</t>
  </si>
  <si>
    <t>Project 1-Year 3</t>
  </si>
  <si>
    <t>Inst. - Travel, Registration and Entrance (0580)</t>
  </si>
  <si>
    <t>Project 5-Year 3</t>
  </si>
  <si>
    <t>Inst. - Other Purchased Services (0500)</t>
  </si>
  <si>
    <t>Project 4-Year 3</t>
  </si>
  <si>
    <t>Project 3-Year 2</t>
  </si>
  <si>
    <t>Project 4-Year 2</t>
  </si>
  <si>
    <t>Project 5-Year 2</t>
  </si>
  <si>
    <t>Project 2-Year 3</t>
  </si>
  <si>
    <t>Project 3-Year 3</t>
  </si>
  <si>
    <t>Revised Budget</t>
  </si>
  <si>
    <t>EQUIPMENT REQUEST AND INVENTORY</t>
  </si>
  <si>
    <t>Description of item</t>
  </si>
  <si>
    <t>Serial
Number</t>
  </si>
  <si>
    <t>Date
Acquired</t>
  </si>
  <si>
    <t>Actual Cost</t>
  </si>
  <si>
    <t>Describe Use of Equipment</t>
  </si>
  <si>
    <t>Total</t>
  </si>
  <si>
    <t>Salaries (0100)</t>
  </si>
  <si>
    <t>Employee Benefits (0200)</t>
  </si>
  <si>
    <t>Purchased Professional &amp; Technical Services (0300)</t>
  </si>
  <si>
    <t>Other Purchased Services (0500)</t>
  </si>
  <si>
    <t>Travel, Registration, and Entrance (0580)</t>
  </si>
  <si>
    <t>Supplies (0600)</t>
  </si>
  <si>
    <t>Subtotal-Instructional Program</t>
  </si>
  <si>
    <t>SUPPORT PROGRAM</t>
  </si>
  <si>
    <t>Subtotal- Support Program</t>
  </si>
  <si>
    <t>Error Checking</t>
  </si>
  <si>
    <t>Detail Sheets</t>
  </si>
  <si>
    <t>5-Budget Summary</t>
  </si>
  <si>
    <t>3-Budget Detail</t>
  </si>
  <si>
    <t>4-Equipment</t>
  </si>
  <si>
    <t>If the subtotals do not equal each other, the most likely problem is on the</t>
  </si>
  <si>
    <t>detail sheet.  All required entries may not have been entered.</t>
  </si>
  <si>
    <t>Budget Report:</t>
  </si>
  <si>
    <t>INSTRUCTIONAL PROGRAM</t>
  </si>
  <si>
    <t>Description/Budget Narrative</t>
  </si>
  <si>
    <t>Use this sheet to report any revisions to the original Budget submitted</t>
  </si>
  <si>
    <r>
      <t xml:space="preserve">This page must be completed when submitting a revised budget.   Start with the original electronic budget submitted and make corrections on the </t>
    </r>
    <r>
      <rPr>
        <b/>
        <sz val="10"/>
        <rFont val="Arial"/>
        <family val="2"/>
      </rPr>
      <t>“3-Budget Detail”</t>
    </r>
    <r>
      <rPr>
        <sz val="10"/>
        <rFont val="Arial"/>
        <family val="2"/>
      </rPr>
      <t xml:space="preserve"> and the </t>
    </r>
    <r>
      <rPr>
        <b/>
        <sz val="10"/>
        <rFont val="Arial"/>
        <family val="2"/>
      </rPr>
      <t>“4-Equipment”</t>
    </r>
    <r>
      <rPr>
        <sz val="10"/>
        <rFont val="Arial"/>
        <family val="2"/>
      </rPr>
      <t xml:space="preserve"> pages as appropriate.  On this page, describe in detail the changes/revisions, the reason for the revisions, etc.    </t>
    </r>
    <r>
      <rPr>
        <b/>
        <sz val="10"/>
        <rFont val="Arial"/>
        <family val="2"/>
      </rPr>
      <t xml:space="preserve">Don’t forget to make the appropriate changes on the “2-Cover Page”.   It is important that you mark revision in the budget report box; mark the revision number, and also enter the revision date.  </t>
    </r>
  </si>
  <si>
    <t>Expected Date of Completion</t>
  </si>
  <si>
    <t>Expected Date
of Completion</t>
  </si>
  <si>
    <t>Support - Supplies (0600)</t>
  </si>
  <si>
    <t>Support - Travel, Registration and Entrance (0580)</t>
  </si>
  <si>
    <t>Support - Other Purchased Services (0500)</t>
  </si>
  <si>
    <t>Support - Purchased Professional &amp; Technical Services (0300)</t>
  </si>
  <si>
    <t>Support - Employee Benefits (0200)</t>
  </si>
  <si>
    <t>Support - Salaries (0100)</t>
  </si>
  <si>
    <t>Elizabeth C-1</t>
  </si>
  <si>
    <t>Project 1-Year 4</t>
  </si>
  <si>
    <t>Project 2-Year 4</t>
  </si>
  <si>
    <t>Project 3-Year 4</t>
  </si>
  <si>
    <t>Project 4-Year 4</t>
  </si>
  <si>
    <t>Project 5-Year 4</t>
  </si>
  <si>
    <t>Project 1-Year 5</t>
  </si>
  <si>
    <t>Project 2-Year 5</t>
  </si>
  <si>
    <t>Project 3-Year 5</t>
  </si>
  <si>
    <t>Project 4-Year 5</t>
  </si>
  <si>
    <t>Project 5-Year 5</t>
  </si>
  <si>
    <t>Name of School:</t>
  </si>
  <si>
    <t>Disctrict Code</t>
  </si>
  <si>
    <t>County</t>
  </si>
  <si>
    <t>District Name</t>
  </si>
  <si>
    <t>Adams</t>
  </si>
  <si>
    <t>Mapleton Public Schools</t>
  </si>
  <si>
    <t>Adams 12 Five Star Schools</t>
  </si>
  <si>
    <t>Adams County 14</t>
  </si>
  <si>
    <t>Brighton 27J</t>
  </si>
  <si>
    <t>Bennett 29J</t>
  </si>
  <si>
    <t>Strasburg 31J</t>
  </si>
  <si>
    <t>Westminster 50</t>
  </si>
  <si>
    <t>Alamosa</t>
  </si>
  <si>
    <t>Alamosa RE 11J</t>
  </si>
  <si>
    <t>Sangre De Cristo RE-22J</t>
  </si>
  <si>
    <t>Arapahoe</t>
  </si>
  <si>
    <t>Englewood 1</t>
  </si>
  <si>
    <t>Sheridan 2</t>
  </si>
  <si>
    <t>Cherry Creek 5</t>
  </si>
  <si>
    <t>Littleton 6</t>
  </si>
  <si>
    <t>Deer Trail 26J</t>
  </si>
  <si>
    <t>Adams-Arapahoe 28 J</t>
  </si>
  <si>
    <t>Byers 32J</t>
  </si>
  <si>
    <t>Archuleta</t>
  </si>
  <si>
    <t>Archuleta County 50 JT</t>
  </si>
  <si>
    <t>Baca</t>
  </si>
  <si>
    <t>Walsh RE-1</t>
  </si>
  <si>
    <t>Pritchett Re-3</t>
  </si>
  <si>
    <t>Springfield RE-4</t>
  </si>
  <si>
    <t>Vilas School District RE-5</t>
  </si>
  <si>
    <t>Campo RE-6</t>
  </si>
  <si>
    <t>Bent</t>
  </si>
  <si>
    <t>Las Animas RE-1</t>
  </si>
  <si>
    <t>McClave RE-2</t>
  </si>
  <si>
    <t>Boulder</t>
  </si>
  <si>
    <t>St Vrain Valley RE-1J</t>
  </si>
  <si>
    <t>Boulder Valley RE 2</t>
  </si>
  <si>
    <t>Chaffee</t>
  </si>
  <si>
    <t>Buena Vista R-31</t>
  </si>
  <si>
    <t>Salida R 32 (J)</t>
  </si>
  <si>
    <t>Cheyenne</t>
  </si>
  <si>
    <t>Kit Carson R-1</t>
  </si>
  <si>
    <t>Cheyenne RE-5</t>
  </si>
  <si>
    <t>Clear Creek</t>
  </si>
  <si>
    <t>Clear Creek RE-1</t>
  </si>
  <si>
    <t>Conejos</t>
  </si>
  <si>
    <t>North Conejos RE-1J</t>
  </si>
  <si>
    <t>Sanford 6J</t>
  </si>
  <si>
    <t>South Conejos RE-10</t>
  </si>
  <si>
    <t>Costilla</t>
  </si>
  <si>
    <t>Centennial R-1</t>
  </si>
  <si>
    <t>Sierra Grande R-30</t>
  </si>
  <si>
    <t>Crowley</t>
  </si>
  <si>
    <t>Crowley County RE-1-J</t>
  </si>
  <si>
    <t>Custer</t>
  </si>
  <si>
    <t>Custer County C-1</t>
  </si>
  <si>
    <t>Delta</t>
  </si>
  <si>
    <t>Delta County 50 (J)</t>
  </si>
  <si>
    <t>Denver</t>
  </si>
  <si>
    <t>Denver County 1</t>
  </si>
  <si>
    <t>Dolores</t>
  </si>
  <si>
    <t>Dolores RE NO 2</t>
  </si>
  <si>
    <t>Douglas</t>
  </si>
  <si>
    <t>Douglas County RE-1</t>
  </si>
  <si>
    <t>Eagle</t>
  </si>
  <si>
    <t>Eagle County RE-50</t>
  </si>
  <si>
    <t>Elbert</t>
  </si>
  <si>
    <t>Kiowa C-2</t>
  </si>
  <si>
    <t>Big Sandy 100J</t>
  </si>
  <si>
    <t>Elbert 200</t>
  </si>
  <si>
    <t>Agate 300</t>
  </si>
  <si>
    <t>El Paso</t>
  </si>
  <si>
    <t>Calhan RJ1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</si>
  <si>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</si>
  <si>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</si>
  <si>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</si>
  <si>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</si>
  <si>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</si>
  <si>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</si>
  <si>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</si>
  <si>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SD #22</t>
  </si>
  <si>
    <t>Peyton 23 JT</t>
  </si>
  <si>
    <t>Hanover 28</t>
  </si>
  <si>
    <t>Lewis Palmer 38</t>
  </si>
  <si>
    <t>Falcon 49</t>
  </si>
  <si>
    <t>Edison 54 JT</t>
  </si>
  <si>
    <t>Miami-Yoder 60</t>
  </si>
  <si>
    <t>Fremont</t>
  </si>
  <si>
    <t>Canon City RE-1</t>
  </si>
  <si>
    <t>Cotopaxi RE-3</t>
  </si>
  <si>
    <t>Garfield</t>
  </si>
  <si>
    <t>Roaring Fork RE-1 (Parachute)</t>
  </si>
  <si>
    <t>Garfield RE-2 (Rifle)</t>
  </si>
  <si>
    <t>Garfield 16</t>
  </si>
  <si>
    <t>Gilpin</t>
  </si>
  <si>
    <t>Gilpin County Re-1</t>
  </si>
  <si>
    <t>Grand</t>
  </si>
  <si>
    <t>West Grand School 1-JT</t>
  </si>
  <si>
    <t>East Grand No 2</t>
  </si>
  <si>
    <t>Gunnison</t>
  </si>
  <si>
    <t>Gunnison Watershed RE-1J</t>
  </si>
  <si>
    <t>Hinsdale</t>
  </si>
  <si>
    <t>Hinsdale County RE-1</t>
  </si>
  <si>
    <t>Huerfano</t>
  </si>
  <si>
    <t>Huerfano RE-1</t>
  </si>
  <si>
    <t>La Veta RE-2</t>
  </si>
  <si>
    <t>Jackson</t>
  </si>
  <si>
    <t>North Park R-1</t>
  </si>
  <si>
    <t>Jefferson</t>
  </si>
  <si>
    <t>Jefferson R-1</t>
  </si>
  <si>
    <t>Kiowa</t>
  </si>
  <si>
    <t>Eads RE-1</t>
  </si>
  <si>
    <t>Plainview RE-2</t>
  </si>
  <si>
    <t>Kit Carson</t>
  </si>
  <si>
    <t>Arriba-Flagler C-20</t>
  </si>
  <si>
    <t>Hi Plains R-23</t>
  </si>
  <si>
    <t>Stratton R-4</t>
  </si>
  <si>
    <t>Bethune R-5</t>
  </si>
  <si>
    <t>Burlington RE-6J</t>
  </si>
  <si>
    <t>Lake</t>
  </si>
  <si>
    <t>Lake County R-1</t>
  </si>
  <si>
    <t>La Plata</t>
  </si>
  <si>
    <t>Durango 9-R</t>
  </si>
  <si>
    <t>Bayfield</t>
  </si>
  <si>
    <t>Ignacio 11 JT</t>
  </si>
  <si>
    <t>Larimer</t>
  </si>
  <si>
    <t>Poudre R-1</t>
  </si>
  <si>
    <t>Thompson R-2J</t>
  </si>
  <si>
    <t>Park (Estes Park) R-3</t>
  </si>
  <si>
    <t>Las Animas</t>
  </si>
  <si>
    <t>Trinidad 1</t>
  </si>
  <si>
    <t>Primero Reorganized RE-2</t>
  </si>
  <si>
    <t>Hoehne Reorganized 3</t>
  </si>
  <si>
    <t>Aguilar Reorganized 6</t>
  </si>
  <si>
    <t>Branson Reorganized 82</t>
  </si>
  <si>
    <t>Kim Reorganized 88</t>
  </si>
  <si>
    <t>Lincoln</t>
  </si>
  <si>
    <t>Genoa-Hugo C-113</t>
  </si>
  <si>
    <t>Limon RE 4J</t>
  </si>
  <si>
    <t>Karval RE-23</t>
  </si>
  <si>
    <t>Logan</t>
  </si>
  <si>
    <t>Valley RE-1</t>
  </si>
  <si>
    <t>Frenchman RE-3</t>
  </si>
  <si>
    <t>Plateau RE-5</t>
  </si>
  <si>
    <t>Mesa</t>
  </si>
  <si>
    <t>De Beque 49JT</t>
  </si>
  <si>
    <t>Plateau Valley 50</t>
  </si>
  <si>
    <t>Mesa County Valley 51</t>
  </si>
  <si>
    <t>Mineral</t>
  </si>
  <si>
    <t>Creede Consolidated 1</t>
  </si>
  <si>
    <t>Moffat</t>
  </si>
  <si>
    <t>Moffat County RE-NO 1</t>
  </si>
  <si>
    <t>Montezuma</t>
  </si>
  <si>
    <t>Montezuma-Cortez RE-1</t>
  </si>
  <si>
    <t>Dolores RE-4A</t>
  </si>
  <si>
    <t>Mancos RE-6</t>
  </si>
  <si>
    <t>Montrose</t>
  </si>
  <si>
    <t>Montrose RE-1J</t>
  </si>
  <si>
    <t>West End RE-2</t>
  </si>
  <si>
    <t>Morgan</t>
  </si>
  <si>
    <t>Brush RE-2 (J)</t>
  </si>
  <si>
    <t>Fort Morgan RE-3</t>
  </si>
  <si>
    <t>Weldon Valley School RE 20J</t>
  </si>
  <si>
    <t>Wiggins RE-50 (J)</t>
  </si>
  <si>
    <t>Otero</t>
  </si>
  <si>
    <t>East Otero R-1</t>
  </si>
  <si>
    <t>Rocky Ford R-2</t>
  </si>
  <si>
    <t>Manzanola 3J</t>
  </si>
  <si>
    <t>Fowler R 4J</t>
  </si>
  <si>
    <t>Cheraw 31</t>
  </si>
  <si>
    <t>Swink 33</t>
  </si>
  <si>
    <t>Ouray</t>
  </si>
  <si>
    <t>Ouray School District R-1</t>
  </si>
  <si>
    <t>Ridgway R-2</t>
  </si>
  <si>
    <t>Park</t>
  </si>
  <si>
    <t>Platte Canyon 1</t>
  </si>
  <si>
    <t>Park County RE-2</t>
  </si>
  <si>
    <t>Phillips</t>
  </si>
  <si>
    <t>Holyoke RE-1J</t>
  </si>
  <si>
    <t>Philllips</t>
  </si>
  <si>
    <t>Haxtun RE-2J</t>
  </si>
  <si>
    <t>Pitkin</t>
  </si>
  <si>
    <t>Aspen 1</t>
  </si>
  <si>
    <t xml:space="preserve">Prowers </t>
  </si>
  <si>
    <t>Granada RE-1</t>
  </si>
  <si>
    <t>Prowers</t>
  </si>
  <si>
    <t>Lamar RE-2</t>
  </si>
  <si>
    <t>Holly RE-3</t>
  </si>
  <si>
    <t>Wiley Re-13 JT</t>
  </si>
  <si>
    <t>Pueblo</t>
  </si>
  <si>
    <t>Pueblo City 60</t>
  </si>
  <si>
    <t>Pueblo No. 70</t>
  </si>
  <si>
    <t>Rio Blanco</t>
  </si>
  <si>
    <t>Meeker RE1</t>
  </si>
  <si>
    <t>Rangely Re-4</t>
  </si>
  <si>
    <t>Rio Grande</t>
  </si>
  <si>
    <t>Del Norte C-7</t>
  </si>
  <si>
    <t>Monte Vista C-8</t>
  </si>
  <si>
    <t>Sargent RE-33J</t>
  </si>
  <si>
    <t>Routt</t>
  </si>
  <si>
    <t>Hayden RE-1</t>
  </si>
  <si>
    <t>Steamboat Springs RE-2</t>
  </si>
  <si>
    <t>South Routt</t>
  </si>
  <si>
    <t>Saguache</t>
  </si>
  <si>
    <t>Mountain Valley RE-1</t>
  </si>
  <si>
    <t>Moffat 2</t>
  </si>
  <si>
    <t>Center 26 JT</t>
  </si>
  <si>
    <t xml:space="preserve">San Juan </t>
  </si>
  <si>
    <t>Silverton 1</t>
  </si>
  <si>
    <t>San Miguel</t>
  </si>
  <si>
    <t>Telluride R-1</t>
  </si>
  <si>
    <t>Norwood R-2J</t>
  </si>
  <si>
    <t>Sedgwick</t>
  </si>
  <si>
    <t>Julesburg RE 1</t>
  </si>
  <si>
    <t>Platte Valley Re-3</t>
  </si>
  <si>
    <t>Summit</t>
  </si>
  <si>
    <t>Summit RE-1</t>
  </si>
  <si>
    <t>Teller</t>
  </si>
  <si>
    <t>Cripple Creek Victor Re-1</t>
  </si>
  <si>
    <t>Woodland Park Re-2</t>
  </si>
  <si>
    <t>Washington</t>
  </si>
  <si>
    <t>Akron R-1</t>
  </si>
  <si>
    <t>Arickaree R-2</t>
  </si>
  <si>
    <t>Otis R-3</t>
  </si>
  <si>
    <t>Lone Star 101</t>
  </si>
  <si>
    <t>Woodlin R-104</t>
  </si>
  <si>
    <t>Weld</t>
  </si>
  <si>
    <t>Weld RE-1</t>
  </si>
  <si>
    <t>Eaton RE-2</t>
  </si>
  <si>
    <t>Keenesburg RE3-J</t>
  </si>
  <si>
    <t>Windsor RE-4</t>
  </si>
  <si>
    <t>Johnstown-Milliken Re-5J</t>
  </si>
  <si>
    <t>Greeley R-6</t>
  </si>
  <si>
    <t>Platte Valley RE-7</t>
  </si>
  <si>
    <t>Fort Lupton RE-8</t>
  </si>
  <si>
    <t>Ault-Highland RE-9</t>
  </si>
  <si>
    <t>Briggsdale RE10</t>
  </si>
  <si>
    <t>Pawnee SD RE-12</t>
  </si>
  <si>
    <t xml:space="preserve">Yuma </t>
  </si>
  <si>
    <t>Yuma 1</t>
  </si>
  <si>
    <t>Wray RD-2</t>
  </si>
  <si>
    <t>Idalia RJ-3</t>
  </si>
  <si>
    <t>Liberty J-4</t>
  </si>
  <si>
    <t>East Central BOCES</t>
  </si>
  <si>
    <t>Mountain BOCES</t>
  </si>
  <si>
    <t>Centennial BOCES</t>
  </si>
  <si>
    <t>Northeast BOCES</t>
  </si>
  <si>
    <t>Pikes Peak BOCES</t>
  </si>
  <si>
    <t>San Juan BOCES</t>
  </si>
  <si>
    <t>San Luis Valley BOCES</t>
  </si>
  <si>
    <t>South Central BOCES</t>
  </si>
  <si>
    <t>Southeastern BOCES</t>
  </si>
  <si>
    <t>Southwest BOCES</t>
  </si>
  <si>
    <t>Northwest Colorado BOCES</t>
  </si>
  <si>
    <t>Adams County BOCES</t>
  </si>
  <si>
    <t>Rio Blanco BOCES RE-1 &amp; RE-4</t>
  </si>
  <si>
    <t>Expeditionary BOCES</t>
  </si>
  <si>
    <t>Grand Valley BOCES</t>
  </si>
  <si>
    <t>Mt Evans BOCES</t>
  </si>
  <si>
    <t>Uncompahgre BOCES</t>
  </si>
  <si>
    <t>Santa Fe Trail BOCES</t>
  </si>
  <si>
    <t>Front Range BOCES</t>
  </si>
  <si>
    <t>Ute Pass BOCES</t>
  </si>
  <si>
    <t>District Name:</t>
  </si>
  <si>
    <t>Indirect Cost Rate</t>
  </si>
  <si>
    <t>Indirect Costs</t>
  </si>
  <si>
    <t>Indirect Cost Override</t>
  </si>
  <si>
    <t>Total - Instructional and Support Programs</t>
  </si>
  <si>
    <t>District:</t>
  </si>
  <si>
    <t>PROGRAM CATEGORIES</t>
  </si>
  <si>
    <t>Budget</t>
  </si>
  <si>
    <t>Actual Expenditures</t>
  </si>
  <si>
    <t>Instructional Program</t>
  </si>
  <si>
    <t xml:space="preserve"> Salaries (0100)</t>
  </si>
  <si>
    <t xml:space="preserve"> Employee Benefits (0200)</t>
  </si>
  <si>
    <t xml:space="preserve"> Purchased Professional &amp; Technical Services (0300)</t>
  </si>
  <si>
    <t xml:space="preserve"> Other Purchased Services (0500)</t>
  </si>
  <si>
    <t xml:space="preserve"> Supplies (0600)</t>
  </si>
  <si>
    <t>Support Program</t>
  </si>
  <si>
    <t>Typed Name of Person Preparing Report                 Date</t>
  </si>
  <si>
    <t>Signature of School District Authorized Representative*</t>
  </si>
  <si>
    <t>*Check with your school district budget office for the signature of the school district authorized representative.</t>
  </si>
  <si>
    <t>Annual Financial Report</t>
  </si>
  <si>
    <t>Project 1</t>
  </si>
  <si>
    <t>Project 2</t>
  </si>
  <si>
    <t>Project 3</t>
  </si>
  <si>
    <t>Project 4</t>
  </si>
  <si>
    <t>Project 5</t>
  </si>
  <si>
    <t>Other (0800)</t>
  </si>
  <si>
    <t>BUDGET SUMMARY</t>
  </si>
  <si>
    <t>ANNUAL FINANCIAL REPORT DETAIL</t>
  </si>
  <si>
    <t>Indirect Cost Rates for Use in FY2010-2011</t>
  </si>
  <si>
    <t>District Code</t>
  </si>
  <si>
    <t>Restricted Rate</t>
  </si>
  <si>
    <t>Unrestricted Rate</t>
  </si>
  <si>
    <t>Fremont RE-2 School District</t>
  </si>
  <si>
    <t>Buffalo RE-4J</t>
  </si>
  <si>
    <t>Prairie RE-11J</t>
  </si>
  <si>
    <t>CSI</t>
  </si>
  <si>
    <t>Charter School Institute</t>
  </si>
  <si>
    <t>BOCES</t>
  </si>
  <si>
    <t>Submit Excel File To:</t>
  </si>
  <si>
    <t>Grants Fiscal</t>
  </si>
  <si>
    <t>School Improvement</t>
  </si>
  <si>
    <t>Budget Amount</t>
  </si>
  <si>
    <t>Approved</t>
  </si>
  <si>
    <t>CDE Contact:</t>
  </si>
  <si>
    <t>Non-Capitalized Equipment (0735)</t>
  </si>
  <si>
    <t>Capitalized Equipment (0730)</t>
  </si>
  <si>
    <t>Capitalized</t>
  </si>
  <si>
    <t>School:</t>
  </si>
  <si>
    <t>Non-Capitalized</t>
  </si>
  <si>
    <t>bylsma_b@cde.state.co.us; petrov_m@cde.state.co.us</t>
  </si>
  <si>
    <t>Name of person completing the budget</t>
  </si>
  <si>
    <t>Martin Petrov:  303-866-6389</t>
  </si>
  <si>
    <t>Brad Bylsma:  303-866-6937</t>
  </si>
  <si>
    <t>School Improvement Support Grant</t>
  </si>
  <si>
    <t>Date
Purchased</t>
  </si>
  <si>
    <t>ANNUAL FINANCIAL REPORT EQUIPMENT DETAIL</t>
  </si>
  <si>
    <t>FY 2014-2015</t>
  </si>
  <si>
    <t>Inst. - Books and Periodicals (0640)</t>
  </si>
  <si>
    <t>Inst. - Other Expenses (0800)</t>
  </si>
  <si>
    <t>Support - Books and Periodicals (0640)</t>
  </si>
  <si>
    <t>Support - Other Expenses (0800)</t>
  </si>
  <si>
    <t>Books and Periodicals (0640)</t>
  </si>
  <si>
    <t>Other Expenses (0800)</t>
  </si>
  <si>
    <t>FY2014-2015</t>
  </si>
  <si>
    <t xml:space="preserve">Grand Total </t>
  </si>
  <si>
    <t>FY 14-15</t>
  </si>
  <si>
    <t>Due September 30, 2015</t>
  </si>
  <si>
    <t xml:space="preserve"> Subtotal Support Program (lines 9 through 17)</t>
  </si>
  <si>
    <t xml:space="preserve">Total Budget </t>
  </si>
  <si>
    <t xml:space="preserve"> Subtotal Instructional Program  (lines 1 through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</si>
</sst>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_(&quot;$&quot;* #,##0_);_(&quot;$&quot;* \(#,##0\);_(&quot;$&quot;* &quot;-&quot;??_);_(@_)"/>
    <numFmt numFmtId="166" formatCode="_(* #,##0_);_(* \(#,##0\);_(* &quot;-&quot;??_);_(@_)"/>
    <numFmt numFmtId="167" formatCode="[$-409]mmmm\ d\,\ yyyy;@"/>
    <numFmt numFmtId="168" formatCode="mm/dd/yy;@"/>
    <numFmt numFmtId="169" formatCode="0000"/>
    <numFmt numFmtId="170" formatCode="#,##0.0000"/>
  </numFmts>
  <fonts count="4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Geneva"/>
    </font>
    <font>
      <b/>
      <u/>
      <sz val="8"/>
      <color indexed="81"/>
      <name val="Tahoma"/>
      <family val="2"/>
    </font>
    <font>
      <sz val="6"/>
      <color indexed="22"/>
      <name val="Arial"/>
      <family val="2"/>
    </font>
    <font>
      <b/>
      <i/>
      <sz val="8"/>
      <color indexed="81"/>
      <name val="Tahoma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trike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u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4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4" fillId="0" borderId="0"/>
    <xf numFmtId="0" fontId="2" fillId="0" borderId="0"/>
    <xf numFmtId="0" fontId="7" fillId="0" borderId="0"/>
  </cellStyleXfs>
  <cellXfs count="278">
    <xf numFmtId="0" fontId="0" fillId="0" borderId="0" xfId="0"/>
    <xf numFmtId="0" fontId="0" fillId="0" borderId="0" xfId="0" quotePrefix="1" applyAlignment="1">
      <alignment horizontal="left"/>
    </xf>
    <xf numFmtId="0" fontId="9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Fill="1"/>
    <xf numFmtId="0" fontId="4" fillId="0" borderId="0" xfId="0" applyFont="1" applyFill="1"/>
    <xf numFmtId="167" fontId="4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3" fontId="0" fillId="2" borderId="1" xfId="0" applyNumberFormat="1" applyFill="1" applyBorder="1"/>
    <xf numFmtId="3" fontId="0" fillId="2" borderId="2" xfId="0" applyNumberFormat="1" applyFill="1" applyBorder="1"/>
    <xf numFmtId="3" fontId="0" fillId="2" borderId="3" xfId="0" applyNumberFormat="1" applyFill="1" applyBorder="1"/>
    <xf numFmtId="0" fontId="0" fillId="0" borderId="0" xfId="0" applyFill="1" applyAlignment="1"/>
    <xf numFmtId="0" fontId="0" fillId="0" borderId="0" xfId="0" applyAlignment="1">
      <alignment horizontal="center"/>
    </xf>
    <xf numFmtId="0" fontId="3" fillId="2" borderId="4" xfId="9" applyFont="1" applyFill="1" applyBorder="1" applyAlignment="1" applyProtection="1">
      <alignment horizontal="left"/>
    </xf>
    <xf numFmtId="0" fontId="0" fillId="0" borderId="0" xfId="0" applyProtection="1">
      <protection locked="0"/>
    </xf>
    <xf numFmtId="49" fontId="3" fillId="0" borderId="0" xfId="0" applyNumberFormat="1" applyFont="1"/>
    <xf numFmtId="167" fontId="3" fillId="0" borderId="0" xfId="0" applyNumberFormat="1" applyFont="1"/>
    <xf numFmtId="0" fontId="17" fillId="0" borderId="0" xfId="6" applyNumberFormat="1"/>
    <xf numFmtId="0" fontId="17" fillId="0" borderId="0" xfId="6"/>
    <xf numFmtId="0" fontId="17" fillId="0" borderId="5" xfId="6" applyNumberFormat="1" applyBorder="1"/>
    <xf numFmtId="0" fontId="17" fillId="0" borderId="1" xfId="6" applyBorder="1"/>
    <xf numFmtId="0" fontId="2" fillId="0" borderId="1" xfId="6" applyNumberFormat="1" applyFont="1" applyFill="1" applyBorder="1" applyAlignment="1">
      <alignment horizontal="left"/>
    </xf>
    <xf numFmtId="0" fontId="2" fillId="0" borderId="1" xfId="6" applyFont="1" applyFill="1" applyBorder="1"/>
    <xf numFmtId="0" fontId="18" fillId="0" borderId="1" xfId="6" applyFont="1" applyFill="1" applyBorder="1"/>
    <xf numFmtId="10" fontId="17" fillId="0" borderId="1" xfId="6" applyNumberFormat="1" applyBorder="1"/>
    <xf numFmtId="0" fontId="2" fillId="0" borderId="1" xfId="6" quotePrefix="1" applyNumberFormat="1" applyFont="1" applyFill="1" applyBorder="1"/>
    <xf numFmtId="0" fontId="2" fillId="0" borderId="1" xfId="6" quotePrefix="1" applyNumberFormat="1" applyFont="1" applyFill="1" applyBorder="1" applyAlignment="1">
      <alignment horizontal="left"/>
    </xf>
    <xf numFmtId="0" fontId="19" fillId="0" borderId="1" xfId="6" applyFont="1" applyFill="1" applyBorder="1"/>
    <xf numFmtId="0" fontId="20" fillId="0" borderId="1" xfId="6" applyFont="1" applyBorder="1"/>
    <xf numFmtId="0" fontId="16" fillId="0" borderId="1" xfId="6" applyNumberFormat="1" applyFont="1" applyFill="1" applyBorder="1" applyAlignment="1">
      <alignment horizontal="left"/>
    </xf>
    <xf numFmtId="0" fontId="16" fillId="0" borderId="1" xfId="6" applyFont="1" applyFill="1" applyBorder="1"/>
    <xf numFmtId="0" fontId="21" fillId="0" borderId="1" xfId="6" applyFont="1" applyFill="1" applyBorder="1"/>
    <xf numFmtId="10" fontId="20" fillId="0" borderId="1" xfId="6" applyNumberFormat="1" applyFont="1" applyBorder="1"/>
    <xf numFmtId="169" fontId="2" fillId="0" borderId="1" xfId="6" applyNumberFormat="1" applyFont="1" applyFill="1" applyBorder="1" applyAlignment="1">
      <alignment horizontal="left"/>
    </xf>
    <xf numFmtId="169" fontId="15" fillId="0" borderId="1" xfId="6" applyNumberFormat="1" applyFont="1" applyFill="1" applyBorder="1" applyAlignment="1">
      <alignment horizontal="left"/>
    </xf>
    <xf numFmtId="0" fontId="22" fillId="3" borderId="0" xfId="0" applyFont="1" applyFill="1"/>
    <xf numFmtId="18" fontId="23" fillId="2" borderId="0" xfId="0" applyNumberFormat="1" applyFont="1" applyFill="1" applyAlignment="1"/>
    <xf numFmtId="0" fontId="24" fillId="2" borderId="0" xfId="0" applyFont="1" applyFill="1" applyProtection="1"/>
    <xf numFmtId="0" fontId="23" fillId="2" borderId="0" xfId="0" applyFont="1" applyFill="1" applyAlignment="1" applyProtection="1"/>
    <xf numFmtId="0" fontId="23" fillId="3" borderId="0" xfId="0" applyFont="1" applyFill="1" applyAlignment="1" applyProtection="1">
      <alignment horizontal="center"/>
    </xf>
    <xf numFmtId="0" fontId="24" fillId="3" borderId="0" xfId="0" applyFont="1" applyFill="1" applyAlignment="1" applyProtection="1">
      <alignment horizontal="center"/>
    </xf>
    <xf numFmtId="0" fontId="24" fillId="3" borderId="0" xfId="0" applyFont="1" applyFill="1" applyAlignment="1" applyProtection="1">
      <alignment horizontal="right"/>
    </xf>
    <xf numFmtId="0" fontId="24" fillId="3" borderId="0" xfId="0" applyFont="1" applyFill="1" applyProtection="1"/>
    <xf numFmtId="14" fontId="24" fillId="3" borderId="0" xfId="0" applyNumberFormat="1" applyFont="1" applyFill="1" applyProtection="1"/>
    <xf numFmtId="0" fontId="24" fillId="3" borderId="0" xfId="0" applyFont="1" applyFill="1" applyBorder="1" applyAlignment="1" applyProtection="1">
      <alignment horizontal="center"/>
    </xf>
    <xf numFmtId="0" fontId="23" fillId="3" borderId="0" xfId="0" applyFont="1" applyFill="1" applyBorder="1" applyAlignment="1" applyProtection="1">
      <alignment horizontal="right"/>
    </xf>
    <xf numFmtId="0" fontId="23" fillId="3" borderId="0" xfId="0" applyFont="1" applyFill="1" applyBorder="1" applyAlignment="1" applyProtection="1">
      <alignment horizontal="right" vertical="center"/>
    </xf>
    <xf numFmtId="0" fontId="24" fillId="3" borderId="0" xfId="0" applyFont="1" applyFill="1" applyBorder="1" applyAlignment="1" applyProtection="1">
      <alignment horizontal="right"/>
    </xf>
    <xf numFmtId="0" fontId="24" fillId="3" borderId="0" xfId="0" applyFont="1" applyFill="1" applyBorder="1" applyProtection="1"/>
    <xf numFmtId="0" fontId="23" fillId="3" borderId="0" xfId="0" applyFont="1" applyFill="1" applyAlignment="1" applyProtection="1">
      <alignment horizontal="right"/>
    </xf>
    <xf numFmtId="0" fontId="23" fillId="4" borderId="6" xfId="0" applyFont="1" applyFill="1" applyBorder="1" applyAlignment="1" applyProtection="1">
      <alignment horizontal="center"/>
      <protection locked="0"/>
    </xf>
    <xf numFmtId="0" fontId="24" fillId="3" borderId="0" xfId="0" applyFont="1" applyFill="1" applyBorder="1" applyAlignment="1" applyProtection="1">
      <alignment horizontal="center" vertical="center"/>
    </xf>
    <xf numFmtId="0" fontId="24" fillId="3" borderId="0" xfId="0" applyFont="1" applyFill="1"/>
    <xf numFmtId="0" fontId="24" fillId="4" borderId="7" xfId="0" applyFont="1" applyFill="1" applyBorder="1" applyAlignment="1" applyProtection="1">
      <alignment horizontal="center"/>
      <protection locked="0"/>
    </xf>
    <xf numFmtId="167" fontId="24" fillId="4" borderId="7" xfId="0" applyNumberFormat="1" applyFont="1" applyFill="1" applyBorder="1" applyAlignment="1" applyProtection="1">
      <alignment horizontal="center"/>
      <protection locked="0"/>
    </xf>
    <xf numFmtId="0" fontId="23" fillId="3" borderId="0" xfId="0" quotePrefix="1" applyFont="1" applyFill="1" applyBorder="1" applyAlignment="1" applyProtection="1">
      <alignment horizontal="right"/>
    </xf>
    <xf numFmtId="0" fontId="23" fillId="3" borderId="0" xfId="0" quotePrefix="1" applyFont="1" applyFill="1" applyAlignment="1" applyProtection="1">
      <alignment horizontal="right"/>
    </xf>
    <xf numFmtId="0" fontId="25" fillId="3" borderId="0" xfId="0" quotePrefix="1" applyFont="1" applyFill="1" applyBorder="1" applyAlignment="1" applyProtection="1">
      <alignment horizontal="left"/>
    </xf>
    <xf numFmtId="0" fontId="26" fillId="3" borderId="0" xfId="0" applyFont="1" applyFill="1" applyBorder="1" applyProtection="1"/>
    <xf numFmtId="0" fontId="23" fillId="3" borderId="0" xfId="0" applyFont="1" applyFill="1" applyBorder="1" applyAlignment="1" applyProtection="1">
      <alignment horizontal="left"/>
    </xf>
    <xf numFmtId="0" fontId="23" fillId="3" borderId="0" xfId="0" applyFont="1" applyFill="1" applyBorder="1" applyProtection="1"/>
    <xf numFmtId="0" fontId="24" fillId="3" borderId="0" xfId="0" applyFont="1" applyFill="1" applyBorder="1" applyAlignment="1" applyProtection="1">
      <alignment horizontal="left"/>
    </xf>
    <xf numFmtId="0" fontId="24" fillId="3" borderId="0" xfId="0" quotePrefix="1" applyFont="1" applyFill="1" applyBorder="1" applyAlignment="1" applyProtection="1">
      <alignment horizontal="left"/>
    </xf>
    <xf numFmtId="0" fontId="25" fillId="3" borderId="0" xfId="0" applyFont="1" applyFill="1" applyBorder="1" applyAlignment="1" applyProtection="1">
      <alignment horizontal="right"/>
    </xf>
    <xf numFmtId="0" fontId="23" fillId="3" borderId="1" xfId="0" applyFont="1" applyFill="1" applyBorder="1" applyAlignment="1" applyProtection="1">
      <alignment horizontal="center"/>
    </xf>
    <xf numFmtId="0" fontId="23" fillId="3" borderId="0" xfId="0" applyFont="1" applyFill="1" applyBorder="1" applyAlignment="1" applyProtection="1"/>
    <xf numFmtId="165" fontId="24" fillId="3" borderId="1" xfId="3" applyNumberFormat="1" applyFont="1" applyFill="1" applyBorder="1" applyAlignment="1" applyProtection="1">
      <alignment horizontal="center"/>
    </xf>
    <xf numFmtId="0" fontId="23" fillId="4" borderId="3" xfId="0" applyFont="1" applyFill="1" applyBorder="1" applyAlignment="1" applyProtection="1">
      <alignment horizontal="center"/>
    </xf>
    <xf numFmtId="165" fontId="24" fillId="4" borderId="1" xfId="3" applyNumberFormat="1" applyFont="1" applyFill="1" applyBorder="1" applyAlignment="1" applyProtection="1">
      <alignment horizontal="center"/>
      <protection locked="0"/>
    </xf>
    <xf numFmtId="0" fontId="24" fillId="2" borderId="0" xfId="0" applyFont="1" applyFill="1" applyAlignment="1" applyProtection="1">
      <alignment horizontal="center"/>
    </xf>
    <xf numFmtId="0" fontId="27" fillId="3" borderId="0" xfId="0" applyFont="1" applyFill="1" applyBorder="1" applyAlignment="1" applyProtection="1">
      <alignment horizontal="left"/>
    </xf>
    <xf numFmtId="0" fontId="28" fillId="3" borderId="0" xfId="0" applyFont="1" applyFill="1"/>
    <xf numFmtId="0" fontId="27" fillId="3" borderId="0" xfId="0" applyFont="1" applyFill="1" applyBorder="1" applyProtection="1"/>
    <xf numFmtId="0" fontId="28" fillId="3" borderId="0" xfId="0" applyFont="1" applyFill="1" applyProtection="1"/>
    <xf numFmtId="0" fontId="29" fillId="3" borderId="1" xfId="0" applyFont="1" applyFill="1" applyBorder="1" applyAlignment="1">
      <alignment horizontal="center"/>
    </xf>
    <xf numFmtId="41" fontId="29" fillId="3" borderId="1" xfId="0" applyNumberFormat="1" applyFont="1" applyFill="1" applyBorder="1" applyAlignment="1">
      <alignment horizontal="center"/>
    </xf>
    <xf numFmtId="0" fontId="29" fillId="3" borderId="1" xfId="1" applyNumberFormat="1" applyFont="1" applyFill="1" applyBorder="1" applyAlignment="1">
      <alignment horizontal="center"/>
    </xf>
    <xf numFmtId="0" fontId="29" fillId="3" borderId="1" xfId="0" applyNumberFormat="1" applyFont="1" applyFill="1" applyBorder="1" applyAlignment="1">
      <alignment horizontal="center"/>
    </xf>
    <xf numFmtId="164" fontId="22" fillId="3" borderId="1" xfId="0" applyNumberFormat="1" applyFont="1" applyFill="1" applyBorder="1" applyAlignment="1">
      <alignment horizontal="center" wrapText="1"/>
    </xf>
    <xf numFmtId="41" fontId="22" fillId="3" borderId="1" xfId="0" applyNumberFormat="1" applyFont="1" applyFill="1" applyBorder="1" applyAlignment="1">
      <alignment horizontal="center" wrapText="1"/>
    </xf>
    <xf numFmtId="166" fontId="22" fillId="3" borderId="1" xfId="1" applyNumberFormat="1" applyFont="1" applyFill="1" applyBorder="1" applyAlignment="1">
      <alignment horizontal="center" wrapText="1"/>
    </xf>
    <xf numFmtId="0" fontId="22" fillId="3" borderId="1" xfId="0" applyFont="1" applyFill="1" applyBorder="1" applyAlignment="1">
      <alignment horizontal="center"/>
    </xf>
    <xf numFmtId="0" fontId="22" fillId="3" borderId="1" xfId="1" applyNumberFormat="1" applyFont="1" applyFill="1" applyBorder="1" applyAlignment="1">
      <alignment horizontal="center"/>
    </xf>
    <xf numFmtId="0" fontId="22" fillId="3" borderId="1" xfId="0" applyNumberFormat="1" applyFont="1" applyFill="1" applyBorder="1" applyAlignment="1">
      <alignment horizontal="center"/>
    </xf>
    <xf numFmtId="0" fontId="22" fillId="0" borderId="0" xfId="0" applyFont="1"/>
    <xf numFmtId="0" fontId="29" fillId="3" borderId="1" xfId="0" applyFont="1" applyFill="1" applyBorder="1" applyAlignment="1">
      <alignment horizontal="center" wrapText="1"/>
    </xf>
    <xf numFmtId="3" fontId="29" fillId="3" borderId="1" xfId="0" applyNumberFormat="1" applyFont="1" applyFill="1" applyBorder="1" applyAlignment="1">
      <alignment horizontal="center"/>
    </xf>
    <xf numFmtId="0" fontId="31" fillId="3" borderId="0" xfId="0" applyFont="1" applyFill="1"/>
    <xf numFmtId="0" fontId="22" fillId="3" borderId="0" xfId="0" applyFont="1" applyFill="1" applyAlignment="1">
      <alignment horizontal="center"/>
    </xf>
    <xf numFmtId="0" fontId="22" fillId="3" borderId="0" xfId="0" quotePrefix="1" applyFont="1" applyFill="1" applyAlignment="1">
      <alignment horizontal="left"/>
    </xf>
    <xf numFmtId="0" fontId="31" fillId="3" borderId="0" xfId="0" applyFont="1" applyFill="1" applyAlignment="1">
      <alignment horizontal="center" readingOrder="1"/>
    </xf>
    <xf numFmtId="3" fontId="22" fillId="3" borderId="0" xfId="0" applyNumberFormat="1" applyFont="1" applyFill="1" applyBorder="1"/>
    <xf numFmtId="0" fontId="22" fillId="0" borderId="0" xfId="0" applyFont="1" applyBorder="1"/>
    <xf numFmtId="3" fontId="31" fillId="3" borderId="0" xfId="0" applyNumberFormat="1" applyFont="1" applyFill="1" applyBorder="1" applyAlignment="1">
      <alignment horizontal="center" readingOrder="1"/>
    </xf>
    <xf numFmtId="0" fontId="29" fillId="3" borderId="1" xfId="0" quotePrefix="1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wrapText="1"/>
    </xf>
    <xf numFmtId="0" fontId="22" fillId="3" borderId="1" xfId="0" quotePrefix="1" applyFont="1" applyFill="1" applyBorder="1" applyAlignment="1">
      <alignment horizontal="center" wrapText="1"/>
    </xf>
    <xf numFmtId="168" fontId="22" fillId="3" borderId="1" xfId="0" applyNumberFormat="1" applyFont="1" applyFill="1" applyBorder="1" applyAlignment="1">
      <alignment horizontal="center" wrapText="1"/>
    </xf>
    <xf numFmtId="3" fontId="22" fillId="3" borderId="1" xfId="0" applyNumberFormat="1" applyFont="1" applyFill="1" applyBorder="1" applyAlignment="1">
      <alignment horizontal="center"/>
    </xf>
    <xf numFmtId="3" fontId="4" fillId="0" borderId="0" xfId="0" applyNumberFormat="1" applyFont="1" applyFill="1" applyAlignment="1"/>
    <xf numFmtId="0" fontId="4" fillId="0" borderId="0" xfId="0" applyFont="1" applyFill="1" applyAlignment="1"/>
    <xf numFmtId="0" fontId="22" fillId="3" borderId="0" xfId="7" applyFont="1" applyFill="1"/>
    <xf numFmtId="0" fontId="22" fillId="3" borderId="0" xfId="7" applyFont="1" applyFill="1" applyProtection="1"/>
    <xf numFmtId="0" fontId="22" fillId="3" borderId="0" xfId="7" applyFont="1" applyFill="1" applyBorder="1" applyAlignment="1" applyProtection="1">
      <alignment horizontal="right"/>
    </xf>
    <xf numFmtId="0" fontId="34" fillId="3" borderId="0" xfId="7" applyFont="1" applyFill="1" applyBorder="1" applyAlignment="1" applyProtection="1">
      <alignment horizontal="center"/>
    </xf>
    <xf numFmtId="0" fontId="35" fillId="3" borderId="0" xfId="7" applyFont="1" applyFill="1" applyProtection="1"/>
    <xf numFmtId="0" fontId="36" fillId="3" borderId="0" xfId="7" quotePrefix="1" applyFont="1" applyFill="1" applyAlignment="1" applyProtection="1">
      <alignment horizontal="left"/>
    </xf>
    <xf numFmtId="0" fontId="22" fillId="3" borderId="0" xfId="7" applyFont="1" applyFill="1" applyAlignment="1" applyProtection="1">
      <alignment horizontal="right"/>
    </xf>
    <xf numFmtId="0" fontId="31" fillId="3" borderId="9" xfId="7" applyFont="1" applyFill="1" applyBorder="1" applyAlignment="1" applyProtection="1">
      <alignment horizontal="left"/>
    </xf>
    <xf numFmtId="0" fontId="31" fillId="3" borderId="10" xfId="7" applyFont="1" applyFill="1" applyBorder="1" applyAlignment="1" applyProtection="1">
      <alignment horizontal="center"/>
    </xf>
    <xf numFmtId="0" fontId="31" fillId="3" borderId="11" xfId="7" applyFont="1" applyFill="1" applyBorder="1" applyAlignment="1" applyProtection="1">
      <alignment horizontal="center" wrapText="1"/>
    </xf>
    <xf numFmtId="0" fontId="22" fillId="3" borderId="11" xfId="7" applyFont="1" applyFill="1" applyBorder="1" applyProtection="1"/>
    <xf numFmtId="0" fontId="22" fillId="3" borderId="12" xfId="7" applyFont="1" applyFill="1" applyBorder="1" applyProtection="1"/>
    <xf numFmtId="0" fontId="22" fillId="3" borderId="13" xfId="7" applyFont="1" applyFill="1" applyBorder="1" applyProtection="1"/>
    <xf numFmtId="0" fontId="31" fillId="3" borderId="14" xfId="7" applyFont="1" applyFill="1" applyBorder="1" applyProtection="1"/>
    <xf numFmtId="0" fontId="22" fillId="3" borderId="15" xfId="7" applyFont="1" applyFill="1" applyBorder="1" applyProtection="1"/>
    <xf numFmtId="0" fontId="22" fillId="3" borderId="16" xfId="7" applyFont="1" applyFill="1" applyBorder="1" applyProtection="1"/>
    <xf numFmtId="0" fontId="31" fillId="3" borderId="9" xfId="7" applyFont="1" applyFill="1" applyBorder="1" applyProtection="1"/>
    <xf numFmtId="0" fontId="22" fillId="3" borderId="0" xfId="7" applyFont="1" applyFill="1" applyProtection="1">
      <protection hidden="1"/>
    </xf>
    <xf numFmtId="0" fontId="31" fillId="3" borderId="0" xfId="7" applyFont="1" applyFill="1" applyAlignment="1" applyProtection="1">
      <alignment horizontal="left"/>
    </xf>
    <xf numFmtId="0" fontId="32" fillId="3" borderId="0" xfId="7" applyFont="1" applyFill="1" applyAlignment="1" applyProtection="1">
      <alignment horizontal="center"/>
    </xf>
    <xf numFmtId="0" fontId="31" fillId="3" borderId="0" xfId="7" quotePrefix="1" applyFont="1" applyFill="1" applyAlignment="1" applyProtection="1">
      <alignment horizontal="left"/>
    </xf>
    <xf numFmtId="0" fontId="31" fillId="3" borderId="0" xfId="7" quotePrefix="1" applyFont="1" applyFill="1" applyAlignment="1" applyProtection="1">
      <alignment horizontal="left"/>
      <protection locked="0"/>
    </xf>
    <xf numFmtId="0" fontId="22" fillId="3" borderId="0" xfId="7" applyFont="1" applyFill="1" applyProtection="1">
      <protection locked="0"/>
    </xf>
    <xf numFmtId="0" fontId="22" fillId="3" borderId="0" xfId="7" applyFont="1" applyFill="1" applyAlignment="1" applyProtection="1">
      <alignment horizontal="right"/>
      <protection locked="0"/>
    </xf>
    <xf numFmtId="0" fontId="22" fillId="4" borderId="0" xfId="7" applyFont="1" applyFill="1" applyProtection="1">
      <protection locked="0"/>
    </xf>
    <xf numFmtId="0" fontId="22" fillId="4" borderId="0" xfId="7" applyFont="1" applyFill="1" applyProtection="1"/>
    <xf numFmtId="0" fontId="22" fillId="4" borderId="17" xfId="7" applyFont="1" applyFill="1" applyBorder="1" applyProtection="1">
      <protection locked="0"/>
    </xf>
    <xf numFmtId="0" fontId="22" fillId="4" borderId="17" xfId="7" applyFont="1" applyFill="1" applyBorder="1" applyProtection="1"/>
    <xf numFmtId="0" fontId="22" fillId="3" borderId="0" xfId="7" quotePrefix="1" applyFont="1" applyFill="1" applyAlignment="1" applyProtection="1">
      <alignment horizontal="left"/>
    </xf>
    <xf numFmtId="0" fontId="37" fillId="3" borderId="0" xfId="7" applyFont="1" applyFill="1"/>
    <xf numFmtId="0" fontId="37" fillId="3" borderId="0" xfId="0" applyFont="1" applyFill="1"/>
    <xf numFmtId="49" fontId="22" fillId="3" borderId="0" xfId="7" applyNumberFormat="1" applyFont="1" applyFill="1" applyProtection="1"/>
    <xf numFmtId="0" fontId="38" fillId="3" borderId="0" xfId="7" applyFont="1" applyFill="1" applyBorder="1" applyAlignment="1" applyProtection="1">
      <protection hidden="1"/>
    </xf>
    <xf numFmtId="41" fontId="22" fillId="3" borderId="11" xfId="7" applyNumberFormat="1" applyFont="1" applyFill="1" applyBorder="1" applyProtection="1">
      <protection hidden="1"/>
    </xf>
    <xf numFmtId="41" fontId="31" fillId="3" borderId="11" xfId="2" applyNumberFormat="1" applyFont="1" applyFill="1" applyBorder="1" applyProtection="1">
      <protection hidden="1"/>
    </xf>
    <xf numFmtId="41" fontId="22" fillId="3" borderId="0" xfId="7" applyNumberFormat="1" applyFont="1" applyFill="1" applyProtection="1">
      <protection hidden="1"/>
    </xf>
    <xf numFmtId="41" fontId="22" fillId="3" borderId="0" xfId="7" applyNumberFormat="1" applyFont="1" applyFill="1" applyProtection="1"/>
    <xf numFmtId="41" fontId="31" fillId="4" borderId="11" xfId="2" applyNumberFormat="1" applyFont="1" applyFill="1" applyBorder="1" applyProtection="1">
      <protection locked="0" hidden="1"/>
    </xf>
    <xf numFmtId="41" fontId="31" fillId="3" borderId="18" xfId="2" applyNumberFormat="1" applyFont="1" applyFill="1" applyBorder="1" applyProtection="1">
      <protection hidden="1"/>
    </xf>
    <xf numFmtId="41" fontId="22" fillId="3" borderId="19" xfId="7" applyNumberFormat="1" applyFont="1" applyFill="1" applyBorder="1" applyProtection="1">
      <protection locked="0"/>
    </xf>
    <xf numFmtId="41" fontId="22" fillId="3" borderId="20" xfId="7" applyNumberFormat="1" applyFont="1" applyFill="1" applyBorder="1" applyProtection="1">
      <protection locked="0"/>
    </xf>
    <xf numFmtId="41" fontId="31" fillId="3" borderId="21" xfId="2" applyNumberFormat="1" applyFont="1" applyFill="1" applyBorder="1" applyProtection="1">
      <protection hidden="1"/>
    </xf>
    <xf numFmtId="41" fontId="22" fillId="3" borderId="10" xfId="7" applyNumberFormat="1" applyFont="1" applyFill="1" applyBorder="1" applyProtection="1"/>
    <xf numFmtId="41" fontId="22" fillId="3" borderId="15" xfId="7" applyNumberFormat="1" applyFont="1" applyFill="1" applyBorder="1" applyProtection="1">
      <protection hidden="1"/>
    </xf>
    <xf numFmtId="41" fontId="22" fillId="3" borderId="13" xfId="7" applyNumberFormat="1" applyFont="1" applyFill="1" applyBorder="1" applyProtection="1">
      <protection hidden="1"/>
    </xf>
    <xf numFmtId="41" fontId="31" fillId="3" borderId="22" xfId="2" applyNumberFormat="1" applyFont="1" applyFill="1" applyBorder="1" applyProtection="1">
      <protection hidden="1"/>
    </xf>
    <xf numFmtId="41" fontId="31" fillId="3" borderId="23" xfId="2" applyNumberFormat="1" applyFont="1" applyFill="1" applyBorder="1" applyProtection="1">
      <protection hidden="1"/>
    </xf>
    <xf numFmtId="0" fontId="0" fillId="0" borderId="0" xfId="0" applyAlignment="1">
      <alignment horizontal="left"/>
    </xf>
    <xf numFmtId="0" fontId="31" fillId="5" borderId="0" xfId="9" applyFont="1" applyFill="1" applyBorder="1" applyAlignment="1" applyProtection="1">
      <alignment horizontal="left"/>
    </xf>
    <xf numFmtId="0" fontId="22" fillId="5" borderId="0" xfId="0" applyFont="1" applyFill="1" applyBorder="1"/>
    <xf numFmtId="167" fontId="31" fillId="5" borderId="0" xfId="0" applyNumberFormat="1" applyFont="1" applyFill="1" applyBorder="1"/>
    <xf numFmtId="0" fontId="22" fillId="5" borderId="0" xfId="0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wrapText="1"/>
    </xf>
    <xf numFmtId="0" fontId="32" fillId="5" borderId="0" xfId="0" quotePrefix="1" applyFont="1" applyFill="1" applyAlignment="1">
      <alignment horizontal="left" indent="1"/>
    </xf>
    <xf numFmtId="0" fontId="31" fillId="5" borderId="0" xfId="0" applyFont="1" applyFill="1"/>
    <xf numFmtId="3" fontId="33" fillId="5" borderId="0" xfId="0" applyNumberFormat="1" applyFont="1" applyFill="1"/>
    <xf numFmtId="0" fontId="22" fillId="5" borderId="0" xfId="0" applyFont="1" applyFill="1" applyAlignment="1">
      <alignment horizontal="center"/>
    </xf>
    <xf numFmtId="0" fontId="22" fillId="5" borderId="0" xfId="0" quotePrefix="1" applyFont="1" applyFill="1" applyAlignment="1">
      <alignment horizontal="left"/>
    </xf>
    <xf numFmtId="3" fontId="22" fillId="5" borderId="0" xfId="0" applyNumberFormat="1" applyFont="1" applyFill="1" applyBorder="1"/>
    <xf numFmtId="0" fontId="22" fillId="5" borderId="0" xfId="0" applyFont="1" applyFill="1"/>
    <xf numFmtId="0" fontId="31" fillId="5" borderId="0" xfId="0" quotePrefix="1" applyFont="1" applyFill="1" applyAlignment="1">
      <alignment horizontal="left"/>
    </xf>
    <xf numFmtId="0" fontId="32" fillId="5" borderId="0" xfId="0" applyFont="1" applyFill="1" applyAlignment="1">
      <alignment horizontal="left" indent="1"/>
    </xf>
    <xf numFmtId="0" fontId="31" fillId="5" borderId="0" xfId="0" applyFont="1" applyFill="1" applyAlignment="1">
      <alignment horizontal="left"/>
    </xf>
    <xf numFmtId="0" fontId="1" fillId="0" borderId="0" xfId="0" applyFont="1"/>
    <xf numFmtId="170" fontId="22" fillId="4" borderId="0" xfId="0" applyNumberFormat="1" applyFont="1" applyFill="1" applyBorder="1" applyProtection="1">
      <protection locked="0"/>
    </xf>
    <xf numFmtId="0" fontId="22" fillId="0" borderId="1" xfId="0" applyFont="1" applyBorder="1" applyAlignment="1">
      <alignment horizontal="left"/>
    </xf>
    <xf numFmtId="49" fontId="22" fillId="3" borderId="1" xfId="9" applyNumberFormat="1" applyFont="1" applyFill="1" applyBorder="1" applyAlignment="1" applyProtection="1">
      <alignment horizontal="left"/>
    </xf>
    <xf numFmtId="41" fontId="22" fillId="3" borderId="1" xfId="0" applyNumberFormat="1" applyFont="1" applyFill="1" applyBorder="1" applyAlignment="1">
      <alignment horizontal="left"/>
    </xf>
    <xf numFmtId="166" fontId="22" fillId="3" borderId="1" xfId="1" applyNumberFormat="1" applyFont="1" applyFill="1" applyBorder="1" applyAlignment="1">
      <alignment horizontal="left"/>
    </xf>
    <xf numFmtId="167" fontId="22" fillId="3" borderId="1" xfId="9" applyNumberFormat="1" applyFont="1" applyFill="1" applyBorder="1" applyAlignment="1" applyProtection="1">
      <alignment horizontal="right"/>
    </xf>
    <xf numFmtId="0" fontId="22" fillId="0" borderId="1" xfId="0" applyFont="1" applyBorder="1" applyAlignment="1" applyProtection="1">
      <alignment horizontal="left" wrapText="1"/>
      <protection locked="0"/>
    </xf>
    <xf numFmtId="41" fontId="22" fillId="0" borderId="1" xfId="1" applyNumberFormat="1" applyFont="1" applyBorder="1" applyAlignment="1" applyProtection="1">
      <alignment horizontal="left"/>
      <protection locked="0"/>
    </xf>
    <xf numFmtId="0" fontId="22" fillId="0" borderId="1" xfId="1" applyNumberFormat="1" applyFont="1" applyBorder="1" applyAlignment="1" applyProtection="1">
      <alignment horizontal="left" wrapText="1"/>
      <protection locked="0"/>
    </xf>
    <xf numFmtId="14" fontId="22" fillId="0" borderId="1" xfId="0" applyNumberFormat="1" applyFont="1" applyBorder="1" applyAlignment="1" applyProtection="1">
      <alignment horizontal="left" wrapText="1"/>
      <protection locked="0"/>
    </xf>
    <xf numFmtId="41" fontId="22" fillId="0" borderId="1" xfId="1" quotePrefix="1" applyNumberFormat="1" applyFont="1" applyBorder="1" applyAlignment="1" applyProtection="1">
      <alignment horizontal="left"/>
      <protection locked="0"/>
    </xf>
    <xf numFmtId="3" fontId="22" fillId="0" borderId="1" xfId="1" applyNumberFormat="1" applyFont="1" applyBorder="1" applyAlignment="1" applyProtection="1">
      <alignment horizontal="left" wrapText="1"/>
      <protection locked="0"/>
    </xf>
    <xf numFmtId="41" fontId="22" fillId="0" borderId="1" xfId="0" applyNumberFormat="1" applyFont="1" applyBorder="1" applyAlignment="1" applyProtection="1">
      <alignment horizontal="left"/>
      <protection locked="0"/>
    </xf>
    <xf numFmtId="0" fontId="22" fillId="0" borderId="1" xfId="0" applyFont="1" applyFill="1" applyBorder="1" applyAlignment="1" applyProtection="1">
      <alignment horizontal="left" wrapText="1"/>
      <protection locked="0"/>
    </xf>
    <xf numFmtId="164" fontId="22" fillId="0" borderId="1" xfId="0" applyNumberFormat="1" applyFont="1" applyBorder="1" applyAlignment="1" applyProtection="1">
      <alignment horizontal="left" wrapText="1"/>
      <protection locked="0"/>
    </xf>
    <xf numFmtId="164" fontId="22" fillId="0" borderId="1" xfId="0" applyNumberFormat="1" applyFont="1" applyBorder="1" applyAlignment="1" applyProtection="1">
      <alignment horizontal="left"/>
      <protection locked="0"/>
    </xf>
    <xf numFmtId="41" fontId="22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 wrapText="1"/>
    </xf>
    <xf numFmtId="0" fontId="22" fillId="0" borderId="1" xfId="0" applyFont="1" applyBorder="1"/>
    <xf numFmtId="0" fontId="22" fillId="3" borderId="1" xfId="9" applyFont="1" applyFill="1" applyBorder="1" applyAlignment="1" applyProtection="1">
      <alignment horizontal="left"/>
    </xf>
    <xf numFmtId="0" fontId="29" fillId="3" borderId="1" xfId="0" applyFont="1" applyFill="1" applyBorder="1"/>
    <xf numFmtId="168" fontId="29" fillId="3" borderId="1" xfId="0" applyNumberFormat="1" applyFont="1" applyFill="1" applyBorder="1"/>
    <xf numFmtId="41" fontId="29" fillId="3" borderId="1" xfId="0" applyNumberFormat="1" applyFont="1" applyFill="1" applyBorder="1" applyAlignment="1">
      <alignment horizontal="right"/>
    </xf>
    <xf numFmtId="3" fontId="29" fillId="3" borderId="1" xfId="0" applyNumberFormat="1" applyFont="1" applyFill="1" applyBorder="1"/>
    <xf numFmtId="167" fontId="22" fillId="3" borderId="1" xfId="0" applyNumberFormat="1" applyFont="1" applyFill="1" applyBorder="1" applyAlignment="1">
      <alignment horizontal="right"/>
    </xf>
    <xf numFmtId="3" fontId="22" fillId="3" borderId="1" xfId="0" applyNumberFormat="1" applyFont="1" applyFill="1" applyBorder="1" applyAlignment="1">
      <alignment horizontal="center" wrapText="1"/>
    </xf>
    <xf numFmtId="0" fontId="29" fillId="0" borderId="1" xfId="0" applyFont="1" applyBorder="1" applyAlignment="1" applyProtection="1">
      <alignment wrapText="1"/>
      <protection locked="0"/>
    </xf>
    <xf numFmtId="0" fontId="29" fillId="0" borderId="1" xfId="0" applyFont="1" applyBorder="1" applyProtection="1">
      <protection locked="0"/>
    </xf>
    <xf numFmtId="168" fontId="29" fillId="0" borderId="1" xfId="0" applyNumberFormat="1" applyFont="1" applyBorder="1" applyProtection="1">
      <protection locked="0"/>
    </xf>
    <xf numFmtId="41" fontId="22" fillId="0" borderId="1" xfId="0" applyNumberFormat="1" applyFont="1" applyBorder="1" applyAlignment="1" applyProtection="1">
      <alignment horizontal="right"/>
      <protection locked="0"/>
    </xf>
    <xf numFmtId="3" fontId="22" fillId="0" borderId="1" xfId="0" applyNumberFormat="1" applyFont="1" applyBorder="1" applyProtection="1">
      <protection locked="0"/>
    </xf>
    <xf numFmtId="164" fontId="30" fillId="0" borderId="1" xfId="0" applyNumberFormat="1" applyFont="1" applyBorder="1" applyAlignment="1" applyProtection="1">
      <alignment wrapText="1"/>
      <protection locked="0"/>
    </xf>
    <xf numFmtId="168" fontId="30" fillId="0" borderId="1" xfId="0" applyNumberFormat="1" applyFont="1" applyBorder="1" applyAlignment="1" applyProtection="1">
      <alignment wrapText="1"/>
      <protection locked="0"/>
    </xf>
    <xf numFmtId="164" fontId="29" fillId="0" borderId="1" xfId="0" applyNumberFormat="1" applyFont="1" applyBorder="1" applyAlignment="1" applyProtection="1">
      <alignment wrapText="1"/>
      <protection locked="0"/>
    </xf>
    <xf numFmtId="168" fontId="29" fillId="0" borderId="1" xfId="0" applyNumberFormat="1" applyFont="1" applyBorder="1" applyAlignment="1" applyProtection="1">
      <alignment wrapText="1"/>
      <protection locked="0"/>
    </xf>
    <xf numFmtId="41" fontId="29" fillId="0" borderId="1" xfId="0" applyNumberFormat="1" applyFont="1" applyBorder="1" applyAlignment="1" applyProtection="1">
      <alignment horizontal="right"/>
      <protection locked="0"/>
    </xf>
    <xf numFmtId="3" fontId="29" fillId="0" borderId="1" xfId="0" applyNumberFormat="1" applyFont="1" applyBorder="1" applyProtection="1">
      <protection locked="0"/>
    </xf>
    <xf numFmtId="0" fontId="22" fillId="0" borderId="1" xfId="0" applyFont="1" applyBorder="1" applyProtection="1">
      <protection locked="0"/>
    </xf>
    <xf numFmtId="168" fontId="22" fillId="0" borderId="1" xfId="0" applyNumberFormat="1" applyFont="1" applyBorder="1" applyProtection="1">
      <protection locked="0"/>
    </xf>
    <xf numFmtId="168" fontId="22" fillId="0" borderId="1" xfId="0" applyNumberFormat="1" applyFont="1" applyBorder="1"/>
    <xf numFmtId="49" fontId="29" fillId="3" borderId="1" xfId="9" applyNumberFormat="1" applyFont="1" applyFill="1" applyBorder="1" applyAlignment="1" applyProtection="1">
      <alignment horizontal="left"/>
    </xf>
    <xf numFmtId="41" fontId="29" fillId="3" borderId="1" xfId="0" applyNumberFormat="1" applyFont="1" applyFill="1" applyBorder="1" applyAlignment="1">
      <alignment horizontal="left"/>
    </xf>
    <xf numFmtId="166" fontId="29" fillId="3" borderId="1" xfId="1" applyNumberFormat="1" applyFont="1" applyFill="1" applyBorder="1" applyAlignment="1"/>
    <xf numFmtId="167" fontId="29" fillId="3" borderId="1" xfId="9" applyNumberFormat="1" applyFont="1" applyFill="1" applyBorder="1" applyAlignment="1" applyProtection="1">
      <alignment horizontal="left"/>
    </xf>
    <xf numFmtId="0" fontId="22" fillId="0" borderId="1" xfId="1" applyNumberFormat="1" applyFont="1" applyBorder="1" applyAlignment="1" applyProtection="1">
      <alignment wrapText="1"/>
      <protection locked="0"/>
    </xf>
    <xf numFmtId="168" fontId="29" fillId="0" borderId="1" xfId="0" applyNumberFormat="1" applyFont="1" applyBorder="1" applyAlignment="1" applyProtection="1">
      <alignment horizontal="left" wrapText="1"/>
      <protection locked="0"/>
    </xf>
    <xf numFmtId="3" fontId="22" fillId="0" borderId="1" xfId="1" applyNumberFormat="1" applyFont="1" applyBorder="1" applyAlignment="1" applyProtection="1">
      <alignment wrapText="1"/>
      <protection locked="0"/>
    </xf>
    <xf numFmtId="0" fontId="29" fillId="0" borderId="1" xfId="0" applyFont="1" applyBorder="1" applyAlignment="1" applyProtection="1">
      <alignment horizontal="left" wrapText="1"/>
      <protection locked="0"/>
    </xf>
    <xf numFmtId="3" fontId="29" fillId="0" borderId="1" xfId="1" applyNumberFormat="1" applyFont="1" applyBorder="1" applyAlignment="1" applyProtection="1">
      <alignment wrapText="1"/>
      <protection locked="0"/>
    </xf>
    <xf numFmtId="41" fontId="22" fillId="0" borderId="1" xfId="1" quotePrefix="1" applyNumberFormat="1" applyFont="1" applyBorder="1" applyAlignment="1" applyProtection="1">
      <alignment horizontal="left" vertical="top"/>
      <protection locked="0"/>
    </xf>
    <xf numFmtId="3" fontId="29" fillId="0" borderId="1" xfId="1" applyNumberFormat="1" applyFont="1" applyBorder="1" applyAlignment="1" applyProtection="1">
      <alignment vertical="top" wrapText="1"/>
      <protection locked="0"/>
    </xf>
    <xf numFmtId="168" fontId="29" fillId="0" borderId="1" xfId="0" applyNumberFormat="1" applyFont="1" applyBorder="1" applyAlignment="1" applyProtection="1">
      <alignment horizontal="left" vertical="top" wrapText="1"/>
      <protection locked="0"/>
    </xf>
    <xf numFmtId="41" fontId="22" fillId="0" borderId="1" xfId="1" applyNumberFormat="1" applyFont="1" applyBorder="1" applyAlignment="1" applyProtection="1">
      <alignment horizontal="left" vertical="top"/>
      <protection locked="0"/>
    </xf>
    <xf numFmtId="41" fontId="29" fillId="0" borderId="1" xfId="1" quotePrefix="1" applyNumberFormat="1" applyFont="1" applyBorder="1" applyAlignment="1" applyProtection="1">
      <alignment horizontal="left" vertical="top"/>
      <protection locked="0"/>
    </xf>
    <xf numFmtId="168" fontId="29" fillId="0" borderId="1" xfId="0" applyNumberFormat="1" applyFont="1" applyFill="1" applyBorder="1" applyAlignment="1" applyProtection="1">
      <alignment horizontal="left" vertical="top" wrapText="1"/>
      <protection locked="0"/>
    </xf>
    <xf numFmtId="168" fontId="29" fillId="0" borderId="1" xfId="0" applyNumberFormat="1" applyFont="1" applyBorder="1" applyAlignment="1" applyProtection="1">
      <alignment horizontal="left"/>
      <protection locked="0"/>
    </xf>
    <xf numFmtId="0" fontId="22" fillId="0" borderId="1" xfId="0" applyFont="1" applyBorder="1" applyAlignment="1">
      <alignment wrapText="1"/>
    </xf>
    <xf numFmtId="168" fontId="22" fillId="0" borderId="1" xfId="0" applyNumberFormat="1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164" fontId="22" fillId="3" borderId="1" xfId="0" applyNumberFormat="1" applyFont="1" applyFill="1" applyBorder="1" applyAlignment="1">
      <alignment horizontal="left"/>
    </xf>
    <xf numFmtId="3" fontId="22" fillId="3" borderId="1" xfId="0" applyNumberFormat="1" applyFont="1" applyFill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 applyProtection="1">
      <alignment horizontal="left"/>
      <protection locked="0"/>
    </xf>
    <xf numFmtId="3" fontId="22" fillId="0" borderId="1" xfId="0" applyNumberFormat="1" applyFont="1" applyBorder="1" applyAlignment="1" applyProtection="1">
      <alignment horizontal="left"/>
      <protection locked="0"/>
    </xf>
    <xf numFmtId="49" fontId="24" fillId="4" borderId="6" xfId="0" applyNumberFormat="1" applyFont="1" applyFill="1" applyBorder="1" applyAlignment="1" applyProtection="1">
      <alignment horizontal="center"/>
      <protection locked="0"/>
    </xf>
    <xf numFmtId="0" fontId="23" fillId="3" borderId="24" xfId="0" applyFont="1" applyFill="1" applyBorder="1" applyAlignment="1" applyProtection="1">
      <alignment horizontal="center" wrapText="1"/>
    </xf>
    <xf numFmtId="0" fontId="24" fillId="4" borderId="7" xfId="0" applyFont="1" applyFill="1" applyBorder="1" applyAlignment="1" applyProtection="1">
      <alignment horizontal="left"/>
      <protection locked="0"/>
    </xf>
    <xf numFmtId="0" fontId="26" fillId="4" borderId="7" xfId="4" applyFont="1" applyFill="1" applyBorder="1" applyAlignment="1" applyProtection="1">
      <alignment horizontal="left"/>
      <protection locked="0"/>
    </xf>
    <xf numFmtId="18" fontId="39" fillId="3" borderId="0" xfId="0" applyNumberFormat="1" applyFont="1" applyFill="1" applyAlignment="1" applyProtection="1">
      <alignment horizontal="center"/>
    </xf>
    <xf numFmtId="0" fontId="39" fillId="3" borderId="0" xfId="0" applyFont="1" applyFill="1" applyAlignment="1" applyProtection="1">
      <alignment horizontal="center"/>
    </xf>
    <xf numFmtId="0" fontId="24" fillId="4" borderId="6" xfId="0" applyFont="1" applyFill="1" applyBorder="1" applyAlignment="1" applyProtection="1">
      <alignment horizontal="left"/>
      <protection locked="0"/>
    </xf>
    <xf numFmtId="0" fontId="23" fillId="3" borderId="0" xfId="0" applyFont="1" applyFill="1" applyAlignment="1" applyProtection="1">
      <alignment horizontal="center"/>
    </xf>
    <xf numFmtId="169" fontId="24" fillId="4" borderId="7" xfId="0" quotePrefix="1" applyNumberFormat="1" applyFont="1" applyFill="1" applyBorder="1" applyAlignment="1" applyProtection="1">
      <alignment horizontal="center"/>
      <protection locked="0"/>
    </xf>
    <xf numFmtId="169" fontId="24" fillId="4" borderId="7" xfId="0" applyNumberFormat="1" applyFont="1" applyFill="1" applyBorder="1" applyAlignment="1" applyProtection="1">
      <alignment horizontal="center"/>
      <protection locked="0"/>
    </xf>
    <xf numFmtId="166" fontId="31" fillId="3" borderId="1" xfId="1" quotePrefix="1" applyNumberFormat="1" applyFont="1" applyFill="1" applyBorder="1" applyAlignment="1">
      <alignment horizontal="center"/>
    </xf>
    <xf numFmtId="166" fontId="31" fillId="3" borderId="1" xfId="1" applyNumberFormat="1" applyFont="1" applyFill="1" applyBorder="1" applyAlignment="1">
      <alignment horizontal="center"/>
    </xf>
    <xf numFmtId="3" fontId="39" fillId="3" borderId="1" xfId="0" applyNumberFormat="1" applyFont="1" applyFill="1" applyBorder="1" applyAlignment="1">
      <alignment horizontal="center"/>
    </xf>
    <xf numFmtId="3" fontId="39" fillId="5" borderId="0" xfId="0" applyNumberFormat="1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quotePrefix="1" applyFont="1" applyFill="1" applyAlignment="1">
      <alignment horizontal="center"/>
    </xf>
    <xf numFmtId="0" fontId="39" fillId="5" borderId="0" xfId="0" applyFont="1" applyFill="1" applyBorder="1" applyAlignment="1">
      <alignment horizontal="center"/>
    </xf>
    <xf numFmtId="166" fontId="39" fillId="3" borderId="1" xfId="1" quotePrefix="1" applyNumberFormat="1" applyFont="1" applyFill="1" applyBorder="1" applyAlignment="1">
      <alignment horizontal="center"/>
    </xf>
    <xf numFmtId="166" fontId="39" fillId="3" borderId="1" xfId="1" applyNumberFormat="1" applyFont="1" applyFill="1" applyBorder="1" applyAlignment="1">
      <alignment horizontal="center"/>
    </xf>
    <xf numFmtId="0" fontId="22" fillId="3" borderId="0" xfId="7" quotePrefix="1" applyFont="1" applyFill="1" applyAlignment="1" applyProtection="1">
      <alignment horizontal="left"/>
    </xf>
    <xf numFmtId="0" fontId="22" fillId="3" borderId="0" xfId="7" applyFont="1" applyFill="1" applyAlignment="1" applyProtection="1">
      <alignment horizontal="left"/>
    </xf>
    <xf numFmtId="0" fontId="31" fillId="3" borderId="9" xfId="7" applyFont="1" applyFill="1" applyBorder="1" applyAlignment="1" applyProtection="1">
      <alignment horizontal="center"/>
    </xf>
    <xf numFmtId="0" fontId="31" fillId="3" borderId="10" xfId="7" applyFont="1" applyFill="1" applyBorder="1" applyAlignment="1" applyProtection="1">
      <alignment horizontal="center"/>
    </xf>
    <xf numFmtId="0" fontId="31" fillId="3" borderId="0" xfId="7" applyFont="1" applyFill="1" applyAlignment="1" applyProtection="1">
      <alignment horizontal="center"/>
    </xf>
    <xf numFmtId="0" fontId="22" fillId="3" borderId="0" xfId="7" applyFont="1" applyFill="1" applyAlignment="1" applyProtection="1">
      <alignment horizontal="center"/>
    </xf>
    <xf numFmtId="3" fontId="39" fillId="3" borderId="0" xfId="0" applyNumberFormat="1" applyFont="1" applyFill="1" applyBorder="1" applyAlignment="1" applyProtection="1">
      <alignment horizontal="center"/>
    </xf>
    <xf numFmtId="0" fontId="39" fillId="3" borderId="0" xfId="0" applyFont="1" applyFill="1" applyBorder="1" applyAlignment="1" applyProtection="1">
      <alignment horizontal="center"/>
    </xf>
    <xf numFmtId="0" fontId="40" fillId="3" borderId="25" xfId="8" applyFont="1" applyFill="1" applyBorder="1" applyAlignment="1" applyProtection="1">
      <alignment horizontal="center"/>
    </xf>
    <xf numFmtId="0" fontId="40" fillId="3" borderId="0" xfId="8" applyFont="1" applyFill="1" applyBorder="1" applyAlignment="1" applyProtection="1">
      <alignment horizontal="center"/>
    </xf>
    <xf numFmtId="0" fontId="40" fillId="3" borderId="9" xfId="8" applyFont="1" applyFill="1" applyBorder="1" applyAlignment="1" applyProtection="1">
      <alignment horizontal="center"/>
    </xf>
    <xf numFmtId="0" fontId="31" fillId="3" borderId="0" xfId="7" applyFont="1" applyFill="1" applyBorder="1" applyAlignment="1" applyProtection="1">
      <alignment horizontal="center"/>
    </xf>
    <xf numFmtId="0" fontId="31" fillId="3" borderId="14" xfId="7" applyFont="1" applyFill="1" applyBorder="1" applyAlignment="1" applyProtection="1">
      <alignment horizontal="center"/>
    </xf>
    <xf numFmtId="0" fontId="31" fillId="3" borderId="21" xfId="7" applyFont="1" applyFill="1" applyBorder="1" applyAlignment="1" applyProtection="1">
      <alignment horizontal="center"/>
    </xf>
    <xf numFmtId="0" fontId="3" fillId="0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2" fillId="0" borderId="0" xfId="0" quotePrefix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7" fillId="0" borderId="26" xfId="6" applyBorder="1" applyAlignment="1">
      <alignment wrapText="1"/>
    </xf>
    <xf numFmtId="0" fontId="17" fillId="0" borderId="3" xfId="6" applyBorder="1" applyAlignment="1">
      <alignment wrapText="1"/>
    </xf>
    <xf numFmtId="44" fontId="31" fillId="5" borderId="8" xfId="3" applyFont="1" applyFill="1" applyBorder="1"/>
    <xf numFmtId="44" fontId="22" fillId="5" borderId="0" xfId="3" applyFont="1" applyFill="1" applyBorder="1"/>
    <xf numFmtId="44" fontId="22" fillId="5" borderId="7" xfId="3" applyFont="1" applyFill="1" applyBorder="1"/>
    <xf numFmtId="44" fontId="22" fillId="5" borderId="8" xfId="3" applyFont="1" applyFill="1" applyBorder="1"/>
    <xf numFmtId="44" fontId="22" fillId="4" borderId="0" xfId="3" applyFont="1" applyFill="1" applyBorder="1" applyProtection="1">
      <protection locked="0"/>
    </xf>
    <xf numFmtId="41" fontId="22" fillId="3" borderId="20" xfId="7" applyNumberFormat="1" applyFont="1" applyFill="1" applyBorder="1" applyProtection="1"/>
  </cellXfs>
  <cellStyles count="10">
    <cellStyle name="Comma" xfId="1" builtinId="3"/>
    <cellStyle name="Comma 2" xfId="2"/>
    <cellStyle name="Currency" xfId="3" builtinId="4"/>
    <cellStyle name="Hyperlink" xfId="4" builtinId="8"/>
    <cellStyle name="Normal" xfId="0" builtinId="0"/>
    <cellStyle name="Normal 2" xfId="5"/>
    <cellStyle name="Normal 2 2" xfId="6"/>
    <cellStyle name="Normal 3" xfId="7"/>
    <cellStyle name="Normal_Budget File" xfId="8"/>
    <cellStyle name="Normal_STEVEMA" xfId="9"/>
  </cellStyles>
  <dxfs count="6">
    <dxf>
      <fill>
        <patternFill>
          <bgColor indexed="29"/>
        </patternFill>
      </fill>
    </dxf>
    <dxf>
      <font>
        <strike/>
        <condense val="0"/>
        <extend val="0"/>
        <color auto="1"/>
      </font>
      <fill>
        <patternFill>
          <bgColor indexed="29"/>
        </patternFill>
      </fill>
    </dxf>
    <dxf>
      <font>
        <strike/>
        <condense val="0"/>
        <extend val="0"/>
        <color auto="1"/>
      </font>
      <fill>
        <patternFill>
          <bgColor indexed="29"/>
        </patternFill>
      </fill>
    </dxf>
    <dxf>
      <font>
        <strike/>
      </font>
    </dxf>
    <dxf>
      <font>
        <strike/>
        <condense val="0"/>
        <extend val="0"/>
        <color auto="1"/>
      </font>
      <fill>
        <patternFill>
          <bgColor indexed="29"/>
        </patternFill>
      </fill>
    </dxf>
    <dxf>
      <font>
        <strike/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95250</xdr:colOff>
          <xdr:row>0</xdr:row>
          <xdr:rowOff>123825</xdr:rowOff>
        </xdr:from>
        <xdr:to>
          <xdr:col>5</xdr:col>
          <xdr:colOff>381000</xdr:colOff>
          <xdr:row>50</xdr:row>
          <xdr:rowOff>123825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114300</xdr:colOff>
          <xdr:row>52</xdr:row>
          <xdr:rowOff>9525</xdr:rowOff>
        </xdr:from>
        <xdr:to>
          <xdr:col>5</xdr:col>
          <xdr:colOff>381000</xdr:colOff>
          <xdr:row>104</xdr:row>
          <xdr:rowOff>123825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etitive%20Grants/Recruitment%20and%20Retention/FY%2007-08/Budgets/0010-66,%20Maplet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etitive%20Grants/Title%20I%20-%20SI%20-%20School%20%20Improvement/Cohort%207/Year%201/SIG%20Budget%20Template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rly.cde.state.co.us/exchange/morgan_s/Inbox/DIP%20Budget%20Template%20in%20process.xls.EML/DIP%20Budget%20Template%20in%20process.xls/C58EA28C-18C0-4a97-9AF2-036E93DDAFB3/CDDRE%20Budget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ad%20to%20Achieve\Budget%20File%20Examp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ETITIVE%20GRANTS/Read%20to%20Achieve/FY%2007-08,%2008-09,%2009-10/Budget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Budget Summary"/>
      <sheetName val="5-Annual Financial Report"/>
      <sheetName val="6-District Code Table"/>
      <sheetName val="7-Error Checking"/>
      <sheetName val="List Data"/>
      <sheetName val="Calculation Detail"/>
      <sheetName val="Indirect Rate FY 07-08"/>
      <sheetName val="AFR Variance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>
        <row r="1">
          <cell r="A1" t="str">
            <v>Original Budget</v>
          </cell>
          <cell r="C1" t="str">
            <v>Salaries (0100)</v>
          </cell>
        </row>
        <row r="2">
          <cell r="A2" t="str">
            <v>Revised Budget</v>
          </cell>
          <cell r="C2" t="str">
            <v>Employee Benefits (0200)</v>
          </cell>
        </row>
        <row r="3">
          <cell r="C3" t="str">
            <v>Purchased Professional &amp; Technical Services (0300)</v>
          </cell>
        </row>
        <row r="4">
          <cell r="C4" t="str">
            <v>Purchased Property Services (0400)</v>
          </cell>
        </row>
        <row r="5">
          <cell r="C5" t="str">
            <v>Other Purchased Services (0500)</v>
          </cell>
        </row>
        <row r="6">
          <cell r="C6" t="str">
            <v>Supplies (0600)</v>
          </cell>
        </row>
        <row r="7">
          <cell r="C7" t="str">
            <v>Property (0700)</v>
          </cell>
        </row>
        <row r="8">
          <cell r="C8" t="str">
            <v>Other (0800)</v>
          </cell>
        </row>
        <row r="11">
          <cell r="C11" t="str">
            <v>Instructional Program</v>
          </cell>
        </row>
        <row r="12">
          <cell r="C12" t="str">
            <v>Support Program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a-Budget Summary-Year 1"/>
      <sheetName val="5b-Budget Summary-Year 2"/>
      <sheetName val="6a-AFR Expenditure Detail"/>
      <sheetName val="6b-AFR Equipment Detail"/>
      <sheetName val="7-Annual Financial Report"/>
      <sheetName val="8-Error Checking"/>
      <sheetName val="9-Indirect Rates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Original Budget</v>
          </cell>
          <cell r="D1" t="str">
            <v>Instructional Program - Salaries (0100)</v>
          </cell>
        </row>
        <row r="2">
          <cell r="A2" t="str">
            <v>Revised Budget</v>
          </cell>
          <cell r="D2" t="str">
            <v>Instructional Program - Employee Benefits (0200)</v>
          </cell>
        </row>
        <row r="3">
          <cell r="A3" t="str">
            <v>Annual Financial Report</v>
          </cell>
          <cell r="D3" t="str">
            <v>Instructional Program - Purchased Professional &amp; Technical Services (0300)</v>
          </cell>
        </row>
        <row r="4">
          <cell r="A4" t="str">
            <v>Revised Annual Financial Report</v>
          </cell>
          <cell r="D4" t="str">
            <v>Instructional Program - Other Purchased Services (0500)</v>
          </cell>
        </row>
        <row r="5">
          <cell r="A5" t="str">
            <v>Project 1-Year 1</v>
          </cell>
          <cell r="D5" t="str">
            <v>Instructional Program - Travel, Registration and Entrance (0580)</v>
          </cell>
        </row>
        <row r="6">
          <cell r="A6" t="str">
            <v>Project 2-Year 1</v>
          </cell>
          <cell r="D6" t="str">
            <v>Instructional Program - Supplies (0600)</v>
          </cell>
        </row>
        <row r="7">
          <cell r="A7" t="str">
            <v>Project 3-Year 1</v>
          </cell>
          <cell r="D7" t="str">
            <v>Support Program - Salaries (0100)</v>
          </cell>
        </row>
        <row r="8">
          <cell r="A8" t="str">
            <v>Project 4-Year 1</v>
          </cell>
          <cell r="D8" t="str">
            <v>Support Program - Employee Benefits (0200)</v>
          </cell>
        </row>
        <row r="9">
          <cell r="A9" t="str">
            <v>Project 5-Year 1</v>
          </cell>
          <cell r="D9" t="str">
            <v>Support Program - Purchased Professional &amp; Technical Services (0300)</v>
          </cell>
        </row>
        <row r="10">
          <cell r="A10" t="str">
            <v>Project 1-Year 2</v>
          </cell>
          <cell r="D10" t="str">
            <v>Support Program - Other Purchased Services (0500)</v>
          </cell>
        </row>
        <row r="11">
          <cell r="A11" t="str">
            <v>Project 2-Year 2</v>
          </cell>
          <cell r="D11" t="str">
            <v>Support Program - Travel, Registration and Entrance (0580)</v>
          </cell>
        </row>
        <row r="12">
          <cell r="A12" t="str">
            <v>Project 3-Year 2</v>
          </cell>
          <cell r="D12" t="str">
            <v>Support Program - Supplies (0600)</v>
          </cell>
        </row>
        <row r="13">
          <cell r="A13" t="str">
            <v>Project 4-Year 2</v>
          </cell>
        </row>
        <row r="14">
          <cell r="A14" t="str">
            <v>Project 5-Year 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-Budget Summary"/>
      <sheetName val="6-AFR Detail"/>
      <sheetName val="7-AFR Equipment"/>
      <sheetName val="8-Annual Financial Report"/>
      <sheetName val="6-Error Checking"/>
      <sheetName val="7-Indirect Rates"/>
      <sheetName val="Other"/>
    </sheetNames>
    <sheetDataSet>
      <sheetData sheetId="0" refreshError="1"/>
      <sheetData sheetId="1">
        <row r="4">
          <cell r="C4" t="str">
            <v>9160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A5" t="str">
            <v>Year2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-Budget Summary"/>
      <sheetName val="6-Error Checking"/>
      <sheetName val="7-Rate Table"/>
      <sheetName val="Other"/>
      <sheetName val="Calculation Equipment"/>
      <sheetName val="Calculation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">
          <cell r="C6">
            <v>14400</v>
          </cell>
          <cell r="E6" t="str">
            <v>0100-Year1</v>
          </cell>
        </row>
        <row r="7">
          <cell r="C7">
            <v>45150</v>
          </cell>
          <cell r="E7" t="str">
            <v>0100-Year1</v>
          </cell>
        </row>
        <row r="8">
          <cell r="C8">
            <v>15300</v>
          </cell>
          <cell r="E8" t="str">
            <v>0100-Year1</v>
          </cell>
        </row>
        <row r="9">
          <cell r="C9">
            <v>510</v>
          </cell>
          <cell r="E9" t="str">
            <v>0100-Year1</v>
          </cell>
        </row>
        <row r="10">
          <cell r="C10">
            <v>14465</v>
          </cell>
          <cell r="E10" t="str">
            <v>0200-Year1</v>
          </cell>
        </row>
        <row r="11">
          <cell r="C11">
            <v>6690</v>
          </cell>
          <cell r="E11" t="str">
            <v>0300-Year1</v>
          </cell>
        </row>
        <row r="12">
          <cell r="C12">
            <v>1755</v>
          </cell>
          <cell r="E12" t="str">
            <v>0300-Year1</v>
          </cell>
        </row>
        <row r="13">
          <cell r="C13">
            <v>22355</v>
          </cell>
          <cell r="E13" t="str">
            <v>0580-Year1</v>
          </cell>
        </row>
        <row r="14">
          <cell r="C14">
            <v>4221</v>
          </cell>
          <cell r="E14" t="str">
            <v>Cost-Year1</v>
          </cell>
        </row>
        <row r="15">
          <cell r="C15">
            <v>22606</v>
          </cell>
          <cell r="E15" t="str">
            <v>0100-Year2</v>
          </cell>
        </row>
        <row r="16">
          <cell r="C16">
            <v>98666</v>
          </cell>
          <cell r="E16" t="str">
            <v>0100-Year2</v>
          </cell>
        </row>
        <row r="17">
          <cell r="C17">
            <v>1</v>
          </cell>
          <cell r="E17" t="str">
            <v>0100-Year2</v>
          </cell>
        </row>
        <row r="18">
          <cell r="C18">
            <v>1</v>
          </cell>
          <cell r="E18" t="str">
            <v>0100-Year2</v>
          </cell>
        </row>
        <row r="19">
          <cell r="C19">
            <v>27173</v>
          </cell>
          <cell r="E19" t="str">
            <v>0200-Year2</v>
          </cell>
        </row>
        <row r="20">
          <cell r="C20">
            <v>22788</v>
          </cell>
          <cell r="E20" t="str">
            <v>0300-Year2</v>
          </cell>
        </row>
        <row r="21">
          <cell r="C21">
            <v>1</v>
          </cell>
          <cell r="E21" t="str">
            <v>0580-Year2</v>
          </cell>
        </row>
        <row r="22">
          <cell r="C22">
            <v>38856</v>
          </cell>
          <cell r="E22" t="str">
            <v>0600-Year2</v>
          </cell>
        </row>
        <row r="23">
          <cell r="C23">
            <v>4221</v>
          </cell>
          <cell r="E23" t="str">
            <v>Cost-Year2</v>
          </cell>
        </row>
        <row r="24">
          <cell r="C24">
            <v>7500</v>
          </cell>
          <cell r="E24" t="str">
            <v>0100-Year3</v>
          </cell>
        </row>
        <row r="25">
          <cell r="C25">
            <v>46504</v>
          </cell>
          <cell r="E25" t="str">
            <v>0100-Year3</v>
          </cell>
        </row>
        <row r="26">
          <cell r="C26">
            <v>16200</v>
          </cell>
          <cell r="E26" t="str">
            <v>0100-Year3</v>
          </cell>
        </row>
        <row r="27">
          <cell r="C27">
            <v>540</v>
          </cell>
          <cell r="E27" t="str">
            <v>0100-Year3</v>
          </cell>
        </row>
        <row r="28">
          <cell r="C28">
            <v>13866</v>
          </cell>
          <cell r="E28" t="str">
            <v>0200-Year3</v>
          </cell>
        </row>
        <row r="29">
          <cell r="C29">
            <v>2230</v>
          </cell>
          <cell r="E29" t="str">
            <v>0300-Year3</v>
          </cell>
        </row>
        <row r="30">
          <cell r="C30">
            <v>12530</v>
          </cell>
          <cell r="E30" t="str">
            <v>0580-Year3</v>
          </cell>
        </row>
        <row r="31">
          <cell r="C31">
            <v>21282</v>
          </cell>
          <cell r="E31" t="str">
            <v>0600-Year3</v>
          </cell>
        </row>
        <row r="32">
          <cell r="C32">
            <v>4221</v>
          </cell>
          <cell r="E32" t="str">
            <v>Cost-Year3</v>
          </cell>
        </row>
        <row r="33">
          <cell r="C33">
            <v>4950</v>
          </cell>
          <cell r="E33" t="str">
            <v>0100-Year1</v>
          </cell>
        </row>
        <row r="34">
          <cell r="C34">
            <v>4050</v>
          </cell>
          <cell r="E34" t="str">
            <v>0580-Year1</v>
          </cell>
        </row>
        <row r="35">
          <cell r="C35">
            <v>2500</v>
          </cell>
          <cell r="E35" t="str">
            <v>0100-Year1</v>
          </cell>
        </row>
        <row r="36">
          <cell r="C36">
            <v>2500</v>
          </cell>
          <cell r="E36" t="str">
            <v>0580-Year1</v>
          </cell>
        </row>
        <row r="37">
          <cell r="C37">
            <v>0</v>
          </cell>
          <cell r="E37" t="str">
            <v>0-0</v>
          </cell>
        </row>
        <row r="38">
          <cell r="C38">
            <v>0</v>
          </cell>
          <cell r="E38" t="str">
            <v>0-0</v>
          </cell>
        </row>
        <row r="39">
          <cell r="C39">
            <v>0</v>
          </cell>
          <cell r="E39" t="str">
            <v>0-0</v>
          </cell>
        </row>
        <row r="40">
          <cell r="C40">
            <v>0</v>
          </cell>
          <cell r="E40" t="str">
            <v>0-0</v>
          </cell>
        </row>
        <row r="41">
          <cell r="C41">
            <v>0</v>
          </cell>
          <cell r="E41" t="str">
            <v>0-0</v>
          </cell>
        </row>
        <row r="42">
          <cell r="C42">
            <v>0</v>
          </cell>
          <cell r="E42" t="str">
            <v>0-0</v>
          </cell>
        </row>
        <row r="43">
          <cell r="C43">
            <v>0</v>
          </cell>
          <cell r="E43" t="str">
            <v>0-0</v>
          </cell>
        </row>
        <row r="44">
          <cell r="C44">
            <v>0</v>
          </cell>
          <cell r="E44" t="str">
            <v>0-0</v>
          </cell>
        </row>
        <row r="45">
          <cell r="C45">
            <v>0</v>
          </cell>
          <cell r="E45" t="str">
            <v>0-0</v>
          </cell>
        </row>
        <row r="46">
          <cell r="C46">
            <v>0</v>
          </cell>
          <cell r="E46" t="str">
            <v>0-0</v>
          </cell>
        </row>
        <row r="47">
          <cell r="C47">
            <v>0</v>
          </cell>
          <cell r="E47" t="str">
            <v>0-0</v>
          </cell>
        </row>
        <row r="48">
          <cell r="C48">
            <v>0</v>
          </cell>
          <cell r="E48" t="str">
            <v>0-0</v>
          </cell>
        </row>
        <row r="49">
          <cell r="C49">
            <v>0</v>
          </cell>
          <cell r="E49" t="str">
            <v>0-0</v>
          </cell>
        </row>
        <row r="50">
          <cell r="C50">
            <v>0</v>
          </cell>
          <cell r="E50" t="str">
            <v>0-0</v>
          </cell>
        </row>
        <row r="51">
          <cell r="C51">
            <v>0</v>
          </cell>
          <cell r="E51" t="str">
            <v>0-0</v>
          </cell>
        </row>
        <row r="52">
          <cell r="C52">
            <v>0</v>
          </cell>
          <cell r="E52" t="str">
            <v>0-0</v>
          </cell>
        </row>
        <row r="53">
          <cell r="C53">
            <v>0</v>
          </cell>
          <cell r="E53" t="str">
            <v>0-0</v>
          </cell>
        </row>
        <row r="54">
          <cell r="C54">
            <v>0</v>
          </cell>
          <cell r="E54" t="str">
            <v>0-0</v>
          </cell>
        </row>
        <row r="55">
          <cell r="C55">
            <v>0</v>
          </cell>
          <cell r="E55" t="str">
            <v>0-0</v>
          </cell>
        </row>
        <row r="56">
          <cell r="C56">
            <v>0</v>
          </cell>
          <cell r="E56" t="str">
            <v>0-0</v>
          </cell>
        </row>
        <row r="57">
          <cell r="C57">
            <v>0</v>
          </cell>
          <cell r="E57" t="str">
            <v>0-0</v>
          </cell>
        </row>
        <row r="58">
          <cell r="C58">
            <v>0</v>
          </cell>
          <cell r="E58" t="str">
            <v>0-0</v>
          </cell>
        </row>
        <row r="59">
          <cell r="C59">
            <v>0</v>
          </cell>
          <cell r="E59" t="str">
            <v>0-0</v>
          </cell>
        </row>
        <row r="60">
          <cell r="C60">
            <v>0</v>
          </cell>
          <cell r="E60" t="str">
            <v>0-0</v>
          </cell>
        </row>
        <row r="61">
          <cell r="C61">
            <v>0</v>
          </cell>
          <cell r="E61" t="str">
            <v>0-0</v>
          </cell>
        </row>
        <row r="62">
          <cell r="C62">
            <v>0</v>
          </cell>
          <cell r="E62" t="str">
            <v>0-0</v>
          </cell>
        </row>
        <row r="63">
          <cell r="C63">
            <v>0</v>
          </cell>
          <cell r="E63" t="str">
            <v>0-0</v>
          </cell>
        </row>
        <row r="64">
          <cell r="C64">
            <v>0</v>
          </cell>
          <cell r="E64" t="str">
            <v>0-0</v>
          </cell>
        </row>
        <row r="65">
          <cell r="C65">
            <v>0</v>
          </cell>
          <cell r="E65" t="str">
            <v>0-0</v>
          </cell>
        </row>
        <row r="66">
          <cell r="C66">
            <v>0</v>
          </cell>
          <cell r="E66" t="str">
            <v>0-0</v>
          </cell>
        </row>
        <row r="67">
          <cell r="C67">
            <v>0</v>
          </cell>
          <cell r="E67" t="str">
            <v>0-0</v>
          </cell>
        </row>
        <row r="68">
          <cell r="C68">
            <v>0</v>
          </cell>
          <cell r="E68" t="str">
            <v>0-0</v>
          </cell>
        </row>
        <row r="69">
          <cell r="C69">
            <v>0</v>
          </cell>
          <cell r="E69" t="str">
            <v>0-0</v>
          </cell>
        </row>
        <row r="70">
          <cell r="C70">
            <v>0</v>
          </cell>
          <cell r="E70" t="str">
            <v>0-0</v>
          </cell>
        </row>
        <row r="71">
          <cell r="C71">
            <v>0</v>
          </cell>
          <cell r="E71" t="str">
            <v>0-0</v>
          </cell>
        </row>
        <row r="72">
          <cell r="C72">
            <v>0</v>
          </cell>
          <cell r="E72" t="str">
            <v>0-0</v>
          </cell>
        </row>
        <row r="73">
          <cell r="C73">
            <v>0</v>
          </cell>
          <cell r="E73" t="str">
            <v>0-0</v>
          </cell>
        </row>
        <row r="74">
          <cell r="C74">
            <v>0</v>
          </cell>
          <cell r="E74" t="str">
            <v>0-0</v>
          </cell>
        </row>
        <row r="75">
          <cell r="C75">
            <v>0</v>
          </cell>
          <cell r="E75" t="str">
            <v>0-0</v>
          </cell>
        </row>
        <row r="76">
          <cell r="C76">
            <v>0</v>
          </cell>
          <cell r="E76" t="str">
            <v>0-0</v>
          </cell>
        </row>
        <row r="77">
          <cell r="C77">
            <v>0</v>
          </cell>
          <cell r="E77" t="str">
            <v>0-0</v>
          </cell>
        </row>
        <row r="78">
          <cell r="C78">
            <v>0</v>
          </cell>
          <cell r="E78" t="str">
            <v>0-0</v>
          </cell>
        </row>
        <row r="79">
          <cell r="C79">
            <v>0</v>
          </cell>
          <cell r="E79" t="str">
            <v>0-0</v>
          </cell>
        </row>
        <row r="80">
          <cell r="C80">
            <v>0</v>
          </cell>
          <cell r="E80" t="str">
            <v>0-0</v>
          </cell>
        </row>
        <row r="81">
          <cell r="C81">
            <v>0</v>
          </cell>
          <cell r="E81" t="str">
            <v>0-0</v>
          </cell>
        </row>
        <row r="82">
          <cell r="C82">
            <v>0</v>
          </cell>
          <cell r="E82" t="str">
            <v>0-0</v>
          </cell>
        </row>
        <row r="83">
          <cell r="C83">
            <v>0</v>
          </cell>
          <cell r="E83" t="str">
            <v>0-0</v>
          </cell>
        </row>
        <row r="84">
          <cell r="C84">
            <v>0</v>
          </cell>
          <cell r="E84" t="str">
            <v>0-0</v>
          </cell>
        </row>
        <row r="85">
          <cell r="C85">
            <v>0</v>
          </cell>
          <cell r="E85" t="str">
            <v>0-0</v>
          </cell>
        </row>
        <row r="86">
          <cell r="C86">
            <v>0</v>
          </cell>
          <cell r="E86" t="str">
            <v>0-0</v>
          </cell>
        </row>
        <row r="87">
          <cell r="C87">
            <v>0</v>
          </cell>
          <cell r="E87" t="str">
            <v>0-0</v>
          </cell>
        </row>
        <row r="88">
          <cell r="C88">
            <v>0</v>
          </cell>
          <cell r="E88" t="str">
            <v>0-0</v>
          </cell>
        </row>
        <row r="89">
          <cell r="C89">
            <v>0</v>
          </cell>
          <cell r="E89" t="str">
            <v>0-0</v>
          </cell>
        </row>
        <row r="90">
          <cell r="C90">
            <v>0</v>
          </cell>
          <cell r="E90" t="str">
            <v>0-0</v>
          </cell>
        </row>
        <row r="91">
          <cell r="C91">
            <v>0</v>
          </cell>
          <cell r="E91" t="str">
            <v>0-0</v>
          </cell>
        </row>
        <row r="92">
          <cell r="C92">
            <v>0</v>
          </cell>
          <cell r="E92" t="str">
            <v>0-0</v>
          </cell>
        </row>
        <row r="93">
          <cell r="C93">
            <v>0</v>
          </cell>
          <cell r="E93" t="str">
            <v>0-0</v>
          </cell>
        </row>
        <row r="94">
          <cell r="C94">
            <v>0</v>
          </cell>
          <cell r="E94" t="str">
            <v>0-0</v>
          </cell>
        </row>
        <row r="95">
          <cell r="C95">
            <v>0</v>
          </cell>
          <cell r="E95" t="str">
            <v>0-0</v>
          </cell>
        </row>
        <row r="96">
          <cell r="C96">
            <v>0</v>
          </cell>
          <cell r="E96" t="str">
            <v>0-0</v>
          </cell>
        </row>
        <row r="97">
          <cell r="C97">
            <v>0</v>
          </cell>
          <cell r="E97" t="str">
            <v>0-0</v>
          </cell>
        </row>
        <row r="98">
          <cell r="C98">
            <v>0</v>
          </cell>
          <cell r="E98" t="str">
            <v>0-0</v>
          </cell>
        </row>
        <row r="99">
          <cell r="C99">
            <v>0</v>
          </cell>
          <cell r="E99" t="str">
            <v>0-0</v>
          </cell>
        </row>
        <row r="100">
          <cell r="C100">
            <v>0</v>
          </cell>
          <cell r="E100" t="str">
            <v>0-0</v>
          </cell>
        </row>
        <row r="101">
          <cell r="C101">
            <v>0</v>
          </cell>
          <cell r="E101" t="str">
            <v>0-0</v>
          </cell>
        </row>
        <row r="102">
          <cell r="C102">
            <v>0</v>
          </cell>
          <cell r="E102" t="str">
            <v>0-0</v>
          </cell>
        </row>
        <row r="103">
          <cell r="C103">
            <v>0</v>
          </cell>
          <cell r="E103" t="str">
            <v>0-0</v>
          </cell>
        </row>
        <row r="104">
          <cell r="C104">
            <v>0</v>
          </cell>
          <cell r="E104" t="str">
            <v>0-0</v>
          </cell>
        </row>
        <row r="105">
          <cell r="C105">
            <v>0</v>
          </cell>
          <cell r="E105" t="str">
            <v>0-0</v>
          </cell>
        </row>
        <row r="106">
          <cell r="C106">
            <v>0</v>
          </cell>
          <cell r="E106" t="str">
            <v>0-0</v>
          </cell>
        </row>
        <row r="107">
          <cell r="C107">
            <v>0</v>
          </cell>
          <cell r="E107" t="str">
            <v>0-0</v>
          </cell>
        </row>
        <row r="108">
          <cell r="C108">
            <v>0</v>
          </cell>
          <cell r="E108" t="str">
            <v>0-0</v>
          </cell>
        </row>
        <row r="109">
          <cell r="C109">
            <v>0</v>
          </cell>
          <cell r="E109" t="str">
            <v>0-0</v>
          </cell>
        </row>
        <row r="110">
          <cell r="C110">
            <v>0</v>
          </cell>
          <cell r="E110" t="str">
            <v>0-0</v>
          </cell>
        </row>
        <row r="111">
          <cell r="C111">
            <v>0</v>
          </cell>
          <cell r="E111" t="str">
            <v>0-0</v>
          </cell>
        </row>
        <row r="112">
          <cell r="C112">
            <v>0</v>
          </cell>
          <cell r="E112" t="str">
            <v>0-0</v>
          </cell>
        </row>
        <row r="113">
          <cell r="C113">
            <v>0</v>
          </cell>
          <cell r="E113" t="str">
            <v>0-0</v>
          </cell>
        </row>
        <row r="114">
          <cell r="C114">
            <v>0</v>
          </cell>
          <cell r="E114" t="str">
            <v>0-0</v>
          </cell>
        </row>
        <row r="115">
          <cell r="C115">
            <v>0</v>
          </cell>
          <cell r="E115" t="str">
            <v>0-0</v>
          </cell>
        </row>
        <row r="116">
          <cell r="C116">
            <v>0</v>
          </cell>
          <cell r="E116" t="str">
            <v>0-0</v>
          </cell>
        </row>
        <row r="117">
          <cell r="C117">
            <v>0</v>
          </cell>
          <cell r="E117" t="str">
            <v>0-0</v>
          </cell>
        </row>
        <row r="118">
          <cell r="C118">
            <v>0</v>
          </cell>
          <cell r="E118" t="str">
            <v>0-0</v>
          </cell>
        </row>
        <row r="119">
          <cell r="C119">
            <v>0</v>
          </cell>
          <cell r="E119" t="str">
            <v>0-0</v>
          </cell>
        </row>
        <row r="120">
          <cell r="C120">
            <v>0</v>
          </cell>
          <cell r="E120" t="str">
            <v>0-0</v>
          </cell>
        </row>
        <row r="121">
          <cell r="C121">
            <v>0</v>
          </cell>
          <cell r="E121" t="str">
            <v>0-0</v>
          </cell>
        </row>
        <row r="122">
          <cell r="C122">
            <v>0</v>
          </cell>
          <cell r="E122" t="str">
            <v>0-0</v>
          </cell>
        </row>
        <row r="123">
          <cell r="C123">
            <v>0</v>
          </cell>
          <cell r="E123" t="str">
            <v>0-0</v>
          </cell>
        </row>
        <row r="124">
          <cell r="C124">
            <v>0</v>
          </cell>
          <cell r="E124" t="str">
            <v>0-0</v>
          </cell>
        </row>
        <row r="125">
          <cell r="C125">
            <v>0</v>
          </cell>
          <cell r="E125" t="str">
            <v>0-0</v>
          </cell>
        </row>
        <row r="126">
          <cell r="C126">
            <v>0</v>
          </cell>
          <cell r="E126" t="str">
            <v>0-0</v>
          </cell>
        </row>
        <row r="127">
          <cell r="C127">
            <v>0</v>
          </cell>
          <cell r="E127" t="str">
            <v>0-0</v>
          </cell>
        </row>
        <row r="128">
          <cell r="C128">
            <v>0</v>
          </cell>
          <cell r="E128" t="str">
            <v>0-0</v>
          </cell>
        </row>
        <row r="129">
          <cell r="C129">
            <v>0</v>
          </cell>
          <cell r="E129" t="str">
            <v>0-0</v>
          </cell>
        </row>
        <row r="130">
          <cell r="C130">
            <v>0</v>
          </cell>
          <cell r="E130" t="str">
            <v>0-0</v>
          </cell>
        </row>
        <row r="131">
          <cell r="C131">
            <v>0</v>
          </cell>
          <cell r="E131" t="str">
            <v>0-0</v>
          </cell>
        </row>
        <row r="132">
          <cell r="C132">
            <v>0</v>
          </cell>
          <cell r="E132" t="str">
            <v>0-0</v>
          </cell>
        </row>
        <row r="133">
          <cell r="C133">
            <v>0</v>
          </cell>
          <cell r="E133" t="str">
            <v>0-0</v>
          </cell>
        </row>
        <row r="134">
          <cell r="C134">
            <v>0</v>
          </cell>
          <cell r="E134" t="str">
            <v>0-0</v>
          </cell>
        </row>
        <row r="135">
          <cell r="C135">
            <v>0</v>
          </cell>
          <cell r="E135" t="str">
            <v>0-0</v>
          </cell>
        </row>
        <row r="136">
          <cell r="C136">
            <v>0</v>
          </cell>
          <cell r="E136" t="str">
            <v>0-0</v>
          </cell>
        </row>
        <row r="137">
          <cell r="C137">
            <v>0</v>
          </cell>
          <cell r="E137" t="str">
            <v>0-0</v>
          </cell>
        </row>
        <row r="138">
          <cell r="C138">
            <v>0</v>
          </cell>
          <cell r="E138" t="str">
            <v>0-0</v>
          </cell>
        </row>
        <row r="139">
          <cell r="C139">
            <v>0</v>
          </cell>
          <cell r="E139" t="str">
            <v>0-0</v>
          </cell>
        </row>
        <row r="140">
          <cell r="C140">
            <v>0</v>
          </cell>
          <cell r="E140" t="str">
            <v>0-0</v>
          </cell>
        </row>
        <row r="141">
          <cell r="C141">
            <v>0</v>
          </cell>
          <cell r="E141" t="str">
            <v>0-0</v>
          </cell>
        </row>
        <row r="142">
          <cell r="C142">
            <v>0</v>
          </cell>
          <cell r="E142" t="str">
            <v>0-0</v>
          </cell>
        </row>
        <row r="143">
          <cell r="C143">
            <v>0</v>
          </cell>
          <cell r="E143" t="str">
            <v>0-0</v>
          </cell>
        </row>
        <row r="144">
          <cell r="C144">
            <v>0</v>
          </cell>
          <cell r="E144" t="str">
            <v>0-0</v>
          </cell>
        </row>
        <row r="145">
          <cell r="C145">
            <v>0</v>
          </cell>
          <cell r="E145" t="str">
            <v>0-0</v>
          </cell>
        </row>
        <row r="146">
          <cell r="C146">
            <v>0</v>
          </cell>
          <cell r="E146" t="str">
            <v>0-0</v>
          </cell>
        </row>
        <row r="147">
          <cell r="C147">
            <v>0</v>
          </cell>
          <cell r="E147" t="str">
            <v>0-0</v>
          </cell>
        </row>
        <row r="148">
          <cell r="C148">
            <v>0</v>
          </cell>
          <cell r="E148" t="str">
            <v>0-0</v>
          </cell>
        </row>
        <row r="149">
          <cell r="C149">
            <v>0</v>
          </cell>
          <cell r="E149" t="str">
            <v>0-0</v>
          </cell>
        </row>
        <row r="150">
          <cell r="C150">
            <v>0</v>
          </cell>
          <cell r="E150" t="str">
            <v>0-0</v>
          </cell>
        </row>
        <row r="151">
          <cell r="C151">
            <v>0</v>
          </cell>
          <cell r="E151" t="str">
            <v>0-0</v>
          </cell>
        </row>
        <row r="152">
          <cell r="C152">
            <v>0</v>
          </cell>
          <cell r="E152" t="str">
            <v>0-0</v>
          </cell>
        </row>
        <row r="153">
          <cell r="C153">
            <v>0</v>
          </cell>
          <cell r="E153" t="str">
            <v>0-0</v>
          </cell>
        </row>
        <row r="154">
          <cell r="C154">
            <v>0</v>
          </cell>
          <cell r="E154" t="str">
            <v>0-0</v>
          </cell>
        </row>
        <row r="155">
          <cell r="C155">
            <v>0</v>
          </cell>
          <cell r="E155" t="str">
            <v>0-0</v>
          </cell>
        </row>
        <row r="156">
          <cell r="C156">
            <v>0</v>
          </cell>
          <cell r="E156" t="str">
            <v>0-0</v>
          </cell>
        </row>
        <row r="157">
          <cell r="C157">
            <v>0</v>
          </cell>
          <cell r="E157" t="str">
            <v>0-0</v>
          </cell>
        </row>
        <row r="158">
          <cell r="C158">
            <v>0</v>
          </cell>
          <cell r="E158" t="str">
            <v>0-0</v>
          </cell>
        </row>
        <row r="159">
          <cell r="C159">
            <v>0</v>
          </cell>
          <cell r="E159" t="str">
            <v>0-0</v>
          </cell>
        </row>
        <row r="160">
          <cell r="C160">
            <v>0</v>
          </cell>
          <cell r="E160" t="str">
            <v>0-0</v>
          </cell>
        </row>
        <row r="161">
          <cell r="C161">
            <v>0</v>
          </cell>
          <cell r="E161" t="str">
            <v>0-0</v>
          </cell>
        </row>
        <row r="162">
          <cell r="C162">
            <v>0</v>
          </cell>
          <cell r="E162" t="str">
            <v>0-0</v>
          </cell>
        </row>
        <row r="163">
          <cell r="C163">
            <v>0</v>
          </cell>
          <cell r="E163" t="str">
            <v>0-0</v>
          </cell>
        </row>
        <row r="164">
          <cell r="C164">
            <v>0</v>
          </cell>
          <cell r="E164" t="str">
            <v>0-0</v>
          </cell>
        </row>
        <row r="165">
          <cell r="C165">
            <v>0</v>
          </cell>
          <cell r="E165" t="str">
            <v>0-0</v>
          </cell>
        </row>
        <row r="166">
          <cell r="C166">
            <v>0</v>
          </cell>
          <cell r="E166" t="str">
            <v>0-0</v>
          </cell>
        </row>
        <row r="167">
          <cell r="C167">
            <v>0</v>
          </cell>
          <cell r="E167" t="str">
            <v>0-0</v>
          </cell>
        </row>
        <row r="168">
          <cell r="C168">
            <v>0</v>
          </cell>
          <cell r="E168" t="str">
            <v>0-0</v>
          </cell>
        </row>
        <row r="169">
          <cell r="C169">
            <v>0</v>
          </cell>
          <cell r="E169" t="str">
            <v>0-0</v>
          </cell>
        </row>
        <row r="170">
          <cell r="C170">
            <v>0</v>
          </cell>
          <cell r="E170" t="str">
            <v>0-0</v>
          </cell>
        </row>
        <row r="171">
          <cell r="C171">
            <v>0</v>
          </cell>
          <cell r="E171" t="str">
            <v>0-0</v>
          </cell>
        </row>
        <row r="172">
          <cell r="C172">
            <v>0</v>
          </cell>
          <cell r="E172" t="str">
            <v>0-0</v>
          </cell>
        </row>
        <row r="173">
          <cell r="C173">
            <v>0</v>
          </cell>
          <cell r="E173" t="str">
            <v>0-0</v>
          </cell>
        </row>
        <row r="174">
          <cell r="C174">
            <v>0</v>
          </cell>
          <cell r="E174" t="str">
            <v>0-0</v>
          </cell>
        </row>
        <row r="175">
          <cell r="C175">
            <v>0</v>
          </cell>
          <cell r="E175" t="str">
            <v>0-0</v>
          </cell>
        </row>
        <row r="176">
          <cell r="C176">
            <v>0</v>
          </cell>
          <cell r="E176" t="str">
            <v>0-0</v>
          </cell>
        </row>
        <row r="177">
          <cell r="C177">
            <v>0</v>
          </cell>
          <cell r="E177" t="str">
            <v>0-0</v>
          </cell>
        </row>
        <row r="178">
          <cell r="C178">
            <v>0</v>
          </cell>
          <cell r="E178" t="str">
            <v>0-0</v>
          </cell>
        </row>
        <row r="179">
          <cell r="C179">
            <v>0</v>
          </cell>
          <cell r="E179" t="str">
            <v>0-0</v>
          </cell>
        </row>
        <row r="180">
          <cell r="C180">
            <v>0</v>
          </cell>
          <cell r="E180" t="str">
            <v>0-0</v>
          </cell>
        </row>
        <row r="181">
          <cell r="C181">
            <v>0</v>
          </cell>
          <cell r="E181" t="str">
            <v>0-0</v>
          </cell>
        </row>
        <row r="182">
          <cell r="C182">
            <v>0</v>
          </cell>
          <cell r="E182" t="str">
            <v>0-0</v>
          </cell>
        </row>
        <row r="183">
          <cell r="C183">
            <v>0</v>
          </cell>
          <cell r="E183" t="str">
            <v>0-0</v>
          </cell>
        </row>
        <row r="184">
          <cell r="C184">
            <v>0</v>
          </cell>
          <cell r="E184" t="str">
            <v>0-0</v>
          </cell>
        </row>
        <row r="185">
          <cell r="C185">
            <v>0</v>
          </cell>
          <cell r="E185" t="str">
            <v>0-0</v>
          </cell>
        </row>
        <row r="186">
          <cell r="C186">
            <v>0</v>
          </cell>
          <cell r="E186" t="str">
            <v>0-0</v>
          </cell>
        </row>
        <row r="187">
          <cell r="C187">
            <v>0</v>
          </cell>
          <cell r="E187" t="str">
            <v>0-0</v>
          </cell>
        </row>
        <row r="188">
          <cell r="C188">
            <v>0</v>
          </cell>
          <cell r="E188" t="str">
            <v>0-0</v>
          </cell>
        </row>
        <row r="189">
          <cell r="C189">
            <v>0</v>
          </cell>
          <cell r="E189" t="str">
            <v>0-0</v>
          </cell>
        </row>
        <row r="190">
          <cell r="C190">
            <v>0</v>
          </cell>
          <cell r="E190" t="str">
            <v>0-0</v>
          </cell>
        </row>
        <row r="191">
          <cell r="C191">
            <v>0</v>
          </cell>
          <cell r="E191" t="str">
            <v>0-0</v>
          </cell>
        </row>
        <row r="192">
          <cell r="C192">
            <v>0</v>
          </cell>
          <cell r="E192" t="str">
            <v>0-0</v>
          </cell>
        </row>
        <row r="193">
          <cell r="C193">
            <v>0</v>
          </cell>
          <cell r="E193" t="str">
            <v>0-0</v>
          </cell>
        </row>
        <row r="194">
          <cell r="C194">
            <v>0</v>
          </cell>
          <cell r="E194" t="str">
            <v>0-0</v>
          </cell>
        </row>
        <row r="195">
          <cell r="C195">
            <v>0</v>
          </cell>
          <cell r="E195" t="str">
            <v>0-0</v>
          </cell>
        </row>
        <row r="196">
          <cell r="C196">
            <v>0</v>
          </cell>
          <cell r="E196" t="str">
            <v>0-0</v>
          </cell>
        </row>
        <row r="197">
          <cell r="C197">
            <v>0</v>
          </cell>
          <cell r="E197" t="str">
            <v>0-0</v>
          </cell>
        </row>
        <row r="198">
          <cell r="C198">
            <v>0</v>
          </cell>
          <cell r="E198" t="str">
            <v>0-0</v>
          </cell>
        </row>
        <row r="199">
          <cell r="C199">
            <v>0</v>
          </cell>
          <cell r="E199" t="str">
            <v>0-0</v>
          </cell>
        </row>
        <row r="200">
          <cell r="C200">
            <v>0</v>
          </cell>
          <cell r="E200" t="str">
            <v>0-0</v>
          </cell>
        </row>
        <row r="201">
          <cell r="C201">
            <v>0</v>
          </cell>
          <cell r="E201" t="str">
            <v>0-0</v>
          </cell>
        </row>
        <row r="202">
          <cell r="C202">
            <v>0</v>
          </cell>
          <cell r="E202" t="str">
            <v>0-0</v>
          </cell>
        </row>
        <row r="203">
          <cell r="C203">
            <v>0</v>
          </cell>
          <cell r="E203" t="str">
            <v>0-0</v>
          </cell>
        </row>
        <row r="204">
          <cell r="C204">
            <v>0</v>
          </cell>
          <cell r="E204" t="str">
            <v>0-0</v>
          </cell>
        </row>
        <row r="205">
          <cell r="C205">
            <v>0</v>
          </cell>
          <cell r="E205" t="str">
            <v>0-0</v>
          </cell>
        </row>
        <row r="206">
          <cell r="C206">
            <v>0</v>
          </cell>
          <cell r="E206" t="str">
            <v>0-0</v>
          </cell>
        </row>
        <row r="207">
          <cell r="C207">
            <v>0</v>
          </cell>
          <cell r="E207" t="str">
            <v>0-0</v>
          </cell>
        </row>
        <row r="208">
          <cell r="C208">
            <v>0</v>
          </cell>
          <cell r="E208" t="str">
            <v>0-0</v>
          </cell>
        </row>
        <row r="209">
          <cell r="C209">
            <v>0</v>
          </cell>
          <cell r="E209" t="str">
            <v>0-0</v>
          </cell>
        </row>
        <row r="210">
          <cell r="C210">
            <v>0</v>
          </cell>
          <cell r="E210" t="str">
            <v>0-0</v>
          </cell>
        </row>
        <row r="211">
          <cell r="C211">
            <v>0</v>
          </cell>
          <cell r="E211" t="str">
            <v>0-0</v>
          </cell>
        </row>
        <row r="212">
          <cell r="C212">
            <v>0</v>
          </cell>
          <cell r="E212" t="str">
            <v>0-0</v>
          </cell>
        </row>
        <row r="213">
          <cell r="C213">
            <v>0</v>
          </cell>
          <cell r="E213" t="str">
            <v>0-0</v>
          </cell>
        </row>
        <row r="214">
          <cell r="C214">
            <v>0</v>
          </cell>
          <cell r="E214" t="str">
            <v>0-0</v>
          </cell>
        </row>
        <row r="215">
          <cell r="C215">
            <v>0</v>
          </cell>
          <cell r="E215" t="str">
            <v>0-0</v>
          </cell>
        </row>
        <row r="216">
          <cell r="C216">
            <v>0</v>
          </cell>
          <cell r="E216" t="str">
            <v>0-0</v>
          </cell>
        </row>
        <row r="217">
          <cell r="C217">
            <v>0</v>
          </cell>
          <cell r="E217" t="str">
            <v>0-0</v>
          </cell>
        </row>
        <row r="218">
          <cell r="C218">
            <v>0</v>
          </cell>
          <cell r="E218" t="str">
            <v>0-0</v>
          </cell>
        </row>
        <row r="219">
          <cell r="C219">
            <v>0</v>
          </cell>
          <cell r="E219" t="str">
            <v>0-0</v>
          </cell>
        </row>
        <row r="220">
          <cell r="C220">
            <v>0</v>
          </cell>
          <cell r="E220" t="str">
            <v>0-0</v>
          </cell>
        </row>
        <row r="221">
          <cell r="C221">
            <v>0</v>
          </cell>
          <cell r="E221" t="str">
            <v>0-0</v>
          </cell>
        </row>
        <row r="222">
          <cell r="C222">
            <v>0</v>
          </cell>
          <cell r="E222" t="str">
            <v>0-0</v>
          </cell>
        </row>
        <row r="223">
          <cell r="C223">
            <v>0</v>
          </cell>
          <cell r="E223" t="str">
            <v>0-0</v>
          </cell>
        </row>
        <row r="224">
          <cell r="C224">
            <v>0</v>
          </cell>
          <cell r="E224" t="str">
            <v>0-0</v>
          </cell>
        </row>
        <row r="225">
          <cell r="C225">
            <v>0</v>
          </cell>
          <cell r="E225" t="str">
            <v>0-0</v>
          </cell>
        </row>
        <row r="226">
          <cell r="C226">
            <v>0</v>
          </cell>
          <cell r="E226" t="str">
            <v>0-0</v>
          </cell>
        </row>
        <row r="227">
          <cell r="C227">
            <v>0</v>
          </cell>
          <cell r="E227" t="str">
            <v>0-0</v>
          </cell>
        </row>
        <row r="228">
          <cell r="C228">
            <v>0</v>
          </cell>
          <cell r="E228" t="str">
            <v>0-0</v>
          </cell>
        </row>
        <row r="229">
          <cell r="C229">
            <v>0</v>
          </cell>
          <cell r="E229" t="str">
            <v>0-0</v>
          </cell>
        </row>
        <row r="230">
          <cell r="C230">
            <v>0</v>
          </cell>
          <cell r="E230" t="str">
            <v>0-0</v>
          </cell>
        </row>
        <row r="231">
          <cell r="C231">
            <v>0</v>
          </cell>
          <cell r="E231" t="str">
            <v>0-0</v>
          </cell>
        </row>
        <row r="232">
          <cell r="C232">
            <v>0</v>
          </cell>
          <cell r="E232" t="str">
            <v>0-0</v>
          </cell>
        </row>
        <row r="233">
          <cell r="C233">
            <v>0</v>
          </cell>
          <cell r="E233" t="str">
            <v>0-0</v>
          </cell>
        </row>
        <row r="234">
          <cell r="C234">
            <v>0</v>
          </cell>
          <cell r="E234" t="str">
            <v>0-0</v>
          </cell>
        </row>
        <row r="235">
          <cell r="C235">
            <v>0</v>
          </cell>
          <cell r="E235" t="str">
            <v>0-0</v>
          </cell>
        </row>
        <row r="236">
          <cell r="C236">
            <v>0</v>
          </cell>
          <cell r="E236" t="str">
            <v>0-0</v>
          </cell>
        </row>
        <row r="237">
          <cell r="C237">
            <v>0</v>
          </cell>
          <cell r="E237" t="str">
            <v>0-0</v>
          </cell>
        </row>
        <row r="238">
          <cell r="C238">
            <v>0</v>
          </cell>
          <cell r="E238" t="str">
            <v>0-0</v>
          </cell>
        </row>
        <row r="239">
          <cell r="C239">
            <v>0</v>
          </cell>
          <cell r="E239" t="str">
            <v>0-0</v>
          </cell>
        </row>
        <row r="240">
          <cell r="C240">
            <v>0</v>
          </cell>
          <cell r="E240" t="str">
            <v>0-0</v>
          </cell>
        </row>
        <row r="241">
          <cell r="C241">
            <v>0</v>
          </cell>
          <cell r="E241" t="str">
            <v>0-0</v>
          </cell>
        </row>
        <row r="242">
          <cell r="C242">
            <v>0</v>
          </cell>
          <cell r="E242" t="str">
            <v>0-0</v>
          </cell>
        </row>
        <row r="243">
          <cell r="C243">
            <v>0</v>
          </cell>
          <cell r="E243" t="str">
            <v>0-0</v>
          </cell>
        </row>
        <row r="244">
          <cell r="C244">
            <v>0</v>
          </cell>
          <cell r="E244" t="str">
            <v>0-0</v>
          </cell>
        </row>
        <row r="245">
          <cell r="C245">
            <v>0</v>
          </cell>
          <cell r="E245" t="str">
            <v>0-0</v>
          </cell>
        </row>
        <row r="246">
          <cell r="C246">
            <v>0</v>
          </cell>
          <cell r="E246" t="str">
            <v>0-0</v>
          </cell>
        </row>
        <row r="247">
          <cell r="C247">
            <v>0</v>
          </cell>
          <cell r="E247" t="str">
            <v>0-0</v>
          </cell>
        </row>
        <row r="248">
          <cell r="C248">
            <v>0</v>
          </cell>
          <cell r="E248" t="str">
            <v>0-0</v>
          </cell>
        </row>
        <row r="249">
          <cell r="C249">
            <v>0</v>
          </cell>
          <cell r="E249" t="str">
            <v>0-0</v>
          </cell>
        </row>
        <row r="250">
          <cell r="C250">
            <v>0</v>
          </cell>
          <cell r="E250" t="str">
            <v>0-0</v>
          </cell>
        </row>
        <row r="251">
          <cell r="C251">
            <v>0</v>
          </cell>
          <cell r="E251" t="str">
            <v>0-0</v>
          </cell>
        </row>
        <row r="252">
          <cell r="C252">
            <v>0</v>
          </cell>
          <cell r="E252" t="str">
            <v>0-0</v>
          </cell>
        </row>
        <row r="253">
          <cell r="C253">
            <v>0</v>
          </cell>
          <cell r="E253" t="str">
            <v>0-0</v>
          </cell>
        </row>
        <row r="254">
          <cell r="C254">
            <v>0</v>
          </cell>
          <cell r="E254" t="str">
            <v>0-0</v>
          </cell>
        </row>
        <row r="255">
          <cell r="C255">
            <v>0</v>
          </cell>
          <cell r="E255" t="str">
            <v>0-0</v>
          </cell>
        </row>
        <row r="256">
          <cell r="C256">
            <v>0</v>
          </cell>
          <cell r="E256" t="str">
            <v>0-0</v>
          </cell>
        </row>
        <row r="257">
          <cell r="C257">
            <v>0</v>
          </cell>
          <cell r="E257" t="str">
            <v>0-0</v>
          </cell>
        </row>
        <row r="258">
          <cell r="C258">
            <v>0</v>
          </cell>
          <cell r="E258" t="str">
            <v>0-0</v>
          </cell>
        </row>
        <row r="259">
          <cell r="C259">
            <v>0</v>
          </cell>
          <cell r="E259" t="str">
            <v>0-0</v>
          </cell>
        </row>
        <row r="260">
          <cell r="C260">
            <v>0</v>
          </cell>
          <cell r="E260" t="str">
            <v>0-0</v>
          </cell>
        </row>
        <row r="261">
          <cell r="C261">
            <v>0</v>
          </cell>
          <cell r="E261" t="str">
            <v>0-0</v>
          </cell>
        </row>
        <row r="262">
          <cell r="C262">
            <v>0</v>
          </cell>
          <cell r="E262" t="str">
            <v>0-0</v>
          </cell>
        </row>
        <row r="263">
          <cell r="C263">
            <v>0</v>
          </cell>
          <cell r="E263" t="str">
            <v>0-0</v>
          </cell>
        </row>
        <row r="264">
          <cell r="C264">
            <v>0</v>
          </cell>
          <cell r="E264" t="str">
            <v>0-0</v>
          </cell>
        </row>
        <row r="265">
          <cell r="C265">
            <v>0</v>
          </cell>
          <cell r="E265" t="str">
            <v>0-0</v>
          </cell>
        </row>
        <row r="266">
          <cell r="C266">
            <v>0</v>
          </cell>
          <cell r="E266" t="str">
            <v>0-0</v>
          </cell>
        </row>
        <row r="267">
          <cell r="C267">
            <v>0</v>
          </cell>
          <cell r="E267" t="str">
            <v>0-0</v>
          </cell>
        </row>
        <row r="268">
          <cell r="C268">
            <v>0</v>
          </cell>
          <cell r="E268" t="str">
            <v>0-0</v>
          </cell>
        </row>
        <row r="269">
          <cell r="C269">
            <v>0</v>
          </cell>
          <cell r="E269" t="str">
            <v>0-0</v>
          </cell>
        </row>
        <row r="270">
          <cell r="C270">
            <v>0</v>
          </cell>
          <cell r="E270" t="str">
            <v>0-0</v>
          </cell>
        </row>
        <row r="271">
          <cell r="C271">
            <v>0</v>
          </cell>
          <cell r="E271" t="str">
            <v>0-0</v>
          </cell>
        </row>
        <row r="272">
          <cell r="C272">
            <v>0</v>
          </cell>
          <cell r="E272" t="str">
            <v>0-0</v>
          </cell>
        </row>
        <row r="273">
          <cell r="C273">
            <v>0</v>
          </cell>
          <cell r="E273" t="str">
            <v>0-0</v>
          </cell>
        </row>
        <row r="274">
          <cell r="C274">
            <v>0</v>
          </cell>
          <cell r="E274" t="str">
            <v>0-0</v>
          </cell>
        </row>
        <row r="275">
          <cell r="C275">
            <v>0</v>
          </cell>
          <cell r="E275" t="str">
            <v>0-0</v>
          </cell>
        </row>
        <row r="276">
          <cell r="C276">
            <v>0</v>
          </cell>
          <cell r="E276" t="str">
            <v>0-0</v>
          </cell>
        </row>
        <row r="277">
          <cell r="C277">
            <v>0</v>
          </cell>
          <cell r="E277" t="str">
            <v>0-0</v>
          </cell>
        </row>
        <row r="278">
          <cell r="C278">
            <v>0</v>
          </cell>
          <cell r="E278" t="str">
            <v>0-0</v>
          </cell>
        </row>
        <row r="279">
          <cell r="C279">
            <v>0</v>
          </cell>
          <cell r="E279" t="str">
            <v>0-0</v>
          </cell>
        </row>
        <row r="280">
          <cell r="C280">
            <v>0</v>
          </cell>
          <cell r="E280" t="str">
            <v>0-0</v>
          </cell>
        </row>
        <row r="281">
          <cell r="C281">
            <v>0</v>
          </cell>
          <cell r="E281" t="str">
            <v>0-0</v>
          </cell>
        </row>
        <row r="282">
          <cell r="C282">
            <v>0</v>
          </cell>
          <cell r="E282" t="str">
            <v>0-0</v>
          </cell>
        </row>
        <row r="283">
          <cell r="C283">
            <v>0</v>
          </cell>
          <cell r="E283" t="str">
            <v>0-0</v>
          </cell>
        </row>
        <row r="284">
          <cell r="C284">
            <v>0</v>
          </cell>
          <cell r="E284" t="str">
            <v>0-0</v>
          </cell>
        </row>
        <row r="285">
          <cell r="C285">
            <v>0</v>
          </cell>
          <cell r="E285" t="str">
            <v>0-0</v>
          </cell>
        </row>
        <row r="286">
          <cell r="C286">
            <v>0</v>
          </cell>
          <cell r="E286" t="str">
            <v>0-0</v>
          </cell>
        </row>
        <row r="287">
          <cell r="C287">
            <v>0</v>
          </cell>
          <cell r="E287" t="str">
            <v>0-0</v>
          </cell>
        </row>
        <row r="288">
          <cell r="C288">
            <v>0</v>
          </cell>
          <cell r="E288" t="str">
            <v>0-0</v>
          </cell>
        </row>
        <row r="289">
          <cell r="C289">
            <v>0</v>
          </cell>
          <cell r="E289" t="str">
            <v>0-0</v>
          </cell>
        </row>
        <row r="290">
          <cell r="C290">
            <v>0</v>
          </cell>
          <cell r="E290" t="str">
            <v>0-0</v>
          </cell>
        </row>
        <row r="291">
          <cell r="C291">
            <v>0</v>
          </cell>
          <cell r="E291" t="str">
            <v>0-0</v>
          </cell>
        </row>
        <row r="292">
          <cell r="C292">
            <v>0</v>
          </cell>
          <cell r="E292" t="str">
            <v>0-0</v>
          </cell>
        </row>
        <row r="293">
          <cell r="C293">
            <v>0</v>
          </cell>
          <cell r="E293" t="str">
            <v>0-0</v>
          </cell>
        </row>
        <row r="294">
          <cell r="C294">
            <v>0</v>
          </cell>
          <cell r="E294" t="str">
            <v>0-0</v>
          </cell>
        </row>
        <row r="295">
          <cell r="C295">
            <v>0</v>
          </cell>
          <cell r="E295" t="str">
            <v>0-0</v>
          </cell>
        </row>
        <row r="296">
          <cell r="C296">
            <v>0</v>
          </cell>
          <cell r="E296" t="str">
            <v>0-0</v>
          </cell>
        </row>
        <row r="297">
          <cell r="C297">
            <v>0</v>
          </cell>
          <cell r="E297" t="str">
            <v>0-0</v>
          </cell>
        </row>
        <row r="298">
          <cell r="C298">
            <v>0</v>
          </cell>
          <cell r="E298" t="str">
            <v>0-0</v>
          </cell>
        </row>
        <row r="299">
          <cell r="C299">
            <v>0</v>
          </cell>
          <cell r="E299" t="str">
            <v>0-0</v>
          </cell>
        </row>
        <row r="300">
          <cell r="C300">
            <v>0</v>
          </cell>
          <cell r="E300" t="str">
            <v>0-0</v>
          </cell>
        </row>
        <row r="301">
          <cell r="C301">
            <v>0</v>
          </cell>
          <cell r="E301" t="str">
            <v>0-0</v>
          </cell>
        </row>
        <row r="302">
          <cell r="C302">
            <v>0</v>
          </cell>
          <cell r="E302" t="str">
            <v>0-0</v>
          </cell>
        </row>
        <row r="303">
          <cell r="C303">
            <v>0</v>
          </cell>
          <cell r="E303" t="str">
            <v>0-0</v>
          </cell>
        </row>
        <row r="304">
          <cell r="C304">
            <v>0</v>
          </cell>
          <cell r="E304" t="str">
            <v>0-0</v>
          </cell>
        </row>
        <row r="305">
          <cell r="C305">
            <v>0</v>
          </cell>
          <cell r="E305" t="str">
            <v>0-0</v>
          </cell>
        </row>
        <row r="306">
          <cell r="C306">
            <v>0</v>
          </cell>
          <cell r="E306" t="str">
            <v>0-0</v>
          </cell>
        </row>
        <row r="307">
          <cell r="C307">
            <v>0</v>
          </cell>
          <cell r="E307" t="str">
            <v>0-0</v>
          </cell>
        </row>
        <row r="308">
          <cell r="C308">
            <v>0</v>
          </cell>
          <cell r="E308" t="str">
            <v>0-0</v>
          </cell>
        </row>
        <row r="309">
          <cell r="C309">
            <v>0</v>
          </cell>
          <cell r="E309" t="str">
            <v>0-0</v>
          </cell>
        </row>
        <row r="310">
          <cell r="C310">
            <v>0</v>
          </cell>
          <cell r="E310" t="str">
            <v>0-0</v>
          </cell>
        </row>
        <row r="311">
          <cell r="C311">
            <v>0</v>
          </cell>
          <cell r="E311" t="str">
            <v>0-0</v>
          </cell>
        </row>
        <row r="312">
          <cell r="C312">
            <v>0</v>
          </cell>
          <cell r="E312" t="str">
            <v>0-0</v>
          </cell>
        </row>
        <row r="313">
          <cell r="C313">
            <v>0</v>
          </cell>
          <cell r="E313" t="str">
            <v>0-0</v>
          </cell>
        </row>
        <row r="314">
          <cell r="C314">
            <v>0</v>
          </cell>
          <cell r="E314" t="str">
            <v>0-0</v>
          </cell>
        </row>
        <row r="315">
          <cell r="C315">
            <v>0</v>
          </cell>
          <cell r="E315" t="str">
            <v>0-0</v>
          </cell>
        </row>
        <row r="316">
          <cell r="C316">
            <v>0</v>
          </cell>
          <cell r="E316" t="str">
            <v>0-0</v>
          </cell>
        </row>
        <row r="317">
          <cell r="C317">
            <v>0</v>
          </cell>
          <cell r="E317" t="str">
            <v>0-0</v>
          </cell>
        </row>
        <row r="318">
          <cell r="C318">
            <v>0</v>
          </cell>
          <cell r="E318" t="str">
            <v>0-0</v>
          </cell>
        </row>
        <row r="319">
          <cell r="C319">
            <v>0</v>
          </cell>
          <cell r="E319" t="str">
            <v>0-0</v>
          </cell>
        </row>
        <row r="320">
          <cell r="C320">
            <v>0</v>
          </cell>
          <cell r="E320" t="str">
            <v>0-0</v>
          </cell>
        </row>
        <row r="321">
          <cell r="C321">
            <v>0</v>
          </cell>
          <cell r="E321" t="str">
            <v>0-0</v>
          </cell>
        </row>
        <row r="322">
          <cell r="C322">
            <v>0</v>
          </cell>
          <cell r="E322" t="str">
            <v>0-0</v>
          </cell>
        </row>
        <row r="323">
          <cell r="C323">
            <v>0</v>
          </cell>
          <cell r="E323" t="str">
            <v>0-0</v>
          </cell>
        </row>
        <row r="324">
          <cell r="C324">
            <v>0</v>
          </cell>
          <cell r="E324" t="str">
            <v>0-0</v>
          </cell>
        </row>
        <row r="325">
          <cell r="C325">
            <v>0</v>
          </cell>
          <cell r="E325" t="str">
            <v>0-0</v>
          </cell>
        </row>
        <row r="326">
          <cell r="C326">
            <v>0</v>
          </cell>
          <cell r="E326" t="str">
            <v>0-0</v>
          </cell>
        </row>
        <row r="327">
          <cell r="C327">
            <v>0</v>
          </cell>
          <cell r="E327" t="str">
            <v>0-0</v>
          </cell>
        </row>
        <row r="328">
          <cell r="C328">
            <v>0</v>
          </cell>
          <cell r="E328" t="str">
            <v>0-0</v>
          </cell>
        </row>
        <row r="329">
          <cell r="C329">
            <v>0</v>
          </cell>
          <cell r="E329" t="str">
            <v>0-0</v>
          </cell>
        </row>
        <row r="330">
          <cell r="C330">
            <v>0</v>
          </cell>
          <cell r="E330" t="str">
            <v>0-0</v>
          </cell>
        </row>
        <row r="331">
          <cell r="C331">
            <v>0</v>
          </cell>
          <cell r="E331" t="str">
            <v>0-0</v>
          </cell>
        </row>
        <row r="332">
          <cell r="C332">
            <v>0</v>
          </cell>
          <cell r="E332" t="str">
            <v>0-0</v>
          </cell>
        </row>
        <row r="333">
          <cell r="C333">
            <v>0</v>
          </cell>
          <cell r="E333" t="str">
            <v>0-0</v>
          </cell>
        </row>
        <row r="334">
          <cell r="C334">
            <v>0</v>
          </cell>
          <cell r="E334" t="str">
            <v>0-0</v>
          </cell>
        </row>
        <row r="335">
          <cell r="C335">
            <v>0</v>
          </cell>
          <cell r="E335" t="str">
            <v>0-0</v>
          </cell>
        </row>
        <row r="336">
          <cell r="C336">
            <v>0</v>
          </cell>
          <cell r="E336" t="str">
            <v>0-0</v>
          </cell>
        </row>
        <row r="337">
          <cell r="C337">
            <v>0</v>
          </cell>
          <cell r="E337" t="str">
            <v>0-0</v>
          </cell>
        </row>
        <row r="338">
          <cell r="C338">
            <v>0</v>
          </cell>
          <cell r="E338" t="str">
            <v>0-0</v>
          </cell>
        </row>
        <row r="339">
          <cell r="C339">
            <v>0</v>
          </cell>
          <cell r="E339" t="str">
            <v>0-0</v>
          </cell>
        </row>
        <row r="340">
          <cell r="C340">
            <v>0</v>
          </cell>
          <cell r="E340" t="str">
            <v>0-0</v>
          </cell>
        </row>
        <row r="341">
          <cell r="C341">
            <v>0</v>
          </cell>
          <cell r="E341" t="str">
            <v>0-0</v>
          </cell>
        </row>
        <row r="342">
          <cell r="C342">
            <v>0</v>
          </cell>
          <cell r="E342" t="str">
            <v>0-0</v>
          </cell>
        </row>
        <row r="343">
          <cell r="C343">
            <v>0</v>
          </cell>
          <cell r="E343" t="str">
            <v>0-0</v>
          </cell>
        </row>
        <row r="344">
          <cell r="C344">
            <v>0</v>
          </cell>
          <cell r="E344" t="str">
            <v>0-0</v>
          </cell>
        </row>
        <row r="345">
          <cell r="C345">
            <v>0</v>
          </cell>
          <cell r="E345" t="str">
            <v>0-0</v>
          </cell>
        </row>
        <row r="346">
          <cell r="C346">
            <v>0</v>
          </cell>
          <cell r="E346" t="str">
            <v>0-0</v>
          </cell>
        </row>
        <row r="347">
          <cell r="C347">
            <v>0</v>
          </cell>
          <cell r="E347" t="str">
            <v>0-0</v>
          </cell>
        </row>
        <row r="348">
          <cell r="C348">
            <v>0</v>
          </cell>
          <cell r="E348" t="str">
            <v>0-0</v>
          </cell>
        </row>
        <row r="349">
          <cell r="C349">
            <v>0</v>
          </cell>
          <cell r="E349" t="str">
            <v>0-0</v>
          </cell>
        </row>
        <row r="350">
          <cell r="C350">
            <v>0</v>
          </cell>
          <cell r="E350" t="str">
            <v>0-0</v>
          </cell>
        </row>
        <row r="351">
          <cell r="C351">
            <v>0</v>
          </cell>
          <cell r="E351" t="str">
            <v>0-0</v>
          </cell>
        </row>
        <row r="352">
          <cell r="C352">
            <v>0</v>
          </cell>
          <cell r="E352" t="str">
            <v>0-0</v>
          </cell>
        </row>
        <row r="353">
          <cell r="C353">
            <v>0</v>
          </cell>
          <cell r="E353" t="str">
            <v>0-0</v>
          </cell>
        </row>
        <row r="354">
          <cell r="C354">
            <v>0</v>
          </cell>
          <cell r="E354" t="str">
            <v>0-0</v>
          </cell>
        </row>
        <row r="355">
          <cell r="C355">
            <v>0</v>
          </cell>
          <cell r="E355" t="str">
            <v>0-0</v>
          </cell>
        </row>
        <row r="356">
          <cell r="C356">
            <v>0</v>
          </cell>
          <cell r="E356" t="str">
            <v>0-0</v>
          </cell>
        </row>
        <row r="357">
          <cell r="C357">
            <v>0</v>
          </cell>
          <cell r="E357" t="str">
            <v>0-0</v>
          </cell>
        </row>
        <row r="358">
          <cell r="C358">
            <v>0</v>
          </cell>
          <cell r="E358" t="str">
            <v>0-0</v>
          </cell>
        </row>
        <row r="359">
          <cell r="C359">
            <v>0</v>
          </cell>
          <cell r="E359" t="str">
            <v>0-0</v>
          </cell>
        </row>
        <row r="360">
          <cell r="C360">
            <v>0</v>
          </cell>
          <cell r="E360" t="str">
            <v>0-0</v>
          </cell>
        </row>
        <row r="361">
          <cell r="C361">
            <v>0</v>
          </cell>
          <cell r="E361" t="str">
            <v>0-0</v>
          </cell>
        </row>
        <row r="362">
          <cell r="C362">
            <v>0</v>
          </cell>
          <cell r="E362" t="str">
            <v>0-0</v>
          </cell>
        </row>
        <row r="363">
          <cell r="C363">
            <v>0</v>
          </cell>
          <cell r="E363" t="str">
            <v>0-0</v>
          </cell>
        </row>
        <row r="364">
          <cell r="C364">
            <v>0</v>
          </cell>
          <cell r="E364" t="str">
            <v>0-0</v>
          </cell>
        </row>
        <row r="365">
          <cell r="C365">
            <v>0</v>
          </cell>
          <cell r="E365" t="str">
            <v>0-0</v>
          </cell>
        </row>
        <row r="366">
          <cell r="C366">
            <v>0</v>
          </cell>
          <cell r="E366" t="str">
            <v>0-0</v>
          </cell>
        </row>
        <row r="367">
          <cell r="C367">
            <v>0</v>
          </cell>
          <cell r="E367" t="str">
            <v>0-0</v>
          </cell>
        </row>
        <row r="368">
          <cell r="C368">
            <v>0</v>
          </cell>
          <cell r="E368" t="str">
            <v>0-0</v>
          </cell>
        </row>
        <row r="369">
          <cell r="C369">
            <v>0</v>
          </cell>
          <cell r="E369" t="str">
            <v>0-0</v>
          </cell>
        </row>
        <row r="370">
          <cell r="C370">
            <v>0</v>
          </cell>
          <cell r="E370" t="str">
            <v>0-0</v>
          </cell>
        </row>
        <row r="371">
          <cell r="C371">
            <v>0</v>
          </cell>
          <cell r="E371" t="str">
            <v>0-0</v>
          </cell>
        </row>
        <row r="372">
          <cell r="C372">
            <v>0</v>
          </cell>
          <cell r="E372" t="str">
            <v>0-0</v>
          </cell>
        </row>
        <row r="373">
          <cell r="C373">
            <v>0</v>
          </cell>
          <cell r="E373" t="str">
            <v>0-0</v>
          </cell>
        </row>
        <row r="374">
          <cell r="C374">
            <v>0</v>
          </cell>
          <cell r="E374" t="str">
            <v>0-0</v>
          </cell>
        </row>
        <row r="375">
          <cell r="C375">
            <v>0</v>
          </cell>
          <cell r="E375" t="str">
            <v>0-0</v>
          </cell>
        </row>
        <row r="376">
          <cell r="C376">
            <v>0</v>
          </cell>
          <cell r="E376" t="str">
            <v>0-0</v>
          </cell>
        </row>
        <row r="377">
          <cell r="C377">
            <v>0</v>
          </cell>
          <cell r="E377" t="str">
            <v>0-0</v>
          </cell>
        </row>
        <row r="378">
          <cell r="C378">
            <v>0</v>
          </cell>
          <cell r="E378" t="str">
            <v>0-0</v>
          </cell>
        </row>
        <row r="379">
          <cell r="C379">
            <v>0</v>
          </cell>
          <cell r="E379" t="str">
            <v>0-0</v>
          </cell>
        </row>
        <row r="380">
          <cell r="C380">
            <v>0</v>
          </cell>
          <cell r="E380" t="str">
            <v>0-0</v>
          </cell>
        </row>
        <row r="381">
          <cell r="C381">
            <v>0</v>
          </cell>
          <cell r="E381" t="str">
            <v>0-0</v>
          </cell>
        </row>
        <row r="382">
          <cell r="C382">
            <v>0</v>
          </cell>
          <cell r="E382" t="str">
            <v>0-0</v>
          </cell>
        </row>
        <row r="383">
          <cell r="C383">
            <v>0</v>
          </cell>
          <cell r="E383" t="str">
            <v>0-0</v>
          </cell>
        </row>
        <row r="384">
          <cell r="C384">
            <v>0</v>
          </cell>
          <cell r="E384" t="str">
            <v>0-0</v>
          </cell>
        </row>
        <row r="385">
          <cell r="C385">
            <v>0</v>
          </cell>
          <cell r="E385" t="str">
            <v>0-0</v>
          </cell>
        </row>
        <row r="386">
          <cell r="C386">
            <v>0</v>
          </cell>
          <cell r="E386" t="str">
            <v>0-0</v>
          </cell>
        </row>
        <row r="387">
          <cell r="C387">
            <v>0</v>
          </cell>
          <cell r="E387" t="str">
            <v>0-0</v>
          </cell>
        </row>
        <row r="388">
          <cell r="C388">
            <v>0</v>
          </cell>
          <cell r="E388" t="str">
            <v>0-0</v>
          </cell>
        </row>
        <row r="389">
          <cell r="C389">
            <v>0</v>
          </cell>
          <cell r="E389" t="str">
            <v>0-0</v>
          </cell>
        </row>
        <row r="390">
          <cell r="C390">
            <v>0</v>
          </cell>
          <cell r="E390" t="str">
            <v>0-0</v>
          </cell>
        </row>
        <row r="391">
          <cell r="C391">
            <v>0</v>
          </cell>
          <cell r="E391" t="str">
            <v>0-0</v>
          </cell>
        </row>
        <row r="392">
          <cell r="C392">
            <v>0</v>
          </cell>
          <cell r="E392" t="str">
            <v>0-0</v>
          </cell>
        </row>
        <row r="393">
          <cell r="C393">
            <v>0</v>
          </cell>
          <cell r="E393" t="str">
            <v>0-0</v>
          </cell>
        </row>
        <row r="394">
          <cell r="C394">
            <v>0</v>
          </cell>
          <cell r="E394" t="str">
            <v>0-0</v>
          </cell>
        </row>
        <row r="395">
          <cell r="C395">
            <v>0</v>
          </cell>
          <cell r="E395" t="str">
            <v>0-0</v>
          </cell>
        </row>
        <row r="396">
          <cell r="C396">
            <v>0</v>
          </cell>
          <cell r="E396" t="str">
            <v>0-0</v>
          </cell>
        </row>
        <row r="397">
          <cell r="C397">
            <v>0</v>
          </cell>
          <cell r="E397" t="str">
            <v>0-0</v>
          </cell>
        </row>
        <row r="398">
          <cell r="C398">
            <v>0</v>
          </cell>
          <cell r="E398" t="str">
            <v>0-0</v>
          </cell>
        </row>
        <row r="399">
          <cell r="C399">
            <v>0</v>
          </cell>
          <cell r="E399" t="str">
            <v>0-0</v>
          </cell>
        </row>
        <row r="400">
          <cell r="C400">
            <v>0</v>
          </cell>
          <cell r="E400" t="str">
            <v>0-0</v>
          </cell>
        </row>
        <row r="401">
          <cell r="C401">
            <v>0</v>
          </cell>
          <cell r="E401" t="str">
            <v>0-0</v>
          </cell>
        </row>
        <row r="402">
          <cell r="C402">
            <v>0</v>
          </cell>
          <cell r="E402" t="str">
            <v>0-0</v>
          </cell>
        </row>
        <row r="403">
          <cell r="C403">
            <v>0</v>
          </cell>
          <cell r="E403" t="str">
            <v>0-0</v>
          </cell>
        </row>
        <row r="404">
          <cell r="C404">
            <v>0</v>
          </cell>
          <cell r="E404" t="str">
            <v>0-0</v>
          </cell>
        </row>
        <row r="405">
          <cell r="C405">
            <v>0</v>
          </cell>
          <cell r="E405" t="str">
            <v>0-0</v>
          </cell>
        </row>
        <row r="406">
          <cell r="C406">
            <v>0</v>
          </cell>
          <cell r="E406" t="str">
            <v>0-0</v>
          </cell>
        </row>
        <row r="407">
          <cell r="C407">
            <v>0</v>
          </cell>
          <cell r="E407" t="str">
            <v>0-0</v>
          </cell>
        </row>
        <row r="408">
          <cell r="C408">
            <v>0</v>
          </cell>
          <cell r="E408" t="str">
            <v>0-0</v>
          </cell>
        </row>
        <row r="409">
          <cell r="C409">
            <v>0</v>
          </cell>
          <cell r="E409" t="str">
            <v>0-0</v>
          </cell>
        </row>
        <row r="410">
          <cell r="C410">
            <v>0</v>
          </cell>
          <cell r="E410" t="str">
            <v>0-0</v>
          </cell>
        </row>
        <row r="411">
          <cell r="C411">
            <v>0</v>
          </cell>
          <cell r="E411" t="str">
            <v>0-0</v>
          </cell>
        </row>
        <row r="412">
          <cell r="C412">
            <v>0</v>
          </cell>
          <cell r="E412" t="str">
            <v>0-0</v>
          </cell>
        </row>
        <row r="413">
          <cell r="C413">
            <v>0</v>
          </cell>
          <cell r="E413" t="str">
            <v>0-0</v>
          </cell>
        </row>
        <row r="414">
          <cell r="C414">
            <v>0</v>
          </cell>
          <cell r="E414" t="str">
            <v>0-0</v>
          </cell>
        </row>
        <row r="415">
          <cell r="C415">
            <v>0</v>
          </cell>
          <cell r="E415" t="str">
            <v>0-0</v>
          </cell>
        </row>
        <row r="416">
          <cell r="C416">
            <v>0</v>
          </cell>
          <cell r="E416" t="str">
            <v>0-0</v>
          </cell>
        </row>
        <row r="417">
          <cell r="C417">
            <v>0</v>
          </cell>
          <cell r="E417" t="str">
            <v>0-0</v>
          </cell>
        </row>
        <row r="418">
          <cell r="C418">
            <v>0</v>
          </cell>
          <cell r="E418" t="str">
            <v>0-0</v>
          </cell>
        </row>
        <row r="419">
          <cell r="C419">
            <v>0</v>
          </cell>
          <cell r="E419" t="str">
            <v>0-0</v>
          </cell>
        </row>
        <row r="420">
          <cell r="C420">
            <v>0</v>
          </cell>
          <cell r="E420" t="str">
            <v>0-0</v>
          </cell>
        </row>
        <row r="421">
          <cell r="C421">
            <v>0</v>
          </cell>
          <cell r="E421" t="str">
            <v>0-0</v>
          </cell>
        </row>
        <row r="422">
          <cell r="C422">
            <v>0</v>
          </cell>
          <cell r="E422" t="str">
            <v>0-0</v>
          </cell>
        </row>
        <row r="423">
          <cell r="C423">
            <v>0</v>
          </cell>
          <cell r="E423" t="str">
            <v>0-0</v>
          </cell>
        </row>
        <row r="424">
          <cell r="C424">
            <v>0</v>
          </cell>
          <cell r="E424" t="str">
            <v>0-0</v>
          </cell>
        </row>
        <row r="425">
          <cell r="C425">
            <v>0</v>
          </cell>
          <cell r="E425" t="str">
            <v>0-0</v>
          </cell>
        </row>
        <row r="426">
          <cell r="C426">
            <v>0</v>
          </cell>
          <cell r="E426" t="str">
            <v>0-0</v>
          </cell>
        </row>
        <row r="427">
          <cell r="C427">
            <v>0</v>
          </cell>
          <cell r="E427" t="str">
            <v>0-0</v>
          </cell>
        </row>
        <row r="428">
          <cell r="C428">
            <v>0</v>
          </cell>
          <cell r="E428" t="str">
            <v>0-0</v>
          </cell>
        </row>
        <row r="429">
          <cell r="C429">
            <v>0</v>
          </cell>
          <cell r="E429" t="str">
            <v>0-0</v>
          </cell>
        </row>
        <row r="430">
          <cell r="C430">
            <v>0</v>
          </cell>
          <cell r="E430" t="str">
            <v>0-0</v>
          </cell>
        </row>
        <row r="431">
          <cell r="C431">
            <v>0</v>
          </cell>
          <cell r="E431" t="str">
            <v>0-0</v>
          </cell>
        </row>
        <row r="432">
          <cell r="C432">
            <v>0</v>
          </cell>
          <cell r="E432" t="str">
            <v>0-0</v>
          </cell>
        </row>
        <row r="433">
          <cell r="C433">
            <v>0</v>
          </cell>
          <cell r="E433" t="str">
            <v>0-0</v>
          </cell>
        </row>
        <row r="434">
          <cell r="C434">
            <v>0</v>
          </cell>
          <cell r="E434" t="str">
            <v>0-0</v>
          </cell>
        </row>
        <row r="435">
          <cell r="C435">
            <v>0</v>
          </cell>
          <cell r="E435" t="str">
            <v>0-0</v>
          </cell>
        </row>
        <row r="436">
          <cell r="C436">
            <v>0</v>
          </cell>
          <cell r="E436" t="str">
            <v>0-0</v>
          </cell>
        </row>
        <row r="437">
          <cell r="C437">
            <v>0</v>
          </cell>
          <cell r="E437" t="str">
            <v>0-0</v>
          </cell>
        </row>
        <row r="438">
          <cell r="C438">
            <v>0</v>
          </cell>
          <cell r="E438" t="str">
            <v>0-0</v>
          </cell>
        </row>
        <row r="439">
          <cell r="C439">
            <v>0</v>
          </cell>
          <cell r="E439" t="str">
            <v>0-0</v>
          </cell>
        </row>
        <row r="440">
          <cell r="C440">
            <v>0</v>
          </cell>
          <cell r="E440" t="str">
            <v>0-0</v>
          </cell>
        </row>
        <row r="441">
          <cell r="C441">
            <v>0</v>
          </cell>
          <cell r="E441" t="str">
            <v>0-0</v>
          </cell>
        </row>
        <row r="442">
          <cell r="C442">
            <v>0</v>
          </cell>
          <cell r="E442" t="str">
            <v>0-0</v>
          </cell>
        </row>
        <row r="443">
          <cell r="C443">
            <v>0</v>
          </cell>
          <cell r="E443" t="str">
            <v>0-0</v>
          </cell>
        </row>
        <row r="444">
          <cell r="C444">
            <v>0</v>
          </cell>
          <cell r="E444" t="str">
            <v>0-0</v>
          </cell>
        </row>
        <row r="445">
          <cell r="C445">
            <v>0</v>
          </cell>
          <cell r="E445" t="str">
            <v>0-0</v>
          </cell>
        </row>
        <row r="446">
          <cell r="C446">
            <v>0</v>
          </cell>
          <cell r="E446" t="str">
            <v>0-0</v>
          </cell>
        </row>
        <row r="447">
          <cell r="C447">
            <v>0</v>
          </cell>
          <cell r="E447" t="str">
            <v>0-0</v>
          </cell>
        </row>
        <row r="448">
          <cell r="C448">
            <v>0</v>
          </cell>
          <cell r="E448" t="str">
            <v>0-0</v>
          </cell>
        </row>
        <row r="449">
          <cell r="C449">
            <v>0</v>
          </cell>
          <cell r="E449" t="str">
            <v>0-0</v>
          </cell>
        </row>
        <row r="450">
          <cell r="C450">
            <v>0</v>
          </cell>
          <cell r="E450" t="str">
            <v>0-0</v>
          </cell>
        </row>
        <row r="451">
          <cell r="C451">
            <v>0</v>
          </cell>
          <cell r="E451" t="str">
            <v>0-0</v>
          </cell>
        </row>
        <row r="452">
          <cell r="C452">
            <v>0</v>
          </cell>
          <cell r="E452" t="str">
            <v>0-0</v>
          </cell>
        </row>
        <row r="453">
          <cell r="C453">
            <v>0</v>
          </cell>
          <cell r="E453" t="str">
            <v>0-0</v>
          </cell>
        </row>
        <row r="454">
          <cell r="C454">
            <v>0</v>
          </cell>
          <cell r="E454" t="str">
            <v>0-0</v>
          </cell>
        </row>
        <row r="455">
          <cell r="C455">
            <v>0</v>
          </cell>
          <cell r="E455" t="str">
            <v>0-0</v>
          </cell>
        </row>
        <row r="456">
          <cell r="C456">
            <v>0</v>
          </cell>
          <cell r="E456" t="str">
            <v>0-0</v>
          </cell>
        </row>
        <row r="457">
          <cell r="C457">
            <v>0</v>
          </cell>
          <cell r="E457" t="str">
            <v>0-0</v>
          </cell>
        </row>
        <row r="458">
          <cell r="C458">
            <v>0</v>
          </cell>
          <cell r="E458" t="str">
            <v>0-0</v>
          </cell>
        </row>
        <row r="459">
          <cell r="C459">
            <v>0</v>
          </cell>
          <cell r="E459" t="str">
            <v>0-0</v>
          </cell>
        </row>
        <row r="460">
          <cell r="C460">
            <v>0</v>
          </cell>
          <cell r="E460" t="str">
            <v>0-0</v>
          </cell>
        </row>
        <row r="461">
          <cell r="C461">
            <v>0</v>
          </cell>
          <cell r="E461" t="str">
            <v>0-0</v>
          </cell>
        </row>
        <row r="462">
          <cell r="C462">
            <v>0</v>
          </cell>
          <cell r="E462" t="str">
            <v>0-0</v>
          </cell>
        </row>
        <row r="463">
          <cell r="C463">
            <v>0</v>
          </cell>
          <cell r="E463" t="str">
            <v>0-0</v>
          </cell>
        </row>
        <row r="464">
          <cell r="C464">
            <v>0</v>
          </cell>
          <cell r="E464" t="str">
            <v>0-0</v>
          </cell>
        </row>
        <row r="465">
          <cell r="C465">
            <v>0</v>
          </cell>
          <cell r="E465" t="str">
            <v>0-0</v>
          </cell>
        </row>
        <row r="466">
          <cell r="C466">
            <v>0</v>
          </cell>
          <cell r="E466" t="str">
            <v>0-0</v>
          </cell>
        </row>
        <row r="467">
          <cell r="C467">
            <v>0</v>
          </cell>
          <cell r="E467" t="str">
            <v>0-0</v>
          </cell>
        </row>
        <row r="468">
          <cell r="C468">
            <v>0</v>
          </cell>
          <cell r="E468" t="str">
            <v>0-0</v>
          </cell>
        </row>
        <row r="469">
          <cell r="C469">
            <v>0</v>
          </cell>
          <cell r="E469" t="str">
            <v>0-0</v>
          </cell>
        </row>
        <row r="470">
          <cell r="C470">
            <v>0</v>
          </cell>
          <cell r="E470" t="str">
            <v>0-0</v>
          </cell>
        </row>
        <row r="471">
          <cell r="C471">
            <v>0</v>
          </cell>
          <cell r="E471" t="str">
            <v>0-0</v>
          </cell>
        </row>
        <row r="472">
          <cell r="C472">
            <v>0</v>
          </cell>
          <cell r="E472" t="str">
            <v>0-0</v>
          </cell>
        </row>
        <row r="473">
          <cell r="C473">
            <v>0</v>
          </cell>
          <cell r="E473" t="str">
            <v>0-0</v>
          </cell>
        </row>
        <row r="474">
          <cell r="C474">
            <v>0</v>
          </cell>
          <cell r="E474" t="str">
            <v>0-0</v>
          </cell>
        </row>
        <row r="475">
          <cell r="C475">
            <v>0</v>
          </cell>
          <cell r="E475" t="str">
            <v>0-0</v>
          </cell>
        </row>
        <row r="476">
          <cell r="C476">
            <v>0</v>
          </cell>
          <cell r="E476" t="str">
            <v>0-0</v>
          </cell>
        </row>
        <row r="477">
          <cell r="C477">
            <v>0</v>
          </cell>
          <cell r="E477" t="str">
            <v>0-0</v>
          </cell>
        </row>
        <row r="478">
          <cell r="C478">
            <v>0</v>
          </cell>
          <cell r="E478" t="str">
            <v>0-0</v>
          </cell>
        </row>
        <row r="479">
          <cell r="C479">
            <v>0</v>
          </cell>
          <cell r="E479" t="str">
            <v>0-0</v>
          </cell>
        </row>
        <row r="480">
          <cell r="C480">
            <v>0</v>
          </cell>
          <cell r="E480" t="str">
            <v>0-0</v>
          </cell>
        </row>
        <row r="481">
          <cell r="C481">
            <v>0</v>
          </cell>
          <cell r="E481" t="str">
            <v>0-0</v>
          </cell>
        </row>
        <row r="482">
          <cell r="C482">
            <v>0</v>
          </cell>
          <cell r="E482" t="str">
            <v>0-0</v>
          </cell>
        </row>
        <row r="483">
          <cell r="C483">
            <v>0</v>
          </cell>
          <cell r="E483" t="str">
            <v>0-0</v>
          </cell>
        </row>
        <row r="484">
          <cell r="C484">
            <v>0</v>
          </cell>
          <cell r="E484" t="str">
            <v>0-0</v>
          </cell>
        </row>
        <row r="485">
          <cell r="C485">
            <v>0</v>
          </cell>
          <cell r="E485" t="str">
            <v>0-0</v>
          </cell>
        </row>
        <row r="486">
          <cell r="C486">
            <v>0</v>
          </cell>
          <cell r="E486" t="str">
            <v>0-0</v>
          </cell>
        </row>
        <row r="487">
          <cell r="C487">
            <v>0</v>
          </cell>
          <cell r="E487" t="str">
            <v>0-0</v>
          </cell>
        </row>
        <row r="488">
          <cell r="C488">
            <v>0</v>
          </cell>
          <cell r="E488" t="str">
            <v>0-0</v>
          </cell>
        </row>
        <row r="489">
          <cell r="C489">
            <v>0</v>
          </cell>
          <cell r="E489" t="str">
            <v>0-0</v>
          </cell>
        </row>
        <row r="490">
          <cell r="C490">
            <v>0</v>
          </cell>
          <cell r="E490" t="str">
            <v>0-0</v>
          </cell>
        </row>
        <row r="491">
          <cell r="C491">
            <v>0</v>
          </cell>
          <cell r="E491" t="str">
            <v>0-0</v>
          </cell>
        </row>
        <row r="492">
          <cell r="C492">
            <v>0</v>
          </cell>
          <cell r="E492" t="str">
            <v>0-0</v>
          </cell>
        </row>
        <row r="493">
          <cell r="C493">
            <v>0</v>
          </cell>
          <cell r="E493" t="str">
            <v>0-0</v>
          </cell>
        </row>
        <row r="494">
          <cell r="C494">
            <v>0</v>
          </cell>
          <cell r="E494" t="str">
            <v>0-0</v>
          </cell>
        </row>
        <row r="495">
          <cell r="C495">
            <v>0</v>
          </cell>
          <cell r="E495" t="str">
            <v>0-0</v>
          </cell>
        </row>
        <row r="496">
          <cell r="C496">
            <v>0</v>
          </cell>
          <cell r="E496" t="str">
            <v>0-0</v>
          </cell>
        </row>
        <row r="497">
          <cell r="C497">
            <v>0</v>
          </cell>
          <cell r="E497" t="str">
            <v>0-0</v>
          </cell>
        </row>
        <row r="498">
          <cell r="C498">
            <v>0</v>
          </cell>
          <cell r="E498" t="str">
            <v>0-0</v>
          </cell>
        </row>
        <row r="499">
          <cell r="C499">
            <v>0</v>
          </cell>
          <cell r="E499" t="str">
            <v>0-0</v>
          </cell>
        </row>
        <row r="500">
          <cell r="C500">
            <v>0</v>
          </cell>
          <cell r="E500" t="str">
            <v>0-0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Instructions"/>
      <sheetName val="2-Cover Page"/>
      <sheetName val="3-Budget Detail"/>
      <sheetName val="4-Equipment"/>
      <sheetName val="5-Budget Summary"/>
      <sheetName val="6-Error Checking"/>
      <sheetName val="7-Rate Table"/>
      <sheetName val="Other"/>
      <sheetName val="Calculation Equipment"/>
      <sheetName val="Calculation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0030</v>
          </cell>
          <cell r="B2" t="str">
            <v>ADAMS</v>
          </cell>
          <cell r="C2" t="str">
            <v>ADAMS COUNTY 14</v>
          </cell>
          <cell r="D2">
            <v>6.2800000000000009E-2</v>
          </cell>
        </row>
        <row r="3">
          <cell r="A3" t="str">
            <v>0100</v>
          </cell>
          <cell r="B3" t="str">
            <v>ALAMOSA</v>
          </cell>
          <cell r="C3" t="str">
            <v>ALAMOSA RE-11J</v>
          </cell>
          <cell r="D3">
            <v>2.1600000000000001E-2</v>
          </cell>
        </row>
        <row r="4">
          <cell r="A4" t="str">
            <v>0180</v>
          </cell>
          <cell r="B4" t="str">
            <v>ARAPAHOE</v>
          </cell>
          <cell r="C4" t="str">
            <v>ADAMS-ARAPAHOE 28J</v>
          </cell>
          <cell r="D4">
            <v>1.5900000000000001E-2</v>
          </cell>
        </row>
        <row r="5">
          <cell r="A5" t="str">
            <v>0220</v>
          </cell>
          <cell r="B5" t="str">
            <v>ARCHULETA</v>
          </cell>
          <cell r="C5" t="str">
            <v>ARCHULETA COUNTY 50 JT</v>
          </cell>
          <cell r="D5">
            <v>7.5499999999999998E-2</v>
          </cell>
        </row>
        <row r="6">
          <cell r="A6" t="str">
            <v>0230</v>
          </cell>
          <cell r="B6" t="str">
            <v>BACA</v>
          </cell>
          <cell r="C6" t="str">
            <v>WALSH RE-1</v>
          </cell>
          <cell r="D6">
            <v>2.7799999999999998E-2</v>
          </cell>
        </row>
        <row r="7">
          <cell r="A7" t="str">
            <v>0260</v>
          </cell>
          <cell r="B7" t="str">
            <v>BACA</v>
          </cell>
          <cell r="C7" t="str">
            <v>VILAS RE-5</v>
          </cell>
          <cell r="D7">
            <v>2.3E-3</v>
          </cell>
        </row>
        <row r="8">
          <cell r="A8" t="str">
            <v>0290</v>
          </cell>
          <cell r="B8" t="str">
            <v>BENT</v>
          </cell>
          <cell r="C8" t="str">
            <v>LAS ANIMAS RE-1</v>
          </cell>
          <cell r="D8">
            <v>9.0999999999999998E-2</v>
          </cell>
        </row>
        <row r="9">
          <cell r="A9" t="str">
            <v>0510</v>
          </cell>
          <cell r="B9" t="str">
            <v>CHEYENNE</v>
          </cell>
          <cell r="C9" t="str">
            <v>KIT CARSON R-1</v>
          </cell>
          <cell r="D9">
            <v>0</v>
          </cell>
        </row>
        <row r="10">
          <cell r="A10" t="str">
            <v>0580</v>
          </cell>
          <cell r="B10" t="str">
            <v>CONEJOS</v>
          </cell>
          <cell r="C10" t="str">
            <v>SOUTH CONEJOS RE-10</v>
          </cell>
          <cell r="D10">
            <v>2.07E-2</v>
          </cell>
        </row>
        <row r="11">
          <cell r="A11" t="str">
            <v>0770</v>
          </cell>
          <cell r="B11" t="str">
            <v>CROWLEY</v>
          </cell>
          <cell r="C11" t="str">
            <v>CROWLEY COUNTY RE-1J</v>
          </cell>
          <cell r="D11">
            <v>1.6399999999999998E-2</v>
          </cell>
        </row>
        <row r="12">
          <cell r="A12" t="str">
            <v>0870</v>
          </cell>
          <cell r="B12" t="str">
            <v>DELTA</v>
          </cell>
          <cell r="C12" t="str">
            <v>DELTA 50J</v>
          </cell>
          <cell r="D12">
            <v>3.1099999999999999E-2</v>
          </cell>
        </row>
        <row r="13">
          <cell r="A13" t="str">
            <v>0880</v>
          </cell>
          <cell r="B13" t="str">
            <v>DENVER</v>
          </cell>
          <cell r="C13" t="str">
            <v>DENVER COUNTY 1</v>
          </cell>
          <cell r="D13">
            <v>4.6699999999999998E-2</v>
          </cell>
        </row>
        <row r="14">
          <cell r="A14" t="str">
            <v>0890</v>
          </cell>
          <cell r="B14" t="str">
            <v>DOLORES</v>
          </cell>
          <cell r="C14" t="str">
            <v>DOLORES RE-2</v>
          </cell>
          <cell r="D14">
            <v>4.1100000000000005E-2</v>
          </cell>
        </row>
        <row r="15">
          <cell r="A15" t="str">
            <v>0960</v>
          </cell>
          <cell r="B15" t="str">
            <v>ELBERT</v>
          </cell>
          <cell r="C15" t="str">
            <v>AGATE 300</v>
          </cell>
          <cell r="D15">
            <v>4.4400000000000002E-2</v>
          </cell>
        </row>
        <row r="16">
          <cell r="A16" t="str">
            <v>0980</v>
          </cell>
          <cell r="B16" t="str">
            <v>EL PASO</v>
          </cell>
          <cell r="C16" t="str">
            <v>HARRISON 2</v>
          </cell>
          <cell r="D16">
            <v>5.0999999999999997E-2</v>
          </cell>
        </row>
        <row r="17">
          <cell r="A17" t="str">
            <v>0990</v>
          </cell>
          <cell r="B17" t="str">
            <v>EL PASO</v>
          </cell>
          <cell r="C17" t="str">
            <v>WIDEFIELD 3</v>
          </cell>
          <cell r="D17">
            <v>4.5100000000000001E-2</v>
          </cell>
        </row>
        <row r="18">
          <cell r="A18" t="str">
            <v>1010</v>
          </cell>
          <cell r="B18" t="str">
            <v>EL PASO</v>
          </cell>
          <cell r="C18" t="str">
            <v>COLORADO SPRINGS 11</v>
          </cell>
          <cell r="D18">
            <v>7.7600000000000002E-2</v>
          </cell>
        </row>
        <row r="19">
          <cell r="A19" t="str">
            <v>1050</v>
          </cell>
          <cell r="B19" t="str">
            <v>EL PASO</v>
          </cell>
          <cell r="C19" t="str">
            <v>ELLICOTT 22</v>
          </cell>
          <cell r="D19">
            <v>3.5900000000000001E-2</v>
          </cell>
        </row>
        <row r="20">
          <cell r="A20" t="str">
            <v>1150</v>
          </cell>
          <cell r="B20" t="str">
            <v>FREMONT</v>
          </cell>
          <cell r="C20" t="str">
            <v>FLORENCE RE-2</v>
          </cell>
          <cell r="D20">
            <v>2.0499999999999997E-2</v>
          </cell>
        </row>
        <row r="21">
          <cell r="A21" t="str">
            <v>1160</v>
          </cell>
          <cell r="B21" t="str">
            <v>FREMONT</v>
          </cell>
          <cell r="C21" t="str">
            <v>COTOPAXI RE-3</v>
          </cell>
          <cell r="D21">
            <v>1.6299999999999999E-2</v>
          </cell>
        </row>
        <row r="22">
          <cell r="A22" t="str">
            <v>1180</v>
          </cell>
          <cell r="B22" t="str">
            <v>GARFIELD</v>
          </cell>
          <cell r="C22" t="str">
            <v>ROARING FORK RE-1</v>
          </cell>
          <cell r="D22">
            <v>1.84E-2</v>
          </cell>
        </row>
        <row r="23">
          <cell r="A23" t="str">
            <v>1400</v>
          </cell>
          <cell r="B23" t="str">
            <v>HUERFANO</v>
          </cell>
          <cell r="C23" t="str">
            <v>LA VETA RE-2</v>
          </cell>
          <cell r="D23">
            <v>2.29E-2</v>
          </cell>
        </row>
        <row r="24">
          <cell r="A24" t="str">
            <v>1490</v>
          </cell>
          <cell r="B24" t="str">
            <v>KIT CARSON</v>
          </cell>
          <cell r="C24" t="str">
            <v>BETHUNE R-5</v>
          </cell>
          <cell r="D24">
            <v>7.000000000000001E-4</v>
          </cell>
        </row>
        <row r="25">
          <cell r="A25" t="str">
            <v>1510</v>
          </cell>
          <cell r="B25" t="str">
            <v>LAKE</v>
          </cell>
          <cell r="C25" t="str">
            <v>LAKE COUNTY R-1</v>
          </cell>
          <cell r="D25">
            <v>1.46E-2</v>
          </cell>
        </row>
        <row r="26">
          <cell r="A26" t="str">
            <v>1540</v>
          </cell>
          <cell r="B26" t="str">
            <v>LA PLATA</v>
          </cell>
          <cell r="C26" t="str">
            <v>IGNACIO 11JT</v>
          </cell>
          <cell r="D26">
            <v>9.0999999999999998E-2</v>
          </cell>
        </row>
        <row r="27">
          <cell r="A27" t="str">
            <v>1580</v>
          </cell>
          <cell r="B27" t="str">
            <v>LAS ANIMAS</v>
          </cell>
          <cell r="C27" t="str">
            <v>TRINIDAD 1</v>
          </cell>
          <cell r="D27">
            <v>3.6699999999999997E-2</v>
          </cell>
        </row>
        <row r="28">
          <cell r="A28" t="str">
            <v>1750</v>
          </cell>
          <cell r="B28" t="str">
            <v>LAS ANIMAS</v>
          </cell>
          <cell r="C28" t="str">
            <v>BRANSON RE-82</v>
          </cell>
          <cell r="D28">
            <v>5.9999999999999995E-4</v>
          </cell>
        </row>
        <row r="29">
          <cell r="A29" t="str">
            <v>1780</v>
          </cell>
          <cell r="B29" t="str">
            <v>LINCOLN</v>
          </cell>
          <cell r="C29" t="str">
            <v>GENOA-HUGO C113</v>
          </cell>
          <cell r="D29">
            <v>4.41E-2</v>
          </cell>
        </row>
        <row r="30">
          <cell r="A30" t="str">
            <v>1850</v>
          </cell>
          <cell r="B30" t="str">
            <v>LOGAN</v>
          </cell>
          <cell r="C30" t="str">
            <v>FRENCHMAN RE-3</v>
          </cell>
          <cell r="D30">
            <v>9.0999999999999998E-2</v>
          </cell>
        </row>
        <row r="31">
          <cell r="A31" t="str">
            <v>2000</v>
          </cell>
          <cell r="B31" t="str">
            <v>MESA</v>
          </cell>
          <cell r="C31" t="str">
            <v>MESA COUNTY VALLEY 51</v>
          </cell>
          <cell r="D31">
            <v>2.8199999999999999E-2</v>
          </cell>
        </row>
        <row r="32">
          <cell r="A32" t="str">
            <v>2010</v>
          </cell>
          <cell r="B32" t="str">
            <v>MINERAL</v>
          </cell>
          <cell r="C32" t="str">
            <v>CREEDE CONSOLDIATED 1</v>
          </cell>
          <cell r="D32">
            <v>2.29E-2</v>
          </cell>
        </row>
        <row r="33">
          <cell r="A33" t="str">
            <v>2035</v>
          </cell>
          <cell r="B33" t="str">
            <v>MONTEZUMA</v>
          </cell>
          <cell r="C33" t="str">
            <v>MONTEZUMA-CORTEZ RE-1</v>
          </cell>
          <cell r="D33">
            <v>1.77E-2</v>
          </cell>
        </row>
        <row r="34">
          <cell r="A34" t="str">
            <v>2070</v>
          </cell>
          <cell r="B34" t="str">
            <v>MONTEZUMA</v>
          </cell>
          <cell r="C34" t="str">
            <v>MANCOS RE-6</v>
          </cell>
          <cell r="D34">
            <v>4.8499999999999995E-2</v>
          </cell>
        </row>
        <row r="35">
          <cell r="A35" t="str">
            <v>2180</v>
          </cell>
          <cell r="B35" t="str">
            <v>MONTROSE</v>
          </cell>
          <cell r="C35" t="str">
            <v>MONROSE COUNTY RE-1</v>
          </cell>
          <cell r="D35">
            <v>1.6200000000000003E-2</v>
          </cell>
        </row>
        <row r="36">
          <cell r="A36" t="str">
            <v>2190</v>
          </cell>
          <cell r="B36" t="str">
            <v>MONTROSE</v>
          </cell>
          <cell r="C36" t="str">
            <v>WEST END RE-2</v>
          </cell>
          <cell r="D36">
            <v>7.2499999999999995E-2</v>
          </cell>
        </row>
        <row r="37">
          <cell r="A37" t="str">
            <v>2405</v>
          </cell>
          <cell r="B37" t="str">
            <v>MORGAN</v>
          </cell>
          <cell r="C37" t="str">
            <v>FORT MORGAN RE-3</v>
          </cell>
          <cell r="D37">
            <v>6.4500000000000002E-2</v>
          </cell>
        </row>
        <row r="38">
          <cell r="A38" t="str">
            <v>2515</v>
          </cell>
          <cell r="B38" t="str">
            <v>MORGAN</v>
          </cell>
          <cell r="C38" t="str">
            <v>WIGGINS RE-50J</v>
          </cell>
          <cell r="D38">
            <v>9.0999999999999998E-2</v>
          </cell>
        </row>
        <row r="39">
          <cell r="A39" t="str">
            <v>2520</v>
          </cell>
          <cell r="B39" t="str">
            <v>OTERO</v>
          </cell>
          <cell r="C39" t="str">
            <v>EAST OTERO R-1</v>
          </cell>
          <cell r="D39">
            <v>6.4299999999999996E-2</v>
          </cell>
        </row>
        <row r="40">
          <cell r="A40" t="str">
            <v>2535</v>
          </cell>
          <cell r="B40" t="str">
            <v>OTERO</v>
          </cell>
          <cell r="C40" t="str">
            <v>MANZANOLA 3J</v>
          </cell>
          <cell r="D40">
            <v>3.1600000000000003E-2</v>
          </cell>
        </row>
        <row r="41">
          <cell r="A41" t="str">
            <v>2620</v>
          </cell>
          <cell r="B41" t="str">
            <v>PHILLIPS</v>
          </cell>
          <cell r="C41" t="str">
            <v>HOLYOKE RE-1J</v>
          </cell>
          <cell r="D41">
            <v>5.6799999999999996E-2</v>
          </cell>
        </row>
        <row r="42">
          <cell r="A42" t="str">
            <v>2660</v>
          </cell>
          <cell r="B42" t="str">
            <v>PROWERS</v>
          </cell>
          <cell r="C42" t="str">
            <v>LAMAR RE-2</v>
          </cell>
          <cell r="D42">
            <v>4.2099999999999999E-2</v>
          </cell>
        </row>
        <row r="43">
          <cell r="A43" t="str">
            <v>2690</v>
          </cell>
          <cell r="B43" t="str">
            <v>PUEBLO</v>
          </cell>
          <cell r="C43" t="str">
            <v>PUEBLO CITY 60</v>
          </cell>
          <cell r="D43">
            <v>6.4199999999999993E-2</v>
          </cell>
        </row>
        <row r="44">
          <cell r="A44" t="str">
            <v>2730</v>
          </cell>
          <cell r="B44" t="str">
            <v>RIO GRANDE</v>
          </cell>
          <cell r="C44" t="str">
            <v>DEL NORTE C-7</v>
          </cell>
          <cell r="D44">
            <v>2.8999999999999998E-2</v>
          </cell>
        </row>
        <row r="45">
          <cell r="A45" t="str">
            <v>2740</v>
          </cell>
          <cell r="B45" t="str">
            <v>RIO GRANDE</v>
          </cell>
          <cell r="C45" t="str">
            <v>MONTE VISTA C-8</v>
          </cell>
          <cell r="D45">
            <v>2.6499999999999999E-2</v>
          </cell>
        </row>
        <row r="46">
          <cell r="A46" t="str">
            <v>2750</v>
          </cell>
          <cell r="B46" t="str">
            <v>RIO GRANDE</v>
          </cell>
          <cell r="C46" t="str">
            <v>SARGENT RE-33J</v>
          </cell>
          <cell r="D46">
            <v>3.9000000000000003E-3</v>
          </cell>
        </row>
        <row r="47">
          <cell r="A47" t="str">
            <v>2790</v>
          </cell>
          <cell r="B47" t="str">
            <v>SAGUACHE</v>
          </cell>
          <cell r="C47" t="str">
            <v>MOUNTAIN VALLEY RE-1</v>
          </cell>
          <cell r="D47">
            <v>9.0999999999999998E-2</v>
          </cell>
        </row>
        <row r="48">
          <cell r="A48" t="str">
            <v>2800</v>
          </cell>
          <cell r="B48" t="str">
            <v>SAGUACHE</v>
          </cell>
          <cell r="C48" t="str">
            <v>MOFFAT 2</v>
          </cell>
          <cell r="D48">
            <v>9.0999999999999998E-2</v>
          </cell>
        </row>
        <row r="49">
          <cell r="A49" t="str">
            <v>2820</v>
          </cell>
          <cell r="B49" t="str">
            <v>SAN JUAN</v>
          </cell>
          <cell r="C49" t="str">
            <v>SILVERTON 1</v>
          </cell>
          <cell r="D49">
            <v>9.0999999999999998E-2</v>
          </cell>
        </row>
        <row r="50">
          <cell r="A50" t="str">
            <v>2865</v>
          </cell>
          <cell r="B50" t="str">
            <v>SEDGWICK</v>
          </cell>
          <cell r="C50" t="str">
            <v>PLATTE VALLEY RE-3</v>
          </cell>
          <cell r="D50">
            <v>0</v>
          </cell>
        </row>
        <row r="51">
          <cell r="A51" t="str">
            <v>3120</v>
          </cell>
          <cell r="B51" t="str">
            <v>WELD</v>
          </cell>
          <cell r="C51" t="str">
            <v>GREELEY 6</v>
          </cell>
          <cell r="D51">
            <v>4.2199999999999994E-2</v>
          </cell>
        </row>
        <row r="52">
          <cell r="A52" t="str">
            <v>3145</v>
          </cell>
          <cell r="B52" t="str">
            <v>WELD</v>
          </cell>
          <cell r="C52" t="str">
            <v>AULT-HIGHLAND RE-9</v>
          </cell>
          <cell r="D52">
            <v>6.7500000000000004E-2</v>
          </cell>
        </row>
        <row r="53">
          <cell r="A53" t="str">
            <v>3148</v>
          </cell>
          <cell r="B53" t="str">
            <v>WELD</v>
          </cell>
          <cell r="C53" t="str">
            <v>PAWNEE RE-12</v>
          </cell>
          <cell r="D53">
            <v>6.8000000000000005E-3</v>
          </cell>
        </row>
        <row r="54">
          <cell r="A54" t="str">
            <v>3200</v>
          </cell>
          <cell r="B54" t="str">
            <v>YUMA</v>
          </cell>
          <cell r="C54" t="str">
            <v>YUMA 1</v>
          </cell>
          <cell r="D54">
            <v>3.8399999999999997E-2</v>
          </cell>
        </row>
        <row r="55">
          <cell r="A55" t="str">
            <v>3220</v>
          </cell>
          <cell r="B55" t="str">
            <v>YUMA</v>
          </cell>
          <cell r="C55" t="str">
            <v>IDALIA RJ-3</v>
          </cell>
          <cell r="D55">
            <v>9.0999999999999998E-2</v>
          </cell>
        </row>
        <row r="56">
          <cell r="A56" t="str">
            <v>9025</v>
          </cell>
          <cell r="C56" t="str">
            <v>EAST CENTRAL BOCES</v>
          </cell>
          <cell r="D56">
            <v>9.0999999999999998E-2</v>
          </cell>
        </row>
      </sheetData>
      <sheetData sheetId="7" refreshError="1">
        <row r="5">
          <cell r="A5" t="str">
            <v>Year1</v>
          </cell>
        </row>
        <row r="6">
          <cell r="A6" t="str">
            <v>Year2</v>
          </cell>
        </row>
        <row r="7">
          <cell r="A7" t="str">
            <v>Year3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Word_97_-_2003_Document2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09"/>
  <sheetViews>
    <sheetView topLeftCell="A82" zoomScaleNormal="100" workbookViewId="0">
      <selection activeCell="H24" sqref="H24"/>
    </sheetView>
  </sheetViews>
  <sheetFormatPr defaultRowHeight="12.75"/>
  <cols>
    <col min="1" max="1" width="94.28515625" customWidth="1"/>
    <col min="8" max="8" width="18.140625" customWidth="1"/>
    <col min="9" max="9" width="20.7109375" customWidth="1"/>
  </cols>
  <sheetData>
    <row r="109" spans="1:1">
      <c r="A109" s="168"/>
    </row>
  </sheetData>
  <sheetProtection password="CC76" sheet="1" objects="1" scenarios="1"/>
  <phoneticPr fontId="6" type="noConversion"/>
  <pageMargins left="0.5" right="0.5" top="0.19" bottom="0.76" header="0" footer="0.41"/>
  <pageSetup scale="65" fitToHeight="4" orientation="portrait" r:id="rId1"/>
  <headerFooter alignWithMargins="0">
    <oddFooter>&amp;LPage &amp;P of &amp;N&amp;C&amp;D &amp;T&amp;R&amp;A</oddFooter>
  </headerFooter>
  <rowBreaks count="5" manualBreakCount="5">
    <brk id="50" max="16383" man="1"/>
    <brk id="52" max="16383" man="1"/>
    <brk id="53" max="16383" man="1"/>
    <brk id="54" max="16383" man="1"/>
    <brk id="103" max="16383" man="1"/>
  </rowBreaks>
  <drawing r:id="rId2"/>
  <legacyDrawing r:id="rId3"/>
  <oleObjects>
    <mc:AlternateContent xmlns:mc="http://schemas.openxmlformats.org/markup-compatibility/2006">
      <mc:Choice Requires="x14">
        <oleObject progId="Word.Document.8" shapeId="5121" r:id="rId4">
          <objectPr defaultSize="0" r:id="rId5">
            <anchor moveWithCells="1" sizeWithCells="1">
              <from>
                <xdr:col>0</xdr:col>
                <xdr:colOff>95250</xdr:colOff>
                <xdr:row>0</xdr:row>
                <xdr:rowOff>123825</xdr:rowOff>
              </from>
              <to>
                <xdr:col>5</xdr:col>
                <xdr:colOff>381000</xdr:colOff>
                <xdr:row>50</xdr:row>
                <xdr:rowOff>123825</xdr:rowOff>
              </to>
            </anchor>
          </objectPr>
        </oleObject>
      </mc:Choice>
      <mc:Fallback>
        <oleObject progId="Word.Document.8" shapeId="5121" r:id="rId4"/>
      </mc:Fallback>
    </mc:AlternateContent>
    <mc:AlternateContent xmlns:mc="http://schemas.openxmlformats.org/markup-compatibility/2006">
      <mc:Choice Requires="x14">
        <oleObject progId="Word.Document.8" shapeId="5122" r:id="rId6">
          <objectPr defaultSize="0" r:id="rId7">
            <anchor moveWithCells="1" sizeWithCells="1">
              <from>
                <xdr:col>0</xdr:col>
                <xdr:colOff>114300</xdr:colOff>
                <xdr:row>52</xdr:row>
                <xdr:rowOff>9525</xdr:rowOff>
              </from>
              <to>
                <xdr:col>5</xdr:col>
                <xdr:colOff>381000</xdr:colOff>
                <xdr:row>104</xdr:row>
                <xdr:rowOff>123825</xdr:rowOff>
              </to>
            </anchor>
          </objectPr>
        </oleObject>
      </mc:Choice>
      <mc:Fallback>
        <oleObject progId="Word.Document.8" shapeId="5122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H49"/>
  <sheetViews>
    <sheetView tabSelected="1" zoomScaleNormal="100" workbookViewId="0">
      <selection activeCell="B27" sqref="B27"/>
    </sheetView>
  </sheetViews>
  <sheetFormatPr defaultColWidth="0" defaultRowHeight="15" zeroHeight="1"/>
  <cols>
    <col min="1" max="1" width="10.85546875" style="72" customWidth="1"/>
    <col min="2" max="2" width="24.28515625" style="40" customWidth="1"/>
    <col min="3" max="3" width="23.5703125" style="40" customWidth="1"/>
    <col min="4" max="4" width="20.140625" style="40" customWidth="1"/>
    <col min="5" max="5" width="16.85546875" style="40" customWidth="1"/>
    <col min="6" max="6" width="18.7109375" style="40" hidden="1" customWidth="1"/>
    <col min="7" max="7" width="15" style="40" hidden="1" customWidth="1"/>
    <col min="8" max="8" width="12.28515625" style="40" hidden="1" customWidth="1"/>
    <col min="9" max="16384" width="14.28515625" style="40" hidden="1"/>
  </cols>
  <sheetData>
    <row r="1" spans="1:8" ht="18.75" customHeight="1">
      <c r="A1" s="237" t="s">
        <v>391</v>
      </c>
      <c r="B1" s="237"/>
      <c r="C1" s="237"/>
      <c r="D1" s="237"/>
      <c r="E1" s="237"/>
      <c r="F1" s="237"/>
      <c r="G1" s="237"/>
      <c r="H1" s="39"/>
    </row>
    <row r="2" spans="1:8" ht="18.75">
      <c r="A2" s="238" t="s">
        <v>394</v>
      </c>
      <c r="B2" s="238"/>
      <c r="C2" s="238"/>
      <c r="D2" s="238"/>
      <c r="E2" s="238"/>
      <c r="F2" s="238"/>
      <c r="G2" s="238"/>
      <c r="H2" s="41"/>
    </row>
    <row r="3" spans="1:8">
      <c r="A3" s="42"/>
      <c r="B3" s="42"/>
      <c r="C3" s="240"/>
      <c r="D3" s="240"/>
      <c r="E3" s="240"/>
      <c r="F3" s="42"/>
      <c r="G3" s="42"/>
      <c r="H3" s="41"/>
    </row>
    <row r="4" spans="1:8">
      <c r="A4" s="43"/>
      <c r="B4" s="44"/>
      <c r="C4" s="45"/>
      <c r="D4" s="46"/>
      <c r="E4" s="45"/>
      <c r="F4" s="45"/>
      <c r="G4" s="45"/>
    </row>
    <row r="5" spans="1:8">
      <c r="A5" s="47"/>
      <c r="B5" s="48" t="s">
        <v>75</v>
      </c>
      <c r="C5" s="233"/>
      <c r="D5" s="233"/>
      <c r="E5" s="45"/>
      <c r="F5" s="45"/>
      <c r="G5" s="45"/>
    </row>
    <row r="6" spans="1:8">
      <c r="A6" s="47"/>
      <c r="B6" s="48" t="s">
        <v>76</v>
      </c>
      <c r="C6" s="241"/>
      <c r="D6" s="242"/>
      <c r="E6" s="45"/>
      <c r="F6" s="45"/>
      <c r="G6" s="45"/>
    </row>
    <row r="7" spans="1:8" ht="18.75" customHeight="1">
      <c r="A7" s="47"/>
      <c r="B7" s="49" t="s">
        <v>338</v>
      </c>
      <c r="C7" s="234" t="e">
        <f>VLOOKUP(C6,'Indirect Rates'!B3:E202,3)</f>
        <v>#N/A</v>
      </c>
      <c r="D7" s="234"/>
      <c r="E7" s="45"/>
      <c r="F7" s="45"/>
      <c r="G7" s="45"/>
    </row>
    <row r="8" spans="1:8" ht="6.75" customHeight="1">
      <c r="A8" s="47"/>
      <c r="B8" s="50"/>
      <c r="C8" s="51"/>
      <c r="D8" s="51"/>
      <c r="E8" s="45"/>
      <c r="F8" s="45"/>
      <c r="G8" s="45"/>
    </row>
    <row r="9" spans="1:8">
      <c r="A9" s="47"/>
      <c r="B9" s="52" t="s">
        <v>51</v>
      </c>
      <c r="C9" s="53" t="s">
        <v>0</v>
      </c>
      <c r="D9" s="54"/>
      <c r="E9" s="55"/>
      <c r="F9" s="55"/>
      <c r="G9" s="45"/>
    </row>
    <row r="10" spans="1:8">
      <c r="A10" s="47"/>
      <c r="B10" s="52" t="s">
        <v>1</v>
      </c>
      <c r="C10" s="56"/>
      <c r="D10" s="47"/>
      <c r="E10" s="55"/>
      <c r="F10" s="55"/>
      <c r="G10" s="45"/>
    </row>
    <row r="11" spans="1:8">
      <c r="A11" s="47"/>
      <c r="B11" s="48" t="s">
        <v>2</v>
      </c>
      <c r="C11" s="57"/>
      <c r="D11" s="47"/>
      <c r="E11" s="58"/>
      <c r="F11" s="58"/>
      <c r="G11" s="45"/>
    </row>
    <row r="12" spans="1:8">
      <c r="A12" s="47"/>
      <c r="B12" s="48"/>
      <c r="C12" s="45"/>
      <c r="D12" s="47"/>
      <c r="E12" s="59"/>
      <c r="F12" s="58"/>
      <c r="G12" s="45"/>
    </row>
    <row r="13" spans="1:8">
      <c r="A13" s="43"/>
      <c r="B13" s="60" t="s">
        <v>388</v>
      </c>
      <c r="C13" s="45"/>
      <c r="D13" s="61"/>
      <c r="E13" s="45"/>
      <c r="F13" s="45"/>
      <c r="G13" s="45"/>
    </row>
    <row r="14" spans="1:8">
      <c r="A14" s="43"/>
      <c r="B14" s="60"/>
      <c r="C14" s="45"/>
      <c r="D14" s="61"/>
      <c r="E14" s="45"/>
      <c r="F14" s="45"/>
      <c r="G14" s="45"/>
    </row>
    <row r="15" spans="1:8">
      <c r="A15" s="43"/>
      <c r="B15" s="48" t="s">
        <v>3</v>
      </c>
      <c r="C15" s="239"/>
      <c r="D15" s="239"/>
      <c r="E15" s="239"/>
      <c r="F15" s="45"/>
      <c r="G15" s="45"/>
    </row>
    <row r="16" spans="1:8">
      <c r="A16" s="43"/>
      <c r="B16" s="48" t="s">
        <v>4</v>
      </c>
      <c r="C16" s="235"/>
      <c r="D16" s="235"/>
      <c r="E16" s="235"/>
      <c r="F16" s="45"/>
      <c r="G16" s="45"/>
    </row>
    <row r="17" spans="1:7">
      <c r="A17" s="43"/>
      <c r="B17" s="48" t="s">
        <v>5</v>
      </c>
      <c r="C17" s="236"/>
      <c r="D17" s="235"/>
      <c r="E17" s="235"/>
      <c r="F17" s="45"/>
      <c r="G17" s="45"/>
    </row>
    <row r="18" spans="1:7" ht="9" customHeight="1">
      <c r="A18" s="43"/>
      <c r="B18" s="48"/>
      <c r="C18" s="47"/>
      <c r="D18" s="47"/>
      <c r="E18" s="47"/>
      <c r="F18" s="45"/>
      <c r="G18" s="45"/>
    </row>
    <row r="19" spans="1:7" ht="16.5" customHeight="1">
      <c r="A19" s="43"/>
      <c r="B19" s="73" t="s">
        <v>376</v>
      </c>
      <c r="C19" s="74" t="s">
        <v>387</v>
      </c>
      <c r="D19" s="75"/>
      <c r="E19" s="76"/>
      <c r="F19" s="45"/>
      <c r="G19" s="45"/>
    </row>
    <row r="20" spans="1:7" ht="16.5" customHeight="1">
      <c r="A20" s="43"/>
      <c r="B20" s="62" t="s">
        <v>381</v>
      </c>
      <c r="C20" s="55"/>
      <c r="D20" s="63"/>
      <c r="E20" s="45"/>
      <c r="F20" s="45"/>
      <c r="G20" s="45"/>
    </row>
    <row r="21" spans="1:7">
      <c r="A21" s="43"/>
      <c r="B21" s="64" t="s">
        <v>377</v>
      </c>
      <c r="C21" s="64" t="s">
        <v>389</v>
      </c>
      <c r="D21" s="64"/>
      <c r="E21" s="45"/>
      <c r="F21" s="45"/>
      <c r="G21" s="45"/>
    </row>
    <row r="22" spans="1:7">
      <c r="A22" s="43"/>
      <c r="B22" s="64" t="s">
        <v>378</v>
      </c>
      <c r="C22" s="64" t="s">
        <v>390</v>
      </c>
      <c r="D22" s="65"/>
      <c r="E22" s="45"/>
      <c r="F22" s="45"/>
      <c r="G22" s="45"/>
    </row>
    <row r="23" spans="1:7">
      <c r="A23" s="43"/>
      <c r="B23" s="66"/>
      <c r="C23" s="64"/>
      <c r="D23" s="65"/>
      <c r="E23" s="45"/>
      <c r="F23" s="45"/>
      <c r="G23" s="45"/>
    </row>
    <row r="24" spans="1:7">
      <c r="A24" s="43"/>
      <c r="B24" s="45"/>
      <c r="C24" s="67" t="s">
        <v>6</v>
      </c>
      <c r="D24" s="68"/>
      <c r="E24" s="68"/>
      <c r="F24" s="68"/>
      <c r="G24" s="68"/>
    </row>
    <row r="25" spans="1:7">
      <c r="A25" s="43"/>
      <c r="B25" s="45"/>
      <c r="C25" s="67" t="s">
        <v>7</v>
      </c>
      <c r="D25" s="68"/>
      <c r="E25" s="68"/>
      <c r="F25" s="68"/>
      <c r="G25" s="68"/>
    </row>
    <row r="26" spans="1:7">
      <c r="A26" s="55"/>
      <c r="B26" s="45"/>
      <c r="C26" s="67" t="s">
        <v>379</v>
      </c>
      <c r="D26" s="55"/>
      <c r="E26" s="55"/>
      <c r="F26" s="55"/>
      <c r="G26" s="51"/>
    </row>
    <row r="27" spans="1:7">
      <c r="A27" s="55"/>
      <c r="B27" s="45"/>
      <c r="C27" s="69">
        <f>'5-Budget Summary'!C33</f>
        <v>0</v>
      </c>
      <c r="D27" s="55"/>
      <c r="E27" s="55"/>
      <c r="F27" s="55"/>
      <c r="G27" s="45"/>
    </row>
    <row r="28" spans="1:7">
      <c r="A28" s="55"/>
      <c r="B28" s="45"/>
      <c r="C28" s="70" t="s">
        <v>380</v>
      </c>
      <c r="D28" s="55"/>
      <c r="E28" s="55"/>
      <c r="F28" s="55"/>
      <c r="G28" s="45"/>
    </row>
    <row r="29" spans="1:7">
      <c r="A29" s="55"/>
      <c r="B29" s="45"/>
      <c r="C29" s="71"/>
      <c r="D29" s="55"/>
      <c r="E29" s="55"/>
      <c r="F29" s="55"/>
      <c r="G29" s="45"/>
    </row>
    <row r="30" spans="1:7" hidden="1">
      <c r="A30" s="43"/>
      <c r="B30" s="45"/>
      <c r="C30" s="45"/>
      <c r="D30" s="45"/>
      <c r="E30" s="45"/>
      <c r="F30" s="45"/>
      <c r="G30" s="45"/>
    </row>
    <row r="31" spans="1:7" hidden="1">
      <c r="A31" s="43"/>
      <c r="B31" s="45"/>
      <c r="C31" s="45"/>
      <c r="D31" s="45"/>
      <c r="E31" s="45"/>
      <c r="F31" s="45"/>
      <c r="G31" s="45"/>
    </row>
    <row r="32" spans="1:7" hidden="1">
      <c r="A32" s="43"/>
      <c r="B32" s="45"/>
      <c r="C32" s="45"/>
      <c r="D32" s="45"/>
      <c r="E32" s="45"/>
      <c r="F32" s="45"/>
      <c r="G32" s="45"/>
    </row>
    <row r="33" spans="1:7" hidden="1">
      <c r="A33" s="43"/>
      <c r="B33" s="45"/>
      <c r="C33" s="45"/>
      <c r="D33" s="45"/>
      <c r="E33" s="45"/>
      <c r="F33" s="45"/>
      <c r="G33" s="45"/>
    </row>
    <row r="34" spans="1:7" hidden="1">
      <c r="A34" s="43"/>
      <c r="B34" s="45"/>
      <c r="C34" s="45"/>
      <c r="D34" s="45"/>
      <c r="E34" s="45"/>
      <c r="F34" s="45"/>
      <c r="G34" s="45"/>
    </row>
    <row r="35" spans="1:7" hidden="1">
      <c r="A35" s="43"/>
      <c r="B35" s="45"/>
      <c r="C35" s="45"/>
      <c r="D35" s="45"/>
      <c r="E35" s="45"/>
      <c r="F35" s="45"/>
      <c r="G35" s="45"/>
    </row>
    <row r="36" spans="1:7" hidden="1">
      <c r="A36" s="43"/>
      <c r="B36" s="45"/>
      <c r="C36" s="45"/>
      <c r="D36" s="45"/>
      <c r="E36" s="45"/>
      <c r="F36" s="45"/>
      <c r="G36" s="45"/>
    </row>
    <row r="37" spans="1:7" hidden="1">
      <c r="A37" s="43"/>
      <c r="B37" s="45"/>
      <c r="C37" s="45"/>
      <c r="D37" s="45"/>
      <c r="E37" s="45"/>
      <c r="F37" s="45"/>
      <c r="G37" s="45"/>
    </row>
    <row r="38" spans="1:7" hidden="1">
      <c r="A38" s="43"/>
      <c r="B38" s="45"/>
      <c r="C38" s="45"/>
      <c r="D38" s="45"/>
      <c r="E38" s="45"/>
      <c r="F38" s="45"/>
      <c r="G38" s="45"/>
    </row>
    <row r="39" spans="1:7" hidden="1">
      <c r="A39" s="43"/>
      <c r="B39" s="45"/>
      <c r="C39" s="45"/>
      <c r="D39" s="45"/>
      <c r="E39" s="45"/>
      <c r="F39" s="45"/>
      <c r="G39" s="45"/>
    </row>
    <row r="40" spans="1:7" hidden="1">
      <c r="A40" s="43"/>
      <c r="B40" s="45"/>
      <c r="C40" s="45"/>
      <c r="D40" s="45"/>
      <c r="E40" s="45"/>
      <c r="F40" s="45"/>
      <c r="G40" s="45"/>
    </row>
    <row r="41" spans="1:7" hidden="1">
      <c r="A41" s="43"/>
      <c r="B41" s="45"/>
      <c r="C41" s="45"/>
      <c r="D41" s="45"/>
      <c r="E41" s="45"/>
      <c r="F41" s="45"/>
      <c r="G41" s="45"/>
    </row>
    <row r="42" spans="1:7" hidden="1">
      <c r="A42" s="43"/>
      <c r="B42" s="45"/>
      <c r="C42" s="45"/>
      <c r="D42" s="45"/>
      <c r="E42" s="45"/>
      <c r="F42" s="45"/>
      <c r="G42" s="45"/>
    </row>
    <row r="43" spans="1:7" hidden="1">
      <c r="A43" s="43"/>
      <c r="B43" s="45"/>
      <c r="C43" s="45"/>
      <c r="D43" s="45"/>
      <c r="E43" s="45"/>
      <c r="F43" s="45"/>
      <c r="G43" s="45"/>
    </row>
    <row r="44" spans="1:7" hidden="1">
      <c r="A44" s="43"/>
      <c r="B44" s="45"/>
      <c r="C44" s="45"/>
      <c r="D44" s="45"/>
      <c r="E44" s="45"/>
      <c r="F44" s="45"/>
      <c r="G44" s="45"/>
    </row>
    <row r="45" spans="1:7" hidden="1">
      <c r="A45" s="43"/>
      <c r="B45" s="45"/>
      <c r="C45" s="45"/>
      <c r="D45" s="45"/>
      <c r="E45" s="45"/>
      <c r="F45" s="45"/>
      <c r="G45" s="45"/>
    </row>
    <row r="46" spans="1:7" hidden="1">
      <c r="A46" s="43"/>
      <c r="B46" s="45"/>
      <c r="C46" s="45"/>
      <c r="D46" s="45"/>
      <c r="E46" s="45"/>
      <c r="F46" s="45"/>
      <c r="G46" s="45"/>
    </row>
    <row r="47" spans="1:7" hidden="1">
      <c r="A47" s="43"/>
      <c r="B47" s="45"/>
      <c r="C47" s="45"/>
      <c r="D47" s="45"/>
      <c r="E47" s="45"/>
      <c r="F47" s="45"/>
      <c r="G47" s="45"/>
    </row>
    <row r="48" spans="1:7" hidden="1">
      <c r="A48" s="43"/>
      <c r="B48" s="45"/>
      <c r="C48" s="45"/>
      <c r="D48" s="45"/>
      <c r="E48" s="45"/>
      <c r="F48" s="45"/>
      <c r="G48" s="45"/>
    </row>
    <row r="49" spans="1:7" hidden="1">
      <c r="A49" s="43"/>
      <c r="B49" s="45"/>
      <c r="C49" s="45"/>
      <c r="D49" s="45"/>
      <c r="E49" s="45"/>
      <c r="F49" s="45"/>
      <c r="G49" s="45"/>
    </row>
  </sheetData>
  <sheetProtection password="CC76" sheet="1" objects="1" scenarios="1"/>
  <protectedRanges>
    <protectedRange sqref="C10" name="Range4"/>
    <protectedRange sqref="D21:D23" name="Range1"/>
  </protectedRanges>
  <mergeCells count="9">
    <mergeCell ref="C5:D5"/>
    <mergeCell ref="C7:D7"/>
    <mergeCell ref="C16:E16"/>
    <mergeCell ref="C17:E17"/>
    <mergeCell ref="A1:G1"/>
    <mergeCell ref="A2:G2"/>
    <mergeCell ref="C15:E15"/>
    <mergeCell ref="C3:E3"/>
    <mergeCell ref="C6:D6"/>
  </mergeCells>
  <phoneticPr fontId="6" type="noConversion"/>
  <dataValidations count="2">
    <dataValidation allowBlank="1" showInputMessage="1" showErrorMessage="1" errorTitle="For CDE Use Only" sqref="C29 C27"/>
    <dataValidation type="list" allowBlank="1" showInputMessage="1" showErrorMessage="1" sqref="C9">
      <formula1>budget</formula1>
    </dataValidation>
  </dataValidations>
  <pageMargins left="0.5" right="0.5" top="0.75" bottom="0.75" header="0.5" footer="0.5"/>
  <pageSetup scale="87" orientation="portrait" r:id="rId1"/>
  <headerFooter alignWithMargins="0">
    <oddFooter>&amp;LPage &amp;P of &amp;N&amp;C&amp;D &amp;T&amp;R&amp;A</oddFooter>
  </headerFooter>
  <rowBreaks count="1" manualBreakCount="1">
    <brk id="29" max="6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500"/>
  <sheetViews>
    <sheetView zoomScaleNormal="100" workbookViewId="0">
      <pane ySplit="5" topLeftCell="A6" activePane="bottomLeft" state="frozen"/>
      <selection pane="bottomLeft" activeCell="C9" sqref="C9"/>
    </sheetView>
  </sheetViews>
  <sheetFormatPr defaultColWidth="0" defaultRowHeight="12.75" zeroHeight="1"/>
  <cols>
    <col min="1" max="1" width="37.140625" style="170" customWidth="1"/>
    <col min="2" max="2" width="9" style="185" customWidth="1"/>
    <col min="3" max="3" width="40.7109375" style="186" customWidth="1"/>
    <col min="4" max="4" width="15.28515625" style="170" customWidth="1"/>
    <col min="5" max="5" width="0" style="170" hidden="1" customWidth="1"/>
    <col min="6" max="6" width="17" style="170" hidden="1" customWidth="1"/>
    <col min="7" max="9" width="0.140625" style="170" hidden="1" customWidth="1"/>
    <col min="10" max="16384" width="0" style="170" hidden="1"/>
  </cols>
  <sheetData>
    <row r="1" spans="1:4">
      <c r="A1" s="243" t="str">
        <f>'2-Cover Page'!A1:G1</f>
        <v>School Improvement Support Grant</v>
      </c>
      <c r="B1" s="244"/>
      <c r="C1" s="244"/>
      <c r="D1" s="244"/>
    </row>
    <row r="2" spans="1:4">
      <c r="A2" s="244" t="s">
        <v>8</v>
      </c>
      <c r="B2" s="244"/>
      <c r="C2" s="244"/>
      <c r="D2" s="244"/>
    </row>
    <row r="3" spans="1:4">
      <c r="A3" s="171">
        <f>'2-Cover Page'!C5</f>
        <v>0</v>
      </c>
      <c r="B3" s="172"/>
      <c r="C3" s="173"/>
      <c r="D3" s="174">
        <f>'2-Cover Page'!C11</f>
        <v>0</v>
      </c>
    </row>
    <row r="4" spans="1:4">
      <c r="A4" s="84">
        <v>1</v>
      </c>
      <c r="B4" s="86">
        <v>2</v>
      </c>
      <c r="C4" s="85">
        <v>3</v>
      </c>
      <c r="D4" s="86">
        <v>4</v>
      </c>
    </row>
    <row r="5" spans="1:4" ht="25.5">
      <c r="A5" s="81" t="s">
        <v>9</v>
      </c>
      <c r="B5" s="82" t="s">
        <v>10</v>
      </c>
      <c r="C5" s="83" t="s">
        <v>53</v>
      </c>
      <c r="D5" s="81" t="s">
        <v>56</v>
      </c>
    </row>
    <row r="6" spans="1:4">
      <c r="A6" s="175"/>
      <c r="B6" s="176"/>
      <c r="C6" s="177"/>
      <c r="D6" s="178"/>
    </row>
    <row r="7" spans="1:4">
      <c r="A7" s="175"/>
      <c r="B7" s="179"/>
      <c r="C7" s="180"/>
      <c r="D7" s="178"/>
    </row>
    <row r="8" spans="1:4">
      <c r="A8" s="175"/>
      <c r="B8" s="181"/>
      <c r="C8" s="180"/>
      <c r="D8" s="178"/>
    </row>
    <row r="9" spans="1:4">
      <c r="A9" s="175"/>
      <c r="B9" s="176"/>
      <c r="C9" s="180"/>
      <c r="D9" s="178"/>
    </row>
    <row r="10" spans="1:4">
      <c r="A10" s="175"/>
      <c r="B10" s="179"/>
      <c r="C10" s="180"/>
      <c r="D10" s="178"/>
    </row>
    <row r="11" spans="1:4">
      <c r="A11" s="175"/>
      <c r="B11" s="176"/>
      <c r="C11" s="180"/>
      <c r="D11" s="178"/>
    </row>
    <row r="12" spans="1:4">
      <c r="A12" s="175"/>
      <c r="B12" s="179"/>
      <c r="C12" s="180"/>
      <c r="D12" s="178"/>
    </row>
    <row r="13" spans="1:4">
      <c r="A13" s="175"/>
      <c r="B13" s="176"/>
      <c r="C13" s="180"/>
      <c r="D13" s="178"/>
    </row>
    <row r="14" spans="1:4">
      <c r="A14" s="175"/>
      <c r="B14" s="179"/>
      <c r="C14" s="180"/>
      <c r="D14" s="178"/>
    </row>
    <row r="15" spans="1:4">
      <c r="A15" s="175"/>
      <c r="B15" s="176"/>
      <c r="C15" s="180"/>
      <c r="D15" s="178"/>
    </row>
    <row r="16" spans="1:4">
      <c r="A16" s="175"/>
      <c r="B16" s="179"/>
      <c r="C16" s="180"/>
      <c r="D16" s="178"/>
    </row>
    <row r="17" spans="1:4">
      <c r="A17" s="175"/>
      <c r="B17" s="176"/>
      <c r="C17" s="180"/>
      <c r="D17" s="178"/>
    </row>
    <row r="18" spans="1:4">
      <c r="A18" s="175"/>
      <c r="B18" s="176"/>
      <c r="C18" s="180"/>
      <c r="D18" s="178"/>
    </row>
    <row r="19" spans="1:4">
      <c r="A19" s="175"/>
      <c r="B19" s="179"/>
      <c r="C19" s="180"/>
      <c r="D19" s="178"/>
    </row>
    <row r="20" spans="1:4">
      <c r="A20" s="175"/>
      <c r="B20" s="176"/>
      <c r="C20" s="180"/>
      <c r="D20" s="178"/>
    </row>
    <row r="21" spans="1:4">
      <c r="A21" s="175"/>
      <c r="B21" s="179"/>
      <c r="C21" s="180"/>
      <c r="D21" s="178"/>
    </row>
    <row r="22" spans="1:4">
      <c r="A22" s="175"/>
      <c r="B22" s="176"/>
      <c r="C22" s="180"/>
      <c r="D22" s="178"/>
    </row>
    <row r="23" spans="1:4">
      <c r="A23" s="175"/>
      <c r="B23" s="179"/>
      <c r="C23" s="180"/>
      <c r="D23" s="178"/>
    </row>
    <row r="24" spans="1:4">
      <c r="A24" s="175"/>
      <c r="B24" s="176"/>
      <c r="C24" s="180"/>
      <c r="D24" s="178"/>
    </row>
    <row r="25" spans="1:4">
      <c r="A25" s="175"/>
      <c r="B25" s="179"/>
      <c r="C25" s="180"/>
      <c r="D25" s="178"/>
    </row>
    <row r="26" spans="1:4">
      <c r="A26" s="175"/>
      <c r="B26" s="176"/>
      <c r="C26" s="180"/>
      <c r="D26" s="178"/>
    </row>
    <row r="27" spans="1:4">
      <c r="A27" s="175"/>
      <c r="B27" s="179"/>
      <c r="C27" s="180"/>
      <c r="D27" s="178"/>
    </row>
    <row r="28" spans="1:4">
      <c r="A28" s="175"/>
      <c r="B28" s="176"/>
      <c r="C28" s="180"/>
      <c r="D28" s="178"/>
    </row>
    <row r="29" spans="1:4">
      <c r="A29" s="175"/>
      <c r="B29" s="179"/>
      <c r="C29" s="180"/>
      <c r="D29" s="178"/>
    </row>
    <row r="30" spans="1:4">
      <c r="A30" s="175"/>
      <c r="B30" s="176"/>
      <c r="C30" s="180"/>
      <c r="D30" s="178"/>
    </row>
    <row r="31" spans="1:4">
      <c r="A31" s="175"/>
      <c r="B31" s="179"/>
      <c r="C31" s="180"/>
      <c r="D31" s="178"/>
    </row>
    <row r="32" spans="1:4">
      <c r="A32" s="175"/>
      <c r="B32" s="176"/>
      <c r="C32" s="180"/>
      <c r="D32" s="178"/>
    </row>
    <row r="33" spans="1:4">
      <c r="A33" s="175"/>
      <c r="B33" s="176"/>
      <c r="C33" s="180"/>
      <c r="D33" s="178"/>
    </row>
    <row r="34" spans="1:4">
      <c r="A34" s="175"/>
      <c r="B34" s="179"/>
      <c r="C34" s="180"/>
      <c r="D34" s="178"/>
    </row>
    <row r="35" spans="1:4">
      <c r="A35" s="175"/>
      <c r="B35" s="176"/>
      <c r="C35" s="180"/>
      <c r="D35" s="178"/>
    </row>
    <row r="36" spans="1:4">
      <c r="A36" s="175"/>
      <c r="B36" s="179"/>
      <c r="C36" s="180"/>
      <c r="D36" s="178"/>
    </row>
    <row r="37" spans="1:4">
      <c r="A37" s="175"/>
      <c r="B37" s="176"/>
      <c r="C37" s="180"/>
      <c r="D37" s="175"/>
    </row>
    <row r="38" spans="1:4">
      <c r="A38" s="175"/>
      <c r="B38" s="179"/>
      <c r="C38" s="180"/>
      <c r="D38" s="175"/>
    </row>
    <row r="39" spans="1:4">
      <c r="A39" s="175"/>
      <c r="B39" s="176"/>
      <c r="C39" s="180"/>
      <c r="D39" s="175"/>
    </row>
    <row r="40" spans="1:4">
      <c r="A40" s="175"/>
      <c r="B40" s="179"/>
      <c r="C40" s="180"/>
      <c r="D40" s="175"/>
    </row>
    <row r="41" spans="1:4">
      <c r="A41" s="175"/>
      <c r="B41" s="176"/>
      <c r="C41" s="180"/>
      <c r="D41" s="175"/>
    </row>
    <row r="42" spans="1:4">
      <c r="A42" s="175"/>
      <c r="B42" s="179"/>
      <c r="C42" s="180"/>
      <c r="D42" s="175"/>
    </row>
    <row r="43" spans="1:4">
      <c r="A43" s="175"/>
      <c r="B43" s="176"/>
      <c r="C43" s="180"/>
      <c r="D43" s="175"/>
    </row>
    <row r="44" spans="1:4">
      <c r="A44" s="175"/>
      <c r="B44" s="179"/>
      <c r="C44" s="180"/>
      <c r="D44" s="175"/>
    </row>
    <row r="45" spans="1:4">
      <c r="A45" s="175"/>
      <c r="B45" s="176"/>
      <c r="C45" s="180"/>
      <c r="D45" s="175"/>
    </row>
    <row r="46" spans="1:4">
      <c r="A46" s="175"/>
      <c r="B46" s="179"/>
      <c r="C46" s="180"/>
      <c r="D46" s="175"/>
    </row>
    <row r="47" spans="1:4">
      <c r="A47" s="175"/>
      <c r="B47" s="176"/>
      <c r="C47" s="180"/>
      <c r="D47" s="175"/>
    </row>
    <row r="48" spans="1:4">
      <c r="A48" s="175"/>
      <c r="B48" s="179"/>
      <c r="C48" s="180"/>
      <c r="D48" s="175"/>
    </row>
    <row r="49" spans="1:4">
      <c r="A49" s="175"/>
      <c r="B49" s="176"/>
      <c r="C49" s="180"/>
      <c r="D49" s="175"/>
    </row>
    <row r="50" spans="1:4">
      <c r="A50" s="175"/>
      <c r="B50" s="179"/>
      <c r="C50" s="180"/>
      <c r="D50" s="175"/>
    </row>
    <row r="51" spans="1:4">
      <c r="A51" s="175"/>
      <c r="B51" s="179"/>
      <c r="C51" s="180"/>
      <c r="D51" s="182"/>
    </row>
    <row r="52" spans="1:4">
      <c r="A52" s="175"/>
      <c r="B52" s="179"/>
      <c r="C52" s="180"/>
      <c r="D52" s="182"/>
    </row>
    <row r="53" spans="1:4">
      <c r="A53" s="175"/>
      <c r="B53" s="179"/>
      <c r="C53" s="180"/>
      <c r="D53" s="182"/>
    </row>
    <row r="54" spans="1:4">
      <c r="A54" s="175"/>
      <c r="B54" s="179"/>
      <c r="C54" s="180"/>
      <c r="D54" s="182"/>
    </row>
    <row r="55" spans="1:4">
      <c r="A55" s="175"/>
      <c r="B55" s="179"/>
      <c r="C55" s="180"/>
      <c r="D55" s="182"/>
    </row>
    <row r="56" spans="1:4">
      <c r="A56" s="175"/>
      <c r="B56" s="179"/>
      <c r="C56" s="180"/>
      <c r="D56" s="182"/>
    </row>
    <row r="57" spans="1:4">
      <c r="A57" s="175"/>
      <c r="B57" s="179"/>
      <c r="C57" s="180"/>
      <c r="D57" s="182"/>
    </row>
    <row r="58" spans="1:4">
      <c r="A58" s="175"/>
      <c r="B58" s="179"/>
      <c r="C58" s="180"/>
      <c r="D58" s="182"/>
    </row>
    <row r="59" spans="1:4">
      <c r="A59" s="175"/>
      <c r="B59" s="179"/>
      <c r="C59" s="180"/>
      <c r="D59" s="182"/>
    </row>
    <row r="60" spans="1:4">
      <c r="A60" s="175"/>
      <c r="B60" s="179"/>
      <c r="C60" s="180"/>
      <c r="D60" s="175"/>
    </row>
    <row r="61" spans="1:4">
      <c r="A61" s="175"/>
      <c r="B61" s="179"/>
      <c r="C61" s="180"/>
      <c r="D61" s="175"/>
    </row>
    <row r="62" spans="1:4">
      <c r="A62" s="175"/>
      <c r="B62" s="179"/>
      <c r="C62" s="180"/>
      <c r="D62" s="175"/>
    </row>
    <row r="63" spans="1:4">
      <c r="A63" s="175"/>
      <c r="B63" s="179"/>
      <c r="C63" s="180"/>
      <c r="D63" s="175"/>
    </row>
    <row r="64" spans="1:4">
      <c r="A64" s="175"/>
      <c r="B64" s="179"/>
      <c r="C64" s="180"/>
      <c r="D64" s="175"/>
    </row>
    <row r="65" spans="1:4">
      <c r="A65" s="175"/>
      <c r="B65" s="179"/>
      <c r="C65" s="180"/>
      <c r="D65" s="175"/>
    </row>
    <row r="66" spans="1:4">
      <c r="A66" s="175"/>
      <c r="B66" s="179"/>
      <c r="C66" s="180"/>
      <c r="D66" s="175"/>
    </row>
    <row r="67" spans="1:4">
      <c r="A67" s="175"/>
      <c r="B67" s="179"/>
      <c r="C67" s="180"/>
      <c r="D67" s="175"/>
    </row>
    <row r="68" spans="1:4">
      <c r="A68" s="175"/>
      <c r="B68" s="179"/>
      <c r="C68" s="180"/>
      <c r="D68" s="175"/>
    </row>
    <row r="69" spans="1:4">
      <c r="A69" s="175"/>
      <c r="B69" s="179"/>
      <c r="C69" s="180"/>
      <c r="D69" s="175"/>
    </row>
    <row r="70" spans="1:4">
      <c r="A70" s="175"/>
      <c r="B70" s="179"/>
      <c r="C70" s="180"/>
      <c r="D70" s="175"/>
    </row>
    <row r="71" spans="1:4">
      <c r="A71" s="175"/>
      <c r="B71" s="179"/>
      <c r="C71" s="180"/>
      <c r="D71" s="175"/>
    </row>
    <row r="72" spans="1:4">
      <c r="A72" s="175"/>
      <c r="B72" s="179"/>
      <c r="C72" s="180"/>
      <c r="D72" s="175"/>
    </row>
    <row r="73" spans="1:4">
      <c r="A73" s="175"/>
      <c r="B73" s="179"/>
      <c r="C73" s="180"/>
      <c r="D73" s="175"/>
    </row>
    <row r="74" spans="1:4">
      <c r="A74" s="175"/>
      <c r="B74" s="179"/>
      <c r="C74" s="180"/>
      <c r="D74" s="175"/>
    </row>
    <row r="75" spans="1:4">
      <c r="A75" s="175"/>
      <c r="B75" s="179"/>
      <c r="C75" s="180"/>
      <c r="D75" s="175"/>
    </row>
    <row r="76" spans="1:4">
      <c r="A76" s="175"/>
      <c r="B76" s="179"/>
      <c r="C76" s="180"/>
      <c r="D76" s="175"/>
    </row>
    <row r="77" spans="1:4">
      <c r="A77" s="175"/>
      <c r="B77" s="179"/>
      <c r="C77" s="180"/>
      <c r="D77" s="175"/>
    </row>
    <row r="78" spans="1:4">
      <c r="A78" s="175"/>
      <c r="B78" s="179"/>
      <c r="C78" s="180"/>
      <c r="D78" s="175"/>
    </row>
    <row r="79" spans="1:4">
      <c r="A79" s="175"/>
      <c r="B79" s="179"/>
      <c r="C79" s="180"/>
      <c r="D79" s="175"/>
    </row>
    <row r="80" spans="1:4">
      <c r="A80" s="175"/>
      <c r="B80" s="179"/>
      <c r="C80" s="180"/>
      <c r="D80" s="175"/>
    </row>
    <row r="81" spans="1:4">
      <c r="A81" s="175"/>
      <c r="B81" s="179"/>
      <c r="C81" s="180"/>
      <c r="D81" s="175"/>
    </row>
    <row r="82" spans="1:4">
      <c r="A82" s="175"/>
      <c r="B82" s="179"/>
      <c r="C82" s="180"/>
      <c r="D82" s="175"/>
    </row>
    <row r="83" spans="1:4">
      <c r="A83" s="175"/>
      <c r="B83" s="179"/>
      <c r="C83" s="180"/>
      <c r="D83" s="175"/>
    </row>
    <row r="84" spans="1:4">
      <c r="A84" s="175"/>
      <c r="B84" s="179"/>
      <c r="C84" s="180"/>
      <c r="D84" s="175"/>
    </row>
    <row r="85" spans="1:4">
      <c r="A85" s="175"/>
      <c r="B85" s="179"/>
      <c r="C85" s="180"/>
      <c r="D85" s="175"/>
    </row>
    <row r="86" spans="1:4">
      <c r="A86" s="175"/>
      <c r="B86" s="179"/>
      <c r="C86" s="180"/>
      <c r="D86" s="175"/>
    </row>
    <row r="87" spans="1:4">
      <c r="A87" s="175"/>
      <c r="B87" s="179"/>
      <c r="C87" s="180"/>
      <c r="D87" s="175"/>
    </row>
    <row r="88" spans="1:4">
      <c r="A88" s="175"/>
      <c r="B88" s="179"/>
      <c r="C88" s="180"/>
      <c r="D88" s="175"/>
    </row>
    <row r="89" spans="1:4">
      <c r="A89" s="175"/>
      <c r="B89" s="179"/>
      <c r="C89" s="180"/>
      <c r="D89" s="175"/>
    </row>
    <row r="90" spans="1:4">
      <c r="A90" s="175"/>
      <c r="B90" s="179"/>
      <c r="C90" s="180"/>
      <c r="D90" s="175"/>
    </row>
    <row r="91" spans="1:4">
      <c r="A91" s="175"/>
      <c r="B91" s="179"/>
      <c r="C91" s="180"/>
      <c r="D91" s="175"/>
    </row>
    <row r="92" spans="1:4">
      <c r="A92" s="175"/>
      <c r="B92" s="179"/>
      <c r="C92" s="180"/>
      <c r="D92" s="175"/>
    </row>
    <row r="93" spans="1:4">
      <c r="A93" s="175"/>
      <c r="B93" s="179"/>
      <c r="C93" s="180"/>
      <c r="D93" s="175"/>
    </row>
    <row r="94" spans="1:4">
      <c r="A94" s="175"/>
      <c r="B94" s="179"/>
      <c r="C94" s="180"/>
      <c r="D94" s="175"/>
    </row>
    <row r="95" spans="1:4">
      <c r="A95" s="175"/>
      <c r="B95" s="179"/>
      <c r="C95" s="180"/>
      <c r="D95" s="175"/>
    </row>
    <row r="96" spans="1:4">
      <c r="A96" s="175"/>
      <c r="B96" s="179"/>
      <c r="C96" s="180"/>
      <c r="D96" s="175"/>
    </row>
    <row r="97" spans="1:4">
      <c r="A97" s="175"/>
      <c r="B97" s="179"/>
      <c r="C97" s="180"/>
      <c r="D97" s="175"/>
    </row>
    <row r="98" spans="1:4">
      <c r="A98" s="175"/>
      <c r="B98" s="179"/>
      <c r="C98" s="180"/>
      <c r="D98" s="175"/>
    </row>
    <row r="99" spans="1:4">
      <c r="A99" s="175"/>
      <c r="B99" s="179"/>
      <c r="C99" s="180"/>
      <c r="D99" s="175"/>
    </row>
    <row r="100" spans="1:4">
      <c r="A100" s="175"/>
      <c r="B100" s="179"/>
      <c r="C100" s="180"/>
      <c r="D100" s="175"/>
    </row>
    <row r="101" spans="1:4">
      <c r="A101" s="175"/>
      <c r="B101" s="179"/>
      <c r="C101" s="180"/>
      <c r="D101" s="175"/>
    </row>
    <row r="102" spans="1:4">
      <c r="A102" s="175"/>
      <c r="B102" s="179"/>
      <c r="C102" s="180"/>
      <c r="D102" s="175"/>
    </row>
    <row r="103" spans="1:4">
      <c r="A103" s="175"/>
      <c r="B103" s="179"/>
      <c r="C103" s="180"/>
      <c r="D103" s="175"/>
    </row>
    <row r="104" spans="1:4">
      <c r="A104" s="175"/>
      <c r="B104" s="179"/>
      <c r="C104" s="180"/>
      <c r="D104" s="175"/>
    </row>
    <row r="105" spans="1:4">
      <c r="A105" s="175"/>
      <c r="B105" s="179"/>
      <c r="C105" s="180"/>
      <c r="D105" s="175"/>
    </row>
    <row r="106" spans="1:4">
      <c r="A106" s="175"/>
      <c r="B106" s="179"/>
      <c r="C106" s="180"/>
      <c r="D106" s="175"/>
    </row>
    <row r="107" spans="1:4">
      <c r="A107" s="175"/>
      <c r="B107" s="179"/>
      <c r="C107" s="180"/>
      <c r="D107" s="175"/>
    </row>
    <row r="108" spans="1:4">
      <c r="A108" s="175"/>
      <c r="B108" s="179"/>
      <c r="C108" s="180"/>
      <c r="D108" s="183"/>
    </row>
    <row r="109" spans="1:4">
      <c r="A109" s="175"/>
      <c r="B109" s="179"/>
      <c r="C109" s="180"/>
      <c r="D109" s="184"/>
    </row>
    <row r="110" spans="1:4">
      <c r="A110" s="175"/>
      <c r="B110" s="179"/>
      <c r="C110" s="180"/>
      <c r="D110" s="184"/>
    </row>
    <row r="111" spans="1:4">
      <c r="A111" s="175"/>
      <c r="B111" s="179"/>
      <c r="C111" s="180"/>
      <c r="D111" s="184"/>
    </row>
    <row r="112" spans="1:4">
      <c r="A112" s="175"/>
      <c r="B112" s="179"/>
      <c r="C112" s="180"/>
      <c r="D112" s="184"/>
    </row>
    <row r="113" spans="1:4">
      <c r="A113" s="175"/>
      <c r="B113" s="179"/>
      <c r="C113" s="180"/>
      <c r="D113" s="184"/>
    </row>
    <row r="114" spans="1:4">
      <c r="A114" s="175"/>
      <c r="B114" s="179"/>
      <c r="C114" s="180"/>
      <c r="D114" s="184"/>
    </row>
    <row r="115" spans="1:4">
      <c r="A115" s="175"/>
      <c r="B115" s="179"/>
      <c r="C115" s="180"/>
      <c r="D115" s="184"/>
    </row>
    <row r="116" spans="1:4">
      <c r="A116" s="175"/>
      <c r="B116" s="179"/>
      <c r="C116" s="180"/>
      <c r="D116" s="184"/>
    </row>
    <row r="117" spans="1:4">
      <c r="A117" s="175"/>
      <c r="B117" s="179"/>
      <c r="C117" s="180"/>
      <c r="D117" s="184"/>
    </row>
    <row r="118" spans="1:4">
      <c r="A118" s="175"/>
      <c r="B118" s="179"/>
      <c r="C118" s="180"/>
      <c r="D118" s="184"/>
    </row>
    <row r="119" spans="1:4">
      <c r="A119" s="175"/>
      <c r="B119" s="179"/>
      <c r="C119" s="180"/>
      <c r="D119" s="184"/>
    </row>
    <row r="120" spans="1:4">
      <c r="A120" s="175"/>
      <c r="B120" s="179"/>
      <c r="C120" s="180"/>
      <c r="D120" s="184"/>
    </row>
    <row r="121" spans="1:4">
      <c r="A121" s="175"/>
      <c r="B121" s="179"/>
      <c r="C121" s="180"/>
      <c r="D121" s="184"/>
    </row>
    <row r="122" spans="1:4">
      <c r="A122" s="175"/>
      <c r="B122" s="179"/>
      <c r="C122" s="180"/>
      <c r="D122" s="184"/>
    </row>
    <row r="123" spans="1:4">
      <c r="A123" s="175"/>
      <c r="B123" s="179"/>
      <c r="C123" s="180"/>
      <c r="D123" s="184"/>
    </row>
    <row r="124" spans="1:4">
      <c r="A124" s="175"/>
      <c r="B124" s="179"/>
      <c r="C124" s="180"/>
      <c r="D124" s="184"/>
    </row>
    <row r="125" spans="1:4">
      <c r="A125" s="175"/>
      <c r="B125" s="179"/>
      <c r="C125" s="180"/>
      <c r="D125" s="184"/>
    </row>
    <row r="126" spans="1:4">
      <c r="A126" s="175"/>
      <c r="B126" s="179"/>
      <c r="C126" s="180"/>
      <c r="D126" s="184"/>
    </row>
    <row r="127" spans="1:4">
      <c r="A127" s="175"/>
      <c r="B127" s="179"/>
      <c r="C127" s="180"/>
      <c r="D127" s="184"/>
    </row>
    <row r="128" spans="1:4">
      <c r="A128" s="175"/>
      <c r="B128" s="179"/>
      <c r="C128" s="180"/>
      <c r="D128" s="184"/>
    </row>
    <row r="129" spans="1:4">
      <c r="A129" s="175"/>
      <c r="B129" s="179"/>
      <c r="C129" s="180"/>
      <c r="D129" s="184"/>
    </row>
    <row r="130" spans="1:4">
      <c r="A130" s="175"/>
      <c r="B130" s="179"/>
      <c r="C130" s="180"/>
      <c r="D130" s="184"/>
    </row>
    <row r="131" spans="1:4">
      <c r="A131" s="175"/>
      <c r="B131" s="179"/>
      <c r="C131" s="180"/>
      <c r="D131" s="184"/>
    </row>
    <row r="132" spans="1:4">
      <c r="A132" s="175"/>
      <c r="B132" s="179"/>
      <c r="C132" s="180"/>
      <c r="D132" s="184"/>
    </row>
    <row r="133" spans="1:4">
      <c r="A133" s="175"/>
      <c r="B133" s="179"/>
      <c r="C133" s="180"/>
      <c r="D133" s="184"/>
    </row>
    <row r="134" spans="1:4">
      <c r="A134" s="175"/>
      <c r="B134" s="179"/>
      <c r="C134" s="180"/>
      <c r="D134" s="184"/>
    </row>
    <row r="135" spans="1:4">
      <c r="A135" s="175"/>
      <c r="B135" s="179"/>
      <c r="C135" s="180"/>
      <c r="D135" s="184"/>
    </row>
    <row r="136" spans="1:4">
      <c r="A136" s="175"/>
      <c r="B136" s="179"/>
      <c r="C136" s="180"/>
      <c r="D136" s="184"/>
    </row>
    <row r="137" spans="1:4">
      <c r="A137" s="175"/>
      <c r="B137" s="179"/>
      <c r="C137" s="180"/>
      <c r="D137" s="184"/>
    </row>
    <row r="138" spans="1:4">
      <c r="A138" s="175"/>
      <c r="B138" s="179"/>
      <c r="C138" s="180"/>
      <c r="D138" s="184"/>
    </row>
    <row r="139" spans="1:4">
      <c r="A139" s="175"/>
      <c r="B139" s="179"/>
      <c r="C139" s="180"/>
      <c r="D139" s="184"/>
    </row>
    <row r="140" spans="1:4">
      <c r="A140" s="175"/>
      <c r="B140" s="179"/>
      <c r="C140" s="180"/>
      <c r="D140" s="184"/>
    </row>
    <row r="141" spans="1:4">
      <c r="A141" s="175"/>
      <c r="B141" s="179"/>
      <c r="C141" s="180"/>
      <c r="D141" s="184"/>
    </row>
    <row r="142" spans="1:4">
      <c r="A142" s="175"/>
      <c r="B142" s="179"/>
      <c r="C142" s="180"/>
      <c r="D142" s="184"/>
    </row>
    <row r="143" spans="1:4">
      <c r="A143" s="175"/>
      <c r="B143" s="179"/>
      <c r="C143" s="180"/>
      <c r="D143" s="184"/>
    </row>
    <row r="144" spans="1:4">
      <c r="A144" s="175"/>
      <c r="B144" s="179"/>
      <c r="C144" s="180"/>
      <c r="D144" s="184"/>
    </row>
    <row r="145" spans="1:4">
      <c r="A145" s="175"/>
      <c r="B145" s="179"/>
      <c r="C145" s="180"/>
      <c r="D145" s="184"/>
    </row>
    <row r="146" spans="1:4">
      <c r="A146" s="175"/>
      <c r="B146" s="179"/>
      <c r="C146" s="180"/>
      <c r="D146" s="184"/>
    </row>
    <row r="147" spans="1:4">
      <c r="A147" s="175"/>
      <c r="B147" s="179"/>
      <c r="C147" s="180"/>
      <c r="D147" s="184"/>
    </row>
    <row r="148" spans="1:4">
      <c r="A148" s="175"/>
      <c r="B148" s="179"/>
      <c r="C148" s="180"/>
      <c r="D148" s="184"/>
    </row>
    <row r="149" spans="1:4">
      <c r="A149" s="175"/>
      <c r="B149" s="179"/>
      <c r="C149" s="180"/>
      <c r="D149" s="184"/>
    </row>
    <row r="150" spans="1:4">
      <c r="A150" s="175"/>
      <c r="B150" s="179"/>
      <c r="C150" s="180"/>
      <c r="D150" s="184"/>
    </row>
    <row r="151" spans="1:4">
      <c r="A151" s="175"/>
      <c r="B151" s="179"/>
      <c r="C151" s="180"/>
      <c r="D151" s="184"/>
    </row>
    <row r="152" spans="1:4">
      <c r="A152" s="175"/>
      <c r="B152" s="179"/>
      <c r="C152" s="180"/>
      <c r="D152" s="184"/>
    </row>
    <row r="153" spans="1:4">
      <c r="A153" s="175"/>
      <c r="B153" s="179"/>
      <c r="C153" s="180"/>
      <c r="D153" s="184"/>
    </row>
    <row r="154" spans="1:4">
      <c r="A154" s="175"/>
      <c r="B154" s="179"/>
      <c r="C154" s="180"/>
      <c r="D154" s="184"/>
    </row>
    <row r="155" spans="1:4">
      <c r="A155" s="175"/>
      <c r="B155" s="179"/>
      <c r="C155" s="180"/>
      <c r="D155" s="184"/>
    </row>
    <row r="156" spans="1:4">
      <c r="A156" s="175"/>
      <c r="B156" s="179"/>
      <c r="C156" s="180"/>
      <c r="D156" s="184"/>
    </row>
    <row r="157" spans="1:4">
      <c r="A157" s="175"/>
      <c r="B157" s="179"/>
      <c r="C157" s="180"/>
      <c r="D157" s="184"/>
    </row>
    <row r="158" spans="1:4">
      <c r="A158" s="175"/>
      <c r="B158" s="179"/>
      <c r="C158" s="180"/>
      <c r="D158" s="184"/>
    </row>
    <row r="159" spans="1:4">
      <c r="A159" s="175"/>
      <c r="B159" s="179"/>
      <c r="C159" s="180"/>
      <c r="D159" s="184"/>
    </row>
    <row r="160" spans="1:4">
      <c r="A160" s="175"/>
      <c r="B160" s="179"/>
      <c r="C160" s="180"/>
      <c r="D160" s="184"/>
    </row>
    <row r="161" spans="1:4">
      <c r="A161" s="175"/>
      <c r="B161" s="179"/>
      <c r="C161" s="180"/>
      <c r="D161" s="184"/>
    </row>
    <row r="162" spans="1:4">
      <c r="A162" s="175"/>
      <c r="B162" s="179"/>
      <c r="C162" s="180"/>
      <c r="D162" s="184"/>
    </row>
    <row r="163" spans="1:4">
      <c r="A163" s="175"/>
      <c r="B163" s="179"/>
      <c r="C163" s="180"/>
      <c r="D163" s="184"/>
    </row>
    <row r="164" spans="1:4">
      <c r="A164" s="175"/>
      <c r="B164" s="179"/>
      <c r="C164" s="180"/>
      <c r="D164" s="184"/>
    </row>
    <row r="165" spans="1:4">
      <c r="A165" s="175"/>
      <c r="B165" s="179"/>
      <c r="C165" s="180"/>
      <c r="D165" s="184"/>
    </row>
    <row r="166" spans="1:4">
      <c r="A166" s="175"/>
      <c r="B166" s="179"/>
      <c r="C166" s="180"/>
      <c r="D166" s="184"/>
    </row>
    <row r="167" spans="1:4">
      <c r="A167" s="175"/>
      <c r="B167" s="179"/>
      <c r="C167" s="180"/>
      <c r="D167" s="184"/>
    </row>
    <row r="168" spans="1:4">
      <c r="A168" s="175"/>
      <c r="B168" s="179"/>
      <c r="C168" s="180"/>
      <c r="D168" s="184"/>
    </row>
    <row r="169" spans="1:4">
      <c r="A169" s="175"/>
      <c r="B169" s="179"/>
      <c r="C169" s="180"/>
      <c r="D169" s="184"/>
    </row>
    <row r="170" spans="1:4">
      <c r="A170" s="175"/>
      <c r="B170" s="179"/>
      <c r="C170" s="180"/>
      <c r="D170" s="184"/>
    </row>
    <row r="171" spans="1:4">
      <c r="A171" s="175"/>
      <c r="B171" s="179"/>
      <c r="C171" s="180"/>
      <c r="D171" s="184"/>
    </row>
    <row r="172" spans="1:4">
      <c r="A172" s="175"/>
      <c r="B172" s="179"/>
      <c r="C172" s="180"/>
      <c r="D172" s="184"/>
    </row>
    <row r="173" spans="1:4">
      <c r="A173" s="175"/>
      <c r="B173" s="179"/>
      <c r="C173" s="180"/>
      <c r="D173" s="184"/>
    </row>
    <row r="174" spans="1:4">
      <c r="A174" s="175"/>
      <c r="B174" s="179"/>
      <c r="C174" s="180"/>
      <c r="D174" s="184"/>
    </row>
    <row r="175" spans="1:4">
      <c r="A175" s="175"/>
      <c r="B175" s="179"/>
      <c r="C175" s="180"/>
      <c r="D175" s="184"/>
    </row>
    <row r="176" spans="1:4">
      <c r="A176" s="175"/>
      <c r="B176" s="179"/>
      <c r="C176" s="180"/>
      <c r="D176" s="184"/>
    </row>
    <row r="177" spans="1:4">
      <c r="A177" s="175"/>
      <c r="B177" s="179"/>
      <c r="C177" s="180"/>
      <c r="D177" s="184"/>
    </row>
    <row r="178" spans="1:4">
      <c r="A178" s="175"/>
      <c r="B178" s="179"/>
      <c r="C178" s="180"/>
      <c r="D178" s="184"/>
    </row>
    <row r="179" spans="1:4">
      <c r="A179" s="175"/>
      <c r="B179" s="179"/>
      <c r="C179" s="180"/>
      <c r="D179" s="184"/>
    </row>
    <row r="180" spans="1:4">
      <c r="A180" s="175"/>
      <c r="B180" s="179"/>
      <c r="C180" s="180"/>
      <c r="D180" s="184"/>
    </row>
    <row r="181" spans="1:4">
      <c r="A181" s="175"/>
      <c r="B181" s="179"/>
      <c r="C181" s="180"/>
      <c r="D181" s="184"/>
    </row>
    <row r="182" spans="1:4">
      <c r="A182" s="175"/>
      <c r="B182" s="179"/>
      <c r="C182" s="180"/>
      <c r="D182" s="184"/>
    </row>
    <row r="183" spans="1:4">
      <c r="A183" s="175"/>
      <c r="B183" s="179"/>
      <c r="C183" s="180"/>
      <c r="D183" s="184"/>
    </row>
    <row r="184" spans="1:4">
      <c r="A184" s="175"/>
      <c r="B184" s="179"/>
      <c r="C184" s="180"/>
      <c r="D184" s="184"/>
    </row>
    <row r="185" spans="1:4">
      <c r="A185" s="175"/>
      <c r="B185" s="179"/>
      <c r="C185" s="180"/>
      <c r="D185" s="184"/>
    </row>
    <row r="186" spans="1:4">
      <c r="A186" s="175"/>
      <c r="B186" s="179"/>
      <c r="C186" s="180"/>
      <c r="D186" s="184"/>
    </row>
    <row r="187" spans="1:4">
      <c r="A187" s="175"/>
      <c r="B187" s="179"/>
      <c r="C187" s="180"/>
      <c r="D187" s="184"/>
    </row>
    <row r="188" spans="1:4">
      <c r="A188" s="175"/>
      <c r="B188" s="179"/>
      <c r="C188" s="180"/>
      <c r="D188" s="184"/>
    </row>
    <row r="189" spans="1:4">
      <c r="A189" s="175"/>
      <c r="B189" s="179"/>
      <c r="C189" s="180"/>
      <c r="D189" s="184"/>
    </row>
    <row r="190" spans="1:4">
      <c r="A190" s="175"/>
      <c r="B190" s="179"/>
      <c r="C190" s="180"/>
      <c r="D190" s="184"/>
    </row>
    <row r="191" spans="1:4">
      <c r="A191" s="175"/>
      <c r="B191" s="179"/>
      <c r="C191" s="180"/>
      <c r="D191" s="184"/>
    </row>
    <row r="192" spans="1:4">
      <c r="A192" s="175"/>
      <c r="B192" s="179"/>
      <c r="C192" s="180"/>
      <c r="D192" s="184"/>
    </row>
    <row r="193" spans="1:4">
      <c r="A193" s="175"/>
      <c r="B193" s="179"/>
      <c r="C193" s="180"/>
      <c r="D193" s="184"/>
    </row>
    <row r="194" spans="1:4">
      <c r="A194" s="175"/>
      <c r="B194" s="179"/>
      <c r="C194" s="180"/>
      <c r="D194" s="184"/>
    </row>
    <row r="195" spans="1:4">
      <c r="A195" s="175"/>
      <c r="B195" s="179"/>
      <c r="C195" s="180"/>
      <c r="D195" s="184"/>
    </row>
    <row r="196" spans="1:4">
      <c r="A196" s="175"/>
      <c r="B196" s="179"/>
      <c r="C196" s="180"/>
      <c r="D196" s="184"/>
    </row>
    <row r="197" spans="1:4">
      <c r="A197" s="175"/>
      <c r="B197" s="179"/>
      <c r="C197" s="180"/>
      <c r="D197" s="184"/>
    </row>
    <row r="198" spans="1:4">
      <c r="A198" s="175"/>
      <c r="B198" s="179"/>
      <c r="C198" s="180"/>
      <c r="D198" s="184"/>
    </row>
    <row r="199" spans="1:4">
      <c r="A199" s="175"/>
      <c r="B199" s="179"/>
      <c r="C199" s="180"/>
      <c r="D199" s="184"/>
    </row>
    <row r="200" spans="1:4">
      <c r="A200" s="175"/>
      <c r="B200" s="179"/>
      <c r="C200" s="180"/>
      <c r="D200" s="184"/>
    </row>
    <row r="201" spans="1:4">
      <c r="A201" s="175"/>
      <c r="B201" s="179"/>
      <c r="C201" s="180"/>
      <c r="D201" s="184"/>
    </row>
    <row r="202" spans="1:4">
      <c r="A202" s="175"/>
      <c r="B202" s="179"/>
      <c r="C202" s="180"/>
      <c r="D202" s="184"/>
    </row>
    <row r="203" spans="1:4">
      <c r="A203" s="175"/>
      <c r="B203" s="179"/>
      <c r="C203" s="180"/>
      <c r="D203" s="184"/>
    </row>
    <row r="204" spans="1:4">
      <c r="A204" s="175"/>
      <c r="B204" s="179"/>
      <c r="C204" s="180"/>
      <c r="D204" s="184"/>
    </row>
    <row r="205" spans="1:4">
      <c r="A205" s="175"/>
      <c r="B205" s="179"/>
      <c r="C205" s="180"/>
      <c r="D205" s="184"/>
    </row>
    <row r="206" spans="1:4">
      <c r="A206" s="175"/>
      <c r="B206" s="179"/>
      <c r="C206" s="180"/>
      <c r="D206" s="184"/>
    </row>
    <row r="207" spans="1:4">
      <c r="A207" s="175"/>
      <c r="B207" s="179"/>
      <c r="C207" s="180"/>
      <c r="D207" s="184"/>
    </row>
    <row r="208" spans="1:4">
      <c r="A208" s="175"/>
      <c r="B208" s="179"/>
      <c r="C208" s="180"/>
      <c r="D208" s="184"/>
    </row>
    <row r="209" spans="1:4">
      <c r="A209" s="175"/>
      <c r="B209" s="179"/>
      <c r="C209" s="180"/>
      <c r="D209" s="184"/>
    </row>
    <row r="210" spans="1:4">
      <c r="A210" s="175"/>
      <c r="B210" s="179"/>
      <c r="C210" s="180"/>
      <c r="D210" s="184"/>
    </row>
    <row r="211" spans="1:4">
      <c r="A211" s="175"/>
      <c r="B211" s="179"/>
      <c r="C211" s="180"/>
      <c r="D211" s="184"/>
    </row>
    <row r="212" spans="1:4">
      <c r="A212" s="175"/>
      <c r="B212" s="179"/>
      <c r="C212" s="180"/>
      <c r="D212" s="184"/>
    </row>
    <row r="213" spans="1:4">
      <c r="A213" s="175"/>
      <c r="B213" s="179"/>
      <c r="C213" s="180"/>
      <c r="D213" s="184"/>
    </row>
    <row r="214" spans="1:4">
      <c r="A214" s="175"/>
      <c r="B214" s="179"/>
      <c r="C214" s="180"/>
      <c r="D214" s="184"/>
    </row>
    <row r="215" spans="1:4">
      <c r="A215" s="175"/>
      <c r="B215" s="179"/>
      <c r="C215" s="180"/>
      <c r="D215" s="184"/>
    </row>
    <row r="216" spans="1:4">
      <c r="A216" s="175"/>
      <c r="B216" s="179"/>
      <c r="C216" s="180"/>
      <c r="D216" s="184"/>
    </row>
    <row r="217" spans="1:4">
      <c r="A217" s="175"/>
      <c r="B217" s="179"/>
      <c r="C217" s="180"/>
      <c r="D217" s="184"/>
    </row>
    <row r="218" spans="1:4">
      <c r="A218" s="175"/>
      <c r="B218" s="179"/>
      <c r="C218" s="180"/>
      <c r="D218" s="184"/>
    </row>
    <row r="219" spans="1:4">
      <c r="A219" s="175"/>
      <c r="B219" s="179"/>
      <c r="C219" s="180"/>
      <c r="D219" s="184"/>
    </row>
    <row r="220" spans="1:4">
      <c r="A220" s="175"/>
      <c r="B220" s="179"/>
      <c r="C220" s="180"/>
      <c r="D220" s="184"/>
    </row>
    <row r="221" spans="1:4">
      <c r="A221" s="175"/>
      <c r="B221" s="179"/>
      <c r="C221" s="180"/>
      <c r="D221" s="184"/>
    </row>
    <row r="222" spans="1:4">
      <c r="A222" s="175"/>
      <c r="B222" s="179"/>
      <c r="C222" s="180"/>
      <c r="D222" s="184"/>
    </row>
    <row r="223" spans="1:4">
      <c r="A223" s="175"/>
      <c r="B223" s="179"/>
      <c r="C223" s="180"/>
      <c r="D223" s="184"/>
    </row>
    <row r="224" spans="1:4">
      <c r="A224" s="175"/>
      <c r="B224" s="179"/>
      <c r="C224" s="180"/>
      <c r="D224" s="184"/>
    </row>
    <row r="225" spans="1:4">
      <c r="A225" s="175"/>
      <c r="B225" s="179"/>
      <c r="C225" s="180"/>
      <c r="D225" s="184"/>
    </row>
    <row r="226" spans="1:4">
      <c r="A226" s="175"/>
      <c r="B226" s="179"/>
      <c r="C226" s="180"/>
      <c r="D226" s="184"/>
    </row>
    <row r="227" spans="1:4">
      <c r="A227" s="175"/>
      <c r="B227" s="179"/>
      <c r="C227" s="180"/>
      <c r="D227" s="184"/>
    </row>
    <row r="228" spans="1:4">
      <c r="A228" s="175"/>
      <c r="B228" s="179"/>
      <c r="C228" s="180"/>
      <c r="D228" s="184"/>
    </row>
    <row r="229" spans="1:4">
      <c r="A229" s="175"/>
      <c r="B229" s="179"/>
      <c r="C229" s="180"/>
      <c r="D229" s="184"/>
    </row>
    <row r="230" spans="1:4">
      <c r="A230" s="175"/>
      <c r="B230" s="179"/>
      <c r="C230" s="180"/>
      <c r="D230" s="184"/>
    </row>
    <row r="231" spans="1:4">
      <c r="A231" s="175"/>
      <c r="B231" s="179"/>
      <c r="C231" s="180"/>
      <c r="D231" s="184"/>
    </row>
    <row r="232" spans="1:4">
      <c r="A232" s="175"/>
      <c r="B232" s="179"/>
      <c r="C232" s="180"/>
      <c r="D232" s="184"/>
    </row>
    <row r="233" spans="1:4">
      <c r="A233" s="175"/>
      <c r="B233" s="179"/>
      <c r="C233" s="180"/>
      <c r="D233" s="184"/>
    </row>
    <row r="234" spans="1:4">
      <c r="A234" s="175"/>
      <c r="B234" s="179"/>
      <c r="C234" s="180"/>
      <c r="D234" s="184"/>
    </row>
    <row r="235" spans="1:4">
      <c r="A235" s="175"/>
      <c r="B235" s="179"/>
      <c r="C235" s="180"/>
      <c r="D235" s="184"/>
    </row>
    <row r="236" spans="1:4">
      <c r="A236" s="175"/>
      <c r="B236" s="179"/>
      <c r="C236" s="180"/>
      <c r="D236" s="184"/>
    </row>
    <row r="237" spans="1:4">
      <c r="A237" s="175"/>
      <c r="B237" s="179"/>
      <c r="C237" s="180"/>
      <c r="D237" s="184"/>
    </row>
    <row r="238" spans="1:4">
      <c r="A238" s="175"/>
      <c r="B238" s="179"/>
      <c r="C238" s="180"/>
      <c r="D238" s="184"/>
    </row>
    <row r="239" spans="1:4">
      <c r="A239" s="175"/>
      <c r="B239" s="179"/>
      <c r="C239" s="180"/>
      <c r="D239" s="184"/>
    </row>
    <row r="240" spans="1:4">
      <c r="A240" s="175"/>
      <c r="B240" s="179"/>
      <c r="C240" s="180"/>
      <c r="D240" s="184"/>
    </row>
    <row r="241" spans="1:4">
      <c r="A241" s="175"/>
      <c r="B241" s="179"/>
      <c r="C241" s="180"/>
      <c r="D241" s="184"/>
    </row>
    <row r="242" spans="1:4">
      <c r="A242" s="175"/>
      <c r="B242" s="179"/>
      <c r="C242" s="180"/>
      <c r="D242" s="184"/>
    </row>
    <row r="243" spans="1:4">
      <c r="A243" s="175"/>
      <c r="B243" s="179"/>
      <c r="C243" s="180"/>
      <c r="D243" s="184"/>
    </row>
    <row r="244" spans="1:4">
      <c r="A244" s="175"/>
      <c r="B244" s="179"/>
      <c r="C244" s="180"/>
      <c r="D244" s="184"/>
    </row>
    <row r="245" spans="1:4">
      <c r="A245" s="175"/>
      <c r="B245" s="179"/>
      <c r="C245" s="180"/>
      <c r="D245" s="184"/>
    </row>
    <row r="246" spans="1:4">
      <c r="A246" s="175"/>
      <c r="B246" s="179"/>
      <c r="C246" s="180"/>
      <c r="D246" s="184"/>
    </row>
    <row r="247" spans="1:4">
      <c r="A247" s="175"/>
      <c r="B247" s="179"/>
      <c r="C247" s="180"/>
      <c r="D247" s="184"/>
    </row>
    <row r="248" spans="1:4">
      <c r="A248" s="175"/>
      <c r="B248" s="179"/>
      <c r="C248" s="180"/>
      <c r="D248" s="184"/>
    </row>
    <row r="249" spans="1:4">
      <c r="A249" s="175"/>
      <c r="B249" s="179"/>
      <c r="C249" s="180"/>
      <c r="D249" s="184"/>
    </row>
    <row r="250" spans="1:4">
      <c r="A250" s="175"/>
      <c r="B250" s="179"/>
      <c r="C250" s="180"/>
      <c r="D250" s="184"/>
    </row>
    <row r="251" spans="1:4">
      <c r="A251" s="175"/>
      <c r="B251" s="179"/>
      <c r="C251" s="180"/>
      <c r="D251" s="184"/>
    </row>
    <row r="252" spans="1:4">
      <c r="A252" s="175"/>
      <c r="B252" s="179"/>
      <c r="C252" s="180"/>
      <c r="D252" s="184"/>
    </row>
    <row r="253" spans="1:4">
      <c r="A253" s="175"/>
      <c r="B253" s="179"/>
      <c r="C253" s="180"/>
      <c r="D253" s="184"/>
    </row>
    <row r="254" spans="1:4">
      <c r="A254" s="175"/>
      <c r="B254" s="179"/>
      <c r="C254" s="180"/>
      <c r="D254" s="184"/>
    </row>
    <row r="255" spans="1:4">
      <c r="A255" s="175"/>
      <c r="B255" s="179"/>
      <c r="C255" s="180"/>
      <c r="D255" s="184"/>
    </row>
    <row r="256" spans="1:4">
      <c r="A256" s="175"/>
      <c r="B256" s="179"/>
      <c r="C256" s="180"/>
      <c r="D256" s="184"/>
    </row>
    <row r="257" spans="1:4">
      <c r="A257" s="175"/>
      <c r="B257" s="179"/>
      <c r="C257" s="180"/>
      <c r="D257" s="184"/>
    </row>
    <row r="258" spans="1:4">
      <c r="A258" s="175"/>
      <c r="B258" s="179"/>
      <c r="C258" s="180"/>
      <c r="D258" s="184"/>
    </row>
    <row r="259" spans="1:4">
      <c r="A259" s="175"/>
      <c r="B259" s="179"/>
      <c r="C259" s="180"/>
      <c r="D259" s="184"/>
    </row>
    <row r="260" spans="1:4">
      <c r="A260" s="175"/>
      <c r="B260" s="179"/>
      <c r="C260" s="180"/>
      <c r="D260" s="184"/>
    </row>
    <row r="261" spans="1:4">
      <c r="A261" s="175"/>
      <c r="B261" s="179"/>
      <c r="C261" s="180"/>
      <c r="D261" s="184"/>
    </row>
    <row r="262" spans="1:4">
      <c r="A262" s="175"/>
      <c r="B262" s="179"/>
      <c r="C262" s="180"/>
      <c r="D262" s="184"/>
    </row>
    <row r="263" spans="1:4">
      <c r="A263" s="175"/>
      <c r="B263" s="179"/>
      <c r="C263" s="180"/>
      <c r="D263" s="184"/>
    </row>
    <row r="264" spans="1:4">
      <c r="A264" s="175"/>
      <c r="B264" s="179"/>
      <c r="C264" s="180"/>
      <c r="D264" s="184"/>
    </row>
    <row r="265" spans="1:4">
      <c r="A265" s="175"/>
      <c r="B265" s="179"/>
      <c r="C265" s="180"/>
      <c r="D265" s="184"/>
    </row>
    <row r="266" spans="1:4">
      <c r="A266" s="175"/>
      <c r="B266" s="179"/>
      <c r="C266" s="180"/>
      <c r="D266" s="184"/>
    </row>
    <row r="267" spans="1:4">
      <c r="A267" s="175"/>
      <c r="B267" s="179"/>
      <c r="C267" s="180"/>
      <c r="D267" s="184"/>
    </row>
    <row r="268" spans="1:4">
      <c r="A268" s="175"/>
      <c r="B268" s="179"/>
      <c r="C268" s="180"/>
      <c r="D268" s="184"/>
    </row>
    <row r="269" spans="1:4">
      <c r="A269" s="175"/>
      <c r="B269" s="179"/>
      <c r="C269" s="180"/>
      <c r="D269" s="184"/>
    </row>
    <row r="270" spans="1:4">
      <c r="A270" s="175"/>
      <c r="B270" s="179"/>
      <c r="C270" s="180"/>
      <c r="D270" s="184"/>
    </row>
    <row r="271" spans="1:4">
      <c r="A271" s="175"/>
      <c r="B271" s="179"/>
      <c r="C271" s="180"/>
      <c r="D271" s="184"/>
    </row>
    <row r="272" spans="1:4">
      <c r="A272" s="175"/>
      <c r="B272" s="179"/>
      <c r="C272" s="180"/>
      <c r="D272" s="184"/>
    </row>
    <row r="273" spans="1:4">
      <c r="A273" s="175"/>
      <c r="B273" s="179"/>
      <c r="C273" s="180"/>
      <c r="D273" s="184"/>
    </row>
    <row r="274" spans="1:4">
      <c r="A274" s="175"/>
      <c r="B274" s="179"/>
      <c r="C274" s="180"/>
      <c r="D274" s="184"/>
    </row>
    <row r="275" spans="1:4">
      <c r="A275" s="175"/>
      <c r="B275" s="179"/>
      <c r="C275" s="180"/>
      <c r="D275" s="184"/>
    </row>
    <row r="276" spans="1:4">
      <c r="A276" s="175"/>
      <c r="B276" s="179"/>
      <c r="C276" s="180"/>
      <c r="D276" s="184"/>
    </row>
    <row r="277" spans="1:4">
      <c r="A277" s="175"/>
      <c r="B277" s="179"/>
      <c r="C277" s="180"/>
      <c r="D277" s="184"/>
    </row>
    <row r="278" spans="1:4">
      <c r="A278" s="175"/>
      <c r="B278" s="179"/>
      <c r="C278" s="180"/>
      <c r="D278" s="184"/>
    </row>
    <row r="279" spans="1:4">
      <c r="A279" s="175"/>
      <c r="B279" s="179"/>
      <c r="C279" s="180"/>
      <c r="D279" s="184"/>
    </row>
    <row r="280" spans="1:4">
      <c r="A280" s="175"/>
      <c r="B280" s="179"/>
      <c r="C280" s="180"/>
      <c r="D280" s="184"/>
    </row>
    <row r="281" spans="1:4">
      <c r="A281" s="175"/>
      <c r="B281" s="179"/>
      <c r="C281" s="180"/>
      <c r="D281" s="184"/>
    </row>
    <row r="282" spans="1:4">
      <c r="A282" s="175"/>
      <c r="B282" s="179"/>
      <c r="C282" s="180"/>
      <c r="D282" s="184"/>
    </row>
    <row r="283" spans="1:4">
      <c r="A283" s="175"/>
      <c r="B283" s="179"/>
      <c r="C283" s="180"/>
      <c r="D283" s="184"/>
    </row>
    <row r="284" spans="1:4">
      <c r="A284" s="175"/>
      <c r="B284" s="179"/>
      <c r="C284" s="180"/>
      <c r="D284" s="184"/>
    </row>
    <row r="285" spans="1:4">
      <c r="A285" s="175"/>
      <c r="B285" s="179"/>
      <c r="C285" s="180"/>
      <c r="D285" s="184"/>
    </row>
    <row r="286" spans="1:4">
      <c r="A286" s="175"/>
      <c r="B286" s="179"/>
      <c r="C286" s="180"/>
      <c r="D286" s="184"/>
    </row>
    <row r="287" spans="1:4">
      <c r="A287" s="175"/>
      <c r="B287" s="179"/>
      <c r="C287" s="180"/>
      <c r="D287" s="184"/>
    </row>
    <row r="288" spans="1:4">
      <c r="A288" s="175"/>
      <c r="B288" s="179"/>
      <c r="C288" s="180"/>
      <c r="D288" s="184"/>
    </row>
    <row r="289" spans="1:4">
      <c r="A289" s="175"/>
      <c r="B289" s="179"/>
      <c r="C289" s="180"/>
      <c r="D289" s="184"/>
    </row>
    <row r="290" spans="1:4">
      <c r="A290" s="175"/>
      <c r="B290" s="179"/>
      <c r="C290" s="180"/>
      <c r="D290" s="184"/>
    </row>
    <row r="291" spans="1:4">
      <c r="A291" s="175"/>
      <c r="B291" s="179"/>
      <c r="C291" s="180"/>
      <c r="D291" s="184"/>
    </row>
    <row r="292" spans="1:4">
      <c r="A292" s="175"/>
      <c r="B292" s="179"/>
      <c r="C292" s="180"/>
      <c r="D292" s="184"/>
    </row>
    <row r="293" spans="1:4">
      <c r="A293" s="175"/>
      <c r="B293" s="179"/>
      <c r="C293" s="180"/>
      <c r="D293" s="184"/>
    </row>
    <row r="294" spans="1:4">
      <c r="A294" s="175"/>
      <c r="B294" s="179"/>
      <c r="C294" s="180"/>
      <c r="D294" s="184"/>
    </row>
    <row r="295" spans="1:4">
      <c r="A295" s="175"/>
      <c r="B295" s="179"/>
      <c r="C295" s="180"/>
      <c r="D295" s="184"/>
    </row>
    <row r="296" spans="1:4">
      <c r="A296" s="175"/>
      <c r="B296" s="179"/>
      <c r="C296" s="180"/>
      <c r="D296" s="184"/>
    </row>
    <row r="297" spans="1:4">
      <c r="A297" s="175"/>
      <c r="B297" s="179"/>
      <c r="C297" s="180"/>
      <c r="D297" s="184"/>
    </row>
    <row r="298" spans="1:4">
      <c r="A298" s="175"/>
      <c r="B298" s="179"/>
      <c r="C298" s="180"/>
      <c r="D298" s="184"/>
    </row>
    <row r="299" spans="1:4">
      <c r="A299" s="175"/>
      <c r="B299" s="179"/>
      <c r="C299" s="180"/>
      <c r="D299" s="184"/>
    </row>
    <row r="300" spans="1:4">
      <c r="A300" s="175"/>
      <c r="B300" s="179"/>
      <c r="C300" s="180"/>
      <c r="D300" s="184"/>
    </row>
    <row r="301" spans="1:4">
      <c r="A301" s="175"/>
      <c r="B301" s="179"/>
      <c r="C301" s="180"/>
      <c r="D301" s="184"/>
    </row>
    <row r="302" spans="1:4">
      <c r="A302" s="175"/>
      <c r="B302" s="179"/>
      <c r="C302" s="180"/>
      <c r="D302" s="184"/>
    </row>
    <row r="303" spans="1:4">
      <c r="A303" s="175"/>
      <c r="B303" s="179"/>
      <c r="C303" s="180"/>
      <c r="D303" s="184"/>
    </row>
    <row r="304" spans="1:4">
      <c r="A304" s="175"/>
      <c r="B304" s="179"/>
      <c r="C304" s="180"/>
      <c r="D304" s="184"/>
    </row>
    <row r="305" spans="1:4">
      <c r="A305" s="175"/>
      <c r="B305" s="179"/>
      <c r="C305" s="180"/>
      <c r="D305" s="184"/>
    </row>
    <row r="306" spans="1:4">
      <c r="A306" s="175"/>
      <c r="B306" s="179"/>
      <c r="C306" s="180"/>
      <c r="D306" s="184"/>
    </row>
    <row r="307" spans="1:4">
      <c r="A307" s="175"/>
      <c r="B307" s="179"/>
      <c r="C307" s="180"/>
      <c r="D307" s="184"/>
    </row>
    <row r="308" spans="1:4">
      <c r="A308" s="175"/>
      <c r="B308" s="179"/>
      <c r="C308" s="180"/>
      <c r="D308" s="184"/>
    </row>
    <row r="309" spans="1:4">
      <c r="A309" s="175"/>
      <c r="B309" s="179"/>
      <c r="C309" s="180"/>
      <c r="D309" s="184"/>
    </row>
    <row r="310" spans="1:4">
      <c r="A310" s="175"/>
      <c r="B310" s="179"/>
      <c r="C310" s="180"/>
      <c r="D310" s="184"/>
    </row>
    <row r="311" spans="1:4">
      <c r="A311" s="175"/>
      <c r="B311" s="179"/>
      <c r="C311" s="180"/>
      <c r="D311" s="184"/>
    </row>
    <row r="312" spans="1:4">
      <c r="A312" s="175"/>
      <c r="B312" s="179"/>
      <c r="C312" s="180"/>
      <c r="D312" s="184"/>
    </row>
    <row r="313" spans="1:4">
      <c r="A313" s="175"/>
      <c r="B313" s="179"/>
      <c r="C313" s="180"/>
      <c r="D313" s="184"/>
    </row>
    <row r="314" spans="1:4">
      <c r="A314" s="175"/>
      <c r="B314" s="179"/>
      <c r="C314" s="180"/>
      <c r="D314" s="184"/>
    </row>
    <row r="315" spans="1:4">
      <c r="A315" s="175"/>
      <c r="B315" s="179"/>
      <c r="C315" s="180"/>
      <c r="D315" s="184"/>
    </row>
    <row r="316" spans="1:4">
      <c r="A316" s="175"/>
      <c r="B316" s="179"/>
      <c r="C316" s="180"/>
      <c r="D316" s="184"/>
    </row>
    <row r="317" spans="1:4">
      <c r="A317" s="175"/>
      <c r="B317" s="179"/>
      <c r="C317" s="180"/>
      <c r="D317" s="184"/>
    </row>
    <row r="318" spans="1:4">
      <c r="A318" s="175"/>
      <c r="B318" s="179"/>
      <c r="C318" s="180"/>
      <c r="D318" s="184"/>
    </row>
    <row r="319" spans="1:4">
      <c r="A319" s="175"/>
      <c r="B319" s="179"/>
      <c r="C319" s="180"/>
      <c r="D319" s="184"/>
    </row>
    <row r="320" spans="1:4">
      <c r="A320" s="175"/>
      <c r="B320" s="179"/>
      <c r="C320" s="180"/>
      <c r="D320" s="184"/>
    </row>
    <row r="321" spans="1:4">
      <c r="A321" s="175"/>
      <c r="B321" s="179"/>
      <c r="C321" s="180"/>
      <c r="D321" s="184"/>
    </row>
    <row r="322" spans="1:4">
      <c r="A322" s="175"/>
      <c r="B322" s="179"/>
      <c r="C322" s="180"/>
      <c r="D322" s="184"/>
    </row>
    <row r="323" spans="1:4">
      <c r="A323" s="175"/>
      <c r="B323" s="179"/>
      <c r="C323" s="180"/>
      <c r="D323" s="184"/>
    </row>
    <row r="324" spans="1:4">
      <c r="A324" s="175"/>
      <c r="B324" s="179"/>
      <c r="C324" s="180"/>
      <c r="D324" s="184"/>
    </row>
    <row r="325" spans="1:4">
      <c r="A325" s="175"/>
      <c r="B325" s="179"/>
      <c r="C325" s="180"/>
      <c r="D325" s="184"/>
    </row>
    <row r="326" spans="1:4">
      <c r="A326" s="175"/>
      <c r="B326" s="179"/>
      <c r="C326" s="180"/>
      <c r="D326" s="184"/>
    </row>
    <row r="327" spans="1:4">
      <c r="A327" s="175"/>
      <c r="B327" s="179"/>
      <c r="C327" s="180"/>
      <c r="D327" s="184"/>
    </row>
    <row r="328" spans="1:4">
      <c r="A328" s="175"/>
      <c r="B328" s="179"/>
      <c r="C328" s="180"/>
      <c r="D328" s="184"/>
    </row>
    <row r="329" spans="1:4">
      <c r="A329" s="175"/>
      <c r="B329" s="179"/>
      <c r="C329" s="180"/>
      <c r="D329" s="184"/>
    </row>
    <row r="330" spans="1:4">
      <c r="A330" s="175"/>
      <c r="B330" s="179"/>
      <c r="C330" s="180"/>
      <c r="D330" s="184"/>
    </row>
    <row r="331" spans="1:4">
      <c r="A331" s="175"/>
      <c r="B331" s="179"/>
      <c r="C331" s="180"/>
      <c r="D331" s="184"/>
    </row>
    <row r="332" spans="1:4">
      <c r="A332" s="175"/>
      <c r="B332" s="179"/>
      <c r="C332" s="180"/>
      <c r="D332" s="184"/>
    </row>
    <row r="333" spans="1:4">
      <c r="A333" s="175"/>
      <c r="B333" s="179"/>
      <c r="C333" s="180"/>
      <c r="D333" s="184"/>
    </row>
    <row r="334" spans="1:4">
      <c r="A334" s="175"/>
      <c r="B334" s="179"/>
      <c r="C334" s="180"/>
      <c r="D334" s="184"/>
    </row>
    <row r="335" spans="1:4">
      <c r="A335" s="175"/>
      <c r="B335" s="179"/>
      <c r="C335" s="180"/>
      <c r="D335" s="184"/>
    </row>
    <row r="336" spans="1:4">
      <c r="A336" s="175"/>
      <c r="B336" s="179"/>
      <c r="C336" s="180"/>
      <c r="D336" s="184"/>
    </row>
    <row r="337" spans="1:4">
      <c r="A337" s="175"/>
      <c r="B337" s="179"/>
      <c r="C337" s="180"/>
      <c r="D337" s="184"/>
    </row>
    <row r="338" spans="1:4">
      <c r="A338" s="175"/>
      <c r="B338" s="179"/>
      <c r="C338" s="180"/>
      <c r="D338" s="184"/>
    </row>
    <row r="339" spans="1:4">
      <c r="A339" s="175"/>
      <c r="B339" s="179"/>
      <c r="C339" s="180"/>
      <c r="D339" s="184"/>
    </row>
    <row r="340" spans="1:4">
      <c r="A340" s="175"/>
      <c r="B340" s="179"/>
      <c r="C340" s="180"/>
      <c r="D340" s="184"/>
    </row>
    <row r="341" spans="1:4">
      <c r="A341" s="175"/>
      <c r="B341" s="179"/>
      <c r="C341" s="180"/>
      <c r="D341" s="184"/>
    </row>
    <row r="342" spans="1:4">
      <c r="A342" s="175"/>
      <c r="B342" s="179"/>
      <c r="C342" s="180"/>
      <c r="D342" s="184"/>
    </row>
    <row r="343" spans="1:4">
      <c r="A343" s="175"/>
      <c r="B343" s="179"/>
      <c r="C343" s="180"/>
      <c r="D343" s="184"/>
    </row>
    <row r="344" spans="1:4">
      <c r="A344" s="175"/>
      <c r="B344" s="179"/>
      <c r="C344" s="180"/>
      <c r="D344" s="184"/>
    </row>
    <row r="345" spans="1:4">
      <c r="A345" s="175"/>
      <c r="B345" s="179"/>
      <c r="C345" s="180"/>
      <c r="D345" s="184"/>
    </row>
    <row r="346" spans="1:4">
      <c r="A346" s="175"/>
      <c r="B346" s="179"/>
      <c r="C346" s="180"/>
      <c r="D346" s="184"/>
    </row>
    <row r="347" spans="1:4">
      <c r="A347" s="175"/>
      <c r="B347" s="179"/>
      <c r="C347" s="180"/>
      <c r="D347" s="184"/>
    </row>
    <row r="348" spans="1:4">
      <c r="A348" s="175"/>
      <c r="B348" s="179"/>
      <c r="C348" s="180"/>
      <c r="D348" s="184"/>
    </row>
    <row r="349" spans="1:4">
      <c r="A349" s="175"/>
      <c r="B349" s="179"/>
      <c r="C349" s="180"/>
      <c r="D349" s="184"/>
    </row>
    <row r="350" spans="1:4">
      <c r="A350" s="175"/>
      <c r="B350" s="179"/>
      <c r="C350" s="180"/>
      <c r="D350" s="184"/>
    </row>
    <row r="351" spans="1:4">
      <c r="A351" s="175"/>
      <c r="B351" s="179"/>
      <c r="C351" s="180"/>
      <c r="D351" s="184"/>
    </row>
    <row r="352" spans="1:4">
      <c r="A352" s="175"/>
      <c r="B352" s="179"/>
      <c r="C352" s="180"/>
      <c r="D352" s="184"/>
    </row>
    <row r="353" spans="1:4">
      <c r="A353" s="175"/>
      <c r="B353" s="179"/>
      <c r="C353" s="180"/>
      <c r="D353" s="184"/>
    </row>
    <row r="354" spans="1:4">
      <c r="A354" s="175"/>
      <c r="B354" s="179"/>
      <c r="C354" s="180"/>
      <c r="D354" s="184"/>
    </row>
    <row r="355" spans="1:4">
      <c r="A355" s="175"/>
      <c r="B355" s="179"/>
      <c r="C355" s="180"/>
      <c r="D355" s="184"/>
    </row>
    <row r="356" spans="1:4">
      <c r="A356" s="175"/>
      <c r="B356" s="179"/>
      <c r="C356" s="180"/>
      <c r="D356" s="184"/>
    </row>
    <row r="357" spans="1:4">
      <c r="A357" s="175"/>
      <c r="B357" s="179"/>
      <c r="C357" s="180"/>
      <c r="D357" s="184"/>
    </row>
    <row r="358" spans="1:4">
      <c r="A358" s="175"/>
      <c r="B358" s="179"/>
      <c r="C358" s="180"/>
      <c r="D358" s="184"/>
    </row>
    <row r="359" spans="1:4">
      <c r="A359" s="175"/>
      <c r="B359" s="179"/>
      <c r="C359" s="180"/>
      <c r="D359" s="184"/>
    </row>
    <row r="360" spans="1:4">
      <c r="A360" s="175"/>
      <c r="B360" s="179"/>
      <c r="C360" s="180"/>
      <c r="D360" s="184"/>
    </row>
    <row r="361" spans="1:4">
      <c r="A361" s="175"/>
      <c r="B361" s="179"/>
      <c r="C361" s="180"/>
      <c r="D361" s="184"/>
    </row>
    <row r="362" spans="1:4">
      <c r="A362" s="175"/>
      <c r="B362" s="179"/>
      <c r="C362" s="180"/>
      <c r="D362" s="184"/>
    </row>
    <row r="363" spans="1:4">
      <c r="A363" s="175"/>
      <c r="B363" s="179"/>
      <c r="C363" s="180"/>
      <c r="D363" s="184"/>
    </row>
    <row r="364" spans="1:4">
      <c r="A364" s="175"/>
      <c r="B364" s="179"/>
      <c r="C364" s="180"/>
      <c r="D364" s="184"/>
    </row>
    <row r="365" spans="1:4">
      <c r="A365" s="175"/>
      <c r="B365" s="179"/>
      <c r="C365" s="180"/>
      <c r="D365" s="184"/>
    </row>
    <row r="366" spans="1:4">
      <c r="A366" s="175"/>
      <c r="B366" s="179"/>
      <c r="C366" s="180"/>
      <c r="D366" s="184"/>
    </row>
    <row r="367" spans="1:4">
      <c r="A367" s="175"/>
      <c r="B367" s="179"/>
      <c r="C367" s="180"/>
      <c r="D367" s="184"/>
    </row>
    <row r="368" spans="1:4">
      <c r="A368" s="175"/>
      <c r="B368" s="179"/>
      <c r="C368" s="180"/>
      <c r="D368" s="184"/>
    </row>
    <row r="369" spans="1:4">
      <c r="A369" s="175"/>
      <c r="B369" s="179"/>
      <c r="C369" s="180"/>
      <c r="D369" s="184"/>
    </row>
    <row r="370" spans="1:4">
      <c r="A370" s="175"/>
      <c r="B370" s="179"/>
      <c r="C370" s="180"/>
      <c r="D370" s="184"/>
    </row>
    <row r="371" spans="1:4">
      <c r="A371" s="175"/>
      <c r="B371" s="179"/>
      <c r="C371" s="180"/>
      <c r="D371" s="184"/>
    </row>
    <row r="372" spans="1:4">
      <c r="A372" s="175"/>
      <c r="B372" s="179"/>
      <c r="C372" s="180"/>
      <c r="D372" s="184"/>
    </row>
    <row r="373" spans="1:4">
      <c r="A373" s="175"/>
      <c r="B373" s="179"/>
      <c r="C373" s="180"/>
      <c r="D373" s="184"/>
    </row>
    <row r="374" spans="1:4">
      <c r="A374" s="175"/>
      <c r="B374" s="179"/>
      <c r="C374" s="180"/>
      <c r="D374" s="184"/>
    </row>
    <row r="375" spans="1:4">
      <c r="A375" s="175"/>
      <c r="B375" s="179"/>
      <c r="C375" s="180"/>
      <c r="D375" s="184"/>
    </row>
    <row r="376" spans="1:4">
      <c r="A376" s="175"/>
      <c r="B376" s="179"/>
      <c r="C376" s="180"/>
      <c r="D376" s="184"/>
    </row>
    <row r="377" spans="1:4">
      <c r="A377" s="175"/>
      <c r="B377" s="179"/>
      <c r="C377" s="180"/>
      <c r="D377" s="184"/>
    </row>
    <row r="378" spans="1:4">
      <c r="A378" s="175"/>
      <c r="B378" s="179"/>
      <c r="C378" s="180"/>
      <c r="D378" s="184"/>
    </row>
    <row r="379" spans="1:4">
      <c r="A379" s="175"/>
      <c r="B379" s="179"/>
      <c r="C379" s="180"/>
      <c r="D379" s="184"/>
    </row>
    <row r="380" spans="1:4">
      <c r="A380" s="175"/>
      <c r="B380" s="179"/>
      <c r="C380" s="180"/>
      <c r="D380" s="184"/>
    </row>
    <row r="381" spans="1:4">
      <c r="A381" s="175"/>
      <c r="B381" s="179"/>
      <c r="C381" s="180"/>
      <c r="D381" s="184"/>
    </row>
    <row r="382" spans="1:4">
      <c r="A382" s="175"/>
      <c r="B382" s="179"/>
      <c r="C382" s="180"/>
      <c r="D382" s="184"/>
    </row>
    <row r="383" spans="1:4">
      <c r="A383" s="175"/>
      <c r="B383" s="179"/>
      <c r="C383" s="180"/>
      <c r="D383" s="184"/>
    </row>
    <row r="384" spans="1:4">
      <c r="A384" s="175"/>
      <c r="B384" s="179"/>
      <c r="C384" s="180"/>
      <c r="D384" s="184"/>
    </row>
    <row r="385" spans="1:4">
      <c r="A385" s="175"/>
      <c r="B385" s="179"/>
      <c r="C385" s="180"/>
      <c r="D385" s="184"/>
    </row>
    <row r="386" spans="1:4">
      <c r="A386" s="175"/>
      <c r="B386" s="179"/>
      <c r="C386" s="180"/>
      <c r="D386" s="184"/>
    </row>
    <row r="387" spans="1:4">
      <c r="A387" s="175"/>
      <c r="B387" s="179"/>
      <c r="C387" s="180"/>
      <c r="D387" s="184"/>
    </row>
    <row r="388" spans="1:4">
      <c r="A388" s="175"/>
      <c r="B388" s="179"/>
      <c r="C388" s="180"/>
      <c r="D388" s="184"/>
    </row>
    <row r="389" spans="1:4">
      <c r="A389" s="175"/>
      <c r="B389" s="179"/>
      <c r="C389" s="180"/>
      <c r="D389" s="184"/>
    </row>
    <row r="390" spans="1:4">
      <c r="A390" s="175"/>
      <c r="B390" s="179"/>
      <c r="C390" s="180"/>
      <c r="D390" s="184"/>
    </row>
    <row r="391" spans="1:4">
      <c r="A391" s="175"/>
      <c r="B391" s="179"/>
      <c r="C391" s="180"/>
      <c r="D391" s="184"/>
    </row>
    <row r="392" spans="1:4">
      <c r="A392" s="175"/>
      <c r="B392" s="179"/>
      <c r="C392" s="180"/>
      <c r="D392" s="184"/>
    </row>
    <row r="393" spans="1:4">
      <c r="A393" s="175"/>
      <c r="B393" s="179"/>
      <c r="C393" s="180"/>
      <c r="D393" s="184"/>
    </row>
    <row r="394" spans="1:4">
      <c r="A394" s="175"/>
      <c r="B394" s="179"/>
      <c r="C394" s="180"/>
      <c r="D394" s="184"/>
    </row>
    <row r="395" spans="1:4">
      <c r="A395" s="175"/>
      <c r="B395" s="179"/>
      <c r="C395" s="180"/>
      <c r="D395" s="184"/>
    </row>
    <row r="396" spans="1:4">
      <c r="A396" s="175"/>
      <c r="B396" s="179"/>
      <c r="C396" s="180"/>
      <c r="D396" s="184"/>
    </row>
    <row r="397" spans="1:4">
      <c r="A397" s="175"/>
      <c r="B397" s="179"/>
      <c r="C397" s="180"/>
      <c r="D397" s="184"/>
    </row>
    <row r="398" spans="1:4">
      <c r="A398" s="175"/>
      <c r="B398" s="179"/>
      <c r="C398" s="180"/>
      <c r="D398" s="184"/>
    </row>
    <row r="399" spans="1:4">
      <c r="A399" s="175"/>
      <c r="B399" s="179"/>
      <c r="C399" s="180"/>
      <c r="D399" s="184"/>
    </row>
    <row r="400" spans="1:4">
      <c r="A400" s="175"/>
      <c r="B400" s="179"/>
      <c r="C400" s="180"/>
      <c r="D400" s="184"/>
    </row>
    <row r="401" spans="1:4">
      <c r="A401" s="175"/>
      <c r="B401" s="179"/>
      <c r="C401" s="180"/>
      <c r="D401" s="184"/>
    </row>
    <row r="402" spans="1:4">
      <c r="A402" s="175"/>
      <c r="B402" s="179"/>
      <c r="C402" s="180"/>
      <c r="D402" s="184"/>
    </row>
    <row r="403" spans="1:4">
      <c r="A403" s="175"/>
      <c r="B403" s="179"/>
      <c r="C403" s="180"/>
      <c r="D403" s="184"/>
    </row>
    <row r="404" spans="1:4">
      <c r="A404" s="175"/>
      <c r="B404" s="179"/>
      <c r="C404" s="180"/>
      <c r="D404" s="184"/>
    </row>
    <row r="405" spans="1:4">
      <c r="A405" s="175"/>
      <c r="B405" s="179"/>
      <c r="C405" s="180"/>
      <c r="D405" s="184"/>
    </row>
    <row r="406" spans="1:4">
      <c r="A406" s="175"/>
      <c r="B406" s="179"/>
      <c r="C406" s="180"/>
      <c r="D406" s="184"/>
    </row>
    <row r="407" spans="1:4">
      <c r="A407" s="175"/>
      <c r="B407" s="179"/>
      <c r="C407" s="180"/>
      <c r="D407" s="184"/>
    </row>
    <row r="408" spans="1:4">
      <c r="A408" s="175"/>
      <c r="B408" s="179"/>
      <c r="C408" s="180"/>
      <c r="D408" s="184"/>
    </row>
    <row r="409" spans="1:4">
      <c r="A409" s="175"/>
      <c r="B409" s="179"/>
      <c r="C409" s="180"/>
      <c r="D409" s="184"/>
    </row>
    <row r="410" spans="1:4">
      <c r="A410" s="175"/>
      <c r="B410" s="179"/>
      <c r="C410" s="180"/>
      <c r="D410" s="184"/>
    </row>
    <row r="411" spans="1:4">
      <c r="A411" s="175"/>
      <c r="B411" s="179"/>
      <c r="C411" s="180"/>
      <c r="D411" s="184"/>
    </row>
    <row r="412" spans="1:4">
      <c r="A412" s="175"/>
      <c r="B412" s="179"/>
      <c r="C412" s="180"/>
      <c r="D412" s="184"/>
    </row>
    <row r="413" spans="1:4">
      <c r="A413" s="175"/>
      <c r="B413" s="179"/>
      <c r="C413" s="180"/>
      <c r="D413" s="184"/>
    </row>
    <row r="414" spans="1:4">
      <c r="A414" s="175"/>
      <c r="B414" s="179"/>
      <c r="C414" s="180"/>
      <c r="D414" s="184"/>
    </row>
    <row r="415" spans="1:4">
      <c r="A415" s="175"/>
      <c r="B415" s="179"/>
      <c r="C415" s="180"/>
      <c r="D415" s="184"/>
    </row>
    <row r="416" spans="1:4">
      <c r="A416" s="175"/>
      <c r="B416" s="179"/>
      <c r="C416" s="180"/>
      <c r="D416" s="184"/>
    </row>
    <row r="417" spans="1:4">
      <c r="A417" s="175"/>
      <c r="B417" s="179"/>
      <c r="C417" s="180"/>
      <c r="D417" s="184"/>
    </row>
    <row r="418" spans="1:4">
      <c r="A418" s="175"/>
      <c r="B418" s="179"/>
      <c r="C418" s="180"/>
      <c r="D418" s="184"/>
    </row>
    <row r="419" spans="1:4">
      <c r="A419" s="175"/>
      <c r="B419" s="179"/>
      <c r="C419" s="180"/>
      <c r="D419" s="184"/>
    </row>
    <row r="420" spans="1:4">
      <c r="A420" s="175"/>
      <c r="B420" s="179"/>
      <c r="C420" s="180"/>
      <c r="D420" s="184"/>
    </row>
    <row r="421" spans="1:4">
      <c r="A421" s="175"/>
      <c r="B421" s="179"/>
      <c r="C421" s="180"/>
      <c r="D421" s="184"/>
    </row>
    <row r="422" spans="1:4">
      <c r="A422" s="175"/>
      <c r="B422" s="179"/>
      <c r="C422" s="180"/>
      <c r="D422" s="184"/>
    </row>
    <row r="423" spans="1:4">
      <c r="A423" s="175"/>
      <c r="B423" s="179"/>
      <c r="C423" s="180"/>
      <c r="D423" s="184"/>
    </row>
    <row r="424" spans="1:4">
      <c r="A424" s="175"/>
      <c r="B424" s="179"/>
      <c r="C424" s="180"/>
      <c r="D424" s="184"/>
    </row>
    <row r="425" spans="1:4">
      <c r="A425" s="175"/>
      <c r="B425" s="179"/>
      <c r="C425" s="180"/>
      <c r="D425" s="184"/>
    </row>
    <row r="426" spans="1:4">
      <c r="A426" s="175"/>
      <c r="B426" s="179"/>
      <c r="C426" s="180"/>
      <c r="D426" s="184"/>
    </row>
    <row r="427" spans="1:4">
      <c r="A427" s="175"/>
      <c r="B427" s="179"/>
      <c r="C427" s="180"/>
      <c r="D427" s="184"/>
    </row>
    <row r="428" spans="1:4">
      <c r="A428" s="175"/>
      <c r="B428" s="179"/>
      <c r="C428" s="180"/>
      <c r="D428" s="184"/>
    </row>
    <row r="429" spans="1:4">
      <c r="A429" s="175"/>
      <c r="B429" s="179"/>
      <c r="C429" s="180"/>
      <c r="D429" s="184"/>
    </row>
    <row r="430" spans="1:4">
      <c r="A430" s="175"/>
      <c r="B430" s="179"/>
      <c r="C430" s="180"/>
      <c r="D430" s="184"/>
    </row>
    <row r="431" spans="1:4">
      <c r="A431" s="175"/>
      <c r="B431" s="179"/>
      <c r="C431" s="180"/>
      <c r="D431" s="184"/>
    </row>
    <row r="432" spans="1:4">
      <c r="A432" s="175"/>
      <c r="B432" s="179"/>
      <c r="C432" s="180"/>
      <c r="D432" s="184"/>
    </row>
    <row r="433" spans="1:4">
      <c r="A433" s="175"/>
      <c r="B433" s="179"/>
      <c r="C433" s="180"/>
      <c r="D433" s="184"/>
    </row>
    <row r="434" spans="1:4">
      <c r="A434" s="175"/>
      <c r="B434" s="179"/>
      <c r="C434" s="180"/>
      <c r="D434" s="184"/>
    </row>
    <row r="435" spans="1:4">
      <c r="A435" s="175"/>
      <c r="B435" s="179"/>
      <c r="C435" s="180"/>
      <c r="D435" s="184"/>
    </row>
    <row r="436" spans="1:4">
      <c r="A436" s="175"/>
      <c r="B436" s="179"/>
      <c r="C436" s="180"/>
      <c r="D436" s="184"/>
    </row>
    <row r="437" spans="1:4">
      <c r="A437" s="175"/>
      <c r="B437" s="179"/>
      <c r="C437" s="180"/>
      <c r="D437" s="184"/>
    </row>
    <row r="438" spans="1:4">
      <c r="A438" s="175"/>
      <c r="B438" s="179"/>
      <c r="C438" s="180"/>
      <c r="D438" s="184"/>
    </row>
    <row r="439" spans="1:4">
      <c r="A439" s="175"/>
      <c r="B439" s="179"/>
      <c r="C439" s="180"/>
      <c r="D439" s="184"/>
    </row>
    <row r="440" spans="1:4">
      <c r="A440" s="175"/>
      <c r="B440" s="179"/>
      <c r="C440" s="180"/>
      <c r="D440" s="184"/>
    </row>
    <row r="441" spans="1:4">
      <c r="A441" s="175"/>
      <c r="B441" s="179"/>
      <c r="C441" s="180"/>
      <c r="D441" s="184"/>
    </row>
    <row r="442" spans="1:4">
      <c r="A442" s="175"/>
      <c r="B442" s="179"/>
      <c r="C442" s="180"/>
      <c r="D442" s="184"/>
    </row>
    <row r="443" spans="1:4">
      <c r="A443" s="175"/>
      <c r="B443" s="179"/>
      <c r="C443" s="180"/>
      <c r="D443" s="184"/>
    </row>
    <row r="444" spans="1:4">
      <c r="A444" s="175"/>
      <c r="B444" s="179"/>
      <c r="C444" s="180"/>
      <c r="D444" s="184"/>
    </row>
    <row r="445" spans="1:4">
      <c r="A445" s="175"/>
      <c r="B445" s="179"/>
      <c r="C445" s="180"/>
      <c r="D445" s="184"/>
    </row>
    <row r="446" spans="1:4">
      <c r="A446" s="175"/>
      <c r="B446" s="179"/>
      <c r="C446" s="180"/>
      <c r="D446" s="184"/>
    </row>
    <row r="447" spans="1:4">
      <c r="A447" s="175"/>
      <c r="B447" s="179"/>
      <c r="C447" s="180"/>
      <c r="D447" s="184"/>
    </row>
    <row r="448" spans="1:4">
      <c r="A448" s="175"/>
      <c r="B448" s="179"/>
      <c r="C448" s="180"/>
      <c r="D448" s="184"/>
    </row>
    <row r="449" spans="1:4">
      <c r="A449" s="175"/>
      <c r="B449" s="179"/>
      <c r="C449" s="180"/>
      <c r="D449" s="184"/>
    </row>
    <row r="450" spans="1:4">
      <c r="A450" s="175"/>
      <c r="B450" s="179"/>
      <c r="C450" s="180"/>
      <c r="D450" s="184"/>
    </row>
    <row r="451" spans="1:4">
      <c r="A451" s="175"/>
      <c r="B451" s="179"/>
      <c r="C451" s="180"/>
      <c r="D451" s="184"/>
    </row>
    <row r="452" spans="1:4">
      <c r="A452" s="175"/>
      <c r="B452" s="179"/>
      <c r="C452" s="180"/>
      <c r="D452" s="184"/>
    </row>
    <row r="453" spans="1:4">
      <c r="A453" s="175"/>
      <c r="B453" s="179"/>
      <c r="C453" s="180"/>
      <c r="D453" s="184"/>
    </row>
    <row r="454" spans="1:4">
      <c r="A454" s="175"/>
      <c r="B454" s="179"/>
      <c r="C454" s="180"/>
      <c r="D454" s="184"/>
    </row>
    <row r="455" spans="1:4">
      <c r="A455" s="175"/>
      <c r="B455" s="179"/>
      <c r="C455" s="180"/>
      <c r="D455" s="184"/>
    </row>
    <row r="456" spans="1:4">
      <c r="A456" s="175"/>
      <c r="B456" s="179"/>
      <c r="C456" s="180"/>
      <c r="D456" s="184"/>
    </row>
    <row r="457" spans="1:4">
      <c r="A457" s="175"/>
      <c r="B457" s="179"/>
      <c r="C457" s="180"/>
      <c r="D457" s="184"/>
    </row>
    <row r="458" spans="1:4">
      <c r="A458" s="175"/>
      <c r="B458" s="179"/>
      <c r="C458" s="180"/>
      <c r="D458" s="184"/>
    </row>
    <row r="459" spans="1:4">
      <c r="A459" s="175"/>
      <c r="B459" s="179"/>
      <c r="C459" s="180"/>
      <c r="D459" s="184"/>
    </row>
    <row r="460" spans="1:4">
      <c r="A460" s="175"/>
      <c r="B460" s="179"/>
      <c r="C460" s="180"/>
      <c r="D460" s="184"/>
    </row>
    <row r="461" spans="1:4">
      <c r="A461" s="175"/>
      <c r="B461" s="179"/>
      <c r="C461" s="180"/>
      <c r="D461" s="184"/>
    </row>
    <row r="462" spans="1:4">
      <c r="A462" s="175"/>
      <c r="B462" s="179"/>
      <c r="C462" s="180"/>
      <c r="D462" s="184"/>
    </row>
    <row r="463" spans="1:4">
      <c r="A463" s="175"/>
      <c r="B463" s="179"/>
      <c r="C463" s="180"/>
      <c r="D463" s="184"/>
    </row>
    <row r="464" spans="1:4">
      <c r="A464" s="175"/>
      <c r="B464" s="179"/>
      <c r="C464" s="180"/>
      <c r="D464" s="184"/>
    </row>
    <row r="465" spans="1:4">
      <c r="A465" s="175"/>
      <c r="B465" s="179"/>
      <c r="C465" s="180"/>
      <c r="D465" s="184"/>
    </row>
    <row r="466" spans="1:4">
      <c r="A466" s="175"/>
      <c r="B466" s="179"/>
      <c r="C466" s="180"/>
      <c r="D466" s="184"/>
    </row>
    <row r="467" spans="1:4">
      <c r="A467" s="175"/>
      <c r="B467" s="179"/>
      <c r="C467" s="180"/>
      <c r="D467" s="184"/>
    </row>
    <row r="468" spans="1:4">
      <c r="A468" s="175"/>
      <c r="B468" s="179"/>
      <c r="C468" s="180"/>
      <c r="D468" s="184"/>
    </row>
    <row r="469" spans="1:4">
      <c r="A469" s="175"/>
      <c r="B469" s="179"/>
      <c r="C469" s="180"/>
      <c r="D469" s="184"/>
    </row>
    <row r="470" spans="1:4">
      <c r="A470" s="175"/>
      <c r="B470" s="179"/>
      <c r="C470" s="180"/>
      <c r="D470" s="184"/>
    </row>
    <row r="471" spans="1:4">
      <c r="A471" s="175"/>
      <c r="B471" s="179"/>
      <c r="C471" s="180"/>
      <c r="D471" s="184"/>
    </row>
    <row r="472" spans="1:4">
      <c r="A472" s="175"/>
      <c r="B472" s="179"/>
      <c r="C472" s="180"/>
      <c r="D472" s="184"/>
    </row>
    <row r="473" spans="1:4">
      <c r="A473" s="175"/>
      <c r="B473" s="179"/>
      <c r="C473" s="180"/>
      <c r="D473" s="184"/>
    </row>
    <row r="474" spans="1:4">
      <c r="A474" s="175"/>
      <c r="B474" s="179"/>
      <c r="C474" s="180"/>
      <c r="D474" s="184"/>
    </row>
    <row r="475" spans="1:4">
      <c r="A475" s="175"/>
      <c r="B475" s="179"/>
      <c r="C475" s="180"/>
      <c r="D475" s="184"/>
    </row>
    <row r="476" spans="1:4">
      <c r="A476" s="175"/>
      <c r="B476" s="179"/>
      <c r="C476" s="180"/>
      <c r="D476" s="184"/>
    </row>
    <row r="477" spans="1:4">
      <c r="A477" s="175"/>
      <c r="B477" s="179"/>
      <c r="C477" s="180"/>
      <c r="D477" s="184"/>
    </row>
    <row r="478" spans="1:4">
      <c r="A478" s="175"/>
      <c r="B478" s="179"/>
      <c r="C478" s="180"/>
      <c r="D478" s="184"/>
    </row>
    <row r="479" spans="1:4">
      <c r="A479" s="175"/>
      <c r="B479" s="179"/>
      <c r="C479" s="180"/>
      <c r="D479" s="184"/>
    </row>
    <row r="480" spans="1:4">
      <c r="A480" s="175"/>
      <c r="B480" s="179"/>
      <c r="C480" s="180"/>
      <c r="D480" s="184"/>
    </row>
    <row r="481" spans="1:4">
      <c r="A481" s="175"/>
      <c r="B481" s="179"/>
      <c r="C481" s="180"/>
      <c r="D481" s="184"/>
    </row>
    <row r="482" spans="1:4">
      <c r="A482" s="175"/>
      <c r="B482" s="179"/>
      <c r="C482" s="180"/>
      <c r="D482" s="184"/>
    </row>
    <row r="483" spans="1:4">
      <c r="A483" s="175"/>
      <c r="B483" s="179"/>
      <c r="C483" s="180"/>
      <c r="D483" s="184"/>
    </row>
    <row r="484" spans="1:4">
      <c r="A484" s="175"/>
      <c r="B484" s="179"/>
      <c r="C484" s="180"/>
      <c r="D484" s="184"/>
    </row>
    <row r="485" spans="1:4">
      <c r="A485" s="175"/>
      <c r="B485" s="179"/>
      <c r="C485" s="180"/>
      <c r="D485" s="184"/>
    </row>
    <row r="486" spans="1:4">
      <c r="A486" s="175"/>
      <c r="B486" s="179"/>
      <c r="C486" s="180"/>
      <c r="D486" s="184"/>
    </row>
    <row r="487" spans="1:4">
      <c r="A487" s="175"/>
      <c r="B487" s="179"/>
      <c r="C487" s="180"/>
      <c r="D487" s="184"/>
    </row>
    <row r="488" spans="1:4">
      <c r="A488" s="175"/>
      <c r="B488" s="179"/>
      <c r="C488" s="180"/>
      <c r="D488" s="184"/>
    </row>
    <row r="489" spans="1:4">
      <c r="A489" s="175"/>
      <c r="B489" s="179"/>
      <c r="C489" s="180"/>
      <c r="D489" s="184"/>
    </row>
    <row r="490" spans="1:4">
      <c r="A490" s="175"/>
      <c r="B490" s="179"/>
      <c r="C490" s="180"/>
      <c r="D490" s="184"/>
    </row>
    <row r="491" spans="1:4">
      <c r="A491" s="175"/>
      <c r="B491" s="179"/>
      <c r="C491" s="180"/>
      <c r="D491" s="184"/>
    </row>
    <row r="492" spans="1:4">
      <c r="A492" s="175"/>
      <c r="B492" s="179"/>
      <c r="C492" s="180"/>
      <c r="D492" s="184"/>
    </row>
    <row r="493" spans="1:4">
      <c r="A493" s="175"/>
      <c r="B493" s="179"/>
      <c r="C493" s="180"/>
      <c r="D493" s="184"/>
    </row>
    <row r="494" spans="1:4">
      <c r="A494" s="175"/>
      <c r="B494" s="179"/>
      <c r="C494" s="180"/>
      <c r="D494" s="184"/>
    </row>
    <row r="495" spans="1:4">
      <c r="A495" s="175"/>
      <c r="B495" s="179"/>
      <c r="C495" s="180"/>
      <c r="D495" s="184"/>
    </row>
    <row r="496" spans="1:4">
      <c r="A496" s="175"/>
      <c r="B496" s="179"/>
      <c r="C496" s="180"/>
      <c r="D496" s="184"/>
    </row>
    <row r="497" spans="1:4">
      <c r="A497" s="175"/>
      <c r="B497" s="179"/>
      <c r="C497" s="180"/>
      <c r="D497" s="184"/>
    </row>
    <row r="498" spans="1:4">
      <c r="A498" s="175"/>
      <c r="B498" s="179"/>
      <c r="C498" s="180"/>
      <c r="D498" s="184"/>
    </row>
    <row r="499" spans="1:4">
      <c r="A499" s="175"/>
      <c r="B499" s="179"/>
      <c r="C499" s="180"/>
      <c r="D499" s="184"/>
    </row>
    <row r="500" spans="1:4">
      <c r="A500" s="175"/>
      <c r="B500" s="179"/>
      <c r="C500" s="180"/>
      <c r="D500" s="184"/>
    </row>
  </sheetData>
  <sheetProtection password="CC76" sheet="1" objects="1" scenarios="1"/>
  <mergeCells count="2">
    <mergeCell ref="A1:D1"/>
    <mergeCell ref="A2:D2"/>
  </mergeCells>
  <phoneticPr fontId="6" type="noConversion"/>
  <conditionalFormatting sqref="B18:B500 B6:B7">
    <cfRule type="expression" dxfId="5" priority="2" stopIfTrue="1">
      <formula>AND(ISTEXT(#REF!)=TRUE,B6&lt;&gt;"318",#REF!="equipment (0730)",ISTEXT(B6)=TRUE)</formula>
    </cfRule>
  </conditionalFormatting>
  <conditionalFormatting sqref="B9:B17">
    <cfRule type="expression" dxfId="4" priority="4" stopIfTrue="1">
      <formula>AND(ISTEXT(#REF!)=TRUE,B9&lt;&gt;"318",#REF!="equipment (0730)",ISTEXT(B9)=TRUE)</formula>
    </cfRule>
  </conditionalFormatting>
  <dataValidations count="1">
    <dataValidation type="list" allowBlank="1" showInputMessage="1" showErrorMessage="1" sqref="A6:A65536">
      <formula1>objects</formula1>
    </dataValidation>
  </dataValidations>
  <pageMargins left="0.25" right="0.2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I150"/>
  <sheetViews>
    <sheetView zoomScaleNormal="100" workbookViewId="0">
      <pane ySplit="5" topLeftCell="A6" activePane="bottomLeft" state="frozen"/>
      <selection pane="bottomLeft" activeCell="C11" sqref="C11"/>
    </sheetView>
  </sheetViews>
  <sheetFormatPr defaultColWidth="0" defaultRowHeight="12.75" zeroHeight="1"/>
  <cols>
    <col min="1" max="1" width="34.140625" style="206" customWidth="1"/>
    <col min="2" max="2" width="9.140625" style="206" hidden="1" customWidth="1"/>
    <col min="3" max="3" width="9.140625" style="207" customWidth="1"/>
    <col min="4" max="4" width="12.5703125" style="198" customWidth="1"/>
    <col min="5" max="5" width="13.7109375" style="206" bestFit="1" customWidth="1"/>
    <col min="6" max="6" width="30" style="206" customWidth="1"/>
    <col min="7" max="7" width="15.28515625" style="208" customWidth="1"/>
    <col min="8" max="9" width="17" style="187" hidden="1" customWidth="1"/>
    <col min="10" max="16384" width="0" style="187" hidden="1"/>
  </cols>
  <sheetData>
    <row r="1" spans="1:7" ht="18.75">
      <c r="A1" s="245" t="str">
        <f>'3-Budget Detail'!A1:D1</f>
        <v>School Improvement Support Grant</v>
      </c>
      <c r="B1" s="245"/>
      <c r="C1" s="245"/>
      <c r="D1" s="245"/>
      <c r="E1" s="245"/>
      <c r="F1" s="245"/>
      <c r="G1" s="245"/>
    </row>
    <row r="2" spans="1:7" ht="18.75">
      <c r="A2" s="245" t="s">
        <v>28</v>
      </c>
      <c r="B2" s="245"/>
      <c r="C2" s="245"/>
      <c r="D2" s="245"/>
      <c r="E2" s="245"/>
      <c r="F2" s="245"/>
      <c r="G2" s="245"/>
    </row>
    <row r="3" spans="1:7">
      <c r="A3" s="188">
        <f>'2-Cover Page'!C5</f>
        <v>0</v>
      </c>
      <c r="B3" s="189"/>
      <c r="C3" s="190"/>
      <c r="D3" s="191"/>
      <c r="E3" s="192"/>
      <c r="F3" s="192"/>
      <c r="G3" s="193">
        <f>'2-Cover Page'!C11</f>
        <v>0</v>
      </c>
    </row>
    <row r="4" spans="1:7">
      <c r="A4" s="88">
        <v>1</v>
      </c>
      <c r="B4" s="77">
        <v>2</v>
      </c>
      <c r="C4" s="80">
        <v>2</v>
      </c>
      <c r="D4" s="80">
        <v>3</v>
      </c>
      <c r="E4" s="89">
        <v>4</v>
      </c>
      <c r="F4" s="89">
        <v>5</v>
      </c>
      <c r="G4" s="97">
        <v>6</v>
      </c>
    </row>
    <row r="5" spans="1:7" ht="25.5">
      <c r="A5" s="98" t="s">
        <v>29</v>
      </c>
      <c r="B5" s="99" t="s">
        <v>30</v>
      </c>
      <c r="C5" s="100" t="s">
        <v>31</v>
      </c>
      <c r="D5" s="82" t="s">
        <v>32</v>
      </c>
      <c r="E5" s="194" t="s">
        <v>384</v>
      </c>
      <c r="F5" s="81" t="s">
        <v>33</v>
      </c>
      <c r="G5" s="100" t="s">
        <v>57</v>
      </c>
    </row>
    <row r="6" spans="1:7">
      <c r="A6" s="195"/>
      <c r="B6" s="196"/>
      <c r="C6" s="197"/>
      <c r="E6" s="199"/>
      <c r="F6" s="200"/>
      <c r="G6" s="201"/>
    </row>
    <row r="7" spans="1:7">
      <c r="A7" s="195"/>
      <c r="B7" s="196"/>
      <c r="C7" s="197"/>
      <c r="E7" s="199"/>
      <c r="F7" s="202"/>
      <c r="G7" s="203"/>
    </row>
    <row r="8" spans="1:7">
      <c r="A8" s="195"/>
      <c r="B8" s="196"/>
      <c r="C8" s="197"/>
      <c r="E8" s="199"/>
      <c r="F8" s="202"/>
      <c r="G8" s="203"/>
    </row>
    <row r="9" spans="1:7">
      <c r="A9" s="195"/>
      <c r="B9" s="196"/>
      <c r="C9" s="197"/>
      <c r="E9" s="199"/>
      <c r="F9" s="202"/>
      <c r="G9" s="203"/>
    </row>
    <row r="10" spans="1:7">
      <c r="A10" s="195"/>
      <c r="B10" s="196"/>
      <c r="C10" s="197"/>
      <c r="E10" s="199"/>
      <c r="F10" s="202"/>
      <c r="G10" s="203"/>
    </row>
    <row r="11" spans="1:7">
      <c r="A11" s="195"/>
      <c r="B11" s="196"/>
      <c r="C11" s="197"/>
      <c r="E11" s="199"/>
      <c r="F11" s="202"/>
      <c r="G11" s="203"/>
    </row>
    <row r="12" spans="1:7">
      <c r="A12" s="195"/>
      <c r="B12" s="196"/>
      <c r="C12" s="197"/>
      <c r="E12" s="199"/>
      <c r="F12" s="202"/>
      <c r="G12" s="203"/>
    </row>
    <row r="13" spans="1:7">
      <c r="A13" s="195"/>
      <c r="B13" s="196"/>
      <c r="C13" s="197"/>
      <c r="E13" s="199"/>
      <c r="F13" s="202"/>
      <c r="G13" s="203"/>
    </row>
    <row r="14" spans="1:7">
      <c r="A14" s="195"/>
      <c r="B14" s="196"/>
      <c r="C14" s="197"/>
      <c r="E14" s="199"/>
      <c r="F14" s="202"/>
      <c r="G14" s="203"/>
    </row>
    <row r="15" spans="1:7">
      <c r="A15" s="195"/>
      <c r="B15" s="196"/>
      <c r="C15" s="197"/>
      <c r="E15" s="199"/>
      <c r="F15" s="202"/>
      <c r="G15" s="203"/>
    </row>
    <row r="16" spans="1:7">
      <c r="A16" s="195"/>
      <c r="B16" s="196"/>
      <c r="C16" s="197"/>
      <c r="E16" s="199"/>
      <c r="F16" s="202"/>
      <c r="G16" s="203"/>
    </row>
    <row r="17" spans="1:7">
      <c r="A17" s="195"/>
      <c r="B17" s="196"/>
      <c r="C17" s="197"/>
      <c r="E17" s="199"/>
      <c r="F17" s="202"/>
      <c r="G17" s="203"/>
    </row>
    <row r="18" spans="1:7">
      <c r="A18" s="195"/>
      <c r="B18" s="196"/>
      <c r="C18" s="197"/>
      <c r="E18" s="199"/>
      <c r="F18" s="202"/>
      <c r="G18" s="203"/>
    </row>
    <row r="19" spans="1:7">
      <c r="A19" s="195"/>
      <c r="B19" s="196"/>
      <c r="C19" s="197"/>
      <c r="E19" s="199"/>
      <c r="F19" s="202"/>
      <c r="G19" s="203"/>
    </row>
    <row r="20" spans="1:7">
      <c r="A20" s="195"/>
      <c r="B20" s="196"/>
      <c r="C20" s="197"/>
      <c r="E20" s="199"/>
      <c r="F20" s="202"/>
      <c r="G20" s="203"/>
    </row>
    <row r="21" spans="1:7">
      <c r="A21" s="195"/>
      <c r="B21" s="196"/>
      <c r="C21" s="197"/>
      <c r="E21" s="199"/>
      <c r="F21" s="202"/>
      <c r="G21" s="203"/>
    </row>
    <row r="22" spans="1:7">
      <c r="A22" s="195"/>
      <c r="B22" s="196"/>
      <c r="C22" s="197"/>
      <c r="E22" s="199"/>
      <c r="F22" s="202"/>
      <c r="G22" s="203"/>
    </row>
    <row r="23" spans="1:7">
      <c r="A23" s="195"/>
      <c r="B23" s="196"/>
      <c r="C23" s="197"/>
      <c r="E23" s="199"/>
      <c r="F23" s="202"/>
      <c r="G23" s="203"/>
    </row>
    <row r="24" spans="1:7">
      <c r="A24" s="195"/>
      <c r="B24" s="196"/>
      <c r="C24" s="197"/>
      <c r="E24" s="199"/>
      <c r="F24" s="202"/>
      <c r="G24" s="203"/>
    </row>
    <row r="25" spans="1:7">
      <c r="A25" s="195"/>
      <c r="B25" s="196"/>
      <c r="C25" s="197"/>
      <c r="E25" s="199"/>
      <c r="F25" s="202"/>
      <c r="G25" s="203"/>
    </row>
    <row r="26" spans="1:7">
      <c r="A26" s="195"/>
      <c r="B26" s="196"/>
      <c r="C26" s="197"/>
      <c r="E26" s="199"/>
      <c r="F26" s="202"/>
      <c r="G26" s="203"/>
    </row>
    <row r="27" spans="1:7">
      <c r="A27" s="195"/>
      <c r="B27" s="196"/>
      <c r="C27" s="197"/>
      <c r="E27" s="199"/>
      <c r="F27" s="202"/>
      <c r="G27" s="203"/>
    </row>
    <row r="28" spans="1:7">
      <c r="A28" s="195"/>
      <c r="B28" s="196"/>
      <c r="C28" s="197"/>
      <c r="E28" s="199"/>
      <c r="F28" s="202"/>
      <c r="G28" s="203"/>
    </row>
    <row r="29" spans="1:7">
      <c r="A29" s="195"/>
      <c r="B29" s="196"/>
      <c r="C29" s="197"/>
      <c r="E29" s="199"/>
      <c r="F29" s="202"/>
      <c r="G29" s="203"/>
    </row>
    <row r="30" spans="1:7">
      <c r="A30" s="195"/>
      <c r="B30" s="196"/>
      <c r="C30" s="197"/>
      <c r="E30" s="199"/>
      <c r="F30" s="202"/>
      <c r="G30" s="203"/>
    </row>
    <row r="31" spans="1:7">
      <c r="A31" s="195"/>
      <c r="B31" s="196"/>
      <c r="C31" s="197"/>
      <c r="E31" s="199"/>
      <c r="F31" s="202"/>
      <c r="G31" s="203"/>
    </row>
    <row r="32" spans="1:7">
      <c r="A32" s="195"/>
      <c r="B32" s="196"/>
      <c r="C32" s="197"/>
      <c r="E32" s="199"/>
      <c r="F32" s="202"/>
      <c r="G32" s="203"/>
    </row>
    <row r="33" spans="1:7">
      <c r="A33" s="195"/>
      <c r="B33" s="196"/>
      <c r="C33" s="197"/>
      <c r="E33" s="199"/>
      <c r="F33" s="202"/>
      <c r="G33" s="203"/>
    </row>
    <row r="34" spans="1:7">
      <c r="A34" s="195"/>
      <c r="B34" s="196"/>
      <c r="C34" s="197"/>
      <c r="E34" s="199"/>
      <c r="F34" s="202"/>
      <c r="G34" s="203"/>
    </row>
    <row r="35" spans="1:7">
      <c r="A35" s="195"/>
      <c r="B35" s="196"/>
      <c r="C35" s="197"/>
      <c r="E35" s="199"/>
      <c r="F35" s="202"/>
      <c r="G35" s="203"/>
    </row>
    <row r="36" spans="1:7">
      <c r="A36" s="195"/>
      <c r="B36" s="196"/>
      <c r="C36" s="197"/>
      <c r="E36" s="199"/>
      <c r="F36" s="202"/>
      <c r="G36" s="203"/>
    </row>
    <row r="37" spans="1:7">
      <c r="A37" s="195"/>
      <c r="B37" s="196"/>
      <c r="C37" s="197"/>
      <c r="E37" s="199"/>
      <c r="F37" s="202"/>
      <c r="G37" s="203"/>
    </row>
    <row r="38" spans="1:7">
      <c r="A38" s="195"/>
      <c r="B38" s="196"/>
      <c r="C38" s="197"/>
      <c r="E38" s="199"/>
      <c r="F38" s="202"/>
      <c r="G38" s="203"/>
    </row>
    <row r="39" spans="1:7">
      <c r="A39" s="195"/>
      <c r="B39" s="196"/>
      <c r="C39" s="197"/>
      <c r="E39" s="199"/>
      <c r="F39" s="202"/>
      <c r="G39" s="203"/>
    </row>
    <row r="40" spans="1:7">
      <c r="A40" s="195"/>
      <c r="B40" s="196"/>
      <c r="C40" s="197"/>
      <c r="E40" s="199"/>
      <c r="F40" s="202"/>
      <c r="G40" s="203"/>
    </row>
    <row r="41" spans="1:7">
      <c r="A41" s="195"/>
      <c r="B41" s="196"/>
      <c r="C41" s="197"/>
      <c r="E41" s="199"/>
      <c r="F41" s="202"/>
      <c r="G41" s="203"/>
    </row>
    <row r="42" spans="1:7">
      <c r="A42" s="195"/>
      <c r="B42" s="196"/>
      <c r="C42" s="197"/>
      <c r="E42" s="199"/>
      <c r="F42" s="202"/>
      <c r="G42" s="203"/>
    </row>
    <row r="43" spans="1:7">
      <c r="A43" s="195"/>
      <c r="B43" s="196"/>
      <c r="C43" s="197"/>
      <c r="E43" s="199"/>
      <c r="F43" s="202"/>
      <c r="G43" s="203"/>
    </row>
    <row r="44" spans="1:7">
      <c r="A44" s="195"/>
      <c r="B44" s="196"/>
      <c r="C44" s="197"/>
      <c r="E44" s="199"/>
      <c r="F44" s="202"/>
      <c r="G44" s="203"/>
    </row>
    <row r="45" spans="1:7">
      <c r="A45" s="195"/>
      <c r="B45" s="196"/>
      <c r="C45" s="197"/>
      <c r="E45" s="199"/>
      <c r="F45" s="202"/>
      <c r="G45" s="203"/>
    </row>
    <row r="46" spans="1:7">
      <c r="A46" s="195"/>
      <c r="B46" s="196"/>
      <c r="C46" s="197"/>
      <c r="E46" s="199"/>
      <c r="F46" s="202"/>
      <c r="G46" s="203"/>
    </row>
    <row r="47" spans="1:7">
      <c r="A47" s="195"/>
      <c r="B47" s="196"/>
      <c r="C47" s="197"/>
      <c r="E47" s="199"/>
      <c r="F47" s="202"/>
      <c r="G47" s="203"/>
    </row>
    <row r="48" spans="1:7">
      <c r="A48" s="195"/>
      <c r="B48" s="196"/>
      <c r="C48" s="197"/>
      <c r="E48" s="199"/>
      <c r="F48" s="202"/>
      <c r="G48" s="203"/>
    </row>
    <row r="49" spans="1:7">
      <c r="A49" s="195"/>
      <c r="B49" s="196"/>
      <c r="C49" s="197"/>
      <c r="E49" s="199"/>
      <c r="F49" s="202"/>
      <c r="G49" s="203"/>
    </row>
    <row r="50" spans="1:7">
      <c r="A50" s="195"/>
      <c r="B50" s="196"/>
      <c r="C50" s="197"/>
      <c r="E50" s="199"/>
      <c r="F50" s="202"/>
      <c r="G50" s="203"/>
    </row>
    <row r="51" spans="1:7">
      <c r="A51" s="195"/>
      <c r="B51" s="196"/>
      <c r="C51" s="197"/>
      <c r="E51" s="199"/>
      <c r="F51" s="202"/>
      <c r="G51" s="203"/>
    </row>
    <row r="52" spans="1:7">
      <c r="A52" s="195"/>
      <c r="B52" s="196"/>
      <c r="C52" s="197"/>
      <c r="E52" s="199"/>
      <c r="F52" s="202"/>
      <c r="G52" s="203"/>
    </row>
    <row r="53" spans="1:7">
      <c r="A53" s="195"/>
      <c r="B53" s="196"/>
      <c r="C53" s="197"/>
      <c r="E53" s="199"/>
      <c r="F53" s="202"/>
      <c r="G53" s="203"/>
    </row>
    <row r="54" spans="1:7">
      <c r="A54" s="195"/>
      <c r="B54" s="196"/>
      <c r="C54" s="197"/>
      <c r="E54" s="199"/>
      <c r="F54" s="202"/>
      <c r="G54" s="203"/>
    </row>
    <row r="55" spans="1:7">
      <c r="A55" s="195"/>
      <c r="B55" s="196"/>
      <c r="C55" s="197"/>
      <c r="E55" s="199"/>
      <c r="F55" s="202"/>
      <c r="G55" s="203"/>
    </row>
    <row r="56" spans="1:7">
      <c r="A56" s="195"/>
      <c r="B56" s="196"/>
      <c r="C56" s="197"/>
      <c r="E56" s="199"/>
      <c r="F56" s="202"/>
      <c r="G56" s="203"/>
    </row>
    <row r="57" spans="1:7">
      <c r="A57" s="195"/>
      <c r="B57" s="196"/>
      <c r="C57" s="197"/>
      <c r="E57" s="199"/>
      <c r="F57" s="202"/>
      <c r="G57" s="203"/>
    </row>
    <row r="58" spans="1:7">
      <c r="A58" s="195"/>
      <c r="B58" s="196"/>
      <c r="C58" s="197"/>
      <c r="E58" s="199"/>
      <c r="F58" s="202"/>
      <c r="G58" s="203"/>
    </row>
    <row r="59" spans="1:7">
      <c r="A59" s="195"/>
      <c r="B59" s="196"/>
      <c r="C59" s="197"/>
      <c r="E59" s="199"/>
      <c r="F59" s="202"/>
      <c r="G59" s="203"/>
    </row>
    <row r="60" spans="1:7">
      <c r="A60" s="195"/>
      <c r="B60" s="196"/>
      <c r="C60" s="197"/>
      <c r="E60" s="199"/>
      <c r="F60" s="202"/>
      <c r="G60" s="203"/>
    </row>
    <row r="61" spans="1:7">
      <c r="A61" s="195"/>
      <c r="B61" s="196"/>
      <c r="C61" s="197"/>
      <c r="E61" s="199"/>
      <c r="F61" s="202"/>
      <c r="G61" s="203"/>
    </row>
    <row r="62" spans="1:7">
      <c r="A62" s="195"/>
      <c r="B62" s="196"/>
      <c r="C62" s="197"/>
      <c r="E62" s="199"/>
      <c r="F62" s="202"/>
      <c r="G62" s="203"/>
    </row>
    <row r="63" spans="1:7">
      <c r="A63" s="195"/>
      <c r="B63" s="196"/>
      <c r="C63" s="197"/>
      <c r="E63" s="199"/>
      <c r="F63" s="202"/>
      <c r="G63" s="203"/>
    </row>
    <row r="64" spans="1:7">
      <c r="A64" s="195"/>
      <c r="B64" s="196"/>
      <c r="C64" s="197"/>
      <c r="E64" s="199"/>
      <c r="F64" s="202"/>
      <c r="G64" s="203"/>
    </row>
    <row r="65" spans="1:7">
      <c r="A65" s="195"/>
      <c r="B65" s="196"/>
      <c r="C65" s="197"/>
      <c r="E65" s="199"/>
      <c r="F65" s="202"/>
      <c r="G65" s="203"/>
    </row>
    <row r="66" spans="1:7">
      <c r="A66" s="195"/>
      <c r="B66" s="196"/>
      <c r="C66" s="197"/>
      <c r="E66" s="199"/>
      <c r="F66" s="202"/>
      <c r="G66" s="203"/>
    </row>
    <row r="67" spans="1:7">
      <c r="A67" s="195"/>
      <c r="B67" s="196"/>
      <c r="C67" s="197"/>
      <c r="E67" s="199"/>
      <c r="F67" s="202"/>
      <c r="G67" s="203"/>
    </row>
    <row r="68" spans="1:7">
      <c r="A68" s="195"/>
      <c r="B68" s="196"/>
      <c r="C68" s="197"/>
      <c r="E68" s="199"/>
      <c r="F68" s="202"/>
      <c r="G68" s="203"/>
    </row>
    <row r="69" spans="1:7">
      <c r="A69" s="195"/>
      <c r="B69" s="196"/>
      <c r="C69" s="197"/>
      <c r="E69" s="199"/>
      <c r="F69" s="202"/>
      <c r="G69" s="203"/>
    </row>
    <row r="70" spans="1:7">
      <c r="A70" s="195"/>
      <c r="B70" s="196"/>
      <c r="C70" s="197"/>
      <c r="E70" s="199"/>
      <c r="F70" s="202"/>
      <c r="G70" s="203"/>
    </row>
    <row r="71" spans="1:7">
      <c r="A71" s="195"/>
      <c r="B71" s="196"/>
      <c r="C71" s="197"/>
      <c r="E71" s="199"/>
      <c r="F71" s="202"/>
      <c r="G71" s="203"/>
    </row>
    <row r="72" spans="1:7">
      <c r="A72" s="195"/>
      <c r="B72" s="196"/>
      <c r="C72" s="197"/>
      <c r="E72" s="199"/>
      <c r="F72" s="202"/>
      <c r="G72" s="203"/>
    </row>
    <row r="73" spans="1:7">
      <c r="A73" s="195"/>
      <c r="B73" s="196"/>
      <c r="C73" s="197"/>
      <c r="E73" s="199"/>
      <c r="F73" s="202"/>
      <c r="G73" s="203"/>
    </row>
    <row r="74" spans="1:7">
      <c r="A74" s="195"/>
      <c r="B74" s="196"/>
      <c r="C74" s="197"/>
      <c r="E74" s="199"/>
      <c r="F74" s="202"/>
      <c r="G74" s="203"/>
    </row>
    <row r="75" spans="1:7">
      <c r="A75" s="195"/>
      <c r="B75" s="196"/>
      <c r="C75" s="197"/>
      <c r="E75" s="199"/>
      <c r="F75" s="202"/>
      <c r="G75" s="203"/>
    </row>
    <row r="76" spans="1:7">
      <c r="A76" s="195"/>
      <c r="B76" s="196"/>
      <c r="C76" s="197"/>
      <c r="E76" s="199"/>
      <c r="F76" s="202"/>
      <c r="G76" s="203"/>
    </row>
    <row r="77" spans="1:7">
      <c r="A77" s="195"/>
      <c r="B77" s="196"/>
      <c r="C77" s="197"/>
      <c r="E77" s="199"/>
      <c r="F77" s="202"/>
      <c r="G77" s="203"/>
    </row>
    <row r="78" spans="1:7">
      <c r="A78" s="195"/>
      <c r="B78" s="196"/>
      <c r="C78" s="197"/>
      <c r="E78" s="199"/>
      <c r="F78" s="202"/>
      <c r="G78" s="203"/>
    </row>
    <row r="79" spans="1:7">
      <c r="A79" s="195"/>
      <c r="B79" s="196"/>
      <c r="C79" s="197"/>
      <c r="E79" s="199"/>
      <c r="F79" s="202"/>
      <c r="G79" s="203"/>
    </row>
    <row r="80" spans="1:7">
      <c r="A80" s="195"/>
      <c r="B80" s="196"/>
      <c r="C80" s="197"/>
      <c r="E80" s="199"/>
      <c r="F80" s="202"/>
      <c r="G80" s="203"/>
    </row>
    <row r="81" spans="1:7">
      <c r="A81" s="195"/>
      <c r="B81" s="196"/>
      <c r="C81" s="197"/>
      <c r="E81" s="199"/>
      <c r="F81" s="202"/>
      <c r="G81" s="203"/>
    </row>
    <row r="82" spans="1:7">
      <c r="A82" s="195"/>
      <c r="B82" s="196"/>
      <c r="C82" s="197"/>
      <c r="E82" s="199"/>
      <c r="F82" s="202"/>
      <c r="G82" s="203"/>
    </row>
    <row r="83" spans="1:7">
      <c r="A83" s="195"/>
      <c r="B83" s="196"/>
      <c r="C83" s="197"/>
      <c r="E83" s="199"/>
      <c r="F83" s="202"/>
      <c r="G83" s="203"/>
    </row>
    <row r="84" spans="1:7">
      <c r="A84" s="195"/>
      <c r="B84" s="196"/>
      <c r="C84" s="197"/>
      <c r="E84" s="199"/>
      <c r="F84" s="202"/>
      <c r="G84" s="203"/>
    </row>
    <row r="85" spans="1:7">
      <c r="A85" s="195"/>
      <c r="B85" s="196"/>
      <c r="C85" s="197"/>
      <c r="E85" s="199"/>
      <c r="F85" s="202"/>
      <c r="G85" s="203"/>
    </row>
    <row r="86" spans="1:7">
      <c r="A86" s="195"/>
      <c r="B86" s="196"/>
      <c r="C86" s="197"/>
      <c r="E86" s="199"/>
      <c r="F86" s="202"/>
      <c r="G86" s="203"/>
    </row>
    <row r="87" spans="1:7">
      <c r="A87" s="195"/>
      <c r="B87" s="196"/>
      <c r="C87" s="197"/>
      <c r="E87" s="199"/>
      <c r="F87" s="202"/>
      <c r="G87" s="203"/>
    </row>
    <row r="88" spans="1:7">
      <c r="A88" s="195"/>
      <c r="B88" s="196"/>
      <c r="C88" s="197"/>
      <c r="E88" s="199"/>
      <c r="F88" s="202"/>
      <c r="G88" s="203"/>
    </row>
    <row r="89" spans="1:7">
      <c r="A89" s="195"/>
      <c r="B89" s="196"/>
      <c r="C89" s="197"/>
      <c r="E89" s="199"/>
      <c r="F89" s="202"/>
      <c r="G89" s="203"/>
    </row>
    <row r="90" spans="1:7">
      <c r="A90" s="195"/>
      <c r="B90" s="196"/>
      <c r="C90" s="197"/>
      <c r="E90" s="199"/>
      <c r="F90" s="202"/>
      <c r="G90" s="203"/>
    </row>
    <row r="91" spans="1:7">
      <c r="A91" s="195"/>
      <c r="B91" s="196"/>
      <c r="C91" s="197"/>
      <c r="E91" s="199"/>
      <c r="F91" s="202"/>
      <c r="G91" s="203"/>
    </row>
    <row r="92" spans="1:7">
      <c r="A92" s="195"/>
      <c r="B92" s="196"/>
      <c r="C92" s="197"/>
      <c r="E92" s="199"/>
      <c r="F92" s="202"/>
      <c r="G92" s="203"/>
    </row>
    <row r="93" spans="1:7">
      <c r="A93" s="195"/>
      <c r="B93" s="196"/>
      <c r="C93" s="197"/>
      <c r="E93" s="199"/>
      <c r="F93" s="202"/>
      <c r="G93" s="203"/>
    </row>
    <row r="94" spans="1:7">
      <c r="A94" s="195"/>
      <c r="B94" s="196"/>
      <c r="C94" s="197"/>
      <c r="E94" s="199"/>
      <c r="F94" s="202"/>
      <c r="G94" s="203"/>
    </row>
    <row r="95" spans="1:7">
      <c r="A95" s="195"/>
      <c r="B95" s="196"/>
      <c r="C95" s="197"/>
      <c r="E95" s="199"/>
      <c r="F95" s="202"/>
      <c r="G95" s="203"/>
    </row>
    <row r="96" spans="1:7">
      <c r="A96" s="195"/>
      <c r="B96" s="196"/>
      <c r="C96" s="197"/>
      <c r="E96" s="199"/>
      <c r="F96" s="202"/>
      <c r="G96" s="203"/>
    </row>
    <row r="97" spans="1:7">
      <c r="A97" s="195"/>
      <c r="B97" s="196"/>
      <c r="C97" s="197"/>
      <c r="E97" s="199"/>
      <c r="F97" s="202"/>
      <c r="G97" s="203"/>
    </row>
    <row r="98" spans="1:7">
      <c r="A98" s="195"/>
      <c r="B98" s="196"/>
      <c r="C98" s="197"/>
      <c r="E98" s="199"/>
      <c r="F98" s="202"/>
      <c r="G98" s="203"/>
    </row>
    <row r="99" spans="1:7">
      <c r="A99" s="195"/>
      <c r="B99" s="196"/>
      <c r="C99" s="197"/>
      <c r="E99" s="199"/>
      <c r="F99" s="202"/>
      <c r="G99" s="203"/>
    </row>
    <row r="100" spans="1:7" hidden="1">
      <c r="A100" s="195"/>
      <c r="B100" s="196"/>
      <c r="C100" s="197"/>
      <c r="D100" s="204"/>
      <c r="E100" s="205"/>
      <c r="F100" s="205"/>
      <c r="G100" s="203"/>
    </row>
    <row r="101" spans="1:7" hidden="1">
      <c r="A101" s="195"/>
      <c r="B101" s="196"/>
      <c r="C101" s="197"/>
      <c r="D101" s="204"/>
      <c r="E101" s="205"/>
      <c r="F101" s="205"/>
      <c r="G101" s="203"/>
    </row>
    <row r="102" spans="1:7" hidden="1">
      <c r="A102" s="195"/>
      <c r="B102" s="196"/>
      <c r="C102" s="197"/>
      <c r="D102" s="204"/>
      <c r="E102" s="205"/>
      <c r="F102" s="205"/>
      <c r="G102" s="203"/>
    </row>
    <row r="103" spans="1:7" hidden="1">
      <c r="A103" s="195"/>
      <c r="B103" s="196"/>
      <c r="C103" s="197"/>
      <c r="D103" s="204"/>
      <c r="E103" s="205"/>
      <c r="F103" s="205"/>
      <c r="G103" s="203"/>
    </row>
    <row r="104" spans="1:7" hidden="1">
      <c r="A104" s="195"/>
      <c r="B104" s="196"/>
      <c r="C104" s="197"/>
      <c r="D104" s="204"/>
      <c r="E104" s="205"/>
      <c r="F104" s="205"/>
      <c r="G104" s="203"/>
    </row>
    <row r="105" spans="1:7" hidden="1">
      <c r="A105" s="195"/>
      <c r="B105" s="196"/>
      <c r="C105" s="197"/>
      <c r="D105" s="204"/>
      <c r="E105" s="205"/>
      <c r="F105" s="205"/>
      <c r="G105" s="203"/>
    </row>
    <row r="106" spans="1:7" hidden="1">
      <c r="A106" s="195"/>
      <c r="B106" s="196"/>
      <c r="C106" s="197"/>
      <c r="D106" s="204"/>
      <c r="E106" s="205"/>
      <c r="F106" s="205"/>
      <c r="G106" s="203"/>
    </row>
    <row r="107" spans="1:7" hidden="1">
      <c r="A107" s="195"/>
      <c r="B107" s="196"/>
      <c r="C107" s="197"/>
      <c r="D107" s="204"/>
      <c r="E107" s="205"/>
      <c r="F107" s="205"/>
      <c r="G107" s="203"/>
    </row>
    <row r="108" spans="1:7" hidden="1">
      <c r="A108" s="195"/>
      <c r="B108" s="196"/>
      <c r="C108" s="197"/>
      <c r="D108" s="204"/>
      <c r="E108" s="205"/>
      <c r="F108" s="205"/>
      <c r="G108" s="203"/>
    </row>
    <row r="109" spans="1:7" hidden="1">
      <c r="A109" s="195"/>
      <c r="B109" s="196"/>
      <c r="C109" s="197"/>
      <c r="D109" s="204"/>
      <c r="E109" s="205"/>
      <c r="F109" s="205"/>
      <c r="G109" s="203"/>
    </row>
    <row r="110" spans="1:7" hidden="1">
      <c r="A110" s="195"/>
      <c r="B110" s="196"/>
      <c r="C110" s="197"/>
      <c r="D110" s="204"/>
      <c r="E110" s="205"/>
      <c r="F110" s="205"/>
      <c r="G110" s="203"/>
    </row>
    <row r="111" spans="1:7" hidden="1">
      <c r="A111" s="195"/>
      <c r="B111" s="196"/>
      <c r="C111" s="197"/>
      <c r="D111" s="204"/>
      <c r="E111" s="205"/>
      <c r="F111" s="205"/>
      <c r="G111" s="203"/>
    </row>
    <row r="112" spans="1:7" hidden="1">
      <c r="A112" s="195"/>
      <c r="B112" s="196"/>
      <c r="C112" s="197"/>
      <c r="D112" s="204"/>
      <c r="E112" s="205"/>
      <c r="F112" s="205"/>
      <c r="G112" s="203"/>
    </row>
    <row r="113" spans="1:7" hidden="1">
      <c r="A113" s="195"/>
      <c r="B113" s="196"/>
      <c r="C113" s="197"/>
      <c r="D113" s="204"/>
      <c r="E113" s="205"/>
      <c r="F113" s="205"/>
      <c r="G113" s="203"/>
    </row>
    <row r="114" spans="1:7" hidden="1">
      <c r="A114" s="195"/>
      <c r="B114" s="196"/>
      <c r="C114" s="197"/>
      <c r="D114" s="204"/>
      <c r="E114" s="205"/>
      <c r="F114" s="205"/>
      <c r="G114" s="197"/>
    </row>
    <row r="115" spans="1:7" hidden="1">
      <c r="A115" s="195"/>
      <c r="B115" s="196"/>
      <c r="C115" s="197"/>
      <c r="D115" s="204"/>
      <c r="E115" s="205"/>
      <c r="F115" s="205"/>
      <c r="G115" s="197"/>
    </row>
    <row r="116" spans="1:7" hidden="1">
      <c r="A116" s="195"/>
      <c r="B116" s="196"/>
      <c r="C116" s="197"/>
      <c r="D116" s="204"/>
      <c r="E116" s="205"/>
      <c r="F116" s="205"/>
      <c r="G116" s="197"/>
    </row>
    <row r="117" spans="1:7" hidden="1">
      <c r="A117" s="195"/>
      <c r="B117" s="196"/>
      <c r="C117" s="197"/>
      <c r="D117" s="204"/>
      <c r="E117" s="205"/>
      <c r="F117" s="205"/>
      <c r="G117" s="197"/>
    </row>
    <row r="118" spans="1:7" hidden="1">
      <c r="A118" s="195"/>
      <c r="B118" s="196"/>
      <c r="C118" s="197"/>
      <c r="D118" s="204"/>
      <c r="E118" s="205"/>
      <c r="F118" s="205"/>
      <c r="G118" s="197"/>
    </row>
    <row r="119" spans="1:7" hidden="1">
      <c r="A119" s="195"/>
      <c r="B119" s="196"/>
      <c r="C119" s="197"/>
      <c r="D119" s="204"/>
      <c r="E119" s="205"/>
      <c r="F119" s="205"/>
      <c r="G119" s="197"/>
    </row>
    <row r="120" spans="1:7" hidden="1">
      <c r="A120" s="195"/>
      <c r="B120" s="196"/>
      <c r="C120" s="197"/>
      <c r="D120" s="204"/>
      <c r="E120" s="205"/>
      <c r="F120" s="205"/>
      <c r="G120" s="197"/>
    </row>
    <row r="121" spans="1:7" hidden="1">
      <c r="A121" s="195"/>
      <c r="B121" s="196"/>
      <c r="C121" s="197"/>
      <c r="D121" s="204"/>
      <c r="E121" s="205"/>
      <c r="F121" s="205"/>
      <c r="G121" s="197"/>
    </row>
    <row r="122" spans="1:7" hidden="1">
      <c r="A122" s="195"/>
      <c r="B122" s="196"/>
      <c r="C122" s="197"/>
      <c r="D122" s="204"/>
      <c r="E122" s="205"/>
      <c r="F122" s="205"/>
      <c r="G122" s="197"/>
    </row>
    <row r="123" spans="1:7" hidden="1">
      <c r="A123" s="195"/>
      <c r="B123" s="196"/>
      <c r="C123" s="197"/>
      <c r="D123" s="204"/>
      <c r="E123" s="205"/>
      <c r="F123" s="205"/>
      <c r="G123" s="197"/>
    </row>
    <row r="124" spans="1:7" hidden="1">
      <c r="A124" s="195"/>
      <c r="B124" s="196"/>
      <c r="C124" s="197"/>
      <c r="D124" s="204"/>
      <c r="E124" s="205"/>
      <c r="F124" s="205"/>
      <c r="G124" s="197"/>
    </row>
    <row r="125" spans="1:7" hidden="1">
      <c r="A125" s="195"/>
      <c r="B125" s="196"/>
      <c r="C125" s="197"/>
      <c r="D125" s="204"/>
      <c r="E125" s="205"/>
      <c r="F125" s="205"/>
      <c r="G125" s="197"/>
    </row>
    <row r="126" spans="1:7" hidden="1">
      <c r="A126" s="195"/>
      <c r="B126" s="196"/>
      <c r="C126" s="197"/>
      <c r="D126" s="204"/>
      <c r="E126" s="205"/>
      <c r="F126" s="205"/>
      <c r="G126" s="197"/>
    </row>
    <row r="127" spans="1:7" hidden="1">
      <c r="A127" s="195"/>
      <c r="B127" s="196"/>
      <c r="C127" s="197"/>
      <c r="D127" s="204"/>
      <c r="E127" s="205"/>
      <c r="F127" s="205"/>
      <c r="G127" s="197"/>
    </row>
    <row r="128" spans="1:7" hidden="1">
      <c r="A128" s="195"/>
      <c r="B128" s="196"/>
      <c r="C128" s="197"/>
      <c r="D128" s="204"/>
      <c r="E128" s="205"/>
      <c r="F128" s="205"/>
      <c r="G128" s="197"/>
    </row>
    <row r="129" spans="1:7" hidden="1">
      <c r="A129" s="195"/>
      <c r="B129" s="196"/>
      <c r="C129" s="197"/>
      <c r="D129" s="204"/>
      <c r="E129" s="205"/>
      <c r="F129" s="205"/>
      <c r="G129" s="197"/>
    </row>
    <row r="130" spans="1:7" hidden="1">
      <c r="A130" s="195"/>
      <c r="B130" s="196"/>
      <c r="C130" s="197"/>
      <c r="D130" s="204"/>
      <c r="E130" s="205"/>
      <c r="F130" s="205"/>
      <c r="G130" s="197"/>
    </row>
    <row r="131" spans="1:7" hidden="1">
      <c r="A131" s="195"/>
      <c r="B131" s="196"/>
      <c r="C131" s="197"/>
      <c r="D131" s="204"/>
      <c r="E131" s="205"/>
      <c r="F131" s="205"/>
      <c r="G131" s="197"/>
    </row>
    <row r="132" spans="1:7" hidden="1">
      <c r="A132" s="195"/>
      <c r="B132" s="196"/>
      <c r="C132" s="197"/>
      <c r="D132" s="204"/>
      <c r="E132" s="205"/>
      <c r="F132" s="205"/>
      <c r="G132" s="197"/>
    </row>
    <row r="133" spans="1:7" hidden="1">
      <c r="A133" s="195"/>
      <c r="B133" s="196"/>
      <c r="C133" s="197"/>
      <c r="D133" s="204"/>
      <c r="E133" s="205"/>
      <c r="F133" s="205"/>
      <c r="G133" s="197"/>
    </row>
    <row r="134" spans="1:7" hidden="1">
      <c r="A134" s="195"/>
      <c r="B134" s="196"/>
      <c r="C134" s="197"/>
      <c r="D134" s="204"/>
      <c r="E134" s="205"/>
      <c r="F134" s="205"/>
      <c r="G134" s="197"/>
    </row>
    <row r="135" spans="1:7" hidden="1">
      <c r="A135" s="195"/>
      <c r="B135" s="196"/>
      <c r="C135" s="197"/>
      <c r="D135" s="204"/>
      <c r="E135" s="205"/>
      <c r="F135" s="205"/>
      <c r="G135" s="197"/>
    </row>
    <row r="136" spans="1:7" hidden="1">
      <c r="A136" s="195"/>
      <c r="B136" s="196"/>
      <c r="C136" s="197"/>
      <c r="D136" s="204"/>
      <c r="E136" s="205"/>
      <c r="F136" s="205"/>
      <c r="G136" s="197"/>
    </row>
    <row r="137" spans="1:7" hidden="1">
      <c r="A137" s="195"/>
      <c r="B137" s="196"/>
      <c r="C137" s="197"/>
      <c r="D137" s="204"/>
      <c r="E137" s="205"/>
      <c r="F137" s="205"/>
      <c r="G137" s="197"/>
    </row>
    <row r="138" spans="1:7" hidden="1">
      <c r="A138" s="195"/>
      <c r="B138" s="196"/>
      <c r="C138" s="197"/>
      <c r="D138" s="204"/>
      <c r="E138" s="205"/>
      <c r="F138" s="205"/>
      <c r="G138" s="197"/>
    </row>
    <row r="139" spans="1:7" hidden="1">
      <c r="A139" s="195"/>
      <c r="B139" s="196"/>
      <c r="C139" s="197"/>
      <c r="D139" s="204"/>
      <c r="E139" s="205"/>
      <c r="F139" s="205"/>
      <c r="G139" s="197"/>
    </row>
    <row r="140" spans="1:7" hidden="1">
      <c r="A140" s="195"/>
      <c r="B140" s="196"/>
      <c r="C140" s="197"/>
      <c r="D140" s="204"/>
      <c r="E140" s="205"/>
      <c r="F140" s="205"/>
      <c r="G140" s="197"/>
    </row>
    <row r="141" spans="1:7" hidden="1">
      <c r="A141" s="195"/>
      <c r="B141" s="196"/>
      <c r="C141" s="197"/>
      <c r="D141" s="204"/>
      <c r="E141" s="205"/>
      <c r="F141" s="205"/>
      <c r="G141" s="197"/>
    </row>
    <row r="142" spans="1:7" hidden="1">
      <c r="A142" s="195"/>
      <c r="B142" s="196"/>
      <c r="C142" s="197"/>
      <c r="D142" s="204"/>
      <c r="E142" s="205"/>
      <c r="F142" s="205"/>
      <c r="G142" s="197"/>
    </row>
    <row r="143" spans="1:7" hidden="1">
      <c r="A143" s="195"/>
      <c r="B143" s="196"/>
      <c r="C143" s="197"/>
      <c r="D143" s="204"/>
      <c r="E143" s="205"/>
      <c r="F143" s="205"/>
      <c r="G143" s="197"/>
    </row>
    <row r="144" spans="1:7" hidden="1">
      <c r="A144" s="195"/>
      <c r="B144" s="196"/>
      <c r="C144" s="197"/>
      <c r="D144" s="204"/>
      <c r="E144" s="205"/>
      <c r="F144" s="205"/>
      <c r="G144" s="197"/>
    </row>
    <row r="145" spans="1:7" hidden="1">
      <c r="A145" s="195"/>
      <c r="B145" s="196"/>
      <c r="C145" s="197"/>
      <c r="D145" s="204"/>
      <c r="E145" s="205"/>
      <c r="F145" s="205"/>
      <c r="G145" s="197"/>
    </row>
    <row r="146" spans="1:7" hidden="1">
      <c r="A146" s="195"/>
      <c r="B146" s="196"/>
      <c r="C146" s="197"/>
      <c r="D146" s="204"/>
      <c r="E146" s="205"/>
      <c r="F146" s="205"/>
      <c r="G146" s="197"/>
    </row>
    <row r="147" spans="1:7" hidden="1">
      <c r="A147" s="195"/>
      <c r="B147" s="196"/>
      <c r="C147" s="197"/>
      <c r="D147" s="204"/>
      <c r="E147" s="205"/>
      <c r="F147" s="205"/>
      <c r="G147" s="197"/>
    </row>
    <row r="148" spans="1:7" hidden="1">
      <c r="A148" s="195"/>
      <c r="B148" s="196"/>
      <c r="C148" s="197"/>
      <c r="D148" s="204"/>
      <c r="E148" s="205"/>
      <c r="F148" s="205"/>
      <c r="G148" s="197"/>
    </row>
    <row r="149" spans="1:7" hidden="1"/>
    <row r="150" spans="1:7"/>
  </sheetData>
  <sheetProtection password="CC76" sheet="1" objects="1" scenarios="1"/>
  <mergeCells count="2">
    <mergeCell ref="A1:G1"/>
    <mergeCell ref="A2:G2"/>
  </mergeCells>
  <phoneticPr fontId="6" type="noConversion"/>
  <dataValidations count="2">
    <dataValidation type="whole" allowBlank="1" showInputMessage="1" showErrorMessage="1" sqref="D6:D148">
      <formula1>1</formula1>
      <formula2>99999999</formula2>
    </dataValidation>
    <dataValidation type="list" allowBlank="1" showInputMessage="1" showErrorMessage="1" sqref="E6:E150">
      <formula1>capitalized</formula1>
    </dataValidation>
  </dataValidations>
  <pageMargins left="0.5" right="0.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C49"/>
  <sheetViews>
    <sheetView zoomScaleNormal="100" workbookViewId="0">
      <selection activeCell="C32" sqref="C32"/>
    </sheetView>
  </sheetViews>
  <sheetFormatPr defaultColWidth="0" defaultRowHeight="0" customHeight="1" zeroHeight="1"/>
  <cols>
    <col min="1" max="1" width="10.85546875" style="38" customWidth="1"/>
    <col min="2" max="2" width="43.140625" style="38" customWidth="1"/>
    <col min="3" max="3" width="13.7109375" style="94" customWidth="1"/>
    <col min="4" max="16384" width="0" style="87" hidden="1"/>
  </cols>
  <sheetData>
    <row r="1" spans="1:3" ht="15.75" customHeight="1">
      <c r="A1" s="246" t="str">
        <f>'4-Equipment'!A1:G1</f>
        <v>School Improvement Support Grant</v>
      </c>
      <c r="B1" s="247"/>
      <c r="C1" s="247"/>
    </row>
    <row r="2" spans="1:3" ht="15.75" customHeight="1">
      <c r="A2" s="248" t="s">
        <v>364</v>
      </c>
      <c r="B2" s="248"/>
      <c r="C2" s="248"/>
    </row>
    <row r="3" spans="1:3" s="95" customFormat="1" ht="15.75" customHeight="1">
      <c r="A3" s="249" t="s">
        <v>401</v>
      </c>
      <c r="B3" s="249"/>
      <c r="C3" s="249"/>
    </row>
    <row r="4" spans="1:3" s="95" customFormat="1" ht="15" customHeight="1">
      <c r="A4" s="152">
        <f>'2-Cover Page'!C5</f>
        <v>0</v>
      </c>
      <c r="B4" s="153"/>
      <c r="C4" s="154">
        <f>'2-Cover Page'!C11</f>
        <v>0</v>
      </c>
    </row>
    <row r="5" spans="1:3" s="95" customFormat="1" ht="15.75" customHeight="1">
      <c r="A5" s="155"/>
      <c r="B5" s="156"/>
      <c r="C5" s="157"/>
    </row>
    <row r="6" spans="1:3" ht="15.75" customHeight="1">
      <c r="A6" s="158" t="s">
        <v>52</v>
      </c>
      <c r="B6" s="159"/>
      <c r="C6" s="160"/>
    </row>
    <row r="7" spans="1:3" ht="15.75" customHeight="1">
      <c r="A7" s="161"/>
      <c r="B7" s="162" t="s">
        <v>35</v>
      </c>
      <c r="C7" s="273">
        <f t="array" ref="C7">SUM(IF(LEFT(Budget_Object,3)&amp;RIGHT(Budget_Object,5)="Ins0100)",'3-Budget Detail'!$B$6:$B$500))</f>
        <v>0</v>
      </c>
    </row>
    <row r="8" spans="1:3" ht="15.75" customHeight="1">
      <c r="A8" s="161"/>
      <c r="B8" s="162" t="s">
        <v>36</v>
      </c>
      <c r="C8" s="273">
        <f t="array" ref="C8">SUM(IF(LEFT(Budget_Object,3)&amp;RIGHT(Budget_Object,5)="Ins0200)",'3-Budget Detail'!$B$6:$B$500))</f>
        <v>0</v>
      </c>
    </row>
    <row r="9" spans="1:3" ht="15.75" customHeight="1">
      <c r="A9" s="161"/>
      <c r="B9" s="164" t="s">
        <v>37</v>
      </c>
      <c r="C9" s="273">
        <f t="array" ref="C9">SUM(IF(LEFT(Budget_Object,3)&amp;RIGHT(Budget_Object,5)="Ins0300)",'3-Budget Detail'!$B$6:$B$500))</f>
        <v>0</v>
      </c>
    </row>
    <row r="10" spans="1:3" ht="15.75" customHeight="1">
      <c r="A10" s="161"/>
      <c r="B10" s="164" t="s">
        <v>38</v>
      </c>
      <c r="C10" s="273">
        <f t="array" ref="C10">SUM(IF(LEFT(Budget_Object,3)&amp;RIGHT(Budget_Object,5)="Ins0500)",'3-Budget Detail'!$B$6:$B$500))</f>
        <v>0</v>
      </c>
    </row>
    <row r="11" spans="1:3" ht="15.75" customHeight="1">
      <c r="A11" s="161"/>
      <c r="B11" s="164" t="s">
        <v>39</v>
      </c>
      <c r="C11" s="273">
        <f t="array" ref="C11">SUM(IF(LEFT(Budget_Object,3)&amp;RIGHT(Budget_Object,5)="Ins0580)",'3-Budget Detail'!$B$6:$B$500))</f>
        <v>0</v>
      </c>
    </row>
    <row r="12" spans="1:3" ht="15.75" customHeight="1">
      <c r="A12" s="161"/>
      <c r="B12" s="164" t="s">
        <v>40</v>
      </c>
      <c r="C12" s="273">
        <f t="array" ref="C12">SUM(IF(LEFT(Budget_Object,3)&amp;RIGHT(Budget_Object,5)="Ins0600)",'3-Budget Detail'!$B$6:$B$500))</f>
        <v>0</v>
      </c>
    </row>
    <row r="13" spans="1:3" ht="15.75" customHeight="1">
      <c r="A13" s="161"/>
      <c r="B13" s="164" t="s">
        <v>399</v>
      </c>
      <c r="C13" s="273">
        <f t="array" ref="C13">SUM(IF(LEFT(Budget_Object,3)&amp;RIGHT(Budget_Object,5)="Ins0640)",'3-Budget Detail'!$B$6:$B$500))</f>
        <v>0</v>
      </c>
    </row>
    <row r="14" spans="1:3" ht="15.75" customHeight="1">
      <c r="A14" s="161"/>
      <c r="B14" s="164" t="s">
        <v>400</v>
      </c>
      <c r="C14" s="273">
        <f t="array" ref="C14">SUM(IF(LEFT(Budget_Object,3)&amp;RIGHT(Budget_Object,5)="Ins0800)",'3-Budget Detail'!$B$6:$B$500))</f>
        <v>0</v>
      </c>
    </row>
    <row r="15" spans="1:3" ht="15.75" customHeight="1">
      <c r="A15" s="161"/>
      <c r="B15" s="165" t="s">
        <v>41</v>
      </c>
      <c r="C15" s="274">
        <f>SUM(C7:C14)</f>
        <v>0</v>
      </c>
    </row>
    <row r="16" spans="1:3" ht="15.75" customHeight="1">
      <c r="A16" s="161"/>
      <c r="B16" s="165"/>
      <c r="C16" s="163"/>
    </row>
    <row r="17" spans="1:3" ht="15.75" customHeight="1">
      <c r="A17" s="166" t="s">
        <v>42</v>
      </c>
      <c r="B17" s="159"/>
      <c r="C17" s="160"/>
    </row>
    <row r="18" spans="1:3" ht="15.75" customHeight="1">
      <c r="A18" s="161"/>
      <c r="B18" s="162" t="s">
        <v>35</v>
      </c>
      <c r="C18" s="273">
        <f t="array" ref="C18">SUM(IF(LEFT(Budget_Object,3)&amp;RIGHT(Budget_Object,5)="Sup0100)",'3-Budget Detail'!$B$6:$B$500))</f>
        <v>0</v>
      </c>
    </row>
    <row r="19" spans="1:3" ht="15.75" customHeight="1">
      <c r="A19" s="161"/>
      <c r="B19" s="162" t="s">
        <v>36</v>
      </c>
      <c r="C19" s="273">
        <f t="array" ref="C19">SUM(IF(LEFT(Budget_Object,3)&amp;RIGHT(Budget_Object,5)="Sup0200)",'3-Budget Detail'!$B$6:$B$500))</f>
        <v>0</v>
      </c>
    </row>
    <row r="20" spans="1:3" ht="15.75" customHeight="1">
      <c r="A20" s="161"/>
      <c r="B20" s="162" t="s">
        <v>37</v>
      </c>
      <c r="C20" s="273">
        <f t="array" ref="C20">SUM(IF(LEFT(Budget_Object,3)&amp;RIGHT(Budget_Object,5)="Sup0300)",'3-Budget Detail'!$B$6:$B$500))</f>
        <v>0</v>
      </c>
    </row>
    <row r="21" spans="1:3" ht="15.75" customHeight="1">
      <c r="A21" s="161"/>
      <c r="B21" s="162" t="s">
        <v>38</v>
      </c>
      <c r="C21" s="273">
        <f t="array" ref="C21">SUM(IF(LEFT(Budget_Object,3)&amp;RIGHT(Budget_Object,5)="Sup0500)",'3-Budget Detail'!$B$6:$B$500))</f>
        <v>0</v>
      </c>
    </row>
    <row r="22" spans="1:3" ht="15.75" customHeight="1">
      <c r="A22" s="161"/>
      <c r="B22" s="162" t="s">
        <v>39</v>
      </c>
      <c r="C22" s="273">
        <f t="array" ref="C22">SUM(IF(LEFT(Budget_Object,3)&amp;RIGHT(Budget_Object,5)="Sup0580)",'3-Budget Detail'!$B$6:$B$500))</f>
        <v>0</v>
      </c>
    </row>
    <row r="23" spans="1:3" ht="15.75" customHeight="1">
      <c r="A23" s="161"/>
      <c r="B23" s="162" t="s">
        <v>40</v>
      </c>
      <c r="C23" s="273">
        <f t="array" ref="C23">SUM(IF(LEFT(Budget_Object,3)&amp;RIGHT(Budget_Object,5)="Sup0600)",'3-Budget Detail'!$B$6:$B$500))</f>
        <v>0</v>
      </c>
    </row>
    <row r="24" spans="1:3" ht="15.75" customHeight="1">
      <c r="A24" s="161"/>
      <c r="B24" s="162" t="s">
        <v>399</v>
      </c>
      <c r="C24" s="273">
        <f t="array" ref="C24">SUM(IF(LEFT(Budget_Object,3)&amp;RIGHT(Budget_Object,5)="Sup0600)",'3-Budget Detail'!$B$6:$B$500))</f>
        <v>0</v>
      </c>
    </row>
    <row r="25" spans="1:3" ht="15.75" customHeight="1">
      <c r="A25" s="161"/>
      <c r="B25" s="164" t="s">
        <v>400</v>
      </c>
      <c r="C25" s="273">
        <f t="array" ref="C25">SUM(IF(LEFT(Budget_Object,3)&amp;RIGHT(Budget_Object,5)="Sup0800)",'3-Budget Detail'!$B$6:$B$500))</f>
        <v>0</v>
      </c>
    </row>
    <row r="26" spans="1:3" ht="15.75" customHeight="1">
      <c r="A26" s="161"/>
      <c r="B26" s="165" t="s">
        <v>43</v>
      </c>
      <c r="C26" s="274">
        <f>SUM(C18:C25)</f>
        <v>0</v>
      </c>
    </row>
    <row r="27" spans="1:3" ht="15.75" customHeight="1" thickBot="1">
      <c r="A27" s="161"/>
      <c r="B27" s="165" t="s">
        <v>342</v>
      </c>
      <c r="C27" s="275">
        <f>+C26+C15</f>
        <v>0</v>
      </c>
    </row>
    <row r="28" spans="1:3" ht="15.75" customHeight="1" thickTop="1">
      <c r="A28" s="161"/>
      <c r="B28" s="167" t="s">
        <v>339</v>
      </c>
      <c r="C28" s="169"/>
    </row>
    <row r="29" spans="1:3" ht="15.75" customHeight="1">
      <c r="A29" s="161"/>
      <c r="B29" s="167" t="s">
        <v>340</v>
      </c>
      <c r="C29" s="273">
        <f>(C27+C31)*C28</f>
        <v>0</v>
      </c>
    </row>
    <row r="30" spans="1:3" ht="15.75" customHeight="1">
      <c r="A30" s="161"/>
      <c r="B30" s="167" t="s">
        <v>341</v>
      </c>
      <c r="C30" s="276"/>
    </row>
    <row r="31" spans="1:3" ht="15.75" customHeight="1">
      <c r="A31" s="161"/>
      <c r="B31" s="164" t="s">
        <v>382</v>
      </c>
      <c r="C31" s="273">
        <f>SUMIF('4-Equipment'!$E$6:$E$150,"non-capitalized",'4-Equipment'!$D$6:$D$150)</f>
        <v>0</v>
      </c>
    </row>
    <row r="32" spans="1:3" ht="15.75" customHeight="1">
      <c r="A32" s="161"/>
      <c r="B32" s="164" t="s">
        <v>383</v>
      </c>
      <c r="C32" s="273">
        <f>SUMIF('4-Equipment'!$E$6:$E$150,"capitalized",'4-Equipment'!$D$6:$D$150)</f>
        <v>0</v>
      </c>
    </row>
    <row r="33" spans="1:3" ht="15.75" customHeight="1" thickBot="1">
      <c r="A33" s="161"/>
      <c r="B33" s="165" t="s">
        <v>402</v>
      </c>
      <c r="C33" s="272">
        <f>IF(ISBLANK(C30)=TRUE,C27+C29+C31,C27+C30+C31+C32)</f>
        <v>0</v>
      </c>
    </row>
    <row r="34" spans="1:3" ht="24" hidden="1" customHeight="1">
      <c r="A34" s="91"/>
      <c r="B34" s="93"/>
      <c r="C34" s="96"/>
    </row>
    <row r="35" spans="1:3" ht="15" hidden="1" customHeight="1">
      <c r="A35" s="91"/>
      <c r="B35" s="90"/>
    </row>
    <row r="36" spans="1:3" ht="15" hidden="1" customHeight="1">
      <c r="A36" s="91"/>
      <c r="B36" s="90"/>
    </row>
    <row r="37" spans="1:3" ht="15" hidden="1" customHeight="1"/>
    <row r="38" spans="1:3" ht="12.75" hidden="1">
      <c r="B38" s="92"/>
    </row>
    <row r="39" spans="1:3" ht="12.75" hidden="1"/>
    <row r="40" spans="1:3" ht="12.75" hidden="1" customHeight="1"/>
    <row r="41" spans="1:3" ht="12.75" hidden="1" customHeight="1"/>
    <row r="42" spans="1:3" ht="12.75" hidden="1" customHeight="1"/>
    <row r="43" spans="1:3" ht="12.75" hidden="1" customHeight="1"/>
    <row r="44" spans="1:3" ht="12.75" hidden="1" customHeight="1"/>
    <row r="45" spans="1:3" ht="12.75" hidden="1" customHeight="1"/>
    <row r="46" spans="1:3" ht="12.75" hidden="1" customHeight="1"/>
    <row r="47" spans="1:3" ht="12.75" hidden="1" customHeight="1"/>
    <row r="48" spans="1:3" ht="12.75" hidden="1" customHeight="1"/>
    <row r="49" ht="12.75" hidden="1" customHeight="1"/>
  </sheetData>
  <sheetProtection password="CC76" sheet="1" objects="1" scenarios="1"/>
  <mergeCells count="3">
    <mergeCell ref="A1:C1"/>
    <mergeCell ref="A2:C2"/>
    <mergeCell ref="A3:C3"/>
  </mergeCells>
  <phoneticPr fontId="6" type="noConversion"/>
  <conditionalFormatting sqref="C29">
    <cfRule type="expression" dxfId="3" priority="2" stopIfTrue="1">
      <formula>AND(ISBLANK($C$30)=FALSE,$C$30&lt;$C$29)</formula>
    </cfRule>
  </conditionalFormatting>
  <dataValidations count="1">
    <dataValidation type="whole" allowBlank="1" showInputMessage="1" showErrorMessage="1" errorTitle="ERROR!" error="Elected indirect costs must not exceed the indirect costs in cell C25, and must be a whole number." sqref="C30">
      <formula1>0</formula1>
      <formula2>C29</formula2>
    </dataValidation>
  </dataValidations>
  <pageMargins left="0.5" right="0.5" top="0.75" bottom="0.75" header="0.5" footer="0.5"/>
  <pageSetup orientation="portrait" r:id="rId1"/>
  <headerFooter alignWithMargins="0">
    <oddFooter>&amp;LPage &amp;P of &amp;N&amp;C&amp;D &amp;T&amp;R&amp;A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I500"/>
  <sheetViews>
    <sheetView zoomScaleNormal="100" workbookViewId="0">
      <pane ySplit="5" topLeftCell="A6" activePane="bottomLeft" state="frozen"/>
      <selection pane="bottomLeft" activeCell="B6" sqref="B6"/>
    </sheetView>
  </sheetViews>
  <sheetFormatPr defaultColWidth="0" defaultRowHeight="12.75" customHeight="1" zeroHeight="1"/>
  <cols>
    <col min="1" max="1" width="37.140625" style="170" customWidth="1"/>
    <col min="2" max="2" width="9" style="185" customWidth="1"/>
    <col min="3" max="3" width="45.7109375" style="225" customWidth="1"/>
    <col min="4" max="4" width="15.28515625" style="226" customWidth="1"/>
    <col min="5" max="5" width="0" style="170" hidden="1" customWidth="1"/>
    <col min="6" max="6" width="17" style="170" hidden="1" customWidth="1"/>
    <col min="7" max="9" width="0.140625" style="170" hidden="1" customWidth="1"/>
    <col min="10" max="16384" width="0" style="170" hidden="1"/>
  </cols>
  <sheetData>
    <row r="1" spans="1:4" ht="18.75">
      <c r="A1" s="250" t="str">
        <f>'5-Budget Summary'!A1:C1</f>
        <v>School Improvement Support Grant</v>
      </c>
      <c r="B1" s="251"/>
      <c r="C1" s="251"/>
      <c r="D1" s="251"/>
    </row>
    <row r="2" spans="1:4" ht="18.75">
      <c r="A2" s="251" t="s">
        <v>365</v>
      </c>
      <c r="B2" s="251"/>
      <c r="C2" s="251"/>
      <c r="D2" s="251"/>
    </row>
    <row r="3" spans="1:4">
      <c r="A3" s="209">
        <f>'2-Cover Page'!C5</f>
        <v>0</v>
      </c>
      <c r="B3" s="210"/>
      <c r="C3" s="211"/>
      <c r="D3" s="212">
        <f>'2-Cover Page'!C11</f>
        <v>0</v>
      </c>
    </row>
    <row r="4" spans="1:4">
      <c r="A4" s="77">
        <v>1</v>
      </c>
      <c r="B4" s="78">
        <v>2</v>
      </c>
      <c r="C4" s="79">
        <v>3</v>
      </c>
      <c r="D4" s="80">
        <v>4</v>
      </c>
    </row>
    <row r="5" spans="1:4" ht="25.5">
      <c r="A5" s="81" t="s">
        <v>9</v>
      </c>
      <c r="B5" s="82" t="s">
        <v>10</v>
      </c>
      <c r="C5" s="83" t="s">
        <v>53</v>
      </c>
      <c r="D5" s="100" t="s">
        <v>56</v>
      </c>
    </row>
    <row r="6" spans="1:4">
      <c r="A6" s="175"/>
      <c r="B6" s="176"/>
      <c r="C6" s="213"/>
      <c r="D6" s="214"/>
    </row>
    <row r="7" spans="1:4">
      <c r="A7" s="175"/>
      <c r="B7" s="179"/>
      <c r="C7" s="215"/>
      <c r="D7" s="214"/>
    </row>
    <row r="8" spans="1:4">
      <c r="A8" s="175"/>
      <c r="B8" s="181"/>
      <c r="C8" s="215"/>
      <c r="D8" s="214"/>
    </row>
    <row r="9" spans="1:4">
      <c r="A9" s="175"/>
      <c r="B9" s="176"/>
      <c r="C9" s="215"/>
      <c r="D9" s="214"/>
    </row>
    <row r="10" spans="1:4">
      <c r="A10" s="175"/>
      <c r="B10" s="179"/>
      <c r="C10" s="215"/>
      <c r="D10" s="214"/>
    </row>
    <row r="11" spans="1:4">
      <c r="A11" s="175"/>
      <c r="B11" s="176"/>
      <c r="C11" s="215"/>
      <c r="D11" s="214"/>
    </row>
    <row r="12" spans="1:4">
      <c r="A12" s="175"/>
      <c r="B12" s="176"/>
      <c r="C12" s="215"/>
      <c r="D12" s="214"/>
    </row>
    <row r="13" spans="1:4">
      <c r="A13" s="175"/>
      <c r="B13" s="179"/>
      <c r="C13" s="215"/>
      <c r="D13" s="214"/>
    </row>
    <row r="14" spans="1:4">
      <c r="A14" s="175"/>
      <c r="B14" s="176"/>
      <c r="C14" s="215"/>
      <c r="D14" s="214"/>
    </row>
    <row r="15" spans="1:4">
      <c r="A15" s="175"/>
      <c r="B15" s="176"/>
      <c r="C15" s="215"/>
      <c r="D15" s="214"/>
    </row>
    <row r="16" spans="1:4">
      <c r="A16" s="175"/>
      <c r="B16" s="179"/>
      <c r="C16" s="215"/>
      <c r="D16" s="214"/>
    </row>
    <row r="17" spans="1:4">
      <c r="A17" s="175"/>
      <c r="B17" s="176"/>
      <c r="C17" s="215"/>
      <c r="D17" s="214"/>
    </row>
    <row r="18" spans="1:4">
      <c r="A18" s="175"/>
      <c r="B18" s="176"/>
      <c r="C18" s="215"/>
      <c r="D18" s="214"/>
    </row>
    <row r="19" spans="1:4">
      <c r="A19" s="175"/>
      <c r="B19" s="179"/>
      <c r="C19" s="215"/>
      <c r="D19" s="214"/>
    </row>
    <row r="20" spans="1:4">
      <c r="A20" s="216"/>
      <c r="B20" s="176"/>
      <c r="C20" s="217"/>
      <c r="D20" s="214"/>
    </row>
    <row r="21" spans="1:4">
      <c r="A21" s="216"/>
      <c r="B21" s="176"/>
      <c r="C21" s="217"/>
      <c r="D21" s="214"/>
    </row>
    <row r="22" spans="1:4">
      <c r="A22" s="216"/>
      <c r="B22" s="179"/>
      <c r="C22" s="217"/>
      <c r="D22" s="214"/>
    </row>
    <row r="23" spans="1:4">
      <c r="A23" s="216"/>
      <c r="B23" s="179"/>
      <c r="C23" s="217"/>
      <c r="D23" s="214"/>
    </row>
    <row r="24" spans="1:4">
      <c r="A24" s="216"/>
      <c r="B24" s="176"/>
      <c r="C24" s="217"/>
      <c r="D24" s="214"/>
    </row>
    <row r="25" spans="1:4">
      <c r="A25" s="216"/>
      <c r="B25" s="179"/>
      <c r="C25" s="217"/>
      <c r="D25" s="214"/>
    </row>
    <row r="26" spans="1:4">
      <c r="A26" s="216"/>
      <c r="B26" s="176"/>
      <c r="C26" s="217"/>
      <c r="D26" s="214"/>
    </row>
    <row r="27" spans="1:4">
      <c r="A27" s="216"/>
      <c r="B27" s="179"/>
      <c r="C27" s="217"/>
      <c r="D27" s="214"/>
    </row>
    <row r="28" spans="1:4">
      <c r="A28" s="216"/>
      <c r="B28" s="176"/>
      <c r="C28" s="217"/>
      <c r="D28" s="214"/>
    </row>
    <row r="29" spans="1:4">
      <c r="A29" s="216"/>
      <c r="B29" s="179"/>
      <c r="C29" s="217"/>
      <c r="D29" s="214"/>
    </row>
    <row r="30" spans="1:4">
      <c r="A30" s="216"/>
      <c r="B30" s="176"/>
      <c r="C30" s="217"/>
      <c r="D30" s="214"/>
    </row>
    <row r="31" spans="1:4">
      <c r="A31" s="216"/>
      <c r="B31" s="179"/>
      <c r="C31" s="217"/>
      <c r="D31" s="214"/>
    </row>
    <row r="32" spans="1:4">
      <c r="A32" s="216"/>
      <c r="B32" s="176"/>
      <c r="C32" s="217"/>
      <c r="D32" s="214"/>
    </row>
    <row r="33" spans="1:4">
      <c r="A33" s="216"/>
      <c r="B33" s="176"/>
      <c r="C33" s="217"/>
      <c r="D33" s="214"/>
    </row>
    <row r="34" spans="1:4">
      <c r="A34" s="216"/>
      <c r="B34" s="179"/>
      <c r="C34" s="217"/>
      <c r="D34" s="214"/>
    </row>
    <row r="35" spans="1:4">
      <c r="A35" s="216"/>
      <c r="B35" s="176"/>
      <c r="C35" s="217"/>
      <c r="D35" s="214"/>
    </row>
    <row r="36" spans="1:4">
      <c r="A36" s="216"/>
      <c r="B36" s="179"/>
      <c r="C36" s="217"/>
      <c r="D36" s="214"/>
    </row>
    <row r="37" spans="1:4">
      <c r="A37" s="216"/>
      <c r="B37" s="176"/>
      <c r="C37" s="217"/>
      <c r="D37" s="214"/>
    </row>
    <row r="38" spans="1:4">
      <c r="A38" s="216"/>
      <c r="B38" s="179"/>
      <c r="C38" s="217"/>
      <c r="D38" s="214"/>
    </row>
    <row r="39" spans="1:4">
      <c r="A39" s="216"/>
      <c r="B39" s="176"/>
      <c r="C39" s="217"/>
      <c r="D39" s="214"/>
    </row>
    <row r="40" spans="1:4">
      <c r="A40" s="216"/>
      <c r="B40" s="218"/>
      <c r="C40" s="219"/>
      <c r="D40" s="220"/>
    </row>
    <row r="41" spans="1:4">
      <c r="A41" s="216"/>
      <c r="B41" s="221"/>
      <c r="C41" s="219"/>
      <c r="D41" s="220"/>
    </row>
    <row r="42" spans="1:4">
      <c r="A42" s="216"/>
      <c r="B42" s="218"/>
      <c r="C42" s="219"/>
      <c r="D42" s="220"/>
    </row>
    <row r="43" spans="1:4">
      <c r="A43" s="216"/>
      <c r="B43" s="221"/>
      <c r="C43" s="219"/>
      <c r="D43" s="220"/>
    </row>
    <row r="44" spans="1:4">
      <c r="A44" s="216"/>
      <c r="B44" s="218"/>
      <c r="C44" s="219"/>
      <c r="D44" s="220"/>
    </row>
    <row r="45" spans="1:4">
      <c r="A45" s="216"/>
      <c r="B45" s="221"/>
      <c r="C45" s="219"/>
      <c r="D45" s="220"/>
    </row>
    <row r="46" spans="1:4">
      <c r="A46" s="216"/>
      <c r="B46" s="218"/>
      <c r="C46" s="219"/>
      <c r="D46" s="220"/>
    </row>
    <row r="47" spans="1:4">
      <c r="A47" s="216"/>
      <c r="B47" s="221"/>
      <c r="C47" s="219"/>
      <c r="D47" s="220"/>
    </row>
    <row r="48" spans="1:4">
      <c r="A48" s="216"/>
      <c r="B48" s="218"/>
      <c r="C48" s="219"/>
      <c r="D48" s="220"/>
    </row>
    <row r="49" spans="1:4">
      <c r="A49" s="216"/>
      <c r="B49" s="221"/>
      <c r="C49" s="219"/>
      <c r="D49" s="220"/>
    </row>
    <row r="50" spans="1:4">
      <c r="A50" s="216"/>
      <c r="B50" s="218"/>
      <c r="C50" s="219"/>
      <c r="D50" s="220"/>
    </row>
    <row r="51" spans="1:4">
      <c r="A51" s="216"/>
      <c r="B51" s="222"/>
      <c r="C51" s="219"/>
      <c r="D51" s="223"/>
    </row>
    <row r="52" spans="1:4">
      <c r="A52" s="216"/>
      <c r="B52" s="222"/>
      <c r="C52" s="219"/>
      <c r="D52" s="223"/>
    </row>
    <row r="53" spans="1:4">
      <c r="A53" s="216"/>
      <c r="B53" s="222"/>
      <c r="C53" s="219"/>
      <c r="D53" s="223"/>
    </row>
    <row r="54" spans="1:4">
      <c r="A54" s="216"/>
      <c r="B54" s="222"/>
      <c r="C54" s="219"/>
      <c r="D54" s="223"/>
    </row>
    <row r="55" spans="1:4">
      <c r="A55" s="216"/>
      <c r="B55" s="222"/>
      <c r="C55" s="219"/>
      <c r="D55" s="223"/>
    </row>
    <row r="56" spans="1:4">
      <c r="A56" s="216"/>
      <c r="B56" s="222"/>
      <c r="C56" s="219"/>
      <c r="D56" s="223"/>
    </row>
    <row r="57" spans="1:4">
      <c r="A57" s="216"/>
      <c r="B57" s="222"/>
      <c r="C57" s="219"/>
      <c r="D57" s="223"/>
    </row>
    <row r="58" spans="1:4">
      <c r="A58" s="216"/>
      <c r="B58" s="222"/>
      <c r="C58" s="219"/>
      <c r="D58" s="223"/>
    </row>
    <row r="59" spans="1:4">
      <c r="A59" s="216"/>
      <c r="B59" s="222"/>
      <c r="C59" s="219"/>
      <c r="D59" s="223"/>
    </row>
    <row r="60" spans="1:4">
      <c r="A60" s="216"/>
      <c r="B60" s="222"/>
      <c r="C60" s="219"/>
      <c r="D60" s="220"/>
    </row>
    <row r="61" spans="1:4">
      <c r="A61" s="216"/>
      <c r="B61" s="222"/>
      <c r="C61" s="219"/>
      <c r="D61" s="220"/>
    </row>
    <row r="62" spans="1:4">
      <c r="A62" s="216"/>
      <c r="B62" s="222"/>
      <c r="C62" s="219"/>
      <c r="D62" s="220"/>
    </row>
    <row r="63" spans="1:4">
      <c r="A63" s="216"/>
      <c r="B63" s="222"/>
      <c r="C63" s="219"/>
      <c r="D63" s="220"/>
    </row>
    <row r="64" spans="1:4">
      <c r="A64" s="216"/>
      <c r="B64" s="222"/>
      <c r="C64" s="219"/>
      <c r="D64" s="220"/>
    </row>
    <row r="65" spans="1:4">
      <c r="A65" s="216"/>
      <c r="B65" s="222"/>
      <c r="C65" s="219"/>
      <c r="D65" s="220"/>
    </row>
    <row r="66" spans="1:4">
      <c r="A66" s="216"/>
      <c r="B66" s="222"/>
      <c r="C66" s="219"/>
      <c r="D66" s="220"/>
    </row>
    <row r="67" spans="1:4">
      <c r="A67" s="216"/>
      <c r="B67" s="222"/>
      <c r="C67" s="219"/>
      <c r="D67" s="220"/>
    </row>
    <row r="68" spans="1:4">
      <c r="A68" s="216"/>
      <c r="B68" s="222"/>
      <c r="C68" s="219"/>
      <c r="D68" s="220"/>
    </row>
    <row r="69" spans="1:4">
      <c r="A69" s="216"/>
      <c r="B69" s="222"/>
      <c r="C69" s="219"/>
      <c r="D69" s="220"/>
    </row>
    <row r="70" spans="1:4">
      <c r="A70" s="216"/>
      <c r="B70" s="222"/>
      <c r="C70" s="219"/>
      <c r="D70" s="220"/>
    </row>
    <row r="71" spans="1:4">
      <c r="A71" s="216"/>
      <c r="B71" s="222"/>
      <c r="C71" s="219"/>
      <c r="D71" s="220"/>
    </row>
    <row r="72" spans="1:4">
      <c r="A72" s="216"/>
      <c r="B72" s="222"/>
      <c r="C72" s="219"/>
      <c r="D72" s="220"/>
    </row>
    <row r="73" spans="1:4">
      <c r="A73" s="216"/>
      <c r="B73" s="222"/>
      <c r="C73" s="219"/>
      <c r="D73" s="220"/>
    </row>
    <row r="74" spans="1:4">
      <c r="A74" s="216"/>
      <c r="B74" s="222"/>
      <c r="C74" s="219"/>
      <c r="D74" s="220"/>
    </row>
    <row r="75" spans="1:4">
      <c r="A75" s="216"/>
      <c r="B75" s="222"/>
      <c r="C75" s="219"/>
      <c r="D75" s="220"/>
    </row>
    <row r="76" spans="1:4">
      <c r="A76" s="216"/>
      <c r="B76" s="222"/>
      <c r="C76" s="219"/>
      <c r="D76" s="220"/>
    </row>
    <row r="77" spans="1:4">
      <c r="A77" s="216"/>
      <c r="B77" s="222"/>
      <c r="C77" s="219"/>
      <c r="D77" s="220"/>
    </row>
    <row r="78" spans="1:4">
      <c r="A78" s="216"/>
      <c r="B78" s="222"/>
      <c r="C78" s="219"/>
      <c r="D78" s="220"/>
    </row>
    <row r="79" spans="1:4">
      <c r="A79" s="216"/>
      <c r="B79" s="222"/>
      <c r="C79" s="219"/>
      <c r="D79" s="220"/>
    </row>
    <row r="80" spans="1:4">
      <c r="A80" s="216"/>
      <c r="B80" s="222"/>
      <c r="C80" s="219"/>
      <c r="D80" s="220"/>
    </row>
    <row r="81" spans="1:4">
      <c r="A81" s="216"/>
      <c r="B81" s="222"/>
      <c r="C81" s="219"/>
      <c r="D81" s="220"/>
    </row>
    <row r="82" spans="1:4">
      <c r="A82" s="216"/>
      <c r="B82" s="222"/>
      <c r="C82" s="219"/>
      <c r="D82" s="220"/>
    </row>
    <row r="83" spans="1:4">
      <c r="A83" s="216"/>
      <c r="B83" s="222"/>
      <c r="C83" s="219"/>
      <c r="D83" s="220"/>
    </row>
    <row r="84" spans="1:4">
      <c r="A84" s="216"/>
      <c r="B84" s="222"/>
      <c r="C84" s="219"/>
      <c r="D84" s="220"/>
    </row>
    <row r="85" spans="1:4">
      <c r="A85" s="216"/>
      <c r="B85" s="222"/>
      <c r="C85" s="219"/>
      <c r="D85" s="220"/>
    </row>
    <row r="86" spans="1:4">
      <c r="A86" s="216"/>
      <c r="B86" s="222"/>
      <c r="C86" s="219"/>
      <c r="D86" s="220"/>
    </row>
    <row r="87" spans="1:4">
      <c r="A87" s="216"/>
      <c r="B87" s="222"/>
      <c r="C87" s="219"/>
      <c r="D87" s="220"/>
    </row>
    <row r="88" spans="1:4">
      <c r="A88" s="216"/>
      <c r="B88" s="222"/>
      <c r="C88" s="219"/>
      <c r="D88" s="220"/>
    </row>
    <row r="89" spans="1:4">
      <c r="A89" s="216"/>
      <c r="B89" s="222"/>
      <c r="C89" s="219"/>
      <c r="D89" s="220"/>
    </row>
    <row r="90" spans="1:4">
      <c r="A90" s="216"/>
      <c r="B90" s="222"/>
      <c r="C90" s="219"/>
      <c r="D90" s="220"/>
    </row>
    <row r="91" spans="1:4">
      <c r="A91" s="216"/>
      <c r="B91" s="222"/>
      <c r="C91" s="219"/>
      <c r="D91" s="220"/>
    </row>
    <row r="92" spans="1:4">
      <c r="A92" s="216"/>
      <c r="B92" s="222"/>
      <c r="C92" s="219"/>
      <c r="D92" s="220"/>
    </row>
    <row r="93" spans="1:4">
      <c r="A93" s="216"/>
      <c r="B93" s="222"/>
      <c r="C93" s="219"/>
      <c r="D93" s="220"/>
    </row>
    <row r="94" spans="1:4">
      <c r="A94" s="216"/>
      <c r="B94" s="222"/>
      <c r="C94" s="219"/>
      <c r="D94" s="220"/>
    </row>
    <row r="95" spans="1:4">
      <c r="A95" s="216"/>
      <c r="B95" s="222"/>
      <c r="C95" s="219"/>
      <c r="D95" s="220"/>
    </row>
    <row r="96" spans="1:4">
      <c r="A96" s="216"/>
      <c r="B96" s="222"/>
      <c r="C96" s="219"/>
      <c r="D96" s="220"/>
    </row>
    <row r="97" spans="1:4">
      <c r="A97" s="216"/>
      <c r="B97" s="222"/>
      <c r="C97" s="219"/>
      <c r="D97" s="220"/>
    </row>
    <row r="98" spans="1:4">
      <c r="A98" s="216"/>
      <c r="B98" s="222"/>
      <c r="C98" s="219"/>
      <c r="D98" s="220"/>
    </row>
    <row r="99" spans="1:4">
      <c r="A99" s="216"/>
      <c r="B99" s="222"/>
      <c r="C99" s="219"/>
      <c r="D99" s="220"/>
    </row>
    <row r="100" spans="1:4">
      <c r="A100" s="216"/>
      <c r="B100" s="222"/>
      <c r="C100" s="219"/>
      <c r="D100" s="220"/>
    </row>
    <row r="101" spans="1:4">
      <c r="A101" s="216"/>
      <c r="B101" s="222"/>
      <c r="C101" s="219"/>
      <c r="D101" s="220"/>
    </row>
    <row r="102" spans="1:4">
      <c r="A102" s="216"/>
      <c r="B102" s="222"/>
      <c r="C102" s="219"/>
      <c r="D102" s="220"/>
    </row>
    <row r="103" spans="1:4">
      <c r="A103" s="216"/>
      <c r="B103" s="222"/>
      <c r="C103" s="219"/>
      <c r="D103" s="220"/>
    </row>
    <row r="104" spans="1:4">
      <c r="A104" s="216"/>
      <c r="B104" s="222"/>
      <c r="C104" s="219"/>
      <c r="D104" s="220"/>
    </row>
    <row r="105" spans="1:4">
      <c r="A105" s="216"/>
      <c r="B105" s="222"/>
      <c r="C105" s="219"/>
      <c r="D105" s="220"/>
    </row>
    <row r="106" spans="1:4">
      <c r="A106" s="216"/>
      <c r="B106" s="222"/>
      <c r="C106" s="219"/>
      <c r="D106" s="220"/>
    </row>
    <row r="107" spans="1:4">
      <c r="A107" s="216"/>
      <c r="B107" s="222"/>
      <c r="C107" s="219"/>
      <c r="D107" s="220"/>
    </row>
    <row r="108" spans="1:4">
      <c r="A108" s="216"/>
      <c r="B108" s="222"/>
      <c r="C108" s="219"/>
      <c r="D108" s="220"/>
    </row>
    <row r="109" spans="1:4">
      <c r="A109" s="216"/>
      <c r="B109" s="222"/>
      <c r="C109" s="219"/>
      <c r="D109" s="224"/>
    </row>
    <row r="110" spans="1:4">
      <c r="A110" s="216"/>
      <c r="B110" s="222"/>
      <c r="C110" s="219"/>
      <c r="D110" s="224"/>
    </row>
    <row r="111" spans="1:4">
      <c r="A111" s="216"/>
      <c r="B111" s="222"/>
      <c r="C111" s="219"/>
      <c r="D111" s="224"/>
    </row>
    <row r="112" spans="1:4">
      <c r="A112" s="216"/>
      <c r="B112" s="222"/>
      <c r="C112" s="219"/>
      <c r="D112" s="224"/>
    </row>
    <row r="113" spans="1:4">
      <c r="A113" s="216"/>
      <c r="B113" s="222"/>
      <c r="C113" s="219"/>
      <c r="D113" s="224"/>
    </row>
    <row r="114" spans="1:4">
      <c r="A114" s="216"/>
      <c r="B114" s="222"/>
      <c r="C114" s="219"/>
      <c r="D114" s="224"/>
    </row>
    <row r="115" spans="1:4">
      <c r="A115" s="216"/>
      <c r="B115" s="222"/>
      <c r="C115" s="219"/>
      <c r="D115" s="224"/>
    </row>
    <row r="116" spans="1:4">
      <c r="A116" s="216"/>
      <c r="B116" s="222"/>
      <c r="C116" s="219"/>
      <c r="D116" s="224"/>
    </row>
    <row r="117" spans="1:4">
      <c r="A117" s="216"/>
      <c r="B117" s="222"/>
      <c r="C117" s="219"/>
      <c r="D117" s="224"/>
    </row>
    <row r="118" spans="1:4">
      <c r="A118" s="216"/>
      <c r="B118" s="222"/>
      <c r="C118" s="219"/>
      <c r="D118" s="224"/>
    </row>
    <row r="119" spans="1:4">
      <c r="A119" s="216"/>
      <c r="B119" s="222"/>
      <c r="C119" s="219"/>
      <c r="D119" s="224"/>
    </row>
    <row r="120" spans="1:4">
      <c r="A120" s="216"/>
      <c r="B120" s="222"/>
      <c r="C120" s="219"/>
      <c r="D120" s="224"/>
    </row>
    <row r="121" spans="1:4">
      <c r="A121" s="216"/>
      <c r="B121" s="222"/>
      <c r="C121" s="219"/>
      <c r="D121" s="224"/>
    </row>
    <row r="122" spans="1:4">
      <c r="A122" s="216"/>
      <c r="B122" s="222"/>
      <c r="C122" s="219"/>
      <c r="D122" s="224"/>
    </row>
    <row r="123" spans="1:4">
      <c r="A123" s="216"/>
      <c r="B123" s="222"/>
      <c r="C123" s="219"/>
      <c r="D123" s="224"/>
    </row>
    <row r="124" spans="1:4">
      <c r="A124" s="216"/>
      <c r="B124" s="222"/>
      <c r="C124" s="219"/>
      <c r="D124" s="224"/>
    </row>
    <row r="125" spans="1:4">
      <c r="A125" s="216"/>
      <c r="B125" s="222"/>
      <c r="C125" s="219"/>
      <c r="D125" s="224"/>
    </row>
    <row r="126" spans="1:4">
      <c r="A126" s="216"/>
      <c r="B126" s="222"/>
      <c r="C126" s="219"/>
      <c r="D126" s="224"/>
    </row>
    <row r="127" spans="1:4">
      <c r="A127" s="216"/>
      <c r="B127" s="222"/>
      <c r="C127" s="219"/>
      <c r="D127" s="224"/>
    </row>
    <row r="128" spans="1:4">
      <c r="A128" s="216"/>
      <c r="B128" s="222"/>
      <c r="C128" s="219"/>
      <c r="D128" s="224"/>
    </row>
    <row r="129" spans="1:4">
      <c r="A129" s="216"/>
      <c r="B129" s="222"/>
      <c r="C129" s="219"/>
      <c r="D129" s="224"/>
    </row>
    <row r="130" spans="1:4">
      <c r="A130" s="216"/>
      <c r="B130" s="222"/>
      <c r="C130" s="219"/>
      <c r="D130" s="224"/>
    </row>
    <row r="131" spans="1:4">
      <c r="A131" s="216"/>
      <c r="B131" s="222"/>
      <c r="C131" s="219"/>
      <c r="D131" s="224"/>
    </row>
    <row r="132" spans="1:4">
      <c r="A132" s="216"/>
      <c r="B132" s="222"/>
      <c r="C132" s="219"/>
      <c r="D132" s="224"/>
    </row>
    <row r="133" spans="1:4">
      <c r="A133" s="216"/>
      <c r="B133" s="222"/>
      <c r="C133" s="219"/>
      <c r="D133" s="224"/>
    </row>
    <row r="134" spans="1:4">
      <c r="A134" s="216"/>
      <c r="B134" s="222"/>
      <c r="C134" s="219"/>
      <c r="D134" s="224"/>
    </row>
    <row r="135" spans="1:4">
      <c r="A135" s="216"/>
      <c r="B135" s="222"/>
      <c r="C135" s="219"/>
      <c r="D135" s="224"/>
    </row>
    <row r="136" spans="1:4">
      <c r="A136" s="216"/>
      <c r="B136" s="222"/>
      <c r="C136" s="219"/>
      <c r="D136" s="224"/>
    </row>
    <row r="137" spans="1:4">
      <c r="A137" s="216"/>
      <c r="B137" s="222"/>
      <c r="C137" s="219"/>
      <c r="D137" s="224"/>
    </row>
    <row r="138" spans="1:4">
      <c r="A138" s="216"/>
      <c r="B138" s="222"/>
      <c r="C138" s="219"/>
      <c r="D138" s="224"/>
    </row>
    <row r="139" spans="1:4">
      <c r="A139" s="216"/>
      <c r="B139" s="222"/>
      <c r="C139" s="219"/>
      <c r="D139" s="224"/>
    </row>
    <row r="140" spans="1:4">
      <c r="A140" s="216"/>
      <c r="B140" s="222"/>
      <c r="C140" s="219"/>
      <c r="D140" s="224"/>
    </row>
    <row r="141" spans="1:4">
      <c r="A141" s="216"/>
      <c r="B141" s="222"/>
      <c r="C141" s="219"/>
      <c r="D141" s="224"/>
    </row>
    <row r="142" spans="1:4">
      <c r="A142" s="216"/>
      <c r="B142" s="222"/>
      <c r="C142" s="219"/>
      <c r="D142" s="224"/>
    </row>
    <row r="143" spans="1:4">
      <c r="A143" s="216"/>
      <c r="B143" s="222"/>
      <c r="C143" s="219"/>
      <c r="D143" s="224"/>
    </row>
    <row r="144" spans="1:4">
      <c r="A144" s="216"/>
      <c r="B144" s="222"/>
      <c r="C144" s="219"/>
      <c r="D144" s="224"/>
    </row>
    <row r="145" spans="1:4">
      <c r="A145" s="216"/>
      <c r="B145" s="222"/>
      <c r="C145" s="219"/>
      <c r="D145" s="224"/>
    </row>
    <row r="146" spans="1:4">
      <c r="A146" s="216"/>
      <c r="B146" s="222"/>
      <c r="C146" s="219"/>
      <c r="D146" s="224"/>
    </row>
    <row r="147" spans="1:4">
      <c r="A147" s="216"/>
      <c r="B147" s="222"/>
      <c r="C147" s="219"/>
      <c r="D147" s="224"/>
    </row>
    <row r="148" spans="1:4">
      <c r="A148" s="216"/>
      <c r="B148" s="222"/>
      <c r="C148" s="219"/>
      <c r="D148" s="224"/>
    </row>
    <row r="149" spans="1:4">
      <c r="A149" s="216"/>
      <c r="B149" s="222"/>
      <c r="C149" s="219"/>
      <c r="D149" s="224"/>
    </row>
    <row r="150" spans="1:4">
      <c r="A150" s="216"/>
      <c r="B150" s="222"/>
      <c r="C150" s="219"/>
      <c r="D150" s="224"/>
    </row>
    <row r="151" spans="1:4">
      <c r="A151" s="216"/>
      <c r="B151" s="222"/>
      <c r="C151" s="219"/>
      <c r="D151" s="224"/>
    </row>
    <row r="152" spans="1:4">
      <c r="A152" s="216"/>
      <c r="B152" s="222"/>
      <c r="C152" s="219"/>
      <c r="D152" s="224"/>
    </row>
    <row r="153" spans="1:4">
      <c r="A153" s="216"/>
      <c r="B153" s="222"/>
      <c r="C153" s="219"/>
      <c r="D153" s="224"/>
    </row>
    <row r="154" spans="1:4">
      <c r="A154" s="216"/>
      <c r="B154" s="222"/>
      <c r="C154" s="219"/>
      <c r="D154" s="224"/>
    </row>
    <row r="155" spans="1:4">
      <c r="A155" s="216"/>
      <c r="B155" s="222"/>
      <c r="C155" s="219"/>
      <c r="D155" s="224"/>
    </row>
    <row r="156" spans="1:4">
      <c r="A156" s="216"/>
      <c r="B156" s="222"/>
      <c r="C156" s="219"/>
      <c r="D156" s="224"/>
    </row>
    <row r="157" spans="1:4">
      <c r="A157" s="216"/>
      <c r="B157" s="222"/>
      <c r="C157" s="219"/>
      <c r="D157" s="224"/>
    </row>
    <row r="158" spans="1:4">
      <c r="A158" s="216"/>
      <c r="B158" s="222"/>
      <c r="C158" s="219"/>
      <c r="D158" s="224"/>
    </row>
    <row r="159" spans="1:4">
      <c r="A159" s="216"/>
      <c r="B159" s="222"/>
      <c r="C159" s="219"/>
      <c r="D159" s="224"/>
    </row>
    <row r="160" spans="1:4">
      <c r="A160" s="216"/>
      <c r="B160" s="222"/>
      <c r="C160" s="219"/>
      <c r="D160" s="224"/>
    </row>
    <row r="161" spans="1:4">
      <c r="A161" s="216"/>
      <c r="B161" s="222"/>
      <c r="C161" s="219"/>
      <c r="D161" s="224"/>
    </row>
    <row r="162" spans="1:4">
      <c r="A162" s="216"/>
      <c r="B162" s="222"/>
      <c r="C162" s="219"/>
      <c r="D162" s="224"/>
    </row>
    <row r="163" spans="1:4">
      <c r="A163" s="216"/>
      <c r="B163" s="222"/>
      <c r="C163" s="219"/>
      <c r="D163" s="224"/>
    </row>
    <row r="164" spans="1:4">
      <c r="A164" s="216"/>
      <c r="B164" s="222"/>
      <c r="C164" s="219"/>
      <c r="D164" s="224"/>
    </row>
    <row r="165" spans="1:4">
      <c r="A165" s="216"/>
      <c r="B165" s="222"/>
      <c r="C165" s="219"/>
      <c r="D165" s="224"/>
    </row>
    <row r="166" spans="1:4">
      <c r="A166" s="216"/>
      <c r="B166" s="222"/>
      <c r="C166" s="219"/>
      <c r="D166" s="224"/>
    </row>
    <row r="167" spans="1:4">
      <c r="A167" s="216"/>
      <c r="B167" s="222"/>
      <c r="C167" s="219"/>
      <c r="D167" s="224"/>
    </row>
    <row r="168" spans="1:4">
      <c r="A168" s="216"/>
      <c r="B168" s="222"/>
      <c r="C168" s="219"/>
      <c r="D168" s="224"/>
    </row>
    <row r="169" spans="1:4">
      <c r="A169" s="216"/>
      <c r="B169" s="222"/>
      <c r="C169" s="219"/>
      <c r="D169" s="224"/>
    </row>
    <row r="170" spans="1:4">
      <c r="A170" s="216"/>
      <c r="B170" s="222"/>
      <c r="C170" s="219"/>
      <c r="D170" s="224"/>
    </row>
    <row r="171" spans="1:4">
      <c r="A171" s="216"/>
      <c r="B171" s="222"/>
      <c r="C171" s="219"/>
      <c r="D171" s="224"/>
    </row>
    <row r="172" spans="1:4">
      <c r="A172" s="216"/>
      <c r="B172" s="222"/>
      <c r="C172" s="219"/>
      <c r="D172" s="224"/>
    </row>
    <row r="173" spans="1:4">
      <c r="A173" s="216"/>
      <c r="B173" s="222"/>
      <c r="C173" s="219"/>
      <c r="D173" s="224"/>
    </row>
    <row r="174" spans="1:4">
      <c r="A174" s="216"/>
      <c r="B174" s="222"/>
      <c r="C174" s="219"/>
      <c r="D174" s="224"/>
    </row>
    <row r="175" spans="1:4">
      <c r="A175" s="216"/>
      <c r="B175" s="222"/>
      <c r="C175" s="219"/>
      <c r="D175" s="224"/>
    </row>
    <row r="176" spans="1:4">
      <c r="A176" s="216"/>
      <c r="B176" s="222"/>
      <c r="C176" s="219"/>
      <c r="D176" s="224"/>
    </row>
    <row r="177" spans="1:4">
      <c r="A177" s="216"/>
      <c r="B177" s="222"/>
      <c r="C177" s="219"/>
      <c r="D177" s="224"/>
    </row>
    <row r="178" spans="1:4">
      <c r="A178" s="216"/>
      <c r="B178" s="222"/>
      <c r="C178" s="219"/>
      <c r="D178" s="224"/>
    </row>
    <row r="179" spans="1:4">
      <c r="A179" s="216"/>
      <c r="B179" s="222"/>
      <c r="C179" s="219"/>
      <c r="D179" s="224"/>
    </row>
    <row r="180" spans="1:4">
      <c r="A180" s="216"/>
      <c r="B180" s="222"/>
      <c r="C180" s="219"/>
      <c r="D180" s="224"/>
    </row>
    <row r="181" spans="1:4">
      <c r="A181" s="216"/>
      <c r="B181" s="222"/>
      <c r="C181" s="219"/>
      <c r="D181" s="224"/>
    </row>
    <row r="182" spans="1:4">
      <c r="A182" s="216"/>
      <c r="B182" s="222"/>
      <c r="C182" s="219"/>
      <c r="D182" s="224"/>
    </row>
    <row r="183" spans="1:4">
      <c r="A183" s="216"/>
      <c r="B183" s="222"/>
      <c r="C183" s="219"/>
      <c r="D183" s="224"/>
    </row>
    <row r="184" spans="1:4">
      <c r="A184" s="216"/>
      <c r="B184" s="222"/>
      <c r="C184" s="219"/>
      <c r="D184" s="224"/>
    </row>
    <row r="185" spans="1:4">
      <c r="A185" s="216"/>
      <c r="B185" s="222"/>
      <c r="C185" s="219"/>
      <c r="D185" s="224"/>
    </row>
    <row r="186" spans="1:4">
      <c r="A186" s="216"/>
      <c r="B186" s="222"/>
      <c r="C186" s="219"/>
      <c r="D186" s="224"/>
    </row>
    <row r="187" spans="1:4">
      <c r="A187" s="216"/>
      <c r="B187" s="222"/>
      <c r="C187" s="219"/>
      <c r="D187" s="224"/>
    </row>
    <row r="188" spans="1:4">
      <c r="A188" s="216"/>
      <c r="B188" s="222"/>
      <c r="C188" s="219"/>
      <c r="D188" s="224"/>
    </row>
    <row r="189" spans="1:4">
      <c r="A189" s="216"/>
      <c r="B189" s="222"/>
      <c r="C189" s="219"/>
      <c r="D189" s="224"/>
    </row>
    <row r="190" spans="1:4">
      <c r="A190" s="216"/>
      <c r="B190" s="222"/>
      <c r="C190" s="219"/>
      <c r="D190" s="224"/>
    </row>
    <row r="191" spans="1:4">
      <c r="A191" s="216"/>
      <c r="B191" s="222"/>
      <c r="C191" s="219"/>
      <c r="D191" s="224"/>
    </row>
    <row r="192" spans="1:4">
      <c r="A192" s="216"/>
      <c r="B192" s="222"/>
      <c r="C192" s="219"/>
      <c r="D192" s="224"/>
    </row>
    <row r="193" spans="1:4">
      <c r="A193" s="216"/>
      <c r="B193" s="222"/>
      <c r="C193" s="219"/>
      <c r="D193" s="224"/>
    </row>
    <row r="194" spans="1:4">
      <c r="A194" s="216"/>
      <c r="B194" s="222"/>
      <c r="C194" s="219"/>
      <c r="D194" s="224"/>
    </row>
    <row r="195" spans="1:4">
      <c r="A195" s="216"/>
      <c r="B195" s="222"/>
      <c r="C195" s="219"/>
      <c r="D195" s="224"/>
    </row>
    <row r="196" spans="1:4">
      <c r="A196" s="216"/>
      <c r="B196" s="222"/>
      <c r="C196" s="219"/>
      <c r="D196" s="224"/>
    </row>
    <row r="197" spans="1:4">
      <c r="A197" s="216"/>
      <c r="B197" s="222"/>
      <c r="C197" s="219"/>
      <c r="D197" s="224"/>
    </row>
    <row r="198" spans="1:4">
      <c r="A198" s="216"/>
      <c r="B198" s="222"/>
      <c r="C198" s="219"/>
      <c r="D198" s="224"/>
    </row>
    <row r="199" spans="1:4">
      <c r="A199" s="216"/>
      <c r="B199" s="222"/>
      <c r="C199" s="219"/>
      <c r="D199" s="224"/>
    </row>
    <row r="200" spans="1:4">
      <c r="A200" s="216"/>
      <c r="B200" s="222"/>
      <c r="C200" s="219"/>
      <c r="D200" s="224"/>
    </row>
    <row r="201" spans="1:4">
      <c r="A201" s="216"/>
      <c r="B201" s="222"/>
      <c r="C201" s="219"/>
      <c r="D201" s="224"/>
    </row>
    <row r="202" spans="1:4">
      <c r="A202" s="216"/>
      <c r="B202" s="222"/>
      <c r="C202" s="219"/>
      <c r="D202" s="224"/>
    </row>
    <row r="203" spans="1:4">
      <c r="A203" s="216"/>
      <c r="B203" s="222"/>
      <c r="C203" s="219"/>
      <c r="D203" s="224"/>
    </row>
    <row r="204" spans="1:4">
      <c r="A204" s="216"/>
      <c r="B204" s="222"/>
      <c r="C204" s="219"/>
      <c r="D204" s="224"/>
    </row>
    <row r="205" spans="1:4">
      <c r="A205" s="216"/>
      <c r="B205" s="222"/>
      <c r="C205" s="219"/>
      <c r="D205" s="224"/>
    </row>
    <row r="206" spans="1:4">
      <c r="A206" s="216"/>
      <c r="B206" s="222"/>
      <c r="C206" s="219"/>
      <c r="D206" s="224"/>
    </row>
    <row r="207" spans="1:4">
      <c r="A207" s="216"/>
      <c r="B207" s="222"/>
      <c r="C207" s="219"/>
      <c r="D207" s="224"/>
    </row>
    <row r="208" spans="1:4">
      <c r="A208" s="216"/>
      <c r="B208" s="222"/>
      <c r="C208" s="219"/>
      <c r="D208" s="224"/>
    </row>
    <row r="209" spans="1:4">
      <c r="A209" s="216"/>
      <c r="B209" s="222"/>
      <c r="C209" s="219"/>
      <c r="D209" s="224"/>
    </row>
    <row r="210" spans="1:4">
      <c r="A210" s="216"/>
      <c r="B210" s="222"/>
      <c r="C210" s="219"/>
      <c r="D210" s="224"/>
    </row>
    <row r="211" spans="1:4">
      <c r="A211" s="216"/>
      <c r="B211" s="222"/>
      <c r="C211" s="219"/>
      <c r="D211" s="224"/>
    </row>
    <row r="212" spans="1:4">
      <c r="A212" s="216"/>
      <c r="B212" s="222"/>
      <c r="C212" s="219"/>
      <c r="D212" s="224"/>
    </row>
    <row r="213" spans="1:4">
      <c r="A213" s="216"/>
      <c r="B213" s="222"/>
      <c r="C213" s="219"/>
      <c r="D213" s="224"/>
    </row>
    <row r="214" spans="1:4">
      <c r="A214" s="216"/>
      <c r="B214" s="222"/>
      <c r="C214" s="219"/>
      <c r="D214" s="224"/>
    </row>
    <row r="215" spans="1:4">
      <c r="A215" s="216"/>
      <c r="B215" s="222"/>
      <c r="C215" s="219"/>
      <c r="D215" s="224"/>
    </row>
    <row r="216" spans="1:4">
      <c r="A216" s="216"/>
      <c r="B216" s="222"/>
      <c r="C216" s="219"/>
      <c r="D216" s="224"/>
    </row>
    <row r="217" spans="1:4">
      <c r="A217" s="216"/>
      <c r="B217" s="222"/>
      <c r="C217" s="219"/>
      <c r="D217" s="224"/>
    </row>
    <row r="218" spans="1:4">
      <c r="A218" s="216"/>
      <c r="B218" s="222"/>
      <c r="C218" s="219"/>
      <c r="D218" s="224"/>
    </row>
    <row r="219" spans="1:4">
      <c r="A219" s="216"/>
      <c r="B219" s="222"/>
      <c r="C219" s="219"/>
      <c r="D219" s="224"/>
    </row>
    <row r="220" spans="1:4">
      <c r="A220" s="216"/>
      <c r="B220" s="222"/>
      <c r="C220" s="219"/>
      <c r="D220" s="224"/>
    </row>
    <row r="221" spans="1:4">
      <c r="A221" s="216"/>
      <c r="B221" s="222"/>
      <c r="C221" s="219"/>
      <c r="D221" s="224"/>
    </row>
    <row r="222" spans="1:4">
      <c r="A222" s="216"/>
      <c r="B222" s="222"/>
      <c r="C222" s="219"/>
      <c r="D222" s="224"/>
    </row>
    <row r="223" spans="1:4">
      <c r="A223" s="216"/>
      <c r="B223" s="222"/>
      <c r="C223" s="219"/>
      <c r="D223" s="224"/>
    </row>
    <row r="224" spans="1:4">
      <c r="A224" s="216"/>
      <c r="B224" s="222"/>
      <c r="C224" s="219"/>
      <c r="D224" s="224"/>
    </row>
    <row r="225" spans="1:4">
      <c r="A225" s="216"/>
      <c r="B225" s="222"/>
      <c r="C225" s="219"/>
      <c r="D225" s="224"/>
    </row>
    <row r="226" spans="1:4">
      <c r="A226" s="216"/>
      <c r="B226" s="222"/>
      <c r="C226" s="219"/>
      <c r="D226" s="224"/>
    </row>
    <row r="227" spans="1:4">
      <c r="A227" s="216"/>
      <c r="B227" s="222"/>
      <c r="C227" s="219"/>
      <c r="D227" s="224"/>
    </row>
    <row r="228" spans="1:4">
      <c r="A228" s="216"/>
      <c r="B228" s="222"/>
      <c r="C228" s="219"/>
      <c r="D228" s="224"/>
    </row>
    <row r="229" spans="1:4">
      <c r="A229" s="216"/>
      <c r="B229" s="222"/>
      <c r="C229" s="219"/>
      <c r="D229" s="224"/>
    </row>
    <row r="230" spans="1:4">
      <c r="A230" s="216"/>
      <c r="B230" s="222"/>
      <c r="C230" s="219"/>
      <c r="D230" s="224"/>
    </row>
    <row r="231" spans="1:4">
      <c r="A231" s="216"/>
      <c r="B231" s="222"/>
      <c r="C231" s="219"/>
      <c r="D231" s="224"/>
    </row>
    <row r="232" spans="1:4">
      <c r="A232" s="216"/>
      <c r="B232" s="222"/>
      <c r="C232" s="219"/>
      <c r="D232" s="224"/>
    </row>
    <row r="233" spans="1:4">
      <c r="A233" s="216"/>
      <c r="B233" s="222"/>
      <c r="C233" s="219"/>
      <c r="D233" s="224"/>
    </row>
    <row r="234" spans="1:4">
      <c r="A234" s="216"/>
      <c r="B234" s="222"/>
      <c r="C234" s="219"/>
      <c r="D234" s="224"/>
    </row>
    <row r="235" spans="1:4">
      <c r="A235" s="216"/>
      <c r="B235" s="222"/>
      <c r="C235" s="219"/>
      <c r="D235" s="224"/>
    </row>
    <row r="236" spans="1:4">
      <c r="A236" s="216"/>
      <c r="B236" s="222"/>
      <c r="C236" s="219"/>
      <c r="D236" s="224"/>
    </row>
    <row r="237" spans="1:4">
      <c r="A237" s="216"/>
      <c r="B237" s="222"/>
      <c r="C237" s="219"/>
      <c r="D237" s="224"/>
    </row>
    <row r="238" spans="1:4">
      <c r="A238" s="216"/>
      <c r="B238" s="222"/>
      <c r="C238" s="219"/>
      <c r="D238" s="224"/>
    </row>
    <row r="239" spans="1:4">
      <c r="A239" s="216"/>
      <c r="B239" s="222"/>
      <c r="C239" s="219"/>
      <c r="D239" s="224"/>
    </row>
    <row r="240" spans="1:4">
      <c r="A240" s="216"/>
      <c r="B240" s="222"/>
      <c r="C240" s="219"/>
      <c r="D240" s="224"/>
    </row>
    <row r="241" spans="1:4">
      <c r="A241" s="216"/>
      <c r="B241" s="222"/>
      <c r="C241" s="219"/>
      <c r="D241" s="224"/>
    </row>
    <row r="242" spans="1:4">
      <c r="A242" s="216"/>
      <c r="B242" s="222"/>
      <c r="C242" s="219"/>
      <c r="D242" s="224"/>
    </row>
    <row r="243" spans="1:4">
      <c r="A243" s="216"/>
      <c r="B243" s="222"/>
      <c r="C243" s="219"/>
      <c r="D243" s="224"/>
    </row>
    <row r="244" spans="1:4">
      <c r="A244" s="216"/>
      <c r="B244" s="222"/>
      <c r="C244" s="219"/>
      <c r="D244" s="224"/>
    </row>
    <row r="245" spans="1:4">
      <c r="A245" s="216"/>
      <c r="B245" s="222"/>
      <c r="C245" s="219"/>
      <c r="D245" s="224"/>
    </row>
    <row r="246" spans="1:4">
      <c r="A246" s="216"/>
      <c r="B246" s="222"/>
      <c r="C246" s="219"/>
      <c r="D246" s="224"/>
    </row>
    <row r="247" spans="1:4">
      <c r="A247" s="216"/>
      <c r="B247" s="222"/>
      <c r="C247" s="219"/>
      <c r="D247" s="224"/>
    </row>
    <row r="248" spans="1:4">
      <c r="A248" s="216"/>
      <c r="B248" s="222"/>
      <c r="C248" s="219"/>
      <c r="D248" s="224"/>
    </row>
    <row r="249" spans="1:4">
      <c r="A249" s="216"/>
      <c r="B249" s="222"/>
      <c r="C249" s="219"/>
      <c r="D249" s="224"/>
    </row>
    <row r="250" spans="1:4">
      <c r="A250" s="216"/>
      <c r="B250" s="222"/>
      <c r="C250" s="219"/>
      <c r="D250" s="224"/>
    </row>
    <row r="251" spans="1:4">
      <c r="A251" s="216"/>
      <c r="B251" s="222"/>
      <c r="C251" s="219"/>
      <c r="D251" s="224"/>
    </row>
    <row r="252" spans="1:4">
      <c r="A252" s="216"/>
      <c r="B252" s="222"/>
      <c r="C252" s="219"/>
      <c r="D252" s="224"/>
    </row>
    <row r="253" spans="1:4">
      <c r="A253" s="216"/>
      <c r="B253" s="222"/>
      <c r="C253" s="219"/>
      <c r="D253" s="224"/>
    </row>
    <row r="254" spans="1:4">
      <c r="A254" s="216"/>
      <c r="B254" s="222"/>
      <c r="C254" s="219"/>
      <c r="D254" s="224"/>
    </row>
    <row r="255" spans="1:4">
      <c r="A255" s="216"/>
      <c r="B255" s="222"/>
      <c r="C255" s="219"/>
      <c r="D255" s="224"/>
    </row>
    <row r="256" spans="1:4">
      <c r="A256" s="216"/>
      <c r="B256" s="222"/>
      <c r="C256" s="219"/>
      <c r="D256" s="224"/>
    </row>
    <row r="257" spans="1:4">
      <c r="A257" s="216"/>
      <c r="B257" s="222"/>
      <c r="C257" s="219"/>
      <c r="D257" s="224"/>
    </row>
    <row r="258" spans="1:4">
      <c r="A258" s="216"/>
      <c r="B258" s="222"/>
      <c r="C258" s="219"/>
      <c r="D258" s="224"/>
    </row>
    <row r="259" spans="1:4">
      <c r="A259" s="216"/>
      <c r="B259" s="222"/>
      <c r="C259" s="219"/>
      <c r="D259" s="224"/>
    </row>
    <row r="260" spans="1:4">
      <c r="A260" s="216"/>
      <c r="B260" s="222"/>
      <c r="C260" s="219"/>
      <c r="D260" s="224"/>
    </row>
    <row r="261" spans="1:4">
      <c r="A261" s="216"/>
      <c r="B261" s="222"/>
      <c r="C261" s="219"/>
      <c r="D261" s="224"/>
    </row>
    <row r="262" spans="1:4">
      <c r="A262" s="216"/>
      <c r="B262" s="222"/>
      <c r="C262" s="219"/>
      <c r="D262" s="224"/>
    </row>
    <row r="263" spans="1:4">
      <c r="A263" s="216"/>
      <c r="B263" s="222"/>
      <c r="C263" s="219"/>
      <c r="D263" s="224"/>
    </row>
    <row r="264" spans="1:4">
      <c r="A264" s="216"/>
      <c r="B264" s="222"/>
      <c r="C264" s="219"/>
      <c r="D264" s="224"/>
    </row>
    <row r="265" spans="1:4">
      <c r="A265" s="216"/>
      <c r="B265" s="222"/>
      <c r="C265" s="219"/>
      <c r="D265" s="224"/>
    </row>
    <row r="266" spans="1:4">
      <c r="A266" s="216"/>
      <c r="B266" s="222"/>
      <c r="C266" s="219"/>
      <c r="D266" s="224"/>
    </row>
    <row r="267" spans="1:4">
      <c r="A267" s="216"/>
      <c r="B267" s="222"/>
      <c r="C267" s="219"/>
      <c r="D267" s="224"/>
    </row>
    <row r="268" spans="1:4">
      <c r="A268" s="216"/>
      <c r="B268" s="222"/>
      <c r="C268" s="219"/>
      <c r="D268" s="224"/>
    </row>
    <row r="269" spans="1:4">
      <c r="A269" s="216"/>
      <c r="B269" s="222"/>
      <c r="C269" s="219"/>
      <c r="D269" s="224"/>
    </row>
    <row r="270" spans="1:4">
      <c r="A270" s="216"/>
      <c r="B270" s="222"/>
      <c r="C270" s="219"/>
      <c r="D270" s="224"/>
    </row>
    <row r="271" spans="1:4">
      <c r="A271" s="216"/>
      <c r="B271" s="222"/>
      <c r="C271" s="219"/>
      <c r="D271" s="224"/>
    </row>
    <row r="272" spans="1:4">
      <c r="A272" s="216"/>
      <c r="B272" s="222"/>
      <c r="C272" s="219"/>
      <c r="D272" s="224"/>
    </row>
    <row r="273" spans="1:4">
      <c r="A273" s="216"/>
      <c r="B273" s="222"/>
      <c r="C273" s="219"/>
      <c r="D273" s="224"/>
    </row>
    <row r="274" spans="1:4">
      <c r="A274" s="216"/>
      <c r="B274" s="222"/>
      <c r="C274" s="219"/>
      <c r="D274" s="224"/>
    </row>
    <row r="275" spans="1:4">
      <c r="A275" s="216"/>
      <c r="B275" s="222"/>
      <c r="C275" s="219"/>
      <c r="D275" s="224"/>
    </row>
    <row r="276" spans="1:4">
      <c r="A276" s="216"/>
      <c r="B276" s="222"/>
      <c r="C276" s="219"/>
      <c r="D276" s="224"/>
    </row>
    <row r="277" spans="1:4">
      <c r="A277" s="216"/>
      <c r="B277" s="222"/>
      <c r="C277" s="219"/>
      <c r="D277" s="224"/>
    </row>
    <row r="278" spans="1:4">
      <c r="A278" s="216"/>
      <c r="B278" s="222"/>
      <c r="C278" s="219"/>
      <c r="D278" s="224"/>
    </row>
    <row r="279" spans="1:4">
      <c r="A279" s="216"/>
      <c r="B279" s="222"/>
      <c r="C279" s="219"/>
      <c r="D279" s="224"/>
    </row>
    <row r="280" spans="1:4">
      <c r="A280" s="216"/>
      <c r="B280" s="222"/>
      <c r="C280" s="219"/>
      <c r="D280" s="224"/>
    </row>
    <row r="281" spans="1:4">
      <c r="A281" s="216"/>
      <c r="B281" s="222"/>
      <c r="C281" s="219"/>
      <c r="D281" s="224"/>
    </row>
    <row r="282" spans="1:4">
      <c r="A282" s="216"/>
      <c r="B282" s="222"/>
      <c r="C282" s="219"/>
      <c r="D282" s="224"/>
    </row>
    <row r="283" spans="1:4">
      <c r="A283" s="216"/>
      <c r="B283" s="222"/>
      <c r="C283" s="219"/>
      <c r="D283" s="224"/>
    </row>
    <row r="284" spans="1:4">
      <c r="A284" s="216"/>
      <c r="B284" s="222"/>
      <c r="C284" s="219"/>
      <c r="D284" s="224"/>
    </row>
    <row r="285" spans="1:4">
      <c r="A285" s="216"/>
      <c r="B285" s="222"/>
      <c r="C285" s="219"/>
      <c r="D285" s="224"/>
    </row>
    <row r="286" spans="1:4">
      <c r="A286" s="216"/>
      <c r="B286" s="222"/>
      <c r="C286" s="219"/>
      <c r="D286" s="224"/>
    </row>
    <row r="287" spans="1:4">
      <c r="A287" s="216"/>
      <c r="B287" s="222"/>
      <c r="C287" s="219"/>
      <c r="D287" s="224"/>
    </row>
    <row r="288" spans="1:4">
      <c r="A288" s="216"/>
      <c r="B288" s="222"/>
      <c r="C288" s="219"/>
      <c r="D288" s="224"/>
    </row>
    <row r="289" spans="1:4">
      <c r="A289" s="216"/>
      <c r="B289" s="222"/>
      <c r="C289" s="219"/>
      <c r="D289" s="224"/>
    </row>
    <row r="290" spans="1:4">
      <c r="A290" s="216"/>
      <c r="B290" s="222"/>
      <c r="C290" s="219"/>
      <c r="D290" s="224"/>
    </row>
    <row r="291" spans="1:4">
      <c r="A291" s="216"/>
      <c r="B291" s="222"/>
      <c r="C291" s="219"/>
      <c r="D291" s="224"/>
    </row>
    <row r="292" spans="1:4">
      <c r="A292" s="216"/>
      <c r="B292" s="222"/>
      <c r="C292" s="219"/>
      <c r="D292" s="224"/>
    </row>
    <row r="293" spans="1:4">
      <c r="A293" s="216"/>
      <c r="B293" s="222"/>
      <c r="C293" s="219"/>
      <c r="D293" s="224"/>
    </row>
    <row r="294" spans="1:4">
      <c r="A294" s="216"/>
      <c r="B294" s="222"/>
      <c r="C294" s="219"/>
      <c r="D294" s="224"/>
    </row>
    <row r="295" spans="1:4">
      <c r="A295" s="216"/>
      <c r="B295" s="222"/>
      <c r="C295" s="219"/>
      <c r="D295" s="224"/>
    </row>
    <row r="296" spans="1:4">
      <c r="A296" s="216"/>
      <c r="B296" s="222"/>
      <c r="C296" s="219"/>
      <c r="D296" s="224"/>
    </row>
    <row r="297" spans="1:4">
      <c r="A297" s="216"/>
      <c r="B297" s="222"/>
      <c r="C297" s="219"/>
      <c r="D297" s="224"/>
    </row>
    <row r="298" spans="1:4">
      <c r="A298" s="216"/>
      <c r="B298" s="222"/>
      <c r="C298" s="219"/>
      <c r="D298" s="224"/>
    </row>
    <row r="299" spans="1:4">
      <c r="A299" s="216"/>
      <c r="B299" s="222"/>
      <c r="C299" s="219"/>
      <c r="D299" s="224"/>
    </row>
    <row r="300" spans="1:4">
      <c r="A300" s="216"/>
      <c r="B300" s="222"/>
      <c r="C300" s="219"/>
      <c r="D300" s="224"/>
    </row>
    <row r="301" spans="1:4">
      <c r="A301" s="216"/>
      <c r="B301" s="222"/>
      <c r="C301" s="219"/>
      <c r="D301" s="224"/>
    </row>
    <row r="302" spans="1:4">
      <c r="A302" s="216"/>
      <c r="B302" s="222"/>
      <c r="C302" s="219"/>
      <c r="D302" s="224"/>
    </row>
    <row r="303" spans="1:4">
      <c r="A303" s="216"/>
      <c r="B303" s="222"/>
      <c r="C303" s="219"/>
      <c r="D303" s="224"/>
    </row>
    <row r="304" spans="1:4">
      <c r="A304" s="216"/>
      <c r="B304" s="222"/>
      <c r="C304" s="219"/>
      <c r="D304" s="224"/>
    </row>
    <row r="305" spans="1:4">
      <c r="A305" s="216"/>
      <c r="B305" s="222"/>
      <c r="C305" s="219"/>
      <c r="D305" s="224"/>
    </row>
    <row r="306" spans="1:4">
      <c r="A306" s="216"/>
      <c r="B306" s="222"/>
      <c r="C306" s="219"/>
      <c r="D306" s="224"/>
    </row>
    <row r="307" spans="1:4">
      <c r="A307" s="216"/>
      <c r="B307" s="222"/>
      <c r="C307" s="219"/>
      <c r="D307" s="224"/>
    </row>
    <row r="308" spans="1:4">
      <c r="A308" s="216"/>
      <c r="B308" s="222"/>
      <c r="C308" s="219"/>
      <c r="D308" s="224"/>
    </row>
    <row r="309" spans="1:4">
      <c r="A309" s="216"/>
      <c r="B309" s="222"/>
      <c r="C309" s="219"/>
      <c r="D309" s="224"/>
    </row>
    <row r="310" spans="1:4">
      <c r="A310" s="216"/>
      <c r="B310" s="222"/>
      <c r="C310" s="219"/>
      <c r="D310" s="224"/>
    </row>
    <row r="311" spans="1:4">
      <c r="A311" s="216"/>
      <c r="B311" s="222"/>
      <c r="C311" s="219"/>
      <c r="D311" s="224"/>
    </row>
    <row r="312" spans="1:4">
      <c r="A312" s="216"/>
      <c r="B312" s="222"/>
      <c r="C312" s="219"/>
      <c r="D312" s="224"/>
    </row>
    <row r="313" spans="1:4">
      <c r="A313" s="216"/>
      <c r="B313" s="222"/>
      <c r="C313" s="219"/>
      <c r="D313" s="224"/>
    </row>
    <row r="314" spans="1:4">
      <c r="A314" s="216"/>
      <c r="B314" s="222"/>
      <c r="C314" s="219"/>
      <c r="D314" s="224"/>
    </row>
    <row r="315" spans="1:4">
      <c r="A315" s="216"/>
      <c r="B315" s="222"/>
      <c r="C315" s="219"/>
      <c r="D315" s="224"/>
    </row>
    <row r="316" spans="1:4">
      <c r="A316" s="216"/>
      <c r="B316" s="222"/>
      <c r="C316" s="219"/>
      <c r="D316" s="224"/>
    </row>
    <row r="317" spans="1:4">
      <c r="A317" s="216"/>
      <c r="B317" s="222"/>
      <c r="C317" s="219"/>
      <c r="D317" s="224"/>
    </row>
    <row r="318" spans="1:4">
      <c r="A318" s="216"/>
      <c r="B318" s="222"/>
      <c r="C318" s="219"/>
      <c r="D318" s="224"/>
    </row>
    <row r="319" spans="1:4">
      <c r="A319" s="216"/>
      <c r="B319" s="222"/>
      <c r="C319" s="219"/>
      <c r="D319" s="224"/>
    </row>
    <row r="320" spans="1:4">
      <c r="A320" s="216"/>
      <c r="B320" s="222"/>
      <c r="C320" s="219"/>
      <c r="D320" s="224"/>
    </row>
    <row r="321" spans="1:4">
      <c r="A321" s="216"/>
      <c r="B321" s="222"/>
      <c r="C321" s="219"/>
      <c r="D321" s="224"/>
    </row>
    <row r="322" spans="1:4">
      <c r="A322" s="216"/>
      <c r="B322" s="222"/>
      <c r="C322" s="219"/>
      <c r="D322" s="224"/>
    </row>
    <row r="323" spans="1:4">
      <c r="A323" s="216"/>
      <c r="B323" s="222"/>
      <c r="C323" s="219"/>
      <c r="D323" s="224"/>
    </row>
    <row r="324" spans="1:4">
      <c r="A324" s="216"/>
      <c r="B324" s="222"/>
      <c r="C324" s="219"/>
      <c r="D324" s="224"/>
    </row>
    <row r="325" spans="1:4">
      <c r="A325" s="216"/>
      <c r="B325" s="222"/>
      <c r="C325" s="219"/>
      <c r="D325" s="224"/>
    </row>
    <row r="326" spans="1:4">
      <c r="A326" s="216"/>
      <c r="B326" s="222"/>
      <c r="C326" s="219"/>
      <c r="D326" s="224"/>
    </row>
    <row r="327" spans="1:4">
      <c r="A327" s="216"/>
      <c r="B327" s="222"/>
      <c r="C327" s="219"/>
      <c r="D327" s="224"/>
    </row>
    <row r="328" spans="1:4">
      <c r="A328" s="216"/>
      <c r="B328" s="222"/>
      <c r="C328" s="219"/>
      <c r="D328" s="224"/>
    </row>
    <row r="329" spans="1:4">
      <c r="A329" s="216"/>
      <c r="B329" s="222"/>
      <c r="C329" s="219"/>
      <c r="D329" s="224"/>
    </row>
    <row r="330" spans="1:4">
      <c r="A330" s="216"/>
      <c r="B330" s="222"/>
      <c r="C330" s="219"/>
      <c r="D330" s="224"/>
    </row>
    <row r="331" spans="1:4">
      <c r="A331" s="216"/>
      <c r="B331" s="222"/>
      <c r="C331" s="219"/>
      <c r="D331" s="224"/>
    </row>
    <row r="332" spans="1:4">
      <c r="A332" s="216"/>
      <c r="B332" s="222"/>
      <c r="C332" s="219"/>
      <c r="D332" s="224"/>
    </row>
    <row r="333" spans="1:4">
      <c r="A333" s="216"/>
      <c r="B333" s="222"/>
      <c r="C333" s="219"/>
      <c r="D333" s="224"/>
    </row>
    <row r="334" spans="1:4">
      <c r="A334" s="216"/>
      <c r="B334" s="222"/>
      <c r="C334" s="219"/>
      <c r="D334" s="224"/>
    </row>
    <row r="335" spans="1:4">
      <c r="A335" s="216"/>
      <c r="B335" s="222"/>
      <c r="C335" s="219"/>
      <c r="D335" s="224"/>
    </row>
    <row r="336" spans="1:4">
      <c r="A336" s="216"/>
      <c r="B336" s="222"/>
      <c r="C336" s="219"/>
      <c r="D336" s="224"/>
    </row>
    <row r="337" spans="1:4">
      <c r="A337" s="216"/>
      <c r="B337" s="222"/>
      <c r="C337" s="219"/>
      <c r="D337" s="224"/>
    </row>
    <row r="338" spans="1:4">
      <c r="A338" s="216"/>
      <c r="B338" s="222"/>
      <c r="C338" s="219"/>
      <c r="D338" s="224"/>
    </row>
    <row r="339" spans="1:4">
      <c r="A339" s="216"/>
      <c r="B339" s="222"/>
      <c r="C339" s="219"/>
      <c r="D339" s="224"/>
    </row>
    <row r="340" spans="1:4">
      <c r="A340" s="216"/>
      <c r="B340" s="222"/>
      <c r="C340" s="219"/>
      <c r="D340" s="224"/>
    </row>
    <row r="341" spans="1:4">
      <c r="A341" s="216"/>
      <c r="B341" s="222"/>
      <c r="C341" s="219"/>
      <c r="D341" s="224"/>
    </row>
    <row r="342" spans="1:4">
      <c r="A342" s="216"/>
      <c r="B342" s="222"/>
      <c r="C342" s="219"/>
      <c r="D342" s="224"/>
    </row>
    <row r="343" spans="1:4">
      <c r="A343" s="216"/>
      <c r="B343" s="222"/>
      <c r="C343" s="219"/>
      <c r="D343" s="224"/>
    </row>
    <row r="344" spans="1:4">
      <c r="A344" s="216"/>
      <c r="B344" s="222"/>
      <c r="C344" s="219"/>
      <c r="D344" s="224"/>
    </row>
    <row r="345" spans="1:4">
      <c r="A345" s="216"/>
      <c r="B345" s="222"/>
      <c r="C345" s="219"/>
      <c r="D345" s="224"/>
    </row>
    <row r="346" spans="1:4">
      <c r="A346" s="216"/>
      <c r="B346" s="222"/>
      <c r="C346" s="219"/>
      <c r="D346" s="224"/>
    </row>
    <row r="347" spans="1:4">
      <c r="A347" s="216"/>
      <c r="B347" s="222"/>
      <c r="C347" s="219"/>
      <c r="D347" s="224"/>
    </row>
    <row r="348" spans="1:4">
      <c r="A348" s="216"/>
      <c r="B348" s="222"/>
      <c r="C348" s="219"/>
      <c r="D348" s="224"/>
    </row>
    <row r="349" spans="1:4">
      <c r="A349" s="216"/>
      <c r="B349" s="222"/>
      <c r="C349" s="219"/>
      <c r="D349" s="224"/>
    </row>
    <row r="350" spans="1:4">
      <c r="A350" s="216"/>
      <c r="B350" s="222"/>
      <c r="C350" s="219"/>
      <c r="D350" s="224"/>
    </row>
    <row r="351" spans="1:4">
      <c r="A351" s="216"/>
      <c r="B351" s="222"/>
      <c r="C351" s="219"/>
      <c r="D351" s="224"/>
    </row>
    <row r="352" spans="1:4">
      <c r="A352" s="216"/>
      <c r="B352" s="222"/>
      <c r="C352" s="219"/>
      <c r="D352" s="224"/>
    </row>
    <row r="353" spans="1:4">
      <c r="A353" s="216"/>
      <c r="B353" s="222"/>
      <c r="C353" s="219"/>
      <c r="D353" s="224"/>
    </row>
    <row r="354" spans="1:4">
      <c r="A354" s="216"/>
      <c r="B354" s="222"/>
      <c r="C354" s="219"/>
      <c r="D354" s="224"/>
    </row>
    <row r="355" spans="1:4">
      <c r="A355" s="216"/>
      <c r="B355" s="222"/>
      <c r="C355" s="219"/>
      <c r="D355" s="224"/>
    </row>
    <row r="356" spans="1:4">
      <c r="A356" s="216"/>
      <c r="B356" s="222"/>
      <c r="C356" s="219"/>
      <c r="D356" s="224"/>
    </row>
    <row r="357" spans="1:4">
      <c r="A357" s="216"/>
      <c r="B357" s="222"/>
      <c r="C357" s="219"/>
      <c r="D357" s="224"/>
    </row>
    <row r="358" spans="1:4">
      <c r="A358" s="216"/>
      <c r="B358" s="222"/>
      <c r="C358" s="219"/>
      <c r="D358" s="224"/>
    </row>
    <row r="359" spans="1:4">
      <c r="A359" s="216"/>
      <c r="B359" s="222"/>
      <c r="C359" s="219"/>
      <c r="D359" s="224"/>
    </row>
    <row r="360" spans="1:4">
      <c r="A360" s="216"/>
      <c r="B360" s="222"/>
      <c r="C360" s="219"/>
      <c r="D360" s="224"/>
    </row>
    <row r="361" spans="1:4">
      <c r="A361" s="216"/>
      <c r="B361" s="222"/>
      <c r="C361" s="219"/>
      <c r="D361" s="224"/>
    </row>
    <row r="362" spans="1:4">
      <c r="A362" s="216"/>
      <c r="B362" s="222"/>
      <c r="C362" s="219"/>
      <c r="D362" s="224"/>
    </row>
    <row r="363" spans="1:4">
      <c r="A363" s="216"/>
      <c r="B363" s="222"/>
      <c r="C363" s="219"/>
      <c r="D363" s="224"/>
    </row>
    <row r="364" spans="1:4">
      <c r="A364" s="216"/>
      <c r="B364" s="222"/>
      <c r="C364" s="219"/>
      <c r="D364" s="224"/>
    </row>
    <row r="365" spans="1:4">
      <c r="A365" s="216"/>
      <c r="B365" s="222"/>
      <c r="C365" s="219"/>
      <c r="D365" s="224"/>
    </row>
    <row r="366" spans="1:4">
      <c r="A366" s="216"/>
      <c r="B366" s="222"/>
      <c r="C366" s="219"/>
      <c r="D366" s="224"/>
    </row>
    <row r="367" spans="1:4">
      <c r="A367" s="216"/>
      <c r="B367" s="222"/>
      <c r="C367" s="219"/>
      <c r="D367" s="224"/>
    </row>
    <row r="368" spans="1:4">
      <c r="A368" s="216"/>
      <c r="B368" s="222"/>
      <c r="C368" s="219"/>
      <c r="D368" s="224"/>
    </row>
    <row r="369" spans="1:4">
      <c r="A369" s="216"/>
      <c r="B369" s="222"/>
      <c r="C369" s="219"/>
      <c r="D369" s="224"/>
    </row>
    <row r="370" spans="1:4">
      <c r="A370" s="216"/>
      <c r="B370" s="222"/>
      <c r="C370" s="219"/>
      <c r="D370" s="224"/>
    </row>
    <row r="371" spans="1:4">
      <c r="A371" s="216"/>
      <c r="B371" s="222"/>
      <c r="C371" s="219"/>
      <c r="D371" s="224"/>
    </row>
    <row r="372" spans="1:4">
      <c r="A372" s="216"/>
      <c r="B372" s="222"/>
      <c r="C372" s="219"/>
      <c r="D372" s="224"/>
    </row>
    <row r="373" spans="1:4">
      <c r="A373" s="216"/>
      <c r="B373" s="222"/>
      <c r="C373" s="219"/>
      <c r="D373" s="224"/>
    </row>
    <row r="374" spans="1:4">
      <c r="A374" s="216"/>
      <c r="B374" s="222"/>
      <c r="C374" s="219"/>
      <c r="D374" s="224"/>
    </row>
    <row r="375" spans="1:4">
      <c r="A375" s="216"/>
      <c r="B375" s="222"/>
      <c r="C375" s="219"/>
      <c r="D375" s="224"/>
    </row>
    <row r="376" spans="1:4">
      <c r="A376" s="216"/>
      <c r="B376" s="222"/>
      <c r="C376" s="219"/>
      <c r="D376" s="224"/>
    </row>
    <row r="377" spans="1:4">
      <c r="A377" s="216"/>
      <c r="B377" s="222"/>
      <c r="C377" s="219"/>
      <c r="D377" s="224"/>
    </row>
    <row r="378" spans="1:4">
      <c r="A378" s="216"/>
      <c r="B378" s="222"/>
      <c r="C378" s="219"/>
      <c r="D378" s="224"/>
    </row>
    <row r="379" spans="1:4">
      <c r="A379" s="216"/>
      <c r="B379" s="222"/>
      <c r="C379" s="219"/>
      <c r="D379" s="224"/>
    </row>
    <row r="380" spans="1:4">
      <c r="A380" s="216"/>
      <c r="B380" s="222"/>
      <c r="C380" s="219"/>
      <c r="D380" s="224"/>
    </row>
    <row r="381" spans="1:4">
      <c r="A381" s="216"/>
      <c r="B381" s="222"/>
      <c r="C381" s="219"/>
      <c r="D381" s="224"/>
    </row>
    <row r="382" spans="1:4">
      <c r="A382" s="216"/>
      <c r="B382" s="222"/>
      <c r="C382" s="219"/>
      <c r="D382" s="224"/>
    </row>
    <row r="383" spans="1:4">
      <c r="A383" s="216"/>
      <c r="B383" s="222"/>
      <c r="C383" s="219"/>
      <c r="D383" s="224"/>
    </row>
    <row r="384" spans="1:4">
      <c r="A384" s="216"/>
      <c r="B384" s="222"/>
      <c r="C384" s="219"/>
      <c r="D384" s="224"/>
    </row>
    <row r="385" spans="1:4">
      <c r="A385" s="216"/>
      <c r="B385" s="222"/>
      <c r="C385" s="219"/>
      <c r="D385" s="224"/>
    </row>
    <row r="386" spans="1:4">
      <c r="A386" s="216"/>
      <c r="B386" s="222"/>
      <c r="C386" s="219"/>
      <c r="D386" s="224"/>
    </row>
    <row r="387" spans="1:4">
      <c r="A387" s="216"/>
      <c r="B387" s="222"/>
      <c r="C387" s="219"/>
      <c r="D387" s="224"/>
    </row>
    <row r="388" spans="1:4">
      <c r="A388" s="216"/>
      <c r="B388" s="222"/>
      <c r="C388" s="219"/>
      <c r="D388" s="224"/>
    </row>
    <row r="389" spans="1:4">
      <c r="A389" s="216"/>
      <c r="B389" s="222"/>
      <c r="C389" s="219"/>
      <c r="D389" s="224"/>
    </row>
    <row r="390" spans="1:4">
      <c r="A390" s="216"/>
      <c r="B390" s="222"/>
      <c r="C390" s="219"/>
      <c r="D390" s="224"/>
    </row>
    <row r="391" spans="1:4">
      <c r="A391" s="216"/>
      <c r="B391" s="222"/>
      <c r="C391" s="219"/>
      <c r="D391" s="224"/>
    </row>
    <row r="392" spans="1:4">
      <c r="A392" s="216"/>
      <c r="B392" s="222"/>
      <c r="C392" s="219"/>
      <c r="D392" s="224"/>
    </row>
    <row r="393" spans="1:4">
      <c r="A393" s="216"/>
      <c r="B393" s="222"/>
      <c r="C393" s="219"/>
      <c r="D393" s="224"/>
    </row>
    <row r="394" spans="1:4">
      <c r="A394" s="216"/>
      <c r="B394" s="222"/>
      <c r="C394" s="219"/>
      <c r="D394" s="224"/>
    </row>
    <row r="395" spans="1:4">
      <c r="A395" s="216"/>
      <c r="B395" s="222"/>
      <c r="C395" s="219"/>
      <c r="D395" s="224"/>
    </row>
    <row r="396" spans="1:4">
      <c r="A396" s="216"/>
      <c r="B396" s="222"/>
      <c r="C396" s="219"/>
      <c r="D396" s="224"/>
    </row>
    <row r="397" spans="1:4">
      <c r="A397" s="216"/>
      <c r="B397" s="222"/>
      <c r="C397" s="219"/>
      <c r="D397" s="224"/>
    </row>
    <row r="398" spans="1:4">
      <c r="A398" s="216"/>
      <c r="B398" s="222"/>
      <c r="C398" s="219"/>
      <c r="D398" s="224"/>
    </row>
    <row r="399" spans="1:4">
      <c r="A399" s="216"/>
      <c r="B399" s="222"/>
      <c r="C399" s="219"/>
      <c r="D399" s="224"/>
    </row>
    <row r="400" spans="1:4">
      <c r="A400" s="216"/>
      <c r="B400" s="222"/>
      <c r="C400" s="219"/>
      <c r="D400" s="224"/>
    </row>
    <row r="401" spans="1:4">
      <c r="A401" s="216"/>
      <c r="B401" s="222"/>
      <c r="C401" s="219"/>
      <c r="D401" s="224"/>
    </row>
    <row r="402" spans="1:4">
      <c r="A402" s="216"/>
      <c r="B402" s="222"/>
      <c r="C402" s="219"/>
      <c r="D402" s="224"/>
    </row>
    <row r="403" spans="1:4">
      <c r="A403" s="216"/>
      <c r="B403" s="222"/>
      <c r="C403" s="219"/>
      <c r="D403" s="224"/>
    </row>
    <row r="404" spans="1:4">
      <c r="A404" s="216"/>
      <c r="B404" s="222"/>
      <c r="C404" s="219"/>
      <c r="D404" s="224"/>
    </row>
    <row r="405" spans="1:4">
      <c r="A405" s="216"/>
      <c r="B405" s="222"/>
      <c r="C405" s="219"/>
      <c r="D405" s="224"/>
    </row>
    <row r="406" spans="1:4">
      <c r="A406" s="216"/>
      <c r="B406" s="222"/>
      <c r="C406" s="219"/>
      <c r="D406" s="224"/>
    </row>
    <row r="407" spans="1:4">
      <c r="A407" s="216"/>
      <c r="B407" s="222"/>
      <c r="C407" s="219"/>
      <c r="D407" s="224"/>
    </row>
    <row r="408" spans="1:4">
      <c r="A408" s="216"/>
      <c r="B408" s="222"/>
      <c r="C408" s="219"/>
      <c r="D408" s="224"/>
    </row>
    <row r="409" spans="1:4">
      <c r="A409" s="216"/>
      <c r="B409" s="222"/>
      <c r="C409" s="219"/>
      <c r="D409" s="224"/>
    </row>
    <row r="410" spans="1:4">
      <c r="A410" s="216"/>
      <c r="B410" s="222"/>
      <c r="C410" s="219"/>
      <c r="D410" s="224"/>
    </row>
    <row r="411" spans="1:4">
      <c r="A411" s="216"/>
      <c r="B411" s="222"/>
      <c r="C411" s="219"/>
      <c r="D411" s="224"/>
    </row>
    <row r="412" spans="1:4">
      <c r="A412" s="216"/>
      <c r="B412" s="222"/>
      <c r="C412" s="219"/>
      <c r="D412" s="224"/>
    </row>
    <row r="413" spans="1:4">
      <c r="A413" s="216"/>
      <c r="B413" s="222"/>
      <c r="C413" s="219"/>
      <c r="D413" s="224"/>
    </row>
    <row r="414" spans="1:4">
      <c r="A414" s="216"/>
      <c r="B414" s="222"/>
      <c r="C414" s="219"/>
      <c r="D414" s="224"/>
    </row>
    <row r="415" spans="1:4">
      <c r="A415" s="216"/>
      <c r="B415" s="222"/>
      <c r="C415" s="219"/>
      <c r="D415" s="224"/>
    </row>
    <row r="416" spans="1:4">
      <c r="A416" s="216"/>
      <c r="B416" s="222"/>
      <c r="C416" s="219"/>
      <c r="D416" s="224"/>
    </row>
    <row r="417" spans="1:4">
      <c r="A417" s="216"/>
      <c r="B417" s="222"/>
      <c r="C417" s="219"/>
      <c r="D417" s="224"/>
    </row>
    <row r="418" spans="1:4">
      <c r="A418" s="216"/>
      <c r="B418" s="222"/>
      <c r="C418" s="219"/>
      <c r="D418" s="224"/>
    </row>
    <row r="419" spans="1:4">
      <c r="A419" s="216"/>
      <c r="B419" s="222"/>
      <c r="C419" s="219"/>
      <c r="D419" s="224"/>
    </row>
    <row r="420" spans="1:4">
      <c r="A420" s="216"/>
      <c r="B420" s="222"/>
      <c r="C420" s="219"/>
      <c r="D420" s="224"/>
    </row>
    <row r="421" spans="1:4">
      <c r="A421" s="216"/>
      <c r="B421" s="222"/>
      <c r="C421" s="219"/>
      <c r="D421" s="224"/>
    </row>
    <row r="422" spans="1:4">
      <c r="A422" s="216"/>
      <c r="B422" s="222"/>
      <c r="C422" s="219"/>
      <c r="D422" s="224"/>
    </row>
    <row r="423" spans="1:4">
      <c r="A423" s="216"/>
      <c r="B423" s="222"/>
      <c r="C423" s="219"/>
      <c r="D423" s="224"/>
    </row>
    <row r="424" spans="1:4">
      <c r="A424" s="216"/>
      <c r="B424" s="222"/>
      <c r="C424" s="219"/>
      <c r="D424" s="224"/>
    </row>
    <row r="425" spans="1:4">
      <c r="A425" s="216"/>
      <c r="B425" s="222"/>
      <c r="C425" s="219"/>
      <c r="D425" s="224"/>
    </row>
    <row r="426" spans="1:4">
      <c r="A426" s="216"/>
      <c r="B426" s="222"/>
      <c r="C426" s="219"/>
      <c r="D426" s="224"/>
    </row>
    <row r="427" spans="1:4">
      <c r="A427" s="216"/>
      <c r="B427" s="222"/>
      <c r="C427" s="219"/>
      <c r="D427" s="224"/>
    </row>
    <row r="428" spans="1:4">
      <c r="A428" s="216"/>
      <c r="B428" s="222"/>
      <c r="C428" s="219"/>
      <c r="D428" s="224"/>
    </row>
    <row r="429" spans="1:4">
      <c r="A429" s="216"/>
      <c r="B429" s="222"/>
      <c r="C429" s="219"/>
      <c r="D429" s="224"/>
    </row>
    <row r="430" spans="1:4">
      <c r="A430" s="216"/>
      <c r="B430" s="222"/>
      <c r="C430" s="219"/>
      <c r="D430" s="224"/>
    </row>
    <row r="431" spans="1:4">
      <c r="A431" s="216"/>
      <c r="B431" s="222"/>
      <c r="C431" s="219"/>
      <c r="D431" s="224"/>
    </row>
    <row r="432" spans="1:4">
      <c r="A432" s="216"/>
      <c r="B432" s="222"/>
      <c r="C432" s="219"/>
      <c r="D432" s="224"/>
    </row>
    <row r="433" spans="1:4">
      <c r="A433" s="216"/>
      <c r="B433" s="222"/>
      <c r="C433" s="219"/>
      <c r="D433" s="224"/>
    </row>
    <row r="434" spans="1:4">
      <c r="A434" s="216"/>
      <c r="B434" s="222"/>
      <c r="C434" s="219"/>
      <c r="D434" s="224"/>
    </row>
    <row r="435" spans="1:4">
      <c r="A435" s="216"/>
      <c r="B435" s="222"/>
      <c r="C435" s="219"/>
      <c r="D435" s="224"/>
    </row>
    <row r="436" spans="1:4">
      <c r="A436" s="216"/>
      <c r="B436" s="222"/>
      <c r="C436" s="219"/>
      <c r="D436" s="224"/>
    </row>
    <row r="437" spans="1:4">
      <c r="A437" s="216"/>
      <c r="B437" s="222"/>
      <c r="C437" s="219"/>
      <c r="D437" s="224"/>
    </row>
    <row r="438" spans="1:4">
      <c r="A438" s="216"/>
      <c r="B438" s="222"/>
      <c r="C438" s="219"/>
      <c r="D438" s="224"/>
    </row>
    <row r="439" spans="1:4">
      <c r="A439" s="216"/>
      <c r="B439" s="222"/>
      <c r="C439" s="219"/>
      <c r="D439" s="224"/>
    </row>
    <row r="440" spans="1:4">
      <c r="A440" s="216"/>
      <c r="B440" s="222"/>
      <c r="C440" s="219"/>
      <c r="D440" s="224"/>
    </row>
    <row r="441" spans="1:4">
      <c r="A441" s="216"/>
      <c r="B441" s="222"/>
      <c r="C441" s="219"/>
      <c r="D441" s="224"/>
    </row>
    <row r="442" spans="1:4">
      <c r="A442" s="216"/>
      <c r="B442" s="222"/>
      <c r="C442" s="219"/>
      <c r="D442" s="224"/>
    </row>
    <row r="443" spans="1:4">
      <c r="A443" s="216"/>
      <c r="B443" s="222"/>
      <c r="C443" s="219"/>
      <c r="D443" s="224"/>
    </row>
    <row r="444" spans="1:4">
      <c r="A444" s="216"/>
      <c r="B444" s="222"/>
      <c r="C444" s="219"/>
      <c r="D444" s="224"/>
    </row>
    <row r="445" spans="1:4">
      <c r="A445" s="216"/>
      <c r="B445" s="222"/>
      <c r="C445" s="219"/>
      <c r="D445" s="224"/>
    </row>
    <row r="446" spans="1:4">
      <c r="A446" s="216"/>
      <c r="B446" s="222"/>
      <c r="C446" s="219"/>
      <c r="D446" s="224"/>
    </row>
    <row r="447" spans="1:4">
      <c r="A447" s="216"/>
      <c r="B447" s="222"/>
      <c r="C447" s="219"/>
      <c r="D447" s="224"/>
    </row>
    <row r="448" spans="1:4">
      <c r="A448" s="216"/>
      <c r="B448" s="222"/>
      <c r="C448" s="219"/>
      <c r="D448" s="224"/>
    </row>
    <row r="449" spans="1:4">
      <c r="A449" s="216"/>
      <c r="B449" s="222"/>
      <c r="C449" s="219"/>
      <c r="D449" s="224"/>
    </row>
    <row r="450" spans="1:4">
      <c r="A450" s="216"/>
      <c r="B450" s="222"/>
      <c r="C450" s="219"/>
      <c r="D450" s="224"/>
    </row>
    <row r="451" spans="1:4">
      <c r="A451" s="216"/>
      <c r="B451" s="222"/>
      <c r="C451" s="219"/>
      <c r="D451" s="224"/>
    </row>
    <row r="452" spans="1:4">
      <c r="A452" s="216"/>
      <c r="B452" s="222"/>
      <c r="C452" s="219"/>
      <c r="D452" s="224"/>
    </row>
    <row r="453" spans="1:4">
      <c r="A453" s="216"/>
      <c r="B453" s="222"/>
      <c r="C453" s="219"/>
      <c r="D453" s="224"/>
    </row>
    <row r="454" spans="1:4">
      <c r="A454" s="216"/>
      <c r="B454" s="222"/>
      <c r="C454" s="219"/>
      <c r="D454" s="224"/>
    </row>
    <row r="455" spans="1:4">
      <c r="A455" s="216"/>
      <c r="B455" s="222"/>
      <c r="C455" s="219"/>
      <c r="D455" s="224"/>
    </row>
    <row r="456" spans="1:4">
      <c r="A456" s="216"/>
      <c r="B456" s="222"/>
      <c r="C456" s="219"/>
      <c r="D456" s="224"/>
    </row>
    <row r="457" spans="1:4">
      <c r="A457" s="216"/>
      <c r="B457" s="222"/>
      <c r="C457" s="219"/>
      <c r="D457" s="224"/>
    </row>
    <row r="458" spans="1:4">
      <c r="A458" s="216"/>
      <c r="B458" s="222"/>
      <c r="C458" s="219"/>
      <c r="D458" s="224"/>
    </row>
    <row r="459" spans="1:4">
      <c r="A459" s="216"/>
      <c r="B459" s="222"/>
      <c r="C459" s="219"/>
      <c r="D459" s="224"/>
    </row>
    <row r="460" spans="1:4">
      <c r="A460" s="216"/>
      <c r="B460" s="222"/>
      <c r="C460" s="219"/>
      <c r="D460" s="224"/>
    </row>
    <row r="461" spans="1:4">
      <c r="A461" s="216"/>
      <c r="B461" s="222"/>
      <c r="C461" s="219"/>
      <c r="D461" s="224"/>
    </row>
    <row r="462" spans="1:4">
      <c r="A462" s="216"/>
      <c r="B462" s="222"/>
      <c r="C462" s="219"/>
      <c r="D462" s="224"/>
    </row>
    <row r="463" spans="1:4">
      <c r="A463" s="216"/>
      <c r="B463" s="222"/>
      <c r="C463" s="219"/>
      <c r="D463" s="224"/>
    </row>
    <row r="464" spans="1:4">
      <c r="A464" s="216"/>
      <c r="B464" s="222"/>
      <c r="C464" s="219"/>
      <c r="D464" s="224"/>
    </row>
    <row r="465" spans="1:4">
      <c r="A465" s="216"/>
      <c r="B465" s="222"/>
      <c r="C465" s="219"/>
      <c r="D465" s="224"/>
    </row>
    <row r="466" spans="1:4">
      <c r="A466" s="216"/>
      <c r="B466" s="222"/>
      <c r="C466" s="219"/>
      <c r="D466" s="224"/>
    </row>
    <row r="467" spans="1:4">
      <c r="A467" s="216"/>
      <c r="B467" s="222"/>
      <c r="C467" s="219"/>
      <c r="D467" s="224"/>
    </row>
    <row r="468" spans="1:4">
      <c r="A468" s="216"/>
      <c r="B468" s="222"/>
      <c r="C468" s="219"/>
      <c r="D468" s="224"/>
    </row>
    <row r="469" spans="1:4">
      <c r="A469" s="216"/>
      <c r="B469" s="222"/>
      <c r="C469" s="219"/>
      <c r="D469" s="224"/>
    </row>
    <row r="470" spans="1:4">
      <c r="A470" s="216"/>
      <c r="B470" s="222"/>
      <c r="C470" s="219"/>
      <c r="D470" s="224"/>
    </row>
    <row r="471" spans="1:4">
      <c r="A471" s="216"/>
      <c r="B471" s="222"/>
      <c r="C471" s="219"/>
      <c r="D471" s="224"/>
    </row>
    <row r="472" spans="1:4">
      <c r="A472" s="216"/>
      <c r="B472" s="222"/>
      <c r="C472" s="219"/>
      <c r="D472" s="224"/>
    </row>
    <row r="473" spans="1:4">
      <c r="A473" s="216"/>
      <c r="B473" s="222"/>
      <c r="C473" s="219"/>
      <c r="D473" s="224"/>
    </row>
    <row r="474" spans="1:4">
      <c r="A474" s="216"/>
      <c r="B474" s="222"/>
      <c r="C474" s="219"/>
      <c r="D474" s="224"/>
    </row>
    <row r="475" spans="1:4">
      <c r="A475" s="216"/>
      <c r="B475" s="222"/>
      <c r="C475" s="219"/>
      <c r="D475" s="224"/>
    </row>
    <row r="476" spans="1:4">
      <c r="A476" s="216"/>
      <c r="B476" s="222"/>
      <c r="C476" s="219"/>
      <c r="D476" s="224"/>
    </row>
    <row r="477" spans="1:4">
      <c r="A477" s="216"/>
      <c r="B477" s="222"/>
      <c r="C477" s="219"/>
      <c r="D477" s="224"/>
    </row>
    <row r="478" spans="1:4">
      <c r="A478" s="216"/>
      <c r="B478" s="222"/>
      <c r="C478" s="219"/>
      <c r="D478" s="224"/>
    </row>
    <row r="479" spans="1:4">
      <c r="A479" s="216"/>
      <c r="B479" s="222"/>
      <c r="C479" s="219"/>
      <c r="D479" s="224"/>
    </row>
    <row r="480" spans="1:4">
      <c r="A480" s="216"/>
      <c r="B480" s="222"/>
      <c r="C480" s="219"/>
      <c r="D480" s="224"/>
    </row>
    <row r="481" spans="1:4">
      <c r="A481" s="216"/>
      <c r="B481" s="222"/>
      <c r="C481" s="219"/>
      <c r="D481" s="224"/>
    </row>
    <row r="482" spans="1:4">
      <c r="A482" s="216"/>
      <c r="B482" s="222"/>
      <c r="C482" s="219"/>
      <c r="D482" s="224"/>
    </row>
    <row r="483" spans="1:4">
      <c r="A483" s="216"/>
      <c r="B483" s="222"/>
      <c r="C483" s="219"/>
      <c r="D483" s="224"/>
    </row>
    <row r="484" spans="1:4">
      <c r="A484" s="216"/>
      <c r="B484" s="222"/>
      <c r="C484" s="219"/>
      <c r="D484" s="224"/>
    </row>
    <row r="485" spans="1:4">
      <c r="A485" s="216"/>
      <c r="B485" s="222"/>
      <c r="C485" s="219"/>
      <c r="D485" s="224"/>
    </row>
    <row r="486" spans="1:4">
      <c r="A486" s="216"/>
      <c r="B486" s="222"/>
      <c r="C486" s="219"/>
      <c r="D486" s="224"/>
    </row>
    <row r="487" spans="1:4">
      <c r="A487" s="216"/>
      <c r="B487" s="222"/>
      <c r="C487" s="219"/>
      <c r="D487" s="224"/>
    </row>
    <row r="488" spans="1:4">
      <c r="A488" s="216"/>
      <c r="B488" s="222"/>
      <c r="C488" s="219"/>
      <c r="D488" s="224"/>
    </row>
    <row r="489" spans="1:4">
      <c r="A489" s="216"/>
      <c r="B489" s="222"/>
      <c r="C489" s="219"/>
      <c r="D489" s="224"/>
    </row>
    <row r="490" spans="1:4">
      <c r="A490" s="216"/>
      <c r="B490" s="222"/>
      <c r="C490" s="219"/>
      <c r="D490" s="224"/>
    </row>
    <row r="491" spans="1:4">
      <c r="A491" s="216"/>
      <c r="B491" s="222"/>
      <c r="C491" s="219"/>
      <c r="D491" s="224"/>
    </row>
    <row r="492" spans="1:4">
      <c r="A492" s="216"/>
      <c r="B492" s="222"/>
      <c r="C492" s="219"/>
      <c r="D492" s="224"/>
    </row>
    <row r="493" spans="1:4">
      <c r="A493" s="216"/>
      <c r="B493" s="222"/>
      <c r="C493" s="219"/>
      <c r="D493" s="224"/>
    </row>
    <row r="494" spans="1:4">
      <c r="A494" s="216"/>
      <c r="B494" s="222"/>
      <c r="C494" s="219"/>
      <c r="D494" s="224"/>
    </row>
    <row r="495" spans="1:4">
      <c r="A495" s="216"/>
      <c r="B495" s="222"/>
      <c r="C495" s="219"/>
      <c r="D495" s="224"/>
    </row>
    <row r="496" spans="1:4">
      <c r="A496" s="216"/>
      <c r="B496" s="222"/>
      <c r="C496" s="219"/>
      <c r="D496" s="224"/>
    </row>
    <row r="497" spans="1:4">
      <c r="A497" s="216"/>
      <c r="B497" s="222"/>
      <c r="C497" s="219"/>
      <c r="D497" s="224"/>
    </row>
    <row r="498" spans="1:4">
      <c r="A498" s="216"/>
      <c r="B498" s="222"/>
      <c r="C498" s="219"/>
      <c r="D498" s="224"/>
    </row>
    <row r="499" spans="1:4">
      <c r="A499" s="216"/>
      <c r="B499" s="222"/>
      <c r="C499" s="219"/>
      <c r="D499" s="224"/>
    </row>
    <row r="500" spans="1:4">
      <c r="A500" s="216"/>
      <c r="B500" s="222"/>
      <c r="C500" s="219"/>
      <c r="D500" s="224"/>
    </row>
  </sheetData>
  <sheetProtection password="CC76" sheet="1" objects="1" scenarios="1"/>
  <mergeCells count="2">
    <mergeCell ref="A1:D1"/>
    <mergeCell ref="A2:D2"/>
  </mergeCells>
  <conditionalFormatting sqref="B6:B7 B18:B500">
    <cfRule type="expression" dxfId="2" priority="4" stopIfTrue="1">
      <formula>AND(ISTEXT(#REF!)=TRUE,B6&lt;&gt;"318",#REF!="equipment (0730)",ISTEXT(B6)=TRUE)</formula>
    </cfRule>
  </conditionalFormatting>
  <conditionalFormatting sqref="B9:B17 B19:B20 B22">
    <cfRule type="expression" dxfId="1" priority="3" stopIfTrue="1">
      <formula>AND(ISTEXT(#REF!)=TRUE,B9&lt;&gt;"318",#REF!="equipment (0730)",ISTEXT(B9)=TRUE)</formula>
    </cfRule>
  </conditionalFormatting>
  <dataValidations count="1">
    <dataValidation type="list" allowBlank="1" showInputMessage="1" showErrorMessage="1" sqref="A6:A65536">
      <formula1>objects</formula1>
    </dataValidation>
  </dataValidations>
  <pageMargins left="0.25" right="0.2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I150"/>
  <sheetViews>
    <sheetView zoomScaleNormal="100" workbookViewId="0">
      <pane ySplit="5" topLeftCell="A6" activePane="bottomLeft" state="frozen"/>
      <selection pane="bottomLeft" activeCell="C16" sqref="C16"/>
    </sheetView>
  </sheetViews>
  <sheetFormatPr defaultColWidth="0" defaultRowHeight="12.75" customHeight="1" zeroHeight="1"/>
  <cols>
    <col min="1" max="1" width="34.140625" style="231" customWidth="1"/>
    <col min="2" max="2" width="9.140625" style="231" hidden="1" customWidth="1"/>
    <col min="3" max="3" width="9.140625" style="231" customWidth="1"/>
    <col min="4" max="4" width="12.5703125" style="181" customWidth="1"/>
    <col min="5" max="5" width="12.5703125" style="231" customWidth="1"/>
    <col min="6" max="6" width="34.42578125" style="231" customWidth="1"/>
    <col min="7" max="9" width="17" style="170" hidden="1" customWidth="1"/>
    <col min="10" max="16384" width="0" style="170" hidden="1"/>
  </cols>
  <sheetData>
    <row r="1" spans="1:6" ht="18.75">
      <c r="A1" s="245" t="str">
        <f>'6- AFR Detail'!A1:D1</f>
        <v>School Improvement Support Grant</v>
      </c>
      <c r="B1" s="245"/>
      <c r="C1" s="245"/>
      <c r="D1" s="245"/>
      <c r="E1" s="245"/>
      <c r="F1" s="245"/>
    </row>
    <row r="2" spans="1:6" ht="18.75">
      <c r="A2" s="245" t="s">
        <v>393</v>
      </c>
      <c r="B2" s="245"/>
      <c r="C2" s="245"/>
      <c r="D2" s="245"/>
      <c r="E2" s="245"/>
      <c r="F2" s="245"/>
    </row>
    <row r="3" spans="1:6">
      <c r="A3" s="188">
        <f>'2-Cover Page'!C5</f>
        <v>0</v>
      </c>
      <c r="B3" s="227"/>
      <c r="C3" s="228"/>
      <c r="D3" s="172"/>
      <c r="E3" s="229"/>
      <c r="F3" s="193">
        <f>'2-Cover Page'!C11</f>
        <v>0</v>
      </c>
    </row>
    <row r="4" spans="1:6" s="230" customFormat="1">
      <c r="A4" s="98">
        <v>1</v>
      </c>
      <c r="B4" s="84">
        <v>2</v>
      </c>
      <c r="C4" s="86">
        <v>2</v>
      </c>
      <c r="D4" s="86">
        <v>3</v>
      </c>
      <c r="E4" s="101">
        <v>4</v>
      </c>
      <c r="F4" s="101">
        <v>5</v>
      </c>
    </row>
    <row r="5" spans="1:6" ht="25.5" customHeight="1">
      <c r="A5" s="98" t="s">
        <v>29</v>
      </c>
      <c r="B5" s="99" t="s">
        <v>30</v>
      </c>
      <c r="C5" s="81" t="s">
        <v>392</v>
      </c>
      <c r="D5" s="82" t="s">
        <v>32</v>
      </c>
      <c r="E5" s="194" t="s">
        <v>384</v>
      </c>
      <c r="F5" s="81" t="s">
        <v>33</v>
      </c>
    </row>
    <row r="6" spans="1:6">
      <c r="A6" s="175"/>
      <c r="C6" s="184"/>
      <c r="E6" s="232"/>
      <c r="F6" s="183"/>
    </row>
    <row r="7" spans="1:6">
      <c r="A7" s="175"/>
      <c r="C7" s="184"/>
      <c r="E7" s="232"/>
      <c r="F7" s="183"/>
    </row>
    <row r="8" spans="1:6">
      <c r="A8" s="175"/>
      <c r="C8" s="184"/>
      <c r="E8" s="232"/>
      <c r="F8" s="183"/>
    </row>
    <row r="9" spans="1:6">
      <c r="A9" s="175"/>
      <c r="C9" s="184"/>
      <c r="E9" s="232"/>
      <c r="F9" s="183"/>
    </row>
    <row r="10" spans="1:6">
      <c r="A10" s="175"/>
      <c r="C10" s="184"/>
      <c r="E10" s="232"/>
      <c r="F10" s="183"/>
    </row>
    <row r="11" spans="1:6">
      <c r="A11" s="175"/>
      <c r="C11" s="184"/>
      <c r="E11" s="232"/>
      <c r="F11" s="183"/>
    </row>
    <row r="12" spans="1:6">
      <c r="A12" s="175"/>
      <c r="C12" s="184"/>
      <c r="E12" s="232"/>
      <c r="F12" s="183"/>
    </row>
    <row r="13" spans="1:6">
      <c r="A13" s="175"/>
      <c r="C13" s="184"/>
      <c r="E13" s="232"/>
      <c r="F13" s="183"/>
    </row>
    <row r="14" spans="1:6">
      <c r="A14" s="175"/>
      <c r="C14" s="184"/>
      <c r="E14" s="232"/>
      <c r="F14" s="183"/>
    </row>
    <row r="15" spans="1:6">
      <c r="A15" s="175"/>
      <c r="C15" s="184"/>
      <c r="E15" s="232"/>
      <c r="F15" s="183"/>
    </row>
    <row r="16" spans="1:6">
      <c r="A16" s="175"/>
      <c r="C16" s="184"/>
      <c r="E16" s="232"/>
      <c r="F16" s="183"/>
    </row>
    <row r="17" spans="1:6">
      <c r="A17" s="175"/>
      <c r="C17" s="184"/>
      <c r="E17" s="232"/>
      <c r="F17" s="183"/>
    </row>
    <row r="18" spans="1:6">
      <c r="A18" s="175"/>
      <c r="C18" s="184"/>
      <c r="E18" s="232"/>
      <c r="F18" s="183"/>
    </row>
    <row r="19" spans="1:6">
      <c r="A19" s="175"/>
      <c r="C19" s="184"/>
      <c r="E19" s="232"/>
      <c r="F19" s="183"/>
    </row>
    <row r="20" spans="1:6">
      <c r="A20" s="175"/>
      <c r="C20" s="184"/>
      <c r="E20" s="232"/>
      <c r="F20" s="183"/>
    </row>
    <row r="21" spans="1:6">
      <c r="A21" s="175"/>
      <c r="C21" s="184"/>
      <c r="E21" s="232"/>
      <c r="F21" s="183"/>
    </row>
    <row r="22" spans="1:6">
      <c r="A22" s="175"/>
      <c r="C22" s="184"/>
      <c r="E22" s="232"/>
      <c r="F22" s="183"/>
    </row>
    <row r="23" spans="1:6">
      <c r="A23" s="175"/>
      <c r="C23" s="184"/>
      <c r="E23" s="232"/>
      <c r="F23" s="183"/>
    </row>
    <row r="24" spans="1:6">
      <c r="A24" s="175"/>
      <c r="C24" s="184"/>
      <c r="E24" s="232"/>
      <c r="F24" s="183"/>
    </row>
    <row r="25" spans="1:6">
      <c r="A25" s="175"/>
      <c r="C25" s="184"/>
      <c r="E25" s="232"/>
      <c r="F25" s="183"/>
    </row>
    <row r="26" spans="1:6">
      <c r="A26" s="175"/>
      <c r="C26" s="184"/>
      <c r="E26" s="232"/>
      <c r="F26" s="183"/>
    </row>
    <row r="27" spans="1:6">
      <c r="A27" s="175"/>
      <c r="C27" s="184"/>
      <c r="E27" s="232"/>
      <c r="F27" s="183"/>
    </row>
    <row r="28" spans="1:6">
      <c r="A28" s="175"/>
      <c r="C28" s="184"/>
      <c r="E28" s="232"/>
      <c r="F28" s="183"/>
    </row>
    <row r="29" spans="1:6">
      <c r="A29" s="175"/>
      <c r="C29" s="184"/>
      <c r="E29" s="232"/>
      <c r="F29" s="183"/>
    </row>
    <row r="30" spans="1:6">
      <c r="A30" s="175"/>
      <c r="C30" s="184"/>
      <c r="E30" s="232"/>
      <c r="F30" s="183"/>
    </row>
    <row r="31" spans="1:6">
      <c r="A31" s="175"/>
      <c r="C31" s="184"/>
      <c r="E31" s="232"/>
      <c r="F31" s="183"/>
    </row>
    <row r="32" spans="1:6">
      <c r="A32" s="175"/>
      <c r="C32" s="184"/>
      <c r="E32" s="232"/>
      <c r="F32" s="183"/>
    </row>
    <row r="33" spans="1:6">
      <c r="A33" s="175"/>
      <c r="C33" s="184"/>
      <c r="E33" s="232"/>
      <c r="F33" s="183"/>
    </row>
    <row r="34" spans="1:6">
      <c r="A34" s="175"/>
      <c r="C34" s="184"/>
      <c r="E34" s="232"/>
      <c r="F34" s="183"/>
    </row>
    <row r="35" spans="1:6">
      <c r="A35" s="175"/>
      <c r="C35" s="184"/>
      <c r="E35" s="232"/>
      <c r="F35" s="183"/>
    </row>
    <row r="36" spans="1:6">
      <c r="A36" s="175"/>
      <c r="C36" s="184"/>
      <c r="E36" s="232"/>
      <c r="F36" s="183"/>
    </row>
    <row r="37" spans="1:6">
      <c r="A37" s="175"/>
      <c r="C37" s="184"/>
      <c r="E37" s="232"/>
      <c r="F37" s="183"/>
    </row>
    <row r="38" spans="1:6">
      <c r="A38" s="175"/>
      <c r="C38" s="184"/>
      <c r="E38" s="232"/>
      <c r="F38" s="183"/>
    </row>
    <row r="39" spans="1:6">
      <c r="A39" s="175"/>
      <c r="C39" s="184"/>
      <c r="E39" s="232"/>
      <c r="F39" s="183"/>
    </row>
    <row r="40" spans="1:6">
      <c r="A40" s="175"/>
      <c r="C40" s="184"/>
      <c r="E40" s="232"/>
      <c r="F40" s="183"/>
    </row>
    <row r="41" spans="1:6">
      <c r="A41" s="175"/>
      <c r="C41" s="184"/>
      <c r="E41" s="232"/>
      <c r="F41" s="183"/>
    </row>
    <row r="42" spans="1:6">
      <c r="A42" s="175"/>
      <c r="C42" s="184"/>
      <c r="E42" s="232"/>
      <c r="F42" s="183"/>
    </row>
    <row r="43" spans="1:6">
      <c r="A43" s="175"/>
      <c r="C43" s="184"/>
      <c r="E43" s="232"/>
      <c r="F43" s="183"/>
    </row>
    <row r="44" spans="1:6">
      <c r="A44" s="175"/>
      <c r="C44" s="184"/>
      <c r="E44" s="232"/>
      <c r="F44" s="183"/>
    </row>
    <row r="45" spans="1:6">
      <c r="A45" s="175"/>
      <c r="C45" s="184"/>
      <c r="E45" s="232"/>
      <c r="F45" s="183"/>
    </row>
    <row r="46" spans="1:6">
      <c r="A46" s="175"/>
      <c r="C46" s="184"/>
      <c r="E46" s="232"/>
      <c r="F46" s="183"/>
    </row>
    <row r="47" spans="1:6">
      <c r="A47" s="175"/>
      <c r="C47" s="184"/>
      <c r="E47" s="232"/>
      <c r="F47" s="183"/>
    </row>
    <row r="48" spans="1:6">
      <c r="A48" s="175"/>
      <c r="C48" s="184"/>
      <c r="E48" s="232"/>
      <c r="F48" s="183"/>
    </row>
    <row r="49" spans="1:6">
      <c r="A49" s="175"/>
      <c r="C49" s="184"/>
      <c r="E49" s="232"/>
      <c r="F49" s="183"/>
    </row>
    <row r="50" spans="1:6">
      <c r="A50" s="175"/>
      <c r="C50" s="184"/>
      <c r="E50" s="232"/>
      <c r="F50" s="183"/>
    </row>
    <row r="51" spans="1:6">
      <c r="A51" s="175"/>
      <c r="C51" s="184"/>
      <c r="E51" s="232"/>
      <c r="F51" s="183"/>
    </row>
    <row r="52" spans="1:6">
      <c r="A52" s="175"/>
      <c r="C52" s="184"/>
      <c r="E52" s="232"/>
      <c r="F52" s="183"/>
    </row>
    <row r="53" spans="1:6">
      <c r="A53" s="175"/>
      <c r="C53" s="184"/>
      <c r="E53" s="232"/>
      <c r="F53" s="183"/>
    </row>
    <row r="54" spans="1:6">
      <c r="A54" s="175"/>
      <c r="C54" s="184"/>
      <c r="E54" s="232"/>
      <c r="F54" s="183"/>
    </row>
    <row r="55" spans="1:6">
      <c r="A55" s="175"/>
      <c r="C55" s="184"/>
      <c r="E55" s="232"/>
      <c r="F55" s="183"/>
    </row>
    <row r="56" spans="1:6">
      <c r="A56" s="175"/>
      <c r="C56" s="184"/>
      <c r="E56" s="232"/>
      <c r="F56" s="183"/>
    </row>
    <row r="57" spans="1:6">
      <c r="A57" s="175"/>
      <c r="C57" s="184"/>
      <c r="E57" s="232"/>
      <c r="F57" s="183"/>
    </row>
    <row r="58" spans="1:6">
      <c r="A58" s="175"/>
      <c r="C58" s="184"/>
      <c r="E58" s="232"/>
      <c r="F58" s="183"/>
    </row>
    <row r="59" spans="1:6">
      <c r="A59" s="175"/>
      <c r="C59" s="184"/>
      <c r="E59" s="232"/>
      <c r="F59" s="183"/>
    </row>
    <row r="60" spans="1:6">
      <c r="A60" s="175"/>
      <c r="C60" s="184"/>
      <c r="E60" s="232"/>
      <c r="F60" s="183"/>
    </row>
    <row r="61" spans="1:6">
      <c r="A61" s="175"/>
      <c r="C61" s="184"/>
      <c r="E61" s="232"/>
      <c r="F61" s="183"/>
    </row>
    <row r="62" spans="1:6">
      <c r="A62" s="175"/>
      <c r="C62" s="184"/>
      <c r="E62" s="232"/>
      <c r="F62" s="183"/>
    </row>
    <row r="63" spans="1:6">
      <c r="A63" s="175"/>
      <c r="C63" s="184"/>
      <c r="E63" s="232"/>
      <c r="F63" s="183"/>
    </row>
    <row r="64" spans="1:6">
      <c r="A64" s="175"/>
      <c r="C64" s="184"/>
      <c r="E64" s="232"/>
      <c r="F64" s="183"/>
    </row>
    <row r="65" spans="1:6">
      <c r="A65" s="175"/>
      <c r="C65" s="184"/>
      <c r="E65" s="232"/>
      <c r="F65" s="183"/>
    </row>
    <row r="66" spans="1:6">
      <c r="A66" s="175"/>
      <c r="C66" s="184"/>
      <c r="E66" s="232"/>
      <c r="F66" s="183"/>
    </row>
    <row r="67" spans="1:6">
      <c r="A67" s="175"/>
      <c r="C67" s="184"/>
      <c r="E67" s="232"/>
      <c r="F67" s="183"/>
    </row>
    <row r="68" spans="1:6">
      <c r="A68" s="175"/>
      <c r="C68" s="184"/>
      <c r="E68" s="232"/>
      <c r="F68" s="183"/>
    </row>
    <row r="69" spans="1:6">
      <c r="A69" s="175"/>
      <c r="C69" s="184"/>
      <c r="E69" s="232"/>
      <c r="F69" s="183"/>
    </row>
    <row r="70" spans="1:6">
      <c r="A70" s="175"/>
      <c r="C70" s="184"/>
      <c r="E70" s="232"/>
      <c r="F70" s="183"/>
    </row>
    <row r="71" spans="1:6">
      <c r="A71" s="175"/>
      <c r="C71" s="184"/>
      <c r="E71" s="232"/>
      <c r="F71" s="183"/>
    </row>
    <row r="72" spans="1:6">
      <c r="A72" s="175"/>
      <c r="C72" s="184"/>
      <c r="E72" s="232"/>
      <c r="F72" s="183"/>
    </row>
    <row r="73" spans="1:6">
      <c r="A73" s="175"/>
      <c r="C73" s="184"/>
      <c r="E73" s="232"/>
      <c r="F73" s="183"/>
    </row>
    <row r="74" spans="1:6">
      <c r="A74" s="175"/>
      <c r="C74" s="184"/>
      <c r="E74" s="232"/>
      <c r="F74" s="183"/>
    </row>
    <row r="75" spans="1:6">
      <c r="A75" s="175"/>
      <c r="C75" s="184"/>
      <c r="E75" s="232"/>
      <c r="F75" s="183"/>
    </row>
    <row r="76" spans="1:6">
      <c r="A76" s="175"/>
      <c r="C76" s="184"/>
      <c r="E76" s="232"/>
      <c r="F76" s="183"/>
    </row>
    <row r="77" spans="1:6">
      <c r="A77" s="175"/>
      <c r="C77" s="184"/>
      <c r="E77" s="232"/>
      <c r="F77" s="183"/>
    </row>
    <row r="78" spans="1:6">
      <c r="A78" s="175"/>
      <c r="C78" s="184"/>
      <c r="E78" s="232"/>
      <c r="F78" s="183"/>
    </row>
    <row r="79" spans="1:6">
      <c r="A79" s="175"/>
      <c r="C79" s="184"/>
      <c r="E79" s="232"/>
      <c r="F79" s="183"/>
    </row>
    <row r="80" spans="1:6">
      <c r="A80" s="175"/>
      <c r="C80" s="184"/>
      <c r="E80" s="232"/>
      <c r="F80" s="183"/>
    </row>
    <row r="81" spans="1:6">
      <c r="A81" s="175"/>
      <c r="C81" s="184"/>
      <c r="E81" s="232"/>
      <c r="F81" s="183"/>
    </row>
    <row r="82" spans="1:6">
      <c r="A82" s="175"/>
      <c r="C82" s="184"/>
      <c r="E82" s="232"/>
      <c r="F82" s="183"/>
    </row>
    <row r="83" spans="1:6">
      <c r="A83" s="175"/>
      <c r="C83" s="184"/>
      <c r="E83" s="232"/>
      <c r="F83" s="183"/>
    </row>
    <row r="84" spans="1:6">
      <c r="A84" s="175"/>
      <c r="C84" s="184"/>
      <c r="E84" s="232"/>
      <c r="F84" s="183"/>
    </row>
    <row r="85" spans="1:6">
      <c r="A85" s="175"/>
      <c r="C85" s="184"/>
      <c r="E85" s="232"/>
      <c r="F85" s="183"/>
    </row>
    <row r="86" spans="1:6">
      <c r="A86" s="175"/>
      <c r="C86" s="184"/>
      <c r="E86" s="232"/>
      <c r="F86" s="183"/>
    </row>
    <row r="87" spans="1:6">
      <c r="A87" s="175"/>
      <c r="C87" s="184"/>
      <c r="E87" s="232"/>
      <c r="F87" s="183"/>
    </row>
    <row r="88" spans="1:6">
      <c r="A88" s="175"/>
      <c r="C88" s="184"/>
      <c r="E88" s="232"/>
      <c r="F88" s="183"/>
    </row>
    <row r="89" spans="1:6">
      <c r="A89" s="175"/>
      <c r="C89" s="184"/>
      <c r="E89" s="232"/>
      <c r="F89" s="183"/>
    </row>
    <row r="90" spans="1:6">
      <c r="A90" s="175"/>
      <c r="C90" s="184"/>
      <c r="E90" s="232"/>
      <c r="F90" s="183"/>
    </row>
    <row r="91" spans="1:6">
      <c r="A91" s="175"/>
      <c r="C91" s="184"/>
      <c r="E91" s="232"/>
      <c r="F91" s="183"/>
    </row>
    <row r="92" spans="1:6">
      <c r="A92" s="175"/>
      <c r="C92" s="184"/>
      <c r="E92" s="232"/>
      <c r="F92" s="183"/>
    </row>
    <row r="93" spans="1:6">
      <c r="A93" s="175"/>
      <c r="C93" s="184"/>
      <c r="E93" s="232"/>
      <c r="F93" s="183"/>
    </row>
    <row r="94" spans="1:6">
      <c r="A94" s="175"/>
      <c r="C94" s="184"/>
      <c r="E94" s="232"/>
      <c r="F94" s="183"/>
    </row>
    <row r="95" spans="1:6">
      <c r="A95" s="175"/>
      <c r="C95" s="184"/>
      <c r="E95" s="232"/>
      <c r="F95" s="183"/>
    </row>
    <row r="96" spans="1:6">
      <c r="A96" s="175"/>
      <c r="C96" s="184"/>
      <c r="E96" s="232"/>
      <c r="F96" s="183"/>
    </row>
    <row r="97" spans="1:6">
      <c r="A97" s="175"/>
      <c r="C97" s="184"/>
      <c r="E97" s="232"/>
      <c r="F97" s="183"/>
    </row>
    <row r="98" spans="1:6">
      <c r="A98" s="175"/>
      <c r="C98" s="184"/>
      <c r="E98" s="232"/>
      <c r="F98" s="183"/>
    </row>
    <row r="99" spans="1:6">
      <c r="A99" s="175"/>
      <c r="C99" s="184"/>
      <c r="E99" s="232"/>
      <c r="F99" s="183"/>
    </row>
    <row r="100" spans="1:6" hidden="1">
      <c r="A100" s="175"/>
      <c r="C100" s="184"/>
      <c r="E100" s="232"/>
      <c r="F100" s="232"/>
    </row>
    <row r="101" spans="1:6" hidden="1">
      <c r="A101" s="175"/>
      <c r="C101" s="184"/>
      <c r="E101" s="232"/>
      <c r="F101" s="232"/>
    </row>
    <row r="102" spans="1:6" hidden="1">
      <c r="A102" s="175"/>
      <c r="C102" s="184"/>
      <c r="E102" s="232"/>
      <c r="F102" s="232"/>
    </row>
    <row r="103" spans="1:6" hidden="1">
      <c r="A103" s="175"/>
      <c r="C103" s="184"/>
      <c r="E103" s="232"/>
      <c r="F103" s="232"/>
    </row>
    <row r="104" spans="1:6" hidden="1">
      <c r="A104" s="175"/>
      <c r="C104" s="184"/>
      <c r="E104" s="232"/>
      <c r="F104" s="232"/>
    </row>
    <row r="105" spans="1:6" hidden="1">
      <c r="A105" s="175"/>
      <c r="C105" s="184"/>
      <c r="E105" s="232"/>
      <c r="F105" s="232"/>
    </row>
    <row r="106" spans="1:6" hidden="1">
      <c r="A106" s="175"/>
      <c r="C106" s="184"/>
      <c r="E106" s="232"/>
      <c r="F106" s="232"/>
    </row>
    <row r="107" spans="1:6" hidden="1">
      <c r="A107" s="175"/>
      <c r="C107" s="184"/>
      <c r="E107" s="232"/>
      <c r="F107" s="232"/>
    </row>
    <row r="108" spans="1:6" hidden="1">
      <c r="A108" s="175"/>
      <c r="C108" s="184"/>
      <c r="E108" s="232"/>
      <c r="F108" s="232"/>
    </row>
    <row r="109" spans="1:6" hidden="1">
      <c r="A109" s="175"/>
      <c r="C109" s="184"/>
      <c r="E109" s="232"/>
      <c r="F109" s="232"/>
    </row>
    <row r="110" spans="1:6" hidden="1">
      <c r="A110" s="175"/>
      <c r="C110" s="184"/>
      <c r="E110" s="232"/>
      <c r="F110" s="232"/>
    </row>
    <row r="111" spans="1:6" hidden="1">
      <c r="A111" s="175"/>
      <c r="C111" s="184"/>
      <c r="E111" s="232"/>
      <c r="F111" s="232"/>
    </row>
    <row r="112" spans="1:6" hidden="1">
      <c r="A112" s="175"/>
      <c r="C112" s="184"/>
      <c r="E112" s="232"/>
      <c r="F112" s="232"/>
    </row>
    <row r="113" spans="1:6" hidden="1">
      <c r="A113" s="175"/>
      <c r="C113" s="184"/>
      <c r="E113" s="232"/>
      <c r="F113" s="232"/>
    </row>
    <row r="114" spans="1:6" hidden="1">
      <c r="A114" s="175"/>
      <c r="C114" s="184"/>
      <c r="E114" s="232"/>
      <c r="F114" s="232"/>
    </row>
    <row r="115" spans="1:6" hidden="1">
      <c r="A115" s="175"/>
      <c r="C115" s="184"/>
      <c r="E115" s="232"/>
      <c r="F115" s="232"/>
    </row>
    <row r="116" spans="1:6" hidden="1">
      <c r="A116" s="175"/>
      <c r="C116" s="184"/>
      <c r="E116" s="232"/>
      <c r="F116" s="232"/>
    </row>
    <row r="117" spans="1:6" hidden="1">
      <c r="A117" s="175"/>
      <c r="C117" s="184"/>
      <c r="E117" s="232"/>
      <c r="F117" s="232"/>
    </row>
    <row r="118" spans="1:6" hidden="1">
      <c r="A118" s="175"/>
      <c r="C118" s="184"/>
      <c r="E118" s="232"/>
      <c r="F118" s="232"/>
    </row>
    <row r="119" spans="1:6" hidden="1">
      <c r="A119" s="175"/>
      <c r="C119" s="184"/>
      <c r="E119" s="232"/>
      <c r="F119" s="232"/>
    </row>
    <row r="120" spans="1:6" hidden="1">
      <c r="A120" s="175"/>
      <c r="C120" s="184"/>
      <c r="E120" s="232"/>
      <c r="F120" s="232"/>
    </row>
    <row r="121" spans="1:6" hidden="1">
      <c r="A121" s="175"/>
      <c r="C121" s="184"/>
      <c r="E121" s="232"/>
      <c r="F121" s="232"/>
    </row>
    <row r="122" spans="1:6" hidden="1">
      <c r="A122" s="175"/>
      <c r="C122" s="184"/>
      <c r="E122" s="232"/>
      <c r="F122" s="232"/>
    </row>
    <row r="123" spans="1:6" hidden="1">
      <c r="A123" s="175"/>
      <c r="C123" s="184"/>
      <c r="E123" s="232"/>
      <c r="F123" s="232"/>
    </row>
    <row r="124" spans="1:6" hidden="1">
      <c r="A124" s="175"/>
      <c r="C124" s="184"/>
      <c r="E124" s="232"/>
      <c r="F124" s="232"/>
    </row>
    <row r="125" spans="1:6" hidden="1">
      <c r="A125" s="175"/>
      <c r="C125" s="184"/>
      <c r="E125" s="232"/>
      <c r="F125" s="232"/>
    </row>
    <row r="126" spans="1:6" hidden="1">
      <c r="A126" s="175"/>
      <c r="C126" s="184"/>
      <c r="E126" s="232"/>
      <c r="F126" s="232"/>
    </row>
    <row r="127" spans="1:6" hidden="1">
      <c r="A127" s="175"/>
      <c r="C127" s="184"/>
      <c r="E127" s="232"/>
      <c r="F127" s="232"/>
    </row>
    <row r="128" spans="1:6" hidden="1">
      <c r="A128" s="175"/>
      <c r="C128" s="184"/>
      <c r="E128" s="232"/>
      <c r="F128" s="232"/>
    </row>
    <row r="129" spans="1:6" hidden="1">
      <c r="A129" s="175"/>
      <c r="C129" s="184"/>
      <c r="E129" s="232"/>
      <c r="F129" s="232"/>
    </row>
    <row r="130" spans="1:6" hidden="1">
      <c r="A130" s="175"/>
      <c r="C130" s="184"/>
      <c r="E130" s="232"/>
      <c r="F130" s="232"/>
    </row>
    <row r="131" spans="1:6" hidden="1">
      <c r="A131" s="175"/>
      <c r="C131" s="184"/>
      <c r="E131" s="232"/>
      <c r="F131" s="232"/>
    </row>
    <row r="132" spans="1:6" hidden="1">
      <c r="A132" s="175"/>
      <c r="C132" s="184"/>
      <c r="E132" s="232"/>
      <c r="F132" s="232"/>
    </row>
    <row r="133" spans="1:6" hidden="1">
      <c r="A133" s="175"/>
      <c r="C133" s="184"/>
      <c r="E133" s="232"/>
      <c r="F133" s="232"/>
    </row>
    <row r="134" spans="1:6" hidden="1">
      <c r="A134" s="175"/>
      <c r="C134" s="184"/>
      <c r="E134" s="232"/>
      <c r="F134" s="232"/>
    </row>
    <row r="135" spans="1:6" hidden="1">
      <c r="A135" s="175"/>
      <c r="C135" s="184"/>
      <c r="E135" s="232"/>
      <c r="F135" s="232"/>
    </row>
    <row r="136" spans="1:6" hidden="1">
      <c r="A136" s="175"/>
      <c r="C136" s="184"/>
      <c r="E136" s="232"/>
      <c r="F136" s="232"/>
    </row>
    <row r="137" spans="1:6" hidden="1">
      <c r="A137" s="175"/>
      <c r="C137" s="184"/>
      <c r="E137" s="232"/>
      <c r="F137" s="232"/>
    </row>
    <row r="138" spans="1:6" hidden="1">
      <c r="A138" s="175"/>
      <c r="C138" s="184"/>
      <c r="E138" s="232"/>
      <c r="F138" s="232"/>
    </row>
    <row r="139" spans="1:6" hidden="1">
      <c r="A139" s="175"/>
      <c r="C139" s="184"/>
      <c r="E139" s="232"/>
      <c r="F139" s="232"/>
    </row>
    <row r="140" spans="1:6" hidden="1">
      <c r="A140" s="175"/>
      <c r="C140" s="184"/>
      <c r="E140" s="232"/>
      <c r="F140" s="232"/>
    </row>
    <row r="141" spans="1:6" hidden="1">
      <c r="A141" s="175"/>
      <c r="C141" s="184"/>
      <c r="E141" s="232"/>
      <c r="F141" s="232"/>
    </row>
    <row r="142" spans="1:6" hidden="1">
      <c r="A142" s="175"/>
      <c r="C142" s="184"/>
      <c r="E142" s="232"/>
      <c r="F142" s="232"/>
    </row>
    <row r="143" spans="1:6" hidden="1">
      <c r="A143" s="175"/>
      <c r="C143" s="184"/>
      <c r="E143" s="232"/>
      <c r="F143" s="232"/>
    </row>
    <row r="144" spans="1:6" hidden="1">
      <c r="A144" s="175"/>
      <c r="C144" s="184"/>
      <c r="E144" s="232"/>
      <c r="F144" s="232"/>
    </row>
    <row r="145" spans="1:6" hidden="1">
      <c r="A145" s="175"/>
      <c r="C145" s="184"/>
      <c r="E145" s="232"/>
      <c r="F145" s="232"/>
    </row>
    <row r="146" spans="1:6" hidden="1">
      <c r="A146" s="175"/>
      <c r="C146" s="184"/>
      <c r="E146" s="232"/>
      <c r="F146" s="232"/>
    </row>
    <row r="147" spans="1:6" hidden="1">
      <c r="A147" s="175"/>
      <c r="C147" s="184"/>
      <c r="E147" s="232"/>
      <c r="F147" s="232"/>
    </row>
    <row r="148" spans="1:6" hidden="1">
      <c r="A148" s="175"/>
      <c r="C148" s="184"/>
      <c r="E148" s="232"/>
      <c r="F148" s="232"/>
    </row>
    <row r="149" spans="1:6" hidden="1"/>
    <row r="150" spans="1:6" ht="12.75" customHeight="1"/>
  </sheetData>
  <sheetProtection password="CC76" sheet="1" objects="1" scenarios="1"/>
  <mergeCells count="2">
    <mergeCell ref="A1:F1"/>
    <mergeCell ref="A2:F2"/>
  </mergeCells>
  <dataValidations count="2">
    <dataValidation type="whole" allowBlank="1" showInputMessage="1" showErrorMessage="1" sqref="D6:D148">
      <formula1>1</formula1>
      <formula2>99999999</formula2>
    </dataValidation>
    <dataValidation type="list" allowBlank="1" showInputMessage="1" showErrorMessage="1" sqref="E6:E150">
      <formula1>capitalized</formula1>
    </dataValidation>
  </dataValidations>
  <pageMargins left="0.5" right="0.5" top="0.75" bottom="0.75" header="0.5" footer="0.5"/>
  <pageSetup scale="75" orientation="portrait" r:id="rId1"/>
  <headerFooter alignWithMargins="0">
    <oddFooter>&amp;LPage &amp;P of &amp;N&amp;C&amp;D &amp;T&amp;R&amp;A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8">
    <pageSetUpPr fitToPage="1"/>
  </sheetPr>
  <dimension ref="A1:IU50"/>
  <sheetViews>
    <sheetView showGridLines="0" defaultGridColor="0" colorId="22" zoomScaleNormal="100" workbookViewId="0">
      <selection activeCell="E19" sqref="E19"/>
    </sheetView>
  </sheetViews>
  <sheetFormatPr defaultColWidth="0" defaultRowHeight="12.75" zeroHeight="1"/>
  <cols>
    <col min="1" max="1" width="6.28515625" style="104" customWidth="1"/>
    <col min="2" max="2" width="4.5703125" style="104" customWidth="1"/>
    <col min="3" max="3" width="48.28515625" style="104" customWidth="1"/>
    <col min="4" max="5" width="12.7109375" style="104" customWidth="1"/>
    <col min="6" max="6" width="11.85546875" style="104" bestFit="1" customWidth="1"/>
    <col min="7" max="7" width="20.140625" style="104" bestFit="1" customWidth="1"/>
    <col min="8" max="8" width="11.85546875" style="104" bestFit="1" customWidth="1"/>
    <col min="9" max="9" width="20.140625" style="104" hidden="1" customWidth="1"/>
    <col min="10" max="10" width="11.85546875" style="38" hidden="1" customWidth="1"/>
    <col min="11" max="11" width="20.140625" style="104" hidden="1" customWidth="1"/>
    <col min="12" max="12" width="11.85546875" style="104" hidden="1" customWidth="1"/>
    <col min="13" max="13" width="20.140625" style="104" hidden="1" customWidth="1"/>
    <col min="14" max="255" width="14.7109375" style="104" hidden="1" customWidth="1"/>
    <col min="256" max="16384" width="6.28515625" style="104" hidden="1"/>
  </cols>
  <sheetData>
    <row r="1" spans="1:13" s="133" customFormat="1" ht="15.75" customHeight="1" thickBot="1">
      <c r="A1" s="258" t="str">
        <f>'7-AFR Equipment Detail'!A1:F1</f>
        <v>School Improvement Support Grant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s="262" customFormat="1" ht="15" customHeight="1" thickBot="1">
      <c r="A2" s="260" t="s">
        <v>357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</row>
    <row r="3" spans="1:13" s="133" customFormat="1" ht="18" customHeight="1">
      <c r="A3" s="261" t="s">
        <v>394</v>
      </c>
      <c r="B3" s="261"/>
      <c r="C3" s="261"/>
      <c r="D3" s="261"/>
      <c r="E3" s="261"/>
      <c r="F3" s="261"/>
      <c r="G3" s="261"/>
      <c r="H3" s="261"/>
      <c r="I3" s="261"/>
      <c r="J3" s="134"/>
    </row>
    <row r="4" spans="1:13">
      <c r="A4" s="105"/>
      <c r="B4" s="105"/>
      <c r="C4" s="105"/>
      <c r="D4" s="105"/>
      <c r="E4" s="105"/>
      <c r="F4" s="105"/>
      <c r="G4" s="105"/>
      <c r="H4" s="105"/>
      <c r="I4" s="38"/>
    </row>
    <row r="5" spans="1:13" ht="15.75" customHeight="1">
      <c r="A5" s="263" t="s">
        <v>343</v>
      </c>
      <c r="B5" s="263"/>
      <c r="C5" s="136" t="e">
        <f>+'2-Cover Page'!C7:D7</f>
        <v>#N/A</v>
      </c>
      <c r="D5" s="105"/>
      <c r="E5" s="105"/>
      <c r="F5" s="105"/>
      <c r="G5" s="105"/>
      <c r="H5" s="105"/>
      <c r="I5" s="38"/>
    </row>
    <row r="6" spans="1:13" ht="16.5" customHeight="1">
      <c r="A6" s="256" t="s">
        <v>385</v>
      </c>
      <c r="B6" s="256"/>
      <c r="C6" s="135">
        <f>'2-Cover Page'!C5:D5</f>
        <v>0</v>
      </c>
      <c r="D6" s="105"/>
      <c r="E6" s="105"/>
      <c r="F6" s="105"/>
      <c r="G6" s="106"/>
      <c r="H6" s="107"/>
      <c r="I6" s="107"/>
    </row>
    <row r="7" spans="1:13">
      <c r="A7" s="257"/>
      <c r="B7" s="257"/>
      <c r="C7" s="108" t="s">
        <v>404</v>
      </c>
      <c r="D7" s="105"/>
      <c r="E7" s="105"/>
      <c r="F7" s="105"/>
      <c r="G7" s="106"/>
      <c r="H7" s="107"/>
      <c r="I7" s="107"/>
    </row>
    <row r="8" spans="1:13">
      <c r="A8" s="105"/>
      <c r="B8" s="105"/>
      <c r="C8" s="109"/>
      <c r="D8" s="110"/>
      <c r="E8" s="110"/>
      <c r="F8" s="110"/>
      <c r="G8" s="110"/>
      <c r="H8" s="110"/>
      <c r="I8" s="110"/>
    </row>
    <row r="9" spans="1:13" ht="10.5" customHeight="1" thickBot="1">
      <c r="A9" s="105"/>
      <c r="B9" s="105"/>
      <c r="C9" s="105"/>
      <c r="D9" s="105"/>
      <c r="E9" s="105"/>
      <c r="F9" s="105"/>
      <c r="G9" s="105"/>
      <c r="H9" s="110"/>
      <c r="I9" s="110"/>
    </row>
    <row r="10" spans="1:13" ht="13.5" thickBot="1">
      <c r="A10" s="105"/>
      <c r="B10" s="105"/>
      <c r="C10" s="105"/>
      <c r="D10" s="254" t="s">
        <v>403</v>
      </c>
      <c r="E10" s="255"/>
      <c r="F10" s="38"/>
      <c r="G10" s="38"/>
      <c r="H10" s="38"/>
      <c r="I10" s="38"/>
      <c r="K10" s="38"/>
      <c r="L10" s="38"/>
      <c r="M10" s="38"/>
    </row>
    <row r="11" spans="1:13" ht="26.25" thickBot="1">
      <c r="A11" s="105"/>
      <c r="B11" s="111"/>
      <c r="C11" s="112" t="s">
        <v>344</v>
      </c>
      <c r="D11" s="112" t="s">
        <v>345</v>
      </c>
      <c r="E11" s="113" t="s">
        <v>346</v>
      </c>
      <c r="F11" s="38"/>
      <c r="G11" s="38"/>
      <c r="H11" s="38"/>
      <c r="I11" s="38"/>
      <c r="K11" s="38"/>
      <c r="L11" s="38"/>
      <c r="M11" s="38"/>
    </row>
    <row r="12" spans="1:13" ht="15.75" customHeight="1" thickBot="1">
      <c r="A12" s="105"/>
      <c r="B12" s="264" t="s">
        <v>347</v>
      </c>
      <c r="C12" s="265"/>
      <c r="D12" s="114"/>
      <c r="E12" s="114"/>
      <c r="F12" s="38"/>
      <c r="G12" s="38"/>
      <c r="H12" s="38"/>
      <c r="I12" s="38"/>
      <c r="K12" s="38"/>
      <c r="L12" s="38"/>
      <c r="M12" s="38"/>
    </row>
    <row r="13" spans="1:13">
      <c r="A13" s="105"/>
      <c r="B13" s="115">
        <v>1</v>
      </c>
      <c r="C13" s="115" t="s">
        <v>348</v>
      </c>
      <c r="D13" s="147">
        <f>+'5-Budget Summary'!C7</f>
        <v>0</v>
      </c>
      <c r="E13" s="143">
        <f>SUMIF('6- AFR Detail'!$A$6:$A$500,"Inst. - Salaries (0100)",'6- AFR Detail'!$B$6:$B$500)</f>
        <v>0</v>
      </c>
      <c r="F13" s="38"/>
      <c r="G13" s="38"/>
      <c r="H13" s="38"/>
      <c r="I13" s="38"/>
      <c r="K13" s="38"/>
      <c r="L13" s="38"/>
      <c r="M13" s="38"/>
    </row>
    <row r="14" spans="1:13">
      <c r="A14" s="105"/>
      <c r="B14" s="115">
        <v>2</v>
      </c>
      <c r="C14" s="115" t="s">
        <v>349</v>
      </c>
      <c r="D14" s="148">
        <f>+'5-Budget Summary'!C8</f>
        <v>0</v>
      </c>
      <c r="E14" s="144">
        <f>SUMIF('6- AFR Detail'!$A$6:$A$500,"Inst. - Employee Benefits (0200)",'6- AFR Detail'!$B$6:$B$500)</f>
        <v>0</v>
      </c>
      <c r="F14" s="38"/>
      <c r="G14" s="38"/>
      <c r="H14" s="38"/>
      <c r="I14" s="38"/>
      <c r="K14" s="38"/>
      <c r="L14" s="38"/>
      <c r="M14" s="38"/>
    </row>
    <row r="15" spans="1:13">
      <c r="A15" s="105"/>
      <c r="B15" s="115">
        <v>3</v>
      </c>
      <c r="C15" s="115" t="s">
        <v>350</v>
      </c>
      <c r="D15" s="148">
        <f>+'5-Budget Summary'!C9</f>
        <v>0</v>
      </c>
      <c r="E15" s="144">
        <f>SUMIF('6- AFR Detail'!$A$6:$A$500,"Inst. - Purchased Professional &amp; Technical Services (0300)",'6- AFR Detail'!$B$6:$B$500)</f>
        <v>0</v>
      </c>
      <c r="F15" s="38"/>
      <c r="G15" s="38"/>
      <c r="H15" s="38"/>
      <c r="I15" s="38"/>
      <c r="K15" s="38"/>
      <c r="L15" s="38"/>
      <c r="M15" s="38"/>
    </row>
    <row r="16" spans="1:13">
      <c r="A16" s="105"/>
      <c r="B16" s="115">
        <v>4</v>
      </c>
      <c r="C16" s="115" t="s">
        <v>351</v>
      </c>
      <c r="D16" s="148">
        <f>+'5-Budget Summary'!C10</f>
        <v>0</v>
      </c>
      <c r="E16" s="144">
        <f>SUMIF('6- AFR Detail'!$A$6:$A$500,"Inst. - Other Purchased Services (0500)",'6- AFR Detail'!$B$6:$B$500)</f>
        <v>0</v>
      </c>
      <c r="F16" s="38"/>
      <c r="G16" s="38"/>
      <c r="H16" s="38"/>
      <c r="I16" s="38"/>
      <c r="K16" s="38"/>
      <c r="L16" s="38"/>
      <c r="M16" s="38"/>
    </row>
    <row r="17" spans="1:13">
      <c r="A17" s="105"/>
      <c r="B17" s="115">
        <v>5</v>
      </c>
      <c r="C17" s="115" t="s">
        <v>39</v>
      </c>
      <c r="D17" s="148">
        <f>+'5-Budget Summary'!C11</f>
        <v>0</v>
      </c>
      <c r="E17" s="144">
        <f>SUMIF('6- AFR Detail'!$A$6:$A$500,"Inst. - Travel, Registration and Entrance (0580)",'6- AFR Detail'!$B$6:$B$500)</f>
        <v>0</v>
      </c>
      <c r="F17" s="38"/>
      <c r="G17" s="38"/>
      <c r="H17" s="38"/>
      <c r="I17" s="38"/>
      <c r="K17" s="38"/>
      <c r="L17" s="38"/>
      <c r="M17" s="38"/>
    </row>
    <row r="18" spans="1:13">
      <c r="A18" s="105"/>
      <c r="B18" s="115">
        <v>6</v>
      </c>
      <c r="C18" s="115" t="s">
        <v>352</v>
      </c>
      <c r="D18" s="148">
        <f>+'5-Budget Summary'!C12</f>
        <v>0</v>
      </c>
      <c r="E18" s="144">
        <f>SUMIF('6- AFR Detail'!$A$6:$A$500,"Inst. - Supplies (0600)",'6- AFR Detail'!$B$6:$B$500)</f>
        <v>0</v>
      </c>
      <c r="F18" s="38"/>
      <c r="G18" s="38"/>
      <c r="H18" s="38"/>
      <c r="I18" s="38"/>
      <c r="K18" s="38"/>
      <c r="L18" s="38"/>
      <c r="M18" s="38"/>
    </row>
    <row r="19" spans="1:13">
      <c r="A19" s="105"/>
      <c r="B19" s="115">
        <v>7</v>
      </c>
      <c r="C19" s="115" t="s">
        <v>399</v>
      </c>
      <c r="D19" s="148">
        <f>+'5-Budget Summary'!C13</f>
        <v>0</v>
      </c>
      <c r="E19" s="277">
        <f>SUMIF('6- AFR Detail'!$A$6:$A$500,"Inst. - Books and Periodicals (0640)",'6- AFR Detail'!$B$6:$B$500)</f>
        <v>0</v>
      </c>
      <c r="F19" s="38"/>
      <c r="G19" s="38"/>
      <c r="H19" s="38"/>
      <c r="I19" s="38"/>
      <c r="K19" s="38"/>
      <c r="L19" s="38"/>
      <c r="M19" s="38"/>
    </row>
    <row r="20" spans="1:13">
      <c r="A20" s="105"/>
      <c r="B20" s="116">
        <v>8</v>
      </c>
      <c r="C20" s="116" t="s">
        <v>363</v>
      </c>
      <c r="D20" s="148">
        <f>+'5-Budget Summary'!C14</f>
        <v>0</v>
      </c>
      <c r="E20" s="144">
        <f>SUMIF('6- AFR Detail'!$A$6:$A$500,"Inst. - Other (0800)",'6- AFR Detail'!$B$6:$B$500)</f>
        <v>0</v>
      </c>
      <c r="F20" s="38"/>
      <c r="G20" s="38"/>
      <c r="H20" s="38"/>
      <c r="I20" s="38"/>
      <c r="K20" s="38"/>
      <c r="L20" s="38"/>
      <c r="M20" s="38"/>
    </row>
    <row r="21" spans="1:13" ht="13.5" thickBot="1">
      <c r="A21" s="105"/>
      <c r="B21" s="117">
        <v>9</v>
      </c>
      <c r="C21" s="117" t="s">
        <v>407</v>
      </c>
      <c r="D21" s="142">
        <f>SUM(D13:D20)</f>
        <v>0</v>
      </c>
      <c r="E21" s="145">
        <f>SUM(E13:E20)</f>
        <v>0</v>
      </c>
      <c r="F21" s="38"/>
      <c r="G21" s="38"/>
      <c r="H21" s="38"/>
      <c r="I21" s="38"/>
      <c r="K21" s="38"/>
      <c r="L21" s="38"/>
      <c r="M21" s="38"/>
    </row>
    <row r="22" spans="1:13" ht="15.75" customHeight="1" thickBot="1">
      <c r="A22" s="105"/>
      <c r="B22" s="254" t="s">
        <v>353</v>
      </c>
      <c r="C22" s="255"/>
      <c r="D22" s="137"/>
      <c r="E22" s="146"/>
      <c r="F22" s="38"/>
      <c r="G22" s="38"/>
      <c r="H22" s="38"/>
      <c r="I22" s="38"/>
      <c r="K22" s="38"/>
      <c r="L22" s="38"/>
      <c r="M22" s="38"/>
    </row>
    <row r="23" spans="1:13">
      <c r="A23" s="105"/>
      <c r="B23" s="118">
        <v>9</v>
      </c>
      <c r="C23" s="119" t="s">
        <v>348</v>
      </c>
      <c r="D23" s="147">
        <f>+'5-Budget Summary'!C18</f>
        <v>0</v>
      </c>
      <c r="E23" s="143">
        <f>SUMIF('6- AFR Detail'!$A$6:$A$500,"Support - Salaries (0100)",'6- AFR Detail'!$B$6:$B$500)</f>
        <v>0</v>
      </c>
      <c r="F23" s="38"/>
      <c r="G23" s="38"/>
      <c r="H23" s="38"/>
      <c r="I23" s="38"/>
      <c r="K23" s="38"/>
      <c r="L23" s="38"/>
      <c r="M23" s="38"/>
    </row>
    <row r="24" spans="1:13">
      <c r="A24" s="105"/>
      <c r="B24" s="115">
        <v>10</v>
      </c>
      <c r="C24" s="115" t="s">
        <v>349</v>
      </c>
      <c r="D24" s="148">
        <f>+'5-Budget Summary'!C19</f>
        <v>0</v>
      </c>
      <c r="E24" s="144">
        <f>SUMIF('6- AFR Detail'!$A$6:$A$500,"Support - Employee Benefits (0200)",'6- AFR Detail'!$B$6:$B$500)</f>
        <v>0</v>
      </c>
      <c r="F24" s="38"/>
      <c r="G24" s="38"/>
      <c r="H24" s="38"/>
      <c r="I24" s="38"/>
      <c r="K24" s="38"/>
      <c r="L24" s="38"/>
      <c r="M24" s="38"/>
    </row>
    <row r="25" spans="1:13">
      <c r="A25" s="105"/>
      <c r="B25" s="115">
        <v>11</v>
      </c>
      <c r="C25" s="115" t="s">
        <v>350</v>
      </c>
      <c r="D25" s="148">
        <f>+'5-Budget Summary'!C20</f>
        <v>0</v>
      </c>
      <c r="E25" s="144">
        <f>SUMIF('6- AFR Detail'!$A$6:$A$500,"Support - Purchased Professional &amp; Technical Services (0300)",'6- AFR Detail'!$B$6:$B$500)</f>
        <v>0</v>
      </c>
      <c r="F25" s="38"/>
      <c r="G25" s="38"/>
      <c r="H25" s="38"/>
      <c r="I25" s="38"/>
      <c r="K25" s="38"/>
      <c r="L25" s="38"/>
      <c r="M25" s="38"/>
    </row>
    <row r="26" spans="1:13">
      <c r="A26" s="105"/>
      <c r="B26" s="115">
        <v>12</v>
      </c>
      <c r="C26" s="115" t="s">
        <v>351</v>
      </c>
      <c r="D26" s="148">
        <f>+'5-Budget Summary'!C21</f>
        <v>0</v>
      </c>
      <c r="E26" s="144">
        <f>SUMIF('6- AFR Detail'!$A$6:$A$500,"Support - Other Purchased Services (0500)",'6- AFR Detail'!$B$6:$B$500)</f>
        <v>0</v>
      </c>
      <c r="F26" s="38"/>
      <c r="G26" s="38"/>
      <c r="H26" s="38"/>
      <c r="I26" s="38"/>
      <c r="K26" s="38"/>
      <c r="L26" s="38"/>
      <c r="M26" s="38"/>
    </row>
    <row r="27" spans="1:13">
      <c r="A27" s="105"/>
      <c r="B27" s="115">
        <v>13</v>
      </c>
      <c r="C27" s="115" t="s">
        <v>39</v>
      </c>
      <c r="D27" s="148">
        <f>+'5-Budget Summary'!C22</f>
        <v>0</v>
      </c>
      <c r="E27" s="144">
        <f>SUMIF('6- AFR Detail'!$A$6:$A$500,"Support - Travel, Registration and Entrance (0580)",'6- AFR Detail'!$B$6:$B$500)</f>
        <v>0</v>
      </c>
      <c r="F27" s="38"/>
      <c r="G27" s="38"/>
      <c r="H27" s="38"/>
      <c r="I27" s="38"/>
      <c r="K27" s="38"/>
      <c r="L27" s="38"/>
      <c r="M27" s="38"/>
    </row>
    <row r="28" spans="1:13">
      <c r="A28" s="105"/>
      <c r="B28" s="115">
        <v>14</v>
      </c>
      <c r="C28" s="115" t="s">
        <v>352</v>
      </c>
      <c r="D28" s="148">
        <f>+'5-Budget Summary'!C23</f>
        <v>0</v>
      </c>
      <c r="E28" s="144">
        <f>SUMIF('6- AFR Detail'!$A$6:$A$500,"Support - Supplies (0600)",'6- AFR Detail'!$B$6:$B$500)</f>
        <v>0</v>
      </c>
      <c r="F28" s="38"/>
      <c r="G28" s="38"/>
      <c r="H28" s="38"/>
      <c r="I28" s="38"/>
      <c r="K28" s="38"/>
      <c r="L28" s="38"/>
      <c r="M28" s="38"/>
    </row>
    <row r="29" spans="1:13">
      <c r="A29" s="105"/>
      <c r="B29" s="115">
        <v>15</v>
      </c>
      <c r="C29" s="115" t="s">
        <v>399</v>
      </c>
      <c r="D29" s="148">
        <f>+'5-Budget Summary'!C24</f>
        <v>0</v>
      </c>
      <c r="E29" s="277">
        <f>SUMIF('6- AFR Detail'!$A$6:$A$500,"Support - Books and Periodicals (0640)",'6- AFR Detail'!$B$6:$B$500)</f>
        <v>0</v>
      </c>
      <c r="F29" s="38"/>
      <c r="G29" s="38"/>
      <c r="H29" s="38"/>
      <c r="I29" s="38"/>
      <c r="K29" s="38"/>
      <c r="L29" s="38"/>
      <c r="M29" s="38"/>
    </row>
    <row r="30" spans="1:13">
      <c r="A30" s="105"/>
      <c r="B30" s="116">
        <v>16</v>
      </c>
      <c r="C30" s="116" t="s">
        <v>400</v>
      </c>
      <c r="D30" s="148">
        <f>+'5-Budget Summary'!C25</f>
        <v>0</v>
      </c>
      <c r="E30" s="144">
        <f>SUMIF('6- AFR Detail'!$A$6:$A$500,"Support - Other (0800)",'6- AFR Detail'!$B$6:$B$500)</f>
        <v>0</v>
      </c>
      <c r="F30" s="38"/>
      <c r="G30" s="38"/>
      <c r="H30" s="38"/>
      <c r="I30" s="38"/>
      <c r="K30" s="38"/>
      <c r="L30" s="38"/>
      <c r="M30" s="38"/>
    </row>
    <row r="31" spans="1:13" ht="13.5" thickBot="1">
      <c r="A31" s="105"/>
      <c r="B31" s="117">
        <v>17</v>
      </c>
      <c r="C31" s="117" t="s">
        <v>405</v>
      </c>
      <c r="D31" s="150">
        <f>SUM(D23:D30)</f>
        <v>0</v>
      </c>
      <c r="E31" s="149">
        <f>SUM(E23:E30)</f>
        <v>0</v>
      </c>
      <c r="F31" s="38"/>
      <c r="G31" s="38"/>
      <c r="H31" s="38"/>
      <c r="I31" s="38"/>
      <c r="K31" s="38"/>
      <c r="L31" s="38"/>
      <c r="M31" s="38"/>
    </row>
    <row r="32" spans="1:13" ht="13.5" thickBot="1">
      <c r="A32" s="105"/>
      <c r="B32" s="117">
        <v>18</v>
      </c>
      <c r="C32" s="117" t="s">
        <v>340</v>
      </c>
      <c r="D32" s="138">
        <f>IF(ISBLANK('5-Budget Summary'!C30)=TRUE,'5-Budget Summary'!C29,'5-Budget Summary'!C30)</f>
        <v>0</v>
      </c>
      <c r="E32" s="141"/>
      <c r="F32" s="38"/>
      <c r="G32" s="38"/>
      <c r="H32" s="38"/>
      <c r="I32" s="38"/>
      <c r="K32" s="38"/>
      <c r="L32" s="38"/>
      <c r="M32" s="38"/>
    </row>
    <row r="33" spans="1:13" ht="13.5" thickBot="1">
      <c r="A33" s="105"/>
      <c r="B33" s="117">
        <v>19</v>
      </c>
      <c r="C33" s="117" t="s">
        <v>382</v>
      </c>
      <c r="D33" s="138">
        <f>+'5-Budget Summary'!C31</f>
        <v>0</v>
      </c>
      <c r="E33" s="138">
        <f>+SUMIF('7-AFR Equipment Detail'!$E$6:$E$150,"non-capitalized",'7-AFR Equipment Detail'!$D$6:$D$150)</f>
        <v>0</v>
      </c>
      <c r="F33" s="38"/>
      <c r="G33" s="38"/>
      <c r="H33" s="38"/>
      <c r="I33" s="38"/>
      <c r="K33" s="38"/>
      <c r="L33" s="38"/>
      <c r="M33" s="38"/>
    </row>
    <row r="34" spans="1:13" ht="13.5" thickBot="1">
      <c r="A34" s="105"/>
      <c r="B34" s="117">
        <v>20</v>
      </c>
      <c r="C34" s="117" t="s">
        <v>383</v>
      </c>
      <c r="D34" s="138">
        <f>+'5-Budget Summary'!C32</f>
        <v>0</v>
      </c>
      <c r="E34" s="138">
        <f>+SUMIF('7-AFR Equipment Detail'!$E$6:$E$150,"capitalized",'7-AFR Equipment Detail'!$D$6:$D$150)</f>
        <v>0</v>
      </c>
      <c r="F34" s="38"/>
      <c r="G34" s="38"/>
      <c r="H34" s="38"/>
      <c r="I34" s="38"/>
      <c r="K34" s="38"/>
      <c r="L34" s="38"/>
      <c r="M34" s="38"/>
    </row>
    <row r="35" spans="1:13" ht="18.95" customHeight="1" thickBot="1">
      <c r="A35" s="105"/>
      <c r="B35" s="117">
        <v>21</v>
      </c>
      <c r="C35" s="120" t="s">
        <v>406</v>
      </c>
      <c r="D35" s="138">
        <f>D31+D21+D32+D33</f>
        <v>0</v>
      </c>
      <c r="E35" s="138">
        <f>E31+E21+E32+E33</f>
        <v>0</v>
      </c>
      <c r="F35" s="38"/>
      <c r="G35" s="38"/>
      <c r="H35" s="38"/>
      <c r="I35" s="38"/>
      <c r="K35" s="38"/>
      <c r="L35" s="38"/>
      <c r="M35" s="38"/>
    </row>
    <row r="36" spans="1:13">
      <c r="A36" s="105"/>
      <c r="B36" s="105"/>
      <c r="C36" s="105"/>
      <c r="D36" s="139"/>
      <c r="E36" s="140"/>
      <c r="F36" s="38"/>
      <c r="G36" s="38"/>
      <c r="H36" s="121"/>
      <c r="I36" s="105"/>
      <c r="J36" s="121"/>
      <c r="K36" s="105"/>
      <c r="L36" s="121"/>
      <c r="M36" s="105"/>
    </row>
    <row r="37" spans="1:13">
      <c r="A37" s="105"/>
      <c r="B37" s="105"/>
      <c r="C37" s="122"/>
      <c r="D37" s="123"/>
      <c r="E37" s="123"/>
      <c r="F37" s="123"/>
      <c r="G37" s="123"/>
      <c r="H37" s="110"/>
      <c r="I37" s="110"/>
    </row>
    <row r="38" spans="1:13">
      <c r="A38" s="105"/>
      <c r="B38" s="105"/>
      <c r="C38" s="124"/>
      <c r="D38" s="105"/>
      <c r="E38" s="105"/>
      <c r="F38" s="105"/>
      <c r="G38" s="105"/>
      <c r="H38" s="110"/>
      <c r="I38" s="110"/>
    </row>
    <row r="39" spans="1:13">
      <c r="A39" s="105"/>
      <c r="B39" s="105"/>
      <c r="C39" s="125"/>
      <c r="D39" s="126"/>
      <c r="E39" s="126"/>
      <c r="F39" s="126"/>
      <c r="G39" s="126"/>
      <c r="H39" s="127"/>
      <c r="I39" s="127"/>
    </row>
    <row r="40" spans="1:13">
      <c r="A40" s="105"/>
      <c r="B40" s="105"/>
      <c r="C40" s="128"/>
      <c r="D40" s="128"/>
      <c r="E40" s="105"/>
      <c r="F40" s="129"/>
      <c r="G40" s="129"/>
      <c r="H40" s="129"/>
      <c r="I40" s="129"/>
    </row>
    <row r="41" spans="1:13" ht="13.5" thickBot="1">
      <c r="A41" s="105"/>
      <c r="B41" s="105"/>
      <c r="C41" s="130"/>
      <c r="D41" s="130"/>
      <c r="E41" s="105"/>
      <c r="F41" s="131"/>
      <c r="G41" s="131"/>
      <c r="H41" s="131"/>
      <c r="I41" s="131"/>
    </row>
    <row r="42" spans="1:13">
      <c r="A42" s="105"/>
      <c r="B42" s="105"/>
      <c r="C42" s="132" t="s">
        <v>354</v>
      </c>
      <c r="D42" s="105"/>
      <c r="E42" s="105"/>
      <c r="F42" s="252" t="s">
        <v>355</v>
      </c>
      <c r="G42" s="253"/>
      <c r="H42" s="253"/>
      <c r="I42" s="253"/>
    </row>
    <row r="43" spans="1:13">
      <c r="A43" s="105"/>
      <c r="B43" s="105"/>
      <c r="C43" s="105"/>
      <c r="D43" s="105"/>
      <c r="E43" s="105"/>
      <c r="F43" s="105"/>
      <c r="G43" s="105"/>
      <c r="H43" s="105"/>
      <c r="I43" s="105"/>
    </row>
    <row r="44" spans="1:13">
      <c r="A44" s="105"/>
      <c r="B44" s="105"/>
      <c r="C44" s="105" t="s">
        <v>356</v>
      </c>
      <c r="D44" s="105"/>
      <c r="E44" s="105"/>
      <c r="F44" s="105"/>
      <c r="G44" s="105"/>
      <c r="H44" s="105"/>
      <c r="I44" s="105"/>
    </row>
    <row r="45" spans="1:13">
      <c r="A45" s="105"/>
      <c r="B45" s="105"/>
      <c r="C45" s="105"/>
      <c r="D45" s="105"/>
      <c r="E45" s="105"/>
      <c r="F45" s="105"/>
      <c r="G45" s="105"/>
      <c r="H45" s="105"/>
      <c r="I45" s="105"/>
    </row>
    <row r="46" spans="1:13" hidden="1"/>
    <row r="47" spans="1:13" hidden="1"/>
    <row r="48" spans="1:13" hidden="1"/>
    <row r="49" hidden="1"/>
    <row r="50"/>
  </sheetData>
  <sheetProtection password="CC76" sheet="1" objects="1" scenarios="1"/>
  <mergeCells count="10">
    <mergeCell ref="F42:I42"/>
    <mergeCell ref="D10:E10"/>
    <mergeCell ref="A6:B6"/>
    <mergeCell ref="A7:B7"/>
    <mergeCell ref="A1:M1"/>
    <mergeCell ref="A2:XFD2"/>
    <mergeCell ref="A5:B5"/>
    <mergeCell ref="B12:C12"/>
    <mergeCell ref="B22:C22"/>
    <mergeCell ref="A3:I3"/>
  </mergeCells>
  <phoneticPr fontId="0" type="noConversion"/>
  <dataValidations count="1">
    <dataValidation allowBlank="1" showInputMessage="1" showErrorMessage="1" prompt="Please enter the actual amount of indirect costs expended here." sqref="E32"/>
  </dataValidations>
  <pageMargins left="0.2" right="0.2" top="0.45" bottom="0.2" header="0" footer="0"/>
  <pageSetup scale="99" orientation="landscape" horizontalDpi="360" r:id="rId1"/>
  <headerFooter alignWithMargins="0"/>
  <ignoredErrors>
    <ignoredError sqref="E30 E20:E28 E13:E18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31"/>
  <sheetViews>
    <sheetView workbookViewId="0">
      <selection activeCell="E28" sqref="E28"/>
    </sheetView>
  </sheetViews>
  <sheetFormatPr defaultRowHeight="12.75"/>
  <cols>
    <col min="2" max="2" width="22.7109375" customWidth="1"/>
    <col min="3" max="3" width="18.42578125" customWidth="1"/>
    <col min="4" max="4" width="18" customWidth="1"/>
    <col min="5" max="5" width="14.42578125" customWidth="1"/>
    <col min="6" max="6" width="14.85546875" bestFit="1" customWidth="1"/>
    <col min="7" max="7" width="17" customWidth="1"/>
  </cols>
  <sheetData>
    <row r="2" spans="1:6">
      <c r="B2" s="16">
        <f>'2-Cover Page'!C5</f>
        <v>0</v>
      </c>
    </row>
    <row r="4" spans="1:6">
      <c r="A4" s="2"/>
      <c r="B4" s="3"/>
      <c r="C4" s="266" t="s">
        <v>44</v>
      </c>
      <c r="D4" s="266"/>
      <c r="E4" s="4"/>
      <c r="F4" s="4"/>
    </row>
    <row r="5" spans="1:6">
      <c r="A5" s="5"/>
      <c r="B5" s="102"/>
      <c r="C5" s="103"/>
      <c r="D5" s="103"/>
      <c r="E5" s="103"/>
      <c r="F5" s="6">
        <f>'2-Cover Page'!C11</f>
        <v>0</v>
      </c>
    </row>
    <row r="6" spans="1:6">
      <c r="A6" s="4"/>
      <c r="B6" s="3"/>
      <c r="C6" s="4"/>
      <c r="D6" s="4"/>
      <c r="E6" s="7"/>
      <c r="F6" s="4"/>
    </row>
    <row r="7" spans="1:6">
      <c r="A7" s="4"/>
      <c r="B7" s="3"/>
      <c r="C7" s="4"/>
      <c r="D7" s="4"/>
      <c r="E7" s="7"/>
      <c r="F7" s="4"/>
    </row>
    <row r="8" spans="1:6">
      <c r="A8" s="4"/>
      <c r="B8" s="3"/>
      <c r="C8" s="4"/>
      <c r="D8" s="4"/>
      <c r="E8" s="7"/>
      <c r="F8" s="4"/>
    </row>
    <row r="9" spans="1:6">
      <c r="A9" s="4"/>
      <c r="B9" s="8"/>
      <c r="C9" s="9" t="s">
        <v>45</v>
      </c>
      <c r="D9" s="10" t="s">
        <v>46</v>
      </c>
      <c r="E9" s="9"/>
      <c r="F9" s="4"/>
    </row>
    <row r="10" spans="1:6">
      <c r="A10" s="4"/>
      <c r="B10" s="8" t="s">
        <v>47</v>
      </c>
      <c r="C10" s="11">
        <f>+SUM('3-Budget Detail'!B6:B500)</f>
        <v>0</v>
      </c>
      <c r="D10" s="11">
        <f>+'5-Budget Summary'!C15+'5-Budget Summary'!C26</f>
        <v>0</v>
      </c>
      <c r="E10" s="9" t="str">
        <f>IF(C10=D10,"equal","not equal!")</f>
        <v>equal</v>
      </c>
      <c r="F10" s="4"/>
    </row>
    <row r="11" spans="1:6" ht="13.5" thickBot="1">
      <c r="A11" s="4"/>
      <c r="B11" s="8" t="s">
        <v>48</v>
      </c>
      <c r="C11" s="12">
        <f>SUM('4-Equipment'!D6:D150)</f>
        <v>0</v>
      </c>
      <c r="D11" s="11">
        <f>+'5-Budget Summary'!C31+'5-Budget Summary'!C32</f>
        <v>0</v>
      </c>
      <c r="E11" s="9" t="str">
        <f>IF(C11=D11,"equal","not equal!")</f>
        <v>equal</v>
      </c>
      <c r="F11" s="4"/>
    </row>
    <row r="12" spans="1:6">
      <c r="A12" s="4"/>
      <c r="B12" s="9" t="s">
        <v>34</v>
      </c>
      <c r="C12" s="13">
        <f>SUM(C10:C11)</f>
        <v>0</v>
      </c>
      <c r="D12" s="13">
        <f>SUM(D10:D11)</f>
        <v>0</v>
      </c>
      <c r="E12" s="9" t="str">
        <f>IF(C12=D12,"equal","not equal!")</f>
        <v>equal</v>
      </c>
      <c r="F12" s="4"/>
    </row>
    <row r="13" spans="1:6">
      <c r="A13" s="4"/>
      <c r="B13" s="3"/>
      <c r="C13" s="4"/>
      <c r="D13" s="4"/>
      <c r="E13" s="7"/>
      <c r="F13" s="4"/>
    </row>
    <row r="14" spans="1:6">
      <c r="A14" s="4"/>
      <c r="B14" s="3"/>
      <c r="C14" s="4"/>
      <c r="D14" s="4"/>
      <c r="E14" s="7"/>
      <c r="F14" s="4"/>
    </row>
    <row r="15" spans="1:6">
      <c r="A15" s="4"/>
      <c r="B15" s="14" t="s">
        <v>49</v>
      </c>
      <c r="C15" s="4"/>
      <c r="D15" s="4"/>
      <c r="E15" s="7"/>
      <c r="F15" s="4"/>
    </row>
    <row r="16" spans="1:6">
      <c r="A16" s="4"/>
      <c r="B16" s="14" t="s">
        <v>50</v>
      </c>
      <c r="C16" s="4"/>
      <c r="D16" s="4"/>
      <c r="E16" s="4"/>
      <c r="F16" s="4"/>
    </row>
    <row r="17" spans="1:6">
      <c r="A17" s="4"/>
      <c r="B17" s="14"/>
      <c r="C17" s="4"/>
      <c r="D17" s="4"/>
      <c r="E17" s="4"/>
      <c r="F17" s="4"/>
    </row>
    <row r="31" spans="1:6">
      <c r="E31" s="15"/>
    </row>
  </sheetData>
  <sheetProtection password="CC76" sheet="1" objects="1" scenarios="1"/>
  <mergeCells count="1">
    <mergeCell ref="C4:D4"/>
  </mergeCells>
  <phoneticPr fontId="6" type="noConversion"/>
  <conditionalFormatting sqref="E10:E12">
    <cfRule type="expression" dxfId="0" priority="1" stopIfTrue="1">
      <formula>LEFT(E10,3)="not"</formula>
    </cfRule>
  </conditionalFormatting>
  <pageMargins left="0.5" right="0.5" top="0.75" bottom="0.75" header="0.5" footer="0.5"/>
  <pageSetup orientation="portrait" r:id="rId1"/>
  <headerFooter alignWithMargins="0">
    <oddFooter>&amp;LPage &amp;P of &amp;N&amp;C&amp;D &amp;T&amp;R&amp;A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637"/>
  <sheetViews>
    <sheetView zoomScaleNormal="100" workbookViewId="0">
      <selection activeCell="A13" sqref="A13"/>
    </sheetView>
  </sheetViews>
  <sheetFormatPr defaultRowHeight="12.75"/>
  <cols>
    <col min="1" max="1" width="40.85546875" customWidth="1"/>
    <col min="2" max="2" width="18.42578125" customWidth="1"/>
    <col min="3" max="3" width="34.5703125" customWidth="1"/>
  </cols>
  <sheetData>
    <row r="1" spans="1:3">
      <c r="A1" s="18">
        <f>'2-Cover Page'!C5</f>
        <v>0</v>
      </c>
      <c r="C1" s="19">
        <f>'2-Cover Page'!C11</f>
        <v>0</v>
      </c>
    </row>
    <row r="3" spans="1:3" ht="15.75">
      <c r="A3" s="267" t="s">
        <v>54</v>
      </c>
      <c r="B3" s="267"/>
      <c r="C3" s="267"/>
    </row>
    <row r="5" spans="1:3" ht="66.75" customHeight="1">
      <c r="A5" s="268" t="s">
        <v>55</v>
      </c>
      <c r="B5" s="269"/>
      <c r="C5" s="269"/>
    </row>
    <row r="6" spans="1:3">
      <c r="A6" s="17"/>
      <c r="B6" s="17"/>
      <c r="C6" s="17"/>
    </row>
    <row r="7" spans="1:3">
      <c r="A7" s="17"/>
      <c r="B7" s="17"/>
      <c r="C7" s="17"/>
    </row>
    <row r="8" spans="1:3">
      <c r="A8" s="17"/>
      <c r="B8" s="17"/>
      <c r="C8" s="17"/>
    </row>
    <row r="9" spans="1:3">
      <c r="A9" s="17"/>
      <c r="B9" s="17"/>
      <c r="C9" s="17"/>
    </row>
    <row r="10" spans="1:3">
      <c r="A10" s="17"/>
      <c r="B10" s="17"/>
      <c r="C10" s="17"/>
    </row>
    <row r="11" spans="1:3">
      <c r="A11" s="17"/>
      <c r="B11" s="17"/>
      <c r="C11" s="17"/>
    </row>
    <row r="12" spans="1:3">
      <c r="A12" s="17"/>
      <c r="B12" s="17"/>
      <c r="C12" s="17"/>
    </row>
    <row r="13" spans="1:3">
      <c r="A13" s="17"/>
      <c r="B13" s="17"/>
      <c r="C13" s="17"/>
    </row>
    <row r="14" spans="1:3">
      <c r="A14" s="17"/>
      <c r="B14" s="17"/>
      <c r="C14" s="17"/>
    </row>
    <row r="15" spans="1:3">
      <c r="A15" s="17"/>
      <c r="B15" s="17"/>
      <c r="C15" s="17"/>
    </row>
    <row r="16" spans="1:3">
      <c r="A16" s="17"/>
      <c r="B16" s="17"/>
      <c r="C16" s="17"/>
    </row>
    <row r="17" spans="1:3">
      <c r="A17" s="17"/>
      <c r="B17" s="17"/>
      <c r="C17" s="17"/>
    </row>
    <row r="18" spans="1:3">
      <c r="A18" s="17"/>
      <c r="B18" s="17"/>
      <c r="C18" s="17"/>
    </row>
    <row r="19" spans="1:3">
      <c r="A19" s="17"/>
      <c r="B19" s="17"/>
      <c r="C19" s="17"/>
    </row>
    <row r="20" spans="1:3">
      <c r="A20" s="17"/>
      <c r="B20" s="17"/>
      <c r="C20" s="17"/>
    </row>
    <row r="21" spans="1:3">
      <c r="A21" s="17"/>
      <c r="B21" s="17"/>
      <c r="C21" s="17"/>
    </row>
    <row r="22" spans="1:3">
      <c r="A22" s="17"/>
      <c r="B22" s="17"/>
      <c r="C22" s="17"/>
    </row>
    <row r="23" spans="1:3">
      <c r="A23" s="17"/>
      <c r="B23" s="17"/>
      <c r="C23" s="17"/>
    </row>
    <row r="24" spans="1:3">
      <c r="A24" s="17"/>
      <c r="B24" s="17"/>
      <c r="C24" s="17"/>
    </row>
    <row r="25" spans="1:3">
      <c r="A25" s="17"/>
      <c r="B25" s="17"/>
      <c r="C25" s="17"/>
    </row>
    <row r="26" spans="1:3">
      <c r="A26" s="17"/>
      <c r="B26" s="17"/>
      <c r="C26" s="17"/>
    </row>
    <row r="27" spans="1:3">
      <c r="A27" s="17"/>
      <c r="B27" s="17"/>
      <c r="C27" s="17"/>
    </row>
    <row r="28" spans="1:3">
      <c r="A28" s="17"/>
      <c r="B28" s="17"/>
      <c r="C28" s="17"/>
    </row>
    <row r="29" spans="1:3">
      <c r="A29" s="17"/>
      <c r="B29" s="17"/>
      <c r="C29" s="17"/>
    </row>
    <row r="30" spans="1:3">
      <c r="A30" s="17"/>
      <c r="B30" s="17"/>
      <c r="C30" s="17"/>
    </row>
    <row r="31" spans="1:3">
      <c r="A31" s="17"/>
      <c r="B31" s="17"/>
      <c r="C31" s="17"/>
    </row>
    <row r="32" spans="1:3">
      <c r="A32" s="17"/>
      <c r="B32" s="17"/>
      <c r="C32" s="17"/>
    </row>
    <row r="33" spans="1:3">
      <c r="A33" s="17"/>
      <c r="B33" s="17"/>
      <c r="C33" s="17"/>
    </row>
    <row r="34" spans="1:3">
      <c r="A34" s="17"/>
      <c r="B34" s="17"/>
      <c r="C34" s="17"/>
    </row>
    <row r="35" spans="1:3">
      <c r="A35" s="17"/>
      <c r="B35" s="17"/>
      <c r="C35" s="17"/>
    </row>
    <row r="36" spans="1:3">
      <c r="A36" s="17"/>
      <c r="B36" s="17"/>
      <c r="C36" s="17"/>
    </row>
    <row r="37" spans="1:3">
      <c r="A37" s="17"/>
      <c r="B37" s="17"/>
      <c r="C37" s="17"/>
    </row>
    <row r="38" spans="1:3">
      <c r="A38" s="17"/>
      <c r="B38" s="17"/>
      <c r="C38" s="17"/>
    </row>
    <row r="39" spans="1:3">
      <c r="A39" s="17"/>
      <c r="B39" s="17"/>
      <c r="C39" s="17"/>
    </row>
    <row r="40" spans="1:3">
      <c r="A40" s="17"/>
      <c r="B40" s="17"/>
      <c r="C40" s="17"/>
    </row>
    <row r="41" spans="1:3">
      <c r="A41" s="17"/>
      <c r="B41" s="17"/>
      <c r="C41" s="17"/>
    </row>
    <row r="42" spans="1:3">
      <c r="A42" s="17"/>
      <c r="B42" s="17"/>
      <c r="C42" s="17"/>
    </row>
    <row r="43" spans="1:3">
      <c r="A43" s="17"/>
      <c r="B43" s="17"/>
      <c r="C43" s="17"/>
    </row>
    <row r="44" spans="1:3">
      <c r="A44" s="17"/>
      <c r="B44" s="17"/>
      <c r="C44" s="17"/>
    </row>
    <row r="45" spans="1:3">
      <c r="A45" s="17"/>
      <c r="B45" s="17"/>
      <c r="C45" s="17"/>
    </row>
    <row r="46" spans="1:3">
      <c r="A46" s="17"/>
      <c r="B46" s="17"/>
      <c r="C46" s="17"/>
    </row>
    <row r="47" spans="1:3">
      <c r="A47" s="17"/>
      <c r="B47" s="17"/>
      <c r="C47" s="17"/>
    </row>
    <row r="48" spans="1:3">
      <c r="A48" s="17"/>
      <c r="B48" s="17"/>
      <c r="C48" s="17"/>
    </row>
    <row r="49" spans="1:3">
      <c r="A49" s="17"/>
      <c r="B49" s="17"/>
      <c r="C49" s="17"/>
    </row>
    <row r="50" spans="1:3">
      <c r="A50" s="17"/>
      <c r="B50" s="17"/>
      <c r="C50" s="17"/>
    </row>
    <row r="51" spans="1:3">
      <c r="A51" s="17"/>
      <c r="B51" s="17"/>
      <c r="C51" s="17"/>
    </row>
    <row r="52" spans="1:3">
      <c r="A52" s="17"/>
      <c r="B52" s="17"/>
      <c r="C52" s="17"/>
    </row>
    <row r="53" spans="1:3">
      <c r="A53" s="17"/>
      <c r="B53" s="17"/>
      <c r="C53" s="17"/>
    </row>
    <row r="54" spans="1:3">
      <c r="A54" s="17"/>
      <c r="B54" s="17"/>
      <c r="C54" s="17"/>
    </row>
    <row r="55" spans="1:3">
      <c r="A55" s="17"/>
      <c r="B55" s="17"/>
      <c r="C55" s="17"/>
    </row>
    <row r="56" spans="1:3">
      <c r="A56" s="17"/>
      <c r="B56" s="17"/>
      <c r="C56" s="17"/>
    </row>
    <row r="57" spans="1:3">
      <c r="A57" s="17"/>
      <c r="B57" s="17"/>
      <c r="C57" s="17"/>
    </row>
    <row r="58" spans="1:3">
      <c r="A58" s="17"/>
      <c r="B58" s="17"/>
      <c r="C58" s="17"/>
    </row>
    <row r="59" spans="1:3">
      <c r="A59" s="17"/>
      <c r="B59" s="17"/>
      <c r="C59" s="17"/>
    </row>
    <row r="60" spans="1:3">
      <c r="A60" s="17"/>
      <c r="B60" s="17"/>
      <c r="C60" s="17"/>
    </row>
    <row r="61" spans="1:3">
      <c r="A61" s="17"/>
      <c r="B61" s="17"/>
      <c r="C61" s="17"/>
    </row>
    <row r="62" spans="1:3">
      <c r="A62" s="17"/>
      <c r="B62" s="17"/>
      <c r="C62" s="17"/>
    </row>
    <row r="63" spans="1:3">
      <c r="A63" s="17"/>
      <c r="B63" s="17"/>
      <c r="C63" s="17"/>
    </row>
    <row r="64" spans="1:3">
      <c r="A64" s="17"/>
      <c r="B64" s="17"/>
      <c r="C64" s="17"/>
    </row>
    <row r="65" spans="1:3">
      <c r="A65" s="17"/>
      <c r="B65" s="17"/>
      <c r="C65" s="17"/>
    </row>
    <row r="66" spans="1:3">
      <c r="A66" s="17"/>
      <c r="B66" s="17"/>
      <c r="C66" s="17"/>
    </row>
    <row r="67" spans="1:3">
      <c r="A67" s="17"/>
      <c r="B67" s="17"/>
      <c r="C67" s="17"/>
    </row>
    <row r="68" spans="1:3">
      <c r="A68" s="17"/>
      <c r="B68" s="17"/>
      <c r="C68" s="17"/>
    </row>
    <row r="69" spans="1:3">
      <c r="A69" s="17"/>
      <c r="B69" s="17"/>
      <c r="C69" s="17"/>
    </row>
    <row r="70" spans="1:3">
      <c r="A70" s="17"/>
      <c r="B70" s="17"/>
      <c r="C70" s="17"/>
    </row>
    <row r="71" spans="1:3">
      <c r="A71" s="17"/>
      <c r="B71" s="17"/>
      <c r="C71" s="17"/>
    </row>
    <row r="72" spans="1:3">
      <c r="A72" s="17"/>
      <c r="B72" s="17"/>
      <c r="C72" s="17"/>
    </row>
    <row r="73" spans="1:3">
      <c r="A73" s="17"/>
      <c r="B73" s="17"/>
      <c r="C73" s="17"/>
    </row>
    <row r="74" spans="1:3">
      <c r="A74" s="17"/>
      <c r="B74" s="17"/>
      <c r="C74" s="17"/>
    </row>
    <row r="75" spans="1:3">
      <c r="A75" s="17"/>
      <c r="B75" s="17"/>
      <c r="C75" s="17"/>
    </row>
    <row r="76" spans="1:3">
      <c r="A76" s="17"/>
      <c r="B76" s="17"/>
      <c r="C76" s="17"/>
    </row>
    <row r="77" spans="1:3">
      <c r="A77" s="17"/>
      <c r="B77" s="17"/>
      <c r="C77" s="17"/>
    </row>
    <row r="78" spans="1:3">
      <c r="A78" s="17"/>
      <c r="B78" s="17"/>
      <c r="C78" s="17"/>
    </row>
    <row r="79" spans="1:3">
      <c r="A79" s="17"/>
      <c r="B79" s="17"/>
      <c r="C79" s="17"/>
    </row>
    <row r="80" spans="1:3">
      <c r="A80" s="17"/>
      <c r="B80" s="17"/>
      <c r="C80" s="17"/>
    </row>
    <row r="81" spans="1:3">
      <c r="A81" s="17"/>
      <c r="B81" s="17"/>
      <c r="C81" s="17"/>
    </row>
    <row r="82" spans="1:3">
      <c r="A82" s="17"/>
      <c r="B82" s="17"/>
      <c r="C82" s="17"/>
    </row>
    <row r="83" spans="1:3">
      <c r="A83" s="17"/>
      <c r="B83" s="17"/>
      <c r="C83" s="17"/>
    </row>
    <row r="84" spans="1:3">
      <c r="A84" s="17"/>
      <c r="B84" s="17"/>
      <c r="C84" s="17"/>
    </row>
    <row r="85" spans="1:3">
      <c r="A85" s="17"/>
      <c r="B85" s="17"/>
      <c r="C85" s="17"/>
    </row>
    <row r="86" spans="1:3">
      <c r="A86" s="17"/>
      <c r="B86" s="17"/>
      <c r="C86" s="17"/>
    </row>
    <row r="87" spans="1:3">
      <c r="A87" s="17"/>
      <c r="B87" s="17"/>
      <c r="C87" s="17"/>
    </row>
    <row r="88" spans="1:3">
      <c r="A88" s="17"/>
      <c r="B88" s="17"/>
      <c r="C88" s="17"/>
    </row>
    <row r="89" spans="1:3">
      <c r="A89" s="17"/>
      <c r="B89" s="17"/>
      <c r="C89" s="17"/>
    </row>
    <row r="90" spans="1:3">
      <c r="A90" s="17"/>
      <c r="B90" s="17"/>
      <c r="C90" s="17"/>
    </row>
    <row r="91" spans="1:3">
      <c r="A91" s="17"/>
      <c r="B91" s="17"/>
      <c r="C91" s="17"/>
    </row>
    <row r="92" spans="1:3">
      <c r="A92" s="17"/>
      <c r="B92" s="17"/>
      <c r="C92" s="17"/>
    </row>
    <row r="93" spans="1:3">
      <c r="A93" s="17"/>
      <c r="B93" s="17"/>
      <c r="C93" s="17"/>
    </row>
    <row r="94" spans="1:3">
      <c r="A94" s="17"/>
      <c r="B94" s="17"/>
      <c r="C94" s="17"/>
    </row>
    <row r="95" spans="1:3">
      <c r="A95" s="17"/>
      <c r="B95" s="17"/>
      <c r="C95" s="17"/>
    </row>
    <row r="96" spans="1:3">
      <c r="A96" s="17"/>
      <c r="B96" s="17"/>
      <c r="C96" s="17"/>
    </row>
    <row r="97" spans="1:3">
      <c r="A97" s="17"/>
      <c r="B97" s="17"/>
      <c r="C97" s="17"/>
    </row>
    <row r="98" spans="1:3">
      <c r="A98" s="17"/>
      <c r="B98" s="17"/>
      <c r="C98" s="17"/>
    </row>
    <row r="99" spans="1:3">
      <c r="A99" s="17"/>
      <c r="B99" s="17"/>
      <c r="C99" s="17"/>
    </row>
    <row r="100" spans="1:3">
      <c r="A100" s="17"/>
      <c r="B100" s="17"/>
      <c r="C100" s="17"/>
    </row>
    <row r="101" spans="1:3">
      <c r="A101" s="17"/>
      <c r="B101" s="17"/>
      <c r="C101" s="17"/>
    </row>
    <row r="102" spans="1:3">
      <c r="A102" s="17"/>
      <c r="B102" s="17"/>
      <c r="C102" s="17"/>
    </row>
    <row r="103" spans="1:3">
      <c r="A103" s="17"/>
      <c r="B103" s="17"/>
      <c r="C103" s="17"/>
    </row>
    <row r="104" spans="1:3">
      <c r="A104" s="17"/>
      <c r="B104" s="17"/>
      <c r="C104" s="17"/>
    </row>
    <row r="105" spans="1:3">
      <c r="A105" s="17"/>
      <c r="B105" s="17"/>
      <c r="C105" s="17"/>
    </row>
    <row r="106" spans="1:3">
      <c r="A106" s="17"/>
      <c r="B106" s="17"/>
      <c r="C106" s="17"/>
    </row>
    <row r="107" spans="1:3">
      <c r="A107" s="17"/>
      <c r="B107" s="17"/>
      <c r="C107" s="17"/>
    </row>
    <row r="108" spans="1:3">
      <c r="A108" s="17"/>
      <c r="B108" s="17"/>
      <c r="C108" s="17"/>
    </row>
    <row r="109" spans="1:3">
      <c r="A109" s="17"/>
      <c r="B109" s="17"/>
      <c r="C109" s="17"/>
    </row>
    <row r="110" spans="1:3">
      <c r="A110" s="17"/>
      <c r="B110" s="17"/>
      <c r="C110" s="17"/>
    </row>
    <row r="111" spans="1:3">
      <c r="A111" s="17"/>
      <c r="B111" s="17"/>
      <c r="C111" s="17"/>
    </row>
    <row r="112" spans="1:3">
      <c r="A112" s="17"/>
      <c r="B112" s="17"/>
      <c r="C112" s="17"/>
    </row>
    <row r="113" spans="1:3">
      <c r="A113" s="17"/>
      <c r="B113" s="17"/>
      <c r="C113" s="17"/>
    </row>
    <row r="114" spans="1:3">
      <c r="A114" s="17"/>
      <c r="B114" s="17"/>
      <c r="C114" s="17"/>
    </row>
    <row r="115" spans="1:3">
      <c r="A115" s="17"/>
      <c r="B115" s="17"/>
      <c r="C115" s="17"/>
    </row>
    <row r="116" spans="1:3">
      <c r="A116" s="17"/>
      <c r="B116" s="17"/>
      <c r="C116" s="17"/>
    </row>
    <row r="117" spans="1:3">
      <c r="A117" s="17"/>
      <c r="B117" s="17"/>
      <c r="C117" s="17"/>
    </row>
    <row r="118" spans="1:3">
      <c r="A118" s="17"/>
      <c r="B118" s="17"/>
      <c r="C118" s="17"/>
    </row>
    <row r="119" spans="1:3">
      <c r="A119" s="17"/>
      <c r="B119" s="17"/>
      <c r="C119" s="17"/>
    </row>
    <row r="120" spans="1:3">
      <c r="A120" s="17"/>
      <c r="B120" s="17"/>
      <c r="C120" s="17"/>
    </row>
    <row r="121" spans="1:3">
      <c r="A121" s="17"/>
      <c r="B121" s="17"/>
      <c r="C121" s="17"/>
    </row>
    <row r="122" spans="1:3">
      <c r="A122" s="17"/>
      <c r="B122" s="17"/>
      <c r="C122" s="17"/>
    </row>
    <row r="123" spans="1:3">
      <c r="A123" s="17"/>
      <c r="B123" s="17"/>
      <c r="C123" s="17"/>
    </row>
    <row r="124" spans="1:3">
      <c r="A124" s="17"/>
      <c r="B124" s="17"/>
      <c r="C124" s="17"/>
    </row>
    <row r="125" spans="1:3">
      <c r="A125" s="17"/>
      <c r="B125" s="17"/>
      <c r="C125" s="17"/>
    </row>
    <row r="126" spans="1:3">
      <c r="A126" s="17"/>
      <c r="B126" s="17"/>
      <c r="C126" s="17"/>
    </row>
    <row r="127" spans="1:3">
      <c r="A127" s="17"/>
      <c r="B127" s="17"/>
      <c r="C127" s="17"/>
    </row>
    <row r="128" spans="1:3">
      <c r="A128" s="17"/>
      <c r="B128" s="17"/>
      <c r="C128" s="17"/>
    </row>
    <row r="129" spans="1:3">
      <c r="A129" s="17"/>
      <c r="B129" s="17"/>
      <c r="C129" s="17"/>
    </row>
    <row r="130" spans="1:3">
      <c r="A130" s="17"/>
      <c r="B130" s="17"/>
      <c r="C130" s="17"/>
    </row>
    <row r="131" spans="1:3">
      <c r="A131" s="17"/>
      <c r="B131" s="17"/>
      <c r="C131" s="17"/>
    </row>
    <row r="132" spans="1:3">
      <c r="A132" s="17"/>
      <c r="B132" s="17"/>
      <c r="C132" s="17"/>
    </row>
    <row r="133" spans="1:3">
      <c r="A133" s="17"/>
      <c r="B133" s="17"/>
      <c r="C133" s="17"/>
    </row>
    <row r="134" spans="1:3">
      <c r="A134" s="17"/>
      <c r="B134" s="17"/>
      <c r="C134" s="17"/>
    </row>
    <row r="135" spans="1:3">
      <c r="A135" s="17"/>
      <c r="B135" s="17"/>
      <c r="C135" s="17"/>
    </row>
    <row r="136" spans="1:3">
      <c r="A136" s="17"/>
      <c r="B136" s="17"/>
      <c r="C136" s="17"/>
    </row>
    <row r="137" spans="1:3">
      <c r="A137" s="17"/>
      <c r="B137" s="17"/>
      <c r="C137" s="17"/>
    </row>
    <row r="138" spans="1:3">
      <c r="A138" s="17"/>
      <c r="B138" s="17"/>
      <c r="C138" s="17"/>
    </row>
    <row r="139" spans="1:3">
      <c r="A139" s="17"/>
      <c r="B139" s="17"/>
      <c r="C139" s="17"/>
    </row>
    <row r="140" spans="1:3">
      <c r="A140" s="17"/>
      <c r="B140" s="17"/>
      <c r="C140" s="17"/>
    </row>
    <row r="141" spans="1:3">
      <c r="A141" s="17"/>
      <c r="B141" s="17"/>
      <c r="C141" s="17"/>
    </row>
    <row r="142" spans="1:3">
      <c r="A142" s="17"/>
      <c r="B142" s="17"/>
      <c r="C142" s="17"/>
    </row>
    <row r="143" spans="1:3">
      <c r="A143" s="17"/>
      <c r="B143" s="17"/>
      <c r="C143" s="17"/>
    </row>
    <row r="144" spans="1:3">
      <c r="A144" s="17"/>
      <c r="B144" s="17"/>
      <c r="C144" s="17"/>
    </row>
    <row r="145" spans="1:3">
      <c r="A145" s="17"/>
      <c r="B145" s="17"/>
      <c r="C145" s="17"/>
    </row>
    <row r="146" spans="1:3">
      <c r="A146" s="17"/>
      <c r="B146" s="17"/>
      <c r="C146" s="17"/>
    </row>
    <row r="147" spans="1:3">
      <c r="A147" s="17"/>
      <c r="B147" s="17"/>
      <c r="C147" s="17"/>
    </row>
    <row r="148" spans="1:3">
      <c r="A148" s="17"/>
      <c r="B148" s="17"/>
      <c r="C148" s="17"/>
    </row>
    <row r="149" spans="1:3">
      <c r="A149" s="17"/>
      <c r="B149" s="17"/>
      <c r="C149" s="17"/>
    </row>
    <row r="150" spans="1:3">
      <c r="A150" s="17"/>
      <c r="B150" s="17"/>
      <c r="C150" s="17"/>
    </row>
    <row r="151" spans="1:3">
      <c r="A151" s="17"/>
      <c r="B151" s="17"/>
      <c r="C151" s="17"/>
    </row>
    <row r="152" spans="1:3">
      <c r="A152" s="17"/>
      <c r="B152" s="17"/>
      <c r="C152" s="17"/>
    </row>
    <row r="153" spans="1:3">
      <c r="A153" s="17"/>
      <c r="B153" s="17"/>
      <c r="C153" s="17"/>
    </row>
    <row r="154" spans="1:3">
      <c r="A154" s="17"/>
      <c r="B154" s="17"/>
      <c r="C154" s="17"/>
    </row>
    <row r="155" spans="1:3">
      <c r="A155" s="17"/>
      <c r="B155" s="17"/>
      <c r="C155" s="17"/>
    </row>
    <row r="156" spans="1:3">
      <c r="A156" s="17"/>
      <c r="B156" s="17"/>
      <c r="C156" s="17"/>
    </row>
    <row r="157" spans="1:3">
      <c r="A157" s="17"/>
      <c r="B157" s="17"/>
      <c r="C157" s="17"/>
    </row>
    <row r="158" spans="1:3">
      <c r="A158" s="17"/>
      <c r="B158" s="17"/>
      <c r="C158" s="17"/>
    </row>
    <row r="159" spans="1:3">
      <c r="A159" s="17"/>
      <c r="B159" s="17"/>
      <c r="C159" s="17"/>
    </row>
    <row r="160" spans="1:3">
      <c r="A160" s="17"/>
      <c r="B160" s="17"/>
      <c r="C160" s="17"/>
    </row>
    <row r="161" spans="1:3">
      <c r="A161" s="17"/>
      <c r="B161" s="17"/>
      <c r="C161" s="17"/>
    </row>
    <row r="162" spans="1:3">
      <c r="A162" s="17"/>
      <c r="B162" s="17"/>
      <c r="C162" s="17"/>
    </row>
    <row r="163" spans="1:3">
      <c r="A163" s="17"/>
      <c r="B163" s="17"/>
      <c r="C163" s="17"/>
    </row>
    <row r="164" spans="1:3">
      <c r="A164" s="17"/>
      <c r="B164" s="17"/>
      <c r="C164" s="17"/>
    </row>
    <row r="165" spans="1:3">
      <c r="A165" s="17"/>
      <c r="B165" s="17"/>
      <c r="C165" s="17"/>
    </row>
    <row r="166" spans="1:3">
      <c r="A166" s="17"/>
      <c r="B166" s="17"/>
      <c r="C166" s="17"/>
    </row>
    <row r="167" spans="1:3">
      <c r="A167" s="17"/>
      <c r="B167" s="17"/>
      <c r="C167" s="17"/>
    </row>
    <row r="168" spans="1:3">
      <c r="A168" s="17"/>
      <c r="B168" s="17"/>
      <c r="C168" s="17"/>
    </row>
    <row r="169" spans="1:3">
      <c r="A169" s="17"/>
      <c r="B169" s="17"/>
      <c r="C169" s="17"/>
    </row>
    <row r="170" spans="1:3">
      <c r="A170" s="17"/>
      <c r="B170" s="17"/>
      <c r="C170" s="17"/>
    </row>
    <row r="171" spans="1:3">
      <c r="A171" s="17"/>
      <c r="B171" s="17"/>
      <c r="C171" s="17"/>
    </row>
    <row r="172" spans="1:3">
      <c r="A172" s="17"/>
      <c r="B172" s="17"/>
      <c r="C172" s="17"/>
    </row>
    <row r="173" spans="1:3">
      <c r="A173" s="17"/>
      <c r="B173" s="17"/>
      <c r="C173" s="17"/>
    </row>
    <row r="174" spans="1:3">
      <c r="A174" s="17"/>
      <c r="B174" s="17"/>
      <c r="C174" s="17"/>
    </row>
    <row r="175" spans="1:3">
      <c r="A175" s="17"/>
      <c r="B175" s="17"/>
      <c r="C175" s="17"/>
    </row>
    <row r="176" spans="1:3">
      <c r="A176" s="17"/>
      <c r="B176" s="17"/>
      <c r="C176" s="17"/>
    </row>
    <row r="177" spans="1:3">
      <c r="A177" s="17"/>
      <c r="B177" s="17"/>
      <c r="C177" s="17"/>
    </row>
    <row r="178" spans="1:3">
      <c r="A178" s="17"/>
      <c r="B178" s="17"/>
      <c r="C178" s="17"/>
    </row>
    <row r="179" spans="1:3">
      <c r="A179" s="17"/>
      <c r="B179" s="17"/>
      <c r="C179" s="17"/>
    </row>
    <row r="180" spans="1:3">
      <c r="A180" s="17"/>
      <c r="B180" s="17"/>
      <c r="C180" s="17"/>
    </row>
    <row r="181" spans="1:3">
      <c r="A181" s="17"/>
      <c r="B181" s="17"/>
      <c r="C181" s="17"/>
    </row>
    <row r="182" spans="1:3">
      <c r="A182" s="17"/>
      <c r="B182" s="17"/>
      <c r="C182" s="17"/>
    </row>
    <row r="183" spans="1:3">
      <c r="A183" s="17"/>
      <c r="B183" s="17"/>
      <c r="C183" s="17"/>
    </row>
    <row r="184" spans="1:3">
      <c r="A184" s="17"/>
      <c r="B184" s="17"/>
      <c r="C184" s="17"/>
    </row>
    <row r="185" spans="1:3">
      <c r="A185" s="17"/>
      <c r="B185" s="17"/>
      <c r="C185" s="17"/>
    </row>
    <row r="186" spans="1:3">
      <c r="A186" s="17"/>
      <c r="B186" s="17"/>
      <c r="C186" s="17"/>
    </row>
    <row r="187" spans="1:3">
      <c r="A187" s="17"/>
      <c r="B187" s="17"/>
      <c r="C187" s="17"/>
    </row>
    <row r="188" spans="1:3">
      <c r="A188" s="17"/>
      <c r="B188" s="17"/>
      <c r="C188" s="17"/>
    </row>
    <row r="189" spans="1:3">
      <c r="A189" s="17"/>
      <c r="B189" s="17"/>
      <c r="C189" s="17"/>
    </row>
    <row r="190" spans="1:3">
      <c r="A190" s="17"/>
      <c r="B190" s="17"/>
      <c r="C190" s="17"/>
    </row>
    <row r="191" spans="1:3">
      <c r="A191" s="17"/>
      <c r="B191" s="17"/>
      <c r="C191" s="17"/>
    </row>
    <row r="192" spans="1:3">
      <c r="A192" s="17"/>
      <c r="B192" s="17"/>
      <c r="C192" s="17"/>
    </row>
    <row r="193" spans="1:3">
      <c r="A193" s="17"/>
      <c r="B193" s="17"/>
      <c r="C193" s="17"/>
    </row>
    <row r="194" spans="1:3">
      <c r="A194" s="17"/>
      <c r="B194" s="17"/>
      <c r="C194" s="17"/>
    </row>
    <row r="195" spans="1:3">
      <c r="A195" s="17"/>
      <c r="B195" s="17"/>
      <c r="C195" s="17"/>
    </row>
    <row r="196" spans="1:3">
      <c r="A196" s="17"/>
      <c r="B196" s="17"/>
      <c r="C196" s="17"/>
    </row>
    <row r="197" spans="1:3">
      <c r="A197" s="17"/>
      <c r="B197" s="17"/>
      <c r="C197" s="17"/>
    </row>
    <row r="198" spans="1:3">
      <c r="A198" s="17"/>
      <c r="B198" s="17"/>
      <c r="C198" s="17"/>
    </row>
    <row r="199" spans="1:3">
      <c r="A199" s="17"/>
      <c r="B199" s="17"/>
      <c r="C199" s="17"/>
    </row>
    <row r="200" spans="1:3">
      <c r="A200" s="17"/>
      <c r="B200" s="17"/>
      <c r="C200" s="17"/>
    </row>
    <row r="201" spans="1:3">
      <c r="A201" s="17"/>
      <c r="B201" s="17"/>
      <c r="C201" s="17"/>
    </row>
    <row r="202" spans="1:3">
      <c r="A202" s="17"/>
      <c r="B202" s="17"/>
      <c r="C202" s="17"/>
    </row>
    <row r="203" spans="1:3">
      <c r="A203" s="17"/>
      <c r="B203" s="17"/>
      <c r="C203" s="17"/>
    </row>
    <row r="204" spans="1:3">
      <c r="A204" s="17"/>
      <c r="B204" s="17"/>
      <c r="C204" s="17"/>
    </row>
    <row r="205" spans="1:3">
      <c r="A205" s="17"/>
      <c r="B205" s="17"/>
      <c r="C205" s="17"/>
    </row>
    <row r="206" spans="1:3">
      <c r="A206" s="17"/>
      <c r="B206" s="17"/>
      <c r="C206" s="17"/>
    </row>
    <row r="207" spans="1:3">
      <c r="A207" s="17"/>
      <c r="B207" s="17"/>
      <c r="C207" s="17"/>
    </row>
    <row r="208" spans="1:3">
      <c r="A208" s="17"/>
      <c r="B208" s="17"/>
      <c r="C208" s="17"/>
    </row>
    <row r="209" spans="1:3">
      <c r="A209" s="17"/>
      <c r="B209" s="17"/>
      <c r="C209" s="17"/>
    </row>
    <row r="210" spans="1:3">
      <c r="A210" s="17"/>
      <c r="B210" s="17"/>
      <c r="C210" s="17"/>
    </row>
    <row r="211" spans="1:3">
      <c r="A211" s="17"/>
      <c r="B211" s="17"/>
      <c r="C211" s="17"/>
    </row>
    <row r="212" spans="1:3">
      <c r="A212" s="17"/>
      <c r="B212" s="17"/>
      <c r="C212" s="17"/>
    </row>
    <row r="213" spans="1:3">
      <c r="A213" s="17"/>
      <c r="B213" s="17"/>
      <c r="C213" s="17"/>
    </row>
    <row r="214" spans="1:3">
      <c r="A214" s="17"/>
      <c r="B214" s="17"/>
      <c r="C214" s="17"/>
    </row>
    <row r="215" spans="1:3">
      <c r="A215" s="17"/>
      <c r="B215" s="17"/>
      <c r="C215" s="17"/>
    </row>
    <row r="216" spans="1:3">
      <c r="A216" s="17"/>
      <c r="B216" s="17"/>
      <c r="C216" s="17"/>
    </row>
    <row r="217" spans="1:3">
      <c r="A217" s="17"/>
      <c r="B217" s="17"/>
      <c r="C217" s="17"/>
    </row>
    <row r="218" spans="1:3">
      <c r="A218" s="17"/>
      <c r="B218" s="17"/>
      <c r="C218" s="17"/>
    </row>
    <row r="219" spans="1:3">
      <c r="A219" s="17"/>
      <c r="B219" s="17"/>
      <c r="C219" s="17"/>
    </row>
    <row r="220" spans="1:3">
      <c r="A220" s="17"/>
      <c r="B220" s="17"/>
      <c r="C220" s="17"/>
    </row>
    <row r="221" spans="1:3">
      <c r="A221" s="17"/>
      <c r="B221" s="17"/>
      <c r="C221" s="17"/>
    </row>
    <row r="222" spans="1:3">
      <c r="A222" s="17"/>
      <c r="B222" s="17"/>
      <c r="C222" s="17"/>
    </row>
    <row r="223" spans="1:3">
      <c r="A223" s="17"/>
      <c r="B223" s="17"/>
      <c r="C223" s="17"/>
    </row>
    <row r="224" spans="1:3">
      <c r="A224" s="17"/>
      <c r="B224" s="17"/>
      <c r="C224" s="17"/>
    </row>
    <row r="225" spans="1:3">
      <c r="A225" s="17"/>
      <c r="B225" s="17"/>
      <c r="C225" s="17"/>
    </row>
    <row r="226" spans="1:3">
      <c r="A226" s="17"/>
      <c r="B226" s="17"/>
      <c r="C226" s="17"/>
    </row>
    <row r="227" spans="1:3">
      <c r="A227" s="17"/>
      <c r="B227" s="17"/>
      <c r="C227" s="17"/>
    </row>
    <row r="228" spans="1:3">
      <c r="A228" s="17"/>
      <c r="B228" s="17"/>
      <c r="C228" s="17"/>
    </row>
    <row r="229" spans="1:3">
      <c r="A229" s="17"/>
      <c r="B229" s="17"/>
      <c r="C229" s="17"/>
    </row>
    <row r="230" spans="1:3">
      <c r="A230" s="17"/>
      <c r="B230" s="17"/>
      <c r="C230" s="17"/>
    </row>
    <row r="231" spans="1:3">
      <c r="A231" s="17"/>
      <c r="B231" s="17"/>
      <c r="C231" s="17"/>
    </row>
    <row r="232" spans="1:3">
      <c r="A232" s="17"/>
      <c r="B232" s="17"/>
      <c r="C232" s="17"/>
    </row>
    <row r="233" spans="1:3">
      <c r="A233" s="17"/>
      <c r="B233" s="17"/>
      <c r="C233" s="17"/>
    </row>
    <row r="234" spans="1:3">
      <c r="A234" s="17"/>
      <c r="B234" s="17"/>
      <c r="C234" s="17"/>
    </row>
    <row r="235" spans="1:3">
      <c r="A235" s="17"/>
      <c r="B235" s="17"/>
      <c r="C235" s="17"/>
    </row>
    <row r="236" spans="1:3">
      <c r="A236" s="17"/>
      <c r="B236" s="17"/>
      <c r="C236" s="17"/>
    </row>
    <row r="237" spans="1:3">
      <c r="A237" s="17"/>
      <c r="B237" s="17"/>
      <c r="C237" s="17"/>
    </row>
    <row r="238" spans="1:3">
      <c r="A238" s="17"/>
      <c r="B238" s="17"/>
      <c r="C238" s="17"/>
    </row>
    <row r="239" spans="1:3">
      <c r="A239" s="17"/>
      <c r="B239" s="17"/>
      <c r="C239" s="17"/>
    </row>
    <row r="240" spans="1:3">
      <c r="A240" s="17"/>
      <c r="B240" s="17"/>
      <c r="C240" s="17"/>
    </row>
    <row r="241" spans="1:3">
      <c r="A241" s="17"/>
      <c r="B241" s="17"/>
      <c r="C241" s="17"/>
    </row>
    <row r="242" spans="1:3">
      <c r="A242" s="17"/>
      <c r="B242" s="17"/>
      <c r="C242" s="17"/>
    </row>
    <row r="243" spans="1:3">
      <c r="A243" s="17"/>
      <c r="B243" s="17"/>
      <c r="C243" s="17"/>
    </row>
    <row r="244" spans="1:3">
      <c r="A244" s="17"/>
      <c r="B244" s="17"/>
      <c r="C244" s="17"/>
    </row>
    <row r="245" spans="1:3">
      <c r="A245" s="17"/>
      <c r="B245" s="17"/>
      <c r="C245" s="17"/>
    </row>
    <row r="246" spans="1:3">
      <c r="A246" s="17"/>
      <c r="B246" s="17"/>
      <c r="C246" s="17"/>
    </row>
    <row r="247" spans="1:3">
      <c r="A247" s="17"/>
      <c r="B247" s="17"/>
      <c r="C247" s="17"/>
    </row>
    <row r="248" spans="1:3">
      <c r="A248" s="17"/>
      <c r="B248" s="17"/>
      <c r="C248" s="17"/>
    </row>
    <row r="249" spans="1:3">
      <c r="A249" s="17"/>
      <c r="B249" s="17"/>
      <c r="C249" s="17"/>
    </row>
    <row r="250" spans="1:3">
      <c r="A250" s="17"/>
      <c r="B250" s="17"/>
      <c r="C250" s="17"/>
    </row>
    <row r="251" spans="1:3">
      <c r="A251" s="17"/>
      <c r="B251" s="17"/>
      <c r="C251" s="17"/>
    </row>
    <row r="252" spans="1:3">
      <c r="A252" s="17"/>
      <c r="B252" s="17"/>
      <c r="C252" s="17"/>
    </row>
    <row r="253" spans="1:3">
      <c r="A253" s="17"/>
      <c r="B253" s="17"/>
      <c r="C253" s="17"/>
    </row>
    <row r="254" spans="1:3">
      <c r="A254" s="17"/>
      <c r="B254" s="17"/>
      <c r="C254" s="17"/>
    </row>
    <row r="255" spans="1:3">
      <c r="A255" s="17"/>
      <c r="B255" s="17"/>
      <c r="C255" s="17"/>
    </row>
    <row r="256" spans="1:3">
      <c r="A256" s="17"/>
      <c r="B256" s="17"/>
      <c r="C256" s="17"/>
    </row>
    <row r="257" spans="1:3">
      <c r="A257" s="17"/>
      <c r="B257" s="17"/>
      <c r="C257" s="17"/>
    </row>
    <row r="258" spans="1:3">
      <c r="A258" s="17"/>
      <c r="B258" s="17"/>
      <c r="C258" s="17"/>
    </row>
    <row r="259" spans="1:3">
      <c r="A259" s="17"/>
      <c r="B259" s="17"/>
      <c r="C259" s="17"/>
    </row>
    <row r="260" spans="1:3">
      <c r="A260" s="17"/>
      <c r="B260" s="17"/>
      <c r="C260" s="17"/>
    </row>
    <row r="261" spans="1:3">
      <c r="A261" s="17"/>
      <c r="B261" s="17"/>
      <c r="C261" s="17"/>
    </row>
    <row r="262" spans="1:3">
      <c r="A262" s="17"/>
      <c r="B262" s="17"/>
      <c r="C262" s="17"/>
    </row>
    <row r="263" spans="1:3">
      <c r="A263" s="17"/>
      <c r="B263" s="17"/>
      <c r="C263" s="17"/>
    </row>
    <row r="264" spans="1:3">
      <c r="A264" s="17"/>
      <c r="B264" s="17"/>
      <c r="C264" s="17"/>
    </row>
    <row r="265" spans="1:3">
      <c r="A265" s="17"/>
      <c r="B265" s="17"/>
      <c r="C265" s="17"/>
    </row>
    <row r="266" spans="1:3">
      <c r="A266" s="17"/>
      <c r="B266" s="17"/>
      <c r="C266" s="17"/>
    </row>
    <row r="267" spans="1:3">
      <c r="A267" s="17"/>
      <c r="B267" s="17"/>
      <c r="C267" s="17"/>
    </row>
    <row r="268" spans="1:3">
      <c r="A268" s="17"/>
      <c r="B268" s="17"/>
      <c r="C268" s="17"/>
    </row>
    <row r="269" spans="1:3">
      <c r="A269" s="17"/>
      <c r="B269" s="17"/>
      <c r="C269" s="17"/>
    </row>
    <row r="270" spans="1:3">
      <c r="A270" s="17"/>
      <c r="B270" s="17"/>
      <c r="C270" s="17"/>
    </row>
    <row r="271" spans="1:3">
      <c r="A271" s="17"/>
      <c r="B271" s="17"/>
      <c r="C271" s="17"/>
    </row>
    <row r="272" spans="1:3">
      <c r="A272" s="17"/>
      <c r="B272" s="17"/>
      <c r="C272" s="17"/>
    </row>
    <row r="273" spans="1:3">
      <c r="A273" s="17"/>
      <c r="B273" s="17"/>
      <c r="C273" s="17"/>
    </row>
    <row r="274" spans="1:3">
      <c r="A274" s="17"/>
      <c r="B274" s="17"/>
      <c r="C274" s="17"/>
    </row>
    <row r="275" spans="1:3">
      <c r="A275" s="17"/>
      <c r="B275" s="17"/>
      <c r="C275" s="17"/>
    </row>
    <row r="276" spans="1:3">
      <c r="A276" s="17"/>
      <c r="B276" s="17"/>
      <c r="C276" s="17"/>
    </row>
    <row r="277" spans="1:3">
      <c r="A277" s="17"/>
      <c r="B277" s="17"/>
      <c r="C277" s="17"/>
    </row>
    <row r="278" spans="1:3">
      <c r="A278" s="17"/>
      <c r="B278" s="17"/>
      <c r="C278" s="17"/>
    </row>
    <row r="279" spans="1:3">
      <c r="A279" s="17"/>
      <c r="B279" s="17"/>
      <c r="C279" s="17"/>
    </row>
    <row r="280" spans="1:3">
      <c r="A280" s="17"/>
      <c r="B280" s="17"/>
      <c r="C280" s="17"/>
    </row>
    <row r="281" spans="1:3">
      <c r="A281" s="17"/>
      <c r="B281" s="17"/>
      <c r="C281" s="17"/>
    </row>
    <row r="282" spans="1:3">
      <c r="A282" s="17"/>
      <c r="B282" s="17"/>
      <c r="C282" s="17"/>
    </row>
    <row r="283" spans="1:3">
      <c r="A283" s="17"/>
      <c r="B283" s="17"/>
      <c r="C283" s="17"/>
    </row>
    <row r="284" spans="1:3">
      <c r="A284" s="17"/>
      <c r="B284" s="17"/>
      <c r="C284" s="17"/>
    </row>
    <row r="285" spans="1:3">
      <c r="A285" s="17"/>
      <c r="B285" s="17"/>
      <c r="C285" s="17"/>
    </row>
    <row r="286" spans="1:3">
      <c r="A286" s="17"/>
      <c r="B286" s="17"/>
      <c r="C286" s="17"/>
    </row>
    <row r="287" spans="1:3">
      <c r="A287" s="17"/>
      <c r="B287" s="17"/>
      <c r="C287" s="17"/>
    </row>
    <row r="288" spans="1:3">
      <c r="A288" s="17"/>
      <c r="B288" s="17"/>
      <c r="C288" s="17"/>
    </row>
    <row r="289" spans="1:3">
      <c r="A289" s="17"/>
      <c r="B289" s="17"/>
      <c r="C289" s="17"/>
    </row>
    <row r="290" spans="1:3">
      <c r="A290" s="17"/>
      <c r="B290" s="17"/>
      <c r="C290" s="17"/>
    </row>
    <row r="291" spans="1:3">
      <c r="A291" s="17"/>
      <c r="B291" s="17"/>
      <c r="C291" s="17"/>
    </row>
    <row r="292" spans="1:3">
      <c r="A292" s="17"/>
      <c r="B292" s="17"/>
      <c r="C292" s="17"/>
    </row>
    <row r="293" spans="1:3">
      <c r="A293" s="17"/>
      <c r="B293" s="17"/>
      <c r="C293" s="17"/>
    </row>
    <row r="294" spans="1:3">
      <c r="A294" s="17"/>
      <c r="B294" s="17"/>
      <c r="C294" s="17"/>
    </row>
    <row r="295" spans="1:3">
      <c r="A295" s="17"/>
      <c r="B295" s="17"/>
      <c r="C295" s="17"/>
    </row>
    <row r="296" spans="1:3">
      <c r="A296" s="17"/>
      <c r="B296" s="17"/>
      <c r="C296" s="17"/>
    </row>
    <row r="297" spans="1:3">
      <c r="A297" s="17"/>
      <c r="B297" s="17"/>
      <c r="C297" s="17"/>
    </row>
    <row r="298" spans="1:3">
      <c r="A298" s="17"/>
      <c r="B298" s="17"/>
      <c r="C298" s="17"/>
    </row>
    <row r="299" spans="1:3">
      <c r="A299" s="17"/>
      <c r="B299" s="17"/>
      <c r="C299" s="17"/>
    </row>
    <row r="300" spans="1:3">
      <c r="A300" s="17"/>
      <c r="B300" s="17"/>
      <c r="C300" s="17"/>
    </row>
    <row r="301" spans="1:3">
      <c r="A301" s="17"/>
      <c r="B301" s="17"/>
      <c r="C301" s="17"/>
    </row>
    <row r="302" spans="1:3">
      <c r="A302" s="17"/>
      <c r="B302" s="17"/>
      <c r="C302" s="17"/>
    </row>
    <row r="303" spans="1:3">
      <c r="A303" s="17"/>
      <c r="B303" s="17"/>
      <c r="C303" s="17"/>
    </row>
    <row r="304" spans="1:3">
      <c r="A304" s="17"/>
      <c r="B304" s="17"/>
      <c r="C304" s="17"/>
    </row>
    <row r="305" spans="1:3">
      <c r="A305" s="17"/>
      <c r="B305" s="17"/>
      <c r="C305" s="17"/>
    </row>
    <row r="306" spans="1:3">
      <c r="A306" s="17"/>
      <c r="B306" s="17"/>
      <c r="C306" s="17"/>
    </row>
    <row r="307" spans="1:3">
      <c r="A307" s="17"/>
      <c r="B307" s="17"/>
      <c r="C307" s="17"/>
    </row>
    <row r="308" spans="1:3">
      <c r="A308" s="17"/>
      <c r="B308" s="17"/>
      <c r="C308" s="17"/>
    </row>
    <row r="309" spans="1:3">
      <c r="A309" s="17"/>
      <c r="B309" s="17"/>
      <c r="C309" s="17"/>
    </row>
    <row r="310" spans="1:3">
      <c r="A310" s="17"/>
      <c r="B310" s="17"/>
      <c r="C310" s="17"/>
    </row>
    <row r="311" spans="1:3">
      <c r="A311" s="17"/>
      <c r="B311" s="17"/>
      <c r="C311" s="17"/>
    </row>
    <row r="312" spans="1:3">
      <c r="A312" s="17"/>
      <c r="B312" s="17"/>
      <c r="C312" s="17"/>
    </row>
    <row r="313" spans="1:3">
      <c r="A313" s="17"/>
      <c r="B313" s="17"/>
      <c r="C313" s="17"/>
    </row>
    <row r="314" spans="1:3">
      <c r="A314" s="17"/>
      <c r="B314" s="17"/>
      <c r="C314" s="17"/>
    </row>
    <row r="315" spans="1:3">
      <c r="A315" s="17"/>
      <c r="B315" s="17"/>
      <c r="C315" s="17"/>
    </row>
    <row r="316" spans="1:3">
      <c r="A316" s="17"/>
      <c r="B316" s="17"/>
      <c r="C316" s="17"/>
    </row>
    <row r="317" spans="1:3">
      <c r="A317" s="17"/>
      <c r="B317" s="17"/>
      <c r="C317" s="17"/>
    </row>
    <row r="318" spans="1:3">
      <c r="A318" s="17"/>
      <c r="B318" s="17"/>
      <c r="C318" s="17"/>
    </row>
    <row r="319" spans="1:3">
      <c r="A319" s="17"/>
      <c r="B319" s="17"/>
      <c r="C319" s="17"/>
    </row>
    <row r="320" spans="1:3">
      <c r="A320" s="17"/>
      <c r="B320" s="17"/>
      <c r="C320" s="17"/>
    </row>
    <row r="321" spans="1:3">
      <c r="A321" s="17"/>
      <c r="B321" s="17"/>
      <c r="C321" s="17"/>
    </row>
    <row r="322" spans="1:3">
      <c r="A322" s="17"/>
      <c r="B322" s="17"/>
      <c r="C322" s="17"/>
    </row>
    <row r="323" spans="1:3">
      <c r="A323" s="17"/>
      <c r="B323" s="17"/>
      <c r="C323" s="17"/>
    </row>
    <row r="324" spans="1:3">
      <c r="A324" s="17"/>
      <c r="B324" s="17"/>
      <c r="C324" s="17"/>
    </row>
    <row r="325" spans="1:3">
      <c r="A325" s="17"/>
      <c r="B325" s="17"/>
      <c r="C325" s="17"/>
    </row>
    <row r="326" spans="1:3">
      <c r="A326" s="17"/>
      <c r="B326" s="17"/>
      <c r="C326" s="17"/>
    </row>
    <row r="327" spans="1:3">
      <c r="A327" s="17"/>
      <c r="B327" s="17"/>
      <c r="C327" s="17"/>
    </row>
    <row r="328" spans="1:3">
      <c r="A328" s="17"/>
      <c r="B328" s="17"/>
      <c r="C328" s="17"/>
    </row>
    <row r="329" spans="1:3">
      <c r="A329" s="17"/>
      <c r="B329" s="17"/>
      <c r="C329" s="17"/>
    </row>
    <row r="330" spans="1:3">
      <c r="A330" s="17"/>
      <c r="B330" s="17"/>
      <c r="C330" s="17"/>
    </row>
    <row r="331" spans="1:3">
      <c r="A331" s="17"/>
      <c r="B331" s="17"/>
      <c r="C331" s="17"/>
    </row>
    <row r="332" spans="1:3">
      <c r="A332" s="17"/>
      <c r="B332" s="17"/>
      <c r="C332" s="17"/>
    </row>
    <row r="333" spans="1:3">
      <c r="A333" s="17"/>
      <c r="B333" s="17"/>
      <c r="C333" s="17"/>
    </row>
    <row r="334" spans="1:3">
      <c r="A334" s="17"/>
      <c r="B334" s="17"/>
      <c r="C334" s="17"/>
    </row>
    <row r="335" spans="1:3">
      <c r="A335" s="17"/>
      <c r="B335" s="17"/>
      <c r="C335" s="17"/>
    </row>
    <row r="336" spans="1:3">
      <c r="A336" s="17"/>
      <c r="B336" s="17"/>
      <c r="C336" s="17"/>
    </row>
    <row r="337" spans="1:3">
      <c r="A337" s="17"/>
      <c r="B337" s="17"/>
      <c r="C337" s="17"/>
    </row>
    <row r="338" spans="1:3">
      <c r="A338" s="17"/>
      <c r="B338" s="17"/>
      <c r="C338" s="17"/>
    </row>
    <row r="339" spans="1:3">
      <c r="A339" s="17"/>
      <c r="B339" s="17"/>
      <c r="C339" s="17"/>
    </row>
    <row r="340" spans="1:3">
      <c r="A340" s="17"/>
      <c r="B340" s="17"/>
      <c r="C340" s="17"/>
    </row>
    <row r="341" spans="1:3">
      <c r="A341" s="17"/>
      <c r="B341" s="17"/>
      <c r="C341" s="17"/>
    </row>
    <row r="342" spans="1:3">
      <c r="A342" s="17"/>
      <c r="B342" s="17"/>
      <c r="C342" s="17"/>
    </row>
    <row r="343" spans="1:3">
      <c r="A343" s="17"/>
      <c r="B343" s="17"/>
      <c r="C343" s="17"/>
    </row>
    <row r="344" spans="1:3">
      <c r="A344" s="17"/>
      <c r="B344" s="17"/>
      <c r="C344" s="17"/>
    </row>
    <row r="345" spans="1:3">
      <c r="A345" s="17"/>
      <c r="B345" s="17"/>
      <c r="C345" s="17"/>
    </row>
    <row r="346" spans="1:3">
      <c r="A346" s="17"/>
      <c r="B346" s="17"/>
      <c r="C346" s="17"/>
    </row>
    <row r="347" spans="1:3">
      <c r="A347" s="17"/>
      <c r="B347" s="17"/>
      <c r="C347" s="17"/>
    </row>
    <row r="348" spans="1:3">
      <c r="A348" s="17"/>
      <c r="B348" s="17"/>
      <c r="C348" s="17"/>
    </row>
    <row r="349" spans="1:3">
      <c r="A349" s="17"/>
      <c r="B349" s="17"/>
      <c r="C349" s="17"/>
    </row>
    <row r="350" spans="1:3">
      <c r="A350" s="17"/>
      <c r="B350" s="17"/>
      <c r="C350" s="17"/>
    </row>
    <row r="351" spans="1:3">
      <c r="A351" s="17"/>
      <c r="B351" s="17"/>
      <c r="C351" s="17"/>
    </row>
    <row r="352" spans="1:3">
      <c r="A352" s="17"/>
      <c r="B352" s="17"/>
      <c r="C352" s="17"/>
    </row>
    <row r="353" spans="1:3">
      <c r="A353" s="17"/>
      <c r="B353" s="17"/>
      <c r="C353" s="17"/>
    </row>
    <row r="354" spans="1:3">
      <c r="A354" s="17"/>
      <c r="B354" s="17"/>
      <c r="C354" s="17"/>
    </row>
    <row r="355" spans="1:3">
      <c r="A355" s="17"/>
      <c r="B355" s="17"/>
      <c r="C355" s="17"/>
    </row>
    <row r="356" spans="1:3">
      <c r="A356" s="17"/>
      <c r="B356" s="17"/>
      <c r="C356" s="17"/>
    </row>
    <row r="357" spans="1:3">
      <c r="A357" s="17"/>
      <c r="B357" s="17"/>
      <c r="C357" s="17"/>
    </row>
    <row r="358" spans="1:3">
      <c r="A358" s="17"/>
      <c r="B358" s="17"/>
      <c r="C358" s="17"/>
    </row>
    <row r="359" spans="1:3">
      <c r="A359" s="17"/>
      <c r="B359" s="17"/>
      <c r="C359" s="17"/>
    </row>
    <row r="360" spans="1:3">
      <c r="A360" s="17"/>
      <c r="B360" s="17"/>
      <c r="C360" s="17"/>
    </row>
    <row r="361" spans="1:3">
      <c r="A361" s="17"/>
      <c r="B361" s="17"/>
      <c r="C361" s="17"/>
    </row>
    <row r="362" spans="1:3">
      <c r="A362" s="17"/>
      <c r="B362" s="17"/>
      <c r="C362" s="17"/>
    </row>
    <row r="363" spans="1:3">
      <c r="A363" s="17"/>
      <c r="B363" s="17"/>
      <c r="C363" s="17"/>
    </row>
    <row r="364" spans="1:3">
      <c r="A364" s="17"/>
      <c r="B364" s="17"/>
      <c r="C364" s="17"/>
    </row>
    <row r="365" spans="1:3">
      <c r="A365" s="17"/>
      <c r="B365" s="17"/>
      <c r="C365" s="17"/>
    </row>
    <row r="366" spans="1:3">
      <c r="A366" s="17"/>
      <c r="B366" s="17"/>
      <c r="C366" s="17"/>
    </row>
    <row r="367" spans="1:3">
      <c r="A367" s="17"/>
      <c r="B367" s="17"/>
      <c r="C367" s="17"/>
    </row>
    <row r="368" spans="1:3">
      <c r="A368" s="17"/>
      <c r="B368" s="17"/>
      <c r="C368" s="17"/>
    </row>
    <row r="369" spans="1:3">
      <c r="A369" s="17"/>
      <c r="B369" s="17"/>
      <c r="C369" s="17"/>
    </row>
    <row r="370" spans="1:3">
      <c r="A370" s="17"/>
      <c r="B370" s="17"/>
      <c r="C370" s="17"/>
    </row>
    <row r="371" spans="1:3">
      <c r="A371" s="17"/>
      <c r="B371" s="17"/>
      <c r="C371" s="17"/>
    </row>
    <row r="372" spans="1:3">
      <c r="A372" s="17"/>
      <c r="B372" s="17"/>
      <c r="C372" s="17"/>
    </row>
    <row r="373" spans="1:3">
      <c r="A373" s="17"/>
      <c r="B373" s="17"/>
      <c r="C373" s="17"/>
    </row>
    <row r="374" spans="1:3">
      <c r="A374" s="17"/>
      <c r="B374" s="17"/>
      <c r="C374" s="17"/>
    </row>
    <row r="375" spans="1:3">
      <c r="A375" s="17"/>
      <c r="B375" s="17"/>
      <c r="C375" s="17"/>
    </row>
    <row r="376" spans="1:3">
      <c r="A376" s="17"/>
      <c r="B376" s="17"/>
      <c r="C376" s="17"/>
    </row>
    <row r="377" spans="1:3">
      <c r="A377" s="17"/>
      <c r="B377" s="17"/>
      <c r="C377" s="17"/>
    </row>
    <row r="378" spans="1:3">
      <c r="A378" s="17"/>
      <c r="B378" s="17"/>
      <c r="C378" s="17"/>
    </row>
    <row r="379" spans="1:3">
      <c r="A379" s="17"/>
      <c r="B379" s="17"/>
      <c r="C379" s="17"/>
    </row>
    <row r="380" spans="1:3">
      <c r="A380" s="17"/>
      <c r="B380" s="17"/>
      <c r="C380" s="17"/>
    </row>
    <row r="381" spans="1:3">
      <c r="A381" s="17"/>
      <c r="B381" s="17"/>
      <c r="C381" s="17"/>
    </row>
    <row r="382" spans="1:3">
      <c r="A382" s="17"/>
      <c r="B382" s="17"/>
      <c r="C382" s="17"/>
    </row>
    <row r="383" spans="1:3">
      <c r="A383" s="17"/>
      <c r="B383" s="17"/>
      <c r="C383" s="17"/>
    </row>
    <row r="384" spans="1:3">
      <c r="A384" s="17"/>
      <c r="B384" s="17"/>
      <c r="C384" s="17"/>
    </row>
    <row r="385" spans="1:3">
      <c r="A385" s="17"/>
      <c r="B385" s="17"/>
      <c r="C385" s="17"/>
    </row>
    <row r="386" spans="1:3">
      <c r="A386" s="17"/>
      <c r="B386" s="17"/>
      <c r="C386" s="17"/>
    </row>
    <row r="387" spans="1:3">
      <c r="A387" s="17"/>
      <c r="B387" s="17"/>
      <c r="C387" s="17"/>
    </row>
    <row r="388" spans="1:3">
      <c r="A388" s="17"/>
      <c r="B388" s="17"/>
      <c r="C388" s="17"/>
    </row>
    <row r="389" spans="1:3">
      <c r="A389" s="17"/>
      <c r="B389" s="17"/>
      <c r="C389" s="17"/>
    </row>
    <row r="390" spans="1:3">
      <c r="A390" s="17"/>
      <c r="B390" s="17"/>
      <c r="C390" s="17"/>
    </row>
    <row r="391" spans="1:3">
      <c r="A391" s="17"/>
      <c r="B391" s="17"/>
      <c r="C391" s="17"/>
    </row>
    <row r="392" spans="1:3">
      <c r="A392" s="17"/>
      <c r="B392" s="17"/>
      <c r="C392" s="17"/>
    </row>
    <row r="393" spans="1:3">
      <c r="A393" s="17"/>
      <c r="B393" s="17"/>
      <c r="C393" s="17"/>
    </row>
    <row r="394" spans="1:3">
      <c r="A394" s="17"/>
      <c r="B394" s="17"/>
      <c r="C394" s="17"/>
    </row>
    <row r="395" spans="1:3">
      <c r="A395" s="17"/>
      <c r="B395" s="17"/>
      <c r="C395" s="17"/>
    </row>
    <row r="396" spans="1:3">
      <c r="A396" s="17"/>
      <c r="B396" s="17"/>
      <c r="C396" s="17"/>
    </row>
    <row r="397" spans="1:3">
      <c r="A397" s="17"/>
      <c r="B397" s="17"/>
      <c r="C397" s="17"/>
    </row>
    <row r="398" spans="1:3">
      <c r="A398" s="17"/>
      <c r="B398" s="17"/>
      <c r="C398" s="17"/>
    </row>
    <row r="399" spans="1:3">
      <c r="A399" s="17"/>
      <c r="B399" s="17"/>
      <c r="C399" s="17"/>
    </row>
    <row r="400" spans="1:3">
      <c r="A400" s="17"/>
      <c r="B400" s="17"/>
      <c r="C400" s="17"/>
    </row>
    <row r="401" spans="1:3">
      <c r="A401" s="17"/>
      <c r="B401" s="17"/>
      <c r="C401" s="17"/>
    </row>
    <row r="402" spans="1:3">
      <c r="A402" s="17"/>
      <c r="B402" s="17"/>
      <c r="C402" s="17"/>
    </row>
    <row r="403" spans="1:3">
      <c r="A403" s="17"/>
      <c r="B403" s="17"/>
      <c r="C403" s="17"/>
    </row>
    <row r="404" spans="1:3">
      <c r="A404" s="17"/>
      <c r="B404" s="17"/>
      <c r="C404" s="17"/>
    </row>
    <row r="405" spans="1:3">
      <c r="A405" s="17"/>
      <c r="B405" s="17"/>
      <c r="C405" s="17"/>
    </row>
    <row r="406" spans="1:3">
      <c r="A406" s="17"/>
      <c r="B406" s="17"/>
      <c r="C406" s="17"/>
    </row>
    <row r="407" spans="1:3">
      <c r="A407" s="17"/>
      <c r="B407" s="17"/>
      <c r="C407" s="17"/>
    </row>
    <row r="408" spans="1:3">
      <c r="A408" s="17"/>
      <c r="B408" s="17"/>
      <c r="C408" s="17"/>
    </row>
    <row r="409" spans="1:3">
      <c r="A409" s="17"/>
      <c r="B409" s="17"/>
      <c r="C409" s="17"/>
    </row>
    <row r="410" spans="1:3">
      <c r="A410" s="17"/>
      <c r="B410" s="17"/>
      <c r="C410" s="17"/>
    </row>
    <row r="411" spans="1:3">
      <c r="A411" s="17"/>
      <c r="B411" s="17"/>
      <c r="C411" s="17"/>
    </row>
    <row r="412" spans="1:3">
      <c r="A412" s="17"/>
      <c r="B412" s="17"/>
      <c r="C412" s="17"/>
    </row>
    <row r="413" spans="1:3">
      <c r="A413" s="17"/>
      <c r="B413" s="17"/>
      <c r="C413" s="17"/>
    </row>
    <row r="414" spans="1:3">
      <c r="A414" s="17"/>
      <c r="B414" s="17"/>
      <c r="C414" s="17"/>
    </row>
    <row r="415" spans="1:3">
      <c r="A415" s="17"/>
      <c r="B415" s="17"/>
      <c r="C415" s="17"/>
    </row>
    <row r="416" spans="1:3">
      <c r="A416" s="17"/>
      <c r="B416" s="17"/>
      <c r="C416" s="17"/>
    </row>
    <row r="417" spans="1:3">
      <c r="A417" s="17"/>
      <c r="B417" s="17"/>
      <c r="C417" s="17"/>
    </row>
    <row r="418" spans="1:3">
      <c r="A418" s="17"/>
      <c r="B418" s="17"/>
      <c r="C418" s="17"/>
    </row>
    <row r="419" spans="1:3">
      <c r="A419" s="17"/>
      <c r="B419" s="17"/>
      <c r="C419" s="17"/>
    </row>
    <row r="420" spans="1:3">
      <c r="A420" s="17"/>
      <c r="B420" s="17"/>
      <c r="C420" s="17"/>
    </row>
    <row r="421" spans="1:3">
      <c r="A421" s="17"/>
      <c r="B421" s="17"/>
      <c r="C421" s="17"/>
    </row>
    <row r="422" spans="1:3">
      <c r="A422" s="17"/>
      <c r="B422" s="17"/>
      <c r="C422" s="17"/>
    </row>
    <row r="423" spans="1:3">
      <c r="A423" s="17"/>
      <c r="B423" s="17"/>
      <c r="C423" s="17"/>
    </row>
    <row r="424" spans="1:3">
      <c r="A424" s="17"/>
      <c r="B424" s="17"/>
      <c r="C424" s="17"/>
    </row>
    <row r="425" spans="1:3">
      <c r="A425" s="17"/>
      <c r="B425" s="17"/>
      <c r="C425" s="17"/>
    </row>
    <row r="426" spans="1:3">
      <c r="A426" s="17"/>
      <c r="B426" s="17"/>
      <c r="C426" s="17"/>
    </row>
    <row r="427" spans="1:3">
      <c r="A427" s="17"/>
      <c r="B427" s="17"/>
      <c r="C427" s="17"/>
    </row>
    <row r="428" spans="1:3">
      <c r="A428" s="17"/>
      <c r="B428" s="17"/>
      <c r="C428" s="17"/>
    </row>
    <row r="429" spans="1:3">
      <c r="A429" s="17"/>
      <c r="B429" s="17"/>
      <c r="C429" s="17"/>
    </row>
    <row r="430" spans="1:3">
      <c r="A430" s="17"/>
      <c r="B430" s="17"/>
      <c r="C430" s="17"/>
    </row>
    <row r="431" spans="1:3">
      <c r="A431" s="17"/>
      <c r="B431" s="17"/>
      <c r="C431" s="17"/>
    </row>
    <row r="432" spans="1:3">
      <c r="A432" s="17"/>
      <c r="B432" s="17"/>
      <c r="C432" s="17"/>
    </row>
    <row r="433" spans="1:3">
      <c r="A433" s="17"/>
      <c r="B433" s="17"/>
      <c r="C433" s="17"/>
    </row>
    <row r="434" spans="1:3">
      <c r="A434" s="17"/>
      <c r="B434" s="17"/>
      <c r="C434" s="17"/>
    </row>
    <row r="435" spans="1:3">
      <c r="A435" s="17"/>
      <c r="B435" s="17"/>
      <c r="C435" s="17"/>
    </row>
    <row r="436" spans="1:3">
      <c r="A436" s="17"/>
      <c r="B436" s="17"/>
      <c r="C436" s="17"/>
    </row>
    <row r="437" spans="1:3">
      <c r="A437" s="17"/>
      <c r="B437" s="17"/>
      <c r="C437" s="17"/>
    </row>
    <row r="438" spans="1:3">
      <c r="A438" s="17"/>
      <c r="B438" s="17"/>
      <c r="C438" s="17"/>
    </row>
    <row r="439" spans="1:3">
      <c r="A439" s="17"/>
      <c r="B439" s="17"/>
      <c r="C439" s="17"/>
    </row>
    <row r="440" spans="1:3">
      <c r="A440" s="17"/>
      <c r="B440" s="17"/>
      <c r="C440" s="17"/>
    </row>
    <row r="441" spans="1:3">
      <c r="A441" s="17"/>
      <c r="B441" s="17"/>
      <c r="C441" s="17"/>
    </row>
    <row r="442" spans="1:3">
      <c r="A442" s="17"/>
      <c r="B442" s="17"/>
      <c r="C442" s="17"/>
    </row>
    <row r="443" spans="1:3">
      <c r="A443" s="17"/>
      <c r="B443" s="17"/>
      <c r="C443" s="17"/>
    </row>
    <row r="444" spans="1:3">
      <c r="A444" s="17"/>
      <c r="B444" s="17"/>
      <c r="C444" s="17"/>
    </row>
    <row r="445" spans="1:3">
      <c r="A445" s="17"/>
      <c r="B445" s="17"/>
      <c r="C445" s="17"/>
    </row>
    <row r="446" spans="1:3">
      <c r="A446" s="17"/>
      <c r="B446" s="17"/>
      <c r="C446" s="17"/>
    </row>
    <row r="447" spans="1:3">
      <c r="A447" s="17"/>
      <c r="B447" s="17"/>
      <c r="C447" s="17"/>
    </row>
    <row r="448" spans="1:3">
      <c r="A448" s="17"/>
      <c r="B448" s="17"/>
      <c r="C448" s="17"/>
    </row>
    <row r="449" spans="1:3">
      <c r="A449" s="17"/>
      <c r="B449" s="17"/>
      <c r="C449" s="17"/>
    </row>
    <row r="450" spans="1:3">
      <c r="A450" s="17"/>
      <c r="B450" s="17"/>
      <c r="C450" s="17"/>
    </row>
    <row r="451" spans="1:3">
      <c r="A451" s="17"/>
      <c r="B451" s="17"/>
      <c r="C451" s="17"/>
    </row>
    <row r="452" spans="1:3">
      <c r="A452" s="17"/>
      <c r="B452" s="17"/>
      <c r="C452" s="17"/>
    </row>
    <row r="453" spans="1:3">
      <c r="A453" s="17"/>
      <c r="B453" s="17"/>
      <c r="C453" s="17"/>
    </row>
    <row r="454" spans="1:3">
      <c r="A454" s="17"/>
      <c r="B454" s="17"/>
      <c r="C454" s="17"/>
    </row>
    <row r="455" spans="1:3">
      <c r="A455" s="17"/>
      <c r="B455" s="17"/>
      <c r="C455" s="17"/>
    </row>
    <row r="456" spans="1:3">
      <c r="A456" s="17"/>
      <c r="B456" s="17"/>
      <c r="C456" s="17"/>
    </row>
    <row r="457" spans="1:3">
      <c r="A457" s="17"/>
      <c r="B457" s="17"/>
      <c r="C457" s="17"/>
    </row>
    <row r="458" spans="1:3">
      <c r="A458" s="17"/>
      <c r="B458" s="17"/>
      <c r="C458" s="17"/>
    </row>
    <row r="459" spans="1:3">
      <c r="A459" s="17"/>
      <c r="B459" s="17"/>
      <c r="C459" s="17"/>
    </row>
    <row r="460" spans="1:3">
      <c r="A460" s="17"/>
      <c r="B460" s="17"/>
      <c r="C460" s="17"/>
    </row>
    <row r="461" spans="1:3">
      <c r="A461" s="17"/>
      <c r="B461" s="17"/>
      <c r="C461" s="17"/>
    </row>
    <row r="462" spans="1:3">
      <c r="A462" s="17"/>
      <c r="B462" s="17"/>
      <c r="C462" s="17"/>
    </row>
    <row r="463" spans="1:3">
      <c r="A463" s="17"/>
      <c r="B463" s="17"/>
      <c r="C463" s="17"/>
    </row>
    <row r="464" spans="1:3">
      <c r="A464" s="17"/>
      <c r="B464" s="17"/>
      <c r="C464" s="17"/>
    </row>
    <row r="465" spans="1:3">
      <c r="A465" s="17"/>
      <c r="B465" s="17"/>
      <c r="C465" s="17"/>
    </row>
    <row r="466" spans="1:3">
      <c r="A466" s="17"/>
      <c r="B466" s="17"/>
      <c r="C466" s="17"/>
    </row>
    <row r="467" spans="1:3">
      <c r="A467" s="17"/>
      <c r="B467" s="17"/>
      <c r="C467" s="17"/>
    </row>
    <row r="468" spans="1:3">
      <c r="A468" s="17"/>
      <c r="B468" s="17"/>
      <c r="C468" s="17"/>
    </row>
    <row r="469" spans="1:3">
      <c r="A469" s="17"/>
      <c r="B469" s="17"/>
      <c r="C469" s="17"/>
    </row>
    <row r="470" spans="1:3">
      <c r="A470" s="17"/>
      <c r="B470" s="17"/>
      <c r="C470" s="17"/>
    </row>
    <row r="471" spans="1:3">
      <c r="A471" s="17"/>
      <c r="B471" s="17"/>
      <c r="C471" s="17"/>
    </row>
    <row r="472" spans="1:3">
      <c r="A472" s="17"/>
      <c r="B472" s="17"/>
      <c r="C472" s="17"/>
    </row>
    <row r="473" spans="1:3">
      <c r="A473" s="17"/>
      <c r="B473" s="17"/>
      <c r="C473" s="17"/>
    </row>
    <row r="474" spans="1:3">
      <c r="A474" s="17"/>
      <c r="B474" s="17"/>
      <c r="C474" s="17"/>
    </row>
    <row r="475" spans="1:3">
      <c r="A475" s="17"/>
      <c r="B475" s="17"/>
      <c r="C475" s="17"/>
    </row>
    <row r="476" spans="1:3">
      <c r="A476" s="17"/>
      <c r="B476" s="17"/>
      <c r="C476" s="17"/>
    </row>
    <row r="477" spans="1:3">
      <c r="A477" s="17"/>
      <c r="B477" s="17"/>
      <c r="C477" s="17"/>
    </row>
    <row r="478" spans="1:3">
      <c r="A478" s="17"/>
      <c r="B478" s="17"/>
      <c r="C478" s="17"/>
    </row>
    <row r="479" spans="1:3">
      <c r="A479" s="17"/>
      <c r="B479" s="17"/>
      <c r="C479" s="17"/>
    </row>
    <row r="480" spans="1:3">
      <c r="A480" s="17"/>
      <c r="B480" s="17"/>
      <c r="C480" s="17"/>
    </row>
    <row r="481" spans="1:3">
      <c r="A481" s="17"/>
      <c r="B481" s="17"/>
      <c r="C481" s="17"/>
    </row>
    <row r="482" spans="1:3">
      <c r="A482" s="17"/>
      <c r="B482" s="17"/>
      <c r="C482" s="17"/>
    </row>
    <row r="483" spans="1:3">
      <c r="A483" s="17"/>
      <c r="B483" s="17"/>
      <c r="C483" s="17"/>
    </row>
    <row r="484" spans="1:3">
      <c r="A484" s="17"/>
      <c r="B484" s="17"/>
      <c r="C484" s="17"/>
    </row>
    <row r="485" spans="1:3">
      <c r="A485" s="17"/>
      <c r="B485" s="17"/>
      <c r="C485" s="17"/>
    </row>
    <row r="486" spans="1:3">
      <c r="A486" s="17"/>
      <c r="B486" s="17"/>
      <c r="C486" s="17"/>
    </row>
    <row r="487" spans="1:3">
      <c r="A487" s="17"/>
      <c r="B487" s="17"/>
      <c r="C487" s="17"/>
    </row>
    <row r="488" spans="1:3">
      <c r="A488" s="17"/>
      <c r="B488" s="17"/>
      <c r="C488" s="17"/>
    </row>
    <row r="489" spans="1:3">
      <c r="A489" s="17"/>
      <c r="B489" s="17"/>
      <c r="C489" s="17"/>
    </row>
    <row r="490" spans="1:3">
      <c r="A490" s="17"/>
      <c r="B490" s="17"/>
      <c r="C490" s="17"/>
    </row>
    <row r="491" spans="1:3">
      <c r="A491" s="17"/>
      <c r="B491" s="17"/>
      <c r="C491" s="17"/>
    </row>
    <row r="492" spans="1:3">
      <c r="A492" s="17"/>
      <c r="B492" s="17"/>
      <c r="C492" s="17"/>
    </row>
    <row r="493" spans="1:3">
      <c r="A493" s="17"/>
      <c r="B493" s="17"/>
      <c r="C493" s="17"/>
    </row>
    <row r="494" spans="1:3">
      <c r="A494" s="17"/>
      <c r="B494" s="17"/>
      <c r="C494" s="17"/>
    </row>
    <row r="495" spans="1:3">
      <c r="A495" s="17"/>
      <c r="B495" s="17"/>
      <c r="C495" s="17"/>
    </row>
    <row r="496" spans="1:3">
      <c r="A496" s="17"/>
      <c r="B496" s="17"/>
      <c r="C496" s="17"/>
    </row>
    <row r="497" spans="1:3">
      <c r="A497" s="17"/>
      <c r="B497" s="17"/>
      <c r="C497" s="17"/>
    </row>
    <row r="498" spans="1:3">
      <c r="A498" s="17"/>
      <c r="B498" s="17"/>
      <c r="C498" s="17"/>
    </row>
    <row r="499" spans="1:3">
      <c r="A499" s="17"/>
      <c r="B499" s="17"/>
      <c r="C499" s="17"/>
    </row>
    <row r="500" spans="1:3">
      <c r="A500" s="17"/>
      <c r="B500" s="17"/>
      <c r="C500" s="17"/>
    </row>
    <row r="501" spans="1:3">
      <c r="A501" s="17"/>
      <c r="B501" s="17"/>
      <c r="C501" s="17"/>
    </row>
    <row r="502" spans="1:3">
      <c r="A502" s="17"/>
      <c r="B502" s="17"/>
      <c r="C502" s="17"/>
    </row>
    <row r="503" spans="1:3">
      <c r="A503" s="17"/>
      <c r="B503" s="17"/>
      <c r="C503" s="17"/>
    </row>
    <row r="504" spans="1:3">
      <c r="A504" s="17"/>
      <c r="B504" s="17"/>
      <c r="C504" s="17"/>
    </row>
    <row r="505" spans="1:3">
      <c r="A505" s="17"/>
      <c r="B505" s="17"/>
      <c r="C505" s="17"/>
    </row>
    <row r="506" spans="1:3">
      <c r="A506" s="17"/>
      <c r="B506" s="17"/>
      <c r="C506" s="17"/>
    </row>
    <row r="507" spans="1:3">
      <c r="A507" s="17"/>
      <c r="B507" s="17"/>
      <c r="C507" s="17"/>
    </row>
    <row r="508" spans="1:3">
      <c r="A508" s="17"/>
      <c r="B508" s="17"/>
      <c r="C508" s="17"/>
    </row>
    <row r="509" spans="1:3">
      <c r="A509" s="17"/>
      <c r="B509" s="17"/>
      <c r="C509" s="17"/>
    </row>
    <row r="510" spans="1:3">
      <c r="A510" s="17"/>
      <c r="B510" s="17"/>
      <c r="C510" s="17"/>
    </row>
    <row r="511" spans="1:3">
      <c r="A511" s="17"/>
      <c r="B511" s="17"/>
      <c r="C511" s="17"/>
    </row>
    <row r="512" spans="1:3">
      <c r="A512" s="17"/>
      <c r="B512" s="17"/>
      <c r="C512" s="17"/>
    </row>
    <row r="513" spans="1:3">
      <c r="A513" s="17"/>
      <c r="B513" s="17"/>
      <c r="C513" s="17"/>
    </row>
    <row r="514" spans="1:3">
      <c r="A514" s="17"/>
      <c r="B514" s="17"/>
      <c r="C514" s="17"/>
    </row>
    <row r="515" spans="1:3">
      <c r="A515" s="17"/>
      <c r="B515" s="17"/>
      <c r="C515" s="17"/>
    </row>
    <row r="516" spans="1:3">
      <c r="A516" s="17"/>
      <c r="B516" s="17"/>
      <c r="C516" s="17"/>
    </row>
    <row r="517" spans="1:3">
      <c r="A517" s="17"/>
      <c r="B517" s="17"/>
      <c r="C517" s="17"/>
    </row>
    <row r="518" spans="1:3">
      <c r="A518" s="17"/>
      <c r="B518" s="17"/>
      <c r="C518" s="17"/>
    </row>
    <row r="519" spans="1:3">
      <c r="A519" s="17"/>
      <c r="B519" s="17"/>
      <c r="C519" s="17"/>
    </row>
    <row r="520" spans="1:3">
      <c r="A520" s="17"/>
      <c r="B520" s="17"/>
      <c r="C520" s="17"/>
    </row>
    <row r="521" spans="1:3">
      <c r="A521" s="17"/>
      <c r="B521" s="17"/>
      <c r="C521" s="17"/>
    </row>
    <row r="522" spans="1:3">
      <c r="A522" s="17"/>
      <c r="B522" s="17"/>
      <c r="C522" s="17"/>
    </row>
    <row r="523" spans="1:3">
      <c r="A523" s="17"/>
      <c r="B523" s="17"/>
      <c r="C523" s="17"/>
    </row>
    <row r="524" spans="1:3">
      <c r="A524" s="17"/>
      <c r="B524" s="17"/>
      <c r="C524" s="17"/>
    </row>
    <row r="525" spans="1:3">
      <c r="A525" s="17"/>
      <c r="B525" s="17"/>
      <c r="C525" s="17"/>
    </row>
    <row r="526" spans="1:3">
      <c r="A526" s="17"/>
      <c r="B526" s="17"/>
      <c r="C526" s="17"/>
    </row>
    <row r="527" spans="1:3">
      <c r="A527" s="17"/>
      <c r="B527" s="17"/>
      <c r="C527" s="17"/>
    </row>
    <row r="528" spans="1:3">
      <c r="A528" s="17"/>
      <c r="B528" s="17"/>
      <c r="C528" s="17"/>
    </row>
    <row r="529" spans="1:3">
      <c r="A529" s="17"/>
      <c r="B529" s="17"/>
      <c r="C529" s="17"/>
    </row>
    <row r="530" spans="1:3">
      <c r="A530" s="17"/>
      <c r="B530" s="17"/>
      <c r="C530" s="17"/>
    </row>
    <row r="531" spans="1:3">
      <c r="A531" s="17"/>
      <c r="B531" s="17"/>
      <c r="C531" s="17"/>
    </row>
    <row r="532" spans="1:3">
      <c r="A532" s="17"/>
      <c r="B532" s="17"/>
      <c r="C532" s="17"/>
    </row>
    <row r="533" spans="1:3">
      <c r="A533" s="17"/>
      <c r="B533" s="17"/>
      <c r="C533" s="17"/>
    </row>
    <row r="534" spans="1:3">
      <c r="A534" s="17"/>
      <c r="B534" s="17"/>
      <c r="C534" s="17"/>
    </row>
    <row r="535" spans="1:3">
      <c r="A535" s="17"/>
      <c r="B535" s="17"/>
      <c r="C535" s="17"/>
    </row>
    <row r="536" spans="1:3">
      <c r="A536" s="17"/>
      <c r="B536" s="17"/>
      <c r="C536" s="17"/>
    </row>
    <row r="537" spans="1:3">
      <c r="A537" s="17"/>
      <c r="B537" s="17"/>
      <c r="C537" s="17"/>
    </row>
    <row r="538" spans="1:3">
      <c r="A538" s="17"/>
      <c r="B538" s="17"/>
      <c r="C538" s="17"/>
    </row>
    <row r="539" spans="1:3">
      <c r="A539" s="17"/>
      <c r="B539" s="17"/>
      <c r="C539" s="17"/>
    </row>
    <row r="540" spans="1:3">
      <c r="A540" s="17"/>
      <c r="B540" s="17"/>
      <c r="C540" s="17"/>
    </row>
    <row r="541" spans="1:3">
      <c r="A541" s="17"/>
      <c r="B541" s="17"/>
      <c r="C541" s="17"/>
    </row>
    <row r="542" spans="1:3">
      <c r="A542" s="17"/>
      <c r="B542" s="17"/>
      <c r="C542" s="17"/>
    </row>
    <row r="543" spans="1:3">
      <c r="A543" s="17"/>
      <c r="B543" s="17"/>
      <c r="C543" s="17"/>
    </row>
    <row r="544" spans="1:3">
      <c r="A544" s="17"/>
      <c r="B544" s="17"/>
      <c r="C544" s="17"/>
    </row>
    <row r="545" spans="1:3">
      <c r="A545" s="17"/>
      <c r="B545" s="17"/>
      <c r="C545" s="17"/>
    </row>
    <row r="546" spans="1:3">
      <c r="A546" s="17"/>
      <c r="B546" s="17"/>
      <c r="C546" s="17"/>
    </row>
    <row r="547" spans="1:3">
      <c r="A547" s="17"/>
      <c r="B547" s="17"/>
      <c r="C547" s="17"/>
    </row>
    <row r="548" spans="1:3">
      <c r="A548" s="17"/>
      <c r="B548" s="17"/>
      <c r="C548" s="17"/>
    </row>
    <row r="549" spans="1:3">
      <c r="A549" s="17"/>
      <c r="B549" s="17"/>
      <c r="C549" s="17"/>
    </row>
    <row r="550" spans="1:3">
      <c r="A550" s="17"/>
      <c r="B550" s="17"/>
      <c r="C550" s="17"/>
    </row>
    <row r="551" spans="1:3">
      <c r="A551" s="17"/>
      <c r="B551" s="17"/>
      <c r="C551" s="17"/>
    </row>
    <row r="552" spans="1:3">
      <c r="A552" s="17"/>
      <c r="B552" s="17"/>
      <c r="C552" s="17"/>
    </row>
    <row r="553" spans="1:3">
      <c r="A553" s="17"/>
      <c r="B553" s="17"/>
      <c r="C553" s="17"/>
    </row>
    <row r="554" spans="1:3">
      <c r="A554" s="17"/>
      <c r="B554" s="17"/>
      <c r="C554" s="17"/>
    </row>
    <row r="555" spans="1:3">
      <c r="A555" s="17"/>
      <c r="B555" s="17"/>
      <c r="C555" s="17"/>
    </row>
    <row r="556" spans="1:3">
      <c r="A556" s="17"/>
      <c r="B556" s="17"/>
      <c r="C556" s="17"/>
    </row>
    <row r="557" spans="1:3">
      <c r="A557" s="17"/>
      <c r="B557" s="17"/>
      <c r="C557" s="17"/>
    </row>
    <row r="558" spans="1:3">
      <c r="A558" s="17"/>
      <c r="B558" s="17"/>
      <c r="C558" s="17"/>
    </row>
    <row r="559" spans="1:3">
      <c r="A559" s="17"/>
      <c r="B559" s="17"/>
      <c r="C559" s="17"/>
    </row>
    <row r="560" spans="1:3">
      <c r="A560" s="17"/>
      <c r="B560" s="17"/>
      <c r="C560" s="17"/>
    </row>
    <row r="561" spans="1:3">
      <c r="A561" s="17"/>
      <c r="B561" s="17"/>
      <c r="C561" s="17"/>
    </row>
    <row r="562" spans="1:3">
      <c r="A562" s="17"/>
      <c r="B562" s="17"/>
      <c r="C562" s="17"/>
    </row>
    <row r="563" spans="1:3">
      <c r="A563" s="17"/>
      <c r="B563" s="17"/>
      <c r="C563" s="17"/>
    </row>
    <row r="564" spans="1:3">
      <c r="A564" s="17"/>
      <c r="B564" s="17"/>
      <c r="C564" s="17"/>
    </row>
    <row r="565" spans="1:3">
      <c r="A565" s="17"/>
      <c r="B565" s="17"/>
      <c r="C565" s="17"/>
    </row>
    <row r="566" spans="1:3">
      <c r="A566" s="17"/>
      <c r="B566" s="17"/>
      <c r="C566" s="17"/>
    </row>
    <row r="567" spans="1:3">
      <c r="A567" s="17"/>
      <c r="B567" s="17"/>
      <c r="C567" s="17"/>
    </row>
    <row r="568" spans="1:3">
      <c r="A568" s="17"/>
      <c r="B568" s="17"/>
      <c r="C568" s="17"/>
    </row>
    <row r="569" spans="1:3">
      <c r="A569" s="17"/>
      <c r="B569" s="17"/>
      <c r="C569" s="17"/>
    </row>
    <row r="570" spans="1:3">
      <c r="A570" s="17"/>
      <c r="B570" s="17"/>
      <c r="C570" s="17"/>
    </row>
    <row r="571" spans="1:3">
      <c r="A571" s="17"/>
      <c r="B571" s="17"/>
      <c r="C571" s="17"/>
    </row>
    <row r="572" spans="1:3">
      <c r="A572" s="17"/>
      <c r="B572" s="17"/>
      <c r="C572" s="17"/>
    </row>
    <row r="573" spans="1:3">
      <c r="A573" s="17"/>
      <c r="B573" s="17"/>
      <c r="C573" s="17"/>
    </row>
    <row r="574" spans="1:3">
      <c r="A574" s="17"/>
      <c r="B574" s="17"/>
      <c r="C574" s="17"/>
    </row>
    <row r="575" spans="1:3">
      <c r="A575" s="17"/>
      <c r="B575" s="17"/>
      <c r="C575" s="17"/>
    </row>
    <row r="576" spans="1:3">
      <c r="A576" s="17"/>
      <c r="B576" s="17"/>
      <c r="C576" s="17"/>
    </row>
    <row r="577" spans="1:3">
      <c r="A577" s="17"/>
      <c r="B577" s="17"/>
      <c r="C577" s="17"/>
    </row>
    <row r="578" spans="1:3">
      <c r="A578" s="17"/>
      <c r="B578" s="17"/>
      <c r="C578" s="17"/>
    </row>
    <row r="579" spans="1:3">
      <c r="A579" s="17"/>
      <c r="B579" s="17"/>
      <c r="C579" s="17"/>
    </row>
    <row r="580" spans="1:3">
      <c r="A580" s="17"/>
      <c r="B580" s="17"/>
      <c r="C580" s="17"/>
    </row>
    <row r="581" spans="1:3">
      <c r="A581" s="17"/>
      <c r="B581" s="17"/>
      <c r="C581" s="17"/>
    </row>
    <row r="582" spans="1:3">
      <c r="A582" s="17"/>
      <c r="B582" s="17"/>
      <c r="C582" s="17"/>
    </row>
    <row r="583" spans="1:3">
      <c r="A583" s="17"/>
      <c r="B583" s="17"/>
      <c r="C583" s="17"/>
    </row>
    <row r="584" spans="1:3">
      <c r="A584" s="17"/>
      <c r="B584" s="17"/>
      <c r="C584" s="17"/>
    </row>
    <row r="585" spans="1:3">
      <c r="A585" s="17"/>
      <c r="B585" s="17"/>
      <c r="C585" s="17"/>
    </row>
    <row r="586" spans="1:3">
      <c r="A586" s="17"/>
      <c r="B586" s="17"/>
      <c r="C586" s="17"/>
    </row>
    <row r="587" spans="1:3">
      <c r="A587" s="17"/>
      <c r="B587" s="17"/>
      <c r="C587" s="17"/>
    </row>
    <row r="588" spans="1:3">
      <c r="A588" s="17"/>
      <c r="B588" s="17"/>
      <c r="C588" s="17"/>
    </row>
    <row r="589" spans="1:3">
      <c r="A589" s="17"/>
      <c r="B589" s="17"/>
      <c r="C589" s="17"/>
    </row>
    <row r="590" spans="1:3">
      <c r="A590" s="17"/>
      <c r="B590" s="17"/>
      <c r="C590" s="17"/>
    </row>
    <row r="591" spans="1:3">
      <c r="A591" s="17"/>
      <c r="B591" s="17"/>
      <c r="C591" s="17"/>
    </row>
    <row r="592" spans="1:3">
      <c r="A592" s="17"/>
      <c r="B592" s="17"/>
      <c r="C592" s="17"/>
    </row>
    <row r="593" spans="1:3">
      <c r="A593" s="17"/>
      <c r="B593" s="17"/>
      <c r="C593" s="17"/>
    </row>
    <row r="594" spans="1:3">
      <c r="A594" s="17"/>
      <c r="B594" s="17"/>
      <c r="C594" s="17"/>
    </row>
    <row r="595" spans="1:3">
      <c r="A595" s="17"/>
      <c r="B595" s="17"/>
      <c r="C595" s="17"/>
    </row>
    <row r="596" spans="1:3">
      <c r="A596" s="17"/>
      <c r="B596" s="17"/>
      <c r="C596" s="17"/>
    </row>
    <row r="597" spans="1:3">
      <c r="A597" s="17"/>
      <c r="B597" s="17"/>
      <c r="C597" s="17"/>
    </row>
    <row r="598" spans="1:3">
      <c r="A598" s="17"/>
      <c r="B598" s="17"/>
      <c r="C598" s="17"/>
    </row>
    <row r="599" spans="1:3">
      <c r="A599" s="17"/>
      <c r="B599" s="17"/>
      <c r="C599" s="17"/>
    </row>
    <row r="600" spans="1:3">
      <c r="A600" s="17"/>
      <c r="B600" s="17"/>
      <c r="C600" s="17"/>
    </row>
    <row r="601" spans="1:3">
      <c r="A601" s="17"/>
      <c r="B601" s="17"/>
      <c r="C601" s="17"/>
    </row>
    <row r="602" spans="1:3">
      <c r="A602" s="17"/>
      <c r="B602" s="17"/>
      <c r="C602" s="17"/>
    </row>
    <row r="603" spans="1:3">
      <c r="A603" s="17"/>
      <c r="B603" s="17"/>
      <c r="C603" s="17"/>
    </row>
    <row r="604" spans="1:3">
      <c r="A604" s="17"/>
      <c r="B604" s="17"/>
      <c r="C604" s="17"/>
    </row>
    <row r="605" spans="1:3">
      <c r="A605" s="17"/>
      <c r="B605" s="17"/>
      <c r="C605" s="17"/>
    </row>
    <row r="606" spans="1:3">
      <c r="A606" s="17"/>
      <c r="B606" s="17"/>
      <c r="C606" s="17"/>
    </row>
    <row r="607" spans="1:3">
      <c r="A607" s="17"/>
      <c r="B607" s="17"/>
      <c r="C607" s="17"/>
    </row>
    <row r="608" spans="1:3">
      <c r="A608" s="17"/>
      <c r="B608" s="17"/>
      <c r="C608" s="17"/>
    </row>
    <row r="609" spans="1:3">
      <c r="A609" s="17"/>
      <c r="B609" s="17"/>
      <c r="C609" s="17"/>
    </row>
    <row r="610" spans="1:3">
      <c r="A610" s="17"/>
      <c r="B610" s="17"/>
      <c r="C610" s="17"/>
    </row>
    <row r="611" spans="1:3">
      <c r="A611" s="17"/>
      <c r="B611" s="17"/>
      <c r="C611" s="17"/>
    </row>
    <row r="612" spans="1:3">
      <c r="A612" s="17"/>
      <c r="B612" s="17"/>
      <c r="C612" s="17"/>
    </row>
    <row r="613" spans="1:3">
      <c r="A613" s="17"/>
      <c r="B613" s="17"/>
      <c r="C613" s="17"/>
    </row>
    <row r="614" spans="1:3">
      <c r="A614" s="17"/>
      <c r="B614" s="17"/>
      <c r="C614" s="17"/>
    </row>
    <row r="615" spans="1:3">
      <c r="A615" s="17"/>
      <c r="B615" s="17"/>
      <c r="C615" s="17"/>
    </row>
    <row r="616" spans="1:3">
      <c r="A616" s="17"/>
      <c r="B616" s="17"/>
      <c r="C616" s="17"/>
    </row>
    <row r="617" spans="1:3">
      <c r="A617" s="17"/>
      <c r="B617" s="17"/>
      <c r="C617" s="17"/>
    </row>
    <row r="618" spans="1:3">
      <c r="A618" s="17"/>
      <c r="B618" s="17"/>
      <c r="C618" s="17"/>
    </row>
    <row r="619" spans="1:3">
      <c r="A619" s="17"/>
      <c r="B619" s="17"/>
      <c r="C619" s="17"/>
    </row>
    <row r="620" spans="1:3">
      <c r="A620" s="17"/>
      <c r="B620" s="17"/>
      <c r="C620" s="17"/>
    </row>
    <row r="621" spans="1:3">
      <c r="A621" s="17"/>
      <c r="B621" s="17"/>
      <c r="C621" s="17"/>
    </row>
    <row r="622" spans="1:3">
      <c r="A622" s="17"/>
      <c r="B622" s="17"/>
      <c r="C622" s="17"/>
    </row>
    <row r="623" spans="1:3">
      <c r="A623" s="17"/>
      <c r="B623" s="17"/>
      <c r="C623" s="17"/>
    </row>
    <row r="624" spans="1:3">
      <c r="A624" s="17"/>
      <c r="B624" s="17"/>
      <c r="C624" s="17"/>
    </row>
    <row r="625" spans="1:3">
      <c r="A625" s="17"/>
      <c r="B625" s="17"/>
      <c r="C625" s="17"/>
    </row>
    <row r="626" spans="1:3">
      <c r="A626" s="17"/>
      <c r="B626" s="17"/>
      <c r="C626" s="17"/>
    </row>
    <row r="627" spans="1:3">
      <c r="A627" s="17"/>
      <c r="B627" s="17"/>
      <c r="C627" s="17"/>
    </row>
    <row r="628" spans="1:3">
      <c r="A628" s="17"/>
      <c r="B628" s="17"/>
      <c r="C628" s="17"/>
    </row>
    <row r="629" spans="1:3">
      <c r="A629" s="17"/>
      <c r="B629" s="17"/>
      <c r="C629" s="17"/>
    </row>
    <row r="630" spans="1:3">
      <c r="A630" s="17"/>
      <c r="B630" s="17"/>
      <c r="C630" s="17"/>
    </row>
    <row r="631" spans="1:3">
      <c r="A631" s="17"/>
      <c r="B631" s="17"/>
      <c r="C631" s="17"/>
    </row>
    <row r="632" spans="1:3">
      <c r="A632" s="17"/>
      <c r="B632" s="17"/>
      <c r="C632" s="17"/>
    </row>
    <row r="633" spans="1:3">
      <c r="A633" s="17"/>
      <c r="B633" s="17"/>
      <c r="C633" s="17"/>
    </row>
    <row r="634" spans="1:3">
      <c r="A634" s="17"/>
      <c r="B634" s="17"/>
      <c r="C634" s="17"/>
    </row>
    <row r="635" spans="1:3">
      <c r="A635" s="17"/>
      <c r="B635" s="17"/>
      <c r="C635" s="17"/>
    </row>
    <row r="636" spans="1:3">
      <c r="A636" s="17"/>
      <c r="B636" s="17"/>
      <c r="C636" s="17"/>
    </row>
    <row r="637" spans="1:3">
      <c r="A637" s="17"/>
      <c r="B637" s="17"/>
      <c r="C637" s="17"/>
    </row>
  </sheetData>
  <sheetProtection password="CC76" sheet="1" objects="1" scenarios="1"/>
  <mergeCells count="2">
    <mergeCell ref="A3:C3"/>
    <mergeCell ref="A5:C5"/>
  </mergeCells>
  <phoneticPr fontId="6" type="noConversion"/>
  <pageMargins left="0.75" right="0.75" top="1" bottom="1" header="0.5" footer="0.5"/>
  <pageSetup scale="9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F202"/>
  <sheetViews>
    <sheetView workbookViewId="0">
      <selection activeCell="E3" sqref="E3"/>
    </sheetView>
  </sheetViews>
  <sheetFormatPr defaultRowHeight="15"/>
  <cols>
    <col min="1" max="1" width="21.140625" style="21" bestFit="1" customWidth="1"/>
    <col min="2" max="2" width="12.28515625" style="20" bestFit="1" customWidth="1"/>
    <col min="3" max="3" width="10.85546875" style="21" bestFit="1" customWidth="1"/>
    <col min="4" max="4" width="27" style="21" bestFit="1" customWidth="1"/>
    <col min="5" max="5" width="14.5703125" style="21" bestFit="1" customWidth="1"/>
    <col min="6" max="6" width="16.5703125" style="21" bestFit="1" customWidth="1"/>
    <col min="7" max="16384" width="9.140625" style="21"/>
  </cols>
  <sheetData>
    <row r="1" spans="1:6">
      <c r="A1" s="270" t="s">
        <v>366</v>
      </c>
    </row>
    <row r="2" spans="1:6">
      <c r="A2" s="271"/>
      <c r="B2" s="22" t="s">
        <v>367</v>
      </c>
      <c r="C2" s="23" t="s">
        <v>77</v>
      </c>
      <c r="D2" s="23" t="s">
        <v>78</v>
      </c>
      <c r="E2" s="23" t="s">
        <v>368</v>
      </c>
      <c r="F2" s="23" t="s">
        <v>369</v>
      </c>
    </row>
    <row r="3" spans="1:6">
      <c r="A3" s="23">
        <v>20102011</v>
      </c>
      <c r="B3" s="36">
        <v>10</v>
      </c>
      <c r="C3" s="25" t="s">
        <v>79</v>
      </c>
      <c r="D3" s="26" t="s">
        <v>80</v>
      </c>
      <c r="E3" s="27">
        <v>6.1199999999999997E-2</v>
      </c>
      <c r="F3" s="27">
        <v>0.20019999999999999</v>
      </c>
    </row>
    <row r="4" spans="1:6">
      <c r="A4" s="23">
        <v>20102011</v>
      </c>
      <c r="B4" s="36">
        <v>20</v>
      </c>
      <c r="C4" s="25" t="s">
        <v>79</v>
      </c>
      <c r="D4" s="26" t="s">
        <v>81</v>
      </c>
      <c r="E4" s="27">
        <v>5.5599999999999997E-2</v>
      </c>
      <c r="F4" s="27">
        <v>0.16700000000000001</v>
      </c>
    </row>
    <row r="5" spans="1:6">
      <c r="A5" s="23">
        <v>20102011</v>
      </c>
      <c r="B5" s="36">
        <v>30</v>
      </c>
      <c r="C5" s="25" t="s">
        <v>79</v>
      </c>
      <c r="D5" s="26" t="s">
        <v>82</v>
      </c>
      <c r="E5" s="27">
        <v>4.4600000000000001E-2</v>
      </c>
      <c r="F5" s="27">
        <v>0.1694</v>
      </c>
    </row>
    <row r="6" spans="1:6">
      <c r="A6" s="23">
        <v>20102011</v>
      </c>
      <c r="B6" s="36">
        <v>40</v>
      </c>
      <c r="C6" s="25" t="s">
        <v>79</v>
      </c>
      <c r="D6" s="26" t="s">
        <v>83</v>
      </c>
      <c r="E6" s="27">
        <v>3.73E-2</v>
      </c>
      <c r="F6" s="27">
        <v>0.21490000000000001</v>
      </c>
    </row>
    <row r="7" spans="1:6">
      <c r="A7" s="23">
        <v>20102011</v>
      </c>
      <c r="B7" s="36">
        <v>50</v>
      </c>
      <c r="C7" s="25" t="s">
        <v>79</v>
      </c>
      <c r="D7" s="26" t="s">
        <v>84</v>
      </c>
      <c r="E7" s="27">
        <v>8.0799999999999997E-2</v>
      </c>
      <c r="F7" s="27">
        <v>0.26829999999999998</v>
      </c>
    </row>
    <row r="8" spans="1:6">
      <c r="A8" s="23">
        <v>20102011</v>
      </c>
      <c r="B8" s="36">
        <v>60</v>
      </c>
      <c r="C8" s="25" t="s">
        <v>79</v>
      </c>
      <c r="D8" s="26" t="s">
        <v>85</v>
      </c>
      <c r="E8" s="27">
        <v>3.04E-2</v>
      </c>
      <c r="F8" s="27">
        <v>0.31929999999999997</v>
      </c>
    </row>
    <row r="9" spans="1:6">
      <c r="A9" s="23">
        <v>20102011</v>
      </c>
      <c r="B9" s="36">
        <v>70</v>
      </c>
      <c r="C9" s="25" t="s">
        <v>79</v>
      </c>
      <c r="D9" s="26" t="s">
        <v>86</v>
      </c>
      <c r="E9" s="27">
        <v>8.4199999999999997E-2</v>
      </c>
      <c r="F9" s="27">
        <v>0.2387</v>
      </c>
    </row>
    <row r="10" spans="1:6">
      <c r="A10" s="23">
        <v>20102011</v>
      </c>
      <c r="B10" s="36">
        <v>100</v>
      </c>
      <c r="C10" s="25" t="s">
        <v>87</v>
      </c>
      <c r="D10" s="26" t="s">
        <v>88</v>
      </c>
      <c r="E10" s="27">
        <v>5.7700000000000001E-2</v>
      </c>
      <c r="F10" s="27">
        <v>0.22259999999999999</v>
      </c>
    </row>
    <row r="11" spans="1:6">
      <c r="A11" s="23">
        <v>20102011</v>
      </c>
      <c r="B11" s="36">
        <v>110</v>
      </c>
      <c r="C11" s="25" t="s">
        <v>87</v>
      </c>
      <c r="D11" s="26" t="s">
        <v>89</v>
      </c>
      <c r="E11" s="27">
        <v>2.4199999999999999E-2</v>
      </c>
      <c r="F11" s="27">
        <v>0.2631</v>
      </c>
    </row>
    <row r="12" spans="1:6">
      <c r="A12" s="23">
        <v>20102011</v>
      </c>
      <c r="B12" s="36">
        <v>120</v>
      </c>
      <c r="C12" s="25" t="s">
        <v>90</v>
      </c>
      <c r="D12" s="26" t="s">
        <v>91</v>
      </c>
      <c r="E12" s="27">
        <v>5.5199999999999999E-2</v>
      </c>
      <c r="F12" s="27">
        <v>0.19089999999999999</v>
      </c>
    </row>
    <row r="13" spans="1:6">
      <c r="A13" s="23">
        <v>20102011</v>
      </c>
      <c r="B13" s="36">
        <v>123</v>
      </c>
      <c r="C13" s="25" t="s">
        <v>90</v>
      </c>
      <c r="D13" s="26" t="s">
        <v>92</v>
      </c>
      <c r="E13" s="27">
        <v>9.2999999999999999E-2</v>
      </c>
      <c r="F13" s="27">
        <v>0.23050000000000001</v>
      </c>
    </row>
    <row r="14" spans="1:6">
      <c r="A14" s="23">
        <v>20102011</v>
      </c>
      <c r="B14" s="36">
        <v>130</v>
      </c>
      <c r="C14" s="25" t="s">
        <v>90</v>
      </c>
      <c r="D14" s="26" t="s">
        <v>93</v>
      </c>
      <c r="E14" s="27">
        <v>4.6899999999999997E-2</v>
      </c>
      <c r="F14" s="27">
        <v>0.1469</v>
      </c>
    </row>
    <row r="15" spans="1:6">
      <c r="A15" s="23">
        <v>20102011</v>
      </c>
      <c r="B15" s="36">
        <v>140</v>
      </c>
      <c r="C15" s="25" t="s">
        <v>90</v>
      </c>
      <c r="D15" s="26" t="s">
        <v>94</v>
      </c>
      <c r="E15" s="27">
        <v>7.7399999999999997E-2</v>
      </c>
      <c r="F15" s="27">
        <v>0.1903</v>
      </c>
    </row>
    <row r="16" spans="1:6">
      <c r="A16" s="23">
        <v>20102011</v>
      </c>
      <c r="B16" s="36">
        <v>170</v>
      </c>
      <c r="C16" s="25" t="s">
        <v>90</v>
      </c>
      <c r="D16" s="26" t="s">
        <v>95</v>
      </c>
      <c r="E16" s="27">
        <v>0.105</v>
      </c>
      <c r="F16" s="27">
        <v>0.4667</v>
      </c>
    </row>
    <row r="17" spans="1:6">
      <c r="A17" s="23">
        <v>20102011</v>
      </c>
      <c r="B17" s="36">
        <v>180</v>
      </c>
      <c r="C17" s="25" t="s">
        <v>90</v>
      </c>
      <c r="D17" s="26" t="s">
        <v>96</v>
      </c>
      <c r="E17" s="27">
        <v>6.6199999999999995E-2</v>
      </c>
      <c r="F17" s="27">
        <v>0.2082</v>
      </c>
    </row>
    <row r="18" spans="1:6">
      <c r="A18" s="23">
        <v>20102011</v>
      </c>
      <c r="B18" s="36">
        <v>190</v>
      </c>
      <c r="C18" s="25" t="s">
        <v>90</v>
      </c>
      <c r="D18" s="26" t="s">
        <v>97</v>
      </c>
      <c r="E18" s="27">
        <v>6.83E-2</v>
      </c>
      <c r="F18" s="27">
        <v>0.253</v>
      </c>
    </row>
    <row r="19" spans="1:6">
      <c r="A19" s="23">
        <v>20102011</v>
      </c>
      <c r="B19" s="36">
        <v>220</v>
      </c>
      <c r="C19" s="25" t="s">
        <v>98</v>
      </c>
      <c r="D19" s="26" t="s">
        <v>99</v>
      </c>
      <c r="E19" s="27">
        <v>8.1699999999999995E-2</v>
      </c>
      <c r="F19" s="27">
        <v>0.22559999999999999</v>
      </c>
    </row>
    <row r="20" spans="1:6">
      <c r="A20" s="23">
        <v>20102011</v>
      </c>
      <c r="B20" s="36">
        <v>230</v>
      </c>
      <c r="C20" s="25" t="s">
        <v>100</v>
      </c>
      <c r="D20" s="26" t="s">
        <v>101</v>
      </c>
      <c r="E20" s="27">
        <v>2.9700000000000001E-2</v>
      </c>
      <c r="F20" s="27">
        <v>0.3453</v>
      </c>
    </row>
    <row r="21" spans="1:6">
      <c r="A21" s="23">
        <v>20102011</v>
      </c>
      <c r="B21" s="36">
        <v>240</v>
      </c>
      <c r="C21" s="25" t="s">
        <v>100</v>
      </c>
      <c r="D21" s="26" t="s">
        <v>102</v>
      </c>
      <c r="E21" s="27">
        <v>0.105</v>
      </c>
      <c r="F21" s="27">
        <v>0.46579999999999999</v>
      </c>
    </row>
    <row r="22" spans="1:6">
      <c r="A22" s="23">
        <v>20102011</v>
      </c>
      <c r="B22" s="36">
        <v>250</v>
      </c>
      <c r="C22" s="25" t="s">
        <v>100</v>
      </c>
      <c r="D22" s="26" t="s">
        <v>103</v>
      </c>
      <c r="E22" s="27">
        <v>5.0099999999999999E-2</v>
      </c>
      <c r="F22" s="27">
        <v>0.31990000000000002</v>
      </c>
    </row>
    <row r="23" spans="1:6">
      <c r="A23" s="23">
        <v>20102011</v>
      </c>
      <c r="B23" s="36">
        <v>260</v>
      </c>
      <c r="C23" s="25" t="s">
        <v>100</v>
      </c>
      <c r="D23" s="26" t="s">
        <v>104</v>
      </c>
      <c r="E23" s="27">
        <v>0.105</v>
      </c>
      <c r="F23" s="27">
        <v>0.40429999999999999</v>
      </c>
    </row>
    <row r="24" spans="1:6">
      <c r="A24" s="23">
        <v>20102011</v>
      </c>
      <c r="B24" s="36">
        <v>270</v>
      </c>
      <c r="C24" s="25" t="s">
        <v>100</v>
      </c>
      <c r="D24" s="26" t="s">
        <v>105</v>
      </c>
      <c r="E24" s="27">
        <v>-8.0000000000000004E-4</v>
      </c>
      <c r="F24" s="27">
        <v>0.3216</v>
      </c>
    </row>
    <row r="25" spans="1:6">
      <c r="A25" s="23">
        <v>20102011</v>
      </c>
      <c r="B25" s="36">
        <v>290</v>
      </c>
      <c r="C25" s="25" t="s">
        <v>106</v>
      </c>
      <c r="D25" s="26" t="s">
        <v>107</v>
      </c>
      <c r="E25" s="27">
        <v>2.4400000000000002E-2</v>
      </c>
      <c r="F25" s="27">
        <v>0.14069999999999999</v>
      </c>
    </row>
    <row r="26" spans="1:6">
      <c r="A26" s="23">
        <v>20102011</v>
      </c>
      <c r="B26" s="36">
        <v>310</v>
      </c>
      <c r="C26" s="25" t="s">
        <v>106</v>
      </c>
      <c r="D26" s="26" t="s">
        <v>108</v>
      </c>
      <c r="E26" s="27">
        <v>3.1699999999999999E-2</v>
      </c>
      <c r="F26" s="27">
        <v>0.30309999999999998</v>
      </c>
    </row>
    <row r="27" spans="1:6">
      <c r="A27" s="23">
        <v>20102011</v>
      </c>
      <c r="B27" s="36">
        <v>470</v>
      </c>
      <c r="C27" s="25" t="s">
        <v>109</v>
      </c>
      <c r="D27" s="26" t="s">
        <v>110</v>
      </c>
      <c r="E27" s="27">
        <v>4.6300000000000001E-2</v>
      </c>
      <c r="F27" s="27">
        <v>0.18149999999999999</v>
      </c>
    </row>
    <row r="28" spans="1:6">
      <c r="A28" s="23">
        <v>20102011</v>
      </c>
      <c r="B28" s="36">
        <v>480</v>
      </c>
      <c r="C28" s="25" t="s">
        <v>109</v>
      </c>
      <c r="D28" s="26" t="s">
        <v>111</v>
      </c>
      <c r="E28" s="27">
        <v>7.1400000000000005E-2</v>
      </c>
      <c r="F28" s="27">
        <v>0.18940000000000001</v>
      </c>
    </row>
    <row r="29" spans="1:6">
      <c r="A29" s="23">
        <v>20102011</v>
      </c>
      <c r="B29" s="36">
        <v>490</v>
      </c>
      <c r="C29" s="25" t="s">
        <v>112</v>
      </c>
      <c r="D29" s="26" t="s">
        <v>113</v>
      </c>
      <c r="E29" s="27">
        <v>3.8600000000000002E-2</v>
      </c>
      <c r="F29" s="27">
        <v>0.2364</v>
      </c>
    </row>
    <row r="30" spans="1:6">
      <c r="A30" s="23">
        <v>20102011</v>
      </c>
      <c r="B30" s="36">
        <v>500</v>
      </c>
      <c r="C30" s="25" t="s">
        <v>112</v>
      </c>
      <c r="D30" s="26" t="s">
        <v>114</v>
      </c>
      <c r="E30" s="27">
        <v>5.9900000000000002E-2</v>
      </c>
      <c r="F30" s="27">
        <v>0.3352</v>
      </c>
    </row>
    <row r="31" spans="1:6">
      <c r="A31" s="23">
        <v>20102011</v>
      </c>
      <c r="B31" s="36">
        <v>510</v>
      </c>
      <c r="C31" s="25" t="s">
        <v>115</v>
      </c>
      <c r="D31" s="26" t="s">
        <v>116</v>
      </c>
      <c r="E31" s="27">
        <v>-1.1000000000000001E-3</v>
      </c>
      <c r="F31" s="27">
        <v>0.36870000000000003</v>
      </c>
    </row>
    <row r="32" spans="1:6">
      <c r="A32" s="23">
        <v>20102011</v>
      </c>
      <c r="B32" s="36">
        <v>520</v>
      </c>
      <c r="C32" s="25" t="s">
        <v>115</v>
      </c>
      <c r="D32" s="26" t="s">
        <v>117</v>
      </c>
      <c r="E32" s="27">
        <v>8.6E-3</v>
      </c>
      <c r="F32" s="27">
        <v>0.3463</v>
      </c>
    </row>
    <row r="33" spans="1:6">
      <c r="A33" s="23">
        <v>20102011</v>
      </c>
      <c r="B33" s="36">
        <v>540</v>
      </c>
      <c r="C33" s="25" t="s">
        <v>118</v>
      </c>
      <c r="D33" s="26" t="s">
        <v>119</v>
      </c>
      <c r="E33" s="27">
        <v>6.8400000000000002E-2</v>
      </c>
      <c r="F33" s="27">
        <v>0.2477</v>
      </c>
    </row>
    <row r="34" spans="1:6">
      <c r="A34" s="23">
        <v>20102011</v>
      </c>
      <c r="B34" s="36">
        <v>550</v>
      </c>
      <c r="C34" s="25" t="s">
        <v>120</v>
      </c>
      <c r="D34" s="26" t="s">
        <v>121</v>
      </c>
      <c r="E34" s="27">
        <v>4.8000000000000001E-2</v>
      </c>
      <c r="F34" s="27">
        <v>0.2331</v>
      </c>
    </row>
    <row r="35" spans="1:6">
      <c r="A35" s="23">
        <v>20102011</v>
      </c>
      <c r="B35" s="36">
        <v>560</v>
      </c>
      <c r="C35" s="25" t="s">
        <v>120</v>
      </c>
      <c r="D35" s="26" t="s">
        <v>122</v>
      </c>
      <c r="E35" s="27">
        <v>2.0899999999999998E-2</v>
      </c>
      <c r="F35" s="27">
        <v>0.29959999999999998</v>
      </c>
    </row>
    <row r="36" spans="1:6">
      <c r="A36" s="23">
        <v>20102011</v>
      </c>
      <c r="B36" s="36">
        <v>580</v>
      </c>
      <c r="C36" s="25" t="s">
        <v>120</v>
      </c>
      <c r="D36" s="26" t="s">
        <v>123</v>
      </c>
      <c r="E36" s="27">
        <v>4.3900000000000002E-2</v>
      </c>
      <c r="F36" s="27">
        <v>0.2863</v>
      </c>
    </row>
    <row r="37" spans="1:6">
      <c r="A37" s="23">
        <v>20102011</v>
      </c>
      <c r="B37" s="36">
        <v>640</v>
      </c>
      <c r="C37" s="25" t="s">
        <v>124</v>
      </c>
      <c r="D37" s="26" t="s">
        <v>125</v>
      </c>
      <c r="E37" s="27">
        <v>3.1099999999999999E-2</v>
      </c>
      <c r="F37" s="27">
        <v>0.25140000000000001</v>
      </c>
    </row>
    <row r="38" spans="1:6">
      <c r="A38" s="23">
        <v>20102011</v>
      </c>
      <c r="B38" s="36">
        <v>740</v>
      </c>
      <c r="C38" s="25" t="s">
        <v>124</v>
      </c>
      <c r="D38" s="26" t="s">
        <v>126</v>
      </c>
      <c r="E38" s="27">
        <v>1.9E-2</v>
      </c>
      <c r="F38" s="27">
        <v>0.26479999999999998</v>
      </c>
    </row>
    <row r="39" spans="1:6">
      <c r="A39" s="23">
        <v>20102011</v>
      </c>
      <c r="B39" s="36">
        <v>770</v>
      </c>
      <c r="C39" s="25" t="s">
        <v>127</v>
      </c>
      <c r="D39" s="26" t="s">
        <v>128</v>
      </c>
      <c r="E39" s="27">
        <v>0.105</v>
      </c>
      <c r="F39" s="27">
        <v>0.42459999999999998</v>
      </c>
    </row>
    <row r="40" spans="1:6">
      <c r="A40" s="23">
        <v>20102011</v>
      </c>
      <c r="B40" s="36">
        <v>860</v>
      </c>
      <c r="C40" s="25" t="s">
        <v>129</v>
      </c>
      <c r="D40" s="26" t="s">
        <v>130</v>
      </c>
      <c r="E40" s="27">
        <v>2.4899999999999999E-2</v>
      </c>
      <c r="F40" s="27">
        <v>0.29270000000000002</v>
      </c>
    </row>
    <row r="41" spans="1:6">
      <c r="A41" s="23">
        <v>20102011</v>
      </c>
      <c r="B41" s="36">
        <v>870</v>
      </c>
      <c r="C41" s="25" t="s">
        <v>131</v>
      </c>
      <c r="D41" s="26" t="s">
        <v>132</v>
      </c>
      <c r="E41" s="27">
        <v>2.64E-2</v>
      </c>
      <c r="F41" s="27">
        <v>0.16500000000000001</v>
      </c>
    </row>
    <row r="42" spans="1:6">
      <c r="A42" s="23">
        <v>20102011</v>
      </c>
      <c r="B42" s="37">
        <v>880</v>
      </c>
      <c r="C42" s="25" t="s">
        <v>133</v>
      </c>
      <c r="D42" s="26" t="s">
        <v>134</v>
      </c>
      <c r="E42" s="27">
        <v>6.1199999999999997E-2</v>
      </c>
      <c r="F42" s="27">
        <v>0.13700000000000001</v>
      </c>
    </row>
    <row r="43" spans="1:6">
      <c r="A43" s="23">
        <v>20102011</v>
      </c>
      <c r="B43" s="36">
        <v>890</v>
      </c>
      <c r="C43" s="25" t="s">
        <v>135</v>
      </c>
      <c r="D43" s="26" t="s">
        <v>136</v>
      </c>
      <c r="E43" s="27">
        <v>6.3700000000000007E-2</v>
      </c>
      <c r="F43" s="27">
        <v>0.34229999999999999</v>
      </c>
    </row>
    <row r="44" spans="1:6">
      <c r="A44" s="23">
        <v>20102011</v>
      </c>
      <c r="B44" s="36">
        <v>900</v>
      </c>
      <c r="C44" s="25" t="s">
        <v>137</v>
      </c>
      <c r="D44" s="26" t="s">
        <v>138</v>
      </c>
      <c r="E44" s="27">
        <v>8.1600000000000006E-2</v>
      </c>
      <c r="F44" s="27">
        <v>0.17979999999999999</v>
      </c>
    </row>
    <row r="45" spans="1:6">
      <c r="A45" s="23">
        <v>20102011</v>
      </c>
      <c r="B45" s="36">
        <v>910</v>
      </c>
      <c r="C45" s="25" t="s">
        <v>139</v>
      </c>
      <c r="D45" s="26" t="s">
        <v>140</v>
      </c>
      <c r="E45" s="27">
        <v>5.0299999999999997E-2</v>
      </c>
      <c r="F45" s="27">
        <v>0.16489999999999999</v>
      </c>
    </row>
    <row r="46" spans="1:6">
      <c r="A46" s="23">
        <v>20102011</v>
      </c>
      <c r="B46" s="36">
        <v>920</v>
      </c>
      <c r="C46" s="25" t="s">
        <v>141</v>
      </c>
      <c r="D46" s="26" t="s">
        <v>64</v>
      </c>
      <c r="E46" s="27">
        <v>0.105</v>
      </c>
      <c r="F46" s="27">
        <v>0.39539999999999997</v>
      </c>
    </row>
    <row r="47" spans="1:6">
      <c r="A47" s="23">
        <v>20102011</v>
      </c>
      <c r="B47" s="36">
        <v>930</v>
      </c>
      <c r="C47" s="25" t="s">
        <v>141</v>
      </c>
      <c r="D47" s="26" t="s">
        <v>142</v>
      </c>
      <c r="E47" s="27">
        <v>4.7699999999999999E-2</v>
      </c>
      <c r="F47" s="27">
        <v>0.19769999999999999</v>
      </c>
    </row>
    <row r="48" spans="1:6">
      <c r="A48" s="23">
        <v>20102011</v>
      </c>
      <c r="B48" s="36">
        <v>940</v>
      </c>
      <c r="C48" s="25" t="s">
        <v>141</v>
      </c>
      <c r="D48" s="26" t="s">
        <v>143</v>
      </c>
      <c r="E48" s="27">
        <v>1.1000000000000001E-3</v>
      </c>
      <c r="F48" s="27">
        <v>0.1759</v>
      </c>
    </row>
    <row r="49" spans="1:6">
      <c r="A49" s="23">
        <v>20102011</v>
      </c>
      <c r="B49" s="36">
        <v>950</v>
      </c>
      <c r="C49" s="25" t="s">
        <v>141</v>
      </c>
      <c r="D49" s="26" t="s">
        <v>144</v>
      </c>
      <c r="E49" s="27">
        <v>3.1899999999999998E-2</v>
      </c>
      <c r="F49" s="27">
        <v>0.2747</v>
      </c>
    </row>
    <row r="50" spans="1:6">
      <c r="A50" s="23">
        <v>20102011</v>
      </c>
      <c r="B50" s="36">
        <v>960</v>
      </c>
      <c r="C50" s="25" t="s">
        <v>141</v>
      </c>
      <c r="D50" s="26" t="s">
        <v>145</v>
      </c>
      <c r="E50" s="27">
        <v>4.58E-2</v>
      </c>
      <c r="F50" s="27">
        <v>0.38429999999999997</v>
      </c>
    </row>
    <row r="51" spans="1:6">
      <c r="A51" s="23">
        <v>20102011</v>
      </c>
      <c r="B51" s="36">
        <v>970</v>
      </c>
      <c r="C51" s="25" t="s">
        <v>146</v>
      </c>
      <c r="D51" s="26" t="s">
        <v>147</v>
      </c>
      <c r="E51" s="27">
        <v>5.2200000000000003E-2</v>
      </c>
      <c r="F51" s="27">
        <v>0.30370000000000003</v>
      </c>
    </row>
    <row r="52" spans="1:6">
      <c r="A52" s="23">
        <v>20102011</v>
      </c>
      <c r="B52" s="36">
        <v>980</v>
      </c>
      <c r="C52" s="25" t="s">
        <v>146</v>
      </c>
      <c r="D52" s="26" t="s">
        <v>148</v>
      </c>
      <c r="E52" s="27">
        <v>5.8900000000000001E-2</v>
      </c>
      <c r="F52" s="27">
        <v>0.1797</v>
      </c>
    </row>
    <row r="53" spans="1:6">
      <c r="A53" s="23">
        <v>20102011</v>
      </c>
      <c r="B53" s="36">
        <v>990</v>
      </c>
      <c r="C53" s="25" t="s">
        <v>146</v>
      </c>
      <c r="D53" s="26" t="s">
        <v>149</v>
      </c>
      <c r="E53" s="27">
        <v>6.2300000000000001E-2</v>
      </c>
      <c r="F53" s="27">
        <v>0.22409999999999999</v>
      </c>
    </row>
    <row r="54" spans="1:6">
      <c r="A54" s="23">
        <v>20102011</v>
      </c>
      <c r="B54" s="24">
        <v>1000</v>
      </c>
      <c r="C54" s="25" t="s">
        <v>146</v>
      </c>
      <c r="D54" s="26" t="s">
        <v>150</v>
      </c>
      <c r="E54" s="27">
        <v>6.6100000000000006E-2</v>
      </c>
      <c r="F54" s="27">
        <v>0.2036</v>
      </c>
    </row>
    <row r="55" spans="1:6">
      <c r="A55" s="23">
        <v>20102011</v>
      </c>
      <c r="B55" s="24">
        <v>1010</v>
      </c>
      <c r="C55" s="25" t="s">
        <v>146</v>
      </c>
      <c r="D55" s="26" t="s">
        <v>151</v>
      </c>
      <c r="E55" s="27">
        <v>0.105</v>
      </c>
      <c r="F55" s="27">
        <v>0.2727</v>
      </c>
    </row>
    <row r="56" spans="1:6">
      <c r="A56" s="23">
        <v>20102011</v>
      </c>
      <c r="B56" s="24">
        <v>1020</v>
      </c>
      <c r="C56" s="25" t="s">
        <v>146</v>
      </c>
      <c r="D56" s="26" t="s">
        <v>152</v>
      </c>
      <c r="E56" s="27">
        <v>3.3599999999999998E-2</v>
      </c>
      <c r="F56" s="27">
        <v>0.24640000000000001</v>
      </c>
    </row>
    <row r="57" spans="1:6">
      <c r="A57" s="23">
        <v>20102011</v>
      </c>
      <c r="B57" s="24">
        <v>1030</v>
      </c>
      <c r="C57" s="25" t="s">
        <v>146</v>
      </c>
      <c r="D57" s="26" t="s">
        <v>153</v>
      </c>
      <c r="E57" s="27">
        <v>3.5099999999999999E-2</v>
      </c>
      <c r="F57" s="27">
        <v>0.15440000000000001</v>
      </c>
    </row>
    <row r="58" spans="1:6">
      <c r="A58" s="23">
        <v>20102011</v>
      </c>
      <c r="B58" s="24">
        <v>1040</v>
      </c>
      <c r="C58" s="25" t="s">
        <v>146</v>
      </c>
      <c r="D58" s="26" t="s">
        <v>154</v>
      </c>
      <c r="E58" s="27">
        <v>7.2099999999999997E-2</v>
      </c>
      <c r="F58" s="27">
        <v>0.20660000000000001</v>
      </c>
    </row>
    <row r="59" spans="1:6">
      <c r="A59" s="23">
        <v>20102011</v>
      </c>
      <c r="B59" s="24">
        <v>1050</v>
      </c>
      <c r="C59" s="25" t="s">
        <v>146</v>
      </c>
      <c r="D59" s="26" t="s">
        <v>155</v>
      </c>
      <c r="E59" s="27">
        <v>4.0599999999999997E-2</v>
      </c>
      <c r="F59" s="27">
        <v>0.25130000000000002</v>
      </c>
    </row>
    <row r="60" spans="1:6">
      <c r="A60" s="23">
        <v>20102011</v>
      </c>
      <c r="B60" s="24">
        <v>1060</v>
      </c>
      <c r="C60" s="25" t="s">
        <v>146</v>
      </c>
      <c r="D60" s="26" t="s">
        <v>156</v>
      </c>
      <c r="E60" s="27">
        <v>0.105</v>
      </c>
      <c r="F60" s="27">
        <v>0.30640000000000001</v>
      </c>
    </row>
    <row r="61" spans="1:6">
      <c r="A61" s="23">
        <v>20102011</v>
      </c>
      <c r="B61" s="24">
        <v>1070</v>
      </c>
      <c r="C61" s="25" t="s">
        <v>146</v>
      </c>
      <c r="D61" s="26" t="s">
        <v>157</v>
      </c>
      <c r="E61" s="27">
        <v>2.1600000000000001E-2</v>
      </c>
      <c r="F61" s="27">
        <v>0.35730000000000001</v>
      </c>
    </row>
    <row r="62" spans="1:6">
      <c r="A62" s="23">
        <v>20102011</v>
      </c>
      <c r="B62" s="24">
        <v>1080</v>
      </c>
      <c r="C62" s="25" t="s">
        <v>146</v>
      </c>
      <c r="D62" s="26" t="s">
        <v>158</v>
      </c>
      <c r="E62" s="27">
        <v>5.4800000000000001E-2</v>
      </c>
      <c r="F62" s="27">
        <v>0.25569999999999998</v>
      </c>
    </row>
    <row r="63" spans="1:6">
      <c r="A63" s="23">
        <v>20102011</v>
      </c>
      <c r="B63" s="24">
        <v>1110</v>
      </c>
      <c r="C63" s="25" t="s">
        <v>146</v>
      </c>
      <c r="D63" s="26" t="s">
        <v>159</v>
      </c>
      <c r="E63" s="27">
        <v>6.5299999999999997E-2</v>
      </c>
      <c r="F63" s="27">
        <v>0.23719999999999999</v>
      </c>
    </row>
    <row r="64" spans="1:6">
      <c r="A64" s="23">
        <v>20102011</v>
      </c>
      <c r="B64" s="24">
        <v>1120</v>
      </c>
      <c r="C64" s="25" t="s">
        <v>146</v>
      </c>
      <c r="D64" s="26" t="s">
        <v>160</v>
      </c>
      <c r="E64" s="27">
        <v>8.9899999999999994E-2</v>
      </c>
      <c r="F64" s="27">
        <v>0.29060000000000002</v>
      </c>
    </row>
    <row r="65" spans="1:6">
      <c r="A65" s="23">
        <v>20102011</v>
      </c>
      <c r="B65" s="24">
        <v>1130</v>
      </c>
      <c r="C65" s="25" t="s">
        <v>146</v>
      </c>
      <c r="D65" s="26" t="s">
        <v>161</v>
      </c>
      <c r="E65" s="27">
        <v>6.3500000000000001E-2</v>
      </c>
      <c r="F65" s="27">
        <v>0.4083</v>
      </c>
    </row>
    <row r="66" spans="1:6">
      <c r="A66" s="23">
        <v>20102011</v>
      </c>
      <c r="B66" s="24">
        <v>1140</v>
      </c>
      <c r="C66" s="25" t="s">
        <v>162</v>
      </c>
      <c r="D66" s="26" t="s">
        <v>163</v>
      </c>
      <c r="E66" s="27">
        <v>-3.2000000000000001E-2</v>
      </c>
      <c r="F66" s="27">
        <v>0.1154</v>
      </c>
    </row>
    <row r="67" spans="1:6">
      <c r="A67" s="23">
        <v>20102011</v>
      </c>
      <c r="B67" s="24">
        <v>1150</v>
      </c>
      <c r="C67" s="25" t="s">
        <v>162</v>
      </c>
      <c r="D67" s="26" t="s">
        <v>370</v>
      </c>
      <c r="E67" s="27">
        <v>4.58E-2</v>
      </c>
      <c r="F67" s="27">
        <v>0.26419999999999999</v>
      </c>
    </row>
    <row r="68" spans="1:6">
      <c r="A68" s="23">
        <v>20102011</v>
      </c>
      <c r="B68" s="24">
        <v>1160</v>
      </c>
      <c r="C68" s="25" t="s">
        <v>162</v>
      </c>
      <c r="D68" s="26" t="s">
        <v>164</v>
      </c>
      <c r="E68" s="27">
        <v>5.16E-2</v>
      </c>
      <c r="F68" s="27">
        <v>0.16880000000000001</v>
      </c>
    </row>
    <row r="69" spans="1:6">
      <c r="A69" s="23">
        <v>20102011</v>
      </c>
      <c r="B69" s="24">
        <v>1180</v>
      </c>
      <c r="C69" s="25" t="s">
        <v>165</v>
      </c>
      <c r="D69" s="26" t="s">
        <v>166</v>
      </c>
      <c r="E69" s="27">
        <v>4.8099999999999997E-2</v>
      </c>
      <c r="F69" s="27">
        <v>0.19009999999999999</v>
      </c>
    </row>
    <row r="70" spans="1:6">
      <c r="A70" s="23">
        <v>20102011</v>
      </c>
      <c r="B70" s="24">
        <v>1195</v>
      </c>
      <c r="C70" s="25" t="s">
        <v>165</v>
      </c>
      <c r="D70" s="26" t="s">
        <v>167</v>
      </c>
      <c r="E70" s="27">
        <v>5.7599999999999998E-2</v>
      </c>
      <c r="F70" s="27">
        <v>0.22450000000000001</v>
      </c>
    </row>
    <row r="71" spans="1:6">
      <c r="A71" s="23">
        <v>20102011</v>
      </c>
      <c r="B71" s="24">
        <v>1220</v>
      </c>
      <c r="C71" s="25" t="s">
        <v>165</v>
      </c>
      <c r="D71" s="26" t="s">
        <v>168</v>
      </c>
      <c r="E71" s="27">
        <v>5.8799999999999998E-2</v>
      </c>
      <c r="F71" s="27">
        <v>0.26640000000000003</v>
      </c>
    </row>
    <row r="72" spans="1:6">
      <c r="A72" s="23">
        <v>20102011</v>
      </c>
      <c r="B72" s="24">
        <v>1330</v>
      </c>
      <c r="C72" s="25" t="s">
        <v>169</v>
      </c>
      <c r="D72" s="26" t="s">
        <v>170</v>
      </c>
      <c r="E72" s="27">
        <v>5.2999999999999999E-2</v>
      </c>
      <c r="F72" s="27">
        <v>0.41089999999999999</v>
      </c>
    </row>
    <row r="73" spans="1:6">
      <c r="A73" s="23">
        <v>20102011</v>
      </c>
      <c r="B73" s="24">
        <v>1340</v>
      </c>
      <c r="C73" s="25" t="s">
        <v>171</v>
      </c>
      <c r="D73" s="26" t="s">
        <v>172</v>
      </c>
      <c r="E73" s="27">
        <v>5.74E-2</v>
      </c>
      <c r="F73" s="27">
        <v>0.71160000000000001</v>
      </c>
    </row>
    <row r="74" spans="1:6">
      <c r="A74" s="23">
        <v>20102011</v>
      </c>
      <c r="B74" s="24">
        <v>1350</v>
      </c>
      <c r="C74" s="25" t="s">
        <v>171</v>
      </c>
      <c r="D74" s="26" t="s">
        <v>173</v>
      </c>
      <c r="E74" s="27">
        <v>2.9399999999999999E-2</v>
      </c>
      <c r="F74" s="27">
        <v>0.20660000000000001</v>
      </c>
    </row>
    <row r="75" spans="1:6">
      <c r="A75" s="23">
        <v>20102011</v>
      </c>
      <c r="B75" s="24">
        <v>1360</v>
      </c>
      <c r="C75" s="25" t="s">
        <v>174</v>
      </c>
      <c r="D75" s="26" t="s">
        <v>175</v>
      </c>
      <c r="E75" s="27">
        <v>3.5000000000000003E-2</v>
      </c>
      <c r="F75" s="27">
        <v>0.1603</v>
      </c>
    </row>
    <row r="76" spans="1:6">
      <c r="A76" s="23">
        <v>20102011</v>
      </c>
      <c r="B76" s="24">
        <v>1380</v>
      </c>
      <c r="C76" s="25" t="s">
        <v>176</v>
      </c>
      <c r="D76" s="26" t="s">
        <v>177</v>
      </c>
      <c r="E76" s="27">
        <v>4.1300000000000003E-2</v>
      </c>
      <c r="F76" s="27">
        <v>0.37909999999999999</v>
      </c>
    </row>
    <row r="77" spans="1:6">
      <c r="A77" s="23">
        <v>20102011</v>
      </c>
      <c r="B77" s="24">
        <v>1390</v>
      </c>
      <c r="C77" s="25" t="s">
        <v>178</v>
      </c>
      <c r="D77" s="26" t="s">
        <v>179</v>
      </c>
      <c r="E77" s="27">
        <v>9.2700000000000005E-2</v>
      </c>
      <c r="F77" s="27">
        <v>0.29870000000000002</v>
      </c>
    </row>
    <row r="78" spans="1:6">
      <c r="A78" s="23">
        <v>20102011</v>
      </c>
      <c r="B78" s="24">
        <v>1400</v>
      </c>
      <c r="C78" s="25" t="s">
        <v>178</v>
      </c>
      <c r="D78" s="26" t="s">
        <v>180</v>
      </c>
      <c r="E78" s="27">
        <v>3.95E-2</v>
      </c>
      <c r="F78" s="27">
        <v>0.24859999999999999</v>
      </c>
    </row>
    <row r="79" spans="1:6">
      <c r="A79" s="23">
        <v>20102011</v>
      </c>
      <c r="B79" s="24">
        <v>1410</v>
      </c>
      <c r="C79" s="25" t="s">
        <v>181</v>
      </c>
      <c r="D79" s="26" t="s">
        <v>182</v>
      </c>
      <c r="E79" s="27">
        <v>9.2200000000000004E-2</v>
      </c>
      <c r="F79" s="27">
        <v>0.2964</v>
      </c>
    </row>
    <row r="80" spans="1:6">
      <c r="A80" s="23">
        <v>20102011</v>
      </c>
      <c r="B80" s="24">
        <v>1420</v>
      </c>
      <c r="C80" s="25" t="s">
        <v>183</v>
      </c>
      <c r="D80" s="26" t="s">
        <v>184</v>
      </c>
      <c r="E80" s="27">
        <v>4.6300000000000001E-2</v>
      </c>
      <c r="F80" s="27">
        <v>0.17749999999999999</v>
      </c>
    </row>
    <row r="81" spans="1:6">
      <c r="A81" s="23">
        <v>20102011</v>
      </c>
      <c r="B81" s="24">
        <v>1430</v>
      </c>
      <c r="C81" s="25" t="s">
        <v>185</v>
      </c>
      <c r="D81" s="26" t="s">
        <v>186</v>
      </c>
      <c r="E81" s="27">
        <v>4.9000000000000002E-2</v>
      </c>
      <c r="F81" s="27">
        <v>0.2147</v>
      </c>
    </row>
    <row r="82" spans="1:6">
      <c r="A82" s="23">
        <v>20102011</v>
      </c>
      <c r="B82" s="24">
        <v>1440</v>
      </c>
      <c r="C82" s="25" t="s">
        <v>185</v>
      </c>
      <c r="D82" s="26" t="s">
        <v>187</v>
      </c>
      <c r="E82" s="27">
        <v>0.105</v>
      </c>
      <c r="F82" s="27">
        <v>0.3785</v>
      </c>
    </row>
    <row r="83" spans="1:6">
      <c r="A83" s="23">
        <v>20102011</v>
      </c>
      <c r="B83" s="24">
        <v>1450</v>
      </c>
      <c r="C83" s="25" t="s">
        <v>188</v>
      </c>
      <c r="D83" s="26" t="s">
        <v>189</v>
      </c>
      <c r="E83" s="27">
        <v>5.9799999999999999E-2</v>
      </c>
      <c r="F83" s="27">
        <v>0.33629999999999999</v>
      </c>
    </row>
    <row r="84" spans="1:6">
      <c r="A84" s="23">
        <v>20102011</v>
      </c>
      <c r="B84" s="24">
        <v>1460</v>
      </c>
      <c r="C84" s="25" t="s">
        <v>188</v>
      </c>
      <c r="D84" s="26" t="s">
        <v>190</v>
      </c>
      <c r="E84" s="27">
        <v>7.1300000000000002E-2</v>
      </c>
      <c r="F84" s="27">
        <v>0.34239999999999998</v>
      </c>
    </row>
    <row r="85" spans="1:6">
      <c r="A85" s="23">
        <v>20102011</v>
      </c>
      <c r="B85" s="24">
        <v>1480</v>
      </c>
      <c r="C85" s="25" t="s">
        <v>188</v>
      </c>
      <c r="D85" s="26" t="s">
        <v>191</v>
      </c>
      <c r="E85" s="27">
        <v>8.0000000000000004E-4</v>
      </c>
      <c r="F85" s="27">
        <v>0.27650000000000002</v>
      </c>
    </row>
    <row r="86" spans="1:6">
      <c r="A86" s="23">
        <v>20102011</v>
      </c>
      <c r="B86" s="24">
        <v>1490</v>
      </c>
      <c r="C86" s="25" t="s">
        <v>188</v>
      </c>
      <c r="D86" s="26" t="s">
        <v>192</v>
      </c>
      <c r="E86" s="27">
        <v>8.5099999999999995E-2</v>
      </c>
      <c r="F86" s="27">
        <v>0.45689999999999997</v>
      </c>
    </row>
    <row r="87" spans="1:6">
      <c r="A87" s="23">
        <v>20102011</v>
      </c>
      <c r="B87" s="24">
        <v>1500</v>
      </c>
      <c r="C87" s="25" t="s">
        <v>188</v>
      </c>
      <c r="D87" s="26" t="s">
        <v>193</v>
      </c>
      <c r="E87" s="27">
        <v>1.5699999999999999E-2</v>
      </c>
      <c r="F87" s="27">
        <v>0.17219999999999999</v>
      </c>
    </row>
    <row r="88" spans="1:6">
      <c r="A88" s="23">
        <v>20102011</v>
      </c>
      <c r="B88" s="24">
        <v>1510</v>
      </c>
      <c r="C88" s="25" t="s">
        <v>194</v>
      </c>
      <c r="D88" s="26" t="s">
        <v>195</v>
      </c>
      <c r="E88" s="27">
        <v>1.8E-3</v>
      </c>
      <c r="F88" s="27">
        <v>0.1946</v>
      </c>
    </row>
    <row r="89" spans="1:6">
      <c r="A89" s="23">
        <v>20102011</v>
      </c>
      <c r="B89" s="24">
        <v>1520</v>
      </c>
      <c r="C89" s="25" t="s">
        <v>196</v>
      </c>
      <c r="D89" s="26" t="s">
        <v>197</v>
      </c>
      <c r="E89" s="27">
        <v>7.8399999999999997E-2</v>
      </c>
      <c r="F89" s="27">
        <v>0.24510000000000001</v>
      </c>
    </row>
    <row r="90" spans="1:6">
      <c r="A90" s="23">
        <v>20102011</v>
      </c>
      <c r="B90" s="24">
        <v>1530</v>
      </c>
      <c r="C90" s="25" t="s">
        <v>196</v>
      </c>
      <c r="D90" s="26" t="s">
        <v>198</v>
      </c>
      <c r="E90" s="27">
        <v>9.1700000000000004E-2</v>
      </c>
      <c r="F90" s="27">
        <v>0.2964</v>
      </c>
    </row>
    <row r="91" spans="1:6">
      <c r="A91" s="23">
        <v>20102011</v>
      </c>
      <c r="B91" s="24">
        <v>1540</v>
      </c>
      <c r="C91" s="25" t="s">
        <v>196</v>
      </c>
      <c r="D91" s="26" t="s">
        <v>199</v>
      </c>
      <c r="E91" s="27">
        <v>0.105</v>
      </c>
      <c r="F91" s="27">
        <v>0.20319999999999999</v>
      </c>
    </row>
    <row r="92" spans="1:6">
      <c r="A92" s="23">
        <v>20102011</v>
      </c>
      <c r="B92" s="24">
        <v>1550</v>
      </c>
      <c r="C92" s="25" t="s">
        <v>200</v>
      </c>
      <c r="D92" s="26" t="s">
        <v>201</v>
      </c>
      <c r="E92" s="27">
        <v>6.0600000000000001E-2</v>
      </c>
      <c r="F92" s="27">
        <v>0.19489999999999999</v>
      </c>
    </row>
    <row r="93" spans="1:6">
      <c r="A93" s="23">
        <v>20102011</v>
      </c>
      <c r="B93" s="24">
        <v>1560</v>
      </c>
      <c r="C93" s="25" t="s">
        <v>200</v>
      </c>
      <c r="D93" s="26" t="s">
        <v>202</v>
      </c>
      <c r="E93" s="27">
        <v>5.5800000000000002E-2</v>
      </c>
      <c r="F93" s="27">
        <v>0.16900000000000001</v>
      </c>
    </row>
    <row r="94" spans="1:6">
      <c r="A94" s="23">
        <v>20102011</v>
      </c>
      <c r="B94" s="24">
        <v>1570</v>
      </c>
      <c r="C94" s="25" t="s">
        <v>200</v>
      </c>
      <c r="D94" s="26" t="s">
        <v>203</v>
      </c>
      <c r="E94" s="27">
        <v>7.0999999999999994E-2</v>
      </c>
      <c r="F94" s="27">
        <v>0.2198</v>
      </c>
    </row>
    <row r="95" spans="1:6">
      <c r="A95" s="23">
        <v>20102011</v>
      </c>
      <c r="B95" s="24">
        <v>1580</v>
      </c>
      <c r="C95" s="25" t="s">
        <v>204</v>
      </c>
      <c r="D95" s="26" t="s">
        <v>205</v>
      </c>
      <c r="E95" s="27">
        <v>4.8000000000000001E-2</v>
      </c>
      <c r="F95" s="27">
        <v>0.19939999999999999</v>
      </c>
    </row>
    <row r="96" spans="1:6">
      <c r="A96" s="23">
        <v>20102011</v>
      </c>
      <c r="B96" s="24">
        <v>1590</v>
      </c>
      <c r="C96" s="25" t="s">
        <v>204</v>
      </c>
      <c r="D96" s="26" t="s">
        <v>206</v>
      </c>
      <c r="E96" s="27">
        <v>3.6999999999999998E-2</v>
      </c>
      <c r="F96" s="27">
        <v>0.36080000000000001</v>
      </c>
    </row>
    <row r="97" spans="1:6">
      <c r="A97" s="23">
        <v>20102011</v>
      </c>
      <c r="B97" s="24">
        <v>1600</v>
      </c>
      <c r="C97" s="25" t="s">
        <v>204</v>
      </c>
      <c r="D97" s="26" t="s">
        <v>207</v>
      </c>
      <c r="E97" s="27">
        <v>0.105</v>
      </c>
      <c r="F97" s="27">
        <v>0.40350000000000003</v>
      </c>
    </row>
    <row r="98" spans="1:6">
      <c r="A98" s="23">
        <v>20102011</v>
      </c>
      <c r="B98" s="24">
        <v>1620</v>
      </c>
      <c r="C98" s="25" t="s">
        <v>204</v>
      </c>
      <c r="D98" s="26" t="s">
        <v>208</v>
      </c>
      <c r="E98" s="27">
        <v>9.3399999999999997E-2</v>
      </c>
      <c r="F98" s="27">
        <v>0.72430000000000005</v>
      </c>
    </row>
    <row r="99" spans="1:6">
      <c r="A99" s="23">
        <v>20102011</v>
      </c>
      <c r="B99" s="24">
        <v>1750</v>
      </c>
      <c r="C99" s="25" t="s">
        <v>204</v>
      </c>
      <c r="D99" s="26" t="s">
        <v>209</v>
      </c>
      <c r="E99" s="27">
        <v>0.105</v>
      </c>
      <c r="F99" s="27">
        <v>0.34489999999999998</v>
      </c>
    </row>
    <row r="100" spans="1:6">
      <c r="A100" s="23">
        <v>20102011</v>
      </c>
      <c r="B100" s="24">
        <v>1760</v>
      </c>
      <c r="C100" s="25" t="s">
        <v>204</v>
      </c>
      <c r="D100" s="26" t="s">
        <v>210</v>
      </c>
      <c r="E100" s="27">
        <v>1.7299999999999999E-2</v>
      </c>
      <c r="F100" s="27">
        <v>0.4783</v>
      </c>
    </row>
    <row r="101" spans="1:6">
      <c r="A101" s="23">
        <v>20102011</v>
      </c>
      <c r="B101" s="24">
        <v>1780</v>
      </c>
      <c r="C101" s="25" t="s">
        <v>211</v>
      </c>
      <c r="D101" s="26" t="s">
        <v>212</v>
      </c>
      <c r="E101" s="27">
        <v>4.5600000000000002E-2</v>
      </c>
      <c r="F101" s="27">
        <v>0.2606</v>
      </c>
    </row>
    <row r="102" spans="1:6">
      <c r="A102" s="23">
        <v>20102011</v>
      </c>
      <c r="B102" s="24">
        <v>1790</v>
      </c>
      <c r="C102" s="25" t="s">
        <v>211</v>
      </c>
      <c r="D102" s="26" t="s">
        <v>213</v>
      </c>
      <c r="E102" s="27">
        <v>7.7499999999999999E-2</v>
      </c>
      <c r="F102" s="27">
        <v>0.23949999999999999</v>
      </c>
    </row>
    <row r="103" spans="1:6">
      <c r="A103" s="23">
        <v>20102011</v>
      </c>
      <c r="B103" s="24">
        <v>1810</v>
      </c>
      <c r="C103" s="25" t="s">
        <v>211</v>
      </c>
      <c r="D103" s="26" t="s">
        <v>214</v>
      </c>
      <c r="E103" s="27">
        <v>8.9999999999999998E-4</v>
      </c>
      <c r="F103" s="27">
        <v>0.1575</v>
      </c>
    </row>
    <row r="104" spans="1:6">
      <c r="A104" s="23">
        <v>20102011</v>
      </c>
      <c r="B104" s="24">
        <v>1828</v>
      </c>
      <c r="C104" s="25" t="s">
        <v>215</v>
      </c>
      <c r="D104" s="26" t="s">
        <v>216</v>
      </c>
      <c r="E104" s="27">
        <v>2.35E-2</v>
      </c>
      <c r="F104" s="27">
        <v>0.2203</v>
      </c>
    </row>
    <row r="105" spans="1:6">
      <c r="A105" s="23">
        <v>20102011</v>
      </c>
      <c r="B105" s="24">
        <v>1850</v>
      </c>
      <c r="C105" s="25" t="s">
        <v>215</v>
      </c>
      <c r="D105" s="26" t="s">
        <v>217</v>
      </c>
      <c r="E105" s="27">
        <v>7.4399999999999994E-2</v>
      </c>
      <c r="F105" s="27">
        <v>0.32790000000000002</v>
      </c>
    </row>
    <row r="106" spans="1:6">
      <c r="A106" s="23">
        <v>20102011</v>
      </c>
      <c r="B106" s="24">
        <v>1860</v>
      </c>
      <c r="C106" s="25" t="s">
        <v>215</v>
      </c>
      <c r="D106" s="26" t="s">
        <v>371</v>
      </c>
      <c r="E106" s="27">
        <v>4.0399999999999998E-2</v>
      </c>
      <c r="F106" s="27">
        <v>0.21659999999999999</v>
      </c>
    </row>
    <row r="107" spans="1:6">
      <c r="A107" s="23">
        <v>20102011</v>
      </c>
      <c r="B107" s="24">
        <v>1870</v>
      </c>
      <c r="C107" s="25" t="s">
        <v>215</v>
      </c>
      <c r="D107" s="26" t="s">
        <v>218</v>
      </c>
      <c r="E107" s="27">
        <v>3.6700000000000003E-2</v>
      </c>
      <c r="F107" s="27">
        <v>0.29799999999999999</v>
      </c>
    </row>
    <row r="108" spans="1:6">
      <c r="A108" s="23">
        <v>20102011</v>
      </c>
      <c r="B108" s="24">
        <v>1980</v>
      </c>
      <c r="C108" s="25" t="s">
        <v>219</v>
      </c>
      <c r="D108" s="26" t="s">
        <v>220</v>
      </c>
      <c r="E108" s="27">
        <v>3.15E-2</v>
      </c>
      <c r="F108" s="27">
        <v>0.32229999999999998</v>
      </c>
    </row>
    <row r="109" spans="1:6">
      <c r="A109" s="23">
        <v>20102011</v>
      </c>
      <c r="B109" s="24">
        <v>1990</v>
      </c>
      <c r="C109" s="25" t="s">
        <v>219</v>
      </c>
      <c r="D109" s="26" t="s">
        <v>221</v>
      </c>
      <c r="E109" s="27">
        <v>5.91E-2</v>
      </c>
      <c r="F109" s="27">
        <v>0.2223</v>
      </c>
    </row>
    <row r="110" spans="1:6">
      <c r="A110" s="23">
        <v>20102011</v>
      </c>
      <c r="B110" s="24">
        <v>2000</v>
      </c>
      <c r="C110" s="25" t="s">
        <v>219</v>
      </c>
      <c r="D110" s="26" t="s">
        <v>222</v>
      </c>
      <c r="E110" s="27">
        <v>5.45E-2</v>
      </c>
      <c r="F110" s="27">
        <v>0.20250000000000001</v>
      </c>
    </row>
    <row r="111" spans="1:6">
      <c r="A111" s="23">
        <v>20102011</v>
      </c>
      <c r="B111" s="24">
        <v>2010</v>
      </c>
      <c r="C111" s="25" t="s">
        <v>223</v>
      </c>
      <c r="D111" s="26" t="s">
        <v>224</v>
      </c>
      <c r="E111" s="27">
        <v>5.2200000000000003E-2</v>
      </c>
      <c r="F111" s="27">
        <v>0.35220000000000001</v>
      </c>
    </row>
    <row r="112" spans="1:6">
      <c r="A112" s="23">
        <v>20102011</v>
      </c>
      <c r="B112" s="24">
        <v>2020</v>
      </c>
      <c r="C112" s="25" t="s">
        <v>225</v>
      </c>
      <c r="D112" s="26" t="s">
        <v>226</v>
      </c>
      <c r="E112" s="27">
        <v>4.3099999999999999E-2</v>
      </c>
      <c r="F112" s="27">
        <v>0.2142</v>
      </c>
    </row>
    <row r="113" spans="1:6">
      <c r="A113" s="23">
        <v>20102011</v>
      </c>
      <c r="B113" s="24">
        <v>2035</v>
      </c>
      <c r="C113" s="25" t="s">
        <v>227</v>
      </c>
      <c r="D113" s="26" t="s">
        <v>228</v>
      </c>
      <c r="E113" s="27">
        <v>6.2600000000000003E-2</v>
      </c>
      <c r="F113" s="27">
        <v>0.2049</v>
      </c>
    </row>
    <row r="114" spans="1:6">
      <c r="A114" s="23">
        <v>20102011</v>
      </c>
      <c r="B114" s="24">
        <v>2055</v>
      </c>
      <c r="C114" s="25" t="s">
        <v>227</v>
      </c>
      <c r="D114" s="26" t="s">
        <v>229</v>
      </c>
      <c r="E114" s="27">
        <v>7.6700000000000004E-2</v>
      </c>
      <c r="F114" s="27">
        <v>0.28999999999999998</v>
      </c>
    </row>
    <row r="115" spans="1:6">
      <c r="A115" s="23">
        <v>20102011</v>
      </c>
      <c r="B115" s="24">
        <v>2070</v>
      </c>
      <c r="C115" s="25" t="s">
        <v>227</v>
      </c>
      <c r="D115" s="26" t="s">
        <v>230</v>
      </c>
      <c r="E115" s="27">
        <v>7.4399999999999994E-2</v>
      </c>
      <c r="F115" s="27">
        <v>0.38800000000000001</v>
      </c>
    </row>
    <row r="116" spans="1:6">
      <c r="A116" s="23">
        <v>20102011</v>
      </c>
      <c r="B116" s="24">
        <v>2180</v>
      </c>
      <c r="C116" s="25" t="s">
        <v>231</v>
      </c>
      <c r="D116" s="26" t="s">
        <v>232</v>
      </c>
      <c r="E116" s="27">
        <v>0.105</v>
      </c>
      <c r="F116" s="27">
        <v>0.2727</v>
      </c>
    </row>
    <row r="117" spans="1:6">
      <c r="A117" s="23">
        <v>20102011</v>
      </c>
      <c r="B117" s="24">
        <v>2190</v>
      </c>
      <c r="C117" s="25" t="s">
        <v>231</v>
      </c>
      <c r="D117" s="26" t="s">
        <v>233</v>
      </c>
      <c r="E117" s="27">
        <v>4.8599999999999997E-2</v>
      </c>
      <c r="F117" s="27">
        <v>0.36230000000000001</v>
      </c>
    </row>
    <row r="118" spans="1:6">
      <c r="A118" s="23">
        <v>20102011</v>
      </c>
      <c r="B118" s="24">
        <v>2395</v>
      </c>
      <c r="C118" s="25" t="s">
        <v>234</v>
      </c>
      <c r="D118" s="26" t="s">
        <v>235</v>
      </c>
      <c r="E118" s="27">
        <v>4.3799999999999999E-2</v>
      </c>
      <c r="F118" s="27">
        <v>0.22900000000000001</v>
      </c>
    </row>
    <row r="119" spans="1:6">
      <c r="A119" s="23">
        <v>20102011</v>
      </c>
      <c r="B119" s="24">
        <v>2405</v>
      </c>
      <c r="C119" s="25" t="s">
        <v>234</v>
      </c>
      <c r="D119" s="26" t="s">
        <v>236</v>
      </c>
      <c r="E119" s="27">
        <v>0.105</v>
      </c>
      <c r="F119" s="27">
        <v>0.31019999999999998</v>
      </c>
    </row>
    <row r="120" spans="1:6">
      <c r="A120" s="23">
        <v>20102011</v>
      </c>
      <c r="B120" s="24">
        <v>2505</v>
      </c>
      <c r="C120" s="25" t="s">
        <v>234</v>
      </c>
      <c r="D120" s="26" t="s">
        <v>237</v>
      </c>
      <c r="E120" s="27">
        <v>2.3099999999999999E-2</v>
      </c>
      <c r="F120" s="27">
        <v>0.23180000000000001</v>
      </c>
    </row>
    <row r="121" spans="1:6">
      <c r="A121" s="23">
        <v>20102011</v>
      </c>
      <c r="B121" s="24">
        <v>2515</v>
      </c>
      <c r="C121" s="25" t="s">
        <v>234</v>
      </c>
      <c r="D121" s="26" t="s">
        <v>238</v>
      </c>
      <c r="E121" s="27">
        <v>6.1699999999999998E-2</v>
      </c>
      <c r="F121" s="27">
        <v>0.31240000000000001</v>
      </c>
    </row>
    <row r="122" spans="1:6">
      <c r="A122" s="23">
        <v>20102011</v>
      </c>
      <c r="B122" s="24">
        <v>2520</v>
      </c>
      <c r="C122" s="25" t="s">
        <v>239</v>
      </c>
      <c r="D122" s="26" t="s">
        <v>240</v>
      </c>
      <c r="E122" s="27">
        <v>4.8399999999999999E-2</v>
      </c>
      <c r="F122" s="27">
        <v>0.311</v>
      </c>
    </row>
    <row r="123" spans="1:6">
      <c r="A123" s="23">
        <v>20102011</v>
      </c>
      <c r="B123" s="24">
        <v>2530</v>
      </c>
      <c r="C123" s="25" t="s">
        <v>239</v>
      </c>
      <c r="D123" s="26" t="s">
        <v>241</v>
      </c>
      <c r="E123" s="27">
        <v>3.56E-2</v>
      </c>
      <c r="F123" s="27">
        <v>0.25040000000000001</v>
      </c>
    </row>
    <row r="124" spans="1:6">
      <c r="A124" s="23">
        <v>20102011</v>
      </c>
      <c r="B124" s="24">
        <v>2535</v>
      </c>
      <c r="C124" s="25" t="s">
        <v>239</v>
      </c>
      <c r="D124" s="26" t="s">
        <v>242</v>
      </c>
      <c r="E124" s="27">
        <v>1.8100000000000002E-2</v>
      </c>
      <c r="F124" s="27">
        <v>0.1265</v>
      </c>
    </row>
    <row r="125" spans="1:6">
      <c r="A125" s="23">
        <v>20102011</v>
      </c>
      <c r="B125" s="24">
        <v>2540</v>
      </c>
      <c r="C125" s="25" t="s">
        <v>239</v>
      </c>
      <c r="D125" s="26" t="s">
        <v>243</v>
      </c>
      <c r="E125" s="27">
        <v>4.4400000000000002E-2</v>
      </c>
      <c r="F125" s="27">
        <v>0.2243</v>
      </c>
    </row>
    <row r="126" spans="1:6">
      <c r="A126" s="23">
        <v>20102011</v>
      </c>
      <c r="B126" s="24">
        <v>2560</v>
      </c>
      <c r="C126" s="25" t="s">
        <v>239</v>
      </c>
      <c r="D126" s="26" t="s">
        <v>244</v>
      </c>
      <c r="E126" s="27">
        <v>1.3299999999999999E-2</v>
      </c>
      <c r="F126" s="27">
        <v>0.35070000000000001</v>
      </c>
    </row>
    <row r="127" spans="1:6">
      <c r="A127" s="23">
        <v>20102011</v>
      </c>
      <c r="B127" s="24">
        <v>2570</v>
      </c>
      <c r="C127" s="25" t="s">
        <v>239</v>
      </c>
      <c r="D127" s="26" t="s">
        <v>245</v>
      </c>
      <c r="E127" s="27">
        <v>2.53E-2</v>
      </c>
      <c r="F127" s="27">
        <v>0.2601</v>
      </c>
    </row>
    <row r="128" spans="1:6">
      <c r="A128" s="23">
        <v>20102011</v>
      </c>
      <c r="B128" s="24">
        <v>2580</v>
      </c>
      <c r="C128" s="25" t="s">
        <v>246</v>
      </c>
      <c r="D128" s="26" t="s">
        <v>247</v>
      </c>
      <c r="E128" s="27">
        <v>2.3199999999999998E-2</v>
      </c>
      <c r="F128" s="27">
        <v>0.16639999999999999</v>
      </c>
    </row>
    <row r="129" spans="1:6">
      <c r="A129" s="23">
        <v>20102011</v>
      </c>
      <c r="B129" s="24">
        <v>2590</v>
      </c>
      <c r="C129" s="25" t="s">
        <v>246</v>
      </c>
      <c r="D129" s="26" t="s">
        <v>248</v>
      </c>
      <c r="E129" s="27">
        <v>4.4200000000000003E-2</v>
      </c>
      <c r="F129" s="27">
        <v>0.2238</v>
      </c>
    </row>
    <row r="130" spans="1:6">
      <c r="A130" s="23">
        <v>20102011</v>
      </c>
      <c r="B130" s="24">
        <v>2600</v>
      </c>
      <c r="C130" s="25" t="s">
        <v>249</v>
      </c>
      <c r="D130" s="26" t="s">
        <v>250</v>
      </c>
      <c r="E130" s="27">
        <v>6.5299999999999997E-2</v>
      </c>
      <c r="F130" s="27">
        <v>0.19170000000000001</v>
      </c>
    </row>
    <row r="131" spans="1:6">
      <c r="A131" s="23">
        <v>20102011</v>
      </c>
      <c r="B131" s="24">
        <v>2610</v>
      </c>
      <c r="C131" s="25" t="s">
        <v>249</v>
      </c>
      <c r="D131" s="26" t="s">
        <v>251</v>
      </c>
      <c r="E131" s="27">
        <v>5.57E-2</v>
      </c>
      <c r="F131" s="27">
        <v>0.34360000000000002</v>
      </c>
    </row>
    <row r="132" spans="1:6">
      <c r="A132" s="23">
        <v>20102011</v>
      </c>
      <c r="B132" s="24">
        <v>2620</v>
      </c>
      <c r="C132" s="25" t="s">
        <v>252</v>
      </c>
      <c r="D132" s="26" t="s">
        <v>253</v>
      </c>
      <c r="E132" s="27">
        <v>2.87E-2</v>
      </c>
      <c r="F132" s="27">
        <v>0.21909999999999999</v>
      </c>
    </row>
    <row r="133" spans="1:6">
      <c r="A133" s="23">
        <v>20102011</v>
      </c>
      <c r="B133" s="24">
        <v>2630</v>
      </c>
      <c r="C133" s="25" t="s">
        <v>254</v>
      </c>
      <c r="D133" s="26" t="s">
        <v>255</v>
      </c>
      <c r="E133" s="27">
        <v>3.9300000000000002E-2</v>
      </c>
      <c r="F133" s="27">
        <v>0.37330000000000002</v>
      </c>
    </row>
    <row r="134" spans="1:6">
      <c r="A134" s="23">
        <v>20102011</v>
      </c>
      <c r="B134" s="24">
        <v>2640</v>
      </c>
      <c r="C134" s="25" t="s">
        <v>256</v>
      </c>
      <c r="D134" s="26" t="s">
        <v>257</v>
      </c>
      <c r="E134" s="27">
        <v>3.1300000000000001E-2</v>
      </c>
      <c r="F134" s="27">
        <v>0.2185</v>
      </c>
    </row>
    <row r="135" spans="1:6">
      <c r="A135" s="23">
        <v>20102011</v>
      </c>
      <c r="B135" s="24">
        <v>2650</v>
      </c>
      <c r="C135" s="25" t="s">
        <v>258</v>
      </c>
      <c r="D135" s="26" t="s">
        <v>259</v>
      </c>
      <c r="E135" s="27">
        <v>2.29E-2</v>
      </c>
      <c r="F135" s="27">
        <v>0.21790000000000001</v>
      </c>
    </row>
    <row r="136" spans="1:6">
      <c r="A136" s="23">
        <v>20102011</v>
      </c>
      <c r="B136" s="24">
        <v>2660</v>
      </c>
      <c r="C136" s="25" t="s">
        <v>260</v>
      </c>
      <c r="D136" s="26" t="s">
        <v>261</v>
      </c>
      <c r="E136" s="27">
        <v>7.1000000000000004E-3</v>
      </c>
      <c r="F136" s="27">
        <v>0.1351</v>
      </c>
    </row>
    <row r="137" spans="1:6">
      <c r="A137" s="23">
        <v>20102011</v>
      </c>
      <c r="B137" s="24">
        <v>2670</v>
      </c>
      <c r="C137" s="25" t="s">
        <v>260</v>
      </c>
      <c r="D137" s="26" t="s">
        <v>262</v>
      </c>
      <c r="E137" s="27">
        <v>4.6399999999999997E-2</v>
      </c>
      <c r="F137" s="27">
        <v>0.24379999999999999</v>
      </c>
    </row>
    <row r="138" spans="1:6">
      <c r="A138" s="23">
        <v>20102011</v>
      </c>
      <c r="B138" s="24">
        <v>2680</v>
      </c>
      <c r="C138" s="25" t="s">
        <v>260</v>
      </c>
      <c r="D138" s="26" t="s">
        <v>263</v>
      </c>
      <c r="E138" s="27">
        <v>0.105</v>
      </c>
      <c r="F138" s="27">
        <v>0.29859999999999998</v>
      </c>
    </row>
    <row r="139" spans="1:6">
      <c r="A139" s="23">
        <v>20102011</v>
      </c>
      <c r="B139" s="24">
        <v>2690</v>
      </c>
      <c r="C139" s="25" t="s">
        <v>264</v>
      </c>
      <c r="D139" s="26" t="s">
        <v>265</v>
      </c>
      <c r="E139" s="27">
        <v>5.6399999999999999E-2</v>
      </c>
      <c r="F139" s="27">
        <v>0.2334</v>
      </c>
    </row>
    <row r="140" spans="1:6">
      <c r="A140" s="23">
        <v>20102011</v>
      </c>
      <c r="B140" s="24">
        <v>2700</v>
      </c>
      <c r="C140" s="25" t="s">
        <v>264</v>
      </c>
      <c r="D140" s="26" t="s">
        <v>266</v>
      </c>
      <c r="E140" s="27">
        <v>8.9300000000000004E-2</v>
      </c>
      <c r="F140" s="27">
        <v>0.27639999999999998</v>
      </c>
    </row>
    <row r="141" spans="1:6">
      <c r="A141" s="23">
        <v>20102011</v>
      </c>
      <c r="B141" s="24">
        <v>2710</v>
      </c>
      <c r="C141" s="25" t="s">
        <v>267</v>
      </c>
      <c r="D141" s="26" t="s">
        <v>268</v>
      </c>
      <c r="E141" s="27">
        <v>3.85E-2</v>
      </c>
      <c r="F141" s="27">
        <v>0.19389999999999999</v>
      </c>
    </row>
    <row r="142" spans="1:6">
      <c r="A142" s="23">
        <v>20102011</v>
      </c>
      <c r="B142" s="24">
        <v>2720</v>
      </c>
      <c r="C142" s="25" t="s">
        <v>267</v>
      </c>
      <c r="D142" s="26" t="s">
        <v>269</v>
      </c>
      <c r="E142" s="27">
        <v>4.7100000000000003E-2</v>
      </c>
      <c r="F142" s="27">
        <v>0.32940000000000003</v>
      </c>
    </row>
    <row r="143" spans="1:6">
      <c r="A143" s="23">
        <v>20102011</v>
      </c>
      <c r="B143" s="24">
        <v>2730</v>
      </c>
      <c r="C143" s="25" t="s">
        <v>270</v>
      </c>
      <c r="D143" s="26" t="s">
        <v>271</v>
      </c>
      <c r="E143" s="27">
        <v>3.1699999999999999E-2</v>
      </c>
      <c r="F143" s="27">
        <v>0.27010000000000001</v>
      </c>
    </row>
    <row r="144" spans="1:6">
      <c r="A144" s="23">
        <v>20102011</v>
      </c>
      <c r="B144" s="24">
        <v>2740</v>
      </c>
      <c r="C144" s="25" t="s">
        <v>270</v>
      </c>
      <c r="D144" s="26" t="s">
        <v>272</v>
      </c>
      <c r="E144" s="27">
        <v>3.5700000000000003E-2</v>
      </c>
      <c r="F144" s="27">
        <v>0.23100000000000001</v>
      </c>
    </row>
    <row r="145" spans="1:6">
      <c r="A145" s="23">
        <v>20102011</v>
      </c>
      <c r="B145" s="24">
        <v>2750</v>
      </c>
      <c r="C145" s="25" t="s">
        <v>270</v>
      </c>
      <c r="D145" s="26" t="s">
        <v>273</v>
      </c>
      <c r="E145" s="27">
        <v>5.2299999999999999E-2</v>
      </c>
      <c r="F145" s="27">
        <v>0.28339999999999999</v>
      </c>
    </row>
    <row r="146" spans="1:6">
      <c r="A146" s="23">
        <v>20102011</v>
      </c>
      <c r="B146" s="24">
        <v>2760</v>
      </c>
      <c r="C146" s="25" t="s">
        <v>274</v>
      </c>
      <c r="D146" s="26" t="s">
        <v>275</v>
      </c>
      <c r="E146" s="27">
        <v>2.9100000000000001E-2</v>
      </c>
      <c r="F146" s="27">
        <v>0.1789</v>
      </c>
    </row>
    <row r="147" spans="1:6">
      <c r="A147" s="23">
        <v>20102011</v>
      </c>
      <c r="B147" s="24">
        <v>2770</v>
      </c>
      <c r="C147" s="25" t="s">
        <v>274</v>
      </c>
      <c r="D147" s="26" t="s">
        <v>276</v>
      </c>
      <c r="E147" s="27">
        <v>2.8799999999999999E-2</v>
      </c>
      <c r="F147" s="27">
        <v>0.17710000000000001</v>
      </c>
    </row>
    <row r="148" spans="1:6">
      <c r="A148" s="23">
        <v>20102011</v>
      </c>
      <c r="B148" s="24">
        <v>2780</v>
      </c>
      <c r="C148" s="25" t="s">
        <v>274</v>
      </c>
      <c r="D148" s="26" t="s">
        <v>277</v>
      </c>
      <c r="E148" s="27">
        <v>1.8200000000000001E-2</v>
      </c>
      <c r="F148" s="27">
        <v>0.254</v>
      </c>
    </row>
    <row r="149" spans="1:6">
      <c r="A149" s="23">
        <v>20102011</v>
      </c>
      <c r="B149" s="24">
        <v>2790</v>
      </c>
      <c r="C149" s="25" t="s">
        <v>278</v>
      </c>
      <c r="D149" s="26" t="s">
        <v>279</v>
      </c>
      <c r="E149" s="27">
        <v>4.6699999999999998E-2</v>
      </c>
      <c r="F149" s="27">
        <v>0.29570000000000002</v>
      </c>
    </row>
    <row r="150" spans="1:6">
      <c r="A150" s="23">
        <v>20102011</v>
      </c>
      <c r="B150" s="24">
        <v>2800</v>
      </c>
      <c r="C150" s="25" t="s">
        <v>278</v>
      </c>
      <c r="D150" s="26" t="s">
        <v>280</v>
      </c>
      <c r="E150" s="27">
        <v>0.105</v>
      </c>
      <c r="F150" s="27">
        <v>0.3306</v>
      </c>
    </row>
    <row r="151" spans="1:6">
      <c r="A151" s="23">
        <v>20102011</v>
      </c>
      <c r="B151" s="24">
        <v>2810</v>
      </c>
      <c r="C151" s="25" t="s">
        <v>278</v>
      </c>
      <c r="D151" s="26" t="s">
        <v>281</v>
      </c>
      <c r="E151" s="27">
        <v>2.9100000000000001E-2</v>
      </c>
      <c r="F151" s="27">
        <v>0.27210000000000001</v>
      </c>
    </row>
    <row r="152" spans="1:6">
      <c r="A152" s="23">
        <v>20102011</v>
      </c>
      <c r="B152" s="24">
        <v>2820</v>
      </c>
      <c r="C152" s="25" t="s">
        <v>282</v>
      </c>
      <c r="D152" s="26" t="s">
        <v>283</v>
      </c>
      <c r="E152" s="27">
        <v>8.9800000000000005E-2</v>
      </c>
      <c r="F152" s="27">
        <v>0.75719999999999998</v>
      </c>
    </row>
    <row r="153" spans="1:6">
      <c r="A153" s="23">
        <v>20102011</v>
      </c>
      <c r="B153" s="24">
        <v>2830</v>
      </c>
      <c r="C153" s="25" t="s">
        <v>284</v>
      </c>
      <c r="D153" s="26" t="s">
        <v>285</v>
      </c>
      <c r="E153" s="27">
        <v>7.0199999999999999E-2</v>
      </c>
      <c r="F153" s="27">
        <v>0.218</v>
      </c>
    </row>
    <row r="154" spans="1:6">
      <c r="A154" s="23">
        <v>20102011</v>
      </c>
      <c r="B154" s="24">
        <v>2840</v>
      </c>
      <c r="C154" s="25" t="s">
        <v>284</v>
      </c>
      <c r="D154" s="26" t="s">
        <v>286</v>
      </c>
      <c r="E154" s="27">
        <v>8.3599999999999994E-2</v>
      </c>
      <c r="F154" s="27">
        <v>0.27079999999999999</v>
      </c>
    </row>
    <row r="155" spans="1:6">
      <c r="A155" s="23">
        <v>20102011</v>
      </c>
      <c r="B155" s="24">
        <v>2862</v>
      </c>
      <c r="C155" s="25" t="s">
        <v>287</v>
      </c>
      <c r="D155" s="26" t="s">
        <v>288</v>
      </c>
      <c r="E155" s="27">
        <v>3.5000000000000001E-3</v>
      </c>
      <c r="F155" s="27">
        <v>2.2100000000000002E-2</v>
      </c>
    </row>
    <row r="156" spans="1:6">
      <c r="A156" s="23">
        <v>20102011</v>
      </c>
      <c r="B156" s="24">
        <v>2865</v>
      </c>
      <c r="C156" s="25" t="s">
        <v>287</v>
      </c>
      <c r="D156" s="26" t="s">
        <v>289</v>
      </c>
      <c r="E156" s="27">
        <v>8.0000000000000002E-3</v>
      </c>
      <c r="F156" s="27">
        <v>0.3291</v>
      </c>
    </row>
    <row r="157" spans="1:6">
      <c r="A157" s="23">
        <v>20102011</v>
      </c>
      <c r="B157" s="24">
        <v>3000</v>
      </c>
      <c r="C157" s="25" t="s">
        <v>290</v>
      </c>
      <c r="D157" s="26" t="s">
        <v>291</v>
      </c>
      <c r="E157" s="27">
        <v>0.105</v>
      </c>
      <c r="F157" s="27">
        <v>0.4899</v>
      </c>
    </row>
    <row r="158" spans="1:6">
      <c r="A158" s="23">
        <v>20102011</v>
      </c>
      <c r="B158" s="24">
        <v>3010</v>
      </c>
      <c r="C158" s="25" t="s">
        <v>292</v>
      </c>
      <c r="D158" s="26" t="s">
        <v>293</v>
      </c>
      <c r="E158" s="27">
        <v>3.0700000000000002E-2</v>
      </c>
      <c r="F158" s="27">
        <v>0.18190000000000001</v>
      </c>
    </row>
    <row r="159" spans="1:6">
      <c r="A159" s="23">
        <v>20102011</v>
      </c>
      <c r="B159" s="24">
        <v>3020</v>
      </c>
      <c r="C159" s="25" t="s">
        <v>292</v>
      </c>
      <c r="D159" s="26" t="s">
        <v>294</v>
      </c>
      <c r="E159" s="27">
        <v>5.2200000000000003E-2</v>
      </c>
      <c r="F159" s="27">
        <v>0.186</v>
      </c>
    </row>
    <row r="160" spans="1:6">
      <c r="A160" s="23">
        <v>20102011</v>
      </c>
      <c r="B160" s="24">
        <v>3030</v>
      </c>
      <c r="C160" s="25" t="s">
        <v>295</v>
      </c>
      <c r="D160" s="26" t="s">
        <v>296</v>
      </c>
      <c r="E160" s="27">
        <v>0.05</v>
      </c>
      <c r="F160" s="27">
        <v>0.28289999999999998</v>
      </c>
    </row>
    <row r="161" spans="1:6">
      <c r="A161" s="23">
        <v>20102011</v>
      </c>
      <c r="B161" s="24">
        <v>3040</v>
      </c>
      <c r="C161" s="25" t="s">
        <v>295</v>
      </c>
      <c r="D161" s="26" t="s">
        <v>297</v>
      </c>
      <c r="E161" s="27">
        <v>7.1900000000000006E-2</v>
      </c>
      <c r="F161" s="27">
        <v>0.39829999999999999</v>
      </c>
    </row>
    <row r="162" spans="1:6">
      <c r="A162" s="23">
        <v>20102011</v>
      </c>
      <c r="B162" s="24">
        <v>3050</v>
      </c>
      <c r="C162" s="25" t="s">
        <v>295</v>
      </c>
      <c r="D162" s="26" t="s">
        <v>298</v>
      </c>
      <c r="E162" s="27">
        <v>4.1300000000000003E-2</v>
      </c>
      <c r="F162" s="27">
        <v>0.56620000000000004</v>
      </c>
    </row>
    <row r="163" spans="1:6">
      <c r="A163" s="23">
        <v>20102011</v>
      </c>
      <c r="B163" s="24">
        <v>3060</v>
      </c>
      <c r="C163" s="25" t="s">
        <v>295</v>
      </c>
      <c r="D163" s="26" t="s">
        <v>299</v>
      </c>
      <c r="E163" s="27">
        <v>9.5399999999999999E-2</v>
      </c>
      <c r="F163" s="27">
        <v>0.4279</v>
      </c>
    </row>
    <row r="164" spans="1:6">
      <c r="A164" s="23">
        <v>20102011</v>
      </c>
      <c r="B164" s="24">
        <v>3070</v>
      </c>
      <c r="C164" s="25" t="s">
        <v>295</v>
      </c>
      <c r="D164" s="26" t="s">
        <v>300</v>
      </c>
      <c r="E164" s="27">
        <v>7.8899999999999998E-2</v>
      </c>
      <c r="F164" s="27">
        <v>0.43319999999999997</v>
      </c>
    </row>
    <row r="165" spans="1:6">
      <c r="A165" s="23">
        <v>20102011</v>
      </c>
      <c r="B165" s="24">
        <v>3080</v>
      </c>
      <c r="C165" s="25" t="s">
        <v>301</v>
      </c>
      <c r="D165" s="26" t="s">
        <v>302</v>
      </c>
      <c r="E165" s="27">
        <v>3.9800000000000002E-2</v>
      </c>
      <c r="F165" s="27">
        <v>0.19689999999999999</v>
      </c>
    </row>
    <row r="166" spans="1:6">
      <c r="A166" s="23">
        <v>20102011</v>
      </c>
      <c r="B166" s="24">
        <v>3085</v>
      </c>
      <c r="C166" s="25" t="s">
        <v>301</v>
      </c>
      <c r="D166" s="26" t="s">
        <v>303</v>
      </c>
      <c r="E166" s="27">
        <v>4.2200000000000001E-2</v>
      </c>
      <c r="F166" s="27">
        <v>0.2039</v>
      </c>
    </row>
    <row r="167" spans="1:6">
      <c r="A167" s="23">
        <v>20102011</v>
      </c>
      <c r="B167" s="24">
        <v>3090</v>
      </c>
      <c r="C167" s="25" t="s">
        <v>301</v>
      </c>
      <c r="D167" s="26" t="s">
        <v>304</v>
      </c>
      <c r="E167" s="27">
        <v>6.1899999999999997E-2</v>
      </c>
      <c r="F167" s="27">
        <v>0.2621</v>
      </c>
    </row>
    <row r="168" spans="1:6">
      <c r="A168" s="23">
        <v>20102011</v>
      </c>
      <c r="B168" s="24">
        <v>3100</v>
      </c>
      <c r="C168" s="25" t="s">
        <v>301</v>
      </c>
      <c r="D168" s="26" t="s">
        <v>305</v>
      </c>
      <c r="E168" s="27">
        <v>9.3299999999999994E-2</v>
      </c>
      <c r="F168" s="27">
        <v>0.29049999999999998</v>
      </c>
    </row>
    <row r="169" spans="1:6">
      <c r="A169" s="23">
        <v>20102011</v>
      </c>
      <c r="B169" s="24">
        <v>3110</v>
      </c>
      <c r="C169" s="25" t="s">
        <v>301</v>
      </c>
      <c r="D169" s="26" t="s">
        <v>306</v>
      </c>
      <c r="E169" s="27">
        <v>3.7999999999999999E-2</v>
      </c>
      <c r="F169" s="27">
        <v>0.2656</v>
      </c>
    </row>
    <row r="170" spans="1:6">
      <c r="A170" s="23">
        <v>20102011</v>
      </c>
      <c r="B170" s="24">
        <v>3120</v>
      </c>
      <c r="C170" s="25" t="s">
        <v>301</v>
      </c>
      <c r="D170" s="26" t="s">
        <v>307</v>
      </c>
      <c r="E170" s="27">
        <v>6.1800000000000001E-2</v>
      </c>
      <c r="F170" s="27">
        <v>0.18959999999999999</v>
      </c>
    </row>
    <row r="171" spans="1:6">
      <c r="A171" s="23">
        <v>20102011</v>
      </c>
      <c r="B171" s="24">
        <v>3130</v>
      </c>
      <c r="C171" s="25" t="s">
        <v>301</v>
      </c>
      <c r="D171" s="26" t="s">
        <v>308</v>
      </c>
      <c r="E171" s="27">
        <v>5.6399999999999999E-2</v>
      </c>
      <c r="F171" s="27">
        <v>0.27400000000000002</v>
      </c>
    </row>
    <row r="172" spans="1:6">
      <c r="A172" s="23">
        <v>20102011</v>
      </c>
      <c r="B172" s="24">
        <v>3140</v>
      </c>
      <c r="C172" s="25" t="s">
        <v>301</v>
      </c>
      <c r="D172" s="26" t="s">
        <v>309</v>
      </c>
      <c r="E172" s="27">
        <v>7.2300000000000003E-2</v>
      </c>
      <c r="F172" s="27">
        <v>0.23799999999999999</v>
      </c>
    </row>
    <row r="173" spans="1:6">
      <c r="A173" s="23">
        <v>20102011</v>
      </c>
      <c r="B173" s="24">
        <v>3145</v>
      </c>
      <c r="C173" s="25" t="s">
        <v>301</v>
      </c>
      <c r="D173" s="26" t="s">
        <v>310</v>
      </c>
      <c r="E173" s="27">
        <v>4.4999999999999998E-2</v>
      </c>
      <c r="F173" s="27">
        <v>0.2427</v>
      </c>
    </row>
    <row r="174" spans="1:6">
      <c r="A174" s="23">
        <v>20102011</v>
      </c>
      <c r="B174" s="24">
        <v>3146</v>
      </c>
      <c r="C174" s="25" t="s">
        <v>301</v>
      </c>
      <c r="D174" s="26" t="s">
        <v>311</v>
      </c>
      <c r="E174" s="27">
        <v>1.5800000000000002E-2</v>
      </c>
      <c r="F174" s="27">
        <v>0.50429999999999997</v>
      </c>
    </row>
    <row r="175" spans="1:6">
      <c r="A175" s="23">
        <v>20102011</v>
      </c>
      <c r="B175" s="24">
        <v>3147</v>
      </c>
      <c r="C175" s="25" t="s">
        <v>301</v>
      </c>
      <c r="D175" s="26" t="s">
        <v>372</v>
      </c>
      <c r="E175" s="27">
        <v>0.1011</v>
      </c>
      <c r="F175" s="27">
        <v>0.3201</v>
      </c>
    </row>
    <row r="176" spans="1:6">
      <c r="A176" s="23">
        <v>20102011</v>
      </c>
      <c r="B176" s="24">
        <v>3148</v>
      </c>
      <c r="C176" s="25" t="s">
        <v>301</v>
      </c>
      <c r="D176" s="26" t="s">
        <v>312</v>
      </c>
      <c r="E176" s="27">
        <v>1.9800000000000002E-2</v>
      </c>
      <c r="F176" s="27">
        <v>0.4178</v>
      </c>
    </row>
    <row r="177" spans="1:6">
      <c r="A177" s="23">
        <v>20102011</v>
      </c>
      <c r="B177" s="28">
        <v>3200</v>
      </c>
      <c r="C177" s="25" t="s">
        <v>313</v>
      </c>
      <c r="D177" s="25" t="s">
        <v>314</v>
      </c>
      <c r="E177" s="27">
        <v>3.32E-2</v>
      </c>
      <c r="F177" s="27">
        <v>0.24399999999999999</v>
      </c>
    </row>
    <row r="178" spans="1:6">
      <c r="A178" s="23">
        <v>20102011</v>
      </c>
      <c r="B178" s="28">
        <v>3210</v>
      </c>
      <c r="C178" s="25" t="s">
        <v>313</v>
      </c>
      <c r="D178" s="25" t="s">
        <v>315</v>
      </c>
      <c r="E178" s="27">
        <v>4.4200000000000003E-2</v>
      </c>
      <c r="F178" s="27">
        <v>0.25750000000000001</v>
      </c>
    </row>
    <row r="179" spans="1:6">
      <c r="A179" s="23">
        <v>20102011</v>
      </c>
      <c r="B179" s="28">
        <v>3220</v>
      </c>
      <c r="C179" s="25" t="s">
        <v>313</v>
      </c>
      <c r="D179" s="25" t="s">
        <v>316</v>
      </c>
      <c r="E179" s="27">
        <v>2.98E-2</v>
      </c>
      <c r="F179" s="27">
        <v>0.30599999999999999</v>
      </c>
    </row>
    <row r="180" spans="1:6">
      <c r="A180" s="23">
        <v>20102011</v>
      </c>
      <c r="B180" s="28">
        <v>3230</v>
      </c>
      <c r="C180" s="25" t="s">
        <v>313</v>
      </c>
      <c r="D180" s="25" t="s">
        <v>317</v>
      </c>
      <c r="E180" s="27">
        <v>4.8599999999999997E-2</v>
      </c>
      <c r="F180" s="27">
        <v>0.30980000000000002</v>
      </c>
    </row>
    <row r="181" spans="1:6">
      <c r="A181" s="23">
        <v>20102011</v>
      </c>
      <c r="B181" s="29">
        <v>8001</v>
      </c>
      <c r="C181" s="25" t="s">
        <v>373</v>
      </c>
      <c r="D181" s="25" t="s">
        <v>374</v>
      </c>
      <c r="E181" s="27">
        <v>1.6199999999999999E-2</v>
      </c>
      <c r="F181" s="27">
        <v>0.1661</v>
      </c>
    </row>
    <row r="182" spans="1:6">
      <c r="A182" s="23">
        <v>20102011</v>
      </c>
      <c r="B182" s="24">
        <v>9025</v>
      </c>
      <c r="C182" s="25" t="s">
        <v>375</v>
      </c>
      <c r="D182" s="30" t="s">
        <v>318</v>
      </c>
      <c r="E182" s="27">
        <v>4.2200000000000001E-2</v>
      </c>
      <c r="F182" s="27">
        <v>0.11890000000000001</v>
      </c>
    </row>
    <row r="183" spans="1:6">
      <c r="A183" s="23">
        <v>20102011</v>
      </c>
      <c r="B183" s="24">
        <v>9030</v>
      </c>
      <c r="C183" s="25" t="s">
        <v>375</v>
      </c>
      <c r="D183" s="30" t="s">
        <v>319</v>
      </c>
      <c r="E183" s="27">
        <v>6.3899999999999998E-2</v>
      </c>
      <c r="F183" s="27">
        <v>8.8999999999999996E-2</v>
      </c>
    </row>
    <row r="184" spans="1:6">
      <c r="A184" s="23">
        <v>20102011</v>
      </c>
      <c r="B184" s="24">
        <v>9035</v>
      </c>
      <c r="C184" s="25" t="s">
        <v>375</v>
      </c>
      <c r="D184" s="30" t="s">
        <v>320</v>
      </c>
      <c r="E184" s="27">
        <v>0.105</v>
      </c>
      <c r="F184" s="27">
        <v>0.53</v>
      </c>
    </row>
    <row r="185" spans="1:6">
      <c r="A185" s="23">
        <v>20102011</v>
      </c>
      <c r="B185" s="24">
        <v>9040</v>
      </c>
      <c r="C185" s="25" t="s">
        <v>375</v>
      </c>
      <c r="D185" s="30" t="s">
        <v>321</v>
      </c>
      <c r="E185" s="27">
        <v>0.105</v>
      </c>
      <c r="F185" s="27">
        <v>0.1187</v>
      </c>
    </row>
    <row r="186" spans="1:6">
      <c r="A186" s="23">
        <v>20102011</v>
      </c>
      <c r="B186" s="24">
        <v>9045</v>
      </c>
      <c r="C186" s="25" t="s">
        <v>375</v>
      </c>
      <c r="D186" s="30" t="s">
        <v>322</v>
      </c>
      <c r="E186" s="27">
        <v>0.105</v>
      </c>
      <c r="F186" s="27">
        <v>0.2422</v>
      </c>
    </row>
    <row r="187" spans="1:6">
      <c r="A187" s="31">
        <v>20102011</v>
      </c>
      <c r="B187" s="32">
        <v>9050</v>
      </c>
      <c r="C187" s="33" t="s">
        <v>375</v>
      </c>
      <c r="D187" s="34" t="s">
        <v>323</v>
      </c>
      <c r="E187" s="35">
        <v>9.4899999999999998E-2</v>
      </c>
      <c r="F187" s="35">
        <v>6.8699999999999997E-2</v>
      </c>
    </row>
    <row r="188" spans="1:6">
      <c r="A188" s="31">
        <v>20102011</v>
      </c>
      <c r="B188" s="32">
        <v>9080</v>
      </c>
      <c r="C188" s="33" t="s">
        <v>375</v>
      </c>
      <c r="D188" s="34" t="s">
        <v>327</v>
      </c>
      <c r="E188" s="35">
        <v>2.5700000000000001E-2</v>
      </c>
      <c r="F188" s="35">
        <v>5.0500000000000003E-2</v>
      </c>
    </row>
    <row r="189" spans="1:6">
      <c r="A189" s="23">
        <v>20102011</v>
      </c>
      <c r="B189" s="24">
        <v>9050</v>
      </c>
      <c r="C189" s="25" t="s">
        <v>375</v>
      </c>
      <c r="D189" s="30" t="s">
        <v>323</v>
      </c>
      <c r="E189" s="27">
        <v>6.0299999999999999E-2</v>
      </c>
      <c r="F189" s="27">
        <v>5.96E-2</v>
      </c>
    </row>
    <row r="190" spans="1:6">
      <c r="A190" s="23">
        <v>20102011</v>
      </c>
      <c r="B190" s="24">
        <v>9055</v>
      </c>
      <c r="C190" s="25" t="s">
        <v>375</v>
      </c>
      <c r="D190" s="30" t="s">
        <v>324</v>
      </c>
      <c r="E190" s="27">
        <v>4.1399999999999999E-2</v>
      </c>
      <c r="F190" s="27">
        <v>4.9200000000000001E-2</v>
      </c>
    </row>
    <row r="191" spans="1:6">
      <c r="A191" s="23">
        <v>20102011</v>
      </c>
      <c r="B191" s="24">
        <v>9060</v>
      </c>
      <c r="C191" s="25" t="s">
        <v>375</v>
      </c>
      <c r="D191" s="30" t="s">
        <v>325</v>
      </c>
      <c r="E191" s="27">
        <v>0.105</v>
      </c>
      <c r="F191" s="27">
        <v>0.19439999999999999</v>
      </c>
    </row>
    <row r="192" spans="1:6">
      <c r="A192" s="23">
        <v>20102011</v>
      </c>
      <c r="B192" s="24">
        <v>9075</v>
      </c>
      <c r="C192" s="25" t="s">
        <v>375</v>
      </c>
      <c r="D192" s="30" t="s">
        <v>326</v>
      </c>
      <c r="E192" s="27">
        <v>0.105</v>
      </c>
      <c r="F192" s="27">
        <v>0.36930000000000002</v>
      </c>
    </row>
    <row r="193" spans="1:6">
      <c r="A193" s="23">
        <v>20102011</v>
      </c>
      <c r="B193" s="24">
        <v>9095</v>
      </c>
      <c r="C193" s="25" t="s">
        <v>375</v>
      </c>
      <c r="D193" s="26" t="s">
        <v>328</v>
      </c>
      <c r="E193" s="27">
        <v>5.4800000000000001E-2</v>
      </c>
      <c r="F193" s="27">
        <v>0.1045</v>
      </c>
    </row>
    <row r="194" spans="1:6">
      <c r="A194" s="23">
        <v>20102011</v>
      </c>
      <c r="B194" s="24">
        <v>9120</v>
      </c>
      <c r="C194" s="25" t="s">
        <v>375</v>
      </c>
      <c r="D194" s="30" t="s">
        <v>329</v>
      </c>
      <c r="E194" s="27">
        <v>0</v>
      </c>
      <c r="F194" s="27">
        <v>0</v>
      </c>
    </row>
    <row r="195" spans="1:6">
      <c r="A195" s="23">
        <v>20102011</v>
      </c>
      <c r="B195" s="24">
        <v>9125</v>
      </c>
      <c r="C195" s="25" t="s">
        <v>375</v>
      </c>
      <c r="D195" s="30" t="s">
        <v>330</v>
      </c>
      <c r="E195" s="27">
        <v>2.9499999999999998E-2</v>
      </c>
      <c r="F195" s="27">
        <v>5.1999999999999998E-2</v>
      </c>
    </row>
    <row r="196" spans="1:6">
      <c r="A196" s="23">
        <v>20102011</v>
      </c>
      <c r="B196" s="24">
        <v>9130</v>
      </c>
      <c r="C196" s="25" t="s">
        <v>375</v>
      </c>
      <c r="D196" s="30" t="s">
        <v>331</v>
      </c>
      <c r="E196" s="27">
        <v>6.6199999999999995E-2</v>
      </c>
      <c r="F196" s="27">
        <v>9.1200000000000003E-2</v>
      </c>
    </row>
    <row r="197" spans="1:6">
      <c r="A197" s="23">
        <v>20102011</v>
      </c>
      <c r="B197" s="24">
        <v>9135</v>
      </c>
      <c r="C197" s="25" t="s">
        <v>375</v>
      </c>
      <c r="D197" s="30" t="s">
        <v>332</v>
      </c>
      <c r="E197" s="27">
        <v>0.105</v>
      </c>
      <c r="F197" s="27">
        <v>0.72889999999999999</v>
      </c>
    </row>
    <row r="198" spans="1:6">
      <c r="A198" s="23">
        <v>20102011</v>
      </c>
      <c r="B198" s="24">
        <v>9140</v>
      </c>
      <c r="C198" s="25" t="s">
        <v>375</v>
      </c>
      <c r="D198" s="30" t="s">
        <v>333</v>
      </c>
      <c r="E198" s="27">
        <v>-5.4000000000000003E-3</v>
      </c>
      <c r="F198" s="27">
        <v>-7.1000000000000004E-3</v>
      </c>
    </row>
    <row r="199" spans="1:6">
      <c r="A199" s="23">
        <v>20102011</v>
      </c>
      <c r="B199" s="24">
        <v>9145</v>
      </c>
      <c r="C199" s="25" t="s">
        <v>375</v>
      </c>
      <c r="D199" s="30" t="s">
        <v>334</v>
      </c>
      <c r="E199" s="27">
        <v>-2.9999999999999997E-4</v>
      </c>
      <c r="F199" s="27">
        <v>-1.4E-3</v>
      </c>
    </row>
    <row r="200" spans="1:6">
      <c r="A200" s="23">
        <v>20102011</v>
      </c>
      <c r="B200" s="24">
        <v>9150</v>
      </c>
      <c r="C200" s="25" t="s">
        <v>375</v>
      </c>
      <c r="D200" s="30" t="s">
        <v>335</v>
      </c>
      <c r="E200" s="27">
        <v>2.0500000000000001E-2</v>
      </c>
      <c r="F200" s="27">
        <v>7.8899999999999998E-2</v>
      </c>
    </row>
    <row r="201" spans="1:6">
      <c r="A201" s="23">
        <v>20102011</v>
      </c>
      <c r="B201" s="24">
        <v>9160</v>
      </c>
      <c r="C201" s="25" t="s">
        <v>375</v>
      </c>
      <c r="D201" s="30" t="s">
        <v>336</v>
      </c>
      <c r="E201" s="27">
        <v>0.105</v>
      </c>
      <c r="F201" s="27">
        <v>0.99990000000000001</v>
      </c>
    </row>
    <row r="202" spans="1:6">
      <c r="A202" s="23">
        <v>20102011</v>
      </c>
      <c r="B202" s="24">
        <v>9165</v>
      </c>
      <c r="C202" s="25" t="s">
        <v>375</v>
      </c>
      <c r="D202" s="30" t="s">
        <v>337</v>
      </c>
      <c r="E202" s="27">
        <v>0</v>
      </c>
      <c r="F202" s="27">
        <v>0</v>
      </c>
    </row>
  </sheetData>
  <mergeCells count="1">
    <mergeCell ref="A1:A2"/>
  </mergeCells>
  <pageMargins left="0.2" right="0.2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29"/>
  <sheetViews>
    <sheetView workbookViewId="0">
      <selection activeCell="C30" sqref="C30"/>
    </sheetView>
  </sheetViews>
  <sheetFormatPr defaultRowHeight="12.75"/>
  <cols>
    <col min="4" max="4" width="46.140625" customWidth="1"/>
  </cols>
  <sheetData>
    <row r="1" spans="1:4">
      <c r="A1" s="1" t="s">
        <v>0</v>
      </c>
      <c r="D1" s="1" t="s">
        <v>11</v>
      </c>
    </row>
    <row r="2" spans="1:4">
      <c r="A2" s="1" t="s">
        <v>27</v>
      </c>
      <c r="D2" s="1" t="s">
        <v>12</v>
      </c>
    </row>
    <row r="3" spans="1:4">
      <c r="D3" s="1" t="s">
        <v>13</v>
      </c>
    </row>
    <row r="4" spans="1:4">
      <c r="D4" s="1" t="s">
        <v>20</v>
      </c>
    </row>
    <row r="5" spans="1:4">
      <c r="A5" s="1" t="s">
        <v>358</v>
      </c>
      <c r="D5" s="1" t="s">
        <v>18</v>
      </c>
    </row>
    <row r="6" spans="1:4">
      <c r="A6" s="1" t="s">
        <v>359</v>
      </c>
      <c r="D6" s="1" t="s">
        <v>16</v>
      </c>
    </row>
    <row r="7" spans="1:4">
      <c r="A7" s="1" t="s">
        <v>360</v>
      </c>
      <c r="D7" s="1" t="s">
        <v>395</v>
      </c>
    </row>
    <row r="8" spans="1:4">
      <c r="A8" s="1" t="s">
        <v>361</v>
      </c>
      <c r="D8" s="1" t="s">
        <v>396</v>
      </c>
    </row>
    <row r="9" spans="1:4">
      <c r="A9" s="1" t="s">
        <v>362</v>
      </c>
      <c r="D9" s="1" t="s">
        <v>63</v>
      </c>
    </row>
    <row r="10" spans="1:4">
      <c r="A10" s="1" t="s">
        <v>14</v>
      </c>
      <c r="D10" s="1" t="s">
        <v>62</v>
      </c>
    </row>
    <row r="11" spans="1:4">
      <c r="A11" s="1" t="s">
        <v>15</v>
      </c>
      <c r="D11" s="1" t="s">
        <v>61</v>
      </c>
    </row>
    <row r="12" spans="1:4">
      <c r="A12" s="1" t="s">
        <v>22</v>
      </c>
      <c r="D12" s="1" t="s">
        <v>60</v>
      </c>
    </row>
    <row r="13" spans="1:4">
      <c r="A13" s="1" t="s">
        <v>23</v>
      </c>
      <c r="D13" s="1" t="s">
        <v>59</v>
      </c>
    </row>
    <row r="14" spans="1:4">
      <c r="A14" s="1" t="s">
        <v>24</v>
      </c>
      <c r="D14" s="1" t="s">
        <v>58</v>
      </c>
    </row>
    <row r="15" spans="1:4">
      <c r="A15" s="1" t="s">
        <v>17</v>
      </c>
      <c r="D15" s="1" t="s">
        <v>397</v>
      </c>
    </row>
    <row r="16" spans="1:4">
      <c r="A16" s="1" t="s">
        <v>25</v>
      </c>
      <c r="D16" s="1" t="s">
        <v>398</v>
      </c>
    </row>
    <row r="17" spans="1:4">
      <c r="A17" s="1" t="s">
        <v>26</v>
      </c>
    </row>
    <row r="18" spans="1:4">
      <c r="A18" s="1" t="s">
        <v>21</v>
      </c>
    </row>
    <row r="19" spans="1:4">
      <c r="A19" s="1" t="s">
        <v>19</v>
      </c>
    </row>
    <row r="20" spans="1:4">
      <c r="A20" s="1" t="s">
        <v>65</v>
      </c>
      <c r="D20" s="151" t="s">
        <v>384</v>
      </c>
    </row>
    <row r="21" spans="1:4">
      <c r="A21" s="1" t="s">
        <v>66</v>
      </c>
      <c r="D21" t="s">
        <v>386</v>
      </c>
    </row>
    <row r="22" spans="1:4">
      <c r="A22" s="1" t="s">
        <v>67</v>
      </c>
    </row>
    <row r="23" spans="1:4">
      <c r="A23" s="1" t="s">
        <v>68</v>
      </c>
    </row>
    <row r="24" spans="1:4">
      <c r="A24" s="1" t="s">
        <v>69</v>
      </c>
    </row>
    <row r="25" spans="1:4">
      <c r="A25" s="1" t="s">
        <v>70</v>
      </c>
    </row>
    <row r="26" spans="1:4">
      <c r="A26" s="1" t="s">
        <v>71</v>
      </c>
    </row>
    <row r="27" spans="1:4">
      <c r="A27" s="1" t="s">
        <v>72</v>
      </c>
    </row>
    <row r="28" spans="1:4">
      <c r="A28" s="1" t="s">
        <v>73</v>
      </c>
    </row>
    <row r="29" spans="1:4">
      <c r="A29" s="1" t="s">
        <v>74</v>
      </c>
    </row>
  </sheetData>
  <sheetProtection password="CC76" sheet="1" objects="1" scenarios="1"/>
  <phoneticPr fontId="6" type="noConversion"/>
  <dataValidations count="11">
    <dataValidation type="list" allowBlank="1" showInputMessage="1" showErrorMessage="1" sqref="D1">
      <formula1>D1:D14</formula1>
    </dataValidation>
    <dataValidation type="list" allowBlank="1" showInputMessage="1" showErrorMessage="1" sqref="D4:D5 D15:D16">
      <formula1>D4:D15</formula1>
    </dataValidation>
    <dataValidation type="list" allowBlank="1" showInputMessage="1" showErrorMessage="1" sqref="D2:D3">
      <formula1>D2:D14</formula1>
    </dataValidation>
    <dataValidation type="list" allowBlank="1" showInputMessage="1" showErrorMessage="1" sqref="D10">
      <formula1>D9:D16</formula1>
    </dataValidation>
    <dataValidation type="list" allowBlank="1" showInputMessage="1" showErrorMessage="1" sqref="D8">
      <formula1>D8:D29</formula1>
    </dataValidation>
    <dataValidation type="list" allowBlank="1" showInputMessage="1" showErrorMessage="1" sqref="D6:D7">
      <formula1>D6:D20</formula1>
    </dataValidation>
    <dataValidation type="list" allowBlank="1" showInputMessage="1" showErrorMessage="1" sqref="D13">
      <formula1>D10:D26</formula1>
    </dataValidation>
    <dataValidation type="list" allowBlank="1" showInputMessage="1" showErrorMessage="1" sqref="D11">
      <formula1>D16:D20</formula1>
    </dataValidation>
    <dataValidation type="list" allowBlank="1" showInputMessage="1" showErrorMessage="1" sqref="D12">
      <formula1>D9:D26</formula1>
    </dataValidation>
    <dataValidation type="list" allowBlank="1" showInputMessage="1" showErrorMessage="1" sqref="D14">
      <formula1>D11:D26</formula1>
    </dataValidation>
    <dataValidation type="list" allowBlank="1" showInputMessage="1" showErrorMessage="1" sqref="D9">
      <formula1>D16:D26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1-Instructions</vt:lpstr>
      <vt:lpstr>2-Cover Page</vt:lpstr>
      <vt:lpstr>3-Budget Detail</vt:lpstr>
      <vt:lpstr>4-Equipment</vt:lpstr>
      <vt:lpstr>5-Budget Summary</vt:lpstr>
      <vt:lpstr>6- AFR Detail</vt:lpstr>
      <vt:lpstr>7-AFR Equipment Detail</vt:lpstr>
      <vt:lpstr>8-Annual Financial Report</vt:lpstr>
      <vt:lpstr>9-Error Checking</vt:lpstr>
      <vt:lpstr>10-Revisions-Comments</vt:lpstr>
      <vt:lpstr>Indirect Rates</vt:lpstr>
      <vt:lpstr>Other</vt:lpstr>
      <vt:lpstr>budget</vt:lpstr>
      <vt:lpstr>Budget_Object</vt:lpstr>
      <vt:lpstr>capitalized</vt:lpstr>
      <vt:lpstr>objects</vt:lpstr>
      <vt:lpstr>'2-Cover Page'!Print_Area</vt:lpstr>
      <vt:lpstr>'5-Budget Summary'!Print_Area</vt:lpstr>
      <vt:lpstr>'8-Annual Financial Report'!Print_Area</vt:lpstr>
      <vt:lpstr>'3-Budget Detail'!Print_Titles</vt:lpstr>
      <vt:lpstr>'4-Equipment'!Print_Titles</vt:lpstr>
      <vt:lpstr>Projects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Petrov, Martin</dc:creator>
  <cp:lastModifiedBy>Petrov, Martin</cp:lastModifiedBy>
  <cp:lastPrinted>2013-03-20T15:35:53Z</cp:lastPrinted>
  <dcterms:created xsi:type="dcterms:W3CDTF">2004-07-30T15:33:42Z</dcterms:created>
  <dcterms:modified xsi:type="dcterms:W3CDTF">2014-02-04T19:29:48Z</dcterms:modified>
</cp:coreProperties>
</file>