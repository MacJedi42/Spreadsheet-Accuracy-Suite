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4" windowWidth="22980" windowHeight="9204" activeTab="1"/>
  </bookViews>
  <sheets>
    <sheet name="Income-Expenses" sheetId="2" r:id="rId1"/>
    <sheet name="Increase" sheetId="1" r:id="rId2"/>
  </sheets>
  <definedNames>
    <definedName name="CPIRate">Increase!$G$4:$H$17</definedName>
    <definedName name="EffectiveDate">'Income-Expenses'!$D$3</definedName>
    <definedName name="_xlnm.Print_Area" localSheetId="0">'Income-Expenses'!$A$1:$F$45</definedName>
    <definedName name="_xlnm.Print_Area" localSheetId="1">Increase!$A$1:$H$51</definedName>
  </definedNames>
  <calcPr calcId="145621"/>
</workbook>
</file>

<file path=xl/calcChain.xml><?xml version="1.0" encoding="utf-8"?>
<calcChain xmlns="http://schemas.openxmlformats.org/spreadsheetml/2006/main">
  <c r="E25" i="1" l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C25" i="1" l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D37" i="1"/>
  <c r="C23" i="1" l="1"/>
  <c r="D23" i="1" s="1"/>
  <c r="E23" i="1"/>
  <c r="C22" i="1"/>
  <c r="D22" i="1" s="1"/>
  <c r="C21" i="1"/>
  <c r="D21" i="1" s="1"/>
  <c r="B50" i="1"/>
  <c r="D9" i="1" s="1"/>
  <c r="D35" i="2"/>
  <c r="C35" i="2"/>
  <c r="F30" i="2"/>
  <c r="E30" i="2"/>
  <c r="F14" i="2"/>
  <c r="D37" i="2" s="1"/>
  <c r="E14" i="2"/>
  <c r="C37" i="2" s="1"/>
  <c r="E39" i="2" s="1"/>
  <c r="F6" i="2"/>
  <c r="D32" i="2" s="1"/>
  <c r="E6" i="2"/>
  <c r="E17" i="2" s="1"/>
  <c r="F39" i="2" l="1"/>
  <c r="F44" i="2" s="1"/>
  <c r="B51" i="1"/>
  <c r="D10" i="1" s="1"/>
  <c r="E44" i="2"/>
  <c r="F17" i="2"/>
  <c r="C32" i="2"/>
  <c r="F45" i="2" l="1"/>
  <c r="D5" i="1" l="1"/>
  <c r="D7" i="1" s="1"/>
  <c r="D11" i="1" s="1"/>
  <c r="D12" i="1" l="1"/>
  <c r="E16" i="1" s="1"/>
  <c r="E19" i="1" l="1"/>
  <c r="E18" i="1"/>
  <c r="C17" i="1"/>
  <c r="D17" i="1" s="1"/>
  <c r="E21" i="1" s="1"/>
  <c r="C19" i="1"/>
  <c r="D19" i="1" s="1"/>
  <c r="C18" i="1"/>
  <c r="D18" i="1" s="1"/>
  <c r="E22" i="1" s="1"/>
  <c r="C20" i="1"/>
  <c r="D20" i="1" s="1"/>
  <c r="C16" i="1"/>
  <c r="D16" i="1" s="1"/>
  <c r="E20" i="1"/>
  <c r="E17" i="1"/>
  <c r="C24" i="1" l="1"/>
  <c r="C50" i="1" s="1"/>
  <c r="E24" i="1"/>
  <c r="D24" i="1" l="1"/>
</calcChain>
</file>

<file path=xl/comments1.xml><?xml version="1.0" encoding="utf-8"?>
<comments xmlns="http://schemas.openxmlformats.org/spreadsheetml/2006/main">
  <authors>
    <author>Cohen, Barbara</author>
  </authors>
  <commentList>
    <comment ref="B51" authorId="0">
      <text>
        <r>
          <rPr>
            <sz val="9"/>
            <color indexed="81"/>
            <rFont val="Tahoma"/>
            <family val="2"/>
          </rPr>
          <t xml:space="preserve">This figure should equal the gross annual rent from the most recent year (listed in cell F7 on 
Income-Expense page of spreadsheet)
</t>
        </r>
      </text>
    </comment>
  </commentList>
</comments>
</file>

<file path=xl/sharedStrings.xml><?xml version="1.0" encoding="utf-8"?>
<sst xmlns="http://schemas.openxmlformats.org/spreadsheetml/2006/main" count="63" uniqueCount="58">
  <si>
    <t>CALCULATION OF IHC RENT INCREASE</t>
  </si>
  <si>
    <t>(Increased Housing Costs, p.2)</t>
  </si>
  <si>
    <t xml:space="preserve">Calculation of Increase as a Percentage </t>
  </si>
  <si>
    <t>CPI Rate beginning:</t>
  </si>
  <si>
    <t>RBR, Apdx A, §10.1.1</t>
  </si>
  <si>
    <t>(Income and Expenses, line 29)</t>
  </si>
  <si>
    <t>Annual expenses increased by</t>
  </si>
  <si>
    <t>Average monthly increased expenses</t>
  </si>
  <si>
    <t>Monthly gross operating income</t>
  </si>
  <si>
    <t>3a</t>
  </si>
  <si>
    <t>(line 2 divided by line 3)</t>
  </si>
  <si>
    <t>Percent increase</t>
  </si>
  <si>
    <t>Unit</t>
  </si>
  <si>
    <t>$ Increase</t>
  </si>
  <si>
    <t>New Rent</t>
  </si>
  <si>
    <t>INCREASED HOUSING SERVICE COSTS, p.1  Income and Expenses.</t>
  </si>
  <si>
    <t>Effective Date of Increase:</t>
  </si>
  <si>
    <t>INCOME</t>
  </si>
  <si>
    <t>Rents</t>
  </si>
  <si>
    <t>Laundry</t>
  </si>
  <si>
    <t>Parking</t>
  </si>
  <si>
    <t>Other, specify:</t>
  </si>
  <si>
    <t>(sum of lines 2-8)</t>
  </si>
  <si>
    <t>Gross Operating Income</t>
  </si>
  <si>
    <t xml:space="preserve"> EXPENSES</t>
  </si>
  <si>
    <t>Notes</t>
  </si>
  <si>
    <t xml:space="preserve">Business License Tax </t>
  </si>
  <si>
    <t>Electricity/Gas</t>
  </si>
  <si>
    <t>Furnishings</t>
  </si>
  <si>
    <t>Insurance</t>
  </si>
  <si>
    <t xml:space="preserve">Laundry </t>
  </si>
  <si>
    <t>Parking expense</t>
  </si>
  <si>
    <t>Refuse removal</t>
  </si>
  <si>
    <t>Replacement</t>
  </si>
  <si>
    <t>Security</t>
  </si>
  <si>
    <t>Taxes</t>
  </si>
  <si>
    <t>Water/Sewer</t>
  </si>
  <si>
    <t>Other: (specify)</t>
  </si>
  <si>
    <t>AND EITHER:</t>
  </si>
  <si>
    <t>Maintenance/Repairs</t>
  </si>
  <si>
    <t>Management expenses/accounting/legal</t>
  </si>
  <si>
    <t>OR:</t>
  </si>
  <si>
    <t xml:space="preserve"> 8% of gross op. income</t>
  </si>
  <si>
    <t>Other expense, specify:</t>
  </si>
  <si>
    <t>Total Operating Expenses</t>
  </si>
  <si>
    <t>Difference in expenses (YR2-YR1)</t>
  </si>
  <si>
    <t>SUBTOTAL</t>
  </si>
  <si>
    <t>(line 1 divided by 12)</t>
  </si>
  <si>
    <t>Annual</t>
  </si>
  <si>
    <t>Monthly</t>
  </si>
  <si>
    <t>Gross rent verification:</t>
  </si>
  <si>
    <t>Gross Operating Expenses</t>
  </si>
  <si>
    <t>(sum of lines 9-20)</t>
  </si>
  <si>
    <t>The greater of either line 24 or line 25</t>
  </si>
  <si>
    <t>Is Percent increase greater than CPI?</t>
  </si>
  <si>
    <t>(total of old rents below)</t>
  </si>
  <si>
    <t>Allocation of Increase: CPI or IHC?</t>
  </si>
  <si>
    <t xml:space="preserve"> Rent from year 2 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</si>
</sst>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[$-409]d\-mmm\-yyyy;@"/>
    <numFmt numFmtId="165" formatCode="0.0%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darkGrid"/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166" fontId="2" fillId="0" borderId="0" xfId="0" applyNumberFormat="1" applyFont="1" applyBorder="1" applyProtection="1"/>
    <xf numFmtId="0" fontId="3" fillId="0" borderId="0" xfId="0" applyFont="1" applyAlignment="1" applyProtection="1">
      <alignment horizontal="left"/>
    </xf>
    <xf numFmtId="0" fontId="4" fillId="0" borderId="0" xfId="0" applyFont="1" applyProtection="1"/>
    <xf numFmtId="0" fontId="4" fillId="0" borderId="0" xfId="0" applyFont="1" applyBorder="1" applyAlignment="1" applyProtection="1">
      <alignment horizontal="right"/>
    </xf>
    <xf numFmtId="0" fontId="4" fillId="0" borderId="0" xfId="0" applyFont="1" applyBorder="1" applyAlignment="1" applyProtection="1">
      <alignment horizontal="right"/>
      <protection hidden="1"/>
    </xf>
    <xf numFmtId="14" fontId="4" fillId="2" borderId="17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Border="1" applyProtection="1"/>
    <xf numFmtId="0" fontId="4" fillId="0" borderId="0" xfId="0" applyFont="1" applyBorder="1" applyProtection="1">
      <protection hidden="1"/>
    </xf>
    <xf numFmtId="0" fontId="5" fillId="0" borderId="0" xfId="0" applyFont="1" applyBorder="1" applyAlignment="1" applyProtection="1">
      <alignment horizontal="center"/>
    </xf>
    <xf numFmtId="0" fontId="4" fillId="0" borderId="17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5" fillId="0" borderId="18" xfId="0" applyFont="1" applyBorder="1" applyAlignment="1" applyProtection="1">
      <alignment horizontal="center"/>
    </xf>
    <xf numFmtId="0" fontId="4" fillId="0" borderId="17" xfId="0" applyFont="1" applyBorder="1" applyProtection="1"/>
    <xf numFmtId="44" fontId="4" fillId="0" borderId="17" xfId="0" applyNumberFormat="1" applyFont="1" applyFill="1" applyBorder="1" applyAlignment="1" applyProtection="1">
      <alignment wrapText="1"/>
      <protection hidden="1"/>
    </xf>
    <xf numFmtId="44" fontId="4" fillId="3" borderId="17" xfId="0" applyNumberFormat="1" applyFont="1" applyFill="1" applyBorder="1" applyProtection="1">
      <protection locked="0"/>
    </xf>
    <xf numFmtId="7" fontId="4" fillId="3" borderId="17" xfId="0" applyNumberFormat="1" applyFont="1" applyFill="1" applyBorder="1" applyProtection="1">
      <protection locked="0"/>
    </xf>
    <xf numFmtId="0" fontId="4" fillId="0" borderId="16" xfId="0" applyFont="1" applyBorder="1" applyProtection="1"/>
    <xf numFmtId="0" fontId="4" fillId="0" borderId="4" xfId="0" applyFont="1" applyBorder="1" applyProtection="1">
      <protection hidden="1"/>
    </xf>
    <xf numFmtId="0" fontId="5" fillId="0" borderId="4" xfId="0" applyFont="1" applyBorder="1" applyAlignment="1" applyProtection="1">
      <alignment horizontal="right"/>
    </xf>
    <xf numFmtId="0" fontId="5" fillId="0" borderId="0" xfId="0" applyFont="1" applyAlignment="1" applyProtection="1">
      <alignment horizontal="center"/>
    </xf>
    <xf numFmtId="0" fontId="4" fillId="0" borderId="17" xfId="0" applyFont="1" applyBorder="1" applyProtection="1">
      <protection hidden="1"/>
    </xf>
    <xf numFmtId="0" fontId="5" fillId="0" borderId="17" xfId="0" applyFont="1" applyBorder="1" applyAlignment="1" applyProtection="1">
      <alignment horizontal="center"/>
    </xf>
    <xf numFmtId="7" fontId="4" fillId="0" borderId="0" xfId="0" applyNumberFormat="1" applyFont="1" applyFill="1" applyBorder="1" applyProtection="1"/>
    <xf numFmtId="7" fontId="4" fillId="0" borderId="17" xfId="0" applyNumberFormat="1" applyFont="1" applyFill="1" applyBorder="1" applyProtection="1"/>
    <xf numFmtId="0" fontId="4" fillId="0" borderId="17" xfId="0" applyFont="1" applyBorder="1" applyAlignment="1" applyProtection="1">
      <alignment horizontal="left"/>
    </xf>
    <xf numFmtId="0" fontId="4" fillId="0" borderId="18" xfId="0" applyFont="1" applyBorder="1" applyAlignment="1" applyProtection="1">
      <alignment horizontal="right"/>
    </xf>
    <xf numFmtId="0" fontId="5" fillId="0" borderId="17" xfId="0" applyFont="1" applyBorder="1" applyAlignment="1" applyProtection="1">
      <alignment horizontal="right"/>
    </xf>
    <xf numFmtId="7" fontId="4" fillId="0" borderId="17" xfId="0" applyNumberFormat="1" applyFont="1" applyBorder="1" applyAlignment="1" applyProtection="1">
      <alignment horizontal="right"/>
    </xf>
    <xf numFmtId="0" fontId="4" fillId="0" borderId="18" xfId="0" applyFont="1" applyBorder="1" applyProtection="1"/>
    <xf numFmtId="44" fontId="4" fillId="0" borderId="17" xfId="0" applyNumberFormat="1" applyFont="1" applyFill="1" applyBorder="1" applyAlignment="1" applyProtection="1">
      <alignment horizontal="right"/>
    </xf>
    <xf numFmtId="166" fontId="4" fillId="4" borderId="17" xfId="0" applyNumberFormat="1" applyFont="1" applyFill="1" applyBorder="1" applyProtection="1"/>
    <xf numFmtId="166" fontId="4" fillId="0" borderId="17" xfId="0" applyNumberFormat="1" applyFont="1" applyBorder="1" applyProtection="1"/>
    <xf numFmtId="0" fontId="4" fillId="0" borderId="1" xfId="0" applyFont="1" applyFill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1" fillId="0" borderId="0" xfId="0" applyFont="1"/>
    <xf numFmtId="0" fontId="7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0" fontId="6" fillId="0" borderId="17" xfId="0" applyFont="1" applyBorder="1" applyAlignment="1" applyProtection="1">
      <alignment horizontal="center"/>
    </xf>
    <xf numFmtId="0" fontId="6" fillId="0" borderId="0" xfId="0" applyFont="1" applyBorder="1" applyAlignment="1" applyProtection="1">
      <alignment horizontal="center"/>
    </xf>
    <xf numFmtId="0" fontId="2" fillId="0" borderId="0" xfId="0" applyFont="1" applyProtection="1">
      <protection hidden="1"/>
    </xf>
    <xf numFmtId="0" fontId="2" fillId="0" borderId="0" xfId="0" applyFont="1" applyProtection="1"/>
    <xf numFmtId="0" fontId="2" fillId="0" borderId="0" xfId="0" applyFont="1"/>
    <xf numFmtId="15" fontId="2" fillId="0" borderId="0" xfId="0" applyNumberFormat="1" applyFont="1" applyProtection="1"/>
    <xf numFmtId="0" fontId="2" fillId="0" borderId="0" xfId="0" applyFont="1" applyBorder="1" applyProtection="1"/>
    <xf numFmtId="0" fontId="2" fillId="0" borderId="0" xfId="0" applyFont="1" applyFill="1" applyBorder="1" applyProtection="1"/>
    <xf numFmtId="0" fontId="4" fillId="0" borderId="17" xfId="0" applyFont="1" applyBorder="1" applyAlignment="1" applyProtection="1">
      <alignment wrapText="1"/>
    </xf>
    <xf numFmtId="44" fontId="4" fillId="0" borderId="17" xfId="0" applyNumberFormat="1" applyFont="1" applyFill="1" applyBorder="1" applyProtection="1"/>
    <xf numFmtId="0" fontId="4" fillId="0" borderId="0" xfId="0" applyFont="1" applyBorder="1" applyAlignment="1" applyProtection="1">
      <alignment wrapText="1"/>
    </xf>
    <xf numFmtId="44" fontId="4" fillId="0" borderId="0" xfId="0" applyNumberFormat="1" applyFont="1" applyFill="1" applyBorder="1" applyProtection="1"/>
    <xf numFmtId="166" fontId="4" fillId="0" borderId="0" xfId="0" applyNumberFormat="1" applyFont="1" applyBorder="1" applyProtection="1"/>
    <xf numFmtId="0" fontId="4" fillId="0" borderId="0" xfId="0" applyFont="1" applyFill="1" applyBorder="1" applyAlignment="1" applyProtection="1">
      <alignment horizontal="center"/>
    </xf>
    <xf numFmtId="0" fontId="4" fillId="0" borderId="4" xfId="0" applyFont="1" applyBorder="1" applyProtection="1"/>
    <xf numFmtId="44" fontId="4" fillId="0" borderId="19" xfId="0" applyNumberFormat="1" applyFont="1" applyFill="1" applyBorder="1" applyProtection="1"/>
    <xf numFmtId="166" fontId="4" fillId="0" borderId="18" xfId="0" applyNumberFormat="1" applyFont="1" applyBorder="1" applyProtection="1"/>
    <xf numFmtId="0" fontId="6" fillId="0" borderId="19" xfId="0" applyFont="1" applyBorder="1" applyAlignment="1" applyProtection="1">
      <alignment horizontal="center"/>
    </xf>
    <xf numFmtId="44" fontId="4" fillId="0" borderId="21" xfId="0" applyNumberFormat="1" applyFont="1" applyFill="1" applyBorder="1" applyProtection="1"/>
    <xf numFmtId="7" fontId="4" fillId="0" borderId="3" xfId="0" applyNumberFormat="1" applyFont="1" applyBorder="1" applyProtection="1"/>
    <xf numFmtId="166" fontId="4" fillId="0" borderId="1" xfId="0" applyNumberFormat="1" applyFont="1" applyBorder="1" applyProtection="1"/>
    <xf numFmtId="10" fontId="4" fillId="0" borderId="1" xfId="0" applyNumberFormat="1" applyFont="1" applyBorder="1" applyProtection="1"/>
    <xf numFmtId="0" fontId="2" fillId="2" borderId="9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10" fontId="4" fillId="0" borderId="20" xfId="0" applyNumberFormat="1" applyFont="1" applyBorder="1" applyAlignment="1" applyProtection="1">
      <alignment horizontal="center" vertical="center"/>
    </xf>
    <xf numFmtId="166" fontId="2" fillId="2" borderId="0" xfId="0" applyNumberFormat="1" applyFont="1" applyFill="1" applyBorder="1" applyProtection="1">
      <protection locked="0"/>
    </xf>
    <xf numFmtId="166" fontId="2" fillId="0" borderId="10" xfId="0" applyNumberFormat="1" applyFont="1" applyBorder="1" applyProtection="1"/>
    <xf numFmtId="166" fontId="2" fillId="2" borderId="12" xfId="0" applyNumberFormat="1" applyFont="1" applyFill="1" applyBorder="1" applyProtection="1">
      <protection locked="0"/>
    </xf>
    <xf numFmtId="166" fontId="2" fillId="0" borderId="12" xfId="0" applyNumberFormat="1" applyFont="1" applyBorder="1" applyProtection="1"/>
    <xf numFmtId="166" fontId="2" fillId="0" borderId="13" xfId="0" applyNumberFormat="1" applyFont="1" applyBorder="1" applyProtection="1"/>
    <xf numFmtId="0" fontId="4" fillId="5" borderId="14" xfId="0" applyFont="1" applyFill="1" applyBorder="1" applyProtection="1">
      <protection locked="0"/>
    </xf>
    <xf numFmtId="0" fontId="2" fillId="5" borderId="3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2" fillId="5" borderId="5" xfId="0" applyFont="1" applyFill="1" applyBorder="1" applyProtection="1">
      <protection locked="0"/>
    </xf>
    <xf numFmtId="0" fontId="3" fillId="0" borderId="0" xfId="0" applyFont="1" applyBorder="1" applyProtection="1">
      <protection locked="0"/>
    </xf>
    <xf numFmtId="0" fontId="4" fillId="0" borderId="0" xfId="0" applyFont="1" applyBorder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Border="1" applyAlignment="1" applyProtection="1">
      <alignment vertical="top"/>
      <protection locked="0"/>
    </xf>
    <xf numFmtId="0" fontId="3" fillId="0" borderId="1" xfId="0" applyFont="1" applyBorder="1" applyProtection="1">
      <protection locked="0"/>
    </xf>
    <xf numFmtId="0" fontId="5" fillId="0" borderId="14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6" xfId="0" applyFont="1" applyBorder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4" fillId="0" borderId="5" xfId="0" applyFont="1" applyBorder="1" applyProtection="1">
      <protection locked="0"/>
    </xf>
    <xf numFmtId="0" fontId="2" fillId="0" borderId="0" xfId="0" applyFont="1" applyBorder="1" applyProtection="1">
      <protection locked="0"/>
    </xf>
    <xf numFmtId="164" fontId="4" fillId="5" borderId="15" xfId="0" applyNumberFormat="1" applyFont="1" applyFill="1" applyBorder="1" applyAlignment="1" applyProtection="1">
      <alignment horizontal="right"/>
      <protection locked="0"/>
    </xf>
    <xf numFmtId="165" fontId="4" fillId="5" borderId="1" xfId="0" applyNumberFormat="1" applyFont="1" applyFill="1" applyBorder="1" applyAlignment="1" applyProtection="1">
      <alignment horizontal="right"/>
      <protection locked="0"/>
    </xf>
    <xf numFmtId="0" fontId="4" fillId="0" borderId="14" xfId="0" applyFont="1" applyBorder="1" applyAlignment="1" applyProtection="1">
      <alignment horizontal="right"/>
      <protection locked="0"/>
    </xf>
    <xf numFmtId="0" fontId="4" fillId="0" borderId="2" xfId="0" applyFont="1" applyBorder="1" applyAlignment="1" applyProtection="1">
      <alignment horizontal="right"/>
      <protection locked="0"/>
    </xf>
    <xf numFmtId="0" fontId="4" fillId="0" borderId="15" xfId="0" applyFont="1" applyBorder="1" applyProtection="1">
      <protection locked="0"/>
    </xf>
    <xf numFmtId="0" fontId="4" fillId="0" borderId="0" xfId="0" applyFont="1" applyBorder="1" applyAlignment="1" applyProtection="1">
      <alignment horizontal="right"/>
      <protection locked="0"/>
    </xf>
    <xf numFmtId="44" fontId="4" fillId="0" borderId="1" xfId="0" applyNumberFormat="1" applyFont="1" applyBorder="1" applyProtection="1">
      <protection locked="0"/>
    </xf>
    <xf numFmtId="0" fontId="4" fillId="0" borderId="15" xfId="0" applyFont="1" applyBorder="1" applyAlignment="1" applyProtection="1">
      <alignment horizontal="right"/>
      <protection locked="0"/>
    </xf>
    <xf numFmtId="164" fontId="4" fillId="5" borderId="15" xfId="0" applyNumberFormat="1" applyFont="1" applyFill="1" applyBorder="1" applyProtection="1">
      <protection locked="0"/>
    </xf>
    <xf numFmtId="165" fontId="4" fillId="5" borderId="1" xfId="0" applyNumberFormat="1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right"/>
      <protection locked="0"/>
    </xf>
    <xf numFmtId="0" fontId="5" fillId="0" borderId="4" xfId="0" applyFont="1" applyBorder="1" applyAlignment="1" applyProtection="1">
      <alignment horizontal="right"/>
      <protection locked="0"/>
    </xf>
    <xf numFmtId="0" fontId="5" fillId="0" borderId="0" xfId="0" applyFont="1" applyBorder="1" applyAlignment="1" applyProtection="1">
      <alignment horizontal="right" wrapText="1"/>
      <protection locked="0"/>
    </xf>
    <xf numFmtId="0" fontId="2" fillId="0" borderId="16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2" fillId="0" borderId="8" xfId="0" applyFont="1" applyBorder="1" applyProtection="1"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164" fontId="4" fillId="5" borderId="16" xfId="0" applyNumberFormat="1" applyFont="1" applyFill="1" applyBorder="1" applyProtection="1">
      <protection locked="0"/>
    </xf>
    <xf numFmtId="166" fontId="2" fillId="0" borderId="0" xfId="0" applyNumberFormat="1" applyFont="1" applyProtection="1">
      <protection locked="0"/>
    </xf>
    <xf numFmtId="166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opLeftCell="A25" workbookViewId="0">
      <selection activeCell="D15" sqref="D15"/>
    </sheetView>
  </sheetViews>
  <sheetFormatPr defaultRowHeight="15.6" x14ac:dyDescent="0.3"/>
  <cols>
    <col min="1" max="1" width="5.88671875" style="35" customWidth="1"/>
    <col min="2" max="2" width="74.109375" style="42" bestFit="1" customWidth="1"/>
    <col min="3" max="3" width="11.44140625" style="42" customWidth="1"/>
    <col min="4" max="4" width="28.77734375" style="42" customWidth="1"/>
    <col min="5" max="5" width="12.88671875" style="42" bestFit="1" customWidth="1"/>
    <col min="6" max="6" width="16.44140625" style="42" customWidth="1"/>
    <col min="7" max="16384" width="8.88671875" style="42"/>
  </cols>
  <sheetData>
    <row r="1" spans="1:6" x14ac:dyDescent="0.3">
      <c r="A1" s="34"/>
      <c r="B1" s="2" t="s">
        <v>15</v>
      </c>
      <c r="C1" s="40"/>
      <c r="D1" s="3"/>
      <c r="E1" s="41"/>
      <c r="F1" s="41"/>
    </row>
    <row r="2" spans="1:6" x14ac:dyDescent="0.3">
      <c r="A2" s="36"/>
      <c r="B2" s="41"/>
      <c r="C2" s="40"/>
      <c r="D2" s="3"/>
      <c r="E2" s="41"/>
      <c r="F2" s="41"/>
    </row>
    <row r="3" spans="1:6" x14ac:dyDescent="0.3">
      <c r="A3" s="36"/>
      <c r="B3" s="4" t="s">
        <v>16</v>
      </c>
      <c r="C3" s="5"/>
      <c r="D3" s="6"/>
      <c r="E3" s="41"/>
      <c r="F3" s="43"/>
    </row>
    <row r="4" spans="1:6" x14ac:dyDescent="0.3">
      <c r="A4" s="36"/>
      <c r="B4" s="4"/>
      <c r="C4" s="5"/>
      <c r="D4" s="41"/>
      <c r="E4" s="41"/>
      <c r="F4" s="43"/>
    </row>
    <row r="5" spans="1:6" x14ac:dyDescent="0.3">
      <c r="A5" s="37"/>
      <c r="B5" s="7"/>
      <c r="C5" s="8"/>
      <c r="D5" s="9" t="s">
        <v>17</v>
      </c>
      <c r="E5" s="7"/>
      <c r="F5" s="44"/>
    </row>
    <row r="6" spans="1:6" x14ac:dyDescent="0.3">
      <c r="B6" s="7"/>
      <c r="C6" s="8"/>
      <c r="D6" s="10" t="s">
        <v>25</v>
      </c>
      <c r="E6" s="11" t="e">
        <f>IF(ISBLANK(EffectiveDate),NA(),YEAR(EffectiveDate)-2)</f>
        <v>#N/A</v>
      </c>
      <c r="F6" s="12" t="e">
        <f>IF(ISBLANK(EffectiveDate),NA(),YEAR(EffectiveDate)-1)</f>
        <v>#N/A</v>
      </c>
    </row>
    <row r="7" spans="1:6" x14ac:dyDescent="0.3">
      <c r="A7" s="38">
        <v>1</v>
      </c>
      <c r="B7" s="13" t="s">
        <v>18</v>
      </c>
      <c r="C7" s="14"/>
      <c r="D7" s="15"/>
      <c r="E7" s="16"/>
      <c r="F7" s="16"/>
    </row>
    <row r="8" spans="1:6" x14ac:dyDescent="0.3">
      <c r="A8" s="38">
        <v>2</v>
      </c>
      <c r="B8" s="13" t="s">
        <v>19</v>
      </c>
      <c r="C8" s="14"/>
      <c r="D8" s="15"/>
      <c r="E8" s="16"/>
      <c r="F8" s="16"/>
    </row>
    <row r="9" spans="1:6" x14ac:dyDescent="0.3">
      <c r="A9" s="38">
        <v>3</v>
      </c>
      <c r="B9" s="13" t="s">
        <v>20</v>
      </c>
      <c r="C9" s="14"/>
      <c r="D9" s="15"/>
      <c r="E9" s="16"/>
      <c r="F9" s="16"/>
    </row>
    <row r="10" spans="1:6" x14ac:dyDescent="0.3">
      <c r="A10" s="38">
        <v>4</v>
      </c>
      <c r="B10" s="13" t="s">
        <v>21</v>
      </c>
      <c r="C10" s="14"/>
      <c r="D10" s="15"/>
      <c r="E10" s="16"/>
      <c r="F10" s="16"/>
    </row>
    <row r="11" spans="1:6" x14ac:dyDescent="0.3">
      <c r="A11" s="38">
        <v>5</v>
      </c>
      <c r="B11" s="13" t="s">
        <v>21</v>
      </c>
      <c r="C11" s="14"/>
      <c r="D11" s="15"/>
      <c r="E11" s="16"/>
      <c r="F11" s="16"/>
    </row>
    <row r="12" spans="1:6" x14ac:dyDescent="0.3">
      <c r="A12" s="38">
        <v>6</v>
      </c>
      <c r="B12" s="13" t="s">
        <v>21</v>
      </c>
      <c r="C12" s="14"/>
      <c r="D12" s="15"/>
      <c r="E12" s="16"/>
      <c r="F12" s="16"/>
    </row>
    <row r="13" spans="1:6" x14ac:dyDescent="0.3">
      <c r="A13" s="38">
        <v>7</v>
      </c>
      <c r="B13" s="13" t="s">
        <v>21</v>
      </c>
      <c r="C13" s="14"/>
      <c r="D13" s="15"/>
      <c r="E13" s="16"/>
      <c r="F13" s="16"/>
    </row>
    <row r="14" spans="1:6" x14ac:dyDescent="0.3">
      <c r="A14" s="38">
        <v>8</v>
      </c>
      <c r="B14" s="17" t="s">
        <v>22</v>
      </c>
      <c r="C14" s="18"/>
      <c r="D14" s="19" t="s">
        <v>23</v>
      </c>
      <c r="E14" s="32">
        <f>SUM(E7:E13)</f>
        <v>0</v>
      </c>
      <c r="F14" s="32">
        <f>SUM(F7:F13)</f>
        <v>0</v>
      </c>
    </row>
    <row r="15" spans="1:6" x14ac:dyDescent="0.3">
      <c r="A15" s="39"/>
      <c r="B15" s="41"/>
      <c r="C15" s="40"/>
      <c r="D15" s="41"/>
      <c r="E15" s="3"/>
      <c r="F15" s="3"/>
    </row>
    <row r="16" spans="1:6" x14ac:dyDescent="0.3">
      <c r="A16" s="39"/>
      <c r="B16" s="7"/>
      <c r="C16" s="8"/>
      <c r="D16" s="20" t="s">
        <v>24</v>
      </c>
      <c r="E16" s="7"/>
      <c r="F16" s="7"/>
    </row>
    <row r="17" spans="1:6" x14ac:dyDescent="0.3">
      <c r="B17" s="7"/>
      <c r="C17" s="8"/>
      <c r="D17" s="10" t="s">
        <v>25</v>
      </c>
      <c r="E17" s="11" t="e">
        <f>E6</f>
        <v>#N/A</v>
      </c>
      <c r="F17" s="12" t="e">
        <f>F6</f>
        <v>#N/A</v>
      </c>
    </row>
    <row r="18" spans="1:6" x14ac:dyDescent="0.3">
      <c r="A18" s="38">
        <v>9</v>
      </c>
      <c r="B18" s="13" t="s">
        <v>26</v>
      </c>
      <c r="C18" s="14"/>
      <c r="D18" s="15"/>
      <c r="E18" s="16"/>
      <c r="F18" s="16"/>
    </row>
    <row r="19" spans="1:6" x14ac:dyDescent="0.3">
      <c r="A19" s="38">
        <v>10</v>
      </c>
      <c r="B19" s="13" t="s">
        <v>27</v>
      </c>
      <c r="C19" s="21"/>
      <c r="D19" s="15"/>
      <c r="E19" s="16"/>
      <c r="F19" s="16"/>
    </row>
    <row r="20" spans="1:6" x14ac:dyDescent="0.3">
      <c r="A20" s="38">
        <v>11</v>
      </c>
      <c r="B20" s="13" t="s">
        <v>28</v>
      </c>
      <c r="C20" s="21"/>
      <c r="D20" s="15"/>
      <c r="E20" s="16"/>
      <c r="F20" s="16"/>
    </row>
    <row r="21" spans="1:6" x14ac:dyDescent="0.3">
      <c r="A21" s="38">
        <v>12</v>
      </c>
      <c r="B21" s="13" t="s">
        <v>29</v>
      </c>
      <c r="C21" s="21"/>
      <c r="D21" s="15"/>
      <c r="E21" s="16"/>
      <c r="F21" s="16"/>
    </row>
    <row r="22" spans="1:6" x14ac:dyDescent="0.3">
      <c r="A22" s="38">
        <v>13</v>
      </c>
      <c r="B22" s="13" t="s">
        <v>30</v>
      </c>
      <c r="C22" s="21"/>
      <c r="D22" s="15"/>
      <c r="E22" s="16"/>
      <c r="F22" s="16"/>
    </row>
    <row r="23" spans="1:6" x14ac:dyDescent="0.3">
      <c r="A23" s="38">
        <v>14</v>
      </c>
      <c r="B23" s="13" t="s">
        <v>31</v>
      </c>
      <c r="C23" s="21"/>
      <c r="D23" s="15"/>
      <c r="E23" s="16"/>
      <c r="F23" s="16"/>
    </row>
    <row r="24" spans="1:6" x14ac:dyDescent="0.3">
      <c r="A24" s="38">
        <v>15</v>
      </c>
      <c r="B24" s="13" t="s">
        <v>32</v>
      </c>
      <c r="C24" s="21"/>
      <c r="D24" s="15"/>
      <c r="E24" s="16"/>
      <c r="F24" s="16"/>
    </row>
    <row r="25" spans="1:6" x14ac:dyDescent="0.3">
      <c r="A25" s="38">
        <v>16</v>
      </c>
      <c r="B25" s="13" t="s">
        <v>33</v>
      </c>
      <c r="C25" s="21"/>
      <c r="D25" s="15"/>
      <c r="E25" s="16"/>
      <c r="F25" s="16"/>
    </row>
    <row r="26" spans="1:6" x14ac:dyDescent="0.3">
      <c r="A26" s="38">
        <v>17</v>
      </c>
      <c r="B26" s="13" t="s">
        <v>34</v>
      </c>
      <c r="C26" s="21"/>
      <c r="D26" s="15"/>
      <c r="E26" s="16"/>
      <c r="F26" s="16"/>
    </row>
    <row r="27" spans="1:6" x14ac:dyDescent="0.3">
      <c r="A27" s="38">
        <v>18</v>
      </c>
      <c r="B27" s="13" t="s">
        <v>35</v>
      </c>
      <c r="C27" s="21"/>
      <c r="D27" s="15"/>
      <c r="E27" s="16"/>
      <c r="F27" s="16"/>
    </row>
    <row r="28" spans="1:6" x14ac:dyDescent="0.3">
      <c r="A28" s="38">
        <v>19</v>
      </c>
      <c r="B28" s="13" t="s">
        <v>36</v>
      </c>
      <c r="C28" s="21"/>
      <c r="D28" s="15"/>
      <c r="E28" s="16"/>
      <c r="F28" s="16"/>
    </row>
    <row r="29" spans="1:6" x14ac:dyDescent="0.3">
      <c r="A29" s="38">
        <v>20</v>
      </c>
      <c r="B29" s="13" t="s">
        <v>37</v>
      </c>
      <c r="C29" s="21"/>
      <c r="D29" s="15"/>
      <c r="E29" s="16"/>
      <c r="F29" s="16"/>
    </row>
    <row r="30" spans="1:6" x14ac:dyDescent="0.3">
      <c r="A30" s="38">
        <v>21</v>
      </c>
      <c r="B30" s="17" t="s">
        <v>52</v>
      </c>
      <c r="C30" s="18"/>
      <c r="D30" s="19" t="s">
        <v>51</v>
      </c>
      <c r="E30" s="32">
        <f>SUM(E18:E29)</f>
        <v>0</v>
      </c>
      <c r="F30" s="32">
        <f>SUM(F18:F29)</f>
        <v>0</v>
      </c>
    </row>
    <row r="31" spans="1:6" x14ac:dyDescent="0.3">
      <c r="A31" s="39"/>
      <c r="B31" s="48"/>
      <c r="C31" s="8"/>
      <c r="D31" s="8"/>
      <c r="E31" s="1"/>
      <c r="F31" s="1"/>
    </row>
    <row r="32" spans="1:6" x14ac:dyDescent="0.3">
      <c r="A32" s="39"/>
      <c r="B32" s="33" t="s">
        <v>38</v>
      </c>
      <c r="C32" s="22" t="e">
        <f>E6</f>
        <v>#N/A</v>
      </c>
      <c r="D32" s="22" t="e">
        <f>F6</f>
        <v>#N/A</v>
      </c>
      <c r="E32" s="41"/>
      <c r="F32" s="41"/>
    </row>
    <row r="33" spans="1:6" x14ac:dyDescent="0.3">
      <c r="A33" s="38">
        <v>22</v>
      </c>
      <c r="B33" s="13" t="s">
        <v>39</v>
      </c>
      <c r="C33" s="16"/>
      <c r="D33" s="16"/>
      <c r="E33" s="45"/>
      <c r="F33" s="23"/>
    </row>
    <row r="34" spans="1:6" x14ac:dyDescent="0.3">
      <c r="A34" s="38">
        <v>23</v>
      </c>
      <c r="B34" s="46" t="s">
        <v>40</v>
      </c>
      <c r="C34" s="16"/>
      <c r="D34" s="16"/>
      <c r="E34" s="23"/>
      <c r="F34" s="23"/>
    </row>
    <row r="35" spans="1:6" x14ac:dyDescent="0.3">
      <c r="A35" s="39">
        <v>24</v>
      </c>
      <c r="B35" s="48" t="s">
        <v>46</v>
      </c>
      <c r="C35" s="1">
        <f>C33+C34</f>
        <v>0</v>
      </c>
      <c r="D35" s="1">
        <f>D33+D34</f>
        <v>0</v>
      </c>
      <c r="E35" s="23"/>
      <c r="F35" s="23"/>
    </row>
    <row r="36" spans="1:6" x14ac:dyDescent="0.3">
      <c r="A36" s="39"/>
      <c r="B36" s="51" t="s">
        <v>41</v>
      </c>
      <c r="C36" s="51"/>
      <c r="D36" s="52"/>
      <c r="E36" s="23"/>
      <c r="F36" s="23"/>
    </row>
    <row r="37" spans="1:6" x14ac:dyDescent="0.3">
      <c r="A37" s="38">
        <v>25</v>
      </c>
      <c r="B37" s="53" t="s">
        <v>42</v>
      </c>
      <c r="C37" s="47">
        <f>E14*0.08</f>
        <v>0</v>
      </c>
      <c r="D37" s="54">
        <f>F14*0.08</f>
        <v>0</v>
      </c>
    </row>
    <row r="38" spans="1:6" x14ac:dyDescent="0.3">
      <c r="A38" s="39"/>
      <c r="B38" s="49"/>
      <c r="C38" s="49"/>
      <c r="D38" s="50"/>
      <c r="E38" s="23"/>
      <c r="F38" s="23"/>
    </row>
    <row r="39" spans="1:6" x14ac:dyDescent="0.3">
      <c r="A39" s="55"/>
      <c r="B39" s="56" t="s">
        <v>53</v>
      </c>
      <c r="C39" s="56"/>
      <c r="D39" s="54"/>
      <c r="E39" s="24">
        <f>IF(C35&gt;C37,C35,C37)</f>
        <v>0</v>
      </c>
      <c r="F39" s="24">
        <f>IF(D35&gt;D37,D35,D37)</f>
        <v>0</v>
      </c>
    </row>
    <row r="40" spans="1:6" x14ac:dyDescent="0.3">
      <c r="B40" s="41"/>
      <c r="C40" s="41"/>
      <c r="D40" s="41"/>
      <c r="E40" s="41"/>
      <c r="F40" s="41"/>
    </row>
    <row r="41" spans="1:6" x14ac:dyDescent="0.3">
      <c r="A41" s="38">
        <v>26</v>
      </c>
      <c r="B41" s="25" t="s">
        <v>43</v>
      </c>
      <c r="C41" s="25"/>
      <c r="D41" s="15"/>
      <c r="E41" s="16"/>
      <c r="F41" s="16"/>
    </row>
    <row r="42" spans="1:6" x14ac:dyDescent="0.3">
      <c r="A42" s="38">
        <v>27</v>
      </c>
      <c r="B42" s="25" t="s">
        <v>43</v>
      </c>
      <c r="C42" s="25"/>
      <c r="D42" s="15"/>
      <c r="E42" s="16"/>
      <c r="F42" s="16"/>
    </row>
    <row r="43" spans="1:6" x14ac:dyDescent="0.3">
      <c r="A43" s="38"/>
      <c r="B43" s="41"/>
      <c r="C43" s="41"/>
      <c r="D43" s="41"/>
      <c r="E43" s="41"/>
      <c r="F43" s="41"/>
    </row>
    <row r="44" spans="1:6" x14ac:dyDescent="0.3">
      <c r="A44" s="38">
        <v>28</v>
      </c>
      <c r="B44" s="26"/>
      <c r="C44" s="26"/>
      <c r="D44" s="27" t="s">
        <v>44</v>
      </c>
      <c r="E44" s="28">
        <f>SUM(E30:E42)</f>
        <v>0</v>
      </c>
      <c r="F44" s="28">
        <f>SUM(F30:F42)</f>
        <v>0</v>
      </c>
    </row>
    <row r="45" spans="1:6" x14ac:dyDescent="0.3">
      <c r="A45" s="38">
        <v>29</v>
      </c>
      <c r="B45" s="29"/>
      <c r="C45" s="29"/>
      <c r="D45" s="30" t="s">
        <v>45</v>
      </c>
      <c r="E45" s="31"/>
      <c r="F45" s="28">
        <f>F44-E44</f>
        <v>0</v>
      </c>
    </row>
  </sheetData>
  <sheetProtection password="C955" sheet="1" objects="1" scenarios="1"/>
  <dataValidations count="1">
    <dataValidation allowBlank="1" showInputMessage="1" showErrorMessage="1" prompt="Insert effective date of increase" sqref="D3:D4"/>
  </dataValidations>
  <pageMargins left="0.7" right="0.7" top="0.75" bottom="0.7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abSelected="1" workbookViewId="0">
      <selection activeCell="B22" sqref="B22"/>
    </sheetView>
  </sheetViews>
  <sheetFormatPr defaultRowHeight="15.6" x14ac:dyDescent="0.3"/>
  <cols>
    <col min="1" max="1" width="8.88671875" style="75" customWidth="1"/>
    <col min="2" max="2" width="44.109375" style="75" bestFit="1" customWidth="1"/>
    <col min="3" max="3" width="34.6640625" style="75" bestFit="1" customWidth="1"/>
    <col min="4" max="4" width="13.6640625" style="75" customWidth="1"/>
    <col min="5" max="5" width="9.109375" style="75" customWidth="1"/>
    <col min="6" max="6" width="4.33203125" style="75" customWidth="1"/>
    <col min="7" max="7" width="11.109375" style="75" customWidth="1"/>
    <col min="8" max="8" width="14.5546875" style="75" customWidth="1"/>
    <col min="9" max="9" width="16.88671875" style="75" customWidth="1"/>
    <col min="10" max="16384" width="8.88671875" style="75"/>
  </cols>
  <sheetData>
    <row r="1" spans="1:8" x14ac:dyDescent="0.3">
      <c r="A1" s="73" t="s">
        <v>0</v>
      </c>
      <c r="B1" s="74"/>
      <c r="C1" s="74"/>
      <c r="D1" s="74"/>
      <c r="E1" s="74"/>
      <c r="F1" s="74"/>
      <c r="G1" s="74"/>
    </row>
    <row r="2" spans="1:8" x14ac:dyDescent="0.3">
      <c r="A2" s="73"/>
      <c r="B2" s="76" t="s">
        <v>1</v>
      </c>
      <c r="C2" s="74"/>
      <c r="D2" s="74"/>
      <c r="E2" s="74"/>
      <c r="F2" s="74"/>
      <c r="G2" s="74"/>
    </row>
    <row r="3" spans="1:8" x14ac:dyDescent="0.3">
      <c r="A3" s="77"/>
      <c r="B3" s="78" t="s">
        <v>2</v>
      </c>
      <c r="C3" s="79"/>
      <c r="D3" s="80"/>
      <c r="E3" s="74"/>
      <c r="F3" s="74"/>
      <c r="G3" s="69" t="s">
        <v>3</v>
      </c>
      <c r="H3" s="70"/>
    </row>
    <row r="4" spans="1:8" x14ac:dyDescent="0.3">
      <c r="A4" s="81"/>
      <c r="B4" s="82" t="s">
        <v>4</v>
      </c>
      <c r="C4" s="83"/>
      <c r="D4" s="84"/>
      <c r="E4" s="85"/>
      <c r="F4" s="85"/>
      <c r="G4" s="86">
        <v>37773</v>
      </c>
      <c r="H4" s="87">
        <v>3.5999999999999997E-2</v>
      </c>
    </row>
    <row r="5" spans="1:8" x14ac:dyDescent="0.3">
      <c r="A5" s="81">
        <v>1</v>
      </c>
      <c r="B5" s="88" t="s">
        <v>5</v>
      </c>
      <c r="C5" s="89" t="s">
        <v>6</v>
      </c>
      <c r="D5" s="57">
        <f>'Income-Expenses'!F45</f>
        <v>0</v>
      </c>
      <c r="E5" s="85"/>
      <c r="F5" s="85"/>
      <c r="G5" s="86">
        <v>38139</v>
      </c>
      <c r="H5" s="87">
        <v>7.0000000000000001E-3</v>
      </c>
    </row>
    <row r="6" spans="1:8" x14ac:dyDescent="0.3">
      <c r="A6" s="81"/>
      <c r="B6" s="90"/>
      <c r="C6" s="91"/>
      <c r="D6" s="92"/>
      <c r="E6" s="85"/>
      <c r="F6" s="85"/>
      <c r="G6" s="86">
        <v>38504</v>
      </c>
      <c r="H6" s="87">
        <v>1.9E-2</v>
      </c>
    </row>
    <row r="7" spans="1:8" x14ac:dyDescent="0.3">
      <c r="A7" s="81">
        <v>2</v>
      </c>
      <c r="B7" s="93" t="s">
        <v>47</v>
      </c>
      <c r="C7" s="91" t="s">
        <v>7</v>
      </c>
      <c r="D7" s="58">
        <f>D5/12</f>
        <v>0</v>
      </c>
      <c r="E7" s="85"/>
      <c r="F7" s="85"/>
      <c r="G7" s="94">
        <v>38869</v>
      </c>
      <c r="H7" s="95">
        <v>3.3000000000000002E-2</v>
      </c>
    </row>
    <row r="8" spans="1:8" x14ac:dyDescent="0.3">
      <c r="A8" s="81"/>
      <c r="B8" s="93"/>
      <c r="C8" s="91"/>
      <c r="D8" s="92"/>
      <c r="E8" s="85"/>
      <c r="F8" s="85"/>
      <c r="G8" s="94">
        <v>39264</v>
      </c>
      <c r="H8" s="95">
        <v>3.3000000000000002E-2</v>
      </c>
    </row>
    <row r="9" spans="1:8" ht="16.2" thickBot="1" x14ac:dyDescent="0.35">
      <c r="A9" s="81">
        <v>3</v>
      </c>
      <c r="B9" s="93" t="s">
        <v>55</v>
      </c>
      <c r="C9" s="96" t="s">
        <v>8</v>
      </c>
      <c r="D9" s="58">
        <f>B50</f>
        <v>0</v>
      </c>
      <c r="E9" s="85"/>
      <c r="F9" s="85"/>
      <c r="G9" s="94">
        <v>39630</v>
      </c>
      <c r="H9" s="95">
        <v>3.2000000000000001E-2</v>
      </c>
    </row>
    <row r="10" spans="1:8" ht="16.2" thickBot="1" x14ac:dyDescent="0.35">
      <c r="A10" s="81" t="s">
        <v>9</v>
      </c>
      <c r="B10" s="93"/>
      <c r="C10" s="97" t="s">
        <v>50</v>
      </c>
      <c r="D10" s="63" t="str">
        <f>IF(B51='Income-Expenses'!F7,"OK","ERROR")</f>
        <v>OK</v>
      </c>
      <c r="E10" s="85"/>
      <c r="F10" s="85"/>
      <c r="G10" s="94">
        <v>39995</v>
      </c>
      <c r="H10" s="95">
        <v>7.0000000000000001E-3</v>
      </c>
    </row>
    <row r="11" spans="1:8" ht="21" customHeight="1" thickBot="1" x14ac:dyDescent="0.35">
      <c r="A11" s="81">
        <v>4</v>
      </c>
      <c r="B11" s="93" t="s">
        <v>10</v>
      </c>
      <c r="C11" s="98" t="s">
        <v>11</v>
      </c>
      <c r="D11" s="59" t="e">
        <f>D7/D9</f>
        <v>#DIV/0!</v>
      </c>
      <c r="E11" s="85"/>
      <c r="F11" s="85"/>
      <c r="G11" s="94">
        <v>40360</v>
      </c>
      <c r="H11" s="95">
        <v>2.7E-2</v>
      </c>
    </row>
    <row r="12" spans="1:8" ht="16.2" thickBot="1" x14ac:dyDescent="0.35">
      <c r="A12" s="81"/>
      <c r="B12" s="99"/>
      <c r="C12" s="100" t="s">
        <v>54</v>
      </c>
      <c r="D12" s="63" t="e">
        <f>IF(D11&gt;VLOOKUP(EffectiveDate,CPIRate,2),"YES","NO")</f>
        <v>#DIV/0!</v>
      </c>
      <c r="E12" s="85"/>
      <c r="F12" s="85"/>
      <c r="G12" s="86">
        <v>40725</v>
      </c>
      <c r="H12" s="87">
        <v>0.02</v>
      </c>
    </row>
    <row r="13" spans="1:8" ht="16.2" thickBot="1" x14ac:dyDescent="0.35">
      <c r="A13" s="101"/>
      <c r="B13" s="89"/>
      <c r="C13" s="89"/>
      <c r="D13" s="74"/>
      <c r="E13" s="85"/>
      <c r="F13" s="85"/>
      <c r="G13" s="94">
        <v>41091</v>
      </c>
      <c r="H13" s="95">
        <v>0.03</v>
      </c>
    </row>
    <row r="14" spans="1:8" x14ac:dyDescent="0.3">
      <c r="A14" s="102"/>
      <c r="B14" s="103"/>
      <c r="C14" s="104" t="s">
        <v>56</v>
      </c>
      <c r="D14" s="105"/>
      <c r="G14" s="94">
        <v>41456</v>
      </c>
      <c r="H14" s="95">
        <v>2.1000000000000001E-2</v>
      </c>
    </row>
    <row r="15" spans="1:8" x14ac:dyDescent="0.3">
      <c r="A15" s="106" t="s">
        <v>12</v>
      </c>
      <c r="B15" s="107" t="s">
        <v>57</v>
      </c>
      <c r="C15" s="107" t="s">
        <v>13</v>
      </c>
      <c r="D15" s="108" t="s">
        <v>14</v>
      </c>
      <c r="G15" s="94">
        <v>41821</v>
      </c>
      <c r="H15" s="95">
        <v>1.9E-2</v>
      </c>
    </row>
    <row r="16" spans="1:8" x14ac:dyDescent="0.3">
      <c r="A16" s="60">
        <v>1</v>
      </c>
      <c r="B16" s="64"/>
      <c r="C16" s="1" t="str">
        <f>IF(ISNUMBER(B16),IF(D$12="YES",B16*D$11,B16*VLOOKUP(EffectiveDate,CPIRate,2)),"")</f>
        <v/>
      </c>
      <c r="D16" s="65" t="str">
        <f>IF(ISNUMBER(C16),B16+C16,"")</f>
        <v/>
      </c>
      <c r="E16" s="75" t="str">
        <f>IF(ISNUMBER(B16),IF(D$12="YES","IHC","CPI"),"")</f>
        <v/>
      </c>
      <c r="G16" s="94">
        <v>42186</v>
      </c>
      <c r="H16" s="71"/>
    </row>
    <row r="17" spans="1:8" x14ac:dyDescent="0.3">
      <c r="A17" s="60">
        <v>2</v>
      </c>
      <c r="B17" s="64"/>
      <c r="C17" s="1" t="str">
        <f>IF(ISNUMBER(B17),IF(D$12="YES",B17*D$11,B17*VLOOKUP(EffectiveDate,CPIRate,2)),"")</f>
        <v/>
      </c>
      <c r="D17" s="65" t="str">
        <f t="shared" ref="D17:D49" si="0">IF(ISNUMBER(C17),B17+C17,"")</f>
        <v/>
      </c>
      <c r="E17" s="75" t="str">
        <f t="shared" ref="E17:E20" si="1">IF(ISNUMBER(B17),IF(D$12="YES","IHC","CPI"),"")</f>
        <v/>
      </c>
      <c r="G17" s="109">
        <v>42552</v>
      </c>
      <c r="H17" s="72"/>
    </row>
    <row r="18" spans="1:8" x14ac:dyDescent="0.3">
      <c r="A18" s="60">
        <v>3</v>
      </c>
      <c r="B18" s="64"/>
      <c r="C18" s="1" t="str">
        <f>IF(ISNUMBER(B18),IF(D$12="YES",B18*D$11,B18*VLOOKUP(EffectiveDate,CPIRate,2)),"")</f>
        <v/>
      </c>
      <c r="D18" s="65" t="str">
        <f t="shared" si="0"/>
        <v/>
      </c>
      <c r="E18" s="75" t="str">
        <f t="shared" si="1"/>
        <v/>
      </c>
    </row>
    <row r="19" spans="1:8" x14ac:dyDescent="0.3">
      <c r="A19" s="60">
        <v>4</v>
      </c>
      <c r="B19" s="64"/>
      <c r="C19" s="1" t="str">
        <f>IF(ISNUMBER(B19),IF(D$12="YES",B19*D$11,B19*VLOOKUP(EffectiveDate,CPIRate,2)),"")</f>
        <v/>
      </c>
      <c r="D19" s="65" t="str">
        <f t="shared" si="0"/>
        <v/>
      </c>
      <c r="E19" s="75" t="str">
        <f t="shared" si="1"/>
        <v/>
      </c>
    </row>
    <row r="20" spans="1:8" x14ac:dyDescent="0.3">
      <c r="A20" s="60"/>
      <c r="B20" s="64"/>
      <c r="C20" s="1" t="str">
        <f>IF(ISNUMBER(B20),IF(D$12="YES",B20*D$11,B20*VLOOKUP(EffectiveDate,CPIRate,2)),"")</f>
        <v/>
      </c>
      <c r="D20" s="65" t="str">
        <f t="shared" si="0"/>
        <v/>
      </c>
      <c r="E20" s="75" t="str">
        <f t="shared" si="1"/>
        <v/>
      </c>
    </row>
    <row r="21" spans="1:8" x14ac:dyDescent="0.3">
      <c r="A21" s="60"/>
      <c r="B21" s="64"/>
      <c r="C21" s="1" t="str">
        <f t="shared" ref="C21:C49" si="2">IF(ISNUMBER(B21),IF(D17="YES",B21*D$11,B21*VLOOKUP(EffectiveDate,CPIRate,2)),"")</f>
        <v/>
      </c>
      <c r="D21" s="65" t="str">
        <f t="shared" si="0"/>
        <v/>
      </c>
      <c r="E21" s="75" t="str">
        <f t="shared" ref="E21:E49" si="3">IF(ISNUMBER(B21),IF(D17="YES","IHC","CPI"),"")</f>
        <v/>
      </c>
    </row>
    <row r="22" spans="1:8" x14ac:dyDescent="0.3">
      <c r="A22" s="60"/>
      <c r="B22" s="64"/>
      <c r="C22" s="1" t="str">
        <f t="shared" si="2"/>
        <v/>
      </c>
      <c r="D22" s="65" t="str">
        <f t="shared" si="0"/>
        <v/>
      </c>
      <c r="E22" s="75" t="str">
        <f t="shared" si="3"/>
        <v/>
      </c>
    </row>
    <row r="23" spans="1:8" x14ac:dyDescent="0.3">
      <c r="A23" s="60"/>
      <c r="B23" s="64"/>
      <c r="C23" s="1" t="str">
        <f t="shared" si="2"/>
        <v/>
      </c>
      <c r="D23" s="65" t="str">
        <f t="shared" si="0"/>
        <v/>
      </c>
      <c r="E23" s="75" t="str">
        <f t="shared" si="3"/>
        <v/>
      </c>
    </row>
    <row r="24" spans="1:8" x14ac:dyDescent="0.3">
      <c r="A24" s="60"/>
      <c r="B24" s="64"/>
      <c r="C24" s="1" t="str">
        <f t="shared" si="2"/>
        <v/>
      </c>
      <c r="D24" s="65" t="str">
        <f t="shared" si="0"/>
        <v/>
      </c>
      <c r="E24" s="75" t="str">
        <f t="shared" si="3"/>
        <v/>
      </c>
    </row>
    <row r="25" spans="1:8" x14ac:dyDescent="0.3">
      <c r="A25" s="60"/>
      <c r="B25" s="64"/>
      <c r="C25" s="1" t="str">
        <f t="shared" si="2"/>
        <v/>
      </c>
      <c r="D25" s="65" t="str">
        <f t="shared" si="0"/>
        <v/>
      </c>
      <c r="E25" s="75" t="str">
        <f t="shared" si="3"/>
        <v/>
      </c>
    </row>
    <row r="26" spans="1:8" x14ac:dyDescent="0.3">
      <c r="A26" s="60"/>
      <c r="B26" s="64"/>
      <c r="C26" s="1" t="str">
        <f t="shared" si="2"/>
        <v/>
      </c>
      <c r="D26" s="65" t="str">
        <f t="shared" si="0"/>
        <v/>
      </c>
      <c r="E26" s="75" t="str">
        <f t="shared" si="3"/>
        <v/>
      </c>
    </row>
    <row r="27" spans="1:8" x14ac:dyDescent="0.3">
      <c r="A27" s="60"/>
      <c r="B27" s="64"/>
      <c r="C27" s="1" t="str">
        <f t="shared" si="2"/>
        <v/>
      </c>
      <c r="D27" s="65" t="str">
        <f t="shared" si="0"/>
        <v/>
      </c>
      <c r="E27" s="75" t="str">
        <f t="shared" si="3"/>
        <v/>
      </c>
    </row>
    <row r="28" spans="1:8" x14ac:dyDescent="0.3">
      <c r="A28" s="60"/>
      <c r="B28" s="64"/>
      <c r="C28" s="1" t="str">
        <f t="shared" si="2"/>
        <v/>
      </c>
      <c r="D28" s="65" t="str">
        <f t="shared" si="0"/>
        <v/>
      </c>
      <c r="E28" s="75" t="str">
        <f t="shared" si="3"/>
        <v/>
      </c>
    </row>
    <row r="29" spans="1:8" x14ac:dyDescent="0.3">
      <c r="A29" s="60"/>
      <c r="B29" s="64"/>
      <c r="C29" s="1" t="str">
        <f t="shared" si="2"/>
        <v/>
      </c>
      <c r="D29" s="65" t="str">
        <f t="shared" si="0"/>
        <v/>
      </c>
      <c r="E29" s="75" t="str">
        <f t="shared" si="3"/>
        <v/>
      </c>
    </row>
    <row r="30" spans="1:8" x14ac:dyDescent="0.3">
      <c r="A30" s="60"/>
      <c r="B30" s="64"/>
      <c r="C30" s="1" t="str">
        <f t="shared" si="2"/>
        <v/>
      </c>
      <c r="D30" s="65" t="str">
        <f t="shared" si="0"/>
        <v/>
      </c>
      <c r="E30" s="75" t="str">
        <f t="shared" si="3"/>
        <v/>
      </c>
    </row>
    <row r="31" spans="1:8" x14ac:dyDescent="0.3">
      <c r="A31" s="60"/>
      <c r="B31" s="64"/>
      <c r="C31" s="1" t="str">
        <f t="shared" si="2"/>
        <v/>
      </c>
      <c r="D31" s="65" t="str">
        <f t="shared" si="0"/>
        <v/>
      </c>
      <c r="E31" s="75" t="str">
        <f t="shared" si="3"/>
        <v/>
      </c>
    </row>
    <row r="32" spans="1:8" x14ac:dyDescent="0.3">
      <c r="A32" s="60"/>
      <c r="B32" s="64"/>
      <c r="C32" s="1" t="str">
        <f t="shared" si="2"/>
        <v/>
      </c>
      <c r="D32" s="65" t="str">
        <f t="shared" si="0"/>
        <v/>
      </c>
      <c r="E32" s="75" t="str">
        <f t="shared" si="3"/>
        <v/>
      </c>
    </row>
    <row r="33" spans="1:5" x14ac:dyDescent="0.3">
      <c r="A33" s="60"/>
      <c r="B33" s="64"/>
      <c r="C33" s="1" t="str">
        <f t="shared" si="2"/>
        <v/>
      </c>
      <c r="D33" s="65" t="str">
        <f t="shared" si="0"/>
        <v/>
      </c>
      <c r="E33" s="75" t="str">
        <f t="shared" si="3"/>
        <v/>
      </c>
    </row>
    <row r="34" spans="1:5" x14ac:dyDescent="0.3">
      <c r="A34" s="61"/>
      <c r="B34" s="64"/>
      <c r="C34" s="1" t="str">
        <f t="shared" si="2"/>
        <v/>
      </c>
      <c r="D34" s="65" t="str">
        <f t="shared" si="0"/>
        <v/>
      </c>
      <c r="E34" s="75" t="str">
        <f t="shared" si="3"/>
        <v/>
      </c>
    </row>
    <row r="35" spans="1:5" x14ac:dyDescent="0.3">
      <c r="A35" s="61"/>
      <c r="B35" s="64"/>
      <c r="C35" s="1" t="str">
        <f t="shared" si="2"/>
        <v/>
      </c>
      <c r="D35" s="65" t="str">
        <f t="shared" si="0"/>
        <v/>
      </c>
      <c r="E35" s="75" t="str">
        <f t="shared" si="3"/>
        <v/>
      </c>
    </row>
    <row r="36" spans="1:5" x14ac:dyDescent="0.3">
      <c r="A36" s="61"/>
      <c r="B36" s="64"/>
      <c r="C36" s="1" t="str">
        <f t="shared" si="2"/>
        <v/>
      </c>
      <c r="D36" s="65" t="str">
        <f t="shared" si="0"/>
        <v/>
      </c>
      <c r="E36" s="75" t="str">
        <f t="shared" si="3"/>
        <v/>
      </c>
    </row>
    <row r="37" spans="1:5" x14ac:dyDescent="0.3">
      <c r="A37" s="61"/>
      <c r="B37" s="64"/>
      <c r="C37" s="1" t="str">
        <f t="shared" si="2"/>
        <v/>
      </c>
      <c r="D37" s="65" t="str">
        <f t="shared" si="0"/>
        <v/>
      </c>
      <c r="E37" s="75" t="str">
        <f t="shared" si="3"/>
        <v/>
      </c>
    </row>
    <row r="38" spans="1:5" x14ac:dyDescent="0.3">
      <c r="A38" s="61"/>
      <c r="B38" s="64"/>
      <c r="C38" s="1" t="str">
        <f t="shared" si="2"/>
        <v/>
      </c>
      <c r="D38" s="65" t="str">
        <f t="shared" si="0"/>
        <v/>
      </c>
      <c r="E38" s="75" t="str">
        <f t="shared" si="3"/>
        <v/>
      </c>
    </row>
    <row r="39" spans="1:5" x14ac:dyDescent="0.3">
      <c r="A39" s="61"/>
      <c r="B39" s="64"/>
      <c r="C39" s="1" t="str">
        <f t="shared" si="2"/>
        <v/>
      </c>
      <c r="D39" s="65" t="str">
        <f t="shared" si="0"/>
        <v/>
      </c>
      <c r="E39" s="75" t="str">
        <f t="shared" si="3"/>
        <v/>
      </c>
    </row>
    <row r="40" spans="1:5" x14ac:dyDescent="0.3">
      <c r="A40" s="61"/>
      <c r="B40" s="64"/>
      <c r="C40" s="1" t="str">
        <f t="shared" si="2"/>
        <v/>
      </c>
      <c r="D40" s="65" t="str">
        <f t="shared" si="0"/>
        <v/>
      </c>
      <c r="E40" s="75" t="str">
        <f t="shared" si="3"/>
        <v/>
      </c>
    </row>
    <row r="41" spans="1:5" x14ac:dyDescent="0.3">
      <c r="A41" s="61"/>
      <c r="B41" s="64"/>
      <c r="C41" s="1" t="str">
        <f t="shared" si="2"/>
        <v/>
      </c>
      <c r="D41" s="65" t="str">
        <f t="shared" si="0"/>
        <v/>
      </c>
      <c r="E41" s="75" t="str">
        <f t="shared" si="3"/>
        <v/>
      </c>
    </row>
    <row r="42" spans="1:5" x14ac:dyDescent="0.3">
      <c r="A42" s="61"/>
      <c r="B42" s="64"/>
      <c r="C42" s="1" t="str">
        <f t="shared" si="2"/>
        <v/>
      </c>
      <c r="D42" s="65" t="str">
        <f t="shared" si="0"/>
        <v/>
      </c>
      <c r="E42" s="75" t="str">
        <f t="shared" si="3"/>
        <v/>
      </c>
    </row>
    <row r="43" spans="1:5" x14ac:dyDescent="0.3">
      <c r="A43" s="61"/>
      <c r="B43" s="64"/>
      <c r="C43" s="1" t="str">
        <f t="shared" si="2"/>
        <v/>
      </c>
      <c r="D43" s="65" t="str">
        <f t="shared" si="0"/>
        <v/>
      </c>
      <c r="E43" s="75" t="str">
        <f t="shared" si="3"/>
        <v/>
      </c>
    </row>
    <row r="44" spans="1:5" x14ac:dyDescent="0.3">
      <c r="A44" s="61"/>
      <c r="B44" s="64"/>
      <c r="C44" s="1" t="str">
        <f t="shared" si="2"/>
        <v/>
      </c>
      <c r="D44" s="65" t="str">
        <f t="shared" si="0"/>
        <v/>
      </c>
      <c r="E44" s="75" t="str">
        <f t="shared" si="3"/>
        <v/>
      </c>
    </row>
    <row r="45" spans="1:5" x14ac:dyDescent="0.3">
      <c r="A45" s="61"/>
      <c r="B45" s="64"/>
      <c r="C45" s="1" t="str">
        <f t="shared" si="2"/>
        <v/>
      </c>
      <c r="D45" s="65" t="str">
        <f t="shared" si="0"/>
        <v/>
      </c>
      <c r="E45" s="75" t="str">
        <f t="shared" si="3"/>
        <v/>
      </c>
    </row>
    <row r="46" spans="1:5" x14ac:dyDescent="0.3">
      <c r="A46" s="61"/>
      <c r="B46" s="64"/>
      <c r="C46" s="1" t="str">
        <f t="shared" si="2"/>
        <v/>
      </c>
      <c r="D46" s="65" t="str">
        <f t="shared" si="0"/>
        <v/>
      </c>
      <c r="E46" s="75" t="str">
        <f t="shared" si="3"/>
        <v/>
      </c>
    </row>
    <row r="47" spans="1:5" x14ac:dyDescent="0.3">
      <c r="A47" s="61"/>
      <c r="B47" s="64"/>
      <c r="C47" s="1" t="str">
        <f t="shared" si="2"/>
        <v/>
      </c>
      <c r="D47" s="65" t="str">
        <f t="shared" si="0"/>
        <v/>
      </c>
      <c r="E47" s="75" t="str">
        <f t="shared" si="3"/>
        <v/>
      </c>
    </row>
    <row r="48" spans="1:5" x14ac:dyDescent="0.3">
      <c r="A48" s="61"/>
      <c r="B48" s="64"/>
      <c r="C48" s="1" t="str">
        <f t="shared" si="2"/>
        <v/>
      </c>
      <c r="D48" s="65" t="str">
        <f t="shared" si="0"/>
        <v/>
      </c>
      <c r="E48" s="75" t="str">
        <f t="shared" si="3"/>
        <v/>
      </c>
    </row>
    <row r="49" spans="1:5" ht="16.2" thickBot="1" x14ac:dyDescent="0.35">
      <c r="A49" s="62"/>
      <c r="B49" s="66"/>
      <c r="C49" s="67" t="str">
        <f t="shared" si="2"/>
        <v/>
      </c>
      <c r="D49" s="68" t="str">
        <f t="shared" si="0"/>
        <v/>
      </c>
      <c r="E49" s="75" t="str">
        <f t="shared" si="3"/>
        <v/>
      </c>
    </row>
    <row r="50" spans="1:5" x14ac:dyDescent="0.3">
      <c r="A50" s="75" t="s">
        <v>49</v>
      </c>
      <c r="B50" s="111">
        <f>SUM(B16:B49)</f>
        <v>0</v>
      </c>
      <c r="C50" s="111">
        <f>SUM(C16:C49)</f>
        <v>0</v>
      </c>
      <c r="D50" s="110"/>
    </row>
    <row r="51" spans="1:5" x14ac:dyDescent="0.3">
      <c r="A51" s="75" t="s">
        <v>48</v>
      </c>
      <c r="B51" s="111">
        <f>B50*12</f>
        <v>0</v>
      </c>
      <c r="C51" s="110"/>
      <c r="D51" s="110"/>
    </row>
  </sheetData>
  <sheetProtection password="C955" sheet="1" objects="1" scenarios="1"/>
  <dataValidations disablePrompts="1" xWindow="140" yWindow="803" count="1">
    <dataValidation allowBlank="1" showErrorMessage="1" sqref="B51"/>
  </dataValidations>
  <pageMargins left="0.7" right="0.7" top="0.75" bottom="0.75" header="0.3" footer="0.3"/>
  <pageSetup scale="6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Income-Expenses</vt:lpstr>
      <vt:lpstr>Increase</vt:lpstr>
      <vt:lpstr>CPIRate</vt:lpstr>
      <vt:lpstr>EffectiveDate</vt:lpstr>
      <vt:lpstr>'Income-Expenses'!Print_Area</vt:lpstr>
      <vt:lpstr>Increase!Print_Area</vt:lpstr>
    </vt:vector>
  </TitlesOfParts>
  <Company>City Of Oakland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Barbara</dc:creator>
  <cp:lastModifiedBy>Cohen, Barbara</cp:lastModifiedBy>
  <cp:lastPrinted>2014-05-29T22:09:10Z</cp:lastPrinted>
  <dcterms:created xsi:type="dcterms:W3CDTF">2014-05-27T20:45:13Z</dcterms:created>
  <dcterms:modified xsi:type="dcterms:W3CDTF">2014-06-17T18:32:01Z</dcterms:modified>
</cp:coreProperties>
</file>