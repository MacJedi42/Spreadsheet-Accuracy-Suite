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17115" windowHeight="9330"/>
  </bookViews>
  <sheets>
    <sheet name="Balança de Pagamentos" sheetId="3" r:id="rId1"/>
    <sheet name="Comércio Externo 2005-2011" sheetId="2" r:id="rId2"/>
  </sheets>
  <calcPr calcId="145621"/>
</workbook>
</file>

<file path=xl/calcChain.xml><?xml version="1.0" encoding="utf-8"?>
<calcChain xmlns="http://schemas.openxmlformats.org/spreadsheetml/2006/main">
  <c r="CC8" i="3" l="1"/>
</calcChain>
</file>

<file path=xl/sharedStrings.xml><?xml version="1.0" encoding="utf-8"?>
<sst xmlns="http://schemas.openxmlformats.org/spreadsheetml/2006/main" count="778" uniqueCount="271">
  <si>
    <t xml:space="preserve">Balança de Pagamentos de Moçambique (em milhões de USD) </t>
  </si>
  <si>
    <t>1994</t>
  </si>
  <si>
    <t>1995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</si>
  <si>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</si>
  <si>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</si>
  <si>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</si>
  <si>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</si>
  <si>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</si>
  <si>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</si>
  <si>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</si>
  <si>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</si>
  <si>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</si>
  <si>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</si>
  <si>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</si>
  <si>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</si>
  <si>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</si>
  <si>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</si>
  <si>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</si>
  <si>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</si>
  <si>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</si>
  <si>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</si>
  <si>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</si>
  <si>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</si>
  <si>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</si>
  <si>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</si>
  <si>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</si>
  <si>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</si>
  <si>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</si>
  <si>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</si>
  <si>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</si>
  <si>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</si>
  <si>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</si>
  <si>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</si>
  <si>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2004Q1</t>
  </si>
  <si>
    <t>2004Q2</t>
  </si>
  <si>
    <t>2004Q3</t>
  </si>
  <si>
    <t>2005Q1</t>
  </si>
  <si>
    <t>2005Q2</t>
  </si>
  <si>
    <t>2005Q3</t>
  </si>
  <si>
    <t>Anual</t>
  </si>
  <si>
    <t>I. Conta Corrente</t>
  </si>
  <si>
    <r>
      <t xml:space="preserve">    </t>
    </r>
    <r>
      <rPr>
        <b/>
        <u/>
        <sz val="11"/>
        <rFont val="Arial Narrow"/>
        <family val="2"/>
      </rPr>
      <t>A. Bens e Serviços</t>
    </r>
  </si>
  <si>
    <t xml:space="preserve">         1. Bens</t>
  </si>
  <si>
    <t xml:space="preserve">             1.1. Exportações (FOB)</t>
  </si>
  <si>
    <t xml:space="preserve">                              1.1.1.  Das quais: Grandes Projectos</t>
  </si>
  <si>
    <t>na</t>
  </si>
  <si>
    <t xml:space="preserve">             1.2. Importações  (FOB)</t>
  </si>
  <si>
    <t xml:space="preserve">                              1.2.1. Das quais: Grandes Projectos</t>
  </si>
  <si>
    <t xml:space="preserve">         2. Serviços</t>
  </si>
  <si>
    <t xml:space="preserve">             2.1.  Transportes</t>
  </si>
  <si>
    <t xml:space="preserve">                      2.1.1. Crédito</t>
  </si>
  <si>
    <t xml:space="preserve">                      2.1.2. Débito</t>
  </si>
  <si>
    <t xml:space="preserve">             2.2.  Viagens</t>
  </si>
  <si>
    <t xml:space="preserve">                      2.2.1. Crédito</t>
  </si>
  <si>
    <t xml:space="preserve">                      2.2.2. Débito</t>
  </si>
  <si>
    <t xml:space="preserve">             2.3.  Serviços de Comunicações</t>
  </si>
  <si>
    <t xml:space="preserve">                      2.3.1. Crédito</t>
  </si>
  <si>
    <t xml:space="preserve">                      2.3.2. Débito</t>
  </si>
  <si>
    <t xml:space="preserve">             2.4.  Serviços de Construção</t>
  </si>
  <si>
    <t xml:space="preserve">                      2.4.1. Crédito</t>
  </si>
  <si>
    <t xml:space="preserve">                      2.4.2. Débito</t>
  </si>
  <si>
    <t xml:space="preserve">             2.5.  Serviços de Seguros</t>
  </si>
  <si>
    <t xml:space="preserve">                      2.5.1. Crédito</t>
  </si>
  <si>
    <t xml:space="preserve">                      2.5.2. Débito</t>
  </si>
  <si>
    <t xml:space="preserve">             2.6.  Serviços Financeiros</t>
  </si>
  <si>
    <t xml:space="preserve">                      2.6.1. Crédito</t>
  </si>
  <si>
    <t xml:space="preserve">                      2.6.2. Débito</t>
  </si>
  <si>
    <t xml:space="preserve">             2.7.  Serviços de Informática e Informação</t>
  </si>
  <si>
    <t xml:space="preserve">                      2.7.1. Crédito</t>
  </si>
  <si>
    <t xml:space="preserve">                      2.7.2. Débito</t>
  </si>
  <si>
    <t xml:space="preserve">             2.8.  Royalties e licenças</t>
  </si>
  <si>
    <t xml:space="preserve">                      2.8.1. Crédito</t>
  </si>
  <si>
    <t xml:space="preserve">                      2.8.2. Débito</t>
  </si>
  <si>
    <t xml:space="preserve">             2.9.  Serviços Governamentais (n.i.o.p)</t>
  </si>
  <si>
    <t xml:space="preserve">                      2.9.1. Crédito</t>
  </si>
  <si>
    <t xml:space="preserve">                      2.9.2. Débito</t>
  </si>
  <si>
    <t xml:space="preserve">                      2.10.1. Crédito</t>
  </si>
  <si>
    <t xml:space="preserve">                      2.10.2. Débito</t>
  </si>
  <si>
    <r>
      <t xml:space="preserve">    </t>
    </r>
    <r>
      <rPr>
        <b/>
        <u/>
        <sz val="11"/>
        <rFont val="Arial Narrow"/>
        <family val="2"/>
      </rPr>
      <t>B. Rendimento</t>
    </r>
  </si>
  <si>
    <t xml:space="preserve">         3. Remuneração de Empregados</t>
  </si>
  <si>
    <t xml:space="preserve">                      3.1.1. Crédito</t>
  </si>
  <si>
    <t xml:space="preserve">                      3.1.2. Débito</t>
  </si>
  <si>
    <t xml:space="preserve">         4. Rendimento de Investimento Directo</t>
  </si>
  <si>
    <t xml:space="preserve">                      4.1.1. Crédito</t>
  </si>
  <si>
    <t xml:space="preserve">                      4.1.2. Débito</t>
  </si>
  <si>
    <t xml:space="preserve">         5. Rendimento de Investimento de Carteira</t>
  </si>
  <si>
    <t xml:space="preserve">                      5.1.1. Crédito</t>
  </si>
  <si>
    <t xml:space="preserve">                      5.1.2. Débito</t>
  </si>
  <si>
    <t xml:space="preserve">         6. Outro Investimento</t>
  </si>
  <si>
    <t xml:space="preserve">             6.1. Juros de Dívida Governamental</t>
  </si>
  <si>
    <t xml:space="preserve">             6.2. Juros de Dívida Privada</t>
  </si>
  <si>
    <t xml:space="preserve">             6.3. Juros de Depósitos de Aplicação no Exterior</t>
  </si>
  <si>
    <r>
      <t xml:space="preserve">    </t>
    </r>
    <r>
      <rPr>
        <b/>
        <u/>
        <sz val="11"/>
        <rFont val="Arial Narrow"/>
        <family val="2"/>
      </rPr>
      <t>C. Transferências Correntes</t>
    </r>
  </si>
  <si>
    <t xml:space="preserve">         7. Administração Central</t>
  </si>
  <si>
    <t xml:space="preserve">         8. Outros Sectores</t>
  </si>
  <si>
    <t xml:space="preserve">             8.1. Transferências de Trabalhadores</t>
  </si>
  <si>
    <t xml:space="preserve">             8.2. Outras Transferências</t>
  </si>
  <si>
    <t xml:space="preserve">II. Conta de Capital e Financeira </t>
  </si>
  <si>
    <r>
      <t xml:space="preserve">    </t>
    </r>
    <r>
      <rPr>
        <b/>
        <u/>
        <sz val="11"/>
        <rFont val="Arial Narrow"/>
        <family val="2"/>
      </rPr>
      <t xml:space="preserve">D. Conta Capital </t>
    </r>
  </si>
  <si>
    <t xml:space="preserve">         9.   Administração Central</t>
  </si>
  <si>
    <t xml:space="preserve">               9.1. Perdão da Dívida</t>
  </si>
  <si>
    <t xml:space="preserve">               9.2. Outras (donativos para investimento)</t>
  </si>
  <si>
    <t xml:space="preserve">         10. Outros Sectores</t>
  </si>
  <si>
    <t xml:space="preserve">               10.1. Transferências de Emigrantes</t>
  </si>
  <si>
    <t xml:space="preserve">               10.2. Outras Transferências</t>
  </si>
  <si>
    <r>
      <t xml:space="preserve">    </t>
    </r>
    <r>
      <rPr>
        <b/>
        <u/>
        <sz val="11"/>
        <rFont val="Arial Narrow"/>
        <family val="2"/>
      </rPr>
      <t xml:space="preserve">E. Conta Financeira </t>
    </r>
  </si>
  <si>
    <t xml:space="preserve">         11. Investimento Directo no Exterior</t>
  </si>
  <si>
    <t xml:space="preserve">         12. Investimento Directo na Economia Declarante</t>
  </si>
  <si>
    <t xml:space="preserve">         13. Investimento de Carteira</t>
  </si>
  <si>
    <t xml:space="preserve">                        a. Autoridades Monetárias</t>
  </si>
  <si>
    <t xml:space="preserve">                        b. Administração Central</t>
  </si>
  <si>
    <t xml:space="preserve">                        c. Bancos</t>
  </si>
  <si>
    <t xml:space="preserve">                        d. Outros Sectores </t>
  </si>
  <si>
    <t xml:space="preserve">                        c. Bancos  </t>
  </si>
  <si>
    <t xml:space="preserve">               15.1. Créditos Comerciais</t>
  </si>
  <si>
    <t xml:space="preserve">                        a. Outros Sectores </t>
  </si>
  <si>
    <t xml:space="preserve">               15.2. Empréstimos</t>
  </si>
  <si>
    <t xml:space="preserve">                        a. Autoridades Monetárias </t>
  </si>
  <si>
    <t xml:space="preserve">                                  Créditos</t>
  </si>
  <si>
    <t xml:space="preserve">                                  Vencimentos</t>
  </si>
  <si>
    <t xml:space="preserve">               15.3. Moeda e Depósitos</t>
  </si>
  <si>
    <t xml:space="preserve">                        b. Bancos</t>
  </si>
  <si>
    <t xml:space="preserve">                        a. Moeda e Depósitos</t>
  </si>
  <si>
    <t xml:space="preserve">                        b. Títulos</t>
  </si>
  <si>
    <t>III. Erros e Omissões (Líquido)</t>
  </si>
  <si>
    <t>Exportações( USD mio), 2005</t>
  </si>
  <si>
    <t>Descrição</t>
  </si>
  <si>
    <t>2005Q4</t>
  </si>
  <si>
    <t>1. Exportações de Bens - fob</t>
  </si>
  <si>
    <t>1.1. Mercadorias Gerais</t>
  </si>
  <si>
    <t>1.1.1 Camarão</t>
  </si>
  <si>
    <t>1.1.2 Amêndoa de Cajú</t>
  </si>
  <si>
    <t>1.1.3 Algodão</t>
  </si>
  <si>
    <t>1.1.4 Açúcar</t>
  </si>
  <si>
    <t>1.1.5 Tabaco</t>
  </si>
  <si>
    <t>1.1.6 Lagosta</t>
  </si>
  <si>
    <t>1.1.7 Madeira</t>
  </si>
  <si>
    <t>1.1.8 Castanha de Cajú</t>
  </si>
  <si>
    <t>1.1.9 Energia Eléctrica</t>
  </si>
  <si>
    <t>1.1.10 Gás</t>
  </si>
  <si>
    <t>1.1.11 Alumínio</t>
  </si>
  <si>
    <t>1.2. Bens para transformação</t>
  </si>
  <si>
    <t>n.a</t>
  </si>
  <si>
    <t>1.3 Reparação de bens</t>
  </si>
  <si>
    <t>1.4 Bens adquiridos em portos por transportadoras</t>
  </si>
  <si>
    <t>1.5 Reexportações(Combustíveis)</t>
  </si>
  <si>
    <t>1.6 Ouro Não-Monetário</t>
  </si>
  <si>
    <t>1.7 Outros</t>
  </si>
  <si>
    <t>Exportações excl. Grandes Projectos</t>
  </si>
  <si>
    <t>Exportações dos Grandes Projectos</t>
  </si>
  <si>
    <t xml:space="preserve">             2.10.Serviços Empresariais e Técnicos </t>
  </si>
  <si>
    <t xml:space="preserve">             2.11.Outros Serviços</t>
  </si>
  <si>
    <t xml:space="preserve">                      2.11.1. Crédito</t>
  </si>
  <si>
    <t xml:space="preserve">                      2.11.2. Débito</t>
  </si>
  <si>
    <t xml:space="preserve">             6.4. Outros juros (depósitos de não residentes)</t>
  </si>
  <si>
    <t xml:space="preserve">         14. Instrumentos Financeiros Derivados</t>
  </si>
  <si>
    <t xml:space="preserve">         15. Outro Investimento - Activos</t>
  </si>
  <si>
    <t xml:space="preserve">               15.4. Outros Activos</t>
  </si>
  <si>
    <t xml:space="preserve">                        b. Administração Central </t>
  </si>
  <si>
    <t xml:space="preserve">         16. Outro Investimento - Passivos</t>
  </si>
  <si>
    <t xml:space="preserve">               16.1. Créditos Comerciais</t>
  </si>
  <si>
    <t xml:space="preserve">               16.2. Empréstimos</t>
  </si>
  <si>
    <t xml:space="preserve">               16.3. Moeda e Depósitos</t>
  </si>
  <si>
    <t xml:space="preserve">               16.4. Outros Passivos</t>
  </si>
  <si>
    <t xml:space="preserve">         17. Activos de Reserva</t>
  </si>
  <si>
    <t xml:space="preserve">               17.1. Ouro Monetário</t>
  </si>
  <si>
    <t xml:space="preserve">               17.2. Direitos Especiais de Saque</t>
  </si>
  <si>
    <t xml:space="preserve">               17.3. Posição de Reserva no FMI</t>
  </si>
  <si>
    <t xml:space="preserve">               17.4. Moeda Estrangeira</t>
  </si>
  <si>
    <t xml:space="preserve">               17.5. Outros Activos</t>
  </si>
  <si>
    <t>Compilacao: BM/DEE</t>
  </si>
  <si>
    <t>Importações(USD mio), 2005</t>
  </si>
  <si>
    <t>2.1 Principais Bens de Consumo</t>
  </si>
  <si>
    <t>2.1.1 Cereais</t>
  </si>
  <si>
    <t>2.1.2  Açúcar</t>
  </si>
  <si>
    <t>2.1.3 Cervejas</t>
  </si>
  <si>
    <t>2.1.4 Medicamentos</t>
  </si>
  <si>
    <t>2.1.5 Automóveis</t>
  </si>
  <si>
    <t>2.2 Principais Matérias Primas e Bens Intermédios</t>
  </si>
  <si>
    <t>2.2.1 Combustíveis</t>
  </si>
  <si>
    <t>2.2.1.1 Gasóleo</t>
  </si>
  <si>
    <t>2.2.1.2 Gasolina</t>
  </si>
  <si>
    <t>2.2.1.3 Outros</t>
  </si>
  <si>
    <t>2.2.2 Energia</t>
  </si>
  <si>
    <t>2.3 Principais Bens de Capital</t>
  </si>
  <si>
    <t>2.4 Outros</t>
  </si>
  <si>
    <t>2.5 Ajustes por cobertura</t>
  </si>
  <si>
    <t>Grandes Projectos</t>
  </si>
  <si>
    <t>Importações excl. Grandes Proj.</t>
  </si>
  <si>
    <t>Exportações (USD mio), 2006</t>
  </si>
  <si>
    <t>2006Q1</t>
  </si>
  <si>
    <t>2006Q2</t>
  </si>
  <si>
    <t>2006Q3</t>
  </si>
  <si>
    <t>2006Q4</t>
  </si>
  <si>
    <t>1.1.10 Gás e Condensado</t>
  </si>
  <si>
    <t>Compilação: BM/DEE</t>
  </si>
  <si>
    <t>Importações (USD mio), 2006</t>
  </si>
  <si>
    <t>2.2.2 Energia Eléctrica</t>
  </si>
  <si>
    <t>2.6 Grandes Projectos</t>
  </si>
  <si>
    <t xml:space="preserve">       Mozal</t>
  </si>
  <si>
    <t xml:space="preserve">       Sasol</t>
  </si>
  <si>
    <t xml:space="preserve">       HCB</t>
  </si>
  <si>
    <t xml:space="preserve">       Corridor Sands</t>
  </si>
  <si>
    <t xml:space="preserve">       Kenmare</t>
  </si>
  <si>
    <t xml:space="preserve">       Rio Doce</t>
  </si>
  <si>
    <t>Exportações (USD mio), 2007</t>
  </si>
  <si>
    <t>2007Q1</t>
  </si>
  <si>
    <t>2007Q2</t>
  </si>
  <si>
    <t>2007Q3</t>
  </si>
  <si>
    <t>2007Q4</t>
  </si>
  <si>
    <t>1.1.12 Ilmenite</t>
  </si>
  <si>
    <t>Importações (USD mio), 2007</t>
  </si>
  <si>
    <t>Exportações (USD mio), 2008</t>
  </si>
  <si>
    <t>2008Q1</t>
  </si>
  <si>
    <t>2008Q2</t>
  </si>
  <si>
    <t>2008Q3</t>
  </si>
  <si>
    <t>2008Q4</t>
  </si>
  <si>
    <t>1.2 Bens adquiridos em portos por transportadoras</t>
  </si>
  <si>
    <t>1.3 Reexportações(Combustíveis)</t>
  </si>
  <si>
    <t>1.4 Ouro Não-Monetário</t>
  </si>
  <si>
    <t>1.5 Outros</t>
  </si>
  <si>
    <t>Importações (USD mio), 2008</t>
  </si>
  <si>
    <t>Exportações (USD mio), 2009</t>
  </si>
  <si>
    <t>2009Q1</t>
  </si>
  <si>
    <t>2009Q2</t>
  </si>
  <si>
    <t>2009Q3</t>
  </si>
  <si>
    <t>2009Q4</t>
  </si>
  <si>
    <t>Importações (USD mio), 2009</t>
  </si>
  <si>
    <t>Exportações (USD mio), 2010</t>
  </si>
  <si>
    <t>2010Q1</t>
  </si>
  <si>
    <t>2010Q2</t>
  </si>
  <si>
    <t>2010Q3</t>
  </si>
  <si>
    <t>2010Q4</t>
  </si>
  <si>
    <t>Importações (USD mio), 2010</t>
  </si>
  <si>
    <t>Exportações (USD mio), 2011</t>
  </si>
  <si>
    <t>2011Q1</t>
  </si>
  <si>
    <t>2011Q2</t>
  </si>
  <si>
    <t>Importações (USD mio), 2011</t>
  </si>
  <si>
    <t>1999 Q4</t>
  </si>
  <si>
    <t>2003 Q4</t>
  </si>
  <si>
    <t>2004 Q4</t>
  </si>
  <si>
    <t>2005 Q4</t>
  </si>
  <si>
    <t>2006 Q4</t>
  </si>
  <si>
    <t>2007 Q4</t>
  </si>
  <si>
    <t>2008 Q4</t>
  </si>
  <si>
    <t>2009 Q4</t>
  </si>
  <si>
    <t xml:space="preserve">             7.1. Cooperação Internacional em Donativos</t>
  </si>
  <si>
    <t xml:space="preserve">             7.2. Outras Transferências do Governo</t>
  </si>
  <si>
    <t xml:space="preserve">                12.1. Acções e Participações</t>
  </si>
  <si>
    <t xml:space="preserve">                12.2. Lucros Reinvestidos</t>
  </si>
  <si>
    <t xml:space="preserve">                12.3. Outro Capital</t>
  </si>
  <si>
    <t>***</t>
  </si>
  <si>
    <t>***Dados provisórios</t>
  </si>
  <si>
    <t>1.1.12 Areias Pesadas</t>
  </si>
  <si>
    <t>1.1.13 Carvão</t>
  </si>
  <si>
    <t>2011Q3</t>
  </si>
  <si>
    <t>2011Q4</t>
  </si>
  <si>
    <t>2. Importações de bens - FOB</t>
  </si>
  <si>
    <t>2. Importações de bens -FOB</t>
  </si>
  <si>
    <t>1. Exportações de Bens - FOB</t>
  </si>
  <si>
    <t>Exportações (USD mio), 2012</t>
  </si>
  <si>
    <t>Importações (USD mio), 2012</t>
  </si>
  <si>
    <t>2012Q1</t>
  </si>
  <si>
    <t>2012Q2</t>
  </si>
  <si>
    <t>2012Q3</t>
  </si>
  <si>
    <t>2012Q4</t>
  </si>
  <si>
    <t>2010 Q4</t>
  </si>
  <si>
    <t>2011 Q4</t>
  </si>
  <si>
    <t>2012 Q1</t>
  </si>
  <si>
    <t>2012 Q2</t>
  </si>
  <si>
    <t>2012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</si>
</sst>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-* #,##0.00\ _€_-;\-* #,##0.00\ _€_-;_-* &quot;-&quot;??\ _€_-;_-@_-"/>
    <numFmt numFmtId="164" formatCode="0.0"/>
    <numFmt numFmtId="165" formatCode="_ * #,##0.0_ ;_ * \-#,##0.0_ ;_ * &quot;-&quot;??_ ;_ @_ "/>
    <numFmt numFmtId="166" formatCode="#,##0.0"/>
    <numFmt numFmtId="167" formatCode="0.000"/>
    <numFmt numFmtId="168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 Narrow"/>
      <family val="2"/>
    </font>
    <font>
      <sz val="11"/>
      <name val="Arial Narrow"/>
      <family val="2"/>
    </font>
    <font>
      <sz val="12"/>
      <name val="Times New Roman"/>
      <family val="1"/>
    </font>
    <font>
      <b/>
      <u/>
      <sz val="11"/>
      <name val="Arial Narrow"/>
      <family val="2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81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0" fontId="4" fillId="0" borderId="0"/>
    <xf numFmtId="0" fontId="1" fillId="0" borderId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</cellStyleXfs>
  <cellXfs count="196">
    <xf numFmtId="0" fontId="0" fillId="0" borderId="0" xfId="0"/>
    <xf numFmtId="0" fontId="2" fillId="2" borderId="1" xfId="1" applyFont="1" applyFill="1" applyBorder="1"/>
    <xf numFmtId="0" fontId="3" fillId="2" borderId="1" xfId="1" applyFont="1" applyFill="1" applyBorder="1"/>
    <xf numFmtId="0" fontId="3" fillId="2" borderId="0" xfId="2" applyFont="1" applyFill="1"/>
    <xf numFmtId="0" fontId="0" fillId="2" borderId="0" xfId="0" applyFill="1"/>
    <xf numFmtId="0" fontId="2" fillId="2" borderId="3" xfId="1" applyFont="1" applyFill="1" applyBorder="1"/>
    <xf numFmtId="164" fontId="2" fillId="2" borderId="3" xfId="1" applyNumberFormat="1" applyFont="1" applyFill="1" applyBorder="1"/>
    <xf numFmtId="164" fontId="2" fillId="2" borderId="3" xfId="2" applyNumberFormat="1" applyFont="1" applyFill="1" applyBorder="1"/>
    <xf numFmtId="164" fontId="2" fillId="2" borderId="6" xfId="2" applyNumberFormat="1" applyFont="1" applyFill="1" applyBorder="1"/>
    <xf numFmtId="0" fontId="2" fillId="2" borderId="7" xfId="1" applyFont="1" applyFill="1" applyBorder="1"/>
    <xf numFmtId="164" fontId="5" fillId="2" borderId="7" xfId="1" applyNumberFormat="1" applyFont="1" applyFill="1" applyBorder="1" applyProtection="1"/>
    <xf numFmtId="164" fontId="5" fillId="2" borderId="7" xfId="2" applyNumberFormat="1" applyFont="1" applyFill="1" applyBorder="1" applyProtection="1"/>
    <xf numFmtId="0" fontId="3" fillId="2" borderId="7" xfId="1" applyFont="1" applyFill="1" applyBorder="1"/>
    <xf numFmtId="164" fontId="3" fillId="2" borderId="7" xfId="1" applyNumberFormat="1" applyFont="1" applyFill="1" applyBorder="1" applyProtection="1"/>
    <xf numFmtId="164" fontId="3" fillId="2" borderId="7" xfId="2" applyNumberFormat="1" applyFont="1" applyFill="1" applyBorder="1" applyProtection="1"/>
    <xf numFmtId="164" fontId="3" fillId="2" borderId="7" xfId="1" applyNumberFormat="1" applyFont="1" applyFill="1" applyBorder="1" applyAlignment="1" applyProtection="1">
      <alignment horizontal="center"/>
    </xf>
    <xf numFmtId="164" fontId="2" fillId="2" borderId="7" xfId="1" applyNumberFormat="1" applyFont="1" applyFill="1" applyBorder="1" applyProtection="1"/>
    <xf numFmtId="164" fontId="2" fillId="2" borderId="7" xfId="2" applyNumberFormat="1" applyFont="1" applyFill="1" applyBorder="1" applyProtection="1"/>
    <xf numFmtId="2" fontId="3" fillId="2" borderId="7" xfId="2" applyNumberFormat="1" applyFont="1" applyFill="1" applyBorder="1" applyProtection="1"/>
    <xf numFmtId="164" fontId="3" fillId="2" borderId="7" xfId="1" applyNumberFormat="1" applyFont="1" applyFill="1" applyBorder="1"/>
    <xf numFmtId="164" fontId="3" fillId="2" borderId="7" xfId="2" applyNumberFormat="1" applyFont="1" applyFill="1" applyBorder="1"/>
    <xf numFmtId="2" fontId="3" fillId="2" borderId="7" xfId="1" applyNumberFormat="1" applyFont="1" applyFill="1" applyBorder="1"/>
    <xf numFmtId="2" fontId="3" fillId="2" borderId="7" xfId="2" applyNumberFormat="1" applyFont="1" applyFill="1" applyBorder="1"/>
    <xf numFmtId="0" fontId="2" fillId="2" borderId="5" xfId="1" applyFont="1" applyFill="1" applyBorder="1"/>
    <xf numFmtId="164" fontId="2" fillId="2" borderId="5" xfId="1" applyNumberFormat="1" applyFont="1" applyFill="1" applyBorder="1" applyProtection="1"/>
    <xf numFmtId="164" fontId="2" fillId="2" borderId="5" xfId="2" applyNumberFormat="1" applyFont="1" applyFill="1" applyBorder="1" applyProtection="1"/>
    <xf numFmtId="0" fontId="2" fillId="3" borderId="2" xfId="2" applyFont="1" applyFill="1" applyBorder="1" applyAlignment="1">
      <alignment horizontal="center"/>
    </xf>
    <xf numFmtId="0" fontId="2" fillId="3" borderId="4" xfId="2" applyFont="1" applyFill="1" applyBorder="1" applyAlignment="1">
      <alignment horizontal="center"/>
    </xf>
    <xf numFmtId="0" fontId="2" fillId="3" borderId="2" xfId="1" applyFont="1" applyFill="1" applyBorder="1" applyAlignment="1">
      <alignment horizontal="center"/>
    </xf>
    <xf numFmtId="0" fontId="2" fillId="3" borderId="4" xfId="1" applyFont="1" applyFill="1" applyBorder="1" applyAlignment="1">
      <alignment horizontal="center"/>
    </xf>
    <xf numFmtId="0" fontId="2" fillId="3" borderId="2" xfId="1" applyFont="1" applyFill="1" applyBorder="1"/>
    <xf numFmtId="0" fontId="2" fillId="3" borderId="4" xfId="1" applyFont="1" applyFill="1" applyBorder="1"/>
    <xf numFmtId="0" fontId="7" fillId="2" borderId="0" xfId="0" applyFont="1" applyFill="1"/>
    <xf numFmtId="0" fontId="2" fillId="2" borderId="8" xfId="3" applyFont="1" applyFill="1" applyBorder="1"/>
    <xf numFmtId="0" fontId="2" fillId="2" borderId="9" xfId="3" applyFont="1" applyFill="1" applyBorder="1" applyAlignment="1">
      <alignment horizontal="center"/>
    </xf>
    <xf numFmtId="0" fontId="2" fillId="2" borderId="9" xfId="3" applyFont="1" applyFill="1" applyBorder="1"/>
    <xf numFmtId="0" fontId="2" fillId="2" borderId="10" xfId="3" applyFont="1" applyFill="1" applyBorder="1" applyAlignment="1">
      <alignment horizontal="center"/>
    </xf>
    <xf numFmtId="0" fontId="2" fillId="2" borderId="11" xfId="3" applyFont="1" applyFill="1" applyBorder="1"/>
    <xf numFmtId="164" fontId="2" fillId="2" borderId="12" xfId="3" applyNumberFormat="1" applyFont="1" applyFill="1" applyBorder="1" applyAlignment="1">
      <alignment horizontal="right"/>
    </xf>
    <xf numFmtId="164" fontId="2" fillId="2" borderId="13" xfId="3" applyNumberFormat="1" applyFont="1" applyFill="1" applyBorder="1" applyAlignment="1">
      <alignment horizontal="right"/>
    </xf>
    <xf numFmtId="0" fontId="3" fillId="2" borderId="11" xfId="3" applyFont="1" applyFill="1" applyBorder="1" applyAlignment="1">
      <alignment horizontal="left" indent="2"/>
    </xf>
    <xf numFmtId="164" fontId="3" fillId="2" borderId="14" xfId="3" applyNumberFormat="1" applyFont="1" applyFill="1" applyBorder="1" applyAlignment="1">
      <alignment horizontal="right"/>
    </xf>
    <xf numFmtId="164" fontId="3" fillId="2" borderId="15" xfId="3" applyNumberFormat="1" applyFont="1" applyFill="1" applyBorder="1" applyAlignment="1">
      <alignment horizontal="right"/>
    </xf>
    <xf numFmtId="0" fontId="3" fillId="2" borderId="11" xfId="3" applyFont="1" applyFill="1" applyBorder="1" applyAlignment="1">
      <alignment horizontal="left" indent="3"/>
    </xf>
    <xf numFmtId="165" fontId="3" fillId="2" borderId="15" xfId="3" applyNumberFormat="1" applyFont="1" applyFill="1" applyBorder="1" applyAlignment="1">
      <alignment horizontal="right"/>
    </xf>
    <xf numFmtId="0" fontId="3" fillId="2" borderId="16" xfId="3" applyFont="1" applyFill="1" applyBorder="1" applyAlignment="1">
      <alignment horizontal="left" indent="2"/>
    </xf>
    <xf numFmtId="0" fontId="2" fillId="2" borderId="11" xfId="3" applyFont="1" applyFill="1" applyBorder="1" applyAlignment="1">
      <alignment horizontal="left" indent="2"/>
    </xf>
    <xf numFmtId="164" fontId="2" fillId="2" borderId="14" xfId="3" applyNumberFormat="1" applyFont="1" applyFill="1" applyBorder="1" applyAlignment="1">
      <alignment horizontal="right"/>
    </xf>
    <xf numFmtId="164" fontId="2" fillId="2" borderId="15" xfId="3" applyNumberFormat="1" applyFont="1" applyFill="1" applyBorder="1" applyAlignment="1">
      <alignment horizontal="right"/>
    </xf>
    <xf numFmtId="0" fontId="2" fillId="2" borderId="17" xfId="3" applyFont="1" applyFill="1" applyBorder="1" applyAlignment="1">
      <alignment horizontal="left" indent="2"/>
    </xf>
    <xf numFmtId="164" fontId="2" fillId="2" borderId="18" xfId="3" applyNumberFormat="1" applyFont="1" applyFill="1" applyBorder="1" applyAlignment="1">
      <alignment horizontal="right"/>
    </xf>
    <xf numFmtId="164" fontId="2" fillId="2" borderId="19" xfId="3" applyNumberFormat="1" applyFont="1" applyFill="1" applyBorder="1" applyAlignment="1">
      <alignment horizontal="right"/>
    </xf>
    <xf numFmtId="0" fontId="3" fillId="2" borderId="22" xfId="3" applyFont="1" applyFill="1" applyBorder="1" applyAlignment="1">
      <alignment horizontal="left"/>
    </xf>
    <xf numFmtId="0" fontId="3" fillId="2" borderId="0" xfId="3" applyFont="1" applyFill="1" applyBorder="1" applyAlignment="1">
      <alignment horizontal="left"/>
    </xf>
    <xf numFmtId="164" fontId="3" fillId="2" borderId="0" xfId="3" applyNumberFormat="1" applyFont="1" applyFill="1" applyBorder="1" applyAlignment="1">
      <alignment horizontal="left"/>
    </xf>
    <xf numFmtId="0" fontId="3" fillId="2" borderId="11" xfId="3" applyFont="1" applyFill="1" applyBorder="1" applyAlignment="1">
      <alignment horizontal="left" indent="1"/>
    </xf>
    <xf numFmtId="0" fontId="2" fillId="2" borderId="11" xfId="3" applyFont="1" applyFill="1" applyBorder="1" applyAlignment="1">
      <alignment horizontal="left" indent="1"/>
    </xf>
    <xf numFmtId="0" fontId="2" fillId="2" borderId="24" xfId="3" applyFont="1" applyFill="1" applyBorder="1" applyAlignment="1">
      <alignment horizontal="left" indent="1"/>
    </xf>
    <xf numFmtId="164" fontId="2" fillId="2" borderId="25" xfId="3" applyNumberFormat="1" applyFont="1" applyFill="1" applyBorder="1" applyAlignment="1">
      <alignment horizontal="right"/>
    </xf>
    <xf numFmtId="164" fontId="2" fillId="2" borderId="26" xfId="3" applyNumberFormat="1" applyFont="1" applyFill="1" applyBorder="1" applyAlignment="1">
      <alignment horizontal="right"/>
    </xf>
    <xf numFmtId="0" fontId="2" fillId="2" borderId="28" xfId="3" applyFont="1" applyFill="1" applyBorder="1" applyAlignment="1">
      <alignment horizontal="center"/>
    </xf>
    <xf numFmtId="0" fontId="2" fillId="2" borderId="27" xfId="3" applyFont="1" applyFill="1" applyBorder="1" applyAlignment="1">
      <alignment horizontal="center"/>
    </xf>
    <xf numFmtId="0" fontId="2" fillId="2" borderId="29" xfId="3" applyFont="1" applyFill="1" applyBorder="1"/>
    <xf numFmtId="0" fontId="2" fillId="2" borderId="30" xfId="3" applyFont="1" applyFill="1" applyBorder="1" applyAlignment="1">
      <alignment horizontal="center"/>
    </xf>
    <xf numFmtId="0" fontId="2" fillId="2" borderId="31" xfId="3" applyFont="1" applyFill="1" applyBorder="1" applyAlignment="1">
      <alignment horizontal="left"/>
    </xf>
    <xf numFmtId="164" fontId="2" fillId="2" borderId="12" xfId="3" applyNumberFormat="1" applyFont="1" applyFill="1" applyBorder="1" applyAlignment="1">
      <alignment horizontal="center"/>
    </xf>
    <xf numFmtId="164" fontId="2" fillId="2" borderId="15" xfId="3" applyNumberFormat="1" applyFont="1" applyFill="1" applyBorder="1" applyAlignment="1">
      <alignment horizontal="center"/>
    </xf>
    <xf numFmtId="0" fontId="3" fillId="2" borderId="32" xfId="3" applyFont="1" applyFill="1" applyBorder="1" applyAlignment="1">
      <alignment horizontal="left" indent="1"/>
    </xf>
    <xf numFmtId="164" fontId="3" fillId="2" borderId="14" xfId="3" applyNumberFormat="1" applyFont="1" applyFill="1" applyBorder="1" applyAlignment="1">
      <alignment horizontal="center"/>
    </xf>
    <xf numFmtId="164" fontId="3" fillId="2" borderId="15" xfId="3" applyNumberFormat="1" applyFont="1" applyFill="1" applyBorder="1" applyAlignment="1">
      <alignment horizontal="center"/>
    </xf>
    <xf numFmtId="0" fontId="3" fillId="2" borderId="32" xfId="3" applyFont="1" applyFill="1" applyBorder="1" applyAlignment="1">
      <alignment horizontal="left" indent="2"/>
    </xf>
    <xf numFmtId="0" fontId="3" fillId="2" borderId="14" xfId="3" applyFont="1" applyFill="1" applyBorder="1" applyAlignment="1">
      <alignment horizontal="center"/>
    </xf>
    <xf numFmtId="0" fontId="3" fillId="2" borderId="15" xfId="3" applyFont="1" applyFill="1" applyBorder="1" applyAlignment="1">
      <alignment horizontal="center"/>
    </xf>
    <xf numFmtId="0" fontId="2" fillId="2" borderId="32" xfId="3" applyFont="1" applyFill="1" applyBorder="1" applyAlignment="1">
      <alignment horizontal="left"/>
    </xf>
    <xf numFmtId="164" fontId="2" fillId="2" borderId="14" xfId="3" applyNumberFormat="1" applyFont="1" applyFill="1" applyBorder="1" applyAlignment="1">
      <alignment horizontal="center"/>
    </xf>
    <xf numFmtId="0" fontId="2" fillId="2" borderId="33" xfId="3" applyFont="1" applyFill="1" applyBorder="1" applyAlignment="1">
      <alignment horizontal="left"/>
    </xf>
    <xf numFmtId="164" fontId="2" fillId="2" borderId="18" xfId="3" applyNumberFormat="1" applyFont="1" applyFill="1" applyBorder="1" applyAlignment="1">
      <alignment horizontal="center"/>
    </xf>
    <xf numFmtId="164" fontId="2" fillId="2" borderId="19" xfId="3" applyNumberFormat="1" applyFont="1" applyFill="1" applyBorder="1" applyAlignment="1">
      <alignment horizontal="center"/>
    </xf>
    <xf numFmtId="0" fontId="2" fillId="2" borderId="11" xfId="3" applyFont="1" applyFill="1" applyBorder="1" applyAlignment="1">
      <alignment horizontal="left"/>
    </xf>
    <xf numFmtId="166" fontId="2" fillId="2" borderId="14" xfId="3" applyNumberFormat="1" applyFont="1" applyFill="1" applyBorder="1" applyAlignment="1">
      <alignment horizontal="center"/>
    </xf>
    <xf numFmtId="4" fontId="2" fillId="2" borderId="34" xfId="3" applyNumberFormat="1" applyFont="1" applyFill="1" applyBorder="1" applyAlignment="1">
      <alignment horizontal="center"/>
    </xf>
    <xf numFmtId="0" fontId="3" fillId="2" borderId="16" xfId="3" applyFont="1" applyFill="1" applyBorder="1" applyAlignment="1">
      <alignment horizontal="left" indent="1"/>
    </xf>
    <xf numFmtId="166" fontId="3" fillId="2" borderId="35" xfId="3" applyNumberFormat="1" applyFont="1" applyFill="1" applyBorder="1" applyAlignment="1">
      <alignment horizontal="center"/>
    </xf>
    <xf numFmtId="4" fontId="3" fillId="2" borderId="34" xfId="3" applyNumberFormat="1" applyFont="1" applyFill="1" applyBorder="1" applyAlignment="1">
      <alignment horizontal="center"/>
    </xf>
    <xf numFmtId="166" fontId="3" fillId="2" borderId="36" xfId="3" applyNumberFormat="1" applyFont="1" applyFill="1" applyBorder="1" applyAlignment="1">
      <alignment horizontal="center"/>
    </xf>
    <xf numFmtId="166" fontId="3" fillId="2" borderId="37" xfId="3" applyNumberFormat="1" applyFont="1" applyFill="1" applyBorder="1" applyAlignment="1">
      <alignment horizontal="center"/>
    </xf>
    <xf numFmtId="0" fontId="3" fillId="2" borderId="22" xfId="3" applyFont="1" applyFill="1" applyBorder="1" applyAlignment="1">
      <alignment horizontal="left" indent="1"/>
    </xf>
    <xf numFmtId="0" fontId="3" fillId="2" borderId="38" xfId="3" applyFont="1" applyFill="1" applyBorder="1" applyAlignment="1">
      <alignment horizontal="left"/>
    </xf>
    <xf numFmtId="0" fontId="2" fillId="2" borderId="17" xfId="3" applyFont="1" applyFill="1" applyBorder="1" applyAlignment="1">
      <alignment horizontal="left"/>
    </xf>
    <xf numFmtId="166" fontId="2" fillId="2" borderId="18" xfId="3" applyNumberFormat="1" applyFont="1" applyFill="1" applyBorder="1" applyAlignment="1">
      <alignment horizontal="center"/>
    </xf>
    <xf numFmtId="4" fontId="2" fillId="2" borderId="19" xfId="3" applyNumberFormat="1" applyFont="1" applyFill="1" applyBorder="1" applyAlignment="1">
      <alignment horizontal="center"/>
    </xf>
    <xf numFmtId="164" fontId="2" fillId="2" borderId="13" xfId="3" applyNumberFormat="1" applyFont="1" applyFill="1" applyBorder="1" applyAlignment="1">
      <alignment horizontal="center"/>
    </xf>
    <xf numFmtId="0" fontId="2" fillId="2" borderId="39" xfId="3" applyFont="1" applyFill="1" applyBorder="1" applyAlignment="1">
      <alignment horizontal="left"/>
    </xf>
    <xf numFmtId="164" fontId="2" fillId="2" borderId="40" xfId="3" applyNumberFormat="1" applyFont="1" applyFill="1" applyBorder="1" applyAlignment="1">
      <alignment horizontal="center"/>
    </xf>
    <xf numFmtId="164" fontId="2" fillId="2" borderId="41" xfId="3" applyNumberFormat="1" applyFont="1" applyFill="1" applyBorder="1" applyAlignment="1">
      <alignment horizontal="center"/>
    </xf>
    <xf numFmtId="167" fontId="3" fillId="2" borderId="0" xfId="3" applyNumberFormat="1" applyFont="1" applyFill="1" applyBorder="1" applyAlignment="1">
      <alignment horizontal="left"/>
    </xf>
    <xf numFmtId="0" fontId="2" fillId="2" borderId="44" xfId="3" applyFont="1" applyFill="1" applyBorder="1" applyAlignment="1">
      <alignment horizontal="left"/>
    </xf>
    <xf numFmtId="166" fontId="2" fillId="2" borderId="12" xfId="3" applyNumberFormat="1" applyFont="1" applyFill="1" applyBorder="1" applyAlignment="1">
      <alignment horizontal="center"/>
    </xf>
    <xf numFmtId="166" fontId="2" fillId="2" borderId="13" xfId="3" applyNumberFormat="1" applyFont="1" applyFill="1" applyBorder="1" applyAlignment="1">
      <alignment horizontal="center"/>
    </xf>
    <xf numFmtId="166" fontId="3" fillId="2" borderId="34" xfId="3" applyNumberFormat="1" applyFont="1" applyFill="1" applyBorder="1" applyAlignment="1">
      <alignment horizontal="center"/>
    </xf>
    <xf numFmtId="166" fontId="2" fillId="2" borderId="35" xfId="3" applyNumberFormat="1" applyFont="1" applyFill="1" applyBorder="1" applyAlignment="1">
      <alignment horizontal="center"/>
    </xf>
    <xf numFmtId="166" fontId="2" fillId="2" borderId="34" xfId="3" applyNumberFormat="1" applyFont="1" applyFill="1" applyBorder="1" applyAlignment="1">
      <alignment horizontal="center"/>
    </xf>
    <xf numFmtId="166" fontId="2" fillId="2" borderId="19" xfId="3" applyNumberFormat="1" applyFont="1" applyFill="1" applyBorder="1" applyAlignment="1">
      <alignment horizontal="center"/>
    </xf>
    <xf numFmtId="0" fontId="3" fillId="2" borderId="0" xfId="3" applyFont="1" applyFill="1"/>
    <xf numFmtId="0" fontId="3" fillId="2" borderId="1" xfId="3" applyFont="1" applyFill="1" applyBorder="1"/>
    <xf numFmtId="0" fontId="2" fillId="2" borderId="45" xfId="3" applyFont="1" applyFill="1" applyBorder="1" applyAlignment="1">
      <alignment horizontal="center"/>
    </xf>
    <xf numFmtId="0" fontId="2" fillId="2" borderId="45" xfId="3" applyFont="1" applyFill="1" applyBorder="1"/>
    <xf numFmtId="0" fontId="2" fillId="2" borderId="46" xfId="3" applyFont="1" applyFill="1" applyBorder="1" applyAlignment="1">
      <alignment horizontal="center"/>
    </xf>
    <xf numFmtId="2" fontId="2" fillId="2" borderId="31" xfId="3" applyNumberFormat="1" applyFont="1" applyFill="1" applyBorder="1" applyAlignment="1">
      <alignment horizontal="left"/>
    </xf>
    <xf numFmtId="164" fontId="2" fillId="2" borderId="47" xfId="5" applyNumberFormat="1" applyFont="1" applyFill="1" applyBorder="1" applyAlignment="1">
      <alignment horizontal="center"/>
    </xf>
    <xf numFmtId="164" fontId="2" fillId="2" borderId="48" xfId="5" applyNumberFormat="1" applyFont="1" applyFill="1" applyBorder="1" applyAlignment="1">
      <alignment horizontal="center"/>
    </xf>
    <xf numFmtId="2" fontId="3" fillId="2" borderId="32" xfId="3" applyNumberFormat="1" applyFont="1" applyFill="1" applyBorder="1" applyAlignment="1">
      <alignment horizontal="left" indent="1"/>
    </xf>
    <xf numFmtId="164" fontId="3" fillId="2" borderId="49" xfId="5" applyNumberFormat="1" applyFont="1" applyFill="1" applyBorder="1" applyAlignment="1">
      <alignment horizontal="center"/>
    </xf>
    <xf numFmtId="164" fontId="3" fillId="2" borderId="48" xfId="5" applyNumberFormat="1" applyFont="1" applyFill="1" applyBorder="1" applyAlignment="1">
      <alignment horizontal="center"/>
    </xf>
    <xf numFmtId="2" fontId="3" fillId="2" borderId="32" xfId="3" applyNumberFormat="1" applyFont="1" applyFill="1" applyBorder="1" applyAlignment="1">
      <alignment horizontal="left" indent="2"/>
    </xf>
    <xf numFmtId="164" fontId="3" fillId="2" borderId="14" xfId="5" applyNumberFormat="1" applyFont="1" applyFill="1" applyBorder="1" applyAlignment="1">
      <alignment horizontal="center"/>
    </xf>
    <xf numFmtId="164" fontId="3" fillId="2" borderId="50" xfId="5" applyNumberFormat="1" applyFont="1" applyFill="1" applyBorder="1" applyAlignment="1">
      <alignment horizontal="center"/>
    </xf>
    <xf numFmtId="164" fontId="3" fillId="2" borderId="51" xfId="5" applyNumberFormat="1" applyFont="1" applyFill="1" applyBorder="1" applyAlignment="1">
      <alignment horizontal="center"/>
    </xf>
    <xf numFmtId="164" fontId="3" fillId="2" borderId="15" xfId="5" applyNumberFormat="1" applyFont="1" applyFill="1" applyBorder="1" applyAlignment="1">
      <alignment horizontal="center"/>
    </xf>
    <xf numFmtId="2" fontId="2" fillId="2" borderId="32" xfId="3" applyNumberFormat="1" applyFont="1" applyFill="1" applyBorder="1" applyAlignment="1">
      <alignment horizontal="left"/>
    </xf>
    <xf numFmtId="2" fontId="2" fillId="2" borderId="14" xfId="5" applyNumberFormat="1" applyFont="1" applyFill="1" applyBorder="1" applyAlignment="1">
      <alignment horizontal="center"/>
    </xf>
    <xf numFmtId="164" fontId="2" fillId="2" borderId="14" xfId="5" applyNumberFormat="1" applyFont="1" applyFill="1" applyBorder="1" applyAlignment="1">
      <alignment horizontal="center"/>
    </xf>
    <xf numFmtId="164" fontId="2" fillId="2" borderId="15" xfId="5" applyNumberFormat="1" applyFont="1" applyFill="1" applyBorder="1" applyAlignment="1">
      <alignment horizontal="center"/>
    </xf>
    <xf numFmtId="2" fontId="2" fillId="2" borderId="39" xfId="3" applyNumberFormat="1" applyFont="1" applyFill="1" applyBorder="1" applyAlignment="1">
      <alignment horizontal="left"/>
    </xf>
    <xf numFmtId="2" fontId="2" fillId="2" borderId="52" xfId="5" applyNumberFormat="1" applyFont="1" applyFill="1" applyBorder="1" applyAlignment="1">
      <alignment horizontal="center"/>
    </xf>
    <xf numFmtId="164" fontId="2" fillId="2" borderId="52" xfId="5" applyNumberFormat="1" applyFont="1" applyFill="1" applyBorder="1" applyAlignment="1">
      <alignment horizontal="center"/>
    </xf>
    <xf numFmtId="164" fontId="2" fillId="2" borderId="53" xfId="5" applyNumberFormat="1" applyFont="1" applyFill="1" applyBorder="1" applyAlignment="1">
      <alignment horizontal="center"/>
    </xf>
    <xf numFmtId="167" fontId="2" fillId="2" borderId="0" xfId="3" applyNumberFormat="1" applyFont="1" applyFill="1" applyBorder="1" applyAlignment="1">
      <alignment horizontal="left"/>
    </xf>
    <xf numFmtId="0" fontId="2" fillId="2" borderId="54" xfId="3" applyFont="1" applyFill="1" applyBorder="1"/>
    <xf numFmtId="0" fontId="3" fillId="2" borderId="21" xfId="3" applyFont="1" applyFill="1" applyBorder="1" applyAlignment="1"/>
    <xf numFmtId="0" fontId="2" fillId="2" borderId="55" xfId="3" applyFont="1" applyFill="1" applyBorder="1" applyAlignment="1">
      <alignment horizontal="center"/>
    </xf>
    <xf numFmtId="0" fontId="2" fillId="2" borderId="56" xfId="3" applyFont="1" applyFill="1" applyBorder="1" applyAlignment="1">
      <alignment horizontal="left"/>
    </xf>
    <xf numFmtId="164" fontId="2" fillId="2" borderId="57" xfId="3" applyNumberFormat="1" applyFont="1" applyFill="1" applyBorder="1" applyAlignment="1">
      <alignment horizontal="center"/>
    </xf>
    <xf numFmtId="2" fontId="3" fillId="2" borderId="58" xfId="3" applyNumberFormat="1" applyFont="1" applyFill="1" applyBorder="1" applyAlignment="1">
      <alignment horizontal="left" indent="1"/>
    </xf>
    <xf numFmtId="2" fontId="3" fillId="2" borderId="60" xfId="3" applyNumberFormat="1" applyFont="1" applyFill="1" applyBorder="1" applyAlignment="1">
      <alignment horizontal="left" indent="2"/>
    </xf>
    <xf numFmtId="164" fontId="3" fillId="2" borderId="61" xfId="5" applyNumberFormat="1" applyFont="1" applyFill="1" applyBorder="1" applyAlignment="1">
      <alignment horizontal="center"/>
    </xf>
    <xf numFmtId="164" fontId="3" fillId="2" borderId="49" xfId="4" applyNumberFormat="1" applyFont="1" applyFill="1" applyBorder="1" applyAlignment="1">
      <alignment horizontal="center"/>
    </xf>
    <xf numFmtId="2" fontId="3" fillId="2" borderId="58" xfId="3" applyNumberFormat="1" applyFont="1" applyFill="1" applyBorder="1" applyAlignment="1">
      <alignment horizontal="left" indent="2"/>
    </xf>
    <xf numFmtId="164" fontId="3" fillId="2" borderId="14" xfId="4" applyNumberFormat="1" applyFont="1" applyFill="1" applyBorder="1" applyAlignment="1">
      <alignment horizontal="center"/>
    </xf>
    <xf numFmtId="2" fontId="2" fillId="2" borderId="58" xfId="3" applyNumberFormat="1" applyFont="1" applyFill="1" applyBorder="1" applyAlignment="1">
      <alignment horizontal="left"/>
    </xf>
    <xf numFmtId="164" fontId="2" fillId="2" borderId="49" xfId="4" applyNumberFormat="1" applyFont="1" applyFill="1" applyBorder="1" applyAlignment="1">
      <alignment horizontal="center"/>
    </xf>
    <xf numFmtId="2" fontId="2" fillId="2" borderId="62" xfId="3" applyNumberFormat="1" applyFont="1" applyFill="1" applyBorder="1" applyAlignment="1">
      <alignment horizontal="left"/>
    </xf>
    <xf numFmtId="164" fontId="2" fillId="2" borderId="40" xfId="5" applyNumberFormat="1" applyFont="1" applyFill="1" applyBorder="1" applyAlignment="1">
      <alignment horizontal="center"/>
    </xf>
    <xf numFmtId="164" fontId="2" fillId="2" borderId="40" xfId="4" applyNumberFormat="1" applyFont="1" applyFill="1" applyBorder="1" applyAlignment="1">
      <alignment horizontal="center"/>
    </xf>
    <xf numFmtId="0" fontId="3" fillId="2" borderId="0" xfId="3" applyFont="1" applyFill="1" applyBorder="1"/>
    <xf numFmtId="166" fontId="3" fillId="2" borderId="14" xfId="3" applyNumberFormat="1" applyFont="1" applyFill="1" applyBorder="1" applyAlignment="1">
      <alignment horizontal="center"/>
    </xf>
    <xf numFmtId="166" fontId="3" fillId="2" borderId="50" xfId="3" applyNumberFormat="1" applyFont="1" applyFill="1" applyBorder="1" applyAlignment="1">
      <alignment horizontal="center"/>
    </xf>
    <xf numFmtId="166" fontId="3" fillId="2" borderId="63" xfId="3" applyNumberFormat="1" applyFont="1" applyFill="1" applyBorder="1" applyAlignment="1">
      <alignment horizontal="center"/>
    </xf>
    <xf numFmtId="166" fontId="3" fillId="2" borderId="49" xfId="3" applyNumberFormat="1" applyFont="1" applyFill="1" applyBorder="1" applyAlignment="1">
      <alignment horizontal="center"/>
    </xf>
    <xf numFmtId="0" fontId="2" fillId="2" borderId="8" xfId="3" applyFont="1" applyFill="1" applyBorder="1" applyAlignment="1">
      <alignment horizontal="center"/>
    </xf>
    <xf numFmtId="164" fontId="3" fillId="2" borderId="0" xfId="3" applyNumberFormat="1" applyFont="1" applyFill="1" applyBorder="1"/>
    <xf numFmtId="0" fontId="2" fillId="2" borderId="1" xfId="3" applyFont="1" applyFill="1" applyBorder="1" applyAlignment="1"/>
    <xf numFmtId="166" fontId="2" fillId="2" borderId="64" xfId="3" applyNumberFormat="1" applyFont="1" applyFill="1" applyBorder="1" applyAlignment="1">
      <alignment horizontal="center"/>
    </xf>
    <xf numFmtId="0" fontId="0" fillId="2" borderId="0" xfId="0" applyFill="1" applyBorder="1"/>
    <xf numFmtId="0" fontId="2" fillId="2" borderId="65" xfId="3" applyFont="1" applyFill="1" applyBorder="1"/>
    <xf numFmtId="166" fontId="2" fillId="2" borderId="66" xfId="3" applyNumberFormat="1" applyFont="1" applyFill="1" applyBorder="1" applyAlignment="1">
      <alignment horizontal="center"/>
    </xf>
    <xf numFmtId="166" fontId="3" fillId="2" borderId="66" xfId="3" applyNumberFormat="1" applyFont="1" applyFill="1" applyBorder="1" applyAlignment="1">
      <alignment horizontal="center"/>
    </xf>
    <xf numFmtId="166" fontId="2" fillId="2" borderId="67" xfId="3" applyNumberFormat="1" applyFont="1" applyFill="1" applyBorder="1" applyAlignment="1">
      <alignment horizontal="center"/>
    </xf>
    <xf numFmtId="164" fontId="2" fillId="2" borderId="68" xfId="3" applyNumberFormat="1" applyFont="1" applyFill="1" applyBorder="1" applyAlignment="1">
      <alignment horizontal="center"/>
    </xf>
    <xf numFmtId="164" fontId="3" fillId="2" borderId="69" xfId="5" applyNumberFormat="1" applyFont="1" applyFill="1" applyBorder="1" applyAlignment="1">
      <alignment horizontal="center"/>
    </xf>
    <xf numFmtId="164" fontId="3" fillId="2" borderId="69" xfId="4" applyNumberFormat="1" applyFont="1" applyFill="1" applyBorder="1" applyAlignment="1">
      <alignment horizontal="center"/>
    </xf>
    <xf numFmtId="164" fontId="2" fillId="2" borderId="69" xfId="4" applyNumberFormat="1" applyFont="1" applyFill="1" applyBorder="1" applyAlignment="1">
      <alignment horizontal="center"/>
    </xf>
    <xf numFmtId="164" fontId="2" fillId="2" borderId="70" xfId="4" applyNumberFormat="1" applyFont="1" applyFill="1" applyBorder="1" applyAlignment="1">
      <alignment horizontal="center"/>
    </xf>
    <xf numFmtId="164" fontId="2" fillId="2" borderId="14" xfId="4" applyNumberFormat="1" applyFont="1" applyFill="1" applyBorder="1" applyAlignment="1">
      <alignment horizontal="center"/>
    </xf>
    <xf numFmtId="166" fontId="3" fillId="2" borderId="71" xfId="3" applyNumberFormat="1" applyFont="1" applyFill="1" applyBorder="1" applyAlignment="1">
      <alignment horizontal="center"/>
    </xf>
    <xf numFmtId="166" fontId="3" fillId="2" borderId="59" xfId="3" applyNumberFormat="1" applyFont="1" applyFill="1" applyBorder="1" applyAlignment="1">
      <alignment horizontal="center"/>
    </xf>
    <xf numFmtId="166" fontId="2" fillId="2" borderId="72" xfId="3" applyNumberFormat="1" applyFont="1" applyFill="1" applyBorder="1" applyAlignment="1">
      <alignment horizontal="center"/>
    </xf>
    <xf numFmtId="0" fontId="2" fillId="2" borderId="54" xfId="3" applyFont="1" applyFill="1" applyBorder="1" applyAlignment="1">
      <alignment horizontal="center"/>
    </xf>
    <xf numFmtId="164" fontId="2" fillId="2" borderId="73" xfId="3" applyNumberFormat="1" applyFont="1" applyFill="1" applyBorder="1" applyAlignment="1">
      <alignment horizontal="center"/>
    </xf>
    <xf numFmtId="164" fontId="3" fillId="2" borderId="71" xfId="5" applyNumberFormat="1" applyFont="1" applyFill="1" applyBorder="1" applyAlignment="1">
      <alignment horizontal="center"/>
    </xf>
    <xf numFmtId="164" fontId="3" fillId="2" borderId="74" xfId="5" applyNumberFormat="1" applyFont="1" applyFill="1" applyBorder="1" applyAlignment="1">
      <alignment horizontal="center"/>
    </xf>
    <xf numFmtId="164" fontId="2" fillId="2" borderId="71" xfId="5" applyNumberFormat="1" applyFont="1" applyFill="1" applyBorder="1" applyAlignment="1">
      <alignment horizontal="center"/>
    </xf>
    <xf numFmtId="164" fontId="2" fillId="2" borderId="75" xfId="5" applyNumberFormat="1" applyFont="1" applyFill="1" applyBorder="1" applyAlignment="1">
      <alignment horizontal="center"/>
    </xf>
    <xf numFmtId="166" fontId="2" fillId="2" borderId="71" xfId="3" applyNumberFormat="1" applyFont="1" applyFill="1" applyBorder="1" applyAlignment="1">
      <alignment horizontal="center"/>
    </xf>
    <xf numFmtId="166" fontId="3" fillId="2" borderId="74" xfId="3" applyNumberFormat="1" applyFont="1" applyFill="1" applyBorder="1" applyAlignment="1">
      <alignment horizontal="center"/>
    </xf>
    <xf numFmtId="166" fontId="3" fillId="2" borderId="76" xfId="3" applyNumberFormat="1" applyFont="1" applyFill="1" applyBorder="1" applyAlignment="1">
      <alignment horizontal="center"/>
    </xf>
    <xf numFmtId="166" fontId="2" fillId="2" borderId="74" xfId="3" applyNumberFormat="1" applyFont="1" applyFill="1" applyBorder="1" applyAlignment="1">
      <alignment horizontal="center"/>
    </xf>
    <xf numFmtId="166" fontId="2" fillId="2" borderId="77" xfId="3" applyNumberFormat="1" applyFont="1" applyFill="1" applyBorder="1" applyAlignment="1">
      <alignment horizontal="center"/>
    </xf>
    <xf numFmtId="0" fontId="3" fillId="2" borderId="0" xfId="3" applyFont="1" applyFill="1" applyBorder="1" applyAlignment="1">
      <alignment horizontal="left"/>
    </xf>
    <xf numFmtId="164" fontId="0" fillId="2" borderId="0" xfId="0" applyNumberFormat="1" applyFill="1"/>
    <xf numFmtId="0" fontId="2" fillId="2" borderId="42" xfId="3" applyFont="1" applyFill="1" applyBorder="1" applyAlignment="1">
      <alignment horizontal="left"/>
    </xf>
    <xf numFmtId="164" fontId="2" fillId="2" borderId="78" xfId="3" applyNumberFormat="1" applyFont="1" applyFill="1" applyBorder="1" applyAlignment="1">
      <alignment horizontal="center"/>
    </xf>
    <xf numFmtId="2" fontId="3" fillId="2" borderId="11" xfId="3" applyNumberFormat="1" applyFont="1" applyFill="1" applyBorder="1" applyAlignment="1">
      <alignment horizontal="left" indent="1"/>
    </xf>
    <xf numFmtId="2" fontId="3" fillId="2" borderId="16" xfId="3" applyNumberFormat="1" applyFont="1" applyFill="1" applyBorder="1" applyAlignment="1">
      <alignment horizontal="left" indent="2"/>
    </xf>
    <xf numFmtId="2" fontId="3" fillId="2" borderId="11" xfId="3" applyNumberFormat="1" applyFont="1" applyFill="1" applyBorder="1" applyAlignment="1">
      <alignment horizontal="left" indent="2"/>
    </xf>
    <xf numFmtId="164" fontId="2" fillId="2" borderId="49" xfId="5" applyNumberFormat="1" applyFont="1" applyFill="1" applyBorder="1" applyAlignment="1">
      <alignment horizontal="center"/>
    </xf>
    <xf numFmtId="164" fontId="2" fillId="2" borderId="80" xfId="5" applyNumberFormat="1" applyFont="1" applyFill="1" applyBorder="1" applyAlignment="1">
      <alignment horizontal="center"/>
    </xf>
    <xf numFmtId="2" fontId="2" fillId="2" borderId="11" xfId="3" applyNumberFormat="1" applyFont="1" applyFill="1" applyBorder="1" applyAlignment="1">
      <alignment horizontal="left"/>
    </xf>
    <xf numFmtId="2" fontId="2" fillId="2" borderId="79" xfId="3" applyNumberFormat="1" applyFont="1" applyFill="1" applyBorder="1" applyAlignment="1">
      <alignment horizontal="left"/>
    </xf>
    <xf numFmtId="0" fontId="3" fillId="2" borderId="43" xfId="3" applyFont="1" applyFill="1" applyBorder="1" applyAlignment="1">
      <alignment horizontal="left"/>
    </xf>
    <xf numFmtId="0" fontId="3" fillId="2" borderId="0" xfId="3" applyFont="1" applyFill="1" applyBorder="1" applyAlignment="1">
      <alignment horizontal="left"/>
    </xf>
    <xf numFmtId="0" fontId="2" fillId="2" borderId="1" xfId="3" applyFont="1" applyFill="1" applyBorder="1" applyAlignment="1">
      <alignment horizontal="left"/>
    </xf>
    <xf numFmtId="0" fontId="3" fillId="2" borderId="20" xfId="3" applyFont="1" applyFill="1" applyBorder="1" applyAlignment="1">
      <alignment horizontal="left"/>
    </xf>
    <xf numFmtId="0" fontId="3" fillId="2" borderId="21" xfId="3" applyFont="1" applyFill="1" applyBorder="1" applyAlignment="1">
      <alignment horizontal="left"/>
    </xf>
    <xf numFmtId="0" fontId="2" fillId="2" borderId="23" xfId="3" applyFont="1" applyFill="1" applyBorder="1" applyAlignment="1">
      <alignment horizontal="left"/>
    </xf>
    <xf numFmtId="0" fontId="3" fillId="2" borderId="42" xfId="3" applyFont="1" applyFill="1" applyBorder="1" applyAlignment="1">
      <alignment horizontal="left"/>
    </xf>
  </cellXfs>
  <cellStyles count="6">
    <cellStyle name="Comma" xfId="4" builtinId="3"/>
    <cellStyle name="Comma 9" xfId="5"/>
    <cellStyle name="Normal" xfId="0" builtinId="0"/>
    <cellStyle name="Normal 6" xfId="2"/>
    <cellStyle name="Normal 6 2" xfId="3"/>
    <cellStyle name="Normal_bop80-0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F127"/>
  <sheetViews>
    <sheetView tabSelected="1" workbookViewId="0">
      <pane xSplit="1" ySplit="4" topLeftCell="BT92" activePane="bottomRight" state="frozen"/>
      <selection pane="topRight" activeCell="B1" sqref="B1"/>
      <selection pane="bottomLeft" activeCell="A5" sqref="A5"/>
      <selection pane="bottomRight" activeCell="CC95" sqref="CC95"/>
    </sheetView>
  </sheetViews>
  <sheetFormatPr defaultRowHeight="15" x14ac:dyDescent="0.25"/>
  <cols>
    <col min="1" max="1" width="56.28515625" style="4" bestFit="1" customWidth="1"/>
    <col min="2" max="78" width="9.140625" style="4"/>
    <col min="79" max="84" width="8.42578125" style="4" bestFit="1" customWidth="1"/>
    <col min="85" max="16384" width="9.140625" style="4"/>
  </cols>
  <sheetData>
    <row r="2" spans="1:84" ht="17.25" thickBot="1" x14ac:dyDescent="0.35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3"/>
      <c r="AW2" s="3"/>
      <c r="AX2" s="3"/>
      <c r="AY2" s="3"/>
      <c r="AZ2" s="3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CE2" s="179"/>
    </row>
    <row r="3" spans="1:84" ht="17.25" thickTop="1" x14ac:dyDescent="0.3">
      <c r="A3" s="30"/>
      <c r="B3" s="28">
        <v>1980</v>
      </c>
      <c r="C3" s="28">
        <v>1981</v>
      </c>
      <c r="D3" s="28">
        <v>1982</v>
      </c>
      <c r="E3" s="28">
        <v>1983</v>
      </c>
      <c r="F3" s="28">
        <v>1984</v>
      </c>
      <c r="G3" s="28">
        <v>1985</v>
      </c>
      <c r="H3" s="28">
        <v>1986</v>
      </c>
      <c r="I3" s="28">
        <v>1987</v>
      </c>
      <c r="J3" s="28">
        <v>1988</v>
      </c>
      <c r="K3" s="28">
        <v>1989</v>
      </c>
      <c r="L3" s="28">
        <v>1990</v>
      </c>
      <c r="M3" s="28">
        <v>1991</v>
      </c>
      <c r="N3" s="28">
        <v>1992</v>
      </c>
      <c r="O3" s="28">
        <v>1993</v>
      </c>
      <c r="P3" s="28" t="s">
        <v>1</v>
      </c>
      <c r="Q3" s="28" t="s">
        <v>2</v>
      </c>
      <c r="R3" s="28" t="s">
        <v>3</v>
      </c>
      <c r="S3" s="28" t="s">
        <v>4</v>
      </c>
      <c r="T3" s="28" t="s">
        <v>5</v>
      </c>
      <c r="U3" s="28" t="s">
        <v>6</v>
      </c>
      <c r="V3" s="28" t="s">
        <v>7</v>
      </c>
      <c r="W3" s="28" t="s">
        <v>8</v>
      </c>
      <c r="X3" s="28" t="s">
        <v>9</v>
      </c>
      <c r="Y3" s="28" t="s">
        <v>10</v>
      </c>
      <c r="Z3" s="28" t="s">
        <v>11</v>
      </c>
      <c r="AA3" s="28" t="s">
        <v>12</v>
      </c>
      <c r="AB3" s="28" t="s">
        <v>13</v>
      </c>
      <c r="AC3" s="28" t="s">
        <v>14</v>
      </c>
      <c r="AD3" s="28" t="s">
        <v>15</v>
      </c>
      <c r="AE3" s="28" t="s">
        <v>16</v>
      </c>
      <c r="AF3" s="28" t="s">
        <v>17</v>
      </c>
      <c r="AG3" s="28" t="s">
        <v>238</v>
      </c>
      <c r="AH3" s="28" t="s">
        <v>18</v>
      </c>
      <c r="AI3" s="28" t="s">
        <v>19</v>
      </c>
      <c r="AJ3" s="28" t="s">
        <v>20</v>
      </c>
      <c r="AK3" s="28" t="s">
        <v>21</v>
      </c>
      <c r="AL3" s="28" t="s">
        <v>22</v>
      </c>
      <c r="AM3" s="28" t="s">
        <v>23</v>
      </c>
      <c r="AN3" s="28" t="s">
        <v>24</v>
      </c>
      <c r="AO3" s="28" t="s">
        <v>25</v>
      </c>
      <c r="AP3" s="28" t="s">
        <v>26</v>
      </c>
      <c r="AQ3" s="28" t="s">
        <v>27</v>
      </c>
      <c r="AR3" s="28" t="s">
        <v>28</v>
      </c>
      <c r="AS3" s="28" t="s">
        <v>29</v>
      </c>
      <c r="AT3" s="28" t="s">
        <v>30</v>
      </c>
      <c r="AU3" s="28" t="s">
        <v>31</v>
      </c>
      <c r="AV3" s="28" t="s">
        <v>32</v>
      </c>
      <c r="AW3" s="28" t="s">
        <v>239</v>
      </c>
      <c r="AX3" s="28" t="s">
        <v>33</v>
      </c>
      <c r="AY3" s="28" t="s">
        <v>34</v>
      </c>
      <c r="AZ3" s="28" t="s">
        <v>35</v>
      </c>
      <c r="BA3" s="26" t="s">
        <v>240</v>
      </c>
      <c r="BB3" s="26" t="s">
        <v>36</v>
      </c>
      <c r="BC3" s="26" t="s">
        <v>37</v>
      </c>
      <c r="BD3" s="26" t="s">
        <v>38</v>
      </c>
      <c r="BE3" s="26" t="s">
        <v>241</v>
      </c>
      <c r="BF3" s="26" t="s">
        <v>190</v>
      </c>
      <c r="BG3" s="26" t="s">
        <v>191</v>
      </c>
      <c r="BH3" s="26" t="s">
        <v>192</v>
      </c>
      <c r="BI3" s="26" t="s">
        <v>242</v>
      </c>
      <c r="BJ3" s="26" t="s">
        <v>206</v>
      </c>
      <c r="BK3" s="26" t="s">
        <v>207</v>
      </c>
      <c r="BL3" s="26" t="s">
        <v>208</v>
      </c>
      <c r="BM3" s="26" t="s">
        <v>243</v>
      </c>
      <c r="BN3" s="26" t="s">
        <v>213</v>
      </c>
      <c r="BO3" s="26" t="s">
        <v>214</v>
      </c>
      <c r="BP3" s="26" t="s">
        <v>215</v>
      </c>
      <c r="BQ3" s="26" t="s">
        <v>244</v>
      </c>
      <c r="BR3" s="26" t="s">
        <v>223</v>
      </c>
      <c r="BS3" s="26" t="s">
        <v>224</v>
      </c>
      <c r="BT3" s="26" t="s">
        <v>225</v>
      </c>
      <c r="BU3" s="26" t="s">
        <v>245</v>
      </c>
      <c r="BV3" s="26" t="s">
        <v>229</v>
      </c>
      <c r="BW3" s="26" t="s">
        <v>230</v>
      </c>
      <c r="BX3" s="26" t="s">
        <v>231</v>
      </c>
      <c r="BY3" s="26" t="s">
        <v>266</v>
      </c>
      <c r="BZ3" s="26" t="s">
        <v>235</v>
      </c>
      <c r="CA3" s="26" t="s">
        <v>236</v>
      </c>
      <c r="CB3" s="26" t="s">
        <v>255</v>
      </c>
      <c r="CC3" s="26" t="s">
        <v>267</v>
      </c>
      <c r="CD3" s="26" t="s">
        <v>268</v>
      </c>
      <c r="CE3" s="26" t="s">
        <v>269</v>
      </c>
      <c r="CF3" s="26" t="s">
        <v>270</v>
      </c>
    </row>
    <row r="4" spans="1:84" ht="17.25" thickBot="1" x14ac:dyDescent="0.35">
      <c r="A4" s="31"/>
      <c r="B4" s="29" t="s">
        <v>39</v>
      </c>
      <c r="C4" s="29" t="s">
        <v>39</v>
      </c>
      <c r="D4" s="29" t="s">
        <v>39</v>
      </c>
      <c r="E4" s="29" t="s">
        <v>39</v>
      </c>
      <c r="F4" s="29" t="s">
        <v>39</v>
      </c>
      <c r="G4" s="29" t="s">
        <v>39</v>
      </c>
      <c r="H4" s="29" t="s">
        <v>39</v>
      </c>
      <c r="I4" s="29" t="s">
        <v>39</v>
      </c>
      <c r="J4" s="29" t="s">
        <v>39</v>
      </c>
      <c r="K4" s="29" t="s">
        <v>39</v>
      </c>
      <c r="L4" s="29" t="s">
        <v>39</v>
      </c>
      <c r="M4" s="29" t="s">
        <v>39</v>
      </c>
      <c r="N4" s="29" t="s">
        <v>39</v>
      </c>
      <c r="O4" s="29" t="s">
        <v>39</v>
      </c>
      <c r="P4" s="29" t="s">
        <v>39</v>
      </c>
      <c r="Q4" s="29" t="s">
        <v>39</v>
      </c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 t="s">
        <v>251</v>
      </c>
      <c r="CD4" s="27" t="s">
        <v>251</v>
      </c>
      <c r="CE4" s="27" t="s">
        <v>251</v>
      </c>
      <c r="CF4" s="27" t="s">
        <v>251</v>
      </c>
    </row>
    <row r="5" spans="1:84" ht="17.25" thickTop="1" x14ac:dyDescent="0.3">
      <c r="A5" s="5" t="s">
        <v>40</v>
      </c>
      <c r="B5" s="6">
        <v>-384.28</v>
      </c>
      <c r="C5" s="6">
        <v>-430</v>
      </c>
      <c r="D5" s="6">
        <v>-521.6</v>
      </c>
      <c r="E5" s="6">
        <v>-444.3</v>
      </c>
      <c r="F5" s="6">
        <v>-344.1</v>
      </c>
      <c r="G5" s="6">
        <v>-342.2</v>
      </c>
      <c r="H5" s="6">
        <v>-416.4</v>
      </c>
      <c r="I5" s="6">
        <v>-389.2</v>
      </c>
      <c r="J5" s="6">
        <v>-350.58</v>
      </c>
      <c r="K5" s="6">
        <v>-454.1</v>
      </c>
      <c r="L5" s="6">
        <v>-517.46</v>
      </c>
      <c r="M5" s="6">
        <v>-553.70000000000005</v>
      </c>
      <c r="N5" s="6">
        <v>-501.4</v>
      </c>
      <c r="O5" s="6">
        <v>-609.4</v>
      </c>
      <c r="P5" s="6">
        <v>-647.41</v>
      </c>
      <c r="Q5" s="6">
        <v>-464.2</v>
      </c>
      <c r="R5" s="6">
        <v>-168.6</v>
      </c>
      <c r="S5" s="6">
        <v>-83.4</v>
      </c>
      <c r="T5" s="6">
        <v>-126.7</v>
      </c>
      <c r="U5" s="6">
        <v>-182.4</v>
      </c>
      <c r="V5" s="6">
        <v>-21.3</v>
      </c>
      <c r="W5" s="6">
        <v>-188</v>
      </c>
      <c r="X5" s="6">
        <v>-204.9</v>
      </c>
      <c r="Y5" s="6">
        <v>-23.3</v>
      </c>
      <c r="Z5" s="6">
        <v>-73.3</v>
      </c>
      <c r="AA5" s="6">
        <v>-225</v>
      </c>
      <c r="AB5" s="6">
        <v>27.4</v>
      </c>
      <c r="AC5" s="6">
        <v>-502.7</v>
      </c>
      <c r="AD5" s="6">
        <v>-149</v>
      </c>
      <c r="AE5" s="6">
        <v>-193.9</v>
      </c>
      <c r="AF5" s="6">
        <v>-282.3</v>
      </c>
      <c r="AG5" s="6">
        <v>-229.4</v>
      </c>
      <c r="AH5" s="6">
        <v>-269.10000000000002</v>
      </c>
      <c r="AI5" s="6">
        <v>-155.19999999999999</v>
      </c>
      <c r="AJ5" s="6">
        <v>-174.1</v>
      </c>
      <c r="AK5" s="6">
        <v>-98.5</v>
      </c>
      <c r="AL5" s="6">
        <v>-166.6</v>
      </c>
      <c r="AM5" s="6">
        <v>-108.2</v>
      </c>
      <c r="AN5" s="6">
        <v>-230.5</v>
      </c>
      <c r="AO5" s="6">
        <v>-144.1</v>
      </c>
      <c r="AP5" s="6">
        <v>-275.5</v>
      </c>
      <c r="AQ5" s="6">
        <v>-588.29999999999995</v>
      </c>
      <c r="AR5" s="6">
        <v>-214.5</v>
      </c>
      <c r="AS5" s="6">
        <v>209.2</v>
      </c>
      <c r="AT5" s="6">
        <v>-186.9</v>
      </c>
      <c r="AU5" s="6">
        <v>-242.6</v>
      </c>
      <c r="AV5" s="6">
        <v>-170.6</v>
      </c>
      <c r="AW5" s="7">
        <v>-216.4</v>
      </c>
      <c r="AX5" s="8">
        <v>-104.9</v>
      </c>
      <c r="AY5" s="8">
        <v>-259.5</v>
      </c>
      <c r="AZ5" s="8">
        <v>-117.5</v>
      </c>
      <c r="BA5" s="7">
        <v>-125.5</v>
      </c>
      <c r="BB5" s="8">
        <v>-132</v>
      </c>
      <c r="BC5" s="8">
        <v>-186.2</v>
      </c>
      <c r="BD5" s="8">
        <v>-102.6</v>
      </c>
      <c r="BE5" s="8">
        <v>-339.8</v>
      </c>
      <c r="BF5" s="6">
        <v>-35.299999999999997</v>
      </c>
      <c r="BG5" s="6">
        <v>-256.10000000000002</v>
      </c>
      <c r="BH5" s="6">
        <v>-37.5</v>
      </c>
      <c r="BI5" s="6">
        <v>-444.4</v>
      </c>
      <c r="BJ5" s="6">
        <v>-40.1</v>
      </c>
      <c r="BK5" s="6">
        <v>-312.89999999999998</v>
      </c>
      <c r="BL5" s="6">
        <v>37</v>
      </c>
      <c r="BM5" s="6">
        <v>-469.3</v>
      </c>
      <c r="BN5" s="6">
        <v>32.75661873</v>
      </c>
      <c r="BO5" s="7">
        <v>-365.10045739999998</v>
      </c>
      <c r="BP5" s="7">
        <v>-234.99328109999999</v>
      </c>
      <c r="BQ5" s="7">
        <v>-612.06596039999999</v>
      </c>
      <c r="BR5" s="7">
        <v>-347.69861350000002</v>
      </c>
      <c r="BS5" s="7">
        <v>-288.89940949999999</v>
      </c>
      <c r="BT5" s="7">
        <v>-124.8099249</v>
      </c>
      <c r="BU5" s="7">
        <v>-458.71362640000001</v>
      </c>
      <c r="BV5" s="7">
        <v>-387.7</v>
      </c>
      <c r="BW5" s="7">
        <v>-150.69999999999999</v>
      </c>
      <c r="BX5" s="7">
        <v>-248.6373687</v>
      </c>
      <c r="BY5" s="7">
        <v>-462.9371084</v>
      </c>
      <c r="BZ5" s="7">
        <v>-422.75173221482277</v>
      </c>
      <c r="CA5" s="7">
        <v>-427.75475125798903</v>
      </c>
      <c r="CB5" s="7">
        <v>-767.85797003290827</v>
      </c>
      <c r="CC5" s="7">
        <v>-746.15018071105374</v>
      </c>
      <c r="CD5" s="7">
        <v>-583.62556327232232</v>
      </c>
      <c r="CE5" s="7">
        <v>-964.53283392419576</v>
      </c>
      <c r="CF5" s="7">
        <v>-176.59724986959691</v>
      </c>
    </row>
    <row r="6" spans="1:84" ht="16.5" x14ac:dyDescent="0.3">
      <c r="A6" s="9" t="s">
        <v>41</v>
      </c>
      <c r="B6" s="10">
        <v>-462.28</v>
      </c>
      <c r="C6" s="10">
        <v>-486.8</v>
      </c>
      <c r="D6" s="10">
        <v>-580.70000000000005</v>
      </c>
      <c r="E6" s="10">
        <v>-501.4</v>
      </c>
      <c r="F6" s="10">
        <v>-458.7</v>
      </c>
      <c r="G6" s="10">
        <v>-383.2</v>
      </c>
      <c r="H6" s="10">
        <v>-506</v>
      </c>
      <c r="I6" s="10">
        <v>-582.6</v>
      </c>
      <c r="J6" s="10">
        <v>-657.8</v>
      </c>
      <c r="K6" s="10">
        <v>-720.3</v>
      </c>
      <c r="L6" s="10">
        <v>-762.4</v>
      </c>
      <c r="M6" s="10">
        <v>-715.3</v>
      </c>
      <c r="N6" s="10">
        <v>-680.7</v>
      </c>
      <c r="O6" s="10">
        <v>-792.1</v>
      </c>
      <c r="P6" s="10">
        <v>-864.51</v>
      </c>
      <c r="Q6" s="10">
        <v>-535.79999999999995</v>
      </c>
      <c r="R6" s="10">
        <v>-180.1</v>
      </c>
      <c r="S6" s="10">
        <v>-90.6</v>
      </c>
      <c r="T6" s="10">
        <v>-99.2</v>
      </c>
      <c r="U6" s="10">
        <v>-203.2</v>
      </c>
      <c r="V6" s="10">
        <v>-59.3</v>
      </c>
      <c r="W6" s="10">
        <v>-225.3</v>
      </c>
      <c r="X6" s="10">
        <v>-192.6</v>
      </c>
      <c r="Y6" s="10">
        <v>-49</v>
      </c>
      <c r="Z6" s="10">
        <v>-119.3</v>
      </c>
      <c r="AA6" s="10">
        <v>-227.1</v>
      </c>
      <c r="AB6" s="10">
        <v>-17.399999999999999</v>
      </c>
      <c r="AC6" s="10">
        <v>-452.6</v>
      </c>
      <c r="AD6" s="10">
        <v>-241.6</v>
      </c>
      <c r="AE6" s="10">
        <v>-257.5</v>
      </c>
      <c r="AF6" s="10">
        <v>-260.7</v>
      </c>
      <c r="AG6" s="10">
        <v>-207.6</v>
      </c>
      <c r="AH6" s="10">
        <v>-278.8</v>
      </c>
      <c r="AI6" s="10">
        <v>-177.7</v>
      </c>
      <c r="AJ6" s="10">
        <v>-179.1</v>
      </c>
      <c r="AK6" s="10">
        <v>-183.4</v>
      </c>
      <c r="AL6" s="10">
        <v>-203.2</v>
      </c>
      <c r="AM6" s="10">
        <v>-61.4</v>
      </c>
      <c r="AN6" s="10">
        <v>-214</v>
      </c>
      <c r="AO6" s="10">
        <v>-136.6</v>
      </c>
      <c r="AP6" s="10">
        <v>-315.3</v>
      </c>
      <c r="AQ6" s="10">
        <v>-239.6</v>
      </c>
      <c r="AR6" s="10">
        <v>-184.1</v>
      </c>
      <c r="AS6" s="10">
        <v>-165.3</v>
      </c>
      <c r="AT6" s="10">
        <v>-238.5</v>
      </c>
      <c r="AU6" s="10">
        <v>-234</v>
      </c>
      <c r="AV6" s="10">
        <v>-179.7</v>
      </c>
      <c r="AW6" s="11">
        <v>-221.9</v>
      </c>
      <c r="AX6" s="11">
        <v>-157.6</v>
      </c>
      <c r="AY6" s="11">
        <v>-187.8</v>
      </c>
      <c r="AZ6" s="11">
        <v>-162.30000000000001</v>
      </c>
      <c r="BA6" s="11">
        <v>-114</v>
      </c>
      <c r="BB6" s="11">
        <v>-216.1</v>
      </c>
      <c r="BC6" s="11">
        <v>-179</v>
      </c>
      <c r="BD6" s="11">
        <v>-179.9</v>
      </c>
      <c r="BE6" s="11">
        <v>-228.7</v>
      </c>
      <c r="BF6" s="10">
        <v>-170.9</v>
      </c>
      <c r="BG6" s="10">
        <v>-196.5</v>
      </c>
      <c r="BH6" s="10">
        <v>-127.4</v>
      </c>
      <c r="BI6" s="10">
        <v>-144.80000000000001</v>
      </c>
      <c r="BJ6" s="10">
        <v>-156.80000000000001</v>
      </c>
      <c r="BK6" s="10">
        <v>-157.1</v>
      </c>
      <c r="BL6" s="10">
        <v>-142.1</v>
      </c>
      <c r="BM6" s="10">
        <v>-339.8</v>
      </c>
      <c r="BN6" s="10">
        <v>-258.15215990000002</v>
      </c>
      <c r="BO6" s="11">
        <v>-317.59726869999997</v>
      </c>
      <c r="BP6" s="11">
        <v>-328.66969540000002</v>
      </c>
      <c r="BQ6" s="11">
        <v>-496.11250380000001</v>
      </c>
      <c r="BR6" s="11">
        <v>-542.53227300000003</v>
      </c>
      <c r="BS6" s="11">
        <v>-412.1565258</v>
      </c>
      <c r="BT6" s="11">
        <v>-349.21597869999999</v>
      </c>
      <c r="BU6" s="11">
        <v>-428.238677</v>
      </c>
      <c r="BV6" s="11">
        <v>-508.3</v>
      </c>
      <c r="BW6" s="11">
        <v>-383.9</v>
      </c>
      <c r="BX6" s="11">
        <v>-417.38379309999999</v>
      </c>
      <c r="BY6" s="11">
        <v>-420.67669219999999</v>
      </c>
      <c r="BZ6" s="11">
        <v>-581.75398942898869</v>
      </c>
      <c r="CA6" s="11">
        <v>-573.08409604107146</v>
      </c>
      <c r="CB6" s="11">
        <v>-1001.4123408624839</v>
      </c>
      <c r="CC6" s="11">
        <v>-859.5595837084951</v>
      </c>
      <c r="CD6" s="11">
        <v>-733.40335275050654</v>
      </c>
      <c r="CE6" s="11">
        <v>-1002.7025306267375</v>
      </c>
      <c r="CF6" s="11">
        <v>-694.06436594138427</v>
      </c>
    </row>
    <row r="7" spans="1:84" ht="16.5" x14ac:dyDescent="0.3">
      <c r="A7" s="12" t="s">
        <v>42</v>
      </c>
      <c r="B7" s="13">
        <v>-439.38</v>
      </c>
      <c r="C7" s="13">
        <v>-440.19</v>
      </c>
      <c r="D7" s="13">
        <v>-523.11</v>
      </c>
      <c r="E7" s="13">
        <v>-441.16</v>
      </c>
      <c r="F7" s="13">
        <v>-390.03</v>
      </c>
      <c r="G7" s="13">
        <v>-304.73</v>
      </c>
      <c r="H7" s="13">
        <v>-409.33</v>
      </c>
      <c r="I7" s="13">
        <v>-480.8</v>
      </c>
      <c r="J7" s="13">
        <v>-559.04</v>
      </c>
      <c r="K7" s="13">
        <v>-622.13</v>
      </c>
      <c r="L7" s="13">
        <v>-663.35</v>
      </c>
      <c r="M7" s="13">
        <v>-646.62</v>
      </c>
      <c r="N7" s="13">
        <v>-630.20000000000005</v>
      </c>
      <c r="O7" s="13">
        <v>-727.33</v>
      </c>
      <c r="P7" s="13">
        <v>-752.65</v>
      </c>
      <c r="Q7" s="13">
        <v>-480</v>
      </c>
      <c r="R7" s="13">
        <v>-154.80000000000001</v>
      </c>
      <c r="S7" s="13">
        <v>-70.7</v>
      </c>
      <c r="T7" s="13">
        <v>-112.2</v>
      </c>
      <c r="U7" s="13">
        <v>-140.5</v>
      </c>
      <c r="V7" s="13">
        <v>-78.599999999999994</v>
      </c>
      <c r="W7" s="13">
        <v>-146.9</v>
      </c>
      <c r="X7" s="13">
        <v>-181.3</v>
      </c>
      <c r="Y7" s="13">
        <v>-47.2</v>
      </c>
      <c r="Z7" s="13">
        <v>-111.8</v>
      </c>
      <c r="AA7" s="13">
        <v>-207.6</v>
      </c>
      <c r="AB7" s="13">
        <v>0.8</v>
      </c>
      <c r="AC7" s="13">
        <v>-172.4</v>
      </c>
      <c r="AD7" s="13">
        <v>-170.3</v>
      </c>
      <c r="AE7" s="13">
        <v>-183.6</v>
      </c>
      <c r="AF7" s="13">
        <v>-255.1</v>
      </c>
      <c r="AG7" s="13">
        <v>-197.2</v>
      </c>
      <c r="AH7" s="13">
        <v>-241.2</v>
      </c>
      <c r="AI7" s="13">
        <v>-158.9</v>
      </c>
      <c r="AJ7" s="13">
        <v>-157.1</v>
      </c>
      <c r="AK7" s="13">
        <v>-135.4</v>
      </c>
      <c r="AL7" s="13">
        <v>-117.3</v>
      </c>
      <c r="AM7" s="13">
        <v>-8.8000000000000007</v>
      </c>
      <c r="AN7" s="13">
        <v>-92.6</v>
      </c>
      <c r="AO7" s="13">
        <v>-44.8</v>
      </c>
      <c r="AP7" s="13">
        <v>-207</v>
      </c>
      <c r="AQ7" s="13">
        <v>-135.69999999999999</v>
      </c>
      <c r="AR7" s="13">
        <v>-167.1</v>
      </c>
      <c r="AS7" s="13">
        <v>-156.80000000000001</v>
      </c>
      <c r="AT7" s="13">
        <v>-168.7</v>
      </c>
      <c r="AU7" s="13">
        <v>-152.4</v>
      </c>
      <c r="AV7" s="13">
        <v>-126.7</v>
      </c>
      <c r="AW7" s="14">
        <v>-156.19999999999999</v>
      </c>
      <c r="AX7" s="14">
        <v>-81.400000000000006</v>
      </c>
      <c r="AY7" s="14">
        <v>-94.7</v>
      </c>
      <c r="AZ7" s="14">
        <v>-84</v>
      </c>
      <c r="BA7" s="14">
        <v>-85.8</v>
      </c>
      <c r="BB7" s="14">
        <v>-123.3</v>
      </c>
      <c r="BC7" s="14">
        <v>-104.1</v>
      </c>
      <c r="BD7" s="14">
        <v>-98</v>
      </c>
      <c r="BE7" s="14">
        <v>-171.6</v>
      </c>
      <c r="BF7" s="13">
        <v>-75.900000000000006</v>
      </c>
      <c r="BG7" s="13">
        <v>-83.6</v>
      </c>
      <c r="BH7" s="13">
        <v>-45.6</v>
      </c>
      <c r="BI7" s="13">
        <v>-62.6</v>
      </c>
      <c r="BJ7" s="13">
        <v>-41.8</v>
      </c>
      <c r="BK7" s="13">
        <v>-58.2</v>
      </c>
      <c r="BL7" s="13">
        <v>-63.6</v>
      </c>
      <c r="BM7" s="13">
        <v>-235.5</v>
      </c>
      <c r="BN7" s="13">
        <v>-162.02237489999999</v>
      </c>
      <c r="BO7" s="14">
        <v>-210.89086839999999</v>
      </c>
      <c r="BP7" s="14">
        <v>-231.09666319999999</v>
      </c>
      <c r="BQ7" s="14">
        <v>-386.15495779999998</v>
      </c>
      <c r="BR7" s="14">
        <v>-411.99429739999999</v>
      </c>
      <c r="BS7" s="14">
        <v>-298.0146163</v>
      </c>
      <c r="BT7" s="14">
        <v>-236.4387715</v>
      </c>
      <c r="BU7" s="14">
        <v>-328.37504480000001</v>
      </c>
      <c r="BV7" s="14">
        <v>-331.7</v>
      </c>
      <c r="BW7" s="14">
        <v>-325.7</v>
      </c>
      <c r="BX7" s="14">
        <v>-214.73831200000001</v>
      </c>
      <c r="BY7" s="14">
        <v>-307.02458039999999</v>
      </c>
      <c r="BZ7" s="14">
        <v>-455.61648812956287</v>
      </c>
      <c r="CA7" s="14">
        <v>-406.01994344745071</v>
      </c>
      <c r="CB7" s="14">
        <v>-818.47824468593456</v>
      </c>
      <c r="CC7" s="14">
        <v>-569.19489812377799</v>
      </c>
      <c r="CD7" s="14">
        <v>-544.01439345583128</v>
      </c>
      <c r="CE7" s="14">
        <v>-621.48511026764879</v>
      </c>
      <c r="CF7" s="14">
        <v>-496.13060061992155</v>
      </c>
    </row>
    <row r="8" spans="1:84" ht="16.5" x14ac:dyDescent="0.3">
      <c r="A8" s="12" t="s">
        <v>43</v>
      </c>
      <c r="B8" s="13">
        <v>280.8</v>
      </c>
      <c r="C8" s="13">
        <v>280.8</v>
      </c>
      <c r="D8" s="13">
        <v>229.2</v>
      </c>
      <c r="E8" s="13">
        <v>131.6</v>
      </c>
      <c r="F8" s="13">
        <v>95.7</v>
      </c>
      <c r="G8" s="13">
        <v>76.599999999999994</v>
      </c>
      <c r="H8" s="13">
        <v>79.099999999999994</v>
      </c>
      <c r="I8" s="13">
        <v>97</v>
      </c>
      <c r="J8" s="13">
        <v>103</v>
      </c>
      <c r="K8" s="13">
        <v>104.8</v>
      </c>
      <c r="L8" s="13">
        <v>126.4</v>
      </c>
      <c r="M8" s="13">
        <v>162.30000000000001</v>
      </c>
      <c r="N8" s="13">
        <v>139.30000000000001</v>
      </c>
      <c r="O8" s="13">
        <v>131.9</v>
      </c>
      <c r="P8" s="13">
        <v>164</v>
      </c>
      <c r="Q8" s="13">
        <v>174.3</v>
      </c>
      <c r="R8" s="13">
        <v>55.4</v>
      </c>
      <c r="S8" s="13">
        <v>42.3</v>
      </c>
      <c r="T8" s="13">
        <v>72.099999999999994</v>
      </c>
      <c r="U8" s="13">
        <v>56.3</v>
      </c>
      <c r="V8" s="13">
        <v>41.4</v>
      </c>
      <c r="W8" s="13">
        <v>56.3</v>
      </c>
      <c r="X8" s="13">
        <v>83.7</v>
      </c>
      <c r="Y8" s="13">
        <v>48.7</v>
      </c>
      <c r="Z8" s="13">
        <v>44.3</v>
      </c>
      <c r="AA8" s="13">
        <v>69.400000000000006</v>
      </c>
      <c r="AB8" s="13">
        <v>70.5</v>
      </c>
      <c r="AC8" s="13">
        <v>60.4</v>
      </c>
      <c r="AD8" s="13">
        <v>44.9</v>
      </c>
      <c r="AE8" s="13">
        <v>88.3</v>
      </c>
      <c r="AF8" s="13">
        <v>66</v>
      </c>
      <c r="AG8" s="13">
        <v>84.6</v>
      </c>
      <c r="AH8" s="13">
        <v>51.5</v>
      </c>
      <c r="AI8" s="13">
        <v>76.900000000000006</v>
      </c>
      <c r="AJ8" s="13">
        <v>89.6</v>
      </c>
      <c r="AK8" s="13">
        <v>146</v>
      </c>
      <c r="AL8" s="13">
        <v>145.69999999999999</v>
      </c>
      <c r="AM8" s="13">
        <v>184.3</v>
      </c>
      <c r="AN8" s="13">
        <v>178.2</v>
      </c>
      <c r="AO8" s="13">
        <v>194.9</v>
      </c>
      <c r="AP8" s="13">
        <v>156.80000000000001</v>
      </c>
      <c r="AQ8" s="13">
        <v>202.3</v>
      </c>
      <c r="AR8" s="13">
        <v>200.7</v>
      </c>
      <c r="AS8" s="13">
        <v>250</v>
      </c>
      <c r="AT8" s="13">
        <v>199.2</v>
      </c>
      <c r="AU8" s="13">
        <v>217.6</v>
      </c>
      <c r="AV8" s="13">
        <v>316.7</v>
      </c>
      <c r="AW8" s="14">
        <v>310.5</v>
      </c>
      <c r="AX8" s="14">
        <v>330.6</v>
      </c>
      <c r="AY8" s="14">
        <v>373.2</v>
      </c>
      <c r="AZ8" s="14">
        <v>402.4</v>
      </c>
      <c r="BA8" s="14">
        <v>397.8</v>
      </c>
      <c r="BB8" s="14">
        <v>393.5</v>
      </c>
      <c r="BC8" s="14">
        <v>408.4</v>
      </c>
      <c r="BD8" s="14">
        <v>458.5</v>
      </c>
      <c r="BE8" s="14">
        <v>484.8</v>
      </c>
      <c r="BF8" s="13">
        <v>540.29999999999995</v>
      </c>
      <c r="BG8" s="13">
        <v>599.79999999999995</v>
      </c>
      <c r="BH8" s="13">
        <v>630.79999999999995</v>
      </c>
      <c r="BI8" s="13">
        <v>610.29999999999995</v>
      </c>
      <c r="BJ8" s="13">
        <v>584.79999999999995</v>
      </c>
      <c r="BK8" s="13">
        <v>613.79999999999995</v>
      </c>
      <c r="BL8" s="13">
        <v>676.5</v>
      </c>
      <c r="BM8" s="13">
        <v>537</v>
      </c>
      <c r="BN8" s="13">
        <v>538.48158309999997</v>
      </c>
      <c r="BO8" s="14">
        <v>686.28234180000004</v>
      </c>
      <c r="BP8" s="14">
        <v>820.77712020000001</v>
      </c>
      <c r="BQ8" s="14">
        <v>607.71860260000005</v>
      </c>
      <c r="BR8" s="14">
        <v>402.71511020000003</v>
      </c>
      <c r="BS8" s="14">
        <v>507.45537430000002</v>
      </c>
      <c r="BT8" s="14">
        <v>624.55573809999999</v>
      </c>
      <c r="BU8" s="14">
        <v>612.45711200000005</v>
      </c>
      <c r="BV8" s="14">
        <v>491</v>
      </c>
      <c r="BW8" s="14">
        <v>583.6</v>
      </c>
      <c r="BX8" s="14">
        <v>658.85021930000005</v>
      </c>
      <c r="BY8" s="14">
        <v>599.76992329999996</v>
      </c>
      <c r="BZ8" s="14">
        <v>848.21178054071538</v>
      </c>
      <c r="CA8" s="14">
        <v>724.88425760761561</v>
      </c>
      <c r="CB8" s="14">
        <v>802.99572428891895</v>
      </c>
      <c r="CC8" s="14">
        <f>744.304219912354-2.12149556604527</f>
        <v>742.18272434630876</v>
      </c>
      <c r="CD8" s="14">
        <v>925.19274370907408</v>
      </c>
      <c r="CE8" s="14">
        <v>871.80261646888687</v>
      </c>
      <c r="CF8" s="14">
        <v>804.56906669630644</v>
      </c>
    </row>
    <row r="9" spans="1:84" ht="16.5" x14ac:dyDescent="0.3">
      <c r="A9" s="12" t="s">
        <v>44</v>
      </c>
      <c r="B9" s="15" t="s">
        <v>45</v>
      </c>
      <c r="C9" s="15" t="s">
        <v>45</v>
      </c>
      <c r="D9" s="15" t="s">
        <v>45</v>
      </c>
      <c r="E9" s="15" t="s">
        <v>45</v>
      </c>
      <c r="F9" s="15" t="s">
        <v>45</v>
      </c>
      <c r="G9" s="15" t="s">
        <v>45</v>
      </c>
      <c r="H9" s="15" t="s">
        <v>45</v>
      </c>
      <c r="I9" s="15" t="s">
        <v>45</v>
      </c>
      <c r="J9" s="15" t="s">
        <v>45</v>
      </c>
      <c r="K9" s="15" t="s">
        <v>45</v>
      </c>
      <c r="L9" s="15" t="s">
        <v>45</v>
      </c>
      <c r="M9" s="15" t="s">
        <v>45</v>
      </c>
      <c r="N9" s="15" t="s">
        <v>45</v>
      </c>
      <c r="O9" s="15" t="s">
        <v>45</v>
      </c>
      <c r="P9" s="15" t="s">
        <v>45</v>
      </c>
      <c r="Q9" s="15" t="s">
        <v>45</v>
      </c>
      <c r="R9" s="15" t="s">
        <v>45</v>
      </c>
      <c r="S9" s="15" t="s">
        <v>45</v>
      </c>
      <c r="T9" s="15" t="s">
        <v>45</v>
      </c>
      <c r="U9" s="15" t="s">
        <v>45</v>
      </c>
      <c r="V9" s="15" t="s">
        <v>45</v>
      </c>
      <c r="W9" s="15" t="s">
        <v>45</v>
      </c>
      <c r="X9" s="15" t="s">
        <v>45</v>
      </c>
      <c r="Y9" s="15" t="s">
        <v>45</v>
      </c>
      <c r="Z9" s="13" t="s">
        <v>45</v>
      </c>
      <c r="AA9" s="13" t="s">
        <v>45</v>
      </c>
      <c r="AB9" s="13" t="s">
        <v>45</v>
      </c>
      <c r="AC9" s="13" t="s">
        <v>45</v>
      </c>
      <c r="AD9" s="13" t="s">
        <v>45</v>
      </c>
      <c r="AE9" s="13" t="s">
        <v>45</v>
      </c>
      <c r="AF9" s="13" t="s">
        <v>45</v>
      </c>
      <c r="AG9" s="13" t="s">
        <v>45</v>
      </c>
      <c r="AH9" s="13" t="s">
        <v>45</v>
      </c>
      <c r="AI9" s="13" t="s">
        <v>45</v>
      </c>
      <c r="AJ9" s="13" t="s">
        <v>45</v>
      </c>
      <c r="AK9" s="13" t="s">
        <v>45</v>
      </c>
      <c r="AL9" s="13">
        <v>97.4</v>
      </c>
      <c r="AM9" s="13">
        <v>118.9</v>
      </c>
      <c r="AN9" s="13">
        <v>116.2</v>
      </c>
      <c r="AO9" s="13">
        <v>108</v>
      </c>
      <c r="AP9" s="13">
        <v>116.4</v>
      </c>
      <c r="AQ9" s="13">
        <v>119.8</v>
      </c>
      <c r="AR9" s="13">
        <v>120.8</v>
      </c>
      <c r="AS9" s="13">
        <v>111.5</v>
      </c>
      <c r="AT9" s="13">
        <v>121.4</v>
      </c>
      <c r="AU9" s="13">
        <v>121.1</v>
      </c>
      <c r="AV9" s="13">
        <v>211.5</v>
      </c>
      <c r="AW9" s="14">
        <v>226.9</v>
      </c>
      <c r="AX9" s="14">
        <v>252.9</v>
      </c>
      <c r="AY9" s="14">
        <v>249.2</v>
      </c>
      <c r="AZ9" s="14">
        <v>267</v>
      </c>
      <c r="BA9" s="14">
        <v>279.5</v>
      </c>
      <c r="BB9" s="14">
        <v>302.60000000000002</v>
      </c>
      <c r="BC9" s="14">
        <v>313.39999999999998</v>
      </c>
      <c r="BD9" s="14">
        <v>311.8</v>
      </c>
      <c r="BE9" s="14">
        <v>334.7</v>
      </c>
      <c r="BF9" s="13">
        <v>375.3</v>
      </c>
      <c r="BG9" s="13">
        <v>440</v>
      </c>
      <c r="BH9" s="13">
        <v>440</v>
      </c>
      <c r="BI9" s="13">
        <v>433.4</v>
      </c>
      <c r="BJ9" s="13">
        <v>470.6</v>
      </c>
      <c r="BK9" s="13">
        <v>477.6</v>
      </c>
      <c r="BL9" s="13">
        <v>466.5</v>
      </c>
      <c r="BM9" s="13">
        <v>428.6</v>
      </c>
      <c r="BN9" s="13">
        <v>420.60843730993452</v>
      </c>
      <c r="BO9" s="13">
        <v>896.30514697550711</v>
      </c>
      <c r="BP9" s="13">
        <v>1458.2110824659344</v>
      </c>
      <c r="BQ9" s="13">
        <v>1851.1027026816532</v>
      </c>
      <c r="BR9" s="14">
        <v>266.56076137989999</v>
      </c>
      <c r="BS9" s="14">
        <v>284.28947039142838</v>
      </c>
      <c r="BT9" s="14">
        <v>343.86627892000001</v>
      </c>
      <c r="BU9" s="14">
        <v>370.26369052796929</v>
      </c>
      <c r="BV9" s="14">
        <v>378.4</v>
      </c>
      <c r="BW9" s="14">
        <v>425.5</v>
      </c>
      <c r="BX9" s="14">
        <v>422.5</v>
      </c>
      <c r="BY9" s="14">
        <v>441.8</v>
      </c>
      <c r="BZ9" s="14">
        <v>498.18673576395554</v>
      </c>
      <c r="CA9" s="14">
        <v>490.81209264197901</v>
      </c>
      <c r="CB9" s="14">
        <v>521.751196219142</v>
      </c>
      <c r="CC9" s="14">
        <v>504.46913259000007</v>
      </c>
      <c r="CD9" s="14">
        <v>540.49662893000004</v>
      </c>
      <c r="CE9" s="14">
        <v>596.30636741000001</v>
      </c>
      <c r="CF9" s="14">
        <v>513.0398996353448</v>
      </c>
    </row>
    <row r="10" spans="1:84" ht="16.5" x14ac:dyDescent="0.3">
      <c r="A10" s="12" t="s">
        <v>46</v>
      </c>
      <c r="B10" s="13">
        <v>-720.18</v>
      </c>
      <c r="C10" s="13">
        <v>-720.99</v>
      </c>
      <c r="D10" s="13">
        <v>-752.31</v>
      </c>
      <c r="E10" s="13">
        <v>-572.76</v>
      </c>
      <c r="F10" s="13">
        <v>-485.73</v>
      </c>
      <c r="G10" s="13">
        <v>-381.33</v>
      </c>
      <c r="H10" s="13">
        <v>-488.43</v>
      </c>
      <c r="I10" s="13">
        <v>-577.79999999999995</v>
      </c>
      <c r="J10" s="13">
        <v>-662.04</v>
      </c>
      <c r="K10" s="13">
        <v>-726.93</v>
      </c>
      <c r="L10" s="13">
        <v>-789.75</v>
      </c>
      <c r="M10" s="13">
        <v>-808.92</v>
      </c>
      <c r="N10" s="13">
        <v>-769.5</v>
      </c>
      <c r="O10" s="13">
        <v>-859.23</v>
      </c>
      <c r="P10" s="13">
        <v>-916.65</v>
      </c>
      <c r="Q10" s="13">
        <v>-654.29999999999995</v>
      </c>
      <c r="R10" s="13">
        <v>-210.2</v>
      </c>
      <c r="S10" s="13">
        <v>-113</v>
      </c>
      <c r="T10" s="13">
        <v>-184.3</v>
      </c>
      <c r="U10" s="13">
        <v>-196.8</v>
      </c>
      <c r="V10" s="13">
        <v>-120</v>
      </c>
      <c r="W10" s="13">
        <v>-203.2</v>
      </c>
      <c r="X10" s="13">
        <v>-265</v>
      </c>
      <c r="Y10" s="13">
        <v>-95.9</v>
      </c>
      <c r="Z10" s="13">
        <v>-156.1</v>
      </c>
      <c r="AA10" s="13">
        <v>-277</v>
      </c>
      <c r="AB10" s="13">
        <v>-69.7</v>
      </c>
      <c r="AC10" s="13">
        <v>-232.8</v>
      </c>
      <c r="AD10" s="13">
        <v>-215.2</v>
      </c>
      <c r="AE10" s="13">
        <v>-271.89999999999998</v>
      </c>
      <c r="AF10" s="13">
        <v>-321.10000000000002</v>
      </c>
      <c r="AG10" s="13">
        <v>-281.89999999999998</v>
      </c>
      <c r="AH10" s="13">
        <v>-292.7</v>
      </c>
      <c r="AI10" s="13">
        <v>-235.7</v>
      </c>
      <c r="AJ10" s="13">
        <v>-246.7</v>
      </c>
      <c r="AK10" s="13">
        <v>-281.39999999999998</v>
      </c>
      <c r="AL10" s="13">
        <v>-263.10000000000002</v>
      </c>
      <c r="AM10" s="13">
        <v>-193.1</v>
      </c>
      <c r="AN10" s="13">
        <v>-270.8</v>
      </c>
      <c r="AO10" s="13">
        <v>-239.7</v>
      </c>
      <c r="AP10" s="13">
        <v>-363.8</v>
      </c>
      <c r="AQ10" s="13">
        <v>-338</v>
      </c>
      <c r="AR10" s="13">
        <v>-367.9</v>
      </c>
      <c r="AS10" s="13">
        <v>-406.8</v>
      </c>
      <c r="AT10" s="13">
        <v>-367.9</v>
      </c>
      <c r="AU10" s="13">
        <v>-370</v>
      </c>
      <c r="AV10" s="13">
        <v>-443.4</v>
      </c>
      <c r="AW10" s="14">
        <v>-466.7</v>
      </c>
      <c r="AX10" s="14">
        <v>-411.9</v>
      </c>
      <c r="AY10" s="14">
        <v>-467.9</v>
      </c>
      <c r="AZ10" s="14">
        <v>-486.4</v>
      </c>
      <c r="BA10" s="14">
        <v>-483.5</v>
      </c>
      <c r="BB10" s="14">
        <v>-516.79999999999995</v>
      </c>
      <c r="BC10" s="14">
        <v>-512.5</v>
      </c>
      <c r="BD10" s="14">
        <v>-556.5</v>
      </c>
      <c r="BE10" s="14">
        <v>-656.5</v>
      </c>
      <c r="BF10" s="13">
        <v>-616.20000000000005</v>
      </c>
      <c r="BG10" s="13">
        <v>-683.3</v>
      </c>
      <c r="BH10" s="13">
        <v>-676.4</v>
      </c>
      <c r="BI10" s="13">
        <v>-672.9</v>
      </c>
      <c r="BJ10" s="13">
        <v>-626.5</v>
      </c>
      <c r="BK10" s="13">
        <v>-672</v>
      </c>
      <c r="BL10" s="13">
        <v>-740.1</v>
      </c>
      <c r="BM10" s="13">
        <v>-772.5</v>
      </c>
      <c r="BN10" s="13">
        <v>-700.50395800000001</v>
      </c>
      <c r="BO10" s="13">
        <v>-897.17321019999997</v>
      </c>
      <c r="BP10" s="13">
        <v>-1051.873783</v>
      </c>
      <c r="BQ10" s="13">
        <v>-993.87356039999997</v>
      </c>
      <c r="BR10" s="14">
        <v>-814.7094075</v>
      </c>
      <c r="BS10" s="14">
        <v>-805.46999059999996</v>
      </c>
      <c r="BT10" s="14">
        <v>-860.99450969999998</v>
      </c>
      <c r="BU10" s="14">
        <v>-940.83215689999997</v>
      </c>
      <c r="BV10" s="14">
        <v>-822.7</v>
      </c>
      <c r="BW10" s="14">
        <v>-909.3</v>
      </c>
      <c r="BX10" s="14">
        <v>-873.58853139999997</v>
      </c>
      <c r="BY10" s="14">
        <v>-906.79450369999995</v>
      </c>
      <c r="BZ10" s="14">
        <v>-1303.8282686702782</v>
      </c>
      <c r="CA10" s="14">
        <v>-1130.9042010550663</v>
      </c>
      <c r="CB10" s="14">
        <v>-1621.4739689748535</v>
      </c>
      <c r="CC10" s="14">
        <v>-1311.3776224700864</v>
      </c>
      <c r="CD10" s="14">
        <v>-1469.2071371649054</v>
      </c>
      <c r="CE10" s="14">
        <v>-1493.2877267365357</v>
      </c>
      <c r="CF10" s="14">
        <v>-1300.699667316228</v>
      </c>
    </row>
    <row r="11" spans="1:84" ht="16.5" x14ac:dyDescent="0.3">
      <c r="A11" s="12" t="s">
        <v>47</v>
      </c>
      <c r="B11" s="15" t="s">
        <v>45</v>
      </c>
      <c r="C11" s="15" t="s">
        <v>45</v>
      </c>
      <c r="D11" s="15" t="s">
        <v>45</v>
      </c>
      <c r="E11" s="15" t="s">
        <v>45</v>
      </c>
      <c r="F11" s="15" t="s">
        <v>45</v>
      </c>
      <c r="G11" s="15" t="s">
        <v>45</v>
      </c>
      <c r="H11" s="15" t="s">
        <v>45</v>
      </c>
      <c r="I11" s="15" t="s">
        <v>45</v>
      </c>
      <c r="J11" s="15" t="s">
        <v>45</v>
      </c>
      <c r="K11" s="15" t="s">
        <v>45</v>
      </c>
      <c r="L11" s="15" t="s">
        <v>45</v>
      </c>
      <c r="M11" s="15" t="s">
        <v>45</v>
      </c>
      <c r="N11" s="15" t="s">
        <v>45</v>
      </c>
      <c r="O11" s="15" t="s">
        <v>45</v>
      </c>
      <c r="P11" s="15" t="s">
        <v>45</v>
      </c>
      <c r="Q11" s="15" t="s">
        <v>45</v>
      </c>
      <c r="R11" s="15" t="s">
        <v>45</v>
      </c>
      <c r="S11" s="15" t="s">
        <v>45</v>
      </c>
      <c r="T11" s="15" t="s">
        <v>45</v>
      </c>
      <c r="U11" s="15" t="s">
        <v>45</v>
      </c>
      <c r="V11" s="15" t="s">
        <v>45</v>
      </c>
      <c r="W11" s="15" t="s">
        <v>45</v>
      </c>
      <c r="X11" s="15" t="s">
        <v>45</v>
      </c>
      <c r="Y11" s="15" t="s">
        <v>45</v>
      </c>
      <c r="Z11" s="15" t="s">
        <v>45</v>
      </c>
      <c r="AA11" s="15" t="s">
        <v>45</v>
      </c>
      <c r="AB11" s="15" t="s">
        <v>45</v>
      </c>
      <c r="AC11" s="13" t="s">
        <v>45</v>
      </c>
      <c r="AD11" s="13" t="s">
        <v>45</v>
      </c>
      <c r="AE11" s="13" t="s">
        <v>45</v>
      </c>
      <c r="AF11" s="13" t="s">
        <v>45</v>
      </c>
      <c r="AG11" s="13" t="s">
        <v>45</v>
      </c>
      <c r="AH11" s="13" t="s">
        <v>45</v>
      </c>
      <c r="AI11" s="13" t="s">
        <v>45</v>
      </c>
      <c r="AJ11" s="13" t="s">
        <v>45</v>
      </c>
      <c r="AK11" s="13" t="s">
        <v>45</v>
      </c>
      <c r="AL11" s="13">
        <v>-51.5</v>
      </c>
      <c r="AM11" s="13">
        <v>-39.1</v>
      </c>
      <c r="AN11" s="13">
        <v>-70.599999999999994</v>
      </c>
      <c r="AO11" s="13">
        <v>-48.7</v>
      </c>
      <c r="AP11" s="13">
        <v>-69.2</v>
      </c>
      <c r="AQ11" s="13">
        <v>-110.5</v>
      </c>
      <c r="AR11" s="13">
        <v>-98.9</v>
      </c>
      <c r="AS11" s="13">
        <v>-87.1</v>
      </c>
      <c r="AT11" s="13">
        <v>-69.7</v>
      </c>
      <c r="AU11" s="13">
        <v>-67.599999999999994</v>
      </c>
      <c r="AV11" s="13">
        <v>-84.6</v>
      </c>
      <c r="AW11" s="14">
        <v>-84.6</v>
      </c>
      <c r="AX11" s="14">
        <v>-59.4</v>
      </c>
      <c r="AY11" s="14">
        <v>-93.6</v>
      </c>
      <c r="AZ11" s="14">
        <v>-77.400000000000006</v>
      </c>
      <c r="BA11" s="14">
        <v>-62.5</v>
      </c>
      <c r="BB11" s="14">
        <v>-82.1</v>
      </c>
      <c r="BC11" s="14">
        <v>-86.3</v>
      </c>
      <c r="BD11" s="14">
        <v>-119.3</v>
      </c>
      <c r="BE11" s="14">
        <v>-96.6</v>
      </c>
      <c r="BF11" s="13">
        <v>-176.8</v>
      </c>
      <c r="BG11" s="13">
        <v>-149</v>
      </c>
      <c r="BH11" s="13">
        <v>-148.4</v>
      </c>
      <c r="BI11" s="13">
        <v>-163.19999999999999</v>
      </c>
      <c r="BJ11" s="13">
        <v>-175.4</v>
      </c>
      <c r="BK11" s="13">
        <v>-136.80000000000001</v>
      </c>
      <c r="BL11" s="13">
        <v>-176.2</v>
      </c>
      <c r="BM11" s="13">
        <v>-138.4</v>
      </c>
      <c r="BN11" s="13">
        <v>-144.85692576143953</v>
      </c>
      <c r="BO11" s="13">
        <v>-351.66032182562651</v>
      </c>
      <c r="BP11" s="13">
        <v>-521.36005779780317</v>
      </c>
      <c r="BQ11" s="13">
        <v>-685.31134600325777</v>
      </c>
      <c r="BR11" s="14">
        <v>-153.60115698453171</v>
      </c>
      <c r="BS11" s="14">
        <v>-174.83243690448083</v>
      </c>
      <c r="BT11" s="14">
        <v>-189.0902151725584</v>
      </c>
      <c r="BU11" s="14">
        <v>-273.62175439100002</v>
      </c>
      <c r="BV11" s="14">
        <v>-125.4</v>
      </c>
      <c r="BW11" s="14">
        <v>-203.9</v>
      </c>
      <c r="BX11" s="14">
        <v>-211.4</v>
      </c>
      <c r="BY11" s="14">
        <v>-359</v>
      </c>
      <c r="BZ11" s="14">
        <v>-289.43272727272722</v>
      </c>
      <c r="CA11" s="14">
        <v>-423.94545454545454</v>
      </c>
      <c r="CB11" s="14">
        <v>-413.27545454545447</v>
      </c>
      <c r="CC11" s="14">
        <v>-386.46181818181822</v>
      </c>
      <c r="CD11" s="14">
        <v>-427.50613664000002</v>
      </c>
      <c r="CE11" s="14">
        <v>-513.73380073999999</v>
      </c>
      <c r="CF11" s="14">
        <v>-341.75106000000005</v>
      </c>
    </row>
    <row r="12" spans="1:84" ht="16.5" x14ac:dyDescent="0.3">
      <c r="A12" s="12" t="s">
        <v>48</v>
      </c>
      <c r="B12" s="13">
        <v>-22.9</v>
      </c>
      <c r="C12" s="13">
        <v>-46.61</v>
      </c>
      <c r="D12" s="13">
        <v>-57.59</v>
      </c>
      <c r="E12" s="13">
        <v>-60.24</v>
      </c>
      <c r="F12" s="13">
        <v>-68.67</v>
      </c>
      <c r="G12" s="13">
        <v>-78.47</v>
      </c>
      <c r="H12" s="13">
        <v>-96.67</v>
      </c>
      <c r="I12" s="13">
        <v>-101.8</v>
      </c>
      <c r="J12" s="13">
        <v>-98.76</v>
      </c>
      <c r="K12" s="13">
        <v>-98.17</v>
      </c>
      <c r="L12" s="13">
        <v>-99.05</v>
      </c>
      <c r="M12" s="13">
        <v>-68.680000000000007</v>
      </c>
      <c r="N12" s="13">
        <v>-50.5</v>
      </c>
      <c r="O12" s="13">
        <v>-64.77</v>
      </c>
      <c r="P12" s="13">
        <v>-111.86</v>
      </c>
      <c r="Q12" s="13">
        <v>-55.8</v>
      </c>
      <c r="R12" s="13">
        <v>-25.3</v>
      </c>
      <c r="S12" s="13">
        <v>-19.899999999999999</v>
      </c>
      <c r="T12" s="13">
        <v>13.1</v>
      </c>
      <c r="U12" s="13">
        <v>-62.7</v>
      </c>
      <c r="V12" s="13">
        <v>19.3</v>
      </c>
      <c r="W12" s="13">
        <v>-78.400000000000006</v>
      </c>
      <c r="X12" s="13">
        <v>-11.3</v>
      </c>
      <c r="Y12" s="13">
        <v>-1.9</v>
      </c>
      <c r="Z12" s="13">
        <v>-7.5</v>
      </c>
      <c r="AA12" s="13">
        <v>-19.5</v>
      </c>
      <c r="AB12" s="13">
        <v>-18.3</v>
      </c>
      <c r="AC12" s="13">
        <v>-280.2</v>
      </c>
      <c r="AD12" s="13">
        <v>-71.3</v>
      </c>
      <c r="AE12" s="13">
        <v>-73.900000000000006</v>
      </c>
      <c r="AF12" s="13">
        <v>-5.6</v>
      </c>
      <c r="AG12" s="13">
        <v>-10.3</v>
      </c>
      <c r="AH12" s="13">
        <v>-37.5</v>
      </c>
      <c r="AI12" s="13">
        <v>-18.8</v>
      </c>
      <c r="AJ12" s="13">
        <v>-22</v>
      </c>
      <c r="AK12" s="13">
        <v>-47.9</v>
      </c>
      <c r="AL12" s="13">
        <v>-85.8</v>
      </c>
      <c r="AM12" s="13">
        <v>-52.6</v>
      </c>
      <c r="AN12" s="13">
        <v>-121.4</v>
      </c>
      <c r="AO12" s="13">
        <v>-91.8</v>
      </c>
      <c r="AP12" s="13">
        <v>-108.3</v>
      </c>
      <c r="AQ12" s="13">
        <v>-103.9</v>
      </c>
      <c r="AR12" s="13">
        <v>-17</v>
      </c>
      <c r="AS12" s="13">
        <v>-8.4</v>
      </c>
      <c r="AT12" s="13">
        <v>-69.8</v>
      </c>
      <c r="AU12" s="13">
        <v>-81.599999999999994</v>
      </c>
      <c r="AV12" s="13">
        <v>-53</v>
      </c>
      <c r="AW12" s="14">
        <v>-65.7</v>
      </c>
      <c r="AX12" s="14">
        <v>-76.3</v>
      </c>
      <c r="AY12" s="14">
        <v>-93.1</v>
      </c>
      <c r="AZ12" s="14">
        <v>-78.3</v>
      </c>
      <c r="BA12" s="14">
        <v>-28.2</v>
      </c>
      <c r="BB12" s="14">
        <v>-92.8</v>
      </c>
      <c r="BC12" s="14">
        <v>-74.900000000000006</v>
      </c>
      <c r="BD12" s="14">
        <v>-81.900000000000006</v>
      </c>
      <c r="BE12" s="14">
        <v>-57</v>
      </c>
      <c r="BF12" s="13">
        <v>-95</v>
      </c>
      <c r="BG12" s="13">
        <v>-112.9</v>
      </c>
      <c r="BH12" s="13">
        <v>-81.8</v>
      </c>
      <c r="BI12" s="13">
        <v>-82.1</v>
      </c>
      <c r="BJ12" s="13">
        <v>-115.1</v>
      </c>
      <c r="BK12" s="13">
        <v>-98.9</v>
      </c>
      <c r="BL12" s="13">
        <v>-78.5</v>
      </c>
      <c r="BM12" s="13">
        <v>-104.3</v>
      </c>
      <c r="BN12" s="13">
        <v>-96.129784999999998</v>
      </c>
      <c r="BO12" s="13">
        <v>-106.7064003</v>
      </c>
      <c r="BP12" s="13">
        <v>-97.573032269999999</v>
      </c>
      <c r="BQ12" s="13">
        <v>-109.9575459</v>
      </c>
      <c r="BR12" s="14">
        <v>-130.5379757</v>
      </c>
      <c r="BS12" s="14">
        <v>-114.1419095</v>
      </c>
      <c r="BT12" s="14">
        <v>-112.77720720000001</v>
      </c>
      <c r="BU12" s="14">
        <v>-99.863632179999996</v>
      </c>
      <c r="BV12" s="14">
        <v>-176.6</v>
      </c>
      <c r="BW12" s="14">
        <v>-58.2</v>
      </c>
      <c r="BX12" s="14">
        <v>-202.64548110000001</v>
      </c>
      <c r="BY12" s="14">
        <v>-113.6521118</v>
      </c>
      <c r="BZ12" s="14">
        <v>-126.13750129942576</v>
      </c>
      <c r="CA12" s="14">
        <v>-167.06415259362072</v>
      </c>
      <c r="CB12" s="14">
        <v>-182.93409617654942</v>
      </c>
      <c r="CC12" s="14">
        <v>-290.36468558471711</v>
      </c>
      <c r="CD12" s="14">
        <v>-189.38895929467523</v>
      </c>
      <c r="CE12" s="14">
        <v>-381.21742035908869</v>
      </c>
      <c r="CF12" s="14">
        <v>-197.93376532146269</v>
      </c>
    </row>
    <row r="13" spans="1:84" ht="16.5" x14ac:dyDescent="0.3">
      <c r="A13" s="12" t="s">
        <v>49</v>
      </c>
      <c r="B13" s="13">
        <v>-5.0180000000000291</v>
      </c>
      <c r="C13" s="13">
        <v>-17.499000000000024</v>
      </c>
      <c r="D13" s="13">
        <v>-20.131</v>
      </c>
      <c r="E13" s="13">
        <v>-23.676000000000002</v>
      </c>
      <c r="F13" s="13">
        <v>-38.573000000000008</v>
      </c>
      <c r="G13" s="13">
        <v>-37.433</v>
      </c>
      <c r="H13" s="13">
        <v>-37.843000000000018</v>
      </c>
      <c r="I13" s="13">
        <v>-51.58</v>
      </c>
      <c r="J13" s="13">
        <v>-48.004000000000005</v>
      </c>
      <c r="K13" s="13">
        <v>-45.293000000000006</v>
      </c>
      <c r="L13" s="13">
        <v>-42.674999999999997</v>
      </c>
      <c r="M13" s="13">
        <v>-55.791999999999987</v>
      </c>
      <c r="N13" s="13">
        <v>-44.75</v>
      </c>
      <c r="O13" s="13">
        <v>-52.923000000000016</v>
      </c>
      <c r="P13" s="13">
        <v>-66.064999999999998</v>
      </c>
      <c r="Q13" s="13">
        <v>-43.13</v>
      </c>
      <c r="R13" s="13">
        <v>-12.4</v>
      </c>
      <c r="S13" s="13">
        <v>-6.8</v>
      </c>
      <c r="T13" s="13">
        <v>-10.9</v>
      </c>
      <c r="U13" s="13">
        <v>-9.6</v>
      </c>
      <c r="V13" s="13">
        <v>-7.5</v>
      </c>
      <c r="W13" s="13">
        <v>-12</v>
      </c>
      <c r="X13" s="13">
        <v>-16.600000000000001</v>
      </c>
      <c r="Y13" s="13">
        <v>3.2</v>
      </c>
      <c r="Z13" s="13">
        <v>-5.9</v>
      </c>
      <c r="AA13" s="13">
        <v>-16.7</v>
      </c>
      <c r="AB13" s="13">
        <v>4.0999999999999996</v>
      </c>
      <c r="AC13" s="13">
        <v>-30.4</v>
      </c>
      <c r="AD13" s="13">
        <v>-20.7</v>
      </c>
      <c r="AE13" s="13">
        <v>-9.4</v>
      </c>
      <c r="AF13" s="13">
        <v>-2.1</v>
      </c>
      <c r="AG13" s="13">
        <v>-10.4</v>
      </c>
      <c r="AH13" s="13">
        <v>-18.5</v>
      </c>
      <c r="AI13" s="13">
        <v>-19.600000000000001</v>
      </c>
      <c r="AJ13" s="13">
        <v>-19</v>
      </c>
      <c r="AK13" s="13">
        <v>-9.9</v>
      </c>
      <c r="AL13" s="13">
        <v>-37.5</v>
      </c>
      <c r="AM13" s="13">
        <v>-16.7</v>
      </c>
      <c r="AN13" s="13">
        <v>-24.3</v>
      </c>
      <c r="AO13" s="13">
        <v>-19.5</v>
      </c>
      <c r="AP13" s="13">
        <v>-27.4</v>
      </c>
      <c r="AQ13" s="13">
        <v>-34.700000000000003</v>
      </c>
      <c r="AR13" s="13">
        <v>-4.8</v>
      </c>
      <c r="AS13" s="13">
        <v>-11</v>
      </c>
      <c r="AT13" s="13">
        <v>-28.6</v>
      </c>
      <c r="AU13" s="13">
        <v>-27.3</v>
      </c>
      <c r="AV13" s="13">
        <v>-19.899999999999999</v>
      </c>
      <c r="AW13" s="14">
        <v>-24.2</v>
      </c>
      <c r="AX13" s="14">
        <v>-27.4</v>
      </c>
      <c r="AY13" s="14">
        <v>-30.8</v>
      </c>
      <c r="AZ13" s="14">
        <v>-31.2</v>
      </c>
      <c r="BA13" s="14">
        <v>-21.3</v>
      </c>
      <c r="BB13" s="14">
        <v>-34.9</v>
      </c>
      <c r="BC13" s="14">
        <v>-33</v>
      </c>
      <c r="BD13" s="14">
        <v>-36.299999999999997</v>
      </c>
      <c r="BE13" s="14">
        <v>-36.4</v>
      </c>
      <c r="BF13" s="13">
        <v>-43.2</v>
      </c>
      <c r="BG13" s="13">
        <v>-47.4</v>
      </c>
      <c r="BH13" s="13">
        <v>-39.1</v>
      </c>
      <c r="BI13" s="13">
        <v>-38.4</v>
      </c>
      <c r="BJ13" s="13">
        <v>-42.7</v>
      </c>
      <c r="BK13" s="13">
        <v>-41.5</v>
      </c>
      <c r="BL13" s="13">
        <v>-41.7</v>
      </c>
      <c r="BM13" s="13">
        <v>-40.4</v>
      </c>
      <c r="BN13" s="13">
        <v>-42.862940049999999</v>
      </c>
      <c r="BO13" s="13">
        <v>-56.556797250000002</v>
      </c>
      <c r="BP13" s="13">
        <v>-72.283213040000007</v>
      </c>
      <c r="BQ13" s="13">
        <v>-47.721078130000002</v>
      </c>
      <c r="BR13" s="14">
        <v>-56.449064909999997</v>
      </c>
      <c r="BS13" s="14">
        <v>-47.141630710000001</v>
      </c>
      <c r="BT13" s="14">
        <v>-54.750118739999998</v>
      </c>
      <c r="BU13" s="14">
        <v>-52.175622670000003</v>
      </c>
      <c r="BV13" s="14">
        <v>-55</v>
      </c>
      <c r="BW13" s="14">
        <v>-39.799999999999997</v>
      </c>
      <c r="BX13" s="14">
        <v>-69.725622889999997</v>
      </c>
      <c r="BY13" s="14">
        <v>19.46435804</v>
      </c>
      <c r="BZ13" s="14">
        <v>-77.788640767825129</v>
      </c>
      <c r="CA13" s="14">
        <v>-69.647380815256071</v>
      </c>
      <c r="CB13" s="14">
        <v>-97.772355441554794</v>
      </c>
      <c r="CC13" s="14">
        <v>-108.34305468415482</v>
      </c>
      <c r="CD13" s="14">
        <v>-87.577914876176521</v>
      </c>
      <c r="CE13" s="14">
        <v>-80.748909066699028</v>
      </c>
      <c r="CF13" s="14">
        <v>-78.575128896445619</v>
      </c>
    </row>
    <row r="14" spans="1:84" ht="16.5" x14ac:dyDescent="0.3">
      <c r="A14" s="12" t="s">
        <v>50</v>
      </c>
      <c r="B14" s="13">
        <v>92.6</v>
      </c>
      <c r="C14" s="13">
        <v>82</v>
      </c>
      <c r="D14" s="13">
        <v>83.4</v>
      </c>
      <c r="E14" s="13">
        <v>66.5</v>
      </c>
      <c r="F14" s="13">
        <v>34.5</v>
      </c>
      <c r="G14" s="13">
        <v>39.4</v>
      </c>
      <c r="H14" s="13">
        <v>45</v>
      </c>
      <c r="I14" s="13">
        <v>40.1</v>
      </c>
      <c r="J14" s="13">
        <v>53.5</v>
      </c>
      <c r="K14" s="13">
        <v>64.900000000000006</v>
      </c>
      <c r="L14" s="13">
        <v>76.099999999999994</v>
      </c>
      <c r="M14" s="13">
        <v>75.3</v>
      </c>
      <c r="N14" s="13">
        <v>80.7</v>
      </c>
      <c r="O14" s="13">
        <v>84.3</v>
      </c>
      <c r="P14" s="13">
        <v>73.8</v>
      </c>
      <c r="Q14" s="13">
        <v>57.3</v>
      </c>
      <c r="R14" s="13">
        <v>12.3</v>
      </c>
      <c r="S14" s="13">
        <v>10.4</v>
      </c>
      <c r="T14" s="13">
        <v>11.7</v>
      </c>
      <c r="U14" s="13">
        <v>29.8</v>
      </c>
      <c r="V14" s="13">
        <v>14.7</v>
      </c>
      <c r="W14" s="13">
        <v>7.7</v>
      </c>
      <c r="X14" s="13">
        <v>23.1</v>
      </c>
      <c r="Y14" s="13">
        <v>20.2</v>
      </c>
      <c r="Z14" s="13">
        <v>12.4</v>
      </c>
      <c r="AA14" s="13">
        <v>17</v>
      </c>
      <c r="AB14" s="13">
        <v>12.5</v>
      </c>
      <c r="AC14" s="13">
        <v>19.3</v>
      </c>
      <c r="AD14" s="13">
        <v>22.6</v>
      </c>
      <c r="AE14" s="13">
        <v>22.7</v>
      </c>
      <c r="AF14" s="13">
        <v>32.1</v>
      </c>
      <c r="AG14" s="13">
        <v>22</v>
      </c>
      <c r="AH14" s="13">
        <v>31.6</v>
      </c>
      <c r="AI14" s="13">
        <v>23.1</v>
      </c>
      <c r="AJ14" s="13">
        <v>17</v>
      </c>
      <c r="AK14" s="13">
        <v>25.9</v>
      </c>
      <c r="AL14" s="13">
        <v>19</v>
      </c>
      <c r="AM14" s="13">
        <v>12.1</v>
      </c>
      <c r="AN14" s="13">
        <v>10.3</v>
      </c>
      <c r="AO14" s="13">
        <v>14.3</v>
      </c>
      <c r="AP14" s="13">
        <v>17.399999999999999</v>
      </c>
      <c r="AQ14" s="13">
        <v>12.1</v>
      </c>
      <c r="AR14" s="13">
        <v>38.799999999999997</v>
      </c>
      <c r="AS14" s="13">
        <v>33.4</v>
      </c>
      <c r="AT14" s="13">
        <v>11.2</v>
      </c>
      <c r="AU14" s="13">
        <v>21.2</v>
      </c>
      <c r="AV14" s="13">
        <v>29.5</v>
      </c>
      <c r="AW14" s="14">
        <v>28.6</v>
      </c>
      <c r="AX14" s="14">
        <v>16.7</v>
      </c>
      <c r="AY14" s="14">
        <v>19.600000000000001</v>
      </c>
      <c r="AZ14" s="14">
        <v>20.3</v>
      </c>
      <c r="BA14" s="14">
        <v>23.5</v>
      </c>
      <c r="BB14" s="14">
        <v>17.899999999999999</v>
      </c>
      <c r="BC14" s="14">
        <v>19.2</v>
      </c>
      <c r="BD14" s="14">
        <v>25.2</v>
      </c>
      <c r="BE14" s="14">
        <v>27.1</v>
      </c>
      <c r="BF14" s="13">
        <v>21.5</v>
      </c>
      <c r="BG14" s="13">
        <v>23.4</v>
      </c>
      <c r="BH14" s="13">
        <v>29.6</v>
      </c>
      <c r="BI14" s="13">
        <v>30.6</v>
      </c>
      <c r="BJ14" s="13">
        <v>23.1</v>
      </c>
      <c r="BK14" s="13">
        <v>29.6</v>
      </c>
      <c r="BL14" s="13">
        <v>35.799999999999997</v>
      </c>
      <c r="BM14" s="13">
        <v>40.1</v>
      </c>
      <c r="BN14" s="13">
        <v>26.994452290000002</v>
      </c>
      <c r="BO14" s="14">
        <v>35.822919599999999</v>
      </c>
      <c r="BP14" s="14">
        <v>37.060949219999998</v>
      </c>
      <c r="BQ14" s="14">
        <v>58.010716649999999</v>
      </c>
      <c r="BR14" s="14">
        <v>26.940444079999999</v>
      </c>
      <c r="BS14" s="14">
        <v>43.017952450000003</v>
      </c>
      <c r="BT14" s="14">
        <v>33.86599451</v>
      </c>
      <c r="BU14" s="14">
        <v>49.275949959999998</v>
      </c>
      <c r="BV14" s="14">
        <v>31.9</v>
      </c>
      <c r="BW14" s="14">
        <v>50.6</v>
      </c>
      <c r="BX14" s="14">
        <v>34.642897349999998</v>
      </c>
      <c r="BY14" s="14">
        <v>45.558407150000001</v>
      </c>
      <c r="BZ14" s="14">
        <v>57.623089739999998</v>
      </c>
      <c r="CA14" s="14">
        <v>49.222561985000006</v>
      </c>
      <c r="CB14" s="14">
        <v>70.292833503333327</v>
      </c>
      <c r="CC14" s="14">
        <v>40.468203561565893</v>
      </c>
      <c r="CD14" s="14">
        <v>63.357267652100496</v>
      </c>
      <c r="CE14" s="14">
        <v>70.375546611149858</v>
      </c>
      <c r="CF14" s="14">
        <v>72.63055381453313</v>
      </c>
    </row>
    <row r="15" spans="1:84" ht="16.5" x14ac:dyDescent="0.3">
      <c r="A15" s="12" t="s">
        <v>51</v>
      </c>
      <c r="B15" s="13">
        <v>-97.618000000000023</v>
      </c>
      <c r="C15" s="13">
        <v>-99.499000000000024</v>
      </c>
      <c r="D15" s="13">
        <v>-103.53100000000001</v>
      </c>
      <c r="E15" s="13">
        <v>-90.176000000000002</v>
      </c>
      <c r="F15" s="13">
        <v>-73.073000000000008</v>
      </c>
      <c r="G15" s="13">
        <v>-76.832999999999998</v>
      </c>
      <c r="H15" s="13">
        <v>-82.843000000000018</v>
      </c>
      <c r="I15" s="13">
        <v>-91.68</v>
      </c>
      <c r="J15" s="13">
        <v>-101.504</v>
      </c>
      <c r="K15" s="13">
        <v>-110.19300000000001</v>
      </c>
      <c r="L15" s="13">
        <v>-118.77500000000001</v>
      </c>
      <c r="M15" s="13">
        <v>-131.09199999999998</v>
      </c>
      <c r="N15" s="13">
        <v>-125.45</v>
      </c>
      <c r="O15" s="13">
        <v>-137.22300000000001</v>
      </c>
      <c r="P15" s="13">
        <v>-139.86500000000001</v>
      </c>
      <c r="Q15" s="13">
        <v>-100.43</v>
      </c>
      <c r="R15" s="13">
        <v>-24.7</v>
      </c>
      <c r="S15" s="13">
        <v>-17.2</v>
      </c>
      <c r="T15" s="13">
        <v>-22.6</v>
      </c>
      <c r="U15" s="13">
        <v>-39.4</v>
      </c>
      <c r="V15" s="13">
        <v>-22.2</v>
      </c>
      <c r="W15" s="13">
        <v>-19.7</v>
      </c>
      <c r="X15" s="13">
        <v>-39.700000000000003</v>
      </c>
      <c r="Y15" s="13">
        <v>-17</v>
      </c>
      <c r="Z15" s="13">
        <v>-18.3</v>
      </c>
      <c r="AA15" s="13">
        <v>-33.700000000000003</v>
      </c>
      <c r="AB15" s="13">
        <v>-8.4</v>
      </c>
      <c r="AC15" s="13">
        <v>-49.7</v>
      </c>
      <c r="AD15" s="13">
        <v>-43.3</v>
      </c>
      <c r="AE15" s="13">
        <v>-32.1</v>
      </c>
      <c r="AF15" s="13">
        <v>-34.200000000000003</v>
      </c>
      <c r="AG15" s="13">
        <v>-32.4</v>
      </c>
      <c r="AH15" s="13">
        <v>-50.1</v>
      </c>
      <c r="AI15" s="13">
        <v>-42.6</v>
      </c>
      <c r="AJ15" s="13">
        <v>-36</v>
      </c>
      <c r="AK15" s="13">
        <v>-35.799999999999997</v>
      </c>
      <c r="AL15" s="13">
        <v>-56.5</v>
      </c>
      <c r="AM15" s="13">
        <v>-28.8</v>
      </c>
      <c r="AN15" s="13">
        <v>-34.700000000000003</v>
      </c>
      <c r="AO15" s="13">
        <v>-33.799999999999997</v>
      </c>
      <c r="AP15" s="13">
        <v>-44.8</v>
      </c>
      <c r="AQ15" s="13">
        <v>-46.8</v>
      </c>
      <c r="AR15" s="13">
        <v>-43.6</v>
      </c>
      <c r="AS15" s="13">
        <v>-44.3</v>
      </c>
      <c r="AT15" s="13">
        <v>-39.799999999999997</v>
      </c>
      <c r="AU15" s="13">
        <v>-48.5</v>
      </c>
      <c r="AV15" s="13">
        <v>-49.5</v>
      </c>
      <c r="AW15" s="14">
        <v>-52.8</v>
      </c>
      <c r="AX15" s="14">
        <v>-44</v>
      </c>
      <c r="AY15" s="14">
        <v>-50.4</v>
      </c>
      <c r="AZ15" s="14">
        <v>-51.5</v>
      </c>
      <c r="BA15" s="14">
        <v>-44.8</v>
      </c>
      <c r="BB15" s="14">
        <v>-52.8</v>
      </c>
      <c r="BC15" s="14">
        <v>-52.2</v>
      </c>
      <c r="BD15" s="14">
        <v>-61.4</v>
      </c>
      <c r="BE15" s="14">
        <v>-63.6</v>
      </c>
      <c r="BF15" s="13">
        <v>-64.7</v>
      </c>
      <c r="BG15" s="13">
        <v>-70.7</v>
      </c>
      <c r="BH15" s="13">
        <v>-68.7</v>
      </c>
      <c r="BI15" s="13">
        <v>-69</v>
      </c>
      <c r="BJ15" s="13">
        <v>-65.7</v>
      </c>
      <c r="BK15" s="13">
        <v>-71.099999999999994</v>
      </c>
      <c r="BL15" s="13">
        <v>-77.5</v>
      </c>
      <c r="BM15" s="13">
        <v>-80.400000000000006</v>
      </c>
      <c r="BN15" s="13">
        <v>-69.857392340000004</v>
      </c>
      <c r="BO15" s="14">
        <v>-92.379716849999994</v>
      </c>
      <c r="BP15" s="14">
        <v>-109.34416229999999</v>
      </c>
      <c r="BQ15" s="14">
        <v>-105.7317948</v>
      </c>
      <c r="BR15" s="14">
        <v>-83.389508989999996</v>
      </c>
      <c r="BS15" s="14">
        <v>-90.159583159999997</v>
      </c>
      <c r="BT15" s="14">
        <v>-88.616113249999998</v>
      </c>
      <c r="BU15" s="14">
        <v>-101.45157260000001</v>
      </c>
      <c r="BV15" s="14">
        <v>-86.9</v>
      </c>
      <c r="BW15" s="14">
        <v>-90.5</v>
      </c>
      <c r="BX15" s="14">
        <v>-104.36852020000001</v>
      </c>
      <c r="BY15" s="14">
        <v>-26.09404911</v>
      </c>
      <c r="BZ15" s="14">
        <v>-135.41173050782513</v>
      </c>
      <c r="CA15" s="14">
        <v>-118.86994280025607</v>
      </c>
      <c r="CB15" s="14">
        <v>-168.06518894488812</v>
      </c>
      <c r="CC15" s="14">
        <v>-148.81125824572072</v>
      </c>
      <c r="CD15" s="14">
        <v>-150.93518252827701</v>
      </c>
      <c r="CE15" s="14">
        <v>-151.12445567784889</v>
      </c>
      <c r="CF15" s="14">
        <v>-151.20568271097875</v>
      </c>
    </row>
    <row r="16" spans="1:84" ht="16.5" x14ac:dyDescent="0.3">
      <c r="A16" s="12" t="s">
        <v>52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-18.7</v>
      </c>
      <c r="V16" s="13">
        <v>-2.4</v>
      </c>
      <c r="W16" s="13">
        <v>-10</v>
      </c>
      <c r="X16" s="13">
        <v>-3.4</v>
      </c>
      <c r="Y16" s="13">
        <v>-4.8</v>
      </c>
      <c r="Z16" s="13">
        <v>-6.6</v>
      </c>
      <c r="AA16" s="13">
        <v>-7.1</v>
      </c>
      <c r="AB16" s="13">
        <v>-7</v>
      </c>
      <c r="AC16" s="13">
        <v>-15.5</v>
      </c>
      <c r="AD16" s="13">
        <v>-16.600000000000001</v>
      </c>
      <c r="AE16" s="13">
        <v>-18.899999999999999</v>
      </c>
      <c r="AF16" s="13">
        <v>-19.8</v>
      </c>
      <c r="AG16" s="13">
        <v>-22.8</v>
      </c>
      <c r="AH16" s="13">
        <v>-1.5</v>
      </c>
      <c r="AI16" s="13">
        <v>-10.4</v>
      </c>
      <c r="AJ16" s="13">
        <v>-10.6</v>
      </c>
      <c r="AK16" s="13">
        <v>-11</v>
      </c>
      <c r="AL16" s="13">
        <v>-15.7</v>
      </c>
      <c r="AM16" s="13">
        <v>-16.7</v>
      </c>
      <c r="AN16" s="13">
        <v>-15.5</v>
      </c>
      <c r="AO16" s="13">
        <v>-2.8</v>
      </c>
      <c r="AP16" s="13">
        <v>-15.4</v>
      </c>
      <c r="AQ16" s="13">
        <v>-20.5</v>
      </c>
      <c r="AR16" s="13">
        <v>-7.9</v>
      </c>
      <c r="AS16" s="13">
        <v>-6.4</v>
      </c>
      <c r="AT16" s="13">
        <v>-10.4</v>
      </c>
      <c r="AU16" s="13">
        <v>-13.8</v>
      </c>
      <c r="AV16" s="13">
        <v>-11.2</v>
      </c>
      <c r="AW16" s="14">
        <v>-6.8</v>
      </c>
      <c r="AX16" s="14">
        <v>-14.4</v>
      </c>
      <c r="AY16" s="14">
        <v>-23.6</v>
      </c>
      <c r="AZ16" s="14">
        <v>-15.1</v>
      </c>
      <c r="BA16" s="14">
        <v>14.2</v>
      </c>
      <c r="BB16" s="14">
        <v>-17.399999999999999</v>
      </c>
      <c r="BC16" s="14">
        <v>-11.1</v>
      </c>
      <c r="BD16" s="14">
        <v>-9.8000000000000007</v>
      </c>
      <c r="BE16" s="14">
        <v>-8.1</v>
      </c>
      <c r="BF16" s="13">
        <v>-10.8</v>
      </c>
      <c r="BG16" s="13">
        <v>-13.3</v>
      </c>
      <c r="BH16" s="13">
        <v>-12.3</v>
      </c>
      <c r="BI16" s="13">
        <v>-3.4</v>
      </c>
      <c r="BJ16" s="13">
        <v>-5.3</v>
      </c>
      <c r="BK16" s="13">
        <v>-7.2</v>
      </c>
      <c r="BL16" s="13">
        <v>-8</v>
      </c>
      <c r="BM16" s="13">
        <v>3.9</v>
      </c>
      <c r="BN16" s="13">
        <v>-4.5506614980000002</v>
      </c>
      <c r="BO16" s="14">
        <v>-7.4783303310000004</v>
      </c>
      <c r="BP16" s="14">
        <v>-3.9146605280000002</v>
      </c>
      <c r="BQ16" s="14">
        <v>-2.3968057869999999</v>
      </c>
      <c r="BR16" s="14">
        <v>-10.037754700000001</v>
      </c>
      <c r="BS16" s="14">
        <v>-8.6565982940000001</v>
      </c>
      <c r="BT16" s="14">
        <v>-0.57605749900000003</v>
      </c>
      <c r="BU16" s="14">
        <v>3.0327014000000001</v>
      </c>
      <c r="BV16" s="14">
        <v>-19.100000000000001</v>
      </c>
      <c r="BW16" s="14">
        <v>18</v>
      </c>
      <c r="BX16" s="14">
        <v>-22.978135859999998</v>
      </c>
      <c r="BY16" s="14">
        <v>-28.466730510000001</v>
      </c>
      <c r="BZ16" s="14">
        <v>-9.4897784799999911</v>
      </c>
      <c r="CA16" s="14">
        <v>8.0496221700000135</v>
      </c>
      <c r="CB16" s="14">
        <v>19.298602304999982</v>
      </c>
      <c r="CC16" s="14">
        <v>-9.3183132059999849</v>
      </c>
      <c r="CD16" s="14">
        <v>-1.4186800792216019</v>
      </c>
      <c r="CE16" s="14">
        <v>4.2511730660000069</v>
      </c>
      <c r="CF16" s="14">
        <v>31.982664041080003</v>
      </c>
    </row>
    <row r="17" spans="1:84" ht="16.5" x14ac:dyDescent="0.3">
      <c r="A17" s="12" t="s">
        <v>53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49.4</v>
      </c>
      <c r="V17" s="13">
        <v>11.3</v>
      </c>
      <c r="W17" s="13">
        <v>10</v>
      </c>
      <c r="X17" s="13">
        <v>22.7</v>
      </c>
      <c r="Y17" s="13">
        <v>17.3</v>
      </c>
      <c r="Z17" s="13">
        <v>15.1</v>
      </c>
      <c r="AA17" s="13">
        <v>13.8</v>
      </c>
      <c r="AB17" s="13">
        <v>14.8</v>
      </c>
      <c r="AC17" s="13">
        <v>17.2</v>
      </c>
      <c r="AD17" s="13">
        <v>16.600000000000001</v>
      </c>
      <c r="AE17" s="13">
        <v>15.9</v>
      </c>
      <c r="AF17" s="13">
        <v>14.8</v>
      </c>
      <c r="AG17" s="13">
        <v>13.9</v>
      </c>
      <c r="AH17" s="13">
        <v>22.2</v>
      </c>
      <c r="AI17" s="13">
        <v>16.2</v>
      </c>
      <c r="AJ17" s="13">
        <v>14.5</v>
      </c>
      <c r="AK17" s="13">
        <v>21.2</v>
      </c>
      <c r="AL17" s="13">
        <v>12.8</v>
      </c>
      <c r="AM17" s="13">
        <v>12.9</v>
      </c>
      <c r="AN17" s="13">
        <v>8.6999999999999993</v>
      </c>
      <c r="AO17" s="13">
        <v>29.2</v>
      </c>
      <c r="AP17" s="13">
        <v>14.3</v>
      </c>
      <c r="AQ17" s="13">
        <v>15.3</v>
      </c>
      <c r="AR17" s="13">
        <v>15.2</v>
      </c>
      <c r="AS17" s="13">
        <v>18.100000000000001</v>
      </c>
      <c r="AT17" s="13">
        <v>17.8</v>
      </c>
      <c r="AU17" s="13">
        <v>21.1</v>
      </c>
      <c r="AV17" s="13">
        <v>28</v>
      </c>
      <c r="AW17" s="14">
        <v>30.7</v>
      </c>
      <c r="AX17" s="14">
        <v>18</v>
      </c>
      <c r="AY17" s="14">
        <v>15.7</v>
      </c>
      <c r="AZ17" s="14">
        <v>24</v>
      </c>
      <c r="BA17" s="14">
        <v>37.6</v>
      </c>
      <c r="BB17" s="14">
        <v>31</v>
      </c>
      <c r="BC17" s="14">
        <v>28.2</v>
      </c>
      <c r="BD17" s="14">
        <v>32.299999999999997</v>
      </c>
      <c r="BE17" s="14">
        <v>38.200000000000003</v>
      </c>
      <c r="BF17" s="13">
        <v>38.1</v>
      </c>
      <c r="BG17" s="13">
        <v>31.4</v>
      </c>
      <c r="BH17" s="13">
        <v>28.8</v>
      </c>
      <c r="BI17" s="13">
        <v>41.3</v>
      </c>
      <c r="BJ17" s="13">
        <v>39.9</v>
      </c>
      <c r="BK17" s="13">
        <v>35.200000000000003</v>
      </c>
      <c r="BL17" s="13">
        <v>40</v>
      </c>
      <c r="BM17" s="13">
        <v>48.3</v>
      </c>
      <c r="BN17" s="13">
        <v>40.878043910000002</v>
      </c>
      <c r="BO17" s="14">
        <v>45.92674323</v>
      </c>
      <c r="BP17" s="14">
        <v>47.727874909999997</v>
      </c>
      <c r="BQ17" s="14">
        <v>55.421723610000001</v>
      </c>
      <c r="BR17" s="14">
        <v>39.266768280000001</v>
      </c>
      <c r="BS17" s="14">
        <v>44.135161009999997</v>
      </c>
      <c r="BT17" s="14">
        <v>54.669897169999999</v>
      </c>
      <c r="BU17" s="14">
        <v>57.49028242</v>
      </c>
      <c r="BV17" s="14">
        <v>31.5</v>
      </c>
      <c r="BW17" s="14">
        <v>56.8</v>
      </c>
      <c r="BX17" s="14">
        <v>53.698587009999997</v>
      </c>
      <c r="BY17" s="14">
        <v>55.322628709999996</v>
      </c>
      <c r="BZ17" s="14">
        <v>34.171088210000001</v>
      </c>
      <c r="CA17" s="14">
        <v>55.545074680000006</v>
      </c>
      <c r="CB17" s="14">
        <v>73.115886482999997</v>
      </c>
      <c r="CC17" s="14">
        <v>68.29381706400001</v>
      </c>
      <c r="CD17" s="14">
        <v>34.095036583999992</v>
      </c>
      <c r="CE17" s="14">
        <v>49.143420050000003</v>
      </c>
      <c r="CF17" s="14">
        <v>56.336388771000003</v>
      </c>
    </row>
    <row r="18" spans="1:84" ht="16.5" x14ac:dyDescent="0.3">
      <c r="A18" s="12" t="s">
        <v>54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-68.099999999999994</v>
      </c>
      <c r="V18" s="13">
        <v>-13.7</v>
      </c>
      <c r="W18" s="13">
        <v>-20</v>
      </c>
      <c r="X18" s="13">
        <v>-26.1</v>
      </c>
      <c r="Y18" s="13">
        <v>-22.1</v>
      </c>
      <c r="Z18" s="13">
        <v>-21.7</v>
      </c>
      <c r="AA18" s="13">
        <v>-20.9</v>
      </c>
      <c r="AB18" s="13">
        <v>-21.8</v>
      </c>
      <c r="AC18" s="13">
        <v>-32.700000000000003</v>
      </c>
      <c r="AD18" s="13">
        <v>-33.1</v>
      </c>
      <c r="AE18" s="13">
        <v>-34.9</v>
      </c>
      <c r="AF18" s="13">
        <v>-34.6</v>
      </c>
      <c r="AG18" s="13">
        <v>-36.700000000000003</v>
      </c>
      <c r="AH18" s="13">
        <v>-23.7</v>
      </c>
      <c r="AI18" s="13">
        <v>-26.6</v>
      </c>
      <c r="AJ18" s="13">
        <v>-25.1</v>
      </c>
      <c r="AK18" s="13">
        <v>-32.299999999999997</v>
      </c>
      <c r="AL18" s="13">
        <v>-28.5</v>
      </c>
      <c r="AM18" s="13">
        <v>-29.6</v>
      </c>
      <c r="AN18" s="13">
        <v>-24.2</v>
      </c>
      <c r="AO18" s="13">
        <v>-32</v>
      </c>
      <c r="AP18" s="13">
        <v>-29.7</v>
      </c>
      <c r="AQ18" s="13">
        <v>-35.799999999999997</v>
      </c>
      <c r="AR18" s="13">
        <v>-23.1</v>
      </c>
      <c r="AS18" s="13">
        <v>-24.5</v>
      </c>
      <c r="AT18" s="13">
        <v>-28.1</v>
      </c>
      <c r="AU18" s="13">
        <v>-35</v>
      </c>
      <c r="AV18" s="13">
        <v>-39.200000000000003</v>
      </c>
      <c r="AW18" s="14">
        <v>-37.5</v>
      </c>
      <c r="AX18" s="14">
        <v>-32.4</v>
      </c>
      <c r="AY18" s="14">
        <v>-39.299999999999997</v>
      </c>
      <c r="AZ18" s="14">
        <v>-39.1</v>
      </c>
      <c r="BA18" s="14">
        <v>-23.5</v>
      </c>
      <c r="BB18" s="14">
        <v>-48.4</v>
      </c>
      <c r="BC18" s="14">
        <v>-39.299999999999997</v>
      </c>
      <c r="BD18" s="14">
        <v>-42.1</v>
      </c>
      <c r="BE18" s="14">
        <v>-46.3</v>
      </c>
      <c r="BF18" s="13">
        <v>-48.9</v>
      </c>
      <c r="BG18" s="13">
        <v>-44.7</v>
      </c>
      <c r="BH18" s="13">
        <v>-41.1</v>
      </c>
      <c r="BI18" s="13">
        <v>-44.7</v>
      </c>
      <c r="BJ18" s="13">
        <v>-45.2</v>
      </c>
      <c r="BK18" s="13">
        <v>-42.5</v>
      </c>
      <c r="BL18" s="13">
        <v>-48</v>
      </c>
      <c r="BM18" s="13">
        <v>-44.5</v>
      </c>
      <c r="BN18" s="13">
        <v>-45.428705409999999</v>
      </c>
      <c r="BO18" s="14">
        <v>-53.405073559999998</v>
      </c>
      <c r="BP18" s="14">
        <v>-51.642535440000003</v>
      </c>
      <c r="BQ18" s="14">
        <v>-57.818529400000003</v>
      </c>
      <c r="BR18" s="14">
        <v>-49.304522980000002</v>
      </c>
      <c r="BS18" s="14">
        <v>-52.791759300000002</v>
      </c>
      <c r="BT18" s="14">
        <v>-55.245954670000003</v>
      </c>
      <c r="BU18" s="14">
        <v>-54.457581019999999</v>
      </c>
      <c r="BV18" s="14">
        <v>-50.6</v>
      </c>
      <c r="BW18" s="14">
        <v>-38.799999999999997</v>
      </c>
      <c r="BX18" s="14">
        <v>-76.676722870000006</v>
      </c>
      <c r="BY18" s="14">
        <v>-83.789359219999994</v>
      </c>
      <c r="BZ18" s="14">
        <v>-43.660866689999992</v>
      </c>
      <c r="CA18" s="14">
        <v>-47.495452509999993</v>
      </c>
      <c r="CB18" s="14">
        <v>-53.817284178000016</v>
      </c>
      <c r="CC18" s="14">
        <v>-77.612130269999994</v>
      </c>
      <c r="CD18" s="14">
        <v>-35.513716663221594</v>
      </c>
      <c r="CE18" s="14">
        <v>-44.892246983999996</v>
      </c>
      <c r="CF18" s="14">
        <v>-24.35372472992</v>
      </c>
    </row>
    <row r="19" spans="1:84" ht="16.5" x14ac:dyDescent="0.3">
      <c r="A19" s="12" t="s">
        <v>55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-2</v>
      </c>
      <c r="AD19" s="13">
        <v>1.4</v>
      </c>
      <c r="AE19" s="13">
        <v>1</v>
      </c>
      <c r="AF19" s="13">
        <v>1.5</v>
      </c>
      <c r="AG19" s="13">
        <v>1.4</v>
      </c>
      <c r="AH19" s="13">
        <v>3.3</v>
      </c>
      <c r="AI19" s="13">
        <v>0.1</v>
      </c>
      <c r="AJ19" s="13">
        <v>2.1</v>
      </c>
      <c r="AK19" s="13">
        <v>0.5</v>
      </c>
      <c r="AL19" s="13">
        <v>-3</v>
      </c>
      <c r="AM19" s="13">
        <v>-0.5</v>
      </c>
      <c r="AN19" s="13">
        <v>-0.5</v>
      </c>
      <c r="AO19" s="13">
        <v>0.1</v>
      </c>
      <c r="AP19" s="13">
        <v>-9.5</v>
      </c>
      <c r="AQ19" s="13">
        <v>-6.2</v>
      </c>
      <c r="AR19" s="13">
        <v>0.6</v>
      </c>
      <c r="AS19" s="13">
        <v>0.8</v>
      </c>
      <c r="AT19" s="13">
        <v>0.3</v>
      </c>
      <c r="AU19" s="13">
        <v>-2.6</v>
      </c>
      <c r="AV19" s="13">
        <v>-1.9</v>
      </c>
      <c r="AW19" s="14">
        <v>1.1000000000000001</v>
      </c>
      <c r="AX19" s="14">
        <v>-0.4</v>
      </c>
      <c r="AY19" s="14">
        <v>0</v>
      </c>
      <c r="AZ19" s="14">
        <v>0.3</v>
      </c>
      <c r="BA19" s="14">
        <v>0.1</v>
      </c>
      <c r="BB19" s="14">
        <v>-0.8</v>
      </c>
      <c r="BC19" s="14">
        <v>0.6</v>
      </c>
      <c r="BD19" s="14">
        <v>0</v>
      </c>
      <c r="BE19" s="14">
        <v>-0.2</v>
      </c>
      <c r="BF19" s="13">
        <v>-1</v>
      </c>
      <c r="BG19" s="13">
        <v>-0.6</v>
      </c>
      <c r="BH19" s="13">
        <v>-0.8</v>
      </c>
      <c r="BI19" s="13">
        <v>0.7</v>
      </c>
      <c r="BJ19" s="13">
        <v>0.1</v>
      </c>
      <c r="BK19" s="13">
        <v>0.8</v>
      </c>
      <c r="BL19" s="13">
        <v>2.1</v>
      </c>
      <c r="BM19" s="13">
        <v>-1.1000000000000001</v>
      </c>
      <c r="BN19" s="13">
        <v>0.40890228299999998</v>
      </c>
      <c r="BO19" s="14">
        <v>1.2402824699999999</v>
      </c>
      <c r="BP19" s="14">
        <v>1.2002872899999999</v>
      </c>
      <c r="BQ19" s="14">
        <v>0.76143509899999995</v>
      </c>
      <c r="BR19" s="14">
        <v>1.2263775699999999</v>
      </c>
      <c r="BS19" s="14">
        <v>0.87623362000000005</v>
      </c>
      <c r="BT19" s="14">
        <v>-1.736886393</v>
      </c>
      <c r="BU19" s="14">
        <v>2.47276908</v>
      </c>
      <c r="BV19" s="14">
        <v>-0.7</v>
      </c>
      <c r="BW19" s="14">
        <v>-1.7</v>
      </c>
      <c r="BX19" s="14">
        <v>-4.6701949190000001</v>
      </c>
      <c r="BY19" s="14">
        <v>-0.137372891</v>
      </c>
      <c r="BZ19" s="14">
        <v>7.6783380000000179E-2</v>
      </c>
      <c r="CA19" s="14">
        <v>-0.23896048000000292</v>
      </c>
      <c r="CB19" s="14">
        <v>3.3918622800000016</v>
      </c>
      <c r="CC19" s="14">
        <v>2.3258255802999983</v>
      </c>
      <c r="CD19" s="14">
        <v>-2.5604970219151379</v>
      </c>
      <c r="CE19" s="14">
        <v>0.69005486100000013</v>
      </c>
      <c r="CF19" s="14">
        <v>-0.42485232000000117</v>
      </c>
    </row>
    <row r="20" spans="1:84" ht="16.5" x14ac:dyDescent="0.3">
      <c r="A20" s="12" t="s">
        <v>56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0.1</v>
      </c>
      <c r="AD20" s="13">
        <v>2</v>
      </c>
      <c r="AE20" s="13">
        <v>1.6</v>
      </c>
      <c r="AF20" s="13">
        <v>2</v>
      </c>
      <c r="AG20" s="13">
        <v>2.1</v>
      </c>
      <c r="AH20" s="13">
        <v>3.9</v>
      </c>
      <c r="AI20" s="13">
        <v>0.8</v>
      </c>
      <c r="AJ20" s="13">
        <v>2.2999999999999998</v>
      </c>
      <c r="AK20" s="13">
        <v>0.7</v>
      </c>
      <c r="AL20" s="13">
        <v>3.6</v>
      </c>
      <c r="AM20" s="13">
        <v>3.2</v>
      </c>
      <c r="AN20" s="13">
        <v>3.1</v>
      </c>
      <c r="AO20" s="13">
        <v>0.5</v>
      </c>
      <c r="AP20" s="13">
        <v>2.2000000000000002</v>
      </c>
      <c r="AQ20" s="13">
        <v>2.2000000000000002</v>
      </c>
      <c r="AR20" s="13">
        <v>5.7</v>
      </c>
      <c r="AS20" s="13">
        <v>1</v>
      </c>
      <c r="AT20" s="13">
        <v>1.8</v>
      </c>
      <c r="AU20" s="13">
        <v>1.5</v>
      </c>
      <c r="AV20" s="13">
        <v>2.4</v>
      </c>
      <c r="AW20" s="14">
        <v>1.8</v>
      </c>
      <c r="AX20" s="14">
        <v>1.1000000000000001</v>
      </c>
      <c r="AY20" s="14">
        <v>2.1</v>
      </c>
      <c r="AZ20" s="14">
        <v>2</v>
      </c>
      <c r="BA20" s="14">
        <v>3.3</v>
      </c>
      <c r="BB20" s="14">
        <v>2.6</v>
      </c>
      <c r="BC20" s="14">
        <v>2.9</v>
      </c>
      <c r="BD20" s="14">
        <v>2.1</v>
      </c>
      <c r="BE20" s="14">
        <v>3.2</v>
      </c>
      <c r="BF20" s="13">
        <v>2.6</v>
      </c>
      <c r="BG20" s="13">
        <v>3.5</v>
      </c>
      <c r="BH20" s="13">
        <v>3.7</v>
      </c>
      <c r="BI20" s="13">
        <v>5.5</v>
      </c>
      <c r="BJ20" s="13">
        <v>4.4000000000000004</v>
      </c>
      <c r="BK20" s="13">
        <v>3.9</v>
      </c>
      <c r="BL20" s="13">
        <v>5.0999999999999996</v>
      </c>
      <c r="BM20" s="13">
        <v>5.6</v>
      </c>
      <c r="BN20" s="13">
        <v>8.2299590550000001</v>
      </c>
      <c r="BO20" s="14">
        <v>8.04705987</v>
      </c>
      <c r="BP20" s="14">
        <v>9.7000548200000001</v>
      </c>
      <c r="BQ20" s="14">
        <v>5.3302108300000004</v>
      </c>
      <c r="BR20" s="14">
        <v>8.0080287800000001</v>
      </c>
      <c r="BS20" s="14">
        <v>8.4527013049999997</v>
      </c>
      <c r="BT20" s="14">
        <v>5.2645722599999996</v>
      </c>
      <c r="BU20" s="14">
        <v>8.7980834199999993</v>
      </c>
      <c r="BV20" s="14">
        <v>7.7</v>
      </c>
      <c r="BW20" s="14">
        <v>11.1</v>
      </c>
      <c r="BX20" s="14">
        <v>7.7326062799999997</v>
      </c>
      <c r="BY20" s="14">
        <v>12.355851749999999</v>
      </c>
      <c r="BZ20" s="14">
        <v>8.8402302000000006</v>
      </c>
      <c r="CA20" s="14">
        <v>8.9469172999999991</v>
      </c>
      <c r="CB20" s="14">
        <v>9.1172895200000017</v>
      </c>
      <c r="CC20" s="14">
        <v>10.054304997899999</v>
      </c>
      <c r="CD20" s="14">
        <v>11.581115343</v>
      </c>
      <c r="CE20" s="14">
        <v>18.005748783000001</v>
      </c>
      <c r="CF20" s="14">
        <v>9.9593686899999998</v>
      </c>
    </row>
    <row r="21" spans="1:84" ht="16.5" x14ac:dyDescent="0.3">
      <c r="A21" s="12" t="s">
        <v>57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-2.1</v>
      </c>
      <c r="AD21" s="13">
        <v>-0.6</v>
      </c>
      <c r="AE21" s="13">
        <v>-0.5</v>
      </c>
      <c r="AF21" s="13">
        <v>-0.6</v>
      </c>
      <c r="AG21" s="13">
        <v>-0.7</v>
      </c>
      <c r="AH21" s="13">
        <v>-0.6</v>
      </c>
      <c r="AI21" s="13">
        <v>-0.6</v>
      </c>
      <c r="AJ21" s="13">
        <v>-0.2</v>
      </c>
      <c r="AK21" s="13">
        <v>-0.2</v>
      </c>
      <c r="AL21" s="13">
        <v>-6.5</v>
      </c>
      <c r="AM21" s="13">
        <v>-3.6</v>
      </c>
      <c r="AN21" s="13">
        <v>-3.6</v>
      </c>
      <c r="AO21" s="13">
        <v>-0.4</v>
      </c>
      <c r="AP21" s="13">
        <v>-11.6</v>
      </c>
      <c r="AQ21" s="13">
        <v>-8.4</v>
      </c>
      <c r="AR21" s="13">
        <v>-5</v>
      </c>
      <c r="AS21" s="13">
        <v>-0.2</v>
      </c>
      <c r="AT21" s="13">
        <v>-1.5</v>
      </c>
      <c r="AU21" s="13">
        <v>-4.0999999999999996</v>
      </c>
      <c r="AV21" s="13">
        <v>-4.3</v>
      </c>
      <c r="AW21" s="14">
        <v>-0.6</v>
      </c>
      <c r="AX21" s="14">
        <v>-1.5</v>
      </c>
      <c r="AY21" s="14">
        <v>-2</v>
      </c>
      <c r="AZ21" s="14">
        <v>-1.7</v>
      </c>
      <c r="BA21" s="14">
        <v>-3.2</v>
      </c>
      <c r="BB21" s="14">
        <v>-3.5</v>
      </c>
      <c r="BC21" s="14">
        <v>-2.2999999999999998</v>
      </c>
      <c r="BD21" s="14">
        <v>-2.1</v>
      </c>
      <c r="BE21" s="14">
        <v>-3.4</v>
      </c>
      <c r="BF21" s="13">
        <v>-3.6</v>
      </c>
      <c r="BG21" s="13">
        <v>-4.2</v>
      </c>
      <c r="BH21" s="13">
        <v>-4.4000000000000004</v>
      </c>
      <c r="BI21" s="13">
        <v>-4.8</v>
      </c>
      <c r="BJ21" s="13">
        <v>-4.3</v>
      </c>
      <c r="BK21" s="13">
        <v>-3.1</v>
      </c>
      <c r="BL21" s="13">
        <v>-3</v>
      </c>
      <c r="BM21" s="13">
        <v>-6.6</v>
      </c>
      <c r="BN21" s="13">
        <v>-7.8210567720000004</v>
      </c>
      <c r="BO21" s="14">
        <v>-6.8067773999999996</v>
      </c>
      <c r="BP21" s="14">
        <v>-8.4997675299999997</v>
      </c>
      <c r="BQ21" s="14">
        <v>-4.5687757309999997</v>
      </c>
      <c r="BR21" s="14">
        <v>-6.7816512099999997</v>
      </c>
      <c r="BS21" s="14">
        <v>-7.5764676849999999</v>
      </c>
      <c r="BT21" s="14">
        <v>-7.0014586530000003</v>
      </c>
      <c r="BU21" s="14">
        <v>-6.3253143400000003</v>
      </c>
      <c r="BV21" s="14">
        <v>-8.4</v>
      </c>
      <c r="BW21" s="14">
        <v>-12.8</v>
      </c>
      <c r="BX21" s="14">
        <v>-12.402801200000001</v>
      </c>
      <c r="BY21" s="14">
        <v>-12.493224639999999</v>
      </c>
      <c r="BZ21" s="14">
        <v>-8.7634468200000004</v>
      </c>
      <c r="CA21" s="14">
        <v>-9.185877780000002</v>
      </c>
      <c r="CB21" s="14">
        <v>-5.7254272400000001</v>
      </c>
      <c r="CC21" s="14">
        <v>-7.7284794176000009</v>
      </c>
      <c r="CD21" s="14">
        <v>-14.141612364915138</v>
      </c>
      <c r="CE21" s="14">
        <v>-17.315693922000001</v>
      </c>
      <c r="CF21" s="14">
        <v>-10.384221010000001</v>
      </c>
    </row>
    <row r="22" spans="1:84" ht="16.5" x14ac:dyDescent="0.3">
      <c r="A22" s="12" t="s">
        <v>58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0.4</v>
      </c>
      <c r="AE22" s="13">
        <v>0.1</v>
      </c>
      <c r="AF22" s="13">
        <v>-0.2</v>
      </c>
      <c r="AG22" s="13">
        <v>-0.1</v>
      </c>
      <c r="AH22" s="13">
        <v>-15.2</v>
      </c>
      <c r="AI22" s="13">
        <v>-9</v>
      </c>
      <c r="AJ22" s="13">
        <v>-3.8</v>
      </c>
      <c r="AK22" s="13">
        <v>0.1</v>
      </c>
      <c r="AL22" s="13">
        <v>-13.1</v>
      </c>
      <c r="AM22" s="13">
        <v>-11</v>
      </c>
      <c r="AN22" s="13">
        <v>-5.7</v>
      </c>
      <c r="AO22" s="13">
        <v>-8.1</v>
      </c>
      <c r="AP22" s="13">
        <v>-25.2</v>
      </c>
      <c r="AQ22" s="13">
        <v>-22.7</v>
      </c>
      <c r="AR22" s="13">
        <v>-10.199999999999999</v>
      </c>
      <c r="AS22" s="13">
        <v>-2.5</v>
      </c>
      <c r="AT22" s="13">
        <v>-11.7</v>
      </c>
      <c r="AU22" s="13">
        <v>-12</v>
      </c>
      <c r="AV22" s="13">
        <v>-7.2</v>
      </c>
      <c r="AW22" s="14">
        <v>-18.3</v>
      </c>
      <c r="AX22" s="14">
        <v>-11.4</v>
      </c>
      <c r="AY22" s="14">
        <v>-10.6</v>
      </c>
      <c r="AZ22" s="14">
        <v>-8.6999999999999993</v>
      </c>
      <c r="BA22" s="14">
        <v>-10.4</v>
      </c>
      <c r="BB22" s="14">
        <v>-18.399999999999999</v>
      </c>
      <c r="BC22" s="14">
        <v>-16.100000000000001</v>
      </c>
      <c r="BD22" s="14">
        <v>-16.8</v>
      </c>
      <c r="BE22" s="14">
        <v>-5.2</v>
      </c>
      <c r="BF22" s="13">
        <v>-23.7</v>
      </c>
      <c r="BG22" s="13">
        <v>-28</v>
      </c>
      <c r="BH22" s="13">
        <v>-7.5</v>
      </c>
      <c r="BI22" s="13">
        <v>-9.5</v>
      </c>
      <c r="BJ22" s="13">
        <v>-17.600000000000001</v>
      </c>
      <c r="BK22" s="13">
        <v>-17.2</v>
      </c>
      <c r="BL22" s="13">
        <v>-4.8</v>
      </c>
      <c r="BM22" s="13">
        <v>-3.2</v>
      </c>
      <c r="BN22" s="13">
        <v>-7.9277664190000001</v>
      </c>
      <c r="BO22" s="14">
        <v>-2.9515429989999999</v>
      </c>
      <c r="BP22" s="14">
        <v>-2.1748715270000001</v>
      </c>
      <c r="BQ22" s="14">
        <v>-3.1029567710000001</v>
      </c>
      <c r="BR22" s="14">
        <v>-13.057200330000001</v>
      </c>
      <c r="BS22" s="14">
        <v>-18.020739389999999</v>
      </c>
      <c r="BT22" s="14">
        <v>-20.70775828</v>
      </c>
      <c r="BU22" s="14">
        <v>-43.012673790000001</v>
      </c>
      <c r="BV22" s="14">
        <v>-23.4</v>
      </c>
      <c r="BW22" s="14">
        <v>-26.5</v>
      </c>
      <c r="BX22" s="14">
        <v>-31.152670950000001</v>
      </c>
      <c r="BY22" s="14">
        <v>-49.696707289999999</v>
      </c>
      <c r="BZ22" s="14">
        <v>-15.224308674136841</v>
      </c>
      <c r="CA22" s="14">
        <v>-68.390935561374349</v>
      </c>
      <c r="CB22" s="14">
        <v>-64.129565012570623</v>
      </c>
      <c r="CC22" s="14">
        <v>-90.309700080372096</v>
      </c>
      <c r="CD22" s="14">
        <v>-26.478003632243489</v>
      </c>
      <c r="CE22" s="14">
        <v>-248.46203375178743</v>
      </c>
      <c r="CF22" s="14">
        <v>-74.925552045389793</v>
      </c>
    </row>
    <row r="23" spans="1:84" ht="16.5" x14ac:dyDescent="0.3">
      <c r="A23" s="12" t="s">
        <v>59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0.4</v>
      </c>
      <c r="AE23" s="13">
        <v>0.1</v>
      </c>
      <c r="AF23" s="13">
        <v>0.5</v>
      </c>
      <c r="AG23" s="13">
        <v>0</v>
      </c>
      <c r="AH23" s="13">
        <v>0</v>
      </c>
      <c r="AI23" s="13">
        <v>0</v>
      </c>
      <c r="AJ23" s="13">
        <v>0</v>
      </c>
      <c r="AK23" s="13">
        <v>0.1</v>
      </c>
      <c r="AL23" s="13">
        <v>0.2</v>
      </c>
      <c r="AM23" s="13">
        <v>0.4</v>
      </c>
      <c r="AN23" s="13">
        <v>0.3</v>
      </c>
      <c r="AO23" s="13">
        <v>0.9</v>
      </c>
      <c r="AP23" s="13">
        <v>1.5</v>
      </c>
      <c r="AQ23" s="13">
        <v>7.4</v>
      </c>
      <c r="AR23" s="13">
        <v>9</v>
      </c>
      <c r="AS23" s="13">
        <v>12.6</v>
      </c>
      <c r="AT23" s="13">
        <v>3.6</v>
      </c>
      <c r="AU23" s="13">
        <v>2.2000000000000002</v>
      </c>
      <c r="AV23" s="13">
        <v>2.6</v>
      </c>
      <c r="AW23" s="14">
        <v>3.4</v>
      </c>
      <c r="AX23" s="14">
        <v>2.5</v>
      </c>
      <c r="AY23" s="14">
        <v>2.9</v>
      </c>
      <c r="AZ23" s="14">
        <v>3.4</v>
      </c>
      <c r="BA23" s="14">
        <v>2.2999999999999998</v>
      </c>
      <c r="BB23" s="14">
        <v>1.4</v>
      </c>
      <c r="BC23" s="14">
        <v>2.9</v>
      </c>
      <c r="BD23" s="14">
        <v>3.9</v>
      </c>
      <c r="BE23" s="14">
        <v>13.8</v>
      </c>
      <c r="BF23" s="13">
        <v>4.2</v>
      </c>
      <c r="BG23" s="13">
        <v>4.3</v>
      </c>
      <c r="BH23" s="13">
        <v>4.0999999999999996</v>
      </c>
      <c r="BI23" s="13">
        <v>12.3</v>
      </c>
      <c r="BJ23" s="13">
        <v>4.5</v>
      </c>
      <c r="BK23" s="13">
        <v>4.8</v>
      </c>
      <c r="BL23" s="13">
        <v>2.8</v>
      </c>
      <c r="BM23" s="13">
        <v>6.3</v>
      </c>
      <c r="BN23" s="13">
        <v>4.14445701</v>
      </c>
      <c r="BO23" s="14">
        <v>4.26128412</v>
      </c>
      <c r="BP23" s="14">
        <v>3.2358741200000001</v>
      </c>
      <c r="BQ23" s="14">
        <v>6.4542149100000001</v>
      </c>
      <c r="BR23" s="14">
        <v>6.5845744499999999</v>
      </c>
      <c r="BS23" s="14">
        <v>6.2468561600000001</v>
      </c>
      <c r="BT23" s="14">
        <v>1.9201613</v>
      </c>
      <c r="BU23" s="14">
        <v>0.2645788</v>
      </c>
      <c r="BV23" s="14">
        <v>8.8000000000000007</v>
      </c>
      <c r="BW23" s="14">
        <v>6.3</v>
      </c>
      <c r="BX23" s="14">
        <v>5.5352397599999996</v>
      </c>
      <c r="BY23" s="14">
        <v>4.0434373399999997</v>
      </c>
      <c r="BZ23" s="14">
        <v>4.6639807700000002</v>
      </c>
      <c r="CA23" s="14">
        <v>3.25666309</v>
      </c>
      <c r="CB23" s="14">
        <v>5.1192322600000013</v>
      </c>
      <c r="CC23" s="14">
        <v>3.6992924980000015</v>
      </c>
      <c r="CD23" s="14">
        <v>4.4452666499999998</v>
      </c>
      <c r="CE23" s="14">
        <v>4.7246835000000003</v>
      </c>
      <c r="CF23" s="14">
        <v>13.468836720000001</v>
      </c>
    </row>
    <row r="24" spans="1:84" ht="16.5" x14ac:dyDescent="0.3">
      <c r="A24" s="12" t="s">
        <v>60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-0.1</v>
      </c>
      <c r="AE24" s="13">
        <v>0</v>
      </c>
      <c r="AF24" s="13">
        <v>-0.8</v>
      </c>
      <c r="AG24" s="13">
        <v>-0.2</v>
      </c>
      <c r="AH24" s="13">
        <v>-15.2</v>
      </c>
      <c r="AI24" s="13">
        <v>-9.1</v>
      </c>
      <c r="AJ24" s="13">
        <v>-3.9</v>
      </c>
      <c r="AK24" s="13">
        <v>0</v>
      </c>
      <c r="AL24" s="13">
        <v>-13.3</v>
      </c>
      <c r="AM24" s="13">
        <v>-11.3</v>
      </c>
      <c r="AN24" s="13">
        <v>-6</v>
      </c>
      <c r="AO24" s="13">
        <v>-9</v>
      </c>
      <c r="AP24" s="13">
        <v>-26.7</v>
      </c>
      <c r="AQ24" s="13">
        <v>-30.1</v>
      </c>
      <c r="AR24" s="13">
        <v>-19.3</v>
      </c>
      <c r="AS24" s="13">
        <v>-15.2</v>
      </c>
      <c r="AT24" s="13">
        <v>-15.3</v>
      </c>
      <c r="AU24" s="13">
        <v>-14.2</v>
      </c>
      <c r="AV24" s="13">
        <v>-9.8000000000000007</v>
      </c>
      <c r="AW24" s="14">
        <v>-21.7</v>
      </c>
      <c r="AX24" s="14">
        <v>-13.8</v>
      </c>
      <c r="AY24" s="14">
        <v>-13.6</v>
      </c>
      <c r="AZ24" s="14">
        <v>-12</v>
      </c>
      <c r="BA24" s="14">
        <v>-12.8</v>
      </c>
      <c r="BB24" s="14">
        <v>-19.8</v>
      </c>
      <c r="BC24" s="14">
        <v>-19</v>
      </c>
      <c r="BD24" s="14">
        <v>-20.7</v>
      </c>
      <c r="BE24" s="14">
        <v>-19.100000000000001</v>
      </c>
      <c r="BF24" s="13">
        <v>-27.9</v>
      </c>
      <c r="BG24" s="13">
        <v>-32.299999999999997</v>
      </c>
      <c r="BH24" s="13">
        <v>-11.7</v>
      </c>
      <c r="BI24" s="13">
        <v>-21.8</v>
      </c>
      <c r="BJ24" s="13">
        <v>-22.2</v>
      </c>
      <c r="BK24" s="13">
        <v>-22</v>
      </c>
      <c r="BL24" s="13">
        <v>-7.6</v>
      </c>
      <c r="BM24" s="13">
        <v>-9.5</v>
      </c>
      <c r="BN24" s="13">
        <v>-12.072223429999999</v>
      </c>
      <c r="BO24" s="14">
        <v>-7.212827119</v>
      </c>
      <c r="BP24" s="14">
        <v>-5.4107456469999997</v>
      </c>
      <c r="BQ24" s="14">
        <v>-9.5571716809999998</v>
      </c>
      <c r="BR24" s="14">
        <v>-19.641774779999999</v>
      </c>
      <c r="BS24" s="14">
        <v>-24.267595549999999</v>
      </c>
      <c r="BT24" s="14">
        <v>-22.62791958</v>
      </c>
      <c r="BU24" s="14">
        <v>-43.277252590000003</v>
      </c>
      <c r="BV24" s="14">
        <v>-32.200000000000003</v>
      </c>
      <c r="BW24" s="14">
        <v>-32.799999999999997</v>
      </c>
      <c r="BX24" s="14">
        <v>-36.687910709999997</v>
      </c>
      <c r="BY24" s="14">
        <v>-53.740144630000003</v>
      </c>
      <c r="BZ24" s="14">
        <v>-19.888289444136841</v>
      </c>
      <c r="CA24" s="14">
        <v>-71.647598651374352</v>
      </c>
      <c r="CB24" s="14">
        <v>-69.248797272570627</v>
      </c>
      <c r="CC24" s="14">
        <v>-94.008992578372101</v>
      </c>
      <c r="CD24" s="14">
        <v>-30.92327028224349</v>
      </c>
      <c r="CE24" s="14">
        <v>-253.18671725178743</v>
      </c>
      <c r="CF24" s="14">
        <v>-88.394388765389792</v>
      </c>
    </row>
    <row r="25" spans="1:84" ht="16.5" x14ac:dyDescent="0.3">
      <c r="A25" s="12" t="s">
        <v>61</v>
      </c>
      <c r="B25" s="13">
        <v>-11.601999999999999</v>
      </c>
      <c r="C25" s="13">
        <v>-12.610999999999999</v>
      </c>
      <c r="D25" s="13">
        <v>-13.258999999999999</v>
      </c>
      <c r="E25" s="13">
        <v>-12.763999999999999</v>
      </c>
      <c r="F25" s="13">
        <v>-11.696999999999999</v>
      </c>
      <c r="G25" s="13">
        <v>-11.236999999999998</v>
      </c>
      <c r="H25" s="13">
        <v>-11.927</v>
      </c>
      <c r="I25" s="13">
        <v>-12.32</v>
      </c>
      <c r="J25" s="13">
        <v>-12.355999999999998</v>
      </c>
      <c r="K25" s="13">
        <v>-13.077</v>
      </c>
      <c r="L25" s="13">
        <v>-12.775</v>
      </c>
      <c r="M25" s="13">
        <v>-12.987999999999998</v>
      </c>
      <c r="N25" s="13">
        <v>-13.55</v>
      </c>
      <c r="O25" s="13">
        <v>-13.546999999999999</v>
      </c>
      <c r="P25" s="13">
        <v>-10.185</v>
      </c>
      <c r="Q25" s="13">
        <v>-12.27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-0.6</v>
      </c>
      <c r="AQ25" s="13">
        <v>-0.1</v>
      </c>
      <c r="AR25" s="13">
        <v>0.2</v>
      </c>
      <c r="AS25" s="13">
        <v>-0.9</v>
      </c>
      <c r="AT25" s="13">
        <v>-1</v>
      </c>
      <c r="AU25" s="13">
        <v>-0.8</v>
      </c>
      <c r="AV25" s="13">
        <v>-1.2</v>
      </c>
      <c r="AW25" s="14">
        <v>-0.8</v>
      </c>
      <c r="AX25" s="14">
        <v>-0.1</v>
      </c>
      <c r="AY25" s="14">
        <v>0.1</v>
      </c>
      <c r="AZ25" s="14">
        <v>0</v>
      </c>
      <c r="BA25" s="14">
        <v>0</v>
      </c>
      <c r="BB25" s="14">
        <v>-0.4</v>
      </c>
      <c r="BC25" s="14">
        <v>-0.2</v>
      </c>
      <c r="BD25" s="14">
        <v>-1</v>
      </c>
      <c r="BE25" s="14">
        <v>-0.7</v>
      </c>
      <c r="BF25" s="13">
        <v>-0.6</v>
      </c>
      <c r="BG25" s="13">
        <v>-0.7</v>
      </c>
      <c r="BH25" s="13">
        <v>-0.4</v>
      </c>
      <c r="BI25" s="13">
        <v>-0.2</v>
      </c>
      <c r="BJ25" s="13">
        <v>-0.7</v>
      </c>
      <c r="BK25" s="13">
        <v>-0.8</v>
      </c>
      <c r="BL25" s="13">
        <v>0</v>
      </c>
      <c r="BM25" s="13">
        <v>-0.3</v>
      </c>
      <c r="BN25" s="13">
        <v>-0.86550629999999995</v>
      </c>
      <c r="BO25" s="14">
        <v>-0.91157330999999997</v>
      </c>
      <c r="BP25" s="14">
        <v>-0.52531037000000003</v>
      </c>
      <c r="BQ25" s="14">
        <v>-0.49775397999999998</v>
      </c>
      <c r="BR25" s="14">
        <v>-2.3609913900000001</v>
      </c>
      <c r="BS25" s="14">
        <v>-1.11385252</v>
      </c>
      <c r="BT25" s="14">
        <v>-0.68977582999999998</v>
      </c>
      <c r="BU25" s="14">
        <v>-0.79747754999999998</v>
      </c>
      <c r="BV25" s="14">
        <v>-1.7</v>
      </c>
      <c r="BW25" s="14">
        <v>-1.8</v>
      </c>
      <c r="BX25" s="14">
        <v>-6.6087971400000001</v>
      </c>
      <c r="BY25" s="14">
        <v>-4.8117487700000003</v>
      </c>
      <c r="BZ25" s="14">
        <v>-2.67355995</v>
      </c>
      <c r="CA25" s="14">
        <v>-1.8610945399999999</v>
      </c>
      <c r="CB25" s="14">
        <v>-2.4106000000000183E-2</v>
      </c>
      <c r="CC25" s="14">
        <v>-2.7618533009999999</v>
      </c>
      <c r="CD25" s="14">
        <v>-0.21395315999999998</v>
      </c>
      <c r="CE25" s="14">
        <v>-2.988556855000001</v>
      </c>
      <c r="CF25" s="14">
        <v>-1.5619663159999999</v>
      </c>
    </row>
    <row r="26" spans="1:84" ht="16.5" x14ac:dyDescent="0.3">
      <c r="A26" s="12" t="s">
        <v>62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</v>
      </c>
      <c r="AM26" s="13">
        <v>0</v>
      </c>
      <c r="AN26" s="13">
        <v>0</v>
      </c>
      <c r="AO26" s="13">
        <v>0</v>
      </c>
      <c r="AP26" s="13">
        <v>0</v>
      </c>
      <c r="AQ26" s="13">
        <v>0.4</v>
      </c>
      <c r="AR26" s="13">
        <v>0.6</v>
      </c>
      <c r="AS26" s="13">
        <v>0.2</v>
      </c>
      <c r="AT26" s="13">
        <v>0</v>
      </c>
      <c r="AU26" s="13">
        <v>0</v>
      </c>
      <c r="AV26" s="13">
        <v>0</v>
      </c>
      <c r="AW26" s="14">
        <v>0.7</v>
      </c>
      <c r="AX26" s="14">
        <v>0</v>
      </c>
      <c r="AY26" s="14">
        <v>0.2</v>
      </c>
      <c r="AZ26" s="14">
        <v>0.1</v>
      </c>
      <c r="BA26" s="14">
        <v>0.1</v>
      </c>
      <c r="BB26" s="14">
        <v>0</v>
      </c>
      <c r="BC26" s="14">
        <v>0</v>
      </c>
      <c r="BD26" s="14">
        <v>0</v>
      </c>
      <c r="BE26" s="14">
        <v>0</v>
      </c>
      <c r="BF26" s="13">
        <v>0</v>
      </c>
      <c r="BG26" s="13">
        <v>0</v>
      </c>
      <c r="BH26" s="13">
        <v>0</v>
      </c>
      <c r="BI26" s="13">
        <v>0</v>
      </c>
      <c r="BJ26" s="13">
        <v>0.1</v>
      </c>
      <c r="BK26" s="13">
        <v>0.1</v>
      </c>
      <c r="BL26" s="13">
        <v>1</v>
      </c>
      <c r="BM26" s="13">
        <v>0.9</v>
      </c>
      <c r="BN26" s="13">
        <v>5.9064220000000001E-2</v>
      </c>
      <c r="BO26" s="14">
        <v>7.8894220000000001E-2</v>
      </c>
      <c r="BP26" s="14">
        <v>0.46520589000000001</v>
      </c>
      <c r="BQ26" s="14">
        <v>0.49523547000000001</v>
      </c>
      <c r="BR26" s="14">
        <v>0.87130379999999996</v>
      </c>
      <c r="BS26" s="14">
        <v>0.58899232999999995</v>
      </c>
      <c r="BT26" s="14">
        <v>1.0557233699999999</v>
      </c>
      <c r="BU26" s="14">
        <v>0.15615824</v>
      </c>
      <c r="BV26" s="14">
        <v>1.3</v>
      </c>
      <c r="BW26" s="14">
        <v>0.7</v>
      </c>
      <c r="BX26" s="14">
        <v>0.92653426000000005</v>
      </c>
      <c r="BY26" s="14">
        <v>0.89598851999999995</v>
      </c>
      <c r="BZ26" s="14">
        <v>1.4731650699999999</v>
      </c>
      <c r="CA26" s="14">
        <v>1.2529731499999999</v>
      </c>
      <c r="CB26" s="14">
        <v>2.82788752</v>
      </c>
      <c r="CC26" s="14">
        <v>0.44640447</v>
      </c>
      <c r="CD26" s="14">
        <v>0.62643709999999997</v>
      </c>
      <c r="CE26" s="14">
        <v>0.92902846500000003</v>
      </c>
      <c r="CF26" s="14">
        <v>1.0075467840000001</v>
      </c>
    </row>
    <row r="27" spans="1:84" ht="16.5" x14ac:dyDescent="0.3">
      <c r="A27" s="12" t="s">
        <v>63</v>
      </c>
      <c r="B27" s="13">
        <v>-11.601999999999999</v>
      </c>
      <c r="C27" s="13">
        <v>-12.610999999999999</v>
      </c>
      <c r="D27" s="13">
        <v>-13.258999999999999</v>
      </c>
      <c r="E27" s="13">
        <v>-12.763999999999999</v>
      </c>
      <c r="F27" s="13">
        <v>-11.696999999999999</v>
      </c>
      <c r="G27" s="13">
        <v>-11.236999999999998</v>
      </c>
      <c r="H27" s="13">
        <v>-11.927</v>
      </c>
      <c r="I27" s="13">
        <v>-12.32</v>
      </c>
      <c r="J27" s="13">
        <v>-12.355999999999998</v>
      </c>
      <c r="K27" s="13">
        <v>-13.077</v>
      </c>
      <c r="L27" s="13">
        <v>-12.775</v>
      </c>
      <c r="M27" s="13">
        <v>-12.987999999999998</v>
      </c>
      <c r="N27" s="13">
        <v>-13.55</v>
      </c>
      <c r="O27" s="13">
        <v>-13.546999999999999</v>
      </c>
      <c r="P27" s="13">
        <v>-10.185</v>
      </c>
      <c r="Q27" s="13">
        <v>-12.27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-0.6</v>
      </c>
      <c r="AQ27" s="13">
        <v>-0.5</v>
      </c>
      <c r="AR27" s="13">
        <v>-0.4</v>
      </c>
      <c r="AS27" s="13">
        <v>-1.2</v>
      </c>
      <c r="AT27" s="13">
        <v>-1</v>
      </c>
      <c r="AU27" s="13">
        <v>-0.8</v>
      </c>
      <c r="AV27" s="13">
        <v>-1.2</v>
      </c>
      <c r="AW27" s="14">
        <v>-1.5</v>
      </c>
      <c r="AX27" s="14">
        <v>-0.1</v>
      </c>
      <c r="AY27" s="14">
        <v>-0.1</v>
      </c>
      <c r="AZ27" s="14">
        <v>-0.1</v>
      </c>
      <c r="BA27" s="14">
        <v>-0.1</v>
      </c>
      <c r="BB27" s="14">
        <v>-0.4</v>
      </c>
      <c r="BC27" s="14">
        <v>-0.2</v>
      </c>
      <c r="BD27" s="14">
        <v>-1</v>
      </c>
      <c r="BE27" s="14">
        <v>-0.7</v>
      </c>
      <c r="BF27" s="13">
        <v>-0.6</v>
      </c>
      <c r="BG27" s="13">
        <v>-0.7</v>
      </c>
      <c r="BH27" s="13">
        <v>-0.4</v>
      </c>
      <c r="BI27" s="13">
        <v>-0.2</v>
      </c>
      <c r="BJ27" s="13">
        <v>-0.7</v>
      </c>
      <c r="BK27" s="13">
        <v>-0.9</v>
      </c>
      <c r="BL27" s="13">
        <v>-1</v>
      </c>
      <c r="BM27" s="13">
        <v>-1.2</v>
      </c>
      <c r="BN27" s="13">
        <v>-0.92457051999999995</v>
      </c>
      <c r="BO27" s="14">
        <v>-0.99046752999999998</v>
      </c>
      <c r="BP27" s="14">
        <v>-0.99051626000000004</v>
      </c>
      <c r="BQ27" s="14">
        <v>-0.99298945000000005</v>
      </c>
      <c r="BR27" s="14">
        <v>-3.2322951899999999</v>
      </c>
      <c r="BS27" s="14">
        <v>-1.70284485</v>
      </c>
      <c r="BT27" s="14">
        <v>-1.7454992</v>
      </c>
      <c r="BU27" s="14">
        <v>-0.95363578999999998</v>
      </c>
      <c r="BV27" s="14">
        <v>-3</v>
      </c>
      <c r="BW27" s="14">
        <v>-2.5</v>
      </c>
      <c r="BX27" s="14">
        <v>-7.5353313999999996</v>
      </c>
      <c r="BY27" s="14">
        <v>-5.7077372899999999</v>
      </c>
      <c r="BZ27" s="14">
        <v>-4.1467250199999999</v>
      </c>
      <c r="CA27" s="14">
        <v>-3.1140676899999997</v>
      </c>
      <c r="CB27" s="14">
        <v>-2.8519935200000002</v>
      </c>
      <c r="CC27" s="14">
        <v>-3.208257771</v>
      </c>
      <c r="CD27" s="14">
        <v>-0.84039025999999994</v>
      </c>
      <c r="CE27" s="14">
        <v>-3.917585320000001</v>
      </c>
      <c r="CF27" s="14">
        <v>-2.5695131</v>
      </c>
    </row>
    <row r="28" spans="1:84" ht="16.5" x14ac:dyDescent="0.3">
      <c r="A28" s="12" t="s">
        <v>64</v>
      </c>
      <c r="B28" s="13">
        <v>0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-1.6</v>
      </c>
      <c r="AE28" s="13">
        <v>-10.6</v>
      </c>
      <c r="AF28" s="13">
        <v>-5.0999999999999996</v>
      </c>
      <c r="AG28" s="13">
        <v>-0.1</v>
      </c>
      <c r="AH28" s="13">
        <v>-2</v>
      </c>
      <c r="AI28" s="13">
        <v>0</v>
      </c>
      <c r="AJ28" s="13">
        <v>-0.1</v>
      </c>
      <c r="AK28" s="13">
        <v>-0.5</v>
      </c>
      <c r="AL28" s="13">
        <v>-0.3</v>
      </c>
      <c r="AM28" s="13">
        <v>-0.4</v>
      </c>
      <c r="AN28" s="13">
        <v>-0.3</v>
      </c>
      <c r="AO28" s="13">
        <v>-0.9</v>
      </c>
      <c r="AP28" s="13">
        <v>0.4</v>
      </c>
      <c r="AQ28" s="13">
        <v>0.2</v>
      </c>
      <c r="AR28" s="13">
        <v>1.7</v>
      </c>
      <c r="AS28" s="13">
        <v>2.8</v>
      </c>
      <c r="AT28" s="13">
        <v>0.1</v>
      </c>
      <c r="AU28" s="13">
        <v>0.1</v>
      </c>
      <c r="AV28" s="13">
        <v>0.6</v>
      </c>
      <c r="AW28" s="14">
        <v>-0.1</v>
      </c>
      <c r="AX28" s="14">
        <v>-1.3</v>
      </c>
      <c r="AY28" s="14">
        <v>-3.1</v>
      </c>
      <c r="AZ28" s="14">
        <v>-2</v>
      </c>
      <c r="BA28" s="14">
        <v>0.2</v>
      </c>
      <c r="BB28" s="14">
        <v>-3.7</v>
      </c>
      <c r="BC28" s="14">
        <v>-4.0999999999999996</v>
      </c>
      <c r="BD28" s="14">
        <v>-5.2</v>
      </c>
      <c r="BE28" s="14">
        <v>-3.4</v>
      </c>
      <c r="BF28" s="13">
        <v>-2.8</v>
      </c>
      <c r="BG28" s="13">
        <v>-6.1</v>
      </c>
      <c r="BH28" s="13">
        <v>-0.9</v>
      </c>
      <c r="BI28" s="13">
        <v>-0.9</v>
      </c>
      <c r="BJ28" s="13">
        <v>-3.2</v>
      </c>
      <c r="BK28" s="13">
        <v>-6.2</v>
      </c>
      <c r="BL28" s="13">
        <v>-3.5</v>
      </c>
      <c r="BM28" s="13">
        <v>-2.4</v>
      </c>
      <c r="BN28" s="13">
        <v>-3.2707145199999998</v>
      </c>
      <c r="BO28" s="14">
        <v>-1.8276306099999999</v>
      </c>
      <c r="BP28" s="14">
        <v>-9.9850600000000005E-3</v>
      </c>
      <c r="BQ28" s="14">
        <v>-1.2397433360000001</v>
      </c>
      <c r="BR28" s="14">
        <v>-3.2561886599999998</v>
      </c>
      <c r="BS28" s="14">
        <v>-2.49045505</v>
      </c>
      <c r="BT28" s="14">
        <v>-1.140417434</v>
      </c>
      <c r="BU28" s="14">
        <v>-1.6181695659999999</v>
      </c>
      <c r="BV28" s="14">
        <v>-2.4</v>
      </c>
      <c r="BW28" s="14">
        <v>-1</v>
      </c>
      <c r="BX28" s="14">
        <v>-2.9455982519999999</v>
      </c>
      <c r="BY28" s="14">
        <v>-6.081661972</v>
      </c>
      <c r="BZ28" s="14">
        <v>1.2209975232862191</v>
      </c>
      <c r="CA28" s="14">
        <v>-3.0198139391903047</v>
      </c>
      <c r="CB28" s="14">
        <v>-0.21578175225728824</v>
      </c>
      <c r="CC28" s="14">
        <v>-2.4939188338753473</v>
      </c>
      <c r="CD28" s="14">
        <v>-1.6387090574018122</v>
      </c>
      <c r="CE28" s="14">
        <v>-0.3902612609999998</v>
      </c>
      <c r="CF28" s="14">
        <v>-2.2722118978400001</v>
      </c>
    </row>
    <row r="29" spans="1:84" ht="16.5" x14ac:dyDescent="0.3">
      <c r="A29" s="12" t="s">
        <v>65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0</v>
      </c>
      <c r="AN29" s="13">
        <v>0</v>
      </c>
      <c r="AO29" s="13">
        <v>0</v>
      </c>
      <c r="AP29" s="13">
        <v>1.1000000000000001</v>
      </c>
      <c r="AQ29" s="13">
        <v>1.1000000000000001</v>
      </c>
      <c r="AR29" s="13">
        <v>2.2999999999999998</v>
      </c>
      <c r="AS29" s="13">
        <v>4</v>
      </c>
      <c r="AT29" s="13">
        <v>0.8</v>
      </c>
      <c r="AU29" s="13">
        <v>0.8</v>
      </c>
      <c r="AV29" s="13">
        <v>0.9</v>
      </c>
      <c r="AW29" s="14">
        <v>1.5</v>
      </c>
      <c r="AX29" s="14">
        <v>0.4</v>
      </c>
      <c r="AY29" s="14">
        <v>0.4</v>
      </c>
      <c r="AZ29" s="14">
        <v>0.3</v>
      </c>
      <c r="BA29" s="14">
        <v>0.4</v>
      </c>
      <c r="BB29" s="14">
        <v>0.4</v>
      </c>
      <c r="BC29" s="14">
        <v>0.6</v>
      </c>
      <c r="BD29" s="14">
        <v>0.3</v>
      </c>
      <c r="BE29" s="14">
        <v>0</v>
      </c>
      <c r="BF29" s="13">
        <v>1</v>
      </c>
      <c r="BG29" s="13">
        <v>0</v>
      </c>
      <c r="BH29" s="13">
        <v>0.6</v>
      </c>
      <c r="BI29" s="13">
        <v>0.1</v>
      </c>
      <c r="BJ29" s="13">
        <v>0.3</v>
      </c>
      <c r="BK29" s="13">
        <v>2</v>
      </c>
      <c r="BL29" s="13">
        <v>1.6</v>
      </c>
      <c r="BM29" s="13">
        <v>0.3</v>
      </c>
      <c r="BN29" s="13">
        <v>0.42111504</v>
      </c>
      <c r="BO29" s="14">
        <v>0.25252349000000002</v>
      </c>
      <c r="BP29" s="14">
        <v>1.7905806500000001</v>
      </c>
      <c r="BQ29" s="14">
        <v>0.63001748999999996</v>
      </c>
      <c r="BR29" s="14">
        <v>0.98310235000000001</v>
      </c>
      <c r="BS29" s="14">
        <v>0.45686328999999998</v>
      </c>
      <c r="BT29" s="14">
        <v>1.0205178699999999</v>
      </c>
      <c r="BU29" s="14">
        <v>1.6814802499999999</v>
      </c>
      <c r="BV29" s="14">
        <v>1.6</v>
      </c>
      <c r="BW29" s="14">
        <v>1.1000000000000001</v>
      </c>
      <c r="BX29" s="14">
        <v>0.96505719999999995</v>
      </c>
      <c r="BY29" s="14">
        <v>0.31385853000000002</v>
      </c>
      <c r="BZ29" s="14">
        <v>1.6126144600000001</v>
      </c>
      <c r="CA29" s="14">
        <v>1.0890197000000001</v>
      </c>
      <c r="CB29" s="14">
        <v>1.6809260800000001</v>
      </c>
      <c r="CC29" s="14">
        <v>0.34500077000000001</v>
      </c>
      <c r="CD29" s="14">
        <v>1.1394346799999999</v>
      </c>
      <c r="CE29" s="14">
        <v>1.6362483699999999</v>
      </c>
      <c r="CF29" s="14">
        <v>6.0817359999999994E-2</v>
      </c>
    </row>
    <row r="30" spans="1:84" ht="16.5" x14ac:dyDescent="0.3">
      <c r="A30" s="12" t="s">
        <v>66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-1.6</v>
      </c>
      <c r="AE30" s="13">
        <v>-10.6</v>
      </c>
      <c r="AF30" s="13">
        <v>-5.0999999999999996</v>
      </c>
      <c r="AG30" s="13">
        <v>-0.1</v>
      </c>
      <c r="AH30" s="13">
        <v>-2</v>
      </c>
      <c r="AI30" s="13">
        <v>0</v>
      </c>
      <c r="AJ30" s="13">
        <v>-0.1</v>
      </c>
      <c r="AK30" s="13">
        <v>-0.5</v>
      </c>
      <c r="AL30" s="13">
        <v>-0.3</v>
      </c>
      <c r="AM30" s="13">
        <v>-0.4</v>
      </c>
      <c r="AN30" s="13">
        <v>-0.3</v>
      </c>
      <c r="AO30" s="13">
        <v>-0.9</v>
      </c>
      <c r="AP30" s="13">
        <v>-0.6</v>
      </c>
      <c r="AQ30" s="13">
        <v>-0.9</v>
      </c>
      <c r="AR30" s="13">
        <v>-0.6</v>
      </c>
      <c r="AS30" s="13">
        <v>-1.2</v>
      </c>
      <c r="AT30" s="13">
        <v>-0.8</v>
      </c>
      <c r="AU30" s="13">
        <v>-0.6</v>
      </c>
      <c r="AV30" s="13">
        <v>-0.3</v>
      </c>
      <c r="AW30" s="14">
        <v>-1.5</v>
      </c>
      <c r="AX30" s="14">
        <v>-1.7</v>
      </c>
      <c r="AY30" s="14">
        <v>-3.5</v>
      </c>
      <c r="AZ30" s="14">
        <v>-2.2999999999999998</v>
      </c>
      <c r="BA30" s="14">
        <v>-0.2</v>
      </c>
      <c r="BB30" s="14">
        <v>-4.0999999999999996</v>
      </c>
      <c r="BC30" s="14">
        <v>-4.7</v>
      </c>
      <c r="BD30" s="14">
        <v>-5.4</v>
      </c>
      <c r="BE30" s="14">
        <v>-3.4</v>
      </c>
      <c r="BF30" s="13">
        <v>-3.8</v>
      </c>
      <c r="BG30" s="13">
        <v>-6.1</v>
      </c>
      <c r="BH30" s="13">
        <v>-1.5</v>
      </c>
      <c r="BI30" s="13">
        <v>-1</v>
      </c>
      <c r="BJ30" s="13">
        <v>-3.5</v>
      </c>
      <c r="BK30" s="13">
        <v>-8.1999999999999993</v>
      </c>
      <c r="BL30" s="13">
        <v>-5.2</v>
      </c>
      <c r="BM30" s="13">
        <v>-2.6</v>
      </c>
      <c r="BN30" s="13">
        <v>-3.69182956</v>
      </c>
      <c r="BO30" s="14">
        <v>-2.0801541000000001</v>
      </c>
      <c r="BP30" s="14">
        <v>-1.8005657100000001</v>
      </c>
      <c r="BQ30" s="14">
        <v>-1.869760826</v>
      </c>
      <c r="BR30" s="14">
        <v>-4.2392910099999996</v>
      </c>
      <c r="BS30" s="14">
        <v>-2.9473183399999998</v>
      </c>
      <c r="BT30" s="14">
        <v>-2.1609353040000001</v>
      </c>
      <c r="BU30" s="14">
        <v>-3.2996498160000001</v>
      </c>
      <c r="BV30" s="14">
        <v>-4.0999999999999996</v>
      </c>
      <c r="BW30" s="14">
        <v>-2.1</v>
      </c>
      <c r="BX30" s="14">
        <v>-3.9106554519999999</v>
      </c>
      <c r="BY30" s="14">
        <v>-6.3955205020000001</v>
      </c>
      <c r="BZ30" s="14">
        <v>-0.39161693671378089</v>
      </c>
      <c r="CA30" s="14">
        <v>-4.1088336391903049</v>
      </c>
      <c r="CB30" s="14">
        <v>-1.8967078322572883</v>
      </c>
      <c r="CC30" s="14">
        <v>-2.8389196038753473</v>
      </c>
      <c r="CD30" s="14">
        <v>-2.7781437374018121</v>
      </c>
      <c r="CE30" s="14">
        <v>-2.0265096309999997</v>
      </c>
      <c r="CF30" s="14">
        <v>-2.3330292578400003</v>
      </c>
    </row>
    <row r="31" spans="1:84" ht="16.5" x14ac:dyDescent="0.3">
      <c r="A31" s="12" t="s">
        <v>67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3">
        <v>0</v>
      </c>
      <c r="AQ31" s="13">
        <v>0</v>
      </c>
      <c r="AR31" s="13">
        <v>-0.1</v>
      </c>
      <c r="AS31" s="13">
        <v>0</v>
      </c>
      <c r="AT31" s="13">
        <v>0</v>
      </c>
      <c r="AU31" s="13">
        <v>0</v>
      </c>
      <c r="AV31" s="13">
        <v>0</v>
      </c>
      <c r="AW31" s="14">
        <v>0</v>
      </c>
      <c r="AX31" s="14">
        <v>-0.4</v>
      </c>
      <c r="AY31" s="14">
        <v>0.3</v>
      </c>
      <c r="AZ31" s="14">
        <v>0</v>
      </c>
      <c r="BA31" s="14">
        <v>0</v>
      </c>
      <c r="BB31" s="14">
        <v>-0.5</v>
      </c>
      <c r="BC31" s="14">
        <v>-1</v>
      </c>
      <c r="BD31" s="14">
        <v>-0.9</v>
      </c>
      <c r="BE31" s="14">
        <v>-0.3</v>
      </c>
      <c r="BF31" s="13">
        <v>-0.5</v>
      </c>
      <c r="BG31" s="13">
        <v>-0.8</v>
      </c>
      <c r="BH31" s="13">
        <v>-1</v>
      </c>
      <c r="BI31" s="13">
        <v>-1.4</v>
      </c>
      <c r="BJ31" s="13">
        <v>-0.9</v>
      </c>
      <c r="BK31" s="13">
        <v>-0.7</v>
      </c>
      <c r="BL31" s="13">
        <v>-0.9</v>
      </c>
      <c r="BM31" s="13">
        <v>-0.5</v>
      </c>
      <c r="BN31" s="13">
        <v>-0.68012022000000005</v>
      </c>
      <c r="BO31" s="14">
        <v>-0.76363486599999997</v>
      </c>
      <c r="BP31" s="14">
        <v>-1.6137505000000001</v>
      </c>
      <c r="BQ31" s="14">
        <v>-0.37898975499999998</v>
      </c>
      <c r="BR31" s="14">
        <v>-2.7377530000000001</v>
      </c>
      <c r="BS31" s="14">
        <v>-1.7514109999999999E-2</v>
      </c>
      <c r="BT31" s="14">
        <v>-1.3681841699999999</v>
      </c>
      <c r="BU31" s="14">
        <v>-0.84433391499999999</v>
      </c>
      <c r="BV31" s="14">
        <v>1</v>
      </c>
      <c r="BW31" s="14">
        <v>-0.5</v>
      </c>
      <c r="BX31" s="14">
        <v>-3.9805413839999999</v>
      </c>
      <c r="BY31" s="14">
        <v>-1.7384283060000001</v>
      </c>
      <c r="BZ31" s="14">
        <v>-0.20636972600000014</v>
      </c>
      <c r="CA31" s="14">
        <v>-4.2997585259999997</v>
      </c>
      <c r="CB31" s="14">
        <v>-1.9488795800000003</v>
      </c>
      <c r="CC31" s="14">
        <v>-18.998947980000001</v>
      </c>
      <c r="CD31" s="14">
        <v>-3.2594642956943529</v>
      </c>
      <c r="CE31" s="14">
        <v>-9.9150024740000031</v>
      </c>
      <c r="CF31" s="14">
        <v>-5.1552858076400003</v>
      </c>
    </row>
    <row r="32" spans="1:84" ht="16.5" x14ac:dyDescent="0.3">
      <c r="A32" s="12" t="s">
        <v>68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4">
        <v>0</v>
      </c>
      <c r="AX32" s="14">
        <v>0.1</v>
      </c>
      <c r="AY32" s="14">
        <v>0.6</v>
      </c>
      <c r="AZ32" s="14">
        <v>0.2</v>
      </c>
      <c r="BA32" s="14">
        <v>0.2</v>
      </c>
      <c r="BB32" s="14">
        <v>0.7</v>
      </c>
      <c r="BC32" s="14">
        <v>0.1</v>
      </c>
      <c r="BD32" s="14">
        <v>0.2</v>
      </c>
      <c r="BE32" s="14">
        <v>0.7</v>
      </c>
      <c r="BF32" s="13">
        <v>0.3</v>
      </c>
      <c r="BG32" s="13">
        <v>0.5</v>
      </c>
      <c r="BH32" s="13">
        <v>0.4</v>
      </c>
      <c r="BI32" s="13">
        <v>1.5</v>
      </c>
      <c r="BJ32" s="13">
        <v>0.8</v>
      </c>
      <c r="BK32" s="13">
        <v>1</v>
      </c>
      <c r="BL32" s="13">
        <v>0.8</v>
      </c>
      <c r="BM32" s="13">
        <v>1.2</v>
      </c>
      <c r="BN32" s="13">
        <v>0.28880841000000002</v>
      </c>
      <c r="BO32" s="14">
        <v>0.75820080000000001</v>
      </c>
      <c r="BP32" s="14">
        <v>0.63476485000000005</v>
      </c>
      <c r="BQ32" s="14">
        <v>1.10444279</v>
      </c>
      <c r="BR32" s="14">
        <v>0.93822287000000004</v>
      </c>
      <c r="BS32" s="14">
        <v>2.0754385499999999</v>
      </c>
      <c r="BT32" s="14">
        <v>1.1302590800000001</v>
      </c>
      <c r="BU32" s="14">
        <v>0.75382117999999998</v>
      </c>
      <c r="BV32" s="14">
        <v>1.9</v>
      </c>
      <c r="BW32" s="14">
        <v>2.1</v>
      </c>
      <c r="BX32" s="14">
        <v>1.05276473</v>
      </c>
      <c r="BY32" s="14">
        <v>1.5793084399999999</v>
      </c>
      <c r="BZ32" s="14">
        <v>2.0842524899999999</v>
      </c>
      <c r="CA32" s="14">
        <v>1.4563691000000003</v>
      </c>
      <c r="CB32" s="14">
        <v>1.8208584499999998</v>
      </c>
      <c r="CC32" s="14">
        <v>1.1080022499999997</v>
      </c>
      <c r="CD32" s="14">
        <v>2.06887284</v>
      </c>
      <c r="CE32" s="14">
        <v>1.5462139999999998</v>
      </c>
      <c r="CF32" s="14">
        <v>1.4283018699999999</v>
      </c>
    </row>
    <row r="33" spans="1:84" ht="16.5" x14ac:dyDescent="0.3">
      <c r="A33" s="12" t="s">
        <v>69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0</v>
      </c>
      <c r="AN33" s="13">
        <v>0</v>
      </c>
      <c r="AO33" s="13">
        <v>0</v>
      </c>
      <c r="AP33" s="13">
        <v>0</v>
      </c>
      <c r="AQ33" s="13">
        <v>0</v>
      </c>
      <c r="AR33" s="13">
        <v>-0.1</v>
      </c>
      <c r="AS33" s="13">
        <v>0</v>
      </c>
      <c r="AT33" s="13">
        <v>-0.1</v>
      </c>
      <c r="AU33" s="13">
        <v>0</v>
      </c>
      <c r="AV33" s="13">
        <v>0</v>
      </c>
      <c r="AW33" s="14">
        <v>0</v>
      </c>
      <c r="AX33" s="14">
        <v>-0.4</v>
      </c>
      <c r="AY33" s="14">
        <v>-0.3</v>
      </c>
      <c r="AZ33" s="14">
        <v>-0.2</v>
      </c>
      <c r="BA33" s="14">
        <v>-0.1</v>
      </c>
      <c r="BB33" s="14">
        <v>-1.2</v>
      </c>
      <c r="BC33" s="14">
        <v>-1.1000000000000001</v>
      </c>
      <c r="BD33" s="14">
        <v>-1</v>
      </c>
      <c r="BE33" s="14">
        <v>-1</v>
      </c>
      <c r="BF33" s="13">
        <v>-0.8</v>
      </c>
      <c r="BG33" s="13">
        <v>-1.3</v>
      </c>
      <c r="BH33" s="13">
        <v>-1.4</v>
      </c>
      <c r="BI33" s="13">
        <v>-2.8</v>
      </c>
      <c r="BJ33" s="13">
        <v>-1.8</v>
      </c>
      <c r="BK33" s="13">
        <v>-1.7</v>
      </c>
      <c r="BL33" s="13">
        <v>-1.6</v>
      </c>
      <c r="BM33" s="13">
        <v>-1.7</v>
      </c>
      <c r="BN33" s="13">
        <v>-0.96892862999999996</v>
      </c>
      <c r="BO33" s="14">
        <v>-1.5218356660000001</v>
      </c>
      <c r="BP33" s="14">
        <v>-2.2485153499999999</v>
      </c>
      <c r="BQ33" s="14">
        <v>-1.4834325450000001</v>
      </c>
      <c r="BR33" s="14">
        <v>-3.6759758699999998</v>
      </c>
      <c r="BS33" s="14">
        <v>-2.0929526599999999</v>
      </c>
      <c r="BT33" s="14">
        <v>-2.4984432499999998</v>
      </c>
      <c r="BU33" s="14">
        <v>-1.5981550950000001</v>
      </c>
      <c r="BV33" s="14">
        <v>-0.9</v>
      </c>
      <c r="BW33" s="14">
        <v>-2.6</v>
      </c>
      <c r="BX33" s="14">
        <v>-5.0333061140000002</v>
      </c>
      <c r="BY33" s="14">
        <v>-3.317736746</v>
      </c>
      <c r="BZ33" s="14">
        <v>-2.290622216</v>
      </c>
      <c r="CA33" s="14">
        <v>-5.7561276260000005</v>
      </c>
      <c r="CB33" s="14">
        <v>-3.7697380300000001</v>
      </c>
      <c r="CC33" s="14">
        <v>-20.106950229999999</v>
      </c>
      <c r="CD33" s="14">
        <v>-5.328337135694353</v>
      </c>
      <c r="CE33" s="14">
        <v>-11.461216474000002</v>
      </c>
      <c r="CF33" s="14">
        <v>-6.5835876776400006</v>
      </c>
    </row>
    <row r="34" spans="1:84" ht="16.5" x14ac:dyDescent="0.3">
      <c r="A34" s="12" t="s">
        <v>70</v>
      </c>
      <c r="B34" s="13">
        <v>0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>
        <v>-0.1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-0.3</v>
      </c>
      <c r="AQ34" s="13">
        <v>0</v>
      </c>
      <c r="AR34" s="13">
        <v>0</v>
      </c>
      <c r="AS34" s="13">
        <v>0</v>
      </c>
      <c r="AT34" s="13">
        <v>-0.4</v>
      </c>
      <c r="AU34" s="13">
        <v>0</v>
      </c>
      <c r="AV34" s="13">
        <v>14.5</v>
      </c>
      <c r="AW34" s="14">
        <v>-0.5</v>
      </c>
      <c r="AX34" s="14">
        <v>-0.5</v>
      </c>
      <c r="AY34" s="14">
        <v>-1</v>
      </c>
      <c r="AZ34" s="14">
        <v>-0.1</v>
      </c>
      <c r="BA34" s="14">
        <v>-1</v>
      </c>
      <c r="BB34" s="14">
        <v>-1.3</v>
      </c>
      <c r="BC34" s="14">
        <v>-0.3</v>
      </c>
      <c r="BD34" s="14">
        <v>-0.8</v>
      </c>
      <c r="BE34" s="14">
        <v>-1.1000000000000001</v>
      </c>
      <c r="BF34" s="13">
        <v>-0.7</v>
      </c>
      <c r="BG34" s="13">
        <v>-0.4</v>
      </c>
      <c r="BH34" s="13">
        <v>-0.2</v>
      </c>
      <c r="BI34" s="13">
        <v>0</v>
      </c>
      <c r="BJ34" s="13">
        <v>-0.4</v>
      </c>
      <c r="BK34" s="13">
        <v>-0.4</v>
      </c>
      <c r="BL34" s="13">
        <v>-0.8</v>
      </c>
      <c r="BM34" s="13">
        <v>-0.7</v>
      </c>
      <c r="BN34" s="13">
        <v>-0.53095313</v>
      </c>
      <c r="BO34" s="14">
        <v>-0.44443743200000002</v>
      </c>
      <c r="BP34" s="14">
        <v>-0.44836292999999999</v>
      </c>
      <c r="BQ34" s="14">
        <v>-0.48149483999999998</v>
      </c>
      <c r="BR34" s="14">
        <v>-0.55874056999999999</v>
      </c>
      <c r="BS34" s="14">
        <v>-0.72323400000000004</v>
      </c>
      <c r="BT34" s="14">
        <v>-0.90810550499999998</v>
      </c>
      <c r="BU34" s="14">
        <v>-1.1713259810000001</v>
      </c>
      <c r="BV34" s="14">
        <v>-0.8</v>
      </c>
      <c r="BW34" s="14">
        <v>-1</v>
      </c>
      <c r="BX34" s="14">
        <v>-1.494275697</v>
      </c>
      <c r="BY34" s="14">
        <v>-0.93322461999999995</v>
      </c>
      <c r="BZ34" s="14">
        <v>-0.74105480000000001</v>
      </c>
      <c r="CA34" s="14">
        <v>-0.58566654000000007</v>
      </c>
      <c r="CB34" s="14">
        <v>-1.6006705000000003</v>
      </c>
      <c r="CC34" s="14">
        <v>-1.7384411899999999</v>
      </c>
      <c r="CD34" s="14">
        <v>-1.9454630800000001</v>
      </c>
      <c r="CE34" s="14">
        <v>-0.44250069999999986</v>
      </c>
      <c r="CF34" s="14">
        <v>-2.0203401800000003</v>
      </c>
    </row>
    <row r="35" spans="1:84" ht="16.5" x14ac:dyDescent="0.3">
      <c r="A35" s="12" t="s">
        <v>71</v>
      </c>
      <c r="B35" s="13">
        <v>0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3">
        <v>0</v>
      </c>
      <c r="AN35" s="13">
        <v>0</v>
      </c>
      <c r="AO35" s="13">
        <v>0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15</v>
      </c>
      <c r="AW35" s="14">
        <v>0</v>
      </c>
      <c r="AX35" s="14">
        <v>0</v>
      </c>
      <c r="AY35" s="14">
        <v>0.2</v>
      </c>
      <c r="AZ35" s="14">
        <v>0</v>
      </c>
      <c r="BA35" s="14">
        <v>0.3</v>
      </c>
      <c r="BB35" s="14">
        <v>0.4</v>
      </c>
      <c r="BC35" s="14">
        <v>0.2</v>
      </c>
      <c r="BD35" s="14">
        <v>0.6</v>
      </c>
      <c r="BE35" s="14">
        <v>1</v>
      </c>
      <c r="BF35" s="13">
        <v>0.7</v>
      </c>
      <c r="BG35" s="13">
        <v>0.2</v>
      </c>
      <c r="BH35" s="13">
        <v>0.1</v>
      </c>
      <c r="BI35" s="13">
        <v>0</v>
      </c>
      <c r="BJ35" s="13">
        <v>0</v>
      </c>
      <c r="BK35" s="13">
        <v>0</v>
      </c>
      <c r="BL35" s="13">
        <v>0</v>
      </c>
      <c r="BM35" s="13">
        <v>0</v>
      </c>
      <c r="BN35" s="13">
        <v>8.4223999999999996E-4</v>
      </c>
      <c r="BO35" s="14">
        <v>0</v>
      </c>
      <c r="BP35" s="14">
        <v>0</v>
      </c>
      <c r="BQ35" s="14">
        <v>0</v>
      </c>
      <c r="BR35" s="14">
        <v>0.16814124999999999</v>
      </c>
      <c r="BS35" s="14">
        <v>0</v>
      </c>
      <c r="BT35" s="14">
        <v>0</v>
      </c>
      <c r="BU35" s="14">
        <v>2.4807269999999999E-2</v>
      </c>
      <c r="BV35" s="14">
        <v>0</v>
      </c>
      <c r="BW35" s="14">
        <v>0</v>
      </c>
      <c r="BX35" s="14">
        <v>0</v>
      </c>
      <c r="BY35" s="14">
        <v>0</v>
      </c>
      <c r="BZ35" s="14">
        <v>0.11155319999999999</v>
      </c>
      <c r="CA35" s="14">
        <v>0.12733520000000001</v>
      </c>
      <c r="CB35" s="14">
        <v>2.8282250000000002E-2</v>
      </c>
      <c r="CC35" s="14">
        <v>1.5147980000000002E-2</v>
      </c>
      <c r="CD35" s="14">
        <v>4.8671640000000002E-2</v>
      </c>
      <c r="CE35" s="14">
        <v>1.7038560600000003</v>
      </c>
      <c r="CF35" s="14">
        <v>0.12414558000000001</v>
      </c>
    </row>
    <row r="36" spans="1:84" ht="16.5" x14ac:dyDescent="0.3">
      <c r="A36" s="12" t="s">
        <v>72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-0.1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-0.3</v>
      </c>
      <c r="AQ36" s="13">
        <v>0</v>
      </c>
      <c r="AR36" s="13">
        <v>0</v>
      </c>
      <c r="AS36" s="13">
        <v>0</v>
      </c>
      <c r="AT36" s="13">
        <v>-0.4</v>
      </c>
      <c r="AU36" s="13">
        <v>0</v>
      </c>
      <c r="AV36" s="13">
        <v>-0.5</v>
      </c>
      <c r="AW36" s="14">
        <v>-0.5</v>
      </c>
      <c r="AX36" s="14">
        <v>-0.5</v>
      </c>
      <c r="AY36" s="14">
        <v>-1.2</v>
      </c>
      <c r="AZ36" s="14">
        <v>-0.1</v>
      </c>
      <c r="BA36" s="14">
        <v>-1.3</v>
      </c>
      <c r="BB36" s="14">
        <v>-1.7</v>
      </c>
      <c r="BC36" s="14">
        <v>-0.5</v>
      </c>
      <c r="BD36" s="14">
        <v>-1.4</v>
      </c>
      <c r="BE36" s="14">
        <v>-2.1</v>
      </c>
      <c r="BF36" s="13">
        <v>-1.4</v>
      </c>
      <c r="BG36" s="13">
        <v>-0.5</v>
      </c>
      <c r="BH36" s="13">
        <v>-0.3</v>
      </c>
      <c r="BI36" s="13">
        <v>-0.1</v>
      </c>
      <c r="BJ36" s="13">
        <v>-0.5</v>
      </c>
      <c r="BK36" s="13">
        <v>-0.4</v>
      </c>
      <c r="BL36" s="13">
        <v>-0.8</v>
      </c>
      <c r="BM36" s="13">
        <v>-0.7</v>
      </c>
      <c r="BN36" s="13">
        <v>-0.53179536999999999</v>
      </c>
      <c r="BO36" s="14">
        <v>-0.44443743200000002</v>
      </c>
      <c r="BP36" s="14">
        <v>-0.44836292999999999</v>
      </c>
      <c r="BQ36" s="14">
        <v>-0.48149483999999998</v>
      </c>
      <c r="BR36" s="14">
        <v>-0.72688182000000001</v>
      </c>
      <c r="BS36" s="14">
        <v>-0.72323400000000004</v>
      </c>
      <c r="BT36" s="14">
        <v>-0.90810550499999998</v>
      </c>
      <c r="BU36" s="14">
        <v>-1.196133251</v>
      </c>
      <c r="BV36" s="14">
        <v>-0.8</v>
      </c>
      <c r="BW36" s="14">
        <v>-1</v>
      </c>
      <c r="BX36" s="14">
        <v>-1.494275697</v>
      </c>
      <c r="BY36" s="14">
        <v>-0.93322461999999995</v>
      </c>
      <c r="BZ36" s="14">
        <v>-0.85260800000000003</v>
      </c>
      <c r="CA36" s="14">
        <v>-0.71300174000000005</v>
      </c>
      <c r="CB36" s="14">
        <v>-1.6289527500000003</v>
      </c>
      <c r="CC36" s="14">
        <v>-1.7535891699999999</v>
      </c>
      <c r="CD36" s="14">
        <v>-1.9941347200000001</v>
      </c>
      <c r="CE36" s="14">
        <v>-2.1463567600000002</v>
      </c>
      <c r="CF36" s="14">
        <v>-2.1444857600000002</v>
      </c>
    </row>
    <row r="37" spans="1:84" ht="16.5" x14ac:dyDescent="0.3">
      <c r="A37" s="12" t="s">
        <v>73</v>
      </c>
      <c r="B37" s="13">
        <v>-3</v>
      </c>
      <c r="C37" s="13">
        <v>-5.3</v>
      </c>
      <c r="D37" s="13">
        <v>-5</v>
      </c>
      <c r="E37" s="13">
        <v>-5</v>
      </c>
      <c r="F37" s="13">
        <v>-4.8</v>
      </c>
      <c r="G37" s="13">
        <v>-5.7</v>
      </c>
      <c r="H37" s="13">
        <v>-4.9000000000000004</v>
      </c>
      <c r="I37" s="13">
        <v>-4.0999999999999996</v>
      </c>
      <c r="J37" s="13">
        <v>-5.9</v>
      </c>
      <c r="K37" s="13">
        <v>-5.0999999999999996</v>
      </c>
      <c r="L37" s="13">
        <v>-5.0999999999999996</v>
      </c>
      <c r="M37" s="13">
        <v>-5.2</v>
      </c>
      <c r="N37" s="13">
        <v>-6.1</v>
      </c>
      <c r="O37" s="13">
        <v>-6.5</v>
      </c>
      <c r="P37" s="13">
        <v>-6.31</v>
      </c>
      <c r="Q37" s="13">
        <v>-6.8</v>
      </c>
      <c r="R37" s="13">
        <v>-1.2</v>
      </c>
      <c r="S37" s="13">
        <v>-2.2000000000000002</v>
      </c>
      <c r="T37" s="13">
        <v>-3</v>
      </c>
      <c r="U37" s="13">
        <v>-3.3</v>
      </c>
      <c r="V37" s="13">
        <v>-2.1</v>
      </c>
      <c r="W37" s="13">
        <v>-2.5</v>
      </c>
      <c r="X37" s="13">
        <v>-3.1</v>
      </c>
      <c r="Y37" s="13">
        <v>-1.5</v>
      </c>
      <c r="Z37" s="13">
        <v>-2.5</v>
      </c>
      <c r="AA37" s="13">
        <v>-0.6</v>
      </c>
      <c r="AB37" s="13">
        <v>-2.1</v>
      </c>
      <c r="AC37" s="13">
        <v>-2.2000000000000002</v>
      </c>
      <c r="AD37" s="13">
        <v>-4.5</v>
      </c>
      <c r="AE37" s="13">
        <v>-4.5999999999999996</v>
      </c>
      <c r="AF37" s="13">
        <v>-4.9000000000000004</v>
      </c>
      <c r="AG37" s="13">
        <v>-0.1</v>
      </c>
      <c r="AH37" s="13">
        <v>-5.6</v>
      </c>
      <c r="AI37" s="13">
        <v>-0.4</v>
      </c>
      <c r="AJ37" s="13">
        <v>-0.5</v>
      </c>
      <c r="AK37" s="13">
        <v>-0.8</v>
      </c>
      <c r="AL37" s="13">
        <v>-1.7</v>
      </c>
      <c r="AM37" s="13">
        <v>-3.8</v>
      </c>
      <c r="AN37" s="13">
        <v>-0.9</v>
      </c>
      <c r="AO37" s="13">
        <v>-4.0999999999999996</v>
      </c>
      <c r="AP37" s="13">
        <v>-1.4</v>
      </c>
      <c r="AQ37" s="13">
        <v>-4.3</v>
      </c>
      <c r="AR37" s="13">
        <v>-5.4</v>
      </c>
      <c r="AS37" s="13">
        <v>-3.9</v>
      </c>
      <c r="AT37" s="13">
        <v>-4.5999999999999996</v>
      </c>
      <c r="AU37" s="13">
        <v>-4.0999999999999996</v>
      </c>
      <c r="AV37" s="13">
        <v>-5.0999999999999996</v>
      </c>
      <c r="AW37" s="14">
        <v>-2.9</v>
      </c>
      <c r="AX37" s="14">
        <v>-2.2000000000000002</v>
      </c>
      <c r="AY37" s="14">
        <v>-2.2999999999999998</v>
      </c>
      <c r="AZ37" s="14">
        <v>-3.6</v>
      </c>
      <c r="BA37" s="14">
        <v>-2.6</v>
      </c>
      <c r="BB37" s="14">
        <v>0.5</v>
      </c>
      <c r="BC37" s="14">
        <v>1.1000000000000001</v>
      </c>
      <c r="BD37" s="14">
        <v>1.9</v>
      </c>
      <c r="BE37" s="14">
        <v>1.5</v>
      </c>
      <c r="BF37" s="13">
        <v>-0.2</v>
      </c>
      <c r="BG37" s="13">
        <v>0.9</v>
      </c>
      <c r="BH37" s="13">
        <v>-0.2</v>
      </c>
      <c r="BI37" s="13">
        <v>1.8</v>
      </c>
      <c r="BJ37" s="13">
        <v>-2.6</v>
      </c>
      <c r="BK37" s="13">
        <v>5.2</v>
      </c>
      <c r="BL37" s="13">
        <v>10.7</v>
      </c>
      <c r="BM37" s="13">
        <v>5</v>
      </c>
      <c r="BN37" s="13">
        <v>3.8991245999999999</v>
      </c>
      <c r="BO37" s="14">
        <v>-0.66977195</v>
      </c>
      <c r="BP37" s="14">
        <v>12.348311799999999</v>
      </c>
      <c r="BQ37" s="14">
        <v>3.9174461680000001</v>
      </c>
      <c r="BR37" s="14">
        <v>-0.62540841999999996</v>
      </c>
      <c r="BS37" s="14">
        <v>5.6287961700000002</v>
      </c>
      <c r="BT37" s="14">
        <v>-11.813738900000001</v>
      </c>
      <c r="BU37" s="14">
        <v>16.826144970000001</v>
      </c>
      <c r="BV37" s="14">
        <v>4.8</v>
      </c>
      <c r="BW37" s="14">
        <v>13.2</v>
      </c>
      <c r="BX37" s="14">
        <v>-3.20746938</v>
      </c>
      <c r="BY37" s="14">
        <v>4.3156320790000002</v>
      </c>
      <c r="BZ37" s="14">
        <v>8.3201623100000024</v>
      </c>
      <c r="CA37" s="14">
        <v>26.156912998000006</v>
      </c>
      <c r="CB37" s="14">
        <v>13.030177430000004</v>
      </c>
      <c r="CC37" s="14">
        <v>13.344711008639999</v>
      </c>
      <c r="CD37" s="14">
        <v>-0.74905614999999948</v>
      </c>
      <c r="CE37" s="14">
        <v>14.086250269999999</v>
      </c>
      <c r="CF37" s="14">
        <v>12.462930329999999</v>
      </c>
    </row>
    <row r="38" spans="1:84" ht="16.5" x14ac:dyDescent="0.3">
      <c r="A38" s="12" t="s">
        <v>74</v>
      </c>
      <c r="B38" s="13">
        <v>0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13">
        <v>0</v>
      </c>
      <c r="AK38" s="13">
        <v>0</v>
      </c>
      <c r="AL38" s="13">
        <v>0</v>
      </c>
      <c r="AM38" s="13">
        <v>0.9</v>
      </c>
      <c r="AN38" s="13">
        <v>0</v>
      </c>
      <c r="AO38" s="13">
        <v>0</v>
      </c>
      <c r="AP38" s="13">
        <v>0</v>
      </c>
      <c r="AQ38" s="13">
        <v>1.4</v>
      </c>
      <c r="AR38" s="13">
        <v>0</v>
      </c>
      <c r="AS38" s="13">
        <v>1.9</v>
      </c>
      <c r="AT38" s="13">
        <v>0.1</v>
      </c>
      <c r="AU38" s="13">
        <v>0.6</v>
      </c>
      <c r="AV38" s="13">
        <v>1.2</v>
      </c>
      <c r="AW38" s="14">
        <v>1.8</v>
      </c>
      <c r="AX38" s="14">
        <v>2.2999999999999998</v>
      </c>
      <c r="AY38" s="14">
        <v>2.2000000000000002</v>
      </c>
      <c r="AZ38" s="14">
        <v>2</v>
      </c>
      <c r="BA38" s="14">
        <v>2.6</v>
      </c>
      <c r="BB38" s="14">
        <v>6.3</v>
      </c>
      <c r="BC38" s="14">
        <v>5.4</v>
      </c>
      <c r="BD38" s="14">
        <v>6.5</v>
      </c>
      <c r="BE38" s="14">
        <v>8.1</v>
      </c>
      <c r="BF38" s="13">
        <v>6.5</v>
      </c>
      <c r="BG38" s="13">
        <v>7.6</v>
      </c>
      <c r="BH38" s="13">
        <v>7.4</v>
      </c>
      <c r="BI38" s="13">
        <v>10.4</v>
      </c>
      <c r="BJ38" s="13">
        <v>6.9</v>
      </c>
      <c r="BK38" s="13">
        <v>11.6</v>
      </c>
      <c r="BL38" s="13">
        <v>24.4</v>
      </c>
      <c r="BM38" s="13">
        <v>11.5</v>
      </c>
      <c r="BN38" s="13">
        <v>14.65068134</v>
      </c>
      <c r="BO38" s="14">
        <v>7.6391243400000004</v>
      </c>
      <c r="BP38" s="14">
        <v>22.63454647</v>
      </c>
      <c r="BQ38" s="14">
        <v>21.735497509999998</v>
      </c>
      <c r="BR38" s="14">
        <v>15.995186350000001</v>
      </c>
      <c r="BS38" s="14">
        <v>11.905275639999999</v>
      </c>
      <c r="BT38" s="14">
        <v>15.08578722</v>
      </c>
      <c r="BU38" s="14">
        <v>24.708517579999999</v>
      </c>
      <c r="BV38" s="14">
        <v>18</v>
      </c>
      <c r="BW38" s="14">
        <v>22.3</v>
      </c>
      <c r="BX38" s="14">
        <v>15.51460157</v>
      </c>
      <c r="BY38" s="14">
        <v>14.633336829999999</v>
      </c>
      <c r="BZ38" s="14">
        <v>18.041035910000002</v>
      </c>
      <c r="CA38" s="14">
        <v>26.942996750000006</v>
      </c>
      <c r="CB38" s="14">
        <v>24.798484110000004</v>
      </c>
      <c r="CC38" s="14">
        <v>13.73442178</v>
      </c>
      <c r="CD38" s="14">
        <v>13.195928580000002</v>
      </c>
      <c r="CE38" s="14">
        <v>15.63526821</v>
      </c>
      <c r="CF38" s="14">
        <v>13.843758379999999</v>
      </c>
    </row>
    <row r="39" spans="1:84" ht="16.5" x14ac:dyDescent="0.3">
      <c r="A39" s="12" t="s">
        <v>75</v>
      </c>
      <c r="B39" s="13">
        <v>-3</v>
      </c>
      <c r="C39" s="13">
        <v>-5.3</v>
      </c>
      <c r="D39" s="13">
        <v>-5</v>
      </c>
      <c r="E39" s="13">
        <v>-5</v>
      </c>
      <c r="F39" s="13">
        <v>-4.8</v>
      </c>
      <c r="G39" s="13">
        <v>-5.7</v>
      </c>
      <c r="H39" s="13">
        <v>-4.9000000000000004</v>
      </c>
      <c r="I39" s="13">
        <v>-4.0999999999999996</v>
      </c>
      <c r="J39" s="13">
        <v>-5.9</v>
      </c>
      <c r="K39" s="13">
        <v>-5.0999999999999996</v>
      </c>
      <c r="L39" s="13">
        <v>-5.0999999999999996</v>
      </c>
      <c r="M39" s="13">
        <v>-5.2</v>
      </c>
      <c r="N39" s="13">
        <v>-6.1</v>
      </c>
      <c r="O39" s="13">
        <v>-6.5</v>
      </c>
      <c r="P39" s="13">
        <v>-6.31</v>
      </c>
      <c r="Q39" s="13">
        <v>-6.8</v>
      </c>
      <c r="R39" s="13">
        <v>-1.2</v>
      </c>
      <c r="S39" s="13">
        <v>-2.2000000000000002</v>
      </c>
      <c r="T39" s="13">
        <v>-3</v>
      </c>
      <c r="U39" s="13">
        <v>-3.3</v>
      </c>
      <c r="V39" s="13">
        <v>-2.1</v>
      </c>
      <c r="W39" s="13">
        <v>-2.5</v>
      </c>
      <c r="X39" s="13">
        <v>-3.1</v>
      </c>
      <c r="Y39" s="13">
        <v>-1.5</v>
      </c>
      <c r="Z39" s="13">
        <v>-2.5</v>
      </c>
      <c r="AA39" s="13">
        <v>-0.6</v>
      </c>
      <c r="AB39" s="13">
        <v>-2.1</v>
      </c>
      <c r="AC39" s="13">
        <v>-2.2000000000000002</v>
      </c>
      <c r="AD39" s="13">
        <v>-4.5</v>
      </c>
      <c r="AE39" s="13">
        <v>-4.5999999999999996</v>
      </c>
      <c r="AF39" s="13">
        <v>-4.9000000000000004</v>
      </c>
      <c r="AG39" s="13">
        <v>-0.1</v>
      </c>
      <c r="AH39" s="13">
        <v>-5.6</v>
      </c>
      <c r="AI39" s="13">
        <v>-0.4</v>
      </c>
      <c r="AJ39" s="13">
        <v>-0.5</v>
      </c>
      <c r="AK39" s="13">
        <v>-0.8</v>
      </c>
      <c r="AL39" s="13">
        <v>-1.7</v>
      </c>
      <c r="AM39" s="13">
        <v>-4.7</v>
      </c>
      <c r="AN39" s="13">
        <v>-0.9</v>
      </c>
      <c r="AO39" s="13">
        <v>-4.0999999999999996</v>
      </c>
      <c r="AP39" s="13">
        <v>-1.4</v>
      </c>
      <c r="AQ39" s="13">
        <v>-5.7</v>
      </c>
      <c r="AR39" s="13">
        <v>-5.4</v>
      </c>
      <c r="AS39" s="13">
        <v>-5.8</v>
      </c>
      <c r="AT39" s="13">
        <v>-4.7</v>
      </c>
      <c r="AU39" s="13">
        <v>-4.7</v>
      </c>
      <c r="AV39" s="13">
        <v>-6.3</v>
      </c>
      <c r="AW39" s="14">
        <v>-4.7</v>
      </c>
      <c r="AX39" s="14">
        <v>-4.5</v>
      </c>
      <c r="AY39" s="14">
        <v>-4.5</v>
      </c>
      <c r="AZ39" s="14">
        <v>-5.6</v>
      </c>
      <c r="BA39" s="14">
        <v>-5.2</v>
      </c>
      <c r="BB39" s="14">
        <v>-5.8</v>
      </c>
      <c r="BC39" s="14">
        <v>-4.3</v>
      </c>
      <c r="BD39" s="14">
        <v>-4.5999999999999996</v>
      </c>
      <c r="BE39" s="14">
        <v>-6.6</v>
      </c>
      <c r="BF39" s="13">
        <v>-6.8</v>
      </c>
      <c r="BG39" s="13">
        <v>-6.6</v>
      </c>
      <c r="BH39" s="13">
        <v>-7.6</v>
      </c>
      <c r="BI39" s="13">
        <v>-8.6</v>
      </c>
      <c r="BJ39" s="13">
        <v>-9.5</v>
      </c>
      <c r="BK39" s="13">
        <v>-6.3</v>
      </c>
      <c r="BL39" s="13">
        <v>-13.7</v>
      </c>
      <c r="BM39" s="13">
        <v>-6.5</v>
      </c>
      <c r="BN39" s="13">
        <v>-10.75155674</v>
      </c>
      <c r="BO39" s="14">
        <v>-8.3088962899999999</v>
      </c>
      <c r="BP39" s="14">
        <v>-10.286234670000001</v>
      </c>
      <c r="BQ39" s="14">
        <v>-17.81805134</v>
      </c>
      <c r="BR39" s="14">
        <v>-16.62059477</v>
      </c>
      <c r="BS39" s="14">
        <v>-6.2764794699999999</v>
      </c>
      <c r="BT39" s="14">
        <v>-26.899526120000001</v>
      </c>
      <c r="BU39" s="14">
        <v>-7.88237261</v>
      </c>
      <c r="BV39" s="14">
        <v>-13.2</v>
      </c>
      <c r="BW39" s="14">
        <v>-9</v>
      </c>
      <c r="BX39" s="14">
        <v>-18.722070949999999</v>
      </c>
      <c r="BY39" s="14">
        <v>-10.317704750000001</v>
      </c>
      <c r="BZ39" s="14">
        <v>-9.7208735999999991</v>
      </c>
      <c r="CA39" s="14">
        <v>-0.78608375200000002</v>
      </c>
      <c r="CB39" s="14">
        <v>-11.76830668</v>
      </c>
      <c r="CC39" s="14">
        <v>-0.38971077135999999</v>
      </c>
      <c r="CD39" s="14">
        <v>-13.944984730000002</v>
      </c>
      <c r="CE39" s="14">
        <v>-1.5490179400000001</v>
      </c>
      <c r="CF39" s="14">
        <v>-1.3808280500000001</v>
      </c>
    </row>
    <row r="40" spans="1:84" ht="16.5" x14ac:dyDescent="0.3">
      <c r="A40" s="12" t="s">
        <v>150</v>
      </c>
      <c r="B40" s="13">
        <v>0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0</v>
      </c>
      <c r="AF40" s="13">
        <v>0</v>
      </c>
      <c r="AG40" s="13">
        <v>0</v>
      </c>
      <c r="AH40" s="13">
        <v>0</v>
      </c>
      <c r="AI40" s="13">
        <v>0</v>
      </c>
      <c r="AJ40" s="13">
        <v>0</v>
      </c>
      <c r="AK40" s="13">
        <v>0</v>
      </c>
      <c r="AL40" s="13">
        <v>-10.9</v>
      </c>
      <c r="AM40" s="13">
        <v>-3.8</v>
      </c>
      <c r="AN40" s="13">
        <v>-26.6</v>
      </c>
      <c r="AO40" s="13">
        <v>-41.3</v>
      </c>
      <c r="AP40" s="13">
        <v>-20</v>
      </c>
      <c r="AQ40" s="13">
        <v>-8</v>
      </c>
      <c r="AR40" s="13">
        <v>13.9</v>
      </c>
      <c r="AS40" s="13">
        <v>0.7</v>
      </c>
      <c r="AT40" s="13">
        <v>-9.8000000000000007</v>
      </c>
      <c r="AU40" s="13">
        <v>-9.1999999999999993</v>
      </c>
      <c r="AV40" s="13">
        <v>-5.0999999999999996</v>
      </c>
      <c r="AW40" s="14">
        <v>-12.2</v>
      </c>
      <c r="AX40" s="14">
        <v>-16.899999999999999</v>
      </c>
      <c r="AY40" s="14">
        <v>-15.2</v>
      </c>
      <c r="AZ40" s="14">
        <v>-15.3</v>
      </c>
      <c r="BA40" s="14">
        <v>-10.4</v>
      </c>
      <c r="BB40" s="14">
        <v>-11.2</v>
      </c>
      <c r="BC40" s="14">
        <v>-3.2</v>
      </c>
      <c r="BD40" s="14">
        <v>0.2</v>
      </c>
      <c r="BE40" s="14">
        <v>-1.6</v>
      </c>
      <c r="BF40" s="13">
        <v>-1.1000000000000001</v>
      </c>
      <c r="BG40" s="13">
        <v>-7.7</v>
      </c>
      <c r="BH40" s="13">
        <v>-15.7</v>
      </c>
      <c r="BI40" s="13">
        <v>-26.6</v>
      </c>
      <c r="BJ40" s="13">
        <v>-34</v>
      </c>
      <c r="BK40" s="13">
        <v>-26.5</v>
      </c>
      <c r="BL40" s="13">
        <v>-29.7</v>
      </c>
      <c r="BM40" s="13">
        <v>-60.1</v>
      </c>
      <c r="BN40" s="13">
        <v>-29.474293400000001</v>
      </c>
      <c r="BO40" s="14">
        <v>-27.055635680000002</v>
      </c>
      <c r="BP40" s="14">
        <v>-31.96211207</v>
      </c>
      <c r="BQ40" s="14">
        <v>-44.5210492</v>
      </c>
      <c r="BR40" s="14">
        <v>-39.812044010000001</v>
      </c>
      <c r="BS40" s="14">
        <v>-30.933867849999999</v>
      </c>
      <c r="BT40" s="14">
        <v>-14.3787509</v>
      </c>
      <c r="BU40" s="14">
        <v>-24.8332245</v>
      </c>
      <c r="BV40" s="14">
        <v>-72.2</v>
      </c>
      <c r="BW40" s="14">
        <v>-15.5</v>
      </c>
      <c r="BX40" s="14">
        <v>-45.72533198</v>
      </c>
      <c r="BY40" s="14">
        <v>-36.619983980000001</v>
      </c>
      <c r="BZ40" s="14">
        <v>-19.478260681749997</v>
      </c>
      <c r="CA40" s="14">
        <v>-36.692628456799994</v>
      </c>
      <c r="CB40" s="14">
        <v>-34.174287081500019</v>
      </c>
      <c r="CC40" s="14">
        <v>-51.208376622000003</v>
      </c>
      <c r="CD40" s="14">
        <v>-44.215820396575921</v>
      </c>
      <c r="CE40" s="14">
        <v>-35.264305769000003</v>
      </c>
      <c r="CF40" s="14">
        <v>-61.172378773120002</v>
      </c>
    </row>
    <row r="41" spans="1:84" ht="16.5" x14ac:dyDescent="0.3">
      <c r="A41" s="12" t="s">
        <v>76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3">
        <v>0</v>
      </c>
      <c r="AE41" s="13">
        <v>0</v>
      </c>
      <c r="AF41" s="13">
        <v>0</v>
      </c>
      <c r="AG41" s="13">
        <v>0</v>
      </c>
      <c r="AH41" s="13">
        <v>0</v>
      </c>
      <c r="AI41" s="13">
        <v>0</v>
      </c>
      <c r="AJ41" s="13">
        <v>0</v>
      </c>
      <c r="AK41" s="13">
        <v>0</v>
      </c>
      <c r="AL41" s="13">
        <v>13.2</v>
      </c>
      <c r="AM41" s="13">
        <v>7.9</v>
      </c>
      <c r="AN41" s="13">
        <v>21.1</v>
      </c>
      <c r="AO41" s="13">
        <v>16.8</v>
      </c>
      <c r="AP41" s="13">
        <v>8.6999999999999993</v>
      </c>
      <c r="AQ41" s="13">
        <v>6.9</v>
      </c>
      <c r="AR41" s="13">
        <v>27.9</v>
      </c>
      <c r="AS41" s="13">
        <v>18.8</v>
      </c>
      <c r="AT41" s="13">
        <v>8.5</v>
      </c>
      <c r="AU41" s="13">
        <v>4.4000000000000004</v>
      </c>
      <c r="AV41" s="13">
        <v>13.8</v>
      </c>
      <c r="AW41" s="14">
        <v>10.8</v>
      </c>
      <c r="AX41" s="14">
        <v>6.4</v>
      </c>
      <c r="AY41" s="14">
        <v>7.1</v>
      </c>
      <c r="AZ41" s="14">
        <v>6.7</v>
      </c>
      <c r="BA41" s="14">
        <v>4.8</v>
      </c>
      <c r="BB41" s="14">
        <v>7.9</v>
      </c>
      <c r="BC41" s="14">
        <v>3.3</v>
      </c>
      <c r="BD41" s="14">
        <v>8.9</v>
      </c>
      <c r="BE41" s="14">
        <v>8.3000000000000007</v>
      </c>
      <c r="BF41" s="13">
        <v>11.4</v>
      </c>
      <c r="BG41" s="13">
        <v>8.4</v>
      </c>
      <c r="BH41" s="13">
        <v>5.7</v>
      </c>
      <c r="BI41" s="13">
        <v>14.7</v>
      </c>
      <c r="BJ41" s="13">
        <v>12.1</v>
      </c>
      <c r="BK41" s="13">
        <v>12.7</v>
      </c>
      <c r="BL41" s="13">
        <v>7.4</v>
      </c>
      <c r="BM41" s="13">
        <v>10.7</v>
      </c>
      <c r="BN41" s="13">
        <v>8.8758988399999996</v>
      </c>
      <c r="BO41" s="14">
        <v>15.81776127</v>
      </c>
      <c r="BP41" s="14">
        <v>13.496899490000001</v>
      </c>
      <c r="BQ41" s="14">
        <v>16.419579339999999</v>
      </c>
      <c r="BR41" s="14">
        <v>13.70901196</v>
      </c>
      <c r="BS41" s="14">
        <v>25.197858960000001</v>
      </c>
      <c r="BT41" s="14">
        <v>19.10113496</v>
      </c>
      <c r="BU41" s="14">
        <v>35.357592769999997</v>
      </c>
      <c r="BV41" s="14">
        <v>13.7</v>
      </c>
      <c r="BW41" s="14">
        <v>29.3</v>
      </c>
      <c r="BX41" s="14">
        <v>16.7408568</v>
      </c>
      <c r="BY41" s="14">
        <v>35.906160229999998</v>
      </c>
      <c r="BZ41" s="14">
        <v>16.775273330000001</v>
      </c>
      <c r="CA41" s="14">
        <v>25.962247649999998</v>
      </c>
      <c r="CB41" s="14">
        <v>8.8098238079999991</v>
      </c>
      <c r="CC41" s="14">
        <v>32.904339198000002</v>
      </c>
      <c r="CD41" s="14">
        <v>17.361084930000001</v>
      </c>
      <c r="CE41" s="14">
        <v>47.050469018000001</v>
      </c>
      <c r="CF41" s="14">
        <v>11.866740409000002</v>
      </c>
    </row>
    <row r="42" spans="1:84" ht="16.5" x14ac:dyDescent="0.3">
      <c r="A42" s="12" t="s">
        <v>77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0</v>
      </c>
      <c r="AL42" s="13">
        <v>-24.1</v>
      </c>
      <c r="AM42" s="13">
        <v>-11.7</v>
      </c>
      <c r="AN42" s="13">
        <v>-47.7</v>
      </c>
      <c r="AO42" s="13">
        <v>-58.2</v>
      </c>
      <c r="AP42" s="13">
        <v>-28.7</v>
      </c>
      <c r="AQ42" s="13">
        <v>-14.9</v>
      </c>
      <c r="AR42" s="13">
        <v>-13.9</v>
      </c>
      <c r="AS42" s="13">
        <v>-18.100000000000001</v>
      </c>
      <c r="AT42" s="13">
        <v>-18.2</v>
      </c>
      <c r="AU42" s="13">
        <v>-13.6</v>
      </c>
      <c r="AV42" s="13">
        <v>-18.899999999999999</v>
      </c>
      <c r="AW42" s="14">
        <v>-23</v>
      </c>
      <c r="AX42" s="14">
        <v>-23.3</v>
      </c>
      <c r="AY42" s="14">
        <v>-22.3</v>
      </c>
      <c r="AZ42" s="14">
        <v>-22</v>
      </c>
      <c r="BA42" s="14">
        <v>-15.2</v>
      </c>
      <c r="BB42" s="14">
        <v>-19.100000000000001</v>
      </c>
      <c r="BC42" s="14">
        <v>-6.5</v>
      </c>
      <c r="BD42" s="14">
        <v>-8.8000000000000007</v>
      </c>
      <c r="BE42" s="14">
        <v>-9.9</v>
      </c>
      <c r="BF42" s="13">
        <v>-12.5</v>
      </c>
      <c r="BG42" s="13">
        <v>-16</v>
      </c>
      <c r="BH42" s="13">
        <v>-21.3</v>
      </c>
      <c r="BI42" s="13">
        <v>-41.3</v>
      </c>
      <c r="BJ42" s="13">
        <v>-46.1</v>
      </c>
      <c r="BK42" s="13">
        <v>-39.200000000000003</v>
      </c>
      <c r="BL42" s="13">
        <v>-37.1</v>
      </c>
      <c r="BM42" s="13">
        <v>-70.8</v>
      </c>
      <c r="BN42" s="13">
        <v>-38.350192239999998</v>
      </c>
      <c r="BO42" s="14">
        <v>-42.87339695</v>
      </c>
      <c r="BP42" s="14">
        <v>-45.45901156</v>
      </c>
      <c r="BQ42" s="14">
        <v>-60.940628539999999</v>
      </c>
      <c r="BR42" s="14">
        <v>-53.521055969999999</v>
      </c>
      <c r="BS42" s="14">
        <v>-56.131726810000004</v>
      </c>
      <c r="BT42" s="14">
        <v>-33.479885860000003</v>
      </c>
      <c r="BU42" s="14">
        <v>-60.190817269999997</v>
      </c>
      <c r="BV42" s="14">
        <v>-85.9</v>
      </c>
      <c r="BW42" s="14">
        <v>-44.8</v>
      </c>
      <c r="BX42" s="14">
        <v>-62.466188780000003</v>
      </c>
      <c r="BY42" s="14">
        <v>-72.526144220000006</v>
      </c>
      <c r="BZ42" s="14">
        <v>-36.253534011749998</v>
      </c>
      <c r="CA42" s="14">
        <v>-62.654876106799989</v>
      </c>
      <c r="CB42" s="14">
        <v>-42.984110889500016</v>
      </c>
      <c r="CC42" s="14">
        <v>-84.112715820000005</v>
      </c>
      <c r="CD42" s="14">
        <v>-61.576905326575925</v>
      </c>
      <c r="CE42" s="14">
        <v>-82.314774787000005</v>
      </c>
      <c r="CF42" s="14">
        <v>-73.039119182120004</v>
      </c>
    </row>
    <row r="43" spans="1:84" ht="16.5" x14ac:dyDescent="0.3">
      <c r="A43" s="12" t="s">
        <v>151</v>
      </c>
      <c r="B43" s="13">
        <v>-3.28</v>
      </c>
      <c r="C43" s="13">
        <v>-11.2</v>
      </c>
      <c r="D43" s="13">
        <v>-19.2</v>
      </c>
      <c r="E43" s="13">
        <v>-18.8</v>
      </c>
      <c r="F43" s="13">
        <v>-13.6</v>
      </c>
      <c r="G43" s="13">
        <v>-24.1</v>
      </c>
      <c r="H43" s="13">
        <v>-42</v>
      </c>
      <c r="I43" s="13">
        <v>-33.799999999999997</v>
      </c>
      <c r="J43" s="13">
        <v>-32.5</v>
      </c>
      <c r="K43" s="13">
        <v>-34.700000000000003</v>
      </c>
      <c r="L43" s="13">
        <v>-38.5</v>
      </c>
      <c r="M43" s="13">
        <v>5.3</v>
      </c>
      <c r="N43" s="13">
        <v>13.9</v>
      </c>
      <c r="O43" s="13">
        <v>8.1999999999999993</v>
      </c>
      <c r="P43" s="13">
        <v>-29.3</v>
      </c>
      <c r="Q43" s="13">
        <v>6.4000000000000057</v>
      </c>
      <c r="R43" s="13">
        <v>-11.7</v>
      </c>
      <c r="S43" s="13">
        <v>-10.9</v>
      </c>
      <c r="T43" s="13">
        <v>27</v>
      </c>
      <c r="U43" s="13">
        <v>-31.1</v>
      </c>
      <c r="V43" s="13">
        <v>31.3</v>
      </c>
      <c r="W43" s="13">
        <v>-53.9</v>
      </c>
      <c r="X43" s="13">
        <v>11.8</v>
      </c>
      <c r="Y43" s="13">
        <v>1.2</v>
      </c>
      <c r="Z43" s="13">
        <v>7.5</v>
      </c>
      <c r="AA43" s="13">
        <v>4.9000000000000004</v>
      </c>
      <c r="AB43" s="13">
        <v>-13.3</v>
      </c>
      <c r="AC43" s="13">
        <v>-230.1</v>
      </c>
      <c r="AD43" s="13">
        <v>-29.7</v>
      </c>
      <c r="AE43" s="13">
        <v>-31.6</v>
      </c>
      <c r="AF43" s="13">
        <v>25.1</v>
      </c>
      <c r="AG43" s="13">
        <v>21.9</v>
      </c>
      <c r="AH43" s="13">
        <v>1.9</v>
      </c>
      <c r="AI43" s="13">
        <v>20.6</v>
      </c>
      <c r="AJ43" s="13">
        <v>10</v>
      </c>
      <c r="AK43" s="13">
        <v>-26.3</v>
      </c>
      <c r="AL43" s="13">
        <v>-3.6</v>
      </c>
      <c r="AM43" s="13">
        <v>0.4</v>
      </c>
      <c r="AN43" s="13">
        <v>-47.4</v>
      </c>
      <c r="AO43" s="13">
        <v>-15.1</v>
      </c>
      <c r="AP43" s="13">
        <v>-9</v>
      </c>
      <c r="AQ43" s="13">
        <v>-7.7</v>
      </c>
      <c r="AR43" s="13">
        <v>-5</v>
      </c>
      <c r="AS43" s="13">
        <v>11.9</v>
      </c>
      <c r="AT43" s="13">
        <v>-3.7</v>
      </c>
      <c r="AU43" s="13">
        <v>-11.9</v>
      </c>
      <c r="AV43" s="13">
        <v>-16.5</v>
      </c>
      <c r="AW43" s="14">
        <v>-0.9</v>
      </c>
      <c r="AX43" s="14">
        <v>-1.4</v>
      </c>
      <c r="AY43" s="14">
        <v>-7</v>
      </c>
      <c r="AZ43" s="14">
        <v>-2.5</v>
      </c>
      <c r="BA43" s="14">
        <v>3.1</v>
      </c>
      <c r="BB43" s="14">
        <v>-4.9000000000000004</v>
      </c>
      <c r="BC43" s="14">
        <v>-7.5</v>
      </c>
      <c r="BD43" s="14">
        <v>-13.3</v>
      </c>
      <c r="BE43" s="14">
        <v>-1.4</v>
      </c>
      <c r="BF43" s="13">
        <v>-10.3</v>
      </c>
      <c r="BG43" s="13">
        <v>-8.9</v>
      </c>
      <c r="BH43" s="13">
        <v>-3.7</v>
      </c>
      <c r="BI43" s="13">
        <v>-4.3</v>
      </c>
      <c r="BJ43" s="13">
        <v>-7.8</v>
      </c>
      <c r="BK43" s="13">
        <v>-4.5999999999999996</v>
      </c>
      <c r="BL43" s="13">
        <v>-2</v>
      </c>
      <c r="BM43" s="13">
        <v>-4.5999999999999996</v>
      </c>
      <c r="BN43" s="13">
        <v>-10.27485635</v>
      </c>
      <c r="BO43" s="14">
        <v>-9.2873283660000006</v>
      </c>
      <c r="BP43" s="14">
        <v>1.8106346600000001</v>
      </c>
      <c r="BQ43" s="14">
        <v>-14.296555420000001</v>
      </c>
      <c r="BR43" s="14">
        <v>-2.86920727</v>
      </c>
      <c r="BS43" s="14">
        <v>-11.54904741</v>
      </c>
      <c r="BT43" s="14">
        <v>-4.7074135349999997</v>
      </c>
      <c r="BU43" s="14">
        <v>2.2575803429999999</v>
      </c>
      <c r="BV43" s="14">
        <v>-7.1</v>
      </c>
      <c r="BW43" s="14">
        <v>-1.6</v>
      </c>
      <c r="BX43" s="14">
        <v>-10.156842620000001</v>
      </c>
      <c r="BY43" s="14">
        <v>-8.9462435500000002</v>
      </c>
      <c r="BZ43" s="14">
        <v>-10.153471433000007</v>
      </c>
      <c r="CA43" s="14">
        <v>-16.534448902999994</v>
      </c>
      <c r="CB43" s="14">
        <v>-18.789092823666678</v>
      </c>
      <c r="CC43" s="14">
        <v>-20.862616276254833</v>
      </c>
      <c r="CD43" s="14">
        <v>-19.331397545446386</v>
      </c>
      <c r="CE43" s="14">
        <v>-22.033328678602302</v>
      </c>
      <c r="CF43" s="14">
        <v>-16.271643456107281</v>
      </c>
    </row>
    <row r="44" spans="1:84" ht="16.5" x14ac:dyDescent="0.3">
      <c r="A44" s="12" t="s">
        <v>152</v>
      </c>
      <c r="B44" s="13">
        <v>25.3</v>
      </c>
      <c r="C44" s="13">
        <v>32</v>
      </c>
      <c r="D44" s="13">
        <v>20.100000000000001</v>
      </c>
      <c r="E44" s="13">
        <v>24.1</v>
      </c>
      <c r="F44" s="13">
        <v>26.5</v>
      </c>
      <c r="G44" s="13">
        <v>26.9</v>
      </c>
      <c r="H44" s="13">
        <v>24</v>
      </c>
      <c r="I44" s="13">
        <v>43.9</v>
      </c>
      <c r="J44" s="13">
        <v>43.5</v>
      </c>
      <c r="K44" s="13">
        <v>42.5</v>
      </c>
      <c r="L44" s="13">
        <v>39.9</v>
      </c>
      <c r="M44" s="13">
        <v>87</v>
      </c>
      <c r="N44" s="13">
        <v>98.1</v>
      </c>
      <c r="O44" s="13">
        <v>102</v>
      </c>
      <c r="P44" s="13">
        <v>124</v>
      </c>
      <c r="Q44" s="13">
        <v>182.4</v>
      </c>
      <c r="R44" s="13">
        <v>42.7</v>
      </c>
      <c r="S44" s="13">
        <v>43.8</v>
      </c>
      <c r="T44" s="13">
        <v>48.9</v>
      </c>
      <c r="U44" s="13">
        <v>10.8</v>
      </c>
      <c r="V44" s="13">
        <v>68.400000000000006</v>
      </c>
      <c r="W44" s="13">
        <v>18.100000000000001</v>
      </c>
      <c r="X44" s="13">
        <v>20.3</v>
      </c>
      <c r="Y44" s="13">
        <v>22.6</v>
      </c>
      <c r="Z44" s="13">
        <v>36.799999999999997</v>
      </c>
      <c r="AA44" s="13">
        <v>31.8</v>
      </c>
      <c r="AB44" s="13">
        <v>36.700000000000003</v>
      </c>
      <c r="AC44" s="13">
        <v>21.8</v>
      </c>
      <c r="AD44" s="13">
        <v>14.4</v>
      </c>
      <c r="AE44" s="13">
        <v>19.100000000000001</v>
      </c>
      <c r="AF44" s="13">
        <v>42.8</v>
      </c>
      <c r="AG44" s="13">
        <v>49.4</v>
      </c>
      <c r="AH44" s="13">
        <v>26</v>
      </c>
      <c r="AI44" s="13">
        <v>40.1</v>
      </c>
      <c r="AJ44" s="13">
        <v>40.4</v>
      </c>
      <c r="AK44" s="13">
        <v>39.299999999999997</v>
      </c>
      <c r="AL44" s="13">
        <v>8.8000000000000007</v>
      </c>
      <c r="AM44" s="13">
        <v>20.399999999999999</v>
      </c>
      <c r="AN44" s="13">
        <v>8.6</v>
      </c>
      <c r="AO44" s="13">
        <v>20.6</v>
      </c>
      <c r="AP44" s="13">
        <v>5.8</v>
      </c>
      <c r="AQ44" s="13">
        <v>17.8</v>
      </c>
      <c r="AR44" s="13">
        <v>11.4</v>
      </c>
      <c r="AS44" s="13">
        <v>23</v>
      </c>
      <c r="AT44" s="13">
        <v>5.7</v>
      </c>
      <c r="AU44" s="13">
        <v>11.2</v>
      </c>
      <c r="AV44" s="13">
        <v>5.6</v>
      </c>
      <c r="AW44" s="14">
        <v>13.2</v>
      </c>
      <c r="AX44" s="14">
        <v>3.6</v>
      </c>
      <c r="AY44" s="14">
        <v>3.3</v>
      </c>
      <c r="AZ44" s="14">
        <v>6.3</v>
      </c>
      <c r="BA44" s="14">
        <v>9.8000000000000007</v>
      </c>
      <c r="BB44" s="14">
        <v>5.4</v>
      </c>
      <c r="BC44" s="14">
        <v>10.3</v>
      </c>
      <c r="BD44" s="14">
        <v>4.3</v>
      </c>
      <c r="BE44" s="14">
        <v>10.199999999999999</v>
      </c>
      <c r="BF44" s="13">
        <v>3.8</v>
      </c>
      <c r="BG44" s="13">
        <v>6.6</v>
      </c>
      <c r="BH44" s="13">
        <v>8</v>
      </c>
      <c r="BI44" s="13">
        <v>5.6</v>
      </c>
      <c r="BJ44" s="13">
        <v>3.5</v>
      </c>
      <c r="BK44" s="13">
        <v>4.8</v>
      </c>
      <c r="BL44" s="13">
        <v>6.2</v>
      </c>
      <c r="BM44" s="13">
        <v>7.2</v>
      </c>
      <c r="BN44" s="13">
        <v>2.7490739099999999</v>
      </c>
      <c r="BO44" s="14">
        <v>11.843163390000001</v>
      </c>
      <c r="BP44" s="14">
        <v>11.859269660000001</v>
      </c>
      <c r="BQ44" s="14">
        <v>3.01731163</v>
      </c>
      <c r="BR44" s="14">
        <v>8.9878870600000003</v>
      </c>
      <c r="BS44" s="14">
        <v>8.9438360899999996</v>
      </c>
      <c r="BT44" s="14">
        <v>10.390555190000001</v>
      </c>
      <c r="BU44" s="14">
        <v>16.180978280000001</v>
      </c>
      <c r="BV44" s="14">
        <v>10</v>
      </c>
      <c r="BW44" s="14">
        <v>9.8000000000000007</v>
      </c>
      <c r="BX44" s="14">
        <v>8.5629562400000001</v>
      </c>
      <c r="BY44" s="14">
        <v>14.30972212</v>
      </c>
      <c r="BZ44" s="14">
        <v>7.9872620499999982</v>
      </c>
      <c r="CA44" s="14">
        <v>4.2647467599999977</v>
      </c>
      <c r="CB44" s="14">
        <v>9.8896574500000032</v>
      </c>
      <c r="CC44" s="14">
        <v>13.893778509999997</v>
      </c>
      <c r="CD44" s="14">
        <v>2.9466279000000029</v>
      </c>
      <c r="CE44" s="14">
        <v>3.5939826500000009</v>
      </c>
      <c r="CF44" s="14">
        <v>10.560627569999998</v>
      </c>
    </row>
    <row r="45" spans="1:84" ht="16.5" x14ac:dyDescent="0.3">
      <c r="A45" s="12" t="s">
        <v>153</v>
      </c>
      <c r="B45" s="13">
        <v>-28.58</v>
      </c>
      <c r="C45" s="13">
        <v>-43.2</v>
      </c>
      <c r="D45" s="13">
        <v>-39.299999999999997</v>
      </c>
      <c r="E45" s="13">
        <v>-42.9</v>
      </c>
      <c r="F45" s="13">
        <v>-40.1</v>
      </c>
      <c r="G45" s="13">
        <v>-51</v>
      </c>
      <c r="H45" s="13">
        <v>-66</v>
      </c>
      <c r="I45" s="13">
        <v>-77.7</v>
      </c>
      <c r="J45" s="13">
        <v>-76</v>
      </c>
      <c r="K45" s="13">
        <v>-77.2</v>
      </c>
      <c r="L45" s="13">
        <v>-78.400000000000006</v>
      </c>
      <c r="M45" s="13">
        <v>-81.7</v>
      </c>
      <c r="N45" s="13">
        <v>-84.2</v>
      </c>
      <c r="O45" s="13">
        <v>-93.8</v>
      </c>
      <c r="P45" s="13">
        <v>-153.30000000000001</v>
      </c>
      <c r="Q45" s="13">
        <v>-176</v>
      </c>
      <c r="R45" s="13">
        <v>-54.4</v>
      </c>
      <c r="S45" s="13">
        <v>-54.7</v>
      </c>
      <c r="T45" s="13">
        <v>-21.9</v>
      </c>
      <c r="U45" s="13">
        <v>-41.9</v>
      </c>
      <c r="V45" s="13">
        <v>-37.1</v>
      </c>
      <c r="W45" s="13">
        <v>-72</v>
      </c>
      <c r="X45" s="13">
        <v>-8.5</v>
      </c>
      <c r="Y45" s="13">
        <v>-21.4</v>
      </c>
      <c r="Z45" s="13">
        <v>-29.3</v>
      </c>
      <c r="AA45" s="13">
        <v>-26.9</v>
      </c>
      <c r="AB45" s="13">
        <v>-50</v>
      </c>
      <c r="AC45" s="13">
        <v>-251.9</v>
      </c>
      <c r="AD45" s="13">
        <v>-44.1</v>
      </c>
      <c r="AE45" s="13">
        <v>-50.7</v>
      </c>
      <c r="AF45" s="13">
        <v>-17.7</v>
      </c>
      <c r="AG45" s="13">
        <v>-27.5</v>
      </c>
      <c r="AH45" s="13">
        <v>-24.1</v>
      </c>
      <c r="AI45" s="13">
        <v>-19.5</v>
      </c>
      <c r="AJ45" s="13">
        <v>-30.4</v>
      </c>
      <c r="AK45" s="13">
        <v>-65.599999999999994</v>
      </c>
      <c r="AL45" s="13">
        <v>-12.4</v>
      </c>
      <c r="AM45" s="13">
        <v>-20</v>
      </c>
      <c r="AN45" s="13">
        <v>-56</v>
      </c>
      <c r="AO45" s="13">
        <v>-35.700000000000003</v>
      </c>
      <c r="AP45" s="13">
        <v>-14.8</v>
      </c>
      <c r="AQ45" s="13">
        <v>-25.4</v>
      </c>
      <c r="AR45" s="13">
        <v>-16.399999999999999</v>
      </c>
      <c r="AS45" s="13">
        <v>-11.1</v>
      </c>
      <c r="AT45" s="13">
        <v>-9.4</v>
      </c>
      <c r="AU45" s="13">
        <v>-23.2</v>
      </c>
      <c r="AV45" s="13">
        <v>-22.1</v>
      </c>
      <c r="AW45" s="14">
        <v>-14.1</v>
      </c>
      <c r="AX45" s="14">
        <v>-5</v>
      </c>
      <c r="AY45" s="14">
        <v>-10.3</v>
      </c>
      <c r="AZ45" s="14">
        <v>-8.8000000000000007</v>
      </c>
      <c r="BA45" s="14">
        <v>-6.7</v>
      </c>
      <c r="BB45" s="14">
        <v>-10.199999999999999</v>
      </c>
      <c r="BC45" s="14">
        <v>-17.899999999999999</v>
      </c>
      <c r="BD45" s="14">
        <v>-17.600000000000001</v>
      </c>
      <c r="BE45" s="14">
        <v>-11.6</v>
      </c>
      <c r="BF45" s="13">
        <v>-14.1</v>
      </c>
      <c r="BG45" s="13">
        <v>-15.5</v>
      </c>
      <c r="BH45" s="13">
        <v>-11.7</v>
      </c>
      <c r="BI45" s="13">
        <v>-9.8000000000000007</v>
      </c>
      <c r="BJ45" s="13">
        <v>-11.3</v>
      </c>
      <c r="BK45" s="13">
        <v>-9.4</v>
      </c>
      <c r="BL45" s="13">
        <v>-8.1999999999999993</v>
      </c>
      <c r="BM45" s="13">
        <v>-11.8</v>
      </c>
      <c r="BN45" s="13">
        <v>-13.02393026</v>
      </c>
      <c r="BO45" s="14">
        <v>-21.130491750000001</v>
      </c>
      <c r="BP45" s="14">
        <v>-10.048635000000001</v>
      </c>
      <c r="BQ45" s="14">
        <v>-17.313867049999999</v>
      </c>
      <c r="BR45" s="14">
        <v>-11.857094330000001</v>
      </c>
      <c r="BS45" s="14">
        <v>-20.492883500000001</v>
      </c>
      <c r="BT45" s="14">
        <v>-15.09796873</v>
      </c>
      <c r="BU45" s="14">
        <v>-13.923397939999999</v>
      </c>
      <c r="BV45" s="14">
        <v>-17</v>
      </c>
      <c r="BW45" s="14">
        <v>-11.4</v>
      </c>
      <c r="BX45" s="14">
        <v>-18.719798860000001</v>
      </c>
      <c r="BY45" s="14">
        <v>-23.255965669999998</v>
      </c>
      <c r="BZ45" s="14">
        <v>-18.140733483000005</v>
      </c>
      <c r="CA45" s="14">
        <v>-20.799195662999992</v>
      </c>
      <c r="CB45" s="14">
        <v>-28.67875027366668</v>
      </c>
      <c r="CC45" s="14">
        <v>-34.75639478625483</v>
      </c>
      <c r="CD45" s="14">
        <v>-22.278025445446389</v>
      </c>
      <c r="CE45" s="14">
        <v>-25.627311328602303</v>
      </c>
      <c r="CF45" s="14">
        <v>-26.832271026107279</v>
      </c>
    </row>
    <row r="46" spans="1:84" ht="16.5" x14ac:dyDescent="0.3">
      <c r="A46" s="9" t="s">
        <v>78</v>
      </c>
      <c r="B46" s="10">
        <v>22</v>
      </c>
      <c r="C46" s="10">
        <v>-0.79999999999999716</v>
      </c>
      <c r="D46" s="10">
        <v>-20.6</v>
      </c>
      <c r="E46" s="10">
        <v>-32.9</v>
      </c>
      <c r="F46" s="10">
        <v>-53.6</v>
      </c>
      <c r="G46" s="10">
        <v>-98.6</v>
      </c>
      <c r="H46" s="10">
        <v>-124.1</v>
      </c>
      <c r="I46" s="10">
        <v>-111.6</v>
      </c>
      <c r="J46" s="10">
        <v>-70.400000000000006</v>
      </c>
      <c r="K46" s="10">
        <v>-122.2</v>
      </c>
      <c r="L46" s="10">
        <v>-93.7</v>
      </c>
      <c r="M46" s="10">
        <v>-107.6</v>
      </c>
      <c r="N46" s="10">
        <v>-136.19999999999999</v>
      </c>
      <c r="O46" s="10">
        <v>-131.80000000000001</v>
      </c>
      <c r="P46" s="10">
        <v>-132.4</v>
      </c>
      <c r="Q46" s="10">
        <v>-108.9</v>
      </c>
      <c r="R46" s="10">
        <v>-48.7</v>
      </c>
      <c r="S46" s="10">
        <v>-6.6</v>
      </c>
      <c r="T46" s="10">
        <v>-43</v>
      </c>
      <c r="U46" s="10">
        <v>5.9</v>
      </c>
      <c r="V46" s="10">
        <v>-41.7</v>
      </c>
      <c r="W46" s="10">
        <v>-10.3</v>
      </c>
      <c r="X46" s="10">
        <v>-34.700000000000003</v>
      </c>
      <c r="Y46" s="10">
        <v>1.3</v>
      </c>
      <c r="Z46" s="10">
        <v>1.8</v>
      </c>
      <c r="AA46" s="10">
        <v>-19</v>
      </c>
      <c r="AB46" s="10">
        <v>-14.7</v>
      </c>
      <c r="AC46" s="10">
        <v>-97.4</v>
      </c>
      <c r="AD46" s="10">
        <v>-13.2</v>
      </c>
      <c r="AE46" s="10">
        <v>-21.2</v>
      </c>
      <c r="AF46" s="10">
        <v>-33.200000000000003</v>
      </c>
      <c r="AG46" s="10">
        <v>-56.2</v>
      </c>
      <c r="AH46" s="10">
        <v>-59.2</v>
      </c>
      <c r="AI46" s="10">
        <v>-70.900000000000006</v>
      </c>
      <c r="AJ46" s="10">
        <v>-37.700000000000003</v>
      </c>
      <c r="AK46" s="10">
        <v>-25.1</v>
      </c>
      <c r="AL46" s="10">
        <v>-35</v>
      </c>
      <c r="AM46" s="10">
        <v>-76.7</v>
      </c>
      <c r="AN46" s="10">
        <v>-47.1</v>
      </c>
      <c r="AO46" s="10">
        <v>-67</v>
      </c>
      <c r="AP46" s="10">
        <v>-43.2</v>
      </c>
      <c r="AQ46" s="10">
        <v>-371.4</v>
      </c>
      <c r="AR46" s="10">
        <v>-52.6</v>
      </c>
      <c r="AS46" s="10">
        <v>-136</v>
      </c>
      <c r="AT46" s="10">
        <v>-24.2</v>
      </c>
      <c r="AU46" s="10">
        <v>-43.7</v>
      </c>
      <c r="AV46" s="10">
        <v>-15.6</v>
      </c>
      <c r="AW46" s="11">
        <v>-82</v>
      </c>
      <c r="AX46" s="11">
        <v>-25.5</v>
      </c>
      <c r="AY46" s="11">
        <v>-103.7</v>
      </c>
      <c r="AZ46" s="11">
        <v>-53.4</v>
      </c>
      <c r="BA46" s="11">
        <v>-116.9</v>
      </c>
      <c r="BB46" s="11">
        <v>-32.299999999999997</v>
      </c>
      <c r="BC46" s="11">
        <v>-128.5</v>
      </c>
      <c r="BD46" s="11">
        <v>-21.4</v>
      </c>
      <c r="BE46" s="11">
        <v>-177.6</v>
      </c>
      <c r="BF46" s="10">
        <v>-19.8</v>
      </c>
      <c r="BG46" s="10">
        <v>-203.6</v>
      </c>
      <c r="BH46" s="10">
        <v>-19.8</v>
      </c>
      <c r="BI46" s="10">
        <v>-391.3</v>
      </c>
      <c r="BJ46" s="10">
        <v>-12</v>
      </c>
      <c r="BK46" s="10">
        <v>-307.89999999999998</v>
      </c>
      <c r="BL46" s="10">
        <v>-43.6</v>
      </c>
      <c r="BM46" s="10">
        <v>-228.1</v>
      </c>
      <c r="BN46" s="10">
        <v>-35.769874969999996</v>
      </c>
      <c r="BO46" s="11">
        <v>-201.96576189999999</v>
      </c>
      <c r="BP46" s="11">
        <v>-141.36266359999999</v>
      </c>
      <c r="BQ46" s="11">
        <v>-252.24078489999999</v>
      </c>
      <c r="BR46" s="11">
        <v>-5.4480072699999997</v>
      </c>
      <c r="BS46" s="11">
        <v>-117.5179153</v>
      </c>
      <c r="BT46" s="11">
        <v>-1.306444E-2</v>
      </c>
      <c r="BU46" s="11">
        <v>-128.06281060000001</v>
      </c>
      <c r="BV46" s="11">
        <v>-15.3</v>
      </c>
      <c r="BW46" s="11">
        <v>-55.3</v>
      </c>
      <c r="BX46" s="11">
        <v>-18.580054359999998</v>
      </c>
      <c r="BY46" s="11">
        <v>-91.735702110000005</v>
      </c>
      <c r="BZ46" s="11">
        <v>-34.706427653019603</v>
      </c>
      <c r="CA46" s="11">
        <v>-90.410916525197081</v>
      </c>
      <c r="CB46" s="11">
        <v>-54.782832604163133</v>
      </c>
      <c r="CC46" s="11">
        <v>-10.087709951058224</v>
      </c>
      <c r="CD46" s="11">
        <v>1.5456866286069442</v>
      </c>
      <c r="CE46" s="11">
        <v>-70.686310014599371</v>
      </c>
      <c r="CF46" s="11">
        <v>-8.158207345607309</v>
      </c>
    </row>
    <row r="47" spans="1:84" ht="16.5" x14ac:dyDescent="0.3">
      <c r="A47" s="12" t="s">
        <v>79</v>
      </c>
      <c r="B47" s="13">
        <v>28.1</v>
      </c>
      <c r="C47" s="13">
        <v>35.1</v>
      </c>
      <c r="D47" s="13">
        <v>40</v>
      </c>
      <c r="E47" s="13">
        <v>55.3</v>
      </c>
      <c r="F47" s="13">
        <v>27.3</v>
      </c>
      <c r="G47" s="13">
        <v>15.8</v>
      </c>
      <c r="H47" s="13">
        <v>27</v>
      </c>
      <c r="I47" s="13">
        <v>33</v>
      </c>
      <c r="J47" s="13">
        <v>46.3</v>
      </c>
      <c r="K47" s="13">
        <v>43.8</v>
      </c>
      <c r="L47" s="13">
        <v>45</v>
      </c>
      <c r="M47" s="13">
        <v>26</v>
      </c>
      <c r="N47" s="13">
        <v>31.4</v>
      </c>
      <c r="O47" s="13">
        <v>38.299999999999997</v>
      </c>
      <c r="P47" s="13">
        <v>35.4</v>
      </c>
      <c r="Q47" s="13">
        <v>38.5</v>
      </c>
      <c r="R47" s="13">
        <v>15.1</v>
      </c>
      <c r="S47" s="13">
        <v>11.7</v>
      </c>
      <c r="T47" s="13">
        <v>8.8000000000000007</v>
      </c>
      <c r="U47" s="13">
        <v>9.6999999999999993</v>
      </c>
      <c r="V47" s="13">
        <v>9.4</v>
      </c>
      <c r="W47" s="13">
        <v>17.399999999999999</v>
      </c>
      <c r="X47" s="13">
        <v>6.8</v>
      </c>
      <c r="Y47" s="13">
        <v>7.1</v>
      </c>
      <c r="Z47" s="13">
        <v>7.9</v>
      </c>
      <c r="AA47" s="13">
        <v>6.4</v>
      </c>
      <c r="AB47" s="13">
        <v>0</v>
      </c>
      <c r="AC47" s="13">
        <v>0.9</v>
      </c>
      <c r="AD47" s="13">
        <v>4</v>
      </c>
      <c r="AE47" s="13">
        <v>0.4</v>
      </c>
      <c r="AF47" s="13">
        <v>0.8</v>
      </c>
      <c r="AG47" s="13">
        <v>1.6</v>
      </c>
      <c r="AH47" s="13">
        <v>-5.2</v>
      </c>
      <c r="AI47" s="13">
        <v>-8.5</v>
      </c>
      <c r="AJ47" s="13">
        <v>-2.2000000000000002</v>
      </c>
      <c r="AK47" s="13">
        <v>-0.5</v>
      </c>
      <c r="AL47" s="13">
        <v>0</v>
      </c>
      <c r="AM47" s="13">
        <v>-5.2</v>
      </c>
      <c r="AN47" s="13">
        <v>-5.9</v>
      </c>
      <c r="AO47" s="13">
        <v>-11.3</v>
      </c>
      <c r="AP47" s="13">
        <v>-4.8</v>
      </c>
      <c r="AQ47" s="13">
        <v>-2.9</v>
      </c>
      <c r="AR47" s="13">
        <v>-1</v>
      </c>
      <c r="AS47" s="13">
        <v>-1.3</v>
      </c>
      <c r="AT47" s="13">
        <v>5.5</v>
      </c>
      <c r="AU47" s="13">
        <v>7</v>
      </c>
      <c r="AV47" s="13">
        <v>6.8</v>
      </c>
      <c r="AW47" s="14">
        <v>11.2</v>
      </c>
      <c r="AX47" s="14">
        <v>10.4</v>
      </c>
      <c r="AY47" s="14">
        <v>7.4</v>
      </c>
      <c r="AZ47" s="14">
        <v>12.8</v>
      </c>
      <c r="BA47" s="14">
        <v>15.5</v>
      </c>
      <c r="BB47" s="14">
        <v>11.7</v>
      </c>
      <c r="BC47" s="14">
        <v>7.4</v>
      </c>
      <c r="BD47" s="14">
        <v>9.1</v>
      </c>
      <c r="BE47" s="14">
        <v>12.3</v>
      </c>
      <c r="BF47" s="13">
        <v>14.6</v>
      </c>
      <c r="BG47" s="13">
        <v>12.2</v>
      </c>
      <c r="BH47" s="13">
        <v>11.1</v>
      </c>
      <c r="BI47" s="13">
        <v>12.6</v>
      </c>
      <c r="BJ47" s="13">
        <v>13.6</v>
      </c>
      <c r="BK47" s="13">
        <v>12.8</v>
      </c>
      <c r="BL47" s="13">
        <v>10.7</v>
      </c>
      <c r="BM47" s="13">
        <v>12</v>
      </c>
      <c r="BN47" s="13">
        <v>17.803246479999999</v>
      </c>
      <c r="BO47" s="14">
        <v>12.03747076</v>
      </c>
      <c r="BP47" s="14">
        <v>18.164928870000001</v>
      </c>
      <c r="BQ47" s="14">
        <v>14.63596575</v>
      </c>
      <c r="BR47" s="14">
        <v>15.434121230000001</v>
      </c>
      <c r="BS47" s="14">
        <v>15.288994949999999</v>
      </c>
      <c r="BT47" s="14">
        <v>14.3565132</v>
      </c>
      <c r="BU47" s="14">
        <v>9.70680795</v>
      </c>
      <c r="BV47" s="14">
        <v>19.5</v>
      </c>
      <c r="BW47" s="14">
        <v>24.4</v>
      </c>
      <c r="BX47" s="14">
        <v>16.53238249</v>
      </c>
      <c r="BY47" s="14">
        <v>15.68529872</v>
      </c>
      <c r="BZ47" s="14">
        <v>27.253380355861434</v>
      </c>
      <c r="CA47" s="14">
        <v>35.797262383319094</v>
      </c>
      <c r="CB47" s="14">
        <v>24.047737961909096</v>
      </c>
      <c r="CC47" s="14">
        <v>27.720700914736845</v>
      </c>
      <c r="CD47" s="14">
        <v>15.125387058999999</v>
      </c>
      <c r="CE47" s="14">
        <v>9.040185825</v>
      </c>
      <c r="CF47" s="14">
        <v>25.683067834760003</v>
      </c>
    </row>
    <row r="48" spans="1:84" ht="16.5" x14ac:dyDescent="0.3">
      <c r="A48" s="12" t="s">
        <v>80</v>
      </c>
      <c r="B48" s="13">
        <v>53.4</v>
      </c>
      <c r="C48" s="13">
        <v>64.5</v>
      </c>
      <c r="D48" s="13">
        <v>63.5</v>
      </c>
      <c r="E48" s="13">
        <v>75.2</v>
      </c>
      <c r="F48" s="13">
        <v>53</v>
      </c>
      <c r="G48" s="13">
        <v>40.799999999999997</v>
      </c>
      <c r="H48" s="13">
        <v>50</v>
      </c>
      <c r="I48" s="13">
        <v>58</v>
      </c>
      <c r="J48" s="13">
        <v>71.599999999999994</v>
      </c>
      <c r="K48" s="13">
        <v>71.3</v>
      </c>
      <c r="L48" s="13">
        <v>70.400000000000006</v>
      </c>
      <c r="M48" s="13">
        <v>55.6</v>
      </c>
      <c r="N48" s="13">
        <v>58</v>
      </c>
      <c r="O48" s="13">
        <v>59.6</v>
      </c>
      <c r="P48" s="13">
        <v>54.8</v>
      </c>
      <c r="Q48" s="13">
        <v>59.1</v>
      </c>
      <c r="R48" s="13">
        <v>18.8</v>
      </c>
      <c r="S48" s="13">
        <v>14.7</v>
      </c>
      <c r="T48" s="13">
        <v>13.1</v>
      </c>
      <c r="U48" s="13">
        <v>14.4</v>
      </c>
      <c r="V48" s="13">
        <v>12.8</v>
      </c>
      <c r="W48" s="13">
        <v>20.7</v>
      </c>
      <c r="X48" s="13">
        <v>17.100000000000001</v>
      </c>
      <c r="Y48" s="13">
        <v>13</v>
      </c>
      <c r="Z48" s="13">
        <v>13.2</v>
      </c>
      <c r="AA48" s="13">
        <v>13</v>
      </c>
      <c r="AB48" s="13">
        <v>9.1</v>
      </c>
      <c r="AC48" s="13">
        <v>11</v>
      </c>
      <c r="AD48" s="13">
        <v>9.4</v>
      </c>
      <c r="AE48" s="13">
        <v>8.8000000000000007</v>
      </c>
      <c r="AF48" s="13">
        <v>9.5</v>
      </c>
      <c r="AG48" s="13">
        <v>10.4</v>
      </c>
      <c r="AH48" s="13">
        <v>10.1</v>
      </c>
      <c r="AI48" s="13">
        <v>9.1</v>
      </c>
      <c r="AJ48" s="13">
        <v>8.8000000000000007</v>
      </c>
      <c r="AK48" s="13">
        <v>8.9</v>
      </c>
      <c r="AL48" s="13">
        <v>7.8</v>
      </c>
      <c r="AM48" s="13">
        <v>8</v>
      </c>
      <c r="AN48" s="13">
        <v>19.2</v>
      </c>
      <c r="AO48" s="13">
        <v>6.8</v>
      </c>
      <c r="AP48" s="13">
        <v>5.8</v>
      </c>
      <c r="AQ48" s="13">
        <v>6.1</v>
      </c>
      <c r="AR48" s="13">
        <v>7</v>
      </c>
      <c r="AS48" s="13">
        <v>4.7</v>
      </c>
      <c r="AT48" s="13">
        <v>8.5</v>
      </c>
      <c r="AU48" s="13">
        <v>10</v>
      </c>
      <c r="AV48" s="13">
        <v>9.8000000000000007</v>
      </c>
      <c r="AW48" s="14">
        <v>11.2</v>
      </c>
      <c r="AX48" s="14">
        <v>13.4</v>
      </c>
      <c r="AY48" s="14">
        <v>12.5</v>
      </c>
      <c r="AZ48" s="14">
        <v>13.2</v>
      </c>
      <c r="BA48" s="14">
        <v>15.8</v>
      </c>
      <c r="BB48" s="14">
        <v>13.7</v>
      </c>
      <c r="BC48" s="14">
        <v>11.8</v>
      </c>
      <c r="BD48" s="14">
        <v>11.9</v>
      </c>
      <c r="BE48" s="14">
        <v>13.6</v>
      </c>
      <c r="BF48" s="13">
        <v>16.600000000000001</v>
      </c>
      <c r="BG48" s="13">
        <v>15.3</v>
      </c>
      <c r="BH48" s="13">
        <v>15.5</v>
      </c>
      <c r="BI48" s="13">
        <v>16.899999999999999</v>
      </c>
      <c r="BJ48" s="13">
        <v>16.899999999999999</v>
      </c>
      <c r="BK48" s="13">
        <v>17.8</v>
      </c>
      <c r="BL48" s="13">
        <v>16.600000000000001</v>
      </c>
      <c r="BM48" s="13">
        <v>17.2</v>
      </c>
      <c r="BN48" s="13">
        <v>22.347915570000001</v>
      </c>
      <c r="BO48" s="14">
        <v>21.147195700000001</v>
      </c>
      <c r="BP48" s="14">
        <v>20.720115</v>
      </c>
      <c r="BQ48" s="14">
        <v>17.442685650000001</v>
      </c>
      <c r="BR48" s="14">
        <v>21.806698090000001</v>
      </c>
      <c r="BS48" s="14">
        <v>27.12314654</v>
      </c>
      <c r="BT48" s="14">
        <v>16.58909517</v>
      </c>
      <c r="BU48" s="14">
        <v>14.15241649</v>
      </c>
      <c r="BV48" s="14">
        <v>25.2</v>
      </c>
      <c r="BW48" s="14">
        <v>30.9</v>
      </c>
      <c r="BX48" s="14">
        <v>21.326839079999999</v>
      </c>
      <c r="BY48" s="14">
        <v>21.0197547</v>
      </c>
      <c r="BZ48" s="14">
        <v>28.351018140000004</v>
      </c>
      <c r="CA48" s="14">
        <v>37.599973704410004</v>
      </c>
      <c r="CB48" s="14">
        <v>25.834388141000005</v>
      </c>
      <c r="CC48" s="14">
        <v>31.878060130000001</v>
      </c>
      <c r="CD48" s="14">
        <v>21.569109708999999</v>
      </c>
      <c r="CE48" s="14">
        <v>17.90584643</v>
      </c>
      <c r="CF48" s="14">
        <v>30.730087990000005</v>
      </c>
    </row>
    <row r="49" spans="1:84" ht="16.5" x14ac:dyDescent="0.3">
      <c r="A49" s="12" t="s">
        <v>81</v>
      </c>
      <c r="B49" s="13">
        <v>-25.3</v>
      </c>
      <c r="C49" s="13">
        <v>-29.4</v>
      </c>
      <c r="D49" s="13">
        <v>-23.5</v>
      </c>
      <c r="E49" s="13">
        <v>-19.899999999999999</v>
      </c>
      <c r="F49" s="13">
        <v>-25.7</v>
      </c>
      <c r="G49" s="13">
        <v>-25</v>
      </c>
      <c r="H49" s="13">
        <v>-23</v>
      </c>
      <c r="I49" s="13">
        <v>-25</v>
      </c>
      <c r="J49" s="13">
        <v>-25.3</v>
      </c>
      <c r="K49" s="13">
        <v>-27.5</v>
      </c>
      <c r="L49" s="13">
        <v>-25.4</v>
      </c>
      <c r="M49" s="13">
        <v>-29.6</v>
      </c>
      <c r="N49" s="13">
        <v>-26.6</v>
      </c>
      <c r="O49" s="13">
        <v>-21.3</v>
      </c>
      <c r="P49" s="13">
        <v>-19.399999999999999</v>
      </c>
      <c r="Q49" s="13">
        <v>-20.6</v>
      </c>
      <c r="R49" s="13">
        <v>-3.7</v>
      </c>
      <c r="S49" s="13">
        <v>-3</v>
      </c>
      <c r="T49" s="13">
        <v>-4.3</v>
      </c>
      <c r="U49" s="13">
        <v>-4.7</v>
      </c>
      <c r="V49" s="13">
        <v>-3.4</v>
      </c>
      <c r="W49" s="13">
        <v>-3.3</v>
      </c>
      <c r="X49" s="13">
        <v>-10.3</v>
      </c>
      <c r="Y49" s="13">
        <v>-5.9</v>
      </c>
      <c r="Z49" s="13">
        <v>-5.3</v>
      </c>
      <c r="AA49" s="13">
        <v>-6.6</v>
      </c>
      <c r="AB49" s="13">
        <v>-9.1</v>
      </c>
      <c r="AC49" s="13">
        <v>-10.1</v>
      </c>
      <c r="AD49" s="13">
        <v>-5.4</v>
      </c>
      <c r="AE49" s="13">
        <v>-8.3000000000000007</v>
      </c>
      <c r="AF49" s="13">
        <v>-8.6999999999999993</v>
      </c>
      <c r="AG49" s="13">
        <v>-8.8000000000000007</v>
      </c>
      <c r="AH49" s="13">
        <v>-15.3</v>
      </c>
      <c r="AI49" s="13">
        <v>-17.600000000000001</v>
      </c>
      <c r="AJ49" s="13">
        <v>-11</v>
      </c>
      <c r="AK49" s="13">
        <v>-9.4</v>
      </c>
      <c r="AL49" s="13">
        <v>-7.8</v>
      </c>
      <c r="AM49" s="13">
        <v>-13.2</v>
      </c>
      <c r="AN49" s="13">
        <v>-25.1</v>
      </c>
      <c r="AO49" s="13">
        <v>-18.100000000000001</v>
      </c>
      <c r="AP49" s="13">
        <v>-10.6</v>
      </c>
      <c r="AQ49" s="13">
        <v>-9</v>
      </c>
      <c r="AR49" s="13">
        <v>-8</v>
      </c>
      <c r="AS49" s="13">
        <v>-6</v>
      </c>
      <c r="AT49" s="13">
        <v>-3</v>
      </c>
      <c r="AU49" s="13">
        <v>-3</v>
      </c>
      <c r="AV49" s="13">
        <v>-3</v>
      </c>
      <c r="AW49" s="14">
        <v>0</v>
      </c>
      <c r="AX49" s="14">
        <v>-3</v>
      </c>
      <c r="AY49" s="14">
        <v>-5.2</v>
      </c>
      <c r="AZ49" s="14">
        <v>-0.5</v>
      </c>
      <c r="BA49" s="14">
        <v>-0.3</v>
      </c>
      <c r="BB49" s="14">
        <v>-2</v>
      </c>
      <c r="BC49" s="14">
        <v>-4.4000000000000004</v>
      </c>
      <c r="BD49" s="14">
        <v>-2.8</v>
      </c>
      <c r="BE49" s="14">
        <v>-1.2</v>
      </c>
      <c r="BF49" s="13">
        <v>-2</v>
      </c>
      <c r="BG49" s="13">
        <v>-3.1</v>
      </c>
      <c r="BH49" s="13">
        <v>-4.4000000000000004</v>
      </c>
      <c r="BI49" s="13">
        <v>-4.3</v>
      </c>
      <c r="BJ49" s="13">
        <v>-3.2</v>
      </c>
      <c r="BK49" s="13">
        <v>-5</v>
      </c>
      <c r="BL49" s="13">
        <v>-5.9</v>
      </c>
      <c r="BM49" s="13">
        <v>-5.2</v>
      </c>
      <c r="BN49" s="13">
        <v>-4.5446690969999999</v>
      </c>
      <c r="BO49" s="14">
        <v>-9.109724945</v>
      </c>
      <c r="BP49" s="14">
        <v>-2.5551861310000001</v>
      </c>
      <c r="BQ49" s="14">
        <v>-2.8067199060000001</v>
      </c>
      <c r="BR49" s="14">
        <v>-6.3725768599999997</v>
      </c>
      <c r="BS49" s="14">
        <v>-11.834151589999999</v>
      </c>
      <c r="BT49" s="14">
        <v>-2.2325819710000001</v>
      </c>
      <c r="BU49" s="14">
        <v>-4.4456085400000003</v>
      </c>
      <c r="BV49" s="14">
        <v>-5.8</v>
      </c>
      <c r="BW49" s="14">
        <v>-6.5</v>
      </c>
      <c r="BX49" s="14">
        <v>-4.7944565920000004</v>
      </c>
      <c r="BY49" s="14">
        <v>-5.3344559760000001</v>
      </c>
      <c r="BZ49" s="14">
        <v>-1.0976377841385707</v>
      </c>
      <c r="CA49" s="14">
        <v>-1.8027113210909091</v>
      </c>
      <c r="CB49" s="14">
        <v>-1.7866501790909091</v>
      </c>
      <c r="CC49" s="14">
        <v>-4.157359215263158</v>
      </c>
      <c r="CD49" s="14">
        <v>-6.4437226499999998</v>
      </c>
      <c r="CE49" s="14">
        <v>-8.8656606050000004</v>
      </c>
      <c r="CF49" s="14">
        <v>-5.0470201552400002</v>
      </c>
    </row>
    <row r="50" spans="1:84" ht="16.5" x14ac:dyDescent="0.3">
      <c r="A50" s="12" t="s">
        <v>82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-0.6</v>
      </c>
      <c r="V50" s="13">
        <v>0</v>
      </c>
      <c r="W50" s="13">
        <v>0</v>
      </c>
      <c r="X50" s="13">
        <v>0</v>
      </c>
      <c r="Y50" s="13">
        <v>-1.6</v>
      </c>
      <c r="Z50" s="13">
        <v>0</v>
      </c>
      <c r="AA50" s="13">
        <v>0</v>
      </c>
      <c r="AB50" s="13">
        <v>0</v>
      </c>
      <c r="AC50" s="13">
        <v>-6.1</v>
      </c>
      <c r="AD50" s="13">
        <v>0</v>
      </c>
      <c r="AE50" s="13">
        <v>-4.4000000000000004</v>
      </c>
      <c r="AF50" s="13">
        <v>0</v>
      </c>
      <c r="AG50" s="13">
        <v>-1.4</v>
      </c>
      <c r="AH50" s="13">
        <v>-0.1</v>
      </c>
      <c r="AI50" s="13">
        <v>0</v>
      </c>
      <c r="AJ50" s="13">
        <v>-0.1</v>
      </c>
      <c r="AK50" s="13">
        <v>-0.2</v>
      </c>
      <c r="AL50" s="13">
        <v>-1.4</v>
      </c>
      <c r="AM50" s="13">
        <v>-5</v>
      </c>
      <c r="AN50" s="13">
        <v>-7.3</v>
      </c>
      <c r="AO50" s="13">
        <v>-6.6</v>
      </c>
      <c r="AP50" s="13">
        <v>0</v>
      </c>
      <c r="AQ50" s="13">
        <v>-1.6</v>
      </c>
      <c r="AR50" s="13">
        <v>-14.5</v>
      </c>
      <c r="AS50" s="13">
        <v>-11.5</v>
      </c>
      <c r="AT50" s="13">
        <v>-7.3</v>
      </c>
      <c r="AU50" s="13">
        <v>-1</v>
      </c>
      <c r="AV50" s="13">
        <v>-7.3</v>
      </c>
      <c r="AW50" s="14">
        <v>-26.4</v>
      </c>
      <c r="AX50" s="14">
        <v>-8.1999999999999993</v>
      </c>
      <c r="AY50" s="14">
        <v>-77</v>
      </c>
      <c r="AZ50" s="14">
        <v>-4.9000000000000004</v>
      </c>
      <c r="BA50" s="14">
        <v>-77.5</v>
      </c>
      <c r="BB50" s="14">
        <v>-5.9</v>
      </c>
      <c r="BC50" s="14">
        <v>-111.3</v>
      </c>
      <c r="BD50" s="14">
        <v>-0.5</v>
      </c>
      <c r="BE50" s="14">
        <v>-166.3</v>
      </c>
      <c r="BF50" s="13">
        <v>-3</v>
      </c>
      <c r="BG50" s="13">
        <v>-196.2</v>
      </c>
      <c r="BH50" s="13">
        <v>-27.9</v>
      </c>
      <c r="BI50" s="13">
        <v>-244.2</v>
      </c>
      <c r="BJ50" s="13">
        <v>-10.9</v>
      </c>
      <c r="BK50" s="13">
        <v>-249.9</v>
      </c>
      <c r="BL50" s="13">
        <v>-55</v>
      </c>
      <c r="BM50" s="13">
        <v>-233.6</v>
      </c>
      <c r="BN50" s="13">
        <v>-36.393805499999999</v>
      </c>
      <c r="BO50" s="14">
        <v>-155.37091330000001</v>
      </c>
      <c r="BP50" s="14">
        <v>-130.38809319999999</v>
      </c>
      <c r="BQ50" s="14">
        <v>-219.4230124</v>
      </c>
      <c r="BR50" s="14">
        <v>-14.24279406</v>
      </c>
      <c r="BS50" s="14">
        <v>-105.9990615</v>
      </c>
      <c r="BT50" s="14">
        <v>-16.70693657</v>
      </c>
      <c r="BU50" s="14">
        <v>-100.96983419999999</v>
      </c>
      <c r="BV50" s="14">
        <v>-12</v>
      </c>
      <c r="BW50" s="14">
        <v>-25.6</v>
      </c>
      <c r="BX50" s="14">
        <v>-20.539154539999998</v>
      </c>
      <c r="BY50" s="14">
        <v>-22.282309609999999</v>
      </c>
      <c r="BZ50" s="14">
        <v>-46.344864999999999</v>
      </c>
      <c r="CA50" s="14">
        <v>-113.23512927</v>
      </c>
      <c r="CB50" s="14">
        <v>-52.783406399999997</v>
      </c>
      <c r="CC50" s="14">
        <v>-21.306675270000003</v>
      </c>
      <c r="CD50" s="14">
        <v>-7.4266814100000005</v>
      </c>
      <c r="CE50" s="14">
        <v>-47.625724089999999</v>
      </c>
      <c r="CF50" s="14">
        <v>-20.086182579999999</v>
      </c>
    </row>
    <row r="51" spans="1:84" ht="16.5" x14ac:dyDescent="0.3">
      <c r="A51" s="12" t="s">
        <v>83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  <c r="AE51" s="13">
        <v>0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0</v>
      </c>
      <c r="AT51" s="13">
        <v>0</v>
      </c>
      <c r="AU51" s="13">
        <v>0</v>
      </c>
      <c r="AV51" s="13">
        <v>0</v>
      </c>
      <c r="AW51" s="14">
        <v>0</v>
      </c>
      <c r="AX51" s="14">
        <v>0</v>
      </c>
      <c r="AY51" s="14">
        <v>0</v>
      </c>
      <c r="AZ51" s="14">
        <v>0</v>
      </c>
      <c r="BA51" s="14">
        <v>0</v>
      </c>
      <c r="BB51" s="14">
        <v>0</v>
      </c>
      <c r="BC51" s="14">
        <v>0</v>
      </c>
      <c r="BD51" s="14">
        <v>0</v>
      </c>
      <c r="BE51" s="14">
        <v>0</v>
      </c>
      <c r="BF51" s="13">
        <v>0</v>
      </c>
      <c r="BG51" s="13">
        <v>0</v>
      </c>
      <c r="BH51" s="13">
        <v>0</v>
      </c>
      <c r="BI51" s="13">
        <v>0</v>
      </c>
      <c r="BJ51" s="13">
        <v>0</v>
      </c>
      <c r="BK51" s="13">
        <v>0</v>
      </c>
      <c r="BL51" s="13">
        <v>0</v>
      </c>
      <c r="BM51" s="13">
        <v>4.0999999999999996</v>
      </c>
      <c r="BN51" s="13">
        <v>0</v>
      </c>
      <c r="BO51" s="14">
        <v>0</v>
      </c>
      <c r="BP51" s="14">
        <v>0</v>
      </c>
      <c r="BQ51" s="14">
        <v>2.9151026500000001</v>
      </c>
      <c r="BR51" s="14">
        <v>0</v>
      </c>
      <c r="BS51" s="14">
        <v>0</v>
      </c>
      <c r="BT51" s="14">
        <v>0</v>
      </c>
      <c r="BU51" s="14">
        <v>2.02458866</v>
      </c>
      <c r="BV51" s="14">
        <v>0</v>
      </c>
      <c r="BW51" s="14">
        <v>0</v>
      </c>
      <c r="BX51" s="14">
        <v>0</v>
      </c>
      <c r="BY51" s="14">
        <v>0.62938439999999995</v>
      </c>
      <c r="BZ51" s="14">
        <v>0</v>
      </c>
      <c r="CA51" s="14">
        <v>0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</row>
    <row r="52" spans="1:84" ht="16.5" x14ac:dyDescent="0.3">
      <c r="A52" s="12" t="s">
        <v>84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-0.6</v>
      </c>
      <c r="V52" s="13">
        <v>0</v>
      </c>
      <c r="W52" s="13">
        <v>0</v>
      </c>
      <c r="X52" s="13">
        <v>0</v>
      </c>
      <c r="Y52" s="13">
        <v>-1.6</v>
      </c>
      <c r="Z52" s="13">
        <v>0</v>
      </c>
      <c r="AA52" s="13">
        <v>0</v>
      </c>
      <c r="AB52" s="13">
        <v>0</v>
      </c>
      <c r="AC52" s="13">
        <v>-6.1</v>
      </c>
      <c r="AD52" s="13">
        <v>0</v>
      </c>
      <c r="AE52" s="13">
        <v>-4.4000000000000004</v>
      </c>
      <c r="AF52" s="13">
        <v>0</v>
      </c>
      <c r="AG52" s="13">
        <v>-1.4</v>
      </c>
      <c r="AH52" s="13">
        <v>-0.1</v>
      </c>
      <c r="AI52" s="13">
        <v>0</v>
      </c>
      <c r="AJ52" s="13">
        <v>-0.1</v>
      </c>
      <c r="AK52" s="13">
        <v>-0.2</v>
      </c>
      <c r="AL52" s="13">
        <v>-1.4</v>
      </c>
      <c r="AM52" s="13">
        <v>-5</v>
      </c>
      <c r="AN52" s="13">
        <v>-7.3</v>
      </c>
      <c r="AO52" s="13">
        <v>-6.6</v>
      </c>
      <c r="AP52" s="13">
        <v>0</v>
      </c>
      <c r="AQ52" s="13">
        <v>-1.6</v>
      </c>
      <c r="AR52" s="13">
        <v>-14.5</v>
      </c>
      <c r="AS52" s="13">
        <v>-11.5</v>
      </c>
      <c r="AT52" s="13">
        <v>-7.3</v>
      </c>
      <c r="AU52" s="13">
        <v>-1</v>
      </c>
      <c r="AV52" s="13">
        <v>-7.3</v>
      </c>
      <c r="AW52" s="14">
        <v>-26.4</v>
      </c>
      <c r="AX52" s="14">
        <v>-8.1999999999999993</v>
      </c>
      <c r="AY52" s="14">
        <v>-77</v>
      </c>
      <c r="AZ52" s="14">
        <v>-4.9000000000000004</v>
      </c>
      <c r="BA52" s="14">
        <v>-77.5</v>
      </c>
      <c r="BB52" s="14">
        <v>-5.9</v>
      </c>
      <c r="BC52" s="14">
        <v>-111.3</v>
      </c>
      <c r="BD52" s="14">
        <v>-0.5</v>
      </c>
      <c r="BE52" s="14">
        <v>-166.3</v>
      </c>
      <c r="BF52" s="13">
        <v>-3</v>
      </c>
      <c r="BG52" s="13">
        <v>-196.2</v>
      </c>
      <c r="BH52" s="13">
        <v>-27.9</v>
      </c>
      <c r="BI52" s="13">
        <v>-244.2</v>
      </c>
      <c r="BJ52" s="13">
        <v>-10.9</v>
      </c>
      <c r="BK52" s="13">
        <v>-249.9</v>
      </c>
      <c r="BL52" s="13">
        <v>-55</v>
      </c>
      <c r="BM52" s="13">
        <v>-237.7</v>
      </c>
      <c r="BN52" s="13">
        <v>-36.393805499999999</v>
      </c>
      <c r="BO52" s="14">
        <v>-155.37091330000001</v>
      </c>
      <c r="BP52" s="14">
        <v>-130.38809319999999</v>
      </c>
      <c r="BQ52" s="14">
        <v>-222.33811499999999</v>
      </c>
      <c r="BR52" s="14">
        <v>-14.24279406</v>
      </c>
      <c r="BS52" s="14">
        <v>-105.9990615</v>
      </c>
      <c r="BT52" s="14">
        <v>-16.70693657</v>
      </c>
      <c r="BU52" s="14">
        <v>-102.9944229</v>
      </c>
      <c r="BV52" s="14">
        <v>-12</v>
      </c>
      <c r="BW52" s="14">
        <v>-25.6</v>
      </c>
      <c r="BX52" s="14">
        <v>-20.539154539999998</v>
      </c>
      <c r="BY52" s="14">
        <v>-22.911694010000001</v>
      </c>
      <c r="BZ52" s="14">
        <v>-46.344864999999999</v>
      </c>
      <c r="CA52" s="14">
        <v>-113.23512927</v>
      </c>
      <c r="CB52" s="14">
        <v>-52.783406399999997</v>
      </c>
      <c r="CC52" s="14">
        <v>-21.306675270000003</v>
      </c>
      <c r="CD52" s="14">
        <v>-7.4266814100000005</v>
      </c>
      <c r="CE52" s="14">
        <v>-47.625724089999999</v>
      </c>
      <c r="CF52" s="14">
        <v>-20.086182579999999</v>
      </c>
    </row>
    <row r="53" spans="1:84" ht="16.5" x14ac:dyDescent="0.3">
      <c r="A53" s="12" t="s">
        <v>85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13">
        <v>0</v>
      </c>
      <c r="V53" s="13">
        <v>0</v>
      </c>
      <c r="W53" s="13">
        <v>0</v>
      </c>
      <c r="X53" s="13">
        <v>0</v>
      </c>
      <c r="Y53" s="13">
        <v>0</v>
      </c>
      <c r="Z53" s="13">
        <v>0</v>
      </c>
      <c r="AA53" s="13">
        <v>0</v>
      </c>
      <c r="AB53" s="13">
        <v>0</v>
      </c>
      <c r="AC53" s="13">
        <v>0</v>
      </c>
      <c r="AD53" s="13">
        <v>0</v>
      </c>
      <c r="AE53" s="13">
        <v>0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0</v>
      </c>
      <c r="AL53" s="13">
        <v>0</v>
      </c>
      <c r="AM53" s="13">
        <v>0</v>
      </c>
      <c r="AN53" s="13">
        <v>0</v>
      </c>
      <c r="AO53" s="13">
        <v>0</v>
      </c>
      <c r="AP53" s="13">
        <v>0.2</v>
      </c>
      <c r="AQ53" s="13">
        <v>4.5999999999999996</v>
      </c>
      <c r="AR53" s="13">
        <v>0</v>
      </c>
      <c r="AS53" s="13">
        <v>1.7</v>
      </c>
      <c r="AT53" s="13">
        <v>2.8</v>
      </c>
      <c r="AU53" s="13">
        <v>2.7</v>
      </c>
      <c r="AV53" s="13">
        <v>1.1000000000000001</v>
      </c>
      <c r="AW53" s="14">
        <v>0.2</v>
      </c>
      <c r="AX53" s="14">
        <v>2.1</v>
      </c>
      <c r="AY53" s="14">
        <v>-0.3</v>
      </c>
      <c r="AZ53" s="14">
        <v>2.5</v>
      </c>
      <c r="BA53" s="14">
        <v>1.7</v>
      </c>
      <c r="BB53" s="14">
        <v>1.7</v>
      </c>
      <c r="BC53" s="14">
        <v>4.8</v>
      </c>
      <c r="BD53" s="14">
        <v>3.3</v>
      </c>
      <c r="BE53" s="14">
        <v>5</v>
      </c>
      <c r="BF53" s="13">
        <v>4.0999999999999996</v>
      </c>
      <c r="BG53" s="13">
        <v>6.1</v>
      </c>
      <c r="BH53" s="13">
        <v>10</v>
      </c>
      <c r="BI53" s="13">
        <v>7.6</v>
      </c>
      <c r="BJ53" s="13">
        <v>8.8000000000000007</v>
      </c>
      <c r="BK53" s="13">
        <v>5.6</v>
      </c>
      <c r="BL53" s="13">
        <v>13.7</v>
      </c>
      <c r="BM53" s="13">
        <v>13.4</v>
      </c>
      <c r="BN53" s="13">
        <v>13.182604</v>
      </c>
      <c r="BO53" s="14">
        <v>-7.3290400199999999</v>
      </c>
      <c r="BP53" s="14">
        <v>1.9178420599999999</v>
      </c>
      <c r="BQ53" s="14">
        <v>6.1906270000000001</v>
      </c>
      <c r="BR53" s="14">
        <v>-2.9770953800000002</v>
      </c>
      <c r="BS53" s="14">
        <v>-1.8045269999999999E-2</v>
      </c>
      <c r="BT53" s="14">
        <v>13.10331291</v>
      </c>
      <c r="BU53" s="14">
        <v>0.13061627000000001</v>
      </c>
      <c r="BV53" s="14">
        <v>-2.8</v>
      </c>
      <c r="BW53" s="14">
        <v>-6.7</v>
      </c>
      <c r="BX53" s="14">
        <v>18.545254629999999</v>
      </c>
      <c r="BY53" s="14">
        <v>2.77000191</v>
      </c>
      <c r="BZ53" s="14">
        <v>6.4965069999999994</v>
      </c>
      <c r="CA53" s="14">
        <v>8.0148560900000003</v>
      </c>
      <c r="CB53" s="14">
        <v>-7.9180060600000006</v>
      </c>
      <c r="CC53" s="14">
        <v>-4.139024344800001</v>
      </c>
      <c r="CD53" s="14">
        <v>10.025219509999999</v>
      </c>
      <c r="CE53" s="14">
        <v>-15.03580732</v>
      </c>
      <c r="CF53" s="14">
        <v>-0.33736066999999981</v>
      </c>
    </row>
    <row r="54" spans="1:84" ht="16.5" x14ac:dyDescent="0.3">
      <c r="A54" s="12" t="s">
        <v>86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  <c r="AK54" s="13">
        <v>0</v>
      </c>
      <c r="AL54" s="13">
        <v>0</v>
      </c>
      <c r="AM54" s="13">
        <v>0</v>
      </c>
      <c r="AN54" s="13">
        <v>0</v>
      </c>
      <c r="AO54" s="13">
        <v>0</v>
      </c>
      <c r="AP54" s="13">
        <v>0.2</v>
      </c>
      <c r="AQ54" s="13">
        <v>4.5999999999999996</v>
      </c>
      <c r="AR54" s="13">
        <v>0</v>
      </c>
      <c r="AS54" s="13">
        <v>1.7</v>
      </c>
      <c r="AT54" s="13">
        <v>2.8</v>
      </c>
      <c r="AU54" s="13">
        <v>2.7</v>
      </c>
      <c r="AV54" s="13">
        <v>1.1000000000000001</v>
      </c>
      <c r="AW54" s="14">
        <v>0.2</v>
      </c>
      <c r="AX54" s="14">
        <v>2.1</v>
      </c>
      <c r="AY54" s="14">
        <v>-0.3</v>
      </c>
      <c r="AZ54" s="14">
        <v>3</v>
      </c>
      <c r="BA54" s="14">
        <v>1.7</v>
      </c>
      <c r="BB54" s="14">
        <v>1.7</v>
      </c>
      <c r="BC54" s="14">
        <v>4.8</v>
      </c>
      <c r="BD54" s="14">
        <v>4</v>
      </c>
      <c r="BE54" s="14">
        <v>5</v>
      </c>
      <c r="BF54" s="13">
        <v>4.2</v>
      </c>
      <c r="BG54" s="13">
        <v>6.1</v>
      </c>
      <c r="BH54" s="13">
        <v>10.6</v>
      </c>
      <c r="BI54" s="13">
        <v>7.6</v>
      </c>
      <c r="BJ54" s="13">
        <v>8.9</v>
      </c>
      <c r="BK54" s="13">
        <v>5.6</v>
      </c>
      <c r="BL54" s="13">
        <v>13.7</v>
      </c>
      <c r="BM54" s="13">
        <v>13.7</v>
      </c>
      <c r="BN54" s="13">
        <v>13.187183449999999</v>
      </c>
      <c r="BO54" s="14">
        <v>-7.3192679099999998</v>
      </c>
      <c r="BP54" s="14">
        <v>1.9791795599999999</v>
      </c>
      <c r="BQ54" s="14">
        <v>6.2210814000000001</v>
      </c>
      <c r="BR54" s="14">
        <v>8.9683793900000008</v>
      </c>
      <c r="BS54" s="14">
        <v>-9.2452699999999999E-3</v>
      </c>
      <c r="BT54" s="14">
        <v>13.44929104</v>
      </c>
      <c r="BU54" s="14">
        <v>0.20363766999999999</v>
      </c>
      <c r="BV54" s="14">
        <v>2.4</v>
      </c>
      <c r="BW54" s="14">
        <v>4.3</v>
      </c>
      <c r="BX54" s="14">
        <v>18.89710642</v>
      </c>
      <c r="BY54" s="14">
        <v>2.77000191</v>
      </c>
      <c r="BZ54" s="14">
        <v>6.7916859999999994</v>
      </c>
      <c r="CA54" s="14">
        <v>10.831504300000001</v>
      </c>
      <c r="CB54" s="14">
        <v>-7.9180060600000006</v>
      </c>
      <c r="CC54" s="14">
        <v>-4.139024344800001</v>
      </c>
      <c r="CD54" s="14">
        <v>9.8605516299999998</v>
      </c>
      <c r="CE54" s="14">
        <v>-2.8798545200000008</v>
      </c>
      <c r="CF54" s="14">
        <v>7.5286787500000001</v>
      </c>
    </row>
    <row r="55" spans="1:84" ht="16.5" x14ac:dyDescent="0.3">
      <c r="A55" s="12" t="s">
        <v>87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0</v>
      </c>
      <c r="AU55" s="13">
        <v>0</v>
      </c>
      <c r="AV55" s="13">
        <v>0</v>
      </c>
      <c r="AW55" s="14">
        <v>0</v>
      </c>
      <c r="AX55" s="14">
        <v>0</v>
      </c>
      <c r="AY55" s="14">
        <v>0</v>
      </c>
      <c r="AZ55" s="14">
        <v>-0.5</v>
      </c>
      <c r="BA55" s="14">
        <v>0</v>
      </c>
      <c r="BB55" s="14">
        <v>0</v>
      </c>
      <c r="BC55" s="14">
        <v>0</v>
      </c>
      <c r="BD55" s="14">
        <v>-0.7</v>
      </c>
      <c r="BE55" s="14">
        <v>0</v>
      </c>
      <c r="BF55" s="13">
        <v>0</v>
      </c>
      <c r="BG55" s="13">
        <v>0</v>
      </c>
      <c r="BH55" s="13">
        <v>-0.6</v>
      </c>
      <c r="BI55" s="13">
        <v>0</v>
      </c>
      <c r="BJ55" s="13">
        <v>0</v>
      </c>
      <c r="BK55" s="13">
        <v>0</v>
      </c>
      <c r="BL55" s="13">
        <v>0</v>
      </c>
      <c r="BM55" s="13">
        <v>-0.4</v>
      </c>
      <c r="BN55" s="13">
        <v>-4.5794499999999997E-3</v>
      </c>
      <c r="BO55" s="14">
        <v>-9.7721100000000005E-3</v>
      </c>
      <c r="BP55" s="14">
        <v>-6.1337500000000003E-2</v>
      </c>
      <c r="BQ55" s="14">
        <v>-3.04544E-2</v>
      </c>
      <c r="BR55" s="14">
        <v>-11.945474770000001</v>
      </c>
      <c r="BS55" s="14">
        <v>-8.8000000000000005E-3</v>
      </c>
      <c r="BT55" s="14">
        <v>-0.34597812999999999</v>
      </c>
      <c r="BU55" s="14">
        <v>-7.30214E-2</v>
      </c>
      <c r="BV55" s="14">
        <v>-5.3</v>
      </c>
      <c r="BW55" s="14">
        <v>-11</v>
      </c>
      <c r="BX55" s="14">
        <v>-0.35185179</v>
      </c>
      <c r="BY55" s="14">
        <v>0</v>
      </c>
      <c r="BZ55" s="14">
        <v>-0.29517900000000002</v>
      </c>
      <c r="CA55" s="14">
        <v>-2.8166482099999999</v>
      </c>
      <c r="CB55" s="14">
        <v>0</v>
      </c>
      <c r="CC55" s="14">
        <v>0</v>
      </c>
      <c r="CD55" s="14">
        <v>0.16466788000000002</v>
      </c>
      <c r="CE55" s="14">
        <v>-12.1559528</v>
      </c>
      <c r="CF55" s="14">
        <v>-7.8660394199999999</v>
      </c>
    </row>
    <row r="56" spans="1:84" ht="16.5" x14ac:dyDescent="0.3">
      <c r="A56" s="12" t="s">
        <v>88</v>
      </c>
      <c r="B56" s="13">
        <v>-6.1</v>
      </c>
      <c r="C56" s="13">
        <v>-35.9</v>
      </c>
      <c r="D56" s="13">
        <v>-60.6</v>
      </c>
      <c r="E56" s="13">
        <v>-88.2</v>
      </c>
      <c r="F56" s="13">
        <v>-80.900000000000006</v>
      </c>
      <c r="G56" s="13">
        <v>-114.4</v>
      </c>
      <c r="H56" s="13">
        <v>-151.1</v>
      </c>
      <c r="I56" s="13">
        <v>-144.6</v>
      </c>
      <c r="J56" s="13">
        <v>-116.7</v>
      </c>
      <c r="K56" s="13">
        <v>-166</v>
      </c>
      <c r="L56" s="13">
        <v>-138.69999999999999</v>
      </c>
      <c r="M56" s="13">
        <v>-133.6</v>
      </c>
      <c r="N56" s="13">
        <v>-167.6</v>
      </c>
      <c r="O56" s="13">
        <v>-170.1</v>
      </c>
      <c r="P56" s="13">
        <v>-167.8</v>
      </c>
      <c r="Q56" s="13">
        <v>-147.4</v>
      </c>
      <c r="R56" s="13">
        <v>-63.8</v>
      </c>
      <c r="S56" s="13">
        <v>-18.3</v>
      </c>
      <c r="T56" s="13">
        <v>-51.8</v>
      </c>
      <c r="U56" s="13">
        <v>-3.2</v>
      </c>
      <c r="V56" s="13">
        <v>-51.1</v>
      </c>
      <c r="W56" s="13">
        <v>-27.7</v>
      </c>
      <c r="X56" s="13">
        <v>-41.5</v>
      </c>
      <c r="Y56" s="13">
        <v>-4.2</v>
      </c>
      <c r="Z56" s="13">
        <v>-6.1</v>
      </c>
      <c r="AA56" s="13">
        <v>-25.4</v>
      </c>
      <c r="AB56" s="13">
        <v>-14.7</v>
      </c>
      <c r="AC56" s="13">
        <v>-92.2</v>
      </c>
      <c r="AD56" s="13">
        <v>-17.2</v>
      </c>
      <c r="AE56" s="13">
        <v>-17.2</v>
      </c>
      <c r="AF56" s="13">
        <v>-33.9</v>
      </c>
      <c r="AG56" s="13">
        <v>-56.4</v>
      </c>
      <c r="AH56" s="13">
        <v>-53.9</v>
      </c>
      <c r="AI56" s="13">
        <v>-62.5</v>
      </c>
      <c r="AJ56" s="13">
        <v>-35.4</v>
      </c>
      <c r="AK56" s="13">
        <v>-24.3</v>
      </c>
      <c r="AL56" s="13">
        <v>-33.5</v>
      </c>
      <c r="AM56" s="13">
        <v>-66.599999999999994</v>
      </c>
      <c r="AN56" s="13">
        <v>-34</v>
      </c>
      <c r="AO56" s="13">
        <v>-49.1</v>
      </c>
      <c r="AP56" s="13">
        <v>-38.6</v>
      </c>
      <c r="AQ56" s="13">
        <v>-371.4</v>
      </c>
      <c r="AR56" s="13">
        <v>-37</v>
      </c>
      <c r="AS56" s="13">
        <v>-124.9</v>
      </c>
      <c r="AT56" s="13">
        <v>-25.2</v>
      </c>
      <c r="AU56" s="13">
        <v>-52.4</v>
      </c>
      <c r="AV56" s="13">
        <v>-16.2</v>
      </c>
      <c r="AW56" s="14">
        <v>-67</v>
      </c>
      <c r="AX56" s="14">
        <v>-29.8</v>
      </c>
      <c r="AY56" s="14">
        <v>-33.9</v>
      </c>
      <c r="AZ56" s="14">
        <v>-63.7</v>
      </c>
      <c r="BA56" s="14">
        <v>-56.6</v>
      </c>
      <c r="BB56" s="14">
        <v>-39.799999999999997</v>
      </c>
      <c r="BC56" s="14">
        <v>-29.5</v>
      </c>
      <c r="BD56" s="14">
        <v>-33.200000000000003</v>
      </c>
      <c r="BE56" s="14">
        <v>-28.6</v>
      </c>
      <c r="BF56" s="13">
        <v>-35.5</v>
      </c>
      <c r="BG56" s="13">
        <v>-25.7</v>
      </c>
      <c r="BH56" s="13">
        <v>-13</v>
      </c>
      <c r="BI56" s="13">
        <v>-167.2</v>
      </c>
      <c r="BJ56" s="13">
        <v>-23.6</v>
      </c>
      <c r="BK56" s="13">
        <v>-76.3</v>
      </c>
      <c r="BL56" s="13">
        <v>-13</v>
      </c>
      <c r="BM56" s="13">
        <v>-19.899999999999999</v>
      </c>
      <c r="BN56" s="13">
        <v>-30.361919950000001</v>
      </c>
      <c r="BO56" s="14">
        <v>-51.3032793</v>
      </c>
      <c r="BP56" s="14">
        <v>-31.057341269999998</v>
      </c>
      <c r="BQ56" s="14">
        <v>-53.644365229999998</v>
      </c>
      <c r="BR56" s="14">
        <v>-3.6622390600000001</v>
      </c>
      <c r="BS56" s="14">
        <v>-26.78980353</v>
      </c>
      <c r="BT56" s="14">
        <v>-10.765953980000001</v>
      </c>
      <c r="BU56" s="14">
        <v>-36.930400560000002</v>
      </c>
      <c r="BV56" s="14">
        <v>-19.899999999999999</v>
      </c>
      <c r="BW56" s="14">
        <v>-47.4</v>
      </c>
      <c r="BX56" s="14">
        <v>-33.118536939999998</v>
      </c>
      <c r="BY56" s="14">
        <v>-87.908693130000003</v>
      </c>
      <c r="BZ56" s="14">
        <v>-22.11145000888104</v>
      </c>
      <c r="CA56" s="14">
        <v>-20.987905728516171</v>
      </c>
      <c r="CB56" s="14">
        <v>-18.129158106072232</v>
      </c>
      <c r="CC56" s="14">
        <v>-12.362711250995066</v>
      </c>
      <c r="CD56" s="14">
        <v>-16.178238530393052</v>
      </c>
      <c r="CE56" s="14">
        <v>-17.064964429599367</v>
      </c>
      <c r="CF56" s="14">
        <v>-13.417731930367314</v>
      </c>
    </row>
    <row r="57" spans="1:84" ht="16.5" x14ac:dyDescent="0.3">
      <c r="A57" s="12" t="s">
        <v>89</v>
      </c>
      <c r="B57" s="13">
        <v>-6.1</v>
      </c>
      <c r="C57" s="13">
        <v>-35.9</v>
      </c>
      <c r="D57" s="13">
        <v>-60.6</v>
      </c>
      <c r="E57" s="13">
        <v>-88.2</v>
      </c>
      <c r="F57" s="13">
        <v>-80.900000000000006</v>
      </c>
      <c r="G57" s="13">
        <v>-114.4</v>
      </c>
      <c r="H57" s="13">
        <v>-151.1</v>
      </c>
      <c r="I57" s="13">
        <v>-144.6</v>
      </c>
      <c r="J57" s="13">
        <v>-116.7</v>
      </c>
      <c r="K57" s="13">
        <v>-166</v>
      </c>
      <c r="L57" s="13">
        <v>-138.69999999999999</v>
      </c>
      <c r="M57" s="13">
        <v>-133.6</v>
      </c>
      <c r="N57" s="13">
        <v>-167.6</v>
      </c>
      <c r="O57" s="13">
        <v>-170.1</v>
      </c>
      <c r="P57" s="13">
        <v>-167.8</v>
      </c>
      <c r="Q57" s="13">
        <v>-147.4</v>
      </c>
      <c r="R57" s="13">
        <v>-63.8</v>
      </c>
      <c r="S57" s="13">
        <v>-18.3</v>
      </c>
      <c r="T57" s="13">
        <v>-51.8</v>
      </c>
      <c r="U57" s="13">
        <v>-11.2</v>
      </c>
      <c r="V57" s="13">
        <v>-54.4</v>
      </c>
      <c r="W57" s="13">
        <v>-27.7</v>
      </c>
      <c r="X57" s="13">
        <v>-58.2</v>
      </c>
      <c r="Y57" s="13">
        <v>-2.2999999999999998</v>
      </c>
      <c r="Z57" s="13">
        <v>-11.7</v>
      </c>
      <c r="AA57" s="13">
        <v>-28.9</v>
      </c>
      <c r="AB57" s="13">
        <v>-20.5</v>
      </c>
      <c r="AC57" s="13">
        <v>-89.2</v>
      </c>
      <c r="AD57" s="13">
        <v>-12.6</v>
      </c>
      <c r="AE57" s="13">
        <v>-12.5</v>
      </c>
      <c r="AF57" s="13">
        <v>-29.9</v>
      </c>
      <c r="AG57" s="13">
        <v>-29</v>
      </c>
      <c r="AH57" s="13">
        <v>-49.3</v>
      </c>
      <c r="AI57" s="13">
        <v>-34.6</v>
      </c>
      <c r="AJ57" s="13">
        <v>-45.7</v>
      </c>
      <c r="AK57" s="13">
        <v>-17.5</v>
      </c>
      <c r="AL57" s="13">
        <v>-39.4</v>
      </c>
      <c r="AM57" s="13">
        <v>-41.6</v>
      </c>
      <c r="AN57" s="13">
        <v>-37.6</v>
      </c>
      <c r="AO57" s="13">
        <v>-20.6</v>
      </c>
      <c r="AP57" s="13">
        <v>-31.2</v>
      </c>
      <c r="AQ57" s="13">
        <v>-335.8</v>
      </c>
      <c r="AR57" s="13">
        <v>-33.700000000000003</v>
      </c>
      <c r="AS57" s="13">
        <v>-89.4</v>
      </c>
      <c r="AT57" s="13">
        <v>-16.2</v>
      </c>
      <c r="AU57" s="13">
        <v>-7.6</v>
      </c>
      <c r="AV57" s="13">
        <v>-8.5</v>
      </c>
      <c r="AW57" s="14">
        <v>-14.1</v>
      </c>
      <c r="AX57" s="14">
        <v>-8.5</v>
      </c>
      <c r="AY57" s="14">
        <v>-6.3</v>
      </c>
      <c r="AZ57" s="14">
        <v>-46.7</v>
      </c>
      <c r="BA57" s="14">
        <v>-7.1</v>
      </c>
      <c r="BB57" s="14">
        <v>-17.600000000000001</v>
      </c>
      <c r="BC57" s="14">
        <v>-10.4</v>
      </c>
      <c r="BD57" s="14">
        <v>-11.9</v>
      </c>
      <c r="BE57" s="14">
        <v>-6.4</v>
      </c>
      <c r="BF57" s="13">
        <v>-14.8</v>
      </c>
      <c r="BG57" s="13">
        <v>-6.9</v>
      </c>
      <c r="BH57" s="13">
        <v>-3.5</v>
      </c>
      <c r="BI57" s="13">
        <v>-5.0999999999999996</v>
      </c>
      <c r="BJ57" s="13">
        <v>-10.3</v>
      </c>
      <c r="BK57" s="13">
        <v>-64.8</v>
      </c>
      <c r="BL57" s="13">
        <v>-4.2</v>
      </c>
      <c r="BM57" s="13">
        <v>-5.3</v>
      </c>
      <c r="BN57" s="13">
        <v>-11.66</v>
      </c>
      <c r="BO57" s="14">
        <v>-6.1390000000000002</v>
      </c>
      <c r="BP57" s="14">
        <v>-5.6680000000000001</v>
      </c>
      <c r="BQ57" s="14">
        <v>-4.1520000000000001</v>
      </c>
      <c r="BR57" s="14">
        <v>-4.9429999999999996</v>
      </c>
      <c r="BS57" s="14">
        <v>-4.37</v>
      </c>
      <c r="BT57" s="14">
        <v>-5.4509999999999996</v>
      </c>
      <c r="BU57" s="14">
        <v>-5.6760000000000002</v>
      </c>
      <c r="BV57" s="14">
        <v>-6.4</v>
      </c>
      <c r="BW57" s="14">
        <v>-8.8000000000000007</v>
      </c>
      <c r="BX57" s="14">
        <v>-8.5749999999999993</v>
      </c>
      <c r="BY57" s="14">
        <v>-6.327</v>
      </c>
      <c r="BZ57" s="14">
        <v>-9.3529999999999998</v>
      </c>
      <c r="CA57" s="14">
        <v>-9.3416999999999994</v>
      </c>
      <c r="CB57" s="14">
        <v>-10.632000000000001</v>
      </c>
      <c r="CC57" s="14">
        <v>-5.673</v>
      </c>
      <c r="CD57" s="14">
        <v>-10.950000000000001</v>
      </c>
      <c r="CE57" s="14">
        <v>-11.945</v>
      </c>
      <c r="CF57" s="14">
        <v>-9.1029999999999998</v>
      </c>
    </row>
    <row r="58" spans="1:84" ht="16.5" x14ac:dyDescent="0.3">
      <c r="A58" s="12" t="s">
        <v>90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3">
        <v>0</v>
      </c>
      <c r="T58" s="13">
        <v>0</v>
      </c>
      <c r="U58" s="13">
        <v>-1.3</v>
      </c>
      <c r="V58" s="13">
        <v>0</v>
      </c>
      <c r="W58" s="13">
        <v>0</v>
      </c>
      <c r="X58" s="13">
        <v>0</v>
      </c>
      <c r="Y58" s="13">
        <v>-7.1</v>
      </c>
      <c r="Z58" s="13">
        <v>0</v>
      </c>
      <c r="AA58" s="13">
        <v>-2.9</v>
      </c>
      <c r="AB58" s="13">
        <v>-0.9</v>
      </c>
      <c r="AC58" s="13">
        <v>-9.1999999999999993</v>
      </c>
      <c r="AD58" s="13">
        <v>-8.1999999999999993</v>
      </c>
      <c r="AE58" s="13">
        <v>-8.1999999999999993</v>
      </c>
      <c r="AF58" s="13">
        <v>-10.5</v>
      </c>
      <c r="AG58" s="13">
        <v>-31.8</v>
      </c>
      <c r="AH58" s="13">
        <v>-9.1</v>
      </c>
      <c r="AI58" s="13">
        <v>-34.299999999999997</v>
      </c>
      <c r="AJ58" s="13">
        <v>-7.7</v>
      </c>
      <c r="AK58" s="13">
        <v>-17.899999999999999</v>
      </c>
      <c r="AL58" s="13">
        <v>-2.6</v>
      </c>
      <c r="AM58" s="13">
        <v>-36.4</v>
      </c>
      <c r="AN58" s="13">
        <v>-10.5</v>
      </c>
      <c r="AO58" s="13">
        <v>-40.4</v>
      </c>
      <c r="AP58" s="13">
        <v>-10.6</v>
      </c>
      <c r="AQ58" s="13">
        <v>-43.9</v>
      </c>
      <c r="AR58" s="13">
        <v>-6.2</v>
      </c>
      <c r="AS58" s="13">
        <v>-38.700000000000003</v>
      </c>
      <c r="AT58" s="13">
        <v>-12</v>
      </c>
      <c r="AU58" s="13">
        <v>-47.5</v>
      </c>
      <c r="AV58" s="13">
        <v>-9.8000000000000007</v>
      </c>
      <c r="AW58" s="14">
        <v>-50.5</v>
      </c>
      <c r="AX58" s="14">
        <v>-23.6</v>
      </c>
      <c r="AY58" s="14">
        <v>-30.4</v>
      </c>
      <c r="AZ58" s="14">
        <v>-20.399999999999999</v>
      </c>
      <c r="BA58" s="14">
        <v>-53.8</v>
      </c>
      <c r="BB58" s="14">
        <v>-28.7</v>
      </c>
      <c r="BC58" s="14">
        <v>-27.1</v>
      </c>
      <c r="BD58" s="14">
        <v>-29.8</v>
      </c>
      <c r="BE58" s="14">
        <v>-31.3</v>
      </c>
      <c r="BF58" s="13">
        <v>-30.7</v>
      </c>
      <c r="BG58" s="13">
        <v>-35.6</v>
      </c>
      <c r="BH58" s="13">
        <v>-34</v>
      </c>
      <c r="BI58" s="13">
        <v>-177.2</v>
      </c>
      <c r="BJ58" s="13">
        <v>-33.200000000000003</v>
      </c>
      <c r="BK58" s="13">
        <v>-30.9</v>
      </c>
      <c r="BL58" s="13">
        <v>-29.3</v>
      </c>
      <c r="BM58" s="13">
        <v>-33.799999999999997</v>
      </c>
      <c r="BN58" s="13">
        <v>-37.993874009999999</v>
      </c>
      <c r="BO58" s="14">
        <v>-63.86480203</v>
      </c>
      <c r="BP58" s="14">
        <v>-35.941255980000001</v>
      </c>
      <c r="BQ58" s="14">
        <v>-69.237278689999997</v>
      </c>
      <c r="BR58" s="14">
        <v>-20.478339590000001</v>
      </c>
      <c r="BS58" s="14">
        <v>-54.75807064</v>
      </c>
      <c r="BT58" s="14">
        <v>-16.774828670000002</v>
      </c>
      <c r="BU58" s="14">
        <v>-37.460662579999997</v>
      </c>
      <c r="BV58" s="14">
        <v>-24.8</v>
      </c>
      <c r="BW58" s="14">
        <v>-50.2</v>
      </c>
      <c r="BX58" s="14">
        <v>-30.73220263</v>
      </c>
      <c r="BY58" s="14">
        <v>-86.326917829999999</v>
      </c>
      <c r="BZ58" s="14">
        <v>-18.540583878881037</v>
      </c>
      <c r="CA58" s="14">
        <v>-17.685587978516171</v>
      </c>
      <c r="CB58" s="14">
        <v>-14.078936336072232</v>
      </c>
      <c r="CC58" s="14">
        <v>-13.727393505995066</v>
      </c>
      <c r="CD58" s="14">
        <v>-15.120909440393053</v>
      </c>
      <c r="CE58" s="14">
        <v>-15.055976059599365</v>
      </c>
      <c r="CF58" s="14">
        <v>-12.229371910367314</v>
      </c>
    </row>
    <row r="59" spans="1:84" ht="16.5" x14ac:dyDescent="0.3">
      <c r="A59" s="12" t="s">
        <v>91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9.3000000000000007</v>
      </c>
      <c r="V59" s="13">
        <v>3.3</v>
      </c>
      <c r="W59" s="13">
        <v>0</v>
      </c>
      <c r="X59" s="13">
        <v>16.7</v>
      </c>
      <c r="Y59" s="13">
        <v>5.2</v>
      </c>
      <c r="Z59" s="13">
        <v>5.6</v>
      </c>
      <c r="AA59" s="13">
        <v>6.4</v>
      </c>
      <c r="AB59" s="13">
        <v>6.7</v>
      </c>
      <c r="AC59" s="13">
        <v>6.2</v>
      </c>
      <c r="AD59" s="13">
        <v>3.8</v>
      </c>
      <c r="AE59" s="13">
        <v>4.2</v>
      </c>
      <c r="AF59" s="13">
        <v>6.9</v>
      </c>
      <c r="AG59" s="13">
        <v>4.9000000000000004</v>
      </c>
      <c r="AH59" s="13">
        <v>4.5999999999999996</v>
      </c>
      <c r="AI59" s="13">
        <v>6.9</v>
      </c>
      <c r="AJ59" s="13">
        <v>18.399999999999999</v>
      </c>
      <c r="AK59" s="13">
        <v>12.6</v>
      </c>
      <c r="AL59" s="13">
        <v>9.4</v>
      </c>
      <c r="AM59" s="13">
        <v>13.3</v>
      </c>
      <c r="AN59" s="13">
        <v>16.899999999999999</v>
      </c>
      <c r="AO59" s="13">
        <v>15.7</v>
      </c>
      <c r="AP59" s="13">
        <v>3.2</v>
      </c>
      <c r="AQ59" s="13">
        <v>8.3000000000000007</v>
      </c>
      <c r="AR59" s="13">
        <v>4.5999999999999996</v>
      </c>
      <c r="AS59" s="13">
        <v>6.1</v>
      </c>
      <c r="AT59" s="13">
        <v>3</v>
      </c>
      <c r="AU59" s="13">
        <v>2.9</v>
      </c>
      <c r="AV59" s="13">
        <v>3.1</v>
      </c>
      <c r="AW59" s="14">
        <v>0.5</v>
      </c>
      <c r="AX59" s="14">
        <v>2.4</v>
      </c>
      <c r="AY59" s="14">
        <v>2.8</v>
      </c>
      <c r="AZ59" s="14">
        <v>3.4</v>
      </c>
      <c r="BA59" s="14">
        <v>4.3</v>
      </c>
      <c r="BB59" s="14">
        <v>6.5</v>
      </c>
      <c r="BC59" s="14">
        <v>8</v>
      </c>
      <c r="BD59" s="14">
        <v>8.6</v>
      </c>
      <c r="BE59" s="14">
        <v>9.4</v>
      </c>
      <c r="BF59" s="13">
        <v>10.4</v>
      </c>
      <c r="BG59" s="13">
        <v>17</v>
      </c>
      <c r="BH59" s="13">
        <v>24.6</v>
      </c>
      <c r="BI59" s="13">
        <v>15</v>
      </c>
      <c r="BJ59" s="13">
        <v>20</v>
      </c>
      <c r="BK59" s="13">
        <v>19.3</v>
      </c>
      <c r="BL59" s="13">
        <v>20.5</v>
      </c>
      <c r="BM59" s="13">
        <v>19.399999999999999</v>
      </c>
      <c r="BN59" s="13">
        <v>19.301865979999999</v>
      </c>
      <c r="BO59" s="14">
        <v>18.8399669</v>
      </c>
      <c r="BP59" s="14">
        <v>10.587251370000001</v>
      </c>
      <c r="BQ59" s="14">
        <v>19.772379279999999</v>
      </c>
      <c r="BR59" s="14">
        <v>21.79643883</v>
      </c>
      <c r="BS59" s="14">
        <v>32.360773080000001</v>
      </c>
      <c r="BT59" s="14">
        <v>11.4705323</v>
      </c>
      <c r="BU59" s="14">
        <v>6.2167266999999997</v>
      </c>
      <c r="BV59" s="14">
        <v>11.8</v>
      </c>
      <c r="BW59" s="14">
        <v>12.1</v>
      </c>
      <c r="BX59" s="14">
        <v>6.1968266200000004</v>
      </c>
      <c r="BY59" s="14">
        <v>4.7476637799999999</v>
      </c>
      <c r="BZ59" s="14">
        <v>5.85343898</v>
      </c>
      <c r="CA59" s="14">
        <v>6.3552585200000005</v>
      </c>
      <c r="CB59" s="14">
        <v>6.5817782300000003</v>
      </c>
      <c r="CC59" s="14">
        <v>7.037682255</v>
      </c>
      <c r="CD59" s="14">
        <v>9.8926709100000014</v>
      </c>
      <c r="CE59" s="14">
        <v>9.9531546599999992</v>
      </c>
      <c r="CF59" s="14">
        <v>7.9162749899999998</v>
      </c>
    </row>
    <row r="60" spans="1:84" ht="16.5" x14ac:dyDescent="0.3">
      <c r="A60" s="12" t="s">
        <v>154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0</v>
      </c>
      <c r="Q60" s="13">
        <v>0</v>
      </c>
      <c r="R60" s="13">
        <v>0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-0.2</v>
      </c>
      <c r="AE60" s="13">
        <v>-0.7</v>
      </c>
      <c r="AF60" s="13">
        <v>-0.4</v>
      </c>
      <c r="AG60" s="13">
        <v>-0.5</v>
      </c>
      <c r="AH60" s="13">
        <v>-0.1</v>
      </c>
      <c r="AI60" s="13">
        <v>-0.4</v>
      </c>
      <c r="AJ60" s="13">
        <v>-0.3</v>
      </c>
      <c r="AK60" s="13">
        <v>-1.5</v>
      </c>
      <c r="AL60" s="13">
        <v>-0.8</v>
      </c>
      <c r="AM60" s="13">
        <v>-1.9</v>
      </c>
      <c r="AN60" s="13">
        <v>-2.8</v>
      </c>
      <c r="AO60" s="13">
        <v>-3.8</v>
      </c>
      <c r="AP60" s="13">
        <v>0</v>
      </c>
      <c r="AQ60" s="13">
        <v>0</v>
      </c>
      <c r="AR60" s="13">
        <v>-1.7</v>
      </c>
      <c r="AS60" s="13">
        <v>-2.8</v>
      </c>
      <c r="AT60" s="13">
        <v>0</v>
      </c>
      <c r="AU60" s="13">
        <v>-0.2</v>
      </c>
      <c r="AV60" s="13">
        <v>-1.1000000000000001</v>
      </c>
      <c r="AW60" s="14">
        <v>-2.9</v>
      </c>
      <c r="AX60" s="14">
        <v>0</v>
      </c>
      <c r="AY60" s="14">
        <v>0</v>
      </c>
      <c r="AZ60" s="14">
        <v>0</v>
      </c>
      <c r="BA60" s="14">
        <v>0</v>
      </c>
      <c r="BB60" s="14">
        <v>0</v>
      </c>
      <c r="BC60" s="14">
        <v>0</v>
      </c>
      <c r="BD60" s="14">
        <v>0</v>
      </c>
      <c r="BE60" s="14">
        <v>-0.4</v>
      </c>
      <c r="BF60" s="13">
        <v>-0.4</v>
      </c>
      <c r="BG60" s="13">
        <v>-0.2</v>
      </c>
      <c r="BH60" s="13">
        <v>0</v>
      </c>
      <c r="BI60" s="13">
        <v>0</v>
      </c>
      <c r="BJ60" s="13">
        <v>0</v>
      </c>
      <c r="BK60" s="13">
        <v>0</v>
      </c>
      <c r="BL60" s="13">
        <v>0</v>
      </c>
      <c r="BM60" s="13">
        <v>-0.2</v>
      </c>
      <c r="BN60" s="13">
        <v>-9.9119199999999994E-3</v>
      </c>
      <c r="BO60" s="14">
        <v>-0.13944417000000001</v>
      </c>
      <c r="BP60" s="14">
        <v>-3.5336659999999999E-2</v>
      </c>
      <c r="BQ60" s="14">
        <v>-2.7465819999999998E-2</v>
      </c>
      <c r="BR60" s="14">
        <v>-3.7338299999999998E-2</v>
      </c>
      <c r="BS60" s="14">
        <v>-2.250597E-2</v>
      </c>
      <c r="BT60" s="14">
        <v>-1.065761E-2</v>
      </c>
      <c r="BU60" s="14">
        <v>-1.0464680000000001E-2</v>
      </c>
      <c r="BV60" s="14">
        <v>-0.5</v>
      </c>
      <c r="BW60" s="14">
        <v>-0.5</v>
      </c>
      <c r="BX60" s="14">
        <v>-8.1609300000000003E-3</v>
      </c>
      <c r="BY60" s="14">
        <v>-2.4390800000000002E-3</v>
      </c>
      <c r="BZ60" s="14">
        <v>-7.1305110000000005E-2</v>
      </c>
      <c r="CA60" s="14">
        <v>-0.31587626999999996</v>
      </c>
      <c r="CB60" s="14">
        <v>0</v>
      </c>
      <c r="CC60" s="14">
        <v>0</v>
      </c>
      <c r="CD60" s="14">
        <v>0</v>
      </c>
      <c r="CE60" s="14">
        <v>-1.714303E-2</v>
      </c>
      <c r="CF60" s="14">
        <v>-1.6350099999999999E-3</v>
      </c>
    </row>
    <row r="61" spans="1:84" ht="16.5" x14ac:dyDescent="0.3">
      <c r="A61" s="12" t="s">
        <v>92</v>
      </c>
      <c r="B61" s="10">
        <v>56</v>
      </c>
      <c r="C61" s="10">
        <v>57.6</v>
      </c>
      <c r="D61" s="10">
        <v>79.7</v>
      </c>
      <c r="E61" s="10">
        <v>90</v>
      </c>
      <c r="F61" s="10">
        <v>168.2</v>
      </c>
      <c r="G61" s="10">
        <v>139.6</v>
      </c>
      <c r="H61" s="10">
        <v>213.7</v>
      </c>
      <c r="I61" s="10">
        <v>305</v>
      </c>
      <c r="J61" s="10">
        <v>377.62</v>
      </c>
      <c r="K61" s="10">
        <v>388.4</v>
      </c>
      <c r="L61" s="10">
        <v>338.64</v>
      </c>
      <c r="M61" s="10">
        <v>269.2</v>
      </c>
      <c r="N61" s="10">
        <v>315.5</v>
      </c>
      <c r="O61" s="10">
        <v>314.5</v>
      </c>
      <c r="P61" s="10">
        <v>349.5</v>
      </c>
      <c r="Q61" s="10">
        <v>180.5</v>
      </c>
      <c r="R61" s="10">
        <v>60.2</v>
      </c>
      <c r="S61" s="10">
        <v>13.8</v>
      </c>
      <c r="T61" s="10">
        <v>15.5</v>
      </c>
      <c r="U61" s="10">
        <v>14.9</v>
      </c>
      <c r="V61" s="10">
        <v>79.7</v>
      </c>
      <c r="W61" s="10">
        <v>47.6</v>
      </c>
      <c r="X61" s="10">
        <v>22.4</v>
      </c>
      <c r="Y61" s="10">
        <v>24.4</v>
      </c>
      <c r="Z61" s="10">
        <v>44.2</v>
      </c>
      <c r="AA61" s="10">
        <v>21.1</v>
      </c>
      <c r="AB61" s="10">
        <v>59.5</v>
      </c>
      <c r="AC61" s="10">
        <v>47.3</v>
      </c>
      <c r="AD61" s="10">
        <v>105.8</v>
      </c>
      <c r="AE61" s="10">
        <v>84.8</v>
      </c>
      <c r="AF61" s="10">
        <v>11.6</v>
      </c>
      <c r="AG61" s="10">
        <v>34.4</v>
      </c>
      <c r="AH61" s="10">
        <v>68.900000000000006</v>
      </c>
      <c r="AI61" s="10">
        <v>93.5</v>
      </c>
      <c r="AJ61" s="10">
        <v>42.7</v>
      </c>
      <c r="AK61" s="10">
        <v>109.9</v>
      </c>
      <c r="AL61" s="10">
        <v>71.5</v>
      </c>
      <c r="AM61" s="10">
        <v>30</v>
      </c>
      <c r="AN61" s="10">
        <v>30.6</v>
      </c>
      <c r="AO61" s="10">
        <v>59.5</v>
      </c>
      <c r="AP61" s="10">
        <v>83</v>
      </c>
      <c r="AQ61" s="10">
        <v>22.7</v>
      </c>
      <c r="AR61" s="10">
        <v>22.2</v>
      </c>
      <c r="AS61" s="10">
        <v>510.4</v>
      </c>
      <c r="AT61" s="10">
        <v>75.8</v>
      </c>
      <c r="AU61" s="10">
        <v>35.1</v>
      </c>
      <c r="AV61" s="10">
        <v>24.7</v>
      </c>
      <c r="AW61" s="11">
        <v>87.5</v>
      </c>
      <c r="AX61" s="11">
        <v>78.2</v>
      </c>
      <c r="AY61" s="11">
        <v>32</v>
      </c>
      <c r="AZ61" s="11">
        <v>98.2</v>
      </c>
      <c r="BA61" s="11">
        <v>105.4</v>
      </c>
      <c r="BB61" s="11">
        <v>116.5</v>
      </c>
      <c r="BC61" s="11">
        <v>121.3</v>
      </c>
      <c r="BD61" s="11">
        <v>98.7</v>
      </c>
      <c r="BE61" s="11">
        <v>66.5</v>
      </c>
      <c r="BF61" s="10">
        <v>155.4</v>
      </c>
      <c r="BG61" s="10">
        <v>144</v>
      </c>
      <c r="BH61" s="10">
        <v>109.7</v>
      </c>
      <c r="BI61" s="10">
        <v>91.6</v>
      </c>
      <c r="BJ61" s="10">
        <v>128.69999999999999</v>
      </c>
      <c r="BK61" s="10">
        <v>152.1</v>
      </c>
      <c r="BL61" s="10">
        <v>222.7</v>
      </c>
      <c r="BM61" s="10">
        <v>98.7</v>
      </c>
      <c r="BN61" s="10">
        <v>326.67865360000002</v>
      </c>
      <c r="BO61" s="11">
        <v>154.46257320000001</v>
      </c>
      <c r="BP61" s="11">
        <v>235.0390779</v>
      </c>
      <c r="BQ61" s="11">
        <v>136.28732830000001</v>
      </c>
      <c r="BR61" s="11">
        <v>200.28166680000001</v>
      </c>
      <c r="BS61" s="11">
        <v>240.77503160000001</v>
      </c>
      <c r="BT61" s="11">
        <v>224.41911820000001</v>
      </c>
      <c r="BU61" s="11">
        <v>97.587861189999998</v>
      </c>
      <c r="BV61" s="11">
        <v>136</v>
      </c>
      <c r="BW61" s="11">
        <v>288.60000000000002</v>
      </c>
      <c r="BX61" s="11">
        <v>187.32647879999999</v>
      </c>
      <c r="BY61" s="11">
        <v>49.47528586</v>
      </c>
      <c r="BZ61" s="11">
        <v>193.70868486718547</v>
      </c>
      <c r="CA61" s="11">
        <v>235.74026130827951</v>
      </c>
      <c r="CB61" s="11">
        <v>288.33720343373881</v>
      </c>
      <c r="CC61" s="11">
        <v>123.49711294849956</v>
      </c>
      <c r="CD61" s="11">
        <v>148.2321028495773</v>
      </c>
      <c r="CE61" s="11">
        <v>108.8560067171411</v>
      </c>
      <c r="CF61" s="11">
        <v>525.62532341739461</v>
      </c>
    </row>
    <row r="62" spans="1:84" ht="16.5" x14ac:dyDescent="0.3">
      <c r="A62" s="12" t="s">
        <v>93</v>
      </c>
      <c r="B62" s="13">
        <v>55.9</v>
      </c>
      <c r="C62" s="13">
        <v>57.4</v>
      </c>
      <c r="D62" s="13">
        <v>79.400000000000006</v>
      </c>
      <c r="E62" s="13">
        <v>89.6</v>
      </c>
      <c r="F62" s="13">
        <v>167.7</v>
      </c>
      <c r="G62" s="13">
        <v>139</v>
      </c>
      <c r="H62" s="13">
        <v>213</v>
      </c>
      <c r="I62" s="13">
        <v>304.2</v>
      </c>
      <c r="J62" s="13">
        <v>376.8</v>
      </c>
      <c r="K62" s="13">
        <v>387.5</v>
      </c>
      <c r="L62" s="13">
        <v>337.7</v>
      </c>
      <c r="M62" s="13">
        <v>268.2</v>
      </c>
      <c r="N62" s="13">
        <v>314.39999999999998</v>
      </c>
      <c r="O62" s="13">
        <v>313.3</v>
      </c>
      <c r="P62" s="13">
        <v>348.2</v>
      </c>
      <c r="Q62" s="13">
        <v>179.1</v>
      </c>
      <c r="R62" s="13">
        <v>62.4</v>
      </c>
      <c r="S62" s="13">
        <v>15</v>
      </c>
      <c r="T62" s="13">
        <v>17.3</v>
      </c>
      <c r="U62" s="13">
        <v>16.600000000000001</v>
      </c>
      <c r="V62" s="13">
        <v>80.599999999999994</v>
      </c>
      <c r="W62" s="13">
        <v>49.8</v>
      </c>
      <c r="X62" s="13">
        <v>25</v>
      </c>
      <c r="Y62" s="13">
        <v>25.4</v>
      </c>
      <c r="Z62" s="13">
        <v>45.7</v>
      </c>
      <c r="AA62" s="13">
        <v>24.1</v>
      </c>
      <c r="AB62" s="13">
        <v>60.1</v>
      </c>
      <c r="AC62" s="13">
        <v>49.5</v>
      </c>
      <c r="AD62" s="13">
        <v>109.7</v>
      </c>
      <c r="AE62" s="13">
        <v>89.6</v>
      </c>
      <c r="AF62" s="13">
        <v>16.899999999999999</v>
      </c>
      <c r="AG62" s="13">
        <v>37.6</v>
      </c>
      <c r="AH62" s="13">
        <v>74</v>
      </c>
      <c r="AI62" s="13">
        <v>97.2</v>
      </c>
      <c r="AJ62" s="13">
        <v>49.2</v>
      </c>
      <c r="AK62" s="13">
        <v>116.7</v>
      </c>
      <c r="AL62" s="13">
        <v>75.099999999999994</v>
      </c>
      <c r="AM62" s="13">
        <v>32.6</v>
      </c>
      <c r="AN62" s="13">
        <v>37.299999999999997</v>
      </c>
      <c r="AO62" s="13">
        <v>68</v>
      </c>
      <c r="AP62" s="13">
        <v>88</v>
      </c>
      <c r="AQ62" s="13">
        <v>21.6</v>
      </c>
      <c r="AR62" s="13">
        <v>19.7</v>
      </c>
      <c r="AS62" s="13">
        <v>502.8</v>
      </c>
      <c r="AT62" s="13">
        <v>82.8</v>
      </c>
      <c r="AU62" s="13">
        <v>36</v>
      </c>
      <c r="AV62" s="13">
        <v>27.6</v>
      </c>
      <c r="AW62" s="14">
        <v>86.8</v>
      </c>
      <c r="AX62" s="14">
        <v>86.3</v>
      </c>
      <c r="AY62" s="14">
        <v>45</v>
      </c>
      <c r="AZ62" s="14">
        <v>104.5</v>
      </c>
      <c r="BA62" s="14">
        <v>98.4</v>
      </c>
      <c r="BB62" s="14">
        <v>125</v>
      </c>
      <c r="BC62" s="14">
        <v>107.6</v>
      </c>
      <c r="BD62" s="14">
        <v>84.8</v>
      </c>
      <c r="BE62" s="14">
        <v>56.4</v>
      </c>
      <c r="BF62" s="13">
        <v>149.6</v>
      </c>
      <c r="BG62" s="13">
        <v>136.19999999999999</v>
      </c>
      <c r="BH62" s="13">
        <v>99.3</v>
      </c>
      <c r="BI62" s="13">
        <v>68</v>
      </c>
      <c r="BJ62" s="13">
        <v>121.2</v>
      </c>
      <c r="BK62" s="13">
        <v>123.8</v>
      </c>
      <c r="BL62" s="13">
        <v>204.3</v>
      </c>
      <c r="BM62" s="13">
        <v>65.599999999999994</v>
      </c>
      <c r="BN62" s="13">
        <v>324.16883380000002</v>
      </c>
      <c r="BO62" s="14">
        <v>121.36792130000001</v>
      </c>
      <c r="BP62" s="14">
        <v>203.07635289999999</v>
      </c>
      <c r="BQ62" s="14">
        <v>119.576475</v>
      </c>
      <c r="BR62" s="14">
        <v>165.9482064</v>
      </c>
      <c r="BS62" s="14">
        <v>197.68717290000001</v>
      </c>
      <c r="BT62" s="14">
        <v>201.3243602</v>
      </c>
      <c r="BU62" s="14">
        <v>117.18385499999999</v>
      </c>
      <c r="BV62" s="14">
        <v>129.4</v>
      </c>
      <c r="BW62" s="14">
        <v>234.2</v>
      </c>
      <c r="BX62" s="14">
        <v>173.9971472</v>
      </c>
      <c r="BY62" s="14">
        <v>67.243210520000005</v>
      </c>
      <c r="BZ62" s="14">
        <v>191.52225127992358</v>
      </c>
      <c r="CA62" s="14">
        <v>238.67683160114126</v>
      </c>
      <c r="CB62" s="14">
        <v>254.13475578481049</v>
      </c>
      <c r="CC62" s="14">
        <v>107.35637034113211</v>
      </c>
      <c r="CD62" s="14">
        <v>159.68480684292638</v>
      </c>
      <c r="CE62" s="14">
        <v>149.16970693971757</v>
      </c>
      <c r="CF62" s="14">
        <v>522.28853350913687</v>
      </c>
    </row>
    <row r="63" spans="1:84" ht="16.5" x14ac:dyDescent="0.3">
      <c r="A63" s="12" t="s">
        <v>246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0</v>
      </c>
      <c r="AE63" s="13">
        <v>0</v>
      </c>
      <c r="AF63" s="13">
        <v>0</v>
      </c>
      <c r="AG63" s="13">
        <v>0</v>
      </c>
      <c r="AH63" s="13">
        <v>0</v>
      </c>
      <c r="AI63" s="13">
        <v>0</v>
      </c>
      <c r="AJ63" s="13">
        <v>0</v>
      </c>
      <c r="AK63" s="13">
        <v>0</v>
      </c>
      <c r="AL63" s="13">
        <v>74.8</v>
      </c>
      <c r="AM63" s="13">
        <v>32.5</v>
      </c>
      <c r="AN63" s="13">
        <v>37.299999999999997</v>
      </c>
      <c r="AO63" s="13">
        <v>68</v>
      </c>
      <c r="AP63" s="13">
        <v>86.1</v>
      </c>
      <c r="AQ63" s="13">
        <v>20.9</v>
      </c>
      <c r="AR63" s="13">
        <v>19.7</v>
      </c>
      <c r="AS63" s="13">
        <v>501.7</v>
      </c>
      <c r="AT63" s="13">
        <v>82.2</v>
      </c>
      <c r="AU63" s="13">
        <v>36</v>
      </c>
      <c r="AV63" s="13">
        <v>27.5</v>
      </c>
      <c r="AW63" s="13">
        <v>86.8</v>
      </c>
      <c r="AX63" s="13">
        <v>84.6</v>
      </c>
      <c r="AY63" s="13">
        <v>41.4</v>
      </c>
      <c r="AZ63" s="13">
        <v>104.5</v>
      </c>
      <c r="BA63" s="13">
        <v>94.8</v>
      </c>
      <c r="BB63" s="13">
        <v>121.2</v>
      </c>
      <c r="BC63" s="13">
        <v>104.2</v>
      </c>
      <c r="BD63" s="13">
        <v>81.8</v>
      </c>
      <c r="BE63" s="13">
        <v>54.1</v>
      </c>
      <c r="BF63" s="13">
        <v>149.4</v>
      </c>
      <c r="BG63" s="13">
        <v>136.19999999999999</v>
      </c>
      <c r="BH63" s="13">
        <v>100.8</v>
      </c>
      <c r="BI63" s="13">
        <v>66.7</v>
      </c>
      <c r="BJ63" s="13">
        <v>120.6</v>
      </c>
      <c r="BK63" s="13">
        <v>124.5</v>
      </c>
      <c r="BL63" s="13">
        <v>205.4</v>
      </c>
      <c r="BM63" s="13">
        <v>67.2</v>
      </c>
      <c r="BN63" s="13">
        <v>324.4026728</v>
      </c>
      <c r="BO63" s="13">
        <v>121.39555369999999</v>
      </c>
      <c r="BP63" s="13">
        <v>203.00057860000001</v>
      </c>
      <c r="BQ63" s="13">
        <v>129.3742038</v>
      </c>
      <c r="BR63" s="13">
        <v>166.03575129999999</v>
      </c>
      <c r="BS63" s="13">
        <v>198.3494761</v>
      </c>
      <c r="BT63" s="13">
        <v>205.95063210000001</v>
      </c>
      <c r="BU63" s="13">
        <v>117.1545584</v>
      </c>
      <c r="BV63" s="13">
        <v>130.1</v>
      </c>
      <c r="BW63" s="13">
        <v>234.5</v>
      </c>
      <c r="BX63" s="13">
        <v>173.94046839999999</v>
      </c>
      <c r="BY63" s="13">
        <v>66.021766310000004</v>
      </c>
      <c r="BZ63" s="13">
        <v>191.52225127992358</v>
      </c>
      <c r="CA63" s="13">
        <v>243.42669960114125</v>
      </c>
      <c r="CB63" s="13">
        <v>243.9084372148105</v>
      </c>
      <c r="CC63" s="13">
        <v>106.5596380711321</v>
      </c>
      <c r="CD63" s="13">
        <v>159.69941087121686</v>
      </c>
      <c r="CE63" s="13">
        <v>149.16970693971757</v>
      </c>
      <c r="CF63" s="13">
        <v>347.67971056913689</v>
      </c>
    </row>
    <row r="64" spans="1:84" ht="16.5" x14ac:dyDescent="0.3">
      <c r="A64" s="12" t="s">
        <v>247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0</v>
      </c>
      <c r="AD64" s="13">
        <v>0</v>
      </c>
      <c r="AE64" s="13">
        <v>0</v>
      </c>
      <c r="AF64" s="13">
        <v>0</v>
      </c>
      <c r="AG64" s="13">
        <v>0</v>
      </c>
      <c r="AH64" s="13">
        <v>0</v>
      </c>
      <c r="AI64" s="13">
        <v>0</v>
      </c>
      <c r="AJ64" s="13">
        <v>0</v>
      </c>
      <c r="AK64" s="13">
        <v>0</v>
      </c>
      <c r="AL64" s="13">
        <v>0.3</v>
      </c>
      <c r="AM64" s="13">
        <v>0.1</v>
      </c>
      <c r="AN64" s="13">
        <v>0</v>
      </c>
      <c r="AO64" s="13">
        <v>0</v>
      </c>
      <c r="AP64" s="13">
        <v>1.9</v>
      </c>
      <c r="AQ64" s="13">
        <v>0.7</v>
      </c>
      <c r="AR64" s="13">
        <v>0</v>
      </c>
      <c r="AS64" s="13">
        <v>1.1000000000000001</v>
      </c>
      <c r="AT64" s="13">
        <v>0.6</v>
      </c>
      <c r="AU64" s="13">
        <v>0</v>
      </c>
      <c r="AV64" s="13">
        <v>0.1</v>
      </c>
      <c r="AW64" s="13">
        <v>0</v>
      </c>
      <c r="AX64" s="13">
        <v>1.8</v>
      </c>
      <c r="AY64" s="13">
        <v>3.5</v>
      </c>
      <c r="AZ64" s="13">
        <v>0</v>
      </c>
      <c r="BA64" s="13">
        <v>3.6</v>
      </c>
      <c r="BB64" s="13">
        <v>3.8</v>
      </c>
      <c r="BC64" s="13">
        <v>3.4</v>
      </c>
      <c r="BD64" s="13">
        <v>3</v>
      </c>
      <c r="BE64" s="13">
        <v>2.2000000000000002</v>
      </c>
      <c r="BF64" s="13">
        <v>0.2</v>
      </c>
      <c r="BG64" s="13">
        <v>0</v>
      </c>
      <c r="BH64" s="13">
        <v>-1.5</v>
      </c>
      <c r="BI64" s="13">
        <v>1.3</v>
      </c>
      <c r="BJ64" s="13">
        <v>0.5</v>
      </c>
      <c r="BK64" s="13">
        <v>-0.7</v>
      </c>
      <c r="BL64" s="13">
        <v>-1.1000000000000001</v>
      </c>
      <c r="BM64" s="13">
        <v>-1.6</v>
      </c>
      <c r="BN64" s="13">
        <v>-0.23383899999999999</v>
      </c>
      <c r="BO64" s="13">
        <v>-2.763237E-2</v>
      </c>
      <c r="BP64" s="13">
        <v>7.5774289999999994E-2</v>
      </c>
      <c r="BQ64" s="13">
        <v>-9.7977287700000009</v>
      </c>
      <c r="BR64" s="13">
        <v>-8.7544910000000004E-2</v>
      </c>
      <c r="BS64" s="13">
        <v>-0.66230319999999998</v>
      </c>
      <c r="BT64" s="13">
        <v>-4.62627188</v>
      </c>
      <c r="BU64" s="13">
        <v>2.9296579999999999E-2</v>
      </c>
      <c r="BV64" s="13">
        <v>-0.7</v>
      </c>
      <c r="BW64" s="13">
        <v>-0.3</v>
      </c>
      <c r="BX64" s="13">
        <v>5.6678760000000002E-2</v>
      </c>
      <c r="BY64" s="13">
        <v>1.22144421</v>
      </c>
      <c r="BZ64" s="13">
        <v>0</v>
      </c>
      <c r="CA64" s="13">
        <v>-4.7498680000000002</v>
      </c>
      <c r="CB64" s="13">
        <v>10.226318570000002</v>
      </c>
      <c r="CC64" s="13">
        <v>0.79673226999999991</v>
      </c>
      <c r="CD64" s="13">
        <v>-1.4604028290488978E-2</v>
      </c>
      <c r="CE64" s="13">
        <v>0</v>
      </c>
      <c r="CF64" s="13">
        <v>174.60882294000001</v>
      </c>
    </row>
    <row r="65" spans="1:84" ht="16.5" x14ac:dyDescent="0.3">
      <c r="A65" s="12" t="s">
        <v>94</v>
      </c>
      <c r="B65" s="13">
        <v>0.1</v>
      </c>
      <c r="C65" s="13">
        <v>0.2</v>
      </c>
      <c r="D65" s="13">
        <v>0.3</v>
      </c>
      <c r="E65" s="13">
        <v>0.4</v>
      </c>
      <c r="F65" s="13">
        <v>0.5</v>
      </c>
      <c r="G65" s="13">
        <v>0.6</v>
      </c>
      <c r="H65" s="13">
        <v>0.7</v>
      </c>
      <c r="I65" s="13">
        <v>0.8</v>
      </c>
      <c r="J65" s="13">
        <v>0.82</v>
      </c>
      <c r="K65" s="13">
        <v>0.9</v>
      </c>
      <c r="L65" s="13">
        <v>0.94</v>
      </c>
      <c r="M65" s="13">
        <v>1</v>
      </c>
      <c r="N65" s="13">
        <v>1.1000000000000001</v>
      </c>
      <c r="O65" s="13">
        <v>1.2</v>
      </c>
      <c r="P65" s="13">
        <v>1.3</v>
      </c>
      <c r="Q65" s="13">
        <v>1.4</v>
      </c>
      <c r="R65" s="13">
        <v>-2.2000000000000002</v>
      </c>
      <c r="S65" s="13">
        <v>-1.2</v>
      </c>
      <c r="T65" s="13">
        <v>-1.8</v>
      </c>
      <c r="U65" s="13">
        <v>-1.7</v>
      </c>
      <c r="V65" s="13">
        <v>-0.9</v>
      </c>
      <c r="W65" s="13">
        <v>-2.2000000000000002</v>
      </c>
      <c r="X65" s="13">
        <v>-2.6</v>
      </c>
      <c r="Y65" s="13">
        <v>-1</v>
      </c>
      <c r="Z65" s="13">
        <v>-1.5</v>
      </c>
      <c r="AA65" s="13">
        <v>-3</v>
      </c>
      <c r="AB65" s="13">
        <v>-0.6</v>
      </c>
      <c r="AC65" s="13">
        <v>-2.2000000000000002</v>
      </c>
      <c r="AD65" s="13">
        <v>-3.8</v>
      </c>
      <c r="AE65" s="13">
        <v>-4.8</v>
      </c>
      <c r="AF65" s="13">
        <v>-5.3</v>
      </c>
      <c r="AG65" s="13">
        <v>-3.2</v>
      </c>
      <c r="AH65" s="13">
        <v>-5.0999999999999996</v>
      </c>
      <c r="AI65" s="13">
        <v>-3.7</v>
      </c>
      <c r="AJ65" s="13">
        <v>-6.5</v>
      </c>
      <c r="AK65" s="13">
        <v>-6.8</v>
      </c>
      <c r="AL65" s="13">
        <v>-3.6</v>
      </c>
      <c r="AM65" s="13">
        <v>-2.5</v>
      </c>
      <c r="AN65" s="13">
        <v>-6.7</v>
      </c>
      <c r="AO65" s="13">
        <v>-8.5</v>
      </c>
      <c r="AP65" s="13">
        <v>-5</v>
      </c>
      <c r="AQ65" s="13">
        <v>1.1000000000000001</v>
      </c>
      <c r="AR65" s="13">
        <v>2.5</v>
      </c>
      <c r="AS65" s="13">
        <v>7.6</v>
      </c>
      <c r="AT65" s="13">
        <v>-7</v>
      </c>
      <c r="AU65" s="13">
        <v>-0.8</v>
      </c>
      <c r="AV65" s="13">
        <v>-2.9</v>
      </c>
      <c r="AW65" s="14">
        <v>0.7</v>
      </c>
      <c r="AX65" s="14">
        <v>-8.1</v>
      </c>
      <c r="AY65" s="14">
        <v>-12.9</v>
      </c>
      <c r="AZ65" s="14">
        <v>-6.3</v>
      </c>
      <c r="BA65" s="14">
        <v>7.1</v>
      </c>
      <c r="BB65" s="14">
        <v>-8.5</v>
      </c>
      <c r="BC65" s="14">
        <v>13.7</v>
      </c>
      <c r="BD65" s="14">
        <v>13.8</v>
      </c>
      <c r="BE65" s="14">
        <v>10.1</v>
      </c>
      <c r="BF65" s="13">
        <v>5.9</v>
      </c>
      <c r="BG65" s="13">
        <v>7.9</v>
      </c>
      <c r="BH65" s="13">
        <v>10.4</v>
      </c>
      <c r="BI65" s="13">
        <v>23.6</v>
      </c>
      <c r="BJ65" s="13">
        <v>7.6</v>
      </c>
      <c r="BK65" s="13">
        <v>28.3</v>
      </c>
      <c r="BL65" s="13">
        <v>18.399999999999999</v>
      </c>
      <c r="BM65" s="13">
        <v>33.1</v>
      </c>
      <c r="BN65" s="13">
        <v>2.5098198269999998</v>
      </c>
      <c r="BO65" s="14">
        <v>33.094651919999997</v>
      </c>
      <c r="BP65" s="14">
        <v>31.962725030000001</v>
      </c>
      <c r="BQ65" s="14">
        <v>16.710853270000001</v>
      </c>
      <c r="BR65" s="14">
        <v>34.333460420000002</v>
      </c>
      <c r="BS65" s="14">
        <v>43.087858730000001</v>
      </c>
      <c r="BT65" s="14">
        <v>23.09475801</v>
      </c>
      <c r="BU65" s="14">
        <v>-19.595993759999999</v>
      </c>
      <c r="BV65" s="14">
        <v>6.5</v>
      </c>
      <c r="BW65" s="14">
        <v>54.4</v>
      </c>
      <c r="BX65" s="14">
        <v>13.329331639999999</v>
      </c>
      <c r="BY65" s="14">
        <v>-17.767924659999998</v>
      </c>
      <c r="BZ65" s="14">
        <v>2.1864335872618756</v>
      </c>
      <c r="CA65" s="14">
        <v>-2.9365702928617585</v>
      </c>
      <c r="CB65" s="14">
        <v>34.20244764892832</v>
      </c>
      <c r="CC65" s="14">
        <v>16.140742607367464</v>
      </c>
      <c r="CD65" s="14">
        <v>-11.452703993349063</v>
      </c>
      <c r="CE65" s="14">
        <v>-40.313700222576472</v>
      </c>
      <c r="CF65" s="14">
        <v>3.3367899082577495</v>
      </c>
    </row>
    <row r="66" spans="1:84" ht="16.5" x14ac:dyDescent="0.3">
      <c r="A66" s="12" t="s">
        <v>95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  <c r="AE66" s="13">
        <v>0</v>
      </c>
      <c r="AF66" s="13">
        <v>0</v>
      </c>
      <c r="AG66" s="13">
        <v>0</v>
      </c>
      <c r="AH66" s="13">
        <v>0</v>
      </c>
      <c r="AI66" s="13">
        <v>0</v>
      </c>
      <c r="AJ66" s="13">
        <v>0</v>
      </c>
      <c r="AK66" s="13">
        <v>0</v>
      </c>
      <c r="AL66" s="13">
        <v>0</v>
      </c>
      <c r="AM66" s="13">
        <v>0</v>
      </c>
      <c r="AN66" s="13">
        <v>0</v>
      </c>
      <c r="AO66" s="13">
        <v>0</v>
      </c>
      <c r="AP66" s="13">
        <v>0.2</v>
      </c>
      <c r="AQ66" s="13">
        <v>3.9</v>
      </c>
      <c r="AR66" s="13">
        <v>4.9000000000000004</v>
      </c>
      <c r="AS66" s="13">
        <v>3.8</v>
      </c>
      <c r="AT66" s="13">
        <v>-1.8</v>
      </c>
      <c r="AU66" s="13">
        <v>0.4</v>
      </c>
      <c r="AV66" s="13">
        <v>1.1000000000000001</v>
      </c>
      <c r="AW66" s="14">
        <v>4.8</v>
      </c>
      <c r="AX66" s="14">
        <v>-1.9</v>
      </c>
      <c r="AY66" s="14">
        <v>-2.8</v>
      </c>
      <c r="AZ66" s="14">
        <v>-3.4</v>
      </c>
      <c r="BA66" s="14">
        <v>0.3</v>
      </c>
      <c r="BB66" s="14">
        <v>-3.2</v>
      </c>
      <c r="BC66" s="14">
        <v>-1.7</v>
      </c>
      <c r="BD66" s="14">
        <v>-2.2999999999999998</v>
      </c>
      <c r="BE66" s="14">
        <v>1</v>
      </c>
      <c r="BF66" s="13">
        <v>0.6</v>
      </c>
      <c r="BG66" s="13">
        <v>-2.2000000000000002</v>
      </c>
      <c r="BH66" s="13">
        <v>-1.6</v>
      </c>
      <c r="BI66" s="13">
        <v>6.7</v>
      </c>
      <c r="BJ66" s="13">
        <v>-4.5</v>
      </c>
      <c r="BK66" s="13">
        <v>2.7</v>
      </c>
      <c r="BL66" s="13">
        <v>2.4</v>
      </c>
      <c r="BM66" s="13">
        <v>4.3</v>
      </c>
      <c r="BN66" s="13">
        <v>-4.370985063</v>
      </c>
      <c r="BO66" s="14">
        <v>-2.195889685</v>
      </c>
      <c r="BP66" s="14">
        <v>3.8200928599999999</v>
      </c>
      <c r="BQ66" s="14">
        <v>-0.98859429300000001</v>
      </c>
      <c r="BR66" s="14">
        <v>6.4866828390000002</v>
      </c>
      <c r="BS66" s="14">
        <v>1.1649263080000001</v>
      </c>
      <c r="BT66" s="14">
        <v>0.53651431400000005</v>
      </c>
      <c r="BU66" s="14">
        <v>-17.59634166</v>
      </c>
      <c r="BV66" s="14">
        <v>-8.9</v>
      </c>
      <c r="BW66" s="14">
        <v>0.5</v>
      </c>
      <c r="BX66" s="14">
        <v>-4.613466055</v>
      </c>
      <c r="BY66" s="14">
        <v>-1.4252985920000001</v>
      </c>
      <c r="BZ66" s="14">
        <v>0.1772681047146687</v>
      </c>
      <c r="CA66" s="14">
        <v>0.79347374888890787</v>
      </c>
      <c r="CB66" s="14">
        <v>-1.4528183260049303</v>
      </c>
      <c r="CC66" s="14">
        <v>-2.5352781704316616</v>
      </c>
      <c r="CD66" s="14">
        <v>-10.979935604699998</v>
      </c>
      <c r="CE66" s="14">
        <v>-27.56223011821109</v>
      </c>
      <c r="CF66" s="14">
        <v>-2.6868619975799319</v>
      </c>
    </row>
    <row r="67" spans="1:84" ht="16.5" x14ac:dyDescent="0.3">
      <c r="A67" s="12" t="s">
        <v>96</v>
      </c>
      <c r="B67" s="13">
        <v>0.1</v>
      </c>
      <c r="C67" s="13">
        <v>0.2</v>
      </c>
      <c r="D67" s="13">
        <v>0.3</v>
      </c>
      <c r="E67" s="13">
        <v>0.4</v>
      </c>
      <c r="F67" s="13">
        <v>0.5</v>
      </c>
      <c r="G67" s="13">
        <v>0.6</v>
      </c>
      <c r="H67" s="13">
        <v>0.7</v>
      </c>
      <c r="I67" s="13">
        <v>0.8</v>
      </c>
      <c r="J67" s="13">
        <v>0.82</v>
      </c>
      <c r="K67" s="13">
        <v>0.9</v>
      </c>
      <c r="L67" s="13">
        <v>0.94</v>
      </c>
      <c r="M67" s="13">
        <v>1</v>
      </c>
      <c r="N67" s="13">
        <v>1.1000000000000001</v>
      </c>
      <c r="O67" s="13">
        <v>1.2</v>
      </c>
      <c r="P67" s="13">
        <v>1.3</v>
      </c>
      <c r="Q67" s="13">
        <v>1.4</v>
      </c>
      <c r="R67" s="13">
        <v>-2.2000000000000002</v>
      </c>
      <c r="S67" s="13">
        <v>-1.2</v>
      </c>
      <c r="T67" s="13">
        <v>-1.8</v>
      </c>
      <c r="U67" s="13">
        <v>-1.7</v>
      </c>
      <c r="V67" s="13">
        <v>-0.9</v>
      </c>
      <c r="W67" s="13">
        <v>-2.2000000000000002</v>
      </c>
      <c r="X67" s="13">
        <v>-2.6</v>
      </c>
      <c r="Y67" s="13">
        <v>-1</v>
      </c>
      <c r="Z67" s="13">
        <v>-1.5</v>
      </c>
      <c r="AA67" s="13">
        <v>-3</v>
      </c>
      <c r="AB67" s="13">
        <v>-0.6</v>
      </c>
      <c r="AC67" s="13">
        <v>-2.2000000000000002</v>
      </c>
      <c r="AD67" s="13">
        <v>-3.8</v>
      </c>
      <c r="AE67" s="13">
        <v>-4.8</v>
      </c>
      <c r="AF67" s="13">
        <v>-5.3</v>
      </c>
      <c r="AG67" s="13">
        <v>-3.2</v>
      </c>
      <c r="AH67" s="13">
        <v>-5.0999999999999996</v>
      </c>
      <c r="AI67" s="13">
        <v>-3.7</v>
      </c>
      <c r="AJ67" s="13">
        <v>-6.5</v>
      </c>
      <c r="AK67" s="13">
        <v>-6.8</v>
      </c>
      <c r="AL67" s="13">
        <v>-3.6</v>
      </c>
      <c r="AM67" s="13">
        <v>-2.5</v>
      </c>
      <c r="AN67" s="13">
        <v>-6.7</v>
      </c>
      <c r="AO67" s="13">
        <v>-8.5</v>
      </c>
      <c r="AP67" s="13">
        <v>-5.0999999999999996</v>
      </c>
      <c r="AQ67" s="13">
        <v>-2.8</v>
      </c>
      <c r="AR67" s="13">
        <v>-2.4</v>
      </c>
      <c r="AS67" s="13">
        <v>3.8</v>
      </c>
      <c r="AT67" s="13">
        <v>-5.3</v>
      </c>
      <c r="AU67" s="13">
        <v>-1.2</v>
      </c>
      <c r="AV67" s="13">
        <v>-3.9</v>
      </c>
      <c r="AW67" s="14">
        <v>-4.0999999999999996</v>
      </c>
      <c r="AX67" s="14">
        <v>-6.2</v>
      </c>
      <c r="AY67" s="14">
        <v>-10.199999999999999</v>
      </c>
      <c r="AZ67" s="14">
        <v>-2.9</v>
      </c>
      <c r="BA67" s="14">
        <v>6.8</v>
      </c>
      <c r="BB67" s="14">
        <v>-5.4</v>
      </c>
      <c r="BC67" s="14">
        <v>15.3</v>
      </c>
      <c r="BD67" s="14">
        <v>16.100000000000001</v>
      </c>
      <c r="BE67" s="14">
        <v>9.1</v>
      </c>
      <c r="BF67" s="13">
        <v>5.3</v>
      </c>
      <c r="BG67" s="13">
        <v>10.1</v>
      </c>
      <c r="BH67" s="13">
        <v>11.9</v>
      </c>
      <c r="BI67" s="13">
        <v>16.899999999999999</v>
      </c>
      <c r="BJ67" s="13">
        <v>12.1</v>
      </c>
      <c r="BK67" s="13">
        <v>25.6</v>
      </c>
      <c r="BL67" s="13">
        <v>16</v>
      </c>
      <c r="BM67" s="13">
        <v>28.8</v>
      </c>
      <c r="BN67" s="13">
        <v>6.8808048900000003</v>
      </c>
      <c r="BO67" s="14">
        <v>35.290541609999998</v>
      </c>
      <c r="BP67" s="14">
        <v>28.142632169999999</v>
      </c>
      <c r="BQ67" s="14">
        <v>17.69944757</v>
      </c>
      <c r="BR67" s="14">
        <v>27.846777580000001</v>
      </c>
      <c r="BS67" s="14">
        <v>41.922932420000002</v>
      </c>
      <c r="BT67" s="14">
        <v>22.558243690000001</v>
      </c>
      <c r="BU67" s="14">
        <v>-1.9996520980000001</v>
      </c>
      <c r="BV67" s="14">
        <v>15.5</v>
      </c>
      <c r="BW67" s="14">
        <v>53.9</v>
      </c>
      <c r="BX67" s="14">
        <v>17.942797689999999</v>
      </c>
      <c r="BY67" s="14">
        <v>-16.342626070000001</v>
      </c>
      <c r="BZ67" s="14">
        <v>2.0091654825472069</v>
      </c>
      <c r="CA67" s="14">
        <v>-3.7300440417506664</v>
      </c>
      <c r="CB67" s="14">
        <v>35.655265974933251</v>
      </c>
      <c r="CC67" s="14">
        <v>18.676020777799124</v>
      </c>
      <c r="CD67" s="14">
        <v>-0.47276838864906523</v>
      </c>
      <c r="CE67" s="14">
        <v>-12.751470104365382</v>
      </c>
      <c r="CF67" s="14">
        <v>6.0236519058376814</v>
      </c>
    </row>
    <row r="68" spans="1:84" ht="16.5" x14ac:dyDescent="0.3">
      <c r="A68" s="9" t="s">
        <v>97</v>
      </c>
      <c r="B68" s="16">
        <v>396.6</v>
      </c>
      <c r="C68" s="16">
        <v>475.7</v>
      </c>
      <c r="D68" s="16">
        <v>536</v>
      </c>
      <c r="E68" s="16">
        <v>343.5</v>
      </c>
      <c r="F68" s="16">
        <v>322.7</v>
      </c>
      <c r="G68" s="16">
        <v>326.5</v>
      </c>
      <c r="H68" s="16">
        <v>408.7</v>
      </c>
      <c r="I68" s="16">
        <v>348.7</v>
      </c>
      <c r="J68" s="16">
        <v>245.3</v>
      </c>
      <c r="K68" s="16">
        <v>345.4</v>
      </c>
      <c r="L68" s="16">
        <v>413.4</v>
      </c>
      <c r="M68" s="16">
        <v>459.5</v>
      </c>
      <c r="N68" s="16">
        <v>307.60000000000002</v>
      </c>
      <c r="O68" s="16">
        <v>475.8</v>
      </c>
      <c r="P68" s="16">
        <v>525.20000000000005</v>
      </c>
      <c r="Q68" s="16">
        <v>390.85199999999998</v>
      </c>
      <c r="R68" s="16">
        <v>82.4</v>
      </c>
      <c r="S68" s="16">
        <v>63.9</v>
      </c>
      <c r="T68" s="16">
        <v>123.1</v>
      </c>
      <c r="U68" s="16">
        <v>213.5</v>
      </c>
      <c r="V68" s="16">
        <v>108.2</v>
      </c>
      <c r="W68" s="16">
        <v>38.1</v>
      </c>
      <c r="X68" s="16">
        <v>112</v>
      </c>
      <c r="Y68" s="16">
        <v>111.9</v>
      </c>
      <c r="Z68" s="16">
        <v>121.7</v>
      </c>
      <c r="AA68" s="16">
        <v>99</v>
      </c>
      <c r="AB68" s="16">
        <v>77.8</v>
      </c>
      <c r="AC68" s="16">
        <v>524.29999999999995</v>
      </c>
      <c r="AD68" s="16">
        <v>203.3</v>
      </c>
      <c r="AE68" s="16">
        <v>217.5</v>
      </c>
      <c r="AF68" s="16">
        <v>240.8</v>
      </c>
      <c r="AG68" s="16">
        <v>235.6</v>
      </c>
      <c r="AH68" s="16">
        <v>196.5</v>
      </c>
      <c r="AI68" s="16">
        <v>185.9</v>
      </c>
      <c r="AJ68" s="16">
        <v>221.5</v>
      </c>
      <c r="AK68" s="16">
        <v>120.4</v>
      </c>
      <c r="AL68" s="16">
        <v>229.1</v>
      </c>
      <c r="AM68" s="16">
        <v>74</v>
      </c>
      <c r="AN68" s="16">
        <v>244.8</v>
      </c>
      <c r="AO68" s="16">
        <v>229.5</v>
      </c>
      <c r="AP68" s="16">
        <v>231</v>
      </c>
      <c r="AQ68" s="16">
        <v>619.29999999999995</v>
      </c>
      <c r="AR68" s="16">
        <v>288.10000000000002</v>
      </c>
      <c r="AS68" s="16">
        <v>-193.3</v>
      </c>
      <c r="AT68" s="16">
        <v>137.80000000000001</v>
      </c>
      <c r="AU68" s="16">
        <v>197.4</v>
      </c>
      <c r="AV68" s="16">
        <v>145.30000000000001</v>
      </c>
      <c r="AW68" s="17">
        <v>146</v>
      </c>
      <c r="AX68" s="17">
        <v>281.2</v>
      </c>
      <c r="AY68" s="17">
        <v>-31</v>
      </c>
      <c r="AZ68" s="17">
        <v>191.7</v>
      </c>
      <c r="BA68" s="17">
        <v>31.3</v>
      </c>
      <c r="BB68" s="17">
        <v>140.30000000000001</v>
      </c>
      <c r="BC68" s="17">
        <v>164.1</v>
      </c>
      <c r="BD68" s="17">
        <v>25.9</v>
      </c>
      <c r="BE68" s="17">
        <v>134.5</v>
      </c>
      <c r="BF68" s="16">
        <v>-36</v>
      </c>
      <c r="BG68" s="16">
        <v>176.3</v>
      </c>
      <c r="BH68" s="16">
        <v>85.3</v>
      </c>
      <c r="BI68" s="16">
        <v>405.9</v>
      </c>
      <c r="BJ68" s="16">
        <v>61.9</v>
      </c>
      <c r="BK68" s="16">
        <v>293.7</v>
      </c>
      <c r="BL68" s="16">
        <v>-63</v>
      </c>
      <c r="BM68" s="16">
        <v>432.1</v>
      </c>
      <c r="BN68" s="16">
        <v>17.436895929999999</v>
      </c>
      <c r="BO68" s="17">
        <v>297.5700013</v>
      </c>
      <c r="BP68" s="17">
        <v>181.56630670000001</v>
      </c>
      <c r="BQ68" s="17">
        <v>575.68921460000001</v>
      </c>
      <c r="BR68" s="17">
        <v>390.82402860000002</v>
      </c>
      <c r="BS68" s="17">
        <v>122.75573129999999</v>
      </c>
      <c r="BT68" s="17">
        <v>211.94018790000001</v>
      </c>
      <c r="BU68" s="17">
        <v>368.47866599999998</v>
      </c>
      <c r="BV68" s="17">
        <v>568.79999999999995</v>
      </c>
      <c r="BW68" s="17">
        <v>83.1</v>
      </c>
      <c r="BX68" s="17">
        <v>429.54029450000002</v>
      </c>
      <c r="BY68" s="17">
        <v>460.56146660000002</v>
      </c>
      <c r="BZ68" s="17">
        <v>363.01900860942072</v>
      </c>
      <c r="CA68" s="17">
        <v>463.27979201381993</v>
      </c>
      <c r="CB68" s="17">
        <v>630.35759112665039</v>
      </c>
      <c r="CC68" s="17">
        <v>777.70322542750455</v>
      </c>
      <c r="CD68" s="17">
        <v>574.40722202052109</v>
      </c>
      <c r="CE68" s="17">
        <v>911.80529440335988</v>
      </c>
      <c r="CF68" s="17">
        <v>141.11189567379529</v>
      </c>
    </row>
    <row r="69" spans="1:84" ht="16.5" x14ac:dyDescent="0.3">
      <c r="A69" s="9" t="s">
        <v>98</v>
      </c>
      <c r="B69" s="10">
        <v>0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110.7</v>
      </c>
      <c r="M69" s="10">
        <v>233.5</v>
      </c>
      <c r="N69" s="10">
        <v>185</v>
      </c>
      <c r="O69" s="10">
        <v>190</v>
      </c>
      <c r="P69" s="10">
        <v>216.4</v>
      </c>
      <c r="Q69" s="10">
        <v>160</v>
      </c>
      <c r="R69" s="10">
        <v>0</v>
      </c>
      <c r="S69" s="10">
        <v>0</v>
      </c>
      <c r="T69" s="10">
        <v>0</v>
      </c>
      <c r="U69" s="10">
        <v>150</v>
      </c>
      <c r="V69" s="10">
        <v>0</v>
      </c>
      <c r="W69" s="10">
        <v>0</v>
      </c>
      <c r="X69" s="10">
        <v>0</v>
      </c>
      <c r="Y69" s="10">
        <v>132.1</v>
      </c>
      <c r="Z69" s="10">
        <v>29.2</v>
      </c>
      <c r="AA69" s="10">
        <v>38.700000000000003</v>
      </c>
      <c r="AB69" s="10">
        <v>32.6</v>
      </c>
      <c r="AC69" s="10">
        <v>33.5</v>
      </c>
      <c r="AD69" s="10">
        <v>54.6</v>
      </c>
      <c r="AE69" s="10">
        <v>35.6</v>
      </c>
      <c r="AF69" s="10">
        <v>57</v>
      </c>
      <c r="AG69" s="10">
        <v>64.8</v>
      </c>
      <c r="AH69" s="10">
        <v>26.8</v>
      </c>
      <c r="AI69" s="10">
        <v>122.5</v>
      </c>
      <c r="AJ69" s="10">
        <v>37.200000000000003</v>
      </c>
      <c r="AK69" s="10">
        <v>119.4</v>
      </c>
      <c r="AL69" s="10">
        <v>49.5</v>
      </c>
      <c r="AM69" s="10">
        <v>115.7</v>
      </c>
      <c r="AN69" s="10">
        <v>117.7</v>
      </c>
      <c r="AO69" s="10">
        <v>73.7</v>
      </c>
      <c r="AP69" s="10">
        <v>64.5</v>
      </c>
      <c r="AQ69" s="10">
        <v>935.9</v>
      </c>
      <c r="AR69" s="10">
        <v>96.8</v>
      </c>
      <c r="AS69" s="10">
        <v>72.2</v>
      </c>
      <c r="AT69" s="10">
        <v>64.3</v>
      </c>
      <c r="AU69" s="10">
        <v>7.4</v>
      </c>
      <c r="AV69" s="10">
        <v>51.7</v>
      </c>
      <c r="AW69" s="11">
        <v>160.6</v>
      </c>
      <c r="AX69" s="11">
        <v>20.7</v>
      </c>
      <c r="AY69" s="11">
        <v>32.6</v>
      </c>
      <c r="AZ69" s="11">
        <v>377</v>
      </c>
      <c r="BA69" s="11">
        <v>147.9</v>
      </c>
      <c r="BB69" s="11">
        <v>24.3</v>
      </c>
      <c r="BC69" s="11">
        <v>40.299999999999997</v>
      </c>
      <c r="BD69" s="11">
        <v>50.9</v>
      </c>
      <c r="BE69" s="11">
        <v>77.8</v>
      </c>
      <c r="BF69" s="10">
        <v>218.1</v>
      </c>
      <c r="BG69" s="10">
        <v>79</v>
      </c>
      <c r="BH69" s="10">
        <v>1361.5</v>
      </c>
      <c r="BI69" s="10">
        <v>619.29999999999995</v>
      </c>
      <c r="BJ69" s="10">
        <v>43.3</v>
      </c>
      <c r="BK69" s="10">
        <v>240.5</v>
      </c>
      <c r="BL69" s="10">
        <v>101.4</v>
      </c>
      <c r="BM69" s="10">
        <v>156.69999999999999</v>
      </c>
      <c r="BN69" s="10">
        <v>71.103748589999995</v>
      </c>
      <c r="BO69" s="11">
        <v>100.8557864</v>
      </c>
      <c r="BP69" s="11">
        <v>76.597893580000004</v>
      </c>
      <c r="BQ69" s="11">
        <v>172.91847319999999</v>
      </c>
      <c r="BR69" s="11">
        <v>66.111525639999996</v>
      </c>
      <c r="BS69" s="11">
        <v>157.94974139999999</v>
      </c>
      <c r="BT69" s="11">
        <v>69.821596920000005</v>
      </c>
      <c r="BU69" s="11">
        <v>130.32170909999999</v>
      </c>
      <c r="BV69" s="11">
        <v>69.3</v>
      </c>
      <c r="BW69" s="11">
        <v>123.5</v>
      </c>
      <c r="BX69" s="11">
        <v>55.092401709999997</v>
      </c>
      <c r="BY69" s="11">
        <v>100.2477499</v>
      </c>
      <c r="BZ69" s="11">
        <v>74.720803304736833</v>
      </c>
      <c r="CA69" s="11">
        <v>143.13358247548697</v>
      </c>
      <c r="CB69" s="11">
        <v>76.74241636412242</v>
      </c>
      <c r="CC69" s="11">
        <v>137.22102753944219</v>
      </c>
      <c r="CD69" s="11">
        <v>73.44444337486982</v>
      </c>
      <c r="CE69" s="11">
        <v>119.40693160174865</v>
      </c>
      <c r="CF69" s="11">
        <v>98.706399332595865</v>
      </c>
    </row>
    <row r="70" spans="1:84" ht="16.5" x14ac:dyDescent="0.3">
      <c r="A70" s="12" t="s">
        <v>99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110.7</v>
      </c>
      <c r="M70" s="13">
        <v>233.5</v>
      </c>
      <c r="N70" s="13">
        <v>185</v>
      </c>
      <c r="O70" s="13">
        <v>190</v>
      </c>
      <c r="P70" s="13">
        <v>216.4</v>
      </c>
      <c r="Q70" s="13">
        <v>160</v>
      </c>
      <c r="R70" s="13">
        <v>0</v>
      </c>
      <c r="S70" s="13">
        <v>0</v>
      </c>
      <c r="T70" s="13">
        <v>0</v>
      </c>
      <c r="U70" s="13">
        <v>150</v>
      </c>
      <c r="V70" s="13">
        <v>0</v>
      </c>
      <c r="W70" s="13">
        <v>0</v>
      </c>
      <c r="X70" s="13">
        <v>0</v>
      </c>
      <c r="Y70" s="13">
        <v>132.1</v>
      </c>
      <c r="Z70" s="13">
        <v>29.2</v>
      </c>
      <c r="AA70" s="13">
        <v>38.700000000000003</v>
      </c>
      <c r="AB70" s="13">
        <v>32.6</v>
      </c>
      <c r="AC70" s="13">
        <v>33.5</v>
      </c>
      <c r="AD70" s="13">
        <v>54.6</v>
      </c>
      <c r="AE70" s="13">
        <v>35.6</v>
      </c>
      <c r="AF70" s="13">
        <v>57</v>
      </c>
      <c r="AG70" s="13">
        <v>64.8</v>
      </c>
      <c r="AH70" s="13">
        <v>26.8</v>
      </c>
      <c r="AI70" s="13">
        <v>122.5</v>
      </c>
      <c r="AJ70" s="13">
        <v>37.200000000000003</v>
      </c>
      <c r="AK70" s="13">
        <v>119.4</v>
      </c>
      <c r="AL70" s="13">
        <v>49.5</v>
      </c>
      <c r="AM70" s="13">
        <v>115.7</v>
      </c>
      <c r="AN70" s="13">
        <v>117.7</v>
      </c>
      <c r="AO70" s="13">
        <v>73.7</v>
      </c>
      <c r="AP70" s="13">
        <v>64.5</v>
      </c>
      <c r="AQ70" s="13">
        <v>936</v>
      </c>
      <c r="AR70" s="13">
        <v>96.9</v>
      </c>
      <c r="AS70" s="13">
        <v>71.599999999999994</v>
      </c>
      <c r="AT70" s="13">
        <v>63.4</v>
      </c>
      <c r="AU70" s="13">
        <v>4.2</v>
      </c>
      <c r="AV70" s="13">
        <v>48.2</v>
      </c>
      <c r="AW70" s="14">
        <v>157</v>
      </c>
      <c r="AX70" s="14">
        <v>14.3</v>
      </c>
      <c r="AY70" s="14">
        <v>20.9</v>
      </c>
      <c r="AZ70" s="14">
        <v>363.3</v>
      </c>
      <c r="BA70" s="14">
        <v>114.4</v>
      </c>
      <c r="BB70" s="14">
        <v>16.600000000000001</v>
      </c>
      <c r="BC70" s="14">
        <v>18.399999999999999</v>
      </c>
      <c r="BD70" s="14">
        <v>22.1</v>
      </c>
      <c r="BE70" s="14">
        <v>29</v>
      </c>
      <c r="BF70" s="13">
        <v>13.4</v>
      </c>
      <c r="BG70" s="13">
        <v>32.4</v>
      </c>
      <c r="BH70" s="13">
        <v>1332.4</v>
      </c>
      <c r="BI70" s="13">
        <v>579.1</v>
      </c>
      <c r="BJ70" s="13">
        <v>18.100000000000001</v>
      </c>
      <c r="BK70" s="13">
        <v>187.3</v>
      </c>
      <c r="BL70" s="13">
        <v>65.5</v>
      </c>
      <c r="BM70" s="13">
        <v>115.9</v>
      </c>
      <c r="BN70" s="13">
        <v>34.700000000000003</v>
      </c>
      <c r="BO70" s="14">
        <v>43.405000000000001</v>
      </c>
      <c r="BP70" s="14">
        <v>44.445999999999998</v>
      </c>
      <c r="BQ70" s="14">
        <v>132.6</v>
      </c>
      <c r="BR70" s="14">
        <v>34.035049219999998</v>
      </c>
      <c r="BS70" s="14">
        <v>73.248700299999996</v>
      </c>
      <c r="BT70" s="14">
        <v>36.638492280000001</v>
      </c>
      <c r="BU70" s="14">
        <v>126.27390819999999</v>
      </c>
      <c r="BV70" s="14">
        <v>39.700000000000003</v>
      </c>
      <c r="BW70" s="14">
        <v>29.8</v>
      </c>
      <c r="BX70" s="14">
        <v>23.679962660000001</v>
      </c>
      <c r="BY70" s="14">
        <v>96.304328400000003</v>
      </c>
      <c r="BZ70" s="14">
        <v>36.989157894736842</v>
      </c>
      <c r="CA70" s="14">
        <v>67.441616675486969</v>
      </c>
      <c r="CB70" s="14">
        <v>36.569184914122417</v>
      </c>
      <c r="CC70" s="14">
        <v>107.05466831944219</v>
      </c>
      <c r="CD70" s="14">
        <v>48.802235374869817</v>
      </c>
      <c r="CE70" s="14">
        <v>89.832233411748646</v>
      </c>
      <c r="CF70" s="14">
        <v>58.510695862595867</v>
      </c>
    </row>
    <row r="71" spans="1:84" ht="16.5" x14ac:dyDescent="0.3">
      <c r="A71" s="12" t="s">
        <v>100</v>
      </c>
      <c r="B71" s="13">
        <v>0</v>
      </c>
      <c r="C71" s="13">
        <v>0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12.7</v>
      </c>
      <c r="AE71" s="13">
        <v>0</v>
      </c>
      <c r="AF71" s="13">
        <v>5.7</v>
      </c>
      <c r="AG71" s="13">
        <v>13.3</v>
      </c>
      <c r="AH71" s="13">
        <v>4.4000000000000004</v>
      </c>
      <c r="AI71" s="13">
        <v>74.599999999999994</v>
      </c>
      <c r="AJ71" s="13">
        <v>0</v>
      </c>
      <c r="AK71" s="13">
        <v>0</v>
      </c>
      <c r="AL71" s="13">
        <v>0</v>
      </c>
      <c r="AM71" s="13">
        <v>69.900000000000006</v>
      </c>
      <c r="AN71" s="13">
        <v>29.9</v>
      </c>
      <c r="AO71" s="13">
        <v>0</v>
      </c>
      <c r="AP71" s="13">
        <v>16.899999999999999</v>
      </c>
      <c r="AQ71" s="13">
        <v>913.6</v>
      </c>
      <c r="AR71" s="13">
        <v>16.600000000000001</v>
      </c>
      <c r="AS71" s="13">
        <v>0.4</v>
      </c>
      <c r="AT71" s="13">
        <v>0</v>
      </c>
      <c r="AU71" s="13">
        <v>0</v>
      </c>
      <c r="AV71" s="13">
        <v>13.3</v>
      </c>
      <c r="AW71" s="14">
        <v>0</v>
      </c>
      <c r="AX71" s="14">
        <v>0</v>
      </c>
      <c r="AY71" s="14">
        <v>0</v>
      </c>
      <c r="AZ71" s="14">
        <v>315.10000000000002</v>
      </c>
      <c r="BA71" s="14">
        <v>0</v>
      </c>
      <c r="BB71" s="14">
        <v>2.2999999999999998</v>
      </c>
      <c r="BC71" s="14">
        <v>2.7</v>
      </c>
      <c r="BD71" s="14">
        <v>0.3</v>
      </c>
      <c r="BE71" s="14">
        <v>0</v>
      </c>
      <c r="BF71" s="13">
        <v>0</v>
      </c>
      <c r="BG71" s="13">
        <v>0</v>
      </c>
      <c r="BH71" s="13">
        <v>1306</v>
      </c>
      <c r="BI71" s="13">
        <v>483.4</v>
      </c>
      <c r="BJ71" s="13">
        <v>0</v>
      </c>
      <c r="BK71" s="13">
        <v>126.8</v>
      </c>
      <c r="BL71" s="13">
        <v>0</v>
      </c>
      <c r="BM71" s="13">
        <v>0</v>
      </c>
      <c r="BN71" s="13">
        <v>0</v>
      </c>
      <c r="BO71" s="14">
        <v>1.0049999999999999</v>
      </c>
      <c r="BP71" s="14">
        <v>0.54600000000000004</v>
      </c>
      <c r="BQ71" s="14">
        <v>0</v>
      </c>
      <c r="BR71" s="14">
        <v>0.188</v>
      </c>
      <c r="BS71" s="14">
        <v>0.38700000000000001</v>
      </c>
      <c r="BT71" s="14">
        <v>0.32800000000000001</v>
      </c>
      <c r="BU71" s="14">
        <v>0.98099999999999998</v>
      </c>
      <c r="BV71" s="14">
        <v>0.3</v>
      </c>
      <c r="BW71" s="14">
        <v>0.9</v>
      </c>
      <c r="BX71" s="14">
        <v>0.44900000000000001</v>
      </c>
      <c r="BY71" s="14">
        <v>0.89</v>
      </c>
      <c r="BZ71" s="14">
        <v>0.26600000000000001</v>
      </c>
      <c r="CA71" s="14">
        <v>0</v>
      </c>
      <c r="CB71" s="14">
        <v>0</v>
      </c>
      <c r="CC71" s="14">
        <v>0</v>
      </c>
      <c r="CD71" s="14">
        <v>0</v>
      </c>
      <c r="CE71" s="14">
        <v>0</v>
      </c>
      <c r="CF71" s="14">
        <v>0</v>
      </c>
    </row>
    <row r="72" spans="1:84" ht="16.5" x14ac:dyDescent="0.3">
      <c r="A72" s="12" t="s">
        <v>101</v>
      </c>
      <c r="B72" s="13">
        <v>0</v>
      </c>
      <c r="C72" s="13">
        <v>0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110.7</v>
      </c>
      <c r="M72" s="13">
        <v>233.5</v>
      </c>
      <c r="N72" s="13">
        <v>185</v>
      </c>
      <c r="O72" s="13">
        <v>190</v>
      </c>
      <c r="P72" s="13">
        <v>216.4</v>
      </c>
      <c r="Q72" s="13">
        <v>160</v>
      </c>
      <c r="R72" s="13">
        <v>0</v>
      </c>
      <c r="S72" s="13">
        <v>0</v>
      </c>
      <c r="T72" s="13">
        <v>0</v>
      </c>
      <c r="U72" s="13">
        <v>150</v>
      </c>
      <c r="V72" s="13">
        <v>0</v>
      </c>
      <c r="W72" s="13">
        <v>0</v>
      </c>
      <c r="X72" s="13">
        <v>0</v>
      </c>
      <c r="Y72" s="13">
        <v>132.1</v>
      </c>
      <c r="Z72" s="13">
        <v>29.2</v>
      </c>
      <c r="AA72" s="13">
        <v>38.700000000000003</v>
      </c>
      <c r="AB72" s="13">
        <v>32.6</v>
      </c>
      <c r="AC72" s="13">
        <v>33.5</v>
      </c>
      <c r="AD72" s="13">
        <v>41.9</v>
      </c>
      <c r="AE72" s="13">
        <v>35.6</v>
      </c>
      <c r="AF72" s="13">
        <v>51.3</v>
      </c>
      <c r="AG72" s="13">
        <v>51.5</v>
      </c>
      <c r="AH72" s="13">
        <v>22.4</v>
      </c>
      <c r="AI72" s="13">
        <v>47.9</v>
      </c>
      <c r="AJ72" s="13">
        <v>37.200000000000003</v>
      </c>
      <c r="AK72" s="13">
        <v>119.4</v>
      </c>
      <c r="AL72" s="13">
        <v>49.5</v>
      </c>
      <c r="AM72" s="13">
        <v>45.8</v>
      </c>
      <c r="AN72" s="13">
        <v>87.8</v>
      </c>
      <c r="AO72" s="13">
        <v>73.7</v>
      </c>
      <c r="AP72" s="13">
        <v>47.6</v>
      </c>
      <c r="AQ72" s="13">
        <v>22.4</v>
      </c>
      <c r="AR72" s="13">
        <v>80.3</v>
      </c>
      <c r="AS72" s="13">
        <v>71.2</v>
      </c>
      <c r="AT72" s="13">
        <v>63.4</v>
      </c>
      <c r="AU72" s="13">
        <v>4.2</v>
      </c>
      <c r="AV72" s="13">
        <v>34.9</v>
      </c>
      <c r="AW72" s="14">
        <v>157</v>
      </c>
      <c r="AX72" s="14">
        <v>14.3</v>
      </c>
      <c r="AY72" s="14">
        <v>20.9</v>
      </c>
      <c r="AZ72" s="14">
        <v>48.2</v>
      </c>
      <c r="BA72" s="14">
        <v>114.4</v>
      </c>
      <c r="BB72" s="14">
        <v>14.3</v>
      </c>
      <c r="BC72" s="14">
        <v>15.7</v>
      </c>
      <c r="BD72" s="14">
        <v>21.7</v>
      </c>
      <c r="BE72" s="14">
        <v>29</v>
      </c>
      <c r="BF72" s="13">
        <v>13.4</v>
      </c>
      <c r="BG72" s="13">
        <v>32.4</v>
      </c>
      <c r="BH72" s="13">
        <v>26.4</v>
      </c>
      <c r="BI72" s="13">
        <v>95.7</v>
      </c>
      <c r="BJ72" s="13">
        <v>18.100000000000001</v>
      </c>
      <c r="BK72" s="13">
        <v>60.5</v>
      </c>
      <c r="BL72" s="13">
        <v>65.5</v>
      </c>
      <c r="BM72" s="13">
        <v>115.9</v>
      </c>
      <c r="BN72" s="13">
        <v>34.700000000000003</v>
      </c>
      <c r="BO72" s="14">
        <v>42.4</v>
      </c>
      <c r="BP72" s="14">
        <v>43.9</v>
      </c>
      <c r="BQ72" s="14">
        <v>132.6</v>
      </c>
      <c r="BR72" s="14">
        <v>33.847049220000002</v>
      </c>
      <c r="BS72" s="14">
        <v>72.861700299999995</v>
      </c>
      <c r="BT72" s="14">
        <v>36.310492279999998</v>
      </c>
      <c r="BU72" s="14">
        <v>125.2929082</v>
      </c>
      <c r="BV72" s="14">
        <v>39.4</v>
      </c>
      <c r="BW72" s="14">
        <v>28.8</v>
      </c>
      <c r="BX72" s="14">
        <v>23.230962659999999</v>
      </c>
      <c r="BY72" s="14">
        <v>95.414328400000002</v>
      </c>
      <c r="BZ72" s="14">
        <v>36.723157894736843</v>
      </c>
      <c r="CA72" s="14">
        <v>67.441616675486969</v>
      </c>
      <c r="CB72" s="14">
        <v>36.569184914122417</v>
      </c>
      <c r="CC72" s="14">
        <v>107.05466831944219</v>
      </c>
      <c r="CD72" s="14">
        <v>48.802235374869817</v>
      </c>
      <c r="CE72" s="14">
        <v>89.832233411748646</v>
      </c>
      <c r="CF72" s="14">
        <v>58.510695862595867</v>
      </c>
    </row>
    <row r="73" spans="1:84" ht="16.5" x14ac:dyDescent="0.3">
      <c r="A73" s="12" t="s">
        <v>102</v>
      </c>
      <c r="B73" s="13">
        <v>0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3">
        <v>0</v>
      </c>
      <c r="T73" s="13">
        <v>0</v>
      </c>
      <c r="U73" s="13">
        <v>0</v>
      </c>
      <c r="V73" s="13">
        <v>0</v>
      </c>
      <c r="W73" s="13">
        <v>0</v>
      </c>
      <c r="X73" s="13">
        <v>0</v>
      </c>
      <c r="Y73" s="13">
        <v>0</v>
      </c>
      <c r="Z73" s="13">
        <v>0</v>
      </c>
      <c r="AA73" s="13">
        <v>0</v>
      </c>
      <c r="AB73" s="13">
        <v>0</v>
      </c>
      <c r="AC73" s="13">
        <v>0</v>
      </c>
      <c r="AD73" s="13">
        <v>0</v>
      </c>
      <c r="AE73" s="13">
        <v>0</v>
      </c>
      <c r="AF73" s="13">
        <v>0</v>
      </c>
      <c r="AG73" s="13">
        <v>0</v>
      </c>
      <c r="AH73" s="13">
        <v>0</v>
      </c>
      <c r="AI73" s="13">
        <v>0</v>
      </c>
      <c r="AJ73" s="13">
        <v>0</v>
      </c>
      <c r="AK73" s="13">
        <v>0</v>
      </c>
      <c r="AL73" s="13">
        <v>0</v>
      </c>
      <c r="AM73" s="13">
        <v>0</v>
      </c>
      <c r="AN73" s="13">
        <v>0</v>
      </c>
      <c r="AO73" s="13">
        <v>0</v>
      </c>
      <c r="AP73" s="13">
        <v>0</v>
      </c>
      <c r="AQ73" s="13">
        <v>0</v>
      </c>
      <c r="AR73" s="13">
        <v>-0.1</v>
      </c>
      <c r="AS73" s="13">
        <v>0.6</v>
      </c>
      <c r="AT73" s="13">
        <v>0.9</v>
      </c>
      <c r="AU73" s="13">
        <v>3.2</v>
      </c>
      <c r="AV73" s="13">
        <v>3.5</v>
      </c>
      <c r="AW73" s="14">
        <v>3.6</v>
      </c>
      <c r="AX73" s="14">
        <v>6.4</v>
      </c>
      <c r="AY73" s="14">
        <v>11.8</v>
      </c>
      <c r="AZ73" s="14">
        <v>13.7</v>
      </c>
      <c r="BA73" s="14">
        <v>33.5</v>
      </c>
      <c r="BB73" s="14">
        <v>7.7</v>
      </c>
      <c r="BC73" s="14">
        <v>21.9</v>
      </c>
      <c r="BD73" s="14">
        <v>28.9</v>
      </c>
      <c r="BE73" s="14">
        <v>48.7</v>
      </c>
      <c r="BF73" s="13">
        <v>204.7</v>
      </c>
      <c r="BG73" s="13">
        <v>46.6</v>
      </c>
      <c r="BH73" s="13">
        <v>29.1</v>
      </c>
      <c r="BI73" s="13">
        <v>40.200000000000003</v>
      </c>
      <c r="BJ73" s="13">
        <v>25.2</v>
      </c>
      <c r="BK73" s="13">
        <v>53.2</v>
      </c>
      <c r="BL73" s="13">
        <v>35.9</v>
      </c>
      <c r="BM73" s="13">
        <v>40.799999999999997</v>
      </c>
      <c r="BN73" s="13">
        <v>36.403748589999999</v>
      </c>
      <c r="BO73" s="14">
        <v>57.450786440000002</v>
      </c>
      <c r="BP73" s="14">
        <v>32.151893579999999</v>
      </c>
      <c r="BQ73" s="14">
        <v>40.3184732</v>
      </c>
      <c r="BR73" s="14">
        <v>32.076476419999999</v>
      </c>
      <c r="BS73" s="14">
        <v>84.701041119999999</v>
      </c>
      <c r="BT73" s="14">
        <v>33.183104640000003</v>
      </c>
      <c r="BU73" s="14">
        <v>4.0478008799999996</v>
      </c>
      <c r="BV73" s="14">
        <v>29.5</v>
      </c>
      <c r="BW73" s="14">
        <v>93.7</v>
      </c>
      <c r="BX73" s="14">
        <v>31.41243905</v>
      </c>
      <c r="BY73" s="14">
        <v>3.9434215400000001</v>
      </c>
      <c r="BZ73" s="14">
        <v>37.731645409999992</v>
      </c>
      <c r="CA73" s="14">
        <v>75.691965800000006</v>
      </c>
      <c r="CB73" s="14">
        <v>40.173231450000003</v>
      </c>
      <c r="CC73" s="14">
        <v>30.166359219999997</v>
      </c>
      <c r="CD73" s="14">
        <v>24.642208000000004</v>
      </c>
      <c r="CE73" s="14">
        <v>29.574698190000003</v>
      </c>
      <c r="CF73" s="14">
        <v>40.195703469999998</v>
      </c>
    </row>
    <row r="74" spans="1:84" ht="16.5" x14ac:dyDescent="0.3">
      <c r="A74" s="12" t="s">
        <v>103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0</v>
      </c>
      <c r="AF74" s="13">
        <v>0</v>
      </c>
      <c r="AG74" s="13">
        <v>0</v>
      </c>
      <c r="AH74" s="13">
        <v>0</v>
      </c>
      <c r="AI74" s="13">
        <v>0</v>
      </c>
      <c r="AJ74" s="13">
        <v>0</v>
      </c>
      <c r="AK74" s="13">
        <v>0</v>
      </c>
      <c r="AL74" s="13">
        <v>0</v>
      </c>
      <c r="AM74" s="13">
        <v>0</v>
      </c>
      <c r="AN74" s="13">
        <v>0</v>
      </c>
      <c r="AO74" s="13">
        <v>0</v>
      </c>
      <c r="AP74" s="13">
        <v>0</v>
      </c>
      <c r="AQ74" s="13">
        <v>0</v>
      </c>
      <c r="AR74" s="13">
        <v>-0.1</v>
      </c>
      <c r="AS74" s="13">
        <v>0</v>
      </c>
      <c r="AT74" s="13">
        <v>0</v>
      </c>
      <c r="AU74" s="13">
        <v>0</v>
      </c>
      <c r="AV74" s="13">
        <v>0</v>
      </c>
      <c r="AW74" s="14">
        <v>0</v>
      </c>
      <c r="AX74" s="14">
        <v>0</v>
      </c>
      <c r="AY74" s="14">
        <v>0</v>
      </c>
      <c r="AZ74" s="14">
        <v>0</v>
      </c>
      <c r="BA74" s="14">
        <v>0</v>
      </c>
      <c r="BB74" s="14">
        <v>0</v>
      </c>
      <c r="BC74" s="14">
        <v>0</v>
      </c>
      <c r="BD74" s="14">
        <v>0</v>
      </c>
      <c r="BE74" s="14">
        <v>0</v>
      </c>
      <c r="BF74" s="13">
        <v>0</v>
      </c>
      <c r="BG74" s="13">
        <v>0</v>
      </c>
      <c r="BH74" s="13">
        <v>0</v>
      </c>
      <c r="BI74" s="13">
        <v>0</v>
      </c>
      <c r="BJ74" s="13">
        <v>0</v>
      </c>
      <c r="BK74" s="13">
        <v>0</v>
      </c>
      <c r="BL74" s="13">
        <v>0</v>
      </c>
      <c r="BM74" s="13">
        <v>0</v>
      </c>
      <c r="BN74" s="13">
        <v>0</v>
      </c>
      <c r="BO74" s="14">
        <v>0</v>
      </c>
      <c r="BP74" s="14">
        <v>0</v>
      </c>
      <c r="BQ74" s="14">
        <v>0</v>
      </c>
      <c r="BR74" s="14">
        <v>0</v>
      </c>
      <c r="BS74" s="14">
        <v>0</v>
      </c>
      <c r="BT74" s="14">
        <v>0</v>
      </c>
      <c r="BU74" s="14">
        <v>0</v>
      </c>
      <c r="BV74" s="14">
        <v>0</v>
      </c>
      <c r="BW74" s="14">
        <v>0</v>
      </c>
      <c r="BX74" s="14">
        <v>0</v>
      </c>
      <c r="BY74" s="14">
        <v>0</v>
      </c>
      <c r="BZ74" s="14">
        <v>0</v>
      </c>
      <c r="CA74" s="14">
        <v>0</v>
      </c>
      <c r="CB74" s="14">
        <v>0</v>
      </c>
      <c r="CC74" s="14">
        <v>0</v>
      </c>
      <c r="CD74" s="14">
        <v>0</v>
      </c>
      <c r="CE74" s="14">
        <v>5.2999999999999998E-4</v>
      </c>
      <c r="CF74" s="14">
        <v>2.350963E-2</v>
      </c>
    </row>
    <row r="75" spans="1:84" ht="16.5" x14ac:dyDescent="0.3">
      <c r="A75" s="12" t="s">
        <v>104</v>
      </c>
      <c r="B75" s="13">
        <v>0</v>
      </c>
      <c r="C75" s="13">
        <v>0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0</v>
      </c>
      <c r="AC75" s="13">
        <v>0</v>
      </c>
      <c r="AD75" s="13">
        <v>0</v>
      </c>
      <c r="AE75" s="13">
        <v>0</v>
      </c>
      <c r="AF75" s="13">
        <v>0</v>
      </c>
      <c r="AG75" s="13">
        <v>0</v>
      </c>
      <c r="AH75" s="13">
        <v>0</v>
      </c>
      <c r="AI75" s="13">
        <v>0</v>
      </c>
      <c r="AJ75" s="13">
        <v>0</v>
      </c>
      <c r="AK75" s="13">
        <v>0</v>
      </c>
      <c r="AL75" s="13">
        <v>0</v>
      </c>
      <c r="AM75" s="13">
        <v>0</v>
      </c>
      <c r="AN75" s="13">
        <v>0</v>
      </c>
      <c r="AO75" s="13">
        <v>0</v>
      </c>
      <c r="AP75" s="13">
        <v>0</v>
      </c>
      <c r="AQ75" s="13">
        <v>0</v>
      </c>
      <c r="AR75" s="13">
        <v>0</v>
      </c>
      <c r="AS75" s="13">
        <v>0.6</v>
      </c>
      <c r="AT75" s="13">
        <v>0.9</v>
      </c>
      <c r="AU75" s="13">
        <v>3.2</v>
      </c>
      <c r="AV75" s="13">
        <v>3.5</v>
      </c>
      <c r="AW75" s="14">
        <v>3.6</v>
      </c>
      <c r="AX75" s="14">
        <v>6.4</v>
      </c>
      <c r="AY75" s="14">
        <v>11.8</v>
      </c>
      <c r="AZ75" s="14">
        <v>13.7</v>
      </c>
      <c r="BA75" s="14">
        <v>33.5</v>
      </c>
      <c r="BB75" s="14">
        <v>7.7</v>
      </c>
      <c r="BC75" s="14">
        <v>21.9</v>
      </c>
      <c r="BD75" s="14">
        <v>28.9</v>
      </c>
      <c r="BE75" s="14">
        <v>48.7</v>
      </c>
      <c r="BF75" s="13">
        <v>204.7</v>
      </c>
      <c r="BG75" s="13">
        <v>46.6</v>
      </c>
      <c r="BH75" s="13">
        <v>29.1</v>
      </c>
      <c r="BI75" s="13">
        <v>40.200000000000003</v>
      </c>
      <c r="BJ75" s="13">
        <v>25.2</v>
      </c>
      <c r="BK75" s="13">
        <v>53.2</v>
      </c>
      <c r="BL75" s="13">
        <v>35.9</v>
      </c>
      <c r="BM75" s="13">
        <v>40.799999999999997</v>
      </c>
      <c r="BN75" s="13">
        <v>36.403748589999999</v>
      </c>
      <c r="BO75" s="14">
        <v>57.450786440000002</v>
      </c>
      <c r="BP75" s="14">
        <v>32.151893579999999</v>
      </c>
      <c r="BQ75" s="14">
        <v>40.3184732</v>
      </c>
      <c r="BR75" s="14">
        <v>32.076476419999999</v>
      </c>
      <c r="BS75" s="14">
        <v>84.701041119999999</v>
      </c>
      <c r="BT75" s="14">
        <v>33.183104640000003</v>
      </c>
      <c r="BU75" s="14">
        <v>4.0478008799999996</v>
      </c>
      <c r="BV75" s="14">
        <v>29.5</v>
      </c>
      <c r="BW75" s="14">
        <v>93.7</v>
      </c>
      <c r="BX75" s="14">
        <v>31.41243905</v>
      </c>
      <c r="BY75" s="14">
        <v>3.9434215400000001</v>
      </c>
      <c r="BZ75" s="14">
        <v>37.731645409999992</v>
      </c>
      <c r="CA75" s="14">
        <v>75.691965800000006</v>
      </c>
      <c r="CB75" s="14">
        <v>40.173231450000003</v>
      </c>
      <c r="CC75" s="14">
        <v>30.166359219999997</v>
      </c>
      <c r="CD75" s="14">
        <v>24.642208000000004</v>
      </c>
      <c r="CE75" s="14">
        <v>29.574168190000002</v>
      </c>
      <c r="CF75" s="14">
        <v>40.172193839999998</v>
      </c>
    </row>
    <row r="76" spans="1:84" ht="16.5" x14ac:dyDescent="0.3">
      <c r="A76" s="9" t="s">
        <v>105</v>
      </c>
      <c r="B76" s="10">
        <v>396.6</v>
      </c>
      <c r="C76" s="10">
        <v>475.7</v>
      </c>
      <c r="D76" s="10">
        <v>536</v>
      </c>
      <c r="E76" s="10">
        <v>343.5</v>
      </c>
      <c r="F76" s="10">
        <v>322.7</v>
      </c>
      <c r="G76" s="10">
        <v>326.5</v>
      </c>
      <c r="H76" s="10">
        <v>408.7</v>
      </c>
      <c r="I76" s="10">
        <v>348.7</v>
      </c>
      <c r="J76" s="10">
        <v>245.3</v>
      </c>
      <c r="K76" s="10">
        <v>345.4</v>
      </c>
      <c r="L76" s="10">
        <v>302.7</v>
      </c>
      <c r="M76" s="10">
        <v>226</v>
      </c>
      <c r="N76" s="10">
        <v>122.6</v>
      </c>
      <c r="O76" s="10">
        <v>285.8</v>
      </c>
      <c r="P76" s="10">
        <v>308.8</v>
      </c>
      <c r="Q76" s="10">
        <v>230.852</v>
      </c>
      <c r="R76" s="10">
        <v>82.4</v>
      </c>
      <c r="S76" s="10">
        <v>63.9</v>
      </c>
      <c r="T76" s="10">
        <v>123.1</v>
      </c>
      <c r="U76" s="10">
        <v>63.5</v>
      </c>
      <c r="V76" s="10">
        <v>108.2</v>
      </c>
      <c r="W76" s="10">
        <v>38.1</v>
      </c>
      <c r="X76" s="10">
        <v>112</v>
      </c>
      <c r="Y76" s="10">
        <v>-20.2</v>
      </c>
      <c r="Z76" s="10">
        <v>92.5</v>
      </c>
      <c r="AA76" s="10">
        <v>60.3</v>
      </c>
      <c r="AB76" s="10">
        <v>45.2</v>
      </c>
      <c r="AC76" s="10">
        <v>490.8</v>
      </c>
      <c r="AD76" s="10">
        <v>148.69999999999999</v>
      </c>
      <c r="AE76" s="10">
        <v>181.9</v>
      </c>
      <c r="AF76" s="10">
        <v>183.8</v>
      </c>
      <c r="AG76" s="10">
        <v>170.8</v>
      </c>
      <c r="AH76" s="10">
        <v>169.7</v>
      </c>
      <c r="AI76" s="10">
        <v>63.4</v>
      </c>
      <c r="AJ76" s="10">
        <v>184.3</v>
      </c>
      <c r="AK76" s="10">
        <v>1</v>
      </c>
      <c r="AL76" s="10">
        <v>179.6</v>
      </c>
      <c r="AM76" s="10">
        <v>-41.7</v>
      </c>
      <c r="AN76" s="10">
        <v>127.1</v>
      </c>
      <c r="AO76" s="10">
        <v>155.80000000000001</v>
      </c>
      <c r="AP76" s="10">
        <v>166.5</v>
      </c>
      <c r="AQ76" s="10">
        <v>-316.7</v>
      </c>
      <c r="AR76" s="10">
        <v>191.3</v>
      </c>
      <c r="AS76" s="10">
        <v>-265.5</v>
      </c>
      <c r="AT76" s="10">
        <v>73.400000000000006</v>
      </c>
      <c r="AU76" s="10">
        <v>190</v>
      </c>
      <c r="AV76" s="10">
        <v>93.6</v>
      </c>
      <c r="AW76" s="11">
        <v>-14.6</v>
      </c>
      <c r="AX76" s="11">
        <v>260.60000000000002</v>
      </c>
      <c r="AY76" s="11">
        <v>-63.7</v>
      </c>
      <c r="AZ76" s="11">
        <v>-185.2</v>
      </c>
      <c r="BA76" s="11">
        <v>-116.6</v>
      </c>
      <c r="BB76" s="11">
        <v>116</v>
      </c>
      <c r="BC76" s="11">
        <v>123.8</v>
      </c>
      <c r="BD76" s="11">
        <v>-25</v>
      </c>
      <c r="BE76" s="11">
        <v>56.7</v>
      </c>
      <c r="BF76" s="10">
        <v>-254</v>
      </c>
      <c r="BG76" s="10">
        <v>97.3</v>
      </c>
      <c r="BH76" s="10">
        <v>-1276.2</v>
      </c>
      <c r="BI76" s="10">
        <v>-213.5</v>
      </c>
      <c r="BJ76" s="10">
        <v>18.600000000000001</v>
      </c>
      <c r="BK76" s="10">
        <v>53.2</v>
      </c>
      <c r="BL76" s="10">
        <v>-164.4</v>
      </c>
      <c r="BM76" s="10">
        <v>275.39999999999998</v>
      </c>
      <c r="BN76" s="10">
        <v>-53.666852660000004</v>
      </c>
      <c r="BO76" s="11">
        <v>196.7142149</v>
      </c>
      <c r="BP76" s="11">
        <v>104.96841310000001</v>
      </c>
      <c r="BQ76" s="11">
        <v>402.77074140000002</v>
      </c>
      <c r="BR76" s="11">
        <v>324.71250300000003</v>
      </c>
      <c r="BS76" s="11">
        <v>-35.194010089999999</v>
      </c>
      <c r="BT76" s="11">
        <v>142.11859100000001</v>
      </c>
      <c r="BU76" s="11">
        <v>238.15695690000001</v>
      </c>
      <c r="BV76" s="11">
        <v>499.6</v>
      </c>
      <c r="BW76" s="11">
        <v>-40.299999999999997</v>
      </c>
      <c r="BX76" s="11">
        <v>374.44789279999998</v>
      </c>
      <c r="BY76" s="11">
        <v>360.31371669999999</v>
      </c>
      <c r="BZ76" s="11">
        <v>288.2982053046839</v>
      </c>
      <c r="CA76" s="11">
        <v>320.14620953833298</v>
      </c>
      <c r="CB76" s="11">
        <v>553.615174762528</v>
      </c>
      <c r="CC76" s="11">
        <v>640.48219788806239</v>
      </c>
      <c r="CD76" s="11">
        <v>500.96277864565127</v>
      </c>
      <c r="CE76" s="11">
        <v>792.39836280161126</v>
      </c>
      <c r="CF76" s="11">
        <v>42.405496341199409</v>
      </c>
    </row>
    <row r="77" spans="1:84" ht="16.5" x14ac:dyDescent="0.3">
      <c r="A77" s="12" t="s">
        <v>106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0</v>
      </c>
      <c r="M77" s="13">
        <v>0</v>
      </c>
      <c r="N77" s="13">
        <v>0</v>
      </c>
      <c r="O77" s="13">
        <v>0</v>
      </c>
      <c r="P77" s="13">
        <v>0</v>
      </c>
      <c r="Q77" s="13">
        <v>0</v>
      </c>
      <c r="R77" s="13">
        <v>0</v>
      </c>
      <c r="S77" s="13">
        <v>0</v>
      </c>
      <c r="T77" s="13">
        <v>0</v>
      </c>
      <c r="U77" s="13">
        <v>0</v>
      </c>
      <c r="V77" s="13">
        <v>0</v>
      </c>
      <c r="W77" s="13">
        <v>0</v>
      </c>
      <c r="X77" s="13">
        <v>0</v>
      </c>
      <c r="Y77" s="13">
        <v>0</v>
      </c>
      <c r="Z77" s="13">
        <v>0</v>
      </c>
      <c r="AA77" s="13">
        <v>0</v>
      </c>
      <c r="AB77" s="13">
        <v>0</v>
      </c>
      <c r="AC77" s="13">
        <v>0</v>
      </c>
      <c r="AD77" s="13">
        <v>0</v>
      </c>
      <c r="AE77" s="13">
        <v>0</v>
      </c>
      <c r="AF77" s="13">
        <v>0</v>
      </c>
      <c r="AG77" s="13">
        <v>0</v>
      </c>
      <c r="AH77" s="13">
        <v>0</v>
      </c>
      <c r="AI77" s="13">
        <v>0</v>
      </c>
      <c r="AJ77" s="13">
        <v>0</v>
      </c>
      <c r="AK77" s="13">
        <v>0</v>
      </c>
      <c r="AL77" s="13">
        <v>0</v>
      </c>
      <c r="AM77" s="13">
        <v>0</v>
      </c>
      <c r="AN77" s="13">
        <v>0</v>
      </c>
      <c r="AO77" s="13">
        <v>0</v>
      </c>
      <c r="AP77" s="13">
        <v>0</v>
      </c>
      <c r="AQ77" s="13">
        <v>0</v>
      </c>
      <c r="AR77" s="13">
        <v>0</v>
      </c>
      <c r="AS77" s="13">
        <v>0</v>
      </c>
      <c r="AT77" s="13">
        <v>0</v>
      </c>
      <c r="AU77" s="13">
        <v>0</v>
      </c>
      <c r="AV77" s="13">
        <v>0</v>
      </c>
      <c r="AW77" s="14">
        <v>0</v>
      </c>
      <c r="AX77" s="14">
        <v>0</v>
      </c>
      <c r="AY77" s="14">
        <v>0</v>
      </c>
      <c r="AZ77" s="14">
        <v>0</v>
      </c>
      <c r="BA77" s="14">
        <v>0</v>
      </c>
      <c r="BB77" s="14">
        <v>0</v>
      </c>
      <c r="BC77" s="14">
        <v>0</v>
      </c>
      <c r="BD77" s="14">
        <v>0</v>
      </c>
      <c r="BE77" s="14">
        <v>0</v>
      </c>
      <c r="BF77" s="13">
        <v>-0.4</v>
      </c>
      <c r="BG77" s="13">
        <v>0</v>
      </c>
      <c r="BH77" s="13">
        <v>0</v>
      </c>
      <c r="BI77" s="13">
        <v>0</v>
      </c>
      <c r="BJ77" s="13">
        <v>0</v>
      </c>
      <c r="BK77" s="13">
        <v>0</v>
      </c>
      <c r="BL77" s="13">
        <v>-0.1</v>
      </c>
      <c r="BM77" s="13">
        <v>0.4</v>
      </c>
      <c r="BN77" s="13">
        <v>-1.4067390000000001E-2</v>
      </c>
      <c r="BO77" s="14">
        <v>0</v>
      </c>
      <c r="BP77" s="14">
        <v>-1.2044600000000001E-2</v>
      </c>
      <c r="BQ77" s="14">
        <v>-1.8069060000000001E-2</v>
      </c>
      <c r="BR77" s="14">
        <v>-0.02</v>
      </c>
      <c r="BS77" s="14">
        <v>-1.443201E-2</v>
      </c>
      <c r="BT77" s="14">
        <v>-1.41701115</v>
      </c>
      <c r="BU77" s="14">
        <v>-1.3828573580000001</v>
      </c>
      <c r="BV77" s="14">
        <v>0</v>
      </c>
      <c r="BW77" s="14">
        <v>0.6</v>
      </c>
      <c r="BX77" s="14">
        <v>-0.57874322</v>
      </c>
      <c r="BY77" s="14">
        <v>0.74708039999999998</v>
      </c>
      <c r="BZ77" s="14">
        <v>1.3016701999999998</v>
      </c>
      <c r="CA77" s="14">
        <v>-1.23801234</v>
      </c>
      <c r="CB77" s="14">
        <v>9.52061500000001E-2</v>
      </c>
      <c r="CC77" s="14">
        <v>-3.5406075400000008</v>
      </c>
      <c r="CD77" s="14">
        <v>-0.18638959999999999</v>
      </c>
      <c r="CE77" s="14">
        <v>1.8641011099999991</v>
      </c>
      <c r="CF77" s="14">
        <v>0.49868053999999978</v>
      </c>
    </row>
    <row r="78" spans="1:84" ht="16.5" x14ac:dyDescent="0.3">
      <c r="A78" s="12" t="s">
        <v>107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1.5</v>
      </c>
      <c r="I78" s="13">
        <v>6.2</v>
      </c>
      <c r="J78" s="13">
        <v>4.5</v>
      </c>
      <c r="K78" s="13">
        <v>3.4</v>
      </c>
      <c r="L78" s="13">
        <v>9.1999999999999993</v>
      </c>
      <c r="M78" s="13">
        <v>22.5</v>
      </c>
      <c r="N78" s="13">
        <v>25.3</v>
      </c>
      <c r="O78" s="13">
        <v>32</v>
      </c>
      <c r="P78" s="13">
        <v>35</v>
      </c>
      <c r="Q78" s="13">
        <v>45</v>
      </c>
      <c r="R78" s="13">
        <v>13.8</v>
      </c>
      <c r="S78" s="13">
        <v>13.7</v>
      </c>
      <c r="T78" s="13">
        <v>26.9</v>
      </c>
      <c r="U78" s="13">
        <v>18.100000000000001</v>
      </c>
      <c r="V78" s="13">
        <v>20.9</v>
      </c>
      <c r="W78" s="13">
        <v>6.6</v>
      </c>
      <c r="X78" s="13">
        <v>35.1</v>
      </c>
      <c r="Y78" s="13">
        <v>1.8</v>
      </c>
      <c r="Z78" s="13">
        <v>22.1</v>
      </c>
      <c r="AA78" s="13">
        <v>12</v>
      </c>
      <c r="AB78" s="13">
        <v>15.6</v>
      </c>
      <c r="AC78" s="13">
        <v>185.2</v>
      </c>
      <c r="AD78" s="13">
        <v>154.9</v>
      </c>
      <c r="AE78" s="13">
        <v>64.5</v>
      </c>
      <c r="AF78" s="13">
        <v>141.1</v>
      </c>
      <c r="AG78" s="13">
        <v>21.2</v>
      </c>
      <c r="AH78" s="13">
        <v>12.6</v>
      </c>
      <c r="AI78" s="13">
        <v>27.1</v>
      </c>
      <c r="AJ78" s="13">
        <v>29.3</v>
      </c>
      <c r="AK78" s="13">
        <v>70.3</v>
      </c>
      <c r="AL78" s="13">
        <v>18.399999999999999</v>
      </c>
      <c r="AM78" s="13">
        <v>7.7</v>
      </c>
      <c r="AN78" s="13">
        <v>154</v>
      </c>
      <c r="AO78" s="13">
        <v>75.400000000000006</v>
      </c>
      <c r="AP78" s="13">
        <v>85.5</v>
      </c>
      <c r="AQ78" s="13">
        <v>120.3</v>
      </c>
      <c r="AR78" s="13">
        <v>71.099999999999994</v>
      </c>
      <c r="AS78" s="13">
        <v>70.7</v>
      </c>
      <c r="AT78" s="13">
        <v>52.1</v>
      </c>
      <c r="AU78" s="13">
        <v>106.6</v>
      </c>
      <c r="AV78" s="13">
        <v>83.3</v>
      </c>
      <c r="AW78" s="14">
        <v>94.7</v>
      </c>
      <c r="AX78" s="14">
        <v>77.400000000000006</v>
      </c>
      <c r="AY78" s="14">
        <v>-5.5</v>
      </c>
      <c r="AZ78" s="14">
        <v>38.5</v>
      </c>
      <c r="BA78" s="14">
        <v>134.19999999999999</v>
      </c>
      <c r="BB78" s="14">
        <v>-12.6</v>
      </c>
      <c r="BC78" s="14">
        <v>74.400000000000006</v>
      </c>
      <c r="BD78" s="14">
        <v>-1.3</v>
      </c>
      <c r="BE78" s="14">
        <v>47.3</v>
      </c>
      <c r="BF78" s="13">
        <v>6.2</v>
      </c>
      <c r="BG78" s="13">
        <v>20.3</v>
      </c>
      <c r="BH78" s="13">
        <v>82.4</v>
      </c>
      <c r="BI78" s="13">
        <v>44.8</v>
      </c>
      <c r="BJ78" s="13">
        <v>61.8</v>
      </c>
      <c r="BK78" s="13">
        <v>121.4</v>
      </c>
      <c r="BL78" s="13">
        <v>83.7</v>
      </c>
      <c r="BM78" s="13">
        <v>160.4</v>
      </c>
      <c r="BN78" s="13">
        <v>61.249997819999997</v>
      </c>
      <c r="BO78" s="14">
        <v>140.1961062</v>
      </c>
      <c r="BP78" s="14">
        <v>309.66822089999999</v>
      </c>
      <c r="BQ78" s="14">
        <v>80.505571950000004</v>
      </c>
      <c r="BR78" s="14">
        <v>213.9055496</v>
      </c>
      <c r="BS78" s="14">
        <v>137.11316310000001</v>
      </c>
      <c r="BT78" s="14">
        <v>270.81613279999999</v>
      </c>
      <c r="BU78" s="14">
        <v>270.66804769999999</v>
      </c>
      <c r="BV78" s="14">
        <v>208.4</v>
      </c>
      <c r="BW78" s="14">
        <v>132</v>
      </c>
      <c r="BX78" s="14">
        <v>403.2966649</v>
      </c>
      <c r="BY78" s="14">
        <v>245.29561860000001</v>
      </c>
      <c r="BZ78" s="14">
        <v>180.80259258000001</v>
      </c>
      <c r="CA78" s="14">
        <v>506.22197875000018</v>
      </c>
      <c r="CB78" s="14">
        <v>433.38447534999989</v>
      </c>
      <c r="CC78" s="14">
        <v>929.05661215999987</v>
      </c>
      <c r="CD78" s="14">
        <v>494.83299738999995</v>
      </c>
      <c r="CE78" s="14">
        <v>531.0014792479999</v>
      </c>
      <c r="CF78" s="14">
        <v>425.20933513839998</v>
      </c>
    </row>
    <row r="79" spans="1:84" ht="16.5" x14ac:dyDescent="0.3">
      <c r="A79" s="12" t="s">
        <v>248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1.5</v>
      </c>
      <c r="I79" s="13">
        <v>6.2</v>
      </c>
      <c r="J79" s="13">
        <v>4.5</v>
      </c>
      <c r="K79" s="13">
        <v>3.4</v>
      </c>
      <c r="L79" s="13">
        <v>9.1999999999999993</v>
      </c>
      <c r="M79" s="13">
        <v>22.5</v>
      </c>
      <c r="N79" s="13">
        <v>25.3</v>
      </c>
      <c r="O79" s="13">
        <v>32</v>
      </c>
      <c r="P79" s="13">
        <v>35</v>
      </c>
      <c r="Q79" s="13">
        <v>45</v>
      </c>
      <c r="R79" s="13">
        <v>13.8</v>
      </c>
      <c r="S79" s="13">
        <v>13.7</v>
      </c>
      <c r="T79" s="13">
        <v>26.9</v>
      </c>
      <c r="U79" s="13">
        <v>18.100000000000001</v>
      </c>
      <c r="V79" s="13">
        <v>20.9</v>
      </c>
      <c r="W79" s="13">
        <v>6.6</v>
      </c>
      <c r="X79" s="13">
        <v>35.1</v>
      </c>
      <c r="Y79" s="13">
        <v>1.8</v>
      </c>
      <c r="Z79" s="13">
        <v>22.1</v>
      </c>
      <c r="AA79" s="13">
        <v>12</v>
      </c>
      <c r="AB79" s="13">
        <v>15.6</v>
      </c>
      <c r="AC79" s="13">
        <v>185.2</v>
      </c>
      <c r="AD79" s="13">
        <v>154.9</v>
      </c>
      <c r="AE79" s="13">
        <v>64.5</v>
      </c>
      <c r="AF79" s="13">
        <v>141.1</v>
      </c>
      <c r="AG79" s="13">
        <v>21.2</v>
      </c>
      <c r="AH79" s="13">
        <v>12.6</v>
      </c>
      <c r="AI79" s="13">
        <v>27.1</v>
      </c>
      <c r="AJ79" s="13">
        <v>29.3</v>
      </c>
      <c r="AK79" s="13">
        <v>70.3</v>
      </c>
      <c r="AL79" s="13">
        <v>18.399999999999999</v>
      </c>
      <c r="AM79" s="13">
        <v>7.7</v>
      </c>
      <c r="AN79" s="13">
        <v>154</v>
      </c>
      <c r="AO79" s="13">
        <v>75.400000000000006</v>
      </c>
      <c r="AP79" s="13">
        <v>85.4</v>
      </c>
      <c r="AQ79" s="13">
        <v>120.1</v>
      </c>
      <c r="AR79" s="13">
        <v>71.099999999999994</v>
      </c>
      <c r="AS79" s="13">
        <v>70.8</v>
      </c>
      <c r="AT79" s="13">
        <v>52.1</v>
      </c>
      <c r="AU79" s="13">
        <v>106.6</v>
      </c>
      <c r="AV79" s="13">
        <v>83.3</v>
      </c>
      <c r="AW79" s="14">
        <v>94.7</v>
      </c>
      <c r="AX79" s="14">
        <v>63.6</v>
      </c>
      <c r="AY79" s="14">
        <v>2.8</v>
      </c>
      <c r="AZ79" s="14">
        <v>33.700000000000003</v>
      </c>
      <c r="BA79" s="14">
        <v>134.5</v>
      </c>
      <c r="BB79" s="14">
        <v>6.1</v>
      </c>
      <c r="BC79" s="14">
        <v>20.8</v>
      </c>
      <c r="BD79" s="14">
        <v>10.4</v>
      </c>
      <c r="BE79" s="14">
        <v>22.5</v>
      </c>
      <c r="BF79" s="13">
        <v>32</v>
      </c>
      <c r="BG79" s="13">
        <v>55.4</v>
      </c>
      <c r="BH79" s="13">
        <v>4.9000000000000004</v>
      </c>
      <c r="BI79" s="13">
        <v>19.5</v>
      </c>
      <c r="BJ79" s="13">
        <v>36.700000000000003</v>
      </c>
      <c r="BK79" s="13">
        <v>43.9</v>
      </c>
      <c r="BL79" s="13">
        <v>32.799999999999997</v>
      </c>
      <c r="BM79" s="13">
        <v>53.9</v>
      </c>
      <c r="BN79" s="13">
        <v>28.443123320000002</v>
      </c>
      <c r="BO79" s="14">
        <v>36.79794364</v>
      </c>
      <c r="BP79" s="14">
        <v>32.6762248</v>
      </c>
      <c r="BQ79" s="14">
        <v>32.631858459999997</v>
      </c>
      <c r="BR79" s="14">
        <v>131.2987249</v>
      </c>
      <c r="BS79" s="14">
        <v>22.490495209999999</v>
      </c>
      <c r="BT79" s="14">
        <v>20.429930519999999</v>
      </c>
      <c r="BU79" s="14">
        <v>51.415787109999997</v>
      </c>
      <c r="BV79" s="14">
        <v>120.5</v>
      </c>
      <c r="BW79" s="14">
        <v>71.099999999999994</v>
      </c>
      <c r="BX79" s="14">
        <v>61.123109309999997</v>
      </c>
      <c r="BY79" s="14">
        <v>22.740521319999999</v>
      </c>
      <c r="BZ79" s="14">
        <v>12.531476509999999</v>
      </c>
      <c r="CA79" s="14">
        <v>113.84968855000001</v>
      </c>
      <c r="CB79" s="14">
        <v>321.53890084</v>
      </c>
      <c r="CC79" s="14">
        <v>65.806253969999943</v>
      </c>
      <c r="CD79" s="14">
        <v>92.139869929999989</v>
      </c>
      <c r="CE79" s="14">
        <v>143.43513756000002</v>
      </c>
      <c r="CF79" s="14">
        <v>77.060887139999991</v>
      </c>
    </row>
    <row r="80" spans="1:84" ht="16.5" x14ac:dyDescent="0.3">
      <c r="A80" s="12" t="s">
        <v>249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  <c r="X80" s="13">
        <v>0</v>
      </c>
      <c r="Y80" s="13">
        <v>0</v>
      </c>
      <c r="Z80" s="13">
        <v>0</v>
      </c>
      <c r="AA80" s="13">
        <v>0</v>
      </c>
      <c r="AB80" s="13">
        <v>0</v>
      </c>
      <c r="AC80" s="13">
        <v>0</v>
      </c>
      <c r="AD80" s="13">
        <v>0</v>
      </c>
      <c r="AE80" s="13">
        <v>0</v>
      </c>
      <c r="AF80" s="13">
        <v>0</v>
      </c>
      <c r="AG80" s="13">
        <v>0</v>
      </c>
      <c r="AH80" s="13">
        <v>0</v>
      </c>
      <c r="AI80" s="13">
        <v>0</v>
      </c>
      <c r="AJ80" s="13">
        <v>0</v>
      </c>
      <c r="AK80" s="13">
        <v>0</v>
      </c>
      <c r="AL80" s="13">
        <v>0</v>
      </c>
      <c r="AM80" s="13">
        <v>0</v>
      </c>
      <c r="AN80" s="13">
        <v>0</v>
      </c>
      <c r="AO80" s="13">
        <v>0</v>
      </c>
      <c r="AP80" s="13">
        <v>0</v>
      </c>
      <c r="AQ80" s="13">
        <v>0</v>
      </c>
      <c r="AR80" s="13">
        <v>0</v>
      </c>
      <c r="AS80" s="13">
        <v>0</v>
      </c>
      <c r="AT80" s="13">
        <v>0</v>
      </c>
      <c r="AU80" s="13">
        <v>0</v>
      </c>
      <c r="AV80" s="13">
        <v>0</v>
      </c>
      <c r="AW80" s="14">
        <v>0</v>
      </c>
      <c r="AX80" s="14">
        <v>0</v>
      </c>
      <c r="AY80" s="14">
        <v>0</v>
      </c>
      <c r="AZ80" s="14">
        <v>0</v>
      </c>
      <c r="BA80" s="14">
        <v>0</v>
      </c>
      <c r="BB80" s="14">
        <v>0</v>
      </c>
      <c r="BC80" s="14">
        <v>0</v>
      </c>
      <c r="BD80" s="14">
        <v>0</v>
      </c>
      <c r="BE80" s="14">
        <v>0</v>
      </c>
      <c r="BF80" s="13">
        <v>0</v>
      </c>
      <c r="BG80" s="13">
        <v>46.4</v>
      </c>
      <c r="BH80" s="13">
        <v>24.2</v>
      </c>
      <c r="BI80" s="13">
        <v>6.5</v>
      </c>
      <c r="BJ80" s="13">
        <v>8.9</v>
      </c>
      <c r="BK80" s="13">
        <v>7.5</v>
      </c>
      <c r="BL80" s="13">
        <v>0</v>
      </c>
      <c r="BM80" s="13">
        <v>7.6</v>
      </c>
      <c r="BN80" s="13">
        <v>2.5770683409999999</v>
      </c>
      <c r="BO80" s="14">
        <v>2.27171682</v>
      </c>
      <c r="BP80" s="14">
        <v>119.023</v>
      </c>
      <c r="BQ80" s="14">
        <v>0</v>
      </c>
      <c r="BR80" s="14">
        <v>0</v>
      </c>
      <c r="BS80" s="14">
        <v>10.966550679999999</v>
      </c>
      <c r="BT80" s="14">
        <v>0</v>
      </c>
      <c r="BU80" s="14">
        <v>8.5692063199999993</v>
      </c>
      <c r="BV80" s="14">
        <v>75.5</v>
      </c>
      <c r="BW80" s="14">
        <v>33.1</v>
      </c>
      <c r="BX80" s="14">
        <v>12.78923376</v>
      </c>
      <c r="BY80" s="14">
        <v>12.93769511</v>
      </c>
      <c r="BZ80" s="14">
        <v>44.844999999999999</v>
      </c>
      <c r="CA80" s="14">
        <v>62.981000000000002</v>
      </c>
      <c r="CB80" s="14">
        <v>38.640608989999997</v>
      </c>
      <c r="CC80" s="14">
        <v>21.073609999999999</v>
      </c>
      <c r="CD80" s="14">
        <v>0</v>
      </c>
      <c r="CE80" s="14">
        <v>5.3667109999999997E-2</v>
      </c>
      <c r="CF80" s="14">
        <v>0</v>
      </c>
    </row>
    <row r="81" spans="1:84" ht="16.5" x14ac:dyDescent="0.3">
      <c r="A81" s="12" t="s">
        <v>250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  <c r="AD81" s="13">
        <v>0</v>
      </c>
      <c r="AE81" s="13">
        <v>0</v>
      </c>
      <c r="AF81" s="13">
        <v>0</v>
      </c>
      <c r="AG81" s="13">
        <v>0</v>
      </c>
      <c r="AH81" s="13">
        <v>0</v>
      </c>
      <c r="AI81" s="13">
        <v>0</v>
      </c>
      <c r="AJ81" s="13">
        <v>0</v>
      </c>
      <c r="AK81" s="13">
        <v>0</v>
      </c>
      <c r="AL81" s="13">
        <v>0</v>
      </c>
      <c r="AM81" s="13">
        <v>0</v>
      </c>
      <c r="AN81" s="13">
        <v>0</v>
      </c>
      <c r="AO81" s="13">
        <v>0</v>
      </c>
      <c r="AP81" s="13">
        <v>0</v>
      </c>
      <c r="AQ81" s="13">
        <v>0.2</v>
      </c>
      <c r="AR81" s="13">
        <v>0</v>
      </c>
      <c r="AS81" s="13">
        <v>-0.1</v>
      </c>
      <c r="AT81" s="13">
        <v>0</v>
      </c>
      <c r="AU81" s="13">
        <v>0</v>
      </c>
      <c r="AV81" s="13">
        <v>0</v>
      </c>
      <c r="AW81" s="14">
        <v>0</v>
      </c>
      <c r="AX81" s="14">
        <v>13.8</v>
      </c>
      <c r="AY81" s="14">
        <v>-8.1999999999999993</v>
      </c>
      <c r="AZ81" s="14">
        <v>4.9000000000000004</v>
      </c>
      <c r="BA81" s="14">
        <v>-0.3</v>
      </c>
      <c r="BB81" s="14">
        <v>-18.7</v>
      </c>
      <c r="BC81" s="14">
        <v>53.6</v>
      </c>
      <c r="BD81" s="14">
        <v>-11.7</v>
      </c>
      <c r="BE81" s="14">
        <v>24.8</v>
      </c>
      <c r="BF81" s="13">
        <v>-25.7</v>
      </c>
      <c r="BG81" s="13">
        <v>-81.5</v>
      </c>
      <c r="BH81" s="13">
        <v>53.2</v>
      </c>
      <c r="BI81" s="13">
        <v>18.7</v>
      </c>
      <c r="BJ81" s="13">
        <v>16.2</v>
      </c>
      <c r="BK81" s="13">
        <v>69.900000000000006</v>
      </c>
      <c r="BL81" s="13">
        <v>51</v>
      </c>
      <c r="BM81" s="13">
        <v>98.9</v>
      </c>
      <c r="BN81" s="13">
        <v>30.229806159999999</v>
      </c>
      <c r="BO81" s="14">
        <v>101.1264457</v>
      </c>
      <c r="BP81" s="14">
        <v>157.9689961</v>
      </c>
      <c r="BQ81" s="14">
        <v>47.87371349</v>
      </c>
      <c r="BR81" s="14">
        <v>82.606824639999999</v>
      </c>
      <c r="BS81" s="14">
        <v>103.65611730000001</v>
      </c>
      <c r="BT81" s="14">
        <v>250.38620230000001</v>
      </c>
      <c r="BU81" s="14">
        <v>210.68305419999999</v>
      </c>
      <c r="BV81" s="14">
        <v>12.3</v>
      </c>
      <c r="BW81" s="14">
        <v>27.9</v>
      </c>
      <c r="BX81" s="14">
        <v>329.38432180000001</v>
      </c>
      <c r="BY81" s="14">
        <v>209.61740219999999</v>
      </c>
      <c r="BZ81" s="14">
        <v>123.42611607000001</v>
      </c>
      <c r="CA81" s="14">
        <v>329.39129020000013</v>
      </c>
      <c r="CB81" s="14">
        <v>73.204965519999888</v>
      </c>
      <c r="CC81" s="14">
        <v>842.1767481899999</v>
      </c>
      <c r="CD81" s="14">
        <v>402.69312745999997</v>
      </c>
      <c r="CE81" s="14">
        <v>387.51267457799992</v>
      </c>
      <c r="CF81" s="14">
        <v>348.1484479984</v>
      </c>
    </row>
    <row r="82" spans="1:84" ht="16.5" x14ac:dyDescent="0.3">
      <c r="A82" s="12" t="s">
        <v>108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  <c r="P82" s="13">
        <v>0</v>
      </c>
      <c r="Q82" s="13">
        <v>0</v>
      </c>
      <c r="R82" s="13">
        <v>0</v>
      </c>
      <c r="S82" s="13">
        <v>0</v>
      </c>
      <c r="T82" s="13">
        <v>0</v>
      </c>
      <c r="U82" s="13">
        <v>0</v>
      </c>
      <c r="V82" s="13">
        <v>0</v>
      </c>
      <c r="W82" s="13">
        <v>0</v>
      </c>
      <c r="X82" s="13">
        <v>0</v>
      </c>
      <c r="Y82" s="13">
        <v>0</v>
      </c>
      <c r="Z82" s="13">
        <v>0</v>
      </c>
      <c r="AA82" s="13">
        <v>0</v>
      </c>
      <c r="AB82" s="13">
        <v>0</v>
      </c>
      <c r="AC82" s="13">
        <v>0</v>
      </c>
      <c r="AD82" s="13">
        <v>0</v>
      </c>
      <c r="AE82" s="13">
        <v>0</v>
      </c>
      <c r="AF82" s="13">
        <v>0</v>
      </c>
      <c r="AG82" s="13">
        <v>0</v>
      </c>
      <c r="AH82" s="13">
        <v>0</v>
      </c>
      <c r="AI82" s="13">
        <v>0</v>
      </c>
      <c r="AJ82" s="13">
        <v>0</v>
      </c>
      <c r="AK82" s="13">
        <v>0</v>
      </c>
      <c r="AL82" s="13">
        <v>0</v>
      </c>
      <c r="AM82" s="13">
        <v>0</v>
      </c>
      <c r="AN82" s="13">
        <v>0</v>
      </c>
      <c r="AO82" s="13">
        <v>0</v>
      </c>
      <c r="AP82" s="13">
        <v>47.5</v>
      </c>
      <c r="AQ82" s="13">
        <v>-17.2</v>
      </c>
      <c r="AR82" s="13">
        <v>17</v>
      </c>
      <c r="AS82" s="13">
        <v>-15.1</v>
      </c>
      <c r="AT82" s="13">
        <v>-25.5</v>
      </c>
      <c r="AU82" s="13">
        <v>6.8</v>
      </c>
      <c r="AV82" s="13">
        <v>18.5</v>
      </c>
      <c r="AW82" s="14">
        <v>5.2</v>
      </c>
      <c r="AX82" s="14">
        <v>-3.1</v>
      </c>
      <c r="AY82" s="14">
        <v>-41.5</v>
      </c>
      <c r="AZ82" s="14">
        <v>33.6</v>
      </c>
      <c r="BA82" s="14">
        <v>-14.4</v>
      </c>
      <c r="BB82" s="14">
        <v>-7.2</v>
      </c>
      <c r="BC82" s="14">
        <v>-8.6</v>
      </c>
      <c r="BD82" s="14">
        <v>-48.3</v>
      </c>
      <c r="BE82" s="14">
        <v>-24.3</v>
      </c>
      <c r="BF82" s="13">
        <v>-22.1</v>
      </c>
      <c r="BG82" s="13">
        <v>-97.4</v>
      </c>
      <c r="BH82" s="13">
        <v>-14.5</v>
      </c>
      <c r="BI82" s="13">
        <v>10.3</v>
      </c>
      <c r="BJ82" s="13">
        <v>-2.4</v>
      </c>
      <c r="BK82" s="13">
        <v>0.2</v>
      </c>
      <c r="BL82" s="13">
        <v>-2</v>
      </c>
      <c r="BM82" s="13">
        <v>-1.4</v>
      </c>
      <c r="BN82" s="13">
        <v>-0.24384790200000001</v>
      </c>
      <c r="BO82" s="14">
        <v>0.249053104</v>
      </c>
      <c r="BP82" s="14">
        <v>-7.7689437989999997</v>
      </c>
      <c r="BQ82" s="14">
        <v>-0.284605889</v>
      </c>
      <c r="BR82" s="14">
        <v>11.24046195</v>
      </c>
      <c r="BS82" s="14">
        <v>-3.7150535169999999</v>
      </c>
      <c r="BT82" s="14">
        <v>-1.4112283539999999</v>
      </c>
      <c r="BU82" s="14">
        <v>-1.6473423250000001</v>
      </c>
      <c r="BV82" s="14">
        <v>0.4</v>
      </c>
      <c r="BW82" s="14">
        <v>0.5</v>
      </c>
      <c r="BX82" s="14">
        <v>-0.54820424899999998</v>
      </c>
      <c r="BY82" s="14">
        <v>1.0841023249999999</v>
      </c>
      <c r="BZ82" s="14">
        <v>-25.620682100353591</v>
      </c>
      <c r="CA82" s="14">
        <v>-6.8442197564161384</v>
      </c>
      <c r="CB82" s="14">
        <v>-2.8081509966156264</v>
      </c>
      <c r="CC82" s="14">
        <v>1.1129795224342636</v>
      </c>
      <c r="CD82" s="14">
        <v>12.029735009674118</v>
      </c>
      <c r="CE82" s="14">
        <v>4.6979061236416033</v>
      </c>
      <c r="CF82" s="14">
        <v>0.66409046369302782</v>
      </c>
    </row>
    <row r="83" spans="1:84" ht="16.5" x14ac:dyDescent="0.3">
      <c r="A83" s="12" t="s">
        <v>155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13">
        <v>0</v>
      </c>
      <c r="R83" s="13">
        <v>0</v>
      </c>
      <c r="S83" s="13">
        <v>0</v>
      </c>
      <c r="T83" s="13">
        <v>0</v>
      </c>
      <c r="U83" s="13">
        <v>0</v>
      </c>
      <c r="V83" s="13">
        <v>0</v>
      </c>
      <c r="W83" s="13">
        <v>0</v>
      </c>
      <c r="X83" s="13">
        <v>0</v>
      </c>
      <c r="Y83" s="13">
        <v>0</v>
      </c>
      <c r="Z83" s="13">
        <v>0</v>
      </c>
      <c r="AA83" s="13">
        <v>0</v>
      </c>
      <c r="AB83" s="13">
        <v>0</v>
      </c>
      <c r="AC83" s="13">
        <v>0</v>
      </c>
      <c r="AD83" s="13">
        <v>0</v>
      </c>
      <c r="AE83" s="13">
        <v>0</v>
      </c>
      <c r="AF83" s="13">
        <v>0</v>
      </c>
      <c r="AG83" s="13">
        <v>0</v>
      </c>
      <c r="AH83" s="13">
        <v>0</v>
      </c>
      <c r="AI83" s="13">
        <v>0</v>
      </c>
      <c r="AJ83" s="13">
        <v>0</v>
      </c>
      <c r="AK83" s="13">
        <v>0</v>
      </c>
      <c r="AL83" s="13">
        <v>0</v>
      </c>
      <c r="AM83" s="13">
        <v>0</v>
      </c>
      <c r="AN83" s="13">
        <v>0</v>
      </c>
      <c r="AO83" s="13">
        <v>0</v>
      </c>
      <c r="AP83" s="13">
        <v>0</v>
      </c>
      <c r="AQ83" s="13">
        <v>0</v>
      </c>
      <c r="AR83" s="13">
        <v>0</v>
      </c>
      <c r="AS83" s="13">
        <v>0</v>
      </c>
      <c r="AT83" s="13">
        <v>0</v>
      </c>
      <c r="AU83" s="13">
        <v>0</v>
      </c>
      <c r="AV83" s="13">
        <v>0</v>
      </c>
      <c r="AW83" s="14">
        <v>0</v>
      </c>
      <c r="AX83" s="14">
        <v>0</v>
      </c>
      <c r="AY83" s="14">
        <v>0</v>
      </c>
      <c r="AZ83" s="14">
        <v>0</v>
      </c>
      <c r="BA83" s="14">
        <v>0</v>
      </c>
      <c r="BB83" s="14">
        <v>0</v>
      </c>
      <c r="BC83" s="14">
        <v>0</v>
      </c>
      <c r="BD83" s="14">
        <v>0</v>
      </c>
      <c r="BE83" s="14">
        <v>0</v>
      </c>
      <c r="BF83" s="13">
        <v>0</v>
      </c>
      <c r="BG83" s="13">
        <v>0</v>
      </c>
      <c r="BH83" s="13">
        <v>0</v>
      </c>
      <c r="BI83" s="13">
        <v>0</v>
      </c>
      <c r="BJ83" s="13">
        <v>0</v>
      </c>
      <c r="BK83" s="13">
        <v>0</v>
      </c>
      <c r="BL83" s="13">
        <v>0</v>
      </c>
      <c r="BM83" s="13">
        <v>-16</v>
      </c>
      <c r="BN83" s="13">
        <v>0</v>
      </c>
      <c r="BO83" s="14">
        <v>0</v>
      </c>
      <c r="BP83" s="14">
        <v>0</v>
      </c>
      <c r="BQ83" s="14">
        <v>0</v>
      </c>
      <c r="BR83" s="14">
        <v>0</v>
      </c>
      <c r="BS83" s="14">
        <v>0</v>
      </c>
      <c r="BT83" s="14">
        <v>0</v>
      </c>
      <c r="BU83" s="14">
        <v>0</v>
      </c>
      <c r="BV83" s="14">
        <v>0</v>
      </c>
      <c r="BW83" s="14">
        <v>0</v>
      </c>
      <c r="BX83" s="14">
        <v>0</v>
      </c>
      <c r="BY83" s="14">
        <v>0</v>
      </c>
      <c r="BZ83" s="14">
        <v>0</v>
      </c>
      <c r="CA83" s="14">
        <v>0</v>
      </c>
      <c r="CB83" s="14">
        <v>0</v>
      </c>
      <c r="CC83" s="14">
        <v>0</v>
      </c>
      <c r="CD83" s="14">
        <v>0</v>
      </c>
      <c r="CE83" s="14">
        <v>0</v>
      </c>
      <c r="CF83" s="14">
        <v>0</v>
      </c>
    </row>
    <row r="84" spans="1:84" ht="16.5" x14ac:dyDescent="0.3">
      <c r="A84" s="12" t="s">
        <v>156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  <c r="P84" s="13">
        <v>0</v>
      </c>
      <c r="Q84" s="13">
        <v>0</v>
      </c>
      <c r="R84" s="13">
        <v>0</v>
      </c>
      <c r="S84" s="13">
        <v>0</v>
      </c>
      <c r="T84" s="13">
        <v>0</v>
      </c>
      <c r="U84" s="13">
        <v>0</v>
      </c>
      <c r="V84" s="13">
        <v>0</v>
      </c>
      <c r="W84" s="13">
        <v>0</v>
      </c>
      <c r="X84" s="13">
        <v>0</v>
      </c>
      <c r="Y84" s="13">
        <v>0</v>
      </c>
      <c r="Z84" s="13">
        <v>35.299999999999997</v>
      </c>
      <c r="AA84" s="13">
        <v>-30</v>
      </c>
      <c r="AB84" s="13">
        <v>4</v>
      </c>
      <c r="AC84" s="13">
        <v>30.8</v>
      </c>
      <c r="AD84" s="13">
        <v>8.4</v>
      </c>
      <c r="AE84" s="13">
        <v>9.1999999999999993</v>
      </c>
      <c r="AF84" s="13">
        <v>18.899999999999999</v>
      </c>
      <c r="AG84" s="13">
        <v>-33.799999999999997</v>
      </c>
      <c r="AH84" s="13">
        <v>-38.4</v>
      </c>
      <c r="AI84" s="13">
        <v>-20.3</v>
      </c>
      <c r="AJ84" s="13">
        <v>-13.5</v>
      </c>
      <c r="AK84" s="13">
        <v>-72.8</v>
      </c>
      <c r="AL84" s="13">
        <v>3.1</v>
      </c>
      <c r="AM84" s="13">
        <v>-1.3</v>
      </c>
      <c r="AN84" s="13">
        <v>-34.4</v>
      </c>
      <c r="AO84" s="13">
        <v>-1.2</v>
      </c>
      <c r="AP84" s="13">
        <v>-36.5</v>
      </c>
      <c r="AQ84" s="13">
        <v>-24.6</v>
      </c>
      <c r="AR84" s="13">
        <v>-111.2</v>
      </c>
      <c r="AS84" s="13">
        <v>-35.4</v>
      </c>
      <c r="AT84" s="13">
        <v>23.3</v>
      </c>
      <c r="AU84" s="13">
        <v>-39.9</v>
      </c>
      <c r="AV84" s="13">
        <v>-19.8</v>
      </c>
      <c r="AW84" s="14">
        <v>-40.700000000000003</v>
      </c>
      <c r="AX84" s="14">
        <v>83.5</v>
      </c>
      <c r="AY84" s="14">
        <v>22.8</v>
      </c>
      <c r="AZ84" s="14">
        <v>-29.7</v>
      </c>
      <c r="BA84" s="14">
        <v>-165.3</v>
      </c>
      <c r="BB84" s="14">
        <v>-71.7</v>
      </c>
      <c r="BC84" s="14">
        <v>87.9</v>
      </c>
      <c r="BD84" s="14">
        <v>-173.5</v>
      </c>
      <c r="BE84" s="14">
        <v>78.900000000000006</v>
      </c>
      <c r="BF84" s="13">
        <v>-193</v>
      </c>
      <c r="BG84" s="13">
        <v>58.4</v>
      </c>
      <c r="BH84" s="13">
        <v>-199.3</v>
      </c>
      <c r="BI84" s="13">
        <v>320.10000000000002</v>
      </c>
      <c r="BJ84" s="13">
        <v>-190.3</v>
      </c>
      <c r="BK84" s="13">
        <v>-63.7</v>
      </c>
      <c r="BL84" s="13">
        <v>-228.9</v>
      </c>
      <c r="BM84" s="13">
        <v>71.400000000000006</v>
      </c>
      <c r="BN84" s="13">
        <v>-134.72748989999999</v>
      </c>
      <c r="BO84" s="14">
        <v>96.470569330000004</v>
      </c>
      <c r="BP84" s="14">
        <v>-259.95388860000003</v>
      </c>
      <c r="BQ84" s="14">
        <v>217.5149064</v>
      </c>
      <c r="BR84" s="14">
        <v>51.25952444</v>
      </c>
      <c r="BS84" s="14">
        <v>-9.4819313279999999</v>
      </c>
      <c r="BT84" s="14">
        <v>-40.615754729999999</v>
      </c>
      <c r="BU84" s="14">
        <v>-119.7374343</v>
      </c>
      <c r="BV84" s="14">
        <v>-47.9</v>
      </c>
      <c r="BW84" s="14">
        <v>-42.2</v>
      </c>
      <c r="BX84" s="14">
        <v>-192.83271479999999</v>
      </c>
      <c r="BY84" s="14">
        <v>74.933003040000003</v>
      </c>
      <c r="BZ84" s="14">
        <v>-9.8547740941203124</v>
      </c>
      <c r="CA84" s="14">
        <v>166.9247386836837</v>
      </c>
      <c r="CB84" s="14">
        <v>15.013553516570887</v>
      </c>
      <c r="CC84" s="14">
        <v>-310.80128270592718</v>
      </c>
      <c r="CD84" s="14">
        <v>-133.58731192189589</v>
      </c>
      <c r="CE84" s="14">
        <v>105.01243606483619</v>
      </c>
      <c r="CF84" s="14">
        <v>31.055928010158958</v>
      </c>
    </row>
    <row r="85" spans="1:84" ht="16.5" x14ac:dyDescent="0.3">
      <c r="A85" s="12" t="s">
        <v>114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  <c r="W85" s="13">
        <v>0</v>
      </c>
      <c r="X85" s="13">
        <v>0</v>
      </c>
      <c r="Y85" s="13">
        <v>0</v>
      </c>
      <c r="Z85" s="13">
        <v>0</v>
      </c>
      <c r="AA85" s="13">
        <v>0</v>
      </c>
      <c r="AB85" s="13">
        <v>0</v>
      </c>
      <c r="AC85" s="13">
        <v>0</v>
      </c>
      <c r="AD85" s="13">
        <v>0</v>
      </c>
      <c r="AE85" s="13">
        <v>0</v>
      </c>
      <c r="AF85" s="13">
        <v>0</v>
      </c>
      <c r="AG85" s="13">
        <v>-12.9</v>
      </c>
      <c r="AH85" s="13">
        <v>0</v>
      </c>
      <c r="AI85" s="13">
        <v>0</v>
      </c>
      <c r="AJ85" s="13">
        <v>0</v>
      </c>
      <c r="AK85" s="13">
        <v>-21</v>
      </c>
      <c r="AL85" s="13">
        <v>0</v>
      </c>
      <c r="AM85" s="13">
        <v>0</v>
      </c>
      <c r="AN85" s="13">
        <v>-9.1</v>
      </c>
      <c r="AO85" s="13">
        <v>0</v>
      </c>
      <c r="AP85" s="13">
        <v>0.8</v>
      </c>
      <c r="AQ85" s="13">
        <v>0</v>
      </c>
      <c r="AR85" s="13">
        <v>0</v>
      </c>
      <c r="AS85" s="13">
        <v>0.2</v>
      </c>
      <c r="AT85" s="13">
        <v>0</v>
      </c>
      <c r="AU85" s="13">
        <v>0</v>
      </c>
      <c r="AV85" s="13">
        <v>0</v>
      </c>
      <c r="AW85" s="14">
        <v>-3.3</v>
      </c>
      <c r="AX85" s="14">
        <v>-0.2</v>
      </c>
      <c r="AY85" s="14">
        <v>2.2999999999999998</v>
      </c>
      <c r="AZ85" s="14">
        <v>-4.8</v>
      </c>
      <c r="BA85" s="18">
        <v>-0.1</v>
      </c>
      <c r="BB85" s="14">
        <v>-3.4</v>
      </c>
      <c r="BC85" s="14">
        <v>-7.8</v>
      </c>
      <c r="BD85" s="14">
        <v>8.9</v>
      </c>
      <c r="BE85" s="14">
        <v>-1.4</v>
      </c>
      <c r="BF85" s="13">
        <v>3.1</v>
      </c>
      <c r="BG85" s="13">
        <v>-14.4</v>
      </c>
      <c r="BH85" s="13">
        <v>-3.3</v>
      </c>
      <c r="BI85" s="13">
        <v>-13.1</v>
      </c>
      <c r="BJ85" s="13">
        <v>5.5</v>
      </c>
      <c r="BK85" s="13">
        <v>9.1999999999999993</v>
      </c>
      <c r="BL85" s="13">
        <v>3</v>
      </c>
      <c r="BM85" s="13">
        <v>-83.5</v>
      </c>
      <c r="BN85" s="13">
        <v>23.633293609999999</v>
      </c>
      <c r="BO85" s="18">
        <v>23.225383099999998</v>
      </c>
      <c r="BP85" s="18">
        <v>-68.08318027</v>
      </c>
      <c r="BQ85" s="18">
        <v>6.8839463700000003</v>
      </c>
      <c r="BR85" s="18">
        <v>-15.598899279999999</v>
      </c>
      <c r="BS85" s="18">
        <v>-9.8915099299999998</v>
      </c>
      <c r="BT85" s="18">
        <v>2.8678311600000002</v>
      </c>
      <c r="BU85" s="18">
        <v>1.306237187</v>
      </c>
      <c r="BV85" s="18">
        <v>-18.100000000000001</v>
      </c>
      <c r="BW85" s="18">
        <v>8.8000000000000007</v>
      </c>
      <c r="BX85" s="18">
        <v>4.1976384480000002</v>
      </c>
      <c r="BY85" s="18">
        <v>0.33456470399999999</v>
      </c>
      <c r="BZ85" s="18">
        <v>8.5764685900000117</v>
      </c>
      <c r="CA85" s="18">
        <v>-18.201813009999984</v>
      </c>
      <c r="CB85" s="18">
        <v>12.246806849999992</v>
      </c>
      <c r="CC85" s="18">
        <v>11.4337796819141</v>
      </c>
      <c r="CD85" s="18">
        <v>20.747919560071281</v>
      </c>
      <c r="CE85" s="18">
        <v>224.04440635593659</v>
      </c>
      <c r="CF85" s="18">
        <v>181.12804156275061</v>
      </c>
    </row>
    <row r="86" spans="1:84" ht="16.5" x14ac:dyDescent="0.3">
      <c r="A86" s="12" t="s">
        <v>116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  <c r="P86" s="13">
        <v>0</v>
      </c>
      <c r="Q86" s="13">
        <v>0</v>
      </c>
      <c r="R86" s="13">
        <v>0</v>
      </c>
      <c r="S86" s="13">
        <v>0</v>
      </c>
      <c r="T86" s="13">
        <v>0</v>
      </c>
      <c r="U86" s="13">
        <v>0</v>
      </c>
      <c r="V86" s="13">
        <v>0</v>
      </c>
      <c r="W86" s="13">
        <v>0</v>
      </c>
      <c r="X86" s="13">
        <v>0</v>
      </c>
      <c r="Y86" s="13">
        <v>0</v>
      </c>
      <c r="Z86" s="13">
        <v>0</v>
      </c>
      <c r="AA86" s="13">
        <v>0</v>
      </c>
      <c r="AB86" s="13">
        <v>0</v>
      </c>
      <c r="AC86" s="13">
        <v>0</v>
      </c>
      <c r="AD86" s="13">
        <v>0</v>
      </c>
      <c r="AE86" s="13">
        <v>0</v>
      </c>
      <c r="AF86" s="13">
        <v>0</v>
      </c>
      <c r="AG86" s="13">
        <v>0</v>
      </c>
      <c r="AH86" s="13">
        <v>0</v>
      </c>
      <c r="AI86" s="13">
        <v>0</v>
      </c>
      <c r="AJ86" s="13">
        <v>0</v>
      </c>
      <c r="AK86" s="13">
        <v>0</v>
      </c>
      <c r="AL86" s="13">
        <v>0</v>
      </c>
      <c r="AM86" s="13">
        <v>0</v>
      </c>
      <c r="AN86" s="13">
        <v>0</v>
      </c>
      <c r="AO86" s="13">
        <v>0</v>
      </c>
      <c r="AP86" s="13">
        <v>0</v>
      </c>
      <c r="AQ86" s="13">
        <v>0</v>
      </c>
      <c r="AR86" s="13">
        <v>-0.2</v>
      </c>
      <c r="AS86" s="13">
        <v>0</v>
      </c>
      <c r="AT86" s="13">
        <v>0</v>
      </c>
      <c r="AU86" s="13">
        <v>0</v>
      </c>
      <c r="AV86" s="13">
        <v>0</v>
      </c>
      <c r="AW86" s="14">
        <v>0</v>
      </c>
      <c r="AX86" s="14">
        <v>0</v>
      </c>
      <c r="AY86" s="14">
        <v>0</v>
      </c>
      <c r="AZ86" s="14">
        <v>0</v>
      </c>
      <c r="BA86" s="14">
        <v>0</v>
      </c>
      <c r="BB86" s="14">
        <v>0</v>
      </c>
      <c r="BC86" s="14">
        <v>0</v>
      </c>
      <c r="BD86" s="14">
        <v>0</v>
      </c>
      <c r="BE86" s="14">
        <v>0</v>
      </c>
      <c r="BF86" s="13">
        <v>0</v>
      </c>
      <c r="BG86" s="13">
        <v>0</v>
      </c>
      <c r="BH86" s="13">
        <v>8.1999999999999993</v>
      </c>
      <c r="BI86" s="13">
        <v>-1.5</v>
      </c>
      <c r="BJ86" s="13">
        <v>-3.6</v>
      </c>
      <c r="BK86" s="13">
        <v>-29.8</v>
      </c>
      <c r="BL86" s="13">
        <v>-1.8</v>
      </c>
      <c r="BM86" s="13">
        <v>0.8</v>
      </c>
      <c r="BN86" s="13">
        <v>54.467552060000003</v>
      </c>
      <c r="BO86" s="14">
        <v>-29.303030830000001</v>
      </c>
      <c r="BP86" s="14">
        <v>33.316666150000003</v>
      </c>
      <c r="BQ86" s="14">
        <v>32.946136670000001</v>
      </c>
      <c r="BR86" s="14">
        <v>1.2279470370000001</v>
      </c>
      <c r="BS86" s="14">
        <v>-16.376226070000001</v>
      </c>
      <c r="BT86" s="14">
        <v>-1.237469581</v>
      </c>
      <c r="BU86" s="14">
        <v>-2.2061162479999998</v>
      </c>
      <c r="BV86" s="14">
        <v>9.4</v>
      </c>
      <c r="BW86" s="14">
        <v>12.4</v>
      </c>
      <c r="BX86" s="14">
        <v>-19.402126169999999</v>
      </c>
      <c r="BY86" s="14">
        <v>-21.906304739999999</v>
      </c>
      <c r="BZ86" s="14">
        <v>16.677451819810791</v>
      </c>
      <c r="CA86" s="14">
        <v>11.527106678520695</v>
      </c>
      <c r="CB86" s="14">
        <v>5.8769551930998531</v>
      </c>
      <c r="CC86" s="14">
        <v>12.86475794275673</v>
      </c>
      <c r="CD86" s="14">
        <v>7.8948208851958936</v>
      </c>
      <c r="CE86" s="14">
        <v>-1.4436159736483152</v>
      </c>
      <c r="CF86" s="14">
        <v>32.500938623890839</v>
      </c>
    </row>
    <row r="87" spans="1:84" ht="16.5" x14ac:dyDescent="0.3">
      <c r="A87" s="12" t="s">
        <v>120</v>
      </c>
      <c r="B87" s="13">
        <v>0</v>
      </c>
      <c r="C87" s="13">
        <v>0</v>
      </c>
      <c r="D87" s="13">
        <v>0</v>
      </c>
      <c r="E87" s="13">
        <v>0</v>
      </c>
      <c r="F87" s="13">
        <v>0</v>
      </c>
      <c r="G87" s="13">
        <v>0</v>
      </c>
      <c r="H87" s="13">
        <v>0</v>
      </c>
      <c r="I87" s="13">
        <v>0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13">
        <v>0</v>
      </c>
      <c r="P87" s="13">
        <v>0</v>
      </c>
      <c r="Q87" s="13">
        <v>0</v>
      </c>
      <c r="R87" s="13">
        <v>0</v>
      </c>
      <c r="S87" s="13">
        <v>0</v>
      </c>
      <c r="T87" s="13">
        <v>0</v>
      </c>
      <c r="U87" s="13">
        <v>0</v>
      </c>
      <c r="V87" s="13">
        <v>0</v>
      </c>
      <c r="W87" s="13">
        <v>0</v>
      </c>
      <c r="X87" s="13">
        <v>0</v>
      </c>
      <c r="Y87" s="13">
        <v>0</v>
      </c>
      <c r="Z87" s="13">
        <v>35.299999999999997</v>
      </c>
      <c r="AA87" s="13">
        <v>-27.7</v>
      </c>
      <c r="AB87" s="13">
        <v>6</v>
      </c>
      <c r="AC87" s="13">
        <v>23.9</v>
      </c>
      <c r="AD87" s="13">
        <v>8.4</v>
      </c>
      <c r="AE87" s="13">
        <v>8.1</v>
      </c>
      <c r="AF87" s="13">
        <v>18.899999999999999</v>
      </c>
      <c r="AG87" s="13">
        <v>-21.5</v>
      </c>
      <c r="AH87" s="13">
        <v>-38.4</v>
      </c>
      <c r="AI87" s="13">
        <v>-20.3</v>
      </c>
      <c r="AJ87" s="13">
        <v>-13.5</v>
      </c>
      <c r="AK87" s="13">
        <v>-51.8</v>
      </c>
      <c r="AL87" s="13">
        <v>3.1</v>
      </c>
      <c r="AM87" s="13">
        <v>-0.6</v>
      </c>
      <c r="AN87" s="13">
        <v>-25.3</v>
      </c>
      <c r="AO87" s="13">
        <v>-1.2</v>
      </c>
      <c r="AP87" s="13">
        <v>-16.2</v>
      </c>
      <c r="AQ87" s="13">
        <v>-5.6</v>
      </c>
      <c r="AR87" s="13">
        <v>-61.8</v>
      </c>
      <c r="AS87" s="13">
        <v>3.6</v>
      </c>
      <c r="AT87" s="13">
        <v>47.2</v>
      </c>
      <c r="AU87" s="13">
        <v>-13.9</v>
      </c>
      <c r="AV87" s="13">
        <v>2.1</v>
      </c>
      <c r="AW87" s="14">
        <v>-15.5</v>
      </c>
      <c r="AX87" s="14">
        <v>63.9</v>
      </c>
      <c r="AY87" s="14">
        <v>1.3</v>
      </c>
      <c r="AZ87" s="14">
        <v>5</v>
      </c>
      <c r="BA87" s="14">
        <v>-14</v>
      </c>
      <c r="BB87" s="14">
        <v>-104.7</v>
      </c>
      <c r="BC87" s="14">
        <v>74.5</v>
      </c>
      <c r="BD87" s="14">
        <v>-155.9</v>
      </c>
      <c r="BE87" s="14">
        <v>77.3</v>
      </c>
      <c r="BF87" s="13">
        <v>-208.4</v>
      </c>
      <c r="BG87" s="13">
        <v>60.9</v>
      </c>
      <c r="BH87" s="13">
        <v>-205.9</v>
      </c>
      <c r="BI87" s="13">
        <v>323.3</v>
      </c>
      <c r="BJ87" s="13">
        <v>-203.5</v>
      </c>
      <c r="BK87" s="13">
        <v>-39.4</v>
      </c>
      <c r="BL87" s="13">
        <v>-232</v>
      </c>
      <c r="BM87" s="13">
        <v>146.5</v>
      </c>
      <c r="BN87" s="13">
        <v>-247.09393370000001</v>
      </c>
      <c r="BO87" s="14">
        <v>94.406245949999999</v>
      </c>
      <c r="BP87" s="14">
        <v>-229.939561</v>
      </c>
      <c r="BQ87" s="14">
        <v>172.17540020000001</v>
      </c>
      <c r="BR87" s="14">
        <v>111.76798239999999</v>
      </c>
      <c r="BS87" s="14">
        <v>-3.931810993</v>
      </c>
      <c r="BT87" s="14">
        <v>-29.25280102</v>
      </c>
      <c r="BU87" s="14">
        <v>-84.872032079999997</v>
      </c>
      <c r="BV87" s="14">
        <v>-39.9</v>
      </c>
      <c r="BW87" s="14">
        <v>-59.5</v>
      </c>
      <c r="BX87" s="14">
        <v>-177.5992942</v>
      </c>
      <c r="BY87" s="14">
        <v>100.53065359999999</v>
      </c>
      <c r="BZ87" s="14">
        <v>-35.055390215699433</v>
      </c>
      <c r="CA87" s="14">
        <v>191.47105784408916</v>
      </c>
      <c r="CB87" s="14">
        <v>17.987988840414914</v>
      </c>
      <c r="CC87" s="14">
        <v>-335.14029531734838</v>
      </c>
      <c r="CD87" s="14">
        <v>-162.44448493967863</v>
      </c>
      <c r="CE87" s="14">
        <v>-117.36244431960574</v>
      </c>
      <c r="CF87" s="14">
        <v>-182.49965619272464</v>
      </c>
    </row>
    <row r="88" spans="1:84" ht="16.5" x14ac:dyDescent="0.3">
      <c r="A88" s="12" t="s">
        <v>109</v>
      </c>
      <c r="B88" s="13">
        <v>0</v>
      </c>
      <c r="C88" s="13">
        <v>0</v>
      </c>
      <c r="D88" s="13">
        <v>0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  <c r="P88" s="13">
        <v>0</v>
      </c>
      <c r="Q88" s="13">
        <v>0</v>
      </c>
      <c r="R88" s="13">
        <v>0</v>
      </c>
      <c r="S88" s="13">
        <v>0</v>
      </c>
      <c r="T88" s="13">
        <v>0</v>
      </c>
      <c r="U88" s="13">
        <v>0</v>
      </c>
      <c r="V88" s="13">
        <v>0</v>
      </c>
      <c r="W88" s="13">
        <v>0</v>
      </c>
      <c r="X88" s="13">
        <v>0</v>
      </c>
      <c r="Y88" s="13">
        <v>0</v>
      </c>
      <c r="Z88" s="13">
        <v>0</v>
      </c>
      <c r="AA88" s="13">
        <v>0</v>
      </c>
      <c r="AB88" s="13">
        <v>0</v>
      </c>
      <c r="AC88" s="13">
        <v>0</v>
      </c>
      <c r="AD88" s="13">
        <v>0</v>
      </c>
      <c r="AE88" s="13">
        <v>0</v>
      </c>
      <c r="AF88" s="13">
        <v>0</v>
      </c>
      <c r="AG88" s="13">
        <v>0</v>
      </c>
      <c r="AH88" s="13">
        <v>0</v>
      </c>
      <c r="AI88" s="13">
        <v>0</v>
      </c>
      <c r="AJ88" s="13">
        <v>0</v>
      </c>
      <c r="AK88" s="13">
        <v>0</v>
      </c>
      <c r="AL88" s="13">
        <v>0</v>
      </c>
      <c r="AM88" s="13">
        <v>0</v>
      </c>
      <c r="AN88" s="13">
        <v>0</v>
      </c>
      <c r="AO88" s="13">
        <v>0</v>
      </c>
      <c r="AP88" s="13">
        <v>0</v>
      </c>
      <c r="AQ88" s="13">
        <v>0</v>
      </c>
      <c r="AR88" s="13">
        <v>0.7</v>
      </c>
      <c r="AS88" s="13">
        <v>-6.3</v>
      </c>
      <c r="AT88" s="13">
        <v>0.4</v>
      </c>
      <c r="AU88" s="13">
        <v>-2.9</v>
      </c>
      <c r="AV88" s="13">
        <v>2.2000000000000002</v>
      </c>
      <c r="AW88" s="14">
        <v>7.2</v>
      </c>
      <c r="AX88" s="13">
        <v>0</v>
      </c>
      <c r="AY88" s="13">
        <v>0</v>
      </c>
      <c r="AZ88" s="13">
        <v>0</v>
      </c>
      <c r="BA88" s="13">
        <v>0</v>
      </c>
      <c r="BB88" s="13">
        <v>0</v>
      </c>
      <c r="BC88" s="13">
        <v>0</v>
      </c>
      <c r="BD88" s="13">
        <v>0</v>
      </c>
      <c r="BE88" s="13">
        <v>0</v>
      </c>
      <c r="BF88" s="13">
        <v>0</v>
      </c>
      <c r="BG88" s="13">
        <v>0</v>
      </c>
      <c r="BH88" s="13">
        <v>0</v>
      </c>
      <c r="BI88" s="13">
        <v>0</v>
      </c>
      <c r="BJ88" s="13">
        <v>28.2</v>
      </c>
      <c r="BK88" s="13">
        <v>-21</v>
      </c>
      <c r="BL88" s="13">
        <v>0</v>
      </c>
      <c r="BM88" s="13">
        <v>0</v>
      </c>
      <c r="BN88" s="13">
        <v>-27.664054620000002</v>
      </c>
      <c r="BO88" s="14">
        <v>23.836334440000002</v>
      </c>
      <c r="BP88" s="14">
        <v>6.3582540009999997</v>
      </c>
      <c r="BQ88" s="14">
        <v>45.60621931</v>
      </c>
      <c r="BR88" s="14">
        <v>-10.72452519</v>
      </c>
      <c r="BS88" s="14">
        <v>-11.916211329999999</v>
      </c>
      <c r="BT88" s="14">
        <v>0.76760563400000004</v>
      </c>
      <c r="BU88" s="14">
        <v>-9.3916280479999994</v>
      </c>
      <c r="BV88" s="14">
        <v>18.5</v>
      </c>
      <c r="BW88" s="14">
        <v>-12.8</v>
      </c>
      <c r="BX88" s="14">
        <v>10.644856069999999</v>
      </c>
      <c r="BY88" s="14">
        <v>13.083912939999999</v>
      </c>
      <c r="BZ88" s="14">
        <v>-17.613877989022495</v>
      </c>
      <c r="CA88" s="14">
        <v>12.75104932374237</v>
      </c>
      <c r="CB88" s="14">
        <v>-15.16551177231821</v>
      </c>
      <c r="CC88" s="14">
        <v>7.7531311939013277</v>
      </c>
      <c r="CD88" s="14">
        <v>-4.8229014747491785</v>
      </c>
      <c r="CE88" s="14">
        <v>5.752692616324147</v>
      </c>
      <c r="CF88" s="14">
        <v>5.0879825028645573</v>
      </c>
    </row>
    <row r="89" spans="1:84" ht="16.5" x14ac:dyDescent="0.3">
      <c r="A89" s="12" t="s">
        <v>110</v>
      </c>
      <c r="B89" s="13">
        <v>0</v>
      </c>
      <c r="C89" s="13">
        <v>0</v>
      </c>
      <c r="D89" s="13">
        <v>0</v>
      </c>
      <c r="E89" s="13">
        <v>0</v>
      </c>
      <c r="F89" s="13">
        <v>0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13">
        <v>0</v>
      </c>
      <c r="P89" s="13">
        <v>0</v>
      </c>
      <c r="Q89" s="13">
        <v>0</v>
      </c>
      <c r="R89" s="13">
        <v>0</v>
      </c>
      <c r="S89" s="13">
        <v>0</v>
      </c>
      <c r="T89" s="13">
        <v>0</v>
      </c>
      <c r="U89" s="13">
        <v>0</v>
      </c>
      <c r="V89" s="13">
        <v>0</v>
      </c>
      <c r="W89" s="13">
        <v>0</v>
      </c>
      <c r="X89" s="13">
        <v>0</v>
      </c>
      <c r="Y89" s="13">
        <v>0</v>
      </c>
      <c r="Z89" s="13">
        <v>0</v>
      </c>
      <c r="AA89" s="13">
        <v>0</v>
      </c>
      <c r="AB89" s="13">
        <v>0</v>
      </c>
      <c r="AC89" s="13">
        <v>0</v>
      </c>
      <c r="AD89" s="13">
        <v>0</v>
      </c>
      <c r="AE89" s="13">
        <v>0</v>
      </c>
      <c r="AF89" s="13">
        <v>0</v>
      </c>
      <c r="AG89" s="13">
        <v>0</v>
      </c>
      <c r="AH89" s="13">
        <v>0</v>
      </c>
      <c r="AI89" s="13">
        <v>0</v>
      </c>
      <c r="AJ89" s="13">
        <v>0</v>
      </c>
      <c r="AK89" s="13">
        <v>0</v>
      </c>
      <c r="AL89" s="13">
        <v>0</v>
      </c>
      <c r="AM89" s="13">
        <v>0</v>
      </c>
      <c r="AN89" s="13">
        <v>0</v>
      </c>
      <c r="AO89" s="13">
        <v>0</v>
      </c>
      <c r="AP89" s="13">
        <v>0</v>
      </c>
      <c r="AQ89" s="13">
        <v>0</v>
      </c>
      <c r="AR89" s="13">
        <v>0</v>
      </c>
      <c r="AS89" s="13">
        <v>0</v>
      </c>
      <c r="AT89" s="13">
        <v>0</v>
      </c>
      <c r="AU89" s="13">
        <v>0</v>
      </c>
      <c r="AV89" s="13">
        <v>0</v>
      </c>
      <c r="AW89" s="14">
        <v>0</v>
      </c>
      <c r="AX89" s="13">
        <v>0</v>
      </c>
      <c r="AY89" s="13">
        <v>0</v>
      </c>
      <c r="AZ89" s="13">
        <v>0</v>
      </c>
      <c r="BA89" s="13">
        <v>0</v>
      </c>
      <c r="BB89" s="13">
        <v>0</v>
      </c>
      <c r="BC89" s="13">
        <v>0</v>
      </c>
      <c r="BD89" s="13">
        <v>0</v>
      </c>
      <c r="BE89" s="13">
        <v>0</v>
      </c>
      <c r="BF89" s="13">
        <v>0</v>
      </c>
      <c r="BG89" s="13">
        <v>0</v>
      </c>
      <c r="BH89" s="13">
        <v>0</v>
      </c>
      <c r="BI89" s="13">
        <v>0</v>
      </c>
      <c r="BJ89" s="13">
        <v>0</v>
      </c>
      <c r="BK89" s="13">
        <v>0</v>
      </c>
      <c r="BL89" s="13">
        <v>0</v>
      </c>
      <c r="BM89" s="13">
        <v>0</v>
      </c>
      <c r="BN89" s="13">
        <v>0</v>
      </c>
      <c r="BO89" s="14">
        <v>0</v>
      </c>
      <c r="BP89" s="14">
        <v>0</v>
      </c>
      <c r="BQ89" s="14">
        <v>0</v>
      </c>
      <c r="BR89" s="14">
        <v>0</v>
      </c>
      <c r="BS89" s="14">
        <v>0</v>
      </c>
      <c r="BT89" s="14">
        <v>0</v>
      </c>
      <c r="BU89" s="14">
        <v>0</v>
      </c>
      <c r="BV89" s="14">
        <v>0</v>
      </c>
      <c r="BW89" s="14">
        <v>0</v>
      </c>
      <c r="BX89" s="14">
        <v>0</v>
      </c>
      <c r="BY89" s="14">
        <v>0</v>
      </c>
      <c r="BZ89" s="14">
        <v>0</v>
      </c>
      <c r="CA89" s="14">
        <v>0</v>
      </c>
      <c r="CB89" s="14">
        <v>0</v>
      </c>
      <c r="CC89" s="14">
        <v>0</v>
      </c>
      <c r="CD89" s="14">
        <v>0</v>
      </c>
      <c r="CE89" s="14">
        <v>0</v>
      </c>
      <c r="CF89" s="14">
        <v>0</v>
      </c>
    </row>
    <row r="90" spans="1:84" ht="16.5" x14ac:dyDescent="0.3">
      <c r="A90" s="12" t="s">
        <v>111</v>
      </c>
      <c r="B90" s="13">
        <v>0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  <c r="P90" s="13">
        <v>0</v>
      </c>
      <c r="Q90" s="13">
        <v>0</v>
      </c>
      <c r="R90" s="13">
        <v>0</v>
      </c>
      <c r="S90" s="13">
        <v>0</v>
      </c>
      <c r="T90" s="13">
        <v>0</v>
      </c>
      <c r="U90" s="13">
        <v>0</v>
      </c>
      <c r="V90" s="13">
        <v>0</v>
      </c>
      <c r="W90" s="13">
        <v>0</v>
      </c>
      <c r="X90" s="13">
        <v>0</v>
      </c>
      <c r="Y90" s="13">
        <v>0</v>
      </c>
      <c r="Z90" s="13">
        <v>35.299999999999997</v>
      </c>
      <c r="AA90" s="13">
        <v>-27.7</v>
      </c>
      <c r="AB90" s="13">
        <v>6</v>
      </c>
      <c r="AC90" s="13">
        <v>23.9</v>
      </c>
      <c r="AD90" s="13">
        <v>8.4</v>
      </c>
      <c r="AE90" s="13">
        <v>8.1</v>
      </c>
      <c r="AF90" s="13">
        <v>18.899999999999999</v>
      </c>
      <c r="AG90" s="13">
        <v>-21.5</v>
      </c>
      <c r="AH90" s="13">
        <v>-38.4</v>
      </c>
      <c r="AI90" s="13">
        <v>-20.3</v>
      </c>
      <c r="AJ90" s="13">
        <v>-13.5</v>
      </c>
      <c r="AK90" s="13">
        <v>-51.8</v>
      </c>
      <c r="AL90" s="13">
        <v>3.1</v>
      </c>
      <c r="AM90" s="13">
        <v>-0.6</v>
      </c>
      <c r="AN90" s="13">
        <v>-25.3</v>
      </c>
      <c r="AO90" s="13">
        <v>-1.2</v>
      </c>
      <c r="AP90" s="13">
        <v>-16.3</v>
      </c>
      <c r="AQ90" s="13">
        <v>-5.6</v>
      </c>
      <c r="AR90" s="13">
        <v>-62.4</v>
      </c>
      <c r="AS90" s="13">
        <v>9.9</v>
      </c>
      <c r="AT90" s="13">
        <v>46.8</v>
      </c>
      <c r="AU90" s="13">
        <v>-11</v>
      </c>
      <c r="AV90" s="13">
        <v>-0.1</v>
      </c>
      <c r="AW90" s="14">
        <v>-22.7</v>
      </c>
      <c r="AX90" s="19">
        <v>63.9</v>
      </c>
      <c r="AY90" s="19">
        <v>1.3</v>
      </c>
      <c r="AZ90" s="19">
        <v>5</v>
      </c>
      <c r="BA90" s="19">
        <v>-14</v>
      </c>
      <c r="BB90" s="19">
        <v>7.5</v>
      </c>
      <c r="BC90" s="19">
        <v>3.8</v>
      </c>
      <c r="BD90" s="19">
        <v>-53.6</v>
      </c>
      <c r="BE90" s="19">
        <v>-34.299999999999997</v>
      </c>
      <c r="BF90" s="13">
        <v>-18.3</v>
      </c>
      <c r="BG90" s="13">
        <v>7.2</v>
      </c>
      <c r="BH90" s="13">
        <v>-22.3</v>
      </c>
      <c r="BI90" s="13">
        <v>-72.5</v>
      </c>
      <c r="BJ90" s="13">
        <v>-29.8</v>
      </c>
      <c r="BK90" s="13">
        <v>-55.3</v>
      </c>
      <c r="BL90" s="13">
        <v>-80</v>
      </c>
      <c r="BM90" s="13">
        <v>-75</v>
      </c>
      <c r="BN90" s="13">
        <v>-61.595848429999997</v>
      </c>
      <c r="BO90" s="20">
        <v>37.173813279999997</v>
      </c>
      <c r="BP90" s="20">
        <v>41.800226440000003</v>
      </c>
      <c r="BQ90" s="20">
        <v>-7.9321941210000002</v>
      </c>
      <c r="BR90" s="20">
        <v>48.46110899</v>
      </c>
      <c r="BS90" s="20">
        <v>-25.135488980000002</v>
      </c>
      <c r="BT90" s="20">
        <v>8.8468188720000001</v>
      </c>
      <c r="BU90" s="20">
        <v>-51.228206389999997</v>
      </c>
      <c r="BV90" s="20">
        <v>-5.2</v>
      </c>
      <c r="BW90" s="20">
        <v>-35.4</v>
      </c>
      <c r="BX90" s="20">
        <v>-71.428928020000001</v>
      </c>
      <c r="BY90" s="20">
        <v>-102.8561701</v>
      </c>
      <c r="BZ90" s="20">
        <v>-80.046182065341171</v>
      </c>
      <c r="CA90" s="20">
        <v>162.24311726448315</v>
      </c>
      <c r="CB90" s="20">
        <v>57.196389152732934</v>
      </c>
      <c r="CC90" s="20">
        <v>-101.06680218224949</v>
      </c>
      <c r="CD90" s="20">
        <v>-71.973588320439063</v>
      </c>
      <c r="CE90" s="20">
        <v>-4.6852986291087149</v>
      </c>
      <c r="CF90" s="20">
        <v>-66.555809612783591</v>
      </c>
    </row>
    <row r="91" spans="1:84" ht="16.5" x14ac:dyDescent="0.3">
      <c r="A91" s="12" t="s">
        <v>112</v>
      </c>
      <c r="B91" s="13">
        <v>0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13">
        <v>0</v>
      </c>
      <c r="M91" s="13">
        <v>0</v>
      </c>
      <c r="N91" s="13">
        <v>0</v>
      </c>
      <c r="O91" s="13">
        <v>0</v>
      </c>
      <c r="P91" s="13">
        <v>0</v>
      </c>
      <c r="Q91" s="13">
        <v>0</v>
      </c>
      <c r="R91" s="13">
        <v>0</v>
      </c>
      <c r="S91" s="13">
        <v>0</v>
      </c>
      <c r="T91" s="13">
        <v>0</v>
      </c>
      <c r="U91" s="13">
        <v>0</v>
      </c>
      <c r="V91" s="13">
        <v>0</v>
      </c>
      <c r="W91" s="13">
        <v>0</v>
      </c>
      <c r="X91" s="13">
        <v>0</v>
      </c>
      <c r="Y91" s="13">
        <v>0</v>
      </c>
      <c r="Z91" s="13">
        <v>0</v>
      </c>
      <c r="AA91" s="13">
        <v>0</v>
      </c>
      <c r="AB91" s="13">
        <v>0</v>
      </c>
      <c r="AC91" s="13">
        <v>0</v>
      </c>
      <c r="AD91" s="13">
        <v>0</v>
      </c>
      <c r="AE91" s="13">
        <v>0</v>
      </c>
      <c r="AF91" s="13">
        <v>0</v>
      </c>
      <c r="AG91" s="13">
        <v>0</v>
      </c>
      <c r="AH91" s="13">
        <v>0</v>
      </c>
      <c r="AI91" s="13">
        <v>0</v>
      </c>
      <c r="AJ91" s="13">
        <v>0</v>
      </c>
      <c r="AK91" s="13">
        <v>0</v>
      </c>
      <c r="AL91" s="13">
        <v>0</v>
      </c>
      <c r="AM91" s="13">
        <v>0</v>
      </c>
      <c r="AN91" s="13">
        <v>0</v>
      </c>
      <c r="AO91" s="13">
        <v>0</v>
      </c>
      <c r="AP91" s="13">
        <v>0</v>
      </c>
      <c r="AQ91" s="13">
        <v>0</v>
      </c>
      <c r="AR91" s="13">
        <v>0</v>
      </c>
      <c r="AS91" s="13">
        <v>0</v>
      </c>
      <c r="AT91" s="13">
        <v>0</v>
      </c>
      <c r="AU91" s="13">
        <v>0</v>
      </c>
      <c r="AV91" s="13">
        <v>0</v>
      </c>
      <c r="AW91" s="14">
        <v>0</v>
      </c>
      <c r="AX91" s="13">
        <v>0</v>
      </c>
      <c r="AY91" s="13">
        <v>0</v>
      </c>
      <c r="AZ91" s="13">
        <v>0</v>
      </c>
      <c r="BA91" s="13">
        <v>0</v>
      </c>
      <c r="BB91" s="13">
        <v>-112.2</v>
      </c>
      <c r="BC91" s="13">
        <v>70.7</v>
      </c>
      <c r="BD91" s="13">
        <v>-102.3</v>
      </c>
      <c r="BE91" s="13">
        <v>111.6</v>
      </c>
      <c r="BF91" s="13">
        <v>-190.1</v>
      </c>
      <c r="BG91" s="13">
        <v>53.7</v>
      </c>
      <c r="BH91" s="13">
        <v>-183.6</v>
      </c>
      <c r="BI91" s="13">
        <v>395.9</v>
      </c>
      <c r="BJ91" s="13">
        <v>-201.9</v>
      </c>
      <c r="BK91" s="13">
        <v>36.9</v>
      </c>
      <c r="BL91" s="13">
        <v>-152</v>
      </c>
      <c r="BM91" s="13">
        <v>221.5</v>
      </c>
      <c r="BN91" s="13">
        <v>-157.83403060000001</v>
      </c>
      <c r="BO91" s="14">
        <v>33.396098240000001</v>
      </c>
      <c r="BP91" s="14">
        <v>-278.0980414</v>
      </c>
      <c r="BQ91" s="14">
        <v>134.501375</v>
      </c>
      <c r="BR91" s="14">
        <v>74.031398550000006</v>
      </c>
      <c r="BS91" s="14">
        <v>33.119889309999998</v>
      </c>
      <c r="BT91" s="14">
        <v>-38.867225529999999</v>
      </c>
      <c r="BU91" s="14">
        <v>-24.252197639999999</v>
      </c>
      <c r="BV91" s="14">
        <v>-53.2</v>
      </c>
      <c r="BW91" s="14">
        <v>-11.3</v>
      </c>
      <c r="BX91" s="14">
        <v>-116.81522219999999</v>
      </c>
      <c r="BY91" s="14">
        <v>190.30291080000001</v>
      </c>
      <c r="BZ91" s="14">
        <v>62.604669838664236</v>
      </c>
      <c r="CA91" s="14">
        <v>16.476891255863663</v>
      </c>
      <c r="CB91" s="14">
        <v>-24.042888539999808</v>
      </c>
      <c r="CC91" s="14">
        <v>-241.8266243290002</v>
      </c>
      <c r="CD91" s="14">
        <v>-85.647995144490395</v>
      </c>
      <c r="CE91" s="14">
        <v>-118.42983830682117</v>
      </c>
      <c r="CF91" s="14">
        <v>-121.03182908280561</v>
      </c>
    </row>
    <row r="92" spans="1:84" ht="16.5" x14ac:dyDescent="0.3">
      <c r="A92" s="12" t="s">
        <v>157</v>
      </c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0</v>
      </c>
      <c r="U92" s="13">
        <v>0</v>
      </c>
      <c r="V92" s="13">
        <v>0</v>
      </c>
      <c r="W92" s="13">
        <v>0</v>
      </c>
      <c r="X92" s="13">
        <v>0</v>
      </c>
      <c r="Y92" s="13">
        <v>0</v>
      </c>
      <c r="Z92" s="13">
        <v>0</v>
      </c>
      <c r="AA92" s="13">
        <v>-2.2999999999999998</v>
      </c>
      <c r="AB92" s="13">
        <v>-2</v>
      </c>
      <c r="AC92" s="13">
        <v>6.9</v>
      </c>
      <c r="AD92" s="13">
        <v>0</v>
      </c>
      <c r="AE92" s="13">
        <v>1.1000000000000001</v>
      </c>
      <c r="AF92" s="13">
        <v>0</v>
      </c>
      <c r="AG92" s="13">
        <v>0.5</v>
      </c>
      <c r="AH92" s="13">
        <v>0</v>
      </c>
      <c r="AI92" s="13">
        <v>0</v>
      </c>
      <c r="AJ92" s="13">
        <v>0</v>
      </c>
      <c r="AK92" s="13">
        <v>0</v>
      </c>
      <c r="AL92" s="13">
        <v>0</v>
      </c>
      <c r="AM92" s="13">
        <v>-0.8</v>
      </c>
      <c r="AN92" s="13">
        <v>0</v>
      </c>
      <c r="AO92" s="13">
        <v>0</v>
      </c>
      <c r="AP92" s="13">
        <v>-21</v>
      </c>
      <c r="AQ92" s="13">
        <v>-18.899999999999999</v>
      </c>
      <c r="AR92" s="13">
        <v>-49.3</v>
      </c>
      <c r="AS92" s="13">
        <v>-39.299999999999997</v>
      </c>
      <c r="AT92" s="13">
        <v>-24</v>
      </c>
      <c r="AU92" s="13">
        <v>-26</v>
      </c>
      <c r="AV92" s="13">
        <v>-21.9</v>
      </c>
      <c r="AW92" s="14">
        <v>-21.9</v>
      </c>
      <c r="AX92" s="14">
        <v>19.7</v>
      </c>
      <c r="AY92" s="14">
        <v>19.2</v>
      </c>
      <c r="AZ92" s="14">
        <v>-29.9</v>
      </c>
      <c r="BA92" s="14">
        <v>-151.19999999999999</v>
      </c>
      <c r="BB92" s="14">
        <v>36.299999999999997</v>
      </c>
      <c r="BC92" s="14">
        <v>21.2</v>
      </c>
      <c r="BD92" s="14">
        <v>-26.5</v>
      </c>
      <c r="BE92" s="14">
        <v>3</v>
      </c>
      <c r="BF92" s="13">
        <v>12.3</v>
      </c>
      <c r="BG92" s="13">
        <v>11.9</v>
      </c>
      <c r="BH92" s="13">
        <v>1.7</v>
      </c>
      <c r="BI92" s="13">
        <v>11.4</v>
      </c>
      <c r="BJ92" s="13">
        <v>11.3</v>
      </c>
      <c r="BK92" s="13">
        <v>-3.7</v>
      </c>
      <c r="BL92" s="13">
        <v>1.9</v>
      </c>
      <c r="BM92" s="13">
        <v>7.6</v>
      </c>
      <c r="BN92" s="13">
        <v>34.265598150000002</v>
      </c>
      <c r="BO92" s="14">
        <v>8.1419711110000001</v>
      </c>
      <c r="BP92" s="14">
        <v>4.7521865099999996</v>
      </c>
      <c r="BQ92" s="14">
        <v>5.509423183</v>
      </c>
      <c r="BR92" s="14">
        <v>-46.137505670000003</v>
      </c>
      <c r="BS92" s="14">
        <v>20.717615670000001</v>
      </c>
      <c r="BT92" s="14">
        <v>-12.99331529</v>
      </c>
      <c r="BU92" s="14">
        <v>-33.96552312</v>
      </c>
      <c r="BV92" s="14">
        <v>0.7</v>
      </c>
      <c r="BW92" s="14">
        <v>-3.9</v>
      </c>
      <c r="BX92" s="14">
        <v>-2.8932955999999999E-2</v>
      </c>
      <c r="BY92" s="14">
        <v>-4.0259105699999997</v>
      </c>
      <c r="BZ92" s="14">
        <v>-5.3304288231683108E-2</v>
      </c>
      <c r="CA92" s="14">
        <v>-17.871612828926178</v>
      </c>
      <c r="CB92" s="14">
        <v>-21.098197366943872</v>
      </c>
      <c r="CC92" s="14">
        <v>4.0474986750399802E-2</v>
      </c>
      <c r="CD92" s="14">
        <v>0.21443257251556214</v>
      </c>
      <c r="CE92" s="14">
        <v>-0.22590999784633348</v>
      </c>
      <c r="CF92" s="14">
        <v>-7.3395983757856664E-2</v>
      </c>
    </row>
    <row r="93" spans="1:84" ht="16.5" x14ac:dyDescent="0.3">
      <c r="A93" s="12" t="s">
        <v>109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  <c r="J93" s="13">
        <v>0</v>
      </c>
      <c r="K93" s="13">
        <v>0</v>
      </c>
      <c r="L93" s="13">
        <v>0</v>
      </c>
      <c r="M93" s="13">
        <v>0</v>
      </c>
      <c r="N93" s="13">
        <v>0</v>
      </c>
      <c r="O93" s="13">
        <v>0</v>
      </c>
      <c r="P93" s="13">
        <v>0</v>
      </c>
      <c r="Q93" s="13">
        <v>0</v>
      </c>
      <c r="R93" s="13">
        <v>0</v>
      </c>
      <c r="S93" s="13">
        <v>0</v>
      </c>
      <c r="T93" s="13">
        <v>0</v>
      </c>
      <c r="U93" s="13">
        <v>0</v>
      </c>
      <c r="V93" s="13">
        <v>0</v>
      </c>
      <c r="W93" s="13">
        <v>0</v>
      </c>
      <c r="X93" s="13">
        <v>0</v>
      </c>
      <c r="Y93" s="13">
        <v>0</v>
      </c>
      <c r="Z93" s="13">
        <v>0</v>
      </c>
      <c r="AA93" s="13">
        <v>-2.2999999999999998</v>
      </c>
      <c r="AB93" s="13">
        <v>-2</v>
      </c>
      <c r="AC93" s="13">
        <v>6.9</v>
      </c>
      <c r="AD93" s="13">
        <v>0</v>
      </c>
      <c r="AE93" s="13">
        <v>1.1000000000000001</v>
      </c>
      <c r="AF93" s="13">
        <v>0</v>
      </c>
      <c r="AG93" s="13">
        <v>0.5</v>
      </c>
      <c r="AH93" s="13">
        <v>0</v>
      </c>
      <c r="AI93" s="13">
        <v>0</v>
      </c>
      <c r="AJ93" s="13">
        <v>0</v>
      </c>
      <c r="AK93" s="13">
        <v>0</v>
      </c>
      <c r="AL93" s="13">
        <v>0</v>
      </c>
      <c r="AM93" s="13">
        <v>-0.8</v>
      </c>
      <c r="AN93" s="13">
        <v>0</v>
      </c>
      <c r="AO93" s="13">
        <v>0</v>
      </c>
      <c r="AP93" s="13">
        <v>0</v>
      </c>
      <c r="AQ93" s="13">
        <v>0</v>
      </c>
      <c r="AR93" s="13">
        <v>0</v>
      </c>
      <c r="AS93" s="13">
        <v>0</v>
      </c>
      <c r="AT93" s="13">
        <v>0</v>
      </c>
      <c r="AU93" s="13">
        <v>0</v>
      </c>
      <c r="AV93" s="13">
        <v>0</v>
      </c>
      <c r="AW93" s="14">
        <v>0</v>
      </c>
      <c r="AX93" s="14">
        <v>4.5999999999999996</v>
      </c>
      <c r="AY93" s="14">
        <v>-2.1</v>
      </c>
      <c r="AZ93" s="14">
        <v>-37.6</v>
      </c>
      <c r="BA93" s="14">
        <v>-151.30000000000001</v>
      </c>
      <c r="BB93" s="14">
        <v>34.799999999999997</v>
      </c>
      <c r="BC93" s="14">
        <v>30.5</v>
      </c>
      <c r="BD93" s="14">
        <v>-20.100000000000001</v>
      </c>
      <c r="BE93" s="14">
        <v>-4.3</v>
      </c>
      <c r="BF93" s="13">
        <v>-5.6</v>
      </c>
      <c r="BG93" s="13">
        <v>11.3</v>
      </c>
      <c r="BH93" s="13">
        <v>0.7</v>
      </c>
      <c r="BI93" s="13">
        <v>11.2</v>
      </c>
      <c r="BJ93" s="13">
        <v>0.5</v>
      </c>
      <c r="BK93" s="13">
        <v>4.4000000000000004</v>
      </c>
      <c r="BL93" s="13">
        <v>-1.6</v>
      </c>
      <c r="BM93" s="13">
        <v>2.6</v>
      </c>
      <c r="BN93" s="13">
        <v>-1.26659553</v>
      </c>
      <c r="BO93" s="14">
        <v>-1.5777035749999999</v>
      </c>
      <c r="BP93" s="14">
        <v>-1.0112891939999999</v>
      </c>
      <c r="BQ93" s="14">
        <v>5.6465223440000001</v>
      </c>
      <c r="BR93" s="14">
        <v>-0.102824447</v>
      </c>
      <c r="BS93" s="14">
        <v>-0.89620750000000005</v>
      </c>
      <c r="BT93" s="14">
        <v>-1.6742830660000001</v>
      </c>
      <c r="BU93" s="14">
        <v>0.76625609500000003</v>
      </c>
      <c r="BV93" s="14">
        <v>0.9</v>
      </c>
      <c r="BW93" s="14">
        <v>-6.6</v>
      </c>
      <c r="BX93" s="14">
        <v>1.1221462E-2</v>
      </c>
      <c r="BY93" s="14">
        <v>1.1221462E-2</v>
      </c>
      <c r="BZ93" s="14">
        <v>-2.3107595782327683E-2</v>
      </c>
      <c r="CA93" s="14">
        <v>-3.2656791515718542E-2</v>
      </c>
      <c r="CB93" s="14">
        <v>-9.9229951348806757</v>
      </c>
      <c r="CC93" s="14">
        <v>2.2414392003726746E-3</v>
      </c>
      <c r="CD93" s="14">
        <v>0</v>
      </c>
      <c r="CE93" s="14">
        <v>1.3822514760507276E-2</v>
      </c>
      <c r="CF93" s="14">
        <v>9.649896517412937E-3</v>
      </c>
    </row>
    <row r="94" spans="1:84" ht="16.5" x14ac:dyDescent="0.3">
      <c r="A94" s="12" t="s">
        <v>158</v>
      </c>
      <c r="B94" s="13">
        <v>0</v>
      </c>
      <c r="C94" s="13">
        <v>0</v>
      </c>
      <c r="D94" s="13">
        <v>0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  <c r="P94" s="13">
        <v>0</v>
      </c>
      <c r="Q94" s="13">
        <v>0</v>
      </c>
      <c r="R94" s="13">
        <v>0</v>
      </c>
      <c r="S94" s="13">
        <v>0</v>
      </c>
      <c r="T94" s="13">
        <v>0</v>
      </c>
      <c r="U94" s="13">
        <v>0</v>
      </c>
      <c r="V94" s="13">
        <v>0</v>
      </c>
      <c r="W94" s="13">
        <v>0</v>
      </c>
      <c r="X94" s="13">
        <v>0</v>
      </c>
      <c r="Y94" s="13">
        <v>0</v>
      </c>
      <c r="Z94" s="13">
        <v>0</v>
      </c>
      <c r="AA94" s="13">
        <v>0</v>
      </c>
      <c r="AB94" s="13">
        <v>0</v>
      </c>
      <c r="AC94" s="13">
        <v>0</v>
      </c>
      <c r="AD94" s="13">
        <v>0</v>
      </c>
      <c r="AE94" s="13">
        <v>0</v>
      </c>
      <c r="AF94" s="13">
        <v>0</v>
      </c>
      <c r="AG94" s="13">
        <v>0</v>
      </c>
      <c r="AH94" s="13">
        <v>0</v>
      </c>
      <c r="AI94" s="13">
        <v>0</v>
      </c>
      <c r="AJ94" s="13">
        <v>0</v>
      </c>
      <c r="AK94" s="13">
        <v>0</v>
      </c>
      <c r="AL94" s="13">
        <v>0</v>
      </c>
      <c r="AM94" s="13">
        <v>0</v>
      </c>
      <c r="AN94" s="13">
        <v>0</v>
      </c>
      <c r="AO94" s="13">
        <v>0</v>
      </c>
      <c r="AP94" s="13">
        <v>0</v>
      </c>
      <c r="AQ94" s="13">
        <v>0</v>
      </c>
      <c r="AR94" s="13">
        <v>0</v>
      </c>
      <c r="AS94" s="13">
        <v>0</v>
      </c>
      <c r="AT94" s="13">
        <v>0</v>
      </c>
      <c r="AU94" s="13">
        <v>0</v>
      </c>
      <c r="AV94" s="13">
        <v>0</v>
      </c>
      <c r="AW94" s="14">
        <v>0</v>
      </c>
      <c r="AX94" s="14">
        <v>0</v>
      </c>
      <c r="AY94" s="14">
        <v>0</v>
      </c>
      <c r="AZ94" s="14">
        <v>0</v>
      </c>
      <c r="BA94" s="14">
        <v>0</v>
      </c>
      <c r="BB94" s="14">
        <v>0</v>
      </c>
      <c r="BC94" s="14">
        <v>0</v>
      </c>
      <c r="BD94" s="14">
        <v>0</v>
      </c>
      <c r="BE94" s="14">
        <v>0</v>
      </c>
      <c r="BF94" s="13">
        <v>0</v>
      </c>
      <c r="BG94" s="13">
        <v>0</v>
      </c>
      <c r="BH94" s="13">
        <v>0</v>
      </c>
      <c r="BI94" s="13">
        <v>0</v>
      </c>
      <c r="BJ94" s="13">
        <v>0</v>
      </c>
      <c r="BK94" s="13">
        <v>0</v>
      </c>
      <c r="BL94" s="13">
        <v>0</v>
      </c>
      <c r="BM94" s="13">
        <v>0</v>
      </c>
      <c r="BN94" s="13">
        <v>0</v>
      </c>
      <c r="BO94" s="14">
        <v>0</v>
      </c>
      <c r="BP94" s="14">
        <v>0</v>
      </c>
      <c r="BQ94" s="14">
        <v>0</v>
      </c>
      <c r="BR94" s="14">
        <v>0</v>
      </c>
      <c r="BS94" s="14">
        <v>0</v>
      </c>
      <c r="BT94" s="14">
        <v>0</v>
      </c>
      <c r="BU94" s="14">
        <v>0</v>
      </c>
      <c r="BV94" s="14">
        <v>0</v>
      </c>
      <c r="BW94" s="14">
        <v>0</v>
      </c>
      <c r="BX94" s="14">
        <v>0</v>
      </c>
      <c r="BY94" s="14">
        <v>0</v>
      </c>
      <c r="BZ94" s="14">
        <v>0</v>
      </c>
      <c r="CA94" s="14">
        <v>0</v>
      </c>
      <c r="CB94" s="14">
        <v>0</v>
      </c>
      <c r="CC94" s="14">
        <v>0</v>
      </c>
      <c r="CD94" s="14">
        <v>0</v>
      </c>
      <c r="CE94" s="14">
        <v>0</v>
      </c>
      <c r="CF94" s="14">
        <v>9.1766E-3</v>
      </c>
    </row>
    <row r="95" spans="1:84" ht="16.5" x14ac:dyDescent="0.3">
      <c r="A95" s="12" t="s">
        <v>113</v>
      </c>
      <c r="B95" s="13">
        <v>0</v>
      </c>
      <c r="C95" s="13">
        <v>0</v>
      </c>
      <c r="D95" s="13">
        <v>0</v>
      </c>
      <c r="E95" s="13">
        <v>0</v>
      </c>
      <c r="F95" s="13">
        <v>0</v>
      </c>
      <c r="G95" s="13">
        <v>0</v>
      </c>
      <c r="H95" s="13">
        <v>0</v>
      </c>
      <c r="I95" s="13">
        <v>0</v>
      </c>
      <c r="J95" s="13">
        <v>0</v>
      </c>
      <c r="K95" s="13">
        <v>0</v>
      </c>
      <c r="L95" s="13">
        <v>0</v>
      </c>
      <c r="M95" s="13">
        <v>0</v>
      </c>
      <c r="N95" s="13">
        <v>0</v>
      </c>
      <c r="O95" s="13">
        <v>0</v>
      </c>
      <c r="P95" s="13">
        <v>0</v>
      </c>
      <c r="Q95" s="13">
        <v>0</v>
      </c>
      <c r="R95" s="13">
        <v>0</v>
      </c>
      <c r="S95" s="13">
        <v>0</v>
      </c>
      <c r="T95" s="13">
        <v>0</v>
      </c>
      <c r="U95" s="13">
        <v>0</v>
      </c>
      <c r="V95" s="13">
        <v>0</v>
      </c>
      <c r="W95" s="13">
        <v>0</v>
      </c>
      <c r="X95" s="13">
        <v>0</v>
      </c>
      <c r="Y95" s="13">
        <v>0</v>
      </c>
      <c r="Z95" s="13">
        <v>0</v>
      </c>
      <c r="AA95" s="13">
        <v>0</v>
      </c>
      <c r="AB95" s="13">
        <v>0</v>
      </c>
      <c r="AC95" s="13">
        <v>0</v>
      </c>
      <c r="AD95" s="13">
        <v>0</v>
      </c>
      <c r="AE95" s="13">
        <v>0</v>
      </c>
      <c r="AF95" s="13">
        <v>0</v>
      </c>
      <c r="AG95" s="13">
        <v>0</v>
      </c>
      <c r="AH95" s="13">
        <v>0</v>
      </c>
      <c r="AI95" s="13">
        <v>0</v>
      </c>
      <c r="AJ95" s="13">
        <v>0</v>
      </c>
      <c r="AK95" s="13">
        <v>0</v>
      </c>
      <c r="AL95" s="13">
        <v>0</v>
      </c>
      <c r="AM95" s="13">
        <v>0</v>
      </c>
      <c r="AN95" s="13">
        <v>0</v>
      </c>
      <c r="AO95" s="13">
        <v>0</v>
      </c>
      <c r="AP95" s="13">
        <v>0</v>
      </c>
      <c r="AQ95" s="13">
        <v>0</v>
      </c>
      <c r="AR95" s="13">
        <v>0</v>
      </c>
      <c r="AS95" s="13">
        <v>0</v>
      </c>
      <c r="AT95" s="13">
        <v>0</v>
      </c>
      <c r="AU95" s="13">
        <v>0</v>
      </c>
      <c r="AV95" s="13">
        <v>0</v>
      </c>
      <c r="AW95" s="14">
        <v>0</v>
      </c>
      <c r="AX95" s="14">
        <v>0.3</v>
      </c>
      <c r="AY95" s="14">
        <v>1.2</v>
      </c>
      <c r="AZ95" s="14">
        <v>-0.1</v>
      </c>
      <c r="BA95" s="14">
        <v>0.1</v>
      </c>
      <c r="BB95" s="14">
        <v>-0.1</v>
      </c>
      <c r="BC95" s="14">
        <v>1.4</v>
      </c>
      <c r="BD95" s="14">
        <v>-0.2</v>
      </c>
      <c r="BE95" s="14">
        <v>-0.8</v>
      </c>
      <c r="BF95" s="13">
        <v>-1.1000000000000001</v>
      </c>
      <c r="BG95" s="13">
        <v>0.6</v>
      </c>
      <c r="BH95" s="13">
        <v>-0.7</v>
      </c>
      <c r="BI95" s="13">
        <v>0.2</v>
      </c>
      <c r="BJ95" s="13">
        <v>0.1</v>
      </c>
      <c r="BK95" s="13">
        <v>-0.5</v>
      </c>
      <c r="BL95" s="13">
        <v>0</v>
      </c>
      <c r="BM95" s="13">
        <v>-0.1</v>
      </c>
      <c r="BN95" s="13">
        <v>-2.9942318999999998E-2</v>
      </c>
      <c r="BO95" s="14">
        <v>4.4338685000000003E-2</v>
      </c>
      <c r="BP95" s="14">
        <v>-9.3595872960000008</v>
      </c>
      <c r="BQ95" s="14">
        <v>-1.91093976</v>
      </c>
      <c r="BR95" s="14">
        <v>-0.98511122200000001</v>
      </c>
      <c r="BS95" s="14">
        <v>6.949042167</v>
      </c>
      <c r="BT95" s="14">
        <v>3.9737776000000002E-2</v>
      </c>
      <c r="BU95" s="14">
        <v>0.14936571400000001</v>
      </c>
      <c r="BV95" s="14">
        <v>-0.2</v>
      </c>
      <c r="BW95" s="14">
        <v>5.3</v>
      </c>
      <c r="BX95" s="14">
        <v>-6.0507907E-2</v>
      </c>
      <c r="BY95" s="14">
        <v>0.14336796800000001</v>
      </c>
      <c r="BZ95" s="14">
        <v>-4.8196692449355427E-2</v>
      </c>
      <c r="CA95" s="14">
        <v>3.891146258953937E-2</v>
      </c>
      <c r="CB95" s="14">
        <v>-3.3357392063193575E-2</v>
      </c>
      <c r="CC95" s="14">
        <v>3.8233547550027128E-2</v>
      </c>
      <c r="CD95" s="14">
        <v>0.14178023251556213</v>
      </c>
      <c r="CE95" s="14">
        <v>-0.13642251260684074</v>
      </c>
      <c r="CF95" s="14">
        <v>1.087051972473041E-2</v>
      </c>
    </row>
    <row r="96" spans="1:84" ht="16.5" x14ac:dyDescent="0.3">
      <c r="A96" s="12" t="s">
        <v>112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  <c r="P96" s="13">
        <v>0</v>
      </c>
      <c r="Q96" s="13">
        <v>0</v>
      </c>
      <c r="R96" s="13">
        <v>0</v>
      </c>
      <c r="S96" s="13">
        <v>0</v>
      </c>
      <c r="T96" s="13">
        <v>0</v>
      </c>
      <c r="U96" s="13">
        <v>0</v>
      </c>
      <c r="V96" s="13">
        <v>0</v>
      </c>
      <c r="W96" s="13">
        <v>0</v>
      </c>
      <c r="X96" s="13">
        <v>0</v>
      </c>
      <c r="Y96" s="13">
        <v>0</v>
      </c>
      <c r="Z96" s="13">
        <v>0</v>
      </c>
      <c r="AA96" s="13">
        <v>0</v>
      </c>
      <c r="AB96" s="13">
        <v>0</v>
      </c>
      <c r="AC96" s="13">
        <v>0</v>
      </c>
      <c r="AD96" s="13">
        <v>0</v>
      </c>
      <c r="AE96" s="13">
        <v>0</v>
      </c>
      <c r="AF96" s="13">
        <v>0</v>
      </c>
      <c r="AG96" s="13">
        <v>0</v>
      </c>
      <c r="AH96" s="13">
        <v>0</v>
      </c>
      <c r="AI96" s="13">
        <v>0</v>
      </c>
      <c r="AJ96" s="13">
        <v>0</v>
      </c>
      <c r="AK96" s="13">
        <v>0</v>
      </c>
      <c r="AL96" s="13">
        <v>0</v>
      </c>
      <c r="AM96" s="13">
        <v>0</v>
      </c>
      <c r="AN96" s="13">
        <v>0</v>
      </c>
      <c r="AO96" s="13">
        <v>0</v>
      </c>
      <c r="AP96" s="13">
        <v>-21</v>
      </c>
      <c r="AQ96" s="13">
        <v>-18.899999999999999</v>
      </c>
      <c r="AR96" s="13">
        <v>-49.3</v>
      </c>
      <c r="AS96" s="13">
        <v>-39.299999999999997</v>
      </c>
      <c r="AT96" s="13">
        <v>-24</v>
      </c>
      <c r="AU96" s="13">
        <v>-26</v>
      </c>
      <c r="AV96" s="13">
        <v>-21.9</v>
      </c>
      <c r="AW96" s="14">
        <v>-21.9</v>
      </c>
      <c r="AX96" s="14">
        <v>14.8</v>
      </c>
      <c r="AY96" s="14">
        <v>20.100000000000001</v>
      </c>
      <c r="AZ96" s="14">
        <v>7.7</v>
      </c>
      <c r="BA96" s="14">
        <v>-0.1</v>
      </c>
      <c r="BB96" s="14">
        <v>1.6</v>
      </c>
      <c r="BC96" s="14">
        <v>-10.7</v>
      </c>
      <c r="BD96" s="14">
        <v>-6.3</v>
      </c>
      <c r="BE96" s="14">
        <v>8</v>
      </c>
      <c r="BF96" s="13">
        <v>19</v>
      </c>
      <c r="BG96" s="13">
        <v>0.1</v>
      </c>
      <c r="BH96" s="13">
        <v>1.7</v>
      </c>
      <c r="BI96" s="13">
        <v>0</v>
      </c>
      <c r="BJ96" s="13">
        <v>10.6</v>
      </c>
      <c r="BK96" s="13">
        <v>-7.6</v>
      </c>
      <c r="BL96" s="13">
        <v>3.6</v>
      </c>
      <c r="BM96" s="13">
        <v>5</v>
      </c>
      <c r="BN96" s="13">
        <v>35.562136000000002</v>
      </c>
      <c r="BO96" s="14">
        <v>9.6753359999999997</v>
      </c>
      <c r="BP96" s="14">
        <v>15.123063</v>
      </c>
      <c r="BQ96" s="14">
        <v>1.7738406</v>
      </c>
      <c r="BR96" s="14">
        <v>-45.049570000000003</v>
      </c>
      <c r="BS96" s="14">
        <v>14.664781</v>
      </c>
      <c r="BT96" s="14">
        <v>-11.35877</v>
      </c>
      <c r="BU96" s="14">
        <v>-34.881144929999998</v>
      </c>
      <c r="BV96" s="14">
        <v>0</v>
      </c>
      <c r="BW96" s="14">
        <v>-2.6</v>
      </c>
      <c r="BX96" s="14">
        <v>2.0353488999999999E-2</v>
      </c>
      <c r="BY96" s="14">
        <v>-4.1805000000000003</v>
      </c>
      <c r="BZ96" s="14">
        <v>1.7999999999999999E-2</v>
      </c>
      <c r="CA96" s="14">
        <v>-17.877867500000001</v>
      </c>
      <c r="CB96" s="14">
        <v>-11.141844840000001</v>
      </c>
      <c r="CC96" s="14">
        <v>0</v>
      </c>
      <c r="CD96" s="14">
        <v>7.2652339999999996E-2</v>
      </c>
      <c r="CE96" s="14">
        <v>-0.10331</v>
      </c>
      <c r="CF96" s="14">
        <v>-0.103093</v>
      </c>
    </row>
    <row r="97" spans="1:84" ht="16.5" x14ac:dyDescent="0.3">
      <c r="A97" s="12" t="s">
        <v>159</v>
      </c>
      <c r="B97" s="13">
        <v>364.2</v>
      </c>
      <c r="C97" s="13">
        <v>409</v>
      </c>
      <c r="D97" s="13">
        <v>395.3</v>
      </c>
      <c r="E97" s="13">
        <v>328.1</v>
      </c>
      <c r="F97" s="13">
        <v>345.7</v>
      </c>
      <c r="G97" s="13">
        <v>306</v>
      </c>
      <c r="H97" s="13">
        <v>430.7</v>
      </c>
      <c r="I97" s="13">
        <v>400.5</v>
      </c>
      <c r="J97" s="13">
        <v>266</v>
      </c>
      <c r="K97" s="13">
        <v>339.1</v>
      </c>
      <c r="L97" s="13">
        <v>299.39999999999998</v>
      </c>
      <c r="M97" s="13">
        <v>219.4</v>
      </c>
      <c r="N97" s="13">
        <v>203.6</v>
      </c>
      <c r="O97" s="13">
        <v>235.6</v>
      </c>
      <c r="P97" s="13">
        <v>332.3</v>
      </c>
      <c r="Q97" s="13">
        <v>254.952</v>
      </c>
      <c r="R97" s="13">
        <v>87.4</v>
      </c>
      <c r="S97" s="13">
        <v>55.7</v>
      </c>
      <c r="T97" s="13">
        <v>138.80000000000001</v>
      </c>
      <c r="U97" s="13">
        <v>136.9</v>
      </c>
      <c r="V97" s="13">
        <v>90.4</v>
      </c>
      <c r="W97" s="13">
        <v>52.7</v>
      </c>
      <c r="X97" s="13">
        <v>148</v>
      </c>
      <c r="Y97" s="13">
        <v>50.3</v>
      </c>
      <c r="Z97" s="13">
        <v>51.3</v>
      </c>
      <c r="AA97" s="13">
        <v>64.5</v>
      </c>
      <c r="AB97" s="13">
        <v>24.6</v>
      </c>
      <c r="AC97" s="13">
        <v>366.2</v>
      </c>
      <c r="AD97" s="13">
        <v>18.399999999999999</v>
      </c>
      <c r="AE97" s="13">
        <v>121.1</v>
      </c>
      <c r="AF97" s="13">
        <v>35.5</v>
      </c>
      <c r="AG97" s="13">
        <v>169.8</v>
      </c>
      <c r="AH97" s="13">
        <v>218.7</v>
      </c>
      <c r="AI97" s="13">
        <v>72.400000000000006</v>
      </c>
      <c r="AJ97" s="13">
        <v>134.5</v>
      </c>
      <c r="AK97" s="13">
        <v>75.3</v>
      </c>
      <c r="AL97" s="13">
        <v>137.69999999999999</v>
      </c>
      <c r="AM97" s="13">
        <v>-51.6</v>
      </c>
      <c r="AN97" s="13">
        <v>-18.7</v>
      </c>
      <c r="AO97" s="13">
        <v>113</v>
      </c>
      <c r="AP97" s="13">
        <v>84.8</v>
      </c>
      <c r="AQ97" s="13">
        <v>-399.6</v>
      </c>
      <c r="AR97" s="13">
        <v>219.9</v>
      </c>
      <c r="AS97" s="13">
        <v>-203.9</v>
      </c>
      <c r="AT97" s="13">
        <v>47.7</v>
      </c>
      <c r="AU97" s="13">
        <v>81.3</v>
      </c>
      <c r="AV97" s="13">
        <v>27.7</v>
      </c>
      <c r="AW97" s="14">
        <v>102.5</v>
      </c>
      <c r="AX97" s="14">
        <v>102.7</v>
      </c>
      <c r="AY97" s="14">
        <v>-59.6</v>
      </c>
      <c r="AZ97" s="14">
        <v>-165.2</v>
      </c>
      <c r="BA97" s="14">
        <v>55.7</v>
      </c>
      <c r="BB97" s="14">
        <v>124.8</v>
      </c>
      <c r="BC97" s="14">
        <v>-22.3</v>
      </c>
      <c r="BD97" s="14">
        <v>109</v>
      </c>
      <c r="BE97" s="14">
        <v>-10.8</v>
      </c>
      <c r="BF97" s="13">
        <v>21.4</v>
      </c>
      <c r="BG97" s="13">
        <v>33.299999999999997</v>
      </c>
      <c r="BH97" s="13">
        <v>-1195.2</v>
      </c>
      <c r="BI97" s="13">
        <v>-492.2</v>
      </c>
      <c r="BJ97" s="13">
        <v>212.8</v>
      </c>
      <c r="BK97" s="13">
        <v>34.1</v>
      </c>
      <c r="BL97" s="13">
        <v>161.19999999999999</v>
      </c>
      <c r="BM97" s="13">
        <v>65.2</v>
      </c>
      <c r="BN97" s="13">
        <v>183.99897010000001</v>
      </c>
      <c r="BO97" s="14">
        <v>4.954836105</v>
      </c>
      <c r="BP97" s="14">
        <v>-14.364463779999999</v>
      </c>
      <c r="BQ97" s="14">
        <v>113.4803184</v>
      </c>
      <c r="BR97" s="14">
        <v>-56.118019719999999</v>
      </c>
      <c r="BS97" s="14">
        <v>-28.628826279999998</v>
      </c>
      <c r="BT97" s="14">
        <v>234.3563178</v>
      </c>
      <c r="BU97" s="14">
        <v>96.271584430000004</v>
      </c>
      <c r="BV97" s="14">
        <v>183.1</v>
      </c>
      <c r="BW97" s="14">
        <v>-62.7</v>
      </c>
      <c r="BX97" s="14">
        <v>199.74058439999999</v>
      </c>
      <c r="BY97" s="14">
        <v>166.3220743</v>
      </c>
      <c r="BZ97" s="14">
        <v>94.838545371409097</v>
      </c>
      <c r="CA97" s="14">
        <v>-113.01289480186364</v>
      </c>
      <c r="CB97" s="14">
        <v>139.51069867295024</v>
      </c>
      <c r="CC97" s="14">
        <v>129.13350360413386</v>
      </c>
      <c r="CD97" s="14">
        <v>82.704192743010466</v>
      </c>
      <c r="CE97" s="14">
        <v>245.31276719176032</v>
      </c>
      <c r="CF97" s="14">
        <v>-4.0189892523059711</v>
      </c>
    </row>
    <row r="98" spans="1:84" ht="16.5" x14ac:dyDescent="0.3">
      <c r="A98" s="12" t="s">
        <v>160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  <c r="P98" s="13">
        <v>0</v>
      </c>
      <c r="Q98" s="13">
        <v>0</v>
      </c>
      <c r="R98" s="13">
        <v>0</v>
      </c>
      <c r="S98" s="13">
        <v>0</v>
      </c>
      <c r="T98" s="13">
        <v>0</v>
      </c>
      <c r="U98" s="13">
        <v>0</v>
      </c>
      <c r="V98" s="13">
        <v>0</v>
      </c>
      <c r="W98" s="13">
        <v>0</v>
      </c>
      <c r="X98" s="13">
        <v>0</v>
      </c>
      <c r="Y98" s="13">
        <v>0</v>
      </c>
      <c r="Z98" s="13">
        <v>0</v>
      </c>
      <c r="AA98" s="13">
        <v>0</v>
      </c>
      <c r="AB98" s="13">
        <v>0</v>
      </c>
      <c r="AC98" s="13">
        <v>0</v>
      </c>
      <c r="AD98" s="13">
        <v>0</v>
      </c>
      <c r="AE98" s="13">
        <v>0</v>
      </c>
      <c r="AF98" s="13">
        <v>0</v>
      </c>
      <c r="AG98" s="13">
        <v>0</v>
      </c>
      <c r="AH98" s="13">
        <v>0</v>
      </c>
      <c r="AI98" s="13">
        <v>0</v>
      </c>
      <c r="AJ98" s="13">
        <v>0</v>
      </c>
      <c r="AK98" s="13">
        <v>0</v>
      </c>
      <c r="AL98" s="13">
        <v>0</v>
      </c>
      <c r="AM98" s="13">
        <v>0</v>
      </c>
      <c r="AN98" s="13">
        <v>0</v>
      </c>
      <c r="AO98" s="13">
        <v>0</v>
      </c>
      <c r="AP98" s="13">
        <v>-0.2</v>
      </c>
      <c r="AQ98" s="13">
        <v>0</v>
      </c>
      <c r="AR98" s="13">
        <v>3.4</v>
      </c>
      <c r="AS98" s="13">
        <v>6</v>
      </c>
      <c r="AT98" s="13">
        <v>0.1</v>
      </c>
      <c r="AU98" s="13">
        <v>0</v>
      </c>
      <c r="AV98" s="13">
        <v>0</v>
      </c>
      <c r="AW98" s="14">
        <v>0</v>
      </c>
      <c r="AX98" s="18">
        <v>0</v>
      </c>
      <c r="AY98" s="18">
        <v>1.5</v>
      </c>
      <c r="AZ98" s="14">
        <v>1.2</v>
      </c>
      <c r="BA98" s="18">
        <v>-1.4</v>
      </c>
      <c r="BB98" s="14">
        <v>-2.2000000000000002</v>
      </c>
      <c r="BC98" s="14">
        <v>4.5999999999999996</v>
      </c>
      <c r="BD98" s="14">
        <v>6.7</v>
      </c>
      <c r="BE98" s="14">
        <v>-0.3</v>
      </c>
      <c r="BF98" s="13">
        <v>-7.3</v>
      </c>
      <c r="BG98" s="13">
        <v>9.9</v>
      </c>
      <c r="BH98" s="13">
        <v>-6.6</v>
      </c>
      <c r="BI98" s="13">
        <v>0.3</v>
      </c>
      <c r="BJ98" s="13">
        <v>-5.9</v>
      </c>
      <c r="BK98" s="13">
        <v>28.8</v>
      </c>
      <c r="BL98" s="13">
        <v>-5.8</v>
      </c>
      <c r="BM98" s="13">
        <v>19.600000000000001</v>
      </c>
      <c r="BN98" s="13">
        <v>15.79754086</v>
      </c>
      <c r="BO98" s="18">
        <v>-23.912238420000001</v>
      </c>
      <c r="BP98" s="18">
        <v>3.5250000269999999</v>
      </c>
      <c r="BQ98" s="18">
        <v>5.7163929070000004</v>
      </c>
      <c r="BR98" s="18">
        <v>-68.101074589999996</v>
      </c>
      <c r="BS98" s="18">
        <v>-28.318623800000001</v>
      </c>
      <c r="BT98" s="18">
        <v>-98.304688940000005</v>
      </c>
      <c r="BU98" s="18">
        <v>-48.318899510000001</v>
      </c>
      <c r="BV98" s="18">
        <v>40.799999999999997</v>
      </c>
      <c r="BW98" s="18">
        <v>28.3</v>
      </c>
      <c r="BX98" s="18">
        <v>65.467977399999995</v>
      </c>
      <c r="BY98" s="18">
        <v>-61.90902672</v>
      </c>
      <c r="BZ98" s="18">
        <v>33.499347130000004</v>
      </c>
      <c r="CA98" s="18">
        <v>-100.84642586999999</v>
      </c>
      <c r="CB98" s="18">
        <v>11.003189489999954</v>
      </c>
      <c r="CC98" s="18">
        <v>-67.857608440488718</v>
      </c>
      <c r="CD98" s="18">
        <v>-19.135355315723501</v>
      </c>
      <c r="CE98" s="18">
        <v>55.574448904368857</v>
      </c>
      <c r="CF98" s="18">
        <v>-91.512903753662641</v>
      </c>
    </row>
    <row r="99" spans="1:84" ht="16.5" x14ac:dyDescent="0.3">
      <c r="A99" s="12" t="s">
        <v>115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  <c r="J99" s="13">
        <v>0</v>
      </c>
      <c r="K99" s="13">
        <v>0</v>
      </c>
      <c r="L99" s="13">
        <v>0</v>
      </c>
      <c r="M99" s="13">
        <v>0</v>
      </c>
      <c r="N99" s="13">
        <v>0</v>
      </c>
      <c r="O99" s="13">
        <v>0</v>
      </c>
      <c r="P99" s="13">
        <v>0</v>
      </c>
      <c r="Q99" s="13">
        <v>0</v>
      </c>
      <c r="R99" s="13">
        <v>0</v>
      </c>
      <c r="S99" s="13">
        <v>0</v>
      </c>
      <c r="T99" s="13">
        <v>0</v>
      </c>
      <c r="U99" s="13">
        <v>0</v>
      </c>
      <c r="V99" s="13">
        <v>0</v>
      </c>
      <c r="W99" s="13">
        <v>0</v>
      </c>
      <c r="X99" s="13">
        <v>0</v>
      </c>
      <c r="Y99" s="13">
        <v>0</v>
      </c>
      <c r="Z99" s="13">
        <v>0</v>
      </c>
      <c r="AA99" s="13">
        <v>0</v>
      </c>
      <c r="AB99" s="13">
        <v>0</v>
      </c>
      <c r="AC99" s="13">
        <v>0</v>
      </c>
      <c r="AD99" s="13">
        <v>0</v>
      </c>
      <c r="AE99" s="13">
        <v>0</v>
      </c>
      <c r="AF99" s="13">
        <v>0</v>
      </c>
      <c r="AG99" s="13">
        <v>0</v>
      </c>
      <c r="AH99" s="13">
        <v>0</v>
      </c>
      <c r="AI99" s="13">
        <v>0</v>
      </c>
      <c r="AJ99" s="13">
        <v>0</v>
      </c>
      <c r="AK99" s="13">
        <v>0</v>
      </c>
      <c r="AL99" s="13">
        <v>0</v>
      </c>
      <c r="AM99" s="13">
        <v>0</v>
      </c>
      <c r="AN99" s="13">
        <v>0</v>
      </c>
      <c r="AO99" s="13">
        <v>0</v>
      </c>
      <c r="AP99" s="13">
        <v>-0.2</v>
      </c>
      <c r="AQ99" s="13">
        <v>0</v>
      </c>
      <c r="AR99" s="13">
        <v>3.4</v>
      </c>
      <c r="AS99" s="13">
        <v>6</v>
      </c>
      <c r="AT99" s="13">
        <v>0.1</v>
      </c>
      <c r="AU99" s="13">
        <v>0</v>
      </c>
      <c r="AV99" s="13">
        <v>0</v>
      </c>
      <c r="AW99" s="14">
        <v>0</v>
      </c>
      <c r="AX99" s="21">
        <v>0</v>
      </c>
      <c r="AY99" s="21">
        <v>1.5</v>
      </c>
      <c r="AZ99" s="21">
        <v>1.2</v>
      </c>
      <c r="BA99" s="21">
        <v>-1.4</v>
      </c>
      <c r="BB99" s="21">
        <v>-2.2000000000000002</v>
      </c>
      <c r="BC99" s="21">
        <v>4.5999999999999996</v>
      </c>
      <c r="BD99" s="21">
        <v>6.7</v>
      </c>
      <c r="BE99" s="21">
        <v>-0.3</v>
      </c>
      <c r="BF99" s="13">
        <v>-7.3</v>
      </c>
      <c r="BG99" s="13">
        <v>9.9</v>
      </c>
      <c r="BH99" s="13">
        <v>-6.6</v>
      </c>
      <c r="BI99" s="13">
        <v>0.3</v>
      </c>
      <c r="BJ99" s="13">
        <v>-5.9</v>
      </c>
      <c r="BK99" s="13">
        <v>28.8</v>
      </c>
      <c r="BL99" s="13">
        <v>-5.8</v>
      </c>
      <c r="BM99" s="13">
        <v>19.600000000000001</v>
      </c>
      <c r="BN99" s="13">
        <v>15.79754086</v>
      </c>
      <c r="BO99" s="22">
        <v>-23.912238420000001</v>
      </c>
      <c r="BP99" s="22">
        <v>3.5250000269999999</v>
      </c>
      <c r="BQ99" s="22">
        <v>5.7163929070000004</v>
      </c>
      <c r="BR99" s="22">
        <v>-68.101074589999996</v>
      </c>
      <c r="BS99" s="22">
        <v>-28.318623800000001</v>
      </c>
      <c r="BT99" s="22">
        <v>-98.304688940000005</v>
      </c>
      <c r="BU99" s="22">
        <v>-48.318899510000001</v>
      </c>
      <c r="BV99" s="22">
        <v>40.799999999999997</v>
      </c>
      <c r="BW99" s="22">
        <v>28.3</v>
      </c>
      <c r="BX99" s="22">
        <v>65.467977399999995</v>
      </c>
      <c r="BY99" s="22">
        <v>-61.90902672</v>
      </c>
      <c r="BZ99" s="22">
        <v>33.499347130000004</v>
      </c>
      <c r="CA99" s="22">
        <v>-100.84642586999999</v>
      </c>
      <c r="CB99" s="22">
        <v>11.003189489999954</v>
      </c>
      <c r="CC99" s="22">
        <v>-67.857608440488718</v>
      </c>
      <c r="CD99" s="22">
        <v>-19.135355315723501</v>
      </c>
      <c r="CE99" s="22">
        <v>55.574448904368857</v>
      </c>
      <c r="CF99" s="22">
        <v>-91.512903753662641</v>
      </c>
    </row>
    <row r="100" spans="1:84" ht="16.5" x14ac:dyDescent="0.3">
      <c r="A100" s="12" t="s">
        <v>161</v>
      </c>
      <c r="B100" s="13">
        <v>364.2</v>
      </c>
      <c r="C100" s="13">
        <v>409</v>
      </c>
      <c r="D100" s="13">
        <v>395.3</v>
      </c>
      <c r="E100" s="13">
        <v>42.8</v>
      </c>
      <c r="F100" s="13">
        <v>140.1</v>
      </c>
      <c r="G100" s="13">
        <v>153.30000000000001</v>
      </c>
      <c r="H100" s="13">
        <v>-51.5</v>
      </c>
      <c r="I100" s="13">
        <v>1008.1</v>
      </c>
      <c r="J100" s="13">
        <v>266</v>
      </c>
      <c r="K100" s="13">
        <v>324.7</v>
      </c>
      <c r="L100" s="13">
        <v>248.6</v>
      </c>
      <c r="M100" s="13">
        <v>133.69999999999999</v>
      </c>
      <c r="N100" s="13">
        <v>425.8</v>
      </c>
      <c r="O100" s="13">
        <v>57.8</v>
      </c>
      <c r="P100" s="13">
        <v>164.7</v>
      </c>
      <c r="Q100" s="13">
        <v>63.852000000000018</v>
      </c>
      <c r="R100" s="13">
        <v>79.099999999999994</v>
      </c>
      <c r="S100" s="13">
        <v>54.9</v>
      </c>
      <c r="T100" s="13">
        <v>117.9</v>
      </c>
      <c r="U100" s="13">
        <v>228.4</v>
      </c>
      <c r="V100" s="13">
        <v>95.1</v>
      </c>
      <c r="W100" s="13">
        <v>38.9</v>
      </c>
      <c r="X100" s="13">
        <v>166.7</v>
      </c>
      <c r="Y100" s="13">
        <v>3972.9</v>
      </c>
      <c r="Z100" s="13">
        <v>64.8</v>
      </c>
      <c r="AA100" s="13">
        <v>49.6</v>
      </c>
      <c r="AB100" s="13">
        <v>45.2</v>
      </c>
      <c r="AC100" s="13">
        <v>329.4</v>
      </c>
      <c r="AD100" s="13">
        <v>12.5</v>
      </c>
      <c r="AE100" s="13">
        <v>127.7</v>
      </c>
      <c r="AF100" s="13">
        <v>46.7</v>
      </c>
      <c r="AG100" s="13">
        <v>191.7</v>
      </c>
      <c r="AH100" s="13">
        <v>202.9</v>
      </c>
      <c r="AI100" s="13">
        <v>61.6</v>
      </c>
      <c r="AJ100" s="13">
        <v>142.4</v>
      </c>
      <c r="AK100" s="13">
        <v>77.3</v>
      </c>
      <c r="AL100" s="13">
        <v>-47</v>
      </c>
      <c r="AM100" s="13">
        <v>-38.1</v>
      </c>
      <c r="AN100" s="13">
        <v>-140</v>
      </c>
      <c r="AO100" s="13">
        <v>12.8</v>
      </c>
      <c r="AP100" s="13">
        <v>-10.5</v>
      </c>
      <c r="AQ100" s="13">
        <v>-426.1</v>
      </c>
      <c r="AR100" s="13">
        <v>115.8</v>
      </c>
      <c r="AS100" s="13">
        <v>-233</v>
      </c>
      <c r="AT100" s="13">
        <v>-22.5</v>
      </c>
      <c r="AU100" s="13">
        <v>64.8</v>
      </c>
      <c r="AV100" s="13">
        <v>-14.7</v>
      </c>
      <c r="AW100" s="14">
        <v>85.1</v>
      </c>
      <c r="AX100" s="14">
        <v>73.599999999999994</v>
      </c>
      <c r="AY100" s="14">
        <v>-60</v>
      </c>
      <c r="AZ100" s="14">
        <v>-172.3</v>
      </c>
      <c r="BA100" s="14">
        <v>34.9</v>
      </c>
      <c r="BB100" s="14">
        <v>48.5</v>
      </c>
      <c r="BC100" s="14">
        <v>-17.399999999999999</v>
      </c>
      <c r="BD100" s="14">
        <v>73.400000000000006</v>
      </c>
      <c r="BE100" s="14">
        <v>7.4</v>
      </c>
      <c r="BF100" s="13">
        <v>-29.4</v>
      </c>
      <c r="BG100" s="13">
        <v>18.5</v>
      </c>
      <c r="BH100" s="13">
        <v>-1221.5999999999999</v>
      </c>
      <c r="BI100" s="13">
        <v>-631.79999999999995</v>
      </c>
      <c r="BJ100" s="13">
        <v>170.7</v>
      </c>
      <c r="BK100" s="13">
        <v>22</v>
      </c>
      <c r="BL100" s="13">
        <v>137.4</v>
      </c>
      <c r="BM100" s="13">
        <v>43.4</v>
      </c>
      <c r="BN100" s="13">
        <v>93.945796250000001</v>
      </c>
      <c r="BO100" s="14">
        <v>50.903362370000004</v>
      </c>
      <c r="BP100" s="14">
        <v>-10.170844349999999</v>
      </c>
      <c r="BQ100" s="14">
        <v>83.784409769999996</v>
      </c>
      <c r="BR100" s="14">
        <v>59.923924769999999</v>
      </c>
      <c r="BS100" s="14">
        <v>-4.4976225960000003</v>
      </c>
      <c r="BT100" s="14">
        <v>251.45147449999999</v>
      </c>
      <c r="BU100" s="14">
        <v>137.61039489999999</v>
      </c>
      <c r="BV100" s="14">
        <v>102.4</v>
      </c>
      <c r="BW100" s="14">
        <v>-63.9</v>
      </c>
      <c r="BX100" s="14">
        <v>144.07340070000001</v>
      </c>
      <c r="BY100" s="14">
        <v>190.85081349999999</v>
      </c>
      <c r="BZ100" s="14">
        <v>73.514649530677843</v>
      </c>
      <c r="CA100" s="14">
        <v>26.06634397825853</v>
      </c>
      <c r="CB100" s="14">
        <v>1.0623571402133152</v>
      </c>
      <c r="CC100" s="14">
        <v>167.16678505900686</v>
      </c>
      <c r="CD100" s="14">
        <v>56.3857504997641</v>
      </c>
      <c r="CE100" s="14">
        <v>150.18792198702135</v>
      </c>
      <c r="CF100" s="14">
        <v>121.409992072465</v>
      </c>
    </row>
    <row r="101" spans="1:84" ht="16.5" x14ac:dyDescent="0.3">
      <c r="A101" s="12" t="s">
        <v>117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  <c r="J101" s="13">
        <v>0</v>
      </c>
      <c r="K101" s="13">
        <v>0</v>
      </c>
      <c r="L101" s="13">
        <v>-12</v>
      </c>
      <c r="M101" s="13">
        <v>-41.2</v>
      </c>
      <c r="N101" s="13">
        <v>-62.5</v>
      </c>
      <c r="O101" s="13">
        <v>-15.4</v>
      </c>
      <c r="P101" s="13">
        <v>-10.6</v>
      </c>
      <c r="Q101" s="13">
        <v>-14.3</v>
      </c>
      <c r="R101" s="13">
        <v>-1.2</v>
      </c>
      <c r="S101" s="13">
        <v>11.8</v>
      </c>
      <c r="T101" s="13">
        <v>-1.1000000000000001</v>
      </c>
      <c r="U101" s="13">
        <v>4.5</v>
      </c>
      <c r="V101" s="13">
        <v>15.4</v>
      </c>
      <c r="W101" s="13">
        <v>-4.8</v>
      </c>
      <c r="X101" s="13">
        <v>16.899999999999999</v>
      </c>
      <c r="Y101" s="13">
        <v>-47.1</v>
      </c>
      <c r="Z101" s="13">
        <v>-2</v>
      </c>
      <c r="AA101" s="13">
        <v>7.5</v>
      </c>
      <c r="AB101" s="13">
        <v>13</v>
      </c>
      <c r="AC101" s="13">
        <v>-9</v>
      </c>
      <c r="AD101" s="13">
        <v>10</v>
      </c>
      <c r="AE101" s="13">
        <v>-8.3000000000000007</v>
      </c>
      <c r="AF101" s="13">
        <v>7.2</v>
      </c>
      <c r="AG101" s="13">
        <v>-11.7</v>
      </c>
      <c r="AH101" s="13">
        <v>45.3</v>
      </c>
      <c r="AI101" s="13">
        <v>-11.3</v>
      </c>
      <c r="AJ101" s="13">
        <v>-4</v>
      </c>
      <c r="AK101" s="13">
        <v>1.1000000000000001</v>
      </c>
      <c r="AL101" s="13">
        <v>27.2</v>
      </c>
      <c r="AM101" s="13">
        <v>-9.5</v>
      </c>
      <c r="AN101" s="13">
        <v>-3.9</v>
      </c>
      <c r="AO101" s="13">
        <v>1.6</v>
      </c>
      <c r="AP101" s="13">
        <v>-4.0999999999999996</v>
      </c>
      <c r="AQ101" s="13">
        <v>16.7</v>
      </c>
      <c r="AR101" s="13">
        <v>-5.2</v>
      </c>
      <c r="AS101" s="13">
        <v>6.9</v>
      </c>
      <c r="AT101" s="13">
        <v>-6.2</v>
      </c>
      <c r="AU101" s="13">
        <v>31.5</v>
      </c>
      <c r="AV101" s="13">
        <v>-21.7</v>
      </c>
      <c r="AW101" s="14">
        <v>27.8</v>
      </c>
      <c r="AX101" s="14">
        <v>11.6</v>
      </c>
      <c r="AY101" s="14">
        <v>-30.2</v>
      </c>
      <c r="AZ101" s="14">
        <v>-45</v>
      </c>
      <c r="BA101" s="14">
        <v>3.4</v>
      </c>
      <c r="BB101" s="14">
        <v>-8.8000000000000007</v>
      </c>
      <c r="BC101" s="14">
        <v>-13.6</v>
      </c>
      <c r="BD101" s="14">
        <v>-8.8000000000000007</v>
      </c>
      <c r="BE101" s="14">
        <v>-9.5</v>
      </c>
      <c r="BF101" s="13">
        <v>-150.19999999999999</v>
      </c>
      <c r="BG101" s="13">
        <v>3</v>
      </c>
      <c r="BH101" s="13">
        <v>0.2</v>
      </c>
      <c r="BI101" s="13">
        <v>0.2</v>
      </c>
      <c r="BJ101" s="13">
        <v>2.5</v>
      </c>
      <c r="BK101" s="13">
        <v>0</v>
      </c>
      <c r="BL101" s="13">
        <v>2.9</v>
      </c>
      <c r="BM101" s="13">
        <v>0.7</v>
      </c>
      <c r="BN101" s="13">
        <v>0.61652702999999998</v>
      </c>
      <c r="BO101" s="14">
        <v>-0.135329056</v>
      </c>
      <c r="BP101" s="14">
        <v>-0.16069421</v>
      </c>
      <c r="BQ101" s="14">
        <v>-7.6014547000000002E-2</v>
      </c>
      <c r="BR101" s="14">
        <v>-0.44412033699999998</v>
      </c>
      <c r="BS101" s="14">
        <v>0.60405136100000001</v>
      </c>
      <c r="BT101" s="14">
        <v>139.8031129</v>
      </c>
      <c r="BU101" s="14">
        <v>18.190426989999999</v>
      </c>
      <c r="BV101" s="14">
        <v>0</v>
      </c>
      <c r="BW101" s="14">
        <v>20.9</v>
      </c>
      <c r="BX101" s="14">
        <v>1.8059489000000001E-2</v>
      </c>
      <c r="BY101" s="14">
        <v>-0.24913279999999999</v>
      </c>
      <c r="BZ101" s="14">
        <v>5.0885600047954496</v>
      </c>
      <c r="CA101" s="14">
        <v>1.8363868606351421</v>
      </c>
      <c r="CB101" s="14">
        <v>-5.52913685573058</v>
      </c>
      <c r="CC101" s="14">
        <v>-3.473461808300343</v>
      </c>
      <c r="CD101" s="14">
        <v>0.95177462508241528</v>
      </c>
      <c r="CE101" s="14">
        <v>-4.0981503754871342</v>
      </c>
      <c r="CF101" s="14">
        <v>0.32936594064863361</v>
      </c>
    </row>
    <row r="102" spans="1:84" ht="16.5" x14ac:dyDescent="0.3">
      <c r="A102" s="12" t="s">
        <v>110</v>
      </c>
      <c r="B102" s="13">
        <v>364.2</v>
      </c>
      <c r="C102" s="13">
        <v>409</v>
      </c>
      <c r="D102" s="13">
        <v>395.3</v>
      </c>
      <c r="E102" s="13">
        <v>42.8</v>
      </c>
      <c r="F102" s="13">
        <v>140.1</v>
      </c>
      <c r="G102" s="13">
        <v>153.30000000000001</v>
      </c>
      <c r="H102" s="13">
        <v>-51.5</v>
      </c>
      <c r="I102" s="13">
        <v>1008.1</v>
      </c>
      <c r="J102" s="13">
        <v>266</v>
      </c>
      <c r="K102" s="13">
        <v>324.7</v>
      </c>
      <c r="L102" s="13">
        <v>260.60000000000002</v>
      </c>
      <c r="M102" s="13">
        <v>174.9</v>
      </c>
      <c r="N102" s="13">
        <v>488.3</v>
      </c>
      <c r="O102" s="13">
        <v>69.7</v>
      </c>
      <c r="P102" s="13">
        <v>175.3</v>
      </c>
      <c r="Q102" s="13">
        <v>30.552000000000021</v>
      </c>
      <c r="R102" s="13">
        <v>80.3</v>
      </c>
      <c r="S102" s="13">
        <v>43.1</v>
      </c>
      <c r="T102" s="13">
        <v>119</v>
      </c>
      <c r="U102" s="13">
        <v>147.6</v>
      </c>
      <c r="V102" s="13">
        <v>79.7</v>
      </c>
      <c r="W102" s="13">
        <v>43.7</v>
      </c>
      <c r="X102" s="13">
        <v>149.80000000000001</v>
      </c>
      <c r="Y102" s="13">
        <v>3951</v>
      </c>
      <c r="Z102" s="13">
        <v>72.8</v>
      </c>
      <c r="AA102" s="13">
        <v>26.9</v>
      </c>
      <c r="AB102" s="13">
        <v>30.1</v>
      </c>
      <c r="AC102" s="13">
        <v>138.30000000000001</v>
      </c>
      <c r="AD102" s="13">
        <v>3</v>
      </c>
      <c r="AE102" s="13">
        <v>14.2</v>
      </c>
      <c r="AF102" s="13">
        <v>22.2</v>
      </c>
      <c r="AG102" s="13">
        <v>40.5</v>
      </c>
      <c r="AH102" s="13">
        <v>71.8</v>
      </c>
      <c r="AI102" s="13">
        <v>-9.8000000000000007</v>
      </c>
      <c r="AJ102" s="13">
        <v>86.2</v>
      </c>
      <c r="AK102" s="13">
        <v>63.7</v>
      </c>
      <c r="AL102" s="13">
        <v>-86.5</v>
      </c>
      <c r="AM102" s="13">
        <v>-31.2</v>
      </c>
      <c r="AN102" s="13">
        <v>-103.9</v>
      </c>
      <c r="AO102" s="13">
        <v>12.2</v>
      </c>
      <c r="AP102" s="13">
        <v>-54.7</v>
      </c>
      <c r="AQ102" s="13">
        <v>-574.70000000000005</v>
      </c>
      <c r="AR102" s="13">
        <v>-16.8</v>
      </c>
      <c r="AS102" s="13">
        <v>-309.39999999999998</v>
      </c>
      <c r="AT102" s="13">
        <v>-36.4</v>
      </c>
      <c r="AU102" s="13">
        <v>17</v>
      </c>
      <c r="AV102" s="13">
        <v>-9.5</v>
      </c>
      <c r="AW102" s="14">
        <v>81.900000000000006</v>
      </c>
      <c r="AX102" s="14">
        <v>25.9</v>
      </c>
      <c r="AY102" s="14">
        <v>28.7</v>
      </c>
      <c r="AZ102" s="14">
        <v>-181.4</v>
      </c>
      <c r="BA102" s="14">
        <v>79.2</v>
      </c>
      <c r="BB102" s="14">
        <v>5.7</v>
      </c>
      <c r="BC102" s="14">
        <v>13</v>
      </c>
      <c r="BD102" s="14">
        <v>-9.1999999999999993</v>
      </c>
      <c r="BE102" s="14">
        <v>86.3</v>
      </c>
      <c r="BF102" s="13">
        <v>108.2</v>
      </c>
      <c r="BG102" s="13">
        <v>51.2</v>
      </c>
      <c r="BH102" s="13">
        <v>-1251.7</v>
      </c>
      <c r="BI102" s="13">
        <v>-383.3</v>
      </c>
      <c r="BJ102" s="13">
        <v>114.3</v>
      </c>
      <c r="BK102" s="13">
        <v>-6.5</v>
      </c>
      <c r="BL102" s="13">
        <v>64.2</v>
      </c>
      <c r="BM102" s="13">
        <v>44.1</v>
      </c>
      <c r="BN102" s="13">
        <v>101.30211509999999</v>
      </c>
      <c r="BO102" s="14">
        <v>55.191220029999997</v>
      </c>
      <c r="BP102" s="14">
        <v>38.913983620000003</v>
      </c>
      <c r="BQ102" s="14">
        <v>146.68304169999999</v>
      </c>
      <c r="BR102" s="14">
        <v>48.114252440000001</v>
      </c>
      <c r="BS102" s="14">
        <v>100.5166792</v>
      </c>
      <c r="BT102" s="14">
        <v>96.260354969999995</v>
      </c>
      <c r="BU102" s="14">
        <v>189.06161589999999</v>
      </c>
      <c r="BV102" s="14">
        <v>94.1</v>
      </c>
      <c r="BW102" s="14">
        <v>53</v>
      </c>
      <c r="BX102" s="14">
        <v>90.78601965</v>
      </c>
      <c r="BY102" s="14">
        <v>226.97366109999999</v>
      </c>
      <c r="BZ102" s="14">
        <v>123.11916057999997</v>
      </c>
      <c r="CA102" s="14">
        <v>108.23743982000001</v>
      </c>
      <c r="CB102" s="14">
        <v>47.829131719999999</v>
      </c>
      <c r="CC102" s="14">
        <v>251.87927821</v>
      </c>
      <c r="CD102" s="14">
        <v>68.205697780000008</v>
      </c>
      <c r="CE102" s="14">
        <v>193.77176563999998</v>
      </c>
      <c r="CF102" s="14">
        <v>149.74507459</v>
      </c>
    </row>
    <row r="103" spans="1:84" ht="16.5" x14ac:dyDescent="0.3">
      <c r="A103" s="12" t="s">
        <v>118</v>
      </c>
      <c r="B103" s="13">
        <v>503.1</v>
      </c>
      <c r="C103" s="13">
        <v>718.2</v>
      </c>
      <c r="D103" s="13">
        <v>724.6</v>
      </c>
      <c r="E103" s="13">
        <v>339.3</v>
      </c>
      <c r="F103" s="13">
        <v>477.9</v>
      </c>
      <c r="G103" s="13">
        <v>431.8</v>
      </c>
      <c r="H103" s="13">
        <v>284</v>
      </c>
      <c r="I103" s="13">
        <v>1392.2</v>
      </c>
      <c r="J103" s="13">
        <v>644.20000000000005</v>
      </c>
      <c r="K103" s="13">
        <v>639.79999999999995</v>
      </c>
      <c r="L103" s="13">
        <v>604.70000000000005</v>
      </c>
      <c r="M103" s="13">
        <v>529</v>
      </c>
      <c r="N103" s="13">
        <v>838.5</v>
      </c>
      <c r="O103" s="13">
        <v>394.2</v>
      </c>
      <c r="P103" s="13">
        <v>492.7</v>
      </c>
      <c r="Q103" s="13">
        <v>300.25200000000001</v>
      </c>
      <c r="R103" s="13">
        <v>108.1</v>
      </c>
      <c r="S103" s="13">
        <v>140.9</v>
      </c>
      <c r="T103" s="13">
        <v>154.9</v>
      </c>
      <c r="U103" s="13">
        <v>171</v>
      </c>
      <c r="V103" s="13">
        <v>112.6</v>
      </c>
      <c r="W103" s="13">
        <v>136.4</v>
      </c>
      <c r="X103" s="13">
        <v>159.6</v>
      </c>
      <c r="Y103" s="13">
        <v>3995.6</v>
      </c>
      <c r="Z103" s="13">
        <v>83.4</v>
      </c>
      <c r="AA103" s="13">
        <v>63.3</v>
      </c>
      <c r="AB103" s="13">
        <v>60.1</v>
      </c>
      <c r="AC103" s="13">
        <v>272.39999999999998</v>
      </c>
      <c r="AD103" s="13">
        <v>155.1</v>
      </c>
      <c r="AE103" s="13">
        <v>39.700000000000003</v>
      </c>
      <c r="AF103" s="13">
        <v>176.4</v>
      </c>
      <c r="AG103" s="13">
        <v>82.1</v>
      </c>
      <c r="AH103" s="13">
        <v>193.7</v>
      </c>
      <c r="AI103" s="13">
        <v>69.5</v>
      </c>
      <c r="AJ103" s="13">
        <v>193.5</v>
      </c>
      <c r="AK103" s="13">
        <v>88.4</v>
      </c>
      <c r="AL103" s="13">
        <v>24.6</v>
      </c>
      <c r="AM103" s="13">
        <v>47</v>
      </c>
      <c r="AN103" s="13">
        <v>37.1</v>
      </c>
      <c r="AO103" s="13">
        <v>49</v>
      </c>
      <c r="AP103" s="13">
        <v>34.799999999999997</v>
      </c>
      <c r="AQ103" s="13">
        <v>387</v>
      </c>
      <c r="AR103" s="13">
        <v>72.3</v>
      </c>
      <c r="AS103" s="13">
        <v>101</v>
      </c>
      <c r="AT103" s="13">
        <v>25.5</v>
      </c>
      <c r="AU103" s="13">
        <v>39.9</v>
      </c>
      <c r="AV103" s="13">
        <v>50.1</v>
      </c>
      <c r="AW103" s="14">
        <v>108.5</v>
      </c>
      <c r="AX103" s="14">
        <v>48.9</v>
      </c>
      <c r="AY103" s="14">
        <v>44.5</v>
      </c>
      <c r="AZ103" s="14">
        <v>118</v>
      </c>
      <c r="BA103" s="14">
        <v>101.7</v>
      </c>
      <c r="BB103" s="14">
        <v>52.3</v>
      </c>
      <c r="BC103" s="14">
        <v>38.700000000000003</v>
      </c>
      <c r="BD103" s="14">
        <v>28.4</v>
      </c>
      <c r="BE103" s="14">
        <v>101.6</v>
      </c>
      <c r="BF103" s="13">
        <v>122.4</v>
      </c>
      <c r="BG103" s="13">
        <v>73.3</v>
      </c>
      <c r="BH103" s="13">
        <v>65.2</v>
      </c>
      <c r="BI103" s="13">
        <v>116.1</v>
      </c>
      <c r="BJ103" s="13">
        <v>123.9</v>
      </c>
      <c r="BK103" s="13">
        <v>65.2</v>
      </c>
      <c r="BL103" s="13">
        <v>76.099999999999994</v>
      </c>
      <c r="BM103" s="13">
        <v>57.1</v>
      </c>
      <c r="BN103" s="13">
        <v>117.77811509999999</v>
      </c>
      <c r="BO103" s="14">
        <v>63.633220029999997</v>
      </c>
      <c r="BP103" s="14">
        <v>47.806983619999997</v>
      </c>
      <c r="BQ103" s="14">
        <v>154.34204170000001</v>
      </c>
      <c r="BR103" s="14">
        <v>54.759252439999997</v>
      </c>
      <c r="BS103" s="14">
        <v>105.7916792</v>
      </c>
      <c r="BT103" s="14">
        <v>105.748355</v>
      </c>
      <c r="BU103" s="14">
        <v>196.38161590000001</v>
      </c>
      <c r="BV103" s="14">
        <v>101.4</v>
      </c>
      <c r="BW103" s="14">
        <v>64.5</v>
      </c>
      <c r="BX103" s="14">
        <v>100.3940197</v>
      </c>
      <c r="BY103" s="14">
        <v>235.24566110000001</v>
      </c>
      <c r="BZ103" s="14">
        <v>130.59616057999997</v>
      </c>
      <c r="CA103" s="14">
        <v>114.58043982000001</v>
      </c>
      <c r="CB103" s="14">
        <v>63.061131719999999</v>
      </c>
      <c r="CC103" s="14">
        <v>260.56727820999998</v>
      </c>
      <c r="CD103" s="14">
        <v>82.479677890000005</v>
      </c>
      <c r="CE103" s="14">
        <v>210.06976563999999</v>
      </c>
      <c r="CF103" s="14">
        <v>165.15407458999999</v>
      </c>
    </row>
    <row r="104" spans="1:84" ht="16.5" x14ac:dyDescent="0.3">
      <c r="A104" s="12" t="s">
        <v>119</v>
      </c>
      <c r="B104" s="13">
        <v>-138.9</v>
      </c>
      <c r="C104" s="13">
        <v>-309.2</v>
      </c>
      <c r="D104" s="13">
        <v>-329.3</v>
      </c>
      <c r="E104" s="13">
        <v>-296.5</v>
      </c>
      <c r="F104" s="13">
        <v>-337.8</v>
      </c>
      <c r="G104" s="13">
        <v>-278.5</v>
      </c>
      <c r="H104" s="13">
        <v>-335.5</v>
      </c>
      <c r="I104" s="13">
        <v>-384.1</v>
      </c>
      <c r="J104" s="13">
        <v>-378.2</v>
      </c>
      <c r="K104" s="13">
        <v>-315.10000000000002</v>
      </c>
      <c r="L104" s="13">
        <v>-344.1</v>
      </c>
      <c r="M104" s="13">
        <v>-354.1</v>
      </c>
      <c r="N104" s="13">
        <v>-350.2</v>
      </c>
      <c r="O104" s="13">
        <v>-324.5</v>
      </c>
      <c r="P104" s="13">
        <v>-317.39999999999998</v>
      </c>
      <c r="Q104" s="13">
        <v>-269.7</v>
      </c>
      <c r="R104" s="13">
        <v>-27.8</v>
      </c>
      <c r="S104" s="13">
        <v>-97.8</v>
      </c>
      <c r="T104" s="13">
        <v>-35.9</v>
      </c>
      <c r="U104" s="13">
        <v>-23.4</v>
      </c>
      <c r="V104" s="13">
        <v>-32.9</v>
      </c>
      <c r="W104" s="13">
        <v>-92.7</v>
      </c>
      <c r="X104" s="13">
        <v>-9.8000000000000007</v>
      </c>
      <c r="Y104" s="13">
        <v>-44.6</v>
      </c>
      <c r="Z104" s="13">
        <v>-10.6</v>
      </c>
      <c r="AA104" s="13">
        <v>-36.4</v>
      </c>
      <c r="AB104" s="13">
        <v>-30</v>
      </c>
      <c r="AC104" s="13">
        <v>-134.1</v>
      </c>
      <c r="AD104" s="13">
        <v>-152.1</v>
      </c>
      <c r="AE104" s="13">
        <v>-25.5</v>
      </c>
      <c r="AF104" s="13">
        <v>-154.19999999999999</v>
      </c>
      <c r="AG104" s="13">
        <v>-41.6</v>
      </c>
      <c r="AH104" s="13">
        <v>-121.9</v>
      </c>
      <c r="AI104" s="13">
        <v>-79.3</v>
      </c>
      <c r="AJ104" s="13">
        <v>-107.3</v>
      </c>
      <c r="AK104" s="13">
        <v>-24.7</v>
      </c>
      <c r="AL104" s="13">
        <v>-111.1</v>
      </c>
      <c r="AM104" s="13">
        <v>-78.2</v>
      </c>
      <c r="AN104" s="13">
        <v>-141</v>
      </c>
      <c r="AO104" s="13">
        <v>-36.799999999999997</v>
      </c>
      <c r="AP104" s="13">
        <v>-89.5</v>
      </c>
      <c r="AQ104" s="13">
        <v>-961.7</v>
      </c>
      <c r="AR104" s="13">
        <v>-89.1</v>
      </c>
      <c r="AS104" s="13">
        <v>-410.4</v>
      </c>
      <c r="AT104" s="13">
        <v>-62</v>
      </c>
      <c r="AU104" s="13">
        <v>-22.9</v>
      </c>
      <c r="AV104" s="13">
        <v>-59.6</v>
      </c>
      <c r="AW104" s="14">
        <v>-26.6</v>
      </c>
      <c r="AX104" s="14">
        <v>-23.1</v>
      </c>
      <c r="AY104" s="14">
        <v>-15.8</v>
      </c>
      <c r="AZ104" s="14">
        <v>-299.39999999999998</v>
      </c>
      <c r="BA104" s="14">
        <v>-22.4</v>
      </c>
      <c r="BB104" s="14">
        <v>-46.6</v>
      </c>
      <c r="BC104" s="14">
        <v>-25.7</v>
      </c>
      <c r="BD104" s="14">
        <v>-37.6</v>
      </c>
      <c r="BE104" s="14">
        <v>-15.3</v>
      </c>
      <c r="BF104" s="13">
        <v>-14.2</v>
      </c>
      <c r="BG104" s="13">
        <v>-22.1</v>
      </c>
      <c r="BH104" s="13">
        <v>-1316.9</v>
      </c>
      <c r="BI104" s="13">
        <v>-499.5</v>
      </c>
      <c r="BJ104" s="13">
        <v>-9.5</v>
      </c>
      <c r="BK104" s="13">
        <v>-71.7</v>
      </c>
      <c r="BL104" s="13">
        <v>-12</v>
      </c>
      <c r="BM104" s="13">
        <v>-13</v>
      </c>
      <c r="BN104" s="13">
        <v>-16.475999999999999</v>
      </c>
      <c r="BO104" s="14">
        <v>-8.4420000000000002</v>
      </c>
      <c r="BP104" s="14">
        <v>-8.8930000000000007</v>
      </c>
      <c r="BQ104" s="14">
        <v>-7.6589999999999998</v>
      </c>
      <c r="BR104" s="14">
        <v>-6.6449999999999996</v>
      </c>
      <c r="BS104" s="14">
        <v>-5.2750000000000004</v>
      </c>
      <c r="BT104" s="14">
        <v>-9.4879999999999995</v>
      </c>
      <c r="BU104" s="14">
        <v>-7.32</v>
      </c>
      <c r="BV104" s="14">
        <v>-7.2</v>
      </c>
      <c r="BW104" s="14">
        <v>-11.5</v>
      </c>
      <c r="BX104" s="14">
        <v>-9.6080000000000005</v>
      </c>
      <c r="BY104" s="14">
        <v>-8.2720000000000002</v>
      </c>
      <c r="BZ104" s="14">
        <v>-7.4770000000000003</v>
      </c>
      <c r="CA104" s="14">
        <v>-6.343</v>
      </c>
      <c r="CB104" s="14">
        <v>-15.231999999999999</v>
      </c>
      <c r="CC104" s="14">
        <v>-8.6879999999999988</v>
      </c>
      <c r="CD104" s="14">
        <v>-14.27398011</v>
      </c>
      <c r="CE104" s="14">
        <v>-16.298000000000002</v>
      </c>
      <c r="CF104" s="14">
        <v>-15.408999999999999</v>
      </c>
    </row>
    <row r="105" spans="1:84" ht="16.5" x14ac:dyDescent="0.3">
      <c r="A105" s="12" t="s">
        <v>111</v>
      </c>
      <c r="B105" s="13">
        <v>0</v>
      </c>
      <c r="C105" s="13">
        <v>0</v>
      </c>
      <c r="D105" s="13">
        <v>0</v>
      </c>
      <c r="E105" s="13">
        <v>0</v>
      </c>
      <c r="F105" s="13">
        <v>0</v>
      </c>
      <c r="G105" s="13">
        <v>0</v>
      </c>
      <c r="H105" s="13">
        <v>0</v>
      </c>
      <c r="I105" s="13">
        <v>0</v>
      </c>
      <c r="J105" s="13">
        <v>0</v>
      </c>
      <c r="K105" s="13">
        <v>0</v>
      </c>
      <c r="L105" s="13">
        <v>0</v>
      </c>
      <c r="M105" s="13">
        <v>0</v>
      </c>
      <c r="N105" s="13">
        <v>0</v>
      </c>
      <c r="O105" s="13">
        <v>0</v>
      </c>
      <c r="P105" s="13">
        <v>0</v>
      </c>
      <c r="Q105" s="13">
        <v>0</v>
      </c>
      <c r="R105" s="13">
        <v>0</v>
      </c>
      <c r="S105" s="13">
        <v>0</v>
      </c>
      <c r="T105" s="13">
        <v>0</v>
      </c>
      <c r="U105" s="13">
        <v>0</v>
      </c>
      <c r="V105" s="13">
        <v>0</v>
      </c>
      <c r="W105" s="13">
        <v>0</v>
      </c>
      <c r="X105" s="13">
        <v>0</v>
      </c>
      <c r="Y105" s="13">
        <v>0</v>
      </c>
      <c r="Z105" s="13">
        <v>0</v>
      </c>
      <c r="AA105" s="13">
        <v>0</v>
      </c>
      <c r="AB105" s="13">
        <v>0</v>
      </c>
      <c r="AC105" s="13">
        <v>0</v>
      </c>
      <c r="AD105" s="13">
        <v>0</v>
      </c>
      <c r="AE105" s="13">
        <v>0</v>
      </c>
      <c r="AF105" s="13">
        <v>0</v>
      </c>
      <c r="AG105" s="13">
        <v>0</v>
      </c>
      <c r="AH105" s="13">
        <v>0</v>
      </c>
      <c r="AI105" s="13">
        <v>0</v>
      </c>
      <c r="AJ105" s="13">
        <v>0</v>
      </c>
      <c r="AK105" s="13">
        <v>0</v>
      </c>
      <c r="AL105" s="13">
        <v>0</v>
      </c>
      <c r="AM105" s="13">
        <v>0</v>
      </c>
      <c r="AN105" s="13">
        <v>0</v>
      </c>
      <c r="AO105" s="13">
        <v>0</v>
      </c>
      <c r="AP105" s="13">
        <v>-36.200000000000003</v>
      </c>
      <c r="AQ105" s="13">
        <v>5.3</v>
      </c>
      <c r="AR105" s="13">
        <v>-1</v>
      </c>
      <c r="AS105" s="13">
        <v>-3.2</v>
      </c>
      <c r="AT105" s="13">
        <v>4.8</v>
      </c>
      <c r="AU105" s="13">
        <v>4.0999999999999996</v>
      </c>
      <c r="AV105" s="13">
        <v>-0.2</v>
      </c>
      <c r="AW105" s="14">
        <v>2.6</v>
      </c>
      <c r="AX105" s="14">
        <v>0.1</v>
      </c>
      <c r="AY105" s="14">
        <v>-7.3</v>
      </c>
      <c r="AZ105" s="14">
        <v>6.4</v>
      </c>
      <c r="BA105" s="14">
        <v>3.1</v>
      </c>
      <c r="BB105" s="14">
        <v>-9.5</v>
      </c>
      <c r="BC105" s="14">
        <v>1.1000000000000001</v>
      </c>
      <c r="BD105" s="14">
        <v>33.299999999999997</v>
      </c>
      <c r="BE105" s="14">
        <v>-6.4</v>
      </c>
      <c r="BF105" s="13">
        <v>-13.2</v>
      </c>
      <c r="BG105" s="13">
        <v>-9</v>
      </c>
      <c r="BH105" s="13">
        <v>-9.9</v>
      </c>
      <c r="BI105" s="13">
        <v>0.5</v>
      </c>
      <c r="BJ105" s="13">
        <v>10.7</v>
      </c>
      <c r="BK105" s="13">
        <v>6.1</v>
      </c>
      <c r="BL105" s="13">
        <v>4</v>
      </c>
      <c r="BM105" s="13">
        <v>9.1</v>
      </c>
      <c r="BN105" s="13">
        <v>-39.51582981</v>
      </c>
      <c r="BO105" s="14">
        <v>14.45531459</v>
      </c>
      <c r="BP105" s="14">
        <v>-8.1103905750000003</v>
      </c>
      <c r="BQ105" s="14">
        <v>11.94359461</v>
      </c>
      <c r="BR105" s="14">
        <v>63.496151699999999</v>
      </c>
      <c r="BS105" s="14">
        <v>-3.2994245470000001</v>
      </c>
      <c r="BT105" s="14">
        <v>13.03407253</v>
      </c>
      <c r="BU105" s="14">
        <v>6.3882379599999997</v>
      </c>
      <c r="BV105" s="14">
        <v>10.8</v>
      </c>
      <c r="BW105" s="14">
        <v>2.5</v>
      </c>
      <c r="BX105" s="14">
        <v>-5.1000730250000004</v>
      </c>
      <c r="BY105" s="14">
        <v>35.464428910000002</v>
      </c>
      <c r="BZ105" s="14">
        <v>6.5201166083559112</v>
      </c>
      <c r="CA105" s="14">
        <v>42.552608299741557</v>
      </c>
      <c r="CB105" s="14">
        <v>-9.7134366948783804</v>
      </c>
      <c r="CC105" s="14">
        <v>-13.426909478123214</v>
      </c>
      <c r="CD105" s="14">
        <v>17.611914006766746</v>
      </c>
      <c r="CE105" s="14">
        <v>-23.128752926145875</v>
      </c>
      <c r="CF105" s="14">
        <v>-3.9045130298034678</v>
      </c>
    </row>
    <row r="106" spans="1:84" ht="16.5" x14ac:dyDescent="0.3">
      <c r="A106" s="12" t="s">
        <v>112</v>
      </c>
      <c r="B106" s="13">
        <v>0</v>
      </c>
      <c r="C106" s="13">
        <v>0</v>
      </c>
      <c r="D106" s="13">
        <v>0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3.5</v>
      </c>
      <c r="P106" s="13">
        <v>0</v>
      </c>
      <c r="Q106" s="13">
        <v>47.6</v>
      </c>
      <c r="R106" s="13">
        <v>0</v>
      </c>
      <c r="S106" s="13">
        <v>0</v>
      </c>
      <c r="T106" s="13">
        <v>0</v>
      </c>
      <c r="U106" s="13">
        <v>76.3</v>
      </c>
      <c r="V106" s="13">
        <v>0</v>
      </c>
      <c r="W106" s="13">
        <v>0</v>
      </c>
      <c r="X106" s="13">
        <v>0</v>
      </c>
      <c r="Y106" s="13">
        <v>69</v>
      </c>
      <c r="Z106" s="13">
        <v>-6</v>
      </c>
      <c r="AA106" s="13">
        <v>15.2</v>
      </c>
      <c r="AB106" s="13">
        <v>2.1</v>
      </c>
      <c r="AC106" s="13">
        <v>200.1</v>
      </c>
      <c r="AD106" s="13">
        <v>-0.5</v>
      </c>
      <c r="AE106" s="13">
        <v>121.8</v>
      </c>
      <c r="AF106" s="13">
        <v>17.3</v>
      </c>
      <c r="AG106" s="13">
        <v>162.80000000000001</v>
      </c>
      <c r="AH106" s="13">
        <v>85.8</v>
      </c>
      <c r="AI106" s="13">
        <v>82.7</v>
      </c>
      <c r="AJ106" s="13">
        <v>60.3</v>
      </c>
      <c r="AK106" s="13">
        <v>12.6</v>
      </c>
      <c r="AL106" s="13">
        <v>12.3</v>
      </c>
      <c r="AM106" s="13">
        <v>2.6</v>
      </c>
      <c r="AN106" s="13">
        <v>-32.200000000000003</v>
      </c>
      <c r="AO106" s="13">
        <v>-1</v>
      </c>
      <c r="AP106" s="13">
        <v>84.5</v>
      </c>
      <c r="AQ106" s="13">
        <v>126.6</v>
      </c>
      <c r="AR106" s="13">
        <v>138.80000000000001</v>
      </c>
      <c r="AS106" s="13">
        <v>72.8</v>
      </c>
      <c r="AT106" s="13">
        <v>15.4</v>
      </c>
      <c r="AU106" s="13">
        <v>12.2</v>
      </c>
      <c r="AV106" s="13">
        <v>16.7</v>
      </c>
      <c r="AW106" s="14">
        <v>-27.2</v>
      </c>
      <c r="AX106" s="14">
        <v>36</v>
      </c>
      <c r="AY106" s="14">
        <v>-51.2</v>
      </c>
      <c r="AZ106" s="14">
        <v>47.7</v>
      </c>
      <c r="BA106" s="14">
        <v>-50.8</v>
      </c>
      <c r="BB106" s="14">
        <v>61.1</v>
      </c>
      <c r="BC106" s="14">
        <v>-17.899999999999999</v>
      </c>
      <c r="BD106" s="14">
        <v>58.1</v>
      </c>
      <c r="BE106" s="14">
        <v>-63</v>
      </c>
      <c r="BF106" s="13">
        <v>25.8</v>
      </c>
      <c r="BG106" s="13">
        <v>-26.6</v>
      </c>
      <c r="BH106" s="13">
        <v>39.799999999999997</v>
      </c>
      <c r="BI106" s="13">
        <v>-249.2</v>
      </c>
      <c r="BJ106" s="13">
        <v>43.2</v>
      </c>
      <c r="BK106" s="13">
        <v>22.3</v>
      </c>
      <c r="BL106" s="13">
        <v>66.400000000000006</v>
      </c>
      <c r="BM106" s="13">
        <v>-10.6</v>
      </c>
      <c r="BN106" s="13">
        <v>31.542983920000001</v>
      </c>
      <c r="BO106" s="14">
        <v>-18.607843200000001</v>
      </c>
      <c r="BP106" s="14">
        <v>-40.813743189999997</v>
      </c>
      <c r="BQ106" s="14">
        <v>-74.766211990000002</v>
      </c>
      <c r="BR106" s="14">
        <v>-51.242359030000003</v>
      </c>
      <c r="BS106" s="14">
        <v>-102.31892860000001</v>
      </c>
      <c r="BT106" s="14">
        <v>2.353934142</v>
      </c>
      <c r="BU106" s="14">
        <v>-76.029885919999998</v>
      </c>
      <c r="BV106" s="14">
        <v>-2.5</v>
      </c>
      <c r="BW106" s="14">
        <v>-140.30000000000001</v>
      </c>
      <c r="BX106" s="14">
        <v>58.369394569999997</v>
      </c>
      <c r="BY106" s="14">
        <v>-71.338143650000006</v>
      </c>
      <c r="BZ106" s="14">
        <v>-61.213187662473501</v>
      </c>
      <c r="CA106" s="14">
        <v>-126.56009100211817</v>
      </c>
      <c r="CB106" s="14">
        <v>-31.524201029177725</v>
      </c>
      <c r="CC106" s="14">
        <v>-67.812121864569576</v>
      </c>
      <c r="CD106" s="14">
        <v>-30.383635912085087</v>
      </c>
      <c r="CE106" s="14">
        <v>-16.356940351345614</v>
      </c>
      <c r="CF106" s="14">
        <v>-24.759935428380174</v>
      </c>
    </row>
    <row r="107" spans="1:84" ht="16.5" x14ac:dyDescent="0.3">
      <c r="A107" s="12" t="s">
        <v>118</v>
      </c>
      <c r="B107" s="13">
        <v>0</v>
      </c>
      <c r="C107" s="13">
        <v>0</v>
      </c>
      <c r="D107" s="13">
        <v>0</v>
      </c>
      <c r="E107" s="13">
        <v>0</v>
      </c>
      <c r="F107" s="13">
        <v>0</v>
      </c>
      <c r="G107" s="13">
        <v>0</v>
      </c>
      <c r="H107" s="13">
        <v>0</v>
      </c>
      <c r="I107" s="13">
        <v>0</v>
      </c>
      <c r="J107" s="13">
        <v>0</v>
      </c>
      <c r="K107" s="13">
        <v>0</v>
      </c>
      <c r="L107" s="13">
        <v>0</v>
      </c>
      <c r="M107" s="13">
        <v>0</v>
      </c>
      <c r="N107" s="13">
        <v>0</v>
      </c>
      <c r="O107" s="13">
        <v>0</v>
      </c>
      <c r="P107" s="13">
        <v>0</v>
      </c>
      <c r="Q107" s="13">
        <v>0</v>
      </c>
      <c r="R107" s="13">
        <v>0</v>
      </c>
      <c r="S107" s="13">
        <v>0</v>
      </c>
      <c r="T107" s="13">
        <v>0</v>
      </c>
      <c r="U107" s="13">
        <v>76.3</v>
      </c>
      <c r="V107" s="13">
        <v>0</v>
      </c>
      <c r="W107" s="13">
        <v>0</v>
      </c>
      <c r="X107" s="13">
        <v>0</v>
      </c>
      <c r="Y107" s="13">
        <v>90</v>
      </c>
      <c r="Z107" s="13">
        <v>7.2</v>
      </c>
      <c r="AA107" s="13">
        <v>19</v>
      </c>
      <c r="AB107" s="13">
        <v>11.4</v>
      </c>
      <c r="AC107" s="13">
        <v>212.1</v>
      </c>
      <c r="AD107" s="13">
        <v>9.5</v>
      </c>
      <c r="AE107" s="13">
        <v>142.30000000000001</v>
      </c>
      <c r="AF107" s="13">
        <v>35.299999999999997</v>
      </c>
      <c r="AG107" s="13">
        <v>173.1</v>
      </c>
      <c r="AH107" s="13">
        <v>97.4</v>
      </c>
      <c r="AI107" s="13">
        <v>102.8</v>
      </c>
      <c r="AJ107" s="13">
        <v>81.2</v>
      </c>
      <c r="AK107" s="13">
        <v>40.700000000000003</v>
      </c>
      <c r="AL107" s="13">
        <v>18.5</v>
      </c>
      <c r="AM107" s="13">
        <v>10.3</v>
      </c>
      <c r="AN107" s="13">
        <v>0.8</v>
      </c>
      <c r="AO107" s="13">
        <v>22.7</v>
      </c>
      <c r="AP107" s="13">
        <v>114</v>
      </c>
      <c r="AQ107" s="13">
        <v>155.5</v>
      </c>
      <c r="AR107" s="13">
        <v>149.30000000000001</v>
      </c>
      <c r="AS107" s="13">
        <v>124.2</v>
      </c>
      <c r="AT107" s="13">
        <v>36.799999999999997</v>
      </c>
      <c r="AU107" s="13">
        <v>62</v>
      </c>
      <c r="AV107" s="13">
        <v>36</v>
      </c>
      <c r="AW107" s="14">
        <v>24.7</v>
      </c>
      <c r="AX107" s="14">
        <v>49</v>
      </c>
      <c r="AY107" s="14">
        <v>21.5</v>
      </c>
      <c r="AZ107" s="14">
        <v>63.2</v>
      </c>
      <c r="BA107" s="14">
        <v>14.2</v>
      </c>
      <c r="BB107" s="14">
        <v>73.099999999999994</v>
      </c>
      <c r="BC107" s="14">
        <v>58.3</v>
      </c>
      <c r="BD107" s="14">
        <v>70.599999999999994</v>
      </c>
      <c r="BE107" s="14">
        <v>40</v>
      </c>
      <c r="BF107" s="13">
        <v>43.4</v>
      </c>
      <c r="BG107" s="13">
        <v>62.9</v>
      </c>
      <c r="BH107" s="13">
        <v>52.5</v>
      </c>
      <c r="BI107" s="13">
        <v>74.099999999999994</v>
      </c>
      <c r="BJ107" s="13">
        <v>58.2</v>
      </c>
      <c r="BK107" s="13">
        <v>90</v>
      </c>
      <c r="BL107" s="13">
        <v>82.7</v>
      </c>
      <c r="BM107" s="13">
        <v>884.1</v>
      </c>
      <c r="BN107" s="13">
        <v>93.886830000000003</v>
      </c>
      <c r="BO107" s="14">
        <v>76.837980000000002</v>
      </c>
      <c r="BP107" s="14">
        <v>25.043715989999999</v>
      </c>
      <c r="BQ107" s="14">
        <v>60.363925909999999</v>
      </c>
      <c r="BR107" s="14">
        <v>21.80674415</v>
      </c>
      <c r="BS107" s="14">
        <v>20.447316180000001</v>
      </c>
      <c r="BT107" s="14">
        <v>20.661793639999999</v>
      </c>
      <c r="BU107" s="14">
        <v>40.508302010000001</v>
      </c>
      <c r="BV107" s="14">
        <v>30.1</v>
      </c>
      <c r="BW107" s="14">
        <v>40.6</v>
      </c>
      <c r="BX107" s="14">
        <v>113.1054678</v>
      </c>
      <c r="BY107" s="14">
        <v>44.138857209999998</v>
      </c>
      <c r="BZ107" s="14">
        <v>20.94157074</v>
      </c>
      <c r="CA107" s="14">
        <v>78.076952550000001</v>
      </c>
      <c r="CB107" s="14">
        <v>47.81915206</v>
      </c>
      <c r="CC107" s="14">
        <v>79.411318730000005</v>
      </c>
      <c r="CD107" s="14">
        <v>20.430068049999999</v>
      </c>
      <c r="CE107" s="14">
        <v>19.586493722</v>
      </c>
      <c r="CF107" s="14">
        <v>29.6465189416</v>
      </c>
    </row>
    <row r="108" spans="1:84" ht="16.5" x14ac:dyDescent="0.3">
      <c r="A108" s="12" t="s">
        <v>119</v>
      </c>
      <c r="B108" s="13">
        <v>0</v>
      </c>
      <c r="C108" s="13">
        <v>0</v>
      </c>
      <c r="D108" s="13">
        <v>0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  <c r="P108" s="13">
        <v>0</v>
      </c>
      <c r="Q108" s="13">
        <v>0</v>
      </c>
      <c r="R108" s="13">
        <v>0</v>
      </c>
      <c r="S108" s="13">
        <v>0</v>
      </c>
      <c r="T108" s="13">
        <v>0</v>
      </c>
      <c r="U108" s="13">
        <v>0</v>
      </c>
      <c r="V108" s="13">
        <v>0</v>
      </c>
      <c r="W108" s="13">
        <v>0</v>
      </c>
      <c r="X108" s="13">
        <v>0</v>
      </c>
      <c r="Y108" s="13">
        <v>-21</v>
      </c>
      <c r="Z108" s="13">
        <v>-13.2</v>
      </c>
      <c r="AA108" s="13">
        <v>-3.8</v>
      </c>
      <c r="AB108" s="13">
        <v>-9.3000000000000007</v>
      </c>
      <c r="AC108" s="13">
        <v>-12</v>
      </c>
      <c r="AD108" s="13">
        <v>-10</v>
      </c>
      <c r="AE108" s="13">
        <v>-20.5</v>
      </c>
      <c r="AF108" s="13">
        <v>-18</v>
      </c>
      <c r="AG108" s="13">
        <v>-10.3</v>
      </c>
      <c r="AH108" s="13">
        <v>-11.6</v>
      </c>
      <c r="AI108" s="13">
        <v>-20</v>
      </c>
      <c r="AJ108" s="13">
        <v>-21</v>
      </c>
      <c r="AK108" s="13">
        <v>-28.1</v>
      </c>
      <c r="AL108" s="13">
        <v>-6.2</v>
      </c>
      <c r="AM108" s="13">
        <v>-7.7</v>
      </c>
      <c r="AN108" s="13">
        <v>-33</v>
      </c>
      <c r="AO108" s="13">
        <v>-23.7</v>
      </c>
      <c r="AP108" s="13">
        <v>-29.5</v>
      </c>
      <c r="AQ108" s="13">
        <v>-28.9</v>
      </c>
      <c r="AR108" s="13">
        <v>-10.5</v>
      </c>
      <c r="AS108" s="13">
        <v>-51.5</v>
      </c>
      <c r="AT108" s="13">
        <v>-21.4</v>
      </c>
      <c r="AU108" s="13">
        <v>-49.7</v>
      </c>
      <c r="AV108" s="13">
        <v>-19.3</v>
      </c>
      <c r="AW108" s="14">
        <v>-51.9</v>
      </c>
      <c r="AX108" s="14">
        <v>-13</v>
      </c>
      <c r="AY108" s="14">
        <v>-72.7</v>
      </c>
      <c r="AZ108" s="14">
        <v>-15.6</v>
      </c>
      <c r="BA108" s="14">
        <v>-65.099999999999994</v>
      </c>
      <c r="BB108" s="14">
        <v>-12</v>
      </c>
      <c r="BC108" s="14">
        <v>-76.2</v>
      </c>
      <c r="BD108" s="14">
        <v>-12.6</v>
      </c>
      <c r="BE108" s="14">
        <v>-103</v>
      </c>
      <c r="BF108" s="13">
        <v>-17.5</v>
      </c>
      <c r="BG108" s="13">
        <v>-89.6</v>
      </c>
      <c r="BH108" s="13">
        <v>-12.7</v>
      </c>
      <c r="BI108" s="13">
        <v>-323.2</v>
      </c>
      <c r="BJ108" s="13">
        <v>-15</v>
      </c>
      <c r="BK108" s="13">
        <v>-67.7</v>
      </c>
      <c r="BL108" s="13">
        <v>-16.3</v>
      </c>
      <c r="BM108" s="13">
        <v>-894.7</v>
      </c>
      <c r="BN108" s="13">
        <v>-62.34384609</v>
      </c>
      <c r="BO108" s="14">
        <v>-95.445823200000007</v>
      </c>
      <c r="BP108" s="14">
        <v>-65.857459180000006</v>
      </c>
      <c r="BQ108" s="14">
        <v>-135.13013789999999</v>
      </c>
      <c r="BR108" s="14">
        <v>-73.049103180000003</v>
      </c>
      <c r="BS108" s="14">
        <v>-122.7662448</v>
      </c>
      <c r="BT108" s="14">
        <v>-18.307859499999999</v>
      </c>
      <c r="BU108" s="14">
        <v>-116.5381879</v>
      </c>
      <c r="BV108" s="14">
        <v>-32.700000000000003</v>
      </c>
      <c r="BW108" s="14">
        <v>-180.9</v>
      </c>
      <c r="BX108" s="14">
        <v>-54.736073269999999</v>
      </c>
      <c r="BY108" s="14">
        <v>-115.47700089999999</v>
      </c>
      <c r="BZ108" s="14">
        <v>-82.154758402473504</v>
      </c>
      <c r="CA108" s="14">
        <v>-204.63704355211817</v>
      </c>
      <c r="CB108" s="14">
        <v>-79.343353089177725</v>
      </c>
      <c r="CC108" s="14">
        <v>-147.22344059456958</v>
      </c>
      <c r="CD108" s="14">
        <v>-50.813703962085086</v>
      </c>
      <c r="CE108" s="14">
        <v>-35.943434073345614</v>
      </c>
      <c r="CF108" s="14">
        <v>-54.406454369980175</v>
      </c>
    </row>
    <row r="109" spans="1:84" ht="16.5" x14ac:dyDescent="0.3">
      <c r="A109" s="12" t="s">
        <v>162</v>
      </c>
      <c r="B109" s="13">
        <v>0</v>
      </c>
      <c r="C109" s="13">
        <v>0</v>
      </c>
      <c r="D109" s="13">
        <v>0</v>
      </c>
      <c r="E109" s="13">
        <v>0</v>
      </c>
      <c r="F109" s="13">
        <v>0</v>
      </c>
      <c r="G109" s="13">
        <v>0</v>
      </c>
      <c r="H109" s="13">
        <v>0</v>
      </c>
      <c r="I109" s="13">
        <v>0</v>
      </c>
      <c r="J109" s="13">
        <v>0</v>
      </c>
      <c r="K109" s="13">
        <v>0</v>
      </c>
      <c r="L109" s="13">
        <v>0</v>
      </c>
      <c r="M109" s="13">
        <v>0</v>
      </c>
      <c r="N109" s="13">
        <v>0</v>
      </c>
      <c r="O109" s="13">
        <v>0</v>
      </c>
      <c r="P109" s="13">
        <v>0</v>
      </c>
      <c r="Q109" s="13">
        <v>0</v>
      </c>
      <c r="R109" s="13">
        <v>0</v>
      </c>
      <c r="S109" s="13">
        <v>0</v>
      </c>
      <c r="T109" s="13">
        <v>0</v>
      </c>
      <c r="U109" s="13">
        <v>0</v>
      </c>
      <c r="V109" s="13">
        <v>0</v>
      </c>
      <c r="W109" s="13">
        <v>0</v>
      </c>
      <c r="X109" s="13">
        <v>0</v>
      </c>
      <c r="Y109" s="13">
        <v>0</v>
      </c>
      <c r="Z109" s="13">
        <v>-13.5</v>
      </c>
      <c r="AA109" s="13">
        <v>16.100000000000001</v>
      </c>
      <c r="AB109" s="13">
        <v>-20.6</v>
      </c>
      <c r="AC109" s="13">
        <v>15.2</v>
      </c>
      <c r="AD109" s="13">
        <v>6</v>
      </c>
      <c r="AE109" s="13">
        <v>-6.6</v>
      </c>
      <c r="AF109" s="13">
        <v>-11.1</v>
      </c>
      <c r="AG109" s="13">
        <v>-21.8</v>
      </c>
      <c r="AH109" s="13">
        <v>15.8</v>
      </c>
      <c r="AI109" s="13">
        <v>10.8</v>
      </c>
      <c r="AJ109" s="13">
        <v>-7.9</v>
      </c>
      <c r="AK109" s="13">
        <v>-2.1</v>
      </c>
      <c r="AL109" s="13">
        <v>44.3</v>
      </c>
      <c r="AM109" s="13">
        <v>-42.6</v>
      </c>
      <c r="AN109" s="13">
        <v>-19.8</v>
      </c>
      <c r="AO109" s="13">
        <v>53.2</v>
      </c>
      <c r="AP109" s="13">
        <v>-3.3</v>
      </c>
      <c r="AQ109" s="13">
        <v>-1.6</v>
      </c>
      <c r="AR109" s="13">
        <v>1.1000000000000001</v>
      </c>
      <c r="AS109" s="13">
        <v>-4.5999999999999996</v>
      </c>
      <c r="AT109" s="13">
        <v>-3.5</v>
      </c>
      <c r="AU109" s="13">
        <v>4.3</v>
      </c>
      <c r="AV109" s="13">
        <v>-3.5</v>
      </c>
      <c r="AW109" s="14">
        <v>3.7</v>
      </c>
      <c r="AX109" s="14">
        <v>8.4</v>
      </c>
      <c r="AY109" s="14">
        <v>-2.1</v>
      </c>
      <c r="AZ109" s="14">
        <v>-10.8</v>
      </c>
      <c r="BA109" s="14">
        <v>11.7</v>
      </c>
      <c r="BB109" s="14">
        <v>-8.1999999999999993</v>
      </c>
      <c r="BC109" s="14">
        <v>-8.9</v>
      </c>
      <c r="BD109" s="14">
        <v>3.8</v>
      </c>
      <c r="BE109" s="14">
        <v>1.3</v>
      </c>
      <c r="BF109" s="13">
        <v>2.5</v>
      </c>
      <c r="BG109" s="13">
        <v>-19.399999999999999</v>
      </c>
      <c r="BH109" s="13">
        <v>17.100000000000001</v>
      </c>
      <c r="BI109" s="13">
        <v>-4.0999999999999996</v>
      </c>
      <c r="BJ109" s="13">
        <v>20.399999999999999</v>
      </c>
      <c r="BK109" s="13">
        <v>-9.9</v>
      </c>
      <c r="BL109" s="13">
        <v>14.9</v>
      </c>
      <c r="BM109" s="13">
        <v>6.1</v>
      </c>
      <c r="BN109" s="13">
        <v>29.56697101</v>
      </c>
      <c r="BO109" s="14">
        <v>-13.30790848</v>
      </c>
      <c r="BP109" s="14">
        <v>1.44484838</v>
      </c>
      <c r="BQ109" s="14">
        <v>31.19279337</v>
      </c>
      <c r="BR109" s="14">
        <v>-33.360176770000002</v>
      </c>
      <c r="BS109" s="14">
        <v>4.1321304599999999</v>
      </c>
      <c r="BT109" s="14">
        <v>81.688109670000003</v>
      </c>
      <c r="BU109" s="14">
        <v>8.179314948</v>
      </c>
      <c r="BV109" s="14">
        <v>39.9</v>
      </c>
      <c r="BW109" s="14">
        <v>-31</v>
      </c>
      <c r="BX109" s="14">
        <v>-13.68196418</v>
      </c>
      <c r="BY109" s="14">
        <v>-2.913456118</v>
      </c>
      <c r="BZ109" s="14">
        <v>-14.52863703414182</v>
      </c>
      <c r="CA109" s="14">
        <v>-29.319839582674916</v>
      </c>
      <c r="CB109" s="14">
        <v>84.004290177942579</v>
      </c>
      <c r="CC109" s="14">
        <v>-0.77256374404472794</v>
      </c>
      <c r="CD109" s="14">
        <v>9.0556562422360702</v>
      </c>
      <c r="CE109" s="14">
        <v>12.550632524282694</v>
      </c>
      <c r="CF109" s="14">
        <v>3.084088726546252</v>
      </c>
    </row>
    <row r="110" spans="1:84" ht="16.5" x14ac:dyDescent="0.3">
      <c r="A110" s="12" t="s">
        <v>117</v>
      </c>
      <c r="B110" s="13">
        <v>0</v>
      </c>
      <c r="C110" s="13">
        <v>0</v>
      </c>
      <c r="D110" s="13">
        <v>0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  <c r="P110" s="13">
        <v>0</v>
      </c>
      <c r="Q110" s="13">
        <v>0</v>
      </c>
      <c r="R110" s="13">
        <v>0</v>
      </c>
      <c r="S110" s="13">
        <v>0</v>
      </c>
      <c r="T110" s="13">
        <v>0</v>
      </c>
      <c r="U110" s="13">
        <v>0</v>
      </c>
      <c r="V110" s="13">
        <v>0</v>
      </c>
      <c r="W110" s="13">
        <v>0</v>
      </c>
      <c r="X110" s="13">
        <v>0</v>
      </c>
      <c r="Y110" s="13">
        <v>0</v>
      </c>
      <c r="Z110" s="13">
        <v>0</v>
      </c>
      <c r="AA110" s="13">
        <v>0</v>
      </c>
      <c r="AB110" s="13">
        <v>0</v>
      </c>
      <c r="AC110" s="13">
        <v>0</v>
      </c>
      <c r="AD110" s="13">
        <v>0</v>
      </c>
      <c r="AE110" s="13">
        <v>0</v>
      </c>
      <c r="AF110" s="13">
        <v>0</v>
      </c>
      <c r="AG110" s="13">
        <v>0</v>
      </c>
      <c r="AH110" s="13">
        <v>0</v>
      </c>
      <c r="AI110" s="13">
        <v>0</v>
      </c>
      <c r="AJ110" s="13">
        <v>0</v>
      </c>
      <c r="AK110" s="13">
        <v>0</v>
      </c>
      <c r="AL110" s="13">
        <v>0</v>
      </c>
      <c r="AM110" s="13">
        <v>0</v>
      </c>
      <c r="AN110" s="13">
        <v>0</v>
      </c>
      <c r="AO110" s="13">
        <v>0</v>
      </c>
      <c r="AP110" s="13">
        <v>0</v>
      </c>
      <c r="AQ110" s="13">
        <v>0</v>
      </c>
      <c r="AR110" s="13">
        <v>0</v>
      </c>
      <c r="AS110" s="13">
        <v>0</v>
      </c>
      <c r="AT110" s="13">
        <v>0</v>
      </c>
      <c r="AU110" s="13">
        <v>0</v>
      </c>
      <c r="AV110" s="13">
        <v>0</v>
      </c>
      <c r="AW110" s="14">
        <v>0</v>
      </c>
      <c r="AX110" s="14">
        <v>0</v>
      </c>
      <c r="AY110" s="14">
        <v>0</v>
      </c>
      <c r="AZ110" s="14">
        <v>0</v>
      </c>
      <c r="BA110" s="14">
        <v>0</v>
      </c>
      <c r="BB110" s="14">
        <v>0</v>
      </c>
      <c r="BC110" s="14">
        <v>0</v>
      </c>
      <c r="BD110" s="14">
        <v>0</v>
      </c>
      <c r="BE110" s="14">
        <v>0</v>
      </c>
      <c r="BF110" s="13">
        <v>0</v>
      </c>
      <c r="BG110" s="13">
        <v>0</v>
      </c>
      <c r="BH110" s="13">
        <v>0</v>
      </c>
      <c r="BI110" s="13">
        <v>0</v>
      </c>
      <c r="BJ110" s="13">
        <v>12.8</v>
      </c>
      <c r="BK110" s="13">
        <v>-10.7</v>
      </c>
      <c r="BL110" s="13">
        <v>0.2</v>
      </c>
      <c r="BM110" s="13">
        <v>0.1</v>
      </c>
      <c r="BN110" s="13">
        <v>-0.156300678</v>
      </c>
      <c r="BO110" s="14">
        <v>0.12645532900000001</v>
      </c>
      <c r="BP110" s="14">
        <v>2.0111561E-2</v>
      </c>
      <c r="BQ110" s="14">
        <v>0.21255311499999999</v>
      </c>
      <c r="BR110" s="14">
        <v>-0.10824083</v>
      </c>
      <c r="BS110" s="14">
        <v>5.2248001000000002E-2</v>
      </c>
      <c r="BT110" s="14">
        <v>6.1184383589999998</v>
      </c>
      <c r="BU110" s="14">
        <v>-0.36511740199999998</v>
      </c>
      <c r="BV110" s="14">
        <v>-0.3</v>
      </c>
      <c r="BW110" s="14">
        <v>4.2</v>
      </c>
      <c r="BX110" s="14">
        <v>-1.1560888039999999</v>
      </c>
      <c r="BY110" s="14">
        <v>0.12877044300000001</v>
      </c>
      <c r="BZ110" s="14">
        <v>-1.4176696378006852</v>
      </c>
      <c r="CA110" s="14">
        <v>8.7355666759376476</v>
      </c>
      <c r="CB110" s="14">
        <v>-1.6140054648794799</v>
      </c>
      <c r="CC110" s="14">
        <v>1.3892532335584127</v>
      </c>
      <c r="CD110" s="14">
        <v>-5.353673726401821</v>
      </c>
      <c r="CE110" s="14">
        <v>-3.575789711757646</v>
      </c>
      <c r="CF110" s="14">
        <v>-1.3147074416556528</v>
      </c>
    </row>
    <row r="111" spans="1:84" ht="16.5" x14ac:dyDescent="0.3">
      <c r="A111" s="12" t="s">
        <v>121</v>
      </c>
      <c r="B111" s="13">
        <v>0</v>
      </c>
      <c r="C111" s="13">
        <v>0</v>
      </c>
      <c r="D111" s="13">
        <v>0</v>
      </c>
      <c r="E111" s="13">
        <v>0</v>
      </c>
      <c r="F111" s="13">
        <v>0</v>
      </c>
      <c r="G111" s="13">
        <v>0</v>
      </c>
      <c r="H111" s="13">
        <v>0</v>
      </c>
      <c r="I111" s="13">
        <v>0</v>
      </c>
      <c r="J111" s="13">
        <v>0</v>
      </c>
      <c r="K111" s="13">
        <v>0</v>
      </c>
      <c r="L111" s="13">
        <v>0</v>
      </c>
      <c r="M111" s="13">
        <v>0</v>
      </c>
      <c r="N111" s="13">
        <v>0</v>
      </c>
      <c r="O111" s="13">
        <v>0</v>
      </c>
      <c r="P111" s="13">
        <v>0</v>
      </c>
      <c r="Q111" s="13">
        <v>0</v>
      </c>
      <c r="R111" s="13">
        <v>0</v>
      </c>
      <c r="S111" s="13">
        <v>0</v>
      </c>
      <c r="T111" s="13">
        <v>0</v>
      </c>
      <c r="U111" s="13">
        <v>0</v>
      </c>
      <c r="V111" s="13">
        <v>0</v>
      </c>
      <c r="W111" s="13">
        <v>0</v>
      </c>
      <c r="X111" s="13">
        <v>0</v>
      </c>
      <c r="Y111" s="13">
        <v>0</v>
      </c>
      <c r="Z111" s="13">
        <v>-13.5</v>
      </c>
      <c r="AA111" s="13">
        <v>16.100000000000001</v>
      </c>
      <c r="AB111" s="13">
        <v>-20.6</v>
      </c>
      <c r="AC111" s="13">
        <v>15.2</v>
      </c>
      <c r="AD111" s="13">
        <v>6</v>
      </c>
      <c r="AE111" s="13">
        <v>-6.6</v>
      </c>
      <c r="AF111" s="13">
        <v>-11.1</v>
      </c>
      <c r="AG111" s="13">
        <v>-21.8</v>
      </c>
      <c r="AH111" s="13">
        <v>15.8</v>
      </c>
      <c r="AI111" s="13">
        <v>10.8</v>
      </c>
      <c r="AJ111" s="13">
        <v>-7.9</v>
      </c>
      <c r="AK111" s="13">
        <v>-2.1</v>
      </c>
      <c r="AL111" s="13">
        <v>44.3</v>
      </c>
      <c r="AM111" s="13">
        <v>-42.6</v>
      </c>
      <c r="AN111" s="13">
        <v>-19.8</v>
      </c>
      <c r="AO111" s="13">
        <v>53.2</v>
      </c>
      <c r="AP111" s="13">
        <v>-3.3</v>
      </c>
      <c r="AQ111" s="13">
        <v>-1.6</v>
      </c>
      <c r="AR111" s="13">
        <v>1.1000000000000001</v>
      </c>
      <c r="AS111" s="13">
        <v>-4.5999999999999996</v>
      </c>
      <c r="AT111" s="13">
        <v>-3.5</v>
      </c>
      <c r="AU111" s="13">
        <v>4.3</v>
      </c>
      <c r="AV111" s="13">
        <v>-3.5</v>
      </c>
      <c r="AW111" s="14">
        <v>3.7</v>
      </c>
      <c r="AX111" s="19">
        <v>8.4</v>
      </c>
      <c r="AY111" s="19">
        <v>-2.1</v>
      </c>
      <c r="AZ111" s="19">
        <v>-10.8</v>
      </c>
      <c r="BA111" s="19">
        <v>11.7</v>
      </c>
      <c r="BB111" s="19">
        <v>-8.1999999999999993</v>
      </c>
      <c r="BC111" s="19">
        <v>-8.9</v>
      </c>
      <c r="BD111" s="19">
        <v>3.8</v>
      </c>
      <c r="BE111" s="19">
        <v>1.3</v>
      </c>
      <c r="BF111" s="13">
        <v>2.5</v>
      </c>
      <c r="BG111" s="13">
        <v>-19.399999999999999</v>
      </c>
      <c r="BH111" s="13">
        <v>17.100000000000001</v>
      </c>
      <c r="BI111" s="13">
        <v>-4.0999999999999996</v>
      </c>
      <c r="BJ111" s="13">
        <v>7.6</v>
      </c>
      <c r="BK111" s="13">
        <v>0.8</v>
      </c>
      <c r="BL111" s="13">
        <v>14.7</v>
      </c>
      <c r="BM111" s="13">
        <v>6</v>
      </c>
      <c r="BN111" s="13">
        <v>29.723271690000001</v>
      </c>
      <c r="BO111" s="20">
        <v>-13.434363810000001</v>
      </c>
      <c r="BP111" s="20">
        <v>1.4247368199999999</v>
      </c>
      <c r="BQ111" s="20">
        <v>30.980240259999999</v>
      </c>
      <c r="BR111" s="20">
        <v>-33.251935930000002</v>
      </c>
      <c r="BS111" s="20">
        <v>4.0798824600000003</v>
      </c>
      <c r="BT111" s="20">
        <v>75.569671310000004</v>
      </c>
      <c r="BU111" s="20">
        <v>8.5444323499999992</v>
      </c>
      <c r="BV111" s="20">
        <v>40.200000000000003</v>
      </c>
      <c r="BW111" s="20">
        <v>-35.200000000000003</v>
      </c>
      <c r="BX111" s="20">
        <v>-12.52587538</v>
      </c>
      <c r="BY111" s="20">
        <v>-3.0422265610000001</v>
      </c>
      <c r="BZ111" s="20">
        <v>-13.110967396341135</v>
      </c>
      <c r="CA111" s="20">
        <v>-38.055406258612564</v>
      </c>
      <c r="CB111" s="20">
        <v>85.618295642822062</v>
      </c>
      <c r="CC111" s="20">
        <v>-2.1618169776031406</v>
      </c>
      <c r="CD111" s="20">
        <v>14.409329968637891</v>
      </c>
      <c r="CE111" s="20">
        <v>16.126422236040341</v>
      </c>
      <c r="CF111" s="20">
        <v>4.3987961682019048</v>
      </c>
    </row>
    <row r="112" spans="1:84" ht="16.5" x14ac:dyDescent="0.3">
      <c r="A112" s="12" t="s">
        <v>163</v>
      </c>
      <c r="B112" s="13">
        <v>0</v>
      </c>
      <c r="C112" s="13">
        <v>0</v>
      </c>
      <c r="D112" s="13">
        <v>0</v>
      </c>
      <c r="E112" s="13">
        <v>285.3</v>
      </c>
      <c r="F112" s="13">
        <v>205.6</v>
      </c>
      <c r="G112" s="13">
        <v>152.69999999999999</v>
      </c>
      <c r="H112" s="13">
        <v>482.2</v>
      </c>
      <c r="I112" s="13">
        <v>-607.6</v>
      </c>
      <c r="J112" s="13">
        <v>0</v>
      </c>
      <c r="K112" s="13">
        <v>14.4</v>
      </c>
      <c r="L112" s="13">
        <v>50.8</v>
      </c>
      <c r="M112" s="13">
        <v>85.7</v>
      </c>
      <c r="N112" s="13">
        <v>-222.2</v>
      </c>
      <c r="O112" s="13">
        <v>177.8</v>
      </c>
      <c r="P112" s="13">
        <v>167.6</v>
      </c>
      <c r="Q112" s="13">
        <v>191.1</v>
      </c>
      <c r="R112" s="13">
        <v>8.3000000000000007</v>
      </c>
      <c r="S112" s="13">
        <v>0.8</v>
      </c>
      <c r="T112" s="13">
        <v>20.9</v>
      </c>
      <c r="U112" s="13">
        <v>-91.5</v>
      </c>
      <c r="V112" s="13">
        <v>-4.7</v>
      </c>
      <c r="W112" s="13">
        <v>13.8</v>
      </c>
      <c r="X112" s="13">
        <v>-18.7</v>
      </c>
      <c r="Y112" s="13">
        <v>-3922.6</v>
      </c>
      <c r="Z112" s="13">
        <v>0</v>
      </c>
      <c r="AA112" s="13">
        <v>-1.2</v>
      </c>
      <c r="AB112" s="13">
        <v>0</v>
      </c>
      <c r="AC112" s="13">
        <v>21.6</v>
      </c>
      <c r="AD112" s="13">
        <v>0</v>
      </c>
      <c r="AE112" s="13">
        <v>0</v>
      </c>
      <c r="AF112" s="13">
        <v>0</v>
      </c>
      <c r="AG112" s="13">
        <v>0</v>
      </c>
      <c r="AH112" s="13">
        <v>0</v>
      </c>
      <c r="AI112" s="13">
        <v>0</v>
      </c>
      <c r="AJ112" s="13">
        <v>0</v>
      </c>
      <c r="AK112" s="13">
        <v>0</v>
      </c>
      <c r="AL112" s="13">
        <v>140.4</v>
      </c>
      <c r="AM112" s="13">
        <v>29</v>
      </c>
      <c r="AN112" s="13">
        <v>141.1</v>
      </c>
      <c r="AO112" s="13">
        <v>47.1</v>
      </c>
      <c r="AP112" s="13">
        <v>98.9</v>
      </c>
      <c r="AQ112" s="13">
        <v>28.2</v>
      </c>
      <c r="AR112" s="13">
        <v>99.5</v>
      </c>
      <c r="AS112" s="13">
        <v>27.7</v>
      </c>
      <c r="AT112" s="13">
        <v>73.599999999999994</v>
      </c>
      <c r="AU112" s="13">
        <v>12.3</v>
      </c>
      <c r="AV112" s="13">
        <v>45.9</v>
      </c>
      <c r="AW112" s="14">
        <v>13.8</v>
      </c>
      <c r="AX112" s="14">
        <v>20.7</v>
      </c>
      <c r="AY112" s="14">
        <v>1</v>
      </c>
      <c r="AZ112" s="14">
        <v>16.600000000000001</v>
      </c>
      <c r="BA112" s="14">
        <v>10.5</v>
      </c>
      <c r="BB112" s="14">
        <v>86.7</v>
      </c>
      <c r="BC112" s="14">
        <v>-0.6</v>
      </c>
      <c r="BD112" s="14">
        <v>25.1</v>
      </c>
      <c r="BE112" s="14">
        <v>-19.2</v>
      </c>
      <c r="BF112" s="13">
        <v>55.6</v>
      </c>
      <c r="BG112" s="13">
        <v>24.3</v>
      </c>
      <c r="BH112" s="13">
        <v>15.9</v>
      </c>
      <c r="BI112" s="13">
        <v>143.5</v>
      </c>
      <c r="BJ112" s="13">
        <v>27.6</v>
      </c>
      <c r="BK112" s="13">
        <v>-6.7</v>
      </c>
      <c r="BL112" s="13">
        <v>14.7</v>
      </c>
      <c r="BM112" s="13">
        <v>-3.8</v>
      </c>
      <c r="BN112" s="13">
        <v>44.68866199</v>
      </c>
      <c r="BO112" s="14">
        <v>-8.7283793620000001</v>
      </c>
      <c r="BP112" s="14">
        <v>-9.1634678300000001</v>
      </c>
      <c r="BQ112" s="14">
        <v>-7.2132776290000002</v>
      </c>
      <c r="BR112" s="14">
        <v>-14.58069313</v>
      </c>
      <c r="BS112" s="14">
        <v>5.5289657999999998E-2</v>
      </c>
      <c r="BT112" s="14">
        <v>-0.47857749599999999</v>
      </c>
      <c r="BU112" s="14">
        <v>-1.1992259059999999</v>
      </c>
      <c r="BV112" s="14">
        <v>0</v>
      </c>
      <c r="BW112" s="14">
        <v>3.9</v>
      </c>
      <c r="BX112" s="14">
        <v>3.8811705289999998</v>
      </c>
      <c r="BY112" s="14">
        <v>40.293743620000001</v>
      </c>
      <c r="BZ112" s="14">
        <v>2.3531857448730724</v>
      </c>
      <c r="CA112" s="14">
        <v>-8.912973327447256</v>
      </c>
      <c r="CB112" s="14">
        <v>43.440861864794378</v>
      </c>
      <c r="CC112" s="14">
        <v>30.596890729660473</v>
      </c>
      <c r="CD112" s="14">
        <v>36.398141316733799</v>
      </c>
      <c r="CE112" s="14">
        <v>26.999763776087391</v>
      </c>
      <c r="CF112" s="14">
        <v>-37.000166297654587</v>
      </c>
    </row>
    <row r="113" spans="1:84" ht="16.5" x14ac:dyDescent="0.3">
      <c r="A113" s="12" t="s">
        <v>117</v>
      </c>
      <c r="B113" s="13">
        <v>0</v>
      </c>
      <c r="C113" s="13">
        <v>0</v>
      </c>
      <c r="D113" s="13">
        <v>0</v>
      </c>
      <c r="E113" s="13">
        <v>0</v>
      </c>
      <c r="F113" s="13">
        <v>0</v>
      </c>
      <c r="G113" s="13">
        <v>0</v>
      </c>
      <c r="H113" s="13">
        <v>0</v>
      </c>
      <c r="I113" s="13">
        <v>0</v>
      </c>
      <c r="J113" s="13">
        <v>0</v>
      </c>
      <c r="K113" s="13">
        <v>0</v>
      </c>
      <c r="L113" s="13">
        <v>0</v>
      </c>
      <c r="M113" s="13">
        <v>0</v>
      </c>
      <c r="N113" s="13">
        <v>0</v>
      </c>
      <c r="O113" s="13">
        <v>0</v>
      </c>
      <c r="P113" s="13">
        <v>0</v>
      </c>
      <c r="Q113" s="13">
        <v>0</v>
      </c>
      <c r="R113" s="13">
        <v>0</v>
      </c>
      <c r="S113" s="13">
        <v>0</v>
      </c>
      <c r="T113" s="13">
        <v>0</v>
      </c>
      <c r="U113" s="13">
        <v>0</v>
      </c>
      <c r="V113" s="13">
        <v>0</v>
      </c>
      <c r="W113" s="13">
        <v>0</v>
      </c>
      <c r="X113" s="13">
        <v>0</v>
      </c>
      <c r="Y113" s="13">
        <v>0</v>
      </c>
      <c r="Z113" s="13">
        <v>0</v>
      </c>
      <c r="AA113" s="13">
        <v>0</v>
      </c>
      <c r="AB113" s="13">
        <v>0</v>
      </c>
      <c r="AC113" s="13">
        <v>0</v>
      </c>
      <c r="AD113" s="13">
        <v>0</v>
      </c>
      <c r="AE113" s="13">
        <v>0</v>
      </c>
      <c r="AF113" s="13">
        <v>0</v>
      </c>
      <c r="AG113" s="13">
        <v>0</v>
      </c>
      <c r="AH113" s="13">
        <v>0</v>
      </c>
      <c r="AI113" s="13">
        <v>0</v>
      </c>
      <c r="AJ113" s="13">
        <v>0</v>
      </c>
      <c r="AK113" s="13">
        <v>0</v>
      </c>
      <c r="AL113" s="13">
        <v>0</v>
      </c>
      <c r="AM113" s="13">
        <v>0</v>
      </c>
      <c r="AN113" s="13">
        <v>0</v>
      </c>
      <c r="AO113" s="13">
        <v>0</v>
      </c>
      <c r="AP113" s="13">
        <v>0</v>
      </c>
      <c r="AQ113" s="13">
        <v>0</v>
      </c>
      <c r="AR113" s="13">
        <v>0</v>
      </c>
      <c r="AS113" s="13">
        <v>0</v>
      </c>
      <c r="AT113" s="13">
        <v>0</v>
      </c>
      <c r="AU113" s="13">
        <v>0</v>
      </c>
      <c r="AV113" s="13">
        <v>0</v>
      </c>
      <c r="AW113" s="14">
        <v>0</v>
      </c>
      <c r="AX113" s="14">
        <v>0</v>
      </c>
      <c r="AY113" s="14">
        <v>0</v>
      </c>
      <c r="AZ113" s="14">
        <v>0</v>
      </c>
      <c r="BA113" s="14">
        <v>0</v>
      </c>
      <c r="BB113" s="14">
        <v>0</v>
      </c>
      <c r="BC113" s="14">
        <v>0</v>
      </c>
      <c r="BD113" s="14">
        <v>0</v>
      </c>
      <c r="BE113" s="14">
        <v>0</v>
      </c>
      <c r="BF113" s="13">
        <v>0</v>
      </c>
      <c r="BG113" s="13">
        <v>0</v>
      </c>
      <c r="BH113" s="13">
        <v>0</v>
      </c>
      <c r="BI113" s="13">
        <v>0</v>
      </c>
      <c r="BJ113" s="13">
        <v>0</v>
      </c>
      <c r="BK113" s="13">
        <v>0</v>
      </c>
      <c r="BL113" s="13">
        <v>0</v>
      </c>
      <c r="BM113" s="13">
        <v>0</v>
      </c>
      <c r="BN113" s="13">
        <v>-1.8984699999999999E-4</v>
      </c>
      <c r="BO113" s="14">
        <v>7.6817000000000007E-5</v>
      </c>
      <c r="BP113" s="14">
        <v>-4.97176E-5</v>
      </c>
      <c r="BQ113" s="14">
        <v>-4.7762899999999998E-4</v>
      </c>
      <c r="BR113" s="14">
        <v>-6.93135E-4</v>
      </c>
      <c r="BS113" s="14">
        <v>2.8965799999999998E-4</v>
      </c>
      <c r="BT113" s="14">
        <v>-5.4949600000000001E-4</v>
      </c>
      <c r="BU113" s="14">
        <v>-1.60116E-4</v>
      </c>
      <c r="BV113" s="14">
        <v>0</v>
      </c>
      <c r="BW113" s="14">
        <v>0</v>
      </c>
      <c r="BX113" s="14">
        <v>-1.9871099999999999E-4</v>
      </c>
      <c r="BY113" s="14">
        <v>0.80834838499999995</v>
      </c>
      <c r="BZ113" s="14">
        <v>-0.80731714512692743</v>
      </c>
      <c r="CA113" s="14">
        <v>0.36225467255274457</v>
      </c>
      <c r="CB113" s="14">
        <v>-0.3141261352056276</v>
      </c>
      <c r="CC113" s="14">
        <v>-4.3030339526902578E-5</v>
      </c>
      <c r="CD113" s="14">
        <v>-1.4683266202857211E-5</v>
      </c>
      <c r="CE113" s="14">
        <v>-2.362239126072847E-4</v>
      </c>
      <c r="CF113" s="14">
        <v>-1.6629765458422204E-4</v>
      </c>
    </row>
    <row r="114" spans="1:84" ht="16.5" x14ac:dyDescent="0.3">
      <c r="A114" s="12" t="s">
        <v>158</v>
      </c>
      <c r="B114" s="13">
        <v>0</v>
      </c>
      <c r="C114" s="13">
        <v>0</v>
      </c>
      <c r="D114" s="13">
        <v>0</v>
      </c>
      <c r="E114" s="13">
        <v>285.3</v>
      </c>
      <c r="F114" s="13">
        <v>205.6</v>
      </c>
      <c r="G114" s="13">
        <v>152.69999999999999</v>
      </c>
      <c r="H114" s="13">
        <v>482.2</v>
      </c>
      <c r="I114" s="13">
        <v>-607.6</v>
      </c>
      <c r="J114" s="13">
        <v>0</v>
      </c>
      <c r="K114" s="13">
        <v>14.4</v>
      </c>
      <c r="L114" s="13">
        <v>50.8</v>
      </c>
      <c r="M114" s="13">
        <v>85.7</v>
      </c>
      <c r="N114" s="13">
        <v>-222.2</v>
      </c>
      <c r="O114" s="13">
        <v>177.8</v>
      </c>
      <c r="P114" s="13">
        <v>167.6</v>
      </c>
      <c r="Q114" s="13">
        <v>191.1</v>
      </c>
      <c r="R114" s="13">
        <v>8.3000000000000007</v>
      </c>
      <c r="S114" s="13">
        <v>0.8</v>
      </c>
      <c r="T114" s="13">
        <v>20.9</v>
      </c>
      <c r="U114" s="13">
        <v>-91.5</v>
      </c>
      <c r="V114" s="13">
        <v>-4.7</v>
      </c>
      <c r="W114" s="13">
        <v>13.8</v>
      </c>
      <c r="X114" s="13">
        <v>-18.7</v>
      </c>
      <c r="Y114" s="13">
        <v>-3922.6</v>
      </c>
      <c r="Z114" s="13">
        <v>0</v>
      </c>
      <c r="AA114" s="13">
        <v>-1.2</v>
      </c>
      <c r="AB114" s="13">
        <v>0</v>
      </c>
      <c r="AC114" s="13">
        <v>21.6</v>
      </c>
      <c r="AD114" s="13">
        <v>0</v>
      </c>
      <c r="AE114" s="13">
        <v>0</v>
      </c>
      <c r="AF114" s="13">
        <v>0</v>
      </c>
      <c r="AG114" s="13">
        <v>0</v>
      </c>
      <c r="AH114" s="13">
        <v>0</v>
      </c>
      <c r="AI114" s="13">
        <v>0</v>
      </c>
      <c r="AJ114" s="13">
        <v>0</v>
      </c>
      <c r="AK114" s="13">
        <v>0</v>
      </c>
      <c r="AL114" s="13">
        <v>140.4</v>
      </c>
      <c r="AM114" s="13">
        <v>29</v>
      </c>
      <c r="AN114" s="13">
        <v>141.1</v>
      </c>
      <c r="AO114" s="13">
        <v>47.1</v>
      </c>
      <c r="AP114" s="13">
        <v>98.9</v>
      </c>
      <c r="AQ114" s="13">
        <v>28.2</v>
      </c>
      <c r="AR114" s="13">
        <v>99</v>
      </c>
      <c r="AS114" s="13">
        <v>27.7</v>
      </c>
      <c r="AT114" s="13">
        <v>68.8</v>
      </c>
      <c r="AU114" s="13">
        <v>10.199999999999999</v>
      </c>
      <c r="AV114" s="13">
        <v>46.4</v>
      </c>
      <c r="AW114" s="14">
        <v>16.600000000000001</v>
      </c>
      <c r="AX114" s="14">
        <v>20.7</v>
      </c>
      <c r="AY114" s="14">
        <v>1</v>
      </c>
      <c r="AZ114" s="14">
        <v>16.600000000000001</v>
      </c>
      <c r="BA114" s="14">
        <v>10.5</v>
      </c>
      <c r="BB114" s="14">
        <v>46</v>
      </c>
      <c r="BC114" s="14">
        <v>11.6</v>
      </c>
      <c r="BD114" s="14">
        <v>26.2</v>
      </c>
      <c r="BE114" s="14">
        <v>3</v>
      </c>
      <c r="BF114" s="13">
        <v>16.399999999999999</v>
      </c>
      <c r="BG114" s="13">
        <v>9.3000000000000007</v>
      </c>
      <c r="BH114" s="13">
        <v>3.7</v>
      </c>
      <c r="BI114" s="13">
        <v>2.5</v>
      </c>
      <c r="BJ114" s="13">
        <v>10.7</v>
      </c>
      <c r="BK114" s="13">
        <v>1.4</v>
      </c>
      <c r="BL114" s="13">
        <v>0.8</v>
      </c>
      <c r="BM114" s="13">
        <v>3.5</v>
      </c>
      <c r="BN114" s="13">
        <v>16.192</v>
      </c>
      <c r="BO114" s="14">
        <v>1.7</v>
      </c>
      <c r="BP114" s="14">
        <v>0</v>
      </c>
      <c r="BQ114" s="14">
        <v>3.5000000000000003E-2</v>
      </c>
      <c r="BR114" s="14">
        <v>0</v>
      </c>
      <c r="BS114" s="14">
        <v>5.5E-2</v>
      </c>
      <c r="BT114" s="14">
        <v>0</v>
      </c>
      <c r="BU114" s="14">
        <v>0</v>
      </c>
      <c r="BV114" s="14">
        <v>0</v>
      </c>
      <c r="BW114" s="14">
        <v>3.9</v>
      </c>
      <c r="BX114" s="14">
        <v>3.9039999999999999</v>
      </c>
      <c r="BY114" s="14">
        <v>0</v>
      </c>
      <c r="BZ114" s="14">
        <v>0</v>
      </c>
      <c r="CA114" s="14">
        <v>0</v>
      </c>
      <c r="CB114" s="14">
        <v>0</v>
      </c>
      <c r="CC114" s="14">
        <v>0</v>
      </c>
      <c r="CD114" s="14">
        <v>0</v>
      </c>
      <c r="CE114" s="14">
        <v>0</v>
      </c>
      <c r="CF114" s="14">
        <v>0</v>
      </c>
    </row>
    <row r="115" spans="1:84" ht="16.5" x14ac:dyDescent="0.3">
      <c r="A115" s="12" t="s">
        <v>111</v>
      </c>
      <c r="B115" s="13">
        <v>0</v>
      </c>
      <c r="C115" s="13">
        <v>0</v>
      </c>
      <c r="D115" s="13">
        <v>0</v>
      </c>
      <c r="E115" s="13">
        <v>0</v>
      </c>
      <c r="F115" s="13">
        <v>0</v>
      </c>
      <c r="G115" s="13">
        <v>0</v>
      </c>
      <c r="H115" s="13">
        <v>0</v>
      </c>
      <c r="I115" s="13">
        <v>0</v>
      </c>
      <c r="J115" s="13">
        <v>0</v>
      </c>
      <c r="K115" s="13">
        <v>0</v>
      </c>
      <c r="L115" s="13">
        <v>0</v>
      </c>
      <c r="M115" s="13">
        <v>0</v>
      </c>
      <c r="N115" s="13">
        <v>0</v>
      </c>
      <c r="O115" s="13">
        <v>0</v>
      </c>
      <c r="P115" s="13">
        <v>0</v>
      </c>
      <c r="Q115" s="13">
        <v>0</v>
      </c>
      <c r="R115" s="13">
        <v>0</v>
      </c>
      <c r="S115" s="13">
        <v>0</v>
      </c>
      <c r="T115" s="13">
        <v>0</v>
      </c>
      <c r="U115" s="13">
        <v>0</v>
      </c>
      <c r="V115" s="13">
        <v>0</v>
      </c>
      <c r="W115" s="13">
        <v>0</v>
      </c>
      <c r="X115" s="13">
        <v>0</v>
      </c>
      <c r="Y115" s="13">
        <v>0</v>
      </c>
      <c r="Z115" s="13">
        <v>0</v>
      </c>
      <c r="AA115" s="13">
        <v>0</v>
      </c>
      <c r="AB115" s="13">
        <v>0</v>
      </c>
      <c r="AC115" s="13">
        <v>0</v>
      </c>
      <c r="AD115" s="13">
        <v>0</v>
      </c>
      <c r="AE115" s="13">
        <v>0</v>
      </c>
      <c r="AF115" s="13">
        <v>0</v>
      </c>
      <c r="AG115" s="13">
        <v>0</v>
      </c>
      <c r="AH115" s="13">
        <v>0</v>
      </c>
      <c r="AI115" s="13">
        <v>0</v>
      </c>
      <c r="AJ115" s="13">
        <v>0</v>
      </c>
      <c r="AK115" s="13">
        <v>0</v>
      </c>
      <c r="AL115" s="13">
        <v>0</v>
      </c>
      <c r="AM115" s="13">
        <v>0</v>
      </c>
      <c r="AN115" s="13">
        <v>0</v>
      </c>
      <c r="AO115" s="13">
        <v>0</v>
      </c>
      <c r="AP115" s="13">
        <v>0</v>
      </c>
      <c r="AQ115" s="13">
        <v>0</v>
      </c>
      <c r="AR115" s="13">
        <v>0.5</v>
      </c>
      <c r="AS115" s="13">
        <v>0</v>
      </c>
      <c r="AT115" s="13">
        <v>4.7</v>
      </c>
      <c r="AU115" s="13">
        <v>2.1</v>
      </c>
      <c r="AV115" s="13">
        <v>-0.4</v>
      </c>
      <c r="AW115" s="14">
        <v>-2.8</v>
      </c>
      <c r="AX115" s="14">
        <v>0</v>
      </c>
      <c r="AY115" s="14">
        <v>0</v>
      </c>
      <c r="AZ115" s="14">
        <v>0</v>
      </c>
      <c r="BA115" s="14">
        <v>0</v>
      </c>
      <c r="BB115" s="14">
        <v>0</v>
      </c>
      <c r="BC115" s="14">
        <v>0</v>
      </c>
      <c r="BD115" s="14">
        <v>0</v>
      </c>
      <c r="BE115" s="14">
        <v>0</v>
      </c>
      <c r="BF115" s="13">
        <v>0</v>
      </c>
      <c r="BG115" s="13">
        <v>0</v>
      </c>
      <c r="BH115" s="13">
        <v>0</v>
      </c>
      <c r="BI115" s="13">
        <v>0</v>
      </c>
      <c r="BJ115" s="13">
        <v>0.6</v>
      </c>
      <c r="BK115" s="13">
        <v>-0.5</v>
      </c>
      <c r="BL115" s="13">
        <v>3.7</v>
      </c>
      <c r="BM115" s="13">
        <v>3.7</v>
      </c>
      <c r="BN115" s="13">
        <v>-1.396641995</v>
      </c>
      <c r="BO115" s="14">
        <v>-1.130586179</v>
      </c>
      <c r="BP115" s="14">
        <v>-0.45388811200000001</v>
      </c>
      <c r="BQ115" s="14">
        <v>0</v>
      </c>
      <c r="BR115" s="14">
        <v>0</v>
      </c>
      <c r="BS115" s="14">
        <v>0</v>
      </c>
      <c r="BT115" s="14">
        <v>0</v>
      </c>
      <c r="BU115" s="14">
        <v>0</v>
      </c>
      <c r="BV115" s="14">
        <v>0</v>
      </c>
      <c r="BW115" s="14">
        <v>0</v>
      </c>
      <c r="BX115" s="14">
        <v>0</v>
      </c>
      <c r="BY115" s="14">
        <v>0</v>
      </c>
      <c r="BZ115" s="14">
        <v>0</v>
      </c>
      <c r="CA115" s="14">
        <v>0</v>
      </c>
      <c r="CB115" s="14">
        <v>0</v>
      </c>
      <c r="CC115" s="14">
        <v>0</v>
      </c>
      <c r="CD115" s="14">
        <v>0</v>
      </c>
      <c r="CE115" s="14">
        <v>0</v>
      </c>
      <c r="CF115" s="14">
        <v>0</v>
      </c>
    </row>
    <row r="116" spans="1:84" ht="16.5" x14ac:dyDescent="0.3">
      <c r="A116" s="12" t="s">
        <v>112</v>
      </c>
      <c r="B116" s="13">
        <v>0</v>
      </c>
      <c r="C116" s="13">
        <v>0</v>
      </c>
      <c r="D116" s="13">
        <v>0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  <c r="P116" s="13">
        <v>0</v>
      </c>
      <c r="Q116" s="13">
        <v>0</v>
      </c>
      <c r="R116" s="13">
        <v>0</v>
      </c>
      <c r="S116" s="13">
        <v>0</v>
      </c>
      <c r="T116" s="13">
        <v>0</v>
      </c>
      <c r="U116" s="13">
        <v>0</v>
      </c>
      <c r="V116" s="13">
        <v>0</v>
      </c>
      <c r="W116" s="13">
        <v>0</v>
      </c>
      <c r="X116" s="13">
        <v>0</v>
      </c>
      <c r="Y116" s="13">
        <v>0</v>
      </c>
      <c r="Z116" s="13">
        <v>0</v>
      </c>
      <c r="AA116" s="13">
        <v>0</v>
      </c>
      <c r="AB116" s="13">
        <v>0</v>
      </c>
      <c r="AC116" s="13">
        <v>0</v>
      </c>
      <c r="AD116" s="13">
        <v>0</v>
      </c>
      <c r="AE116" s="13">
        <v>0</v>
      </c>
      <c r="AF116" s="13">
        <v>0</v>
      </c>
      <c r="AG116" s="13">
        <v>0</v>
      </c>
      <c r="AH116" s="13">
        <v>0</v>
      </c>
      <c r="AI116" s="13">
        <v>0</v>
      </c>
      <c r="AJ116" s="13">
        <v>0</v>
      </c>
      <c r="AK116" s="13">
        <v>0</v>
      </c>
      <c r="AL116" s="13">
        <v>0</v>
      </c>
      <c r="AM116" s="13">
        <v>0</v>
      </c>
      <c r="AN116" s="13">
        <v>0</v>
      </c>
      <c r="AO116" s="13">
        <v>0</v>
      </c>
      <c r="AP116" s="13">
        <v>0</v>
      </c>
      <c r="AQ116" s="13">
        <v>0</v>
      </c>
      <c r="AR116" s="13">
        <v>0</v>
      </c>
      <c r="AS116" s="13">
        <v>0</v>
      </c>
      <c r="AT116" s="13">
        <v>0</v>
      </c>
      <c r="AU116" s="13">
        <v>0</v>
      </c>
      <c r="AV116" s="13">
        <v>0</v>
      </c>
      <c r="AW116" s="14">
        <v>0</v>
      </c>
      <c r="AX116" s="14">
        <v>0</v>
      </c>
      <c r="AY116" s="14">
        <v>0</v>
      </c>
      <c r="AZ116" s="14">
        <v>0</v>
      </c>
      <c r="BA116" s="14">
        <v>0</v>
      </c>
      <c r="BB116" s="14">
        <v>40.700000000000003</v>
      </c>
      <c r="BC116" s="14">
        <v>-12.3</v>
      </c>
      <c r="BD116" s="14">
        <v>-1.1000000000000001</v>
      </c>
      <c r="BE116" s="14">
        <v>-22.1</v>
      </c>
      <c r="BF116" s="13">
        <v>39.200000000000003</v>
      </c>
      <c r="BG116" s="13">
        <v>14.9</v>
      </c>
      <c r="BH116" s="13">
        <v>12.2</v>
      </c>
      <c r="BI116" s="13">
        <v>140.9</v>
      </c>
      <c r="BJ116" s="13">
        <v>16.3</v>
      </c>
      <c r="BK116" s="13">
        <v>-7.6</v>
      </c>
      <c r="BL116" s="13">
        <v>10.199999999999999</v>
      </c>
      <c r="BM116" s="13">
        <v>-11</v>
      </c>
      <c r="BN116" s="13">
        <v>29.893493830000001</v>
      </c>
      <c r="BO116" s="14">
        <v>-9.2978699999999996</v>
      </c>
      <c r="BP116" s="14">
        <v>-8.7095300000000009</v>
      </c>
      <c r="BQ116" s="14">
        <v>-7.2477999999999998</v>
      </c>
      <c r="BR116" s="14">
        <v>-14.58</v>
      </c>
      <c r="BS116" s="14">
        <v>0</v>
      </c>
      <c r="BT116" s="14">
        <v>-0.47802800000000001</v>
      </c>
      <c r="BU116" s="14">
        <v>-1.1990657899999999</v>
      </c>
      <c r="BV116" s="14">
        <v>0</v>
      </c>
      <c r="BW116" s="14">
        <v>0</v>
      </c>
      <c r="BX116" s="14">
        <v>-2.263076E-2</v>
      </c>
      <c r="BY116" s="14">
        <v>39.485395240000003</v>
      </c>
      <c r="BZ116" s="14">
        <v>3.1605028900000001</v>
      </c>
      <c r="CA116" s="14">
        <v>-9.2752280000000003</v>
      </c>
      <c r="CB116" s="14">
        <v>43.754988000000004</v>
      </c>
      <c r="CC116" s="14">
        <v>30.596933759999999</v>
      </c>
      <c r="CD116" s="14">
        <v>36.398156</v>
      </c>
      <c r="CE116" s="14">
        <v>27</v>
      </c>
      <c r="CF116" s="14">
        <v>-37</v>
      </c>
    </row>
    <row r="117" spans="1:84" ht="16.5" x14ac:dyDescent="0.3">
      <c r="A117" s="12" t="s">
        <v>164</v>
      </c>
      <c r="B117" s="13">
        <v>32.4</v>
      </c>
      <c r="C117" s="13">
        <v>66.7</v>
      </c>
      <c r="D117" s="13">
        <v>140.69999999999999</v>
      </c>
      <c r="E117" s="13">
        <v>15.4</v>
      </c>
      <c r="F117" s="13">
        <v>-23</v>
      </c>
      <c r="G117" s="13">
        <v>20.5</v>
      </c>
      <c r="H117" s="13">
        <v>-23.5</v>
      </c>
      <c r="I117" s="13">
        <v>-58</v>
      </c>
      <c r="J117" s="13">
        <v>-25.2</v>
      </c>
      <c r="K117" s="13">
        <v>2.9</v>
      </c>
      <c r="L117" s="13">
        <v>-5.9</v>
      </c>
      <c r="M117" s="13">
        <v>-15.9</v>
      </c>
      <c r="N117" s="13">
        <v>-106.3</v>
      </c>
      <c r="O117" s="13">
        <v>18.2</v>
      </c>
      <c r="P117" s="13">
        <v>-58.5</v>
      </c>
      <c r="Q117" s="13">
        <v>-69.099999999999994</v>
      </c>
      <c r="R117" s="13">
        <v>-18.8</v>
      </c>
      <c r="S117" s="13">
        <v>-5.5</v>
      </c>
      <c r="T117" s="13">
        <v>-42.6</v>
      </c>
      <c r="U117" s="13">
        <v>-91.5</v>
      </c>
      <c r="V117" s="13">
        <v>-3.1</v>
      </c>
      <c r="W117" s="13">
        <v>-21.2</v>
      </c>
      <c r="X117" s="13">
        <v>-71.099999999999994</v>
      </c>
      <c r="Y117" s="13">
        <v>-72.3</v>
      </c>
      <c r="Z117" s="13">
        <v>-16.2</v>
      </c>
      <c r="AA117" s="13">
        <v>13.8</v>
      </c>
      <c r="AB117" s="13">
        <v>1</v>
      </c>
      <c r="AC117" s="13">
        <v>-91.4</v>
      </c>
      <c r="AD117" s="13">
        <v>-33.1</v>
      </c>
      <c r="AE117" s="13">
        <v>-12.9</v>
      </c>
      <c r="AF117" s="13">
        <v>-11.7</v>
      </c>
      <c r="AG117" s="13">
        <v>13.5</v>
      </c>
      <c r="AH117" s="13">
        <v>-23.1</v>
      </c>
      <c r="AI117" s="13">
        <v>-15.9</v>
      </c>
      <c r="AJ117" s="13">
        <v>34</v>
      </c>
      <c r="AK117" s="13">
        <v>-71.900000000000006</v>
      </c>
      <c r="AL117" s="13">
        <v>20.399999999999999</v>
      </c>
      <c r="AM117" s="13">
        <v>3.6</v>
      </c>
      <c r="AN117" s="13">
        <v>26.2</v>
      </c>
      <c r="AO117" s="13">
        <v>-31.4</v>
      </c>
      <c r="AP117" s="13">
        <v>-14.7</v>
      </c>
      <c r="AQ117" s="13">
        <v>4.4000000000000004</v>
      </c>
      <c r="AR117" s="13">
        <v>-5.5</v>
      </c>
      <c r="AS117" s="13">
        <v>-81.8</v>
      </c>
      <c r="AT117" s="13">
        <v>-24.1</v>
      </c>
      <c r="AU117" s="13">
        <v>35.200000000000003</v>
      </c>
      <c r="AV117" s="13">
        <v>-16.100000000000001</v>
      </c>
      <c r="AW117" s="14">
        <v>-176.4</v>
      </c>
      <c r="AX117" s="14">
        <v>0.1</v>
      </c>
      <c r="AY117" s="14">
        <v>20.100000000000001</v>
      </c>
      <c r="AZ117" s="14">
        <v>-62.5</v>
      </c>
      <c r="BA117" s="14">
        <v>-126.8</v>
      </c>
      <c r="BB117" s="14">
        <v>82.7</v>
      </c>
      <c r="BC117" s="14">
        <v>-7.6</v>
      </c>
      <c r="BD117" s="14">
        <v>89.2</v>
      </c>
      <c r="BE117" s="14">
        <v>-34.4</v>
      </c>
      <c r="BF117" s="13">
        <v>-66.099999999999994</v>
      </c>
      <c r="BG117" s="13">
        <v>82.8</v>
      </c>
      <c r="BH117" s="13">
        <v>50.4</v>
      </c>
      <c r="BI117" s="13">
        <v>-96.5</v>
      </c>
      <c r="BJ117" s="13">
        <v>-63.3</v>
      </c>
      <c r="BK117" s="13">
        <v>-38.799999999999997</v>
      </c>
      <c r="BL117" s="13">
        <v>-178.3</v>
      </c>
      <c r="BM117" s="13">
        <v>-4.7</v>
      </c>
      <c r="BN117" s="13">
        <v>-163.93041550000001</v>
      </c>
      <c r="BO117" s="14">
        <v>-45.156349839999997</v>
      </c>
      <c r="BP117" s="14">
        <v>77.399533020000007</v>
      </c>
      <c r="BQ117" s="14">
        <v>-8.4273804650000006</v>
      </c>
      <c r="BR117" s="14">
        <v>104.4449867</v>
      </c>
      <c r="BS117" s="14">
        <v>-130.46693010000001</v>
      </c>
      <c r="BT117" s="14">
        <v>-319.60986539999999</v>
      </c>
      <c r="BU117" s="14">
        <v>-6.0150412299999996</v>
      </c>
      <c r="BV117" s="14">
        <v>155.6</v>
      </c>
      <c r="BW117" s="14">
        <v>-68.599999999999994</v>
      </c>
      <c r="BX117" s="14">
        <v>-34.629694180000001</v>
      </c>
      <c r="BY117" s="14">
        <v>-128.068162</v>
      </c>
      <c r="BZ117" s="14">
        <v>46.830853347748715</v>
      </c>
      <c r="CA117" s="14">
        <v>-231.90538099707112</v>
      </c>
      <c r="CB117" s="14">
        <v>-31.58060793037734</v>
      </c>
      <c r="CC117" s="14">
        <v>-104.47900715257843</v>
      </c>
      <c r="CD117" s="14">
        <v>45.169555024862561</v>
      </c>
      <c r="CE117" s="14">
        <v>-95.490326936626673</v>
      </c>
      <c r="CF117" s="14">
        <v>-411.00354855874656</v>
      </c>
    </row>
    <row r="118" spans="1:84" ht="16.5" x14ac:dyDescent="0.3">
      <c r="A118" s="12" t="s">
        <v>165</v>
      </c>
      <c r="B118" s="13">
        <v>0</v>
      </c>
      <c r="C118" s="13">
        <v>0</v>
      </c>
      <c r="D118" s="13">
        <v>0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  <c r="P118" s="13">
        <v>0</v>
      </c>
      <c r="Q118" s="13">
        <v>0</v>
      </c>
      <c r="R118" s="13">
        <v>0</v>
      </c>
      <c r="S118" s="13">
        <v>0</v>
      </c>
      <c r="T118" s="13">
        <v>0</v>
      </c>
      <c r="U118" s="13">
        <v>0</v>
      </c>
      <c r="V118" s="13">
        <v>0</v>
      </c>
      <c r="W118" s="13">
        <v>0</v>
      </c>
      <c r="X118" s="13">
        <v>0</v>
      </c>
      <c r="Y118" s="13">
        <v>0</v>
      </c>
      <c r="Z118" s="13">
        <v>0</v>
      </c>
      <c r="AA118" s="13">
        <v>0</v>
      </c>
      <c r="AB118" s="13">
        <v>0</v>
      </c>
      <c r="AC118" s="13">
        <v>0</v>
      </c>
      <c r="AD118" s="13">
        <v>0</v>
      </c>
      <c r="AE118" s="13">
        <v>2.4</v>
      </c>
      <c r="AF118" s="13">
        <v>0.2</v>
      </c>
      <c r="AG118" s="13">
        <v>0.5</v>
      </c>
      <c r="AH118" s="13">
        <v>0.9</v>
      </c>
      <c r="AI118" s="13">
        <v>-6</v>
      </c>
      <c r="AJ118" s="13">
        <v>0.6</v>
      </c>
      <c r="AK118" s="13">
        <v>-0.8</v>
      </c>
      <c r="AL118" s="13">
        <v>0.1</v>
      </c>
      <c r="AM118" s="13">
        <v>-22.4</v>
      </c>
      <c r="AN118" s="13">
        <v>43.1</v>
      </c>
      <c r="AO118" s="13">
        <v>-12</v>
      </c>
      <c r="AP118" s="13">
        <v>0.3</v>
      </c>
      <c r="AQ118" s="13">
        <v>-19.899999999999999</v>
      </c>
      <c r="AR118" s="13">
        <v>-0.5</v>
      </c>
      <c r="AS118" s="13">
        <v>11.3</v>
      </c>
      <c r="AT118" s="13">
        <v>-5.5</v>
      </c>
      <c r="AU118" s="13">
        <v>5.0999999999999996</v>
      </c>
      <c r="AV118" s="13">
        <v>8.3000000000000007</v>
      </c>
      <c r="AW118" s="14">
        <v>4.4000000000000004</v>
      </c>
      <c r="AX118" s="14">
        <v>8.3000000000000007</v>
      </c>
      <c r="AY118" s="14">
        <v>-47.5</v>
      </c>
      <c r="AZ118" s="14">
        <v>14.5</v>
      </c>
      <c r="BA118" s="14">
        <v>6.1</v>
      </c>
      <c r="BB118" s="14">
        <v>7.4</v>
      </c>
      <c r="BC118" s="14">
        <v>5.0999999999999996</v>
      </c>
      <c r="BD118" s="14">
        <v>-33.4</v>
      </c>
      <c r="BE118" s="14">
        <v>0.8</v>
      </c>
      <c r="BF118" s="13">
        <v>5</v>
      </c>
      <c r="BG118" s="13">
        <v>10.6</v>
      </c>
      <c r="BH118" s="13">
        <v>-23.7</v>
      </c>
      <c r="BI118" s="13">
        <v>-3.4</v>
      </c>
      <c r="BJ118" s="13">
        <v>3.6</v>
      </c>
      <c r="BK118" s="13">
        <v>-11.5</v>
      </c>
      <c r="BL118" s="13">
        <v>-9.6999999999999993</v>
      </c>
      <c r="BM118" s="13">
        <v>-1.1000000000000001</v>
      </c>
      <c r="BN118" s="13">
        <v>-10.12607362</v>
      </c>
      <c r="BO118" s="14">
        <v>0.89517694199999998</v>
      </c>
      <c r="BP118" s="14">
        <v>4.0939984139999996</v>
      </c>
      <c r="BQ118" s="14">
        <v>1.674778431</v>
      </c>
      <c r="BR118" s="14">
        <v>-5.1475250340000001</v>
      </c>
      <c r="BS118" s="14">
        <v>7.8253704700000002</v>
      </c>
      <c r="BT118" s="14">
        <v>-5.3054581450000002</v>
      </c>
      <c r="BU118" s="14">
        <v>2.277720381</v>
      </c>
      <c r="BV118" s="14">
        <v>0</v>
      </c>
      <c r="BW118" s="14">
        <v>0</v>
      </c>
      <c r="BX118" s="14">
        <v>0</v>
      </c>
      <c r="BY118" s="14">
        <v>0</v>
      </c>
      <c r="BZ118" s="14">
        <v>-1.7087708030910278</v>
      </c>
      <c r="CA118" s="14">
        <v>-5.6976495330676613</v>
      </c>
      <c r="CB118" s="14">
        <v>-7.7138885767973022</v>
      </c>
      <c r="CC118" s="14">
        <v>-3.8955165384411288</v>
      </c>
      <c r="CD118" s="14">
        <v>-54.863437934822414</v>
      </c>
      <c r="CE118" s="14">
        <v>11.951692500644782</v>
      </c>
      <c r="CF118" s="14">
        <v>-18.739062341435698</v>
      </c>
    </row>
    <row r="119" spans="1:84" ht="16.5" x14ac:dyDescent="0.3">
      <c r="A119" s="12" t="s">
        <v>166</v>
      </c>
      <c r="B119" s="13">
        <v>0</v>
      </c>
      <c r="C119" s="13">
        <v>0</v>
      </c>
      <c r="D119" s="13">
        <v>0</v>
      </c>
      <c r="E119" s="13">
        <v>0</v>
      </c>
      <c r="F119" s="13">
        <v>0</v>
      </c>
      <c r="G119" s="13">
        <v>0</v>
      </c>
      <c r="H119" s="13">
        <v>0</v>
      </c>
      <c r="I119" s="13">
        <v>0</v>
      </c>
      <c r="J119" s="13">
        <v>0</v>
      </c>
      <c r="K119" s="13">
        <v>0</v>
      </c>
      <c r="L119" s="13">
        <v>0</v>
      </c>
      <c r="M119" s="13">
        <v>0</v>
      </c>
      <c r="N119" s="13">
        <v>0</v>
      </c>
      <c r="O119" s="13">
        <v>0</v>
      </c>
      <c r="P119" s="13">
        <v>0</v>
      </c>
      <c r="Q119" s="13">
        <v>0</v>
      </c>
      <c r="R119" s="13">
        <v>0</v>
      </c>
      <c r="S119" s="13">
        <v>0</v>
      </c>
      <c r="T119" s="13">
        <v>0</v>
      </c>
      <c r="U119" s="13">
        <v>0</v>
      </c>
      <c r="V119" s="13">
        <v>0</v>
      </c>
      <c r="W119" s="13">
        <v>0</v>
      </c>
      <c r="X119" s="13">
        <v>0</v>
      </c>
      <c r="Y119" s="13">
        <v>0</v>
      </c>
      <c r="Z119" s="13">
        <v>0</v>
      </c>
      <c r="AA119" s="13">
        <v>0</v>
      </c>
      <c r="AB119" s="13">
        <v>0</v>
      </c>
      <c r="AC119" s="13">
        <v>0</v>
      </c>
      <c r="AD119" s="13">
        <v>0</v>
      </c>
      <c r="AE119" s="13">
        <v>0</v>
      </c>
      <c r="AF119" s="13">
        <v>0</v>
      </c>
      <c r="AG119" s="13">
        <v>0</v>
      </c>
      <c r="AH119" s="13">
        <v>0</v>
      </c>
      <c r="AI119" s="13">
        <v>0</v>
      </c>
      <c r="AJ119" s="13">
        <v>0</v>
      </c>
      <c r="AK119" s="13">
        <v>0</v>
      </c>
      <c r="AL119" s="13">
        <v>0</v>
      </c>
      <c r="AM119" s="13">
        <v>0</v>
      </c>
      <c r="AN119" s="13">
        <v>0</v>
      </c>
      <c r="AO119" s="13">
        <v>0</v>
      </c>
      <c r="AP119" s="13">
        <v>0.1</v>
      </c>
      <c r="AQ119" s="13">
        <v>-0.1</v>
      </c>
      <c r="AR119" s="13">
        <v>0.1</v>
      </c>
      <c r="AS119" s="13">
        <v>0.1</v>
      </c>
      <c r="AT119" s="13">
        <v>0</v>
      </c>
      <c r="AU119" s="13">
        <v>0</v>
      </c>
      <c r="AV119" s="13">
        <v>0</v>
      </c>
      <c r="AW119" s="14">
        <v>0</v>
      </c>
      <c r="AX119" s="14">
        <v>0</v>
      </c>
      <c r="AY119" s="14">
        <v>0</v>
      </c>
      <c r="AZ119" s="14">
        <v>0</v>
      </c>
      <c r="BA119" s="14">
        <v>0</v>
      </c>
      <c r="BB119" s="14">
        <v>0</v>
      </c>
      <c r="BC119" s="14">
        <v>0</v>
      </c>
      <c r="BD119" s="14">
        <v>0</v>
      </c>
      <c r="BE119" s="14">
        <v>-0.2</v>
      </c>
      <c r="BF119" s="13">
        <v>0</v>
      </c>
      <c r="BG119" s="13">
        <v>-0.1</v>
      </c>
      <c r="BH119" s="13">
        <v>0</v>
      </c>
      <c r="BI119" s="13">
        <v>0</v>
      </c>
      <c r="BJ119" s="13">
        <v>0</v>
      </c>
      <c r="BK119" s="13">
        <v>0</v>
      </c>
      <c r="BL119" s="13">
        <v>0</v>
      </c>
      <c r="BM119" s="13">
        <v>0</v>
      </c>
      <c r="BN119" s="13">
        <v>-9.1452359999999993E-3</v>
      </c>
      <c r="BO119" s="14">
        <v>1.44023E-3</v>
      </c>
      <c r="BP119" s="14">
        <v>0</v>
      </c>
      <c r="BQ119" s="14">
        <v>0</v>
      </c>
      <c r="BR119" s="14">
        <v>-2.18861E-5</v>
      </c>
      <c r="BS119" s="14">
        <v>7.7843556999999994E-2</v>
      </c>
      <c r="BT119" s="14">
        <v>-172.38149630000001</v>
      </c>
      <c r="BU119" s="14">
        <v>2.4341154600000001</v>
      </c>
      <c r="BV119" s="14">
        <v>0</v>
      </c>
      <c r="BW119" s="14">
        <v>0</v>
      </c>
      <c r="BX119" s="14">
        <v>0</v>
      </c>
      <c r="BY119" s="14">
        <v>0</v>
      </c>
      <c r="BZ119" s="14">
        <v>-4.4252255999999761</v>
      </c>
      <c r="CA119" s="14">
        <v>-1.6169920000000104</v>
      </c>
      <c r="CB119" s="14">
        <v>4.9650465999999938</v>
      </c>
      <c r="CC119" s="14">
        <v>3.0827476999999988</v>
      </c>
      <c r="CD119" s="14">
        <v>-0.72673409999998739</v>
      </c>
      <c r="CE119" s="14">
        <v>3.633394299999992</v>
      </c>
      <c r="CF119" s="14">
        <v>-1.6457824000000016</v>
      </c>
    </row>
    <row r="120" spans="1:84" ht="16.5" x14ac:dyDescent="0.3">
      <c r="A120" s="12" t="s">
        <v>167</v>
      </c>
      <c r="B120" s="13">
        <v>0</v>
      </c>
      <c r="C120" s="13">
        <v>0</v>
      </c>
      <c r="D120" s="13">
        <v>0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  <c r="P120" s="13">
        <v>0</v>
      </c>
      <c r="Q120" s="13">
        <v>0</v>
      </c>
      <c r="R120" s="13">
        <v>0</v>
      </c>
      <c r="S120" s="13">
        <v>0</v>
      </c>
      <c r="T120" s="13">
        <v>0</v>
      </c>
      <c r="U120" s="13">
        <v>0</v>
      </c>
      <c r="V120" s="13">
        <v>0</v>
      </c>
      <c r="W120" s="13">
        <v>0</v>
      </c>
      <c r="X120" s="13">
        <v>0</v>
      </c>
      <c r="Y120" s="13">
        <v>0</v>
      </c>
      <c r="Z120" s="13">
        <v>0</v>
      </c>
      <c r="AA120" s="13">
        <v>0</v>
      </c>
      <c r="AB120" s="13">
        <v>0</v>
      </c>
      <c r="AC120" s="13">
        <v>0</v>
      </c>
      <c r="AD120" s="13">
        <v>0</v>
      </c>
      <c r="AE120" s="13">
        <v>0</v>
      </c>
      <c r="AF120" s="13">
        <v>0</v>
      </c>
      <c r="AG120" s="13">
        <v>0</v>
      </c>
      <c r="AH120" s="13">
        <v>0</v>
      </c>
      <c r="AI120" s="13">
        <v>0</v>
      </c>
      <c r="AJ120" s="13">
        <v>0</v>
      </c>
      <c r="AK120" s="13">
        <v>0</v>
      </c>
      <c r="AL120" s="13">
        <v>0</v>
      </c>
      <c r="AM120" s="13">
        <v>0</v>
      </c>
      <c r="AN120" s="13">
        <v>0</v>
      </c>
      <c r="AO120" s="13">
        <v>0</v>
      </c>
      <c r="AP120" s="13">
        <v>0</v>
      </c>
      <c r="AQ120" s="13">
        <v>0</v>
      </c>
      <c r="AR120" s="13">
        <v>0</v>
      </c>
      <c r="AS120" s="13">
        <v>0</v>
      </c>
      <c r="AT120" s="13">
        <v>0</v>
      </c>
      <c r="AU120" s="13">
        <v>0</v>
      </c>
      <c r="AV120" s="13">
        <v>0</v>
      </c>
      <c r="AW120" s="14">
        <v>0</v>
      </c>
      <c r="AX120" s="14">
        <v>0</v>
      </c>
      <c r="AY120" s="14">
        <v>0</v>
      </c>
      <c r="AZ120" s="14">
        <v>0</v>
      </c>
      <c r="BA120" s="14">
        <v>0</v>
      </c>
      <c r="BB120" s="14">
        <v>0</v>
      </c>
      <c r="BC120" s="14">
        <v>-0.1</v>
      </c>
      <c r="BD120" s="14">
        <v>0.1</v>
      </c>
      <c r="BE120" s="14">
        <v>0</v>
      </c>
      <c r="BF120" s="13">
        <v>0</v>
      </c>
      <c r="BG120" s="13">
        <v>0</v>
      </c>
      <c r="BH120" s="13">
        <v>0</v>
      </c>
      <c r="BI120" s="13">
        <v>0</v>
      </c>
      <c r="BJ120" s="13">
        <v>0</v>
      </c>
      <c r="BK120" s="13">
        <v>0</v>
      </c>
      <c r="BL120" s="13">
        <v>0</v>
      </c>
      <c r="BM120" s="13">
        <v>0</v>
      </c>
      <c r="BN120" s="13">
        <v>-4.6150800000000001E-4</v>
      </c>
      <c r="BO120" s="14">
        <v>1.71027E-4</v>
      </c>
      <c r="BP120" s="14">
        <v>0</v>
      </c>
      <c r="BQ120" s="14">
        <v>0</v>
      </c>
      <c r="BR120" s="14">
        <v>0</v>
      </c>
      <c r="BS120" s="14">
        <v>0</v>
      </c>
      <c r="BT120" s="14">
        <v>0</v>
      </c>
      <c r="BU120" s="14">
        <v>0</v>
      </c>
      <c r="BV120" s="14">
        <v>0</v>
      </c>
      <c r="BW120" s="14">
        <v>0</v>
      </c>
      <c r="BX120" s="14">
        <v>0</v>
      </c>
      <c r="BY120" s="14">
        <v>0</v>
      </c>
      <c r="BZ120" s="14">
        <v>0</v>
      </c>
      <c r="CA120" s="14">
        <v>0</v>
      </c>
      <c r="CB120" s="14">
        <v>-1</v>
      </c>
      <c r="CC120" s="14">
        <v>0</v>
      </c>
      <c r="CD120" s="14">
        <v>0</v>
      </c>
      <c r="CE120" s="14">
        <v>0</v>
      </c>
      <c r="CF120" s="14">
        <v>0</v>
      </c>
    </row>
    <row r="121" spans="1:84" ht="16.5" x14ac:dyDescent="0.3">
      <c r="A121" s="12" t="s">
        <v>168</v>
      </c>
      <c r="B121" s="13">
        <v>32.4</v>
      </c>
      <c r="C121" s="13">
        <v>66.7</v>
      </c>
      <c r="D121" s="13">
        <v>140.69999999999999</v>
      </c>
      <c r="E121" s="13">
        <v>15.4</v>
      </c>
      <c r="F121" s="13">
        <v>-23</v>
      </c>
      <c r="G121" s="13">
        <v>20.5</v>
      </c>
      <c r="H121" s="13">
        <v>-23.5</v>
      </c>
      <c r="I121" s="13">
        <v>-58</v>
      </c>
      <c r="J121" s="13">
        <v>-25.2</v>
      </c>
      <c r="K121" s="13">
        <v>2.9</v>
      </c>
      <c r="L121" s="13">
        <v>-5.9</v>
      </c>
      <c r="M121" s="13">
        <v>-15.9</v>
      </c>
      <c r="N121" s="13">
        <v>-106.3</v>
      </c>
      <c r="O121" s="13">
        <v>18.2</v>
      </c>
      <c r="P121" s="13">
        <v>-58.5</v>
      </c>
      <c r="Q121" s="13">
        <v>-69.099999999999994</v>
      </c>
      <c r="R121" s="13">
        <v>-18.8</v>
      </c>
      <c r="S121" s="13">
        <v>-5.5</v>
      </c>
      <c r="T121" s="13">
        <v>-42.6</v>
      </c>
      <c r="U121" s="13">
        <v>-91.5</v>
      </c>
      <c r="V121" s="13">
        <v>-3.1</v>
      </c>
      <c r="W121" s="13">
        <v>-21.2</v>
      </c>
      <c r="X121" s="13">
        <v>-71.099999999999994</v>
      </c>
      <c r="Y121" s="13">
        <v>-72.3</v>
      </c>
      <c r="Z121" s="13">
        <v>-16.2</v>
      </c>
      <c r="AA121" s="13">
        <v>13.8</v>
      </c>
      <c r="AB121" s="13">
        <v>1</v>
      </c>
      <c r="AC121" s="13">
        <v>-91.4</v>
      </c>
      <c r="AD121" s="13">
        <v>-33.1</v>
      </c>
      <c r="AE121" s="13">
        <v>-15.3</v>
      </c>
      <c r="AF121" s="13">
        <v>-11.9</v>
      </c>
      <c r="AG121" s="13">
        <v>13</v>
      </c>
      <c r="AH121" s="13">
        <v>-24</v>
      </c>
      <c r="AI121" s="13">
        <v>-9.9</v>
      </c>
      <c r="AJ121" s="13">
        <v>33.4</v>
      </c>
      <c r="AK121" s="13">
        <v>-71.099999999999994</v>
      </c>
      <c r="AL121" s="13">
        <v>20.3</v>
      </c>
      <c r="AM121" s="13">
        <v>26.1</v>
      </c>
      <c r="AN121" s="13">
        <v>-17</v>
      </c>
      <c r="AO121" s="13">
        <v>-19.5</v>
      </c>
      <c r="AP121" s="13">
        <v>-15.1</v>
      </c>
      <c r="AQ121" s="13">
        <v>24.4</v>
      </c>
      <c r="AR121" s="13">
        <v>-5.0999999999999996</v>
      </c>
      <c r="AS121" s="13">
        <v>-93.2</v>
      </c>
      <c r="AT121" s="13">
        <v>-18.600000000000001</v>
      </c>
      <c r="AU121" s="13">
        <v>30.1</v>
      </c>
      <c r="AV121" s="13">
        <v>-24.4</v>
      </c>
      <c r="AW121" s="14">
        <v>-180.9</v>
      </c>
      <c r="AX121" s="14">
        <v>-8.1999999999999993</v>
      </c>
      <c r="AY121" s="14">
        <v>67.7</v>
      </c>
      <c r="AZ121" s="14">
        <v>-76.900000000000006</v>
      </c>
      <c r="BA121" s="14">
        <v>-133</v>
      </c>
      <c r="BB121" s="14">
        <v>75.400000000000006</v>
      </c>
      <c r="BC121" s="14">
        <v>-12.6</v>
      </c>
      <c r="BD121" s="14">
        <v>122.4</v>
      </c>
      <c r="BE121" s="14">
        <v>-35.1</v>
      </c>
      <c r="BF121" s="13">
        <v>-71.099999999999994</v>
      </c>
      <c r="BG121" s="13">
        <v>72.2</v>
      </c>
      <c r="BH121" s="13">
        <v>74.099999999999994</v>
      </c>
      <c r="BI121" s="13">
        <v>-93</v>
      </c>
      <c r="BJ121" s="13">
        <v>-66.900000000000006</v>
      </c>
      <c r="BK121" s="13">
        <v>-27.3</v>
      </c>
      <c r="BL121" s="13">
        <v>-168.6</v>
      </c>
      <c r="BM121" s="13">
        <v>-3.7</v>
      </c>
      <c r="BN121" s="13">
        <v>-153.7947351</v>
      </c>
      <c r="BO121" s="14">
        <v>-46.05313804</v>
      </c>
      <c r="BP121" s="14">
        <v>73.305534609999995</v>
      </c>
      <c r="BQ121" s="14">
        <v>-10.102158899999999</v>
      </c>
      <c r="BR121" s="14">
        <v>109.5925336</v>
      </c>
      <c r="BS121" s="14">
        <v>-138.3701441</v>
      </c>
      <c r="BT121" s="14">
        <v>-141.92291090000001</v>
      </c>
      <c r="BU121" s="14">
        <v>-10.72687707</v>
      </c>
      <c r="BV121" s="14">
        <v>155.6</v>
      </c>
      <c r="BW121" s="14">
        <v>-68.599999999999994</v>
      </c>
      <c r="BX121" s="14">
        <v>-34.629694180000001</v>
      </c>
      <c r="BY121" s="14">
        <v>-128.068162</v>
      </c>
      <c r="BZ121" s="14">
        <v>52.964849750839718</v>
      </c>
      <c r="CA121" s="14">
        <v>-224.59073946400343</v>
      </c>
      <c r="CB121" s="14">
        <v>-27.831765953580032</v>
      </c>
      <c r="CC121" s="14">
        <v>-103.6662383141373</v>
      </c>
      <c r="CD121" s="14">
        <v>100.75972705968496</v>
      </c>
      <c r="CE121" s="14">
        <v>-111.07541373727145</v>
      </c>
      <c r="CF121" s="14">
        <v>-390.61870381731086</v>
      </c>
    </row>
    <row r="122" spans="1:84" ht="16.5" x14ac:dyDescent="0.3">
      <c r="A122" s="12" t="s">
        <v>122</v>
      </c>
      <c r="B122" s="13">
        <v>32.4</v>
      </c>
      <c r="C122" s="13">
        <v>66.7</v>
      </c>
      <c r="D122" s="13">
        <v>140.69999999999999</v>
      </c>
      <c r="E122" s="13">
        <v>15.4</v>
      </c>
      <c r="F122" s="13">
        <v>-23</v>
      </c>
      <c r="G122" s="13">
        <v>20.5</v>
      </c>
      <c r="H122" s="13">
        <v>-23.5</v>
      </c>
      <c r="I122" s="13">
        <v>-58</v>
      </c>
      <c r="J122" s="13">
        <v>-25.2</v>
      </c>
      <c r="K122" s="13">
        <v>2.9</v>
      </c>
      <c r="L122" s="13">
        <v>-5.9</v>
      </c>
      <c r="M122" s="13">
        <v>-15.9</v>
      </c>
      <c r="N122" s="13">
        <v>-106.3</v>
      </c>
      <c r="O122" s="13">
        <v>18.2</v>
      </c>
      <c r="P122" s="13">
        <v>-58.5</v>
      </c>
      <c r="Q122" s="13">
        <v>-69.099999999999994</v>
      </c>
      <c r="R122" s="13">
        <v>-18.8</v>
      </c>
      <c r="S122" s="13">
        <v>-5.5</v>
      </c>
      <c r="T122" s="13">
        <v>-42.6</v>
      </c>
      <c r="U122" s="13">
        <v>-91.5</v>
      </c>
      <c r="V122" s="13">
        <v>-3.1</v>
      </c>
      <c r="W122" s="13">
        <v>-21.2</v>
      </c>
      <c r="X122" s="13">
        <v>-71.099999999999994</v>
      </c>
      <c r="Y122" s="13">
        <v>-72.3</v>
      </c>
      <c r="Z122" s="13">
        <v>-16.2</v>
      </c>
      <c r="AA122" s="13">
        <v>13.8</v>
      </c>
      <c r="AB122" s="13">
        <v>1</v>
      </c>
      <c r="AC122" s="13">
        <v>-91.4</v>
      </c>
      <c r="AD122" s="13">
        <v>-33.1</v>
      </c>
      <c r="AE122" s="13">
        <v>-15.3</v>
      </c>
      <c r="AF122" s="13">
        <v>-11.9</v>
      </c>
      <c r="AG122" s="13">
        <v>13</v>
      </c>
      <c r="AH122" s="13">
        <v>-24</v>
      </c>
      <c r="AI122" s="13">
        <v>-9.9</v>
      </c>
      <c r="AJ122" s="13">
        <v>33.4</v>
      </c>
      <c r="AK122" s="13">
        <v>-71.099999999999994</v>
      </c>
      <c r="AL122" s="13">
        <v>20.3</v>
      </c>
      <c r="AM122" s="13">
        <v>26.1</v>
      </c>
      <c r="AN122" s="13">
        <v>-17</v>
      </c>
      <c r="AO122" s="13">
        <v>-19.5</v>
      </c>
      <c r="AP122" s="13">
        <v>-15.1</v>
      </c>
      <c r="AQ122" s="13">
        <v>24.4</v>
      </c>
      <c r="AR122" s="13">
        <v>-5.0999999999999996</v>
      </c>
      <c r="AS122" s="13">
        <v>-93.2</v>
      </c>
      <c r="AT122" s="13">
        <v>-18.600000000000001</v>
      </c>
      <c r="AU122" s="13">
        <v>30.1</v>
      </c>
      <c r="AV122" s="13">
        <v>-24.4</v>
      </c>
      <c r="AW122" s="14">
        <v>-180.9</v>
      </c>
      <c r="AX122" s="19">
        <v>-8.1999999999999993</v>
      </c>
      <c r="AY122" s="19">
        <v>67.7</v>
      </c>
      <c r="AZ122" s="19">
        <v>-76.900000000000006</v>
      </c>
      <c r="BA122" s="19">
        <v>-133</v>
      </c>
      <c r="BB122" s="19">
        <v>75.400000000000006</v>
      </c>
      <c r="BC122" s="19">
        <v>-12.6</v>
      </c>
      <c r="BD122" s="19">
        <v>122.4</v>
      </c>
      <c r="BE122" s="19">
        <v>-35.1</v>
      </c>
      <c r="BF122" s="13">
        <v>-71.099999999999994</v>
      </c>
      <c r="BG122" s="13">
        <v>72.2</v>
      </c>
      <c r="BH122" s="13">
        <v>74.099999999999994</v>
      </c>
      <c r="BI122" s="13">
        <v>-93</v>
      </c>
      <c r="BJ122" s="13">
        <v>-49.7</v>
      </c>
      <c r="BK122" s="13">
        <v>69.7</v>
      </c>
      <c r="BL122" s="13">
        <v>-105.1</v>
      </c>
      <c r="BM122" s="13">
        <v>-121</v>
      </c>
      <c r="BN122" s="13">
        <v>-212.22382830000001</v>
      </c>
      <c r="BO122" s="20">
        <v>18.053488869999999</v>
      </c>
      <c r="BP122" s="20">
        <v>74.830162099999995</v>
      </c>
      <c r="BQ122" s="20">
        <v>-2.802279215</v>
      </c>
      <c r="BR122" s="20">
        <v>425.31753099999997</v>
      </c>
      <c r="BS122" s="20">
        <v>-108.3690964</v>
      </c>
      <c r="BT122" s="20">
        <v>-226.9002826</v>
      </c>
      <c r="BU122" s="20">
        <v>-0.63635945000000005</v>
      </c>
      <c r="BV122" s="20">
        <v>144</v>
      </c>
      <c r="BW122" s="20">
        <v>-79</v>
      </c>
      <c r="BX122" s="20">
        <v>-19.750849729999999</v>
      </c>
      <c r="BY122" s="20">
        <v>-125.00735400000001</v>
      </c>
      <c r="BZ122" s="20">
        <v>59.895168217600244</v>
      </c>
      <c r="CA122" s="20">
        <v>-263.3258472238025</v>
      </c>
      <c r="CB122" s="20">
        <v>-32.575012558524634</v>
      </c>
      <c r="CC122" s="20">
        <v>-109.93916352907476</v>
      </c>
      <c r="CD122" s="20">
        <v>132.85849912120091</v>
      </c>
      <c r="CE122" s="20">
        <v>-132.63041003307188</v>
      </c>
      <c r="CF122" s="20">
        <v>-395.30277832884019</v>
      </c>
    </row>
    <row r="123" spans="1:84" ht="16.5" x14ac:dyDescent="0.3">
      <c r="A123" s="12" t="s">
        <v>123</v>
      </c>
      <c r="B123" s="13">
        <v>0</v>
      </c>
      <c r="C123" s="13">
        <v>0</v>
      </c>
      <c r="D123" s="13">
        <v>0</v>
      </c>
      <c r="E123" s="13">
        <v>0</v>
      </c>
      <c r="F123" s="13">
        <v>0</v>
      </c>
      <c r="G123" s="13">
        <v>0</v>
      </c>
      <c r="H123" s="13">
        <v>0</v>
      </c>
      <c r="I123" s="13">
        <v>0</v>
      </c>
      <c r="J123" s="13">
        <v>0</v>
      </c>
      <c r="K123" s="13">
        <v>0</v>
      </c>
      <c r="L123" s="13">
        <v>0</v>
      </c>
      <c r="M123" s="13">
        <v>0</v>
      </c>
      <c r="N123" s="13">
        <v>0</v>
      </c>
      <c r="O123" s="13">
        <v>0</v>
      </c>
      <c r="P123" s="13">
        <v>0</v>
      </c>
      <c r="Q123" s="13">
        <v>0</v>
      </c>
      <c r="R123" s="13">
        <v>0</v>
      </c>
      <c r="S123" s="13">
        <v>0</v>
      </c>
      <c r="T123" s="13">
        <v>0</v>
      </c>
      <c r="U123" s="13">
        <v>0</v>
      </c>
      <c r="V123" s="13">
        <v>0</v>
      </c>
      <c r="W123" s="13">
        <v>0</v>
      </c>
      <c r="X123" s="13">
        <v>0</v>
      </c>
      <c r="Y123" s="13">
        <v>0</v>
      </c>
      <c r="Z123" s="13">
        <v>0</v>
      </c>
      <c r="AA123" s="13">
        <v>0</v>
      </c>
      <c r="AB123" s="13">
        <v>0</v>
      </c>
      <c r="AC123" s="13">
        <v>0</v>
      </c>
      <c r="AD123" s="13">
        <v>0</v>
      </c>
      <c r="AE123" s="13">
        <v>0</v>
      </c>
      <c r="AF123" s="13">
        <v>0</v>
      </c>
      <c r="AG123" s="13">
        <v>0</v>
      </c>
      <c r="AH123" s="13">
        <v>0</v>
      </c>
      <c r="AI123" s="13">
        <v>0</v>
      </c>
      <c r="AJ123" s="13">
        <v>0</v>
      </c>
      <c r="AK123" s="13">
        <v>0</v>
      </c>
      <c r="AL123" s="13">
        <v>0</v>
      </c>
      <c r="AM123" s="13">
        <v>0</v>
      </c>
      <c r="AN123" s="13">
        <v>0</v>
      </c>
      <c r="AO123" s="13">
        <v>0</v>
      </c>
      <c r="AP123" s="13">
        <v>0</v>
      </c>
      <c r="AQ123" s="13">
        <v>0</v>
      </c>
      <c r="AR123" s="13">
        <v>0</v>
      </c>
      <c r="AS123" s="13">
        <v>0</v>
      </c>
      <c r="AT123" s="13">
        <v>0</v>
      </c>
      <c r="AU123" s="13">
        <v>0</v>
      </c>
      <c r="AV123" s="13">
        <v>0</v>
      </c>
      <c r="AW123" s="14">
        <v>0</v>
      </c>
      <c r="AX123" s="13">
        <v>0</v>
      </c>
      <c r="AY123" s="13">
        <v>0</v>
      </c>
      <c r="AZ123" s="13">
        <v>0</v>
      </c>
      <c r="BA123" s="13">
        <v>0</v>
      </c>
      <c r="BB123" s="13">
        <v>0</v>
      </c>
      <c r="BC123" s="13">
        <v>0</v>
      </c>
      <c r="BD123" s="13">
        <v>0</v>
      </c>
      <c r="BE123" s="13">
        <v>0</v>
      </c>
      <c r="BF123" s="13">
        <v>0</v>
      </c>
      <c r="BG123" s="13">
        <v>0</v>
      </c>
      <c r="BH123" s="13">
        <v>0</v>
      </c>
      <c r="BI123" s="13">
        <v>0</v>
      </c>
      <c r="BJ123" s="13">
        <v>-17.2</v>
      </c>
      <c r="BK123" s="13">
        <v>-96.9</v>
      </c>
      <c r="BL123" s="13">
        <v>-63.5</v>
      </c>
      <c r="BM123" s="13">
        <v>117.3</v>
      </c>
      <c r="BN123" s="13">
        <v>58.429093250000001</v>
      </c>
      <c r="BO123" s="14">
        <v>-64.106626910000003</v>
      </c>
      <c r="BP123" s="14">
        <v>-1.5246274900000001</v>
      </c>
      <c r="BQ123" s="14">
        <v>-7.2998796810000002</v>
      </c>
      <c r="BR123" s="14">
        <v>-315.72499729999998</v>
      </c>
      <c r="BS123" s="14">
        <v>-30.00104777</v>
      </c>
      <c r="BT123" s="14">
        <v>84.97737171</v>
      </c>
      <c r="BU123" s="14">
        <v>-10.09051762</v>
      </c>
      <c r="BV123" s="14">
        <v>11.7</v>
      </c>
      <c r="BW123" s="14">
        <v>10.4</v>
      </c>
      <c r="BX123" s="14">
        <v>-14.878844450000001</v>
      </c>
      <c r="BY123" s="14">
        <v>-3.0608080160000002</v>
      </c>
      <c r="BZ123" s="14">
        <v>-6.9303184667605251</v>
      </c>
      <c r="CA123" s="14">
        <v>38.735107759799064</v>
      </c>
      <c r="CB123" s="14">
        <v>4.743246604944602</v>
      </c>
      <c r="CC123" s="14">
        <v>6.2729252149374588</v>
      </c>
      <c r="CD123" s="14">
        <v>-32.098772061515945</v>
      </c>
      <c r="CE123" s="14">
        <v>21.554996295800436</v>
      </c>
      <c r="CF123" s="14">
        <v>4.6840745115293316</v>
      </c>
    </row>
    <row r="124" spans="1:84" ht="16.5" x14ac:dyDescent="0.3">
      <c r="A124" s="12" t="s">
        <v>169</v>
      </c>
      <c r="B124" s="13">
        <v>0</v>
      </c>
      <c r="C124" s="13">
        <v>0</v>
      </c>
      <c r="D124" s="13">
        <v>0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  <c r="N124" s="13">
        <v>0</v>
      </c>
      <c r="O124" s="13">
        <v>0</v>
      </c>
      <c r="P124" s="13">
        <v>0</v>
      </c>
      <c r="Q124" s="13">
        <v>0</v>
      </c>
      <c r="R124" s="13">
        <v>0</v>
      </c>
      <c r="S124" s="13">
        <v>0</v>
      </c>
      <c r="T124" s="13">
        <v>0</v>
      </c>
      <c r="U124" s="13">
        <v>0</v>
      </c>
      <c r="V124" s="13">
        <v>0</v>
      </c>
      <c r="W124" s="13">
        <v>0</v>
      </c>
      <c r="X124" s="13">
        <v>0</v>
      </c>
      <c r="Y124" s="13">
        <v>0</v>
      </c>
      <c r="Z124" s="13">
        <v>0</v>
      </c>
      <c r="AA124" s="13">
        <v>0</v>
      </c>
      <c r="AB124" s="13">
        <v>0</v>
      </c>
      <c r="AC124" s="13">
        <v>0</v>
      </c>
      <c r="AD124" s="13">
        <v>0</v>
      </c>
      <c r="AE124" s="13">
        <v>0</v>
      </c>
      <c r="AF124" s="13">
        <v>0</v>
      </c>
      <c r="AG124" s="13">
        <v>0</v>
      </c>
      <c r="AH124" s="13">
        <v>0</v>
      </c>
      <c r="AI124" s="13">
        <v>0</v>
      </c>
      <c r="AJ124" s="13">
        <v>0</v>
      </c>
      <c r="AK124" s="13">
        <v>0</v>
      </c>
      <c r="AL124" s="13">
        <v>0</v>
      </c>
      <c r="AM124" s="13">
        <v>0</v>
      </c>
      <c r="AN124" s="13">
        <v>0</v>
      </c>
      <c r="AO124" s="13">
        <v>0</v>
      </c>
      <c r="AP124" s="13">
        <v>0</v>
      </c>
      <c r="AQ124" s="13">
        <v>0</v>
      </c>
      <c r="AR124" s="13">
        <v>0</v>
      </c>
      <c r="AS124" s="13">
        <v>0</v>
      </c>
      <c r="AT124" s="13">
        <v>0</v>
      </c>
      <c r="AU124" s="13">
        <v>0</v>
      </c>
      <c r="AV124" s="13">
        <v>0</v>
      </c>
      <c r="AW124" s="14">
        <v>0</v>
      </c>
      <c r="AX124" s="13">
        <v>0</v>
      </c>
      <c r="AY124" s="13">
        <v>0</v>
      </c>
      <c r="AZ124" s="13">
        <v>0</v>
      </c>
      <c r="BA124" s="13">
        <v>0</v>
      </c>
      <c r="BB124" s="13">
        <v>0</v>
      </c>
      <c r="BC124" s="13">
        <v>0</v>
      </c>
      <c r="BD124" s="13">
        <v>0</v>
      </c>
      <c r="BE124" s="13">
        <v>0</v>
      </c>
      <c r="BF124" s="13">
        <v>0</v>
      </c>
      <c r="BG124" s="13">
        <v>0</v>
      </c>
      <c r="BH124" s="13">
        <v>0</v>
      </c>
      <c r="BI124" s="13">
        <v>0</v>
      </c>
      <c r="BJ124" s="13">
        <v>0</v>
      </c>
      <c r="BK124" s="13">
        <v>0</v>
      </c>
      <c r="BL124" s="13">
        <v>0</v>
      </c>
      <c r="BM124" s="13">
        <v>0</v>
      </c>
      <c r="BN124" s="13">
        <v>0</v>
      </c>
      <c r="BO124" s="14">
        <v>0</v>
      </c>
      <c r="BP124" s="14">
        <v>0</v>
      </c>
      <c r="BQ124" s="14">
        <v>0</v>
      </c>
      <c r="BR124" s="14">
        <v>0</v>
      </c>
      <c r="BS124" s="14">
        <v>0</v>
      </c>
      <c r="BT124" s="14">
        <v>0</v>
      </c>
      <c r="BU124" s="14">
        <v>0</v>
      </c>
      <c r="BV124" s="14">
        <v>0</v>
      </c>
      <c r="BW124" s="14">
        <v>0</v>
      </c>
      <c r="BX124" s="14">
        <v>0</v>
      </c>
      <c r="BY124" s="14">
        <v>0</v>
      </c>
      <c r="BZ124" s="14">
        <v>0</v>
      </c>
      <c r="CA124" s="14">
        <v>0</v>
      </c>
      <c r="CB124" s="14">
        <v>0</v>
      </c>
      <c r="CC124" s="14">
        <v>0</v>
      </c>
      <c r="CD124" s="14">
        <v>0</v>
      </c>
      <c r="CE124" s="14">
        <v>0</v>
      </c>
      <c r="CF124" s="14">
        <v>0</v>
      </c>
    </row>
    <row r="125" spans="1:84" ht="17.25" thickBot="1" x14ac:dyDescent="0.35">
      <c r="A125" s="23" t="s">
        <v>124</v>
      </c>
      <c r="B125" s="24">
        <v>-12.32000000000005</v>
      </c>
      <c r="C125" s="24">
        <v>-45.7</v>
      </c>
      <c r="D125" s="24">
        <v>-14.400000000000091</v>
      </c>
      <c r="E125" s="24">
        <v>100.8</v>
      </c>
      <c r="F125" s="24">
        <v>21.400000000000148</v>
      </c>
      <c r="G125" s="24">
        <v>15.7</v>
      </c>
      <c r="H125" s="24">
        <v>7.7000000000000455</v>
      </c>
      <c r="I125" s="24">
        <v>40.500000000000171</v>
      </c>
      <c r="J125" s="24">
        <v>105.28</v>
      </c>
      <c r="K125" s="24">
        <v>108.7</v>
      </c>
      <c r="L125" s="24">
        <v>104.06</v>
      </c>
      <c r="M125" s="24">
        <v>94.199999999999818</v>
      </c>
      <c r="N125" s="24">
        <v>193.8</v>
      </c>
      <c r="O125" s="24">
        <v>133.6</v>
      </c>
      <c r="P125" s="24">
        <v>122.21</v>
      </c>
      <c r="Q125" s="24">
        <v>73.347999999999956</v>
      </c>
      <c r="R125" s="24">
        <v>86.2</v>
      </c>
      <c r="S125" s="24">
        <v>19.5</v>
      </c>
      <c r="T125" s="24">
        <v>3.6</v>
      </c>
      <c r="U125" s="24">
        <v>-31.1</v>
      </c>
      <c r="V125" s="24">
        <v>-86.9</v>
      </c>
      <c r="W125" s="24">
        <v>149.9</v>
      </c>
      <c r="X125" s="24">
        <v>92.9</v>
      </c>
      <c r="Y125" s="24">
        <v>-88.6</v>
      </c>
      <c r="Z125" s="24">
        <v>-48.4</v>
      </c>
      <c r="AA125" s="24">
        <v>126</v>
      </c>
      <c r="AB125" s="24">
        <v>-105.2</v>
      </c>
      <c r="AC125" s="24">
        <v>-21.6</v>
      </c>
      <c r="AD125" s="24">
        <v>-54.4</v>
      </c>
      <c r="AE125" s="24">
        <v>-23.5</v>
      </c>
      <c r="AF125" s="24">
        <v>41.4</v>
      </c>
      <c r="AG125" s="24">
        <v>-6.2</v>
      </c>
      <c r="AH125" s="24">
        <v>72.599999999999994</v>
      </c>
      <c r="AI125" s="24">
        <v>-30.7</v>
      </c>
      <c r="AJ125" s="24">
        <v>-47.4</v>
      </c>
      <c r="AK125" s="24">
        <v>-21.8</v>
      </c>
      <c r="AL125" s="24">
        <v>-62.4</v>
      </c>
      <c r="AM125" s="24">
        <v>34.1</v>
      </c>
      <c r="AN125" s="24">
        <v>-14.3</v>
      </c>
      <c r="AO125" s="24">
        <v>-85.4</v>
      </c>
      <c r="AP125" s="24">
        <v>44.5</v>
      </c>
      <c r="AQ125" s="24">
        <v>-30.9</v>
      </c>
      <c r="AR125" s="24">
        <v>-73.599999999999994</v>
      </c>
      <c r="AS125" s="24">
        <v>-15.8</v>
      </c>
      <c r="AT125" s="24">
        <v>49.2</v>
      </c>
      <c r="AU125" s="24">
        <v>45.2</v>
      </c>
      <c r="AV125" s="24">
        <v>25.2</v>
      </c>
      <c r="AW125" s="25">
        <v>70.400000000000006</v>
      </c>
      <c r="AX125" s="25">
        <v>-176.3</v>
      </c>
      <c r="AY125" s="25">
        <v>290.5</v>
      </c>
      <c r="AZ125" s="25">
        <v>-74.2</v>
      </c>
      <c r="BA125" s="25">
        <v>94.1</v>
      </c>
      <c r="BB125" s="25">
        <v>-8.3000000000000007</v>
      </c>
      <c r="BC125" s="25">
        <v>22.2</v>
      </c>
      <c r="BD125" s="25">
        <v>76.8</v>
      </c>
      <c r="BE125" s="25">
        <v>205.3</v>
      </c>
      <c r="BF125" s="24">
        <v>71.2</v>
      </c>
      <c r="BG125" s="24">
        <v>79.714684000000005</v>
      </c>
      <c r="BH125" s="24">
        <v>-47.808599999999998</v>
      </c>
      <c r="BI125" s="24">
        <v>38.558100000000003</v>
      </c>
      <c r="BJ125" s="24">
        <v>-21.82</v>
      </c>
      <c r="BK125" s="24">
        <v>19.23</v>
      </c>
      <c r="BL125" s="24">
        <v>25.971800000000002</v>
      </c>
      <c r="BM125" s="24">
        <v>37.213000000000001</v>
      </c>
      <c r="BN125" s="24">
        <v>-50.193514659999998</v>
      </c>
      <c r="BO125" s="25">
        <v>67.530456009999995</v>
      </c>
      <c r="BP125" s="25">
        <v>53.426974420000001</v>
      </c>
      <c r="BQ125" s="25">
        <v>36.37674578</v>
      </c>
      <c r="BR125" s="25">
        <v>43.125415112116997</v>
      </c>
      <c r="BS125" s="25">
        <v>166.14367820000001</v>
      </c>
      <c r="BT125" s="25">
        <v>-87.130262959999996</v>
      </c>
      <c r="BU125" s="25">
        <v>90.234960360000002</v>
      </c>
      <c r="BV125" s="25">
        <v>-181.2</v>
      </c>
      <c r="BW125" s="25">
        <v>67.5</v>
      </c>
      <c r="BX125" s="25">
        <v>-180.90292590000001</v>
      </c>
      <c r="BY125" s="25">
        <v>2.3756417829999998</v>
      </c>
      <c r="BZ125" s="25">
        <v>59.732723605402043</v>
      </c>
      <c r="CA125" s="25">
        <v>-35.525040755830901</v>
      </c>
      <c r="CB125" s="25">
        <v>137.50037890625788</v>
      </c>
      <c r="CC125" s="25">
        <v>-31.553044716450813</v>
      </c>
      <c r="CD125" s="25">
        <v>9.2183412518012346</v>
      </c>
      <c r="CE125" s="25">
        <v>52.727539520835876</v>
      </c>
      <c r="CF125" s="25">
        <v>35.485354195801619</v>
      </c>
    </row>
    <row r="126" spans="1:84" ht="15.75" thickTop="1" x14ac:dyDescent="0.25"/>
    <row r="127" spans="1:84" x14ac:dyDescent="0.25">
      <c r="A127" s="32" t="s">
        <v>252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429"/>
  <sheetViews>
    <sheetView topLeftCell="A358" workbookViewId="0">
      <selection activeCell="E436" sqref="E436"/>
    </sheetView>
  </sheetViews>
  <sheetFormatPr defaultRowHeight="15" x14ac:dyDescent="0.25"/>
  <cols>
    <col min="1" max="1" width="44.28515625" style="4" bestFit="1" customWidth="1"/>
    <col min="2" max="16384" width="9.140625" style="4"/>
  </cols>
  <sheetData>
    <row r="2" spans="1:12" ht="17.25" thickBot="1" x14ac:dyDescent="0.35">
      <c r="A2" s="191" t="s">
        <v>125</v>
      </c>
      <c r="B2" s="191"/>
      <c r="C2" s="191"/>
      <c r="D2" s="191"/>
      <c r="E2" s="191"/>
      <c r="F2" s="191"/>
      <c r="G2" s="153"/>
      <c r="H2" s="153"/>
      <c r="I2" s="153"/>
      <c r="J2" s="153"/>
      <c r="K2" s="153"/>
      <c r="L2" s="153"/>
    </row>
    <row r="3" spans="1:12" ht="18" thickTop="1" thickBot="1" x14ac:dyDescent="0.35">
      <c r="A3" s="33" t="s">
        <v>126</v>
      </c>
      <c r="B3" s="34" t="s">
        <v>36</v>
      </c>
      <c r="C3" s="34" t="s">
        <v>37</v>
      </c>
      <c r="D3" s="35" t="s">
        <v>38</v>
      </c>
      <c r="E3" s="35" t="s">
        <v>127</v>
      </c>
      <c r="F3" s="36">
        <v>2005</v>
      </c>
    </row>
    <row r="4" spans="1:12" ht="16.5" x14ac:dyDescent="0.3">
      <c r="A4" s="37" t="s">
        <v>128</v>
      </c>
      <c r="B4" s="38">
        <v>393.505972297298</v>
      </c>
      <c r="C4" s="38">
        <v>408.414091883092</v>
      </c>
      <c r="D4" s="38">
        <v>458.52087498976994</v>
      </c>
      <c r="E4" s="38">
        <v>484.81524757822194</v>
      </c>
      <c r="F4" s="39">
        <v>1745.2561867483821</v>
      </c>
    </row>
    <row r="5" spans="1:12" ht="16.5" x14ac:dyDescent="0.3">
      <c r="A5" s="40" t="s">
        <v>129</v>
      </c>
      <c r="B5" s="41">
        <v>359.33304968210211</v>
      </c>
      <c r="C5" s="41">
        <v>352.53440115138574</v>
      </c>
      <c r="D5" s="41">
        <v>386.78240411816063</v>
      </c>
      <c r="E5" s="41">
        <v>428.25203249077481</v>
      </c>
      <c r="F5" s="42">
        <v>1526.9018874424235</v>
      </c>
    </row>
    <row r="6" spans="1:12" ht="16.5" x14ac:dyDescent="0.3">
      <c r="A6" s="43" t="s">
        <v>130</v>
      </c>
      <c r="B6" s="41">
        <v>3.4298206917041552</v>
      </c>
      <c r="C6" s="41">
        <v>21.96309425311275</v>
      </c>
      <c r="D6" s="41">
        <v>25.499952966362045</v>
      </c>
      <c r="E6" s="41">
        <v>19.995000000000001</v>
      </c>
      <c r="F6" s="42">
        <v>70.887867911178958</v>
      </c>
    </row>
    <row r="7" spans="1:12" ht="16.5" x14ac:dyDescent="0.3">
      <c r="A7" s="43" t="s">
        <v>131</v>
      </c>
      <c r="B7" s="41">
        <v>0.75955958366708498</v>
      </c>
      <c r="C7" s="41">
        <v>0.97226823775866122</v>
      </c>
      <c r="D7" s="41">
        <v>2.0845997265155027</v>
      </c>
      <c r="E7" s="41">
        <v>1.698</v>
      </c>
      <c r="F7" s="42">
        <v>5.5144275479412501</v>
      </c>
    </row>
    <row r="8" spans="1:12" ht="16.5" x14ac:dyDescent="0.3">
      <c r="A8" s="43" t="s">
        <v>132</v>
      </c>
      <c r="B8" s="41">
        <v>13.910969978896768</v>
      </c>
      <c r="C8" s="41">
        <v>3.5202205751352666</v>
      </c>
      <c r="D8" s="41">
        <v>9.1847120000000029</v>
      </c>
      <c r="E8" s="41">
        <v>29.651221880000005</v>
      </c>
      <c r="F8" s="42">
        <v>56.267124434032048</v>
      </c>
    </row>
    <row r="9" spans="1:12" ht="16.5" x14ac:dyDescent="0.3">
      <c r="A9" s="43" t="s">
        <v>133</v>
      </c>
      <c r="B9" s="41">
        <v>7.056</v>
      </c>
      <c r="C9" s="41">
        <v>0</v>
      </c>
      <c r="D9" s="41">
        <v>23.602314</v>
      </c>
      <c r="E9" s="41">
        <v>7.0417950000000005</v>
      </c>
      <c r="F9" s="42">
        <v>37.700108999999998</v>
      </c>
    </row>
    <row r="10" spans="1:12" ht="16.5" x14ac:dyDescent="0.3">
      <c r="A10" s="43" t="s">
        <v>134</v>
      </c>
      <c r="B10" s="41">
        <v>2.8049030590869357</v>
      </c>
      <c r="C10" s="41">
        <v>8.9046261508091238</v>
      </c>
      <c r="D10" s="41">
        <v>10.641344221092394</v>
      </c>
      <c r="E10" s="41">
        <v>20.893999999999998</v>
      </c>
      <c r="F10" s="42">
        <v>43.244873430988463</v>
      </c>
    </row>
    <row r="11" spans="1:12" ht="16.5" x14ac:dyDescent="0.3">
      <c r="A11" s="43" t="s">
        <v>135</v>
      </c>
      <c r="B11" s="41">
        <v>8.3841334993541697E-2</v>
      </c>
      <c r="C11" s="41">
        <v>0.21217341461703251</v>
      </c>
      <c r="D11" s="41">
        <v>0.18693211543407853</v>
      </c>
      <c r="E11" s="41">
        <v>0.35799999999999998</v>
      </c>
      <c r="F11" s="42">
        <v>0.84094686504465266</v>
      </c>
    </row>
    <row r="12" spans="1:12" ht="16.5" x14ac:dyDescent="0.3">
      <c r="A12" s="43" t="s">
        <v>136</v>
      </c>
      <c r="B12" s="41">
        <v>11.871287899298023</v>
      </c>
      <c r="C12" s="41">
        <v>2.8213421638821239</v>
      </c>
      <c r="D12" s="41">
        <v>3.7758646287566182</v>
      </c>
      <c r="E12" s="41">
        <v>13.885</v>
      </c>
      <c r="F12" s="42">
        <v>32.353494691936767</v>
      </c>
    </row>
    <row r="13" spans="1:12" ht="16.5" x14ac:dyDescent="0.3">
      <c r="A13" s="43" t="s">
        <v>137</v>
      </c>
      <c r="B13" s="41">
        <v>16.854505603538527</v>
      </c>
      <c r="C13" s="41">
        <v>0.73303025697848267</v>
      </c>
      <c r="D13" s="41">
        <v>0</v>
      </c>
      <c r="E13" s="41">
        <v>0</v>
      </c>
      <c r="F13" s="44">
        <v>17.587535860517011</v>
      </c>
    </row>
    <row r="14" spans="1:12" ht="16.5" x14ac:dyDescent="0.3">
      <c r="A14" s="43" t="s">
        <v>138</v>
      </c>
      <c r="B14" s="41">
        <v>33.197158530917093</v>
      </c>
      <c r="C14" s="41">
        <v>34.88612609909233</v>
      </c>
      <c r="D14" s="41">
        <v>37.68072446</v>
      </c>
      <c r="E14" s="41">
        <v>36.036415610774824</v>
      </c>
      <c r="F14" s="42">
        <v>141.80042470078428</v>
      </c>
    </row>
    <row r="15" spans="1:12" ht="16.5" x14ac:dyDescent="0.3">
      <c r="A15" s="43" t="s">
        <v>139</v>
      </c>
      <c r="B15" s="41">
        <v>19.866003000000003</v>
      </c>
      <c r="C15" s="41">
        <v>23.801519999999996</v>
      </c>
      <c r="D15" s="41">
        <v>27.935959999999994</v>
      </c>
      <c r="E15" s="41">
        <v>28.554599999999997</v>
      </c>
      <c r="F15" s="42">
        <v>100.15808299999999</v>
      </c>
    </row>
    <row r="16" spans="1:12" ht="16.5" x14ac:dyDescent="0.3">
      <c r="A16" s="43" t="s">
        <v>140</v>
      </c>
      <c r="B16" s="41">
        <v>249.499</v>
      </c>
      <c r="C16" s="41">
        <v>254.72</v>
      </c>
      <c r="D16" s="41">
        <v>246.19</v>
      </c>
      <c r="E16" s="41">
        <v>270.13799999999998</v>
      </c>
      <c r="F16" s="42">
        <v>1020.547</v>
      </c>
    </row>
    <row r="17" spans="1:6" ht="16.5" x14ac:dyDescent="0.3">
      <c r="A17" s="40" t="s">
        <v>141</v>
      </c>
      <c r="B17" s="41" t="s">
        <v>142</v>
      </c>
      <c r="C17" s="41" t="s">
        <v>142</v>
      </c>
      <c r="D17" s="41" t="s">
        <v>142</v>
      </c>
      <c r="E17" s="41" t="s">
        <v>142</v>
      </c>
      <c r="F17" s="42" t="s">
        <v>142</v>
      </c>
    </row>
    <row r="18" spans="1:6" ht="16.5" x14ac:dyDescent="0.3">
      <c r="A18" s="40" t="s">
        <v>143</v>
      </c>
      <c r="B18" s="41" t="s">
        <v>142</v>
      </c>
      <c r="C18" s="41" t="s">
        <v>142</v>
      </c>
      <c r="D18" s="41" t="s">
        <v>142</v>
      </c>
      <c r="E18" s="41" t="s">
        <v>142</v>
      </c>
      <c r="F18" s="42" t="s">
        <v>142</v>
      </c>
    </row>
    <row r="19" spans="1:6" ht="16.5" x14ac:dyDescent="0.3">
      <c r="A19" s="40" t="s">
        <v>144</v>
      </c>
      <c r="B19" s="41">
        <v>1.16923781</v>
      </c>
      <c r="C19" s="41">
        <v>2.6168616600000001</v>
      </c>
      <c r="D19" s="41">
        <v>5.0890416099999989</v>
      </c>
      <c r="E19" s="41">
        <v>3.5695671</v>
      </c>
      <c r="F19" s="42">
        <v>12.444708180000001</v>
      </c>
    </row>
    <row r="20" spans="1:6" ht="16.5" x14ac:dyDescent="0.3">
      <c r="A20" s="45" t="s">
        <v>145</v>
      </c>
      <c r="B20" s="41">
        <v>3.3796508890000001</v>
      </c>
      <c r="C20" s="41">
        <v>1.4385620400000001</v>
      </c>
      <c r="D20" s="41">
        <v>0.44028305000000001</v>
      </c>
      <c r="E20" s="41">
        <v>8.3028613900000003</v>
      </c>
      <c r="F20" s="42">
        <v>13.561357369000001</v>
      </c>
    </row>
    <row r="21" spans="1:6" ht="16.5" x14ac:dyDescent="0.3">
      <c r="A21" s="45" t="s">
        <v>146</v>
      </c>
      <c r="B21" s="41">
        <v>0.20790750673159256</v>
      </c>
      <c r="C21" s="41">
        <v>0.25618822115933187</v>
      </c>
      <c r="D21" s="41">
        <v>0</v>
      </c>
      <c r="E21" s="41">
        <v>0</v>
      </c>
      <c r="F21" s="42">
        <v>0.4640957278909244</v>
      </c>
    </row>
    <row r="22" spans="1:6" ht="16.5" x14ac:dyDescent="0.3">
      <c r="A22" s="45" t="s">
        <v>147</v>
      </c>
      <c r="B22" s="41">
        <v>29.416126409464251</v>
      </c>
      <c r="C22" s="41">
        <v>51.568078810546893</v>
      </c>
      <c r="D22" s="41">
        <v>66.209146211609337</v>
      </c>
      <c r="E22" s="41">
        <v>44.690786597447179</v>
      </c>
      <c r="F22" s="42">
        <v>191.88413802906769</v>
      </c>
    </row>
    <row r="23" spans="1:6" ht="16.5" x14ac:dyDescent="0.3">
      <c r="A23" s="46" t="s">
        <v>148</v>
      </c>
      <c r="B23" s="47">
        <v>90.943810766380878</v>
      </c>
      <c r="C23" s="47">
        <v>95.006445783999652</v>
      </c>
      <c r="D23" s="47">
        <v>146.71419052976998</v>
      </c>
      <c r="E23" s="47">
        <v>150.08623196744722</v>
      </c>
      <c r="F23" s="48">
        <v>482.75067904759777</v>
      </c>
    </row>
    <row r="24" spans="1:6" ht="17.25" thickBot="1" x14ac:dyDescent="0.35">
      <c r="A24" s="49" t="s">
        <v>149</v>
      </c>
      <c r="B24" s="50">
        <v>302.56216153091708</v>
      </c>
      <c r="C24" s="50">
        <v>313.40764609909235</v>
      </c>
      <c r="D24" s="50">
        <v>311.80668445999999</v>
      </c>
      <c r="E24" s="50">
        <v>334.72901561077481</v>
      </c>
      <c r="F24" s="51">
        <v>1262.5055077007842</v>
      </c>
    </row>
    <row r="25" spans="1:6" ht="17.25" thickTop="1" x14ac:dyDescent="0.3">
      <c r="A25" s="192" t="s">
        <v>170</v>
      </c>
      <c r="B25" s="193"/>
      <c r="C25" s="193"/>
      <c r="D25" s="193"/>
      <c r="E25" s="193"/>
      <c r="F25" s="193"/>
    </row>
    <row r="26" spans="1:6" ht="16.5" x14ac:dyDescent="0.3">
      <c r="A26" s="52"/>
      <c r="B26" s="53"/>
      <c r="C26" s="53"/>
      <c r="D26" s="53"/>
      <c r="E26" s="53"/>
      <c r="F26" s="53"/>
    </row>
    <row r="27" spans="1:6" ht="16.5" x14ac:dyDescent="0.3">
      <c r="A27" s="52"/>
      <c r="B27" s="53"/>
      <c r="C27" s="53"/>
      <c r="D27" s="53"/>
      <c r="E27" s="53"/>
      <c r="F27" s="53"/>
    </row>
    <row r="28" spans="1:6" ht="16.5" x14ac:dyDescent="0.3">
      <c r="A28" s="52"/>
      <c r="B28" s="53"/>
      <c r="C28" s="53"/>
      <c r="D28" s="53"/>
      <c r="E28" s="53"/>
      <c r="F28" s="53"/>
    </row>
    <row r="29" spans="1:6" ht="16.5" x14ac:dyDescent="0.3">
      <c r="A29" s="52"/>
      <c r="B29" s="54"/>
      <c r="C29" s="54"/>
      <c r="D29" s="54"/>
      <c r="E29" s="54"/>
      <c r="F29" s="54"/>
    </row>
    <row r="30" spans="1:6" ht="17.25" thickBot="1" x14ac:dyDescent="0.35">
      <c r="A30" s="194" t="s">
        <v>171</v>
      </c>
      <c r="B30" s="191"/>
      <c r="C30" s="191"/>
      <c r="D30" s="191"/>
      <c r="E30" s="191"/>
      <c r="F30" s="191"/>
    </row>
    <row r="31" spans="1:6" ht="18" thickTop="1" thickBot="1" x14ac:dyDescent="0.35">
      <c r="A31" s="33" t="s">
        <v>126</v>
      </c>
      <c r="B31" s="34" t="s">
        <v>36</v>
      </c>
      <c r="C31" s="34" t="s">
        <v>37</v>
      </c>
      <c r="D31" s="35" t="s">
        <v>38</v>
      </c>
      <c r="E31" s="35" t="s">
        <v>127</v>
      </c>
      <c r="F31" s="36">
        <v>2005</v>
      </c>
    </row>
    <row r="32" spans="1:6" ht="16.5" x14ac:dyDescent="0.3">
      <c r="A32" s="37" t="s">
        <v>258</v>
      </c>
      <c r="B32" s="38">
        <v>516.78306470633481</v>
      </c>
      <c r="C32" s="38">
        <v>512.54617240457503</v>
      </c>
      <c r="D32" s="38">
        <v>556.5363651493218</v>
      </c>
      <c r="E32" s="38">
        <v>656.46105720606795</v>
      </c>
      <c r="F32" s="39">
        <v>2242.3266594662996</v>
      </c>
    </row>
    <row r="33" spans="1:6" ht="16.5" x14ac:dyDescent="0.3">
      <c r="A33" s="45" t="s">
        <v>172</v>
      </c>
      <c r="B33" s="41">
        <v>80.070888561441947</v>
      </c>
      <c r="C33" s="41">
        <v>84.973900473592593</v>
      </c>
      <c r="D33" s="41">
        <v>78.235876056312264</v>
      </c>
      <c r="E33" s="41">
        <v>85.384545454545446</v>
      </c>
      <c r="F33" s="42">
        <v>328.66521054589225</v>
      </c>
    </row>
    <row r="34" spans="1:6" ht="16.5" x14ac:dyDescent="0.3">
      <c r="A34" s="40" t="s">
        <v>173</v>
      </c>
      <c r="B34" s="41">
        <v>37.319074312815204</v>
      </c>
      <c r="C34" s="41">
        <v>42.164759853303799</v>
      </c>
      <c r="D34" s="41">
        <v>37.0468369642863</v>
      </c>
      <c r="E34" s="41">
        <v>40.36090909090909</v>
      </c>
      <c r="F34" s="42">
        <v>156.89158022131437</v>
      </c>
    </row>
    <row r="35" spans="1:6" ht="16.5" x14ac:dyDescent="0.3">
      <c r="A35" s="40" t="s">
        <v>174</v>
      </c>
      <c r="B35" s="41">
        <v>2.8731182084371603</v>
      </c>
      <c r="C35" s="41">
        <v>3.3719248695815192</v>
      </c>
      <c r="D35" s="41">
        <v>2.609363295926217</v>
      </c>
      <c r="E35" s="41">
        <v>0.13454545454545452</v>
      </c>
      <c r="F35" s="42">
        <v>8.988951828490352</v>
      </c>
    </row>
    <row r="36" spans="1:6" ht="16.5" x14ac:dyDescent="0.3">
      <c r="A36" s="40" t="s">
        <v>175</v>
      </c>
      <c r="B36" s="41">
        <v>0.4493321092373293</v>
      </c>
      <c r="C36" s="41">
        <v>0.13685593097796386</v>
      </c>
      <c r="D36" s="41">
        <v>0.37701207972854117</v>
      </c>
      <c r="E36" s="41">
        <v>0.84454545454545449</v>
      </c>
      <c r="F36" s="42">
        <v>1.8077455744892887</v>
      </c>
    </row>
    <row r="37" spans="1:6" ht="16.5" x14ac:dyDescent="0.3">
      <c r="A37" s="40" t="s">
        <v>176</v>
      </c>
      <c r="B37" s="41">
        <v>7.1308717809461593</v>
      </c>
      <c r="C37" s="41">
        <v>7.0098530743757905</v>
      </c>
      <c r="D37" s="41">
        <v>5.7418474733472085</v>
      </c>
      <c r="E37" s="41">
        <v>4.462727272727272</v>
      </c>
      <c r="F37" s="42">
        <v>24.34529960139643</v>
      </c>
    </row>
    <row r="38" spans="1:6" ht="16.5" x14ac:dyDescent="0.3">
      <c r="A38" s="40" t="s">
        <v>177</v>
      </c>
      <c r="B38" s="41">
        <v>32.298492150006098</v>
      </c>
      <c r="C38" s="41">
        <v>32.290506745353518</v>
      </c>
      <c r="D38" s="41">
        <v>32.460816243023999</v>
      </c>
      <c r="E38" s="41">
        <v>39.581818181818178</v>
      </c>
      <c r="F38" s="42">
        <v>136.63163332020181</v>
      </c>
    </row>
    <row r="39" spans="1:6" ht="16.5" x14ac:dyDescent="0.3">
      <c r="A39" s="55" t="s">
        <v>178</v>
      </c>
      <c r="B39" s="41">
        <v>41.557441297727273</v>
      </c>
      <c r="C39" s="41">
        <v>86.371951212272734</v>
      </c>
      <c r="D39" s="41">
        <v>68.176146595454554</v>
      </c>
      <c r="E39" s="41">
        <v>113.51957381454545</v>
      </c>
      <c r="F39" s="42">
        <v>309.62511291999994</v>
      </c>
    </row>
    <row r="40" spans="1:6" ht="16.5" x14ac:dyDescent="0.3">
      <c r="A40" s="40" t="s">
        <v>179</v>
      </c>
      <c r="B40" s="41">
        <v>24.11533937272727</v>
      </c>
      <c r="C40" s="41">
        <v>68.37554701818182</v>
      </c>
      <c r="D40" s="41">
        <v>49.842670372727277</v>
      </c>
      <c r="E40" s="41">
        <v>94.770045545454551</v>
      </c>
      <c r="F40" s="42">
        <v>237.10360230909086</v>
      </c>
    </row>
    <row r="41" spans="1:6" ht="16.5" x14ac:dyDescent="0.3">
      <c r="A41" s="43" t="s">
        <v>180</v>
      </c>
      <c r="B41" s="41">
        <v>13.221195645454543</v>
      </c>
      <c r="C41" s="41">
        <v>44.58911680909091</v>
      </c>
      <c r="D41" s="41">
        <v>29.650652718181824</v>
      </c>
      <c r="E41" s="41">
        <v>68.347272727272724</v>
      </c>
      <c r="F41" s="42">
        <v>155.80823789999999</v>
      </c>
    </row>
    <row r="42" spans="1:6" ht="16.5" x14ac:dyDescent="0.3">
      <c r="A42" s="43" t="s">
        <v>181</v>
      </c>
      <c r="B42" s="41">
        <v>7.5351246272727268</v>
      </c>
      <c r="C42" s="41">
        <v>10.311615254545453</v>
      </c>
      <c r="D42" s="41">
        <v>9.1153790272727271</v>
      </c>
      <c r="E42" s="41">
        <v>10.882727272727273</v>
      </c>
      <c r="F42" s="42">
        <v>37.844846181818177</v>
      </c>
    </row>
    <row r="43" spans="1:6" ht="16.5" x14ac:dyDescent="0.3">
      <c r="A43" s="43" t="s">
        <v>182</v>
      </c>
      <c r="B43" s="41">
        <v>3.3590190999999998</v>
      </c>
      <c r="C43" s="41">
        <v>13.474814954545451</v>
      </c>
      <c r="D43" s="41">
        <v>11.076638627272727</v>
      </c>
      <c r="E43" s="41">
        <v>15.540045545454548</v>
      </c>
      <c r="F43" s="42">
        <v>43.450518227272724</v>
      </c>
    </row>
    <row r="44" spans="1:6" ht="16.5" x14ac:dyDescent="0.3">
      <c r="A44" s="40" t="s">
        <v>183</v>
      </c>
      <c r="B44" s="41">
        <v>17.442101924999999</v>
      </c>
      <c r="C44" s="41">
        <v>17.996404194090907</v>
      </c>
      <c r="D44" s="41">
        <v>18.333476222727271</v>
      </c>
      <c r="E44" s="41">
        <v>18.749528269090909</v>
      </c>
      <c r="F44" s="42">
        <v>72.52151061090909</v>
      </c>
    </row>
    <row r="45" spans="1:6" ht="16.5" x14ac:dyDescent="0.3">
      <c r="A45" s="55" t="s">
        <v>184</v>
      </c>
      <c r="B45" s="41">
        <v>63.540304829400242</v>
      </c>
      <c r="C45" s="41">
        <v>69.298482368917803</v>
      </c>
      <c r="D45" s="41">
        <v>82.893716560308093</v>
      </c>
      <c r="E45" s="41">
        <v>97.467272727272714</v>
      </c>
      <c r="F45" s="42">
        <v>313.19977648589889</v>
      </c>
    </row>
    <row r="46" spans="1:6" ht="16.5" x14ac:dyDescent="0.3">
      <c r="A46" s="55" t="s">
        <v>185</v>
      </c>
      <c r="B46" s="41">
        <v>227.01491923412902</v>
      </c>
      <c r="C46" s="41">
        <v>175.86894993549112</v>
      </c>
      <c r="D46" s="41">
        <v>205.51652677412176</v>
      </c>
      <c r="E46" s="41">
        <v>245.17893528640536</v>
      </c>
      <c r="F46" s="42">
        <v>853.57933123014732</v>
      </c>
    </row>
    <row r="47" spans="1:6" ht="16.5" x14ac:dyDescent="0.3">
      <c r="A47" s="55" t="s">
        <v>186</v>
      </c>
      <c r="B47" s="41">
        <v>22.458187443636362</v>
      </c>
      <c r="C47" s="41">
        <v>9.778020370909088</v>
      </c>
      <c r="D47" s="41">
        <v>10.753124189090908</v>
      </c>
      <c r="E47" s="41">
        <v>9.9402724618181804</v>
      </c>
      <c r="F47" s="42">
        <v>52.929604465454538</v>
      </c>
    </row>
    <row r="48" spans="1:6" ht="16.5" x14ac:dyDescent="0.3">
      <c r="A48" s="56" t="s">
        <v>187</v>
      </c>
      <c r="B48" s="47">
        <v>82.141323339999971</v>
      </c>
      <c r="C48" s="47">
        <v>86.254868043391781</v>
      </c>
      <c r="D48" s="47">
        <v>110.96097497403427</v>
      </c>
      <c r="E48" s="47">
        <v>104.97045746148076</v>
      </c>
      <c r="F48" s="48">
        <v>384.32762381890683</v>
      </c>
    </row>
    <row r="49" spans="1:12" ht="17.25" thickBot="1" x14ac:dyDescent="0.35">
      <c r="A49" s="57" t="s">
        <v>188</v>
      </c>
      <c r="B49" s="58">
        <v>434.64174136633488</v>
      </c>
      <c r="C49" s="58">
        <v>426.29130436118328</v>
      </c>
      <c r="D49" s="58">
        <v>445.57539017528757</v>
      </c>
      <c r="E49" s="58">
        <v>551.49059974458726</v>
      </c>
      <c r="F49" s="59">
        <v>1857.9990356473932</v>
      </c>
    </row>
    <row r="50" spans="1:12" ht="17.25" thickTop="1" x14ac:dyDescent="0.3">
      <c r="A50" s="192" t="s">
        <v>170</v>
      </c>
      <c r="B50" s="193"/>
      <c r="C50" s="193"/>
      <c r="D50" s="193"/>
      <c r="E50" s="193"/>
      <c r="F50" s="193"/>
    </row>
    <row r="51" spans="1:12" ht="17.25" thickBot="1" x14ac:dyDescent="0.35">
      <c r="A51" s="194" t="s">
        <v>189</v>
      </c>
      <c r="B51" s="191"/>
      <c r="C51" s="191"/>
      <c r="D51" s="191"/>
      <c r="E51" s="191"/>
      <c r="F51" s="191"/>
      <c r="G51" s="153"/>
      <c r="H51" s="153"/>
      <c r="I51" s="153"/>
      <c r="J51" s="153"/>
      <c r="K51" s="153"/>
      <c r="L51" s="153"/>
    </row>
    <row r="52" spans="1:12" ht="18" thickTop="1" thickBot="1" x14ac:dyDescent="0.35">
      <c r="A52" s="60" t="s">
        <v>126</v>
      </c>
      <c r="B52" s="61" t="s">
        <v>190</v>
      </c>
      <c r="C52" s="61" t="s">
        <v>191</v>
      </c>
      <c r="D52" s="62" t="s">
        <v>192</v>
      </c>
      <c r="E52" s="62" t="s">
        <v>193</v>
      </c>
      <c r="F52" s="63">
        <v>2006</v>
      </c>
    </row>
    <row r="53" spans="1:12" ht="16.5" x14ac:dyDescent="0.3">
      <c r="A53" s="64" t="s">
        <v>259</v>
      </c>
      <c r="B53" s="65">
        <v>540.3025348534992</v>
      </c>
      <c r="C53" s="65">
        <v>599.76757816891813</v>
      </c>
      <c r="D53" s="65">
        <v>630.79294173398898</v>
      </c>
      <c r="E53" s="65">
        <v>610.26857130220219</v>
      </c>
      <c r="F53" s="66">
        <v>2381.1316260586086</v>
      </c>
    </row>
    <row r="54" spans="1:12" ht="16.5" x14ac:dyDescent="0.3">
      <c r="A54" s="67" t="s">
        <v>129</v>
      </c>
      <c r="B54" s="68">
        <v>464.78186389729291</v>
      </c>
      <c r="C54" s="68">
        <v>534.26325339097832</v>
      </c>
      <c r="D54" s="68">
        <v>558.19327642791927</v>
      </c>
      <c r="E54" s="68">
        <v>519.00892199050702</v>
      </c>
      <c r="F54" s="69">
        <v>2076.2473157066975</v>
      </c>
    </row>
    <row r="55" spans="1:12" ht="16.5" x14ac:dyDescent="0.3">
      <c r="A55" s="70" t="s">
        <v>130</v>
      </c>
      <c r="B55" s="68">
        <v>3.8999006557966776</v>
      </c>
      <c r="C55" s="68">
        <v>43.638904205565865</v>
      </c>
      <c r="D55" s="68">
        <v>27.378896985592267</v>
      </c>
      <c r="E55" s="68">
        <v>11.758036507224498</v>
      </c>
      <c r="F55" s="69">
        <v>86.675738354179316</v>
      </c>
    </row>
    <row r="56" spans="1:12" ht="16.5" x14ac:dyDescent="0.3">
      <c r="A56" s="70" t="s">
        <v>131</v>
      </c>
      <c r="B56" s="68">
        <v>1.0809718692916477</v>
      </c>
      <c r="C56" s="68">
        <v>7.4584852773197481</v>
      </c>
      <c r="D56" s="68">
        <v>2.7091469493786744</v>
      </c>
      <c r="E56" s="68">
        <v>1.7614756583185762</v>
      </c>
      <c r="F56" s="69">
        <v>13.010079754308645</v>
      </c>
    </row>
    <row r="57" spans="1:12" ht="16.5" x14ac:dyDescent="0.3">
      <c r="A57" s="70" t="s">
        <v>132</v>
      </c>
      <c r="B57" s="68">
        <v>12.627758480000001</v>
      </c>
      <c r="C57" s="68">
        <v>6.8916317091808486</v>
      </c>
      <c r="D57" s="68">
        <v>8.0025259247091647</v>
      </c>
      <c r="E57" s="68">
        <v>18.169184445417578</v>
      </c>
      <c r="F57" s="69">
        <v>45.691100559307593</v>
      </c>
    </row>
    <row r="58" spans="1:12" ht="16.5" x14ac:dyDescent="0.3">
      <c r="A58" s="70" t="s">
        <v>133</v>
      </c>
      <c r="B58" s="68">
        <v>20.321249760000001</v>
      </c>
      <c r="C58" s="68">
        <v>19.081079759999994</v>
      </c>
      <c r="D58" s="68">
        <v>23.112691045450791</v>
      </c>
      <c r="E58" s="68">
        <v>8.835656000000002</v>
      </c>
      <c r="F58" s="69">
        <v>71.350676565450783</v>
      </c>
    </row>
    <row r="59" spans="1:12" ht="16.5" x14ac:dyDescent="0.3">
      <c r="A59" s="70" t="s">
        <v>134</v>
      </c>
      <c r="B59" s="68">
        <v>23.246555612177985</v>
      </c>
      <c r="C59" s="68">
        <v>13.987521127778063</v>
      </c>
      <c r="D59" s="68">
        <v>46.033019503338636</v>
      </c>
      <c r="E59" s="68">
        <v>27.069625809441312</v>
      </c>
      <c r="F59" s="69">
        <v>110.33672205273601</v>
      </c>
    </row>
    <row r="60" spans="1:12" ht="16.5" x14ac:dyDescent="0.3">
      <c r="A60" s="70" t="s">
        <v>135</v>
      </c>
      <c r="B60" s="68">
        <v>0.59375979480767949</v>
      </c>
      <c r="C60" s="68">
        <v>0.16293581636638968</v>
      </c>
      <c r="D60" s="68">
        <v>0.3640422625756935</v>
      </c>
      <c r="E60" s="68">
        <v>5.1009209643505797E-2</v>
      </c>
      <c r="F60" s="69">
        <v>1.1717470833932684</v>
      </c>
    </row>
    <row r="61" spans="1:12" ht="16.5" x14ac:dyDescent="0.3">
      <c r="A61" s="70" t="s">
        <v>136</v>
      </c>
      <c r="B61" s="68">
        <v>4.2486887948011152</v>
      </c>
      <c r="C61" s="68">
        <v>2.8128893589323409</v>
      </c>
      <c r="D61" s="68">
        <v>10.547622116873939</v>
      </c>
      <c r="E61" s="68">
        <v>17.983329473699513</v>
      </c>
      <c r="F61" s="69">
        <v>35.592529744306908</v>
      </c>
    </row>
    <row r="62" spans="1:12" ht="16.5" x14ac:dyDescent="0.3">
      <c r="A62" s="70" t="s">
        <v>137</v>
      </c>
      <c r="B62" s="68">
        <v>23.476036370169581</v>
      </c>
      <c r="C62" s="68">
        <v>0.20207852639914178</v>
      </c>
      <c r="D62" s="68">
        <v>0</v>
      </c>
      <c r="E62" s="68">
        <v>0</v>
      </c>
      <c r="F62" s="69">
        <v>23.678114896568722</v>
      </c>
    </row>
    <row r="63" spans="1:12" ht="16.5" x14ac:dyDescent="0.3">
      <c r="A63" s="70" t="s">
        <v>138</v>
      </c>
      <c r="B63" s="68">
        <v>38.370904778648246</v>
      </c>
      <c r="C63" s="68">
        <v>44.990408996735965</v>
      </c>
      <c r="D63" s="68">
        <v>55.01191</v>
      </c>
      <c r="E63" s="68">
        <v>39.447175486762006</v>
      </c>
      <c r="F63" s="69">
        <v>177.82039926214622</v>
      </c>
    </row>
    <row r="64" spans="1:12" ht="16.5" x14ac:dyDescent="0.3">
      <c r="A64" s="70" t="s">
        <v>194</v>
      </c>
      <c r="B64" s="68">
        <v>15.801255531599999</v>
      </c>
      <c r="C64" s="68">
        <v>28.3906171627</v>
      </c>
      <c r="D64" s="68">
        <v>37.053393309999997</v>
      </c>
      <c r="E64" s="68">
        <v>28.36028056</v>
      </c>
      <c r="F64" s="69">
        <v>109.6055465643</v>
      </c>
    </row>
    <row r="65" spans="1:6" ht="16.5" x14ac:dyDescent="0.3">
      <c r="A65" s="70" t="s">
        <v>140</v>
      </c>
      <c r="B65" s="68">
        <v>321.11478225000002</v>
      </c>
      <c r="C65" s="68">
        <v>366.64670145000002</v>
      </c>
      <c r="D65" s="68">
        <v>347.98002832999998</v>
      </c>
      <c r="E65" s="68">
        <v>365.57314883999999</v>
      </c>
      <c r="F65" s="69">
        <v>1401.3146608700001</v>
      </c>
    </row>
    <row r="66" spans="1:6" ht="16.5" x14ac:dyDescent="0.3">
      <c r="A66" s="67" t="s">
        <v>141</v>
      </c>
      <c r="B66" s="71" t="s">
        <v>142</v>
      </c>
      <c r="C66" s="71" t="s">
        <v>142</v>
      </c>
      <c r="D66" s="71" t="s">
        <v>142</v>
      </c>
      <c r="E66" s="71" t="s">
        <v>142</v>
      </c>
      <c r="F66" s="72" t="s">
        <v>142</v>
      </c>
    </row>
    <row r="67" spans="1:6" ht="16.5" x14ac:dyDescent="0.3">
      <c r="A67" s="67" t="s">
        <v>143</v>
      </c>
      <c r="B67" s="71" t="s">
        <v>142</v>
      </c>
      <c r="C67" s="71" t="s">
        <v>142</v>
      </c>
      <c r="D67" s="71" t="s">
        <v>142</v>
      </c>
      <c r="E67" s="71" t="s">
        <v>142</v>
      </c>
      <c r="F67" s="72" t="s">
        <v>142</v>
      </c>
    </row>
    <row r="68" spans="1:6" ht="16.5" x14ac:dyDescent="0.3">
      <c r="A68" s="67" t="s">
        <v>144</v>
      </c>
      <c r="B68" s="68">
        <v>3.4315149100000006</v>
      </c>
      <c r="C68" s="68">
        <v>4.4585051399999998</v>
      </c>
      <c r="D68" s="68">
        <v>8.4837956299999995</v>
      </c>
      <c r="E68" s="68">
        <v>12.368420629999999</v>
      </c>
      <c r="F68" s="69">
        <v>28.742236309999999</v>
      </c>
    </row>
    <row r="69" spans="1:6" ht="16.5" x14ac:dyDescent="0.3">
      <c r="A69" s="67" t="s">
        <v>145</v>
      </c>
      <c r="B69" s="68">
        <v>10.787476099999999</v>
      </c>
      <c r="C69" s="68">
        <v>8.8983720700000006</v>
      </c>
      <c r="D69" s="68">
        <v>8.5513435199999996</v>
      </c>
      <c r="E69" s="68">
        <v>3.54337897</v>
      </c>
      <c r="F69" s="69">
        <v>31.780570659999999</v>
      </c>
    </row>
    <row r="70" spans="1:6" ht="16.5" x14ac:dyDescent="0.3">
      <c r="A70" s="67" t="s">
        <v>146</v>
      </c>
      <c r="B70" s="68">
        <v>0.74687077669951563</v>
      </c>
      <c r="C70" s="68">
        <v>0.28455828742109501</v>
      </c>
      <c r="D70" s="68">
        <v>0.62157766735023534</v>
      </c>
      <c r="E70" s="68">
        <v>0.31698971311464896</v>
      </c>
      <c r="F70" s="69">
        <v>1.9699964445854952</v>
      </c>
    </row>
    <row r="71" spans="1:6" ht="16.5" x14ac:dyDescent="0.3">
      <c r="A71" s="67" t="s">
        <v>147</v>
      </c>
      <c r="B71" s="68">
        <v>60.55480916950664</v>
      </c>
      <c r="C71" s="68">
        <v>51.862889280518644</v>
      </c>
      <c r="D71" s="68">
        <v>54.942948488719679</v>
      </c>
      <c r="E71" s="68">
        <v>75.030859998580652</v>
      </c>
      <c r="F71" s="69">
        <v>242.39150693732529</v>
      </c>
    </row>
    <row r="72" spans="1:6" ht="16.5" x14ac:dyDescent="0.3">
      <c r="A72" s="73" t="s">
        <v>148</v>
      </c>
      <c r="B72" s="74">
        <v>165.01559229325096</v>
      </c>
      <c r="C72" s="74">
        <v>159.73985055948222</v>
      </c>
      <c r="D72" s="74">
        <v>190.74761009398907</v>
      </c>
      <c r="E72" s="74">
        <v>176.88796641544025</v>
      </c>
      <c r="F72" s="66">
        <v>692.39101936216241</v>
      </c>
    </row>
    <row r="73" spans="1:6" ht="17.25" thickBot="1" x14ac:dyDescent="0.35">
      <c r="A73" s="75" t="s">
        <v>149</v>
      </c>
      <c r="B73" s="76">
        <v>375.28694256024835</v>
      </c>
      <c r="C73" s="76">
        <v>440.027727609436</v>
      </c>
      <c r="D73" s="76">
        <v>440.04533164000003</v>
      </c>
      <c r="E73" s="76">
        <v>433.380604886762</v>
      </c>
      <c r="F73" s="77">
        <v>1688.7406066964465</v>
      </c>
    </row>
    <row r="74" spans="1:6" ht="17.25" thickTop="1" x14ac:dyDescent="0.3">
      <c r="A74" s="192" t="s">
        <v>195</v>
      </c>
      <c r="B74" s="193"/>
      <c r="C74" s="193"/>
      <c r="D74" s="193"/>
      <c r="E74" s="193"/>
      <c r="F74" s="193"/>
    </row>
    <row r="75" spans="1:6" ht="16.5" x14ac:dyDescent="0.3">
      <c r="A75" s="52"/>
      <c r="B75" s="53"/>
      <c r="C75" s="53"/>
      <c r="D75" s="53"/>
      <c r="E75" s="53"/>
      <c r="F75" s="53"/>
    </row>
    <row r="76" spans="1:6" ht="16.5" x14ac:dyDescent="0.3">
      <c r="A76" s="52"/>
      <c r="B76" s="53"/>
      <c r="C76" s="53"/>
      <c r="D76" s="53"/>
      <c r="E76" s="53"/>
      <c r="F76" s="53"/>
    </row>
    <row r="77" spans="1:6" ht="16.5" x14ac:dyDescent="0.3">
      <c r="A77" s="52"/>
      <c r="B77" s="53"/>
      <c r="C77" s="53"/>
      <c r="D77" s="53"/>
      <c r="E77" s="53"/>
      <c r="F77" s="53"/>
    </row>
    <row r="78" spans="1:6" ht="16.5" x14ac:dyDescent="0.3">
      <c r="A78" s="52"/>
      <c r="B78" s="54"/>
      <c r="C78" s="54"/>
      <c r="D78" s="54"/>
      <c r="E78" s="54"/>
      <c r="F78" s="54"/>
    </row>
    <row r="79" spans="1:6" ht="17.25" thickBot="1" x14ac:dyDescent="0.35">
      <c r="A79" s="194" t="s">
        <v>196</v>
      </c>
      <c r="B79" s="191"/>
      <c r="C79" s="191"/>
      <c r="D79" s="191"/>
      <c r="E79" s="191"/>
      <c r="F79" s="191"/>
    </row>
    <row r="80" spans="1:6" ht="18" thickTop="1" thickBot="1" x14ac:dyDescent="0.35">
      <c r="A80" s="60" t="s">
        <v>126</v>
      </c>
      <c r="B80" s="61" t="s">
        <v>190</v>
      </c>
      <c r="C80" s="61" t="s">
        <v>191</v>
      </c>
      <c r="D80" s="62" t="s">
        <v>192</v>
      </c>
      <c r="E80" s="62" t="s">
        <v>193</v>
      </c>
      <c r="F80" s="63">
        <v>2006</v>
      </c>
    </row>
    <row r="81" spans="1:6" ht="16.5" x14ac:dyDescent="0.3">
      <c r="A81" s="78" t="s">
        <v>258</v>
      </c>
      <c r="B81" s="79">
        <v>616.22039731081622</v>
      </c>
      <c r="C81" s="79">
        <v>683.34837812121611</v>
      </c>
      <c r="D81" s="79">
        <v>676.38779292471816</v>
      </c>
      <c r="E81" s="79">
        <v>672.88526559356922</v>
      </c>
      <c r="F81" s="80">
        <v>2648.8418339503196</v>
      </c>
    </row>
    <row r="82" spans="1:6" ht="16.5" x14ac:dyDescent="0.3">
      <c r="A82" s="81" t="s">
        <v>172</v>
      </c>
      <c r="B82" s="82">
        <v>96.756050938149187</v>
      </c>
      <c r="C82" s="82">
        <v>96.756050938149187</v>
      </c>
      <c r="D82" s="82">
        <v>96.756050938149187</v>
      </c>
      <c r="E82" s="82">
        <v>96.756050938149187</v>
      </c>
      <c r="F82" s="83">
        <v>387.02420375259675</v>
      </c>
    </row>
    <row r="83" spans="1:6" ht="16.5" x14ac:dyDescent="0.3">
      <c r="A83" s="40" t="s">
        <v>173</v>
      </c>
      <c r="B83" s="82">
        <v>50.545813870966334</v>
      </c>
      <c r="C83" s="82">
        <v>50.545813870966334</v>
      </c>
      <c r="D83" s="82">
        <v>50.545813870966334</v>
      </c>
      <c r="E83" s="82">
        <v>50.545813870966334</v>
      </c>
      <c r="F83" s="83">
        <v>202.18325548386534</v>
      </c>
    </row>
    <row r="84" spans="1:6" ht="16.5" x14ac:dyDescent="0.3">
      <c r="A84" s="40" t="s">
        <v>174</v>
      </c>
      <c r="B84" s="82">
        <v>0.54575055212386214</v>
      </c>
      <c r="C84" s="82">
        <v>0.54575055212386214</v>
      </c>
      <c r="D84" s="82">
        <v>0.54575055212386214</v>
      </c>
      <c r="E84" s="82">
        <v>0.54575055212386214</v>
      </c>
      <c r="F84" s="83">
        <v>2.1830022084954486</v>
      </c>
    </row>
    <row r="85" spans="1:6" ht="16.5" x14ac:dyDescent="0.3">
      <c r="A85" s="40" t="s">
        <v>175</v>
      </c>
      <c r="B85" s="82">
        <v>0.52528632344659598</v>
      </c>
      <c r="C85" s="82">
        <v>0.52528632344659598</v>
      </c>
      <c r="D85" s="82">
        <v>0.52528632344659598</v>
      </c>
      <c r="E85" s="82">
        <v>0.52528632344659598</v>
      </c>
      <c r="F85" s="83">
        <v>2.1011452937863839</v>
      </c>
    </row>
    <row r="86" spans="1:6" ht="16.5" x14ac:dyDescent="0.3">
      <c r="A86" s="40" t="s">
        <v>176</v>
      </c>
      <c r="B86" s="82">
        <v>7.1671311570759011</v>
      </c>
      <c r="C86" s="82">
        <v>7.1671311570759011</v>
      </c>
      <c r="D86" s="82">
        <v>7.1671311570759011</v>
      </c>
      <c r="E86" s="82">
        <v>7.1671311570759011</v>
      </c>
      <c r="F86" s="83">
        <v>28.668524628303604</v>
      </c>
    </row>
    <row r="87" spans="1:6" ht="16.5" x14ac:dyDescent="0.3">
      <c r="A87" s="40" t="s">
        <v>177</v>
      </c>
      <c r="B87" s="82">
        <v>37.972069034536503</v>
      </c>
      <c r="C87" s="82">
        <v>37.972069034536503</v>
      </c>
      <c r="D87" s="82">
        <v>37.972069034536503</v>
      </c>
      <c r="E87" s="82">
        <v>37.972069034536503</v>
      </c>
      <c r="F87" s="83">
        <v>151.88827613814601</v>
      </c>
    </row>
    <row r="88" spans="1:6" ht="16.5" x14ac:dyDescent="0.3">
      <c r="A88" s="55" t="s">
        <v>178</v>
      </c>
      <c r="B88" s="82">
        <v>86.908175736363646</v>
      </c>
      <c r="C88" s="82">
        <v>93.914689540454546</v>
      </c>
      <c r="D88" s="82">
        <v>130.97503203318183</v>
      </c>
      <c r="E88" s="82">
        <v>78.644362473636363</v>
      </c>
      <c r="F88" s="83">
        <v>390.44225978363636</v>
      </c>
    </row>
    <row r="89" spans="1:6" ht="16.5" x14ac:dyDescent="0.3">
      <c r="A89" s="40" t="s">
        <v>179</v>
      </c>
      <c r="B89" s="82">
        <v>68.176322909090899</v>
      </c>
      <c r="C89" s="82">
        <v>74.844683636363641</v>
      </c>
      <c r="D89" s="82">
        <v>111.84762018181817</v>
      </c>
      <c r="E89" s="82">
        <v>59.466449472727277</v>
      </c>
      <c r="F89" s="83">
        <v>314.3350762</v>
      </c>
    </row>
    <row r="90" spans="1:6" ht="16.5" x14ac:dyDescent="0.3">
      <c r="A90" s="43" t="s">
        <v>180</v>
      </c>
      <c r="B90" s="82">
        <v>42.210378663636362</v>
      </c>
      <c r="C90" s="82">
        <v>52.406677963636362</v>
      </c>
      <c r="D90" s="82">
        <v>80.416602781818185</v>
      </c>
      <c r="E90" s="82">
        <v>37.481385599999996</v>
      </c>
      <c r="F90" s="83">
        <v>212.5150450090909</v>
      </c>
    </row>
    <row r="91" spans="1:6" ht="16.5" x14ac:dyDescent="0.3">
      <c r="A91" s="43" t="s">
        <v>181</v>
      </c>
      <c r="B91" s="82">
        <v>11.976850936363636</v>
      </c>
      <c r="C91" s="82">
        <v>12.575264654545453</v>
      </c>
      <c r="D91" s="82">
        <v>17.698904918181817</v>
      </c>
      <c r="E91" s="82">
        <v>7.6783794727272721</v>
      </c>
      <c r="F91" s="83">
        <v>49.929399981818179</v>
      </c>
    </row>
    <row r="92" spans="1:6" ht="16.5" x14ac:dyDescent="0.3">
      <c r="A92" s="43" t="s">
        <v>182</v>
      </c>
      <c r="B92" s="82">
        <v>13.98909330909091</v>
      </c>
      <c r="C92" s="82">
        <v>9.8627410181818185</v>
      </c>
      <c r="D92" s="82">
        <v>13.732112481818183</v>
      </c>
      <c r="E92" s="82">
        <v>14.306684399999998</v>
      </c>
      <c r="F92" s="83">
        <v>51.890631209090905</v>
      </c>
    </row>
    <row r="93" spans="1:6" ht="16.5" x14ac:dyDescent="0.3">
      <c r="A93" s="40" t="s">
        <v>197</v>
      </c>
      <c r="B93" s="82">
        <v>18.731852827272725</v>
      </c>
      <c r="C93" s="82">
        <v>19.070005904090905</v>
      </c>
      <c r="D93" s="82">
        <v>19.127411851363636</v>
      </c>
      <c r="E93" s="82">
        <v>19.17791300090909</v>
      </c>
      <c r="F93" s="83">
        <v>76.107183583636356</v>
      </c>
    </row>
    <row r="94" spans="1:6" ht="16.5" x14ac:dyDescent="0.3">
      <c r="A94" s="55" t="s">
        <v>184</v>
      </c>
      <c r="B94" s="82">
        <v>113.46551929031503</v>
      </c>
      <c r="C94" s="82">
        <v>95.797725652863562</v>
      </c>
      <c r="D94" s="82">
        <v>66.303373769829463</v>
      </c>
      <c r="E94" s="82">
        <v>85.96179212661491</v>
      </c>
      <c r="F94" s="83">
        <v>361.52841083962295</v>
      </c>
    </row>
    <row r="95" spans="1:6" ht="16.5" x14ac:dyDescent="0.3">
      <c r="A95" s="55" t="s">
        <v>185</v>
      </c>
      <c r="B95" s="82">
        <v>133.80927717670011</v>
      </c>
      <c r="C95" s="84">
        <v>237.12574844823413</v>
      </c>
      <c r="D95" s="85">
        <v>223.32329726276171</v>
      </c>
      <c r="E95" s="82">
        <v>237.85051512697339</v>
      </c>
      <c r="F95" s="83">
        <v>832.1088380146698</v>
      </c>
    </row>
    <row r="96" spans="1:6" ht="16.5" x14ac:dyDescent="0.3">
      <c r="A96" s="86" t="s">
        <v>186</v>
      </c>
      <c r="B96" s="82">
        <v>8.4957368610909096</v>
      </c>
      <c r="C96" s="82">
        <v>10.736620517818183</v>
      </c>
      <c r="D96" s="82">
        <v>10.662548471272729</v>
      </c>
      <c r="E96" s="82">
        <v>10.468247365818183</v>
      </c>
      <c r="F96" s="83">
        <v>40.363153216000001</v>
      </c>
    </row>
    <row r="97" spans="1:12" ht="16.5" x14ac:dyDescent="0.3">
      <c r="A97" s="56" t="s">
        <v>198</v>
      </c>
      <c r="B97" s="100">
        <v>176.78563730819744</v>
      </c>
      <c r="C97" s="100">
        <v>149.01754302369645</v>
      </c>
      <c r="D97" s="100">
        <v>148.35865844952329</v>
      </c>
      <c r="E97" s="100">
        <v>163.20429756237729</v>
      </c>
      <c r="F97" s="80">
        <v>637.36613634379444</v>
      </c>
    </row>
    <row r="98" spans="1:12" ht="16.5" x14ac:dyDescent="0.3">
      <c r="A98" s="87" t="s">
        <v>199</v>
      </c>
      <c r="B98" s="85">
        <v>120.91159533999999</v>
      </c>
      <c r="C98" s="85">
        <v>118.22610843000001</v>
      </c>
      <c r="D98" s="85">
        <v>128.41713326999999</v>
      </c>
      <c r="E98" s="85">
        <v>145.29124873000001</v>
      </c>
      <c r="F98" s="83">
        <v>512.84608576999995</v>
      </c>
    </row>
    <row r="99" spans="1:12" ht="16.5" x14ac:dyDescent="0.3">
      <c r="A99" s="87" t="s">
        <v>200</v>
      </c>
      <c r="B99" s="85">
        <v>2.3631179830464928E-2</v>
      </c>
      <c r="C99" s="85">
        <v>1.6455690811711089E-4</v>
      </c>
      <c r="D99" s="85">
        <v>4.4154639623324866E-2</v>
      </c>
      <c r="E99" s="85">
        <v>0.6174072787335404</v>
      </c>
      <c r="F99" s="83">
        <v>0.68535765509544733</v>
      </c>
    </row>
    <row r="100" spans="1:12" ht="16.5" x14ac:dyDescent="0.3">
      <c r="A100" s="87" t="s">
        <v>201</v>
      </c>
      <c r="B100" s="85">
        <v>6.2705447899999998</v>
      </c>
      <c r="C100" s="85">
        <v>4.0960470100000004</v>
      </c>
      <c r="D100" s="85">
        <v>13.00446827</v>
      </c>
      <c r="E100" s="85">
        <v>1.59283839</v>
      </c>
      <c r="F100" s="83">
        <v>24.963898459999999</v>
      </c>
    </row>
    <row r="101" spans="1:12" ht="16.5" x14ac:dyDescent="0.3">
      <c r="A101" s="87" t="s">
        <v>202</v>
      </c>
      <c r="B101" s="85">
        <v>7.3679999999999995E-3</v>
      </c>
      <c r="C101" s="85">
        <v>0</v>
      </c>
      <c r="D101" s="85">
        <v>0</v>
      </c>
      <c r="E101" s="85">
        <v>0</v>
      </c>
      <c r="F101" s="83">
        <v>7.3679999999999995E-3</v>
      </c>
    </row>
    <row r="102" spans="1:12" ht="16.5" x14ac:dyDescent="0.3">
      <c r="A102" s="87" t="s">
        <v>203</v>
      </c>
      <c r="B102" s="85">
        <v>49.572497998366977</v>
      </c>
      <c r="C102" s="85">
        <v>26.695223026788348</v>
      </c>
      <c r="D102" s="85">
        <v>6.892902269899988</v>
      </c>
      <c r="E102" s="85">
        <v>15.702803163643743</v>
      </c>
      <c r="F102" s="83">
        <v>98.863426458699053</v>
      </c>
    </row>
    <row r="103" spans="1:12" ht="16.5" x14ac:dyDescent="0.3">
      <c r="A103" s="87" t="s">
        <v>204</v>
      </c>
      <c r="B103" s="85">
        <v>0</v>
      </c>
      <c r="C103" s="85">
        <v>0</v>
      </c>
      <c r="D103" s="85">
        <v>0</v>
      </c>
      <c r="E103" s="85">
        <v>0</v>
      </c>
      <c r="F103" s="83">
        <v>0</v>
      </c>
    </row>
    <row r="104" spans="1:12" ht="17.25" thickBot="1" x14ac:dyDescent="0.35">
      <c r="A104" s="88" t="s">
        <v>188</v>
      </c>
      <c r="B104" s="89">
        <v>439.43476000261882</v>
      </c>
      <c r="C104" s="89">
        <v>534.33083509751975</v>
      </c>
      <c r="D104" s="89">
        <v>528.02030247519497</v>
      </c>
      <c r="E104" s="89">
        <v>509.68096803119204</v>
      </c>
      <c r="F104" s="90">
        <v>2011.4668656065253</v>
      </c>
    </row>
    <row r="105" spans="1:12" ht="17.25" thickTop="1" x14ac:dyDescent="0.3">
      <c r="A105" s="192" t="s">
        <v>195</v>
      </c>
      <c r="B105" s="193"/>
      <c r="C105" s="193"/>
      <c r="D105" s="193"/>
      <c r="E105" s="193"/>
      <c r="F105" s="193"/>
      <c r="G105" s="153"/>
      <c r="H105" s="153"/>
      <c r="I105" s="153"/>
      <c r="J105" s="153"/>
      <c r="K105" s="153"/>
      <c r="L105" s="153"/>
    </row>
    <row r="106" spans="1:12" ht="17.25" thickBot="1" x14ac:dyDescent="0.35">
      <c r="A106" s="194" t="s">
        <v>205</v>
      </c>
      <c r="B106" s="191"/>
      <c r="C106" s="191"/>
      <c r="D106" s="191"/>
      <c r="E106" s="191"/>
      <c r="F106" s="191"/>
      <c r="G106" s="153"/>
      <c r="H106" s="153"/>
      <c r="I106" s="153"/>
      <c r="J106" s="153"/>
      <c r="K106" s="153"/>
      <c r="L106" s="153"/>
    </row>
    <row r="107" spans="1:12" ht="18" thickTop="1" thickBot="1" x14ac:dyDescent="0.35">
      <c r="A107" s="60" t="s">
        <v>126</v>
      </c>
      <c r="B107" s="61" t="s">
        <v>206</v>
      </c>
      <c r="C107" s="61" t="s">
        <v>207</v>
      </c>
      <c r="D107" s="62" t="s">
        <v>208</v>
      </c>
      <c r="E107" s="62" t="s">
        <v>209</v>
      </c>
      <c r="F107" s="63">
        <v>2007</v>
      </c>
    </row>
    <row r="108" spans="1:12" ht="16.5" x14ac:dyDescent="0.3">
      <c r="A108" s="64" t="s">
        <v>259</v>
      </c>
      <c r="B108" s="65">
        <v>584.79806646252746</v>
      </c>
      <c r="C108" s="65">
        <v>613.83558101548442</v>
      </c>
      <c r="D108" s="65">
        <v>676.49815749580625</v>
      </c>
      <c r="E108" s="65">
        <v>536.98819502617948</v>
      </c>
      <c r="F108" s="91">
        <v>2412.1199999999976</v>
      </c>
    </row>
    <row r="109" spans="1:12" ht="16.5" x14ac:dyDescent="0.3">
      <c r="A109" s="67" t="s">
        <v>129</v>
      </c>
      <c r="B109" s="68">
        <v>528.08165754133472</v>
      </c>
      <c r="C109" s="68">
        <v>552.58831089477076</v>
      </c>
      <c r="D109" s="68">
        <v>560.55002177641506</v>
      </c>
      <c r="E109" s="68">
        <v>472.66376942473147</v>
      </c>
      <c r="F109" s="69">
        <v>2113.8837596372523</v>
      </c>
    </row>
    <row r="110" spans="1:12" ht="16.5" x14ac:dyDescent="0.3">
      <c r="A110" s="70" t="s">
        <v>130</v>
      </c>
      <c r="B110" s="68">
        <v>3.8362813275687637</v>
      </c>
      <c r="C110" s="68">
        <v>28.586240290998241</v>
      </c>
      <c r="D110" s="68">
        <v>21.708362013760478</v>
      </c>
      <c r="E110" s="68">
        <v>8.0021825406279774</v>
      </c>
      <c r="F110" s="69">
        <v>62.133066172955466</v>
      </c>
    </row>
    <row r="111" spans="1:12" ht="16.5" x14ac:dyDescent="0.3">
      <c r="A111" s="70" t="s">
        <v>131</v>
      </c>
      <c r="B111" s="68">
        <v>1.6860211732645578</v>
      </c>
      <c r="C111" s="68">
        <v>3.5244999144432794</v>
      </c>
      <c r="D111" s="68">
        <v>1.1199576067515444</v>
      </c>
      <c r="E111" s="68">
        <v>2.5316589223257404</v>
      </c>
      <c r="F111" s="69">
        <v>8.8621376167851231</v>
      </c>
    </row>
    <row r="112" spans="1:12" ht="16.5" x14ac:dyDescent="0.3">
      <c r="A112" s="70" t="s">
        <v>132</v>
      </c>
      <c r="B112" s="68">
        <v>14.390681039999999</v>
      </c>
      <c r="C112" s="68">
        <v>7.1949599399999977</v>
      </c>
      <c r="D112" s="68">
        <v>11.498979230000002</v>
      </c>
      <c r="E112" s="68">
        <v>8.9129186499999999</v>
      </c>
      <c r="F112" s="69">
        <v>41.997538859999999</v>
      </c>
    </row>
    <row r="113" spans="1:6" ht="16.5" x14ac:dyDescent="0.3">
      <c r="A113" s="70" t="s">
        <v>133</v>
      </c>
      <c r="B113" s="68">
        <v>12.247442832352341</v>
      </c>
      <c r="C113" s="68">
        <v>15.90397000000001</v>
      </c>
      <c r="D113" s="68">
        <v>21.237369999999995</v>
      </c>
      <c r="E113" s="68">
        <v>12.374544580590836</v>
      </c>
      <c r="F113" s="69">
        <v>61.763327412943184</v>
      </c>
    </row>
    <row r="114" spans="1:6" ht="16.5" x14ac:dyDescent="0.3">
      <c r="A114" s="70" t="s">
        <v>134</v>
      </c>
      <c r="B114" s="68">
        <v>3.3162521560703402</v>
      </c>
      <c r="C114" s="68">
        <v>8.5697472491636493</v>
      </c>
      <c r="D114" s="68">
        <v>33.302191214651643</v>
      </c>
      <c r="E114" s="68">
        <v>6.5864547606638411</v>
      </c>
      <c r="F114" s="69">
        <v>51.774645380549465</v>
      </c>
    </row>
    <row r="115" spans="1:6" ht="16.5" x14ac:dyDescent="0.3">
      <c r="A115" s="70" t="s">
        <v>135</v>
      </c>
      <c r="B115" s="68">
        <v>7.3844926910903608E-2</v>
      </c>
      <c r="C115" s="68">
        <v>0.12713845333427043</v>
      </c>
      <c r="D115" s="68">
        <v>0.2847400693914513</v>
      </c>
      <c r="E115" s="68">
        <v>0.73327420070000604</v>
      </c>
      <c r="F115" s="69">
        <v>1.2189976503366315</v>
      </c>
    </row>
    <row r="116" spans="1:6" ht="16.5" x14ac:dyDescent="0.3">
      <c r="A116" s="70" t="s">
        <v>136</v>
      </c>
      <c r="B116" s="68">
        <v>11.318123348252142</v>
      </c>
      <c r="C116" s="68">
        <v>10.882968054643465</v>
      </c>
      <c r="D116" s="68">
        <v>4.8221316406312811</v>
      </c>
      <c r="E116" s="68">
        <v>4.8801782598231149</v>
      </c>
      <c r="F116" s="69">
        <v>31.903401303350002</v>
      </c>
    </row>
    <row r="117" spans="1:6" ht="16.5" x14ac:dyDescent="0.3">
      <c r="A117" s="70" t="s">
        <v>137</v>
      </c>
      <c r="B117" s="68">
        <v>10.5732710482134</v>
      </c>
      <c r="C117" s="68">
        <v>0.15047377661514685</v>
      </c>
      <c r="D117" s="68">
        <v>3.0522581228615866E-2</v>
      </c>
      <c r="E117" s="68">
        <v>0</v>
      </c>
      <c r="F117" s="69">
        <v>10.75426740605716</v>
      </c>
    </row>
    <row r="118" spans="1:6" ht="16.5" x14ac:dyDescent="0.3">
      <c r="A118" s="70" t="s">
        <v>138</v>
      </c>
      <c r="B118" s="68">
        <v>64.856915298702205</v>
      </c>
      <c r="C118" s="68">
        <v>58.246614955572603</v>
      </c>
      <c r="D118" s="68">
        <v>64.431410000000014</v>
      </c>
      <c r="E118" s="68">
        <v>52.149000000000001</v>
      </c>
      <c r="F118" s="69">
        <v>239.6839402542748</v>
      </c>
    </row>
    <row r="119" spans="1:6" ht="16.5" x14ac:dyDescent="0.3">
      <c r="A119" s="70" t="s">
        <v>194</v>
      </c>
      <c r="B119" s="68">
        <v>26.299824390000001</v>
      </c>
      <c r="C119" s="68">
        <v>31.382999999999999</v>
      </c>
      <c r="D119" s="68">
        <v>30.656530000000092</v>
      </c>
      <c r="E119" s="68">
        <v>32.312750000000001</v>
      </c>
      <c r="F119" s="69">
        <v>120.65210439000008</v>
      </c>
    </row>
    <row r="120" spans="1:6" ht="16.5" x14ac:dyDescent="0.3">
      <c r="A120" s="70" t="s">
        <v>140</v>
      </c>
      <c r="B120" s="68">
        <v>379.483</v>
      </c>
      <c r="C120" s="68">
        <v>388.01869826000006</v>
      </c>
      <c r="D120" s="68">
        <v>371.45782742</v>
      </c>
      <c r="E120" s="68">
        <v>341.25846151000002</v>
      </c>
      <c r="F120" s="69">
        <v>1480.2179871900003</v>
      </c>
    </row>
    <row r="121" spans="1:6" ht="16.5" x14ac:dyDescent="0.3">
      <c r="A121" s="70" t="s">
        <v>210</v>
      </c>
      <c r="B121" s="68">
        <v>0</v>
      </c>
      <c r="C121" s="68">
        <v>0</v>
      </c>
      <c r="D121" s="68">
        <v>0</v>
      </c>
      <c r="E121" s="68">
        <v>2.9223460000000001</v>
      </c>
      <c r="F121" s="69">
        <v>2.9223460000000001</v>
      </c>
    </row>
    <row r="122" spans="1:6" ht="16.5" x14ac:dyDescent="0.3">
      <c r="A122" s="67" t="s">
        <v>141</v>
      </c>
      <c r="B122" s="71" t="s">
        <v>142</v>
      </c>
      <c r="C122" s="71" t="s">
        <v>142</v>
      </c>
      <c r="D122" s="71" t="s">
        <v>142</v>
      </c>
      <c r="E122" s="71" t="s">
        <v>142</v>
      </c>
      <c r="F122" s="72" t="s">
        <v>142</v>
      </c>
    </row>
    <row r="123" spans="1:6" ht="16.5" x14ac:dyDescent="0.3">
      <c r="A123" s="67" t="s">
        <v>143</v>
      </c>
      <c r="B123" s="71" t="s">
        <v>142</v>
      </c>
      <c r="C123" s="71" t="s">
        <v>142</v>
      </c>
      <c r="D123" s="71" t="s">
        <v>142</v>
      </c>
      <c r="E123" s="71" t="s">
        <v>142</v>
      </c>
      <c r="F123" s="72" t="s">
        <v>142</v>
      </c>
    </row>
    <row r="124" spans="1:6" ht="16.5" x14ac:dyDescent="0.3">
      <c r="A124" s="67" t="s">
        <v>144</v>
      </c>
      <c r="B124" s="68">
        <v>4.6976248738004545</v>
      </c>
      <c r="C124" s="68">
        <v>6.5902447884615407</v>
      </c>
      <c r="D124" s="68">
        <v>5.6512650091136791</v>
      </c>
      <c r="E124" s="68">
        <v>4.0099624771252245</v>
      </c>
      <c r="F124" s="69">
        <v>20.949097148500901</v>
      </c>
    </row>
    <row r="125" spans="1:6" ht="16.5" x14ac:dyDescent="0.3">
      <c r="A125" s="67" t="s">
        <v>145</v>
      </c>
      <c r="B125" s="68">
        <v>4.845388240000009</v>
      </c>
      <c r="C125" s="68">
        <v>8.529538109999999</v>
      </c>
      <c r="D125" s="68">
        <v>9.0353581399999996</v>
      </c>
      <c r="E125" s="68">
        <v>6.29630271</v>
      </c>
      <c r="F125" s="69">
        <v>28.706587200000008</v>
      </c>
    </row>
    <row r="126" spans="1:6" ht="16.5" x14ac:dyDescent="0.3">
      <c r="A126" s="67" t="s">
        <v>146</v>
      </c>
      <c r="B126" s="68">
        <v>0.13993588247620739</v>
      </c>
      <c r="C126" s="68">
        <v>0.15000386249517186</v>
      </c>
      <c r="D126" s="68">
        <v>0.55606395352217275</v>
      </c>
      <c r="E126" s="68">
        <v>0.25642622745985705</v>
      </c>
      <c r="F126" s="69">
        <v>1.1024299259534089</v>
      </c>
    </row>
    <row r="127" spans="1:6" ht="16.5" x14ac:dyDescent="0.3">
      <c r="A127" s="67" t="s">
        <v>147</v>
      </c>
      <c r="B127" s="68">
        <v>47.033459924916052</v>
      </c>
      <c r="C127" s="68">
        <v>45.977483359757045</v>
      </c>
      <c r="D127" s="68">
        <v>100.7054486167555</v>
      </c>
      <c r="E127" s="68">
        <v>53.761734186862924</v>
      </c>
      <c r="F127" s="69">
        <v>247.47812608829153</v>
      </c>
    </row>
    <row r="128" spans="1:6" ht="16.5" x14ac:dyDescent="0.3">
      <c r="A128" s="73" t="s">
        <v>148</v>
      </c>
      <c r="B128" s="74">
        <v>114.15832677382517</v>
      </c>
      <c r="C128" s="74">
        <v>136.18726779991184</v>
      </c>
      <c r="D128" s="74">
        <v>209.95239007580639</v>
      </c>
      <c r="E128" s="74">
        <v>108.34563751617951</v>
      </c>
      <c r="F128" s="66">
        <v>568.64362216572295</v>
      </c>
    </row>
    <row r="129" spans="1:6" ht="17.25" thickBot="1" x14ac:dyDescent="0.35">
      <c r="A129" s="92" t="s">
        <v>149</v>
      </c>
      <c r="B129" s="93">
        <v>470.63973968870221</v>
      </c>
      <c r="C129" s="93">
        <v>477.64831321557267</v>
      </c>
      <c r="D129" s="93">
        <v>466.54576742000012</v>
      </c>
      <c r="E129" s="93">
        <v>428.64255751000002</v>
      </c>
      <c r="F129" s="94">
        <v>1843.4763778342751</v>
      </c>
    </row>
    <row r="130" spans="1:6" ht="16.5" x14ac:dyDescent="0.3">
      <c r="A130" s="195" t="s">
        <v>195</v>
      </c>
      <c r="B130" s="189"/>
      <c r="C130" s="189"/>
      <c r="D130" s="189"/>
      <c r="E130" s="189"/>
      <c r="F130" s="189"/>
    </row>
    <row r="131" spans="1:6" ht="16.5" x14ac:dyDescent="0.3">
      <c r="A131" s="52"/>
      <c r="B131" s="95"/>
      <c r="C131" s="95"/>
      <c r="D131" s="95"/>
      <c r="E131" s="95"/>
      <c r="F131" s="95"/>
    </row>
    <row r="132" spans="1:6" ht="16.5" x14ac:dyDescent="0.3">
      <c r="A132" s="52"/>
      <c r="B132" s="95"/>
      <c r="C132" s="95"/>
      <c r="D132" s="95"/>
      <c r="E132" s="95"/>
      <c r="F132" s="95"/>
    </row>
    <row r="133" spans="1:6" ht="17.25" thickBot="1" x14ac:dyDescent="0.35">
      <c r="A133" s="194" t="s">
        <v>211</v>
      </c>
      <c r="B133" s="191"/>
      <c r="C133" s="191"/>
      <c r="D133" s="191"/>
      <c r="E133" s="191"/>
      <c r="F133" s="191"/>
    </row>
    <row r="134" spans="1:6" ht="18" thickTop="1" thickBot="1" x14ac:dyDescent="0.35">
      <c r="A134" s="60" t="s">
        <v>126</v>
      </c>
      <c r="B134" s="61" t="s">
        <v>206</v>
      </c>
      <c r="C134" s="61" t="s">
        <v>207</v>
      </c>
      <c r="D134" s="62" t="s">
        <v>208</v>
      </c>
      <c r="E134" s="62" t="s">
        <v>209</v>
      </c>
      <c r="F134" s="63">
        <v>2007</v>
      </c>
    </row>
    <row r="135" spans="1:6" ht="16.5" x14ac:dyDescent="0.3">
      <c r="A135" s="96" t="s">
        <v>258</v>
      </c>
      <c r="B135" s="97">
        <v>626.54878425587185</v>
      </c>
      <c r="C135" s="97">
        <v>672.0466528281064</v>
      </c>
      <c r="D135" s="97">
        <v>740.08216806622352</v>
      </c>
      <c r="E135" s="97">
        <v>772.45421399476925</v>
      </c>
      <c r="F135" s="98">
        <v>2811.1318191449709</v>
      </c>
    </row>
    <row r="136" spans="1:6" ht="16.5" x14ac:dyDescent="0.3">
      <c r="A136" s="81" t="s">
        <v>172</v>
      </c>
      <c r="B136" s="82">
        <v>94.620410093983651</v>
      </c>
      <c r="C136" s="82">
        <v>97.817925679868338</v>
      </c>
      <c r="D136" s="82">
        <v>97.406229894411993</v>
      </c>
      <c r="E136" s="82">
        <v>132.26207484987381</v>
      </c>
      <c r="F136" s="99">
        <v>422.10664051813779</v>
      </c>
    </row>
    <row r="137" spans="1:6" ht="16.5" x14ac:dyDescent="0.3">
      <c r="A137" s="40" t="s">
        <v>173</v>
      </c>
      <c r="B137" s="82">
        <v>40.68799900483215</v>
      </c>
      <c r="C137" s="82">
        <v>44.213076640123738</v>
      </c>
      <c r="D137" s="82">
        <v>27.72141377887516</v>
      </c>
      <c r="E137" s="82">
        <v>63.404952312036734</v>
      </c>
      <c r="F137" s="99">
        <v>176.0274417358678</v>
      </c>
    </row>
    <row r="138" spans="1:6" ht="16.5" x14ac:dyDescent="0.3">
      <c r="A138" s="40" t="s">
        <v>174</v>
      </c>
      <c r="B138" s="82">
        <v>0.37877130982331342</v>
      </c>
      <c r="C138" s="82">
        <v>0.31632998194747908</v>
      </c>
      <c r="D138" s="82">
        <v>0.11076649826901122</v>
      </c>
      <c r="E138" s="82">
        <v>0.31396434711683535</v>
      </c>
      <c r="F138" s="99">
        <v>1.1198321371566391</v>
      </c>
    </row>
    <row r="139" spans="1:6" ht="16.5" x14ac:dyDescent="0.3">
      <c r="A139" s="40" t="s">
        <v>175</v>
      </c>
      <c r="B139" s="82">
        <v>0.30129128447563658</v>
      </c>
      <c r="C139" s="82">
        <v>0.14403866412346958</v>
      </c>
      <c r="D139" s="82">
        <v>0.21324367014599074</v>
      </c>
      <c r="E139" s="82">
        <v>0.7248273788057763</v>
      </c>
      <c r="F139" s="99">
        <v>1.3834009975508732</v>
      </c>
    </row>
    <row r="140" spans="1:6" ht="16.5" x14ac:dyDescent="0.3">
      <c r="A140" s="40" t="s">
        <v>176</v>
      </c>
      <c r="B140" s="82">
        <v>6.3625295590980047</v>
      </c>
      <c r="C140" s="82">
        <v>11.773980147215179</v>
      </c>
      <c r="D140" s="82">
        <v>14.004678695818551</v>
      </c>
      <c r="E140" s="82">
        <v>14.456839151828442</v>
      </c>
      <c r="F140" s="99">
        <v>46.598027553960172</v>
      </c>
    </row>
    <row r="141" spans="1:6" ht="16.5" x14ac:dyDescent="0.3">
      <c r="A141" s="40" t="s">
        <v>177</v>
      </c>
      <c r="B141" s="82">
        <v>46.889818935754533</v>
      </c>
      <c r="C141" s="82">
        <v>41.370500246458455</v>
      </c>
      <c r="D141" s="82">
        <v>55.356127251303278</v>
      </c>
      <c r="E141" s="82">
        <v>53.361491660086017</v>
      </c>
      <c r="F141" s="99">
        <v>196.97793809360232</v>
      </c>
    </row>
    <row r="142" spans="1:6" ht="16.5" x14ac:dyDescent="0.3">
      <c r="A142" s="55" t="s">
        <v>178</v>
      </c>
      <c r="B142" s="82">
        <v>80.915141365389147</v>
      </c>
      <c r="C142" s="82">
        <v>137.81940836203634</v>
      </c>
      <c r="D142" s="82">
        <v>139.24672142661817</v>
      </c>
      <c r="E142" s="82">
        <v>120.11396769060906</v>
      </c>
      <c r="F142" s="99">
        <v>478.09523884465273</v>
      </c>
    </row>
    <row r="143" spans="1:6" ht="16.5" x14ac:dyDescent="0.3">
      <c r="A143" s="40" t="s">
        <v>179</v>
      </c>
      <c r="B143" s="82">
        <v>61.728565254545444</v>
      </c>
      <c r="C143" s="82">
        <v>107.47713220909088</v>
      </c>
      <c r="D143" s="82">
        <v>110.27219299090908</v>
      </c>
      <c r="E143" s="82">
        <v>90.688290536363624</v>
      </c>
      <c r="F143" s="99">
        <v>370.16618099090908</v>
      </c>
    </row>
    <row r="144" spans="1:6" ht="16.5" x14ac:dyDescent="0.3">
      <c r="A144" s="43" t="s">
        <v>180</v>
      </c>
      <c r="B144" s="82">
        <v>35.600365827272725</v>
      </c>
      <c r="C144" s="82">
        <v>72.142902463636347</v>
      </c>
      <c r="D144" s="82">
        <v>72.278574554545443</v>
      </c>
      <c r="E144" s="82">
        <v>61.867081636363636</v>
      </c>
      <c r="F144" s="99">
        <v>241.88892448181815</v>
      </c>
    </row>
    <row r="145" spans="1:12" ht="16.5" x14ac:dyDescent="0.3">
      <c r="A145" s="43" t="s">
        <v>181</v>
      </c>
      <c r="B145" s="82">
        <v>13.920026572727272</v>
      </c>
      <c r="C145" s="82">
        <v>16.518089290909089</v>
      </c>
      <c r="D145" s="82">
        <v>18.319071445454544</v>
      </c>
      <c r="E145" s="82">
        <v>16.111141799999999</v>
      </c>
      <c r="F145" s="99">
        <v>64.868329109090894</v>
      </c>
    </row>
    <row r="146" spans="1:12" ht="16.5" x14ac:dyDescent="0.3">
      <c r="A146" s="43" t="s">
        <v>182</v>
      </c>
      <c r="B146" s="82">
        <v>12.208172854545456</v>
      </c>
      <c r="C146" s="82">
        <v>18.816140454545447</v>
      </c>
      <c r="D146" s="82">
        <v>19.674546990909096</v>
      </c>
      <c r="E146" s="82">
        <v>12.710067099999998</v>
      </c>
      <c r="F146" s="99">
        <v>63.408927399999989</v>
      </c>
    </row>
    <row r="147" spans="1:12" ht="16.5" x14ac:dyDescent="0.3">
      <c r="A147" s="40" t="s">
        <v>197</v>
      </c>
      <c r="B147" s="82">
        <v>19.186576110843689</v>
      </c>
      <c r="C147" s="82">
        <v>30.342276152945452</v>
      </c>
      <c r="D147" s="82">
        <v>28.974528435709086</v>
      </c>
      <c r="E147" s="82">
        <v>29.425677154245452</v>
      </c>
      <c r="F147" s="99">
        <v>107.92905785374369</v>
      </c>
    </row>
    <row r="148" spans="1:12" ht="16.5" x14ac:dyDescent="0.3">
      <c r="A148" s="55" t="s">
        <v>184</v>
      </c>
      <c r="B148" s="82">
        <v>70.66957469890562</v>
      </c>
      <c r="C148" s="82">
        <v>100.69287591112383</v>
      </c>
      <c r="D148" s="82">
        <v>104.49495354302718</v>
      </c>
      <c r="E148" s="82">
        <v>104.45558464405846</v>
      </c>
      <c r="F148" s="99">
        <v>380.31298879711511</v>
      </c>
    </row>
    <row r="149" spans="1:12" ht="16.5" x14ac:dyDescent="0.3">
      <c r="A149" s="55" t="s">
        <v>185</v>
      </c>
      <c r="B149" s="82">
        <v>196.0197728152402</v>
      </c>
      <c r="C149" s="84">
        <v>190.79750291706276</v>
      </c>
      <c r="D149" s="85">
        <v>211.71923714338689</v>
      </c>
      <c r="E149" s="82">
        <v>266.68013945660783</v>
      </c>
      <c r="F149" s="99">
        <v>865.21665233229794</v>
      </c>
    </row>
    <row r="150" spans="1:12" ht="16.5" x14ac:dyDescent="0.3">
      <c r="A150" s="86" t="s">
        <v>186</v>
      </c>
      <c r="B150" s="82">
        <v>8.9224853556363595</v>
      </c>
      <c r="C150" s="82">
        <v>8.1425634152727291</v>
      </c>
      <c r="D150" s="82">
        <v>11.025775938909097</v>
      </c>
      <c r="E150" s="82">
        <v>10.5431397818182</v>
      </c>
      <c r="F150" s="99">
        <v>38.633964491636384</v>
      </c>
    </row>
    <row r="151" spans="1:12" ht="16.5" x14ac:dyDescent="0.3">
      <c r="A151" s="56" t="s">
        <v>198</v>
      </c>
      <c r="B151" s="100">
        <v>175.40139992671692</v>
      </c>
      <c r="C151" s="100">
        <v>136.77637654274221</v>
      </c>
      <c r="D151" s="100">
        <v>176.18041811987024</v>
      </c>
      <c r="E151" s="100">
        <v>138.39930757180196</v>
      </c>
      <c r="F151" s="101">
        <v>626.75750216113124</v>
      </c>
    </row>
    <row r="152" spans="1:12" ht="16.5" x14ac:dyDescent="0.3">
      <c r="A152" s="87" t="s">
        <v>199</v>
      </c>
      <c r="B152" s="85">
        <v>136.63499999999999</v>
      </c>
      <c r="C152" s="85">
        <v>121.93875321999998</v>
      </c>
      <c r="D152" s="85">
        <v>159.52637348000005</v>
      </c>
      <c r="E152" s="85">
        <v>130.35563156999996</v>
      </c>
      <c r="F152" s="99">
        <v>548.45575826999993</v>
      </c>
    </row>
    <row r="153" spans="1:12" ht="16.5" x14ac:dyDescent="0.3">
      <c r="A153" s="87" t="s">
        <v>200</v>
      </c>
      <c r="B153" s="85">
        <v>16.287335170799015</v>
      </c>
      <c r="C153" s="85">
        <v>8.4425085847294614</v>
      </c>
      <c r="D153" s="85">
        <v>5.7682655462697765</v>
      </c>
      <c r="E153" s="85">
        <v>9.3269526454252728E-5</v>
      </c>
      <c r="F153" s="99">
        <v>30.498202571324704</v>
      </c>
    </row>
    <row r="154" spans="1:12" ht="16.5" x14ac:dyDescent="0.3">
      <c r="A154" s="87" t="s">
        <v>201</v>
      </c>
      <c r="B154" s="85">
        <v>6.2259983600000002</v>
      </c>
      <c r="C154" s="85">
        <v>3.9703542699999996</v>
      </c>
      <c r="D154" s="85">
        <v>7.0369047800000004</v>
      </c>
      <c r="E154" s="85">
        <v>6.8999999999999995</v>
      </c>
      <c r="F154" s="99">
        <v>24.133257410000002</v>
      </c>
    </row>
    <row r="155" spans="1:12" ht="16.5" x14ac:dyDescent="0.3">
      <c r="A155" s="87" t="s">
        <v>202</v>
      </c>
      <c r="B155" s="85">
        <v>7.3679999999999995E-3</v>
      </c>
      <c r="C155" s="85">
        <v>0</v>
      </c>
      <c r="D155" s="85">
        <v>0</v>
      </c>
      <c r="E155" s="85">
        <v>0.18362485000000003</v>
      </c>
      <c r="F155" s="99">
        <v>0.19099285000000002</v>
      </c>
    </row>
    <row r="156" spans="1:12" ht="16.5" x14ac:dyDescent="0.3">
      <c r="A156" s="87" t="s">
        <v>203</v>
      </c>
      <c r="B156" s="85">
        <v>16.245698395917913</v>
      </c>
      <c r="C156" s="85">
        <v>2.4247604680127477</v>
      </c>
      <c r="D156" s="85">
        <v>3.8488743136004042</v>
      </c>
      <c r="E156" s="85">
        <v>0.95995788227554468</v>
      </c>
      <c r="F156" s="99">
        <v>23.479291059806609</v>
      </c>
    </row>
    <row r="157" spans="1:12" ht="16.5" x14ac:dyDescent="0.3">
      <c r="A157" s="87" t="s">
        <v>204</v>
      </c>
      <c r="B157" s="85">
        <v>0</v>
      </c>
      <c r="C157" s="85">
        <v>0</v>
      </c>
      <c r="D157" s="85">
        <v>0</v>
      </c>
      <c r="E157" s="85">
        <v>0</v>
      </c>
      <c r="F157" s="99">
        <v>0</v>
      </c>
    </row>
    <row r="158" spans="1:12" ht="17.25" thickBot="1" x14ac:dyDescent="0.35">
      <c r="A158" s="88" t="s">
        <v>188</v>
      </c>
      <c r="B158" s="89">
        <v>451.14738432915487</v>
      </c>
      <c r="C158" s="89">
        <v>535.27027628536416</v>
      </c>
      <c r="D158" s="89">
        <v>563.89291794635335</v>
      </c>
      <c r="E158" s="89">
        <v>634.05490642296729</v>
      </c>
      <c r="F158" s="102">
        <v>2184.3654849838399</v>
      </c>
    </row>
    <row r="159" spans="1:12" ht="17.25" thickTop="1" x14ac:dyDescent="0.3">
      <c r="A159" s="192" t="s">
        <v>195</v>
      </c>
      <c r="B159" s="193"/>
      <c r="C159" s="193"/>
      <c r="D159" s="193"/>
      <c r="E159" s="193"/>
      <c r="F159" s="193"/>
      <c r="G159" s="153"/>
      <c r="H159" s="153"/>
      <c r="I159" s="153"/>
      <c r="J159" s="153"/>
      <c r="K159" s="153"/>
      <c r="L159" s="153"/>
    </row>
    <row r="160" spans="1:12" ht="16.5" x14ac:dyDescent="0.3">
      <c r="A160" s="53"/>
      <c r="B160" s="53"/>
      <c r="C160" s="53"/>
      <c r="D160" s="53"/>
      <c r="E160" s="53"/>
      <c r="F160" s="53"/>
    </row>
    <row r="161" spans="1:6" ht="17.25" thickBot="1" x14ac:dyDescent="0.35">
      <c r="A161" s="191" t="s">
        <v>212</v>
      </c>
      <c r="B161" s="191"/>
      <c r="C161" s="191"/>
      <c r="D161" s="103"/>
      <c r="E161" s="104"/>
      <c r="F161" s="103"/>
    </row>
    <row r="162" spans="1:6" ht="18" thickTop="1" thickBot="1" x14ac:dyDescent="0.35">
      <c r="A162" s="60" t="s">
        <v>126</v>
      </c>
      <c r="B162" s="105" t="s">
        <v>213</v>
      </c>
      <c r="C162" s="105" t="s">
        <v>214</v>
      </c>
      <c r="D162" s="106" t="s">
        <v>215</v>
      </c>
      <c r="E162" s="35" t="s">
        <v>216</v>
      </c>
      <c r="F162" s="107">
        <v>2008</v>
      </c>
    </row>
    <row r="163" spans="1:6" ht="16.5" x14ac:dyDescent="0.3">
      <c r="A163" s="108" t="s">
        <v>259</v>
      </c>
      <c r="B163" s="109">
        <v>538.48158313843305</v>
      </c>
      <c r="C163" s="109">
        <v>686.282341822744</v>
      </c>
      <c r="D163" s="109">
        <v>820.77712021200296</v>
      </c>
      <c r="E163" s="109">
        <v>607.71860255369006</v>
      </c>
      <c r="F163" s="110">
        <v>2653.2596477268739</v>
      </c>
    </row>
    <row r="164" spans="1:6" ht="16.5" x14ac:dyDescent="0.3">
      <c r="A164" s="111" t="s">
        <v>129</v>
      </c>
      <c r="B164" s="112">
        <v>471.2647968535407</v>
      </c>
      <c r="C164" s="112">
        <v>595.29491646565907</v>
      </c>
      <c r="D164" s="112">
        <v>715.51502578296652</v>
      </c>
      <c r="E164" s="112">
        <v>454.71830625027667</v>
      </c>
      <c r="F164" s="113">
        <v>2236.7930453524432</v>
      </c>
    </row>
    <row r="165" spans="1:6" ht="16.5" x14ac:dyDescent="0.3">
      <c r="A165" s="114" t="s">
        <v>130</v>
      </c>
      <c r="B165" s="112">
        <v>1.6716335609369153</v>
      </c>
      <c r="C165" s="112">
        <v>24.309149334152217</v>
      </c>
      <c r="D165" s="112">
        <v>21.946330321488695</v>
      </c>
      <c r="E165" s="112">
        <v>16.270919489055792</v>
      </c>
      <c r="F165" s="113">
        <v>64.198032705633608</v>
      </c>
    </row>
    <row r="166" spans="1:6" ht="16.5" x14ac:dyDescent="0.3">
      <c r="A166" s="114" t="s">
        <v>131</v>
      </c>
      <c r="B166" s="112">
        <v>1.6386019489055736</v>
      </c>
      <c r="C166" s="112">
        <v>4.9351761301163046</v>
      </c>
      <c r="D166" s="112">
        <v>2.868046569276665</v>
      </c>
      <c r="E166" s="112">
        <v>5.729351247550925</v>
      </c>
      <c r="F166" s="113">
        <v>15.171175895849469</v>
      </c>
    </row>
    <row r="167" spans="1:6" ht="16.5" x14ac:dyDescent="0.3">
      <c r="A167" s="114" t="s">
        <v>132</v>
      </c>
      <c r="B167" s="112">
        <v>15.018382190000001</v>
      </c>
      <c r="C167" s="112">
        <v>6.7602822100000015</v>
      </c>
      <c r="D167" s="112">
        <v>14.41727113</v>
      </c>
      <c r="E167" s="112">
        <v>11.824938450000003</v>
      </c>
      <c r="F167" s="113">
        <v>48.020873980000005</v>
      </c>
    </row>
    <row r="168" spans="1:6" ht="16.5" x14ac:dyDescent="0.3">
      <c r="A168" s="114" t="s">
        <v>133</v>
      </c>
      <c r="B168" s="112">
        <v>0</v>
      </c>
      <c r="C168" s="112">
        <v>36.169424000000099</v>
      </c>
      <c r="D168" s="112">
        <v>27.450839607558628</v>
      </c>
      <c r="E168" s="112">
        <v>7.7219799999999905</v>
      </c>
      <c r="F168" s="113">
        <v>71.342243607558714</v>
      </c>
    </row>
    <row r="169" spans="1:6" ht="16.5" x14ac:dyDescent="0.3">
      <c r="A169" s="114" t="s">
        <v>134</v>
      </c>
      <c r="B169" s="112">
        <v>6.8572243704108367</v>
      </c>
      <c r="C169" s="112">
        <v>37.516366620982929</v>
      </c>
      <c r="D169" s="112">
        <v>68.236947106540939</v>
      </c>
      <c r="E169" s="112">
        <v>19.507656365542921</v>
      </c>
      <c r="F169" s="113">
        <v>132.11819446347764</v>
      </c>
    </row>
    <row r="170" spans="1:6" ht="16.5" x14ac:dyDescent="0.3">
      <c r="A170" s="114" t="s">
        <v>135</v>
      </c>
      <c r="B170" s="112">
        <v>5.4275816231946779E-2</v>
      </c>
      <c r="C170" s="112">
        <v>0.2457378468025648</v>
      </c>
      <c r="D170" s="112">
        <v>0.21693759867106355</v>
      </c>
      <c r="E170" s="112">
        <v>0.38153014571448152</v>
      </c>
      <c r="F170" s="113">
        <v>0.89848140742005667</v>
      </c>
    </row>
    <row r="171" spans="1:6" ht="16.5" x14ac:dyDescent="0.3">
      <c r="A171" s="114" t="s">
        <v>136</v>
      </c>
      <c r="B171" s="112">
        <v>10.786227873557939</v>
      </c>
      <c r="C171" s="112">
        <v>9.2818579049716696</v>
      </c>
      <c r="D171" s="112">
        <v>11.025554025674666</v>
      </c>
      <c r="E171" s="112">
        <v>7.8374742700224616</v>
      </c>
      <c r="F171" s="113">
        <v>38.931114074226741</v>
      </c>
    </row>
    <row r="172" spans="1:6" ht="16.5" x14ac:dyDescent="0.3">
      <c r="A172" s="114" t="s">
        <v>137</v>
      </c>
      <c r="B172" s="112">
        <v>14.630013783562992</v>
      </c>
      <c r="C172" s="112">
        <v>0.41037900356079404</v>
      </c>
      <c r="D172" s="112">
        <v>0</v>
      </c>
      <c r="E172" s="112">
        <v>0</v>
      </c>
      <c r="F172" s="113">
        <v>15.040392787123787</v>
      </c>
    </row>
    <row r="173" spans="1:6" ht="16.5" x14ac:dyDescent="0.3">
      <c r="A173" s="114" t="s">
        <v>138</v>
      </c>
      <c r="B173" s="112">
        <v>52.397463539934499</v>
      </c>
      <c r="C173" s="112">
        <v>56.101600155572527</v>
      </c>
      <c r="D173" s="112">
        <v>70.531333933755903</v>
      </c>
      <c r="E173" s="112">
        <v>42.195221342390028</v>
      </c>
      <c r="F173" s="113">
        <v>221.22561897165292</v>
      </c>
    </row>
    <row r="174" spans="1:6" ht="16.5" x14ac:dyDescent="0.3">
      <c r="A174" s="114" t="s">
        <v>194</v>
      </c>
      <c r="B174" s="112">
        <v>33.719429999999996</v>
      </c>
      <c r="C174" s="112">
        <v>34.823752359500006</v>
      </c>
      <c r="D174" s="112">
        <v>47.403829999999992</v>
      </c>
      <c r="E174" s="112">
        <v>36.023810000000005</v>
      </c>
      <c r="F174" s="113">
        <v>151.97082235949998</v>
      </c>
    </row>
    <row r="175" spans="1:6" ht="16.5" x14ac:dyDescent="0.3">
      <c r="A175" s="114" t="s">
        <v>140</v>
      </c>
      <c r="B175" s="112">
        <v>330.31926377000002</v>
      </c>
      <c r="C175" s="112">
        <v>379.95</v>
      </c>
      <c r="D175" s="112">
        <v>446.30988956000004</v>
      </c>
      <c r="E175" s="112">
        <v>295.26698623000004</v>
      </c>
      <c r="F175" s="113">
        <v>1451.84613956</v>
      </c>
    </row>
    <row r="176" spans="1:6" ht="16.5" x14ac:dyDescent="0.3">
      <c r="A176" s="114" t="s">
        <v>210</v>
      </c>
      <c r="B176" s="115">
        <v>4.1722799999999998</v>
      </c>
      <c r="C176" s="115">
        <v>4.7911909000000001</v>
      </c>
      <c r="D176" s="115">
        <v>5.1080459300000003</v>
      </c>
      <c r="E176" s="112">
        <v>11.958438710000001</v>
      </c>
      <c r="F176" s="113">
        <v>26.029955540000003</v>
      </c>
    </row>
    <row r="177" spans="1:6" ht="16.5" x14ac:dyDescent="0.3">
      <c r="A177" s="111" t="s">
        <v>217</v>
      </c>
      <c r="B177" s="112">
        <v>7.32753824</v>
      </c>
      <c r="C177" s="112">
        <v>7.6118144490644477</v>
      </c>
      <c r="D177" s="112">
        <v>7.6003182499999999</v>
      </c>
      <c r="E177" s="112">
        <v>5.2836377852024361</v>
      </c>
      <c r="F177" s="113">
        <v>27.823308724266884</v>
      </c>
    </row>
    <row r="178" spans="1:6" ht="16.5" x14ac:dyDescent="0.3">
      <c r="A178" s="111" t="s">
        <v>218</v>
      </c>
      <c r="B178" s="112">
        <v>6.9324539799999991</v>
      </c>
      <c r="C178" s="112">
        <v>12.43699569</v>
      </c>
      <c r="D178" s="112">
        <v>10.855780040000001</v>
      </c>
      <c r="E178" s="112">
        <v>2.3996953899999998</v>
      </c>
      <c r="F178" s="113">
        <v>32.624925099999999</v>
      </c>
    </row>
    <row r="179" spans="1:6" ht="16.5" x14ac:dyDescent="0.3">
      <c r="A179" s="111" t="s">
        <v>219</v>
      </c>
      <c r="B179" s="116">
        <v>0.21061158047165904</v>
      </c>
      <c r="C179" s="116">
        <v>0.74895026786315644</v>
      </c>
      <c r="D179" s="116">
        <v>2.2558844499956185</v>
      </c>
      <c r="E179" s="116">
        <v>2.6130463419554761</v>
      </c>
      <c r="F179" s="117">
        <v>5.8284926402859103</v>
      </c>
    </row>
    <row r="180" spans="1:6" ht="16.5" x14ac:dyDescent="0.3">
      <c r="A180" s="111" t="s">
        <v>220</v>
      </c>
      <c r="B180" s="115">
        <v>52.746182484420657</v>
      </c>
      <c r="C180" s="115">
        <v>70.189664950157294</v>
      </c>
      <c r="D180" s="115">
        <v>84.55011168904079</v>
      </c>
      <c r="E180" s="115">
        <v>142.70391678625549</v>
      </c>
      <c r="F180" s="118">
        <v>350.18987590987825</v>
      </c>
    </row>
    <row r="181" spans="1:6" ht="16.5" x14ac:dyDescent="0.3">
      <c r="A181" s="119" t="s">
        <v>148</v>
      </c>
      <c r="B181" s="120">
        <v>117.87314582849854</v>
      </c>
      <c r="C181" s="121">
        <v>210.61579840767149</v>
      </c>
      <c r="D181" s="121">
        <v>251.42402078824705</v>
      </c>
      <c r="E181" s="121">
        <v>222.27414627129997</v>
      </c>
      <c r="F181" s="122">
        <v>802.18711129572102</v>
      </c>
    </row>
    <row r="182" spans="1:6" ht="17.25" thickBot="1" x14ac:dyDescent="0.35">
      <c r="A182" s="123" t="s">
        <v>149</v>
      </c>
      <c r="B182" s="124">
        <v>420.60843730993452</v>
      </c>
      <c r="C182" s="125">
        <v>475.66654341507251</v>
      </c>
      <c r="D182" s="125">
        <v>569.35309942375591</v>
      </c>
      <c r="E182" s="125">
        <v>385.44445628239009</v>
      </c>
      <c r="F182" s="126">
        <v>1851.0725364311529</v>
      </c>
    </row>
    <row r="183" spans="1:6" ht="16.5" x14ac:dyDescent="0.3">
      <c r="A183" s="189" t="s">
        <v>195</v>
      </c>
      <c r="B183" s="189"/>
      <c r="C183" s="189"/>
      <c r="D183" s="103"/>
      <c r="E183" s="103"/>
      <c r="F183" s="103"/>
    </row>
    <row r="184" spans="1:6" ht="16.5" x14ac:dyDescent="0.3">
      <c r="A184" s="53"/>
      <c r="B184" s="95"/>
      <c r="C184" s="54"/>
      <c r="D184" s="103"/>
      <c r="E184" s="103"/>
      <c r="F184" s="103"/>
    </row>
    <row r="185" spans="1:6" ht="16.5" x14ac:dyDescent="0.3">
      <c r="A185" s="53"/>
      <c r="B185" s="95"/>
      <c r="C185" s="54"/>
      <c r="D185" s="103"/>
      <c r="E185" s="103"/>
      <c r="F185" s="103"/>
    </row>
    <row r="186" spans="1:6" ht="17.25" thickBot="1" x14ac:dyDescent="0.35">
      <c r="A186" s="127" t="s">
        <v>221</v>
      </c>
      <c r="B186" s="95"/>
      <c r="C186" s="54"/>
      <c r="D186" s="103"/>
      <c r="E186" s="103"/>
      <c r="F186" s="103"/>
    </row>
    <row r="187" spans="1:6" ht="18" thickTop="1" thickBot="1" x14ac:dyDescent="0.35">
      <c r="A187" s="60" t="s">
        <v>126</v>
      </c>
      <c r="B187" s="105" t="s">
        <v>213</v>
      </c>
      <c r="C187" s="105" t="s">
        <v>214</v>
      </c>
      <c r="D187" s="106" t="s">
        <v>215</v>
      </c>
      <c r="E187" s="154" t="s">
        <v>216</v>
      </c>
      <c r="F187" s="128">
        <v>2008</v>
      </c>
    </row>
    <row r="188" spans="1:6" ht="16.5" x14ac:dyDescent="0.3">
      <c r="A188" s="78" t="s">
        <v>258</v>
      </c>
      <c r="B188" s="79">
        <v>700.50395804184541</v>
      </c>
      <c r="C188" s="79">
        <v>897.17321022581064</v>
      </c>
      <c r="D188" s="79">
        <v>1051.873783388028</v>
      </c>
      <c r="E188" s="97">
        <v>993.87356037788811</v>
      </c>
      <c r="F188" s="155">
        <v>3643.4245120335722</v>
      </c>
    </row>
    <row r="189" spans="1:6" ht="16.5" x14ac:dyDescent="0.3">
      <c r="A189" s="81" t="s">
        <v>172</v>
      </c>
      <c r="B189" s="82">
        <v>120.71992246585745</v>
      </c>
      <c r="C189" s="82">
        <v>123.87801130175825</v>
      </c>
      <c r="D189" s="82">
        <v>148.31195944787692</v>
      </c>
      <c r="E189" s="82">
        <v>158.84066246404012</v>
      </c>
      <c r="F189" s="156">
        <v>551.75055567953279</v>
      </c>
    </row>
    <row r="190" spans="1:6" ht="16.5" x14ac:dyDescent="0.3">
      <c r="A190" s="40" t="s">
        <v>173</v>
      </c>
      <c r="B190" s="82">
        <v>64.214564076476094</v>
      </c>
      <c r="C190" s="82">
        <v>43.909046728395545</v>
      </c>
      <c r="D190" s="82">
        <v>44.932262335117727</v>
      </c>
      <c r="E190" s="82">
        <v>68.977058762774149</v>
      </c>
      <c r="F190" s="156">
        <v>222.03293190276349</v>
      </c>
    </row>
    <row r="191" spans="1:6" ht="16.5" x14ac:dyDescent="0.3">
      <c r="A191" s="40" t="s">
        <v>174</v>
      </c>
      <c r="B191" s="82">
        <v>5.605048075800215</v>
      </c>
      <c r="C191" s="82">
        <v>1.0865093885821968</v>
      </c>
      <c r="D191" s="82">
        <v>0.71680178409228135</v>
      </c>
      <c r="E191" s="82">
        <v>0.43588350080810956</v>
      </c>
      <c r="F191" s="156">
        <v>7.8442427492828033</v>
      </c>
    </row>
    <row r="192" spans="1:6" ht="16.5" x14ac:dyDescent="0.3">
      <c r="A192" s="40" t="s">
        <v>175</v>
      </c>
      <c r="B192" s="82">
        <v>0.34619655667108779</v>
      </c>
      <c r="C192" s="82">
        <v>0.36401671573002836</v>
      </c>
      <c r="D192" s="82">
        <v>0.26618540235876625</v>
      </c>
      <c r="E192" s="82">
        <v>0.33982480271210752</v>
      </c>
      <c r="F192" s="156">
        <v>1.3162234774719899</v>
      </c>
    </row>
    <row r="193" spans="1:6" ht="16.5" x14ac:dyDescent="0.3">
      <c r="A193" s="40" t="s">
        <v>176</v>
      </c>
      <c r="B193" s="82">
        <v>7.4147971961859573</v>
      </c>
      <c r="C193" s="82">
        <v>13.1383749797784</v>
      </c>
      <c r="D193" s="82">
        <v>14.830040882695956</v>
      </c>
      <c r="E193" s="82">
        <v>12.535215665247101</v>
      </c>
      <c r="F193" s="156">
        <v>47.918428723907418</v>
      </c>
    </row>
    <row r="194" spans="1:6" ht="16.5" x14ac:dyDescent="0.3">
      <c r="A194" s="40" t="s">
        <v>177</v>
      </c>
      <c r="B194" s="82">
        <v>43.139316560724083</v>
      </c>
      <c r="C194" s="82">
        <v>65.380063489272061</v>
      </c>
      <c r="D194" s="82">
        <v>87.566669043612194</v>
      </c>
      <c r="E194" s="82">
        <v>76.552679732498618</v>
      </c>
      <c r="F194" s="156">
        <v>272.63872882610701</v>
      </c>
    </row>
    <row r="195" spans="1:6" ht="16.5" x14ac:dyDescent="0.3">
      <c r="A195" s="55" t="s">
        <v>178</v>
      </c>
      <c r="B195" s="82">
        <v>143.3921087304727</v>
      </c>
      <c r="C195" s="82">
        <v>148.63566193650911</v>
      </c>
      <c r="D195" s="82">
        <v>252.08683783079087</v>
      </c>
      <c r="E195" s="82">
        <v>141.29578474742272</v>
      </c>
      <c r="F195" s="156">
        <v>685.41039324519545</v>
      </c>
    </row>
    <row r="196" spans="1:6" ht="16.5" x14ac:dyDescent="0.3">
      <c r="A196" s="40" t="s">
        <v>179</v>
      </c>
      <c r="B196" s="82">
        <v>115.67962420909089</v>
      </c>
      <c r="C196" s="82">
        <v>120.88988307272727</v>
      </c>
      <c r="D196" s="82">
        <v>224.4273497363636</v>
      </c>
      <c r="E196" s="82">
        <v>113.42706027272727</v>
      </c>
      <c r="F196" s="156">
        <v>574.42391729090912</v>
      </c>
    </row>
    <row r="197" spans="1:6" ht="16.5" x14ac:dyDescent="0.3">
      <c r="A197" s="43" t="s">
        <v>180</v>
      </c>
      <c r="B197" s="82">
        <v>78.480750272727263</v>
      </c>
      <c r="C197" s="82">
        <v>82.405572472727272</v>
      </c>
      <c r="D197" s="82">
        <v>175.25177236363635</v>
      </c>
      <c r="E197" s="82">
        <v>88.676778636363622</v>
      </c>
      <c r="F197" s="156">
        <v>424.81487374545452</v>
      </c>
    </row>
    <row r="198" spans="1:6" ht="16.5" x14ac:dyDescent="0.3">
      <c r="A198" s="43" t="s">
        <v>181</v>
      </c>
      <c r="B198" s="82">
        <v>18.003050636363636</v>
      </c>
      <c r="C198" s="82">
        <v>22.235243427272728</v>
      </c>
      <c r="D198" s="82">
        <v>27.655196663636364</v>
      </c>
      <c r="E198" s="82">
        <v>14.373588872727272</v>
      </c>
      <c r="F198" s="156">
        <v>82.267079600000002</v>
      </c>
    </row>
    <row r="199" spans="1:6" ht="16.5" x14ac:dyDescent="0.3">
      <c r="A199" s="43" t="s">
        <v>182</v>
      </c>
      <c r="B199" s="82">
        <v>19.195823299999997</v>
      </c>
      <c r="C199" s="82">
        <v>16.249067172727269</v>
      </c>
      <c r="D199" s="82">
        <v>21.520380709090894</v>
      </c>
      <c r="E199" s="82">
        <v>10.376692763636374</v>
      </c>
      <c r="F199" s="156">
        <v>67.341963945454523</v>
      </c>
    </row>
    <row r="200" spans="1:6" ht="16.5" x14ac:dyDescent="0.3">
      <c r="A200" s="40" t="s">
        <v>197</v>
      </c>
      <c r="B200" s="82">
        <v>27.712484521381818</v>
      </c>
      <c r="C200" s="82">
        <v>27.745778863781815</v>
      </c>
      <c r="D200" s="82">
        <v>27.659488094427275</v>
      </c>
      <c r="E200" s="82">
        <v>27.868724474695451</v>
      </c>
      <c r="F200" s="156">
        <v>110.98647595428636</v>
      </c>
    </row>
    <row r="201" spans="1:6" ht="16.5" x14ac:dyDescent="0.3">
      <c r="A201" s="55" t="s">
        <v>184</v>
      </c>
      <c r="B201" s="82">
        <v>75.953363957703786</v>
      </c>
      <c r="C201" s="82">
        <v>139.02029735191866</v>
      </c>
      <c r="D201" s="82">
        <v>139.97415474182881</v>
      </c>
      <c r="E201" s="82">
        <v>128.77630167964867</v>
      </c>
      <c r="F201" s="156">
        <v>483.72411773109997</v>
      </c>
    </row>
    <row r="202" spans="1:6" ht="16.5" x14ac:dyDescent="0.3">
      <c r="A202" s="55" t="s">
        <v>185</v>
      </c>
      <c r="B202" s="82">
        <v>210.85432491807202</v>
      </c>
      <c r="C202" s="84">
        <v>283.57018532039666</v>
      </c>
      <c r="D202" s="85">
        <v>322.44136811945071</v>
      </c>
      <c r="E202" s="82">
        <v>404.14895253169868</v>
      </c>
      <c r="F202" s="156">
        <v>1221.014830889618</v>
      </c>
    </row>
    <row r="203" spans="1:6" ht="16.5" x14ac:dyDescent="0.3">
      <c r="A203" s="86" t="s">
        <v>186</v>
      </c>
      <c r="B203" s="82">
        <v>0</v>
      </c>
      <c r="C203" s="82">
        <v>0</v>
      </c>
      <c r="D203" s="82">
        <v>0</v>
      </c>
      <c r="E203" s="82">
        <v>0</v>
      </c>
      <c r="F203" s="156">
        <v>0</v>
      </c>
    </row>
    <row r="204" spans="1:6" ht="16.5" x14ac:dyDescent="0.3">
      <c r="A204" s="56" t="s">
        <v>198</v>
      </c>
      <c r="B204" s="100">
        <v>149.58423796973946</v>
      </c>
      <c r="C204" s="100">
        <v>202.06905431522799</v>
      </c>
      <c r="D204" s="100">
        <v>189.05946324808073</v>
      </c>
      <c r="E204" s="100">
        <v>160.81185895507789</v>
      </c>
      <c r="F204" s="155">
        <v>701.52461448812619</v>
      </c>
    </row>
    <row r="205" spans="1:6" ht="16.5" x14ac:dyDescent="0.3">
      <c r="A205" s="87" t="s">
        <v>199</v>
      </c>
      <c r="B205" s="85">
        <v>132.35217903999998</v>
      </c>
      <c r="C205" s="85">
        <v>167.76</v>
      </c>
      <c r="D205" s="85">
        <v>163.85168823000001</v>
      </c>
      <c r="E205" s="82">
        <v>149.54697508999999</v>
      </c>
      <c r="F205" s="156">
        <v>613.51084236000008</v>
      </c>
    </row>
    <row r="206" spans="1:6" ht="16.5" x14ac:dyDescent="0.3">
      <c r="A206" s="87" t="s">
        <v>200</v>
      </c>
      <c r="B206" s="85">
        <v>7.9773898709125968</v>
      </c>
      <c r="C206" s="85">
        <v>9.2169945558870499</v>
      </c>
      <c r="D206" s="85">
        <v>14.841125501581702</v>
      </c>
      <c r="E206" s="82">
        <v>3.7743528650778906</v>
      </c>
      <c r="F206" s="156">
        <v>35.809862793459239</v>
      </c>
    </row>
    <row r="207" spans="1:6" ht="16.5" x14ac:dyDescent="0.3">
      <c r="A207" s="87" t="s">
        <v>201</v>
      </c>
      <c r="B207" s="85">
        <v>6.0625764100000001</v>
      </c>
      <c r="C207" s="85">
        <v>4.3887761599999999</v>
      </c>
      <c r="D207" s="85">
        <v>2.7149749999999999</v>
      </c>
      <c r="E207" s="82">
        <v>0</v>
      </c>
      <c r="F207" s="156">
        <v>13.16632757</v>
      </c>
    </row>
    <row r="208" spans="1:6" ht="16.5" x14ac:dyDescent="0.3">
      <c r="A208" s="87" t="s">
        <v>202</v>
      </c>
      <c r="B208" s="85">
        <v>0</v>
      </c>
      <c r="C208" s="85">
        <v>0</v>
      </c>
      <c r="D208" s="85">
        <v>0</v>
      </c>
      <c r="E208" s="82">
        <v>0</v>
      </c>
      <c r="F208" s="156">
        <v>0</v>
      </c>
    </row>
    <row r="209" spans="1:6" ht="16.5" x14ac:dyDescent="0.3">
      <c r="A209" s="87" t="s">
        <v>203</v>
      </c>
      <c r="B209" s="85">
        <v>3.1920926488269008</v>
      </c>
      <c r="C209" s="85">
        <v>20.703283599340935</v>
      </c>
      <c r="D209" s="85">
        <v>7.6516745164990363</v>
      </c>
      <c r="E209" s="82">
        <v>7.4905310000000078</v>
      </c>
      <c r="F209" s="156">
        <v>39.037581764666875</v>
      </c>
    </row>
    <row r="210" spans="1:6" ht="16.5" x14ac:dyDescent="0.3">
      <c r="A210" s="87" t="s">
        <v>204</v>
      </c>
      <c r="B210" s="85">
        <v>0</v>
      </c>
      <c r="C210" s="85">
        <v>0</v>
      </c>
      <c r="D210" s="85">
        <v>0</v>
      </c>
      <c r="E210" s="82">
        <v>0</v>
      </c>
      <c r="F210" s="156">
        <v>0</v>
      </c>
    </row>
    <row r="211" spans="1:6" ht="17.25" thickBot="1" x14ac:dyDescent="0.35">
      <c r="A211" s="88" t="s">
        <v>188</v>
      </c>
      <c r="B211" s="89">
        <v>550.91972007210597</v>
      </c>
      <c r="C211" s="89">
        <v>695.10415591058268</v>
      </c>
      <c r="D211" s="89">
        <v>862.81432013994731</v>
      </c>
      <c r="E211" s="89">
        <v>833.06170142281019</v>
      </c>
      <c r="F211" s="157">
        <v>2941.899897545446</v>
      </c>
    </row>
    <row r="212" spans="1:6" ht="17.25" thickTop="1" x14ac:dyDescent="0.3">
      <c r="A212" s="129" t="s">
        <v>195</v>
      </c>
      <c r="B212" s="129"/>
      <c r="C212" s="129"/>
      <c r="D212" s="103"/>
      <c r="E212" s="103"/>
      <c r="F212" s="103"/>
    </row>
    <row r="213" spans="1:6" ht="16.5" x14ac:dyDescent="0.3">
      <c r="A213" s="53"/>
      <c r="B213" s="53"/>
      <c r="C213" s="53"/>
      <c r="D213" s="103"/>
      <c r="E213" s="103"/>
      <c r="F213" s="103"/>
    </row>
    <row r="214" spans="1:6" ht="16.5" x14ac:dyDescent="0.3">
      <c r="A214" s="53"/>
      <c r="B214" s="53"/>
      <c r="C214" s="54"/>
      <c r="D214" s="103"/>
      <c r="E214" s="103"/>
      <c r="F214" s="103"/>
    </row>
    <row r="215" spans="1:6" ht="17.25" thickBot="1" x14ac:dyDescent="0.35">
      <c r="A215" s="191" t="s">
        <v>222</v>
      </c>
      <c r="B215" s="191"/>
      <c r="C215" s="191"/>
      <c r="D215" s="104"/>
      <c r="E215" s="104"/>
      <c r="F215" s="104"/>
    </row>
    <row r="216" spans="1:6" ht="18" thickTop="1" thickBot="1" x14ac:dyDescent="0.35">
      <c r="A216" s="60" t="s">
        <v>126</v>
      </c>
      <c r="B216" s="105" t="s">
        <v>223</v>
      </c>
      <c r="C216" s="105" t="s">
        <v>224</v>
      </c>
      <c r="D216" s="35" t="s">
        <v>225</v>
      </c>
      <c r="E216" s="35" t="s">
        <v>226</v>
      </c>
      <c r="F216" s="130">
        <v>2009</v>
      </c>
    </row>
    <row r="217" spans="1:6" ht="16.5" x14ac:dyDescent="0.3">
      <c r="A217" s="131" t="s">
        <v>259</v>
      </c>
      <c r="B217" s="132">
        <v>402.71511016355998</v>
      </c>
      <c r="C217" s="132">
        <v>507.45537430182395</v>
      </c>
      <c r="D217" s="132">
        <v>624.55573814704803</v>
      </c>
      <c r="E217" s="132">
        <v>612.45711204654197</v>
      </c>
      <c r="F217" s="158">
        <v>2147.1833346589738</v>
      </c>
    </row>
    <row r="218" spans="1:6" ht="16.5" x14ac:dyDescent="0.3">
      <c r="A218" s="133" t="s">
        <v>129</v>
      </c>
      <c r="B218" s="112">
        <v>305.90858691827583</v>
      </c>
      <c r="C218" s="112">
        <v>392.62286872152299</v>
      </c>
      <c r="D218" s="112">
        <v>511.79278989460227</v>
      </c>
      <c r="E218" s="115">
        <v>489.49622357497941</v>
      </c>
      <c r="F218" s="159">
        <v>1699.8204691093804</v>
      </c>
    </row>
    <row r="219" spans="1:6" ht="16.5" x14ac:dyDescent="0.3">
      <c r="A219" s="134" t="s">
        <v>130</v>
      </c>
      <c r="B219" s="135">
        <v>6.1590297012699491</v>
      </c>
      <c r="C219" s="135">
        <v>23.8516146078756</v>
      </c>
      <c r="D219" s="136">
        <v>14.312074925270629</v>
      </c>
      <c r="E219" s="138">
        <v>9.5978084858042809</v>
      </c>
      <c r="F219" s="160">
        <v>53.920527720220463</v>
      </c>
    </row>
    <row r="220" spans="1:6" ht="16.5" x14ac:dyDescent="0.3">
      <c r="A220" s="137" t="s">
        <v>131</v>
      </c>
      <c r="B220" s="112">
        <v>2.3518469548319221</v>
      </c>
      <c r="C220" s="112">
        <v>3.8139020279689433</v>
      </c>
      <c r="D220" s="136">
        <v>5.320721049722561</v>
      </c>
      <c r="E220" s="138">
        <v>3.7642946432341291</v>
      </c>
      <c r="F220" s="160">
        <v>15.250764675757555</v>
      </c>
    </row>
    <row r="221" spans="1:6" ht="16.5" x14ac:dyDescent="0.3">
      <c r="A221" s="137" t="s">
        <v>132</v>
      </c>
      <c r="B221" s="112">
        <v>7.3829643800000104</v>
      </c>
      <c r="C221" s="112">
        <v>5.9130361499999999</v>
      </c>
      <c r="D221" s="136">
        <v>5.6074444600000044</v>
      </c>
      <c r="E221" s="138">
        <v>7.5869943499999941</v>
      </c>
      <c r="F221" s="160">
        <v>26.490439340000012</v>
      </c>
    </row>
    <row r="222" spans="1:6" ht="16.5" x14ac:dyDescent="0.3">
      <c r="A222" s="137" t="s">
        <v>133</v>
      </c>
      <c r="B222" s="112">
        <v>0</v>
      </c>
      <c r="C222" s="112">
        <v>14.64164000000001</v>
      </c>
      <c r="D222" s="136">
        <v>29.138000000000002</v>
      </c>
      <c r="E222" s="138">
        <v>14.530359999999998</v>
      </c>
      <c r="F222" s="160">
        <v>58.310000000000016</v>
      </c>
    </row>
    <row r="223" spans="1:6" ht="16.5" x14ac:dyDescent="0.3">
      <c r="A223" s="137" t="s">
        <v>134</v>
      </c>
      <c r="B223" s="112">
        <v>4.4195027968575058</v>
      </c>
      <c r="C223" s="112">
        <v>41.972202713106078</v>
      </c>
      <c r="D223" s="136">
        <v>85.168412581082649</v>
      </c>
      <c r="E223" s="138">
        <v>49.052818541126989</v>
      </c>
      <c r="F223" s="160">
        <v>180.61293663217319</v>
      </c>
    </row>
    <row r="224" spans="1:6" ht="16.5" x14ac:dyDescent="0.3">
      <c r="A224" s="137" t="s">
        <v>135</v>
      </c>
      <c r="B224" s="112">
        <v>0.26011870000700443</v>
      </c>
      <c r="C224" s="112">
        <v>2.0519122691897103</v>
      </c>
      <c r="D224" s="136">
        <v>0.4137241585012465</v>
      </c>
      <c r="E224" s="138">
        <v>0.46147410479765522</v>
      </c>
      <c r="F224" s="160">
        <v>3.1872292324956164</v>
      </c>
    </row>
    <row r="225" spans="1:6" ht="16.5" x14ac:dyDescent="0.3">
      <c r="A225" s="137" t="s">
        <v>136</v>
      </c>
      <c r="B225" s="112">
        <v>4.4178562773386227</v>
      </c>
      <c r="C225" s="112">
        <v>8.8464279092685238</v>
      </c>
      <c r="D225" s="136">
        <v>13.737567788106627</v>
      </c>
      <c r="E225" s="138">
        <v>11.145962123200324</v>
      </c>
      <c r="F225" s="160">
        <v>38.147814097914093</v>
      </c>
    </row>
    <row r="226" spans="1:6" ht="16.5" x14ac:dyDescent="0.3">
      <c r="A226" s="137" t="s">
        <v>137</v>
      </c>
      <c r="B226" s="112">
        <v>6.1327884066746243</v>
      </c>
      <c r="C226" s="112">
        <v>0</v>
      </c>
      <c r="D226" s="136">
        <v>0</v>
      </c>
      <c r="E226" s="138">
        <v>7.064506911703833</v>
      </c>
      <c r="F226" s="160">
        <v>13.197295318378458</v>
      </c>
    </row>
    <row r="227" spans="1:6" ht="16.5" x14ac:dyDescent="0.3">
      <c r="A227" s="137" t="s">
        <v>138</v>
      </c>
      <c r="B227" s="112">
        <v>60.899863945724775</v>
      </c>
      <c r="C227" s="112">
        <v>64.963660481828427</v>
      </c>
      <c r="D227" s="138">
        <v>71.849748474775666</v>
      </c>
      <c r="E227" s="138">
        <v>76.673406647969315</v>
      </c>
      <c r="F227" s="160">
        <v>274.3866795502982</v>
      </c>
    </row>
    <row r="228" spans="1:6" ht="16.5" x14ac:dyDescent="0.3">
      <c r="A228" s="137" t="s">
        <v>194</v>
      </c>
      <c r="B228" s="112">
        <v>27.412514585571429</v>
      </c>
      <c r="C228" s="112">
        <v>24.142208842285715</v>
      </c>
      <c r="D228" s="138">
        <v>35.719842857142858</v>
      </c>
      <c r="E228" s="138">
        <v>35.979042857142858</v>
      </c>
      <c r="F228" s="160">
        <v>123.25360914214286</v>
      </c>
    </row>
    <row r="229" spans="1:6" ht="16.5" x14ac:dyDescent="0.3">
      <c r="A229" s="137" t="s">
        <v>140</v>
      </c>
      <c r="B229" s="112">
        <v>182.02</v>
      </c>
      <c r="C229" s="112">
        <v>191.36633914000001</v>
      </c>
      <c r="D229" s="138">
        <v>236.18205360000002</v>
      </c>
      <c r="E229" s="138">
        <v>258.18011891000003</v>
      </c>
      <c r="F229" s="160">
        <v>867.74851164999995</v>
      </c>
    </row>
    <row r="230" spans="1:6" ht="16.5" x14ac:dyDescent="0.3">
      <c r="A230" s="137" t="s">
        <v>210</v>
      </c>
      <c r="B230" s="112">
        <v>4.4521011699999997</v>
      </c>
      <c r="C230" s="112">
        <v>11.059924580000001</v>
      </c>
      <c r="D230" s="138">
        <v>14.3432</v>
      </c>
      <c r="E230" s="138">
        <v>15.459436</v>
      </c>
      <c r="F230" s="160">
        <v>45.314661749999999</v>
      </c>
    </row>
    <row r="231" spans="1:6" ht="16.5" x14ac:dyDescent="0.3">
      <c r="A231" s="133" t="s">
        <v>217</v>
      </c>
      <c r="B231" s="115">
        <v>3.4931781010342173</v>
      </c>
      <c r="C231" s="115">
        <v>1.584425738</v>
      </c>
      <c r="D231" s="138">
        <v>3.939346046666667</v>
      </c>
      <c r="E231" s="138">
        <v>3.4617242900000003</v>
      </c>
      <c r="F231" s="160">
        <v>12.478674175700887</v>
      </c>
    </row>
    <row r="232" spans="1:6" ht="16.5" x14ac:dyDescent="0.3">
      <c r="A232" s="133" t="s">
        <v>218</v>
      </c>
      <c r="B232" s="112">
        <v>0.25574064000000002</v>
      </c>
      <c r="C232" s="112">
        <v>0.66774448999999991</v>
      </c>
      <c r="D232" s="138">
        <v>0.57219305000000009</v>
      </c>
      <c r="E232" s="138">
        <v>0</v>
      </c>
      <c r="F232" s="160">
        <v>1.4956781799999999</v>
      </c>
    </row>
    <row r="233" spans="1:6" ht="16.5" x14ac:dyDescent="0.3">
      <c r="A233" s="133" t="s">
        <v>219</v>
      </c>
      <c r="B233" s="112">
        <v>1.5284048444881893</v>
      </c>
      <c r="C233" s="112">
        <v>2.3300991419233088</v>
      </c>
      <c r="D233" s="136">
        <v>2.4807137766348242</v>
      </c>
      <c r="E233" s="138">
        <v>0.24356928702011002</v>
      </c>
      <c r="F233" s="160">
        <v>6.5827870500664325</v>
      </c>
    </row>
    <row r="234" spans="1:6" ht="16.5" x14ac:dyDescent="0.3">
      <c r="A234" s="133" t="s">
        <v>220</v>
      </c>
      <c r="B234" s="112">
        <v>91.529199659761716</v>
      </c>
      <c r="C234" s="112">
        <v>110.25023621037757</v>
      </c>
      <c r="D234" s="138">
        <v>105.77069537914423</v>
      </c>
      <c r="E234" s="138">
        <v>119.25559489454245</v>
      </c>
      <c r="F234" s="160">
        <v>426.80572614382623</v>
      </c>
    </row>
    <row r="235" spans="1:6" ht="16.5" x14ac:dyDescent="0.3">
      <c r="A235" s="139" t="s">
        <v>148</v>
      </c>
      <c r="B235" s="121">
        <v>127.93063046226376</v>
      </c>
      <c r="C235" s="121">
        <v>215.92324125770978</v>
      </c>
      <c r="D235" s="140">
        <v>266.46089321512943</v>
      </c>
      <c r="E235" s="163">
        <v>226.16510763142981</v>
      </c>
      <c r="F235" s="161">
        <v>836.479872566533</v>
      </c>
    </row>
    <row r="236" spans="1:6" ht="17.25" thickBot="1" x14ac:dyDescent="0.35">
      <c r="A236" s="141" t="s">
        <v>149</v>
      </c>
      <c r="B236" s="142">
        <v>274.78447970129622</v>
      </c>
      <c r="C236" s="142">
        <v>291.53213304411418</v>
      </c>
      <c r="D236" s="143">
        <v>358.0948449319186</v>
      </c>
      <c r="E236" s="143">
        <v>386.29200441511216</v>
      </c>
      <c r="F236" s="162">
        <v>1310.703462092441</v>
      </c>
    </row>
    <row r="237" spans="1:6" ht="16.5" x14ac:dyDescent="0.3">
      <c r="A237" s="190" t="s">
        <v>195</v>
      </c>
      <c r="B237" s="190"/>
      <c r="C237" s="190"/>
      <c r="D237" s="144"/>
      <c r="E237" s="144"/>
      <c r="F237" s="144"/>
    </row>
    <row r="238" spans="1:6" ht="16.5" x14ac:dyDescent="0.3">
      <c r="A238" s="53"/>
      <c r="B238" s="95"/>
      <c r="C238" s="54"/>
      <c r="D238" s="144"/>
      <c r="E238" s="144"/>
      <c r="F238" s="144"/>
    </row>
    <row r="239" spans="1:6" ht="16.5" x14ac:dyDescent="0.3">
      <c r="A239" s="53"/>
      <c r="B239" s="95"/>
      <c r="C239" s="54"/>
      <c r="D239" s="144"/>
      <c r="E239" s="144"/>
      <c r="F239" s="144"/>
    </row>
    <row r="240" spans="1:6" ht="17.25" thickBot="1" x14ac:dyDescent="0.35">
      <c r="A240" s="127" t="s">
        <v>227</v>
      </c>
      <c r="B240" s="95"/>
      <c r="C240" s="54"/>
      <c r="D240" s="144"/>
      <c r="E240" s="144"/>
      <c r="F240" s="144"/>
    </row>
    <row r="241" spans="1:6" ht="18" thickTop="1" thickBot="1" x14ac:dyDescent="0.35">
      <c r="A241" s="60" t="s">
        <v>126</v>
      </c>
      <c r="B241" s="105" t="s">
        <v>223</v>
      </c>
      <c r="C241" s="105" t="s">
        <v>224</v>
      </c>
      <c r="D241" s="105" t="s">
        <v>225</v>
      </c>
      <c r="E241" s="105" t="s">
        <v>226</v>
      </c>
      <c r="F241" s="105">
        <v>2009</v>
      </c>
    </row>
    <row r="242" spans="1:6" ht="16.5" x14ac:dyDescent="0.3">
      <c r="A242" s="78" t="s">
        <v>258</v>
      </c>
      <c r="B242" s="79">
        <v>814.70940751890817</v>
      </c>
      <c r="C242" s="79">
        <v>805.46999058834172</v>
      </c>
      <c r="D242" s="79">
        <v>860.99450968397718</v>
      </c>
      <c r="E242" s="97">
        <v>940.83215686232359</v>
      </c>
      <c r="F242" s="155">
        <v>3422.0060646535503</v>
      </c>
    </row>
    <row r="243" spans="1:6" ht="16.5" x14ac:dyDescent="0.3">
      <c r="A243" s="81" t="s">
        <v>172</v>
      </c>
      <c r="B243" s="82">
        <v>146.79084501710946</v>
      </c>
      <c r="C243" s="82">
        <v>152.22149367724029</v>
      </c>
      <c r="D243" s="82">
        <v>143.81042009562447</v>
      </c>
      <c r="E243" s="82">
        <v>149.58090363657701</v>
      </c>
      <c r="F243" s="156">
        <v>592.40366242655114</v>
      </c>
    </row>
    <row r="244" spans="1:6" ht="16.5" x14ac:dyDescent="0.3">
      <c r="A244" s="40" t="s">
        <v>173</v>
      </c>
      <c r="B244" s="145">
        <v>58.915970935639727</v>
      </c>
      <c r="C244" s="145">
        <v>71.015090987328549</v>
      </c>
      <c r="D244" s="82">
        <v>49.582631580532954</v>
      </c>
      <c r="E244" s="82">
        <v>71.027749833759628</v>
      </c>
      <c r="F244" s="156">
        <v>250.54144333726086</v>
      </c>
    </row>
    <row r="245" spans="1:6" ht="16.5" x14ac:dyDescent="0.3">
      <c r="A245" s="40" t="s">
        <v>174</v>
      </c>
      <c r="B245" s="145">
        <v>0.95959007837007082</v>
      </c>
      <c r="C245" s="145">
        <v>1.1711500998035729</v>
      </c>
      <c r="D245" s="82">
        <v>0.39230265636310219</v>
      </c>
      <c r="E245" s="82">
        <v>3.5092889723455287</v>
      </c>
      <c r="F245" s="156">
        <v>6.032331806882274</v>
      </c>
    </row>
    <row r="246" spans="1:6" ht="16.5" x14ac:dyDescent="0.3">
      <c r="A246" s="40" t="s">
        <v>175</v>
      </c>
      <c r="B246" s="145">
        <v>0.30300861398901763</v>
      </c>
      <c r="C246" s="145">
        <v>0.57676002838515172</v>
      </c>
      <c r="D246" s="82">
        <v>0.27187218380022382</v>
      </c>
      <c r="E246" s="82">
        <v>0.27508033732523873</v>
      </c>
      <c r="F246" s="156">
        <v>1.426721163499632</v>
      </c>
    </row>
    <row r="247" spans="1:6" ht="16.5" x14ac:dyDescent="0.3">
      <c r="A247" s="40" t="s">
        <v>176</v>
      </c>
      <c r="B247" s="145">
        <v>9.5111298742114503</v>
      </c>
      <c r="C247" s="145">
        <v>7.9909564822222876</v>
      </c>
      <c r="D247" s="82">
        <v>7.7245922149817217</v>
      </c>
      <c r="E247" s="82">
        <v>7.8581330975174319</v>
      </c>
      <c r="F247" s="156">
        <v>33.084811668932886</v>
      </c>
    </row>
    <row r="248" spans="1:6" ht="16.5" x14ac:dyDescent="0.3">
      <c r="A248" s="40" t="s">
        <v>177</v>
      </c>
      <c r="B248" s="145">
        <v>77.101145514899173</v>
      </c>
      <c r="C248" s="145">
        <v>71.467536079500732</v>
      </c>
      <c r="D248" s="82">
        <v>85.839021459946466</v>
      </c>
      <c r="E248" s="82">
        <v>66.910651395629174</v>
      </c>
      <c r="F248" s="156">
        <v>301.31835444997552</v>
      </c>
    </row>
    <row r="249" spans="1:6" ht="16.5" x14ac:dyDescent="0.3">
      <c r="A249" s="55" t="s">
        <v>178</v>
      </c>
      <c r="B249" s="145">
        <v>79.704693930654543</v>
      </c>
      <c r="C249" s="145">
        <v>93.757703270013607</v>
      </c>
      <c r="D249" s="82">
        <v>126.41755365589999</v>
      </c>
      <c r="E249" s="82">
        <v>141.80879784655818</v>
      </c>
      <c r="F249" s="156">
        <v>441.68874870312635</v>
      </c>
    </row>
    <row r="250" spans="1:6" ht="16.5" x14ac:dyDescent="0.3">
      <c r="A250" s="40" t="s">
        <v>179</v>
      </c>
      <c r="B250" s="145">
        <v>51.259753218181814</v>
      </c>
      <c r="C250" s="145">
        <v>63.795644627272715</v>
      </c>
      <c r="D250" s="82">
        <v>97.415169254545461</v>
      </c>
      <c r="E250" s="82">
        <v>111.94293375454544</v>
      </c>
      <c r="F250" s="156">
        <v>324.41350085454542</v>
      </c>
    </row>
    <row r="251" spans="1:6" ht="16.5" x14ac:dyDescent="0.3">
      <c r="A251" s="43" t="s">
        <v>180</v>
      </c>
      <c r="B251" s="145">
        <v>31.368339518181813</v>
      </c>
      <c r="C251" s="145">
        <v>37.415443699999997</v>
      </c>
      <c r="D251" s="82">
        <v>68.411315027272721</v>
      </c>
      <c r="E251" s="82">
        <v>66.227937354545446</v>
      </c>
      <c r="F251" s="156">
        <v>203.42303559999999</v>
      </c>
    </row>
    <row r="252" spans="1:6" ht="16.5" x14ac:dyDescent="0.3">
      <c r="A252" s="43" t="s">
        <v>181</v>
      </c>
      <c r="B252" s="145">
        <v>11.989088563636365</v>
      </c>
      <c r="C252" s="145">
        <v>15.504376118181817</v>
      </c>
      <c r="D252" s="82">
        <v>20.948650627272727</v>
      </c>
      <c r="E252" s="82">
        <v>28.553255499999999</v>
      </c>
      <c r="F252" s="156">
        <v>76.995370809090915</v>
      </c>
    </row>
    <row r="253" spans="1:6" ht="16.5" x14ac:dyDescent="0.3">
      <c r="A253" s="43" t="s">
        <v>182</v>
      </c>
      <c r="B253" s="82">
        <v>7.9023251363636353</v>
      </c>
      <c r="C253" s="82">
        <v>10.875824809090911</v>
      </c>
      <c r="D253" s="82">
        <v>8.0552036000000076</v>
      </c>
      <c r="E253" s="82">
        <v>17.161740899999991</v>
      </c>
      <c r="F253" s="156">
        <v>43.995094445454541</v>
      </c>
    </row>
    <row r="254" spans="1:6" ht="16.5" x14ac:dyDescent="0.3">
      <c r="A254" s="40" t="s">
        <v>197</v>
      </c>
      <c r="B254" s="145">
        <v>28.444940712472729</v>
      </c>
      <c r="C254" s="145">
        <v>29.96205864274091</v>
      </c>
      <c r="D254" s="82">
        <v>29.002384401354544</v>
      </c>
      <c r="E254" s="82">
        <v>29.865864092012778</v>
      </c>
      <c r="F254" s="156">
        <v>117.27524784858096</v>
      </c>
    </row>
    <row r="255" spans="1:6" ht="16.5" x14ac:dyDescent="0.3">
      <c r="A255" s="55" t="s">
        <v>184</v>
      </c>
      <c r="B255" s="145">
        <v>123.76494432649734</v>
      </c>
      <c r="C255" s="145">
        <v>130.55056166130885</v>
      </c>
      <c r="D255" s="82">
        <v>148.78448848293516</v>
      </c>
      <c r="E255" s="82">
        <v>132.79816677773647</v>
      </c>
      <c r="F255" s="156">
        <v>535.89816124847778</v>
      </c>
    </row>
    <row r="256" spans="1:6" ht="16.5" x14ac:dyDescent="0.3">
      <c r="A256" s="55" t="s">
        <v>185</v>
      </c>
      <c r="B256" s="146">
        <v>310.84776726011512</v>
      </c>
      <c r="C256" s="146">
        <v>254.10779507529801</v>
      </c>
      <c r="D256" s="85">
        <v>252.89183227695921</v>
      </c>
      <c r="E256" s="82">
        <v>243.02253421045171</v>
      </c>
      <c r="F256" s="156">
        <v>1060.869928822824</v>
      </c>
    </row>
    <row r="257" spans="1:6" ht="16.5" x14ac:dyDescent="0.3">
      <c r="A257" s="86" t="s">
        <v>186</v>
      </c>
      <c r="B257" s="147">
        <v>0</v>
      </c>
      <c r="C257" s="148">
        <v>0</v>
      </c>
      <c r="D257" s="82">
        <v>0</v>
      </c>
      <c r="E257" s="82">
        <v>0</v>
      </c>
      <c r="F257" s="156">
        <v>0</v>
      </c>
    </row>
    <row r="258" spans="1:6" ht="16.5" x14ac:dyDescent="0.3">
      <c r="A258" s="56" t="s">
        <v>198</v>
      </c>
      <c r="B258" s="100">
        <v>153.60115698453168</v>
      </c>
      <c r="C258" s="100">
        <v>174.83243690448086</v>
      </c>
      <c r="D258" s="100">
        <v>189.0902151725584</v>
      </c>
      <c r="E258" s="100">
        <v>273.62175439099997</v>
      </c>
      <c r="F258" s="155">
        <v>791.14556345257097</v>
      </c>
    </row>
    <row r="259" spans="1:6" ht="16.5" x14ac:dyDescent="0.3">
      <c r="A259" s="87" t="s">
        <v>199</v>
      </c>
      <c r="B259" s="85">
        <v>124.9</v>
      </c>
      <c r="C259" s="85">
        <v>102.12410000000001</v>
      </c>
      <c r="D259" s="85">
        <v>95.332077670000004</v>
      </c>
      <c r="E259" s="82">
        <v>103.35243705000002</v>
      </c>
      <c r="F259" s="156">
        <v>425.70861472000001</v>
      </c>
    </row>
    <row r="260" spans="1:6" ht="16.5" x14ac:dyDescent="0.3">
      <c r="A260" s="87" t="s">
        <v>200</v>
      </c>
      <c r="B260" s="85">
        <v>2.8236475470317002</v>
      </c>
      <c r="C260" s="85">
        <v>0.41812664198083449</v>
      </c>
      <c r="D260" s="85">
        <v>25.003890000000002</v>
      </c>
      <c r="E260" s="82">
        <v>50.189219999999992</v>
      </c>
      <c r="F260" s="156">
        <v>78.434884189012536</v>
      </c>
    </row>
    <row r="261" spans="1:6" ht="16.5" x14ac:dyDescent="0.3">
      <c r="A261" s="87" t="s">
        <v>201</v>
      </c>
      <c r="B261" s="85">
        <v>0</v>
      </c>
      <c r="C261" s="85">
        <v>0</v>
      </c>
      <c r="D261" s="85">
        <v>1.9390344100000001</v>
      </c>
      <c r="E261" s="82">
        <v>2.1329378510000003</v>
      </c>
      <c r="F261" s="156">
        <v>4.0719722610000009</v>
      </c>
    </row>
    <row r="262" spans="1:6" ht="16.5" x14ac:dyDescent="0.3">
      <c r="A262" s="87" t="s">
        <v>202</v>
      </c>
      <c r="B262" s="85">
        <v>0</v>
      </c>
      <c r="C262" s="85">
        <v>0</v>
      </c>
      <c r="D262" s="85">
        <v>0</v>
      </c>
      <c r="E262" s="82">
        <v>0</v>
      </c>
      <c r="F262" s="156">
        <v>0</v>
      </c>
    </row>
    <row r="263" spans="1:6" ht="16.5" x14ac:dyDescent="0.3">
      <c r="A263" s="87" t="s">
        <v>203</v>
      </c>
      <c r="B263" s="85">
        <v>3.00618016</v>
      </c>
      <c r="C263" s="85">
        <v>5.8333209100000012</v>
      </c>
      <c r="D263" s="85">
        <v>4.3486038600000008</v>
      </c>
      <c r="E263" s="82">
        <v>8.0581511100000007</v>
      </c>
      <c r="F263" s="156">
        <v>21.246256040000006</v>
      </c>
    </row>
    <row r="264" spans="1:6" ht="16.5" x14ac:dyDescent="0.3">
      <c r="A264" s="87" t="s">
        <v>204</v>
      </c>
      <c r="B264" s="85">
        <v>22.871329277500003</v>
      </c>
      <c r="C264" s="85">
        <v>66.456889352499999</v>
      </c>
      <c r="D264" s="85">
        <v>62.466609232558397</v>
      </c>
      <c r="E264" s="82">
        <v>109.88900838000001</v>
      </c>
      <c r="F264" s="156">
        <v>261.68383624255841</v>
      </c>
    </row>
    <row r="265" spans="1:6" ht="17.25" thickBot="1" x14ac:dyDescent="0.35">
      <c r="A265" s="88" t="s">
        <v>188</v>
      </c>
      <c r="B265" s="89">
        <v>661.10825053437645</v>
      </c>
      <c r="C265" s="89">
        <v>630.6375536838608</v>
      </c>
      <c r="D265" s="89">
        <v>671.90429451141881</v>
      </c>
      <c r="E265" s="89">
        <v>667.2104024713235</v>
      </c>
      <c r="F265" s="157">
        <v>2630.8605012009793</v>
      </c>
    </row>
    <row r="266" spans="1:6" ht="17.25" thickTop="1" x14ac:dyDescent="0.3">
      <c r="A266" s="189" t="s">
        <v>195</v>
      </c>
      <c r="B266" s="189"/>
      <c r="C266" s="189"/>
      <c r="D266" s="144"/>
      <c r="E266" s="144"/>
      <c r="F266" s="144"/>
    </row>
    <row r="267" spans="1:6" ht="16.5" x14ac:dyDescent="0.3">
      <c r="A267" s="53"/>
      <c r="B267" s="53"/>
      <c r="C267" s="53"/>
      <c r="D267" s="144"/>
      <c r="E267" s="144"/>
      <c r="F267" s="144"/>
    </row>
    <row r="268" spans="1:6" ht="17.25" thickBot="1" x14ac:dyDescent="0.35">
      <c r="A268" s="191" t="s">
        <v>228</v>
      </c>
      <c r="B268" s="191"/>
      <c r="C268" s="191"/>
      <c r="D268" s="104"/>
      <c r="E268" s="104"/>
      <c r="F268" s="104"/>
    </row>
    <row r="269" spans="1:6" ht="18" thickTop="1" thickBot="1" x14ac:dyDescent="0.35">
      <c r="A269" s="149" t="s">
        <v>126</v>
      </c>
      <c r="B269" s="105" t="s">
        <v>229</v>
      </c>
      <c r="C269" s="105" t="s">
        <v>230</v>
      </c>
      <c r="D269" s="35" t="s">
        <v>231</v>
      </c>
      <c r="E269" s="35" t="s">
        <v>232</v>
      </c>
      <c r="F269" s="130">
        <v>2010</v>
      </c>
    </row>
    <row r="270" spans="1:6" ht="16.5" x14ac:dyDescent="0.3">
      <c r="A270" s="131" t="s">
        <v>259</v>
      </c>
      <c r="B270" s="132">
        <v>490.99400000000003</v>
      </c>
      <c r="C270" s="132">
        <v>583.63599999999997</v>
      </c>
      <c r="D270" s="132">
        <v>658.85</v>
      </c>
      <c r="E270" s="132">
        <v>599.77</v>
      </c>
      <c r="F270" s="158">
        <v>2333.2501202691096</v>
      </c>
    </row>
    <row r="271" spans="1:6" ht="16.5" x14ac:dyDescent="0.3">
      <c r="A271" s="133" t="s">
        <v>129</v>
      </c>
      <c r="B271" s="112">
        <v>453.067862175046</v>
      </c>
      <c r="C271" s="112">
        <v>475.74556387305006</v>
      </c>
      <c r="D271" s="112">
        <v>553.40776024547824</v>
      </c>
      <c r="E271" s="115">
        <v>542.24279148464177</v>
      </c>
      <c r="F271" s="159">
        <v>2074.6899123456501</v>
      </c>
    </row>
    <row r="272" spans="1:6" ht="16.5" x14ac:dyDescent="0.3">
      <c r="A272" s="134" t="s">
        <v>130</v>
      </c>
      <c r="B272" s="135">
        <v>4.3172177105920415</v>
      </c>
      <c r="C272" s="135">
        <v>20.157384687044527</v>
      </c>
      <c r="D272" s="136">
        <v>17.749237175966915</v>
      </c>
      <c r="E272" s="138">
        <v>2.9866683945550982</v>
      </c>
      <c r="F272" s="160">
        <v>45.210507968158602</v>
      </c>
    </row>
    <row r="273" spans="1:6" ht="16.5" x14ac:dyDescent="0.3">
      <c r="A273" s="137" t="s">
        <v>131</v>
      </c>
      <c r="B273" s="112">
        <v>2.7841867545544492</v>
      </c>
      <c r="C273" s="112">
        <v>3.6340577798698734</v>
      </c>
      <c r="D273" s="136">
        <v>2.8275983909757954</v>
      </c>
      <c r="E273" s="138">
        <v>1.5697519114445482</v>
      </c>
      <c r="F273" s="160">
        <v>10.815594836844699</v>
      </c>
    </row>
    <row r="274" spans="1:6" ht="16.5" x14ac:dyDescent="0.3">
      <c r="A274" s="137" t="s">
        <v>132</v>
      </c>
      <c r="B274" s="112">
        <v>8.3425884199999985</v>
      </c>
      <c r="C274" s="112">
        <v>5.5454531900000008</v>
      </c>
      <c r="D274" s="136">
        <v>6.1286786500000003</v>
      </c>
      <c r="E274" s="138">
        <v>9.0405416699999979</v>
      </c>
      <c r="F274" s="160">
        <v>29.057261929999999</v>
      </c>
    </row>
    <row r="275" spans="1:6" ht="16.5" x14ac:dyDescent="0.3">
      <c r="A275" s="137" t="s">
        <v>133</v>
      </c>
      <c r="B275" s="112">
        <v>3.9615</v>
      </c>
      <c r="C275" s="112">
        <v>0</v>
      </c>
      <c r="D275" s="136">
        <v>52.756721000000006</v>
      </c>
      <c r="E275" s="138">
        <v>30.795209049999997</v>
      </c>
      <c r="F275" s="160">
        <v>87.513430049999997</v>
      </c>
    </row>
    <row r="276" spans="1:6" ht="16.5" x14ac:dyDescent="0.3">
      <c r="A276" s="137" t="s">
        <v>134</v>
      </c>
      <c r="B276" s="112">
        <v>31.321619600000002</v>
      </c>
      <c r="C276" s="112">
        <v>10.347647599999998</v>
      </c>
      <c r="D276" s="136">
        <v>33.603434999999998</v>
      </c>
      <c r="E276" s="138">
        <v>27.06933025645483</v>
      </c>
      <c r="F276" s="160">
        <v>152.567967023889</v>
      </c>
    </row>
    <row r="277" spans="1:6" ht="16.5" x14ac:dyDescent="0.3">
      <c r="A277" s="137" t="s">
        <v>135</v>
      </c>
      <c r="B277" s="112">
        <v>0.34939999289509294</v>
      </c>
      <c r="C277" s="112">
        <v>0.28598285856227301</v>
      </c>
      <c r="D277" s="136">
        <v>0.26201763752399243</v>
      </c>
      <c r="E277" s="138">
        <v>3.7292020833480419E-2</v>
      </c>
      <c r="F277" s="160">
        <v>0.93469250981483898</v>
      </c>
    </row>
    <row r="278" spans="1:6" ht="16.5" x14ac:dyDescent="0.3">
      <c r="A278" s="137" t="s">
        <v>136</v>
      </c>
      <c r="B278" s="112">
        <v>10.5805384471645</v>
      </c>
      <c r="C278" s="112">
        <v>10.103245959495187</v>
      </c>
      <c r="D278" s="136">
        <v>15.986656514685054</v>
      </c>
      <c r="E278" s="138">
        <v>28.934238524363867</v>
      </c>
      <c r="F278" s="160">
        <v>65.604679445708612</v>
      </c>
    </row>
    <row r="279" spans="1:6" ht="16.5" x14ac:dyDescent="0.3">
      <c r="A279" s="137" t="s">
        <v>137</v>
      </c>
      <c r="B279" s="112">
        <v>13.054166754643299</v>
      </c>
      <c r="C279" s="112">
        <v>0.1605991480782053</v>
      </c>
      <c r="D279" s="136">
        <v>1.6361668918713028</v>
      </c>
      <c r="E279" s="138">
        <v>0</v>
      </c>
      <c r="F279" s="160">
        <v>14.85093279459281</v>
      </c>
    </row>
    <row r="280" spans="1:6" ht="16.5" x14ac:dyDescent="0.3">
      <c r="A280" s="137" t="s">
        <v>138</v>
      </c>
      <c r="B280" s="112">
        <v>72.983294495196603</v>
      </c>
      <c r="C280" s="112">
        <v>67.786299999999997</v>
      </c>
      <c r="D280" s="138">
        <v>77.895423034455163</v>
      </c>
      <c r="E280" s="138">
        <v>57.878953886989976</v>
      </c>
      <c r="F280" s="160">
        <v>276.54397141664174</v>
      </c>
    </row>
    <row r="281" spans="1:6" ht="16.5" x14ac:dyDescent="0.3">
      <c r="A281" s="137" t="s">
        <v>194</v>
      </c>
      <c r="B281" s="112">
        <v>29.620819999999998</v>
      </c>
      <c r="C281" s="112">
        <v>29.381450000000012</v>
      </c>
      <c r="D281" s="138">
        <v>38.69754999999995</v>
      </c>
      <c r="E281" s="138">
        <v>36.130620000000008</v>
      </c>
      <c r="F281" s="160">
        <v>133.83043999999998</v>
      </c>
    </row>
    <row r="282" spans="1:6" ht="16.5" x14ac:dyDescent="0.3">
      <c r="A282" s="137" t="s">
        <v>140</v>
      </c>
      <c r="B282" s="112">
        <v>258.67</v>
      </c>
      <c r="C282" s="112">
        <v>302.63</v>
      </c>
      <c r="D282" s="138">
        <v>279.27941594999999</v>
      </c>
      <c r="E282" s="138">
        <v>319.05749335000002</v>
      </c>
      <c r="F282" s="160">
        <v>1159.6369092999998</v>
      </c>
    </row>
    <row r="283" spans="1:6" ht="16.5" x14ac:dyDescent="0.3">
      <c r="A283" s="137" t="s">
        <v>210</v>
      </c>
      <c r="B283" s="112">
        <v>17.082529999999998</v>
      </c>
      <c r="C283" s="112">
        <v>25.713442649999998</v>
      </c>
      <c r="D283" s="138">
        <v>26.584859999999999</v>
      </c>
      <c r="E283" s="138">
        <v>28.742692419999994</v>
      </c>
      <c r="F283" s="160">
        <v>98.123525069999971</v>
      </c>
    </row>
    <row r="284" spans="1:6" ht="16.5" x14ac:dyDescent="0.3">
      <c r="A284" s="133" t="s">
        <v>217</v>
      </c>
      <c r="B284" s="115">
        <v>4.0092334839393908</v>
      </c>
      <c r="C284" s="115">
        <v>2.5314100197076037</v>
      </c>
      <c r="D284" s="138">
        <v>4.731246286823497</v>
      </c>
      <c r="E284" s="138">
        <v>7.9657405749175956</v>
      </c>
      <c r="F284" s="160">
        <v>19.237630365388089</v>
      </c>
    </row>
    <row r="285" spans="1:6" ht="16.5" x14ac:dyDescent="0.3">
      <c r="A285" s="133" t="s">
        <v>218</v>
      </c>
      <c r="B285" s="112">
        <v>0</v>
      </c>
      <c r="C285" s="112">
        <v>0.47706628000000001</v>
      </c>
      <c r="D285" s="138">
        <v>0.64795038000000005</v>
      </c>
      <c r="E285" s="138">
        <v>10.565224780000001</v>
      </c>
      <c r="F285" s="160">
        <v>11.690241440000001</v>
      </c>
    </row>
    <row r="286" spans="1:6" ht="16.5" x14ac:dyDescent="0.3">
      <c r="A286" s="133" t="s">
        <v>219</v>
      </c>
      <c r="B286" s="112">
        <v>0.55310620958953904</v>
      </c>
      <c r="C286" s="112">
        <v>0.119725714285714</v>
      </c>
      <c r="D286" s="136">
        <v>0</v>
      </c>
      <c r="E286" s="138">
        <v>0</v>
      </c>
      <c r="F286" s="160">
        <v>0.67283192387525315</v>
      </c>
    </row>
    <row r="287" spans="1:6" ht="16.5" x14ac:dyDescent="0.3">
      <c r="A287" s="133" t="s">
        <v>220</v>
      </c>
      <c r="B287" s="112">
        <v>33.363798131425085</v>
      </c>
      <c r="C287" s="112">
        <v>104.76223411295655</v>
      </c>
      <c r="D287" s="138">
        <v>100.06304308769825</v>
      </c>
      <c r="E287" s="138">
        <v>38.996243160440599</v>
      </c>
      <c r="F287" s="160">
        <v>226.95950419419631</v>
      </c>
    </row>
    <row r="288" spans="1:6" ht="16.5" x14ac:dyDescent="0.3">
      <c r="A288" s="139" t="s">
        <v>148</v>
      </c>
      <c r="B288" s="121">
        <v>112.63735550480341</v>
      </c>
      <c r="C288" s="121">
        <v>158.12480734999994</v>
      </c>
      <c r="D288" s="140">
        <v>236.39275101554495</v>
      </c>
      <c r="E288" s="163">
        <v>157.96024034301001</v>
      </c>
      <c r="F288" s="161">
        <v>665.11527448246829</v>
      </c>
    </row>
    <row r="289" spans="1:6" ht="17.25" thickBot="1" x14ac:dyDescent="0.35">
      <c r="A289" s="141" t="s">
        <v>149</v>
      </c>
      <c r="B289" s="142">
        <v>378.35664449519663</v>
      </c>
      <c r="C289" s="142">
        <v>425.51119265</v>
      </c>
      <c r="D289" s="143">
        <v>422.45724898445508</v>
      </c>
      <c r="E289" s="143">
        <v>441.80975965698997</v>
      </c>
      <c r="F289" s="162">
        <v>1668.1348457866413</v>
      </c>
    </row>
    <row r="290" spans="1:6" ht="16.5" x14ac:dyDescent="0.3">
      <c r="A290" s="189" t="s">
        <v>195</v>
      </c>
      <c r="B290" s="189"/>
      <c r="C290" s="189"/>
      <c r="D290" s="144"/>
      <c r="E290" s="144"/>
      <c r="F290" s="144"/>
    </row>
    <row r="291" spans="1:6" ht="16.5" x14ac:dyDescent="0.3">
      <c r="A291" s="53"/>
      <c r="B291" s="150"/>
      <c r="C291" s="150"/>
      <c r="D291" s="150"/>
      <c r="E291" s="150"/>
      <c r="F291" s="150"/>
    </row>
    <row r="292" spans="1:6" ht="16.5" x14ac:dyDescent="0.3">
      <c r="A292" s="53"/>
      <c r="B292" s="95"/>
      <c r="C292" s="95"/>
      <c r="D292" s="95"/>
      <c r="E292" s="95"/>
      <c r="F292" s="95"/>
    </row>
    <row r="293" spans="1:6" ht="17.25" thickBot="1" x14ac:dyDescent="0.35">
      <c r="A293" s="127" t="s">
        <v>233</v>
      </c>
      <c r="B293" s="95"/>
      <c r="C293" s="54"/>
      <c r="D293" s="144"/>
      <c r="E293" s="144"/>
      <c r="F293" s="144"/>
    </row>
    <row r="294" spans="1:6" ht="18" thickTop="1" thickBot="1" x14ac:dyDescent="0.35">
      <c r="A294" s="60" t="s">
        <v>126</v>
      </c>
      <c r="B294" s="105" t="s">
        <v>229</v>
      </c>
      <c r="C294" s="105" t="s">
        <v>230</v>
      </c>
      <c r="D294" s="105" t="s">
        <v>231</v>
      </c>
      <c r="E294" s="105" t="s">
        <v>232</v>
      </c>
      <c r="F294" s="105">
        <v>2010</v>
      </c>
    </row>
    <row r="295" spans="1:6" ht="16.5" x14ac:dyDescent="0.3">
      <c r="A295" s="78" t="s">
        <v>257</v>
      </c>
      <c r="B295" s="79">
        <v>822.71090909090901</v>
      </c>
      <c r="C295" s="79">
        <v>909.33272727272731</v>
      </c>
      <c r="D295" s="79">
        <v>873.58818181818174</v>
      </c>
      <c r="E295" s="97">
        <v>906.79454545454541</v>
      </c>
      <c r="F295" s="155">
        <v>3512.4263636363635</v>
      </c>
    </row>
    <row r="296" spans="1:6" ht="16.5" x14ac:dyDescent="0.3">
      <c r="A296" s="81" t="s">
        <v>172</v>
      </c>
      <c r="B296" s="82">
        <v>138.12413330232587</v>
      </c>
      <c r="C296" s="82">
        <v>142.31367249169088</v>
      </c>
      <c r="D296" s="82">
        <v>131.0617886807149</v>
      </c>
      <c r="E296" s="82">
        <v>122.86586591486677</v>
      </c>
      <c r="F296" s="156">
        <v>534.36546038959841</v>
      </c>
    </row>
    <row r="297" spans="1:6" ht="16.5" x14ac:dyDescent="0.3">
      <c r="A297" s="40" t="s">
        <v>173</v>
      </c>
      <c r="B297" s="145">
        <v>49.098446242967597</v>
      </c>
      <c r="C297" s="145">
        <v>41.67436139374572</v>
      </c>
      <c r="D297" s="82">
        <v>39.725286021116915</v>
      </c>
      <c r="E297" s="82">
        <v>52.504500121116266</v>
      </c>
      <c r="F297" s="156">
        <v>183.0025937789465</v>
      </c>
    </row>
    <row r="298" spans="1:6" ht="16.5" x14ac:dyDescent="0.3">
      <c r="A298" s="40" t="s">
        <v>174</v>
      </c>
      <c r="B298" s="145">
        <v>0.56676751430275085</v>
      </c>
      <c r="C298" s="145">
        <v>1.2981363615924844</v>
      </c>
      <c r="D298" s="82">
        <v>1.3563266265440328</v>
      </c>
      <c r="E298" s="82">
        <v>0.41271426914072584</v>
      </c>
      <c r="F298" s="156">
        <v>3.6339447715799942</v>
      </c>
    </row>
    <row r="299" spans="1:6" ht="16.5" x14ac:dyDescent="0.3">
      <c r="A299" s="40" t="s">
        <v>175</v>
      </c>
      <c r="B299" s="145">
        <v>0.13000532658244679</v>
      </c>
      <c r="C299" s="145">
        <v>0.21150327220780571</v>
      </c>
      <c r="D299" s="82">
        <v>0.21613622959350509</v>
      </c>
      <c r="E299" s="82">
        <v>1.2064477409504564</v>
      </c>
      <c r="F299" s="156">
        <v>1.7640925693342142</v>
      </c>
    </row>
    <row r="300" spans="1:6" ht="16.5" x14ac:dyDescent="0.3">
      <c r="A300" s="40" t="s">
        <v>176</v>
      </c>
      <c r="B300" s="145">
        <v>20.768491253348003</v>
      </c>
      <c r="C300" s="145">
        <v>11.585133671579079</v>
      </c>
      <c r="D300" s="82">
        <v>9.1403637212325073</v>
      </c>
      <c r="E300" s="82">
        <v>12.799887372864653</v>
      </c>
      <c r="F300" s="156">
        <v>54.293876019024246</v>
      </c>
    </row>
    <row r="301" spans="1:6" ht="16.5" x14ac:dyDescent="0.3">
      <c r="A301" s="40" t="s">
        <v>177</v>
      </c>
      <c r="B301" s="145">
        <v>67.560422965125056</v>
      </c>
      <c r="C301" s="145">
        <v>87.544537792565791</v>
      </c>
      <c r="D301" s="82">
        <v>80.623676082227959</v>
      </c>
      <c r="E301" s="82">
        <v>55.942316410794668</v>
      </c>
      <c r="F301" s="156">
        <v>291.67095325071347</v>
      </c>
    </row>
    <row r="302" spans="1:6" ht="16.5" x14ac:dyDescent="0.3">
      <c r="A302" s="55" t="s">
        <v>178</v>
      </c>
      <c r="B302" s="145">
        <v>138.89920156652724</v>
      </c>
      <c r="C302" s="145">
        <v>172.38710439538181</v>
      </c>
      <c r="D302" s="82">
        <v>176.25030447623271</v>
      </c>
      <c r="E302" s="82">
        <v>147.46301352448461</v>
      </c>
      <c r="F302" s="156">
        <v>634.99962396262652</v>
      </c>
    </row>
    <row r="303" spans="1:6" ht="16.5" x14ac:dyDescent="0.3">
      <c r="A303" s="40" t="s">
        <v>179</v>
      </c>
      <c r="B303" s="145">
        <v>104.07698818181817</v>
      </c>
      <c r="C303" s="145">
        <v>137.41392800909091</v>
      </c>
      <c r="D303" s="82">
        <v>139.9534297909091</v>
      </c>
      <c r="E303" s="82">
        <v>110.44020134545444</v>
      </c>
      <c r="F303" s="156">
        <v>491.88454732727268</v>
      </c>
    </row>
    <row r="304" spans="1:6" ht="16.5" x14ac:dyDescent="0.3">
      <c r="A304" s="43" t="s">
        <v>180</v>
      </c>
      <c r="B304" s="145">
        <v>59.381089545454543</v>
      </c>
      <c r="C304" s="145">
        <v>93.715180936363623</v>
      </c>
      <c r="D304" s="82">
        <v>90.079308681818162</v>
      </c>
      <c r="E304" s="82">
        <v>73.615315645454444</v>
      </c>
      <c r="F304" s="156">
        <v>316.79089480909096</v>
      </c>
    </row>
    <row r="305" spans="1:6" ht="16.5" x14ac:dyDescent="0.3">
      <c r="A305" s="43" t="s">
        <v>181</v>
      </c>
      <c r="B305" s="145">
        <v>33.037131318181814</v>
      </c>
      <c r="C305" s="145">
        <v>32.367333299999999</v>
      </c>
      <c r="D305" s="82">
        <v>17.239981936363634</v>
      </c>
      <c r="E305" s="82">
        <v>26.755796354545442</v>
      </c>
      <c r="F305" s="156">
        <v>109.40024290909089</v>
      </c>
    </row>
    <row r="306" spans="1:6" ht="16.5" x14ac:dyDescent="0.3">
      <c r="A306" s="43" t="s">
        <v>182</v>
      </c>
      <c r="B306" s="82">
        <v>11.658767318181814</v>
      </c>
      <c r="C306" s="82">
        <v>11.331413772727286</v>
      </c>
      <c r="D306" s="82">
        <v>32.634139172727274</v>
      </c>
      <c r="E306" s="82">
        <v>10.069089345454541</v>
      </c>
      <c r="F306" s="156">
        <v>65.693409609090907</v>
      </c>
    </row>
    <row r="307" spans="1:6" ht="16.5" x14ac:dyDescent="0.3">
      <c r="A307" s="40" t="s">
        <v>197</v>
      </c>
      <c r="B307" s="145">
        <v>34.822213384709087</v>
      </c>
      <c r="C307" s="145">
        <v>34.973176386290909</v>
      </c>
      <c r="D307" s="82">
        <v>36.296874685323637</v>
      </c>
      <c r="E307" s="82">
        <v>37.022812179030176</v>
      </c>
      <c r="F307" s="156">
        <v>143.11507663535383</v>
      </c>
    </row>
    <row r="308" spans="1:6" ht="16.5" x14ac:dyDescent="0.3">
      <c r="A308" s="55" t="s">
        <v>184</v>
      </c>
      <c r="B308" s="145">
        <v>129.66911228829764</v>
      </c>
      <c r="C308" s="145">
        <v>148.37627116149397</v>
      </c>
      <c r="D308" s="82">
        <v>107.91833932683514</v>
      </c>
      <c r="E308" s="82">
        <v>116.34458863581628</v>
      </c>
      <c r="F308" s="156">
        <v>502.30831141244306</v>
      </c>
    </row>
    <row r="309" spans="1:6" ht="16.5" x14ac:dyDescent="0.3">
      <c r="A309" s="55" t="s">
        <v>185</v>
      </c>
      <c r="B309" s="146">
        <v>290.60927410545338</v>
      </c>
      <c r="C309" s="146">
        <v>242.37293644967971</v>
      </c>
      <c r="D309" s="85">
        <v>246.997709914399</v>
      </c>
      <c r="E309" s="82">
        <v>161.10035727196626</v>
      </c>
      <c r="F309" s="156">
        <v>941.08027774149843</v>
      </c>
    </row>
    <row r="310" spans="1:6" ht="16.5" x14ac:dyDescent="0.3">
      <c r="A310" s="86" t="s">
        <v>186</v>
      </c>
      <c r="B310" s="148">
        <v>0</v>
      </c>
      <c r="C310" s="148">
        <v>0</v>
      </c>
      <c r="D310" s="82">
        <v>0</v>
      </c>
      <c r="E310" s="82">
        <v>0</v>
      </c>
      <c r="F310" s="156">
        <v>0</v>
      </c>
    </row>
    <row r="311" spans="1:6" ht="16.5" x14ac:dyDescent="0.3">
      <c r="A311" s="56" t="s">
        <v>198</v>
      </c>
      <c r="B311" s="100">
        <v>125.40918782830477</v>
      </c>
      <c r="C311" s="100">
        <v>203.88274277448085</v>
      </c>
      <c r="D311" s="100">
        <v>211.36003941999999</v>
      </c>
      <c r="E311" s="100">
        <v>359.02072010741159</v>
      </c>
      <c r="F311" s="155">
        <v>899.67269013019711</v>
      </c>
    </row>
    <row r="312" spans="1:6" ht="16.5" x14ac:dyDescent="0.3">
      <c r="A312" s="87" t="s">
        <v>199</v>
      </c>
      <c r="B312" s="85">
        <v>81.64</v>
      </c>
      <c r="C312" s="85">
        <v>132.23999999999998</v>
      </c>
      <c r="D312" s="85">
        <v>160.19055410999999</v>
      </c>
      <c r="E312" s="82">
        <v>186.76838549741151</v>
      </c>
      <c r="F312" s="156">
        <v>560.83893960741148</v>
      </c>
    </row>
    <row r="313" spans="1:6" ht="16.5" x14ac:dyDescent="0.3">
      <c r="A313" s="87" t="s">
        <v>200</v>
      </c>
      <c r="B313" s="85">
        <v>0.326831198304746</v>
      </c>
      <c r="C313" s="85">
        <v>0.41812664198083449</v>
      </c>
      <c r="D313" s="85">
        <v>2.9909299999999992</v>
      </c>
      <c r="E313" s="82">
        <v>0</v>
      </c>
      <c r="F313" s="156">
        <v>3.7358878402855797</v>
      </c>
    </row>
    <row r="314" spans="1:6" ht="16.5" x14ac:dyDescent="0.3">
      <c r="A314" s="87" t="s">
        <v>201</v>
      </c>
      <c r="B314" s="85">
        <v>0</v>
      </c>
      <c r="C314" s="85">
        <v>0</v>
      </c>
      <c r="D314" s="85">
        <v>0</v>
      </c>
      <c r="E314" s="82">
        <v>0</v>
      </c>
      <c r="F314" s="156">
        <v>0</v>
      </c>
    </row>
    <row r="315" spans="1:6" ht="16.5" x14ac:dyDescent="0.3">
      <c r="A315" s="87" t="s">
        <v>202</v>
      </c>
      <c r="B315" s="85">
        <v>0</v>
      </c>
      <c r="C315" s="85">
        <v>0</v>
      </c>
      <c r="D315" s="85">
        <v>0</v>
      </c>
      <c r="E315" s="82">
        <v>0</v>
      </c>
      <c r="F315" s="156">
        <v>0</v>
      </c>
    </row>
    <row r="316" spans="1:6" ht="16.5" x14ac:dyDescent="0.3">
      <c r="A316" s="87" t="s">
        <v>203</v>
      </c>
      <c r="B316" s="85">
        <v>5.142356630000009</v>
      </c>
      <c r="C316" s="85">
        <v>4.7677267799999994</v>
      </c>
      <c r="D316" s="85">
        <v>5.6868295599999996</v>
      </c>
      <c r="E316" s="82">
        <v>4.4643346099999999</v>
      </c>
      <c r="F316" s="156">
        <v>20.061247580000011</v>
      </c>
    </row>
    <row r="317" spans="1:6" ht="16.5" x14ac:dyDescent="0.3">
      <c r="A317" s="87" t="s">
        <v>204</v>
      </c>
      <c r="B317" s="85">
        <v>38.299999999999997</v>
      </c>
      <c r="C317" s="85">
        <v>66.456889352499999</v>
      </c>
      <c r="D317" s="85">
        <v>42.491725750000001</v>
      </c>
      <c r="E317" s="82">
        <v>167.78800000000001</v>
      </c>
      <c r="F317" s="156">
        <v>315.03661510250004</v>
      </c>
    </row>
    <row r="318" spans="1:6" ht="17.25" thickBot="1" x14ac:dyDescent="0.35">
      <c r="A318" s="88" t="s">
        <v>188</v>
      </c>
      <c r="B318" s="89">
        <v>697.30172126260425</v>
      </c>
      <c r="C318" s="89">
        <v>705.44998449824641</v>
      </c>
      <c r="D318" s="89">
        <v>662.22905148909081</v>
      </c>
      <c r="E318" s="89">
        <v>547.77382534713388</v>
      </c>
      <c r="F318" s="157">
        <v>2612.7536735061667</v>
      </c>
    </row>
    <row r="319" spans="1:6" ht="17.25" thickTop="1" x14ac:dyDescent="0.3">
      <c r="A319" s="189" t="s">
        <v>195</v>
      </c>
      <c r="B319" s="189"/>
      <c r="C319" s="189"/>
      <c r="D319" s="144"/>
      <c r="E319" s="144"/>
      <c r="F319" s="144"/>
    </row>
    <row r="320" spans="1:6" ht="16.5" x14ac:dyDescent="0.3">
      <c r="A320" s="53"/>
      <c r="B320" s="54"/>
      <c r="C320" s="54"/>
      <c r="D320" s="54"/>
      <c r="E320" s="54"/>
      <c r="F320" s="54"/>
    </row>
    <row r="321" spans="1:6" ht="16.5" x14ac:dyDescent="0.3">
      <c r="A321" s="53"/>
      <c r="B321" s="95"/>
      <c r="C321" s="95"/>
      <c r="D321" s="95"/>
      <c r="E321" s="95"/>
      <c r="F321" s="95"/>
    </row>
    <row r="322" spans="1:6" ht="17.25" thickBot="1" x14ac:dyDescent="0.35">
      <c r="A322" s="151" t="s">
        <v>234</v>
      </c>
      <c r="B322" s="151"/>
      <c r="C322" s="151"/>
      <c r="D322" s="103"/>
      <c r="E322" s="103"/>
      <c r="F322" s="103"/>
    </row>
    <row r="323" spans="1:6" ht="18" thickTop="1" thickBot="1" x14ac:dyDescent="0.35">
      <c r="A323" s="149" t="s">
        <v>126</v>
      </c>
      <c r="B323" s="105" t="s">
        <v>235</v>
      </c>
      <c r="C323" s="105" t="s">
        <v>236</v>
      </c>
      <c r="D323" s="105" t="s">
        <v>255</v>
      </c>
      <c r="E323" s="105" t="s">
        <v>256</v>
      </c>
      <c r="F323" s="167">
        <v>2011</v>
      </c>
    </row>
    <row r="324" spans="1:6" ht="16.5" x14ac:dyDescent="0.3">
      <c r="A324" s="131" t="s">
        <v>259</v>
      </c>
      <c r="B324" s="132">
        <v>635.22622039999999</v>
      </c>
      <c r="C324" s="132">
        <v>670.96817280000005</v>
      </c>
      <c r="D324" s="132">
        <v>780.29421690000004</v>
      </c>
      <c r="E324" s="132">
        <v>689.8046018</v>
      </c>
      <c r="F324" s="168">
        <v>2776.2932119000002</v>
      </c>
    </row>
    <row r="325" spans="1:6" ht="16.5" x14ac:dyDescent="0.3">
      <c r="A325" s="133" t="s">
        <v>129</v>
      </c>
      <c r="B325" s="112">
        <v>601.25080049999997</v>
      </c>
      <c r="C325" s="112">
        <v>540.38740670000004</v>
      </c>
      <c r="D325" s="112">
        <v>648.85898450000002</v>
      </c>
      <c r="E325" s="112">
        <v>655.20812330000001</v>
      </c>
      <c r="F325" s="169">
        <v>2445.7053150000002</v>
      </c>
    </row>
    <row r="326" spans="1:6" ht="16.5" x14ac:dyDescent="0.3">
      <c r="A326" s="134" t="s">
        <v>130</v>
      </c>
      <c r="B326" s="135">
        <v>2.9734405590000001</v>
      </c>
      <c r="C326" s="135">
        <v>18.742960570000001</v>
      </c>
      <c r="D326" s="135">
        <v>12.17444353</v>
      </c>
      <c r="E326" s="135">
        <v>4.4767409999999996</v>
      </c>
      <c r="F326" s="170">
        <v>38.367585659</v>
      </c>
    </row>
    <row r="327" spans="1:6" ht="16.5" x14ac:dyDescent="0.3">
      <c r="A327" s="137" t="s">
        <v>131</v>
      </c>
      <c r="B327" s="112">
        <v>1.726867251</v>
      </c>
      <c r="C327" s="112">
        <v>2.445396305</v>
      </c>
      <c r="D327" s="112">
        <v>5.6539239869999998</v>
      </c>
      <c r="E327" s="112">
        <v>7.101553</v>
      </c>
      <c r="F327" s="169">
        <v>16.927740542999999</v>
      </c>
    </row>
    <row r="328" spans="1:6" ht="16.5" x14ac:dyDescent="0.3">
      <c r="A328" s="137" t="s">
        <v>132</v>
      </c>
      <c r="B328" s="112">
        <v>7.2729550400000003</v>
      </c>
      <c r="C328" s="112">
        <v>2.5777738700000001</v>
      </c>
      <c r="D328" s="112">
        <v>1.8024895000000001</v>
      </c>
      <c r="E328" s="112">
        <v>25.293941610000001</v>
      </c>
      <c r="F328" s="169">
        <v>36.947160019999998</v>
      </c>
    </row>
    <row r="329" spans="1:6" ht="16.5" x14ac:dyDescent="0.3">
      <c r="A329" s="137" t="s">
        <v>133</v>
      </c>
      <c r="B329" s="112">
        <v>5.8210055130000002</v>
      </c>
      <c r="C329" s="112">
        <v>10.69746344</v>
      </c>
      <c r="D329" s="112">
        <v>34.192212810000001</v>
      </c>
      <c r="E329" s="112">
        <v>37.233777340000003</v>
      </c>
      <c r="F329" s="169">
        <v>87.944459103</v>
      </c>
    </row>
    <row r="330" spans="1:6" ht="16.5" x14ac:dyDescent="0.3">
      <c r="A330" s="137" t="s">
        <v>134</v>
      </c>
      <c r="B330" s="112">
        <v>44.440987300000003</v>
      </c>
      <c r="C330" s="112">
        <v>4.5531486000000001</v>
      </c>
      <c r="D330" s="112">
        <v>67.153268199999999</v>
      </c>
      <c r="E330" s="112">
        <v>63.398364200000003</v>
      </c>
      <c r="F330" s="169">
        <v>179.54576830000002</v>
      </c>
    </row>
    <row r="331" spans="1:6" ht="16.5" x14ac:dyDescent="0.3">
      <c r="A331" s="137" t="s">
        <v>135</v>
      </c>
      <c r="B331" s="112">
        <v>1.5808157119999999</v>
      </c>
      <c r="C331" s="112">
        <v>0.117690718</v>
      </c>
      <c r="D331" s="112">
        <v>7.0521099000000004E-2</v>
      </c>
      <c r="E331" s="112">
        <v>1.4134450000000001</v>
      </c>
      <c r="F331" s="169">
        <v>3.182472529</v>
      </c>
    </row>
    <row r="332" spans="1:6" ht="16.5" x14ac:dyDescent="0.3">
      <c r="A332" s="137" t="s">
        <v>136</v>
      </c>
      <c r="B332" s="112">
        <v>6.7048752760000001</v>
      </c>
      <c r="C332" s="112">
        <v>8.9020500079999998</v>
      </c>
      <c r="D332" s="112">
        <v>6.0609291519999999</v>
      </c>
      <c r="E332" s="112">
        <v>20.820945999999999</v>
      </c>
      <c r="F332" s="169">
        <v>42.488800435999998</v>
      </c>
    </row>
    <row r="333" spans="1:6" ht="16.5" x14ac:dyDescent="0.3">
      <c r="A333" s="137" t="s">
        <v>137</v>
      </c>
      <c r="B333" s="112">
        <v>32.543118130000003</v>
      </c>
      <c r="C333" s="112">
        <v>1.538830564</v>
      </c>
      <c r="D333" s="112">
        <v>0</v>
      </c>
      <c r="E333" s="112">
        <v>0</v>
      </c>
      <c r="F333" s="169">
        <v>34.081948694000005</v>
      </c>
    </row>
    <row r="334" spans="1:6" ht="16.5" x14ac:dyDescent="0.3">
      <c r="A334" s="137" t="s">
        <v>138</v>
      </c>
      <c r="B334" s="112">
        <v>79.898049760000006</v>
      </c>
      <c r="C334" s="112">
        <v>69.003732639999996</v>
      </c>
      <c r="D334" s="112">
        <v>81.310449079999998</v>
      </c>
      <c r="E334" s="112">
        <v>69.240260000000006</v>
      </c>
      <c r="F334" s="169">
        <v>299.45249148000005</v>
      </c>
    </row>
    <row r="335" spans="1:6" ht="16.5" x14ac:dyDescent="0.3">
      <c r="A335" s="137" t="s">
        <v>139</v>
      </c>
      <c r="B335" s="112">
        <v>37.280459999999998</v>
      </c>
      <c r="C335" s="112">
        <v>40.66836</v>
      </c>
      <c r="D335" s="112">
        <v>36.009018599999997</v>
      </c>
      <c r="E335" s="112">
        <v>39.103552610000001</v>
      </c>
      <c r="F335" s="169">
        <v>153.06139121000001</v>
      </c>
    </row>
    <row r="336" spans="1:6" ht="16.5" x14ac:dyDescent="0.3">
      <c r="A336" s="137" t="s">
        <v>140</v>
      </c>
      <c r="B336" s="112">
        <v>339.57</v>
      </c>
      <c r="C336" s="112">
        <v>358.49</v>
      </c>
      <c r="D336" s="112">
        <v>357</v>
      </c>
      <c r="E336" s="112">
        <v>302.05</v>
      </c>
      <c r="F336" s="169">
        <v>1357.11</v>
      </c>
    </row>
    <row r="337" spans="1:6" ht="16.5" x14ac:dyDescent="0.3">
      <c r="A337" s="137" t="s">
        <v>253</v>
      </c>
      <c r="B337" s="112">
        <v>41.438226</v>
      </c>
      <c r="C337" s="112">
        <v>22.65</v>
      </c>
      <c r="D337" s="112">
        <v>44.097728539999999</v>
      </c>
      <c r="E337" s="112">
        <v>67.2</v>
      </c>
      <c r="F337" s="169">
        <v>175.38595454</v>
      </c>
    </row>
    <row r="338" spans="1:6" ht="16.5" x14ac:dyDescent="0.3">
      <c r="A338" s="137" t="s">
        <v>254</v>
      </c>
      <c r="B338" s="112">
        <v>0</v>
      </c>
      <c r="C338" s="112">
        <v>0</v>
      </c>
      <c r="D338" s="112">
        <v>3.3340000000000001</v>
      </c>
      <c r="E338" s="112">
        <v>17.875542589999998</v>
      </c>
      <c r="F338" s="169">
        <v>21.209542589999998</v>
      </c>
    </row>
    <row r="339" spans="1:6" ht="16.5" x14ac:dyDescent="0.3">
      <c r="A339" s="133" t="s">
        <v>217</v>
      </c>
      <c r="B339" s="115">
        <v>9.1932850100000003</v>
      </c>
      <c r="C339" s="115">
        <v>8.3483400000000003</v>
      </c>
      <c r="D339" s="115">
        <v>7.5648700529999999</v>
      </c>
      <c r="E339" s="115">
        <v>9.7832050000000006</v>
      </c>
      <c r="F339" s="169">
        <v>34.889700062999999</v>
      </c>
    </row>
    <row r="340" spans="1:6" ht="16.5" x14ac:dyDescent="0.3">
      <c r="A340" s="133" t="s">
        <v>218</v>
      </c>
      <c r="B340" s="112">
        <v>9.8655386600000003</v>
      </c>
      <c r="C340" s="112">
        <v>14.035817229999999</v>
      </c>
      <c r="D340" s="112">
        <v>3.7819999999999999E-2</v>
      </c>
      <c r="E340" s="112">
        <v>4.2054000000000001E-2</v>
      </c>
      <c r="F340" s="169">
        <v>23.981229889999998</v>
      </c>
    </row>
    <row r="341" spans="1:6" ht="16.5" x14ac:dyDescent="0.3">
      <c r="A341" s="133" t="s">
        <v>219</v>
      </c>
      <c r="B341" s="112">
        <v>0</v>
      </c>
      <c r="C341" s="112">
        <v>3.5401284999999998E-2</v>
      </c>
      <c r="D341" s="112">
        <v>2.0116874E-2</v>
      </c>
      <c r="E341" s="112">
        <v>6.3934930000000003</v>
      </c>
      <c r="F341" s="169">
        <v>6.4490111590000003</v>
      </c>
    </row>
    <row r="342" spans="1:6" ht="16.5" x14ac:dyDescent="0.3">
      <c r="A342" s="133" t="s">
        <v>220</v>
      </c>
      <c r="B342" s="112">
        <v>14.916596159999999</v>
      </c>
      <c r="C342" s="112">
        <v>108.1612076</v>
      </c>
      <c r="D342" s="112">
        <v>123.8124255</v>
      </c>
      <c r="E342" s="112">
        <v>18.377726410000001</v>
      </c>
      <c r="F342" s="169">
        <v>265.26795566999999</v>
      </c>
    </row>
    <row r="343" spans="1:6" ht="16.5" x14ac:dyDescent="0.3">
      <c r="A343" s="139" t="s">
        <v>148</v>
      </c>
      <c r="B343" s="121">
        <v>137.03948460000001</v>
      </c>
      <c r="C343" s="121">
        <v>180.15608019999999</v>
      </c>
      <c r="D343" s="121">
        <v>258.5430207</v>
      </c>
      <c r="E343" s="121">
        <v>194.3352466</v>
      </c>
      <c r="F343" s="171">
        <v>770.0738321</v>
      </c>
    </row>
    <row r="344" spans="1:6" ht="17.25" thickBot="1" x14ac:dyDescent="0.35">
      <c r="A344" s="141" t="s">
        <v>149</v>
      </c>
      <c r="B344" s="142">
        <v>498.18673580000001</v>
      </c>
      <c r="C344" s="142">
        <v>490.81209260000003</v>
      </c>
      <c r="D344" s="142">
        <v>521.75119619999998</v>
      </c>
      <c r="E344" s="142">
        <v>495.4693552</v>
      </c>
      <c r="F344" s="172">
        <v>2006.2193797999998</v>
      </c>
    </row>
    <row r="345" spans="1:6" ht="16.5" x14ac:dyDescent="0.3">
      <c r="A345" s="189" t="s">
        <v>195</v>
      </c>
      <c r="B345" s="189"/>
      <c r="C345" s="189"/>
      <c r="D345" s="144"/>
      <c r="E345" s="144"/>
      <c r="F345" s="144"/>
    </row>
    <row r="346" spans="1:6" ht="16.5" x14ac:dyDescent="0.3">
      <c r="A346" s="53"/>
      <c r="B346" s="95"/>
      <c r="C346" s="54"/>
      <c r="D346" s="144"/>
      <c r="E346" s="144"/>
      <c r="F346" s="144"/>
    </row>
    <row r="347" spans="1:6" ht="16.5" x14ac:dyDescent="0.3">
      <c r="A347" s="53"/>
      <c r="B347" s="95"/>
      <c r="C347" s="54"/>
      <c r="D347" s="144"/>
      <c r="E347" s="144"/>
      <c r="F347" s="144"/>
    </row>
    <row r="348" spans="1:6" ht="17.25" thickBot="1" x14ac:dyDescent="0.35">
      <c r="A348" s="127" t="s">
        <v>237</v>
      </c>
      <c r="B348" s="95"/>
      <c r="C348" s="54"/>
      <c r="D348" s="144"/>
      <c r="E348" s="144"/>
      <c r="F348" s="144"/>
    </row>
    <row r="349" spans="1:6" ht="18" thickTop="1" thickBot="1" x14ac:dyDescent="0.35">
      <c r="A349" s="60" t="s">
        <v>126</v>
      </c>
      <c r="B349" s="105" t="s">
        <v>235</v>
      </c>
      <c r="C349" s="105" t="s">
        <v>236</v>
      </c>
      <c r="D349" s="105" t="s">
        <v>255</v>
      </c>
      <c r="E349" s="105" t="s">
        <v>256</v>
      </c>
      <c r="F349" s="167">
        <v>2011</v>
      </c>
    </row>
    <row r="350" spans="1:6" ht="16.5" x14ac:dyDescent="0.3">
      <c r="A350" s="78" t="s">
        <v>258</v>
      </c>
      <c r="B350" s="79">
        <v>1110.1246572727271</v>
      </c>
      <c r="C350" s="79">
        <v>994.90727272727258</v>
      </c>
      <c r="D350" s="79">
        <v>1115.9002718181819</v>
      </c>
      <c r="E350" s="79">
        <v>966.17789727272725</v>
      </c>
      <c r="F350" s="173">
        <v>4187.1100990909081</v>
      </c>
    </row>
    <row r="351" spans="1:6" ht="16.5" x14ac:dyDescent="0.3">
      <c r="A351" s="81" t="s">
        <v>172</v>
      </c>
      <c r="B351" s="82">
        <v>146.35360645454543</v>
      </c>
      <c r="C351" s="82">
        <v>119.75594136363637</v>
      </c>
      <c r="D351" s="82">
        <v>122.63492736363636</v>
      </c>
      <c r="E351" s="82">
        <v>96.889263636363637</v>
      </c>
      <c r="F351" s="174">
        <v>485.63373881818183</v>
      </c>
    </row>
    <row r="352" spans="1:6" ht="16.5" x14ac:dyDescent="0.3">
      <c r="A352" s="40" t="s">
        <v>173</v>
      </c>
      <c r="B352" s="145">
        <v>58.666274709090899</v>
      </c>
      <c r="C352" s="145">
        <v>21.126311936363635</v>
      </c>
      <c r="D352" s="145">
        <v>34.162883236363633</v>
      </c>
      <c r="E352" s="145">
        <v>12.042712727272725</v>
      </c>
      <c r="F352" s="164">
        <v>125.99818260909089</v>
      </c>
    </row>
    <row r="353" spans="1:6" ht="16.5" x14ac:dyDescent="0.3">
      <c r="A353" s="40" t="s">
        <v>174</v>
      </c>
      <c r="B353" s="145">
        <v>0.48679926363636361</v>
      </c>
      <c r="C353" s="145">
        <v>1.3490008099999999</v>
      </c>
      <c r="D353" s="145">
        <v>3.1337725527272724</v>
      </c>
      <c r="E353" s="145">
        <v>1.6581354545454545</v>
      </c>
      <c r="F353" s="164">
        <v>6.6277080809090902</v>
      </c>
    </row>
    <row r="354" spans="1:6" ht="16.5" x14ac:dyDescent="0.3">
      <c r="A354" s="40" t="s">
        <v>175</v>
      </c>
      <c r="B354" s="145">
        <v>0.27021768454545453</v>
      </c>
      <c r="C354" s="145">
        <v>0.25603652363636364</v>
      </c>
      <c r="D354" s="145">
        <v>0.75660892363636367</v>
      </c>
      <c r="E354" s="145">
        <v>0.62575727272727266</v>
      </c>
      <c r="F354" s="164">
        <v>1.9086204045454545</v>
      </c>
    </row>
    <row r="355" spans="1:6" ht="16.5" x14ac:dyDescent="0.3">
      <c r="A355" s="40" t="s">
        <v>176</v>
      </c>
      <c r="B355" s="145">
        <v>15.791499709090907</v>
      </c>
      <c r="C355" s="145">
        <v>12.630340518181818</v>
      </c>
      <c r="D355" s="145">
        <v>11.066785990909089</v>
      </c>
      <c r="E355" s="145">
        <v>35.909604545454542</v>
      </c>
      <c r="F355" s="164">
        <v>75.398230763636363</v>
      </c>
    </row>
    <row r="356" spans="1:6" ht="16.5" x14ac:dyDescent="0.3">
      <c r="A356" s="40" t="s">
        <v>177</v>
      </c>
      <c r="B356" s="145">
        <v>71.138815045454535</v>
      </c>
      <c r="C356" s="145">
        <v>84.394251609090901</v>
      </c>
      <c r="D356" s="145">
        <v>73.514876645454535</v>
      </c>
      <c r="E356" s="145">
        <v>46.65305363636363</v>
      </c>
      <c r="F356" s="164">
        <v>275.70099693636359</v>
      </c>
    </row>
    <row r="357" spans="1:6" ht="16.5" x14ac:dyDescent="0.3">
      <c r="A357" s="55" t="s">
        <v>178</v>
      </c>
      <c r="B357" s="145">
        <v>328.63823554545451</v>
      </c>
      <c r="C357" s="145">
        <v>219.90636409090905</v>
      </c>
      <c r="D357" s="145">
        <v>254.06586509090906</v>
      </c>
      <c r="E357" s="145">
        <v>220.8435760909091</v>
      </c>
      <c r="F357" s="164">
        <v>1023.4540408181817</v>
      </c>
    </row>
    <row r="358" spans="1:6" ht="16.5" x14ac:dyDescent="0.3">
      <c r="A358" s="40" t="s">
        <v>179</v>
      </c>
      <c r="B358" s="145">
        <v>292.07491154545448</v>
      </c>
      <c r="C358" s="145">
        <v>182.61046854545452</v>
      </c>
      <c r="D358" s="145">
        <v>215.65109263636361</v>
      </c>
      <c r="E358" s="145">
        <v>181.62671245454544</v>
      </c>
      <c r="F358" s="164">
        <v>871.96318518181806</v>
      </c>
    </row>
    <row r="359" spans="1:6" ht="16.5" x14ac:dyDescent="0.3">
      <c r="A359" s="43" t="s">
        <v>180</v>
      </c>
      <c r="B359" s="145">
        <v>238.12602981818179</v>
      </c>
      <c r="C359" s="145">
        <v>119.41766672727272</v>
      </c>
      <c r="D359" s="145">
        <v>134.34252945454546</v>
      </c>
      <c r="E359" s="145">
        <v>129.29296690909089</v>
      </c>
      <c r="F359" s="164">
        <v>621.17919290909083</v>
      </c>
    </row>
    <row r="360" spans="1:6" ht="16.5" x14ac:dyDescent="0.3">
      <c r="A360" s="43" t="s">
        <v>181</v>
      </c>
      <c r="B360" s="145">
        <v>37.130699836363632</v>
      </c>
      <c r="C360" s="145">
        <v>45.920074581818177</v>
      </c>
      <c r="D360" s="145">
        <v>55.399472318181807</v>
      </c>
      <c r="E360" s="145">
        <v>33.151927372727272</v>
      </c>
      <c r="F360" s="164">
        <v>171.6021741090909</v>
      </c>
    </row>
    <row r="361" spans="1:6" ht="16.5" x14ac:dyDescent="0.3">
      <c r="A361" s="43" t="s">
        <v>182</v>
      </c>
      <c r="B361" s="82">
        <v>16.818181818181817</v>
      </c>
      <c r="C361" s="82">
        <v>17.27272727272727</v>
      </c>
      <c r="D361" s="82">
        <v>25.909090909090907</v>
      </c>
      <c r="E361" s="82">
        <v>19.18181818181818</v>
      </c>
      <c r="F361" s="174">
        <v>79.181818181818173</v>
      </c>
    </row>
    <row r="362" spans="1:6" ht="16.5" x14ac:dyDescent="0.3">
      <c r="A362" s="40" t="s">
        <v>197</v>
      </c>
      <c r="B362" s="145">
        <v>36.563324054545454</v>
      </c>
      <c r="C362" s="145">
        <v>37.295895563636357</v>
      </c>
      <c r="D362" s="145">
        <v>38.414772427272723</v>
      </c>
      <c r="E362" s="145">
        <v>39.216863636363634</v>
      </c>
      <c r="F362" s="164">
        <v>151.49085568181818</v>
      </c>
    </row>
    <row r="363" spans="1:6" ht="16.5" x14ac:dyDescent="0.3">
      <c r="A363" s="55" t="s">
        <v>184</v>
      </c>
      <c r="B363" s="145">
        <v>123.18178881818181</v>
      </c>
      <c r="C363" s="145">
        <v>124.77161609090909</v>
      </c>
      <c r="D363" s="145">
        <v>143.20330727272727</v>
      </c>
      <c r="E363" s="145">
        <v>212.26628272727271</v>
      </c>
      <c r="F363" s="164">
        <v>603.4229949090909</v>
      </c>
    </row>
    <row r="364" spans="1:6" ht="16.5" x14ac:dyDescent="0.3">
      <c r="A364" s="55" t="s">
        <v>185</v>
      </c>
      <c r="B364" s="146">
        <v>221.81347990909089</v>
      </c>
      <c r="C364" s="146">
        <v>106.47920854545454</v>
      </c>
      <c r="D364" s="146">
        <v>182.77942327272726</v>
      </c>
      <c r="E364" s="146">
        <v>49.711227272727271</v>
      </c>
      <c r="F364" s="175">
        <v>560.78333899999996</v>
      </c>
    </row>
    <row r="365" spans="1:6" ht="16.5" x14ac:dyDescent="0.3">
      <c r="A365" s="86" t="s">
        <v>186</v>
      </c>
      <c r="B365" s="147">
        <v>0</v>
      </c>
      <c r="C365" s="165">
        <v>0</v>
      </c>
      <c r="D365" s="145">
        <v>0</v>
      </c>
      <c r="E365" s="145">
        <v>0</v>
      </c>
      <c r="F365" s="164">
        <v>0</v>
      </c>
    </row>
    <row r="366" spans="1:6" ht="16.5" x14ac:dyDescent="0.3">
      <c r="A366" s="56" t="s">
        <v>198</v>
      </c>
      <c r="B366" s="100">
        <v>290.13754699999993</v>
      </c>
      <c r="C366" s="100">
        <v>423.99414281818179</v>
      </c>
      <c r="D366" s="100">
        <v>413.21674845454538</v>
      </c>
      <c r="E366" s="100">
        <v>386.46754727272724</v>
      </c>
      <c r="F366" s="176">
        <v>1513.8159855454544</v>
      </c>
    </row>
    <row r="367" spans="1:6" ht="16.5" x14ac:dyDescent="0.3">
      <c r="A367" s="87" t="s">
        <v>199</v>
      </c>
      <c r="B367" s="85">
        <v>190.39</v>
      </c>
      <c r="C367" s="85">
        <v>180.39999999999998</v>
      </c>
      <c r="D367" s="85">
        <v>181.73</v>
      </c>
      <c r="E367" s="85">
        <v>169.27999999999997</v>
      </c>
      <c r="F367" s="174">
        <v>721.8</v>
      </c>
    </row>
    <row r="368" spans="1:6" ht="16.5" x14ac:dyDescent="0.3">
      <c r="A368" s="87" t="s">
        <v>200</v>
      </c>
      <c r="B368" s="85">
        <v>4.3058538918181819</v>
      </c>
      <c r="C368" s="85">
        <v>4.1965795454545454</v>
      </c>
      <c r="D368" s="85">
        <v>0.23112203727272729</v>
      </c>
      <c r="E368" s="85">
        <v>0.26621454545454543</v>
      </c>
      <c r="F368" s="174">
        <v>8.9997700199999997</v>
      </c>
    </row>
    <row r="369" spans="1:6" ht="16.5" x14ac:dyDescent="0.3">
      <c r="A369" s="87" t="s">
        <v>201</v>
      </c>
      <c r="B369" s="85">
        <v>0</v>
      </c>
      <c r="C369" s="85">
        <v>0</v>
      </c>
      <c r="D369" s="85">
        <v>0</v>
      </c>
      <c r="E369" s="85">
        <v>0</v>
      </c>
      <c r="F369" s="174">
        <v>0</v>
      </c>
    </row>
    <row r="370" spans="1:6" ht="16.5" x14ac:dyDescent="0.3">
      <c r="A370" s="87" t="s">
        <v>202</v>
      </c>
      <c r="B370" s="85">
        <v>0</v>
      </c>
      <c r="C370" s="85">
        <v>0</v>
      </c>
      <c r="D370" s="85">
        <v>0</v>
      </c>
      <c r="E370" s="85">
        <v>0</v>
      </c>
      <c r="F370" s="174">
        <v>0</v>
      </c>
    </row>
    <row r="371" spans="1:6" ht="16.5" x14ac:dyDescent="0.3">
      <c r="A371" s="87" t="s">
        <v>203</v>
      </c>
      <c r="B371" s="85">
        <v>4.623511283636363</v>
      </c>
      <c r="C371" s="85">
        <v>0.21574511818181816</v>
      </c>
      <c r="D371" s="85">
        <v>4.0738082445454546</v>
      </c>
      <c r="E371" s="85">
        <v>3.6486054545454545</v>
      </c>
      <c r="F371" s="174">
        <v>12.561670100909089</v>
      </c>
    </row>
    <row r="372" spans="1:6" ht="16.5" x14ac:dyDescent="0.3">
      <c r="A372" s="87" t="s">
        <v>204</v>
      </c>
      <c r="B372" s="85">
        <v>90.818181818181813</v>
      </c>
      <c r="C372" s="85">
        <v>239.18181818181819</v>
      </c>
      <c r="D372" s="85">
        <v>227.18181818181816</v>
      </c>
      <c r="E372" s="85">
        <v>213.27272727272725</v>
      </c>
      <c r="F372" s="174">
        <v>770.45454545454538</v>
      </c>
    </row>
    <row r="373" spans="1:6" ht="17.25" thickBot="1" x14ac:dyDescent="0.35">
      <c r="A373" s="88" t="s">
        <v>188</v>
      </c>
      <c r="B373" s="152">
        <v>819.98711072727269</v>
      </c>
      <c r="C373" s="166">
        <v>570.91313018181813</v>
      </c>
      <c r="D373" s="89">
        <v>702.68352299999992</v>
      </c>
      <c r="E373" s="166">
        <v>579.71034972727261</v>
      </c>
      <c r="F373" s="177">
        <v>2673.2941136363629</v>
      </c>
    </row>
    <row r="374" spans="1:6" ht="17.25" thickTop="1" x14ac:dyDescent="0.3">
      <c r="A374" s="189" t="s">
        <v>195</v>
      </c>
      <c r="B374" s="189"/>
      <c r="C374" s="190"/>
      <c r="D374" s="144"/>
      <c r="E374" s="144"/>
      <c r="F374" s="144"/>
    </row>
    <row r="377" spans="1:6" ht="17.25" thickBot="1" x14ac:dyDescent="0.35">
      <c r="A377" s="151" t="s">
        <v>260</v>
      </c>
      <c r="B377" s="151"/>
      <c r="C377" s="151"/>
      <c r="D377" s="103"/>
      <c r="E377" s="103"/>
      <c r="F377" s="103"/>
    </row>
    <row r="378" spans="1:6" ht="18" thickTop="1" thickBot="1" x14ac:dyDescent="0.35">
      <c r="A378" s="149" t="s">
        <v>126</v>
      </c>
      <c r="B378" s="105" t="s">
        <v>262</v>
      </c>
      <c r="C378" s="105" t="s">
        <v>263</v>
      </c>
      <c r="D378" s="105" t="s">
        <v>264</v>
      </c>
      <c r="E378" s="105" t="s">
        <v>265</v>
      </c>
      <c r="F378" s="167">
        <v>2012</v>
      </c>
    </row>
    <row r="379" spans="1:6" ht="16.5" x14ac:dyDescent="0.3">
      <c r="A379" s="180" t="s">
        <v>259</v>
      </c>
      <c r="B379" s="181">
        <v>925.19274370907408</v>
      </c>
      <c r="C379" s="132">
        <v>871.80261646888675</v>
      </c>
      <c r="D379" s="132">
        <v>804.56906669630632</v>
      </c>
      <c r="E379" s="132"/>
      <c r="F379" s="168"/>
    </row>
    <row r="380" spans="1:6" ht="16.5" x14ac:dyDescent="0.3">
      <c r="A380" s="182" t="s">
        <v>129</v>
      </c>
      <c r="B380" s="112">
        <v>773.72886570907383</v>
      </c>
      <c r="C380" s="112">
        <v>697.68803246888683</v>
      </c>
      <c r="D380" s="112">
        <v>711.95520705705997</v>
      </c>
      <c r="E380" s="112"/>
      <c r="F380" s="169"/>
    </row>
    <row r="381" spans="1:6" ht="16.5" x14ac:dyDescent="0.3">
      <c r="A381" s="183" t="s">
        <v>130</v>
      </c>
      <c r="B381" s="135">
        <v>1.5756489999999999</v>
      </c>
      <c r="C381" s="135">
        <v>14.13</v>
      </c>
      <c r="D381" s="135">
        <v>2.6210128592954254</v>
      </c>
      <c r="E381" s="135"/>
      <c r="F381" s="170"/>
    </row>
    <row r="382" spans="1:6" ht="16.5" x14ac:dyDescent="0.3">
      <c r="A382" s="184" t="s">
        <v>131</v>
      </c>
      <c r="B382" s="112">
        <v>13.423881000000002</v>
      </c>
      <c r="C382" s="112">
        <v>6.0374999999999996</v>
      </c>
      <c r="D382" s="112">
        <v>2.9481666771470563</v>
      </c>
      <c r="E382" s="112"/>
      <c r="F382" s="169"/>
    </row>
    <row r="383" spans="1:6" ht="16.5" x14ac:dyDescent="0.3">
      <c r="A383" s="184" t="s">
        <v>132</v>
      </c>
      <c r="B383" s="112">
        <v>8.9330610000000004</v>
      </c>
      <c r="C383" s="112">
        <v>9.5979093099999897</v>
      </c>
      <c r="D383" s="112">
        <v>10.242900860000002</v>
      </c>
      <c r="E383" s="112"/>
      <c r="F383" s="169"/>
    </row>
    <row r="384" spans="1:6" ht="16.5" x14ac:dyDescent="0.3">
      <c r="A384" s="184" t="s">
        <v>133</v>
      </c>
      <c r="B384" s="112">
        <v>15.53314</v>
      </c>
      <c r="C384" s="112">
        <v>12.674196</v>
      </c>
      <c r="D384" s="112">
        <v>59.990268870000001</v>
      </c>
      <c r="E384" s="112"/>
      <c r="F384" s="169"/>
    </row>
    <row r="385" spans="1:6" ht="16.5" x14ac:dyDescent="0.3">
      <c r="A385" s="184" t="s">
        <v>134</v>
      </c>
      <c r="B385" s="112">
        <v>29.886623</v>
      </c>
      <c r="C385" s="112">
        <v>20.309727599999999</v>
      </c>
      <c r="D385" s="112">
        <v>70.675022999999996</v>
      </c>
      <c r="E385" s="112"/>
      <c r="F385" s="169"/>
    </row>
    <row r="386" spans="1:6" ht="16.5" x14ac:dyDescent="0.3">
      <c r="A386" s="184" t="s">
        <v>135</v>
      </c>
      <c r="B386" s="112">
        <v>0.61419000000000001</v>
      </c>
      <c r="C386" s="112">
        <v>0.28349999999999997</v>
      </c>
      <c r="D386" s="112">
        <v>6.4358467673191921E-2</v>
      </c>
      <c r="E386" s="112"/>
      <c r="F386" s="169"/>
    </row>
    <row r="387" spans="1:6" ht="16.5" x14ac:dyDescent="0.3">
      <c r="A387" s="184" t="s">
        <v>136</v>
      </c>
      <c r="B387" s="112">
        <v>68.474672000000012</v>
      </c>
      <c r="C387" s="112">
        <v>2.92</v>
      </c>
      <c r="D387" s="112">
        <v>29.512577787233276</v>
      </c>
      <c r="E387" s="112"/>
      <c r="F387" s="169"/>
    </row>
    <row r="388" spans="1:6" ht="16.5" x14ac:dyDescent="0.3">
      <c r="A388" s="184" t="s">
        <v>137</v>
      </c>
      <c r="B388" s="112">
        <v>45.547438999999997</v>
      </c>
      <c r="C388" s="112">
        <v>0.52949999999999997</v>
      </c>
      <c r="D388" s="112">
        <v>0.42</v>
      </c>
      <c r="E388" s="112"/>
      <c r="F388" s="169"/>
    </row>
    <row r="389" spans="1:6" ht="16.5" x14ac:dyDescent="0.3">
      <c r="A389" s="184" t="s">
        <v>138</v>
      </c>
      <c r="B389" s="112">
        <v>72.138895709073836</v>
      </c>
      <c r="C389" s="112">
        <v>78.194432308886903</v>
      </c>
      <c r="D389" s="112">
        <v>43.61936805916244</v>
      </c>
      <c r="E389" s="112"/>
      <c r="F389" s="169"/>
    </row>
    <row r="390" spans="1:6" ht="16.5" x14ac:dyDescent="0.3">
      <c r="A390" s="184" t="s">
        <v>139</v>
      </c>
      <c r="B390" s="112">
        <v>50.468319999999999</v>
      </c>
      <c r="C390" s="112">
        <v>39.923471439999993</v>
      </c>
      <c r="D390" s="112">
        <v>43.131309030000004</v>
      </c>
      <c r="E390" s="112"/>
      <c r="F390" s="169"/>
    </row>
    <row r="391" spans="1:6" ht="16.5" x14ac:dyDescent="0.3">
      <c r="A391" s="184" t="s">
        <v>140</v>
      </c>
      <c r="B391" s="112">
        <v>292.08999999999997</v>
      </c>
      <c r="C391" s="112">
        <v>289.60000000000002</v>
      </c>
      <c r="D391" s="112">
        <v>262.58999999999997</v>
      </c>
      <c r="E391" s="112"/>
      <c r="F391" s="169"/>
    </row>
    <row r="392" spans="1:6" ht="16.5" x14ac:dyDescent="0.3">
      <c r="A392" s="184" t="s">
        <v>253</v>
      </c>
      <c r="B392" s="112">
        <v>40.049917000000001</v>
      </c>
      <c r="C392" s="112">
        <v>80.06602986</v>
      </c>
      <c r="D392" s="112">
        <v>45.002842170000072</v>
      </c>
      <c r="E392" s="112"/>
      <c r="F392" s="169"/>
    </row>
    <row r="393" spans="1:6" ht="16.5" x14ac:dyDescent="0.3">
      <c r="A393" s="184" t="s">
        <v>254</v>
      </c>
      <c r="B393" s="112">
        <v>88.803078000000014</v>
      </c>
      <c r="C393" s="112">
        <v>107.59876595</v>
      </c>
      <c r="D393" s="112">
        <v>116.56646644822129</v>
      </c>
      <c r="E393" s="112"/>
      <c r="F393" s="169"/>
    </row>
    <row r="394" spans="1:6" ht="16.5" x14ac:dyDescent="0.3">
      <c r="A394" s="182" t="s">
        <v>217</v>
      </c>
      <c r="B394" s="112">
        <v>8.9499199999999988</v>
      </c>
      <c r="C394" s="115">
        <v>6.7259620000000009</v>
      </c>
      <c r="D394" s="115">
        <v>6.4180233800000002</v>
      </c>
      <c r="E394" s="115"/>
      <c r="F394" s="169"/>
    </row>
    <row r="395" spans="1:6" ht="16.5" x14ac:dyDescent="0.3">
      <c r="A395" s="182" t="s">
        <v>218</v>
      </c>
      <c r="B395" s="112">
        <v>3.160717</v>
      </c>
      <c r="C395" s="112">
        <v>0.25862199999999996</v>
      </c>
      <c r="D395" s="112">
        <v>1.3965069699999999</v>
      </c>
      <c r="E395" s="112"/>
      <c r="F395" s="169"/>
    </row>
    <row r="396" spans="1:6" ht="16.5" x14ac:dyDescent="0.3">
      <c r="A396" s="182" t="s">
        <v>219</v>
      </c>
      <c r="B396" s="112">
        <v>0.2112</v>
      </c>
      <c r="C396" s="112">
        <v>0</v>
      </c>
      <c r="D396" s="112">
        <v>0</v>
      </c>
      <c r="E396" s="112"/>
      <c r="F396" s="169"/>
    </row>
    <row r="397" spans="1:6" ht="16.5" x14ac:dyDescent="0.3">
      <c r="A397" s="182" t="s">
        <v>220</v>
      </c>
      <c r="B397" s="112">
        <v>185.33204100000029</v>
      </c>
      <c r="C397" s="112">
        <v>202.953</v>
      </c>
      <c r="D397" s="112">
        <v>109.37024211757353</v>
      </c>
      <c r="E397" s="112"/>
      <c r="F397" s="169"/>
    </row>
    <row r="398" spans="1:6" ht="16.5" x14ac:dyDescent="0.3">
      <c r="A398" s="187" t="s">
        <v>148</v>
      </c>
      <c r="B398" s="185">
        <v>381.6425330000003</v>
      </c>
      <c r="C398" s="121">
        <v>276.41991690999987</v>
      </c>
      <c r="D398" s="121">
        <v>293.6590809889226</v>
      </c>
      <c r="E398" s="121"/>
      <c r="F398" s="171"/>
    </row>
    <row r="399" spans="1:6" ht="17.25" thickBot="1" x14ac:dyDescent="0.35">
      <c r="A399" s="188" t="s">
        <v>149</v>
      </c>
      <c r="B399" s="186">
        <v>543.55021070907378</v>
      </c>
      <c r="C399" s="142">
        <v>595.38269955888688</v>
      </c>
      <c r="D399" s="142">
        <v>510.90998570738373</v>
      </c>
      <c r="E399" s="142"/>
      <c r="F399" s="172"/>
    </row>
    <row r="400" spans="1:6" ht="16.5" x14ac:dyDescent="0.3">
      <c r="A400" s="189" t="s">
        <v>195</v>
      </c>
      <c r="B400" s="189"/>
      <c r="C400" s="189"/>
      <c r="D400" s="144"/>
      <c r="E400" s="144"/>
      <c r="F400" s="144"/>
    </row>
    <row r="401" spans="1:6" ht="16.5" x14ac:dyDescent="0.3">
      <c r="A401" s="178"/>
      <c r="B401" s="95"/>
      <c r="C401" s="54"/>
      <c r="D401" s="144"/>
      <c r="E401" s="144"/>
      <c r="F401" s="144"/>
    </row>
    <row r="402" spans="1:6" ht="16.5" x14ac:dyDescent="0.3">
      <c r="A402" s="178"/>
      <c r="B402" s="95"/>
      <c r="C402" s="54"/>
      <c r="D402" s="144"/>
      <c r="E402" s="144"/>
      <c r="F402" s="144"/>
    </row>
    <row r="403" spans="1:6" ht="17.25" thickBot="1" x14ac:dyDescent="0.35">
      <c r="A403" s="127" t="s">
        <v>261</v>
      </c>
      <c r="B403" s="95"/>
      <c r="C403" s="54"/>
      <c r="D403" s="144"/>
      <c r="E403" s="144"/>
      <c r="F403" s="144"/>
    </row>
    <row r="404" spans="1:6" ht="18" thickTop="1" thickBot="1" x14ac:dyDescent="0.35">
      <c r="A404" s="60" t="s">
        <v>126</v>
      </c>
      <c r="B404" s="105" t="s">
        <v>262</v>
      </c>
      <c r="C404" s="105" t="s">
        <v>263</v>
      </c>
      <c r="D404" s="105" t="s">
        <v>264</v>
      </c>
      <c r="E404" s="105" t="s">
        <v>265</v>
      </c>
      <c r="F404" s="167">
        <v>2012</v>
      </c>
    </row>
    <row r="405" spans="1:6" ht="16.5" x14ac:dyDescent="0.3">
      <c r="A405" s="78" t="s">
        <v>258</v>
      </c>
      <c r="B405" s="79">
        <v>1616.1278508813962</v>
      </c>
      <c r="C405" s="79">
        <v>1642.6164994101896</v>
      </c>
      <c r="D405" s="79">
        <v>1430.769634047851</v>
      </c>
      <c r="E405" s="79"/>
      <c r="F405" s="173"/>
    </row>
    <row r="406" spans="1:6" ht="16.5" x14ac:dyDescent="0.3">
      <c r="A406" s="81" t="s">
        <v>172</v>
      </c>
      <c r="B406" s="82">
        <v>253.79536695116258</v>
      </c>
      <c r="C406" s="82">
        <v>183.34002344289902</v>
      </c>
      <c r="D406" s="82">
        <v>203.86080240897272</v>
      </c>
      <c r="E406" s="82"/>
      <c r="F406" s="174"/>
    </row>
    <row r="407" spans="1:6" ht="16.5" x14ac:dyDescent="0.3">
      <c r="A407" s="40" t="s">
        <v>173</v>
      </c>
      <c r="B407" s="145">
        <v>91.463009971522794</v>
      </c>
      <c r="C407" s="145">
        <v>57.163290017271962</v>
      </c>
      <c r="D407" s="145">
        <v>68.028051232670293</v>
      </c>
      <c r="E407" s="145"/>
      <c r="F407" s="164"/>
    </row>
    <row r="408" spans="1:6" ht="16.5" x14ac:dyDescent="0.3">
      <c r="A408" s="40" t="s">
        <v>174</v>
      </c>
      <c r="B408" s="145">
        <v>1.429564076720129</v>
      </c>
      <c r="C408" s="145">
        <v>1.5680000000000001</v>
      </c>
      <c r="D408" s="145">
        <v>2.9212788259916418</v>
      </c>
      <c r="E408" s="145"/>
      <c r="F408" s="164"/>
    </row>
    <row r="409" spans="1:6" ht="16.5" x14ac:dyDescent="0.3">
      <c r="A409" s="40" t="s">
        <v>175</v>
      </c>
      <c r="B409" s="145">
        <v>1.4530109178282504</v>
      </c>
      <c r="C409" s="145">
        <v>1.5209400024163668</v>
      </c>
      <c r="D409" s="145">
        <v>1.3824037917125862</v>
      </c>
      <c r="E409" s="145"/>
      <c r="F409" s="164"/>
    </row>
    <row r="410" spans="1:6" ht="16.5" x14ac:dyDescent="0.3">
      <c r="A410" s="40" t="s">
        <v>176</v>
      </c>
      <c r="B410" s="145">
        <v>10.654208660056289</v>
      </c>
      <c r="C410" s="145">
        <v>13.315140840637262</v>
      </c>
      <c r="D410" s="145">
        <v>12.557523427263613</v>
      </c>
      <c r="E410" s="145"/>
      <c r="F410" s="164"/>
    </row>
    <row r="411" spans="1:6" ht="16.5" x14ac:dyDescent="0.3">
      <c r="A411" s="40" t="s">
        <v>177</v>
      </c>
      <c r="B411" s="145">
        <v>127.80992044016098</v>
      </c>
      <c r="C411" s="145">
        <v>90.149000000000001</v>
      </c>
      <c r="D411" s="145">
        <v>86.920517584978754</v>
      </c>
      <c r="E411" s="145"/>
      <c r="F411" s="164"/>
    </row>
    <row r="412" spans="1:6" ht="16.5" x14ac:dyDescent="0.3">
      <c r="A412" s="55" t="s">
        <v>178</v>
      </c>
      <c r="B412" s="145">
        <v>289.43015858047607</v>
      </c>
      <c r="C412" s="145">
        <v>305.36040025416906</v>
      </c>
      <c r="D412" s="145">
        <v>364.17753278534298</v>
      </c>
      <c r="E412" s="145"/>
      <c r="F412" s="164"/>
    </row>
    <row r="413" spans="1:6" ht="16.5" x14ac:dyDescent="0.3">
      <c r="A413" s="40" t="s">
        <v>179</v>
      </c>
      <c r="B413" s="145">
        <v>188.94014926759664</v>
      </c>
      <c r="C413" s="145">
        <v>208.84580239859869</v>
      </c>
      <c r="D413" s="145">
        <v>264.42256452106477</v>
      </c>
      <c r="E413" s="145"/>
      <c r="F413" s="164"/>
    </row>
    <row r="414" spans="1:6" ht="16.5" x14ac:dyDescent="0.3">
      <c r="A414" s="43" t="s">
        <v>180</v>
      </c>
      <c r="B414" s="145">
        <v>114.3852613821026</v>
      </c>
      <c r="C414" s="145">
        <v>156.26419707840836</v>
      </c>
      <c r="D414" s="145">
        <v>200.63735377736378</v>
      </c>
      <c r="E414" s="145"/>
      <c r="F414" s="164"/>
    </row>
    <row r="415" spans="1:6" ht="16.5" x14ac:dyDescent="0.3">
      <c r="A415" s="43" t="s">
        <v>181</v>
      </c>
      <c r="B415" s="145">
        <v>46.744216133494049</v>
      </c>
      <c r="C415" s="145">
        <v>52.581605320190327</v>
      </c>
      <c r="D415" s="145">
        <v>63.785210743700979</v>
      </c>
      <c r="E415" s="145"/>
      <c r="F415" s="164"/>
    </row>
    <row r="416" spans="1:6" ht="16.5" x14ac:dyDescent="0.3">
      <c r="A416" s="43" t="s">
        <v>182</v>
      </c>
      <c r="B416" s="82">
        <v>27.810671752000001</v>
      </c>
      <c r="C416" s="82">
        <v>0</v>
      </c>
      <c r="D416" s="82">
        <v>0</v>
      </c>
      <c r="E416" s="82"/>
      <c r="F416" s="174"/>
    </row>
    <row r="417" spans="1:6" ht="16.5" x14ac:dyDescent="0.3">
      <c r="A417" s="40" t="s">
        <v>197</v>
      </c>
      <c r="B417" s="145">
        <v>78.677464215457022</v>
      </c>
      <c r="C417" s="145">
        <v>77.816491511517881</v>
      </c>
      <c r="D417" s="145">
        <v>77.497531949932281</v>
      </c>
      <c r="E417" s="145"/>
      <c r="F417" s="164"/>
    </row>
    <row r="418" spans="1:6" ht="16.5" x14ac:dyDescent="0.3">
      <c r="A418" s="55" t="s">
        <v>184</v>
      </c>
      <c r="B418" s="145">
        <v>410.64500735769025</v>
      </c>
      <c r="C418" s="145">
        <v>384.31336453794773</v>
      </c>
      <c r="D418" s="145">
        <v>284.07063841384627</v>
      </c>
      <c r="E418" s="145"/>
      <c r="F418" s="164"/>
    </row>
    <row r="419" spans="1:6" ht="16.5" x14ac:dyDescent="0.3">
      <c r="A419" s="55" t="s">
        <v>185</v>
      </c>
      <c r="B419" s="146">
        <v>254.24273897436376</v>
      </c>
      <c r="C419" s="146">
        <v>274.36847010179963</v>
      </c>
      <c r="D419" s="146">
        <v>247.19485116039067</v>
      </c>
      <c r="E419" s="146"/>
      <c r="F419" s="175"/>
    </row>
    <row r="420" spans="1:6" ht="16.5" x14ac:dyDescent="0.3">
      <c r="A420" s="86" t="s">
        <v>186</v>
      </c>
      <c r="B420" s="147">
        <v>0</v>
      </c>
      <c r="C420" s="165">
        <v>0</v>
      </c>
      <c r="D420" s="145">
        <v>0</v>
      </c>
      <c r="E420" s="145"/>
      <c r="F420" s="164"/>
    </row>
    <row r="421" spans="1:6" ht="16.5" x14ac:dyDescent="0.3">
      <c r="A421" s="56" t="s">
        <v>198</v>
      </c>
      <c r="B421" s="100">
        <v>450.8127770000001</v>
      </c>
      <c r="C421" s="100">
        <v>533.55600000000004</v>
      </c>
      <c r="D421" s="100">
        <v>385.77427313999999</v>
      </c>
      <c r="E421" s="100"/>
      <c r="F421" s="176"/>
    </row>
    <row r="422" spans="1:6" ht="16.5" x14ac:dyDescent="0.3">
      <c r="A422" s="87" t="s">
        <v>199</v>
      </c>
      <c r="B422" s="85">
        <v>156.75000000000003</v>
      </c>
      <c r="C422" s="85">
        <v>206.107</v>
      </c>
      <c r="D422" s="85">
        <v>145.95900000000003</v>
      </c>
      <c r="E422" s="85"/>
      <c r="F422" s="174"/>
    </row>
    <row r="423" spans="1:6" ht="16.5" x14ac:dyDescent="0.3">
      <c r="A423" s="87" t="s">
        <v>200</v>
      </c>
      <c r="B423" s="85">
        <v>4.3059999999999999E-3</v>
      </c>
      <c r="C423" s="85">
        <v>8.1000000000000003E-2</v>
      </c>
      <c r="D423" s="85">
        <v>0</v>
      </c>
      <c r="E423" s="85"/>
      <c r="F423" s="174"/>
    </row>
    <row r="424" spans="1:6" ht="16.5" x14ac:dyDescent="0.3">
      <c r="A424" s="87" t="s">
        <v>201</v>
      </c>
      <c r="B424" s="85">
        <v>0</v>
      </c>
      <c r="C424" s="85">
        <v>0</v>
      </c>
      <c r="D424" s="85">
        <v>0</v>
      </c>
      <c r="E424" s="85"/>
      <c r="F424" s="174"/>
    </row>
    <row r="425" spans="1:6" ht="16.5" x14ac:dyDescent="0.3">
      <c r="A425" s="87" t="s">
        <v>202</v>
      </c>
      <c r="B425" s="85">
        <v>0</v>
      </c>
      <c r="C425" s="85">
        <v>0</v>
      </c>
      <c r="D425" s="85">
        <v>0</v>
      </c>
      <c r="E425" s="85"/>
      <c r="F425" s="174"/>
    </row>
    <row r="426" spans="1:6" ht="16.5" x14ac:dyDescent="0.3">
      <c r="A426" s="87" t="s">
        <v>203</v>
      </c>
      <c r="B426" s="85">
        <v>12.458472</v>
      </c>
      <c r="C426" s="85">
        <v>6.3769999999999998</v>
      </c>
      <c r="D426" s="85">
        <v>12.926079390000002</v>
      </c>
      <c r="E426" s="85"/>
      <c r="F426" s="174"/>
    </row>
    <row r="427" spans="1:6" ht="16.5" x14ac:dyDescent="0.3">
      <c r="A427" s="87" t="s">
        <v>204</v>
      </c>
      <c r="B427" s="85">
        <v>281.59999900000003</v>
      </c>
      <c r="C427" s="85">
        <v>320.99099999999999</v>
      </c>
      <c r="D427" s="85">
        <v>226.88919374999998</v>
      </c>
      <c r="E427" s="85"/>
      <c r="F427" s="174"/>
    </row>
    <row r="428" spans="1:6" ht="17.25" thickBot="1" x14ac:dyDescent="0.35">
      <c r="A428" s="88" t="s">
        <v>188</v>
      </c>
      <c r="B428" s="152">
        <v>1165.3150738813961</v>
      </c>
      <c r="C428" s="166">
        <v>1109.0604994101895</v>
      </c>
      <c r="D428" s="89">
        <v>1044.9953609078511</v>
      </c>
      <c r="E428" s="166"/>
      <c r="F428" s="177"/>
    </row>
    <row r="429" spans="1:6" ht="17.25" thickTop="1" x14ac:dyDescent="0.3">
      <c r="A429" s="189" t="s">
        <v>195</v>
      </c>
      <c r="B429" s="189"/>
      <c r="C429" s="190"/>
      <c r="D429" s="144"/>
      <c r="E429" s="144"/>
      <c r="F429" s="144"/>
    </row>
  </sheetData>
  <mergeCells count="24">
    <mergeCell ref="A215:C215"/>
    <mergeCell ref="A345:C345"/>
    <mergeCell ref="A374:C374"/>
    <mergeCell ref="A237:C237"/>
    <mergeCell ref="A266:C266"/>
    <mergeCell ref="A268:C268"/>
    <mergeCell ref="A290:C290"/>
    <mergeCell ref="A319:C319"/>
    <mergeCell ref="A400:C400"/>
    <mergeCell ref="A429:C429"/>
    <mergeCell ref="A2:F2"/>
    <mergeCell ref="A25:F25"/>
    <mergeCell ref="A30:F30"/>
    <mergeCell ref="A50:F50"/>
    <mergeCell ref="A51:F51"/>
    <mergeCell ref="A74:F74"/>
    <mergeCell ref="A79:F79"/>
    <mergeCell ref="A105:F105"/>
    <mergeCell ref="A106:F106"/>
    <mergeCell ref="A130:F130"/>
    <mergeCell ref="A133:F133"/>
    <mergeCell ref="A159:F159"/>
    <mergeCell ref="A161:C161"/>
    <mergeCell ref="A183:C18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Balança de Pagamentos</vt:lpstr>
      <vt:lpstr>Comércio Externo 2005-2011</vt:lpstr>
    </vt:vector>
  </TitlesOfParts>
  <Company>BANCO DE MOCAMBIQUE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Ercilia Francisco Nhampossa</dc:creator>
  <cp:lastModifiedBy>Efrone Augusto Nhanala</cp:lastModifiedBy>
  <dcterms:created xsi:type="dcterms:W3CDTF">2012-05-24T10:35:33Z</dcterms:created>
  <dcterms:modified xsi:type="dcterms:W3CDTF">2012-12-21T06:27:28Z</dcterms:modified>
</cp:coreProperties>
</file>