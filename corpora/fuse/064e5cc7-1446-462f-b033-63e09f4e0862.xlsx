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135" windowHeight="8130"/>
  </bookViews>
  <sheets>
    <sheet name="instruction-districts" sheetId="1" r:id="rId1"/>
    <sheet name="instruction-charters" sheetId="2" r:id="rId2"/>
    <sheet name="support-districts" sheetId="3" r:id="rId3"/>
    <sheet name="support-charters" sheetId="4" r:id="rId4"/>
    <sheet name="Licensed FTEs" sheetId="5" r:id="rId5"/>
    <sheet name="Classified FTEs" sheetId="6" r:id="rId6"/>
  </sheets>
  <calcPr calcId="125725"/>
</workbook>
</file>

<file path=xl/calcChain.xml><?xml version="1.0" encoding="utf-8"?>
<calcChain xmlns="http://schemas.openxmlformats.org/spreadsheetml/2006/main">
  <c r="O23" i="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N8" i="4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9"/>
  <c r="N30"/>
  <c r="N31"/>
  <c r="N32"/>
  <c r="N28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7"/>
  <c r="N65" s="1"/>
  <c r="M65"/>
  <c r="L65"/>
  <c r="K65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9"/>
  <c r="G30"/>
  <c r="G31"/>
  <c r="G32"/>
  <c r="G28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7"/>
  <c r="G65" s="1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9"/>
  <c r="E30"/>
  <c r="E31"/>
  <c r="E32"/>
  <c r="E28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7"/>
  <c r="E65" s="1"/>
  <c r="D8"/>
  <c r="O8" s="1"/>
  <c r="D9"/>
  <c r="O9" s="1"/>
  <c r="D10"/>
  <c r="O10" s="1"/>
  <c r="D11"/>
  <c r="O11" s="1"/>
  <c r="D12"/>
  <c r="O12" s="1"/>
  <c r="D13"/>
  <c r="O13" s="1"/>
  <c r="D14"/>
  <c r="O14" s="1"/>
  <c r="D15"/>
  <c r="O15" s="1"/>
  <c r="D16"/>
  <c r="O16" s="1"/>
  <c r="D17"/>
  <c r="O17" s="1"/>
  <c r="D18"/>
  <c r="O18" s="1"/>
  <c r="D19"/>
  <c r="O19" s="1"/>
  <c r="D20"/>
  <c r="O20" s="1"/>
  <c r="D21"/>
  <c r="O21" s="1"/>
  <c r="D22"/>
  <c r="O22" s="1"/>
  <c r="D23"/>
  <c r="O23" s="1"/>
  <c r="D24"/>
  <c r="O24" s="1"/>
  <c r="D25"/>
  <c r="O25" s="1"/>
  <c r="D26"/>
  <c r="O26" s="1"/>
  <c r="D27"/>
  <c r="O27" s="1"/>
  <c r="D29"/>
  <c r="D30"/>
  <c r="O30" s="1"/>
  <c r="D31"/>
  <c r="O31" s="1"/>
  <c r="D32"/>
  <c r="O32" s="1"/>
  <c r="D28"/>
  <c r="O28" s="1"/>
  <c r="D33"/>
  <c r="O33" s="1"/>
  <c r="D34"/>
  <c r="O34" s="1"/>
  <c r="D35"/>
  <c r="O35" s="1"/>
  <c r="D36"/>
  <c r="O36" s="1"/>
  <c r="D37"/>
  <c r="O37" s="1"/>
  <c r="D38"/>
  <c r="O38" s="1"/>
  <c r="D39"/>
  <c r="O39" s="1"/>
  <c r="D40"/>
  <c r="O40" s="1"/>
  <c r="D41"/>
  <c r="O41" s="1"/>
  <c r="D42"/>
  <c r="O42" s="1"/>
  <c r="D43"/>
  <c r="O43" s="1"/>
  <c r="D44"/>
  <c r="O44" s="1"/>
  <c r="D45"/>
  <c r="O45" s="1"/>
  <c r="D46"/>
  <c r="O46" s="1"/>
  <c r="D47"/>
  <c r="O47" s="1"/>
  <c r="D48"/>
  <c r="O48" s="1"/>
  <c r="D49"/>
  <c r="O49" s="1"/>
  <c r="D50"/>
  <c r="O50" s="1"/>
  <c r="D51"/>
  <c r="O51" s="1"/>
  <c r="D52"/>
  <c r="O52" s="1"/>
  <c r="D53"/>
  <c r="O53" s="1"/>
  <c r="D54"/>
  <c r="O54" s="1"/>
  <c r="D55"/>
  <c r="O55" s="1"/>
  <c r="D56"/>
  <c r="O56" s="1"/>
  <c r="D57"/>
  <c r="O57" s="1"/>
  <c r="D58"/>
  <c r="O58" s="1"/>
  <c r="D59"/>
  <c r="O59" s="1"/>
  <c r="D60"/>
  <c r="O60" s="1"/>
  <c r="D61"/>
  <c r="O61" s="1"/>
  <c r="D62"/>
  <c r="O62" s="1"/>
  <c r="D63"/>
  <c r="O63" s="1"/>
  <c r="D64"/>
  <c r="O64" s="1"/>
  <c r="D7"/>
  <c r="O7" s="1"/>
  <c r="J65"/>
  <c r="I65"/>
  <c r="H65"/>
  <c r="F65"/>
  <c r="C65"/>
  <c r="N8" i="3"/>
  <c r="N9"/>
  <c r="N10"/>
  <c r="N11"/>
  <c r="N12"/>
  <c r="N13"/>
  <c r="N14"/>
  <c r="N15"/>
  <c r="N16"/>
  <c r="N17"/>
  <c r="N18"/>
  <c r="N19"/>
  <c r="N20"/>
  <c r="N21"/>
  <c r="N22"/>
  <c r="N45"/>
  <c r="N23"/>
  <c r="N24"/>
  <c r="N46"/>
  <c r="N25"/>
  <c r="N26"/>
  <c r="N27"/>
  <c r="N43"/>
  <c r="N28"/>
  <c r="N29"/>
  <c r="N44"/>
  <c r="N30"/>
  <c r="N42"/>
  <c r="N31"/>
  <c r="N32"/>
  <c r="N33"/>
  <c r="N34"/>
  <c r="N35"/>
  <c r="N36"/>
  <c r="N37"/>
  <c r="N38"/>
  <c r="N39"/>
  <c r="N40"/>
  <c r="N41"/>
  <c r="N7"/>
  <c r="N47" s="1"/>
  <c r="N49" s="1"/>
  <c r="M47"/>
  <c r="M49" s="1"/>
  <c r="L47"/>
  <c r="L49" s="1"/>
  <c r="K47"/>
  <c r="K49" s="1"/>
  <c r="G8"/>
  <c r="G9"/>
  <c r="G10"/>
  <c r="G11"/>
  <c r="G12"/>
  <c r="G13"/>
  <c r="G14"/>
  <c r="G15"/>
  <c r="G16"/>
  <c r="G17"/>
  <c r="G18"/>
  <c r="G19"/>
  <c r="G20"/>
  <c r="G21"/>
  <c r="G22"/>
  <c r="G45"/>
  <c r="G23"/>
  <c r="G24"/>
  <c r="G46"/>
  <c r="G25"/>
  <c r="G26"/>
  <c r="G27"/>
  <c r="G43"/>
  <c r="G28"/>
  <c r="G29"/>
  <c r="G44"/>
  <c r="G30"/>
  <c r="G42"/>
  <c r="G31"/>
  <c r="G32"/>
  <c r="G33"/>
  <c r="G34"/>
  <c r="G35"/>
  <c r="G36"/>
  <c r="G37"/>
  <c r="G38"/>
  <c r="G39"/>
  <c r="G40"/>
  <c r="G41"/>
  <c r="G7"/>
  <c r="G47" s="1"/>
  <c r="G49" s="1"/>
  <c r="E8"/>
  <c r="E9"/>
  <c r="E10"/>
  <c r="E11"/>
  <c r="E12"/>
  <c r="E13"/>
  <c r="E14"/>
  <c r="E15"/>
  <c r="E16"/>
  <c r="E17"/>
  <c r="E18"/>
  <c r="E19"/>
  <c r="E20"/>
  <c r="E21"/>
  <c r="E22"/>
  <c r="E45"/>
  <c r="E23"/>
  <c r="E24"/>
  <c r="E46"/>
  <c r="E25"/>
  <c r="E26"/>
  <c r="E27"/>
  <c r="E43"/>
  <c r="E28"/>
  <c r="E29"/>
  <c r="E44"/>
  <c r="E30"/>
  <c r="E42"/>
  <c r="E31"/>
  <c r="E32"/>
  <c r="E33"/>
  <c r="E34"/>
  <c r="E35"/>
  <c r="E36"/>
  <c r="E37"/>
  <c r="E38"/>
  <c r="E39"/>
  <c r="E40"/>
  <c r="E41"/>
  <c r="E7"/>
  <c r="E47" s="1"/>
  <c r="E49" s="1"/>
  <c r="D8"/>
  <c r="O8" s="1"/>
  <c r="D9"/>
  <c r="O9" s="1"/>
  <c r="D10"/>
  <c r="O10" s="1"/>
  <c r="D11"/>
  <c r="O11" s="1"/>
  <c r="D12"/>
  <c r="O12" s="1"/>
  <c r="D13"/>
  <c r="O13" s="1"/>
  <c r="D14"/>
  <c r="O14" s="1"/>
  <c r="D15"/>
  <c r="O15" s="1"/>
  <c r="D16"/>
  <c r="O16" s="1"/>
  <c r="D17"/>
  <c r="O17" s="1"/>
  <c r="D18"/>
  <c r="O18" s="1"/>
  <c r="D19"/>
  <c r="O19" s="1"/>
  <c r="D20"/>
  <c r="O20" s="1"/>
  <c r="D21"/>
  <c r="O21" s="1"/>
  <c r="D22"/>
  <c r="O22" s="1"/>
  <c r="D45"/>
  <c r="D23"/>
  <c r="D24"/>
  <c r="D46"/>
  <c r="D25"/>
  <c r="D26"/>
  <c r="D27"/>
  <c r="D43"/>
  <c r="D28"/>
  <c r="D29"/>
  <c r="D44"/>
  <c r="D30"/>
  <c r="D42"/>
  <c r="D31"/>
  <c r="D32"/>
  <c r="D33"/>
  <c r="D34"/>
  <c r="D35"/>
  <c r="D36"/>
  <c r="D37"/>
  <c r="D38"/>
  <c r="D39"/>
  <c r="D40"/>
  <c r="D41"/>
  <c r="D7"/>
  <c r="O7" s="1"/>
  <c r="N65" i="2"/>
  <c r="I65"/>
  <c r="N47" i="1"/>
  <c r="N49" s="1"/>
  <c r="I47"/>
  <c r="I49" s="1"/>
  <c r="J47" i="3"/>
  <c r="J49" s="1"/>
  <c r="I47"/>
  <c r="I49" s="1"/>
  <c r="H47"/>
  <c r="H49" s="1"/>
  <c r="F47"/>
  <c r="F49" s="1"/>
  <c r="C47"/>
  <c r="C49" s="1"/>
  <c r="M65" i="2"/>
  <c r="L65"/>
  <c r="K65"/>
  <c r="J65"/>
  <c r="H65"/>
  <c r="G65"/>
  <c r="F65"/>
  <c r="E65"/>
  <c r="D65"/>
  <c r="C65"/>
  <c r="M47" i="1"/>
  <c r="M49" s="1"/>
  <c r="L47"/>
  <c r="L49" s="1"/>
  <c r="K47"/>
  <c r="K49" s="1"/>
  <c r="J47"/>
  <c r="J49" s="1"/>
  <c r="H47"/>
  <c r="H49" s="1"/>
  <c r="G47"/>
  <c r="G49" s="1"/>
  <c r="F47"/>
  <c r="F49" s="1"/>
  <c r="E47"/>
  <c r="E49" s="1"/>
  <c r="D47"/>
  <c r="D49" s="1"/>
  <c r="C47"/>
  <c r="C49" s="1"/>
  <c r="AH107" i="6"/>
  <c r="AG107"/>
  <c r="AE107"/>
  <c r="AD107"/>
  <c r="AC107"/>
  <c r="AA107"/>
  <c r="Z107"/>
  <c r="X107"/>
  <c r="W107"/>
  <c r="V107"/>
  <c r="U107"/>
  <c r="S107"/>
  <c r="R107"/>
  <c r="Q107"/>
  <c r="O107"/>
  <c r="N107"/>
  <c r="M107"/>
  <c r="L107"/>
  <c r="K107"/>
  <c r="J107"/>
  <c r="I107"/>
  <c r="H107"/>
  <c r="G107"/>
  <c r="F107"/>
  <c r="E107"/>
  <c r="D107"/>
  <c r="C107"/>
  <c r="AI106"/>
  <c r="AF106"/>
  <c r="AB106"/>
  <c r="Y106"/>
  <c r="T106"/>
  <c r="P106"/>
  <c r="AJ106" s="1"/>
  <c r="AI105"/>
  <c r="AF105"/>
  <c r="AB105"/>
  <c r="Y105"/>
  <c r="T105"/>
  <c r="P105"/>
  <c r="AJ105" s="1"/>
  <c r="AI104"/>
  <c r="AF104"/>
  <c r="AB104"/>
  <c r="Y104"/>
  <c r="T104"/>
  <c r="P104"/>
  <c r="AJ104" s="1"/>
  <c r="AI103"/>
  <c r="AF103"/>
  <c r="AB103"/>
  <c r="Y103"/>
  <c r="T103"/>
  <c r="P103"/>
  <c r="AJ103" s="1"/>
  <c r="AI102"/>
  <c r="AF102"/>
  <c r="AB102"/>
  <c r="Y102"/>
  <c r="T102"/>
  <c r="P102"/>
  <c r="AJ102" s="1"/>
  <c r="AI101"/>
  <c r="AF101"/>
  <c r="AB101"/>
  <c r="Y101"/>
  <c r="T101"/>
  <c r="P101"/>
  <c r="AJ101" s="1"/>
  <c r="AI100"/>
  <c r="AF100"/>
  <c r="AB100"/>
  <c r="Y100"/>
  <c r="T100"/>
  <c r="P100"/>
  <c r="AJ100" s="1"/>
  <c r="AI99"/>
  <c r="AF99"/>
  <c r="AB99"/>
  <c r="Y99"/>
  <c r="T99"/>
  <c r="P99"/>
  <c r="AJ99" s="1"/>
  <c r="AI98"/>
  <c r="AF98"/>
  <c r="AB98"/>
  <c r="Y98"/>
  <c r="T98"/>
  <c r="P98"/>
  <c r="AJ98" s="1"/>
  <c r="AI97"/>
  <c r="AF97"/>
  <c r="AB97"/>
  <c r="Y97"/>
  <c r="T97"/>
  <c r="P97"/>
  <c r="AJ97" s="1"/>
  <c r="AI96"/>
  <c r="AF96"/>
  <c r="AB96"/>
  <c r="Y96"/>
  <c r="T96"/>
  <c r="P96"/>
  <c r="AJ96" s="1"/>
  <c r="AI95"/>
  <c r="AF95"/>
  <c r="AB95"/>
  <c r="Y95"/>
  <c r="T95"/>
  <c r="P95"/>
  <c r="AJ95" s="1"/>
  <c r="AI94"/>
  <c r="AF94"/>
  <c r="AB94"/>
  <c r="Y94"/>
  <c r="T94"/>
  <c r="P94"/>
  <c r="AJ94" s="1"/>
  <c r="AI93"/>
  <c r="AF93"/>
  <c r="AB93"/>
  <c r="Y93"/>
  <c r="T93"/>
  <c r="P93"/>
  <c r="AJ93" s="1"/>
  <c r="AI92"/>
  <c r="AF92"/>
  <c r="AB92"/>
  <c r="Y92"/>
  <c r="T92"/>
  <c r="P92"/>
  <c r="AJ92" s="1"/>
  <c r="AI91"/>
  <c r="AF91"/>
  <c r="AB91"/>
  <c r="Y91"/>
  <c r="T91"/>
  <c r="P91"/>
  <c r="AJ91" s="1"/>
  <c r="AI90"/>
  <c r="AF90"/>
  <c r="AB90"/>
  <c r="Y90"/>
  <c r="T90"/>
  <c r="P90"/>
  <c r="AJ90" s="1"/>
  <c r="AI89"/>
  <c r="AF89"/>
  <c r="AB89"/>
  <c r="Y89"/>
  <c r="T89"/>
  <c r="P89"/>
  <c r="AJ89" s="1"/>
  <c r="AI88"/>
  <c r="AF88"/>
  <c r="AB88"/>
  <c r="Y88"/>
  <c r="T88"/>
  <c r="P88"/>
  <c r="AJ88" s="1"/>
  <c r="AI87"/>
  <c r="AF87"/>
  <c r="AB87"/>
  <c r="Y87"/>
  <c r="T87"/>
  <c r="P87"/>
  <c r="AJ87" s="1"/>
  <c r="AI86"/>
  <c r="AF86"/>
  <c r="AB86"/>
  <c r="Y86"/>
  <c r="T86"/>
  <c r="P86"/>
  <c r="AJ86" s="1"/>
  <c r="AI85"/>
  <c r="AF85"/>
  <c r="AB85"/>
  <c r="Y85"/>
  <c r="T85"/>
  <c r="P85"/>
  <c r="AJ85" s="1"/>
  <c r="AI84"/>
  <c r="AF84"/>
  <c r="AB84"/>
  <c r="Y84"/>
  <c r="T84"/>
  <c r="P84"/>
  <c r="AJ84" s="1"/>
  <c r="AI83"/>
  <c r="AF83"/>
  <c r="AB83"/>
  <c r="Y83"/>
  <c r="T83"/>
  <c r="P83"/>
  <c r="AJ83" s="1"/>
  <c r="AI82"/>
  <c r="AF82"/>
  <c r="AB82"/>
  <c r="Y82"/>
  <c r="T82"/>
  <c r="P82"/>
  <c r="AJ82" s="1"/>
  <c r="AI81"/>
  <c r="AF81"/>
  <c r="AB81"/>
  <c r="Y81"/>
  <c r="T81"/>
  <c r="P81"/>
  <c r="AJ81" s="1"/>
  <c r="AI80"/>
  <c r="AF80"/>
  <c r="AB80"/>
  <c r="Y80"/>
  <c r="T80"/>
  <c r="P80"/>
  <c r="AJ80" s="1"/>
  <c r="AI79"/>
  <c r="AF79"/>
  <c r="AB79"/>
  <c r="Y79"/>
  <c r="T79"/>
  <c r="P79"/>
  <c r="AJ79" s="1"/>
  <c r="AI78"/>
  <c r="AF78"/>
  <c r="AB78"/>
  <c r="Y78"/>
  <c r="T78"/>
  <c r="P78"/>
  <c r="AJ78" s="1"/>
  <c r="AI77"/>
  <c r="AF77"/>
  <c r="AB77"/>
  <c r="Y77"/>
  <c r="T77"/>
  <c r="P77"/>
  <c r="AJ77" s="1"/>
  <c r="AI76"/>
  <c r="AF76"/>
  <c r="AB76"/>
  <c r="Y76"/>
  <c r="T76"/>
  <c r="P76"/>
  <c r="AJ76" s="1"/>
  <c r="AI75"/>
  <c r="AF75"/>
  <c r="AB75"/>
  <c r="Y75"/>
  <c r="T75"/>
  <c r="P75"/>
  <c r="AJ75" s="1"/>
  <c r="AI74"/>
  <c r="AF74"/>
  <c r="AB74"/>
  <c r="Y74"/>
  <c r="T74"/>
  <c r="P74"/>
  <c r="AJ74" s="1"/>
  <c r="AI73"/>
  <c r="AF73"/>
  <c r="AB73"/>
  <c r="Y73"/>
  <c r="T73"/>
  <c r="P73"/>
  <c r="AJ73" s="1"/>
  <c r="AI72"/>
  <c r="AF72"/>
  <c r="AB72"/>
  <c r="Y72"/>
  <c r="T72"/>
  <c r="P72"/>
  <c r="AJ72" s="1"/>
  <c r="AI71"/>
  <c r="AF71"/>
  <c r="AB71"/>
  <c r="Y71"/>
  <c r="T71"/>
  <c r="P71"/>
  <c r="AJ71" s="1"/>
  <c r="AI70"/>
  <c r="AF70"/>
  <c r="AB70"/>
  <c r="Y70"/>
  <c r="T70"/>
  <c r="P70"/>
  <c r="AJ70" s="1"/>
  <c r="AI69"/>
  <c r="AF69"/>
  <c r="AB69"/>
  <c r="Y69"/>
  <c r="T69"/>
  <c r="P69"/>
  <c r="AJ69" s="1"/>
  <c r="AI68"/>
  <c r="AF68"/>
  <c r="AB68"/>
  <c r="Y68"/>
  <c r="T68"/>
  <c r="P68"/>
  <c r="AJ68" s="1"/>
  <c r="AI67"/>
  <c r="AF67"/>
  <c r="AB67"/>
  <c r="Y67"/>
  <c r="T67"/>
  <c r="P67"/>
  <c r="AJ67" s="1"/>
  <c r="AI66"/>
  <c r="AF66"/>
  <c r="AB66"/>
  <c r="Y66"/>
  <c r="T66"/>
  <c r="P66"/>
  <c r="AJ66" s="1"/>
  <c r="AI65"/>
  <c r="AF65"/>
  <c r="AB65"/>
  <c r="Y65"/>
  <c r="T65"/>
  <c r="P65"/>
  <c r="AJ65" s="1"/>
  <c r="AI64"/>
  <c r="AF64"/>
  <c r="AB64"/>
  <c r="Y64"/>
  <c r="T64"/>
  <c r="P64"/>
  <c r="AJ64" s="1"/>
  <c r="AI63"/>
  <c r="AF63"/>
  <c r="AB63"/>
  <c r="Y63"/>
  <c r="T63"/>
  <c r="P63"/>
  <c r="AJ63" s="1"/>
  <c r="AI62"/>
  <c r="AF62"/>
  <c r="AB62"/>
  <c r="Y62"/>
  <c r="T62"/>
  <c r="P62"/>
  <c r="AJ62" s="1"/>
  <c r="AI61"/>
  <c r="AF61"/>
  <c r="AB61"/>
  <c r="Y61"/>
  <c r="T61"/>
  <c r="P61"/>
  <c r="AJ61" s="1"/>
  <c r="AI60"/>
  <c r="AF60"/>
  <c r="AB60"/>
  <c r="Y60"/>
  <c r="T60"/>
  <c r="P60"/>
  <c r="AJ60" s="1"/>
  <c r="AI59"/>
  <c r="AF59"/>
  <c r="AB59"/>
  <c r="Y59"/>
  <c r="T59"/>
  <c r="P59"/>
  <c r="AJ59" s="1"/>
  <c r="AI58"/>
  <c r="AF58"/>
  <c r="AB58"/>
  <c r="Y58"/>
  <c r="T58"/>
  <c r="P58"/>
  <c r="AJ58" s="1"/>
  <c r="AI57"/>
  <c r="AF57"/>
  <c r="AB57"/>
  <c r="Y57"/>
  <c r="T57"/>
  <c r="P57"/>
  <c r="AJ57" s="1"/>
  <c r="AI56"/>
  <c r="AF56"/>
  <c r="AB56"/>
  <c r="Y56"/>
  <c r="T56"/>
  <c r="P56"/>
  <c r="AJ56" s="1"/>
  <c r="AI55"/>
  <c r="AF55"/>
  <c r="AB55"/>
  <c r="Y55"/>
  <c r="T55"/>
  <c r="P55"/>
  <c r="AJ55" s="1"/>
  <c r="AI54"/>
  <c r="AF54"/>
  <c r="AB54"/>
  <c r="Y54"/>
  <c r="T54"/>
  <c r="P54"/>
  <c r="AJ54" s="1"/>
  <c r="AI53"/>
  <c r="AF53"/>
  <c r="AB53"/>
  <c r="Y53"/>
  <c r="T53"/>
  <c r="P53"/>
  <c r="AJ53" s="1"/>
  <c r="AI52"/>
  <c r="AF52"/>
  <c r="AB52"/>
  <c r="Y52"/>
  <c r="T52"/>
  <c r="P52"/>
  <c r="AJ52" s="1"/>
  <c r="AI51"/>
  <c r="AF51"/>
  <c r="AB51"/>
  <c r="Y51"/>
  <c r="T51"/>
  <c r="P51"/>
  <c r="AJ51" s="1"/>
  <c r="AI50"/>
  <c r="AF50"/>
  <c r="AB50"/>
  <c r="Y50"/>
  <c r="T50"/>
  <c r="P50"/>
  <c r="AJ50" s="1"/>
  <c r="AI49"/>
  <c r="AI107" s="1"/>
  <c r="AF49"/>
  <c r="AF107" s="1"/>
  <c r="AB49"/>
  <c r="AB107" s="1"/>
  <c r="Y49"/>
  <c r="Y107" s="1"/>
  <c r="T49"/>
  <c r="T107" s="1"/>
  <c r="P49"/>
  <c r="P107" s="1"/>
  <c r="AJ48"/>
  <c r="AH47"/>
  <c r="AH108" s="1"/>
  <c r="AG47"/>
  <c r="AG108" s="1"/>
  <c r="AE47"/>
  <c r="AE108" s="1"/>
  <c r="AD47"/>
  <c r="AD108" s="1"/>
  <c r="AC47"/>
  <c r="AC108" s="1"/>
  <c r="AA47"/>
  <c r="AA108" s="1"/>
  <c r="Z47"/>
  <c r="Z108" s="1"/>
  <c r="X47"/>
  <c r="X108" s="1"/>
  <c r="W47"/>
  <c r="W108" s="1"/>
  <c r="V47"/>
  <c r="V108" s="1"/>
  <c r="U47"/>
  <c r="U108" s="1"/>
  <c r="S47"/>
  <c r="S108" s="1"/>
  <c r="R47"/>
  <c r="R108" s="1"/>
  <c r="Q47"/>
  <c r="Q108" s="1"/>
  <c r="O47"/>
  <c r="O108" s="1"/>
  <c r="N47"/>
  <c r="N108" s="1"/>
  <c r="M47"/>
  <c r="M108" s="1"/>
  <c r="L47"/>
  <c r="L108" s="1"/>
  <c r="K47"/>
  <c r="K108" s="1"/>
  <c r="J47"/>
  <c r="J108" s="1"/>
  <c r="I47"/>
  <c r="I108" s="1"/>
  <c r="H47"/>
  <c r="H108" s="1"/>
  <c r="G47"/>
  <c r="G108" s="1"/>
  <c r="F47"/>
  <c r="F108" s="1"/>
  <c r="E47"/>
  <c r="E108" s="1"/>
  <c r="D47"/>
  <c r="D108" s="1"/>
  <c r="C47"/>
  <c r="C108" s="1"/>
  <c r="AI46"/>
  <c r="AF46"/>
  <c r="AB46"/>
  <c r="Y46"/>
  <c r="T46"/>
  <c r="P46"/>
  <c r="AJ46" s="1"/>
  <c r="AI45"/>
  <c r="AF45"/>
  <c r="AB45"/>
  <c r="Y45"/>
  <c r="T45"/>
  <c r="P45"/>
  <c r="AJ45" s="1"/>
  <c r="AI44"/>
  <c r="AF44"/>
  <c r="AB44"/>
  <c r="Y44"/>
  <c r="T44"/>
  <c r="P44"/>
  <c r="AJ44" s="1"/>
  <c r="AI43"/>
  <c r="AF43"/>
  <c r="AB43"/>
  <c r="Y43"/>
  <c r="T43"/>
  <c r="P43"/>
  <c r="AJ43" s="1"/>
  <c r="AI42"/>
  <c r="AF42"/>
  <c r="AB42"/>
  <c r="Y42"/>
  <c r="T42"/>
  <c r="P42"/>
  <c r="AJ42" s="1"/>
  <c r="AI41"/>
  <c r="AF41"/>
  <c r="AB41"/>
  <c r="Y41"/>
  <c r="T41"/>
  <c r="P41"/>
  <c r="AJ41" s="1"/>
  <c r="AI40"/>
  <c r="AF40"/>
  <c r="AB40"/>
  <c r="Y40"/>
  <c r="T40"/>
  <c r="P40"/>
  <c r="AJ40" s="1"/>
  <c r="AI39"/>
  <c r="AF39"/>
  <c r="AB39"/>
  <c r="Y39"/>
  <c r="T39"/>
  <c r="P39"/>
  <c r="AJ39" s="1"/>
  <c r="AI38"/>
  <c r="AF38"/>
  <c r="AB38"/>
  <c r="Y38"/>
  <c r="T38"/>
  <c r="P38"/>
  <c r="AJ38" s="1"/>
  <c r="AI37"/>
  <c r="AF37"/>
  <c r="AB37"/>
  <c r="Y37"/>
  <c r="T37"/>
  <c r="P37"/>
  <c r="AJ37" s="1"/>
  <c r="AI36"/>
  <c r="AF36"/>
  <c r="AB36"/>
  <c r="Y36"/>
  <c r="T36"/>
  <c r="P36"/>
  <c r="AJ36" s="1"/>
  <c r="AI35"/>
  <c r="AF35"/>
  <c r="AB35"/>
  <c r="Y35"/>
  <c r="T35"/>
  <c r="P35"/>
  <c r="AJ35" s="1"/>
  <c r="AI34"/>
  <c r="AF34"/>
  <c r="AB34"/>
  <c r="Y34"/>
  <c r="T34"/>
  <c r="P34"/>
  <c r="AJ34" s="1"/>
  <c r="AI33"/>
  <c r="AF33"/>
  <c r="AB33"/>
  <c r="Y33"/>
  <c r="T33"/>
  <c r="P33"/>
  <c r="AJ33" s="1"/>
  <c r="AI32"/>
  <c r="AF32"/>
  <c r="AB32"/>
  <c r="Y32"/>
  <c r="T32"/>
  <c r="P32"/>
  <c r="AJ32" s="1"/>
  <c r="AI31"/>
  <c r="AF31"/>
  <c r="AB31"/>
  <c r="Y31"/>
  <c r="T31"/>
  <c r="P31"/>
  <c r="AJ31" s="1"/>
  <c r="AI30"/>
  <c r="AF30"/>
  <c r="AB30"/>
  <c r="Y30"/>
  <c r="T30"/>
  <c r="P30"/>
  <c r="AJ30" s="1"/>
  <c r="AI29"/>
  <c r="AF29"/>
  <c r="AB29"/>
  <c r="Y29"/>
  <c r="T29"/>
  <c r="P29"/>
  <c r="AJ29" s="1"/>
  <c r="AI28"/>
  <c r="AF28"/>
  <c r="AB28"/>
  <c r="Y28"/>
  <c r="T28"/>
  <c r="P28"/>
  <c r="AJ28" s="1"/>
  <c r="AI27"/>
  <c r="AF27"/>
  <c r="AB27"/>
  <c r="Y27"/>
  <c r="T27"/>
  <c r="P27"/>
  <c r="AJ27" s="1"/>
  <c r="AI26"/>
  <c r="AF26"/>
  <c r="AB26"/>
  <c r="Y26"/>
  <c r="T26"/>
  <c r="P26"/>
  <c r="AJ26" s="1"/>
  <c r="AI25"/>
  <c r="AF25"/>
  <c r="AB25"/>
  <c r="Y25"/>
  <c r="T25"/>
  <c r="P25"/>
  <c r="AJ25" s="1"/>
  <c r="AI24"/>
  <c r="AF24"/>
  <c r="AB24"/>
  <c r="Y24"/>
  <c r="T24"/>
  <c r="P24"/>
  <c r="AJ24" s="1"/>
  <c r="AI23"/>
  <c r="AF23"/>
  <c r="AB23"/>
  <c r="Y23"/>
  <c r="T23"/>
  <c r="P23"/>
  <c r="AJ23" s="1"/>
  <c r="AI22"/>
  <c r="AF22"/>
  <c r="AB22"/>
  <c r="Y22"/>
  <c r="T22"/>
  <c r="P22"/>
  <c r="AJ22" s="1"/>
  <c r="AI21"/>
  <c r="AF21"/>
  <c r="AB21"/>
  <c r="Y21"/>
  <c r="T21"/>
  <c r="P21"/>
  <c r="AJ21" s="1"/>
  <c r="AI20"/>
  <c r="AF20"/>
  <c r="AB20"/>
  <c r="Y20"/>
  <c r="T20"/>
  <c r="P20"/>
  <c r="AJ20" s="1"/>
  <c r="AI19"/>
  <c r="AF19"/>
  <c r="AB19"/>
  <c r="Y19"/>
  <c r="T19"/>
  <c r="P19"/>
  <c r="AJ19" s="1"/>
  <c r="AI18"/>
  <c r="AF18"/>
  <c r="AB18"/>
  <c r="Y18"/>
  <c r="T18"/>
  <c r="P18"/>
  <c r="AJ18" s="1"/>
  <c r="AI17"/>
  <c r="AF17"/>
  <c r="AB17"/>
  <c r="Y17"/>
  <c r="T17"/>
  <c r="P17"/>
  <c r="AJ17" s="1"/>
  <c r="AI16"/>
  <c r="AF16"/>
  <c r="AB16"/>
  <c r="Y16"/>
  <c r="T16"/>
  <c r="P16"/>
  <c r="AJ16" s="1"/>
  <c r="AI15"/>
  <c r="AF15"/>
  <c r="AB15"/>
  <c r="Y15"/>
  <c r="T15"/>
  <c r="P15"/>
  <c r="AJ15" s="1"/>
  <c r="AI14"/>
  <c r="AF14"/>
  <c r="AB14"/>
  <c r="Y14"/>
  <c r="T14"/>
  <c r="P14"/>
  <c r="AJ14" s="1"/>
  <c r="AI13"/>
  <c r="AF13"/>
  <c r="AB13"/>
  <c r="Y13"/>
  <c r="T13"/>
  <c r="P13"/>
  <c r="AJ13" s="1"/>
  <c r="AI12"/>
  <c r="AF12"/>
  <c r="AB12"/>
  <c r="Y12"/>
  <c r="T12"/>
  <c r="P12"/>
  <c r="AJ12" s="1"/>
  <c r="AI11"/>
  <c r="AF11"/>
  <c r="AB11"/>
  <c r="Y11"/>
  <c r="T11"/>
  <c r="P11"/>
  <c r="AJ11" s="1"/>
  <c r="AI10"/>
  <c r="AF10"/>
  <c r="AB10"/>
  <c r="Y10"/>
  <c r="T10"/>
  <c r="P10"/>
  <c r="AJ10" s="1"/>
  <c r="AI9"/>
  <c r="AF9"/>
  <c r="AB9"/>
  <c r="Y9"/>
  <c r="T9"/>
  <c r="P9"/>
  <c r="AJ9" s="1"/>
  <c r="AI8"/>
  <c r="AF8"/>
  <c r="AB8"/>
  <c r="Y8"/>
  <c r="T8"/>
  <c r="P8"/>
  <c r="AJ8" s="1"/>
  <c r="AI7"/>
  <c r="AI47" s="1"/>
  <c r="AI108" s="1"/>
  <c r="AF7"/>
  <c r="AF47" s="1"/>
  <c r="AF108" s="1"/>
  <c r="AB7"/>
  <c r="AB47" s="1"/>
  <c r="AB108" s="1"/>
  <c r="Y7"/>
  <c r="Y47" s="1"/>
  <c r="Y108" s="1"/>
  <c r="T7"/>
  <c r="T47" s="1"/>
  <c r="T108" s="1"/>
  <c r="P7"/>
  <c r="P47" s="1"/>
  <c r="P108" s="1"/>
  <c r="AS108" i="5"/>
  <c r="AP108"/>
  <c r="AM108"/>
  <c r="AJ108"/>
  <c r="AG108"/>
  <c r="AD108"/>
  <c r="AA108"/>
  <c r="X108"/>
  <c r="U108"/>
  <c r="R108"/>
  <c r="O108"/>
  <c r="L108"/>
  <c r="I108"/>
  <c r="F108"/>
  <c r="C108"/>
  <c r="AV108" s="1"/>
  <c r="AU107"/>
  <c r="AT107"/>
  <c r="AR107"/>
  <c r="AQ107"/>
  <c r="AO107"/>
  <c r="AN107"/>
  <c r="AL107"/>
  <c r="AK107"/>
  <c r="AI107"/>
  <c r="AH107"/>
  <c r="AF107"/>
  <c r="AE107"/>
  <c r="AC107"/>
  <c r="AB107"/>
  <c r="Z107"/>
  <c r="Y107"/>
  <c r="W107"/>
  <c r="V107"/>
  <c r="T107"/>
  <c r="Q107"/>
  <c r="P107"/>
  <c r="N107"/>
  <c r="M107"/>
  <c r="K107"/>
  <c r="J107"/>
  <c r="H107"/>
  <c r="G107"/>
  <c r="E107"/>
  <c r="D107"/>
  <c r="AS106"/>
  <c r="AP106"/>
  <c r="AM106"/>
  <c r="AJ106"/>
  <c r="AG106"/>
  <c r="AD106"/>
  <c r="AA106"/>
  <c r="X106"/>
  <c r="U106"/>
  <c r="R106"/>
  <c r="O106"/>
  <c r="L106"/>
  <c r="I106"/>
  <c r="F106"/>
  <c r="C106"/>
  <c r="AV106" s="1"/>
  <c r="AS105"/>
  <c r="AP105"/>
  <c r="AM105"/>
  <c r="AJ105"/>
  <c r="AG105"/>
  <c r="AD105"/>
  <c r="AA105"/>
  <c r="X105"/>
  <c r="U105"/>
  <c r="R105"/>
  <c r="O105"/>
  <c r="L105"/>
  <c r="I105"/>
  <c r="F105"/>
  <c r="C105"/>
  <c r="AV105" s="1"/>
  <c r="AS104"/>
  <c r="AP104"/>
  <c r="AM104"/>
  <c r="AJ104"/>
  <c r="AG104"/>
  <c r="AD104"/>
  <c r="AA104"/>
  <c r="X104"/>
  <c r="U104"/>
  <c r="R104"/>
  <c r="O104"/>
  <c r="L104"/>
  <c r="I104"/>
  <c r="F104"/>
  <c r="C104"/>
  <c r="AV104" s="1"/>
  <c r="AS103"/>
  <c r="AP103"/>
  <c r="AM103"/>
  <c r="AJ103"/>
  <c r="AG103"/>
  <c r="AD103"/>
  <c r="AA103"/>
  <c r="X103"/>
  <c r="U103"/>
  <c r="R103"/>
  <c r="O103"/>
  <c r="L103"/>
  <c r="I103"/>
  <c r="F103"/>
  <c r="C103"/>
  <c r="AV103" s="1"/>
  <c r="AS102"/>
  <c r="AP102"/>
  <c r="AM102"/>
  <c r="AJ102"/>
  <c r="AG102"/>
  <c r="AD102"/>
  <c r="AA102"/>
  <c r="X102"/>
  <c r="U102"/>
  <c r="R102"/>
  <c r="O102"/>
  <c r="L102"/>
  <c r="I102"/>
  <c r="F102"/>
  <c r="C102"/>
  <c r="AV102" s="1"/>
  <c r="AS101"/>
  <c r="AP101"/>
  <c r="AM101"/>
  <c r="AJ101"/>
  <c r="AG101"/>
  <c r="AD101"/>
  <c r="AA101"/>
  <c r="X101"/>
  <c r="U101"/>
  <c r="R101"/>
  <c r="O101"/>
  <c r="L101"/>
  <c r="I101"/>
  <c r="F101"/>
  <c r="C101"/>
  <c r="AV101" s="1"/>
  <c r="AS100"/>
  <c r="AP100"/>
  <c r="AM100"/>
  <c r="AJ100"/>
  <c r="AG100"/>
  <c r="AD100"/>
  <c r="AA100"/>
  <c r="X100"/>
  <c r="U100"/>
  <c r="R100"/>
  <c r="O100"/>
  <c r="L100"/>
  <c r="I100"/>
  <c r="F100"/>
  <c r="C100"/>
  <c r="AV100" s="1"/>
  <c r="AS99"/>
  <c r="AP99"/>
  <c r="AM99"/>
  <c r="AJ99"/>
  <c r="AG99"/>
  <c r="AD99"/>
  <c r="AA99"/>
  <c r="X99"/>
  <c r="U99"/>
  <c r="R99"/>
  <c r="O99"/>
  <c r="L99"/>
  <c r="I99"/>
  <c r="F99"/>
  <c r="C99"/>
  <c r="AV99" s="1"/>
  <c r="AS98"/>
  <c r="AP98"/>
  <c r="AM98"/>
  <c r="AJ98"/>
  <c r="AG98"/>
  <c r="AD98"/>
  <c r="AA98"/>
  <c r="X98"/>
  <c r="U98"/>
  <c r="R98"/>
  <c r="O98"/>
  <c r="L98"/>
  <c r="I98"/>
  <c r="F98"/>
  <c r="C98"/>
  <c r="AV98" s="1"/>
  <c r="AS97"/>
  <c r="AP97"/>
  <c r="AM97"/>
  <c r="AJ97"/>
  <c r="AG97"/>
  <c r="AD97"/>
  <c r="AA97"/>
  <c r="X97"/>
  <c r="U97"/>
  <c r="R97"/>
  <c r="O97"/>
  <c r="L97"/>
  <c r="I97"/>
  <c r="F97"/>
  <c r="C97"/>
  <c r="AV97" s="1"/>
  <c r="AS96"/>
  <c r="AP96"/>
  <c r="AM96"/>
  <c r="AJ96"/>
  <c r="AG96"/>
  <c r="AD96"/>
  <c r="AA96"/>
  <c r="X96"/>
  <c r="U96"/>
  <c r="R96"/>
  <c r="O96"/>
  <c r="L96"/>
  <c r="I96"/>
  <c r="F96"/>
  <c r="C96"/>
  <c r="AV96" s="1"/>
  <c r="AS95"/>
  <c r="AP95"/>
  <c r="AM95"/>
  <c r="AJ95"/>
  <c r="AG95"/>
  <c r="AD95"/>
  <c r="AA95"/>
  <c r="X95"/>
  <c r="U95"/>
  <c r="R95"/>
  <c r="O95"/>
  <c r="L95"/>
  <c r="I95"/>
  <c r="F95"/>
  <c r="C95"/>
  <c r="AV95" s="1"/>
  <c r="AS94"/>
  <c r="AP94"/>
  <c r="AM94"/>
  <c r="AJ94"/>
  <c r="AG94"/>
  <c r="AD94"/>
  <c r="AA94"/>
  <c r="X94"/>
  <c r="U94"/>
  <c r="S94"/>
  <c r="S107" s="1"/>
  <c r="R94"/>
  <c r="O94"/>
  <c r="L94"/>
  <c r="I94"/>
  <c r="F94"/>
  <c r="C94"/>
  <c r="AV94" s="1"/>
  <c r="AS93"/>
  <c r="AP93"/>
  <c r="AM93"/>
  <c r="AJ93"/>
  <c r="AG93"/>
  <c r="AD93"/>
  <c r="AA93"/>
  <c r="X93"/>
  <c r="U93"/>
  <c r="R93"/>
  <c r="O93"/>
  <c r="L93"/>
  <c r="I93"/>
  <c r="F93"/>
  <c r="C93"/>
  <c r="AV93" s="1"/>
  <c r="AS92"/>
  <c r="AP92"/>
  <c r="AM92"/>
  <c r="AJ92"/>
  <c r="AG92"/>
  <c r="AD92"/>
  <c r="AA92"/>
  <c r="X92"/>
  <c r="U92"/>
  <c r="R92"/>
  <c r="O92"/>
  <c r="L92"/>
  <c r="I92"/>
  <c r="F92"/>
  <c r="C92"/>
  <c r="AV92" s="1"/>
  <c r="AS91"/>
  <c r="AP91"/>
  <c r="AM91"/>
  <c r="AJ91"/>
  <c r="AG91"/>
  <c r="AD91"/>
  <c r="AA91"/>
  <c r="X91"/>
  <c r="U91"/>
  <c r="R91"/>
  <c r="O91"/>
  <c r="L91"/>
  <c r="I91"/>
  <c r="F91"/>
  <c r="C91"/>
  <c r="AV91" s="1"/>
  <c r="AS90"/>
  <c r="AP90"/>
  <c r="AM90"/>
  <c r="AJ90"/>
  <c r="AG90"/>
  <c r="AD90"/>
  <c r="AA90"/>
  <c r="X90"/>
  <c r="U90"/>
  <c r="R90"/>
  <c r="O90"/>
  <c r="L90"/>
  <c r="I90"/>
  <c r="F90"/>
  <c r="C90"/>
  <c r="AV90" s="1"/>
  <c r="AS89"/>
  <c r="AP89"/>
  <c r="AM89"/>
  <c r="AJ89"/>
  <c r="AG89"/>
  <c r="AD89"/>
  <c r="AA89"/>
  <c r="X89"/>
  <c r="U89"/>
  <c r="R89"/>
  <c r="O89"/>
  <c r="L89"/>
  <c r="I89"/>
  <c r="F89"/>
  <c r="C89"/>
  <c r="AV89" s="1"/>
  <c r="AS88"/>
  <c r="AP88"/>
  <c r="AM88"/>
  <c r="AJ88"/>
  <c r="AG88"/>
  <c r="AD88"/>
  <c r="AA88"/>
  <c r="X88"/>
  <c r="U88"/>
  <c r="R88"/>
  <c r="O88"/>
  <c r="L88"/>
  <c r="I88"/>
  <c r="F88"/>
  <c r="C88"/>
  <c r="AV88" s="1"/>
  <c r="AS87"/>
  <c r="AP87"/>
  <c r="AM87"/>
  <c r="AJ87"/>
  <c r="AG87"/>
  <c r="AD87"/>
  <c r="AA87"/>
  <c r="X87"/>
  <c r="U87"/>
  <c r="R87"/>
  <c r="O87"/>
  <c r="L87"/>
  <c r="I87"/>
  <c r="F87"/>
  <c r="C87"/>
  <c r="AV87" s="1"/>
  <c r="AS86"/>
  <c r="AP86"/>
  <c r="AM86"/>
  <c r="AJ86"/>
  <c r="AG86"/>
  <c r="AD86"/>
  <c r="AA86"/>
  <c r="X86"/>
  <c r="U86"/>
  <c r="R86"/>
  <c r="O86"/>
  <c r="L86"/>
  <c r="I86"/>
  <c r="F86"/>
  <c r="C86"/>
  <c r="AV86" s="1"/>
  <c r="AS85"/>
  <c r="AP85"/>
  <c r="AM85"/>
  <c r="AJ85"/>
  <c r="AG85"/>
  <c r="AD85"/>
  <c r="AA85"/>
  <c r="X85"/>
  <c r="U85"/>
  <c r="R85"/>
  <c r="O85"/>
  <c r="L85"/>
  <c r="I85"/>
  <c r="F85"/>
  <c r="C85"/>
  <c r="AV85" s="1"/>
  <c r="AS84"/>
  <c r="AP84"/>
  <c r="AM84"/>
  <c r="AJ84"/>
  <c r="AG84"/>
  <c r="AD84"/>
  <c r="AA84"/>
  <c r="X84"/>
  <c r="U84"/>
  <c r="R84"/>
  <c r="O84"/>
  <c r="L84"/>
  <c r="I84"/>
  <c r="F84"/>
  <c r="C84"/>
  <c r="AV84" s="1"/>
  <c r="AS83"/>
  <c r="AP83"/>
  <c r="AM83"/>
  <c r="AJ83"/>
  <c r="AG83"/>
  <c r="AD83"/>
  <c r="AA83"/>
  <c r="X83"/>
  <c r="U83"/>
  <c r="R83"/>
  <c r="O83"/>
  <c r="L83"/>
  <c r="I83"/>
  <c r="F83"/>
  <c r="C83"/>
  <c r="AV83" s="1"/>
  <c r="AS82"/>
  <c r="AP82"/>
  <c r="AM82"/>
  <c r="AJ82"/>
  <c r="AG82"/>
  <c r="AD82"/>
  <c r="AA82"/>
  <c r="X82"/>
  <c r="U82"/>
  <c r="R82"/>
  <c r="O82"/>
  <c r="L82"/>
  <c r="I82"/>
  <c r="F82"/>
  <c r="C82"/>
  <c r="AV82" s="1"/>
  <c r="AS81"/>
  <c r="AP81"/>
  <c r="AM81"/>
  <c r="AJ81"/>
  <c r="AG81"/>
  <c r="AD81"/>
  <c r="AA81"/>
  <c r="X81"/>
  <c r="U81"/>
  <c r="R81"/>
  <c r="O81"/>
  <c r="L81"/>
  <c r="I81"/>
  <c r="F81"/>
  <c r="C81"/>
  <c r="AV81" s="1"/>
  <c r="AS80"/>
  <c r="AP80"/>
  <c r="AM80"/>
  <c r="AJ80"/>
  <c r="AG80"/>
  <c r="AD80"/>
  <c r="AA80"/>
  <c r="X80"/>
  <c r="U80"/>
  <c r="R80"/>
  <c r="O80"/>
  <c r="L80"/>
  <c r="I80"/>
  <c r="F80"/>
  <c r="C80"/>
  <c r="AV80" s="1"/>
  <c r="AS79"/>
  <c r="AP79"/>
  <c r="AM79"/>
  <c r="AJ79"/>
  <c r="AG79"/>
  <c r="AD79"/>
  <c r="AA79"/>
  <c r="X79"/>
  <c r="U79"/>
  <c r="R79"/>
  <c r="O79"/>
  <c r="L79"/>
  <c r="I79"/>
  <c r="F79"/>
  <c r="C79"/>
  <c r="AV79" s="1"/>
  <c r="AS78"/>
  <c r="AP78"/>
  <c r="AM78"/>
  <c r="AJ78"/>
  <c r="AG78"/>
  <c r="AD78"/>
  <c r="AA78"/>
  <c r="X78"/>
  <c r="U78"/>
  <c r="R78"/>
  <c r="O78"/>
  <c r="L78"/>
  <c r="I78"/>
  <c r="F78"/>
  <c r="C78"/>
  <c r="AV78" s="1"/>
  <c r="AS77"/>
  <c r="AP77"/>
  <c r="AM77"/>
  <c r="AJ77"/>
  <c r="AG77"/>
  <c r="AD77"/>
  <c r="AA77"/>
  <c r="X77"/>
  <c r="U77"/>
  <c r="R77"/>
  <c r="O77"/>
  <c r="L77"/>
  <c r="I77"/>
  <c r="F77"/>
  <c r="C77"/>
  <c r="AV77" s="1"/>
  <c r="AS76"/>
  <c r="AP76"/>
  <c r="AM76"/>
  <c r="AJ76"/>
  <c r="AG76"/>
  <c r="AD76"/>
  <c r="AA76"/>
  <c r="X76"/>
  <c r="U76"/>
  <c r="R76"/>
  <c r="O76"/>
  <c r="L76"/>
  <c r="I76"/>
  <c r="F76"/>
  <c r="C76"/>
  <c r="AV76" s="1"/>
  <c r="AS75"/>
  <c r="AP75"/>
  <c r="AM75"/>
  <c r="AJ75"/>
  <c r="AG75"/>
  <c r="AD75"/>
  <c r="AA75"/>
  <c r="X75"/>
  <c r="U75"/>
  <c r="R75"/>
  <c r="O75"/>
  <c r="L75"/>
  <c r="I75"/>
  <c r="F75"/>
  <c r="C75"/>
  <c r="AV75" s="1"/>
  <c r="AS74"/>
  <c r="AP74"/>
  <c r="AM74"/>
  <c r="AJ74"/>
  <c r="AG74"/>
  <c r="AD74"/>
  <c r="AA74"/>
  <c r="X74"/>
  <c r="U74"/>
  <c r="R74"/>
  <c r="O74"/>
  <c r="L74"/>
  <c r="I74"/>
  <c r="F74"/>
  <c r="C74"/>
  <c r="AV74" s="1"/>
  <c r="AS73"/>
  <c r="AP73"/>
  <c r="AM73"/>
  <c r="AJ73"/>
  <c r="AG73"/>
  <c r="AD73"/>
  <c r="AA73"/>
  <c r="X73"/>
  <c r="U73"/>
  <c r="R73"/>
  <c r="O73"/>
  <c r="L73"/>
  <c r="I73"/>
  <c r="F73"/>
  <c r="C73"/>
  <c r="AV73" s="1"/>
  <c r="AS72"/>
  <c r="AP72"/>
  <c r="AM72"/>
  <c r="AJ72"/>
  <c r="AG72"/>
  <c r="AD72"/>
  <c r="AA72"/>
  <c r="X72"/>
  <c r="U72"/>
  <c r="R72"/>
  <c r="O72"/>
  <c r="L72"/>
  <c r="I72"/>
  <c r="F72"/>
  <c r="C72"/>
  <c r="AV72" s="1"/>
  <c r="AS71"/>
  <c r="AP71"/>
  <c r="AM71"/>
  <c r="AJ71"/>
  <c r="AG71"/>
  <c r="AD71"/>
  <c r="AA71"/>
  <c r="X71"/>
  <c r="U71"/>
  <c r="R71"/>
  <c r="O71"/>
  <c r="L71"/>
  <c r="I71"/>
  <c r="F71"/>
  <c r="C71"/>
  <c r="AV71" s="1"/>
  <c r="AS70"/>
  <c r="AP70"/>
  <c r="AM70"/>
  <c r="AJ70"/>
  <c r="AG70"/>
  <c r="AD70"/>
  <c r="AA70"/>
  <c r="X70"/>
  <c r="U70"/>
  <c r="R70"/>
  <c r="O70"/>
  <c r="L70"/>
  <c r="I70"/>
  <c r="F70"/>
  <c r="C70"/>
  <c r="AV70" s="1"/>
  <c r="AS69"/>
  <c r="AP69"/>
  <c r="AM69"/>
  <c r="AJ69"/>
  <c r="AG69"/>
  <c r="AD69"/>
  <c r="AA69"/>
  <c r="X69"/>
  <c r="U69"/>
  <c r="R69"/>
  <c r="O69"/>
  <c r="L69"/>
  <c r="I69"/>
  <c r="F69"/>
  <c r="C69"/>
  <c r="AV69" s="1"/>
  <c r="AS68"/>
  <c r="AP68"/>
  <c r="AM68"/>
  <c r="AJ68"/>
  <c r="AG68"/>
  <c r="AD68"/>
  <c r="AA68"/>
  <c r="X68"/>
  <c r="U68"/>
  <c r="R68"/>
  <c r="O68"/>
  <c r="L68"/>
  <c r="I68"/>
  <c r="F68"/>
  <c r="C68"/>
  <c r="AV68" s="1"/>
  <c r="AS67"/>
  <c r="AP67"/>
  <c r="AM67"/>
  <c r="AJ67"/>
  <c r="AG67"/>
  <c r="AD67"/>
  <c r="AA67"/>
  <c r="X67"/>
  <c r="U67"/>
  <c r="R67"/>
  <c r="O67"/>
  <c r="L67"/>
  <c r="I67"/>
  <c r="F67"/>
  <c r="C67"/>
  <c r="AV67" s="1"/>
  <c r="AS66"/>
  <c r="AP66"/>
  <c r="AM66"/>
  <c r="AJ66"/>
  <c r="AG66"/>
  <c r="AD66"/>
  <c r="AA66"/>
  <c r="X66"/>
  <c r="U66"/>
  <c r="R66"/>
  <c r="O66"/>
  <c r="L66"/>
  <c r="I66"/>
  <c r="F66"/>
  <c r="C66"/>
  <c r="AV66" s="1"/>
  <c r="AS65"/>
  <c r="AP65"/>
  <c r="AM65"/>
  <c r="AJ65"/>
  <c r="AG65"/>
  <c r="AD65"/>
  <c r="AA65"/>
  <c r="X65"/>
  <c r="U65"/>
  <c r="R65"/>
  <c r="O65"/>
  <c r="L65"/>
  <c r="I65"/>
  <c r="F65"/>
  <c r="C65"/>
  <c r="AV65" s="1"/>
  <c r="AS64"/>
  <c r="AP64"/>
  <c r="AM64"/>
  <c r="AJ64"/>
  <c r="AG64"/>
  <c r="AD64"/>
  <c r="AA64"/>
  <c r="X64"/>
  <c r="U64"/>
  <c r="R64"/>
  <c r="O64"/>
  <c r="L64"/>
  <c r="I64"/>
  <c r="F64"/>
  <c r="C64"/>
  <c r="AV64" s="1"/>
  <c r="AS63"/>
  <c r="AP63"/>
  <c r="AM63"/>
  <c r="AJ63"/>
  <c r="AG63"/>
  <c r="AD63"/>
  <c r="AA63"/>
  <c r="X63"/>
  <c r="U63"/>
  <c r="R63"/>
  <c r="O63"/>
  <c r="L63"/>
  <c r="I63"/>
  <c r="F63"/>
  <c r="C63"/>
  <c r="AV63" s="1"/>
  <c r="AS62"/>
  <c r="AP62"/>
  <c r="AM62"/>
  <c r="AJ62"/>
  <c r="AG62"/>
  <c r="AD62"/>
  <c r="AA62"/>
  <c r="X62"/>
  <c r="U62"/>
  <c r="R62"/>
  <c r="O62"/>
  <c r="L62"/>
  <c r="I62"/>
  <c r="F62"/>
  <c r="C62"/>
  <c r="AV62" s="1"/>
  <c r="AS61"/>
  <c r="AP61"/>
  <c r="AM61"/>
  <c r="AJ61"/>
  <c r="AG61"/>
  <c r="AD61"/>
  <c r="AA61"/>
  <c r="X61"/>
  <c r="U61"/>
  <c r="R61"/>
  <c r="O61"/>
  <c r="L61"/>
  <c r="I61"/>
  <c r="F61"/>
  <c r="C61"/>
  <c r="AV61" s="1"/>
  <c r="AS60"/>
  <c r="AP60"/>
  <c r="AM60"/>
  <c r="AJ60"/>
  <c r="AG60"/>
  <c r="AD60"/>
  <c r="AA60"/>
  <c r="X60"/>
  <c r="U60"/>
  <c r="R60"/>
  <c r="O60"/>
  <c r="L60"/>
  <c r="I60"/>
  <c r="F60"/>
  <c r="C60"/>
  <c r="AV60" s="1"/>
  <c r="AS59"/>
  <c r="AP59"/>
  <c r="AM59"/>
  <c r="AJ59"/>
  <c r="AG59"/>
  <c r="AD59"/>
  <c r="AA59"/>
  <c r="X59"/>
  <c r="U59"/>
  <c r="R59"/>
  <c r="O59"/>
  <c r="L59"/>
  <c r="I59"/>
  <c r="F59"/>
  <c r="C59"/>
  <c r="AV59" s="1"/>
  <c r="AS58"/>
  <c r="AP58"/>
  <c r="AM58"/>
  <c r="AJ58"/>
  <c r="AG58"/>
  <c r="AD58"/>
  <c r="AA58"/>
  <c r="X58"/>
  <c r="U58"/>
  <c r="R58"/>
  <c r="O58"/>
  <c r="L58"/>
  <c r="I58"/>
  <c r="F58"/>
  <c r="C58"/>
  <c r="AV58" s="1"/>
  <c r="AS57"/>
  <c r="AP57"/>
  <c r="AM57"/>
  <c r="AJ57"/>
  <c r="AG57"/>
  <c r="AD57"/>
  <c r="AA57"/>
  <c r="X57"/>
  <c r="U57"/>
  <c r="R57"/>
  <c r="O57"/>
  <c r="L57"/>
  <c r="I57"/>
  <c r="F57"/>
  <c r="C57"/>
  <c r="AV57" s="1"/>
  <c r="AS56"/>
  <c r="AP56"/>
  <c r="AM56"/>
  <c r="AJ56"/>
  <c r="AG56"/>
  <c r="AD56"/>
  <c r="AA56"/>
  <c r="X56"/>
  <c r="U56"/>
  <c r="R56"/>
  <c r="O56"/>
  <c r="L56"/>
  <c r="I56"/>
  <c r="F56"/>
  <c r="C56"/>
  <c r="AV56" s="1"/>
  <c r="AS55"/>
  <c r="AP55"/>
  <c r="AM55"/>
  <c r="AJ55"/>
  <c r="AG55"/>
  <c r="AD55"/>
  <c r="AA55"/>
  <c r="X55"/>
  <c r="U55"/>
  <c r="R55"/>
  <c r="O55"/>
  <c r="L55"/>
  <c r="I55"/>
  <c r="F55"/>
  <c r="C55"/>
  <c r="AV55" s="1"/>
  <c r="AS54"/>
  <c r="AP54"/>
  <c r="AM54"/>
  <c r="AJ54"/>
  <c r="AG54"/>
  <c r="AD54"/>
  <c r="AA54"/>
  <c r="X54"/>
  <c r="U54"/>
  <c r="R54"/>
  <c r="O54"/>
  <c r="L54"/>
  <c r="I54"/>
  <c r="F54"/>
  <c r="C54"/>
  <c r="AV54" s="1"/>
  <c r="AS53"/>
  <c r="AP53"/>
  <c r="AM53"/>
  <c r="AJ53"/>
  <c r="AG53"/>
  <c r="AD53"/>
  <c r="AA53"/>
  <c r="X53"/>
  <c r="U53"/>
  <c r="R53"/>
  <c r="O53"/>
  <c r="L53"/>
  <c r="I53"/>
  <c r="F53"/>
  <c r="C53"/>
  <c r="AV53" s="1"/>
  <c r="AS52"/>
  <c r="AP52"/>
  <c r="AM52"/>
  <c r="AJ52"/>
  <c r="AG52"/>
  <c r="AD52"/>
  <c r="AA52"/>
  <c r="X52"/>
  <c r="U52"/>
  <c r="R52"/>
  <c r="O52"/>
  <c r="L52"/>
  <c r="I52"/>
  <c r="F52"/>
  <c r="C52"/>
  <c r="AV52" s="1"/>
  <c r="AS51"/>
  <c r="AP51"/>
  <c r="AM51"/>
  <c r="AJ51"/>
  <c r="AG51"/>
  <c r="AD51"/>
  <c r="AA51"/>
  <c r="X51"/>
  <c r="U51"/>
  <c r="R51"/>
  <c r="O51"/>
  <c r="L51"/>
  <c r="I51"/>
  <c r="F51"/>
  <c r="C51"/>
  <c r="AV51" s="1"/>
  <c r="AS50"/>
  <c r="AP50"/>
  <c r="AM50"/>
  <c r="AJ50"/>
  <c r="AG50"/>
  <c r="AD50"/>
  <c r="AA50"/>
  <c r="X50"/>
  <c r="U50"/>
  <c r="R50"/>
  <c r="O50"/>
  <c r="L50"/>
  <c r="I50"/>
  <c r="F50"/>
  <c r="C50"/>
  <c r="AV50" s="1"/>
  <c r="AS49"/>
  <c r="AS107" s="1"/>
  <c r="AP49"/>
  <c r="AP107" s="1"/>
  <c r="AM49"/>
  <c r="AM107" s="1"/>
  <c r="AJ49"/>
  <c r="AJ107" s="1"/>
  <c r="AG49"/>
  <c r="AG107" s="1"/>
  <c r="AD49"/>
  <c r="AD107" s="1"/>
  <c r="AA49"/>
  <c r="AA107" s="1"/>
  <c r="X49"/>
  <c r="X107" s="1"/>
  <c r="U49"/>
  <c r="U107" s="1"/>
  <c r="R49"/>
  <c r="R107" s="1"/>
  <c r="O49"/>
  <c r="O107" s="1"/>
  <c r="L49"/>
  <c r="L107" s="1"/>
  <c r="I49"/>
  <c r="I107" s="1"/>
  <c r="F49"/>
  <c r="F107" s="1"/>
  <c r="C49"/>
  <c r="C107" s="1"/>
  <c r="AU47"/>
  <c r="AU109" s="1"/>
  <c r="AT47"/>
  <c r="AT109" s="1"/>
  <c r="AR47"/>
  <c r="AR109" s="1"/>
  <c r="AQ47"/>
  <c r="AQ109" s="1"/>
  <c r="AO47"/>
  <c r="AO109" s="1"/>
  <c r="AL47"/>
  <c r="AL109" s="1"/>
  <c r="AK47"/>
  <c r="AK109" s="1"/>
  <c r="AI47"/>
  <c r="AI109" s="1"/>
  <c r="AH47"/>
  <c r="AH109" s="1"/>
  <c r="AF47"/>
  <c r="AF109" s="1"/>
  <c r="AE47"/>
  <c r="AE109" s="1"/>
  <c r="AC47"/>
  <c r="AC109" s="1"/>
  <c r="AB47"/>
  <c r="AB109" s="1"/>
  <c r="Z47"/>
  <c r="Z109" s="1"/>
  <c r="Y47"/>
  <c r="Y109" s="1"/>
  <c r="W47"/>
  <c r="W109" s="1"/>
  <c r="V47"/>
  <c r="V109" s="1"/>
  <c r="T47"/>
  <c r="T109" s="1"/>
  <c r="S47"/>
  <c r="S109" s="1"/>
  <c r="Q47"/>
  <c r="Q109" s="1"/>
  <c r="N47"/>
  <c r="N109" s="1"/>
  <c r="M47"/>
  <c r="M109" s="1"/>
  <c r="K47"/>
  <c r="K109" s="1"/>
  <c r="J47"/>
  <c r="J109" s="1"/>
  <c r="H47"/>
  <c r="H109" s="1"/>
  <c r="G47"/>
  <c r="G109" s="1"/>
  <c r="E47"/>
  <c r="E109" s="1"/>
  <c r="D47"/>
  <c r="D109" s="1"/>
  <c r="AS46"/>
  <c r="AP46"/>
  <c r="AM46"/>
  <c r="AJ46"/>
  <c r="AG46"/>
  <c r="AD46"/>
  <c r="AA46"/>
  <c r="X46"/>
  <c r="U46"/>
  <c r="R46"/>
  <c r="O46"/>
  <c r="L46"/>
  <c r="I46"/>
  <c r="F46"/>
  <c r="C46"/>
  <c r="AV46" s="1"/>
  <c r="AS45"/>
  <c r="AP45"/>
  <c r="AM45"/>
  <c r="AJ45"/>
  <c r="AG45"/>
  <c r="AD45"/>
  <c r="AA45"/>
  <c r="X45"/>
  <c r="U45"/>
  <c r="R45"/>
  <c r="O45"/>
  <c r="L45"/>
  <c r="I45"/>
  <c r="F45"/>
  <c r="C45"/>
  <c r="AV45" s="1"/>
  <c r="AS44"/>
  <c r="AP44"/>
  <c r="AM44"/>
  <c r="AJ44"/>
  <c r="AG44"/>
  <c r="AD44"/>
  <c r="AA44"/>
  <c r="X44"/>
  <c r="U44"/>
  <c r="R44"/>
  <c r="O44"/>
  <c r="L44"/>
  <c r="I44"/>
  <c r="F44"/>
  <c r="C44"/>
  <c r="AV44" s="1"/>
  <c r="AS43"/>
  <c r="AP43"/>
  <c r="AM43"/>
  <c r="AJ43"/>
  <c r="AG43"/>
  <c r="AD43"/>
  <c r="AA43"/>
  <c r="X43"/>
  <c r="U43"/>
  <c r="R43"/>
  <c r="O43"/>
  <c r="L43"/>
  <c r="I43"/>
  <c r="F43"/>
  <c r="C43"/>
  <c r="AV43" s="1"/>
  <c r="AS42"/>
  <c r="AP42"/>
  <c r="AM42"/>
  <c r="AJ42"/>
  <c r="AG42"/>
  <c r="AD42"/>
  <c r="AA42"/>
  <c r="X42"/>
  <c r="U42"/>
  <c r="R42"/>
  <c r="O42"/>
  <c r="L42"/>
  <c r="I42"/>
  <c r="F42"/>
  <c r="C42"/>
  <c r="AV42" s="1"/>
  <c r="AS41"/>
  <c r="AP41"/>
  <c r="AM41"/>
  <c r="AJ41"/>
  <c r="AG41"/>
  <c r="AD41"/>
  <c r="AA41"/>
  <c r="X41"/>
  <c r="U41"/>
  <c r="R41"/>
  <c r="O41"/>
  <c r="L41"/>
  <c r="I41"/>
  <c r="F41"/>
  <c r="C41"/>
  <c r="AV41" s="1"/>
  <c r="AS40"/>
  <c r="AP40"/>
  <c r="AM40"/>
  <c r="AJ40"/>
  <c r="AG40"/>
  <c r="AD40"/>
  <c r="AA40"/>
  <c r="X40"/>
  <c r="U40"/>
  <c r="R40"/>
  <c r="O40"/>
  <c r="L40"/>
  <c r="I40"/>
  <c r="F40"/>
  <c r="C40"/>
  <c r="AV40" s="1"/>
  <c r="AS39"/>
  <c r="AP39"/>
  <c r="AM39"/>
  <c r="AJ39"/>
  <c r="AG39"/>
  <c r="AD39"/>
  <c r="AA39"/>
  <c r="X39"/>
  <c r="U39"/>
  <c r="R39"/>
  <c r="O39"/>
  <c r="L39"/>
  <c r="I39"/>
  <c r="F39"/>
  <c r="C39"/>
  <c r="AV39" s="1"/>
  <c r="AS38"/>
  <c r="AP38"/>
  <c r="AM38"/>
  <c r="AJ38"/>
  <c r="AG38"/>
  <c r="AD38"/>
  <c r="AA38"/>
  <c r="X38"/>
  <c r="U38"/>
  <c r="R38"/>
  <c r="O38"/>
  <c r="L38"/>
  <c r="I38"/>
  <c r="F38"/>
  <c r="C38"/>
  <c r="AV38" s="1"/>
  <c r="AS37"/>
  <c r="AP37"/>
  <c r="AM37"/>
  <c r="AJ37"/>
  <c r="AG37"/>
  <c r="AD37"/>
  <c r="AA37"/>
  <c r="X37"/>
  <c r="U37"/>
  <c r="R37"/>
  <c r="O37"/>
  <c r="L37"/>
  <c r="I37"/>
  <c r="F37"/>
  <c r="C37"/>
  <c r="AV37" s="1"/>
  <c r="AS36"/>
  <c r="AP36"/>
  <c r="AM36"/>
  <c r="AJ36"/>
  <c r="AG36"/>
  <c r="AD36"/>
  <c r="AA36"/>
  <c r="X36"/>
  <c r="U36"/>
  <c r="R36"/>
  <c r="O36"/>
  <c r="L36"/>
  <c r="I36"/>
  <c r="F36"/>
  <c r="C36"/>
  <c r="AV36" s="1"/>
  <c r="AS35"/>
  <c r="AP35"/>
  <c r="AM35"/>
  <c r="AJ35"/>
  <c r="AG35"/>
  <c r="AD35"/>
  <c r="AA35"/>
  <c r="X35"/>
  <c r="U35"/>
  <c r="R35"/>
  <c r="P35"/>
  <c r="P47" s="1"/>
  <c r="P109" s="1"/>
  <c r="O35"/>
  <c r="L35"/>
  <c r="I35"/>
  <c r="F35"/>
  <c r="C35"/>
  <c r="AV35" s="1"/>
  <c r="AS34"/>
  <c r="AP34"/>
  <c r="AM34"/>
  <c r="AJ34"/>
  <c r="AG34"/>
  <c r="AD34"/>
  <c r="AA34"/>
  <c r="X34"/>
  <c r="U34"/>
  <c r="R34"/>
  <c r="O34"/>
  <c r="L34"/>
  <c r="I34"/>
  <c r="F34"/>
  <c r="C34"/>
  <c r="AV34" s="1"/>
  <c r="AS33"/>
  <c r="AP33"/>
  <c r="AM33"/>
  <c r="AJ33"/>
  <c r="AG33"/>
  <c r="AD33"/>
  <c r="AA33"/>
  <c r="X33"/>
  <c r="U33"/>
  <c r="R33"/>
  <c r="O33"/>
  <c r="L33"/>
  <c r="I33"/>
  <c r="F33"/>
  <c r="C33"/>
  <c r="AV33" s="1"/>
  <c r="AS32"/>
  <c r="AP32"/>
  <c r="AM32"/>
  <c r="AJ32"/>
  <c r="AG32"/>
  <c r="AD32"/>
  <c r="AA32"/>
  <c r="X32"/>
  <c r="U32"/>
  <c r="R32"/>
  <c r="O32"/>
  <c r="L32"/>
  <c r="I32"/>
  <c r="F32"/>
  <c r="C32"/>
  <c r="AV32" s="1"/>
  <c r="AS31"/>
  <c r="AP31"/>
  <c r="AM31"/>
  <c r="AJ31"/>
  <c r="AG31"/>
  <c r="AD31"/>
  <c r="AA31"/>
  <c r="X31"/>
  <c r="U31"/>
  <c r="R31"/>
  <c r="O31"/>
  <c r="L31"/>
  <c r="I31"/>
  <c r="F31"/>
  <c r="C31"/>
  <c r="AV31" s="1"/>
  <c r="AS30"/>
  <c r="AP30"/>
  <c r="AM30"/>
  <c r="AJ30"/>
  <c r="AG30"/>
  <c r="AD30"/>
  <c r="AA30"/>
  <c r="X30"/>
  <c r="U30"/>
  <c r="R30"/>
  <c r="O30"/>
  <c r="L30"/>
  <c r="I30"/>
  <c r="F30"/>
  <c r="C30"/>
  <c r="AV30" s="1"/>
  <c r="AS29"/>
  <c r="AP29"/>
  <c r="AM29"/>
  <c r="AJ29"/>
  <c r="AG29"/>
  <c r="AD29"/>
  <c r="AA29"/>
  <c r="X29"/>
  <c r="U29"/>
  <c r="R29"/>
  <c r="O29"/>
  <c r="L29"/>
  <c r="I29"/>
  <c r="F29"/>
  <c r="C29"/>
  <c r="AV29" s="1"/>
  <c r="AS28"/>
  <c r="AP28"/>
  <c r="AM28"/>
  <c r="AJ28"/>
  <c r="AG28"/>
  <c r="AD28"/>
  <c r="AA28"/>
  <c r="X28"/>
  <c r="U28"/>
  <c r="R28"/>
  <c r="O28"/>
  <c r="L28"/>
  <c r="I28"/>
  <c r="F28"/>
  <c r="C28"/>
  <c r="AV28" s="1"/>
  <c r="AS27"/>
  <c r="AP27"/>
  <c r="AM27"/>
  <c r="AJ27"/>
  <c r="AG27"/>
  <c r="AD27"/>
  <c r="AA27"/>
  <c r="X27"/>
  <c r="U27"/>
  <c r="R27"/>
  <c r="O27"/>
  <c r="L27"/>
  <c r="I27"/>
  <c r="F27"/>
  <c r="C27"/>
  <c r="AV27" s="1"/>
  <c r="AS26"/>
  <c r="AP26"/>
  <c r="AM26"/>
  <c r="AJ26"/>
  <c r="AG26"/>
  <c r="AD26"/>
  <c r="AA26"/>
  <c r="X26"/>
  <c r="U26"/>
  <c r="R26"/>
  <c r="O26"/>
  <c r="L26"/>
  <c r="I26"/>
  <c r="F26"/>
  <c r="C26"/>
  <c r="AV26" s="1"/>
  <c r="AS25"/>
  <c r="AP25"/>
  <c r="AM25"/>
  <c r="AJ25"/>
  <c r="AG25"/>
  <c r="AD25"/>
  <c r="AA25"/>
  <c r="X25"/>
  <c r="U25"/>
  <c r="R25"/>
  <c r="O25"/>
  <c r="L25"/>
  <c r="I25"/>
  <c r="F25"/>
  <c r="C25"/>
  <c r="AV25" s="1"/>
  <c r="AS24"/>
  <c r="AP24"/>
  <c r="AM24"/>
  <c r="AJ24"/>
  <c r="AG24"/>
  <c r="AD24"/>
  <c r="AA24"/>
  <c r="X24"/>
  <c r="U24"/>
  <c r="R24"/>
  <c r="O24"/>
  <c r="L24"/>
  <c r="I24"/>
  <c r="F24"/>
  <c r="C24"/>
  <c r="AV24" s="1"/>
  <c r="AS23"/>
  <c r="AP23"/>
  <c r="AM23"/>
  <c r="AJ23"/>
  <c r="AG23"/>
  <c r="AD23"/>
  <c r="AA23"/>
  <c r="X23"/>
  <c r="U23"/>
  <c r="R23"/>
  <c r="O23"/>
  <c r="L23"/>
  <c r="I23"/>
  <c r="F23"/>
  <c r="C23"/>
  <c r="AV23" s="1"/>
  <c r="AS22"/>
  <c r="AP22"/>
  <c r="AM22"/>
  <c r="AJ22"/>
  <c r="AG22"/>
  <c r="AD22"/>
  <c r="AA22"/>
  <c r="X22"/>
  <c r="U22"/>
  <c r="R22"/>
  <c r="O22"/>
  <c r="L22"/>
  <c r="I22"/>
  <c r="F22"/>
  <c r="C22"/>
  <c r="AV22" s="1"/>
  <c r="AS21"/>
  <c r="AP21"/>
  <c r="AM21"/>
  <c r="AJ21"/>
  <c r="AG21"/>
  <c r="AD21"/>
  <c r="AA21"/>
  <c r="X21"/>
  <c r="U21"/>
  <c r="R21"/>
  <c r="O21"/>
  <c r="L21"/>
  <c r="I21"/>
  <c r="F21"/>
  <c r="C21"/>
  <c r="AV21" s="1"/>
  <c r="AS20"/>
  <c r="AP20"/>
  <c r="AM20"/>
  <c r="AJ20"/>
  <c r="AG20"/>
  <c r="AD20"/>
  <c r="AA20"/>
  <c r="X20"/>
  <c r="U20"/>
  <c r="R20"/>
  <c r="O20"/>
  <c r="L20"/>
  <c r="I20"/>
  <c r="F20"/>
  <c r="C20"/>
  <c r="AV20" s="1"/>
  <c r="AS19"/>
  <c r="AP19"/>
  <c r="AN19"/>
  <c r="AN47" s="1"/>
  <c r="AN109" s="1"/>
  <c r="AM19"/>
  <c r="AJ19"/>
  <c r="AG19"/>
  <c r="AD19"/>
  <c r="AA19"/>
  <c r="X19"/>
  <c r="U19"/>
  <c r="R19"/>
  <c r="O19"/>
  <c r="L19"/>
  <c r="I19"/>
  <c r="F19"/>
  <c r="C19"/>
  <c r="AV19" s="1"/>
  <c r="AS18"/>
  <c r="AP18"/>
  <c r="AM18"/>
  <c r="AJ18"/>
  <c r="AG18"/>
  <c r="AD18"/>
  <c r="AA18"/>
  <c r="X18"/>
  <c r="U18"/>
  <c r="R18"/>
  <c r="O18"/>
  <c r="L18"/>
  <c r="I18"/>
  <c r="F18"/>
  <c r="C18"/>
  <c r="AV18" s="1"/>
  <c r="AS17"/>
  <c r="AP17"/>
  <c r="AM17"/>
  <c r="AJ17"/>
  <c r="AG17"/>
  <c r="AD17"/>
  <c r="AA17"/>
  <c r="X17"/>
  <c r="U17"/>
  <c r="R17"/>
  <c r="O17"/>
  <c r="L17"/>
  <c r="I17"/>
  <c r="F17"/>
  <c r="C17"/>
  <c r="AV17" s="1"/>
  <c r="AS16"/>
  <c r="AP16"/>
  <c r="AM16"/>
  <c r="AJ16"/>
  <c r="AG16"/>
  <c r="AD16"/>
  <c r="AA16"/>
  <c r="X16"/>
  <c r="U16"/>
  <c r="R16"/>
  <c r="O16"/>
  <c r="L16"/>
  <c r="I16"/>
  <c r="F16"/>
  <c r="C16"/>
  <c r="AV16" s="1"/>
  <c r="AS15"/>
  <c r="AP15"/>
  <c r="AM15"/>
  <c r="AJ15"/>
  <c r="AG15"/>
  <c r="AD15"/>
  <c r="AA15"/>
  <c r="X15"/>
  <c r="U15"/>
  <c r="R15"/>
  <c r="O15"/>
  <c r="L15"/>
  <c r="I15"/>
  <c r="F15"/>
  <c r="C15"/>
  <c r="AV15" s="1"/>
  <c r="AS14"/>
  <c r="AP14"/>
  <c r="AM14"/>
  <c r="AJ14"/>
  <c r="AG14"/>
  <c r="AD14"/>
  <c r="AA14"/>
  <c r="X14"/>
  <c r="U14"/>
  <c r="R14"/>
  <c r="O14"/>
  <c r="L14"/>
  <c r="I14"/>
  <c r="F14"/>
  <c r="C14"/>
  <c r="AV14" s="1"/>
  <c r="AS13"/>
  <c r="AP13"/>
  <c r="AM13"/>
  <c r="AJ13"/>
  <c r="AG13"/>
  <c r="AD13"/>
  <c r="AA13"/>
  <c r="X13"/>
  <c r="U13"/>
  <c r="R13"/>
  <c r="O13"/>
  <c r="L13"/>
  <c r="I13"/>
  <c r="F13"/>
  <c r="C13"/>
  <c r="AV13" s="1"/>
  <c r="AS12"/>
  <c r="AP12"/>
  <c r="AM12"/>
  <c r="AJ12"/>
  <c r="AG12"/>
  <c r="AD12"/>
  <c r="AA12"/>
  <c r="X12"/>
  <c r="U12"/>
  <c r="R12"/>
  <c r="O12"/>
  <c r="L12"/>
  <c r="I12"/>
  <c r="F12"/>
  <c r="C12"/>
  <c r="AV12" s="1"/>
  <c r="AS11"/>
  <c r="AP11"/>
  <c r="AM11"/>
  <c r="AJ11"/>
  <c r="AG11"/>
  <c r="AD11"/>
  <c r="AA11"/>
  <c r="X11"/>
  <c r="U11"/>
  <c r="R11"/>
  <c r="O11"/>
  <c r="L11"/>
  <c r="I11"/>
  <c r="F11"/>
  <c r="C11"/>
  <c r="AV11" s="1"/>
  <c r="AS10"/>
  <c r="AP10"/>
  <c r="AM10"/>
  <c r="AJ10"/>
  <c r="AG10"/>
  <c r="AD10"/>
  <c r="AA10"/>
  <c r="X10"/>
  <c r="U10"/>
  <c r="R10"/>
  <c r="O10"/>
  <c r="L10"/>
  <c r="I10"/>
  <c r="F10"/>
  <c r="C10"/>
  <c r="AV10" s="1"/>
  <c r="AS9"/>
  <c r="AP9"/>
  <c r="AM9"/>
  <c r="AJ9"/>
  <c r="AG9"/>
  <c r="AD9"/>
  <c r="AA9"/>
  <c r="X9"/>
  <c r="U9"/>
  <c r="R9"/>
  <c r="O9"/>
  <c r="L9"/>
  <c r="I9"/>
  <c r="F9"/>
  <c r="C9"/>
  <c r="AV9" s="1"/>
  <c r="AS8"/>
  <c r="AP8"/>
  <c r="AM8"/>
  <c r="AJ8"/>
  <c r="AG8"/>
  <c r="AD8"/>
  <c r="AA8"/>
  <c r="X8"/>
  <c r="U8"/>
  <c r="R8"/>
  <c r="O8"/>
  <c r="L8"/>
  <c r="I8"/>
  <c r="F8"/>
  <c r="C8"/>
  <c r="AV8" s="1"/>
  <c r="AS7"/>
  <c r="AS47" s="1"/>
  <c r="AS109" s="1"/>
  <c r="AP7"/>
  <c r="AP47" s="1"/>
  <c r="AP109" s="1"/>
  <c r="AM7"/>
  <c r="AM47" s="1"/>
  <c r="AM109" s="1"/>
  <c r="AJ7"/>
  <c r="AJ47" s="1"/>
  <c r="AJ109" s="1"/>
  <c r="AG7"/>
  <c r="AG47" s="1"/>
  <c r="AG109" s="1"/>
  <c r="AD7"/>
  <c r="AD47" s="1"/>
  <c r="AD109" s="1"/>
  <c r="AA7"/>
  <c r="AA47" s="1"/>
  <c r="AA109" s="1"/>
  <c r="X7"/>
  <c r="X47" s="1"/>
  <c r="X109" s="1"/>
  <c r="U7"/>
  <c r="U47" s="1"/>
  <c r="U109" s="1"/>
  <c r="R7"/>
  <c r="R47" s="1"/>
  <c r="R109" s="1"/>
  <c r="O7"/>
  <c r="O47" s="1"/>
  <c r="O109" s="1"/>
  <c r="L7"/>
  <c r="L47" s="1"/>
  <c r="L109" s="1"/>
  <c r="I7"/>
  <c r="I47" s="1"/>
  <c r="I109" s="1"/>
  <c r="F7"/>
  <c r="F47" s="1"/>
  <c r="F109" s="1"/>
  <c r="C7"/>
  <c r="C47" s="1"/>
  <c r="O29" i="4" l="1"/>
  <c r="O65" s="1"/>
  <c r="D47" i="3"/>
  <c r="D49" s="1"/>
  <c r="D65" i="4"/>
  <c r="AJ108" i="6"/>
  <c r="AJ107"/>
  <c r="AJ7"/>
  <c r="AJ47"/>
  <c r="AJ49"/>
  <c r="C109" i="5"/>
  <c r="AV47"/>
  <c r="AV7"/>
  <c r="AV49"/>
  <c r="AV107" s="1"/>
  <c r="O47" i="3" l="1"/>
  <c r="O49" s="1"/>
  <c r="AV109" i="5"/>
</calcChain>
</file>

<file path=xl/sharedStrings.xml><?xml version="1.0" encoding="utf-8"?>
<sst xmlns="http://schemas.openxmlformats.org/spreadsheetml/2006/main" count="805" uniqueCount="266">
  <si>
    <t>Local Education Agencies</t>
  </si>
  <si>
    <t>INSTRUCTION</t>
  </si>
  <si>
    <t>SUPPORT</t>
  </si>
  <si>
    <t>CLASSROOM TEACHERS</t>
  </si>
  <si>
    <t>Instructional Aides</t>
  </si>
  <si>
    <t>Instructional Coordinators and Supervisors</t>
  </si>
  <si>
    <t>Elementary Guidance Counselors</t>
  </si>
  <si>
    <t>Secondary Guidance Counselors</t>
  </si>
  <si>
    <t>Librarians and Media Specialists</t>
  </si>
  <si>
    <t>Library and Media Support Staff</t>
  </si>
  <si>
    <t>Prekindergarten</t>
  </si>
  <si>
    <t>Kindergarten</t>
  </si>
  <si>
    <t>Elementary</t>
  </si>
  <si>
    <t>Secondary</t>
  </si>
  <si>
    <t>Special Education</t>
  </si>
  <si>
    <t>Regular</t>
  </si>
  <si>
    <t>Special</t>
  </si>
  <si>
    <t>CACTUS Database</t>
  </si>
  <si>
    <t>Classified Personnel Report</t>
  </si>
  <si>
    <t>DISTRICT</t>
  </si>
  <si>
    <t>Alpine</t>
  </si>
  <si>
    <t>Beaver</t>
  </si>
  <si>
    <t>Box Elder</t>
  </si>
  <si>
    <t>Cache</t>
  </si>
  <si>
    <t>Carbon</t>
  </si>
  <si>
    <t>Daggett</t>
  </si>
  <si>
    <t>Davis</t>
  </si>
  <si>
    <t>Duchesne</t>
  </si>
  <si>
    <t>Emery</t>
  </si>
  <si>
    <t>Garfield</t>
  </si>
  <si>
    <t>Grand</t>
  </si>
  <si>
    <t>Granite</t>
  </si>
  <si>
    <t>Iron</t>
  </si>
  <si>
    <t>Jordan</t>
  </si>
  <si>
    <t>Juab</t>
  </si>
  <si>
    <t>Kane</t>
  </si>
  <si>
    <t>Millard</t>
  </si>
  <si>
    <t>Morgan</t>
  </si>
  <si>
    <t>Nebo</t>
  </si>
  <si>
    <t>North Sanpete</t>
  </si>
  <si>
    <t>North Summit</t>
  </si>
  <si>
    <t>Park City</t>
  </si>
  <si>
    <t>Piute</t>
  </si>
  <si>
    <t>Rich</t>
  </si>
  <si>
    <t>San Juan</t>
  </si>
  <si>
    <t>Sevier</t>
  </si>
  <si>
    <t>South Sanpete</t>
  </si>
  <si>
    <t>South Summit</t>
  </si>
  <si>
    <t>Tintic</t>
  </si>
  <si>
    <t>Tooele</t>
  </si>
  <si>
    <t>Uintah</t>
  </si>
  <si>
    <t>Wasatch</t>
  </si>
  <si>
    <t>Washington</t>
  </si>
  <si>
    <t>Wayne</t>
  </si>
  <si>
    <t>Weber</t>
  </si>
  <si>
    <t>Salt Lake</t>
  </si>
  <si>
    <t>Ogden</t>
  </si>
  <si>
    <t>Provo</t>
  </si>
  <si>
    <t>Logan</t>
  </si>
  <si>
    <t>Murray</t>
  </si>
  <si>
    <t>DISTRICT TOTAL</t>
  </si>
  <si>
    <t>CHARTER TOTAL</t>
  </si>
  <si>
    <t>GRAND TOTAL</t>
  </si>
  <si>
    <t>Licensed Educator FTEs</t>
  </si>
  <si>
    <t>FY2008</t>
  </si>
  <si>
    <t>STUDENT SUPPORT SERVICES STAFF</t>
  </si>
  <si>
    <t>TOTAL FTEs</t>
  </si>
  <si>
    <t>Regular Pre-K</t>
  </si>
  <si>
    <t>Special Pre-K</t>
  </si>
  <si>
    <t>Coordinators &amp; Supervisors</t>
  </si>
  <si>
    <t>Elem. Guidance Counselors</t>
  </si>
  <si>
    <t>Sec. Guidance Counselors</t>
  </si>
  <si>
    <t>Librarians &amp; Media Specialists</t>
  </si>
  <si>
    <t>LEA Administrators</t>
  </si>
  <si>
    <t>School Administrators</t>
  </si>
  <si>
    <t>Audio/Speech Lang. Pathologists</t>
  </si>
  <si>
    <t>Psychologists</t>
  </si>
  <si>
    <t>Social Workers</t>
  </si>
  <si>
    <t>District</t>
  </si>
  <si>
    <t>Total</t>
  </si>
  <si>
    <t>Female</t>
  </si>
  <si>
    <t>Male</t>
  </si>
  <si>
    <t>Charter School</t>
  </si>
  <si>
    <t>8B</t>
  </si>
  <si>
    <t>American Leadership</t>
  </si>
  <si>
    <t>American Prep</t>
  </si>
  <si>
    <t>AMES</t>
  </si>
  <si>
    <t>3B</t>
  </si>
  <si>
    <t>BSTA</t>
  </si>
  <si>
    <t>9D</t>
  </si>
  <si>
    <t>Canyon Rim Academy</t>
  </si>
  <si>
    <t>CBA Center</t>
  </si>
  <si>
    <t>2D</t>
  </si>
  <si>
    <t>Channing Hall</t>
  </si>
  <si>
    <t>City Academy</t>
  </si>
  <si>
    <t>3E</t>
  </si>
  <si>
    <t>CS Lewis Academy</t>
  </si>
  <si>
    <t>A3</t>
  </si>
  <si>
    <t>DaVinci</t>
  </si>
  <si>
    <t>4E</t>
  </si>
  <si>
    <t>Dual Immersion Academy</t>
  </si>
  <si>
    <t>A8</t>
  </si>
  <si>
    <t>East Hollywood</t>
  </si>
  <si>
    <t>5E</t>
  </si>
  <si>
    <t>Edith Bowen Lab School</t>
  </si>
  <si>
    <t>3C</t>
  </si>
  <si>
    <t>Entheos</t>
  </si>
  <si>
    <t>Fast Forward</t>
  </si>
  <si>
    <t>Freedom Acad</t>
  </si>
  <si>
    <t>5D</t>
  </si>
  <si>
    <t>George Washington</t>
  </si>
  <si>
    <t>1E</t>
  </si>
  <si>
    <t>Guadalupe</t>
  </si>
  <si>
    <t>2C</t>
  </si>
  <si>
    <t>Intech</t>
  </si>
  <si>
    <t>A5</t>
  </si>
  <si>
    <t>Itineris</t>
  </si>
  <si>
    <t>John Hancock</t>
  </si>
  <si>
    <t>4C</t>
  </si>
  <si>
    <t>Lakeview Acad</t>
  </si>
  <si>
    <t>5C</t>
  </si>
  <si>
    <t>Legacy Prep</t>
  </si>
  <si>
    <t>6C</t>
  </si>
  <si>
    <t>Liberty</t>
  </si>
  <si>
    <t>2B</t>
  </si>
  <si>
    <t>Lincoln Acad</t>
  </si>
  <si>
    <t>2E</t>
  </si>
  <si>
    <t>Maeser Prep</t>
  </si>
  <si>
    <t>A7</t>
  </si>
  <si>
    <t>Moab</t>
  </si>
  <si>
    <t>7C</t>
  </si>
  <si>
    <t>Monticello Acad</t>
  </si>
  <si>
    <t>8C</t>
  </si>
  <si>
    <t>Mountainville Acad</t>
  </si>
  <si>
    <t>9B</t>
  </si>
  <si>
    <t>Navigator Pointe</t>
  </si>
  <si>
    <t>6D</t>
  </si>
  <si>
    <t>Noah Webster</t>
  </si>
  <si>
    <t>A6</t>
  </si>
  <si>
    <t>North Davis Prep</t>
  </si>
  <si>
    <t>5B</t>
  </si>
  <si>
    <t>North Star Acad</t>
  </si>
  <si>
    <t>A1</t>
  </si>
  <si>
    <t>NUAMES</t>
  </si>
  <si>
    <t>1C</t>
  </si>
  <si>
    <t>Odyssey</t>
  </si>
  <si>
    <t>Ogden Prep</t>
  </si>
  <si>
    <t>8D</t>
  </si>
  <si>
    <t>Open Classroom</t>
  </si>
  <si>
    <t>9C</t>
  </si>
  <si>
    <t>Paradigm High School</t>
  </si>
  <si>
    <t>Pinnacle Canyon</t>
  </si>
  <si>
    <t>A2</t>
  </si>
  <si>
    <t>Ranches</t>
  </si>
  <si>
    <t>7B</t>
  </si>
  <si>
    <t>Reagan Acad</t>
  </si>
  <si>
    <t>1D</t>
  </si>
  <si>
    <t>Renaissance Acad</t>
  </si>
  <si>
    <t>Salt Lake Arts Acad</t>
  </si>
  <si>
    <t>7D</t>
  </si>
  <si>
    <t>Salt Lake School for Perf. Arts</t>
  </si>
  <si>
    <t>Soldier Hollow</t>
  </si>
  <si>
    <t>3D</t>
  </si>
  <si>
    <t>Spectrum Acad</t>
  </si>
  <si>
    <t>A9</t>
  </si>
  <si>
    <t>SUCCESS Acad</t>
  </si>
  <si>
    <t>Success School</t>
  </si>
  <si>
    <t>A4</t>
  </si>
  <si>
    <t>Summit Acad</t>
  </si>
  <si>
    <t>4D</t>
  </si>
  <si>
    <t>Syracuse Arts</t>
  </si>
  <si>
    <t>Thomas Edison North</t>
  </si>
  <si>
    <t>6B</t>
  </si>
  <si>
    <t>Thomas Edison South</t>
  </si>
  <si>
    <t>Timpanogos Acad.</t>
  </si>
  <si>
    <t>Tuacahn High</t>
  </si>
  <si>
    <t>1B</t>
  </si>
  <si>
    <t>UCAS</t>
  </si>
  <si>
    <t>Uintah River</t>
  </si>
  <si>
    <t>Walden</t>
  </si>
  <si>
    <t>4B</t>
  </si>
  <si>
    <t>Wasatch Peak</t>
  </si>
  <si>
    <t>CHARTER SCHOOL TOTAL</t>
  </si>
  <si>
    <t>USDB</t>
  </si>
  <si>
    <t>STATE TOTAL</t>
  </si>
  <si>
    <t>CLASSIFIED PERSONNEL FTEs</t>
  </si>
  <si>
    <t>FY 2008</t>
  </si>
  <si>
    <t>1000 Instruction</t>
  </si>
  <si>
    <t>2000 Support Services</t>
  </si>
  <si>
    <t>3100 School Food Services</t>
  </si>
  <si>
    <t>4000                                                Facilities Acquistion/ Construction</t>
  </si>
  <si>
    <t>TOTAL CLASSIFIED PERSONNEL</t>
  </si>
  <si>
    <t>2100 Students</t>
  </si>
  <si>
    <t>2200 Instructional Staff</t>
  </si>
  <si>
    <t>2300 District Gen. Admin.</t>
  </si>
  <si>
    <t>2400       Sch. Admin.</t>
  </si>
  <si>
    <t>2500 Business</t>
  </si>
  <si>
    <t>2600 Maintenance &amp; Operation</t>
  </si>
  <si>
    <t>2700 Student Transportation</t>
  </si>
  <si>
    <t>2900 Other</t>
  </si>
  <si>
    <t>Tchr. Aides &amp; Para- professional</t>
  </si>
  <si>
    <t>Health Services Personnel</t>
  </si>
  <si>
    <t>Secretary/ Clerical</t>
  </si>
  <si>
    <t>Media Center Aides</t>
  </si>
  <si>
    <t>Supv. and Directors</t>
  </si>
  <si>
    <t>School Business Admin.</t>
  </si>
  <si>
    <t>Accounting Personnel</t>
  </si>
  <si>
    <t>Other Personnel</t>
  </si>
  <si>
    <t>TOTAL BUSINESS</t>
  </si>
  <si>
    <t>Supervisors</t>
  </si>
  <si>
    <t>Custodians/ Maintenance</t>
  </si>
  <si>
    <t>TOTAL M&amp;O</t>
  </si>
  <si>
    <t>Bus Drivers</t>
  </si>
  <si>
    <t>Mechanics/ Garage Personnel</t>
  </si>
  <si>
    <t>TOTAL TRANS.</t>
  </si>
  <si>
    <t>TOTAL OTHER</t>
  </si>
  <si>
    <t>Food Service Personnel</t>
  </si>
  <si>
    <t>TOTAL SCHOOL FOODS</t>
  </si>
  <si>
    <t>Building/ Construction</t>
  </si>
  <si>
    <t>TOTAL FACILITY/ CONSTR.</t>
  </si>
  <si>
    <t>LEA Administrative Support Staff</t>
  </si>
  <si>
    <t>School Administrative Support Staff</t>
  </si>
  <si>
    <t>Student Support Services Staff</t>
  </si>
  <si>
    <t>Other Support Staff</t>
  </si>
  <si>
    <t>School Nurses</t>
  </si>
  <si>
    <t>Audiologists / Speech Language Pathologists</t>
  </si>
  <si>
    <t>Student Transportation Supervisors</t>
  </si>
  <si>
    <t>School Food Services Supervisors</t>
  </si>
  <si>
    <t>CHARTER SCHOOL</t>
  </si>
  <si>
    <t>American Leadership Academy</t>
  </si>
  <si>
    <t>American Preparatory Academy</t>
  </si>
  <si>
    <t>DaVinci Academy</t>
  </si>
  <si>
    <t>East Hollywood High</t>
  </si>
  <si>
    <t>Entheos Academy</t>
  </si>
  <si>
    <t>Fast Forward High</t>
  </si>
  <si>
    <t>Freedom Academy</t>
  </si>
  <si>
    <t>George Washington Academy</t>
  </si>
  <si>
    <t>Guadalupe School</t>
  </si>
  <si>
    <t>Intech Collegiate High</t>
  </si>
  <si>
    <t>Itineris Early College High</t>
  </si>
  <si>
    <t>Karl G Maeser Prep Academy</t>
  </si>
  <si>
    <t>Lakeview Academy</t>
  </si>
  <si>
    <t>Legacy Prep Academy</t>
  </si>
  <si>
    <t>Liberty Academy</t>
  </si>
  <si>
    <t>Lincoln Academy</t>
  </si>
  <si>
    <t>Moab Community School</t>
  </si>
  <si>
    <t>Monticello Academy</t>
  </si>
  <si>
    <t>Mountainville Academy</t>
  </si>
  <si>
    <t>Navigator Pointe Academy</t>
  </si>
  <si>
    <t>Noah Webster Academy</t>
  </si>
  <si>
    <t>North Davis Prep Academy</t>
  </si>
  <si>
    <t>North Star Academy</t>
  </si>
  <si>
    <t>Ogden Prep Academy</t>
  </si>
  <si>
    <t>Pinnacle Canyon Academy</t>
  </si>
  <si>
    <t>Ranches Academy</t>
  </si>
  <si>
    <t>Reagan Academy</t>
  </si>
  <si>
    <t>Renaissance Academy</t>
  </si>
  <si>
    <t>Salt Lake Arts Academy</t>
  </si>
  <si>
    <t>Spectrum Academy</t>
  </si>
  <si>
    <t>SUCCESS Academy</t>
  </si>
  <si>
    <t>Summit Academy</t>
  </si>
  <si>
    <t>Syracuse Arts Academy</t>
  </si>
  <si>
    <t>Timpanogos Academy</t>
  </si>
  <si>
    <t>Uintah River High</t>
  </si>
  <si>
    <t>Walden School of Liberal Arts</t>
  </si>
  <si>
    <t>Wasatch Peak Academy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</si>
</sst>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,##0.000_);\(#,##0.000\)"/>
  </numFmts>
  <fonts count="15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Helvetica"/>
      <family val="2"/>
    </font>
    <font>
      <b/>
      <sz val="12"/>
      <name val="Arial"/>
      <family val="2"/>
    </font>
    <font>
      <b/>
      <sz val="9"/>
      <name val="Helvetica"/>
      <family val="2"/>
    </font>
    <font>
      <sz val="10"/>
      <name val="Arial"/>
      <family val="2"/>
    </font>
    <font>
      <b/>
      <sz val="9"/>
      <name val="Helvetica"/>
      <family val="2"/>
    </font>
    <font>
      <sz val="9"/>
      <name val="Helvetica"/>
      <family val="2"/>
    </font>
    <font>
      <b/>
      <sz val="10"/>
      <name val="Arial"/>
      <family val="2"/>
    </font>
    <font>
      <b/>
      <sz val="10"/>
      <name val="Helvetica"/>
      <family val="2"/>
    </font>
    <font>
      <sz val="10"/>
      <color theme="1"/>
      <name val="Helvetica"/>
      <family val="2"/>
    </font>
    <font>
      <sz val="10"/>
      <name val="Helvetica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164" fontId="0" fillId="0" borderId="0" xfId="0" applyNumberFormat="1"/>
    <xf numFmtId="0" fontId="3" fillId="0" borderId="0" xfId="0" applyFont="1"/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3" xfId="0" applyBorder="1"/>
    <xf numFmtId="0" fontId="4" fillId="0" borderId="13" xfId="0" applyFont="1" applyBorder="1" applyAlignment="1">
      <alignment horizontal="centerContinuous"/>
    </xf>
    <xf numFmtId="164" fontId="1" fillId="0" borderId="22" xfId="0" applyNumberFormat="1" applyFont="1" applyFill="1" applyBorder="1" applyAlignment="1">
      <alignment horizontal="center"/>
    </xf>
    <xf numFmtId="164" fontId="1" fillId="0" borderId="23" xfId="0" applyNumberFormat="1" applyFont="1" applyBorder="1" applyAlignment="1">
      <alignment horizontal="center"/>
    </xf>
    <xf numFmtId="164" fontId="1" fillId="0" borderId="24" xfId="0" applyNumberFormat="1" applyFont="1" applyBorder="1" applyAlignment="1">
      <alignment horizontal="center"/>
    </xf>
    <xf numFmtId="0" fontId="4" fillId="0" borderId="7" xfId="0" quotePrefix="1" applyFont="1" applyFill="1" applyBorder="1" applyAlignment="1">
      <alignment horizontal="left"/>
    </xf>
    <xf numFmtId="164" fontId="1" fillId="0" borderId="1" xfId="0" applyNumberFormat="1" applyFont="1" applyFill="1" applyBorder="1"/>
    <xf numFmtId="164" fontId="0" fillId="0" borderId="25" xfId="0" applyNumberFormat="1" applyBorder="1"/>
    <xf numFmtId="164" fontId="0" fillId="0" borderId="6" xfId="0" applyNumberFormat="1" applyBorder="1"/>
    <xf numFmtId="164" fontId="0" fillId="0" borderId="6" xfId="0" applyNumberFormat="1" applyFill="1" applyBorder="1"/>
    <xf numFmtId="164" fontId="0" fillId="0" borderId="25" xfId="0" applyNumberFormat="1" applyFill="1" applyBorder="1"/>
    <xf numFmtId="164" fontId="1" fillId="0" borderId="6" xfId="0" applyNumberFormat="1" applyFont="1" applyBorder="1"/>
    <xf numFmtId="0" fontId="4" fillId="0" borderId="9" xfId="0" quotePrefix="1" applyFont="1" applyFill="1" applyBorder="1" applyAlignment="1">
      <alignment horizontal="left"/>
    </xf>
    <xf numFmtId="164" fontId="1" fillId="0" borderId="5" xfId="0" applyNumberFormat="1" applyFont="1" applyFill="1" applyBorder="1"/>
    <xf numFmtId="164" fontId="0" fillId="0" borderId="0" xfId="0" applyNumberFormat="1" applyBorder="1"/>
    <xf numFmtId="164" fontId="0" fillId="0" borderId="8" xfId="0" applyNumberFormat="1" applyBorder="1"/>
    <xf numFmtId="164" fontId="0" fillId="0" borderId="0" xfId="0" applyNumberFormat="1" applyFill="1" applyBorder="1"/>
    <xf numFmtId="164" fontId="1" fillId="0" borderId="8" xfId="0" applyNumberFormat="1" applyFont="1" applyBorder="1"/>
    <xf numFmtId="0" fontId="0" fillId="0" borderId="11" xfId="0" applyBorder="1"/>
    <xf numFmtId="0" fontId="4" fillId="0" borderId="11" xfId="0" quotePrefix="1" applyFont="1" applyFill="1" applyBorder="1" applyAlignment="1">
      <alignment horizontal="left"/>
    </xf>
    <xf numFmtId="164" fontId="1" fillId="0" borderId="12" xfId="0" applyNumberFormat="1" applyFont="1" applyFill="1" applyBorder="1"/>
    <xf numFmtId="164" fontId="0" fillId="0" borderId="26" xfId="0" applyNumberFormat="1" applyFill="1" applyBorder="1"/>
    <xf numFmtId="164" fontId="0" fillId="0" borderId="10" xfId="0" applyNumberFormat="1" applyBorder="1"/>
    <xf numFmtId="164" fontId="1" fillId="0" borderId="10" xfId="0" applyNumberFormat="1" applyFont="1" applyBorder="1"/>
    <xf numFmtId="0" fontId="4" fillId="2" borderId="9" xfId="0" quotePrefix="1" applyFont="1" applyFill="1" applyBorder="1" applyAlignment="1">
      <alignment horizontal="left"/>
    </xf>
    <xf numFmtId="0" fontId="2" fillId="0" borderId="13" xfId="0" applyFont="1" applyFill="1" applyBorder="1" applyAlignment="1">
      <alignment horizontal="left"/>
    </xf>
    <xf numFmtId="164" fontId="1" fillId="0" borderId="2" xfId="0" applyNumberFormat="1" applyFont="1" applyFill="1" applyBorder="1"/>
    <xf numFmtId="164" fontId="1" fillId="0" borderId="3" xfId="0" applyNumberFormat="1" applyFont="1" applyFill="1" applyBorder="1"/>
    <xf numFmtId="164" fontId="1" fillId="0" borderId="4" xfId="0" applyNumberFormat="1" applyFont="1" applyBorder="1"/>
    <xf numFmtId="164" fontId="2" fillId="0" borderId="13" xfId="0" applyNumberFormat="1" applyFont="1" applyFill="1" applyBorder="1" applyAlignment="1">
      <alignment horizontal="center"/>
    </xf>
    <xf numFmtId="164" fontId="1" fillId="0" borderId="4" xfId="0" applyNumberFormat="1" applyFont="1" applyFill="1" applyBorder="1"/>
    <xf numFmtId="0" fontId="0" fillId="0" borderId="9" xfId="0" applyBorder="1" applyAlignment="1">
      <alignment horizontal="right"/>
    </xf>
    <xf numFmtId="0" fontId="4" fillId="0" borderId="9" xfId="0" applyFont="1" applyFill="1" applyBorder="1" applyAlignment="1">
      <alignment horizontal="left"/>
    </xf>
    <xf numFmtId="164" fontId="5" fillId="0" borderId="0" xfId="0" applyNumberFormat="1" applyFont="1" applyFill="1" applyBorder="1"/>
    <xf numFmtId="164" fontId="5" fillId="0" borderId="8" xfId="0" applyNumberFormat="1" applyFont="1" applyFill="1" applyBorder="1"/>
    <xf numFmtId="164" fontId="1" fillId="0" borderId="5" xfId="0" applyNumberFormat="1" applyFont="1" applyBorder="1"/>
    <xf numFmtId="164" fontId="0" fillId="0" borderId="5" xfId="0" applyNumberFormat="1" applyBorder="1"/>
    <xf numFmtId="164" fontId="1" fillId="0" borderId="12" xfId="0" applyNumberFormat="1" applyFont="1" applyBorder="1"/>
    <xf numFmtId="164" fontId="0" fillId="0" borderId="26" xfId="0" applyNumberFormat="1" applyBorder="1"/>
    <xf numFmtId="164" fontId="0" fillId="0" borderId="12" xfId="0" applyNumberFormat="1" applyBorder="1"/>
    <xf numFmtId="164" fontId="1" fillId="0" borderId="1" xfId="0" applyNumberFormat="1" applyFont="1" applyBorder="1"/>
    <xf numFmtId="164" fontId="5" fillId="0" borderId="25" xfId="0" applyNumberFormat="1" applyFont="1" applyBorder="1"/>
    <xf numFmtId="164" fontId="5" fillId="0" borderId="6" xfId="0" applyNumberFormat="1" applyFont="1" applyBorder="1"/>
    <xf numFmtId="164" fontId="0" fillId="0" borderId="1" xfId="0" applyNumberFormat="1" applyBorder="1"/>
    <xf numFmtId="164" fontId="1" fillId="0" borderId="8" xfId="0" applyNumberFormat="1" applyFont="1" applyFill="1" applyBorder="1"/>
    <xf numFmtId="164" fontId="1" fillId="0" borderId="25" xfId="0" applyNumberFormat="1" applyFont="1" applyBorder="1"/>
    <xf numFmtId="164" fontId="0" fillId="0" borderId="8" xfId="0" applyNumberFormat="1" applyFill="1" applyBorder="1"/>
    <xf numFmtId="0" fontId="0" fillId="0" borderId="2" xfId="0" applyBorder="1" applyAlignment="1">
      <alignment horizontal="right"/>
    </xf>
    <xf numFmtId="0" fontId="4" fillId="0" borderId="13" xfId="0" applyFont="1" applyFill="1" applyBorder="1" applyAlignment="1">
      <alignment horizontal="left"/>
    </xf>
    <xf numFmtId="164" fontId="1" fillId="0" borderId="2" xfId="0" applyNumberFormat="1" applyFont="1" applyBorder="1"/>
    <xf numFmtId="164" fontId="0" fillId="0" borderId="3" xfId="0" applyNumberFormat="1" applyBorder="1"/>
    <xf numFmtId="164" fontId="0" fillId="0" borderId="4" xfId="0" applyNumberFormat="1" applyBorder="1"/>
    <xf numFmtId="0" fontId="0" fillId="0" borderId="2" xfId="0" applyBorder="1"/>
    <xf numFmtId="164" fontId="5" fillId="0" borderId="3" xfId="0" applyNumberFormat="1" applyFont="1" applyBorder="1"/>
    <xf numFmtId="164" fontId="5" fillId="0" borderId="4" xfId="0" applyNumberFormat="1" applyFont="1" applyBorder="1"/>
    <xf numFmtId="0" fontId="0" fillId="0" borderId="12" xfId="0" applyBorder="1"/>
    <xf numFmtId="0" fontId="4" fillId="0" borderId="11" xfId="0" applyFont="1" applyFill="1" applyBorder="1" applyAlignment="1">
      <alignment horizontal="left"/>
    </xf>
    <xf numFmtId="164" fontId="1" fillId="0" borderId="26" xfId="0" applyNumberFormat="1" applyFont="1" applyBorder="1"/>
    <xf numFmtId="164" fontId="1" fillId="0" borderId="26" xfId="0" applyNumberFormat="1" applyFont="1" applyFill="1" applyBorder="1"/>
    <xf numFmtId="164" fontId="1" fillId="0" borderId="10" xfId="0" applyNumberFormat="1" applyFont="1" applyFill="1" applyBorder="1"/>
    <xf numFmtId="0" fontId="0" fillId="0" borderId="25" xfId="0" applyBorder="1"/>
    <xf numFmtId="0" fontId="0" fillId="0" borderId="0" xfId="0" applyBorder="1"/>
    <xf numFmtId="0" fontId="6" fillId="0" borderId="31" xfId="0" applyFont="1" applyBorder="1" applyAlignment="1">
      <alignment horizontal="center" wrapText="1"/>
    </xf>
    <xf numFmtId="0" fontId="4" fillId="0" borderId="1" xfId="0" applyFont="1" applyBorder="1" applyAlignment="1">
      <alignment horizontal="centerContinuous"/>
    </xf>
    <xf numFmtId="0" fontId="6" fillId="0" borderId="29" xfId="0" applyFont="1" applyBorder="1" applyAlignment="1">
      <alignment horizontal="center" wrapText="1"/>
    </xf>
    <xf numFmtId="0" fontId="6" fillId="0" borderId="30" xfId="0" applyFont="1" applyBorder="1" applyAlignment="1">
      <alignment horizontal="center" wrapText="1"/>
    </xf>
    <xf numFmtId="0" fontId="6" fillId="0" borderId="31" xfId="0" applyFont="1" applyFill="1" applyBorder="1" applyAlignment="1">
      <alignment horizontal="center" wrapText="1"/>
    </xf>
    <xf numFmtId="0" fontId="6" fillId="0" borderId="32" xfId="0" applyFont="1" applyBorder="1" applyAlignment="1">
      <alignment horizontal="center" wrapText="1"/>
    </xf>
    <xf numFmtId="0" fontId="6" fillId="0" borderId="30" xfId="0" applyFont="1" applyFill="1" applyBorder="1" applyAlignment="1">
      <alignment horizontal="center" wrapText="1"/>
    </xf>
    <xf numFmtId="0" fontId="6" fillId="0" borderId="32" xfId="0" applyFont="1" applyFill="1" applyBorder="1" applyAlignment="1">
      <alignment horizontal="center" wrapText="1"/>
    </xf>
    <xf numFmtId="0" fontId="4" fillId="0" borderId="5" xfId="0" quotePrefix="1" applyFont="1" applyFill="1" applyBorder="1" applyAlignment="1">
      <alignment horizontal="left"/>
    </xf>
    <xf numFmtId="0" fontId="7" fillId="0" borderId="9" xfId="0" applyFont="1" applyBorder="1"/>
    <xf numFmtId="0" fontId="7" fillId="0" borderId="5" xfId="0" applyFont="1" applyBorder="1"/>
    <xf numFmtId="0" fontId="7" fillId="0" borderId="0" xfId="0" applyFont="1" applyBorder="1"/>
    <xf numFmtId="0" fontId="7" fillId="0" borderId="8" xfId="0" applyFont="1" applyBorder="1"/>
    <xf numFmtId="0" fontId="6" fillId="0" borderId="8" xfId="0" applyFont="1" applyBorder="1"/>
    <xf numFmtId="0" fontId="7" fillId="0" borderId="0" xfId="0" applyFont="1" applyFill="1" applyBorder="1"/>
    <xf numFmtId="0" fontId="4" fillId="2" borderId="5" xfId="0" quotePrefix="1" applyFont="1" applyFill="1" applyBorder="1" applyAlignment="1">
      <alignment horizontal="left"/>
    </xf>
    <xf numFmtId="0" fontId="8" fillId="0" borderId="2" xfId="0" applyFont="1" applyBorder="1"/>
    <xf numFmtId="0" fontId="2" fillId="0" borderId="2" xfId="0" applyFont="1" applyFill="1" applyBorder="1" applyAlignment="1">
      <alignment horizontal="left"/>
    </xf>
    <xf numFmtId="0" fontId="6" fillId="0" borderId="13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7" fillId="0" borderId="13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165" fontId="1" fillId="0" borderId="0" xfId="0" applyNumberFormat="1" applyFont="1" applyFill="1" applyBorder="1" applyAlignment="1">
      <alignment horizontal="center"/>
    </xf>
    <xf numFmtId="165" fontId="12" fillId="0" borderId="0" xfId="0" applyNumberFormat="1" applyFont="1"/>
    <xf numFmtId="165" fontId="10" fillId="0" borderId="0" xfId="0" applyNumberFormat="1" applyFont="1"/>
    <xf numFmtId="0" fontId="2" fillId="3" borderId="9" xfId="0" applyFont="1" applyFill="1" applyBorder="1" applyAlignment="1">
      <alignment horizontal="left"/>
    </xf>
    <xf numFmtId="0" fontId="2" fillId="0" borderId="9" xfId="0" applyFont="1" applyFill="1" applyBorder="1"/>
    <xf numFmtId="0" fontId="2" fillId="0" borderId="9" xfId="0" applyFont="1" applyBorder="1"/>
    <xf numFmtId="164" fontId="2" fillId="0" borderId="9" xfId="0" applyNumberFormat="1" applyFont="1" applyBorder="1"/>
    <xf numFmtId="165" fontId="1" fillId="0" borderId="7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5" fontId="1" fillId="0" borderId="13" xfId="0" applyNumberFormat="1" applyFont="1" applyBorder="1" applyAlignment="1">
      <alignment horizontal="center" wrapText="1"/>
    </xf>
    <xf numFmtId="165" fontId="1" fillId="0" borderId="4" xfId="0" applyNumberFormat="1" applyFont="1" applyBorder="1" applyAlignment="1">
      <alignment horizontal="center" wrapText="1"/>
    </xf>
    <xf numFmtId="165" fontId="1" fillId="0" borderId="1" xfId="0" applyNumberFormat="1" applyFont="1" applyBorder="1" applyAlignment="1"/>
    <xf numFmtId="165" fontId="13" fillId="0" borderId="5" xfId="0" applyNumberFormat="1" applyFont="1" applyBorder="1"/>
    <xf numFmtId="165" fontId="13" fillId="0" borderId="0" xfId="0" applyNumberFormat="1" applyFont="1" applyBorder="1"/>
    <xf numFmtId="165" fontId="13" fillId="0" borderId="8" xfId="0" applyNumberFormat="1" applyFont="1" applyBorder="1"/>
    <xf numFmtId="165" fontId="1" fillId="0" borderId="5" xfId="0" quotePrefix="1" applyNumberFormat="1" applyFont="1" applyFill="1" applyBorder="1" applyAlignment="1">
      <alignment horizontal="left" indent="1"/>
    </xf>
    <xf numFmtId="165" fontId="1" fillId="0" borderId="15" xfId="0" quotePrefix="1" applyNumberFormat="1" applyFont="1" applyFill="1" applyBorder="1" applyAlignment="1">
      <alignment horizontal="left" indent="1"/>
    </xf>
    <xf numFmtId="165" fontId="1" fillId="0" borderId="14" xfId="0" quotePrefix="1" applyNumberFormat="1" applyFont="1" applyFill="1" applyBorder="1" applyAlignment="1">
      <alignment horizontal="left" indent="1"/>
    </xf>
    <xf numFmtId="165" fontId="1" fillId="0" borderId="5" xfId="0" applyNumberFormat="1" applyFont="1" applyFill="1" applyBorder="1" applyAlignment="1">
      <alignment horizontal="left" indent="1"/>
    </xf>
    <xf numFmtId="165" fontId="1" fillId="0" borderId="14" xfId="0" applyNumberFormat="1" applyFont="1" applyFill="1" applyBorder="1" applyAlignment="1">
      <alignment horizontal="left" indent="1"/>
    </xf>
    <xf numFmtId="165" fontId="1" fillId="0" borderId="15" xfId="0" applyNumberFormat="1" applyFont="1" applyFill="1" applyBorder="1" applyAlignment="1">
      <alignment horizontal="left" indent="1"/>
    </xf>
    <xf numFmtId="165" fontId="1" fillId="0" borderId="2" xfId="0" applyNumberFormat="1" applyFont="1" applyFill="1" applyBorder="1" applyAlignment="1">
      <alignment horizontal="left"/>
    </xf>
    <xf numFmtId="165" fontId="1" fillId="0" borderId="9" xfId="0" applyNumberFormat="1" applyFont="1" applyBorder="1" applyAlignment="1"/>
    <xf numFmtId="165" fontId="1" fillId="0" borderId="0" xfId="0" applyNumberFormat="1" applyFont="1" applyBorder="1" applyAlignment="1">
      <alignment horizontal="center" wrapText="1"/>
    </xf>
    <xf numFmtId="165" fontId="1" fillId="0" borderId="8" xfId="0" applyNumberFormat="1" applyFont="1" applyBorder="1" applyAlignment="1">
      <alignment horizontal="center" wrapText="1"/>
    </xf>
    <xf numFmtId="0" fontId="1" fillId="3" borderId="9" xfId="0" applyFont="1" applyFill="1" applyBorder="1" applyAlignment="1">
      <alignment horizontal="left"/>
    </xf>
    <xf numFmtId="0" fontId="1" fillId="0" borderId="9" xfId="0" applyFont="1" applyFill="1" applyBorder="1"/>
    <xf numFmtId="0" fontId="1" fillId="0" borderId="9" xfId="0" applyFont="1" applyBorder="1"/>
    <xf numFmtId="164" fontId="1" fillId="0" borderId="9" xfId="0" applyNumberFormat="1" applyFont="1" applyBorder="1"/>
    <xf numFmtId="165" fontId="1" fillId="0" borderId="13" xfId="0" applyNumberFormat="1" applyFont="1" applyFill="1" applyBorder="1" applyAlignment="1">
      <alignment horizontal="left"/>
    </xf>
    <xf numFmtId="165" fontId="1" fillId="0" borderId="2" xfId="0" applyNumberFormat="1" applyFont="1" applyBorder="1" applyAlignment="1">
      <alignment horizontal="center" wrapText="1"/>
    </xf>
    <xf numFmtId="165" fontId="1" fillId="0" borderId="7" xfId="0" applyNumberFormat="1" applyFont="1" applyBorder="1" applyAlignment="1">
      <alignment horizontal="center" wrapText="1"/>
    </xf>
    <xf numFmtId="165" fontId="1" fillId="0" borderId="13" xfId="0" applyNumberFormat="1" applyFont="1" applyFill="1" applyBorder="1" applyAlignment="1">
      <alignment horizontal="center" wrapText="1"/>
    </xf>
    <xf numFmtId="165" fontId="1" fillId="0" borderId="0" xfId="0" applyNumberFormat="1" applyFont="1" applyFill="1" applyBorder="1" applyAlignment="1">
      <alignment horizontal="center" wrapText="1"/>
    </xf>
    <xf numFmtId="165" fontId="1" fillId="0" borderId="8" xfId="0" applyNumberFormat="1" applyFont="1" applyFill="1" applyBorder="1" applyAlignment="1">
      <alignment horizontal="center" wrapText="1"/>
    </xf>
    <xf numFmtId="3" fontId="13" fillId="0" borderId="0" xfId="0" applyNumberFormat="1" applyFont="1" applyBorder="1"/>
    <xf numFmtId="165" fontId="13" fillId="0" borderId="5" xfId="0" applyNumberFormat="1" applyFont="1" applyBorder="1" applyAlignment="1">
      <alignment horizontal="center"/>
    </xf>
    <xf numFmtId="165" fontId="13" fillId="0" borderId="0" xfId="0" applyNumberFormat="1" applyFont="1" applyBorder="1" applyAlignment="1">
      <alignment horizontal="center"/>
    </xf>
    <xf numFmtId="165" fontId="13" fillId="0" borderId="8" xfId="0" applyNumberFormat="1" applyFont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5" fontId="13" fillId="0" borderId="15" xfId="0" applyNumberFormat="1" applyFont="1" applyBorder="1" applyAlignment="1">
      <alignment horizontal="center"/>
    </xf>
    <xf numFmtId="165" fontId="13" fillId="0" borderId="34" xfId="0" applyNumberFormat="1" applyFont="1" applyBorder="1" applyAlignment="1">
      <alignment horizontal="center"/>
    </xf>
    <xf numFmtId="165" fontId="13" fillId="0" borderId="35" xfId="0" applyNumberFormat="1" applyFont="1" applyBorder="1" applyAlignment="1">
      <alignment horizontal="center"/>
    </xf>
    <xf numFmtId="165" fontId="5" fillId="0" borderId="34" xfId="0" applyNumberFormat="1" applyFont="1" applyBorder="1" applyAlignment="1">
      <alignment horizontal="center"/>
    </xf>
    <xf numFmtId="165" fontId="5" fillId="0" borderId="35" xfId="0" applyNumberFormat="1" applyFont="1" applyBorder="1" applyAlignment="1">
      <alignment horizontal="center"/>
    </xf>
    <xf numFmtId="165" fontId="13" fillId="0" borderId="14" xfId="0" applyNumberFormat="1" applyFont="1" applyBorder="1" applyAlignment="1">
      <alignment horizontal="center"/>
    </xf>
    <xf numFmtId="165" fontId="13" fillId="0" borderId="36" xfId="0" applyNumberFormat="1" applyFont="1" applyBorder="1" applyAlignment="1">
      <alignment horizontal="center"/>
    </xf>
    <xf numFmtId="165" fontId="13" fillId="0" borderId="37" xfId="0" applyNumberFormat="1" applyFont="1" applyBorder="1" applyAlignment="1">
      <alignment horizontal="center"/>
    </xf>
    <xf numFmtId="165" fontId="5" fillId="0" borderId="36" xfId="0" applyNumberFormat="1" applyFont="1" applyBorder="1" applyAlignment="1">
      <alignment horizontal="center"/>
    </xf>
    <xf numFmtId="165" fontId="5" fillId="0" borderId="37" xfId="0" applyNumberFormat="1" applyFont="1" applyBorder="1" applyAlignment="1">
      <alignment horizontal="center"/>
    </xf>
    <xf numFmtId="165" fontId="5" fillId="0" borderId="8" xfId="0" applyNumberFormat="1" applyFont="1" applyFill="1" applyBorder="1" applyAlignment="1">
      <alignment horizontal="center"/>
    </xf>
    <xf numFmtId="165" fontId="14" fillId="0" borderId="2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165" fontId="14" fillId="0" borderId="4" xfId="0" applyNumberFormat="1" applyFont="1" applyBorder="1" applyAlignment="1">
      <alignment horizontal="center"/>
    </xf>
    <xf numFmtId="165" fontId="14" fillId="0" borderId="5" xfId="0" applyNumberFormat="1" applyFont="1" applyBorder="1" applyAlignment="1">
      <alignment horizontal="center"/>
    </xf>
    <xf numFmtId="165" fontId="14" fillId="0" borderId="0" xfId="0" applyNumberFormat="1" applyFont="1" applyBorder="1" applyAlignment="1">
      <alignment horizontal="center"/>
    </xf>
    <xf numFmtId="165" fontId="14" fillId="0" borderId="8" xfId="0" applyNumberFormat="1" applyFont="1" applyBorder="1" applyAlignment="1">
      <alignment horizontal="center"/>
    </xf>
    <xf numFmtId="165" fontId="5" fillId="0" borderId="0" xfId="0" applyNumberFormat="1" applyFont="1" applyFill="1" applyBorder="1" applyAlignment="1">
      <alignment horizontal="center"/>
    </xf>
    <xf numFmtId="165" fontId="14" fillId="0" borderId="12" xfId="0" applyNumberFormat="1" applyFont="1" applyBorder="1" applyAlignment="1">
      <alignment horizontal="center"/>
    </xf>
    <xf numFmtId="165" fontId="14" fillId="0" borderId="26" xfId="0" applyNumberFormat="1" applyFont="1" applyBorder="1" applyAlignment="1">
      <alignment horizontal="center"/>
    </xf>
    <xf numFmtId="165" fontId="14" fillId="0" borderId="10" xfId="0" applyNumberFormat="1" applyFont="1" applyBorder="1" applyAlignment="1">
      <alignment horizontal="center"/>
    </xf>
    <xf numFmtId="165" fontId="12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165" fontId="12" fillId="0" borderId="0" xfId="0" applyNumberFormat="1" applyFont="1" applyBorder="1"/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165" fontId="9" fillId="0" borderId="11" xfId="0" applyNumberFormat="1" applyFont="1" applyFill="1" applyBorder="1" applyAlignment="1">
      <alignment horizontal="left"/>
    </xf>
    <xf numFmtId="165" fontId="9" fillId="0" borderId="7" xfId="0" applyNumberFormat="1" applyFont="1" applyBorder="1" applyAlignment="1"/>
    <xf numFmtId="0" fontId="2" fillId="0" borderId="11" xfId="0" applyFont="1" applyBorder="1"/>
    <xf numFmtId="165" fontId="1" fillId="0" borderId="1" xfId="0" applyNumberFormat="1" applyFont="1" applyBorder="1" applyAlignment="1">
      <alignment horizontal="center" wrapText="1"/>
    </xf>
    <xf numFmtId="165" fontId="5" fillId="0" borderId="5" xfId="0" applyNumberFormat="1" applyFont="1" applyBorder="1" applyAlignment="1"/>
    <xf numFmtId="165" fontId="5" fillId="0" borderId="12" xfId="0" applyNumberFormat="1" applyFont="1" applyBorder="1" applyAlignment="1"/>
    <xf numFmtId="165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165" fontId="13" fillId="0" borderId="4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 wrapText="1"/>
    </xf>
    <xf numFmtId="165" fontId="1" fillId="0" borderId="8" xfId="0" applyNumberFormat="1" applyFont="1" applyBorder="1" applyAlignment="1">
      <alignment horizontal="center"/>
    </xf>
    <xf numFmtId="165" fontId="1" fillId="0" borderId="7" xfId="0" applyNumberFormat="1" applyFont="1" applyBorder="1" applyAlignment="1">
      <alignment horizontal="center" wrapText="1"/>
    </xf>
    <xf numFmtId="165" fontId="1" fillId="0" borderId="9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 wrapText="1"/>
    </xf>
    <xf numFmtId="165" fontId="1" fillId="0" borderId="10" xfId="0" applyNumberFormat="1" applyFont="1" applyBorder="1" applyAlignment="1">
      <alignment horizontal="center" wrapText="1"/>
    </xf>
    <xf numFmtId="165" fontId="13" fillId="0" borderId="9" xfId="0" applyNumberFormat="1" applyFont="1" applyBorder="1" applyAlignment="1">
      <alignment horizontal="center" wrapText="1"/>
    </xf>
    <xf numFmtId="165" fontId="13" fillId="0" borderId="11" xfId="0" applyNumberFormat="1" applyFont="1" applyBorder="1" applyAlignment="1">
      <alignment horizontal="center" wrapText="1"/>
    </xf>
    <xf numFmtId="165" fontId="1" fillId="0" borderId="9" xfId="0" applyNumberFormat="1" applyFont="1" applyBorder="1" applyAlignment="1">
      <alignment horizontal="center" wrapText="1"/>
    </xf>
    <xf numFmtId="165" fontId="1" fillId="0" borderId="11" xfId="0" applyNumberFormat="1" applyFont="1" applyBorder="1" applyAlignment="1">
      <alignment horizontal="center" wrapText="1"/>
    </xf>
    <xf numFmtId="165" fontId="1" fillId="0" borderId="7" xfId="0" applyNumberFormat="1" applyFont="1" applyBorder="1" applyAlignment="1">
      <alignment horizontal="center"/>
    </xf>
    <xf numFmtId="165" fontId="5" fillId="0" borderId="9" xfId="0" applyNumberFormat="1" applyFont="1" applyBorder="1" applyAlignment="1"/>
    <xf numFmtId="165" fontId="5" fillId="0" borderId="11" xfId="0" applyNumberFormat="1" applyFont="1" applyBorder="1" applyAlignment="1"/>
    <xf numFmtId="165" fontId="1" fillId="0" borderId="6" xfId="0" applyNumberFormat="1" applyFont="1" applyFill="1" applyBorder="1" applyAlignment="1">
      <alignment horizontal="center"/>
    </xf>
    <xf numFmtId="165" fontId="13" fillId="0" borderId="8" xfId="0" applyNumberFormat="1" applyFont="1" applyBorder="1"/>
    <xf numFmtId="165" fontId="13" fillId="0" borderId="10" xfId="0" applyNumberFormat="1" applyFont="1" applyBorder="1"/>
    <xf numFmtId="165" fontId="13" fillId="0" borderId="6" xfId="0" applyNumberFormat="1" applyFont="1" applyBorder="1" applyAlignment="1">
      <alignment horizontal="center" wrapText="1"/>
    </xf>
    <xf numFmtId="165" fontId="13" fillId="0" borderId="5" xfId="0" applyNumberFormat="1" applyFont="1" applyBorder="1" applyAlignment="1">
      <alignment horizontal="center" wrapText="1"/>
    </xf>
    <xf numFmtId="165" fontId="13" fillId="0" borderId="8" xfId="0" applyNumberFormat="1" applyFont="1" applyBorder="1" applyAlignment="1">
      <alignment horizontal="center" wrapText="1"/>
    </xf>
    <xf numFmtId="165" fontId="13" fillId="0" borderId="12" xfId="0" applyNumberFormat="1" applyFont="1" applyBorder="1" applyAlignment="1">
      <alignment horizontal="center" wrapText="1"/>
    </xf>
    <xf numFmtId="165" fontId="13" fillId="0" borderId="10" xfId="0" applyNumberFormat="1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/>
    </xf>
    <xf numFmtId="165" fontId="1" fillId="0" borderId="25" xfId="0" applyNumberFormat="1" applyFont="1" applyBorder="1" applyAlignment="1">
      <alignment horizontal="center"/>
    </xf>
    <xf numFmtId="165" fontId="13" fillId="0" borderId="6" xfId="0" applyNumberFormat="1" applyFont="1" applyBorder="1" applyAlignment="1"/>
    <xf numFmtId="165" fontId="1" fillId="0" borderId="12" xfId="0" applyNumberFormat="1" applyFont="1" applyBorder="1" applyAlignment="1">
      <alignment horizontal="center"/>
    </xf>
    <xf numFmtId="165" fontId="1" fillId="0" borderId="26" xfId="0" applyNumberFormat="1" applyFont="1" applyBorder="1" applyAlignment="1">
      <alignment horizontal="center"/>
    </xf>
    <xf numFmtId="165" fontId="13" fillId="0" borderId="10" xfId="0" applyNumberFormat="1" applyFont="1" applyBorder="1" applyAlignment="1"/>
    <xf numFmtId="165" fontId="9" fillId="0" borderId="7" xfId="0" applyNumberFormat="1" applyFont="1" applyBorder="1" applyAlignment="1">
      <alignment horizontal="center" wrapText="1"/>
    </xf>
    <xf numFmtId="165" fontId="11" fillId="0" borderId="9" xfId="0" applyNumberFormat="1" applyFont="1" applyBorder="1" applyAlignment="1"/>
    <xf numFmtId="165" fontId="1" fillId="0" borderId="25" xfId="0" applyNumberFormat="1" applyFont="1" applyBorder="1" applyAlignment="1">
      <alignment horizontal="center" wrapText="1"/>
    </xf>
    <xf numFmtId="165" fontId="13" fillId="0" borderId="0" xfId="0" applyNumberFormat="1" applyFont="1" applyBorder="1" applyAlignment="1">
      <alignment horizontal="center" wrapText="1"/>
    </xf>
    <xf numFmtId="165" fontId="13" fillId="0" borderId="26" xfId="0" applyNumberFormat="1" applyFont="1" applyBorder="1" applyAlignment="1">
      <alignment horizontal="center" wrapText="1"/>
    </xf>
    <xf numFmtId="164" fontId="1" fillId="0" borderId="16" xfId="0" applyNumberFormat="1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164" fontId="1" fillId="0" borderId="18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 wrapText="1"/>
    </xf>
    <xf numFmtId="164" fontId="1" fillId="0" borderId="8" xfId="0" applyNumberFormat="1" applyFont="1" applyBorder="1" applyAlignment="1">
      <alignment horizontal="center" wrapText="1"/>
    </xf>
    <xf numFmtId="164" fontId="1" fillId="0" borderId="10" xfId="0" applyNumberFormat="1" applyFont="1" applyBorder="1" applyAlignment="1">
      <alignment horizontal="center" wrapText="1"/>
    </xf>
    <xf numFmtId="164" fontId="1" fillId="0" borderId="19" xfId="0" applyNumberFormat="1" applyFont="1" applyBorder="1" applyAlignment="1">
      <alignment horizontal="center"/>
    </xf>
    <xf numFmtId="164" fontId="1" fillId="0" borderId="20" xfId="0" applyNumberFormat="1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27" xfId="0" applyFont="1" applyBorder="1" applyAlignment="1">
      <alignment horizontal="center" wrapText="1"/>
    </xf>
    <xf numFmtId="0" fontId="6" fillId="0" borderId="29" xfId="0" applyFont="1" applyBorder="1" applyAlignment="1">
      <alignment horizontal="center" wrapText="1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6" fillId="0" borderId="30" xfId="0" applyFont="1" applyBorder="1" applyAlignment="1">
      <alignment horizontal="center" wrapText="1"/>
    </xf>
    <xf numFmtId="0" fontId="6" fillId="0" borderId="31" xfId="0" applyFont="1" applyBorder="1" applyAlignment="1">
      <alignment horizontal="center" wrapText="1"/>
    </xf>
    <xf numFmtId="0" fontId="6" fillId="0" borderId="32" xfId="0" applyFont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0" fontId="6" fillId="0" borderId="33" xfId="0" applyFont="1" applyBorder="1" applyAlignment="1">
      <alignment horizontal="center" wrapText="1"/>
    </xf>
    <xf numFmtId="0" fontId="6" fillId="0" borderId="30" xfId="0" applyFont="1" applyBorder="1" applyAlignment="1">
      <alignment horizontal="center"/>
    </xf>
    <xf numFmtId="0" fontId="7" fillId="0" borderId="3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5"/>
  <sheetViews>
    <sheetView tabSelected="1" workbookViewId="0">
      <selection activeCell="B1" sqref="B1:B5"/>
    </sheetView>
  </sheetViews>
  <sheetFormatPr defaultRowHeight="12.75"/>
  <cols>
    <col min="1" max="1" width="3.42578125" style="97" customWidth="1"/>
    <col min="2" max="2" width="24.85546875" style="97" customWidth="1"/>
    <col min="3" max="4" width="11.7109375" style="97" customWidth="1"/>
    <col min="5" max="5" width="13.85546875" style="97" customWidth="1"/>
    <col min="6" max="6" width="13" style="97" customWidth="1"/>
    <col min="7" max="7" width="13.7109375" style="97" customWidth="1"/>
    <col min="8" max="8" width="12.28515625" style="97" customWidth="1"/>
    <col min="9" max="9" width="15.140625" style="97" customWidth="1"/>
    <col min="10" max="10" width="15" style="97" customWidth="1"/>
    <col min="11" max="12" width="15.140625" style="97" customWidth="1"/>
    <col min="13" max="13" width="14.42578125" style="97" customWidth="1"/>
    <col min="14" max="14" width="14.7109375" style="97" customWidth="1"/>
    <col min="15" max="16384" width="9.140625" style="97"/>
  </cols>
  <sheetData>
    <row r="1" spans="1:15" ht="17.25" customHeight="1" thickBot="1">
      <c r="B1" s="165" t="s">
        <v>0</v>
      </c>
      <c r="C1" s="168" t="s">
        <v>1</v>
      </c>
      <c r="D1" s="169"/>
      <c r="E1" s="169"/>
      <c r="F1" s="169"/>
      <c r="G1" s="169"/>
      <c r="H1" s="169"/>
      <c r="I1" s="169"/>
      <c r="J1" s="170"/>
      <c r="K1" s="169" t="s">
        <v>2</v>
      </c>
      <c r="L1" s="169"/>
      <c r="M1" s="171"/>
      <c r="N1" s="172"/>
    </row>
    <row r="2" spans="1:15" ht="15.75" customHeight="1" thickBot="1">
      <c r="B2" s="166"/>
      <c r="C2" s="168" t="s">
        <v>3</v>
      </c>
      <c r="D2" s="169"/>
      <c r="E2" s="169"/>
      <c r="F2" s="169"/>
      <c r="G2" s="169"/>
      <c r="H2" s="170"/>
      <c r="I2" s="173" t="s">
        <v>4</v>
      </c>
      <c r="J2" s="175" t="s">
        <v>5</v>
      </c>
      <c r="K2" s="173" t="s">
        <v>6</v>
      </c>
      <c r="L2" s="175" t="s">
        <v>7</v>
      </c>
      <c r="M2" s="175" t="s">
        <v>8</v>
      </c>
      <c r="N2" s="175" t="s">
        <v>9</v>
      </c>
    </row>
    <row r="3" spans="1:15" ht="16.5" customHeight="1" thickBot="1">
      <c r="B3" s="166"/>
      <c r="C3" s="168" t="s">
        <v>10</v>
      </c>
      <c r="D3" s="169"/>
      <c r="E3" s="183" t="s">
        <v>11</v>
      </c>
      <c r="F3" s="183" t="s">
        <v>12</v>
      </c>
      <c r="G3" s="183" t="s">
        <v>13</v>
      </c>
      <c r="H3" s="175" t="s">
        <v>14</v>
      </c>
      <c r="I3" s="174"/>
      <c r="J3" s="176"/>
      <c r="K3" s="177"/>
      <c r="L3" s="179"/>
      <c r="M3" s="181"/>
      <c r="N3" s="181"/>
    </row>
    <row r="4" spans="1:15" ht="27.75" customHeight="1" thickBot="1">
      <c r="B4" s="166"/>
      <c r="C4" s="102" t="s">
        <v>15</v>
      </c>
      <c r="D4" s="103" t="s">
        <v>16</v>
      </c>
      <c r="E4" s="176"/>
      <c r="F4" s="176"/>
      <c r="G4" s="176"/>
      <c r="H4" s="181"/>
      <c r="I4" s="174"/>
      <c r="J4" s="176"/>
      <c r="K4" s="178"/>
      <c r="L4" s="180"/>
      <c r="M4" s="182"/>
      <c r="N4" s="182"/>
    </row>
    <row r="5" spans="1:15" ht="42" customHeight="1" thickBot="1">
      <c r="B5" s="167"/>
      <c r="C5" s="104" t="s">
        <v>17</v>
      </c>
      <c r="D5" s="104" t="s">
        <v>17</v>
      </c>
      <c r="E5" s="104" t="s">
        <v>17</v>
      </c>
      <c r="F5" s="104" t="s">
        <v>17</v>
      </c>
      <c r="G5" s="104" t="s">
        <v>17</v>
      </c>
      <c r="H5" s="104" t="s">
        <v>17</v>
      </c>
      <c r="I5" s="105" t="s">
        <v>18</v>
      </c>
      <c r="J5" s="104" t="s">
        <v>17</v>
      </c>
      <c r="K5" s="105" t="s">
        <v>17</v>
      </c>
      <c r="L5" s="105" t="s">
        <v>17</v>
      </c>
      <c r="M5" s="104" t="s">
        <v>17</v>
      </c>
      <c r="N5" s="104" t="s">
        <v>18</v>
      </c>
    </row>
    <row r="6" spans="1:15">
      <c r="B6" s="106" t="s">
        <v>19</v>
      </c>
      <c r="C6" s="107"/>
      <c r="D6" s="108"/>
      <c r="E6" s="108"/>
      <c r="F6" s="108"/>
      <c r="G6" s="108"/>
      <c r="H6" s="109"/>
      <c r="I6" s="108"/>
      <c r="J6" s="109"/>
      <c r="K6" s="108"/>
      <c r="L6" s="108"/>
      <c r="M6" s="108"/>
      <c r="N6" s="109"/>
    </row>
    <row r="7" spans="1:15">
      <c r="A7" s="130">
        <v>1</v>
      </c>
      <c r="B7" s="110" t="s">
        <v>20</v>
      </c>
      <c r="C7" s="131">
        <v>8</v>
      </c>
      <c r="D7" s="132">
        <v>14.135999999999999</v>
      </c>
      <c r="E7" s="132">
        <v>118.327</v>
      </c>
      <c r="F7" s="132">
        <v>1141.8119999999999</v>
      </c>
      <c r="G7" s="132">
        <v>831.46500000000003</v>
      </c>
      <c r="H7" s="133">
        <v>225.59</v>
      </c>
      <c r="I7" s="134">
        <v>700.64</v>
      </c>
      <c r="J7" s="133">
        <v>89.141999999999996</v>
      </c>
      <c r="K7" s="132">
        <v>0</v>
      </c>
      <c r="L7" s="132">
        <v>63.905999999999999</v>
      </c>
      <c r="M7" s="132">
        <v>18.54</v>
      </c>
      <c r="N7" s="135">
        <v>57.12</v>
      </c>
      <c r="O7" s="158"/>
    </row>
    <row r="8" spans="1:15">
      <c r="A8" s="130">
        <v>2</v>
      </c>
      <c r="B8" s="110" t="s">
        <v>21</v>
      </c>
      <c r="C8" s="131">
        <v>0.5</v>
      </c>
      <c r="D8" s="132">
        <v>0</v>
      </c>
      <c r="E8" s="132">
        <v>2.5</v>
      </c>
      <c r="F8" s="132">
        <v>35.5</v>
      </c>
      <c r="G8" s="132">
        <v>29.57</v>
      </c>
      <c r="H8" s="133">
        <v>5.2799999999999994</v>
      </c>
      <c r="I8" s="134">
        <v>33.15</v>
      </c>
      <c r="J8" s="133">
        <v>1.63</v>
      </c>
      <c r="K8" s="132">
        <v>0</v>
      </c>
      <c r="L8" s="132">
        <v>1.84</v>
      </c>
      <c r="M8" s="132">
        <v>0.26</v>
      </c>
      <c r="N8" s="135">
        <v>2.9</v>
      </c>
      <c r="O8" s="158"/>
    </row>
    <row r="9" spans="1:15">
      <c r="A9" s="130">
        <v>3</v>
      </c>
      <c r="B9" s="110" t="s">
        <v>22</v>
      </c>
      <c r="C9" s="131">
        <v>1</v>
      </c>
      <c r="D9" s="132">
        <v>7.5</v>
      </c>
      <c r="E9" s="132">
        <v>25.029999999999998</v>
      </c>
      <c r="F9" s="132">
        <v>218.548</v>
      </c>
      <c r="G9" s="132">
        <v>191.63800000000001</v>
      </c>
      <c r="H9" s="133">
        <v>53.277999999999999</v>
      </c>
      <c r="I9" s="134">
        <v>134</v>
      </c>
      <c r="J9" s="133">
        <v>5</v>
      </c>
      <c r="K9" s="132">
        <v>0.5</v>
      </c>
      <c r="L9" s="132">
        <v>15</v>
      </c>
      <c r="M9" s="132">
        <v>4.8</v>
      </c>
      <c r="N9" s="135">
        <v>12</v>
      </c>
      <c r="O9" s="158"/>
    </row>
    <row r="10" spans="1:15">
      <c r="A10" s="130">
        <v>4</v>
      </c>
      <c r="B10" s="110" t="s">
        <v>23</v>
      </c>
      <c r="C10" s="131">
        <v>0</v>
      </c>
      <c r="D10" s="132">
        <v>11.87</v>
      </c>
      <c r="E10" s="132">
        <v>28.5</v>
      </c>
      <c r="F10" s="132">
        <v>265.78500000000003</v>
      </c>
      <c r="G10" s="132">
        <v>256.959</v>
      </c>
      <c r="H10" s="133">
        <v>56.606000000000002</v>
      </c>
      <c r="I10" s="134">
        <v>299.87</v>
      </c>
      <c r="J10" s="133">
        <v>16.603000000000002</v>
      </c>
      <c r="K10" s="132">
        <v>0</v>
      </c>
      <c r="L10" s="132">
        <v>18.774999999999999</v>
      </c>
      <c r="M10" s="132">
        <v>20.268999999999998</v>
      </c>
      <c r="N10" s="135">
        <v>0</v>
      </c>
      <c r="O10" s="158"/>
    </row>
    <row r="11" spans="1:15">
      <c r="A11" s="130">
        <v>5</v>
      </c>
      <c r="B11" s="110" t="s">
        <v>24</v>
      </c>
      <c r="C11" s="131">
        <v>1</v>
      </c>
      <c r="D11" s="132">
        <v>2</v>
      </c>
      <c r="E11" s="132">
        <v>13</v>
      </c>
      <c r="F11" s="132">
        <v>75.454999999999998</v>
      </c>
      <c r="G11" s="132">
        <v>74.744</v>
      </c>
      <c r="H11" s="133">
        <v>21.332000000000001</v>
      </c>
      <c r="I11" s="134">
        <v>81.37</v>
      </c>
      <c r="J11" s="133">
        <v>11.5</v>
      </c>
      <c r="K11" s="132">
        <v>1</v>
      </c>
      <c r="L11" s="132">
        <v>5.77</v>
      </c>
      <c r="M11" s="132">
        <v>1.83</v>
      </c>
      <c r="N11" s="135">
        <v>4.41</v>
      </c>
      <c r="O11" s="158"/>
    </row>
    <row r="12" spans="1:15">
      <c r="A12" s="130">
        <v>6</v>
      </c>
      <c r="B12" s="111" t="s">
        <v>25</v>
      </c>
      <c r="C12" s="136">
        <v>0</v>
      </c>
      <c r="D12" s="137">
        <v>0</v>
      </c>
      <c r="E12" s="137">
        <v>1</v>
      </c>
      <c r="F12" s="137">
        <v>5.07</v>
      </c>
      <c r="G12" s="137">
        <v>6.01</v>
      </c>
      <c r="H12" s="138">
        <v>0.75</v>
      </c>
      <c r="I12" s="139">
        <v>4.75</v>
      </c>
      <c r="J12" s="138">
        <v>1.528</v>
      </c>
      <c r="K12" s="137">
        <v>0</v>
      </c>
      <c r="L12" s="137">
        <v>0</v>
      </c>
      <c r="M12" s="137">
        <v>0.25</v>
      </c>
      <c r="N12" s="140">
        <v>0</v>
      </c>
      <c r="O12" s="158"/>
    </row>
    <row r="13" spans="1:15">
      <c r="A13" s="130">
        <v>7</v>
      </c>
      <c r="B13" s="110" t="s">
        <v>26</v>
      </c>
      <c r="C13" s="131">
        <v>0.84</v>
      </c>
      <c r="D13" s="132">
        <v>21.021999999999998</v>
      </c>
      <c r="E13" s="132">
        <v>129.88300000000001</v>
      </c>
      <c r="F13" s="132">
        <v>1252.635</v>
      </c>
      <c r="G13" s="132">
        <v>1208.0810000000001</v>
      </c>
      <c r="H13" s="133">
        <v>285.12299999999999</v>
      </c>
      <c r="I13" s="134">
        <v>970.47</v>
      </c>
      <c r="J13" s="133">
        <v>92.236999999999995</v>
      </c>
      <c r="K13" s="132">
        <v>34</v>
      </c>
      <c r="L13" s="132">
        <v>73.44</v>
      </c>
      <c r="M13" s="132">
        <v>19.5</v>
      </c>
      <c r="N13" s="135">
        <v>60.5</v>
      </c>
      <c r="O13" s="158"/>
    </row>
    <row r="14" spans="1:15">
      <c r="A14" s="130">
        <v>8</v>
      </c>
      <c r="B14" s="110" t="s">
        <v>27</v>
      </c>
      <c r="C14" s="131">
        <v>0</v>
      </c>
      <c r="D14" s="132">
        <v>1</v>
      </c>
      <c r="E14" s="132">
        <v>12.058999999999999</v>
      </c>
      <c r="F14" s="132">
        <v>94.64</v>
      </c>
      <c r="G14" s="132">
        <v>88.231999999999999</v>
      </c>
      <c r="H14" s="133">
        <v>24.544</v>
      </c>
      <c r="I14" s="134">
        <v>86.22</v>
      </c>
      <c r="J14" s="133">
        <v>0.5</v>
      </c>
      <c r="K14" s="132">
        <v>0</v>
      </c>
      <c r="L14" s="132">
        <v>4.8499999999999996</v>
      </c>
      <c r="M14" s="132">
        <v>6</v>
      </c>
      <c r="N14" s="135">
        <v>4.93</v>
      </c>
      <c r="O14" s="158"/>
    </row>
    <row r="15" spans="1:15">
      <c r="A15" s="130">
        <v>9</v>
      </c>
      <c r="B15" s="110" t="s">
        <v>28</v>
      </c>
      <c r="C15" s="131">
        <v>0</v>
      </c>
      <c r="D15" s="132">
        <v>1</v>
      </c>
      <c r="E15" s="132">
        <v>5</v>
      </c>
      <c r="F15" s="132">
        <v>51.85</v>
      </c>
      <c r="G15" s="132">
        <v>57.114000000000004</v>
      </c>
      <c r="H15" s="133">
        <v>11.32</v>
      </c>
      <c r="I15" s="134">
        <v>37.81</v>
      </c>
      <c r="J15" s="133">
        <v>3.5</v>
      </c>
      <c r="K15" s="132">
        <v>0</v>
      </c>
      <c r="L15" s="132">
        <v>0</v>
      </c>
      <c r="M15" s="132">
        <v>1</v>
      </c>
      <c r="N15" s="135">
        <v>5.88</v>
      </c>
      <c r="O15" s="158"/>
    </row>
    <row r="16" spans="1:15">
      <c r="A16" s="130">
        <v>10</v>
      </c>
      <c r="B16" s="112" t="s">
        <v>29</v>
      </c>
      <c r="C16" s="141">
        <v>0</v>
      </c>
      <c r="D16" s="142">
        <v>0</v>
      </c>
      <c r="E16" s="142">
        <v>2.694</v>
      </c>
      <c r="F16" s="142">
        <v>24.57</v>
      </c>
      <c r="G16" s="142">
        <v>30.779</v>
      </c>
      <c r="H16" s="143">
        <v>6.35</v>
      </c>
      <c r="I16" s="144">
        <v>26</v>
      </c>
      <c r="J16" s="143">
        <v>4.51</v>
      </c>
      <c r="K16" s="142">
        <v>0.75</v>
      </c>
      <c r="L16" s="142">
        <v>1.4750000000000001</v>
      </c>
      <c r="M16" s="142">
        <v>0</v>
      </c>
      <c r="N16" s="145">
        <v>4.45</v>
      </c>
      <c r="O16" s="158"/>
    </row>
    <row r="17" spans="1:15">
      <c r="A17" s="130">
        <v>11</v>
      </c>
      <c r="B17" s="110" t="s">
        <v>30</v>
      </c>
      <c r="C17" s="131">
        <v>0</v>
      </c>
      <c r="D17" s="132">
        <v>1</v>
      </c>
      <c r="E17" s="132">
        <v>5</v>
      </c>
      <c r="F17" s="132">
        <v>33</v>
      </c>
      <c r="G17" s="132">
        <v>38.124000000000002</v>
      </c>
      <c r="H17" s="133">
        <v>9.7059999999999995</v>
      </c>
      <c r="I17" s="134">
        <v>45</v>
      </c>
      <c r="J17" s="133">
        <v>1.17</v>
      </c>
      <c r="K17" s="132">
        <v>0</v>
      </c>
      <c r="L17" s="132">
        <v>2</v>
      </c>
      <c r="M17" s="132">
        <v>2</v>
      </c>
      <c r="N17" s="135">
        <v>0</v>
      </c>
      <c r="O17" s="158"/>
    </row>
    <row r="18" spans="1:15">
      <c r="A18" s="130">
        <v>12</v>
      </c>
      <c r="B18" s="110" t="s">
        <v>31</v>
      </c>
      <c r="C18" s="131">
        <v>15.256</v>
      </c>
      <c r="D18" s="132">
        <v>27.75</v>
      </c>
      <c r="E18" s="132">
        <v>142.71600000000001</v>
      </c>
      <c r="F18" s="132">
        <v>1352.7670000000001</v>
      </c>
      <c r="G18" s="132">
        <v>1354.7649999999999</v>
      </c>
      <c r="H18" s="133">
        <v>298.339</v>
      </c>
      <c r="I18" s="134">
        <v>786.15</v>
      </c>
      <c r="J18" s="133">
        <v>93.551000000000002</v>
      </c>
      <c r="K18" s="132">
        <v>3</v>
      </c>
      <c r="L18" s="132">
        <v>95.346999999999994</v>
      </c>
      <c r="M18" s="132">
        <v>24</v>
      </c>
      <c r="N18" s="135">
        <v>0</v>
      </c>
      <c r="O18" s="158"/>
    </row>
    <row r="19" spans="1:15">
      <c r="A19" s="130">
        <v>13</v>
      </c>
      <c r="B19" s="110" t="s">
        <v>32</v>
      </c>
      <c r="C19" s="131">
        <v>2</v>
      </c>
      <c r="D19" s="132">
        <v>6.5</v>
      </c>
      <c r="E19" s="132">
        <v>21</v>
      </c>
      <c r="F19" s="132">
        <v>176.631</v>
      </c>
      <c r="G19" s="132">
        <v>167.07300000000001</v>
      </c>
      <c r="H19" s="133">
        <v>42.092999999999996</v>
      </c>
      <c r="I19" s="134">
        <v>233.1</v>
      </c>
      <c r="J19" s="133">
        <v>6.1</v>
      </c>
      <c r="K19" s="132">
        <v>4</v>
      </c>
      <c r="L19" s="132">
        <v>11.361000000000001</v>
      </c>
      <c r="M19" s="132">
        <v>3</v>
      </c>
      <c r="N19" s="135">
        <v>10.1</v>
      </c>
      <c r="O19" s="158"/>
    </row>
    <row r="20" spans="1:15">
      <c r="A20" s="130">
        <v>14</v>
      </c>
      <c r="B20" s="110" t="s">
        <v>33</v>
      </c>
      <c r="C20" s="131">
        <v>5.5</v>
      </c>
      <c r="D20" s="132">
        <v>30.2</v>
      </c>
      <c r="E20" s="132">
        <v>134.82</v>
      </c>
      <c r="F20" s="132">
        <v>1503.9110000000001</v>
      </c>
      <c r="G20" s="132">
        <v>1329.4659999999999</v>
      </c>
      <c r="H20" s="133">
        <v>310.35999999999996</v>
      </c>
      <c r="I20" s="134">
        <v>889.68</v>
      </c>
      <c r="J20" s="133">
        <v>200.14000000000001</v>
      </c>
      <c r="K20" s="132">
        <v>2</v>
      </c>
      <c r="L20" s="132">
        <v>76.352000000000004</v>
      </c>
      <c r="M20" s="132">
        <v>26.667000000000002</v>
      </c>
      <c r="N20" s="135">
        <v>13</v>
      </c>
      <c r="O20" s="158"/>
    </row>
    <row r="21" spans="1:15">
      <c r="A21" s="130">
        <v>15</v>
      </c>
      <c r="B21" s="110" t="s">
        <v>34</v>
      </c>
      <c r="C21" s="131">
        <v>0</v>
      </c>
      <c r="D21" s="132">
        <v>1</v>
      </c>
      <c r="E21" s="132">
        <v>5</v>
      </c>
      <c r="F21" s="132">
        <v>43.542999999999999</v>
      </c>
      <c r="G21" s="132">
        <v>35.122</v>
      </c>
      <c r="H21" s="133">
        <v>11.266</v>
      </c>
      <c r="I21" s="134">
        <v>37.57</v>
      </c>
      <c r="J21" s="133">
        <v>0</v>
      </c>
      <c r="K21" s="132">
        <v>1</v>
      </c>
      <c r="L21" s="132">
        <v>2</v>
      </c>
      <c r="M21" s="132">
        <v>0</v>
      </c>
      <c r="N21" s="135">
        <v>7.87</v>
      </c>
      <c r="O21" s="158"/>
    </row>
    <row r="22" spans="1:15">
      <c r="A22" s="130">
        <v>16</v>
      </c>
      <c r="B22" s="111" t="s">
        <v>35</v>
      </c>
      <c r="C22" s="136">
        <v>1.5</v>
      </c>
      <c r="D22" s="137">
        <v>0</v>
      </c>
      <c r="E22" s="137">
        <v>3.53</v>
      </c>
      <c r="F22" s="137">
        <v>27.240000000000002</v>
      </c>
      <c r="G22" s="137">
        <v>33.076999999999998</v>
      </c>
      <c r="H22" s="138">
        <v>5.8879999999999999</v>
      </c>
      <c r="I22" s="139">
        <v>30.32</v>
      </c>
      <c r="J22" s="138">
        <v>0</v>
      </c>
      <c r="K22" s="137">
        <v>0</v>
      </c>
      <c r="L22" s="137">
        <v>1.57</v>
      </c>
      <c r="M22" s="137">
        <v>0</v>
      </c>
      <c r="N22" s="140">
        <v>5</v>
      </c>
      <c r="O22" s="158"/>
    </row>
    <row r="23" spans="1:15">
      <c r="A23" s="130">
        <v>17</v>
      </c>
      <c r="B23" s="110" t="s">
        <v>36</v>
      </c>
      <c r="C23" s="131">
        <v>0</v>
      </c>
      <c r="D23" s="132">
        <v>3.5</v>
      </c>
      <c r="E23" s="132">
        <v>8.33</v>
      </c>
      <c r="F23" s="132">
        <v>56.84</v>
      </c>
      <c r="G23" s="132">
        <v>77.343999999999994</v>
      </c>
      <c r="H23" s="133">
        <v>13.64</v>
      </c>
      <c r="I23" s="134">
        <v>66.44</v>
      </c>
      <c r="J23" s="133">
        <v>3.27</v>
      </c>
      <c r="K23" s="132">
        <v>0.54500000000000004</v>
      </c>
      <c r="L23" s="132">
        <v>2.14</v>
      </c>
      <c r="M23" s="132">
        <v>1.5</v>
      </c>
      <c r="N23" s="135">
        <v>0</v>
      </c>
      <c r="O23" s="158"/>
    </row>
    <row r="24" spans="1:15">
      <c r="A24" s="130">
        <v>18</v>
      </c>
      <c r="B24" s="110" t="s">
        <v>37</v>
      </c>
      <c r="C24" s="131">
        <v>0</v>
      </c>
      <c r="D24" s="132">
        <v>1</v>
      </c>
      <c r="E24" s="132">
        <v>4</v>
      </c>
      <c r="F24" s="132">
        <v>42.43</v>
      </c>
      <c r="G24" s="132">
        <v>46.418999999999997</v>
      </c>
      <c r="H24" s="133">
        <v>7.8</v>
      </c>
      <c r="I24" s="134">
        <v>26.27</v>
      </c>
      <c r="J24" s="133">
        <v>0.71</v>
      </c>
      <c r="K24" s="132">
        <v>0</v>
      </c>
      <c r="L24" s="132">
        <v>1.47</v>
      </c>
      <c r="M24" s="132">
        <v>1.04</v>
      </c>
      <c r="N24" s="135">
        <v>3</v>
      </c>
      <c r="O24" s="158"/>
    </row>
    <row r="25" spans="1:15">
      <c r="A25" s="130">
        <v>19</v>
      </c>
      <c r="B25" s="110" t="s">
        <v>38</v>
      </c>
      <c r="C25" s="131">
        <v>4</v>
      </c>
      <c r="D25" s="132">
        <v>13.821999999999999</v>
      </c>
      <c r="E25" s="132">
        <v>61.95</v>
      </c>
      <c r="F25" s="132">
        <v>518.39499999999998</v>
      </c>
      <c r="G25" s="132">
        <v>407.65999999999997</v>
      </c>
      <c r="H25" s="133">
        <v>113.06399999999999</v>
      </c>
      <c r="I25" s="134">
        <v>373.58</v>
      </c>
      <c r="J25" s="133">
        <v>79.748000000000005</v>
      </c>
      <c r="K25" s="132">
        <v>10</v>
      </c>
      <c r="L25" s="132">
        <v>27</v>
      </c>
      <c r="M25" s="132">
        <v>10.08</v>
      </c>
      <c r="N25" s="135">
        <v>16.93</v>
      </c>
      <c r="O25" s="158"/>
    </row>
    <row r="26" spans="1:15">
      <c r="A26" s="130">
        <v>20</v>
      </c>
      <c r="B26" s="114" t="s">
        <v>39</v>
      </c>
      <c r="C26" s="141">
        <v>0</v>
      </c>
      <c r="D26" s="142">
        <v>1</v>
      </c>
      <c r="E26" s="142">
        <v>6.5</v>
      </c>
      <c r="F26" s="142">
        <v>55</v>
      </c>
      <c r="G26" s="142">
        <v>52.832999999999998</v>
      </c>
      <c r="H26" s="143">
        <v>11.667</v>
      </c>
      <c r="I26" s="144">
        <v>67.73</v>
      </c>
      <c r="J26" s="143">
        <v>1</v>
      </c>
      <c r="K26" s="142">
        <v>0</v>
      </c>
      <c r="L26" s="142">
        <v>0</v>
      </c>
      <c r="M26" s="142">
        <v>1</v>
      </c>
      <c r="N26" s="145">
        <v>3.75</v>
      </c>
      <c r="O26" s="158"/>
    </row>
    <row r="27" spans="1:15">
      <c r="A27" s="130">
        <v>21</v>
      </c>
      <c r="B27" s="113" t="s">
        <v>40</v>
      </c>
      <c r="C27" s="131">
        <v>0.5</v>
      </c>
      <c r="D27" s="132">
        <v>0</v>
      </c>
      <c r="E27" s="132">
        <v>2</v>
      </c>
      <c r="F27" s="132">
        <v>23.01</v>
      </c>
      <c r="G27" s="132">
        <v>25.98</v>
      </c>
      <c r="H27" s="133">
        <v>6.34</v>
      </c>
      <c r="I27" s="134">
        <v>19.5</v>
      </c>
      <c r="J27" s="133">
        <v>1</v>
      </c>
      <c r="K27" s="132">
        <v>0.5</v>
      </c>
      <c r="L27" s="132">
        <v>1.5</v>
      </c>
      <c r="M27" s="132">
        <v>1.83</v>
      </c>
      <c r="N27" s="146">
        <v>0.66</v>
      </c>
      <c r="O27" s="158"/>
    </row>
    <row r="28" spans="1:15">
      <c r="A28" s="130">
        <v>22</v>
      </c>
      <c r="B28" s="110" t="s">
        <v>41</v>
      </c>
      <c r="C28" s="131">
        <v>0.5</v>
      </c>
      <c r="D28" s="132">
        <v>0</v>
      </c>
      <c r="E28" s="132">
        <v>7.5</v>
      </c>
      <c r="F28" s="132">
        <v>96.734999999999999</v>
      </c>
      <c r="G28" s="132">
        <v>110.89400000000001</v>
      </c>
      <c r="H28" s="133">
        <v>19.84</v>
      </c>
      <c r="I28" s="134">
        <v>61.29</v>
      </c>
      <c r="J28" s="133">
        <v>10.284000000000001</v>
      </c>
      <c r="K28" s="132">
        <v>4</v>
      </c>
      <c r="L28" s="132">
        <v>7.75</v>
      </c>
      <c r="M28" s="132">
        <v>6.585</v>
      </c>
      <c r="N28" s="135">
        <v>1.94</v>
      </c>
      <c r="O28" s="158"/>
    </row>
    <row r="29" spans="1:15">
      <c r="A29" s="130">
        <v>23</v>
      </c>
      <c r="B29" s="110" t="s">
        <v>42</v>
      </c>
      <c r="C29" s="131">
        <v>0</v>
      </c>
      <c r="D29" s="132">
        <v>0.751</v>
      </c>
      <c r="E29" s="132">
        <v>1.5</v>
      </c>
      <c r="F29" s="132">
        <v>7.66</v>
      </c>
      <c r="G29" s="132">
        <v>14.6</v>
      </c>
      <c r="H29" s="133">
        <v>1.42</v>
      </c>
      <c r="I29" s="134">
        <v>10.050000000000001</v>
      </c>
      <c r="J29" s="133">
        <v>0.2</v>
      </c>
      <c r="K29" s="132">
        <v>0.5</v>
      </c>
      <c r="L29" s="132">
        <v>0.5</v>
      </c>
      <c r="M29" s="132">
        <v>0</v>
      </c>
      <c r="N29" s="135">
        <v>1</v>
      </c>
      <c r="O29" s="158"/>
    </row>
    <row r="30" spans="1:15">
      <c r="A30" s="130">
        <v>24</v>
      </c>
      <c r="B30" s="110" t="s">
        <v>43</v>
      </c>
      <c r="C30" s="131">
        <v>0</v>
      </c>
      <c r="D30" s="132">
        <v>0</v>
      </c>
      <c r="E30" s="132">
        <v>2</v>
      </c>
      <c r="F30" s="132">
        <v>12.690000000000001</v>
      </c>
      <c r="G30" s="132">
        <v>16.59</v>
      </c>
      <c r="H30" s="133">
        <v>2</v>
      </c>
      <c r="I30" s="134">
        <v>6.76</v>
      </c>
      <c r="J30" s="133">
        <v>0.32</v>
      </c>
      <c r="K30" s="132">
        <v>0.5</v>
      </c>
      <c r="L30" s="132">
        <v>0.45</v>
      </c>
      <c r="M30" s="132">
        <v>0</v>
      </c>
      <c r="N30" s="135">
        <v>0</v>
      </c>
      <c r="O30" s="158"/>
    </row>
    <row r="31" spans="1:15">
      <c r="A31" s="130">
        <v>25</v>
      </c>
      <c r="B31" s="113" t="s">
        <v>44</v>
      </c>
      <c r="C31" s="131">
        <v>1</v>
      </c>
      <c r="D31" s="132">
        <v>3</v>
      </c>
      <c r="E31" s="132">
        <v>8.75</v>
      </c>
      <c r="F31" s="132">
        <v>62.43</v>
      </c>
      <c r="G31" s="132">
        <v>99.622</v>
      </c>
      <c r="H31" s="133">
        <v>16</v>
      </c>
      <c r="I31" s="134">
        <v>60.14</v>
      </c>
      <c r="J31" s="133">
        <v>8</v>
      </c>
      <c r="K31" s="132">
        <v>0.33</v>
      </c>
      <c r="L31" s="132">
        <v>4.66</v>
      </c>
      <c r="M31" s="132">
        <v>5.33</v>
      </c>
      <c r="N31" s="135">
        <v>4.6399999999999997</v>
      </c>
      <c r="O31" s="158"/>
    </row>
    <row r="32" spans="1:15">
      <c r="A32" s="130">
        <v>26</v>
      </c>
      <c r="B32" s="115" t="s">
        <v>45</v>
      </c>
      <c r="C32" s="136">
        <v>0</v>
      </c>
      <c r="D32" s="137">
        <v>4.6760000000000002</v>
      </c>
      <c r="E32" s="137">
        <v>11.983000000000001</v>
      </c>
      <c r="F32" s="137">
        <v>84.331000000000003</v>
      </c>
      <c r="G32" s="137">
        <v>92.986000000000004</v>
      </c>
      <c r="H32" s="138">
        <v>31.673999999999999</v>
      </c>
      <c r="I32" s="139">
        <v>82.24</v>
      </c>
      <c r="J32" s="138">
        <v>3.77</v>
      </c>
      <c r="K32" s="137">
        <v>0</v>
      </c>
      <c r="L32" s="137">
        <v>3.8769999999999998</v>
      </c>
      <c r="M32" s="137">
        <v>0</v>
      </c>
      <c r="N32" s="140">
        <v>8.8000000000000007</v>
      </c>
      <c r="O32" s="158"/>
    </row>
    <row r="33" spans="1:15">
      <c r="A33" s="130">
        <v>27</v>
      </c>
      <c r="B33" s="113" t="s">
        <v>46</v>
      </c>
      <c r="C33" s="131">
        <v>0</v>
      </c>
      <c r="D33" s="132">
        <v>1.714</v>
      </c>
      <c r="E33" s="132">
        <v>6.5</v>
      </c>
      <c r="F33" s="132">
        <v>63.19</v>
      </c>
      <c r="G33" s="132">
        <v>79.191000000000003</v>
      </c>
      <c r="H33" s="133">
        <v>13.04</v>
      </c>
      <c r="I33" s="134">
        <v>105.41</v>
      </c>
      <c r="J33" s="133">
        <v>5</v>
      </c>
      <c r="K33" s="132">
        <v>0</v>
      </c>
      <c r="L33" s="132">
        <v>6.0589999999999993</v>
      </c>
      <c r="M33" s="132">
        <v>0</v>
      </c>
      <c r="N33" s="135">
        <v>7</v>
      </c>
      <c r="O33" s="158"/>
    </row>
    <row r="34" spans="1:15">
      <c r="A34" s="130">
        <v>28</v>
      </c>
      <c r="B34" s="113" t="s">
        <v>47</v>
      </c>
      <c r="C34" s="131">
        <v>0</v>
      </c>
      <c r="D34" s="132">
        <v>0.13</v>
      </c>
      <c r="E34" s="132">
        <v>3.5</v>
      </c>
      <c r="F34" s="132">
        <v>33.799999999999997</v>
      </c>
      <c r="G34" s="132">
        <v>33.049999999999997</v>
      </c>
      <c r="H34" s="133">
        <v>4.87</v>
      </c>
      <c r="I34" s="134">
        <v>24.17</v>
      </c>
      <c r="J34" s="133">
        <v>0.32</v>
      </c>
      <c r="K34" s="132">
        <v>1</v>
      </c>
      <c r="L34" s="132">
        <v>1</v>
      </c>
      <c r="M34" s="132">
        <v>1.5</v>
      </c>
      <c r="N34" s="135">
        <v>1.5</v>
      </c>
      <c r="O34" s="158"/>
    </row>
    <row r="35" spans="1:15">
      <c r="A35" s="130">
        <v>29</v>
      </c>
      <c r="B35" s="110" t="s">
        <v>48</v>
      </c>
      <c r="C35" s="131">
        <v>0</v>
      </c>
      <c r="D35" s="132">
        <v>0.5</v>
      </c>
      <c r="E35" s="132">
        <v>0.6</v>
      </c>
      <c r="F35" s="132">
        <v>8.8000000000000007</v>
      </c>
      <c r="G35" s="132">
        <v>10.872</v>
      </c>
      <c r="H35" s="133">
        <v>1.85</v>
      </c>
      <c r="I35" s="134">
        <v>5.84</v>
      </c>
      <c r="J35" s="133">
        <v>0</v>
      </c>
      <c r="K35" s="132">
        <v>0.2</v>
      </c>
      <c r="L35" s="132">
        <v>0.5</v>
      </c>
      <c r="M35" s="132">
        <v>0.15</v>
      </c>
      <c r="N35" s="135">
        <v>0.38</v>
      </c>
      <c r="O35" s="158"/>
    </row>
    <row r="36" spans="1:15">
      <c r="A36" s="130">
        <v>30</v>
      </c>
      <c r="B36" s="112" t="s">
        <v>49</v>
      </c>
      <c r="C36" s="141">
        <v>1.31</v>
      </c>
      <c r="D36" s="142">
        <v>8</v>
      </c>
      <c r="E36" s="142">
        <v>27.565000000000001</v>
      </c>
      <c r="F36" s="142">
        <v>270.505</v>
      </c>
      <c r="G36" s="142">
        <v>228.59300000000002</v>
      </c>
      <c r="H36" s="143">
        <v>71.49799999999999</v>
      </c>
      <c r="I36" s="144">
        <v>173.89</v>
      </c>
      <c r="J36" s="143">
        <v>20.997</v>
      </c>
      <c r="K36" s="142">
        <v>3</v>
      </c>
      <c r="L36" s="142">
        <v>12.794</v>
      </c>
      <c r="M36" s="142">
        <v>2</v>
      </c>
      <c r="N36" s="145">
        <v>20.54</v>
      </c>
      <c r="O36" s="158"/>
    </row>
    <row r="37" spans="1:15">
      <c r="A37" s="130">
        <v>31</v>
      </c>
      <c r="B37" s="111" t="s">
        <v>50</v>
      </c>
      <c r="C37" s="136">
        <v>0</v>
      </c>
      <c r="D37" s="137">
        <v>3</v>
      </c>
      <c r="E37" s="137">
        <v>16.5</v>
      </c>
      <c r="F37" s="137">
        <v>122.691</v>
      </c>
      <c r="G37" s="137">
        <v>98.561000000000007</v>
      </c>
      <c r="H37" s="138">
        <v>30.041999999999998</v>
      </c>
      <c r="I37" s="139">
        <v>91.5</v>
      </c>
      <c r="J37" s="138">
        <v>7.1680000000000001</v>
      </c>
      <c r="K37" s="137">
        <v>1.1399999999999999</v>
      </c>
      <c r="L37" s="137">
        <v>8.3350000000000009</v>
      </c>
      <c r="M37" s="137">
        <v>1</v>
      </c>
      <c r="N37" s="140">
        <v>10</v>
      </c>
      <c r="O37" s="158"/>
    </row>
    <row r="38" spans="1:15">
      <c r="A38" s="130">
        <v>32</v>
      </c>
      <c r="B38" s="110" t="s">
        <v>51</v>
      </c>
      <c r="C38" s="131">
        <v>0</v>
      </c>
      <c r="D38" s="132">
        <v>3</v>
      </c>
      <c r="E38" s="132">
        <v>9</v>
      </c>
      <c r="F38" s="132">
        <v>97.54</v>
      </c>
      <c r="G38" s="132">
        <v>97.393000000000001</v>
      </c>
      <c r="H38" s="133">
        <v>24.058</v>
      </c>
      <c r="I38" s="134">
        <v>76.650000000000006</v>
      </c>
      <c r="J38" s="133">
        <v>12.16</v>
      </c>
      <c r="K38" s="132">
        <v>3</v>
      </c>
      <c r="L38" s="132">
        <v>5.6</v>
      </c>
      <c r="M38" s="132">
        <v>6.57</v>
      </c>
      <c r="N38" s="135">
        <v>1.5</v>
      </c>
      <c r="O38" s="158"/>
    </row>
    <row r="39" spans="1:15">
      <c r="A39" s="130">
        <v>33</v>
      </c>
      <c r="B39" s="113" t="s">
        <v>52</v>
      </c>
      <c r="C39" s="131">
        <v>0</v>
      </c>
      <c r="D39" s="132">
        <v>10.404</v>
      </c>
      <c r="E39" s="132">
        <v>61.5</v>
      </c>
      <c r="F39" s="132">
        <v>512.91399999999999</v>
      </c>
      <c r="G39" s="132">
        <v>444.07600000000002</v>
      </c>
      <c r="H39" s="133">
        <v>141.14000000000001</v>
      </c>
      <c r="I39" s="134">
        <v>197.49</v>
      </c>
      <c r="J39" s="133">
        <v>81.801999999999992</v>
      </c>
      <c r="K39" s="132">
        <v>12.8</v>
      </c>
      <c r="L39" s="132">
        <v>26.856999999999999</v>
      </c>
      <c r="M39" s="132">
        <v>13.966000000000001</v>
      </c>
      <c r="N39" s="135">
        <v>41.75</v>
      </c>
      <c r="O39" s="158"/>
    </row>
    <row r="40" spans="1:15">
      <c r="A40" s="130">
        <v>34</v>
      </c>
      <c r="B40" s="113" t="s">
        <v>53</v>
      </c>
      <c r="C40" s="131">
        <v>0</v>
      </c>
      <c r="D40" s="132">
        <v>0.5</v>
      </c>
      <c r="E40" s="132">
        <v>1.63</v>
      </c>
      <c r="F40" s="132">
        <v>13.42</v>
      </c>
      <c r="G40" s="132">
        <v>17.777000000000001</v>
      </c>
      <c r="H40" s="133">
        <v>2.7959999999999998</v>
      </c>
      <c r="I40" s="134">
        <v>10.43</v>
      </c>
      <c r="J40" s="133">
        <v>1.25</v>
      </c>
      <c r="K40" s="132">
        <v>0</v>
      </c>
      <c r="L40" s="132">
        <v>0.86</v>
      </c>
      <c r="M40" s="132">
        <v>0</v>
      </c>
      <c r="N40" s="135">
        <v>1.86</v>
      </c>
      <c r="O40" s="158"/>
    </row>
    <row r="41" spans="1:15">
      <c r="A41" s="130">
        <v>35</v>
      </c>
      <c r="B41" s="112" t="s">
        <v>54</v>
      </c>
      <c r="C41" s="141">
        <v>0</v>
      </c>
      <c r="D41" s="142">
        <v>10</v>
      </c>
      <c r="E41" s="142">
        <v>64.8</v>
      </c>
      <c r="F41" s="142">
        <v>593.63</v>
      </c>
      <c r="G41" s="142">
        <v>500.80399999999997</v>
      </c>
      <c r="H41" s="143">
        <v>163.11000000000001</v>
      </c>
      <c r="I41" s="144">
        <v>351.35</v>
      </c>
      <c r="J41" s="143">
        <v>26.262</v>
      </c>
      <c r="K41" s="142">
        <v>16.399999999999999</v>
      </c>
      <c r="L41" s="142">
        <v>43.1</v>
      </c>
      <c r="M41" s="142">
        <v>13.83</v>
      </c>
      <c r="N41" s="145">
        <v>27.27</v>
      </c>
      <c r="O41" s="158"/>
    </row>
    <row r="42" spans="1:15">
      <c r="A42" s="130">
        <v>36</v>
      </c>
      <c r="B42" s="110" t="s">
        <v>55</v>
      </c>
      <c r="C42" s="131">
        <v>0</v>
      </c>
      <c r="D42" s="132">
        <v>7.9610000000000003</v>
      </c>
      <c r="E42" s="132">
        <v>78.789000000000001</v>
      </c>
      <c r="F42" s="132">
        <v>492.11700000000002</v>
      </c>
      <c r="G42" s="132">
        <v>396.16700000000003</v>
      </c>
      <c r="H42" s="133">
        <v>158.4</v>
      </c>
      <c r="I42" s="134">
        <v>481.57</v>
      </c>
      <c r="J42" s="133">
        <v>94.442999999999998</v>
      </c>
      <c r="K42" s="132">
        <v>14.3</v>
      </c>
      <c r="L42" s="132">
        <v>27.05</v>
      </c>
      <c r="M42" s="132">
        <v>37.72</v>
      </c>
      <c r="N42" s="135">
        <v>6.52</v>
      </c>
      <c r="O42" s="158"/>
    </row>
    <row r="43" spans="1:15">
      <c r="A43" s="130">
        <v>37</v>
      </c>
      <c r="B43" s="110" t="s">
        <v>56</v>
      </c>
      <c r="C43" s="131">
        <v>0</v>
      </c>
      <c r="D43" s="132">
        <v>4</v>
      </c>
      <c r="E43" s="132">
        <v>37.732999999999997</v>
      </c>
      <c r="F43" s="132">
        <v>228.977</v>
      </c>
      <c r="G43" s="132">
        <v>220.87700000000001</v>
      </c>
      <c r="H43" s="133">
        <v>55.11</v>
      </c>
      <c r="I43" s="134">
        <v>141.80000000000001</v>
      </c>
      <c r="J43" s="133">
        <v>30.35</v>
      </c>
      <c r="K43" s="132">
        <v>9.52</v>
      </c>
      <c r="L43" s="132">
        <v>12.58</v>
      </c>
      <c r="M43" s="132">
        <v>16.329999999999998</v>
      </c>
      <c r="N43" s="135">
        <v>3.51</v>
      </c>
      <c r="O43" s="158"/>
    </row>
    <row r="44" spans="1:15">
      <c r="A44" s="130">
        <v>38</v>
      </c>
      <c r="B44" s="110" t="s">
        <v>57</v>
      </c>
      <c r="C44" s="131">
        <v>1.167</v>
      </c>
      <c r="D44" s="132">
        <v>2</v>
      </c>
      <c r="E44" s="132">
        <v>26.5</v>
      </c>
      <c r="F44" s="132">
        <v>238.49799999999999</v>
      </c>
      <c r="G44" s="132">
        <v>249.90600000000001</v>
      </c>
      <c r="H44" s="133">
        <v>76.038000000000011</v>
      </c>
      <c r="I44" s="134">
        <v>270.89</v>
      </c>
      <c r="J44" s="133">
        <v>27.238</v>
      </c>
      <c r="K44" s="132">
        <v>0</v>
      </c>
      <c r="L44" s="132">
        <v>15.5</v>
      </c>
      <c r="M44" s="132">
        <v>5.4690000000000003</v>
      </c>
      <c r="N44" s="135">
        <v>13.4</v>
      </c>
      <c r="O44" s="158"/>
    </row>
    <row r="45" spans="1:15">
      <c r="A45" s="130">
        <v>39</v>
      </c>
      <c r="B45" s="110" t="s">
        <v>58</v>
      </c>
      <c r="C45" s="131">
        <v>0</v>
      </c>
      <c r="D45" s="132">
        <v>2</v>
      </c>
      <c r="E45" s="132">
        <v>15</v>
      </c>
      <c r="F45" s="132">
        <v>126.26</v>
      </c>
      <c r="G45" s="132">
        <v>131.095</v>
      </c>
      <c r="H45" s="133">
        <v>25.184000000000001</v>
      </c>
      <c r="I45" s="134">
        <v>157</v>
      </c>
      <c r="J45" s="133">
        <v>4.55</v>
      </c>
      <c r="K45" s="132">
        <v>0</v>
      </c>
      <c r="L45" s="132">
        <v>6.8</v>
      </c>
      <c r="M45" s="132">
        <v>2.9</v>
      </c>
      <c r="N45" s="135">
        <v>6.25</v>
      </c>
      <c r="O45" s="158"/>
    </row>
    <row r="46" spans="1:15" ht="13.5" thickBot="1">
      <c r="A46" s="130">
        <v>40</v>
      </c>
      <c r="B46" s="110" t="s">
        <v>59</v>
      </c>
      <c r="C46" s="131">
        <v>0</v>
      </c>
      <c r="D46" s="132">
        <v>1.5</v>
      </c>
      <c r="E46" s="132">
        <v>12.441000000000001</v>
      </c>
      <c r="F46" s="132">
        <v>128</v>
      </c>
      <c r="G46" s="132">
        <v>123.68</v>
      </c>
      <c r="H46" s="133">
        <v>26.529</v>
      </c>
      <c r="I46" s="134">
        <v>101.33</v>
      </c>
      <c r="J46" s="133">
        <v>9.9260000000000002</v>
      </c>
      <c r="K46" s="132">
        <v>1.8</v>
      </c>
      <c r="L46" s="132">
        <v>9</v>
      </c>
      <c r="M46" s="132">
        <v>3</v>
      </c>
      <c r="N46" s="135">
        <v>8.64</v>
      </c>
      <c r="O46" s="158"/>
    </row>
    <row r="47" spans="1:15" ht="13.5" thickBot="1">
      <c r="B47" s="116" t="s">
        <v>60</v>
      </c>
      <c r="C47" s="147">
        <f t="shared" ref="C47:N47" si="0">SUM(C7:C46)</f>
        <v>44.073000000000008</v>
      </c>
      <c r="D47" s="148">
        <f t="shared" si="0"/>
        <v>207.43600000000001</v>
      </c>
      <c r="E47" s="148">
        <f t="shared" si="0"/>
        <v>1126.6300000000001</v>
      </c>
      <c r="F47" s="148">
        <f t="shared" si="0"/>
        <v>10192.82</v>
      </c>
      <c r="G47" s="148">
        <f t="shared" si="0"/>
        <v>9309.1890000000021</v>
      </c>
      <c r="H47" s="149">
        <f t="shared" si="0"/>
        <v>2384.9350000000004</v>
      </c>
      <c r="I47" s="147">
        <f t="shared" si="0"/>
        <v>7359.42</v>
      </c>
      <c r="J47" s="149">
        <f t="shared" si="0"/>
        <v>956.87900000000002</v>
      </c>
      <c r="K47" s="148">
        <f t="shared" si="0"/>
        <v>125.78499999999998</v>
      </c>
      <c r="L47" s="148">
        <f t="shared" si="0"/>
        <v>599.06799999999998</v>
      </c>
      <c r="M47" s="148">
        <f t="shared" si="0"/>
        <v>259.916</v>
      </c>
      <c r="N47" s="149">
        <f t="shared" si="0"/>
        <v>378.99999999999994</v>
      </c>
      <c r="O47" s="158"/>
    </row>
    <row r="48" spans="1:15" ht="13.5" thickBot="1">
      <c r="B48" s="116" t="s">
        <v>61</v>
      </c>
      <c r="C48" s="150">
        <v>2</v>
      </c>
      <c r="D48" s="151">
        <v>0</v>
      </c>
      <c r="E48" s="151">
        <v>55.167999999999999</v>
      </c>
      <c r="F48" s="151">
        <v>535.43899999999996</v>
      </c>
      <c r="G48" s="151">
        <v>401.19200000000006</v>
      </c>
      <c r="H48" s="152">
        <v>74.27</v>
      </c>
      <c r="I48" s="151">
        <v>423.81</v>
      </c>
      <c r="J48" s="152">
        <v>19.599999999999998</v>
      </c>
      <c r="K48" s="151">
        <v>1.67</v>
      </c>
      <c r="L48" s="151">
        <v>18.37</v>
      </c>
      <c r="M48" s="151">
        <v>13.865</v>
      </c>
      <c r="N48" s="152">
        <v>19.010000000000002</v>
      </c>
      <c r="O48" s="158"/>
    </row>
    <row r="49" spans="2:15" ht="13.5" thickBot="1">
      <c r="B49" s="116" t="s">
        <v>62</v>
      </c>
      <c r="C49" s="147">
        <f>C47+C48</f>
        <v>46.073000000000008</v>
      </c>
      <c r="D49" s="148">
        <f t="shared" ref="D49:N49" si="1">D47+D48</f>
        <v>207.43600000000001</v>
      </c>
      <c r="E49" s="148">
        <f t="shared" si="1"/>
        <v>1181.798</v>
      </c>
      <c r="F49" s="148">
        <f t="shared" si="1"/>
        <v>10728.259</v>
      </c>
      <c r="G49" s="148">
        <f t="shared" si="1"/>
        <v>9710.381000000003</v>
      </c>
      <c r="H49" s="149">
        <f t="shared" si="1"/>
        <v>2459.2050000000004</v>
      </c>
      <c r="I49" s="148">
        <f t="shared" si="1"/>
        <v>7783.2300000000005</v>
      </c>
      <c r="J49" s="149">
        <f t="shared" si="1"/>
        <v>976.47900000000004</v>
      </c>
      <c r="K49" s="148">
        <f t="shared" si="1"/>
        <v>127.45499999999998</v>
      </c>
      <c r="L49" s="148">
        <f t="shared" si="1"/>
        <v>617.43799999999999</v>
      </c>
      <c r="M49" s="148">
        <f t="shared" si="1"/>
        <v>273.78100000000001</v>
      </c>
      <c r="N49" s="149">
        <f t="shared" si="1"/>
        <v>398.00999999999993</v>
      </c>
      <c r="O49" s="158"/>
    </row>
    <row r="50" spans="2:15"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</row>
    <row r="51" spans="2:15"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</row>
    <row r="52" spans="2:15"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</row>
    <row r="53" spans="2:15"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</row>
    <row r="54" spans="2:15"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</row>
    <row r="55" spans="2:15"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</row>
    <row r="56" spans="2:15"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</row>
    <row r="57" spans="2:15"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</row>
    <row r="58" spans="2:15"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</row>
    <row r="59" spans="2:15"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</row>
    <row r="60" spans="2:15"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</row>
    <row r="61" spans="2:15"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</row>
    <row r="62" spans="2:15"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</row>
    <row r="63" spans="2:15"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</row>
    <row r="64" spans="2:15"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</row>
    <row r="65" spans="3:15"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</row>
  </sheetData>
  <sortState ref="A7:N46">
    <sortCondition ref="A7:A46"/>
  </sortState>
  <mergeCells count="15">
    <mergeCell ref="B1:B5"/>
    <mergeCell ref="C1:J1"/>
    <mergeCell ref="K1:N1"/>
    <mergeCell ref="C2:H2"/>
    <mergeCell ref="I2:I4"/>
    <mergeCell ref="J2:J4"/>
    <mergeCell ref="K2:K4"/>
    <mergeCell ref="L2:L4"/>
    <mergeCell ref="M2:M4"/>
    <mergeCell ref="N2:N4"/>
    <mergeCell ref="C3:D3"/>
    <mergeCell ref="E3:E4"/>
    <mergeCell ref="F3:F4"/>
    <mergeCell ref="G3:G4"/>
    <mergeCell ref="H3:H4"/>
  </mergeCells>
  <printOptions horizontalCentered="1" verticalCentered="1"/>
  <pageMargins left="0.7" right="0.7" top="0.75" bottom="0.6" header="0.65" footer="0.3"/>
  <pageSetup scale="63" orientation="landscape" r:id="rId1"/>
  <headerFooter>
    <oddHeader>&amp;L&amp;8STATUS:  Final&amp;C&amp;"-,Bold"&amp;12FULL TIME EQUIVALENTS (FTEs) BY POSITION&amp;"-,Regular"&amp;11
&amp;"-,Bold"Licensed and Classified Personnel
FY 2008&amp;R&amp;8CURRENT AS OF:  October, 2008</oddHeader>
    <oddFooter>&amp;L&amp;8COMPILED BY:  USOE/Finance and Statistics/Emily Eyre
DATA SOURCE:  CACTUS Database June 30, 2008
Year-End Web Survey FY 2008&amp;R&amp;8LOCATION:  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5"/>
  <sheetViews>
    <sheetView workbookViewId="0">
      <selection activeCell="B1" sqref="B1:B5"/>
    </sheetView>
  </sheetViews>
  <sheetFormatPr defaultRowHeight="12.75"/>
  <cols>
    <col min="1" max="1" width="4.140625" style="96" customWidth="1"/>
    <col min="2" max="2" width="31.42578125" style="96" customWidth="1"/>
    <col min="3" max="4" width="11.7109375" style="96" customWidth="1"/>
    <col min="5" max="5" width="14.28515625" style="96" customWidth="1"/>
    <col min="6" max="6" width="13" style="96" customWidth="1"/>
    <col min="7" max="7" width="13.7109375" style="96" customWidth="1"/>
    <col min="8" max="8" width="12.28515625" style="96" customWidth="1"/>
    <col min="9" max="9" width="15.140625" style="96" customWidth="1"/>
    <col min="10" max="10" width="15" style="96" customWidth="1"/>
    <col min="11" max="12" width="15.140625" style="96" customWidth="1"/>
    <col min="13" max="13" width="14.42578125" style="96" customWidth="1"/>
    <col min="14" max="14" width="14.7109375" style="96" customWidth="1"/>
    <col min="15" max="16384" width="9.140625" style="96"/>
  </cols>
  <sheetData>
    <row r="1" spans="1:15" ht="18" customHeight="1" thickBot="1">
      <c r="A1" s="159"/>
      <c r="B1" s="175" t="s">
        <v>0</v>
      </c>
      <c r="C1" s="169" t="s">
        <v>1</v>
      </c>
      <c r="D1" s="169"/>
      <c r="E1" s="169"/>
      <c r="F1" s="169"/>
      <c r="G1" s="169"/>
      <c r="H1" s="169"/>
      <c r="I1" s="169"/>
      <c r="J1" s="170"/>
      <c r="K1" s="169" t="s">
        <v>2</v>
      </c>
      <c r="L1" s="169"/>
      <c r="M1" s="171"/>
      <c r="N1" s="172"/>
    </row>
    <row r="2" spans="1:15" ht="17.25" customHeight="1" thickBot="1">
      <c r="A2" s="159"/>
      <c r="B2" s="184"/>
      <c r="C2" s="169" t="s">
        <v>3</v>
      </c>
      <c r="D2" s="169"/>
      <c r="E2" s="169"/>
      <c r="F2" s="169"/>
      <c r="G2" s="169"/>
      <c r="H2" s="170"/>
      <c r="I2" s="173" t="s">
        <v>4</v>
      </c>
      <c r="J2" s="175" t="s">
        <v>5</v>
      </c>
      <c r="K2" s="173" t="s">
        <v>6</v>
      </c>
      <c r="L2" s="175" t="s">
        <v>7</v>
      </c>
      <c r="M2" s="175" t="s">
        <v>8</v>
      </c>
      <c r="N2" s="175" t="s">
        <v>9</v>
      </c>
    </row>
    <row r="3" spans="1:15" ht="13.5" thickBot="1">
      <c r="A3" s="159"/>
      <c r="B3" s="184"/>
      <c r="C3" s="169" t="s">
        <v>10</v>
      </c>
      <c r="D3" s="169"/>
      <c r="E3" s="183" t="s">
        <v>11</v>
      </c>
      <c r="F3" s="183" t="s">
        <v>12</v>
      </c>
      <c r="G3" s="183" t="s">
        <v>13</v>
      </c>
      <c r="H3" s="175" t="s">
        <v>14</v>
      </c>
      <c r="I3" s="174"/>
      <c r="J3" s="176"/>
      <c r="K3" s="177"/>
      <c r="L3" s="179"/>
      <c r="M3" s="181"/>
      <c r="N3" s="181"/>
    </row>
    <row r="4" spans="1:15" ht="29.25" customHeight="1" thickBot="1">
      <c r="A4" s="159"/>
      <c r="B4" s="184"/>
      <c r="C4" s="103" t="s">
        <v>15</v>
      </c>
      <c r="D4" s="103" t="s">
        <v>16</v>
      </c>
      <c r="E4" s="176"/>
      <c r="F4" s="176"/>
      <c r="G4" s="176"/>
      <c r="H4" s="181"/>
      <c r="I4" s="174"/>
      <c r="J4" s="176"/>
      <c r="K4" s="178"/>
      <c r="L4" s="180"/>
      <c r="M4" s="182"/>
      <c r="N4" s="182"/>
    </row>
    <row r="5" spans="1:15" ht="47.25" customHeight="1" thickBot="1">
      <c r="A5" s="159"/>
      <c r="B5" s="185"/>
      <c r="C5" s="105" t="s">
        <v>17</v>
      </c>
      <c r="D5" s="104" t="s">
        <v>17</v>
      </c>
      <c r="E5" s="104" t="s">
        <v>17</v>
      </c>
      <c r="F5" s="104" t="s">
        <v>17</v>
      </c>
      <c r="G5" s="104" t="s">
        <v>17</v>
      </c>
      <c r="H5" s="104" t="s">
        <v>17</v>
      </c>
      <c r="I5" s="105" t="s">
        <v>18</v>
      </c>
      <c r="J5" s="104" t="s">
        <v>17</v>
      </c>
      <c r="K5" s="105" t="s">
        <v>17</v>
      </c>
      <c r="L5" s="105" t="s">
        <v>17</v>
      </c>
      <c r="M5" s="104" t="s">
        <v>17</v>
      </c>
      <c r="N5" s="104" t="s">
        <v>18</v>
      </c>
    </row>
    <row r="6" spans="1:15">
      <c r="A6" s="159"/>
      <c r="B6" s="117" t="s">
        <v>228</v>
      </c>
      <c r="C6" s="118"/>
      <c r="D6" s="118"/>
      <c r="E6" s="118"/>
      <c r="F6" s="118"/>
      <c r="G6" s="118"/>
      <c r="H6" s="119"/>
      <c r="I6" s="118"/>
      <c r="J6" s="119"/>
      <c r="K6" s="118"/>
      <c r="L6" s="118"/>
      <c r="M6" s="118"/>
      <c r="N6" s="119"/>
    </row>
    <row r="7" spans="1:15">
      <c r="A7" s="160" t="s">
        <v>83</v>
      </c>
      <c r="B7" s="120" t="s">
        <v>229</v>
      </c>
      <c r="C7" s="132">
        <v>1</v>
      </c>
      <c r="D7" s="132">
        <v>0</v>
      </c>
      <c r="E7" s="132">
        <v>1</v>
      </c>
      <c r="F7" s="132">
        <v>22</v>
      </c>
      <c r="G7" s="132">
        <v>37.085999999999999</v>
      </c>
      <c r="H7" s="133">
        <v>7</v>
      </c>
      <c r="I7" s="134">
        <v>20</v>
      </c>
      <c r="J7" s="133">
        <v>1.5</v>
      </c>
      <c r="K7" s="132">
        <v>0</v>
      </c>
      <c r="L7" s="132">
        <v>1</v>
      </c>
      <c r="M7" s="132">
        <v>1</v>
      </c>
      <c r="N7" s="135">
        <v>0.5</v>
      </c>
      <c r="O7" s="157"/>
    </row>
    <row r="8" spans="1:15">
      <c r="A8" s="160">
        <v>74</v>
      </c>
      <c r="B8" s="121" t="s">
        <v>230</v>
      </c>
      <c r="C8" s="132">
        <v>0</v>
      </c>
      <c r="D8" s="132">
        <v>0</v>
      </c>
      <c r="E8" s="132">
        <v>1</v>
      </c>
      <c r="F8" s="132">
        <v>12.157</v>
      </c>
      <c r="G8" s="132">
        <v>9.1000000000000014</v>
      </c>
      <c r="H8" s="133">
        <v>0.76100000000000001</v>
      </c>
      <c r="I8" s="134">
        <v>16.75</v>
      </c>
      <c r="J8" s="133">
        <v>0</v>
      </c>
      <c r="K8" s="132">
        <v>0</v>
      </c>
      <c r="L8" s="132">
        <v>0</v>
      </c>
      <c r="M8" s="132">
        <v>0</v>
      </c>
      <c r="N8" s="135">
        <v>0</v>
      </c>
      <c r="O8" s="157"/>
    </row>
    <row r="9" spans="1:15">
      <c r="A9" s="160">
        <v>83</v>
      </c>
      <c r="B9" s="121" t="s">
        <v>86</v>
      </c>
      <c r="C9" s="132">
        <v>0</v>
      </c>
      <c r="D9" s="132">
        <v>0</v>
      </c>
      <c r="E9" s="132">
        <v>0</v>
      </c>
      <c r="F9" s="132">
        <v>0</v>
      </c>
      <c r="G9" s="132">
        <v>17.417999999999999</v>
      </c>
      <c r="H9" s="133">
        <v>0.5</v>
      </c>
      <c r="I9" s="134">
        <v>1.84</v>
      </c>
      <c r="J9" s="133">
        <v>1</v>
      </c>
      <c r="K9" s="132">
        <v>0</v>
      </c>
      <c r="L9" s="132">
        <v>1.67</v>
      </c>
      <c r="M9" s="132">
        <v>0</v>
      </c>
      <c r="N9" s="135">
        <v>0.56000000000000005</v>
      </c>
      <c r="O9" s="157"/>
    </row>
    <row r="10" spans="1:15">
      <c r="A10" s="160" t="s">
        <v>87</v>
      </c>
      <c r="B10" s="121" t="s">
        <v>88</v>
      </c>
      <c r="C10" s="132">
        <v>0</v>
      </c>
      <c r="D10" s="132">
        <v>0</v>
      </c>
      <c r="E10" s="132">
        <v>0</v>
      </c>
      <c r="F10" s="132">
        <v>0</v>
      </c>
      <c r="G10" s="132">
        <v>9.7669999999999995</v>
      </c>
      <c r="H10" s="133">
        <v>0.7</v>
      </c>
      <c r="I10" s="134">
        <v>0</v>
      </c>
      <c r="J10" s="133">
        <v>1</v>
      </c>
      <c r="K10" s="132">
        <v>0</v>
      </c>
      <c r="L10" s="132">
        <v>0</v>
      </c>
      <c r="M10" s="132">
        <v>0</v>
      </c>
      <c r="N10" s="135">
        <v>0</v>
      </c>
      <c r="O10" s="157"/>
    </row>
    <row r="11" spans="1:15">
      <c r="A11" s="160" t="s">
        <v>89</v>
      </c>
      <c r="B11" s="121" t="s">
        <v>90</v>
      </c>
      <c r="C11" s="132">
        <v>0</v>
      </c>
      <c r="D11" s="132">
        <v>0</v>
      </c>
      <c r="E11" s="132">
        <v>1.5</v>
      </c>
      <c r="F11" s="132">
        <v>16</v>
      </c>
      <c r="G11" s="132">
        <v>1</v>
      </c>
      <c r="H11" s="133">
        <v>1</v>
      </c>
      <c r="I11" s="134">
        <v>8.41</v>
      </c>
      <c r="J11" s="133">
        <v>0</v>
      </c>
      <c r="K11" s="132">
        <v>0</v>
      </c>
      <c r="L11" s="132">
        <v>0</v>
      </c>
      <c r="M11" s="132">
        <v>0</v>
      </c>
      <c r="N11" s="135">
        <v>0.54</v>
      </c>
      <c r="O11" s="157"/>
    </row>
    <row r="12" spans="1:15">
      <c r="A12" s="160">
        <v>84</v>
      </c>
      <c r="B12" s="121" t="s">
        <v>91</v>
      </c>
      <c r="C12" s="137">
        <v>0</v>
      </c>
      <c r="D12" s="137">
        <v>0</v>
      </c>
      <c r="E12" s="137">
        <v>0</v>
      </c>
      <c r="F12" s="137">
        <v>0</v>
      </c>
      <c r="G12" s="137">
        <v>2.33</v>
      </c>
      <c r="H12" s="138">
        <v>0.17</v>
      </c>
      <c r="I12" s="139">
        <v>2.2200000000000002</v>
      </c>
      <c r="J12" s="138">
        <v>0</v>
      </c>
      <c r="K12" s="137">
        <v>0</v>
      </c>
      <c r="L12" s="137">
        <v>0</v>
      </c>
      <c r="M12" s="137">
        <v>0</v>
      </c>
      <c r="N12" s="140">
        <v>0</v>
      </c>
      <c r="O12" s="157"/>
    </row>
    <row r="13" spans="1:15">
      <c r="A13" s="160" t="s">
        <v>92</v>
      </c>
      <c r="B13" s="121" t="s">
        <v>93</v>
      </c>
      <c r="C13" s="132">
        <v>0</v>
      </c>
      <c r="D13" s="132">
        <v>0</v>
      </c>
      <c r="E13" s="132">
        <v>2</v>
      </c>
      <c r="F13" s="132">
        <v>19.2</v>
      </c>
      <c r="G13" s="132">
        <v>10.039999999999999</v>
      </c>
      <c r="H13" s="133">
        <v>1.54</v>
      </c>
      <c r="I13" s="134">
        <v>10.1</v>
      </c>
      <c r="J13" s="133">
        <v>1.1120000000000001</v>
      </c>
      <c r="K13" s="132">
        <v>0</v>
      </c>
      <c r="L13" s="132">
        <v>0</v>
      </c>
      <c r="M13" s="132">
        <v>0</v>
      </c>
      <c r="N13" s="135">
        <v>1.63</v>
      </c>
      <c r="O13" s="157"/>
    </row>
    <row r="14" spans="1:15">
      <c r="A14" s="160">
        <v>87</v>
      </c>
      <c r="B14" s="121" t="s">
        <v>94</v>
      </c>
      <c r="C14" s="132">
        <v>0</v>
      </c>
      <c r="D14" s="132">
        <v>0</v>
      </c>
      <c r="E14" s="132">
        <v>0</v>
      </c>
      <c r="F14" s="132">
        <v>0</v>
      </c>
      <c r="G14" s="132">
        <v>12.207999999999998</v>
      </c>
      <c r="H14" s="133">
        <v>0</v>
      </c>
      <c r="I14" s="134">
        <v>2.88</v>
      </c>
      <c r="J14" s="133">
        <v>1.831</v>
      </c>
      <c r="K14" s="132">
        <v>0</v>
      </c>
      <c r="L14" s="132">
        <v>1</v>
      </c>
      <c r="M14" s="132">
        <v>0</v>
      </c>
      <c r="N14" s="135">
        <v>0.55000000000000004</v>
      </c>
      <c r="O14" s="157"/>
    </row>
    <row r="15" spans="1:15">
      <c r="A15" s="160" t="s">
        <v>95</v>
      </c>
      <c r="B15" s="121" t="s">
        <v>96</v>
      </c>
      <c r="C15" s="132">
        <v>0</v>
      </c>
      <c r="D15" s="132">
        <v>0</v>
      </c>
      <c r="E15" s="132">
        <v>3</v>
      </c>
      <c r="F15" s="132">
        <v>8.75</v>
      </c>
      <c r="G15" s="132">
        <v>0</v>
      </c>
      <c r="H15" s="133">
        <v>1</v>
      </c>
      <c r="I15" s="134">
        <v>2</v>
      </c>
      <c r="J15" s="133">
        <v>0.25</v>
      </c>
      <c r="K15" s="132">
        <v>0</v>
      </c>
      <c r="L15" s="132">
        <v>0</v>
      </c>
      <c r="M15" s="132">
        <v>0</v>
      </c>
      <c r="N15" s="135">
        <v>0</v>
      </c>
      <c r="O15" s="157"/>
    </row>
    <row r="16" spans="1:15">
      <c r="A16" s="160" t="s">
        <v>97</v>
      </c>
      <c r="B16" s="121" t="s">
        <v>231</v>
      </c>
      <c r="C16" s="142">
        <v>0</v>
      </c>
      <c r="D16" s="142">
        <v>0</v>
      </c>
      <c r="E16" s="142">
        <v>0</v>
      </c>
      <c r="F16" s="142">
        <v>0</v>
      </c>
      <c r="G16" s="142">
        <v>12.83</v>
      </c>
      <c r="H16" s="143">
        <v>2</v>
      </c>
      <c r="I16" s="144">
        <v>1</v>
      </c>
      <c r="J16" s="143">
        <v>0</v>
      </c>
      <c r="K16" s="142">
        <v>0</v>
      </c>
      <c r="L16" s="142">
        <v>1</v>
      </c>
      <c r="M16" s="142">
        <v>0</v>
      </c>
      <c r="N16" s="145">
        <v>0</v>
      </c>
      <c r="O16" s="157"/>
    </row>
    <row r="17" spans="1:15">
      <c r="A17" s="160" t="s">
        <v>99</v>
      </c>
      <c r="B17" s="121" t="s">
        <v>100</v>
      </c>
      <c r="C17" s="132">
        <v>0</v>
      </c>
      <c r="D17" s="132">
        <v>0</v>
      </c>
      <c r="E17" s="132">
        <v>4</v>
      </c>
      <c r="F17" s="132">
        <v>10</v>
      </c>
      <c r="G17" s="132">
        <v>0</v>
      </c>
      <c r="H17" s="133">
        <v>1</v>
      </c>
      <c r="I17" s="134">
        <v>3.75</v>
      </c>
      <c r="J17" s="133">
        <v>0</v>
      </c>
      <c r="K17" s="132">
        <v>0</v>
      </c>
      <c r="L17" s="132">
        <v>0</v>
      </c>
      <c r="M17" s="132">
        <v>0</v>
      </c>
      <c r="N17" s="135">
        <v>0</v>
      </c>
      <c r="O17" s="157"/>
    </row>
    <row r="18" spans="1:15">
      <c r="A18" s="160" t="s">
        <v>101</v>
      </c>
      <c r="B18" s="121" t="s">
        <v>232</v>
      </c>
      <c r="C18" s="132">
        <v>0</v>
      </c>
      <c r="D18" s="132">
        <v>0</v>
      </c>
      <c r="E18" s="132">
        <v>0</v>
      </c>
      <c r="F18" s="132">
        <v>0</v>
      </c>
      <c r="G18" s="132">
        <v>18.106000000000002</v>
      </c>
      <c r="H18" s="133">
        <v>0</v>
      </c>
      <c r="I18" s="134">
        <v>1</v>
      </c>
      <c r="J18" s="133">
        <v>0</v>
      </c>
      <c r="K18" s="132">
        <v>0</v>
      </c>
      <c r="L18" s="132">
        <v>1</v>
      </c>
      <c r="M18" s="132">
        <v>0.73</v>
      </c>
      <c r="N18" s="135">
        <v>0</v>
      </c>
      <c r="O18" s="157"/>
    </row>
    <row r="19" spans="1:15">
      <c r="A19" s="160" t="s">
        <v>103</v>
      </c>
      <c r="B19" s="121" t="s">
        <v>104</v>
      </c>
      <c r="C19" s="132">
        <v>0</v>
      </c>
      <c r="D19" s="132">
        <v>0</v>
      </c>
      <c r="E19" s="132">
        <v>1.079</v>
      </c>
      <c r="F19" s="132">
        <v>13.498000000000001</v>
      </c>
      <c r="G19" s="132">
        <v>1.0720000000000001</v>
      </c>
      <c r="H19" s="133">
        <v>1</v>
      </c>
      <c r="I19" s="134">
        <v>6.8</v>
      </c>
      <c r="J19" s="133">
        <v>0</v>
      </c>
      <c r="K19" s="132">
        <v>0</v>
      </c>
      <c r="L19" s="132">
        <v>0</v>
      </c>
      <c r="M19" s="132">
        <v>2.6</v>
      </c>
      <c r="N19" s="135">
        <v>0</v>
      </c>
      <c r="O19" s="157"/>
    </row>
    <row r="20" spans="1:15">
      <c r="A20" s="160" t="s">
        <v>105</v>
      </c>
      <c r="B20" s="121" t="s">
        <v>233</v>
      </c>
      <c r="C20" s="132">
        <v>0</v>
      </c>
      <c r="D20" s="132">
        <v>0</v>
      </c>
      <c r="E20" s="132">
        <v>2</v>
      </c>
      <c r="F20" s="132">
        <v>11.878</v>
      </c>
      <c r="G20" s="132">
        <v>7</v>
      </c>
      <c r="H20" s="133">
        <v>2</v>
      </c>
      <c r="I20" s="134">
        <v>8.8000000000000007</v>
      </c>
      <c r="J20" s="133">
        <v>1</v>
      </c>
      <c r="K20" s="132">
        <v>0</v>
      </c>
      <c r="L20" s="132">
        <v>0</v>
      </c>
      <c r="M20" s="132">
        <v>0</v>
      </c>
      <c r="N20" s="135">
        <v>0</v>
      </c>
      <c r="O20" s="157"/>
    </row>
    <row r="21" spans="1:15">
      <c r="A21" s="160">
        <v>98</v>
      </c>
      <c r="B21" s="121" t="s">
        <v>234</v>
      </c>
      <c r="C21" s="132">
        <v>0</v>
      </c>
      <c r="D21" s="132">
        <v>0</v>
      </c>
      <c r="E21" s="132">
        <v>0</v>
      </c>
      <c r="F21" s="132">
        <v>0</v>
      </c>
      <c r="G21" s="132">
        <v>11.876999999999999</v>
      </c>
      <c r="H21" s="133">
        <v>1.33</v>
      </c>
      <c r="I21" s="134">
        <v>0.75</v>
      </c>
      <c r="J21" s="133">
        <v>0.67</v>
      </c>
      <c r="K21" s="132">
        <v>0</v>
      </c>
      <c r="L21" s="132">
        <v>1.1000000000000001</v>
      </c>
      <c r="M21" s="132">
        <v>0.435</v>
      </c>
      <c r="N21" s="135">
        <v>0</v>
      </c>
      <c r="O21" s="157"/>
    </row>
    <row r="22" spans="1:15">
      <c r="A22" s="160">
        <v>82</v>
      </c>
      <c r="B22" s="121" t="s">
        <v>235</v>
      </c>
      <c r="C22" s="137">
        <v>0</v>
      </c>
      <c r="D22" s="137">
        <v>0</v>
      </c>
      <c r="E22" s="137">
        <v>2.5</v>
      </c>
      <c r="F22" s="137">
        <v>24.36</v>
      </c>
      <c r="G22" s="137">
        <v>4.6400000000000006</v>
      </c>
      <c r="H22" s="138">
        <v>2</v>
      </c>
      <c r="I22" s="139">
        <v>0.8</v>
      </c>
      <c r="J22" s="138">
        <v>0.25</v>
      </c>
      <c r="K22" s="137">
        <v>0</v>
      </c>
      <c r="L22" s="137">
        <v>0</v>
      </c>
      <c r="M22" s="137">
        <v>1</v>
      </c>
      <c r="N22" s="140">
        <v>0.4</v>
      </c>
      <c r="O22" s="157"/>
    </row>
    <row r="23" spans="1:15">
      <c r="A23" s="160" t="s">
        <v>109</v>
      </c>
      <c r="B23" s="121" t="s">
        <v>236</v>
      </c>
      <c r="C23" s="132">
        <v>0</v>
      </c>
      <c r="D23" s="132">
        <v>0</v>
      </c>
      <c r="E23" s="132">
        <v>2</v>
      </c>
      <c r="F23" s="132">
        <v>13.75</v>
      </c>
      <c r="G23" s="132">
        <v>3</v>
      </c>
      <c r="H23" s="133">
        <v>1.5</v>
      </c>
      <c r="I23" s="134">
        <v>4.46</v>
      </c>
      <c r="J23" s="133">
        <v>0</v>
      </c>
      <c r="K23" s="132">
        <v>0</v>
      </c>
      <c r="L23" s="132">
        <v>0</v>
      </c>
      <c r="M23" s="132">
        <v>0</v>
      </c>
      <c r="N23" s="135">
        <v>0</v>
      </c>
      <c r="O23" s="157"/>
    </row>
    <row r="24" spans="1:15">
      <c r="A24" s="160" t="s">
        <v>111</v>
      </c>
      <c r="B24" s="121" t="s">
        <v>237</v>
      </c>
      <c r="C24" s="132">
        <v>0</v>
      </c>
      <c r="D24" s="132">
        <v>0</v>
      </c>
      <c r="E24" s="132">
        <v>1</v>
      </c>
      <c r="F24" s="132">
        <v>2.7719999999999998</v>
      </c>
      <c r="G24" s="132">
        <v>0</v>
      </c>
      <c r="H24" s="133">
        <v>0</v>
      </c>
      <c r="I24" s="134">
        <v>4.3499999999999996</v>
      </c>
      <c r="J24" s="133">
        <v>0.5</v>
      </c>
      <c r="K24" s="132">
        <v>0</v>
      </c>
      <c r="L24" s="132">
        <v>0</v>
      </c>
      <c r="M24" s="132">
        <v>0</v>
      </c>
      <c r="N24" s="135">
        <v>0</v>
      </c>
      <c r="O24" s="157"/>
    </row>
    <row r="25" spans="1:15">
      <c r="A25" s="160" t="s">
        <v>113</v>
      </c>
      <c r="B25" s="121" t="s">
        <v>238</v>
      </c>
      <c r="C25" s="132">
        <v>0</v>
      </c>
      <c r="D25" s="132">
        <v>0</v>
      </c>
      <c r="E25" s="132">
        <v>0</v>
      </c>
      <c r="F25" s="132">
        <v>0</v>
      </c>
      <c r="G25" s="132">
        <v>5.7229999999999999</v>
      </c>
      <c r="H25" s="133">
        <v>0</v>
      </c>
      <c r="I25" s="134">
        <v>3</v>
      </c>
      <c r="J25" s="133">
        <v>0</v>
      </c>
      <c r="K25" s="132">
        <v>0</v>
      </c>
      <c r="L25" s="132">
        <v>0.75</v>
      </c>
      <c r="M25" s="132">
        <v>0</v>
      </c>
      <c r="N25" s="135">
        <v>0</v>
      </c>
      <c r="O25" s="157"/>
    </row>
    <row r="26" spans="1:15">
      <c r="A26" s="160" t="s">
        <v>115</v>
      </c>
      <c r="B26" s="121" t="s">
        <v>239</v>
      </c>
      <c r="C26" s="142">
        <v>0</v>
      </c>
      <c r="D26" s="142">
        <v>0</v>
      </c>
      <c r="E26" s="142">
        <v>0</v>
      </c>
      <c r="F26" s="142">
        <v>0</v>
      </c>
      <c r="G26" s="142">
        <v>8.8760000000000012</v>
      </c>
      <c r="H26" s="143">
        <v>0</v>
      </c>
      <c r="I26" s="144">
        <v>0</v>
      </c>
      <c r="J26" s="143">
        <v>0</v>
      </c>
      <c r="K26" s="142">
        <v>0</v>
      </c>
      <c r="L26" s="142">
        <v>2</v>
      </c>
      <c r="M26" s="142">
        <v>0</v>
      </c>
      <c r="N26" s="145">
        <v>0</v>
      </c>
      <c r="O26" s="157"/>
    </row>
    <row r="27" spans="1:15">
      <c r="A27" s="160">
        <v>93</v>
      </c>
      <c r="B27" s="121" t="s">
        <v>117</v>
      </c>
      <c r="C27" s="132">
        <v>0</v>
      </c>
      <c r="D27" s="132">
        <v>0</v>
      </c>
      <c r="E27" s="132">
        <v>0.73099999999999998</v>
      </c>
      <c r="F27" s="132">
        <v>6.9560000000000004</v>
      </c>
      <c r="G27" s="132">
        <v>3.1640000000000001</v>
      </c>
      <c r="H27" s="133">
        <v>1</v>
      </c>
      <c r="I27" s="134">
        <v>3.92</v>
      </c>
      <c r="J27" s="133">
        <v>0</v>
      </c>
      <c r="K27" s="132">
        <v>0</v>
      </c>
      <c r="L27" s="132">
        <v>0</v>
      </c>
      <c r="M27" s="132">
        <v>0</v>
      </c>
      <c r="N27" s="135">
        <v>0</v>
      </c>
      <c r="O27" s="157"/>
    </row>
    <row r="28" spans="1:15">
      <c r="A28" s="160" t="s">
        <v>126</v>
      </c>
      <c r="B28" s="121" t="s">
        <v>240</v>
      </c>
      <c r="C28" s="132">
        <v>0</v>
      </c>
      <c r="D28" s="132">
        <v>0</v>
      </c>
      <c r="E28" s="132">
        <v>0</v>
      </c>
      <c r="F28" s="132">
        <v>0</v>
      </c>
      <c r="G28" s="132">
        <v>6.84</v>
      </c>
      <c r="H28" s="133">
        <v>0.32600000000000001</v>
      </c>
      <c r="I28" s="134">
        <v>3.78</v>
      </c>
      <c r="J28" s="133">
        <v>0.5</v>
      </c>
      <c r="K28" s="132">
        <v>0</v>
      </c>
      <c r="L28" s="132">
        <v>0</v>
      </c>
      <c r="M28" s="132">
        <v>0</v>
      </c>
      <c r="N28" s="135">
        <v>0</v>
      </c>
      <c r="O28" s="157"/>
    </row>
    <row r="29" spans="1:15">
      <c r="A29" s="160" t="s">
        <v>118</v>
      </c>
      <c r="B29" s="121" t="s">
        <v>241</v>
      </c>
      <c r="C29" s="132">
        <v>0</v>
      </c>
      <c r="D29" s="132">
        <v>0</v>
      </c>
      <c r="E29" s="132">
        <v>1.5</v>
      </c>
      <c r="F29" s="132">
        <v>21</v>
      </c>
      <c r="G29" s="132">
        <v>11</v>
      </c>
      <c r="H29" s="133">
        <v>2.722</v>
      </c>
      <c r="I29" s="134">
        <v>19</v>
      </c>
      <c r="J29" s="133">
        <v>1</v>
      </c>
      <c r="K29" s="132">
        <v>0</v>
      </c>
      <c r="L29" s="132">
        <v>0</v>
      </c>
      <c r="M29" s="132">
        <v>1</v>
      </c>
      <c r="N29" s="135">
        <v>0</v>
      </c>
      <c r="O29" s="157"/>
    </row>
    <row r="30" spans="1:15">
      <c r="A30" s="160" t="s">
        <v>120</v>
      </c>
      <c r="B30" s="121" t="s">
        <v>242</v>
      </c>
      <c r="C30" s="132">
        <v>0</v>
      </c>
      <c r="D30" s="132">
        <v>0</v>
      </c>
      <c r="E30" s="132">
        <v>0.5</v>
      </c>
      <c r="F30" s="132">
        <v>13</v>
      </c>
      <c r="G30" s="132">
        <v>9.0010000000000012</v>
      </c>
      <c r="H30" s="133">
        <v>1.1679999999999999</v>
      </c>
      <c r="I30" s="134">
        <v>19.45</v>
      </c>
      <c r="J30" s="133">
        <v>0</v>
      </c>
      <c r="K30" s="132">
        <v>0</v>
      </c>
      <c r="L30" s="132">
        <v>0</v>
      </c>
      <c r="M30" s="132">
        <v>0</v>
      </c>
      <c r="N30" s="135">
        <v>0</v>
      </c>
      <c r="O30" s="157"/>
    </row>
    <row r="31" spans="1:15">
      <c r="A31" s="160" t="s">
        <v>122</v>
      </c>
      <c r="B31" s="121" t="s">
        <v>243</v>
      </c>
      <c r="C31" s="132">
        <v>0</v>
      </c>
      <c r="D31" s="132">
        <v>0</v>
      </c>
      <c r="E31" s="132">
        <v>2</v>
      </c>
      <c r="F31" s="132">
        <v>8</v>
      </c>
      <c r="G31" s="132">
        <v>4.0129999999999999</v>
      </c>
      <c r="H31" s="133">
        <v>0.625</v>
      </c>
      <c r="I31" s="134">
        <v>1</v>
      </c>
      <c r="J31" s="133">
        <v>1.125</v>
      </c>
      <c r="K31" s="132">
        <v>0</v>
      </c>
      <c r="L31" s="132">
        <v>0</v>
      </c>
      <c r="M31" s="132">
        <v>0</v>
      </c>
      <c r="N31" s="135">
        <v>0</v>
      </c>
      <c r="O31" s="157"/>
    </row>
    <row r="32" spans="1:15">
      <c r="A32" s="160" t="s">
        <v>124</v>
      </c>
      <c r="B32" s="121" t="s">
        <v>244</v>
      </c>
      <c r="C32" s="137">
        <v>0</v>
      </c>
      <c r="D32" s="137">
        <v>0</v>
      </c>
      <c r="E32" s="137">
        <v>1.5</v>
      </c>
      <c r="F32" s="137">
        <v>11.01</v>
      </c>
      <c r="G32" s="137">
        <v>9.4220000000000006</v>
      </c>
      <c r="H32" s="138">
        <v>2.54</v>
      </c>
      <c r="I32" s="139">
        <v>22.5</v>
      </c>
      <c r="J32" s="138">
        <v>0</v>
      </c>
      <c r="K32" s="137">
        <v>0</v>
      </c>
      <c r="L32" s="137">
        <v>0.5</v>
      </c>
      <c r="M32" s="137">
        <v>0</v>
      </c>
      <c r="N32" s="140">
        <v>1</v>
      </c>
      <c r="O32" s="157"/>
    </row>
    <row r="33" spans="1:15">
      <c r="A33" s="160" t="s">
        <v>128</v>
      </c>
      <c r="B33" s="121" t="s">
        <v>245</v>
      </c>
      <c r="C33" s="132">
        <v>0</v>
      </c>
      <c r="D33" s="132">
        <v>0</v>
      </c>
      <c r="E33" s="132">
        <v>0.308</v>
      </c>
      <c r="F33" s="132">
        <v>1.409</v>
      </c>
      <c r="G33" s="132">
        <v>0</v>
      </c>
      <c r="H33" s="133">
        <v>0</v>
      </c>
      <c r="I33" s="134">
        <v>1.81</v>
      </c>
      <c r="J33" s="133">
        <v>0</v>
      </c>
      <c r="K33" s="132">
        <v>0</v>
      </c>
      <c r="L33" s="132">
        <v>0</v>
      </c>
      <c r="M33" s="132">
        <v>0</v>
      </c>
      <c r="N33" s="135">
        <v>0</v>
      </c>
      <c r="O33" s="157"/>
    </row>
    <row r="34" spans="1:15">
      <c r="A34" s="160" t="s">
        <v>130</v>
      </c>
      <c r="B34" s="121" t="s">
        <v>246</v>
      </c>
      <c r="C34" s="132">
        <v>0</v>
      </c>
      <c r="D34" s="132">
        <v>0</v>
      </c>
      <c r="E34" s="132">
        <v>1.5149999999999999</v>
      </c>
      <c r="F34" s="132">
        <v>18.475999999999999</v>
      </c>
      <c r="G34" s="132">
        <v>15.3</v>
      </c>
      <c r="H34" s="133">
        <v>1.01</v>
      </c>
      <c r="I34" s="134">
        <v>4.21</v>
      </c>
      <c r="J34" s="133">
        <v>0.75800000000000001</v>
      </c>
      <c r="K34" s="132">
        <v>0</v>
      </c>
      <c r="L34" s="132">
        <v>0</v>
      </c>
      <c r="M34" s="132">
        <v>0</v>
      </c>
      <c r="N34" s="135">
        <v>1.2</v>
      </c>
      <c r="O34" s="157"/>
    </row>
    <row r="35" spans="1:15">
      <c r="A35" s="160" t="s">
        <v>132</v>
      </c>
      <c r="B35" s="121" t="s">
        <v>247</v>
      </c>
      <c r="C35" s="132">
        <v>0</v>
      </c>
      <c r="D35" s="132">
        <v>0</v>
      </c>
      <c r="E35" s="132">
        <v>1.5</v>
      </c>
      <c r="F35" s="132">
        <v>20.248999999999999</v>
      </c>
      <c r="G35" s="132">
        <v>7.3290000000000006</v>
      </c>
      <c r="H35" s="133">
        <v>1</v>
      </c>
      <c r="I35" s="134">
        <v>23.5</v>
      </c>
      <c r="J35" s="133">
        <v>0</v>
      </c>
      <c r="K35" s="132">
        <v>0</v>
      </c>
      <c r="L35" s="132">
        <v>0</v>
      </c>
      <c r="M35" s="132">
        <v>1</v>
      </c>
      <c r="N35" s="135">
        <v>0.25</v>
      </c>
      <c r="O35" s="157"/>
    </row>
    <row r="36" spans="1:15">
      <c r="A36" s="160" t="s">
        <v>134</v>
      </c>
      <c r="B36" s="121" t="s">
        <v>248</v>
      </c>
      <c r="C36" s="142">
        <v>0</v>
      </c>
      <c r="D36" s="142">
        <v>0</v>
      </c>
      <c r="E36" s="142">
        <v>1.5349999999999999</v>
      </c>
      <c r="F36" s="142">
        <v>12.085000000000001</v>
      </c>
      <c r="G36" s="142">
        <v>11.896000000000001</v>
      </c>
      <c r="H36" s="143">
        <v>1.5</v>
      </c>
      <c r="I36" s="144">
        <v>11.22</v>
      </c>
      <c r="J36" s="143">
        <v>0</v>
      </c>
      <c r="K36" s="142">
        <v>0</v>
      </c>
      <c r="L36" s="142">
        <v>0</v>
      </c>
      <c r="M36" s="142">
        <v>0</v>
      </c>
      <c r="N36" s="145">
        <v>0</v>
      </c>
      <c r="O36" s="157"/>
    </row>
    <row r="37" spans="1:15">
      <c r="A37" s="160" t="s">
        <v>136</v>
      </c>
      <c r="B37" s="121" t="s">
        <v>249</v>
      </c>
      <c r="C37" s="132">
        <v>0</v>
      </c>
      <c r="D37" s="132">
        <v>0</v>
      </c>
      <c r="E37" s="132">
        <v>2</v>
      </c>
      <c r="F37" s="132">
        <v>19.8</v>
      </c>
      <c r="G37" s="132">
        <v>0</v>
      </c>
      <c r="H37" s="133">
        <v>1.63</v>
      </c>
      <c r="I37" s="134">
        <v>8</v>
      </c>
      <c r="J37" s="133">
        <v>0</v>
      </c>
      <c r="K37" s="132">
        <v>0</v>
      </c>
      <c r="L37" s="132">
        <v>0</v>
      </c>
      <c r="M37" s="132">
        <v>0</v>
      </c>
      <c r="N37" s="135">
        <v>2.0499999999999998</v>
      </c>
      <c r="O37" s="157"/>
    </row>
    <row r="38" spans="1:15">
      <c r="A38" s="160" t="s">
        <v>138</v>
      </c>
      <c r="B38" s="121" t="s">
        <v>250</v>
      </c>
      <c r="C38" s="132">
        <v>0</v>
      </c>
      <c r="D38" s="132">
        <v>0</v>
      </c>
      <c r="E38" s="132">
        <v>1</v>
      </c>
      <c r="F38" s="132">
        <v>18</v>
      </c>
      <c r="G38" s="132">
        <v>0</v>
      </c>
      <c r="H38" s="133">
        <v>1.5</v>
      </c>
      <c r="I38" s="134">
        <v>7.6</v>
      </c>
      <c r="J38" s="133">
        <v>0</v>
      </c>
      <c r="K38" s="132">
        <v>0</v>
      </c>
      <c r="L38" s="132">
        <v>0</v>
      </c>
      <c r="M38" s="132">
        <v>0</v>
      </c>
      <c r="N38" s="135">
        <v>0.47</v>
      </c>
      <c r="O38" s="157"/>
    </row>
    <row r="39" spans="1:15">
      <c r="A39" s="160" t="s">
        <v>140</v>
      </c>
      <c r="B39" s="121" t="s">
        <v>251</v>
      </c>
      <c r="C39" s="132">
        <v>0</v>
      </c>
      <c r="D39" s="132">
        <v>0</v>
      </c>
      <c r="E39" s="132">
        <v>1</v>
      </c>
      <c r="F39" s="132">
        <v>12.75</v>
      </c>
      <c r="G39" s="132">
        <v>7.5</v>
      </c>
      <c r="H39" s="133">
        <v>1</v>
      </c>
      <c r="I39" s="134">
        <v>13.66</v>
      </c>
      <c r="J39" s="133">
        <v>1.25</v>
      </c>
      <c r="K39" s="132">
        <v>0.67</v>
      </c>
      <c r="L39" s="132">
        <v>0.33</v>
      </c>
      <c r="M39" s="132">
        <v>1</v>
      </c>
      <c r="N39" s="135">
        <v>0</v>
      </c>
      <c r="O39" s="157"/>
    </row>
    <row r="40" spans="1:15">
      <c r="A40" s="160" t="s">
        <v>142</v>
      </c>
      <c r="B40" s="121" t="s">
        <v>143</v>
      </c>
      <c r="C40" s="132">
        <v>0</v>
      </c>
      <c r="D40" s="132">
        <v>0</v>
      </c>
      <c r="E40" s="132">
        <v>0</v>
      </c>
      <c r="F40" s="132">
        <v>0</v>
      </c>
      <c r="G40" s="132">
        <v>13.87</v>
      </c>
      <c r="H40" s="133">
        <v>0</v>
      </c>
      <c r="I40" s="134">
        <v>1</v>
      </c>
      <c r="J40" s="133">
        <v>0</v>
      </c>
      <c r="K40" s="132">
        <v>0</v>
      </c>
      <c r="L40" s="132">
        <v>1</v>
      </c>
      <c r="M40" s="132">
        <v>0</v>
      </c>
      <c r="N40" s="135">
        <v>0</v>
      </c>
      <c r="O40" s="157"/>
    </row>
    <row r="41" spans="1:15">
      <c r="A41" s="160" t="s">
        <v>144</v>
      </c>
      <c r="B41" s="121" t="s">
        <v>145</v>
      </c>
      <c r="C41" s="132">
        <v>0</v>
      </c>
      <c r="D41" s="132">
        <v>0</v>
      </c>
      <c r="E41" s="132">
        <v>1</v>
      </c>
      <c r="F41" s="132">
        <v>14.78</v>
      </c>
      <c r="G41" s="132">
        <v>4.7200000000000006</v>
      </c>
      <c r="H41" s="133">
        <v>1</v>
      </c>
      <c r="I41" s="134">
        <v>13.17</v>
      </c>
      <c r="J41" s="133">
        <v>0</v>
      </c>
      <c r="K41" s="132">
        <v>0</v>
      </c>
      <c r="L41" s="132">
        <v>0</v>
      </c>
      <c r="M41" s="132">
        <v>0</v>
      </c>
      <c r="N41" s="135">
        <v>0.5</v>
      </c>
      <c r="O41" s="157"/>
    </row>
    <row r="42" spans="1:15">
      <c r="A42" s="160">
        <v>68</v>
      </c>
      <c r="B42" s="121" t="s">
        <v>252</v>
      </c>
      <c r="C42" s="137">
        <v>0</v>
      </c>
      <c r="D42" s="137">
        <v>0</v>
      </c>
      <c r="E42" s="137">
        <v>1</v>
      </c>
      <c r="F42" s="137">
        <v>13.33</v>
      </c>
      <c r="G42" s="137">
        <v>7.67</v>
      </c>
      <c r="H42" s="138">
        <v>2.5</v>
      </c>
      <c r="I42" s="139">
        <v>9.3699999999999992</v>
      </c>
      <c r="J42" s="138">
        <v>0</v>
      </c>
      <c r="K42" s="137">
        <v>0</v>
      </c>
      <c r="L42" s="137">
        <v>0</v>
      </c>
      <c r="M42" s="137">
        <v>1</v>
      </c>
      <c r="N42" s="140">
        <v>1.08</v>
      </c>
      <c r="O42" s="157"/>
    </row>
    <row r="43" spans="1:15">
      <c r="A43" s="160" t="s">
        <v>147</v>
      </c>
      <c r="B43" s="121" t="s">
        <v>148</v>
      </c>
      <c r="C43" s="132">
        <v>0</v>
      </c>
      <c r="D43" s="132">
        <v>0</v>
      </c>
      <c r="E43" s="132">
        <v>1.5</v>
      </c>
      <c r="F43" s="132">
        <v>12</v>
      </c>
      <c r="G43" s="132">
        <v>2</v>
      </c>
      <c r="H43" s="133">
        <v>1</v>
      </c>
      <c r="I43" s="134">
        <v>0.82</v>
      </c>
      <c r="J43" s="133">
        <v>1</v>
      </c>
      <c r="K43" s="132">
        <v>0.5</v>
      </c>
      <c r="L43" s="132">
        <v>0</v>
      </c>
      <c r="M43" s="132">
        <v>1</v>
      </c>
      <c r="N43" s="135">
        <v>0</v>
      </c>
      <c r="O43" s="157"/>
    </row>
    <row r="44" spans="1:15">
      <c r="A44" s="160" t="s">
        <v>149</v>
      </c>
      <c r="B44" s="121" t="s">
        <v>150</v>
      </c>
      <c r="C44" s="132">
        <v>0</v>
      </c>
      <c r="D44" s="132">
        <v>0</v>
      </c>
      <c r="E44" s="132">
        <v>0</v>
      </c>
      <c r="F44" s="132">
        <v>0</v>
      </c>
      <c r="G44" s="132">
        <v>13.051</v>
      </c>
      <c r="H44" s="133">
        <v>0.5</v>
      </c>
      <c r="I44" s="134">
        <v>2</v>
      </c>
      <c r="J44" s="133">
        <v>0</v>
      </c>
      <c r="K44" s="132">
        <v>0</v>
      </c>
      <c r="L44" s="132">
        <v>0</v>
      </c>
      <c r="M44" s="132">
        <v>0</v>
      </c>
      <c r="N44" s="135">
        <v>0</v>
      </c>
      <c r="O44" s="157"/>
    </row>
    <row r="45" spans="1:15">
      <c r="A45" s="160">
        <v>86</v>
      </c>
      <c r="B45" s="121" t="s">
        <v>253</v>
      </c>
      <c r="C45" s="132">
        <v>0</v>
      </c>
      <c r="D45" s="132">
        <v>0</v>
      </c>
      <c r="E45" s="132">
        <v>1</v>
      </c>
      <c r="F45" s="132">
        <v>8.7519999999999989</v>
      </c>
      <c r="G45" s="132">
        <v>7.34</v>
      </c>
      <c r="H45" s="133">
        <v>1.552</v>
      </c>
      <c r="I45" s="134">
        <v>26.61</v>
      </c>
      <c r="J45" s="133">
        <v>0.81399999999999995</v>
      </c>
      <c r="K45" s="132">
        <v>0</v>
      </c>
      <c r="L45" s="132">
        <v>0</v>
      </c>
      <c r="M45" s="132">
        <v>0</v>
      </c>
      <c r="N45" s="135">
        <v>0.81</v>
      </c>
      <c r="O45" s="157"/>
    </row>
    <row r="46" spans="1:15">
      <c r="A46" s="160" t="s">
        <v>152</v>
      </c>
      <c r="B46" s="121" t="s">
        <v>254</v>
      </c>
      <c r="C46" s="142">
        <v>0</v>
      </c>
      <c r="D46" s="142">
        <v>0</v>
      </c>
      <c r="E46" s="142">
        <v>1</v>
      </c>
      <c r="F46" s="142">
        <v>12.55</v>
      </c>
      <c r="G46" s="142">
        <v>2.5</v>
      </c>
      <c r="H46" s="143">
        <v>1</v>
      </c>
      <c r="I46" s="144">
        <v>14.63</v>
      </c>
      <c r="J46" s="143">
        <v>0</v>
      </c>
      <c r="K46" s="142">
        <v>0</v>
      </c>
      <c r="L46" s="142">
        <v>0</v>
      </c>
      <c r="M46" s="142">
        <v>0</v>
      </c>
      <c r="N46" s="145">
        <v>1.88</v>
      </c>
      <c r="O46" s="157"/>
    </row>
    <row r="47" spans="1:15">
      <c r="A47" s="160" t="s">
        <v>154</v>
      </c>
      <c r="B47" s="121" t="s">
        <v>255</v>
      </c>
      <c r="C47" s="132">
        <v>0</v>
      </c>
      <c r="D47" s="132">
        <v>0</v>
      </c>
      <c r="E47" s="132">
        <v>2</v>
      </c>
      <c r="F47" s="132">
        <v>19.875</v>
      </c>
      <c r="G47" s="132">
        <v>8.0970000000000013</v>
      </c>
      <c r="H47" s="133">
        <v>2</v>
      </c>
      <c r="I47" s="134">
        <v>18</v>
      </c>
      <c r="J47" s="133">
        <v>1.5</v>
      </c>
      <c r="K47" s="132">
        <v>0</v>
      </c>
      <c r="L47" s="132">
        <v>0</v>
      </c>
      <c r="M47" s="132">
        <v>1</v>
      </c>
      <c r="N47" s="135">
        <v>1.25</v>
      </c>
      <c r="O47" s="157"/>
    </row>
    <row r="48" spans="1:15">
      <c r="A48" s="160" t="s">
        <v>156</v>
      </c>
      <c r="B48" s="121" t="s">
        <v>256</v>
      </c>
      <c r="C48" s="132">
        <v>0</v>
      </c>
      <c r="D48" s="132">
        <v>0</v>
      </c>
      <c r="E48" s="132">
        <v>2</v>
      </c>
      <c r="F48" s="132">
        <v>20.43</v>
      </c>
      <c r="G48" s="132">
        <v>7.391</v>
      </c>
      <c r="H48" s="133">
        <v>1</v>
      </c>
      <c r="I48" s="134">
        <v>11.83</v>
      </c>
      <c r="J48" s="133">
        <v>1.2</v>
      </c>
      <c r="K48" s="132">
        <v>0</v>
      </c>
      <c r="L48" s="132">
        <v>0</v>
      </c>
      <c r="M48" s="132">
        <v>0.35</v>
      </c>
      <c r="N48" s="135">
        <v>0</v>
      </c>
      <c r="O48" s="157"/>
    </row>
    <row r="49" spans="1:15">
      <c r="A49" s="160">
        <v>97</v>
      </c>
      <c r="B49" s="121" t="s">
        <v>257</v>
      </c>
      <c r="C49" s="132">
        <v>0</v>
      </c>
      <c r="D49" s="132">
        <v>0</v>
      </c>
      <c r="E49" s="132">
        <v>0</v>
      </c>
      <c r="F49" s="132">
        <v>3.5</v>
      </c>
      <c r="G49" s="132">
        <v>8.16</v>
      </c>
      <c r="H49" s="133">
        <v>1</v>
      </c>
      <c r="I49" s="134">
        <v>3.25</v>
      </c>
      <c r="J49" s="133">
        <v>0</v>
      </c>
      <c r="K49" s="132">
        <v>0</v>
      </c>
      <c r="L49" s="132">
        <v>0</v>
      </c>
      <c r="M49" s="132">
        <v>0</v>
      </c>
      <c r="N49" s="135">
        <v>0</v>
      </c>
      <c r="O49" s="157"/>
    </row>
    <row r="50" spans="1:15">
      <c r="A50" s="160" t="s">
        <v>159</v>
      </c>
      <c r="B50" s="121" t="s">
        <v>160</v>
      </c>
      <c r="C50" s="132">
        <v>0</v>
      </c>
      <c r="D50" s="132">
        <v>0</v>
      </c>
      <c r="E50" s="132">
        <v>0</v>
      </c>
      <c r="F50" s="132">
        <v>0</v>
      </c>
      <c r="G50" s="132">
        <v>1.8129999999999999</v>
      </c>
      <c r="H50" s="133">
        <v>0</v>
      </c>
      <c r="I50" s="134">
        <v>0</v>
      </c>
      <c r="J50" s="133">
        <v>0</v>
      </c>
      <c r="K50" s="132">
        <v>0</v>
      </c>
      <c r="L50" s="132">
        <v>1</v>
      </c>
      <c r="M50" s="132">
        <v>0</v>
      </c>
      <c r="N50" s="135">
        <v>0</v>
      </c>
      <c r="O50" s="157"/>
    </row>
    <row r="51" spans="1:15">
      <c r="A51" s="160">
        <v>89</v>
      </c>
      <c r="B51" s="121" t="s">
        <v>161</v>
      </c>
      <c r="C51" s="132">
        <v>1</v>
      </c>
      <c r="D51" s="132">
        <v>0</v>
      </c>
      <c r="E51" s="132">
        <v>0</v>
      </c>
      <c r="F51" s="132">
        <v>8</v>
      </c>
      <c r="G51" s="132">
        <v>0.4</v>
      </c>
      <c r="H51" s="133">
        <v>0.8</v>
      </c>
      <c r="I51" s="134">
        <v>0</v>
      </c>
      <c r="J51" s="133">
        <v>0</v>
      </c>
      <c r="K51" s="132">
        <v>0</v>
      </c>
      <c r="L51" s="132">
        <v>0</v>
      </c>
      <c r="M51" s="132">
        <v>0</v>
      </c>
      <c r="N51" s="135">
        <v>0</v>
      </c>
      <c r="O51" s="157"/>
    </row>
    <row r="52" spans="1:15">
      <c r="A52" s="160" t="s">
        <v>162</v>
      </c>
      <c r="B52" s="121" t="s">
        <v>258</v>
      </c>
      <c r="C52" s="137">
        <v>0</v>
      </c>
      <c r="D52" s="137">
        <v>0</v>
      </c>
      <c r="E52" s="137">
        <v>0</v>
      </c>
      <c r="F52" s="137">
        <v>0.5</v>
      </c>
      <c r="G52" s="137">
        <v>0</v>
      </c>
      <c r="H52" s="138">
        <v>13.167</v>
      </c>
      <c r="I52" s="139">
        <v>12.62</v>
      </c>
      <c r="J52" s="138">
        <v>0</v>
      </c>
      <c r="K52" s="137">
        <v>0</v>
      </c>
      <c r="L52" s="137">
        <v>0</v>
      </c>
      <c r="M52" s="137">
        <v>0</v>
      </c>
      <c r="N52" s="140">
        <v>0.69</v>
      </c>
      <c r="O52" s="157"/>
    </row>
    <row r="53" spans="1:15">
      <c r="A53" s="160" t="s">
        <v>164</v>
      </c>
      <c r="B53" s="121" t="s">
        <v>259</v>
      </c>
      <c r="C53" s="132">
        <v>0</v>
      </c>
      <c r="D53" s="132">
        <v>0</v>
      </c>
      <c r="E53" s="132">
        <v>0</v>
      </c>
      <c r="F53" s="132">
        <v>0</v>
      </c>
      <c r="G53" s="132">
        <v>5</v>
      </c>
      <c r="H53" s="133">
        <v>0</v>
      </c>
      <c r="I53" s="134">
        <v>0.68</v>
      </c>
      <c r="J53" s="133">
        <v>0</v>
      </c>
      <c r="K53" s="132">
        <v>0</v>
      </c>
      <c r="L53" s="132">
        <v>1</v>
      </c>
      <c r="M53" s="132">
        <v>0</v>
      </c>
      <c r="N53" s="135">
        <v>0</v>
      </c>
      <c r="O53" s="157"/>
    </row>
    <row r="54" spans="1:15">
      <c r="A54" s="160">
        <v>88</v>
      </c>
      <c r="B54" s="121" t="s">
        <v>166</v>
      </c>
      <c r="C54" s="132">
        <v>0</v>
      </c>
      <c r="D54" s="132">
        <v>0</v>
      </c>
      <c r="E54" s="132">
        <v>0</v>
      </c>
      <c r="F54" s="132">
        <v>0</v>
      </c>
      <c r="G54" s="132">
        <v>2</v>
      </c>
      <c r="H54" s="133">
        <v>0</v>
      </c>
      <c r="I54" s="134">
        <v>1</v>
      </c>
      <c r="J54" s="133">
        <v>0</v>
      </c>
      <c r="K54" s="132">
        <v>0</v>
      </c>
      <c r="L54" s="132">
        <v>0</v>
      </c>
      <c r="M54" s="132">
        <v>0</v>
      </c>
      <c r="N54" s="135">
        <v>0</v>
      </c>
      <c r="O54" s="157"/>
    </row>
    <row r="55" spans="1:15">
      <c r="A55" s="160" t="s">
        <v>167</v>
      </c>
      <c r="B55" s="121" t="s">
        <v>260</v>
      </c>
      <c r="C55" s="132">
        <v>0</v>
      </c>
      <c r="D55" s="132">
        <v>0</v>
      </c>
      <c r="E55" s="132">
        <v>2</v>
      </c>
      <c r="F55" s="132">
        <v>24.553000000000001</v>
      </c>
      <c r="G55" s="132">
        <v>10.243</v>
      </c>
      <c r="H55" s="133">
        <v>1.2849999999999999</v>
      </c>
      <c r="I55" s="134">
        <v>16.5</v>
      </c>
      <c r="J55" s="133">
        <v>0</v>
      </c>
      <c r="K55" s="132">
        <v>0</v>
      </c>
      <c r="L55" s="132">
        <v>0</v>
      </c>
      <c r="M55" s="132">
        <v>0</v>
      </c>
      <c r="N55" s="135">
        <v>1</v>
      </c>
      <c r="O55" s="157"/>
    </row>
    <row r="56" spans="1:15">
      <c r="A56" s="160" t="s">
        <v>169</v>
      </c>
      <c r="B56" s="121" t="s">
        <v>261</v>
      </c>
      <c r="C56" s="142">
        <v>0</v>
      </c>
      <c r="D56" s="142">
        <v>0</v>
      </c>
      <c r="E56" s="142">
        <v>2</v>
      </c>
      <c r="F56" s="142">
        <v>19</v>
      </c>
      <c r="G56" s="142">
        <v>0</v>
      </c>
      <c r="H56" s="143">
        <v>1</v>
      </c>
      <c r="I56" s="144">
        <v>5.57</v>
      </c>
      <c r="J56" s="143">
        <v>0</v>
      </c>
      <c r="K56" s="142">
        <v>0</v>
      </c>
      <c r="L56" s="142">
        <v>0</v>
      </c>
      <c r="M56" s="142">
        <v>0</v>
      </c>
      <c r="N56" s="145">
        <v>0</v>
      </c>
      <c r="O56" s="157"/>
    </row>
    <row r="57" spans="1:15">
      <c r="A57" s="160">
        <v>94</v>
      </c>
      <c r="B57" s="121" t="s">
        <v>171</v>
      </c>
      <c r="C57" s="137">
        <v>0</v>
      </c>
      <c r="D57" s="137">
        <v>0</v>
      </c>
      <c r="E57" s="137">
        <v>1</v>
      </c>
      <c r="F57" s="137">
        <v>13.700000000000001</v>
      </c>
      <c r="G57" s="137">
        <v>4.8000000000000007</v>
      </c>
      <c r="H57" s="138">
        <v>2</v>
      </c>
      <c r="I57" s="139">
        <v>12.8</v>
      </c>
      <c r="J57" s="138">
        <v>0</v>
      </c>
      <c r="K57" s="137">
        <v>0</v>
      </c>
      <c r="L57" s="137">
        <v>0</v>
      </c>
      <c r="M57" s="137">
        <v>0</v>
      </c>
      <c r="N57" s="140">
        <v>0.6</v>
      </c>
      <c r="O57" s="157"/>
    </row>
    <row r="58" spans="1:15">
      <c r="A58" s="160" t="s">
        <v>172</v>
      </c>
      <c r="B58" s="121" t="s">
        <v>173</v>
      </c>
      <c r="C58" s="132">
        <v>0</v>
      </c>
      <c r="D58" s="132">
        <v>0</v>
      </c>
      <c r="E58" s="132">
        <v>2</v>
      </c>
      <c r="F58" s="132">
        <v>14.4</v>
      </c>
      <c r="G58" s="132">
        <v>3.6</v>
      </c>
      <c r="H58" s="133">
        <v>1.944</v>
      </c>
      <c r="I58" s="134">
        <v>12.8</v>
      </c>
      <c r="J58" s="133">
        <v>1</v>
      </c>
      <c r="K58" s="132">
        <v>0</v>
      </c>
      <c r="L58" s="132">
        <v>0</v>
      </c>
      <c r="M58" s="132">
        <v>0</v>
      </c>
      <c r="N58" s="135">
        <v>0.6</v>
      </c>
      <c r="O58" s="157"/>
    </row>
    <row r="59" spans="1:15">
      <c r="A59" s="161">
        <v>95</v>
      </c>
      <c r="B59" s="122" t="s">
        <v>262</v>
      </c>
      <c r="C59" s="132">
        <v>0</v>
      </c>
      <c r="D59" s="132">
        <v>0</v>
      </c>
      <c r="E59" s="132">
        <v>1</v>
      </c>
      <c r="F59" s="132">
        <v>15.38</v>
      </c>
      <c r="G59" s="132">
        <v>6.87</v>
      </c>
      <c r="H59" s="133">
        <v>1</v>
      </c>
      <c r="I59" s="134">
        <v>7.5</v>
      </c>
      <c r="J59" s="133">
        <v>0</v>
      </c>
      <c r="K59" s="132">
        <v>0</v>
      </c>
      <c r="L59" s="132">
        <v>0</v>
      </c>
      <c r="M59" s="132">
        <v>0.75</v>
      </c>
      <c r="N59" s="135">
        <v>0</v>
      </c>
      <c r="O59" s="157"/>
    </row>
    <row r="60" spans="1:15">
      <c r="A60" s="161">
        <v>90</v>
      </c>
      <c r="B60" s="123" t="s">
        <v>175</v>
      </c>
      <c r="C60" s="132">
        <v>0</v>
      </c>
      <c r="D60" s="132">
        <v>0</v>
      </c>
      <c r="E60" s="132">
        <v>0</v>
      </c>
      <c r="F60" s="132">
        <v>0</v>
      </c>
      <c r="G60" s="132">
        <v>12.336</v>
      </c>
      <c r="H60" s="133">
        <v>0</v>
      </c>
      <c r="I60" s="134">
        <v>1</v>
      </c>
      <c r="J60" s="133">
        <v>0.34</v>
      </c>
      <c r="K60" s="132">
        <v>0</v>
      </c>
      <c r="L60" s="132">
        <v>1</v>
      </c>
      <c r="M60" s="132">
        <v>1</v>
      </c>
      <c r="N60" s="135">
        <v>0</v>
      </c>
      <c r="O60" s="157"/>
    </row>
    <row r="61" spans="1:15">
      <c r="A61" s="160" t="s">
        <v>176</v>
      </c>
      <c r="B61" s="123" t="s">
        <v>177</v>
      </c>
      <c r="C61" s="142">
        <v>0</v>
      </c>
      <c r="D61" s="142">
        <v>0</v>
      </c>
      <c r="E61" s="142">
        <v>0</v>
      </c>
      <c r="F61" s="142">
        <v>0</v>
      </c>
      <c r="G61" s="142">
        <v>9.6000000000000014</v>
      </c>
      <c r="H61" s="143">
        <v>0</v>
      </c>
      <c r="I61" s="144">
        <v>0</v>
      </c>
      <c r="J61" s="143">
        <v>0</v>
      </c>
      <c r="K61" s="142">
        <v>0</v>
      </c>
      <c r="L61" s="142">
        <v>2.52</v>
      </c>
      <c r="M61" s="142">
        <v>0</v>
      </c>
      <c r="N61" s="145">
        <v>0</v>
      </c>
      <c r="O61" s="157"/>
    </row>
    <row r="62" spans="1:15">
      <c r="A62" s="161">
        <v>92</v>
      </c>
      <c r="B62" s="123" t="s">
        <v>263</v>
      </c>
      <c r="C62" s="132">
        <v>0</v>
      </c>
      <c r="D62" s="132">
        <v>0</v>
      </c>
      <c r="E62" s="132">
        <v>0</v>
      </c>
      <c r="F62" s="132">
        <v>0</v>
      </c>
      <c r="G62" s="132">
        <v>1.7930000000000001</v>
      </c>
      <c r="H62" s="133">
        <v>1</v>
      </c>
      <c r="I62" s="134">
        <v>0</v>
      </c>
      <c r="J62" s="133">
        <v>0</v>
      </c>
      <c r="K62" s="132">
        <v>0</v>
      </c>
      <c r="L62" s="132">
        <v>1</v>
      </c>
      <c r="M62" s="132">
        <v>0</v>
      </c>
      <c r="N62" s="135">
        <v>1</v>
      </c>
      <c r="O62" s="157"/>
    </row>
    <row r="63" spans="1:15">
      <c r="A63" s="161">
        <v>81</v>
      </c>
      <c r="B63" s="122" t="s">
        <v>264</v>
      </c>
      <c r="C63" s="132">
        <v>0</v>
      </c>
      <c r="D63" s="132">
        <v>0</v>
      </c>
      <c r="E63" s="132">
        <v>0.5</v>
      </c>
      <c r="F63" s="132">
        <v>5.2</v>
      </c>
      <c r="G63" s="132">
        <v>10.4</v>
      </c>
      <c r="H63" s="133">
        <v>0</v>
      </c>
      <c r="I63" s="134">
        <v>5.91</v>
      </c>
      <c r="J63" s="133">
        <v>0</v>
      </c>
      <c r="K63" s="132">
        <v>0.5</v>
      </c>
      <c r="L63" s="132">
        <v>0.5</v>
      </c>
      <c r="M63" s="132">
        <v>0</v>
      </c>
      <c r="N63" s="135">
        <v>0</v>
      </c>
      <c r="O63" s="157"/>
    </row>
    <row r="64" spans="1:15" ht="13.5" thickBot="1">
      <c r="A64" s="160" t="s">
        <v>180</v>
      </c>
      <c r="B64" s="122" t="s">
        <v>265</v>
      </c>
      <c r="C64" s="132">
        <v>0</v>
      </c>
      <c r="D64" s="132">
        <v>0</v>
      </c>
      <c r="E64" s="132">
        <v>1</v>
      </c>
      <c r="F64" s="132">
        <v>12.388999999999999</v>
      </c>
      <c r="G64" s="132">
        <v>0</v>
      </c>
      <c r="H64" s="133">
        <v>1</v>
      </c>
      <c r="I64" s="134">
        <v>8.19</v>
      </c>
      <c r="J64" s="133">
        <v>0</v>
      </c>
      <c r="K64" s="132">
        <v>0</v>
      </c>
      <c r="L64" s="132">
        <v>0</v>
      </c>
      <c r="M64" s="132">
        <v>0</v>
      </c>
      <c r="N64" s="135">
        <v>0.45</v>
      </c>
      <c r="O64" s="157"/>
    </row>
    <row r="65" spans="2:15" ht="13.5" thickBot="1">
      <c r="B65" s="124" t="s">
        <v>182</v>
      </c>
      <c r="C65" s="148">
        <f t="shared" ref="C65:N65" si="0">SUM(C7:C64)</f>
        <v>2</v>
      </c>
      <c r="D65" s="148">
        <f t="shared" si="0"/>
        <v>0</v>
      </c>
      <c r="E65" s="148">
        <f t="shared" si="0"/>
        <v>55.167999999999999</v>
      </c>
      <c r="F65" s="148">
        <f t="shared" si="0"/>
        <v>535.43899999999996</v>
      </c>
      <c r="G65" s="148">
        <f t="shared" si="0"/>
        <v>401.19200000000006</v>
      </c>
      <c r="H65" s="149">
        <f t="shared" si="0"/>
        <v>74.27</v>
      </c>
      <c r="I65" s="148">
        <f t="shared" si="0"/>
        <v>423.81</v>
      </c>
      <c r="J65" s="149">
        <f t="shared" si="0"/>
        <v>19.599999999999998</v>
      </c>
      <c r="K65" s="148">
        <f t="shared" si="0"/>
        <v>1.67</v>
      </c>
      <c r="L65" s="148">
        <f t="shared" si="0"/>
        <v>18.37</v>
      </c>
      <c r="M65" s="148">
        <f t="shared" si="0"/>
        <v>13.865</v>
      </c>
      <c r="N65" s="149">
        <f t="shared" si="0"/>
        <v>19.010000000000002</v>
      </c>
      <c r="O65" s="157"/>
    </row>
  </sheetData>
  <sortState ref="B7:O64">
    <sortCondition ref="B7:B64"/>
  </sortState>
  <mergeCells count="15">
    <mergeCell ref="B1:B5"/>
    <mergeCell ref="C1:J1"/>
    <mergeCell ref="K1:N1"/>
    <mergeCell ref="C2:H2"/>
    <mergeCell ref="I2:I4"/>
    <mergeCell ref="J2:J4"/>
    <mergeCell ref="K2:K4"/>
    <mergeCell ref="L2:L4"/>
    <mergeCell ref="M2:M4"/>
    <mergeCell ref="N2:N4"/>
    <mergeCell ref="C3:D3"/>
    <mergeCell ref="E3:E4"/>
    <mergeCell ref="F3:F4"/>
    <mergeCell ref="G3:G4"/>
    <mergeCell ref="H3:H4"/>
  </mergeCells>
  <printOptions horizontalCentered="1"/>
  <pageMargins left="0.7" right="0.7" top="1" bottom="0.65" header="0.45" footer="0.55000000000000004"/>
  <pageSetup scale="57" orientation="landscape" r:id="rId1"/>
  <headerFooter>
    <oddHeader>&amp;L&amp;8STATUS:  Final&amp;C&amp;"-,Bold"&amp;12FULL TIME EQUIVALENTS (FTEs) BY POSITION&amp;"-,Regular"&amp;11
&amp;"-,Bold"Licensed and Classified Personnel
FY 2008&amp;R&amp;8CURRENT AS OF:  October, 2008</oddHeader>
    <oddFooter>&amp;L&amp;8COMPILED BY:  USOE/Finance and Statistics/Emily Eyre
DATA SOURCE:  CACTUS Database June 30, 2008
Year-End Web Survey FY 2008&amp;R&amp;8LOCATION:  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65"/>
  <sheetViews>
    <sheetView topLeftCell="A4" workbookViewId="0">
      <selection activeCell="B1" sqref="B1:B5"/>
    </sheetView>
  </sheetViews>
  <sheetFormatPr defaultRowHeight="12.75"/>
  <cols>
    <col min="1" max="1" width="3.7109375" style="96" customWidth="1"/>
    <col min="2" max="2" width="24.85546875" style="96" customWidth="1"/>
    <col min="3" max="4" width="12.28515625" style="96" customWidth="1"/>
    <col min="5" max="5" width="14.140625" style="96" customWidth="1"/>
    <col min="6" max="6" width="14.28515625" style="96" customWidth="1"/>
    <col min="7" max="7" width="15.7109375" style="96" customWidth="1"/>
    <col min="8" max="8" width="13" style="96" customWidth="1"/>
    <col min="9" max="10" width="13.28515625" style="96" customWidth="1"/>
    <col min="11" max="11" width="14.42578125" style="96" customWidth="1"/>
    <col min="12" max="12" width="15" style="96" customWidth="1"/>
    <col min="13" max="13" width="13.28515625" style="96" customWidth="1"/>
    <col min="14" max="14" width="13.7109375" style="96" customWidth="1"/>
    <col min="15" max="15" width="18.140625" style="96" customWidth="1"/>
    <col min="16" max="16" width="9.7109375" style="96" bestFit="1" customWidth="1"/>
    <col min="17" max="16384" width="9.140625" style="96"/>
  </cols>
  <sheetData>
    <row r="1" spans="1:16" ht="16.5" customHeight="1" thickBot="1">
      <c r="B1" s="165" t="s">
        <v>0</v>
      </c>
      <c r="C1" s="168" t="s">
        <v>2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70"/>
      <c r="O1" s="186" t="s">
        <v>66</v>
      </c>
      <c r="P1" s="95"/>
    </row>
    <row r="2" spans="1:16">
      <c r="B2" s="166"/>
      <c r="C2" s="165" t="s">
        <v>73</v>
      </c>
      <c r="D2" s="189"/>
      <c r="E2" s="175" t="s">
        <v>220</v>
      </c>
      <c r="F2" s="175" t="s">
        <v>74</v>
      </c>
      <c r="G2" s="175" t="s">
        <v>221</v>
      </c>
      <c r="H2" s="194" t="s">
        <v>222</v>
      </c>
      <c r="I2" s="195"/>
      <c r="J2" s="195"/>
      <c r="K2" s="195"/>
      <c r="L2" s="195"/>
      <c r="M2" s="196"/>
      <c r="N2" s="175" t="s">
        <v>223</v>
      </c>
      <c r="O2" s="187"/>
      <c r="P2" s="95"/>
    </row>
    <row r="3" spans="1:16" ht="13.5" customHeight="1" thickBot="1">
      <c r="B3" s="166"/>
      <c r="C3" s="190"/>
      <c r="D3" s="191"/>
      <c r="E3" s="181"/>
      <c r="F3" s="179"/>
      <c r="G3" s="179"/>
      <c r="H3" s="197"/>
      <c r="I3" s="198"/>
      <c r="J3" s="198"/>
      <c r="K3" s="198"/>
      <c r="L3" s="198"/>
      <c r="M3" s="199"/>
      <c r="N3" s="181"/>
      <c r="O3" s="187"/>
      <c r="P3" s="95"/>
    </row>
    <row r="4" spans="1:16" ht="57" customHeight="1" thickBot="1">
      <c r="B4" s="166"/>
      <c r="C4" s="192"/>
      <c r="D4" s="193"/>
      <c r="E4" s="182"/>
      <c r="F4" s="180"/>
      <c r="G4" s="180"/>
      <c r="H4" s="104" t="s">
        <v>225</v>
      </c>
      <c r="I4" s="104" t="s">
        <v>76</v>
      </c>
      <c r="J4" s="104" t="s">
        <v>77</v>
      </c>
      <c r="K4" s="104" t="s">
        <v>226</v>
      </c>
      <c r="L4" s="125" t="s">
        <v>227</v>
      </c>
      <c r="M4" s="126" t="s">
        <v>224</v>
      </c>
      <c r="N4" s="182"/>
      <c r="O4" s="187"/>
      <c r="P4" s="95"/>
    </row>
    <row r="5" spans="1:16" ht="43.5" customHeight="1" thickBot="1">
      <c r="B5" s="167"/>
      <c r="C5" s="104" t="s">
        <v>17</v>
      </c>
      <c r="D5" s="127" t="s">
        <v>18</v>
      </c>
      <c r="E5" s="127" t="s">
        <v>18</v>
      </c>
      <c r="F5" s="104" t="s">
        <v>17</v>
      </c>
      <c r="G5" s="127" t="s">
        <v>18</v>
      </c>
      <c r="H5" s="104" t="s">
        <v>17</v>
      </c>
      <c r="I5" s="104" t="s">
        <v>17</v>
      </c>
      <c r="J5" s="104" t="s">
        <v>17</v>
      </c>
      <c r="K5" s="104" t="s">
        <v>18</v>
      </c>
      <c r="L5" s="104" t="s">
        <v>18</v>
      </c>
      <c r="M5" s="104" t="s">
        <v>18</v>
      </c>
      <c r="N5" s="127" t="s">
        <v>18</v>
      </c>
      <c r="O5" s="188"/>
      <c r="P5" s="95"/>
    </row>
    <row r="6" spans="1:16">
      <c r="B6" s="106" t="s">
        <v>19</v>
      </c>
      <c r="C6" s="107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9"/>
      <c r="O6" s="109"/>
    </row>
    <row r="7" spans="1:16">
      <c r="A7" s="130">
        <v>1</v>
      </c>
      <c r="B7" s="110" t="s">
        <v>20</v>
      </c>
      <c r="C7" s="131">
        <v>20</v>
      </c>
      <c r="D7" s="132">
        <f>'Classified FTEs'!H7+'Classified FTEs'!K7</f>
        <v>1</v>
      </c>
      <c r="E7" s="132">
        <f>'Classified FTEs'!I7+'Classified FTEs'!L7+'Classified FTEs'!M7+'Classified FTEs'!N7+'Classified FTEs'!O7</f>
        <v>97.14</v>
      </c>
      <c r="F7" s="132">
        <v>105</v>
      </c>
      <c r="G7" s="132">
        <f>'Classified FTEs'!E7+'Classified FTEs'!F7+'Classified FTEs'!J7</f>
        <v>228.48000000000002</v>
      </c>
      <c r="H7" s="132">
        <v>45.820999999999998</v>
      </c>
      <c r="I7" s="132">
        <v>22.35</v>
      </c>
      <c r="J7" s="132">
        <v>0</v>
      </c>
      <c r="K7" s="134">
        <v>4</v>
      </c>
      <c r="L7" s="132">
        <v>5</v>
      </c>
      <c r="M7" s="132">
        <v>0</v>
      </c>
      <c r="N7" s="133">
        <f>'Classified FTEs'!T7+'Classified FTEs'!U7+'Classified FTEs'!W7+'Classified FTEs'!X7+'Classified FTEs'!AB7+'Classified FTEs'!AD7+'Classified FTEs'!AE7</f>
        <v>804.91000000000008</v>
      </c>
      <c r="O7" s="133">
        <f>SUM('instruction-districts'!C7:N7)+SUM('support-districts'!C7:N7)</f>
        <v>4602.378999999999</v>
      </c>
      <c r="P7" s="97"/>
    </row>
    <row r="8" spans="1:16">
      <c r="A8" s="130">
        <v>2</v>
      </c>
      <c r="B8" s="110" t="s">
        <v>21</v>
      </c>
      <c r="C8" s="131">
        <v>1.5</v>
      </c>
      <c r="D8" s="132">
        <f>'Classified FTEs'!H8+'Classified FTEs'!K8</f>
        <v>0</v>
      </c>
      <c r="E8" s="132">
        <f>'Classified FTEs'!I8+'Classified FTEs'!L8+'Classified FTEs'!M8+'Classified FTEs'!N8+'Classified FTEs'!O8</f>
        <v>2.4900000000000002</v>
      </c>
      <c r="F8" s="132">
        <v>3.75</v>
      </c>
      <c r="G8" s="132">
        <f>'Classified FTEs'!E8+'Classified FTEs'!F8+'Classified FTEs'!J8</f>
        <v>5.54</v>
      </c>
      <c r="H8" s="132">
        <v>0.75</v>
      </c>
      <c r="I8" s="132">
        <v>0</v>
      </c>
      <c r="J8" s="132">
        <v>0</v>
      </c>
      <c r="K8" s="134">
        <v>0</v>
      </c>
      <c r="L8" s="132">
        <v>0.25</v>
      </c>
      <c r="M8" s="132">
        <v>0.2</v>
      </c>
      <c r="N8" s="133">
        <f>'Classified FTEs'!T8+'Classified FTEs'!U8+'Classified FTEs'!W8+'Classified FTEs'!X8+'Classified FTEs'!AB8+'Classified FTEs'!AD8+'Classified FTEs'!AE8</f>
        <v>25.74</v>
      </c>
      <c r="O8" s="133">
        <f>SUM('instruction-districts'!C8:N8)+SUM('support-districts'!C8:N8)</f>
        <v>153.35000000000002</v>
      </c>
      <c r="P8" s="97"/>
    </row>
    <row r="9" spans="1:16">
      <c r="A9" s="130">
        <v>3</v>
      </c>
      <c r="B9" s="110" t="s">
        <v>22</v>
      </c>
      <c r="C9" s="131">
        <v>3.5</v>
      </c>
      <c r="D9" s="132">
        <f>'Classified FTEs'!H9+'Classified FTEs'!K9</f>
        <v>1</v>
      </c>
      <c r="E9" s="132">
        <f>'Classified FTEs'!I9+'Classified FTEs'!L9+'Classified FTEs'!M9+'Classified FTEs'!N9+'Classified FTEs'!O9</f>
        <v>8</v>
      </c>
      <c r="F9" s="132">
        <v>25.3</v>
      </c>
      <c r="G9" s="132">
        <f>'Classified FTEs'!E9+'Classified FTEs'!F9+'Classified FTEs'!J9</f>
        <v>29</v>
      </c>
      <c r="H9" s="132">
        <v>13</v>
      </c>
      <c r="I9" s="132">
        <v>2.5329999999999999</v>
      </c>
      <c r="J9" s="132">
        <v>0</v>
      </c>
      <c r="K9" s="134">
        <v>1</v>
      </c>
      <c r="L9" s="132">
        <v>1</v>
      </c>
      <c r="M9" s="132">
        <v>3</v>
      </c>
      <c r="N9" s="133">
        <f>'Classified FTEs'!T9+'Classified FTEs'!U9+'Classified FTEs'!W9+'Classified FTEs'!X9+'Classified FTEs'!AB9+'Classified FTEs'!AD9+'Classified FTEs'!AE9</f>
        <v>245.5</v>
      </c>
      <c r="O9" s="133">
        <f>SUM('instruction-districts'!C9:N9)+SUM('support-districts'!C9:N9)</f>
        <v>1001.127</v>
      </c>
      <c r="P9" s="97"/>
    </row>
    <row r="10" spans="1:16">
      <c r="A10" s="130">
        <v>4</v>
      </c>
      <c r="B10" s="110" t="s">
        <v>23</v>
      </c>
      <c r="C10" s="131">
        <v>3</v>
      </c>
      <c r="D10" s="132">
        <f>'Classified FTEs'!H10+'Classified FTEs'!K10</f>
        <v>1</v>
      </c>
      <c r="E10" s="132">
        <f>'Classified FTEs'!I10+'Classified FTEs'!L10+'Classified FTEs'!M10+'Classified FTEs'!N10+'Classified FTEs'!O10</f>
        <v>18.79</v>
      </c>
      <c r="F10" s="132">
        <v>28</v>
      </c>
      <c r="G10" s="132">
        <f>'Classified FTEs'!E10+'Classified FTEs'!F10+'Classified FTEs'!J10</f>
        <v>36.24</v>
      </c>
      <c r="H10" s="132">
        <v>16.253</v>
      </c>
      <c r="I10" s="132">
        <v>4.3</v>
      </c>
      <c r="J10" s="132">
        <v>0</v>
      </c>
      <c r="K10" s="134">
        <v>3.66</v>
      </c>
      <c r="L10" s="132">
        <v>22</v>
      </c>
      <c r="M10" s="132">
        <v>2</v>
      </c>
      <c r="N10" s="133">
        <f>'Classified FTEs'!T10+'Classified FTEs'!U10+'Classified FTEs'!W10+'Classified FTEs'!X10+'Classified FTEs'!AB10+'Classified FTEs'!AD10+'Classified FTEs'!AE10</f>
        <v>248.33</v>
      </c>
      <c r="O10" s="133">
        <f>SUM('instruction-districts'!C10:N10)+SUM('support-districts'!C10:N10)</f>
        <v>1358.81</v>
      </c>
      <c r="P10" s="97"/>
    </row>
    <row r="11" spans="1:16">
      <c r="A11" s="130">
        <v>5</v>
      </c>
      <c r="B11" s="110" t="s">
        <v>24</v>
      </c>
      <c r="C11" s="131">
        <v>6</v>
      </c>
      <c r="D11" s="132">
        <f>'Classified FTEs'!H11+'Classified FTEs'!K11</f>
        <v>3</v>
      </c>
      <c r="E11" s="132">
        <f>'Classified FTEs'!I11+'Classified FTEs'!L11+'Classified FTEs'!M11+'Classified FTEs'!N11+'Classified FTEs'!O11</f>
        <v>9.8600000000000012</v>
      </c>
      <c r="F11" s="132">
        <v>11</v>
      </c>
      <c r="G11" s="132">
        <f>'Classified FTEs'!E11+'Classified FTEs'!F11+'Classified FTEs'!J11</f>
        <v>15.95</v>
      </c>
      <c r="H11" s="132">
        <v>3.5</v>
      </c>
      <c r="I11" s="132">
        <v>0</v>
      </c>
      <c r="J11" s="132">
        <v>2</v>
      </c>
      <c r="K11" s="134">
        <v>1</v>
      </c>
      <c r="L11" s="132">
        <v>1</v>
      </c>
      <c r="M11" s="132">
        <v>0</v>
      </c>
      <c r="N11" s="133">
        <f>'Classified FTEs'!T11+'Classified FTEs'!U11+'Classified FTEs'!W11+'Classified FTEs'!X11+'Classified FTEs'!AB11+'Classified FTEs'!AD11+'Classified FTEs'!AE11</f>
        <v>77.539999999999992</v>
      </c>
      <c r="O11" s="133">
        <f>SUM('instruction-districts'!C11:N11)+SUM('support-districts'!C11:N11)</f>
        <v>424.26099999999997</v>
      </c>
      <c r="P11" s="97"/>
    </row>
    <row r="12" spans="1:16">
      <c r="A12" s="130">
        <v>6</v>
      </c>
      <c r="B12" s="111" t="s">
        <v>25</v>
      </c>
      <c r="C12" s="136">
        <v>0.75</v>
      </c>
      <c r="D12" s="137">
        <f>'Classified FTEs'!H12+'Classified FTEs'!K12</f>
        <v>0.85</v>
      </c>
      <c r="E12" s="137">
        <f>'Classified FTEs'!I12+'Classified FTEs'!L12+'Classified FTEs'!M12+'Classified FTEs'!N12+'Classified FTEs'!O12</f>
        <v>1</v>
      </c>
      <c r="F12" s="137">
        <v>0.35</v>
      </c>
      <c r="G12" s="137">
        <f>'Classified FTEs'!E12+'Classified FTEs'!F12+'Classified FTEs'!J12</f>
        <v>2</v>
      </c>
      <c r="H12" s="137">
        <v>0</v>
      </c>
      <c r="I12" s="137">
        <v>0</v>
      </c>
      <c r="J12" s="137">
        <v>0</v>
      </c>
      <c r="K12" s="139">
        <v>0</v>
      </c>
      <c r="L12" s="137">
        <v>0</v>
      </c>
      <c r="M12" s="137">
        <v>0.17</v>
      </c>
      <c r="N12" s="138">
        <f>'Classified FTEs'!T12+'Classified FTEs'!U12+'Classified FTEs'!W12+'Classified FTEs'!X12+'Classified FTEs'!AB12+'Classified FTEs'!AD12+'Classified FTEs'!AE12</f>
        <v>8.490000000000002</v>
      </c>
      <c r="O12" s="138">
        <f>SUM('instruction-districts'!C12:N12)+SUM('support-districts'!C12:N12)</f>
        <v>32.968000000000004</v>
      </c>
      <c r="P12" s="97"/>
    </row>
    <row r="13" spans="1:16">
      <c r="A13" s="130">
        <v>7</v>
      </c>
      <c r="B13" s="110" t="s">
        <v>26</v>
      </c>
      <c r="C13" s="131">
        <v>29.916</v>
      </c>
      <c r="D13" s="132">
        <f>'Classified FTEs'!H13+'Classified FTEs'!K13</f>
        <v>9</v>
      </c>
      <c r="E13" s="132">
        <f>'Classified FTEs'!I13+'Classified FTEs'!L13+'Classified FTEs'!M13+'Classified FTEs'!N13+'Classified FTEs'!O13</f>
        <v>118.46000000000001</v>
      </c>
      <c r="F13" s="132">
        <v>125</v>
      </c>
      <c r="G13" s="132">
        <f>'Classified FTEs'!E13+'Classified FTEs'!F13+'Classified FTEs'!J13</f>
        <v>217.12</v>
      </c>
      <c r="H13" s="132">
        <v>63.606999999999999</v>
      </c>
      <c r="I13" s="132">
        <v>34.08</v>
      </c>
      <c r="J13" s="132">
        <v>4.75</v>
      </c>
      <c r="K13" s="134">
        <v>1.4</v>
      </c>
      <c r="L13" s="132">
        <v>6.45</v>
      </c>
      <c r="M13" s="132">
        <v>0</v>
      </c>
      <c r="N13" s="133">
        <f>'Classified FTEs'!T13+'Classified FTEs'!U13+'Classified FTEs'!W13+'Classified FTEs'!X13+'Classified FTEs'!AB13+'Classified FTEs'!AD13+'Classified FTEs'!AE13</f>
        <v>1029.71</v>
      </c>
      <c r="O13" s="133">
        <f>SUM('instruction-districts'!C13:N13)+SUM('support-districts'!C13:N13)</f>
        <v>5787.2240000000002</v>
      </c>
      <c r="P13" s="97"/>
    </row>
    <row r="14" spans="1:16">
      <c r="A14" s="130">
        <v>8</v>
      </c>
      <c r="B14" s="110" t="s">
        <v>27</v>
      </c>
      <c r="C14" s="131">
        <v>3.5</v>
      </c>
      <c r="D14" s="132">
        <f>'Classified FTEs'!H14+'Classified FTEs'!K14</f>
        <v>1</v>
      </c>
      <c r="E14" s="132">
        <f>'Classified FTEs'!I14+'Classified FTEs'!L14+'Classified FTEs'!M14+'Classified FTEs'!N14+'Classified FTEs'!O14</f>
        <v>7.5</v>
      </c>
      <c r="F14" s="132">
        <v>13.15</v>
      </c>
      <c r="G14" s="132">
        <f>'Classified FTEs'!E14+'Classified FTEs'!F14+'Classified FTEs'!J14</f>
        <v>19.73</v>
      </c>
      <c r="H14" s="132">
        <v>1</v>
      </c>
      <c r="I14" s="132">
        <v>1</v>
      </c>
      <c r="J14" s="132">
        <v>1</v>
      </c>
      <c r="K14" s="134">
        <v>2</v>
      </c>
      <c r="L14" s="132">
        <v>1</v>
      </c>
      <c r="M14" s="132">
        <v>0</v>
      </c>
      <c r="N14" s="133">
        <f>'Classified FTEs'!T14+'Classified FTEs'!U14+'Classified FTEs'!W14+'Classified FTEs'!X14+'Classified FTEs'!AB14+'Classified FTEs'!AD14+'Classified FTEs'!AE14</f>
        <v>91.499999999999986</v>
      </c>
      <c r="O14" s="133">
        <f>SUM('instruction-districts'!C14:N14)+SUM('support-districts'!C14:N14)</f>
        <v>465.35500000000002</v>
      </c>
      <c r="P14" s="97"/>
    </row>
    <row r="15" spans="1:16">
      <c r="A15" s="130">
        <v>9</v>
      </c>
      <c r="B15" s="110" t="s">
        <v>28</v>
      </c>
      <c r="C15" s="131">
        <v>4</v>
      </c>
      <c r="D15" s="132">
        <f>'Classified FTEs'!H15+'Classified FTEs'!K15</f>
        <v>1</v>
      </c>
      <c r="E15" s="132">
        <f>'Classified FTEs'!I15+'Classified FTEs'!L15+'Classified FTEs'!M15+'Classified FTEs'!N15+'Classified FTEs'!O15</f>
        <v>2.5</v>
      </c>
      <c r="F15" s="132">
        <v>9.49</v>
      </c>
      <c r="G15" s="132">
        <f>'Classified FTEs'!E15+'Classified FTEs'!F15+'Classified FTEs'!J15</f>
        <v>11.340000000000002</v>
      </c>
      <c r="H15" s="132">
        <v>1</v>
      </c>
      <c r="I15" s="132">
        <v>0</v>
      </c>
      <c r="J15" s="132">
        <v>0</v>
      </c>
      <c r="K15" s="134">
        <v>1</v>
      </c>
      <c r="L15" s="132">
        <v>1</v>
      </c>
      <c r="M15" s="132">
        <v>0</v>
      </c>
      <c r="N15" s="133">
        <f>'Classified FTEs'!T15+'Classified FTEs'!U15+'Classified FTEs'!W15+'Classified FTEs'!X15+'Classified FTEs'!AB15+'Classified FTEs'!AD15+'Classified FTEs'!AE15</f>
        <v>54.47</v>
      </c>
      <c r="O15" s="133">
        <f>SUM('instruction-districts'!C15:N15)+SUM('support-districts'!C15:N15)</f>
        <v>260.274</v>
      </c>
      <c r="P15" s="97"/>
    </row>
    <row r="16" spans="1:16">
      <c r="A16" s="130">
        <v>10</v>
      </c>
      <c r="B16" s="112" t="s">
        <v>29</v>
      </c>
      <c r="C16" s="141">
        <v>1.6310000000000002</v>
      </c>
      <c r="D16" s="142">
        <f>'Classified FTEs'!H16+'Classified FTEs'!K16</f>
        <v>0</v>
      </c>
      <c r="E16" s="142">
        <f>'Classified FTEs'!I16+'Classified FTEs'!L16+'Classified FTEs'!M16+'Classified FTEs'!N16+'Classified FTEs'!O16</f>
        <v>4.08</v>
      </c>
      <c r="F16" s="142">
        <v>5.5359999999999996</v>
      </c>
      <c r="G16" s="142">
        <f>'Classified FTEs'!E16+'Classified FTEs'!F16+'Classified FTEs'!J16</f>
        <v>7</v>
      </c>
      <c r="H16" s="142">
        <v>1</v>
      </c>
      <c r="I16" s="142">
        <v>0</v>
      </c>
      <c r="J16" s="142">
        <v>0</v>
      </c>
      <c r="K16" s="144">
        <v>1</v>
      </c>
      <c r="L16" s="142">
        <v>1</v>
      </c>
      <c r="M16" s="142">
        <v>0.5</v>
      </c>
      <c r="N16" s="143">
        <f>'Classified FTEs'!T16+'Classified FTEs'!U16+'Classified FTEs'!W16+'Classified FTEs'!X16+'Classified FTEs'!AB16+'Classified FTEs'!AD16+'Classified FTEs'!AE16</f>
        <v>23.17</v>
      </c>
      <c r="O16" s="143">
        <f>SUM('instruction-districts'!C16:N16)+SUM('support-districts'!C16:N16)</f>
        <v>146.495</v>
      </c>
      <c r="P16" s="97"/>
    </row>
    <row r="17" spans="1:16">
      <c r="A17" s="130">
        <v>11</v>
      </c>
      <c r="B17" s="110" t="s">
        <v>30</v>
      </c>
      <c r="C17" s="131">
        <v>1</v>
      </c>
      <c r="D17" s="132">
        <f>'Classified FTEs'!H17+'Classified FTEs'!K17</f>
        <v>1</v>
      </c>
      <c r="E17" s="132">
        <f>'Classified FTEs'!I17+'Classified FTEs'!L17+'Classified FTEs'!M17+'Classified FTEs'!N17+'Classified FTEs'!O17</f>
        <v>4</v>
      </c>
      <c r="F17" s="132">
        <v>6</v>
      </c>
      <c r="G17" s="132">
        <f>'Classified FTEs'!E17+'Classified FTEs'!F17+'Classified FTEs'!J17</f>
        <v>8</v>
      </c>
      <c r="H17" s="132">
        <v>2</v>
      </c>
      <c r="I17" s="132">
        <v>0</v>
      </c>
      <c r="J17" s="132">
        <v>0</v>
      </c>
      <c r="K17" s="134">
        <v>1</v>
      </c>
      <c r="L17" s="132">
        <v>1</v>
      </c>
      <c r="M17" s="132">
        <v>0</v>
      </c>
      <c r="N17" s="133">
        <f>'Classified FTEs'!T17+'Classified FTEs'!U17+'Classified FTEs'!W17+'Classified FTEs'!X17+'Classified FTEs'!AB17+'Classified FTEs'!AD17+'Classified FTEs'!AE17</f>
        <v>40.5</v>
      </c>
      <c r="O17" s="133">
        <f>SUM('instruction-districts'!C17:N17)+SUM('support-districts'!C17:N17)</f>
        <v>201.49999999999997</v>
      </c>
      <c r="P17" s="97"/>
    </row>
    <row r="18" spans="1:16">
      <c r="A18" s="130">
        <v>12</v>
      </c>
      <c r="B18" s="110" t="s">
        <v>31</v>
      </c>
      <c r="C18" s="131">
        <v>39</v>
      </c>
      <c r="D18" s="132">
        <f>'Classified FTEs'!H18+'Classified FTEs'!K18</f>
        <v>4.5</v>
      </c>
      <c r="E18" s="132">
        <f>'Classified FTEs'!I18+'Classified FTEs'!L18+'Classified FTEs'!M18+'Classified FTEs'!N18+'Classified FTEs'!O18</f>
        <v>103.56</v>
      </c>
      <c r="F18" s="132">
        <v>139</v>
      </c>
      <c r="G18" s="132">
        <f>'Classified FTEs'!E18+'Classified FTEs'!F18+'Classified FTEs'!J18</f>
        <v>331.52</v>
      </c>
      <c r="H18" s="132">
        <v>71.83</v>
      </c>
      <c r="I18" s="132">
        <v>28.5</v>
      </c>
      <c r="J18" s="132">
        <v>44.814</v>
      </c>
      <c r="K18" s="134">
        <v>2</v>
      </c>
      <c r="L18" s="132">
        <v>41.43</v>
      </c>
      <c r="M18" s="132">
        <v>18.21</v>
      </c>
      <c r="N18" s="133">
        <f>'Classified FTEs'!T18+'Classified FTEs'!U18+'Classified FTEs'!W18+'Classified FTEs'!X18+'Classified FTEs'!AB18+'Classified FTEs'!AD18+'Classified FTEs'!AE18</f>
        <v>1091.76</v>
      </c>
      <c r="O18" s="133">
        <f>SUM('instruction-districts'!C18:N18)+SUM('support-districts'!C18:N18)</f>
        <v>6109.7649999999994</v>
      </c>
      <c r="P18" s="97"/>
    </row>
    <row r="19" spans="1:16">
      <c r="A19" s="130">
        <v>13</v>
      </c>
      <c r="B19" s="110" t="s">
        <v>32</v>
      </c>
      <c r="C19" s="131">
        <v>4</v>
      </c>
      <c r="D19" s="132">
        <f>'Classified FTEs'!H19+'Classified FTEs'!K19</f>
        <v>1</v>
      </c>
      <c r="E19" s="132">
        <f>'Classified FTEs'!I19+'Classified FTEs'!L19+'Classified FTEs'!M19+'Classified FTEs'!N19+'Classified FTEs'!O19</f>
        <v>14</v>
      </c>
      <c r="F19" s="132">
        <v>19.399999999999999</v>
      </c>
      <c r="G19" s="132">
        <f>'Classified FTEs'!E19+'Classified FTEs'!F19+'Classified FTEs'!J19</f>
        <v>34.200000000000003</v>
      </c>
      <c r="H19" s="132">
        <v>7.3529999999999998</v>
      </c>
      <c r="I19" s="132">
        <v>1</v>
      </c>
      <c r="J19" s="132">
        <v>0</v>
      </c>
      <c r="K19" s="134">
        <v>1</v>
      </c>
      <c r="L19" s="132">
        <v>1</v>
      </c>
      <c r="M19" s="132">
        <v>3</v>
      </c>
      <c r="N19" s="133">
        <f>'Classified FTEs'!T19+'Classified FTEs'!U19+'Classified FTEs'!W19+'Classified FTEs'!X19+'Classified FTEs'!AB19+'Classified FTEs'!AD19+'Classified FTEs'!AE19</f>
        <v>144.80000000000001</v>
      </c>
      <c r="O19" s="133">
        <f>SUM('instruction-districts'!C19:N19)+SUM('support-districts'!C19:N19)</f>
        <v>913.71100000000001</v>
      </c>
      <c r="P19" s="97"/>
    </row>
    <row r="20" spans="1:16">
      <c r="A20" s="130">
        <v>14</v>
      </c>
      <c r="B20" s="110" t="s">
        <v>33</v>
      </c>
      <c r="C20" s="131">
        <v>24.178000000000001</v>
      </c>
      <c r="D20" s="132">
        <f>'Classified FTEs'!H20+'Classified FTEs'!K20</f>
        <v>0</v>
      </c>
      <c r="E20" s="132">
        <f>'Classified FTEs'!I20+'Classified FTEs'!L20+'Classified FTEs'!M20+'Classified FTEs'!N20+'Classified FTEs'!O20</f>
        <v>44.36</v>
      </c>
      <c r="F20" s="132">
        <v>165.59</v>
      </c>
      <c r="G20" s="132">
        <f>'Classified FTEs'!E20+'Classified FTEs'!F20+'Classified FTEs'!J20</f>
        <v>385.31</v>
      </c>
      <c r="H20" s="132">
        <v>86.125</v>
      </c>
      <c r="I20" s="132">
        <v>63.17</v>
      </c>
      <c r="J20" s="132">
        <v>2</v>
      </c>
      <c r="K20" s="134">
        <v>6</v>
      </c>
      <c r="L20" s="132">
        <v>1</v>
      </c>
      <c r="M20" s="132">
        <v>1</v>
      </c>
      <c r="N20" s="133">
        <f>'Classified FTEs'!T20+'Classified FTEs'!U20+'Classified FTEs'!W20+'Classified FTEs'!X20+'Classified FTEs'!AB20+'Classified FTEs'!AD20+'Classified FTEs'!AE20</f>
        <v>1206.55</v>
      </c>
      <c r="O20" s="133">
        <f>SUM('instruction-districts'!C20:N20)+SUM('support-districts'!C20:N20)</f>
        <v>6507.3790000000008</v>
      </c>
      <c r="P20" s="97"/>
    </row>
    <row r="21" spans="1:16">
      <c r="A21" s="130">
        <v>15</v>
      </c>
      <c r="B21" s="110" t="s">
        <v>34</v>
      </c>
      <c r="C21" s="131">
        <v>1.17</v>
      </c>
      <c r="D21" s="132">
        <f>'Classified FTEs'!H21+'Classified FTEs'!K21</f>
        <v>1</v>
      </c>
      <c r="E21" s="132">
        <f>'Classified FTEs'!I21+'Classified FTEs'!L21+'Classified FTEs'!M21+'Classified FTEs'!N21+'Classified FTEs'!O21</f>
        <v>2.48</v>
      </c>
      <c r="F21" s="132">
        <v>6</v>
      </c>
      <c r="G21" s="132">
        <f>'Classified FTEs'!E21+'Classified FTEs'!F21+'Classified FTEs'!J21</f>
        <v>7</v>
      </c>
      <c r="H21" s="132">
        <v>0</v>
      </c>
      <c r="I21" s="132">
        <v>0</v>
      </c>
      <c r="J21" s="132">
        <v>0</v>
      </c>
      <c r="K21" s="134">
        <v>0</v>
      </c>
      <c r="L21" s="132">
        <v>5</v>
      </c>
      <c r="M21" s="132">
        <v>0.49</v>
      </c>
      <c r="N21" s="133">
        <f>'Classified FTEs'!T21+'Classified FTEs'!U21+'Classified FTEs'!W21+'Classified FTEs'!X21+'Classified FTEs'!AB21+'Classified FTEs'!AD21+'Classified FTEs'!AE21</f>
        <v>32.25</v>
      </c>
      <c r="O21" s="133">
        <f>SUM('instruction-districts'!C21:N21)+SUM('support-districts'!C21:N21)</f>
        <v>199.76100000000002</v>
      </c>
      <c r="P21" s="97"/>
    </row>
    <row r="22" spans="1:16">
      <c r="A22" s="130">
        <v>16</v>
      </c>
      <c r="B22" s="111" t="s">
        <v>35</v>
      </c>
      <c r="C22" s="136">
        <v>1</v>
      </c>
      <c r="D22" s="137">
        <f>'Classified FTEs'!H22+'Classified FTEs'!K22</f>
        <v>2</v>
      </c>
      <c r="E22" s="137">
        <f>'Classified FTEs'!I22+'Classified FTEs'!L22+'Classified FTEs'!M22+'Classified FTEs'!N22+'Classified FTEs'!O22</f>
        <v>2.5</v>
      </c>
      <c r="F22" s="137">
        <v>2.8</v>
      </c>
      <c r="G22" s="137">
        <f>'Classified FTEs'!E22+'Classified FTEs'!F22+'Classified FTEs'!J22</f>
        <v>9</v>
      </c>
      <c r="H22" s="137">
        <v>1</v>
      </c>
      <c r="I22" s="137">
        <v>0</v>
      </c>
      <c r="J22" s="137">
        <v>0</v>
      </c>
      <c r="K22" s="139">
        <v>0.5</v>
      </c>
      <c r="L22" s="137">
        <v>0.5</v>
      </c>
      <c r="M22" s="137">
        <v>0</v>
      </c>
      <c r="N22" s="138">
        <f>'Classified FTEs'!T22+'Classified FTEs'!U22+'Classified FTEs'!W22+'Classified FTEs'!X22+'Classified FTEs'!AB22+'Classified FTEs'!AD22+'Classified FTEs'!AE22</f>
        <v>32.82</v>
      </c>
      <c r="O22" s="138">
        <f>SUM('instruction-districts'!C22:N22)+SUM('support-districts'!C22:N22)</f>
        <v>160.245</v>
      </c>
      <c r="P22" s="97"/>
    </row>
    <row r="23" spans="1:16">
      <c r="A23" s="130">
        <v>17</v>
      </c>
      <c r="B23" s="110" t="s">
        <v>36</v>
      </c>
      <c r="C23" s="131">
        <v>2</v>
      </c>
      <c r="D23" s="132">
        <f>'Classified FTEs'!H24+'Classified FTEs'!K24</f>
        <v>1</v>
      </c>
      <c r="E23" s="132">
        <f>'Classified FTEs'!I24+'Classified FTEs'!L24+'Classified FTEs'!M24+'Classified FTEs'!N24+'Classified FTEs'!O24</f>
        <v>4</v>
      </c>
      <c r="F23" s="132">
        <v>8.74</v>
      </c>
      <c r="G23" s="132">
        <f>'Classified FTEs'!E24+'Classified FTEs'!F24+'Classified FTEs'!J24</f>
        <v>10</v>
      </c>
      <c r="H23" s="132">
        <v>2</v>
      </c>
      <c r="I23" s="132">
        <v>2</v>
      </c>
      <c r="J23" s="132">
        <v>0</v>
      </c>
      <c r="K23" s="134">
        <v>1</v>
      </c>
      <c r="L23" s="132">
        <v>1</v>
      </c>
      <c r="M23" s="132">
        <v>0</v>
      </c>
      <c r="N23" s="133">
        <f>'Classified FTEs'!T24+'Classified FTEs'!U24+'Classified FTEs'!W24+'Classified FTEs'!X24+'Classified FTEs'!AB24+'Classified FTEs'!AD24+'Classified FTEs'!AE24</f>
        <v>72.31</v>
      </c>
      <c r="O23" s="133">
        <f>SUM('instruction-districts'!C23:N23)+SUM('support-districts'!C23:N23)</f>
        <v>337.59899999999999</v>
      </c>
      <c r="P23" s="97"/>
    </row>
    <row r="24" spans="1:16">
      <c r="A24" s="130">
        <v>18</v>
      </c>
      <c r="B24" s="110" t="s">
        <v>37</v>
      </c>
      <c r="C24" s="131">
        <v>1</v>
      </c>
      <c r="D24" s="132">
        <f>'Classified FTEs'!H25+'Classified FTEs'!K25</f>
        <v>1</v>
      </c>
      <c r="E24" s="132">
        <f>'Classified FTEs'!I25+'Classified FTEs'!L25+'Classified FTEs'!M25+'Classified FTEs'!N25+'Classified FTEs'!O25</f>
        <v>2.7199999999999998</v>
      </c>
      <c r="F24" s="132">
        <v>4.46</v>
      </c>
      <c r="G24" s="132">
        <f>'Classified FTEs'!E25+'Classified FTEs'!F25+'Classified FTEs'!J25</f>
        <v>6</v>
      </c>
      <c r="H24" s="132">
        <v>0</v>
      </c>
      <c r="I24" s="132">
        <v>0</v>
      </c>
      <c r="J24" s="132">
        <v>0</v>
      </c>
      <c r="K24" s="134">
        <v>0.5</v>
      </c>
      <c r="L24" s="132">
        <v>1</v>
      </c>
      <c r="M24" s="132">
        <v>0</v>
      </c>
      <c r="N24" s="133">
        <f>'Classified FTEs'!T25+'Classified FTEs'!U25+'Classified FTEs'!W25+'Classified FTEs'!X25+'Classified FTEs'!AB25+'Classified FTEs'!AD25+'Classified FTEs'!AE25</f>
        <v>33.83</v>
      </c>
      <c r="O24" s="133">
        <f>SUM('instruction-districts'!C24:N24)+SUM('support-districts'!C24:N24)</f>
        <v>184.64899999999997</v>
      </c>
      <c r="P24" s="97"/>
    </row>
    <row r="25" spans="1:16">
      <c r="A25" s="130">
        <v>19</v>
      </c>
      <c r="B25" s="110" t="s">
        <v>38</v>
      </c>
      <c r="C25" s="131">
        <v>11</v>
      </c>
      <c r="D25" s="132">
        <f>'Classified FTEs'!H27+'Classified FTEs'!K27</f>
        <v>1</v>
      </c>
      <c r="E25" s="132">
        <f>'Classified FTEs'!I27+'Classified FTEs'!L27+'Classified FTEs'!M27+'Classified FTEs'!N27+'Classified FTEs'!O27</f>
        <v>27.58</v>
      </c>
      <c r="F25" s="132">
        <v>52.5</v>
      </c>
      <c r="G25" s="132">
        <f>'Classified FTEs'!E27+'Classified FTEs'!F27+'Classified FTEs'!J27</f>
        <v>97.210000000000008</v>
      </c>
      <c r="H25" s="132">
        <v>41.577999999999996</v>
      </c>
      <c r="I25" s="132">
        <v>12.6</v>
      </c>
      <c r="J25" s="132">
        <v>0</v>
      </c>
      <c r="K25" s="134">
        <v>2</v>
      </c>
      <c r="L25" s="132">
        <v>1.6</v>
      </c>
      <c r="M25" s="132">
        <v>0</v>
      </c>
      <c r="N25" s="133">
        <f>'Classified FTEs'!T27+'Classified FTEs'!U27+'Classified FTEs'!W27+'Classified FTEs'!X27+'Classified FTEs'!AB27+'Classified FTEs'!AD27+'Classified FTEs'!AE27</f>
        <v>457.64</v>
      </c>
      <c r="O25" s="133">
        <f>SUM('instruction-districts'!C25:N25)+SUM('support-districts'!C25:N25)</f>
        <v>2340.9369999999999</v>
      </c>
      <c r="P25" s="97"/>
    </row>
    <row r="26" spans="1:16">
      <c r="A26" s="130">
        <v>20</v>
      </c>
      <c r="B26" s="114" t="s">
        <v>39</v>
      </c>
      <c r="C26" s="141">
        <v>3</v>
      </c>
      <c r="D26" s="142">
        <f>'Classified FTEs'!H28+'Classified FTEs'!K28</f>
        <v>1</v>
      </c>
      <c r="E26" s="142">
        <f>'Classified FTEs'!I28+'Classified FTEs'!L28+'Classified FTEs'!M28+'Classified FTEs'!N28+'Classified FTEs'!O28</f>
        <v>3</v>
      </c>
      <c r="F26" s="142">
        <v>7</v>
      </c>
      <c r="G26" s="142">
        <f>'Classified FTEs'!E28+'Classified FTEs'!F28+'Classified FTEs'!J28</f>
        <v>7.71</v>
      </c>
      <c r="H26" s="142">
        <v>1</v>
      </c>
      <c r="I26" s="142">
        <v>0</v>
      </c>
      <c r="J26" s="142">
        <v>0</v>
      </c>
      <c r="K26" s="144">
        <v>0</v>
      </c>
      <c r="L26" s="142">
        <v>1</v>
      </c>
      <c r="M26" s="142">
        <v>0</v>
      </c>
      <c r="N26" s="143">
        <f>'Classified FTEs'!T28+'Classified FTEs'!U28+'Classified FTEs'!W28+'Classified FTEs'!X28+'Classified FTEs'!AB28+'Classified FTEs'!AD28+'Classified FTEs'!AE28</f>
        <v>45.99</v>
      </c>
      <c r="O26" s="143">
        <f>SUM('instruction-districts'!C26:N26)+SUM('support-districts'!C26:N26)</f>
        <v>270.18</v>
      </c>
      <c r="P26" s="97"/>
    </row>
    <row r="27" spans="1:16">
      <c r="A27" s="130">
        <v>21</v>
      </c>
      <c r="B27" s="113" t="s">
        <v>40</v>
      </c>
      <c r="C27" s="131">
        <v>1</v>
      </c>
      <c r="D27" s="132">
        <f>'Classified FTEs'!H29+'Classified FTEs'!K29</f>
        <v>1</v>
      </c>
      <c r="E27" s="132">
        <f>'Classified FTEs'!I29+'Classified FTEs'!L29+'Classified FTEs'!M29+'Classified FTEs'!N29+'Classified FTEs'!O29</f>
        <v>1</v>
      </c>
      <c r="F27" s="132">
        <v>3.5</v>
      </c>
      <c r="G27" s="132">
        <f>'Classified FTEs'!E29+'Classified FTEs'!F29+'Classified FTEs'!J29</f>
        <v>4.34</v>
      </c>
      <c r="H27" s="132">
        <v>0</v>
      </c>
      <c r="I27" s="132">
        <v>0</v>
      </c>
      <c r="J27" s="132">
        <v>0</v>
      </c>
      <c r="K27" s="153">
        <v>0.5</v>
      </c>
      <c r="L27" s="132">
        <v>0.5</v>
      </c>
      <c r="M27" s="132">
        <v>0.5</v>
      </c>
      <c r="N27" s="133">
        <f>'Classified FTEs'!T29+'Classified FTEs'!U29+'Classified FTEs'!W29+'Classified FTEs'!X29+'Classified FTEs'!AB29+'Classified FTEs'!AD29+'Classified FTEs'!AE29</f>
        <v>35.25</v>
      </c>
      <c r="O27" s="133">
        <f>SUM('instruction-districts'!C27:N27)+SUM('support-districts'!C27:N27)</f>
        <v>130.41</v>
      </c>
      <c r="P27" s="97"/>
    </row>
    <row r="28" spans="1:16">
      <c r="A28" s="130">
        <v>22</v>
      </c>
      <c r="B28" s="110" t="s">
        <v>41</v>
      </c>
      <c r="C28" s="131">
        <v>2</v>
      </c>
      <c r="D28" s="132">
        <f>'Classified FTEs'!H31+'Classified FTEs'!K31</f>
        <v>1.5</v>
      </c>
      <c r="E28" s="132">
        <f>'Classified FTEs'!I31+'Classified FTEs'!L31+'Classified FTEs'!M31+'Classified FTEs'!N31+'Classified FTEs'!O31</f>
        <v>10</v>
      </c>
      <c r="F28" s="132">
        <v>10.5</v>
      </c>
      <c r="G28" s="132">
        <f>'Classified FTEs'!E31+'Classified FTEs'!F31+'Classified FTEs'!J31</f>
        <v>17.96</v>
      </c>
      <c r="H28" s="132">
        <v>2.2999999999999998</v>
      </c>
      <c r="I28" s="132">
        <v>0</v>
      </c>
      <c r="J28" s="132">
        <v>2</v>
      </c>
      <c r="K28" s="134">
        <v>1</v>
      </c>
      <c r="L28" s="132">
        <v>1</v>
      </c>
      <c r="M28" s="132">
        <v>2.08</v>
      </c>
      <c r="N28" s="133">
        <f>'Classified FTEs'!T31+'Classified FTEs'!U31+'Classified FTEs'!W31+'Classified FTEs'!X31+'Classified FTEs'!AB31+'Classified FTEs'!AD31+'Classified FTEs'!AE31</f>
        <v>81.849999999999994</v>
      </c>
      <c r="O28" s="133">
        <f>SUM('instruction-districts'!C28:N28)+SUM('support-districts'!C28:N28)</f>
        <v>459.50799999999998</v>
      </c>
      <c r="P28" s="97"/>
    </row>
    <row r="29" spans="1:16">
      <c r="A29" s="130">
        <v>23</v>
      </c>
      <c r="B29" s="110" t="s">
        <v>42</v>
      </c>
      <c r="C29" s="131">
        <v>1</v>
      </c>
      <c r="D29" s="132">
        <f>'Classified FTEs'!H32+'Classified FTEs'!K32</f>
        <v>1</v>
      </c>
      <c r="E29" s="132">
        <f>'Classified FTEs'!I32+'Classified FTEs'!L32+'Classified FTEs'!M32+'Classified FTEs'!N32+'Classified FTEs'!O32</f>
        <v>1</v>
      </c>
      <c r="F29" s="132">
        <v>1.1200000000000001</v>
      </c>
      <c r="G29" s="132">
        <f>'Classified FTEs'!E32+'Classified FTEs'!F32+'Classified FTEs'!J32</f>
        <v>3.5</v>
      </c>
      <c r="H29" s="132">
        <v>0</v>
      </c>
      <c r="I29" s="132">
        <v>0</v>
      </c>
      <c r="J29" s="132">
        <v>0</v>
      </c>
      <c r="K29" s="134">
        <v>0</v>
      </c>
      <c r="L29" s="132">
        <v>1.1200000000000001</v>
      </c>
      <c r="M29" s="132">
        <v>0</v>
      </c>
      <c r="N29" s="133">
        <f>'Classified FTEs'!T32+'Classified FTEs'!U32+'Classified FTEs'!W32+'Classified FTEs'!X32+'Classified FTEs'!AB32+'Classified FTEs'!AD32+'Classified FTEs'!AE32</f>
        <v>11.08</v>
      </c>
      <c r="O29" s="133">
        <f>SUM('instruction-districts'!C29:N29)+SUM('support-districts'!C29:N29)</f>
        <v>58.000999999999998</v>
      </c>
      <c r="P29" s="97"/>
    </row>
    <row r="30" spans="1:16">
      <c r="A30" s="130">
        <v>24</v>
      </c>
      <c r="B30" s="110" t="s">
        <v>43</v>
      </c>
      <c r="C30" s="131">
        <v>0.8</v>
      </c>
      <c r="D30" s="132">
        <f>'Classified FTEs'!H34+'Classified FTEs'!K34</f>
        <v>1</v>
      </c>
      <c r="E30" s="132">
        <f>'Classified FTEs'!I34+'Classified FTEs'!L34+'Classified FTEs'!M34+'Classified FTEs'!N34+'Classified FTEs'!O34</f>
        <v>0.9</v>
      </c>
      <c r="F30" s="132">
        <v>1.97</v>
      </c>
      <c r="G30" s="132">
        <f>'Classified FTEs'!E34+'Classified FTEs'!F34+'Classified FTEs'!J34</f>
        <v>2</v>
      </c>
      <c r="H30" s="132">
        <v>0.68</v>
      </c>
      <c r="I30" s="132">
        <v>0</v>
      </c>
      <c r="J30" s="132">
        <v>0</v>
      </c>
      <c r="K30" s="134">
        <v>0.5</v>
      </c>
      <c r="L30" s="132">
        <v>0.5</v>
      </c>
      <c r="M30" s="132">
        <v>0</v>
      </c>
      <c r="N30" s="133">
        <f>'Classified FTEs'!T34+'Classified FTEs'!U34+'Classified FTEs'!W34+'Classified FTEs'!X34+'Classified FTEs'!AB34+'Classified FTEs'!AD34+'Classified FTEs'!AE34</f>
        <v>10.35</v>
      </c>
      <c r="O30" s="133">
        <f>SUM('instruction-districts'!C30:N30)+SUM('support-districts'!C30:N30)</f>
        <v>60.010000000000005</v>
      </c>
      <c r="P30" s="97"/>
    </row>
    <row r="31" spans="1:16">
      <c r="A31" s="130">
        <v>25</v>
      </c>
      <c r="B31" s="113" t="s">
        <v>44</v>
      </c>
      <c r="C31" s="131">
        <v>5</v>
      </c>
      <c r="D31" s="132">
        <f>'Classified FTEs'!H36+'Classified FTEs'!K36</f>
        <v>1</v>
      </c>
      <c r="E31" s="132">
        <f>'Classified FTEs'!I36+'Classified FTEs'!L36+'Classified FTEs'!M36+'Classified FTEs'!N36+'Classified FTEs'!O36</f>
        <v>7</v>
      </c>
      <c r="F31" s="132">
        <v>15.47</v>
      </c>
      <c r="G31" s="132">
        <f>'Classified FTEs'!E36+'Classified FTEs'!F36+'Classified FTEs'!J36</f>
        <v>19.72</v>
      </c>
      <c r="H31" s="132">
        <v>2</v>
      </c>
      <c r="I31" s="132">
        <v>3</v>
      </c>
      <c r="J31" s="132">
        <v>1</v>
      </c>
      <c r="K31" s="134">
        <v>1</v>
      </c>
      <c r="L31" s="132">
        <v>0</v>
      </c>
      <c r="M31" s="132">
        <v>2</v>
      </c>
      <c r="N31" s="133">
        <f>'Classified FTEs'!T36+'Classified FTEs'!U36+'Classified FTEs'!W36+'Classified FTEs'!X36+'Classified FTEs'!AB36+'Classified FTEs'!AD36+'Classified FTEs'!AE36</f>
        <v>97.970000000000013</v>
      </c>
      <c r="O31" s="133">
        <f>SUM('instruction-districts'!C31:N31)+SUM('support-districts'!C31:N31)</f>
        <v>429.06200000000001</v>
      </c>
      <c r="P31" s="97"/>
    </row>
    <row r="32" spans="1:16">
      <c r="A32" s="130">
        <v>26</v>
      </c>
      <c r="B32" s="115" t="s">
        <v>45</v>
      </c>
      <c r="C32" s="136">
        <v>2</v>
      </c>
      <c r="D32" s="137">
        <f>'Classified FTEs'!H37+'Classified FTEs'!K37</f>
        <v>0.1</v>
      </c>
      <c r="E32" s="137">
        <f>'Classified FTEs'!I37+'Classified FTEs'!L37+'Classified FTEs'!M37+'Classified FTEs'!N37+'Classified FTEs'!O37</f>
        <v>10.809999999999999</v>
      </c>
      <c r="F32" s="137">
        <v>12.647</v>
      </c>
      <c r="G32" s="137">
        <f>'Classified FTEs'!E37+'Classified FTEs'!F37+'Classified FTEs'!J37</f>
        <v>11.89</v>
      </c>
      <c r="H32" s="137">
        <v>2</v>
      </c>
      <c r="I32" s="137">
        <v>0</v>
      </c>
      <c r="J32" s="137">
        <v>0</v>
      </c>
      <c r="K32" s="139">
        <v>1</v>
      </c>
      <c r="L32" s="137">
        <v>1</v>
      </c>
      <c r="M32" s="137">
        <v>1</v>
      </c>
      <c r="N32" s="138">
        <f>'Classified FTEs'!T37+'Classified FTEs'!U37+'Classified FTEs'!W37+'Classified FTEs'!X37+'Classified FTEs'!AB37+'Classified FTEs'!AD37+'Classified FTEs'!AE37</f>
        <v>92.240000000000009</v>
      </c>
      <c r="O32" s="138">
        <f>SUM('instruction-districts'!C32:N32)+SUM('support-districts'!C32:N32)</f>
        <v>459.024</v>
      </c>
      <c r="P32" s="97"/>
    </row>
    <row r="33" spans="1:16">
      <c r="A33" s="130">
        <v>27</v>
      </c>
      <c r="B33" s="113" t="s">
        <v>46</v>
      </c>
      <c r="C33" s="131">
        <v>4</v>
      </c>
      <c r="D33" s="132">
        <f>'Classified FTEs'!H38+'Classified FTEs'!K38</f>
        <v>2</v>
      </c>
      <c r="E33" s="132">
        <f>'Classified FTEs'!I38+'Classified FTEs'!L38+'Classified FTEs'!M38+'Classified FTEs'!N38+'Classified FTEs'!O38</f>
        <v>2.25</v>
      </c>
      <c r="F33" s="132">
        <v>12.141999999999999</v>
      </c>
      <c r="G33" s="132">
        <f>'Classified FTEs'!E38+'Classified FTEs'!F38+'Classified FTEs'!J38</f>
        <v>24.25</v>
      </c>
      <c r="H33" s="132">
        <v>2.35</v>
      </c>
      <c r="I33" s="132">
        <v>0</v>
      </c>
      <c r="J33" s="132">
        <v>0</v>
      </c>
      <c r="K33" s="134">
        <v>0.5</v>
      </c>
      <c r="L33" s="132">
        <v>0.75</v>
      </c>
      <c r="M33" s="132">
        <v>1.1000000000000001</v>
      </c>
      <c r="N33" s="133">
        <f>'Classified FTEs'!T38+'Classified FTEs'!U38+'Classified FTEs'!W38+'Classified FTEs'!X38+'Classified FTEs'!AB38+'Classified FTEs'!AD38+'Classified FTEs'!AE38</f>
        <v>64.089999999999989</v>
      </c>
      <c r="O33" s="133">
        <f>SUM('instruction-districts'!C33:N33)+SUM('support-districts'!C33:N33)</f>
        <v>400.53599999999994</v>
      </c>
      <c r="P33" s="97"/>
    </row>
    <row r="34" spans="1:16">
      <c r="A34" s="130">
        <v>28</v>
      </c>
      <c r="B34" s="113" t="s">
        <v>47</v>
      </c>
      <c r="C34" s="131">
        <v>1</v>
      </c>
      <c r="D34" s="132">
        <f>'Classified FTEs'!H39+'Classified FTEs'!K39</f>
        <v>1</v>
      </c>
      <c r="E34" s="132">
        <f>'Classified FTEs'!I39+'Classified FTEs'!L39+'Classified FTEs'!M39+'Classified FTEs'!N39+'Classified FTEs'!O39</f>
        <v>2</v>
      </c>
      <c r="F34" s="132">
        <v>4</v>
      </c>
      <c r="G34" s="132">
        <f>'Classified FTEs'!E39+'Classified FTEs'!F39+'Classified FTEs'!J39</f>
        <v>6</v>
      </c>
      <c r="H34" s="132">
        <v>1.6</v>
      </c>
      <c r="I34" s="132">
        <v>0</v>
      </c>
      <c r="J34" s="132">
        <v>0</v>
      </c>
      <c r="K34" s="134">
        <v>0</v>
      </c>
      <c r="L34" s="132">
        <v>1</v>
      </c>
      <c r="M34" s="132">
        <v>1.5</v>
      </c>
      <c r="N34" s="133">
        <f>'Classified FTEs'!T39+'Classified FTEs'!U39+'Classified FTEs'!W39+'Classified FTEs'!X39+'Classified FTEs'!AB39+'Classified FTEs'!AD39+'Classified FTEs'!AE39</f>
        <v>32.79</v>
      </c>
      <c r="O34" s="133">
        <f>SUM('instruction-districts'!C34:N34)+SUM('support-districts'!C34:N34)</f>
        <v>155.72999999999999</v>
      </c>
      <c r="P34" s="97"/>
    </row>
    <row r="35" spans="1:16">
      <c r="A35" s="130">
        <v>29</v>
      </c>
      <c r="B35" s="110" t="s">
        <v>48</v>
      </c>
      <c r="C35" s="131">
        <v>1</v>
      </c>
      <c r="D35" s="132">
        <f>'Classified FTEs'!H40+'Classified FTEs'!K40</f>
        <v>0.88</v>
      </c>
      <c r="E35" s="132">
        <f>'Classified FTEs'!I40+'Classified FTEs'!L40+'Classified FTEs'!M40+'Classified FTEs'!N40+'Classified FTEs'!O40</f>
        <v>0.88</v>
      </c>
      <c r="F35" s="132">
        <v>1.2</v>
      </c>
      <c r="G35" s="132">
        <f>'Classified FTEs'!E40+'Classified FTEs'!F40+'Classified FTEs'!J40</f>
        <v>2.1100000000000003</v>
      </c>
      <c r="H35" s="132">
        <v>0</v>
      </c>
      <c r="I35" s="132">
        <v>0</v>
      </c>
      <c r="J35" s="132">
        <v>0</v>
      </c>
      <c r="K35" s="134">
        <v>0.12</v>
      </c>
      <c r="L35" s="132">
        <v>0.94</v>
      </c>
      <c r="M35" s="132">
        <v>0</v>
      </c>
      <c r="N35" s="133">
        <f>'Classified FTEs'!T40+'Classified FTEs'!U40+'Classified FTEs'!W40+'Classified FTEs'!X40+'Classified FTEs'!AB40+'Classified FTEs'!AD40+'Classified FTEs'!AE40</f>
        <v>5.57</v>
      </c>
      <c r="O35" s="133">
        <f>SUM('instruction-districts'!C35:N35)+SUM('support-districts'!C35:N35)</f>
        <v>42.391999999999996</v>
      </c>
      <c r="P35" s="97"/>
    </row>
    <row r="36" spans="1:16">
      <c r="A36" s="130">
        <v>30</v>
      </c>
      <c r="B36" s="112" t="s">
        <v>49</v>
      </c>
      <c r="C36" s="141">
        <v>4.8</v>
      </c>
      <c r="D36" s="142">
        <f>'Classified FTEs'!H41+'Classified FTEs'!K41</f>
        <v>1</v>
      </c>
      <c r="E36" s="142">
        <f>'Classified FTEs'!I41+'Classified FTEs'!L41+'Classified FTEs'!M41+'Classified FTEs'!N41+'Classified FTEs'!O41</f>
        <v>9</v>
      </c>
      <c r="F36" s="142">
        <v>24.864000000000001</v>
      </c>
      <c r="G36" s="142">
        <f>'Classified FTEs'!E41+'Classified FTEs'!F41+'Classified FTEs'!J41</f>
        <v>47.489999999999995</v>
      </c>
      <c r="H36" s="142">
        <v>10.016</v>
      </c>
      <c r="I36" s="142">
        <v>2</v>
      </c>
      <c r="J36" s="142">
        <v>2</v>
      </c>
      <c r="K36" s="144">
        <v>1</v>
      </c>
      <c r="L36" s="142">
        <v>1</v>
      </c>
      <c r="M36" s="142">
        <v>5</v>
      </c>
      <c r="N36" s="143">
        <f>'Classified FTEs'!T41+'Classified FTEs'!U41+'Classified FTEs'!W41+'Classified FTEs'!X41+'Classified FTEs'!AB41+'Classified FTEs'!AD41+'Classified FTEs'!AE41</f>
        <v>218.04000000000002</v>
      </c>
      <c r="O36" s="143">
        <f>SUM('instruction-districts'!C36:N36)+SUM('support-districts'!C36:N36)</f>
        <v>1166.902</v>
      </c>
      <c r="P36" s="97"/>
    </row>
    <row r="37" spans="1:16">
      <c r="A37" s="130">
        <v>31</v>
      </c>
      <c r="B37" s="111" t="s">
        <v>50</v>
      </c>
      <c r="C37" s="136">
        <v>3</v>
      </c>
      <c r="D37" s="137">
        <f>'Classified FTEs'!H42+'Classified FTEs'!K42</f>
        <v>1</v>
      </c>
      <c r="E37" s="137">
        <f>'Classified FTEs'!I42+'Classified FTEs'!L42+'Classified FTEs'!M42+'Classified FTEs'!N42+'Classified FTEs'!O42</f>
        <v>8.2899999999999991</v>
      </c>
      <c r="F37" s="137">
        <v>14.5</v>
      </c>
      <c r="G37" s="137">
        <f>'Classified FTEs'!E42+'Classified FTEs'!F42+'Classified FTEs'!J42</f>
        <v>23.68</v>
      </c>
      <c r="H37" s="137">
        <v>0.81</v>
      </c>
      <c r="I37" s="137">
        <v>1</v>
      </c>
      <c r="J37" s="137">
        <v>0</v>
      </c>
      <c r="K37" s="139">
        <v>1</v>
      </c>
      <c r="L37" s="137">
        <v>1</v>
      </c>
      <c r="M37" s="137">
        <v>3.75</v>
      </c>
      <c r="N37" s="138">
        <f>'Classified FTEs'!T42+'Classified FTEs'!U42+'Classified FTEs'!W42+'Classified FTEs'!X42+'Classified FTEs'!AB42+'Classified FTEs'!AD42+'Classified FTEs'!AE42</f>
        <v>144.74</v>
      </c>
      <c r="O37" s="138">
        <f>SUM('instruction-districts'!C37:N37)+SUM('support-districts'!C37:N37)</f>
        <v>592.70699999999999</v>
      </c>
      <c r="P37" s="97"/>
    </row>
    <row r="38" spans="1:16">
      <c r="A38" s="130">
        <v>32</v>
      </c>
      <c r="B38" s="110" t="s">
        <v>51</v>
      </c>
      <c r="C38" s="131">
        <v>2</v>
      </c>
      <c r="D38" s="132">
        <f>'Classified FTEs'!H43+'Classified FTEs'!K43</f>
        <v>4</v>
      </c>
      <c r="E38" s="132">
        <f>'Classified FTEs'!I43+'Classified FTEs'!L43+'Classified FTEs'!M43+'Classified FTEs'!N43+'Classified FTEs'!O43</f>
        <v>11</v>
      </c>
      <c r="F38" s="132">
        <v>11</v>
      </c>
      <c r="G38" s="132">
        <f>'Classified FTEs'!E43+'Classified FTEs'!F43+'Classified FTEs'!J43</f>
        <v>19.75</v>
      </c>
      <c r="H38" s="132">
        <v>5.85</v>
      </c>
      <c r="I38" s="132">
        <v>0</v>
      </c>
      <c r="J38" s="132">
        <v>1</v>
      </c>
      <c r="K38" s="134">
        <v>1</v>
      </c>
      <c r="L38" s="132">
        <v>1</v>
      </c>
      <c r="M38" s="132">
        <v>0.75</v>
      </c>
      <c r="N38" s="133">
        <f>'Classified FTEs'!T43+'Classified FTEs'!U43+'Classified FTEs'!W43+'Classified FTEs'!X43+'Classified FTEs'!AB43+'Classified FTEs'!AD43+'Classified FTEs'!AE43</f>
        <v>81.7</v>
      </c>
      <c r="O38" s="133">
        <f>SUM('instruction-districts'!C38:N38)+SUM('support-districts'!C38:N38)</f>
        <v>475.52100000000002</v>
      </c>
      <c r="P38" s="97"/>
    </row>
    <row r="39" spans="1:16">
      <c r="A39" s="130">
        <v>33</v>
      </c>
      <c r="B39" s="113" t="s">
        <v>52</v>
      </c>
      <c r="C39" s="131">
        <v>11</v>
      </c>
      <c r="D39" s="132">
        <f>'Classified FTEs'!H44+'Classified FTEs'!K44</f>
        <v>7</v>
      </c>
      <c r="E39" s="132">
        <f>'Classified FTEs'!I44+'Classified FTEs'!L44+'Classified FTEs'!M44+'Classified FTEs'!N44+'Classified FTEs'!O44</f>
        <v>16.490000000000002</v>
      </c>
      <c r="F39" s="132">
        <v>57.072000000000003</v>
      </c>
      <c r="G39" s="132">
        <f>'Classified FTEs'!E44+'Classified FTEs'!F44+'Classified FTEs'!J44</f>
        <v>110.26</v>
      </c>
      <c r="H39" s="132">
        <v>12.6</v>
      </c>
      <c r="I39" s="132">
        <v>6</v>
      </c>
      <c r="J39" s="132">
        <v>0</v>
      </c>
      <c r="K39" s="134">
        <v>2</v>
      </c>
      <c r="L39" s="132">
        <v>1</v>
      </c>
      <c r="M39" s="132">
        <v>11</v>
      </c>
      <c r="N39" s="133">
        <f>'Classified FTEs'!T44+'Classified FTEs'!U44+'Classified FTEs'!W44+'Classified FTEs'!X44+'Classified FTEs'!AB44+'Classified FTEs'!AD44+'Classified FTEs'!AE44</f>
        <v>307.73</v>
      </c>
      <c r="O39" s="133">
        <f>SUM('instruction-districts'!C39:N39)+SUM('support-districts'!C39:N39)</f>
        <v>2086.8509999999997</v>
      </c>
      <c r="P39" s="97"/>
    </row>
    <row r="40" spans="1:16">
      <c r="A40" s="130">
        <v>34</v>
      </c>
      <c r="B40" s="113" t="s">
        <v>53</v>
      </c>
      <c r="C40" s="131">
        <v>0.75</v>
      </c>
      <c r="D40" s="132">
        <f>'Classified FTEs'!H45+'Classified FTEs'!K45</f>
        <v>1</v>
      </c>
      <c r="E40" s="132">
        <f>'Classified FTEs'!I45+'Classified FTEs'!L45+'Classified FTEs'!M45+'Classified FTEs'!N45+'Classified FTEs'!O45</f>
        <v>1.33</v>
      </c>
      <c r="F40" s="132">
        <v>2.19</v>
      </c>
      <c r="G40" s="132">
        <f>'Classified FTEs'!E45+'Classified FTEs'!F45+'Classified FTEs'!J45</f>
        <v>3.5</v>
      </c>
      <c r="H40" s="132">
        <v>0</v>
      </c>
      <c r="I40" s="132">
        <v>0</v>
      </c>
      <c r="J40" s="132">
        <v>0</v>
      </c>
      <c r="K40" s="134">
        <v>0.34</v>
      </c>
      <c r="L40" s="132">
        <v>0.33</v>
      </c>
      <c r="M40" s="132">
        <v>0</v>
      </c>
      <c r="N40" s="133">
        <f>'Classified FTEs'!T45+'Classified FTEs'!U45+'Classified FTEs'!W45+'Classified FTEs'!X45+'Classified FTEs'!AB45+'Classified FTEs'!AD45+'Classified FTEs'!AE45</f>
        <v>14.599999999999998</v>
      </c>
      <c r="O40" s="133">
        <f>SUM('instruction-districts'!C40:N40)+SUM('support-districts'!C40:N40)</f>
        <v>74.562999999999988</v>
      </c>
      <c r="P40" s="97"/>
    </row>
    <row r="41" spans="1:16">
      <c r="A41" s="130">
        <v>35</v>
      </c>
      <c r="B41" s="112" t="s">
        <v>54</v>
      </c>
      <c r="C41" s="141">
        <v>17</v>
      </c>
      <c r="D41" s="142">
        <f>'Classified FTEs'!H46+'Classified FTEs'!K46</f>
        <v>0</v>
      </c>
      <c r="E41" s="142">
        <f>'Classified FTEs'!I46+'Classified FTEs'!L46+'Classified FTEs'!M46+'Classified FTEs'!N46+'Classified FTEs'!O46</f>
        <v>19.760000000000002</v>
      </c>
      <c r="F41" s="142">
        <v>58.67</v>
      </c>
      <c r="G41" s="142">
        <f>'Classified FTEs'!E46+'Classified FTEs'!F46+'Classified FTEs'!J46</f>
        <v>92.92</v>
      </c>
      <c r="H41" s="142">
        <v>33.31</v>
      </c>
      <c r="I41" s="142">
        <v>2.75</v>
      </c>
      <c r="J41" s="142">
        <v>6.55</v>
      </c>
      <c r="K41" s="144">
        <v>2</v>
      </c>
      <c r="L41" s="142">
        <v>3</v>
      </c>
      <c r="M41" s="142">
        <v>14</v>
      </c>
      <c r="N41" s="143">
        <f>'Classified FTEs'!T46+'Classified FTEs'!U46+'Classified FTEs'!W46+'Classified FTEs'!X46+'Classified FTEs'!AB46+'Classified FTEs'!AD46+'Classified FTEs'!AE46</f>
        <v>432.83</v>
      </c>
      <c r="O41" s="143">
        <f>SUM('instruction-districts'!C41:N41)+SUM('support-districts'!C41:N41)</f>
        <v>2493.3459999999995</v>
      </c>
      <c r="P41" s="97"/>
    </row>
    <row r="42" spans="1:16">
      <c r="A42" s="130">
        <v>36</v>
      </c>
      <c r="B42" s="110" t="s">
        <v>55</v>
      </c>
      <c r="C42" s="131">
        <v>18</v>
      </c>
      <c r="D42" s="132">
        <f>'Classified FTEs'!H35+'Classified FTEs'!K35</f>
        <v>3</v>
      </c>
      <c r="E42" s="132">
        <f>'Classified FTEs'!I35+'Classified FTEs'!L35+'Classified FTEs'!M35+'Classified FTEs'!N35+'Classified FTEs'!O35</f>
        <v>74.099999999999994</v>
      </c>
      <c r="F42" s="132">
        <v>53</v>
      </c>
      <c r="G42" s="132">
        <f>'Classified FTEs'!E35+'Classified FTEs'!F35+'Classified FTEs'!J35</f>
        <v>128.21</v>
      </c>
      <c r="H42" s="132">
        <v>22</v>
      </c>
      <c r="I42" s="132">
        <v>8</v>
      </c>
      <c r="J42" s="132">
        <v>12</v>
      </c>
      <c r="K42" s="134">
        <v>1</v>
      </c>
      <c r="L42" s="132">
        <v>4</v>
      </c>
      <c r="M42" s="132">
        <v>5.6</v>
      </c>
      <c r="N42" s="133">
        <f>'Classified FTEs'!T35+'Classified FTEs'!U35+'Classified FTEs'!W35+'Classified FTEs'!X35+'Classified FTEs'!AB35+'Classified FTEs'!AD35+'Classified FTEs'!AE35</f>
        <v>391.30999999999995</v>
      </c>
      <c r="O42" s="133">
        <f>SUM('instruction-districts'!C42:N42)+SUM('support-districts'!C42:N42)</f>
        <v>2515.2569999999996</v>
      </c>
      <c r="P42" s="97"/>
    </row>
    <row r="43" spans="1:16">
      <c r="A43" s="130">
        <v>37</v>
      </c>
      <c r="B43" s="110" t="s">
        <v>56</v>
      </c>
      <c r="C43" s="131">
        <v>10</v>
      </c>
      <c r="D43" s="132">
        <f>'Classified FTEs'!H30+'Classified FTEs'!K30</f>
        <v>2</v>
      </c>
      <c r="E43" s="132">
        <f>'Classified FTEs'!I30+'Classified FTEs'!L30+'Classified FTEs'!M30+'Classified FTEs'!N30+'Classified FTEs'!O30</f>
        <v>33.489999999999995</v>
      </c>
      <c r="F43" s="132">
        <v>27</v>
      </c>
      <c r="G43" s="132">
        <f>'Classified FTEs'!E30+'Classified FTEs'!F30+'Classified FTEs'!J30</f>
        <v>53.230000000000004</v>
      </c>
      <c r="H43" s="132">
        <v>10</v>
      </c>
      <c r="I43" s="132">
        <v>2.95</v>
      </c>
      <c r="J43" s="132">
        <v>1</v>
      </c>
      <c r="K43" s="134">
        <v>0</v>
      </c>
      <c r="L43" s="132">
        <v>0</v>
      </c>
      <c r="M43" s="132">
        <v>0</v>
      </c>
      <c r="N43" s="133">
        <f>'Classified FTEs'!T30+'Classified FTEs'!U30+'Classified FTEs'!W30+'Classified FTEs'!X30+'Classified FTEs'!AB30+'Classified FTEs'!AD30+'Classified FTEs'!AE30</f>
        <v>150.41000000000003</v>
      </c>
      <c r="O43" s="133">
        <f>SUM('instruction-districts'!C43:N43)+SUM('support-districts'!C43:N43)</f>
        <v>1050.8670000000002</v>
      </c>
      <c r="P43" s="97"/>
    </row>
    <row r="44" spans="1:16">
      <c r="A44" s="130">
        <v>38</v>
      </c>
      <c r="B44" s="110" t="s">
        <v>57</v>
      </c>
      <c r="C44" s="131">
        <v>6</v>
      </c>
      <c r="D44" s="132">
        <f>'Classified FTEs'!H33+'Classified FTEs'!K33</f>
        <v>4</v>
      </c>
      <c r="E44" s="132">
        <f>'Classified FTEs'!I33+'Classified FTEs'!L33+'Classified FTEs'!M33+'Classified FTEs'!N33+'Classified FTEs'!O33</f>
        <v>17.77</v>
      </c>
      <c r="F44" s="132">
        <v>28.16</v>
      </c>
      <c r="G44" s="132">
        <f>'Classified FTEs'!E33+'Classified FTEs'!F33+'Classified FTEs'!J33</f>
        <v>56.65</v>
      </c>
      <c r="H44" s="132">
        <v>13.5</v>
      </c>
      <c r="I44" s="132">
        <v>6.2</v>
      </c>
      <c r="J44" s="132">
        <v>3</v>
      </c>
      <c r="K44" s="134">
        <v>0.94</v>
      </c>
      <c r="L44" s="132">
        <v>1</v>
      </c>
      <c r="M44" s="132">
        <v>0.33</v>
      </c>
      <c r="N44" s="133">
        <f>'Classified FTEs'!T33+'Classified FTEs'!U33+'Classified FTEs'!W33+'Classified FTEs'!X33+'Classified FTEs'!AB33+'Classified FTEs'!AD33+'Classified FTEs'!AE33</f>
        <v>163.17999999999998</v>
      </c>
      <c r="O44" s="133">
        <f>SUM('instruction-districts'!C44:N44)+SUM('support-districts'!C44:N44)</f>
        <v>1227.3359999999998</v>
      </c>
      <c r="P44" s="97"/>
    </row>
    <row r="45" spans="1:16">
      <c r="A45" s="130">
        <v>39</v>
      </c>
      <c r="B45" s="110" t="s">
        <v>58</v>
      </c>
      <c r="C45" s="131">
        <v>6</v>
      </c>
      <c r="D45" s="132">
        <f>'Classified FTEs'!H23+'Classified FTEs'!K23</f>
        <v>1</v>
      </c>
      <c r="E45" s="132">
        <f>'Classified FTEs'!I23+'Classified FTEs'!L23+'Classified FTEs'!M23+'Classified FTEs'!N23+'Classified FTEs'!O23</f>
        <v>11</v>
      </c>
      <c r="F45" s="132">
        <v>11.85</v>
      </c>
      <c r="G45" s="132">
        <f>'Classified FTEs'!E23+'Classified FTEs'!F23+'Classified FTEs'!J23</f>
        <v>21.5</v>
      </c>
      <c r="H45" s="132">
        <v>8.6</v>
      </c>
      <c r="I45" s="132">
        <v>2</v>
      </c>
      <c r="J45" s="132">
        <v>0</v>
      </c>
      <c r="K45" s="134">
        <v>0</v>
      </c>
      <c r="L45" s="132">
        <v>1</v>
      </c>
      <c r="M45" s="132">
        <v>1</v>
      </c>
      <c r="N45" s="133">
        <f>'Classified FTEs'!T23+'Classified FTEs'!U23+'Classified FTEs'!W23+'Classified FTEs'!X23+'Classified FTEs'!AB23+'Classified FTEs'!AD23+'Classified FTEs'!AE23</f>
        <v>86</v>
      </c>
      <c r="O45" s="133">
        <f>SUM('instruction-districts'!C45:N45)+SUM('support-districts'!C45:N45)</f>
        <v>626.98900000000003</v>
      </c>
      <c r="P45" s="97"/>
    </row>
    <row r="46" spans="1:16" ht="13.5" thickBot="1">
      <c r="A46" s="130">
        <v>40</v>
      </c>
      <c r="B46" s="110" t="s">
        <v>59</v>
      </c>
      <c r="C46" s="131">
        <v>3.5</v>
      </c>
      <c r="D46" s="132">
        <f>'Classified FTEs'!H26+'Classified FTEs'!K26</f>
        <v>1.2</v>
      </c>
      <c r="E46" s="132">
        <f>'Classified FTEs'!I26+'Classified FTEs'!L26+'Classified FTEs'!M26+'Classified FTEs'!N26+'Classified FTEs'!O26</f>
        <v>12.75</v>
      </c>
      <c r="F46" s="132">
        <v>14</v>
      </c>
      <c r="G46" s="132">
        <f>'Classified FTEs'!E26+'Classified FTEs'!F26+'Classified FTEs'!J26</f>
        <v>21.75</v>
      </c>
      <c r="H46" s="132">
        <v>5.7</v>
      </c>
      <c r="I46" s="132">
        <v>1</v>
      </c>
      <c r="J46" s="132">
        <v>5.6</v>
      </c>
      <c r="K46" s="134">
        <v>0.4</v>
      </c>
      <c r="L46" s="132">
        <v>1</v>
      </c>
      <c r="M46" s="132">
        <v>2.25</v>
      </c>
      <c r="N46" s="133">
        <f>'Classified FTEs'!T26+'Classified FTEs'!U26+'Classified FTEs'!W26+'Classified FTEs'!X26+'Classified FTEs'!AB26+'Classified FTEs'!AD26+'Classified FTEs'!AE26</f>
        <v>91.87</v>
      </c>
      <c r="O46" s="133">
        <f>SUM('instruction-districts'!C46:N46)+SUM('support-districts'!C46:N46)</f>
        <v>586.86599999999999</v>
      </c>
      <c r="P46" s="97"/>
    </row>
    <row r="47" spans="1:16" ht="13.5" thickBot="1">
      <c r="B47" s="116" t="s">
        <v>60</v>
      </c>
      <c r="C47" s="147">
        <f t="shared" ref="C47:O47" si="0">SUM(C7:C46)</f>
        <v>260.995</v>
      </c>
      <c r="D47" s="148">
        <f t="shared" si="0"/>
        <v>66.030000000000015</v>
      </c>
      <c r="E47" s="148">
        <f t="shared" si="0"/>
        <v>728.84</v>
      </c>
      <c r="F47" s="148">
        <f t="shared" si="0"/>
        <v>1102.921</v>
      </c>
      <c r="G47" s="148">
        <f t="shared" si="0"/>
        <v>2139.0600000000004</v>
      </c>
      <c r="H47" s="148">
        <f t="shared" si="0"/>
        <v>492.1330000000001</v>
      </c>
      <c r="I47" s="148">
        <f t="shared" si="0"/>
        <v>206.43299999999996</v>
      </c>
      <c r="J47" s="148">
        <f t="shared" si="0"/>
        <v>88.713999999999999</v>
      </c>
      <c r="K47" s="148">
        <f t="shared" si="0"/>
        <v>43.36</v>
      </c>
      <c r="L47" s="148">
        <f t="shared" si="0"/>
        <v>114.36999999999999</v>
      </c>
      <c r="M47" s="148">
        <f t="shared" si="0"/>
        <v>80.429999999999993</v>
      </c>
      <c r="N47" s="149">
        <f t="shared" si="0"/>
        <v>8281.4100000000017</v>
      </c>
      <c r="O47" s="149">
        <f t="shared" si="0"/>
        <v>46549.847000000009</v>
      </c>
      <c r="P47" s="97"/>
    </row>
    <row r="48" spans="1:16" ht="13.5" thickBot="1">
      <c r="B48" s="116" t="s">
        <v>61</v>
      </c>
      <c r="C48" s="147">
        <v>10</v>
      </c>
      <c r="D48" s="148">
        <v>45.79</v>
      </c>
      <c r="E48" s="148">
        <v>39.159999999999997</v>
      </c>
      <c r="F48" s="148">
        <v>60.135000000000005</v>
      </c>
      <c r="G48" s="148">
        <v>108.76</v>
      </c>
      <c r="H48" s="148">
        <v>4.5359999999999996</v>
      </c>
      <c r="I48" s="148">
        <v>0</v>
      </c>
      <c r="J48" s="148">
        <v>1.04</v>
      </c>
      <c r="K48" s="148">
        <v>0</v>
      </c>
      <c r="L48" s="148">
        <v>14.68</v>
      </c>
      <c r="M48" s="148">
        <v>5.53</v>
      </c>
      <c r="N48" s="149">
        <v>101.89999999999998</v>
      </c>
      <c r="O48" s="149">
        <v>1955.9250000000002</v>
      </c>
    </row>
    <row r="49" spans="2:15" ht="13.5" thickBot="1">
      <c r="B49" s="116" t="s">
        <v>62</v>
      </c>
      <c r="C49" s="154">
        <f>C47+C48</f>
        <v>270.995</v>
      </c>
      <c r="D49" s="155">
        <f t="shared" ref="D49:O49" si="1">D47+D48</f>
        <v>111.82000000000002</v>
      </c>
      <c r="E49" s="155">
        <f t="shared" si="1"/>
        <v>768</v>
      </c>
      <c r="F49" s="155">
        <f t="shared" si="1"/>
        <v>1163.056</v>
      </c>
      <c r="G49" s="155">
        <f t="shared" si="1"/>
        <v>2247.8200000000006</v>
      </c>
      <c r="H49" s="155">
        <f t="shared" si="1"/>
        <v>496.6690000000001</v>
      </c>
      <c r="I49" s="155">
        <f t="shared" si="1"/>
        <v>206.43299999999996</v>
      </c>
      <c r="J49" s="155">
        <f t="shared" si="1"/>
        <v>89.754000000000005</v>
      </c>
      <c r="K49" s="155">
        <f t="shared" si="1"/>
        <v>43.36</v>
      </c>
      <c r="L49" s="155">
        <f t="shared" si="1"/>
        <v>129.04999999999998</v>
      </c>
      <c r="M49" s="155">
        <f t="shared" si="1"/>
        <v>85.96</v>
      </c>
      <c r="N49" s="156">
        <f t="shared" si="1"/>
        <v>8383.3100000000013</v>
      </c>
      <c r="O49" s="156">
        <f t="shared" si="1"/>
        <v>48505.772000000012</v>
      </c>
    </row>
    <row r="50" spans="2:15"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</row>
    <row r="51" spans="2:15"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</row>
    <row r="52" spans="2:15"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</row>
    <row r="53" spans="2:15"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</row>
    <row r="54" spans="2:15"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</row>
    <row r="55" spans="2:15"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</row>
    <row r="56" spans="2:15"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</row>
    <row r="57" spans="2:15"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</row>
    <row r="58" spans="2:15"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</row>
    <row r="59" spans="2:15"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</row>
    <row r="60" spans="2:15"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</row>
    <row r="61" spans="2:15"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</row>
    <row r="62" spans="2:15"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</row>
    <row r="63" spans="2:15"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</row>
    <row r="64" spans="2:15"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</row>
    <row r="65" spans="3:15"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</row>
  </sheetData>
  <sortState ref="A7:P46">
    <sortCondition ref="A7:A46"/>
  </sortState>
  <mergeCells count="9">
    <mergeCell ref="B1:B5"/>
    <mergeCell ref="C1:N1"/>
    <mergeCell ref="O1:O5"/>
    <mergeCell ref="C2:D4"/>
    <mergeCell ref="E2:E4"/>
    <mergeCell ref="F2:F4"/>
    <mergeCell ref="G2:G4"/>
    <mergeCell ref="H2:M3"/>
    <mergeCell ref="N2:N4"/>
  </mergeCells>
  <printOptions horizontalCentered="1"/>
  <pageMargins left="0.7" right="0.7" top="1.5" bottom="1" header="0.8" footer="0.55000000000000004"/>
  <pageSetup scale="58" orientation="landscape" r:id="rId1"/>
  <headerFooter>
    <oddHeader>&amp;L&amp;8STATUS:  Final&amp;C&amp;"-,Bold"&amp;12FULL TIME EQUIVALENTS (FTEs) BY POSITION&amp;"-,Regular"&amp;11
&amp;"-,Bold"Licensed and Classified Personnel
FY 2008&amp;R&amp;8CURRENT AS OF:  October, 2008</oddHeader>
    <oddFooter>&amp;L&amp;8COMPILED BY:  USOE/Finance and Statistics/Emily Eyre
DATA SOURCE:  CACTUS Database June 30, 2008
Year-End Web Survey FY 2008&amp;R&amp;8LOCATION:  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75"/>
  <sheetViews>
    <sheetView workbookViewId="0">
      <selection activeCell="B1" sqref="B1:B5"/>
    </sheetView>
  </sheetViews>
  <sheetFormatPr defaultRowHeight="12.75"/>
  <cols>
    <col min="1" max="1" width="4.140625" style="96" customWidth="1"/>
    <col min="2" max="2" width="31.28515625" style="96" customWidth="1"/>
    <col min="3" max="4" width="12.28515625" style="96" customWidth="1"/>
    <col min="5" max="5" width="14.140625" style="96" customWidth="1"/>
    <col min="6" max="6" width="14.28515625" style="96" customWidth="1"/>
    <col min="7" max="7" width="15.7109375" style="96" customWidth="1"/>
    <col min="8" max="8" width="13" style="96" customWidth="1"/>
    <col min="9" max="10" width="13.28515625" style="96" customWidth="1"/>
    <col min="11" max="11" width="14.42578125" style="96" customWidth="1"/>
    <col min="12" max="12" width="15" style="96" customWidth="1"/>
    <col min="13" max="13" width="13.28515625" style="96" customWidth="1"/>
    <col min="14" max="14" width="13.7109375" style="96" customWidth="1"/>
    <col min="15" max="15" width="18.140625" style="96" customWidth="1"/>
    <col min="16" max="16" width="9.7109375" style="96" bestFit="1" customWidth="1"/>
    <col min="17" max="16384" width="9.140625" style="96"/>
  </cols>
  <sheetData>
    <row r="1" spans="1:17" ht="18" customHeight="1" thickBot="1">
      <c r="B1" s="200" t="s">
        <v>0</v>
      </c>
      <c r="C1" s="169" t="s">
        <v>2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70"/>
      <c r="O1" s="186" t="s">
        <v>66</v>
      </c>
      <c r="P1" s="95"/>
    </row>
    <row r="2" spans="1:17">
      <c r="B2" s="201"/>
      <c r="C2" s="202" t="s">
        <v>73</v>
      </c>
      <c r="D2" s="189"/>
      <c r="E2" s="175" t="s">
        <v>220</v>
      </c>
      <c r="F2" s="175" t="s">
        <v>74</v>
      </c>
      <c r="G2" s="175" t="s">
        <v>221</v>
      </c>
      <c r="H2" s="194" t="s">
        <v>222</v>
      </c>
      <c r="I2" s="195"/>
      <c r="J2" s="195"/>
      <c r="K2" s="195"/>
      <c r="L2" s="195"/>
      <c r="M2" s="196"/>
      <c r="N2" s="175" t="s">
        <v>223</v>
      </c>
      <c r="O2" s="187"/>
      <c r="P2" s="95"/>
    </row>
    <row r="3" spans="1:17" ht="13.5" customHeight="1" thickBot="1">
      <c r="B3" s="201"/>
      <c r="C3" s="203"/>
      <c r="D3" s="191"/>
      <c r="E3" s="181"/>
      <c r="F3" s="179"/>
      <c r="G3" s="179"/>
      <c r="H3" s="197"/>
      <c r="I3" s="198"/>
      <c r="J3" s="198"/>
      <c r="K3" s="198"/>
      <c r="L3" s="198"/>
      <c r="M3" s="199"/>
      <c r="N3" s="181"/>
      <c r="O3" s="187"/>
      <c r="P3" s="95"/>
    </row>
    <row r="4" spans="1:17" ht="54" customHeight="1" thickBot="1">
      <c r="B4" s="201"/>
      <c r="C4" s="204"/>
      <c r="D4" s="193"/>
      <c r="E4" s="182"/>
      <c r="F4" s="180"/>
      <c r="G4" s="180"/>
      <c r="H4" s="104" t="s">
        <v>225</v>
      </c>
      <c r="I4" s="104" t="s">
        <v>76</v>
      </c>
      <c r="J4" s="104" t="s">
        <v>77</v>
      </c>
      <c r="K4" s="104" t="s">
        <v>226</v>
      </c>
      <c r="L4" s="125" t="s">
        <v>227</v>
      </c>
      <c r="M4" s="126" t="s">
        <v>224</v>
      </c>
      <c r="N4" s="182"/>
      <c r="O4" s="187"/>
      <c r="P4" s="95"/>
    </row>
    <row r="5" spans="1:17" ht="44.25" customHeight="1" thickBot="1">
      <c r="B5" s="201"/>
      <c r="C5" s="105" t="s">
        <v>17</v>
      </c>
      <c r="D5" s="127" t="s">
        <v>18</v>
      </c>
      <c r="E5" s="127" t="s">
        <v>18</v>
      </c>
      <c r="F5" s="104" t="s">
        <v>17</v>
      </c>
      <c r="G5" s="127" t="s">
        <v>18</v>
      </c>
      <c r="H5" s="104" t="s">
        <v>17</v>
      </c>
      <c r="I5" s="104" t="s">
        <v>17</v>
      </c>
      <c r="J5" s="104" t="s">
        <v>17</v>
      </c>
      <c r="K5" s="104" t="s">
        <v>18</v>
      </c>
      <c r="L5" s="104" t="s">
        <v>18</v>
      </c>
      <c r="M5" s="104" t="s">
        <v>18</v>
      </c>
      <c r="N5" s="127" t="s">
        <v>18</v>
      </c>
      <c r="O5" s="188"/>
      <c r="P5" s="95"/>
    </row>
    <row r="6" spans="1:17" ht="17.25" customHeight="1">
      <c r="A6" s="159"/>
      <c r="B6" s="163" t="s">
        <v>228</v>
      </c>
      <c r="C6" s="118"/>
      <c r="D6" s="128"/>
      <c r="E6" s="128"/>
      <c r="F6" s="118"/>
      <c r="G6" s="128"/>
      <c r="H6" s="118"/>
      <c r="I6" s="118"/>
      <c r="J6" s="118"/>
      <c r="K6" s="118"/>
      <c r="L6" s="118"/>
      <c r="M6" s="118"/>
      <c r="N6" s="129"/>
      <c r="O6" s="109"/>
      <c r="P6" s="95"/>
    </row>
    <row r="7" spans="1:17">
      <c r="A7" s="160" t="s">
        <v>83</v>
      </c>
      <c r="B7" s="98" t="s">
        <v>229</v>
      </c>
      <c r="C7" s="132">
        <v>0</v>
      </c>
      <c r="D7" s="132">
        <f>'Classified FTEs'!H49+'Classified FTEs'!K49</f>
        <v>5</v>
      </c>
      <c r="E7" s="132">
        <f>'Classified FTEs'!I49+'Classified FTEs'!L49+'Classified FTEs'!M49+'Classified FTEs'!N49+'Classified FTEs'!O49</f>
        <v>2</v>
      </c>
      <c r="F7" s="132">
        <v>2.25</v>
      </c>
      <c r="G7" s="132">
        <f>'Classified FTEs'!E49+'Classified FTEs'!F49+'Classified FTEs'!J49</f>
        <v>10</v>
      </c>
      <c r="H7" s="132">
        <v>0</v>
      </c>
      <c r="I7" s="132">
        <v>0</v>
      </c>
      <c r="J7" s="132">
        <v>0</v>
      </c>
      <c r="K7" s="132">
        <v>0</v>
      </c>
      <c r="L7" s="132">
        <v>1</v>
      </c>
      <c r="M7" s="132">
        <v>0.1</v>
      </c>
      <c r="N7" s="133">
        <f>'Classified FTEs'!T49+'Classified FTEs'!U49+'Classified FTEs'!W49+'Classified FTEs'!X49+'Classified FTEs'!AB49+'Classified FTEs'!AD49+'Classified FTEs'!AE49</f>
        <v>4</v>
      </c>
      <c r="O7" s="133">
        <f>SUM('instruction-charters'!C7:N7)+SUM('support-charters'!C7:N7)</f>
        <v>116.43600000000001</v>
      </c>
      <c r="P7" s="97"/>
      <c r="Q7" s="97"/>
    </row>
    <row r="8" spans="1:17">
      <c r="A8" s="160">
        <v>74</v>
      </c>
      <c r="B8" s="99" t="s">
        <v>230</v>
      </c>
      <c r="C8" s="132">
        <v>0.3</v>
      </c>
      <c r="D8" s="132">
        <f>'Classified FTEs'!H50+'Classified FTEs'!K50</f>
        <v>1</v>
      </c>
      <c r="E8" s="132">
        <f>'Classified FTEs'!I50+'Classified FTEs'!L50+'Classified FTEs'!M50+'Classified FTEs'!N50+'Classified FTEs'!O50</f>
        <v>1.75</v>
      </c>
      <c r="F8" s="132">
        <v>1.3</v>
      </c>
      <c r="G8" s="132">
        <f>'Classified FTEs'!E50+'Classified FTEs'!F50+'Classified FTEs'!J50</f>
        <v>8.25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0.25</v>
      </c>
      <c r="N8" s="133">
        <f>'Classified FTEs'!T50+'Classified FTEs'!U50+'Classified FTEs'!W50+'Classified FTEs'!X50+'Classified FTEs'!AB50+'Classified FTEs'!AD50+'Classified FTEs'!AE50</f>
        <v>1.75</v>
      </c>
      <c r="O8" s="133">
        <f>SUM('instruction-charters'!C8:N8)+SUM('support-charters'!C8:N8)</f>
        <v>54.368000000000002</v>
      </c>
      <c r="P8" s="97"/>
      <c r="Q8" s="97"/>
    </row>
    <row r="9" spans="1:17">
      <c r="A9" s="160">
        <v>83</v>
      </c>
      <c r="B9" s="99" t="s">
        <v>86</v>
      </c>
      <c r="C9" s="132">
        <v>0</v>
      </c>
      <c r="D9" s="132">
        <f>'Classified FTEs'!H51+'Classified FTEs'!K51</f>
        <v>1</v>
      </c>
      <c r="E9" s="132">
        <f>'Classified FTEs'!I51+'Classified FTEs'!L51+'Classified FTEs'!M51+'Classified FTEs'!N51+'Classified FTEs'!O51</f>
        <v>0.26</v>
      </c>
      <c r="F9" s="132">
        <v>2</v>
      </c>
      <c r="G9" s="132">
        <f>'Classified FTEs'!E51+'Classified FTEs'!F51+'Classified FTEs'!J51</f>
        <v>2.23</v>
      </c>
      <c r="H9" s="132">
        <v>0</v>
      </c>
      <c r="I9" s="132">
        <v>0</v>
      </c>
      <c r="J9" s="132">
        <v>0</v>
      </c>
      <c r="K9" s="132">
        <v>0</v>
      </c>
      <c r="L9" s="132">
        <v>0</v>
      </c>
      <c r="M9" s="132">
        <v>0</v>
      </c>
      <c r="N9" s="133">
        <f>'Classified FTEs'!T51+'Classified FTEs'!U51+'Classified FTEs'!W51+'Classified FTEs'!X51+'Classified FTEs'!AB51+'Classified FTEs'!AD51+'Classified FTEs'!AE51</f>
        <v>0</v>
      </c>
      <c r="O9" s="133">
        <f>SUM('instruction-charters'!C9:N9)+SUM('support-charters'!C9:N9)</f>
        <v>28.477999999999994</v>
      </c>
      <c r="P9" s="97"/>
      <c r="Q9" s="97"/>
    </row>
    <row r="10" spans="1:17">
      <c r="A10" s="160" t="s">
        <v>87</v>
      </c>
      <c r="B10" s="99" t="s">
        <v>88</v>
      </c>
      <c r="C10" s="132">
        <v>1</v>
      </c>
      <c r="D10" s="132">
        <f>'Classified FTEs'!H52+'Classified FTEs'!K52</f>
        <v>2</v>
      </c>
      <c r="E10" s="132">
        <f>'Classified FTEs'!I52+'Classified FTEs'!L52+'Classified FTEs'!M52+'Classified FTEs'!N52+'Classified FTEs'!O52</f>
        <v>0.6</v>
      </c>
      <c r="F10" s="132">
        <v>0</v>
      </c>
      <c r="G10" s="132">
        <f>'Classified FTEs'!E52+'Classified FTEs'!F52+'Classified FTEs'!J52</f>
        <v>1.4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3">
        <f>'Classified FTEs'!T52+'Classified FTEs'!U52+'Classified FTEs'!W52+'Classified FTEs'!X52+'Classified FTEs'!AB52+'Classified FTEs'!AD52+'Classified FTEs'!AE52</f>
        <v>1</v>
      </c>
      <c r="O10" s="133">
        <f>SUM('instruction-charters'!C10:N10)+SUM('support-charters'!C10:N10)</f>
        <v>17.466999999999999</v>
      </c>
      <c r="P10" s="97"/>
      <c r="Q10" s="97"/>
    </row>
    <row r="11" spans="1:17">
      <c r="A11" s="160" t="s">
        <v>89</v>
      </c>
      <c r="B11" s="99" t="s">
        <v>90</v>
      </c>
      <c r="C11" s="132">
        <v>0</v>
      </c>
      <c r="D11" s="132">
        <f>'Classified FTEs'!H53+'Classified FTEs'!K53</f>
        <v>0</v>
      </c>
      <c r="E11" s="132">
        <f>'Classified FTEs'!I53+'Classified FTEs'!L53+'Classified FTEs'!M53+'Classified FTEs'!N53+'Classified FTEs'!O53</f>
        <v>0</v>
      </c>
      <c r="F11" s="132">
        <v>1</v>
      </c>
      <c r="G11" s="132">
        <f>'Classified FTEs'!E53+'Classified FTEs'!F53+'Classified FTEs'!J53</f>
        <v>2.2400000000000002</v>
      </c>
      <c r="H11" s="132">
        <v>0</v>
      </c>
      <c r="I11" s="132">
        <v>0</v>
      </c>
      <c r="J11" s="132">
        <v>0</v>
      </c>
      <c r="K11" s="132">
        <v>0</v>
      </c>
      <c r="L11" s="132">
        <v>0.72</v>
      </c>
      <c r="M11" s="132">
        <v>0</v>
      </c>
      <c r="N11" s="133">
        <f>'Classified FTEs'!T53+'Classified FTEs'!U53+'Classified FTEs'!W53+'Classified FTEs'!X53+'Classified FTEs'!AB53+'Classified FTEs'!AD53+'Classified FTEs'!AE53</f>
        <v>2.6999999999999997</v>
      </c>
      <c r="O11" s="133">
        <f>SUM('instruction-charters'!C11:N11)+SUM('support-charters'!C11:N11)</f>
        <v>35.11</v>
      </c>
      <c r="P11" s="97"/>
      <c r="Q11" s="97"/>
    </row>
    <row r="12" spans="1:17">
      <c r="A12" s="160">
        <v>84</v>
      </c>
      <c r="B12" s="99" t="s">
        <v>91</v>
      </c>
      <c r="C12" s="137">
        <v>0</v>
      </c>
      <c r="D12" s="137">
        <f>'Classified FTEs'!H54+'Classified FTEs'!K54</f>
        <v>0</v>
      </c>
      <c r="E12" s="137">
        <f>'Classified FTEs'!I54+'Classified FTEs'!L54+'Classified FTEs'!M54+'Classified FTEs'!N54+'Classified FTEs'!O54</f>
        <v>0</v>
      </c>
      <c r="F12" s="137">
        <v>0.5</v>
      </c>
      <c r="G12" s="137">
        <f>'Classified FTEs'!E54+'Classified FTEs'!F54+'Classified FTEs'!J54</f>
        <v>0</v>
      </c>
      <c r="H12" s="137">
        <v>0</v>
      </c>
      <c r="I12" s="137">
        <v>0</v>
      </c>
      <c r="J12" s="137">
        <v>0</v>
      </c>
      <c r="K12" s="137">
        <v>0</v>
      </c>
      <c r="L12" s="137">
        <v>0</v>
      </c>
      <c r="M12" s="137">
        <v>0</v>
      </c>
      <c r="N12" s="138">
        <f>'Classified FTEs'!T54+'Classified FTEs'!U54+'Classified FTEs'!W54+'Classified FTEs'!X54+'Classified FTEs'!AB54+'Classified FTEs'!AD54+'Classified FTEs'!AE54</f>
        <v>0.78</v>
      </c>
      <c r="O12" s="138">
        <f>SUM('instruction-charters'!C12:N12)+SUM('support-charters'!C12:N12)</f>
        <v>6.0000000000000009</v>
      </c>
      <c r="P12" s="97"/>
      <c r="Q12" s="97"/>
    </row>
    <row r="13" spans="1:17">
      <c r="A13" s="160" t="s">
        <v>92</v>
      </c>
      <c r="B13" s="99" t="s">
        <v>93</v>
      </c>
      <c r="C13" s="132">
        <v>0</v>
      </c>
      <c r="D13" s="132">
        <f>'Classified FTEs'!H55+'Classified FTEs'!K55</f>
        <v>1</v>
      </c>
      <c r="E13" s="132">
        <f>'Classified FTEs'!I55+'Classified FTEs'!L55+'Classified FTEs'!M55+'Classified FTEs'!N55+'Classified FTEs'!O55</f>
        <v>0.45</v>
      </c>
      <c r="F13" s="132">
        <v>1.111</v>
      </c>
      <c r="G13" s="132">
        <f>'Classified FTEs'!E55+'Classified FTEs'!F55+'Classified FTEs'!J55</f>
        <v>1</v>
      </c>
      <c r="H13" s="132">
        <v>0</v>
      </c>
      <c r="I13" s="132">
        <v>0</v>
      </c>
      <c r="J13" s="132">
        <v>0</v>
      </c>
      <c r="K13" s="132">
        <v>0</v>
      </c>
      <c r="L13" s="132">
        <v>1</v>
      </c>
      <c r="M13" s="132">
        <v>0</v>
      </c>
      <c r="N13" s="133">
        <f>'Classified FTEs'!T55+'Classified FTEs'!U55+'Classified FTEs'!W55+'Classified FTEs'!X55+'Classified FTEs'!AB55+'Classified FTEs'!AD55+'Classified FTEs'!AE55</f>
        <v>3.8900000000000006</v>
      </c>
      <c r="O13" s="133">
        <f>SUM('instruction-charters'!C13:N13)+SUM('support-charters'!C13:N13)</f>
        <v>54.073000000000008</v>
      </c>
      <c r="P13" s="97"/>
      <c r="Q13" s="97"/>
    </row>
    <row r="14" spans="1:17">
      <c r="A14" s="160">
        <v>87</v>
      </c>
      <c r="B14" s="99" t="s">
        <v>94</v>
      </c>
      <c r="C14" s="132">
        <v>0</v>
      </c>
      <c r="D14" s="132">
        <f>'Classified FTEs'!H56+'Classified FTEs'!K56</f>
        <v>0.25</v>
      </c>
      <c r="E14" s="132">
        <f>'Classified FTEs'!I56+'Classified FTEs'!L56+'Classified FTEs'!M56+'Classified FTEs'!N56+'Classified FTEs'!O56</f>
        <v>2.2800000000000002</v>
      </c>
      <c r="F14" s="132">
        <v>0.81</v>
      </c>
      <c r="G14" s="132">
        <f>'Classified FTEs'!E56+'Classified FTEs'!F56+'Classified FTEs'!J56</f>
        <v>1.1599999999999999</v>
      </c>
      <c r="H14" s="132">
        <v>0</v>
      </c>
      <c r="I14" s="132">
        <v>0</v>
      </c>
      <c r="J14" s="132">
        <v>0</v>
      </c>
      <c r="K14" s="132">
        <v>0</v>
      </c>
      <c r="L14" s="132">
        <v>0</v>
      </c>
      <c r="M14" s="132">
        <v>0</v>
      </c>
      <c r="N14" s="133">
        <f>'Classified FTEs'!T56+'Classified FTEs'!U56+'Classified FTEs'!W56+'Classified FTEs'!X56+'Classified FTEs'!AB56+'Classified FTEs'!AD56+'Classified FTEs'!AE56</f>
        <v>1.55</v>
      </c>
      <c r="O14" s="133">
        <f>SUM('instruction-charters'!C14:N14)+SUM('support-charters'!C14:N14)</f>
        <v>24.518999999999998</v>
      </c>
      <c r="P14" s="97"/>
      <c r="Q14" s="97"/>
    </row>
    <row r="15" spans="1:17">
      <c r="A15" s="160" t="s">
        <v>95</v>
      </c>
      <c r="B15" s="99" t="s">
        <v>96</v>
      </c>
      <c r="C15" s="132">
        <v>0</v>
      </c>
      <c r="D15" s="132">
        <f>'Classified FTEs'!H57+'Classified FTEs'!K57</f>
        <v>1</v>
      </c>
      <c r="E15" s="132">
        <f>'Classified FTEs'!I57+'Classified FTEs'!L57+'Classified FTEs'!M57+'Classified FTEs'!N57+'Classified FTEs'!O57</f>
        <v>0</v>
      </c>
      <c r="F15" s="132">
        <v>1</v>
      </c>
      <c r="G15" s="132">
        <f>'Classified FTEs'!E57+'Classified FTEs'!F57+'Classified FTEs'!J57</f>
        <v>3</v>
      </c>
      <c r="H15" s="132">
        <v>0</v>
      </c>
      <c r="I15" s="132">
        <v>0</v>
      </c>
      <c r="J15" s="132">
        <v>0</v>
      </c>
      <c r="K15" s="132">
        <v>0</v>
      </c>
      <c r="L15" s="132">
        <v>0</v>
      </c>
      <c r="M15" s="132">
        <v>0</v>
      </c>
      <c r="N15" s="133">
        <f>'Classified FTEs'!T57+'Classified FTEs'!U57+'Classified FTEs'!W57+'Classified FTEs'!X57+'Classified FTEs'!AB57+'Classified FTEs'!AD57+'Classified FTEs'!AE57</f>
        <v>1</v>
      </c>
      <c r="O15" s="133">
        <f>SUM('instruction-charters'!C15:N15)+SUM('support-charters'!C15:N15)</f>
        <v>21</v>
      </c>
      <c r="P15" s="97"/>
      <c r="Q15" s="97"/>
    </row>
    <row r="16" spans="1:17">
      <c r="A16" s="160" t="s">
        <v>97</v>
      </c>
      <c r="B16" s="99" t="s">
        <v>231</v>
      </c>
      <c r="C16" s="142">
        <v>0</v>
      </c>
      <c r="D16" s="142">
        <f>'Classified FTEs'!H58+'Classified FTEs'!K58</f>
        <v>1.5</v>
      </c>
      <c r="E16" s="142">
        <f>'Classified FTEs'!I58+'Classified FTEs'!L58+'Classified FTEs'!M58+'Classified FTEs'!N58+'Classified FTEs'!O58</f>
        <v>0</v>
      </c>
      <c r="F16" s="142">
        <v>0.83</v>
      </c>
      <c r="G16" s="142">
        <f>'Classified FTEs'!E58+'Classified FTEs'!F58+'Classified FTEs'!J58</f>
        <v>2.5</v>
      </c>
      <c r="H16" s="142">
        <v>0</v>
      </c>
      <c r="I16" s="142">
        <v>0</v>
      </c>
      <c r="J16" s="142">
        <v>0</v>
      </c>
      <c r="K16" s="142">
        <v>0</v>
      </c>
      <c r="L16" s="142">
        <v>0</v>
      </c>
      <c r="M16" s="142">
        <v>0</v>
      </c>
      <c r="N16" s="143">
        <f>'Classified FTEs'!T58+'Classified FTEs'!U58+'Classified FTEs'!W58+'Classified FTEs'!X58+'Classified FTEs'!AB58+'Classified FTEs'!AD58+'Classified FTEs'!AE58</f>
        <v>2</v>
      </c>
      <c r="O16" s="143">
        <f>SUM('instruction-charters'!C16:N16)+SUM('support-charters'!C16:N16)</f>
        <v>23.659999999999997</v>
      </c>
      <c r="P16" s="97"/>
      <c r="Q16" s="97"/>
    </row>
    <row r="17" spans="1:17">
      <c r="A17" s="160" t="s">
        <v>99</v>
      </c>
      <c r="B17" s="99" t="s">
        <v>100</v>
      </c>
      <c r="C17" s="132">
        <v>0</v>
      </c>
      <c r="D17" s="132">
        <f>'Classified FTEs'!H59+'Classified FTEs'!K59</f>
        <v>3</v>
      </c>
      <c r="E17" s="132">
        <f>'Classified FTEs'!I59+'Classified FTEs'!L59+'Classified FTEs'!M59+'Classified FTEs'!N59+'Classified FTEs'!O59</f>
        <v>0</v>
      </c>
      <c r="F17" s="132">
        <v>0</v>
      </c>
      <c r="G17" s="132">
        <f>'Classified FTEs'!E59+'Classified FTEs'!F59+'Classified FTEs'!J59</f>
        <v>2.5</v>
      </c>
      <c r="H17" s="132">
        <v>0</v>
      </c>
      <c r="I17" s="132">
        <v>0</v>
      </c>
      <c r="J17" s="132">
        <v>0</v>
      </c>
      <c r="K17" s="132">
        <v>0</v>
      </c>
      <c r="L17" s="132">
        <v>1</v>
      </c>
      <c r="M17" s="132">
        <v>0</v>
      </c>
      <c r="N17" s="133">
        <f>'Classified FTEs'!T59+'Classified FTEs'!U59+'Classified FTEs'!W59+'Classified FTEs'!X59+'Classified FTEs'!AB59+'Classified FTEs'!AD59+'Classified FTEs'!AE59</f>
        <v>2.75</v>
      </c>
      <c r="O17" s="133">
        <f>SUM('instruction-charters'!C17:N17)+SUM('support-charters'!C17:N17)</f>
        <v>28</v>
      </c>
      <c r="P17" s="97"/>
      <c r="Q17" s="97"/>
    </row>
    <row r="18" spans="1:17">
      <c r="A18" s="160" t="s">
        <v>101</v>
      </c>
      <c r="B18" s="99" t="s">
        <v>232</v>
      </c>
      <c r="C18" s="132">
        <v>0</v>
      </c>
      <c r="D18" s="132">
        <f>'Classified FTEs'!H60+'Classified FTEs'!K60</f>
        <v>0.6</v>
      </c>
      <c r="E18" s="132">
        <f>'Classified FTEs'!I60+'Classified FTEs'!L60+'Classified FTEs'!M60+'Classified FTEs'!N60+'Classified FTEs'!O60</f>
        <v>0.6</v>
      </c>
      <c r="F18" s="132">
        <v>1.1359999999999999</v>
      </c>
      <c r="G18" s="132">
        <f>'Classified FTEs'!E60+'Classified FTEs'!F60+'Classified FTEs'!J60</f>
        <v>1.75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3">
        <f>'Classified FTEs'!T60+'Classified FTEs'!U60+'Classified FTEs'!W60+'Classified FTEs'!X60+'Classified FTEs'!AB60+'Classified FTEs'!AD60+'Classified FTEs'!AE60</f>
        <v>2</v>
      </c>
      <c r="O18" s="133">
        <f>SUM('instruction-charters'!C18:N18)+SUM('support-charters'!C18:N18)</f>
        <v>26.922000000000004</v>
      </c>
      <c r="P18" s="97"/>
      <c r="Q18" s="97"/>
    </row>
    <row r="19" spans="1:17">
      <c r="A19" s="160" t="s">
        <v>103</v>
      </c>
      <c r="B19" s="99" t="s">
        <v>104</v>
      </c>
      <c r="C19" s="132">
        <v>0</v>
      </c>
      <c r="D19" s="132">
        <f>'Classified FTEs'!H61+'Classified FTEs'!K61</f>
        <v>1</v>
      </c>
      <c r="E19" s="132">
        <f>'Classified FTEs'!I61+'Classified FTEs'!L61+'Classified FTEs'!M61+'Classified FTEs'!N61+'Classified FTEs'!O61</f>
        <v>1</v>
      </c>
      <c r="F19" s="132">
        <v>1</v>
      </c>
      <c r="G19" s="132">
        <f>'Classified FTEs'!E61+'Classified FTEs'!F61+'Classified FTEs'!J61</f>
        <v>1.75</v>
      </c>
      <c r="H19" s="132">
        <v>0.53600000000000003</v>
      </c>
      <c r="I19" s="132">
        <v>0</v>
      </c>
      <c r="J19" s="132">
        <v>0</v>
      </c>
      <c r="K19" s="132">
        <v>0</v>
      </c>
      <c r="L19" s="132">
        <v>1</v>
      </c>
      <c r="M19" s="132">
        <v>0</v>
      </c>
      <c r="N19" s="133">
        <f>'Classified FTEs'!T61+'Classified FTEs'!U61+'Classified FTEs'!W61+'Classified FTEs'!X61+'Classified FTEs'!AB61+'Classified FTEs'!AD61+'Classified FTEs'!AE61</f>
        <v>0.64</v>
      </c>
      <c r="O19" s="133">
        <f>SUM('instruction-charters'!C19:N19)+SUM('support-charters'!C19:N19)</f>
        <v>32.975000000000001</v>
      </c>
      <c r="P19" s="97"/>
      <c r="Q19" s="97"/>
    </row>
    <row r="20" spans="1:17">
      <c r="A20" s="160" t="s">
        <v>105</v>
      </c>
      <c r="B20" s="99" t="s">
        <v>233</v>
      </c>
      <c r="C20" s="132">
        <v>0</v>
      </c>
      <c r="D20" s="132">
        <f>'Classified FTEs'!H62+'Classified FTEs'!K62</f>
        <v>0</v>
      </c>
      <c r="E20" s="132">
        <f>'Classified FTEs'!I62+'Classified FTEs'!L62+'Classified FTEs'!M62+'Classified FTEs'!N62+'Classified FTEs'!O62</f>
        <v>0.2</v>
      </c>
      <c r="F20" s="132">
        <v>1</v>
      </c>
      <c r="G20" s="132">
        <f>'Classified FTEs'!E62+'Classified FTEs'!F62+'Classified FTEs'!J62</f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3">
        <f>'Classified FTEs'!T62+'Classified FTEs'!U62+'Classified FTEs'!W62+'Classified FTEs'!X62+'Classified FTEs'!AB62+'Classified FTEs'!AD62+'Classified FTEs'!AE62</f>
        <v>2.8</v>
      </c>
      <c r="O20" s="133">
        <f>SUM('instruction-charters'!C20:N20)+SUM('support-charters'!C20:N20)</f>
        <v>36.677999999999997</v>
      </c>
      <c r="P20" s="97"/>
      <c r="Q20" s="97"/>
    </row>
    <row r="21" spans="1:17">
      <c r="A21" s="160">
        <v>98</v>
      </c>
      <c r="B21" s="99" t="s">
        <v>234</v>
      </c>
      <c r="C21" s="132">
        <v>0</v>
      </c>
      <c r="D21" s="132">
        <f>'Classified FTEs'!H63+'Classified FTEs'!K63</f>
        <v>0.4</v>
      </c>
      <c r="E21" s="132">
        <f>'Classified FTEs'!I63+'Classified FTEs'!L63+'Classified FTEs'!M63+'Classified FTEs'!N63+'Classified FTEs'!O63</f>
        <v>1.1499999999999999</v>
      </c>
      <c r="F21" s="132">
        <v>0.84</v>
      </c>
      <c r="G21" s="132">
        <f>'Classified FTEs'!E63+'Classified FTEs'!F63+'Classified FTEs'!J63</f>
        <v>1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3">
        <f>'Classified FTEs'!T63+'Classified FTEs'!U63+'Classified FTEs'!W63+'Classified FTEs'!X63+'Classified FTEs'!AB63+'Classified FTEs'!AD63+'Classified FTEs'!AE63</f>
        <v>1</v>
      </c>
      <c r="O21" s="133">
        <f>SUM('instruction-charters'!C21:N21)+SUM('support-charters'!C21:N21)</f>
        <v>20.552</v>
      </c>
      <c r="P21" s="97"/>
      <c r="Q21" s="97"/>
    </row>
    <row r="22" spans="1:17">
      <c r="A22" s="160">
        <v>82</v>
      </c>
      <c r="B22" s="99" t="s">
        <v>235</v>
      </c>
      <c r="C22" s="137">
        <v>1</v>
      </c>
      <c r="D22" s="137">
        <f>'Classified FTEs'!H64+'Classified FTEs'!K64</f>
        <v>1</v>
      </c>
      <c r="E22" s="137">
        <f>'Classified FTEs'!I64+'Classified FTEs'!L64+'Classified FTEs'!M64+'Classified FTEs'!N64+'Classified FTEs'!O64</f>
        <v>0</v>
      </c>
      <c r="F22" s="137">
        <v>1.5</v>
      </c>
      <c r="G22" s="137">
        <f>'Classified FTEs'!E64+'Classified FTEs'!F64+'Classified FTEs'!J64</f>
        <v>1</v>
      </c>
      <c r="H22" s="137">
        <v>0</v>
      </c>
      <c r="I22" s="137">
        <v>0</v>
      </c>
      <c r="J22" s="137">
        <v>0</v>
      </c>
      <c r="K22" s="137">
        <v>0</v>
      </c>
      <c r="L22" s="137">
        <v>0.8</v>
      </c>
      <c r="M22" s="137">
        <v>0.8</v>
      </c>
      <c r="N22" s="138">
        <f>'Classified FTEs'!T64+'Classified FTEs'!U64+'Classified FTEs'!W64+'Classified FTEs'!X64+'Classified FTEs'!AB64+'Classified FTEs'!AD64+'Classified FTEs'!AE64</f>
        <v>3.1999999999999997</v>
      </c>
      <c r="O22" s="138">
        <f>SUM('instruction-charters'!C22:N22)+SUM('support-charters'!C22:N22)</f>
        <v>45.249999999999993</v>
      </c>
      <c r="P22" s="97"/>
      <c r="Q22" s="97"/>
    </row>
    <row r="23" spans="1:17">
      <c r="A23" s="160" t="s">
        <v>109</v>
      </c>
      <c r="B23" s="99" t="s">
        <v>236</v>
      </c>
      <c r="C23" s="132">
        <v>0</v>
      </c>
      <c r="D23" s="132">
        <f>'Classified FTEs'!H65+'Classified FTEs'!K65</f>
        <v>0</v>
      </c>
      <c r="E23" s="132">
        <f>'Classified FTEs'!I65+'Classified FTEs'!L65+'Classified FTEs'!M65+'Classified FTEs'!N65+'Classified FTEs'!O65</f>
        <v>0</v>
      </c>
      <c r="F23" s="132">
        <v>1.3</v>
      </c>
      <c r="G23" s="132">
        <f>'Classified FTEs'!E65+'Classified FTEs'!F65+'Classified FTEs'!J65</f>
        <v>1.7</v>
      </c>
      <c r="H23" s="132">
        <v>0</v>
      </c>
      <c r="I23" s="132">
        <v>0</v>
      </c>
      <c r="J23" s="132">
        <v>0</v>
      </c>
      <c r="K23" s="132">
        <v>0</v>
      </c>
      <c r="L23" s="132">
        <v>0</v>
      </c>
      <c r="M23" s="132">
        <v>0</v>
      </c>
      <c r="N23" s="133">
        <f>'Classified FTEs'!T65+'Classified FTEs'!U65+'Classified FTEs'!W65+'Classified FTEs'!X65+'Classified FTEs'!AB65+'Classified FTEs'!AD65+'Classified FTEs'!AE65</f>
        <v>1</v>
      </c>
      <c r="O23" s="133">
        <f>SUM('instruction-charters'!C23:N23)+SUM('support-charters'!C23:N23)</f>
        <v>28.71</v>
      </c>
      <c r="P23" s="97"/>
      <c r="Q23" s="97"/>
    </row>
    <row r="24" spans="1:17">
      <c r="A24" s="160" t="s">
        <v>111</v>
      </c>
      <c r="B24" s="99" t="s">
        <v>237</v>
      </c>
      <c r="C24" s="132">
        <v>0</v>
      </c>
      <c r="D24" s="132">
        <f>'Classified FTEs'!H66+'Classified FTEs'!K66</f>
        <v>0.3</v>
      </c>
      <c r="E24" s="132">
        <f>'Classified FTEs'!I66+'Classified FTEs'!L66+'Classified FTEs'!M66+'Classified FTEs'!N66+'Classified FTEs'!O66</f>
        <v>0.6</v>
      </c>
      <c r="F24" s="132">
        <v>0</v>
      </c>
      <c r="G24" s="132">
        <f>'Classified FTEs'!E66+'Classified FTEs'!F66+'Classified FTEs'!J66</f>
        <v>0.6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3">
        <f>'Classified FTEs'!T66+'Classified FTEs'!U66+'Classified FTEs'!W66+'Classified FTEs'!X66+'Classified FTEs'!AB66+'Classified FTEs'!AD66+'Classified FTEs'!AE66</f>
        <v>2.8</v>
      </c>
      <c r="O24" s="133">
        <f>SUM('instruction-charters'!C24:N24)+SUM('support-charters'!C24:N24)</f>
        <v>12.922000000000001</v>
      </c>
      <c r="P24" s="97"/>
      <c r="Q24" s="97"/>
    </row>
    <row r="25" spans="1:17">
      <c r="A25" s="160" t="s">
        <v>113</v>
      </c>
      <c r="B25" s="99" t="s">
        <v>238</v>
      </c>
      <c r="C25" s="132">
        <v>0</v>
      </c>
      <c r="D25" s="132">
        <f>'Classified FTEs'!H67+'Classified FTEs'!K67</f>
        <v>0.5</v>
      </c>
      <c r="E25" s="132">
        <f>'Classified FTEs'!I67+'Classified FTEs'!L67+'Classified FTEs'!M67+'Classified FTEs'!N67+'Classified FTEs'!O67</f>
        <v>0.5</v>
      </c>
      <c r="F25" s="132">
        <v>0.82199999999999995</v>
      </c>
      <c r="G25" s="132">
        <f>'Classified FTEs'!E67+'Classified FTEs'!F67+'Classified FTEs'!J67</f>
        <v>1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3">
        <f>'Classified FTEs'!T67+'Classified FTEs'!U67+'Classified FTEs'!W67+'Classified FTEs'!X67+'Classified FTEs'!AB67+'Classified FTEs'!AD67+'Classified FTEs'!AE67</f>
        <v>0</v>
      </c>
      <c r="O25" s="133">
        <f>SUM('instruction-charters'!C25:N25)+SUM('support-charters'!C25:N25)</f>
        <v>12.294999999999998</v>
      </c>
      <c r="P25" s="97"/>
      <c r="Q25" s="97"/>
    </row>
    <row r="26" spans="1:17">
      <c r="A26" s="160" t="s">
        <v>115</v>
      </c>
      <c r="B26" s="99" t="s">
        <v>239</v>
      </c>
      <c r="C26" s="142">
        <v>0</v>
      </c>
      <c r="D26" s="142">
        <f>'Classified FTEs'!H68+'Classified FTEs'!K68</f>
        <v>0</v>
      </c>
      <c r="E26" s="142">
        <f>'Classified FTEs'!I68+'Classified FTEs'!L68+'Classified FTEs'!M68+'Classified FTEs'!N68+'Classified FTEs'!O68</f>
        <v>0</v>
      </c>
      <c r="F26" s="142">
        <v>1</v>
      </c>
      <c r="G26" s="142">
        <f>'Classified FTEs'!E68+'Classified FTEs'!F68+'Classified FTEs'!J68</f>
        <v>3.5</v>
      </c>
      <c r="H26" s="142">
        <v>0</v>
      </c>
      <c r="I26" s="142">
        <v>0</v>
      </c>
      <c r="J26" s="142">
        <v>0</v>
      </c>
      <c r="K26" s="142">
        <v>0</v>
      </c>
      <c r="L26" s="142">
        <v>0</v>
      </c>
      <c r="M26" s="142">
        <v>0</v>
      </c>
      <c r="N26" s="143">
        <f>'Classified FTEs'!T68+'Classified FTEs'!U68+'Classified FTEs'!W68+'Classified FTEs'!X68+'Classified FTEs'!AB68+'Classified FTEs'!AD68+'Classified FTEs'!AE68</f>
        <v>0</v>
      </c>
      <c r="O26" s="143">
        <f>SUM('instruction-charters'!C26:N26)+SUM('support-charters'!C26:N26)</f>
        <v>15.376000000000001</v>
      </c>
      <c r="P26" s="97"/>
      <c r="Q26" s="97"/>
    </row>
    <row r="27" spans="1:17">
      <c r="A27" s="160">
        <v>93</v>
      </c>
      <c r="B27" s="99" t="s">
        <v>117</v>
      </c>
      <c r="C27" s="132">
        <v>0</v>
      </c>
      <c r="D27" s="132">
        <f>'Classified FTEs'!H69+'Classified FTEs'!K69</f>
        <v>1</v>
      </c>
      <c r="E27" s="132">
        <f>'Classified FTEs'!I69+'Classified FTEs'!L69+'Classified FTEs'!M69+'Classified FTEs'!N69+'Classified FTEs'!O69</f>
        <v>0</v>
      </c>
      <c r="F27" s="132">
        <v>1</v>
      </c>
      <c r="G27" s="132">
        <f>'Classified FTEs'!E69+'Classified FTEs'!F69+'Classified FTEs'!J69</f>
        <v>0.9</v>
      </c>
      <c r="H27" s="132">
        <v>0</v>
      </c>
      <c r="I27" s="132">
        <v>0</v>
      </c>
      <c r="J27" s="132">
        <v>0</v>
      </c>
      <c r="K27" s="132">
        <v>0</v>
      </c>
      <c r="L27" s="132">
        <v>0</v>
      </c>
      <c r="M27" s="132">
        <v>0</v>
      </c>
      <c r="N27" s="133">
        <f>'Classified FTEs'!T69+'Classified FTEs'!U69+'Classified FTEs'!W69+'Classified FTEs'!X69+'Classified FTEs'!AB69+'Classified FTEs'!AD69+'Classified FTEs'!AE69</f>
        <v>0.02</v>
      </c>
      <c r="O27" s="133">
        <f>SUM('instruction-charters'!C27:N27)+SUM('support-charters'!C27:N27)</f>
        <v>18.691000000000003</v>
      </c>
      <c r="P27" s="97"/>
      <c r="Q27" s="97"/>
    </row>
    <row r="28" spans="1:17">
      <c r="A28" s="160" t="s">
        <v>126</v>
      </c>
      <c r="B28" s="99" t="s">
        <v>240</v>
      </c>
      <c r="C28" s="132">
        <v>0</v>
      </c>
      <c r="D28" s="132">
        <f>'Classified FTEs'!H74+'Classified FTEs'!K74</f>
        <v>1</v>
      </c>
      <c r="E28" s="132">
        <f>'Classified FTEs'!I74+'Classified FTEs'!L74+'Classified FTEs'!M74+'Classified FTEs'!N74+'Classified FTEs'!O74</f>
        <v>0.34</v>
      </c>
      <c r="F28" s="132">
        <v>0.65200000000000002</v>
      </c>
      <c r="G28" s="132">
        <f>'Classified FTEs'!E74+'Classified FTEs'!F74+'Classified FTEs'!J74</f>
        <v>1.52</v>
      </c>
      <c r="H28" s="132">
        <v>0</v>
      </c>
      <c r="I28" s="132">
        <v>0</v>
      </c>
      <c r="J28" s="132">
        <v>0</v>
      </c>
      <c r="K28" s="132">
        <v>0</v>
      </c>
      <c r="L28" s="132">
        <v>0</v>
      </c>
      <c r="M28" s="132">
        <v>0</v>
      </c>
      <c r="N28" s="133">
        <f>'Classified FTEs'!T74+'Classified FTEs'!U74+'Classified FTEs'!W74+'Classified FTEs'!X74+'Classified FTEs'!AB74+'Classified FTEs'!AD74+'Classified FTEs'!AE74</f>
        <v>0.06</v>
      </c>
      <c r="O28" s="133">
        <f>SUM('instruction-charters'!C32:N32)+SUM('support-charters'!C32:N32)</f>
        <v>56.472000000000001</v>
      </c>
      <c r="P28" s="97"/>
      <c r="Q28" s="97"/>
    </row>
    <row r="29" spans="1:17">
      <c r="A29" s="160" t="s">
        <v>118</v>
      </c>
      <c r="B29" s="99" t="s">
        <v>241</v>
      </c>
      <c r="C29" s="132">
        <v>0</v>
      </c>
      <c r="D29" s="132">
        <f>'Classified FTEs'!H70+'Classified FTEs'!K70</f>
        <v>0</v>
      </c>
      <c r="E29" s="132">
        <f>'Classified FTEs'!I70+'Classified FTEs'!L70+'Classified FTEs'!M70+'Classified FTEs'!N70+'Classified FTEs'!O70</f>
        <v>0</v>
      </c>
      <c r="F29" s="132">
        <v>2</v>
      </c>
      <c r="G29" s="132">
        <f>'Classified FTEs'!E70+'Classified FTEs'!F70+'Classified FTEs'!J70</f>
        <v>2.5</v>
      </c>
      <c r="H29" s="132">
        <v>0</v>
      </c>
      <c r="I29" s="132">
        <v>0</v>
      </c>
      <c r="J29" s="132">
        <v>0</v>
      </c>
      <c r="K29" s="132">
        <v>0</v>
      </c>
      <c r="L29" s="132">
        <v>1</v>
      </c>
      <c r="M29" s="132">
        <v>0</v>
      </c>
      <c r="N29" s="133">
        <f>'Classified FTEs'!T70+'Classified FTEs'!U70+'Classified FTEs'!W70+'Classified FTEs'!X70+'Classified FTEs'!AB70+'Classified FTEs'!AD70+'Classified FTEs'!AE70</f>
        <v>4.5</v>
      </c>
      <c r="O29" s="133">
        <f>SUM('instruction-charters'!C28:N28)+SUM('support-charters'!C28:N28)</f>
        <v>15.018000000000001</v>
      </c>
      <c r="P29" s="97"/>
      <c r="Q29" s="97"/>
    </row>
    <row r="30" spans="1:17">
      <c r="A30" s="160" t="s">
        <v>120</v>
      </c>
      <c r="B30" s="99" t="s">
        <v>242</v>
      </c>
      <c r="C30" s="132">
        <v>0</v>
      </c>
      <c r="D30" s="132">
        <f>'Classified FTEs'!H71+'Classified FTEs'!K71</f>
        <v>4</v>
      </c>
      <c r="E30" s="132">
        <f>'Classified FTEs'!I71+'Classified FTEs'!L71+'Classified FTEs'!M71+'Classified FTEs'!N71+'Classified FTEs'!O71</f>
        <v>5</v>
      </c>
      <c r="F30" s="132">
        <v>3.2199999999999998</v>
      </c>
      <c r="G30" s="132">
        <f>'Classified FTEs'!E71+'Classified FTEs'!F71+'Classified FTEs'!J71</f>
        <v>1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3">
        <f>'Classified FTEs'!T71+'Classified FTEs'!U71+'Classified FTEs'!W71+'Classified FTEs'!X71+'Classified FTEs'!AB71+'Classified FTEs'!AD71+'Classified FTEs'!AE71</f>
        <v>2.13</v>
      </c>
      <c r="O30" s="133">
        <f>SUM('instruction-charters'!C29:N29)+SUM('support-charters'!C29:N29)</f>
        <v>67.222000000000008</v>
      </c>
      <c r="P30" s="97"/>
      <c r="Q30" s="97"/>
    </row>
    <row r="31" spans="1:17">
      <c r="A31" s="160" t="s">
        <v>122</v>
      </c>
      <c r="B31" s="99" t="s">
        <v>243</v>
      </c>
      <c r="C31" s="132">
        <v>0</v>
      </c>
      <c r="D31" s="132">
        <f>'Classified FTEs'!H72+'Classified FTEs'!K72</f>
        <v>4</v>
      </c>
      <c r="E31" s="132">
        <f>'Classified FTEs'!I72+'Classified FTEs'!L72+'Classified FTEs'!M72+'Classified FTEs'!N72+'Classified FTEs'!O72</f>
        <v>1</v>
      </c>
      <c r="F31" s="132">
        <v>0.5</v>
      </c>
      <c r="G31" s="132">
        <f>'Classified FTEs'!E72+'Classified FTEs'!F72+'Classified FTEs'!J72</f>
        <v>0</v>
      </c>
      <c r="H31" s="132">
        <v>0</v>
      </c>
      <c r="I31" s="132">
        <v>0</v>
      </c>
      <c r="J31" s="132">
        <v>0</v>
      </c>
      <c r="K31" s="132">
        <v>0</v>
      </c>
      <c r="L31" s="132">
        <v>0</v>
      </c>
      <c r="M31" s="132">
        <v>0</v>
      </c>
      <c r="N31" s="133">
        <f>'Classified FTEs'!T72+'Classified FTEs'!U72+'Classified FTEs'!W72+'Classified FTEs'!X72+'Classified FTEs'!AB72+'Classified FTEs'!AD72+'Classified FTEs'!AE72</f>
        <v>0</v>
      </c>
      <c r="O31" s="133">
        <f>SUM('instruction-charters'!C30:N30)+SUM('support-charters'!C30:N30)</f>
        <v>58.468999999999994</v>
      </c>
      <c r="P31" s="97"/>
      <c r="Q31" s="97"/>
    </row>
    <row r="32" spans="1:17">
      <c r="A32" s="160" t="s">
        <v>124</v>
      </c>
      <c r="B32" s="99" t="s">
        <v>244</v>
      </c>
      <c r="C32" s="137">
        <v>1.5</v>
      </c>
      <c r="D32" s="137">
        <f>'Classified FTEs'!H73+'Classified FTEs'!K73</f>
        <v>2</v>
      </c>
      <c r="E32" s="137">
        <f>'Classified FTEs'!I73+'Classified FTEs'!L73+'Classified FTEs'!M73+'Classified FTEs'!N73+'Classified FTEs'!O73</f>
        <v>1.6</v>
      </c>
      <c r="F32" s="137">
        <v>0</v>
      </c>
      <c r="G32" s="137">
        <f>'Classified FTEs'!E73+'Classified FTEs'!F73+'Classified FTEs'!J73</f>
        <v>1.9</v>
      </c>
      <c r="H32" s="137">
        <v>1</v>
      </c>
      <c r="I32" s="137">
        <v>0</v>
      </c>
      <c r="J32" s="137">
        <v>0</v>
      </c>
      <c r="K32" s="137">
        <v>0</v>
      </c>
      <c r="L32" s="137">
        <v>0</v>
      </c>
      <c r="M32" s="137">
        <v>0</v>
      </c>
      <c r="N32" s="138">
        <f>'Classified FTEs'!T73+'Classified FTEs'!U73+'Classified FTEs'!W73+'Classified FTEs'!X73+'Classified FTEs'!AB73+'Classified FTEs'!AD73+'Classified FTEs'!AE73</f>
        <v>0</v>
      </c>
      <c r="O32" s="138">
        <f>SUM('instruction-charters'!C31:N31)+SUM('support-charters'!C31:N31)</f>
        <v>22.262999999999998</v>
      </c>
      <c r="P32" s="97"/>
      <c r="Q32" s="97"/>
    </row>
    <row r="33" spans="1:17">
      <c r="A33" s="160" t="s">
        <v>128</v>
      </c>
      <c r="B33" s="99" t="s">
        <v>245</v>
      </c>
      <c r="C33" s="132">
        <v>0</v>
      </c>
      <c r="D33" s="132">
        <f>'Classified FTEs'!H75+'Classified FTEs'!K75</f>
        <v>1</v>
      </c>
      <c r="E33" s="132">
        <f>'Classified FTEs'!I75+'Classified FTEs'!L75+'Classified FTEs'!M75+'Classified FTEs'!N75+'Classified FTEs'!O75</f>
        <v>0.98</v>
      </c>
      <c r="F33" s="132">
        <v>0.67200000000000004</v>
      </c>
      <c r="G33" s="132">
        <f>'Classified FTEs'!E75+'Classified FTEs'!F75+'Classified FTEs'!J75</f>
        <v>0</v>
      </c>
      <c r="H33" s="132">
        <v>0</v>
      </c>
      <c r="I33" s="132">
        <v>0</v>
      </c>
      <c r="J33" s="132">
        <v>0</v>
      </c>
      <c r="K33" s="132">
        <v>0</v>
      </c>
      <c r="L33" s="132">
        <v>0</v>
      </c>
      <c r="M33" s="132">
        <v>0</v>
      </c>
      <c r="N33" s="133">
        <f>'Classified FTEs'!T75+'Classified FTEs'!U75+'Classified FTEs'!W75+'Classified FTEs'!X75+'Classified FTEs'!AB75+'Classified FTEs'!AD75+'Classified FTEs'!AE75</f>
        <v>0.39</v>
      </c>
      <c r="O33" s="133">
        <f>SUM('instruction-charters'!C33:N33)+SUM('support-charters'!C33:N33)</f>
        <v>6.5690000000000008</v>
      </c>
      <c r="P33" s="97"/>
      <c r="Q33" s="97"/>
    </row>
    <row r="34" spans="1:17">
      <c r="A34" s="160" t="s">
        <v>130</v>
      </c>
      <c r="B34" s="99" t="s">
        <v>246</v>
      </c>
      <c r="C34" s="132">
        <v>0.80300000000000005</v>
      </c>
      <c r="D34" s="132">
        <f>'Classified FTEs'!H76+'Classified FTEs'!K76</f>
        <v>0.95</v>
      </c>
      <c r="E34" s="132">
        <f>'Classified FTEs'!I76+'Classified FTEs'!L76+'Classified FTEs'!M76+'Classified FTEs'!N76+'Classified FTEs'!O76</f>
        <v>1.8099999999999998</v>
      </c>
      <c r="F34" s="132">
        <v>1.216</v>
      </c>
      <c r="G34" s="132">
        <f>'Classified FTEs'!E76+'Classified FTEs'!F76+'Classified FTEs'!J76</f>
        <v>0.38</v>
      </c>
      <c r="H34" s="132">
        <v>0</v>
      </c>
      <c r="I34" s="132">
        <v>0</v>
      </c>
      <c r="J34" s="132">
        <v>0</v>
      </c>
      <c r="K34" s="132">
        <v>0</v>
      </c>
      <c r="L34" s="132">
        <v>1.25</v>
      </c>
      <c r="M34" s="132">
        <v>0</v>
      </c>
      <c r="N34" s="133">
        <f>'Classified FTEs'!T76+'Classified FTEs'!U76+'Classified FTEs'!W76+'Classified FTEs'!X76+'Classified FTEs'!AB76+'Classified FTEs'!AD76+'Classified FTEs'!AE76</f>
        <v>5.6</v>
      </c>
      <c r="O34" s="133">
        <f>SUM('instruction-charters'!C34:N34)+SUM('support-charters'!C34:N34)</f>
        <v>54.478000000000002</v>
      </c>
      <c r="P34" s="97"/>
      <c r="Q34" s="97"/>
    </row>
    <row r="35" spans="1:17">
      <c r="A35" s="160" t="s">
        <v>132</v>
      </c>
      <c r="B35" s="99" t="s">
        <v>247</v>
      </c>
      <c r="C35" s="132">
        <v>0.2</v>
      </c>
      <c r="D35" s="132">
        <f>'Classified FTEs'!H77+'Classified FTEs'!K77</f>
        <v>1</v>
      </c>
      <c r="E35" s="132">
        <f>'Classified FTEs'!I77+'Classified FTEs'!L77+'Classified FTEs'!M77+'Classified FTEs'!N77+'Classified FTEs'!O77</f>
        <v>1</v>
      </c>
      <c r="F35" s="132">
        <v>1</v>
      </c>
      <c r="G35" s="132">
        <f>'Classified FTEs'!E77+'Classified FTEs'!F77+'Classified FTEs'!J77</f>
        <v>2</v>
      </c>
      <c r="H35" s="132">
        <v>0</v>
      </c>
      <c r="I35" s="132">
        <v>0</v>
      </c>
      <c r="J35" s="132">
        <v>0</v>
      </c>
      <c r="K35" s="132">
        <v>0</v>
      </c>
      <c r="L35" s="132">
        <v>0</v>
      </c>
      <c r="M35" s="132">
        <v>1</v>
      </c>
      <c r="N35" s="133">
        <f>'Classified FTEs'!T77+'Classified FTEs'!U77+'Classified FTEs'!W77+'Classified FTEs'!X77+'Classified FTEs'!AB77+'Classified FTEs'!AD77+'Classified FTEs'!AE77</f>
        <v>1.4</v>
      </c>
      <c r="O35" s="133">
        <f>SUM('instruction-charters'!C35:N35)+SUM('support-charters'!C35:N35)</f>
        <v>62.428000000000004</v>
      </c>
      <c r="P35" s="97"/>
      <c r="Q35" s="97"/>
    </row>
    <row r="36" spans="1:17">
      <c r="A36" s="160" t="s">
        <v>134</v>
      </c>
      <c r="B36" s="99" t="s">
        <v>248</v>
      </c>
      <c r="C36" s="142">
        <v>0.94399999999999995</v>
      </c>
      <c r="D36" s="142">
        <f>'Classified FTEs'!H78+'Classified FTEs'!K78</f>
        <v>1</v>
      </c>
      <c r="E36" s="142">
        <f>'Classified FTEs'!I78+'Classified FTEs'!L78+'Classified FTEs'!M78+'Classified FTEs'!N78+'Classified FTEs'!O78</f>
        <v>0</v>
      </c>
      <c r="F36" s="142">
        <v>1</v>
      </c>
      <c r="G36" s="142">
        <f>'Classified FTEs'!E78+'Classified FTEs'!F78+'Classified FTEs'!J78</f>
        <v>2.65</v>
      </c>
      <c r="H36" s="142">
        <v>0</v>
      </c>
      <c r="I36" s="142">
        <v>0</v>
      </c>
      <c r="J36" s="142">
        <v>0</v>
      </c>
      <c r="K36" s="142">
        <v>0</v>
      </c>
      <c r="L36" s="142">
        <v>0</v>
      </c>
      <c r="M36" s="142">
        <v>2.85</v>
      </c>
      <c r="N36" s="143">
        <f>'Classified FTEs'!T78+'Classified FTEs'!U78+'Classified FTEs'!W78+'Classified FTEs'!X78+'Classified FTEs'!AB78+'Classified FTEs'!AD78+'Classified FTEs'!AE78</f>
        <v>1.5</v>
      </c>
      <c r="O36" s="143">
        <f>SUM('instruction-charters'!C36:N36)+SUM('support-charters'!C36:N36)</f>
        <v>48.180000000000007</v>
      </c>
      <c r="P36" s="97"/>
      <c r="Q36" s="97"/>
    </row>
    <row r="37" spans="1:17">
      <c r="A37" s="160" t="s">
        <v>136</v>
      </c>
      <c r="B37" s="99" t="s">
        <v>249</v>
      </c>
      <c r="C37" s="132">
        <v>0</v>
      </c>
      <c r="D37" s="132">
        <f>'Classified FTEs'!H79+'Classified FTEs'!K79</f>
        <v>0</v>
      </c>
      <c r="E37" s="132">
        <f>'Classified FTEs'!I79+'Classified FTEs'!L79+'Classified FTEs'!M79+'Classified FTEs'!N79+'Classified FTEs'!O79</f>
        <v>2</v>
      </c>
      <c r="F37" s="132">
        <v>2</v>
      </c>
      <c r="G37" s="132">
        <f>'Classified FTEs'!E79+'Classified FTEs'!F79+'Classified FTEs'!J79</f>
        <v>3</v>
      </c>
      <c r="H37" s="132">
        <v>0</v>
      </c>
      <c r="I37" s="132">
        <v>0</v>
      </c>
      <c r="J37" s="132">
        <v>0</v>
      </c>
      <c r="K37" s="132">
        <v>0</v>
      </c>
      <c r="L37" s="132">
        <v>0</v>
      </c>
      <c r="M37" s="132">
        <v>0</v>
      </c>
      <c r="N37" s="133">
        <f>'Classified FTEs'!T79+'Classified FTEs'!U79+'Classified FTEs'!W79+'Classified FTEs'!X79+'Classified FTEs'!AB79+'Classified FTEs'!AD79+'Classified FTEs'!AE79</f>
        <v>0</v>
      </c>
      <c r="O37" s="133">
        <f>SUM('instruction-charters'!C37:N37)+SUM('support-charters'!C37:N37)</f>
        <v>40.479999999999997</v>
      </c>
      <c r="P37" s="97"/>
      <c r="Q37" s="97"/>
    </row>
    <row r="38" spans="1:17">
      <c r="A38" s="160" t="s">
        <v>138</v>
      </c>
      <c r="B38" s="99" t="s">
        <v>250</v>
      </c>
      <c r="C38" s="132">
        <v>0</v>
      </c>
      <c r="D38" s="132">
        <f>'Classified FTEs'!H80+'Classified FTEs'!K80</f>
        <v>0</v>
      </c>
      <c r="E38" s="132">
        <f>'Classified FTEs'!I80+'Classified FTEs'!L80+'Classified FTEs'!M80+'Classified FTEs'!N80+'Classified FTEs'!O80</f>
        <v>0</v>
      </c>
      <c r="F38" s="132">
        <v>1</v>
      </c>
      <c r="G38" s="132">
        <f>'Classified FTEs'!E80+'Classified FTEs'!F80+'Classified FTEs'!J80</f>
        <v>3.08</v>
      </c>
      <c r="H38" s="132">
        <v>0</v>
      </c>
      <c r="I38" s="132">
        <v>0</v>
      </c>
      <c r="J38" s="132">
        <v>0</v>
      </c>
      <c r="K38" s="132">
        <v>0</v>
      </c>
      <c r="L38" s="132">
        <v>1</v>
      </c>
      <c r="M38" s="132">
        <v>0</v>
      </c>
      <c r="N38" s="133">
        <f>'Classified FTEs'!T80+'Classified FTEs'!U80+'Classified FTEs'!W80+'Classified FTEs'!X80+'Classified FTEs'!AB80+'Classified FTEs'!AD80+'Classified FTEs'!AE80</f>
        <v>2.94</v>
      </c>
      <c r="O38" s="133">
        <f>SUM('instruction-charters'!C38:N38)+SUM('support-charters'!C38:N38)</f>
        <v>36.590000000000003</v>
      </c>
      <c r="P38" s="97"/>
      <c r="Q38" s="97"/>
    </row>
    <row r="39" spans="1:17">
      <c r="A39" s="160" t="s">
        <v>140</v>
      </c>
      <c r="B39" s="99" t="s">
        <v>251</v>
      </c>
      <c r="C39" s="132">
        <v>0</v>
      </c>
      <c r="D39" s="132">
        <f>'Classified FTEs'!H81+'Classified FTEs'!K81</f>
        <v>0</v>
      </c>
      <c r="E39" s="132">
        <f>'Classified FTEs'!I81+'Classified FTEs'!L81+'Classified FTEs'!M81+'Classified FTEs'!N81+'Classified FTEs'!O81</f>
        <v>0</v>
      </c>
      <c r="F39" s="132">
        <v>0</v>
      </c>
      <c r="G39" s="132">
        <f>'Classified FTEs'!E81+'Classified FTEs'!F81+'Classified FTEs'!J81</f>
        <v>2.25</v>
      </c>
      <c r="H39" s="132">
        <v>0</v>
      </c>
      <c r="I39" s="132">
        <v>0</v>
      </c>
      <c r="J39" s="132">
        <v>0</v>
      </c>
      <c r="K39" s="132">
        <v>0</v>
      </c>
      <c r="L39" s="132">
        <v>0.83</v>
      </c>
      <c r="M39" s="132">
        <v>0</v>
      </c>
      <c r="N39" s="133">
        <f>'Classified FTEs'!T81+'Classified FTEs'!U81+'Classified FTEs'!W81+'Classified FTEs'!X81+'Classified FTEs'!AB81+'Classified FTEs'!AD81+'Classified FTEs'!AE81</f>
        <v>2.39</v>
      </c>
      <c r="O39" s="133">
        <f>SUM('instruction-charters'!C39:N39)+SUM('support-charters'!C39:N39)</f>
        <v>44.629999999999995</v>
      </c>
      <c r="P39" s="97"/>
      <c r="Q39" s="97"/>
    </row>
    <row r="40" spans="1:17">
      <c r="A40" s="160" t="s">
        <v>142</v>
      </c>
      <c r="B40" s="99" t="s">
        <v>143</v>
      </c>
      <c r="C40" s="132">
        <v>0</v>
      </c>
      <c r="D40" s="132">
        <f>'Classified FTEs'!H82+'Classified FTEs'!K82</f>
        <v>0</v>
      </c>
      <c r="E40" s="132">
        <f>'Classified FTEs'!I82+'Classified FTEs'!L82+'Classified FTEs'!M82+'Classified FTEs'!N82+'Classified FTEs'!O82</f>
        <v>1</v>
      </c>
      <c r="F40" s="132">
        <v>1</v>
      </c>
      <c r="G40" s="132">
        <f>'Classified FTEs'!E82+'Classified FTEs'!F82+'Classified FTEs'!J82</f>
        <v>0</v>
      </c>
      <c r="H40" s="132">
        <v>0</v>
      </c>
      <c r="I40" s="132">
        <v>0</v>
      </c>
      <c r="J40" s="132">
        <v>0</v>
      </c>
      <c r="K40" s="132">
        <v>0</v>
      </c>
      <c r="L40" s="132">
        <v>0</v>
      </c>
      <c r="M40" s="132">
        <v>0</v>
      </c>
      <c r="N40" s="133">
        <f>'Classified FTEs'!T82+'Classified FTEs'!U82+'Classified FTEs'!W82+'Classified FTEs'!X82+'Classified FTEs'!AB82+'Classified FTEs'!AD82+'Classified FTEs'!AE82</f>
        <v>2.95</v>
      </c>
      <c r="O40" s="133">
        <f>SUM('instruction-charters'!C40:N40)+SUM('support-charters'!C40:N40)</f>
        <v>20.82</v>
      </c>
      <c r="P40" s="97"/>
      <c r="Q40" s="97"/>
    </row>
    <row r="41" spans="1:17">
      <c r="A41" s="160" t="s">
        <v>144</v>
      </c>
      <c r="B41" s="99" t="s">
        <v>145</v>
      </c>
      <c r="C41" s="132">
        <v>0</v>
      </c>
      <c r="D41" s="132">
        <f>'Classified FTEs'!H83+'Classified FTEs'!K83</f>
        <v>1</v>
      </c>
      <c r="E41" s="132">
        <f>'Classified FTEs'!I83+'Classified FTEs'!L83+'Classified FTEs'!M83+'Classified FTEs'!N83+'Classified FTEs'!O83</f>
        <v>0</v>
      </c>
      <c r="F41" s="132">
        <v>1</v>
      </c>
      <c r="G41" s="132">
        <f>'Classified FTEs'!E83+'Classified FTEs'!F83+'Classified FTEs'!J83</f>
        <v>2.13</v>
      </c>
      <c r="H41" s="132">
        <v>0</v>
      </c>
      <c r="I41" s="132">
        <v>0</v>
      </c>
      <c r="J41" s="132">
        <v>0</v>
      </c>
      <c r="K41" s="132">
        <v>0</v>
      </c>
      <c r="L41" s="132">
        <v>0</v>
      </c>
      <c r="M41" s="132">
        <v>0.48</v>
      </c>
      <c r="N41" s="133">
        <f>'Classified FTEs'!T83+'Classified FTEs'!U83+'Classified FTEs'!W83+'Classified FTEs'!X83+'Classified FTEs'!AB83+'Classified FTEs'!AD83+'Classified FTEs'!AE83</f>
        <v>1.64</v>
      </c>
      <c r="O41" s="133">
        <f>SUM('instruction-charters'!C41:N41)+SUM('support-charters'!C41:N41)</f>
        <v>41.42</v>
      </c>
      <c r="P41" s="97"/>
      <c r="Q41" s="97"/>
    </row>
    <row r="42" spans="1:17">
      <c r="A42" s="160">
        <v>68</v>
      </c>
      <c r="B42" s="99" t="s">
        <v>252</v>
      </c>
      <c r="C42" s="137">
        <v>1</v>
      </c>
      <c r="D42" s="137">
        <f>'Classified FTEs'!H84+'Classified FTEs'!K84</f>
        <v>0</v>
      </c>
      <c r="E42" s="137">
        <f>'Classified FTEs'!I84+'Classified FTEs'!L84+'Classified FTEs'!M84+'Classified FTEs'!N84+'Classified FTEs'!O84</f>
        <v>0</v>
      </c>
      <c r="F42" s="137">
        <v>2</v>
      </c>
      <c r="G42" s="137">
        <f>'Classified FTEs'!E84+'Classified FTEs'!F84+'Classified FTEs'!J84</f>
        <v>2.91</v>
      </c>
      <c r="H42" s="137">
        <v>0</v>
      </c>
      <c r="I42" s="137">
        <v>0</v>
      </c>
      <c r="J42" s="137">
        <v>0</v>
      </c>
      <c r="K42" s="137">
        <v>0</v>
      </c>
      <c r="L42" s="137">
        <v>1</v>
      </c>
      <c r="M42" s="137">
        <v>0</v>
      </c>
      <c r="N42" s="138">
        <f>'Classified FTEs'!T84+'Classified FTEs'!U84+'Classified FTEs'!W84+'Classified FTEs'!X84+'Classified FTEs'!AB84+'Classified FTEs'!AD84+'Classified FTEs'!AE84</f>
        <v>1.73</v>
      </c>
      <c r="O42" s="138">
        <f>SUM('instruction-charters'!C42:N42)+SUM('support-charters'!C42:N42)</f>
        <v>44.589999999999996</v>
      </c>
      <c r="P42" s="97"/>
      <c r="Q42" s="97"/>
    </row>
    <row r="43" spans="1:17">
      <c r="A43" s="160" t="s">
        <v>147</v>
      </c>
      <c r="B43" s="99" t="s">
        <v>148</v>
      </c>
      <c r="C43" s="132">
        <v>0</v>
      </c>
      <c r="D43" s="132">
        <f>'Classified FTEs'!H85+'Classified FTEs'!K85</f>
        <v>0</v>
      </c>
      <c r="E43" s="132">
        <f>'Classified FTEs'!I85+'Classified FTEs'!L85+'Classified FTEs'!M85+'Classified FTEs'!N85+'Classified FTEs'!O85</f>
        <v>0</v>
      </c>
      <c r="F43" s="132">
        <v>1</v>
      </c>
      <c r="G43" s="132">
        <f>'Classified FTEs'!E85+'Classified FTEs'!F85+'Classified FTEs'!J85</f>
        <v>4.7300000000000004</v>
      </c>
      <c r="H43" s="132">
        <v>0</v>
      </c>
      <c r="I43" s="132">
        <v>0</v>
      </c>
      <c r="J43" s="132">
        <v>0</v>
      </c>
      <c r="K43" s="132">
        <v>0</v>
      </c>
      <c r="L43" s="132">
        <v>0</v>
      </c>
      <c r="M43" s="132">
        <v>0</v>
      </c>
      <c r="N43" s="133">
        <f>'Classified FTEs'!T85+'Classified FTEs'!U85+'Classified FTEs'!W85+'Classified FTEs'!X85+'Classified FTEs'!AB85+'Classified FTEs'!AD85+'Classified FTEs'!AE85</f>
        <v>3.23</v>
      </c>
      <c r="O43" s="133">
        <f>SUM('instruction-charters'!C43:N43)+SUM('support-charters'!C43:N43)</f>
        <v>28.78</v>
      </c>
      <c r="P43" s="97"/>
      <c r="Q43" s="97"/>
    </row>
    <row r="44" spans="1:17">
      <c r="A44" s="160" t="s">
        <v>149</v>
      </c>
      <c r="B44" s="99" t="s">
        <v>150</v>
      </c>
      <c r="C44" s="132">
        <v>1.67</v>
      </c>
      <c r="D44" s="132">
        <f>'Classified FTEs'!H86+'Classified FTEs'!K86</f>
        <v>1.34</v>
      </c>
      <c r="E44" s="132">
        <f>'Classified FTEs'!I86+'Classified FTEs'!L86+'Classified FTEs'!M86+'Classified FTEs'!N86+'Classified FTEs'!O86</f>
        <v>0.83</v>
      </c>
      <c r="F44" s="132">
        <v>0</v>
      </c>
      <c r="G44" s="132">
        <f>'Classified FTEs'!E86+'Classified FTEs'!F86+'Classified FTEs'!J86</f>
        <v>0.83</v>
      </c>
      <c r="H44" s="132">
        <v>0</v>
      </c>
      <c r="I44" s="132">
        <v>0</v>
      </c>
      <c r="J44" s="132">
        <v>0</v>
      </c>
      <c r="K44" s="132">
        <v>0</v>
      </c>
      <c r="L44" s="132">
        <v>0</v>
      </c>
      <c r="M44" s="132">
        <v>0</v>
      </c>
      <c r="N44" s="133">
        <f>'Classified FTEs'!T86+'Classified FTEs'!U86+'Classified FTEs'!W86+'Classified FTEs'!X86+'Classified FTEs'!AB86+'Classified FTEs'!AD86+'Classified FTEs'!AE86</f>
        <v>2</v>
      </c>
      <c r="O44" s="133">
        <f>SUM('instruction-charters'!C44:N44)+SUM('support-charters'!C44:N44)</f>
        <v>22.221</v>
      </c>
      <c r="P44" s="97"/>
      <c r="Q44" s="97"/>
    </row>
    <row r="45" spans="1:17">
      <c r="A45" s="160">
        <v>86</v>
      </c>
      <c r="B45" s="99" t="s">
        <v>253</v>
      </c>
      <c r="C45" s="132">
        <v>1.583</v>
      </c>
      <c r="D45" s="132">
        <f>'Classified FTEs'!H87+'Classified FTEs'!K87</f>
        <v>0.5</v>
      </c>
      <c r="E45" s="132">
        <f>'Classified FTEs'!I87+'Classified FTEs'!L87+'Classified FTEs'!M87+'Classified FTEs'!N87+'Classified FTEs'!O87</f>
        <v>0</v>
      </c>
      <c r="F45" s="132">
        <v>1.056</v>
      </c>
      <c r="G45" s="132">
        <f>'Classified FTEs'!E87+'Classified FTEs'!F87+'Classified FTEs'!J87</f>
        <v>2.16</v>
      </c>
      <c r="H45" s="132">
        <v>1</v>
      </c>
      <c r="I45" s="132">
        <v>0</v>
      </c>
      <c r="J45" s="132">
        <v>0.37</v>
      </c>
      <c r="K45" s="132">
        <v>0</v>
      </c>
      <c r="L45" s="132">
        <v>0.25</v>
      </c>
      <c r="M45" s="132">
        <v>0</v>
      </c>
      <c r="N45" s="133">
        <f>'Classified FTEs'!T87+'Classified FTEs'!U87+'Classified FTEs'!W87+'Classified FTEs'!X87+'Classified FTEs'!AB87+'Classified FTEs'!AD87+'Classified FTEs'!AE87</f>
        <v>10.199999999999999</v>
      </c>
      <c r="O45" s="133">
        <f>SUM('instruction-charters'!C45:N45)+SUM('support-charters'!C45:N45)</f>
        <v>63.997</v>
      </c>
      <c r="P45" s="97"/>
      <c r="Q45" s="97"/>
    </row>
    <row r="46" spans="1:17">
      <c r="A46" s="160" t="s">
        <v>152</v>
      </c>
      <c r="B46" s="99" t="s">
        <v>254</v>
      </c>
      <c r="C46" s="142">
        <v>0</v>
      </c>
      <c r="D46" s="142">
        <f>'Classified FTEs'!H88+'Classified FTEs'!K88</f>
        <v>2</v>
      </c>
      <c r="E46" s="142">
        <f>'Classified FTEs'!I88+'Classified FTEs'!L88+'Classified FTEs'!M88+'Classified FTEs'!N88+'Classified FTEs'!O88</f>
        <v>0.08</v>
      </c>
      <c r="F46" s="142">
        <v>0</v>
      </c>
      <c r="G46" s="142">
        <f>'Classified FTEs'!E88+'Classified FTEs'!F88+'Classified FTEs'!J88</f>
        <v>1</v>
      </c>
      <c r="H46" s="142">
        <v>0</v>
      </c>
      <c r="I46" s="142">
        <v>0</v>
      </c>
      <c r="J46" s="142">
        <v>0</v>
      </c>
      <c r="K46" s="142">
        <v>0</v>
      </c>
      <c r="L46" s="142">
        <v>0</v>
      </c>
      <c r="M46" s="142">
        <v>0</v>
      </c>
      <c r="N46" s="143">
        <f>'Classified FTEs'!T88+'Classified FTEs'!U88+'Classified FTEs'!W88+'Classified FTEs'!X88+'Classified FTEs'!AB88+'Classified FTEs'!AD88+'Classified FTEs'!AE88</f>
        <v>0.88</v>
      </c>
      <c r="O46" s="143">
        <f>SUM('instruction-charters'!C46:N46)+SUM('support-charters'!C46:N46)</f>
        <v>37.520000000000003</v>
      </c>
      <c r="P46" s="97"/>
      <c r="Q46" s="97"/>
    </row>
    <row r="47" spans="1:17">
      <c r="A47" s="160" t="s">
        <v>154</v>
      </c>
      <c r="B47" s="99" t="s">
        <v>255</v>
      </c>
      <c r="C47" s="132">
        <v>0</v>
      </c>
      <c r="D47" s="132">
        <f>'Classified FTEs'!H89+'Classified FTEs'!K89</f>
        <v>0</v>
      </c>
      <c r="E47" s="132">
        <f>'Classified FTEs'!I89+'Classified FTEs'!L89+'Classified FTEs'!M89+'Classified FTEs'!N89+'Classified FTEs'!O89</f>
        <v>1</v>
      </c>
      <c r="F47" s="132">
        <v>1</v>
      </c>
      <c r="G47" s="132">
        <f>'Classified FTEs'!E89+'Classified FTEs'!F89+'Classified FTEs'!J89</f>
        <v>3</v>
      </c>
      <c r="H47" s="132">
        <v>0</v>
      </c>
      <c r="I47" s="132">
        <v>0</v>
      </c>
      <c r="J47" s="132">
        <v>0</v>
      </c>
      <c r="K47" s="132">
        <v>0</v>
      </c>
      <c r="L47" s="132">
        <v>2</v>
      </c>
      <c r="M47" s="132">
        <v>0</v>
      </c>
      <c r="N47" s="133">
        <f>'Classified FTEs'!T89+'Classified FTEs'!U89+'Classified FTEs'!W89+'Classified FTEs'!X89+'Classified FTEs'!AB89+'Classified FTEs'!AD89+'Classified FTEs'!AE89</f>
        <v>4.5</v>
      </c>
      <c r="O47" s="133">
        <f>SUM('instruction-charters'!C47:N47)+SUM('support-charters'!C47:N47)</f>
        <v>65.222000000000008</v>
      </c>
      <c r="P47" s="97"/>
      <c r="Q47" s="97"/>
    </row>
    <row r="48" spans="1:17">
      <c r="A48" s="160" t="s">
        <v>156</v>
      </c>
      <c r="B48" s="99" t="s">
        <v>256</v>
      </c>
      <c r="C48" s="132">
        <v>0</v>
      </c>
      <c r="D48" s="132">
        <f>'Classified FTEs'!H90+'Classified FTEs'!K90</f>
        <v>0</v>
      </c>
      <c r="E48" s="132">
        <f>'Classified FTEs'!I90+'Classified FTEs'!L90+'Classified FTEs'!M90+'Classified FTEs'!N90+'Classified FTEs'!O90</f>
        <v>3.59</v>
      </c>
      <c r="F48" s="132">
        <v>1.889</v>
      </c>
      <c r="G48" s="132">
        <f>'Classified FTEs'!E90+'Classified FTEs'!F90+'Classified FTEs'!J90</f>
        <v>0</v>
      </c>
      <c r="H48" s="132">
        <v>0</v>
      </c>
      <c r="I48" s="132">
        <v>0</v>
      </c>
      <c r="J48" s="132">
        <v>0</v>
      </c>
      <c r="K48" s="132">
        <v>0</v>
      </c>
      <c r="L48" s="132">
        <v>0</v>
      </c>
      <c r="M48" s="132">
        <v>0</v>
      </c>
      <c r="N48" s="133">
        <f>'Classified FTEs'!T90+'Classified FTEs'!U90+'Classified FTEs'!W90+'Classified FTEs'!X90+'Classified FTEs'!AB90+'Classified FTEs'!AD90+'Classified FTEs'!AE90</f>
        <v>1.55</v>
      </c>
      <c r="O48" s="133">
        <f>SUM('instruction-charters'!C48:N48)+SUM('support-charters'!C48:N48)</f>
        <v>51.230000000000004</v>
      </c>
      <c r="P48" s="97"/>
      <c r="Q48" s="97"/>
    </row>
    <row r="49" spans="1:17">
      <c r="A49" s="160">
        <v>97</v>
      </c>
      <c r="B49" s="99" t="s">
        <v>257</v>
      </c>
      <c r="C49" s="132">
        <v>0</v>
      </c>
      <c r="D49" s="132">
        <f>'Classified FTEs'!H91+'Classified FTEs'!K91</f>
        <v>2</v>
      </c>
      <c r="E49" s="132">
        <f>'Classified FTEs'!I91+'Classified FTEs'!L91+'Classified FTEs'!M91+'Classified FTEs'!N91+'Classified FTEs'!O91</f>
        <v>2</v>
      </c>
      <c r="F49" s="132">
        <v>1</v>
      </c>
      <c r="G49" s="132">
        <f>'Classified FTEs'!E91+'Classified FTEs'!F91+'Classified FTEs'!J91</f>
        <v>0</v>
      </c>
      <c r="H49" s="132">
        <v>0</v>
      </c>
      <c r="I49" s="132">
        <v>0</v>
      </c>
      <c r="J49" s="132">
        <v>0</v>
      </c>
      <c r="K49" s="132">
        <v>0</v>
      </c>
      <c r="L49" s="132">
        <v>0</v>
      </c>
      <c r="M49" s="132">
        <v>0</v>
      </c>
      <c r="N49" s="133">
        <f>'Classified FTEs'!T91+'Classified FTEs'!U91+'Classified FTEs'!W91+'Classified FTEs'!X91+'Classified FTEs'!AB91+'Classified FTEs'!AD91+'Classified FTEs'!AE91</f>
        <v>1</v>
      </c>
      <c r="O49" s="133">
        <f>SUM('instruction-charters'!C49:N49)+SUM('support-charters'!C49:N49)</f>
        <v>21.91</v>
      </c>
      <c r="P49" s="97"/>
      <c r="Q49" s="97"/>
    </row>
    <row r="50" spans="1:17">
      <c r="A50" s="160" t="s">
        <v>159</v>
      </c>
      <c r="B50" s="99" t="s">
        <v>160</v>
      </c>
      <c r="C50" s="132">
        <v>0</v>
      </c>
      <c r="D50" s="132">
        <f>'Classified FTEs'!H92+'Classified FTEs'!K92</f>
        <v>0</v>
      </c>
      <c r="E50" s="132">
        <f>'Classified FTEs'!I92+'Classified FTEs'!L92+'Classified FTEs'!M92+'Classified FTEs'!N92+'Classified FTEs'!O92</f>
        <v>0.94</v>
      </c>
      <c r="F50" s="132">
        <v>1.88</v>
      </c>
      <c r="G50" s="132">
        <f>'Classified FTEs'!E92+'Classified FTEs'!F92+'Classified FTEs'!J92</f>
        <v>1</v>
      </c>
      <c r="H50" s="132">
        <v>0</v>
      </c>
      <c r="I50" s="132">
        <v>0</v>
      </c>
      <c r="J50" s="132">
        <v>0</v>
      </c>
      <c r="K50" s="132">
        <v>0</v>
      </c>
      <c r="L50" s="132">
        <v>0</v>
      </c>
      <c r="M50" s="132">
        <v>0</v>
      </c>
      <c r="N50" s="133">
        <f>'Classified FTEs'!T92+'Classified FTEs'!U92+'Classified FTEs'!W92+'Classified FTEs'!X92+'Classified FTEs'!AB92+'Classified FTEs'!AD92+'Classified FTEs'!AE92</f>
        <v>0</v>
      </c>
      <c r="O50" s="133">
        <f>SUM('instruction-charters'!C50:N50)+SUM('support-charters'!C50:N50)</f>
        <v>6.6329999999999991</v>
      </c>
      <c r="P50" s="97"/>
      <c r="Q50" s="97"/>
    </row>
    <row r="51" spans="1:17">
      <c r="A51" s="160">
        <v>89</v>
      </c>
      <c r="B51" s="99" t="s">
        <v>161</v>
      </c>
      <c r="C51" s="132">
        <v>0</v>
      </c>
      <c r="D51" s="132">
        <f>'Classified FTEs'!H93+'Classified FTEs'!K93</f>
        <v>0</v>
      </c>
      <c r="E51" s="132">
        <f>'Classified FTEs'!I93+'Classified FTEs'!L93+'Classified FTEs'!M93+'Classified FTEs'!N93+'Classified FTEs'!O93</f>
        <v>0</v>
      </c>
      <c r="F51" s="132">
        <v>0.8</v>
      </c>
      <c r="G51" s="132">
        <f>'Classified FTEs'!E93+'Classified FTEs'!F93+'Classified FTEs'!J93</f>
        <v>1</v>
      </c>
      <c r="H51" s="132">
        <v>0</v>
      </c>
      <c r="I51" s="132">
        <v>0</v>
      </c>
      <c r="J51" s="132">
        <v>0</v>
      </c>
      <c r="K51" s="132">
        <v>0</v>
      </c>
      <c r="L51" s="132">
        <v>0</v>
      </c>
      <c r="M51" s="132">
        <v>0</v>
      </c>
      <c r="N51" s="133">
        <f>'Classified FTEs'!T93+'Classified FTEs'!U93+'Classified FTEs'!W93+'Classified FTEs'!X93+'Classified FTEs'!AB93+'Classified FTEs'!AD93+'Classified FTEs'!AE93</f>
        <v>0</v>
      </c>
      <c r="O51" s="133">
        <f>SUM('instruction-charters'!C51:N51)+SUM('support-charters'!C51:N51)</f>
        <v>12.000000000000002</v>
      </c>
      <c r="P51" s="97"/>
      <c r="Q51" s="97"/>
    </row>
    <row r="52" spans="1:17">
      <c r="A52" s="160" t="s">
        <v>162</v>
      </c>
      <c r="B52" s="99" t="s">
        <v>258</v>
      </c>
      <c r="C52" s="137">
        <v>0</v>
      </c>
      <c r="D52" s="137">
        <f>'Classified FTEs'!H94+'Classified FTEs'!K94</f>
        <v>1</v>
      </c>
      <c r="E52" s="137">
        <f>'Classified FTEs'!I94+'Classified FTEs'!L94+'Classified FTEs'!M94+'Classified FTEs'!N94+'Classified FTEs'!O94</f>
        <v>1.1000000000000001</v>
      </c>
      <c r="F52" s="137">
        <v>1.111</v>
      </c>
      <c r="G52" s="137">
        <f>'Classified FTEs'!E94+'Classified FTEs'!F94+'Classified FTEs'!J94</f>
        <v>1</v>
      </c>
      <c r="H52" s="137">
        <v>1</v>
      </c>
      <c r="I52" s="137">
        <v>0</v>
      </c>
      <c r="J52" s="137">
        <v>0</v>
      </c>
      <c r="K52" s="137">
        <v>0</v>
      </c>
      <c r="L52" s="137">
        <v>0</v>
      </c>
      <c r="M52" s="137">
        <v>0.05</v>
      </c>
      <c r="N52" s="138">
        <f>'Classified FTEs'!T94+'Classified FTEs'!U94+'Classified FTEs'!W94+'Classified FTEs'!X94+'Classified FTEs'!AB94+'Classified FTEs'!AD94+'Classified FTEs'!AE94</f>
        <v>2.21</v>
      </c>
      <c r="O52" s="138">
        <f>SUM('instruction-charters'!C52:N52)+SUM('support-charters'!C52:N52)</f>
        <v>34.448</v>
      </c>
      <c r="P52" s="97"/>
      <c r="Q52" s="97"/>
    </row>
    <row r="53" spans="1:17">
      <c r="A53" s="160" t="s">
        <v>164</v>
      </c>
      <c r="B53" s="99" t="s">
        <v>259</v>
      </c>
      <c r="C53" s="132">
        <v>0</v>
      </c>
      <c r="D53" s="132">
        <f>'Classified FTEs'!H95+'Classified FTEs'!K95</f>
        <v>0</v>
      </c>
      <c r="E53" s="132">
        <f>'Classified FTEs'!I95+'Classified FTEs'!L95+'Classified FTEs'!M95+'Classified FTEs'!N95+'Classified FTEs'!O95</f>
        <v>0</v>
      </c>
      <c r="F53" s="132">
        <v>1</v>
      </c>
      <c r="G53" s="132">
        <f>'Classified FTEs'!E95+'Classified FTEs'!F95+'Classified FTEs'!J95</f>
        <v>2</v>
      </c>
      <c r="H53" s="132">
        <v>0</v>
      </c>
      <c r="I53" s="132">
        <v>0</v>
      </c>
      <c r="J53" s="132">
        <v>0</v>
      </c>
      <c r="K53" s="132">
        <v>0</v>
      </c>
      <c r="L53" s="132">
        <v>0</v>
      </c>
      <c r="M53" s="132">
        <v>0</v>
      </c>
      <c r="N53" s="133">
        <f>'Classified FTEs'!T95+'Classified FTEs'!U95+'Classified FTEs'!W95+'Classified FTEs'!X95+'Classified FTEs'!AB95+'Classified FTEs'!AD95+'Classified FTEs'!AE95</f>
        <v>0</v>
      </c>
      <c r="O53" s="133">
        <f>SUM('instruction-charters'!C53:N53)+SUM('support-charters'!C53:N53)</f>
        <v>9.68</v>
      </c>
      <c r="P53" s="97"/>
      <c r="Q53" s="97"/>
    </row>
    <row r="54" spans="1:17">
      <c r="A54" s="160">
        <v>88</v>
      </c>
      <c r="B54" s="99" t="s">
        <v>166</v>
      </c>
      <c r="C54" s="132">
        <v>0</v>
      </c>
      <c r="D54" s="132">
        <f>'Classified FTEs'!H96+'Classified FTEs'!K96</f>
        <v>0</v>
      </c>
      <c r="E54" s="132">
        <f>'Classified FTEs'!I96+'Classified FTEs'!L96+'Classified FTEs'!M96+'Classified FTEs'!N96+'Classified FTEs'!O96</f>
        <v>0</v>
      </c>
      <c r="F54" s="132">
        <v>0</v>
      </c>
      <c r="G54" s="132">
        <f>'Classified FTEs'!E96+'Classified FTEs'!F96+'Classified FTEs'!J96</f>
        <v>0.75</v>
      </c>
      <c r="H54" s="132">
        <v>0</v>
      </c>
      <c r="I54" s="132">
        <v>0</v>
      </c>
      <c r="J54" s="132">
        <v>0</v>
      </c>
      <c r="K54" s="132">
        <v>0</v>
      </c>
      <c r="L54" s="132">
        <v>0</v>
      </c>
      <c r="M54" s="132">
        <v>0</v>
      </c>
      <c r="N54" s="133">
        <f>'Classified FTEs'!T96+'Classified FTEs'!U96+'Classified FTEs'!W96+'Classified FTEs'!X96+'Classified FTEs'!AB96+'Classified FTEs'!AD96+'Classified FTEs'!AE96</f>
        <v>0</v>
      </c>
      <c r="O54" s="133">
        <f>SUM('instruction-charters'!C54:N54)+SUM('support-charters'!C54:N54)</f>
        <v>3.75</v>
      </c>
      <c r="P54" s="97"/>
      <c r="Q54" s="97"/>
    </row>
    <row r="55" spans="1:17">
      <c r="A55" s="160" t="s">
        <v>167</v>
      </c>
      <c r="B55" s="99" t="s">
        <v>260</v>
      </c>
      <c r="C55" s="132">
        <v>0</v>
      </c>
      <c r="D55" s="132">
        <f>'Classified FTEs'!H97+'Classified FTEs'!K97</f>
        <v>1.3</v>
      </c>
      <c r="E55" s="132">
        <f>'Classified FTEs'!I97+'Classified FTEs'!L97+'Classified FTEs'!M97+'Classified FTEs'!N97+'Classified FTEs'!O97</f>
        <v>0</v>
      </c>
      <c r="F55" s="132">
        <v>2</v>
      </c>
      <c r="G55" s="132">
        <f>'Classified FTEs'!E97+'Classified FTEs'!F97+'Classified FTEs'!J97</f>
        <v>5</v>
      </c>
      <c r="H55" s="132">
        <v>0</v>
      </c>
      <c r="I55" s="132">
        <v>0</v>
      </c>
      <c r="J55" s="132">
        <v>0.67</v>
      </c>
      <c r="K55" s="132">
        <v>0</v>
      </c>
      <c r="L55" s="132">
        <v>0</v>
      </c>
      <c r="M55" s="132">
        <v>0</v>
      </c>
      <c r="N55" s="133">
        <f>'Classified FTEs'!T97+'Classified FTEs'!U97+'Classified FTEs'!W97+'Classified FTEs'!X97+'Classified FTEs'!AB97+'Classified FTEs'!AD97+'Classified FTEs'!AE97</f>
        <v>2</v>
      </c>
      <c r="O55" s="133">
        <f>SUM('instruction-charters'!C55:N55)+SUM('support-charters'!C55:N55)</f>
        <v>66.551000000000002</v>
      </c>
      <c r="P55" s="97"/>
      <c r="Q55" s="97"/>
    </row>
    <row r="56" spans="1:17">
      <c r="A56" s="160" t="s">
        <v>169</v>
      </c>
      <c r="B56" s="99" t="s">
        <v>261</v>
      </c>
      <c r="C56" s="142">
        <v>0</v>
      </c>
      <c r="D56" s="142">
        <f>'Classified FTEs'!H98+'Classified FTEs'!K98</f>
        <v>0</v>
      </c>
      <c r="E56" s="142">
        <f>'Classified FTEs'!I98+'Classified FTEs'!L98+'Classified FTEs'!M98+'Classified FTEs'!N98+'Classified FTEs'!O98</f>
        <v>0</v>
      </c>
      <c r="F56" s="142">
        <v>1</v>
      </c>
      <c r="G56" s="142">
        <f>'Classified FTEs'!E98+'Classified FTEs'!F98+'Classified FTEs'!J98</f>
        <v>2.2599999999999998</v>
      </c>
      <c r="H56" s="142">
        <v>0</v>
      </c>
      <c r="I56" s="142">
        <v>0</v>
      </c>
      <c r="J56" s="142">
        <v>0</v>
      </c>
      <c r="K56" s="142">
        <v>0</v>
      </c>
      <c r="L56" s="142">
        <v>0.68</v>
      </c>
      <c r="M56" s="142">
        <v>0</v>
      </c>
      <c r="N56" s="143">
        <f>'Classified FTEs'!T98+'Classified FTEs'!U98+'Classified FTEs'!W98+'Classified FTEs'!X98+'Classified FTEs'!AB98+'Classified FTEs'!AD98+'Classified FTEs'!AE98</f>
        <v>1.49</v>
      </c>
      <c r="O56" s="143">
        <f>SUM('instruction-charters'!C56:N56)+SUM('support-charters'!C56:N56)</f>
        <v>33</v>
      </c>
      <c r="P56" s="97"/>
      <c r="Q56" s="97"/>
    </row>
    <row r="57" spans="1:17">
      <c r="A57" s="160">
        <v>94</v>
      </c>
      <c r="B57" s="99" t="s">
        <v>171</v>
      </c>
      <c r="C57" s="137">
        <v>0</v>
      </c>
      <c r="D57" s="137">
        <f>'Classified FTEs'!H99+'Classified FTEs'!K99</f>
        <v>0</v>
      </c>
      <c r="E57" s="137">
        <f>'Classified FTEs'!I99+'Classified FTEs'!L99+'Classified FTEs'!M99+'Classified FTEs'!N99+'Classified FTEs'!O99</f>
        <v>0</v>
      </c>
      <c r="F57" s="137">
        <v>1</v>
      </c>
      <c r="G57" s="137">
        <f>'Classified FTEs'!E99+'Classified FTEs'!F99+'Classified FTEs'!J99</f>
        <v>2</v>
      </c>
      <c r="H57" s="137">
        <v>0</v>
      </c>
      <c r="I57" s="137">
        <v>0</v>
      </c>
      <c r="J57" s="137">
        <v>0</v>
      </c>
      <c r="K57" s="137">
        <v>0</v>
      </c>
      <c r="L57" s="137">
        <v>0</v>
      </c>
      <c r="M57" s="137">
        <v>0</v>
      </c>
      <c r="N57" s="138">
        <f>'Classified FTEs'!T99+'Classified FTEs'!U99+'Classified FTEs'!W99+'Classified FTEs'!X99+'Classified FTEs'!AB99+'Classified FTEs'!AD99+'Classified FTEs'!AE99</f>
        <v>2</v>
      </c>
      <c r="O57" s="138">
        <f>SUM('instruction-charters'!C57:N57)+SUM('support-charters'!C57:N57)</f>
        <v>39.9</v>
      </c>
      <c r="P57" s="97"/>
      <c r="Q57" s="97"/>
    </row>
    <row r="58" spans="1:17">
      <c r="A58" s="160" t="s">
        <v>172</v>
      </c>
      <c r="B58" s="99" t="s">
        <v>173</v>
      </c>
      <c r="C58" s="132">
        <v>0</v>
      </c>
      <c r="D58" s="132">
        <f>'Classified FTEs'!H100+'Classified FTEs'!K100</f>
        <v>0</v>
      </c>
      <c r="E58" s="132">
        <f>'Classified FTEs'!I100+'Classified FTEs'!L100+'Classified FTEs'!M100+'Classified FTEs'!N100+'Classified FTEs'!O100</f>
        <v>0</v>
      </c>
      <c r="F58" s="132">
        <v>1</v>
      </c>
      <c r="G58" s="132">
        <f>'Classified FTEs'!E100+'Classified FTEs'!F100+'Classified FTEs'!J100</f>
        <v>2</v>
      </c>
      <c r="H58" s="132">
        <v>1</v>
      </c>
      <c r="I58" s="132">
        <v>0</v>
      </c>
      <c r="J58" s="132">
        <v>0</v>
      </c>
      <c r="K58" s="132">
        <v>0</v>
      </c>
      <c r="L58" s="132">
        <v>0</v>
      </c>
      <c r="M58" s="132">
        <v>0</v>
      </c>
      <c r="N58" s="133">
        <f>'Classified FTEs'!T100+'Classified FTEs'!U100+'Classified FTEs'!W100+'Classified FTEs'!X100+'Classified FTEs'!AB100+'Classified FTEs'!AD100+'Classified FTEs'!AE100</f>
        <v>2</v>
      </c>
      <c r="O58" s="133">
        <f>SUM('instruction-charters'!C58:N58)+SUM('support-charters'!C58:N58)</f>
        <v>42.344000000000001</v>
      </c>
      <c r="P58" s="97"/>
      <c r="Q58" s="97"/>
    </row>
    <row r="59" spans="1:17">
      <c r="A59" s="161">
        <v>95</v>
      </c>
      <c r="B59" s="100" t="s">
        <v>262</v>
      </c>
      <c r="C59" s="132">
        <v>0</v>
      </c>
      <c r="D59" s="132">
        <f>'Classified FTEs'!H101+'Classified FTEs'!K101</f>
        <v>0</v>
      </c>
      <c r="E59" s="132">
        <f>'Classified FTEs'!I101+'Classified FTEs'!L101+'Classified FTEs'!M101+'Classified FTEs'!N101+'Classified FTEs'!O101</f>
        <v>3.25</v>
      </c>
      <c r="F59" s="132">
        <v>1</v>
      </c>
      <c r="G59" s="132">
        <f>'Classified FTEs'!E101+'Classified FTEs'!F101+'Classified FTEs'!J101</f>
        <v>0</v>
      </c>
      <c r="H59" s="132">
        <v>0</v>
      </c>
      <c r="I59" s="132">
        <v>0</v>
      </c>
      <c r="J59" s="132">
        <v>0</v>
      </c>
      <c r="K59" s="132">
        <v>0</v>
      </c>
      <c r="L59" s="132">
        <v>0</v>
      </c>
      <c r="M59" s="132">
        <v>0</v>
      </c>
      <c r="N59" s="133">
        <f>'Classified FTEs'!T101+'Classified FTEs'!U101+'Classified FTEs'!W101+'Classified FTEs'!X101+'Classified FTEs'!AB101+'Classified FTEs'!AD101+'Classified FTEs'!AE101</f>
        <v>1</v>
      </c>
      <c r="O59" s="133">
        <f>SUM('instruction-charters'!C59:N59)+SUM('support-charters'!C59:N59)</f>
        <v>37.75</v>
      </c>
      <c r="P59" s="97"/>
      <c r="Q59" s="97"/>
    </row>
    <row r="60" spans="1:17">
      <c r="A60" s="161">
        <v>90</v>
      </c>
      <c r="B60" s="101" t="s">
        <v>175</v>
      </c>
      <c r="C60" s="132">
        <v>0</v>
      </c>
      <c r="D60" s="132">
        <f>'Classified FTEs'!H102+'Classified FTEs'!K102</f>
        <v>1</v>
      </c>
      <c r="E60" s="132">
        <f>'Classified FTEs'!I102+'Classified FTEs'!L102+'Classified FTEs'!M102+'Classified FTEs'!N102+'Classified FTEs'!O102</f>
        <v>0</v>
      </c>
      <c r="F60" s="132">
        <v>2.46</v>
      </c>
      <c r="G60" s="132">
        <f>'Classified FTEs'!E102+'Classified FTEs'!F102+'Classified FTEs'!J102</f>
        <v>1</v>
      </c>
      <c r="H60" s="132">
        <v>0</v>
      </c>
      <c r="I60" s="132">
        <v>0</v>
      </c>
      <c r="J60" s="132">
        <v>0</v>
      </c>
      <c r="K60" s="132">
        <v>0</v>
      </c>
      <c r="L60" s="132">
        <v>0</v>
      </c>
      <c r="M60" s="132">
        <v>0</v>
      </c>
      <c r="N60" s="133">
        <f>'Classified FTEs'!T102+'Classified FTEs'!U102+'Classified FTEs'!W102+'Classified FTEs'!X102+'Classified FTEs'!AB102+'Classified FTEs'!AD102+'Classified FTEs'!AE102</f>
        <v>0</v>
      </c>
      <c r="O60" s="133">
        <f>SUM('instruction-charters'!C60:N60)+SUM('support-charters'!C60:N60)</f>
        <v>20.135999999999999</v>
      </c>
      <c r="P60" s="97"/>
      <c r="Q60" s="97"/>
    </row>
    <row r="61" spans="1:17">
      <c r="A61" s="160" t="s">
        <v>176</v>
      </c>
      <c r="B61" s="101" t="s">
        <v>177</v>
      </c>
      <c r="C61" s="142">
        <v>0</v>
      </c>
      <c r="D61" s="142">
        <f>'Classified FTEs'!H103+'Classified FTEs'!K103</f>
        <v>0</v>
      </c>
      <c r="E61" s="142">
        <f>'Classified FTEs'!I103+'Classified FTEs'!L103+'Classified FTEs'!M103+'Classified FTEs'!N103+'Classified FTEs'!O103</f>
        <v>0.25</v>
      </c>
      <c r="F61" s="142">
        <v>1.28</v>
      </c>
      <c r="G61" s="142">
        <f>'Classified FTEs'!E103+'Classified FTEs'!F103+'Classified FTEs'!J103</f>
        <v>2.5</v>
      </c>
      <c r="H61" s="142">
        <v>0</v>
      </c>
      <c r="I61" s="142">
        <v>0</v>
      </c>
      <c r="J61" s="142">
        <v>0</v>
      </c>
      <c r="K61" s="142">
        <v>0</v>
      </c>
      <c r="L61" s="142">
        <v>0.5</v>
      </c>
      <c r="M61" s="142">
        <v>0</v>
      </c>
      <c r="N61" s="143">
        <f>'Classified FTEs'!T103+'Classified FTEs'!U103+'Classified FTEs'!W103+'Classified FTEs'!X103+'Classified FTEs'!AB103+'Classified FTEs'!AD103+'Classified FTEs'!AE103</f>
        <v>0</v>
      </c>
      <c r="O61" s="143">
        <f>SUM('instruction-charters'!C61:N61)+SUM('support-charters'!C61:N61)</f>
        <v>16.650000000000002</v>
      </c>
      <c r="P61" s="97"/>
      <c r="Q61" s="97"/>
    </row>
    <row r="62" spans="1:17">
      <c r="A62" s="161">
        <v>92</v>
      </c>
      <c r="B62" s="101" t="s">
        <v>263</v>
      </c>
      <c r="C62" s="132">
        <v>0</v>
      </c>
      <c r="D62" s="132">
        <f>'Classified FTEs'!H104+'Classified FTEs'!K104</f>
        <v>0.15</v>
      </c>
      <c r="E62" s="132">
        <f>'Classified FTEs'!I104+'Classified FTEs'!L104+'Classified FTEs'!M104+'Classified FTEs'!N104+'Classified FTEs'!O104</f>
        <v>0</v>
      </c>
      <c r="F62" s="132">
        <v>1</v>
      </c>
      <c r="G62" s="132">
        <f>'Classified FTEs'!E104+'Classified FTEs'!F104+'Classified FTEs'!J104</f>
        <v>1.1000000000000001</v>
      </c>
      <c r="H62" s="132">
        <v>0</v>
      </c>
      <c r="I62" s="132">
        <v>0</v>
      </c>
      <c r="J62" s="132">
        <v>0</v>
      </c>
      <c r="K62" s="132">
        <v>0</v>
      </c>
      <c r="L62" s="132">
        <v>0</v>
      </c>
      <c r="M62" s="132">
        <v>0</v>
      </c>
      <c r="N62" s="133">
        <f>'Classified FTEs'!T104+'Classified FTEs'!U104+'Classified FTEs'!W104+'Classified FTEs'!X104+'Classified FTEs'!AB104+'Classified FTEs'!AD104+'Classified FTEs'!AE104</f>
        <v>2</v>
      </c>
      <c r="O62" s="133">
        <f>SUM('instruction-charters'!C62:N62)+SUM('support-charters'!C62:N62)</f>
        <v>9.0429999999999993</v>
      </c>
      <c r="P62" s="97"/>
      <c r="Q62" s="97"/>
    </row>
    <row r="63" spans="1:17">
      <c r="A63" s="161">
        <v>81</v>
      </c>
      <c r="B63" s="100" t="s">
        <v>264</v>
      </c>
      <c r="C63" s="132">
        <v>0</v>
      </c>
      <c r="D63" s="132">
        <f>'Classified FTEs'!H105+'Classified FTEs'!K105</f>
        <v>0</v>
      </c>
      <c r="E63" s="132">
        <f>'Classified FTEs'!I105+'Classified FTEs'!L105+'Classified FTEs'!M105+'Classified FTEs'!N105+'Classified FTEs'!O105</f>
        <v>0</v>
      </c>
      <c r="F63" s="132">
        <v>0</v>
      </c>
      <c r="G63" s="132">
        <f>'Classified FTEs'!E105+'Classified FTEs'!F105+'Classified FTEs'!J105</f>
        <v>0.9</v>
      </c>
      <c r="H63" s="132">
        <v>0</v>
      </c>
      <c r="I63" s="132">
        <v>0</v>
      </c>
      <c r="J63" s="132">
        <v>0</v>
      </c>
      <c r="K63" s="132">
        <v>0</v>
      </c>
      <c r="L63" s="132">
        <v>0</v>
      </c>
      <c r="M63" s="132">
        <v>0</v>
      </c>
      <c r="N63" s="133">
        <f>'Classified FTEs'!T105+'Classified FTEs'!U105+'Classified FTEs'!W105+'Classified FTEs'!X105+'Classified FTEs'!AB105+'Classified FTEs'!AD105+'Classified FTEs'!AE105</f>
        <v>1.82</v>
      </c>
      <c r="O63" s="133">
        <f>SUM('instruction-charters'!C63:N63)+SUM('support-charters'!C63:N63)</f>
        <v>25.73</v>
      </c>
      <c r="P63" s="97"/>
      <c r="Q63" s="97"/>
    </row>
    <row r="64" spans="1:17" ht="13.5" thickBot="1">
      <c r="A64" s="160" t="s">
        <v>180</v>
      </c>
      <c r="B64" s="164" t="s">
        <v>265</v>
      </c>
      <c r="C64" s="132">
        <v>0</v>
      </c>
      <c r="D64" s="132">
        <f>'Classified FTEs'!H106+'Classified FTEs'!K106</f>
        <v>0</v>
      </c>
      <c r="E64" s="132">
        <f>'Classified FTEs'!I106+'Classified FTEs'!L106+'Classified FTEs'!M106+'Classified FTEs'!N106+'Classified FTEs'!O106</f>
        <v>0</v>
      </c>
      <c r="F64" s="132">
        <v>1</v>
      </c>
      <c r="G64" s="132">
        <f>'Classified FTEs'!E106+'Classified FTEs'!F106+'Classified FTEs'!J106</f>
        <v>1.73</v>
      </c>
      <c r="H64" s="132">
        <v>0</v>
      </c>
      <c r="I64" s="132">
        <v>0</v>
      </c>
      <c r="J64" s="132">
        <v>0</v>
      </c>
      <c r="K64" s="132">
        <v>0</v>
      </c>
      <c r="L64" s="132">
        <v>0.65</v>
      </c>
      <c r="M64" s="132">
        <v>0</v>
      </c>
      <c r="N64" s="133">
        <f>'Classified FTEs'!T106+'Classified FTEs'!U106+'Classified FTEs'!W106+'Classified FTEs'!X106+'Classified FTEs'!AB106+'Classified FTEs'!AD106+'Classified FTEs'!AE106</f>
        <v>1.9100000000000001</v>
      </c>
      <c r="O64" s="133">
        <f>SUM('instruction-charters'!C64:N64)+SUM('support-charters'!C64:N64)</f>
        <v>28.318999999999999</v>
      </c>
      <c r="P64" s="97"/>
      <c r="Q64" s="97"/>
    </row>
    <row r="65" spans="2:17" ht="13.5" thickBot="1">
      <c r="B65" s="162" t="s">
        <v>182</v>
      </c>
      <c r="C65" s="148">
        <f t="shared" ref="C65:O65" si="0">SUM(C7:C64)</f>
        <v>10</v>
      </c>
      <c r="D65" s="148">
        <f t="shared" si="0"/>
        <v>45.79</v>
      </c>
      <c r="E65" s="148">
        <f t="shared" si="0"/>
        <v>39.159999999999989</v>
      </c>
      <c r="F65" s="148">
        <f t="shared" si="0"/>
        <v>60.135000000000005</v>
      </c>
      <c r="G65" s="148">
        <f t="shared" si="0"/>
        <v>108.76</v>
      </c>
      <c r="H65" s="148">
        <f t="shared" si="0"/>
        <v>4.5359999999999996</v>
      </c>
      <c r="I65" s="148">
        <f t="shared" si="0"/>
        <v>0</v>
      </c>
      <c r="J65" s="148">
        <f t="shared" si="0"/>
        <v>1.04</v>
      </c>
      <c r="K65" s="148">
        <f t="shared" si="0"/>
        <v>0</v>
      </c>
      <c r="L65" s="148">
        <f t="shared" si="0"/>
        <v>14.68</v>
      </c>
      <c r="M65" s="148">
        <f t="shared" si="0"/>
        <v>5.53</v>
      </c>
      <c r="N65" s="149">
        <f t="shared" si="0"/>
        <v>101.89999999999998</v>
      </c>
      <c r="O65" s="149">
        <f t="shared" si="0"/>
        <v>1955.9250000000002</v>
      </c>
      <c r="P65" s="97"/>
      <c r="Q65" s="97"/>
    </row>
    <row r="66" spans="2:17"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</row>
    <row r="67" spans="2:17"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</row>
    <row r="68" spans="2:17"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</row>
    <row r="69" spans="2:17"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</row>
    <row r="70" spans="2:17"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</row>
    <row r="71" spans="2:17"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</row>
    <row r="72" spans="2:17"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</row>
    <row r="73" spans="2:17"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</row>
    <row r="74" spans="2:17"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</row>
    <row r="75" spans="2:17"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</row>
  </sheetData>
  <sortState ref="B7:R64">
    <sortCondition ref="B7:B64"/>
  </sortState>
  <mergeCells count="9">
    <mergeCell ref="B1:B5"/>
    <mergeCell ref="C1:N1"/>
    <mergeCell ref="O1:O5"/>
    <mergeCell ref="C2:D4"/>
    <mergeCell ref="E2:E4"/>
    <mergeCell ref="F2:F4"/>
    <mergeCell ref="G2:G4"/>
    <mergeCell ref="H2:M3"/>
    <mergeCell ref="N2:N4"/>
  </mergeCells>
  <printOptions horizontalCentered="1"/>
  <pageMargins left="0.7" right="0.7" top="0.75" bottom="0.75" header="0.3" footer="0.3"/>
  <pageSetup scale="56" orientation="landscape" r:id="rId1"/>
  <headerFooter>
    <oddHeader>&amp;L&amp;8STATUS:  Final&amp;C&amp;"-,Bold"&amp;12FULL TIME EQUIVALENTS (FTEs) BY POSITION&amp;"-,Regular"&amp;11
&amp;"-,Bold"Licensed and Classified Personnel
FY 2008&amp;R&amp;8CURRENT AS OF:  October, 2008</oddHeader>
    <oddFooter>&amp;L&amp;8COMPILED BY:  USOE/Finance and Statistics/Emily Eyre
DATA SOURCE:  CACTUS Database June 30, 2008
Year-End Web Survey FY 2008&amp;R&amp;8LOCATION:  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AV109"/>
  <sheetViews>
    <sheetView workbookViewId="0">
      <pane ySplit="6" topLeftCell="A7" activePane="bottomLeft" state="frozen"/>
      <selection activeCell="B1" sqref="B1:B5"/>
      <selection pane="bottomLeft" activeCell="B1" sqref="B1:B5"/>
    </sheetView>
  </sheetViews>
  <sheetFormatPr defaultRowHeight="15"/>
  <cols>
    <col min="1" max="1" width="4.42578125" customWidth="1"/>
    <col min="2" max="2" width="24.85546875" customWidth="1"/>
    <col min="3" max="3" width="10.140625" bestFit="1" customWidth="1"/>
    <col min="12" max="12" width="10.140625" bestFit="1" customWidth="1"/>
    <col min="32" max="32" width="11.5703125" customWidth="1"/>
    <col min="39" max="39" width="10.28515625" customWidth="1"/>
    <col min="40" max="40" width="10.85546875" customWidth="1"/>
    <col min="41" max="41" width="10.5703125" customWidth="1"/>
    <col min="48" max="48" width="10.42578125" customWidth="1"/>
  </cols>
  <sheetData>
    <row r="1" spans="1:48" ht="15.75">
      <c r="B1" s="2" t="s">
        <v>63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15.75">
      <c r="B2" s="2" t="s">
        <v>64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15.75" thickBot="1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15.75" thickBot="1">
      <c r="A4" s="3"/>
      <c r="B4" s="4"/>
      <c r="C4" s="214" t="s">
        <v>1</v>
      </c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6"/>
      <c r="X4" s="214" t="s">
        <v>2</v>
      </c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6"/>
      <c r="AM4" s="205" t="s">
        <v>65</v>
      </c>
      <c r="AN4" s="206"/>
      <c r="AO4" s="206"/>
      <c r="AP4" s="206"/>
      <c r="AQ4" s="206"/>
      <c r="AR4" s="206"/>
      <c r="AS4" s="206"/>
      <c r="AT4" s="206"/>
      <c r="AU4" s="207"/>
      <c r="AV4" s="208" t="s">
        <v>66</v>
      </c>
    </row>
    <row r="5" spans="1:48" ht="15.75" thickBot="1">
      <c r="A5" s="5"/>
      <c r="B5" s="6"/>
      <c r="C5" s="211" t="s">
        <v>67</v>
      </c>
      <c r="D5" s="212"/>
      <c r="E5" s="213"/>
      <c r="F5" s="211" t="s">
        <v>68</v>
      </c>
      <c r="G5" s="212"/>
      <c r="H5" s="213"/>
      <c r="I5" s="211" t="s">
        <v>11</v>
      </c>
      <c r="J5" s="212"/>
      <c r="K5" s="213"/>
      <c r="L5" s="211" t="s">
        <v>12</v>
      </c>
      <c r="M5" s="212"/>
      <c r="N5" s="213"/>
      <c r="O5" s="211" t="s">
        <v>13</v>
      </c>
      <c r="P5" s="212"/>
      <c r="Q5" s="213"/>
      <c r="R5" s="211" t="s">
        <v>14</v>
      </c>
      <c r="S5" s="212"/>
      <c r="T5" s="213"/>
      <c r="U5" s="211" t="s">
        <v>69</v>
      </c>
      <c r="V5" s="212"/>
      <c r="W5" s="213"/>
      <c r="X5" s="211" t="s">
        <v>70</v>
      </c>
      <c r="Y5" s="212"/>
      <c r="Z5" s="213"/>
      <c r="AA5" s="211" t="s">
        <v>71</v>
      </c>
      <c r="AB5" s="212"/>
      <c r="AC5" s="213"/>
      <c r="AD5" s="211" t="s">
        <v>72</v>
      </c>
      <c r="AE5" s="212"/>
      <c r="AF5" s="213"/>
      <c r="AG5" s="211" t="s">
        <v>73</v>
      </c>
      <c r="AH5" s="212"/>
      <c r="AI5" s="213"/>
      <c r="AJ5" s="211" t="s">
        <v>74</v>
      </c>
      <c r="AK5" s="212"/>
      <c r="AL5" s="213"/>
      <c r="AM5" s="211" t="s">
        <v>75</v>
      </c>
      <c r="AN5" s="212"/>
      <c r="AO5" s="213"/>
      <c r="AP5" s="211" t="s">
        <v>76</v>
      </c>
      <c r="AQ5" s="212"/>
      <c r="AR5" s="213"/>
      <c r="AS5" s="211" t="s">
        <v>77</v>
      </c>
      <c r="AT5" s="212"/>
      <c r="AU5" s="213"/>
      <c r="AV5" s="209"/>
    </row>
    <row r="6" spans="1:48" ht="15.75" thickBot="1">
      <c r="A6" s="7"/>
      <c r="B6" s="8" t="s">
        <v>78</v>
      </c>
      <c r="C6" s="9" t="s">
        <v>79</v>
      </c>
      <c r="D6" s="10" t="s">
        <v>80</v>
      </c>
      <c r="E6" s="11" t="s">
        <v>81</v>
      </c>
      <c r="F6" s="9" t="s">
        <v>79</v>
      </c>
      <c r="G6" s="10" t="s">
        <v>80</v>
      </c>
      <c r="H6" s="11" t="s">
        <v>81</v>
      </c>
      <c r="I6" s="9" t="s">
        <v>79</v>
      </c>
      <c r="J6" s="10" t="s">
        <v>80</v>
      </c>
      <c r="K6" s="11" t="s">
        <v>81</v>
      </c>
      <c r="L6" s="9" t="s">
        <v>79</v>
      </c>
      <c r="M6" s="10" t="s">
        <v>80</v>
      </c>
      <c r="N6" s="11" t="s">
        <v>81</v>
      </c>
      <c r="O6" s="9" t="s">
        <v>79</v>
      </c>
      <c r="P6" s="10" t="s">
        <v>80</v>
      </c>
      <c r="Q6" s="11" t="s">
        <v>81</v>
      </c>
      <c r="R6" s="9" t="s">
        <v>79</v>
      </c>
      <c r="S6" s="10" t="s">
        <v>80</v>
      </c>
      <c r="T6" s="11" t="s">
        <v>81</v>
      </c>
      <c r="U6" s="9" t="s">
        <v>79</v>
      </c>
      <c r="V6" s="10" t="s">
        <v>80</v>
      </c>
      <c r="W6" s="11" t="s">
        <v>81</v>
      </c>
      <c r="X6" s="9" t="s">
        <v>79</v>
      </c>
      <c r="Y6" s="10" t="s">
        <v>80</v>
      </c>
      <c r="Z6" s="11" t="s">
        <v>81</v>
      </c>
      <c r="AA6" s="9" t="s">
        <v>79</v>
      </c>
      <c r="AB6" s="10" t="s">
        <v>80</v>
      </c>
      <c r="AC6" s="11" t="s">
        <v>81</v>
      </c>
      <c r="AD6" s="9" t="s">
        <v>79</v>
      </c>
      <c r="AE6" s="10" t="s">
        <v>80</v>
      </c>
      <c r="AF6" s="11" t="s">
        <v>81</v>
      </c>
      <c r="AG6" s="9" t="s">
        <v>79</v>
      </c>
      <c r="AH6" s="10" t="s">
        <v>80</v>
      </c>
      <c r="AI6" s="11" t="s">
        <v>81</v>
      </c>
      <c r="AJ6" s="9" t="s">
        <v>79</v>
      </c>
      <c r="AK6" s="10" t="s">
        <v>80</v>
      </c>
      <c r="AL6" s="11" t="s">
        <v>81</v>
      </c>
      <c r="AM6" s="9" t="s">
        <v>79</v>
      </c>
      <c r="AN6" s="10" t="s">
        <v>80</v>
      </c>
      <c r="AO6" s="11" t="s">
        <v>81</v>
      </c>
      <c r="AP6" s="9" t="s">
        <v>79</v>
      </c>
      <c r="AQ6" s="10" t="s">
        <v>80</v>
      </c>
      <c r="AR6" s="11" t="s">
        <v>81</v>
      </c>
      <c r="AS6" s="9" t="s">
        <v>79</v>
      </c>
      <c r="AT6" s="10" t="s">
        <v>80</v>
      </c>
      <c r="AU6" s="11" t="s">
        <v>81</v>
      </c>
      <c r="AV6" s="210"/>
    </row>
    <row r="7" spans="1:48">
      <c r="A7" s="4">
        <v>1</v>
      </c>
      <c r="B7" s="12" t="s">
        <v>20</v>
      </c>
      <c r="C7" s="13">
        <f>D7+E7</f>
        <v>8</v>
      </c>
      <c r="D7" s="14">
        <v>8</v>
      </c>
      <c r="E7" s="15">
        <v>0</v>
      </c>
      <c r="F7" s="13">
        <f>G7+H7</f>
        <v>14.135999999999999</v>
      </c>
      <c r="G7" s="14">
        <v>13.135999999999999</v>
      </c>
      <c r="H7" s="16">
        <v>1</v>
      </c>
      <c r="I7" s="13">
        <f>J7+K7</f>
        <v>118.327</v>
      </c>
      <c r="J7" s="17">
        <v>117.327</v>
      </c>
      <c r="K7" s="15">
        <v>1</v>
      </c>
      <c r="L7" s="13">
        <f>M7+N7</f>
        <v>1141.8119999999999</v>
      </c>
      <c r="M7" s="17">
        <v>986.86</v>
      </c>
      <c r="N7" s="16">
        <v>154.952</v>
      </c>
      <c r="O7" s="13">
        <f>P7+Q7</f>
        <v>831.46500000000003</v>
      </c>
      <c r="P7" s="17">
        <v>437.32100000000003</v>
      </c>
      <c r="Q7" s="15">
        <v>394.14400000000001</v>
      </c>
      <c r="R7" s="13">
        <f>S7+T7</f>
        <v>225.59</v>
      </c>
      <c r="S7" s="17">
        <v>184.19</v>
      </c>
      <c r="T7" s="16">
        <v>41.4</v>
      </c>
      <c r="U7" s="13">
        <f>V7+W7</f>
        <v>89.141999999999996</v>
      </c>
      <c r="V7" s="17">
        <v>68.141999999999996</v>
      </c>
      <c r="W7" s="15">
        <v>21</v>
      </c>
      <c r="X7" s="13">
        <f>Y7+Z7</f>
        <v>0</v>
      </c>
      <c r="Y7" s="17">
        <v>0</v>
      </c>
      <c r="Z7" s="16">
        <v>0</v>
      </c>
      <c r="AA7" s="13">
        <f>AB7+AC7</f>
        <v>63.905999999999999</v>
      </c>
      <c r="AB7" s="17">
        <v>35</v>
      </c>
      <c r="AC7" s="15">
        <v>28.905999999999999</v>
      </c>
      <c r="AD7" s="13">
        <f>AE7+AF7</f>
        <v>18.54</v>
      </c>
      <c r="AE7" s="17">
        <v>14</v>
      </c>
      <c r="AF7" s="16">
        <v>4.54</v>
      </c>
      <c r="AG7" s="13">
        <f>AH7+AI7</f>
        <v>20</v>
      </c>
      <c r="AH7" s="17">
        <v>6</v>
      </c>
      <c r="AI7" s="15">
        <v>14</v>
      </c>
      <c r="AJ7" s="13">
        <f>AK7+AL7</f>
        <v>105</v>
      </c>
      <c r="AK7" s="17">
        <v>32</v>
      </c>
      <c r="AL7" s="16">
        <v>73</v>
      </c>
      <c r="AM7" s="13">
        <f>AN7+AO7</f>
        <v>45.820999999999998</v>
      </c>
      <c r="AN7" s="17">
        <v>40.820999999999998</v>
      </c>
      <c r="AO7" s="15">
        <v>5</v>
      </c>
      <c r="AP7" s="13">
        <f>AQ7+AR7</f>
        <v>22.35</v>
      </c>
      <c r="AQ7" s="17">
        <v>12.35</v>
      </c>
      <c r="AR7" s="16">
        <v>10</v>
      </c>
      <c r="AS7" s="13">
        <f>AT7+AU7</f>
        <v>0</v>
      </c>
      <c r="AT7" s="17">
        <v>0</v>
      </c>
      <c r="AU7" s="15">
        <v>0</v>
      </c>
      <c r="AV7" s="18">
        <f t="shared" ref="AV7:AV47" si="0">C7+F7+I7+L7+O7+R7+U7+X7+AA7+AD7+AG7+AJ7+AM7+AP7+AS7</f>
        <v>2704.0889999999995</v>
      </c>
    </row>
    <row r="8" spans="1:48">
      <c r="A8" s="6">
        <v>2</v>
      </c>
      <c r="B8" s="19" t="s">
        <v>21</v>
      </c>
      <c r="C8" s="20">
        <f t="shared" ref="C8:C46" si="1">D8+E8</f>
        <v>0.5</v>
      </c>
      <c r="D8" s="21">
        <v>0.5</v>
      </c>
      <c r="E8" s="22">
        <v>0</v>
      </c>
      <c r="F8" s="20">
        <f t="shared" ref="F8:F46" si="2">G8+H8</f>
        <v>0</v>
      </c>
      <c r="G8" s="21">
        <v>0</v>
      </c>
      <c r="H8" s="22">
        <v>0</v>
      </c>
      <c r="I8" s="20">
        <f t="shared" ref="I8:I46" si="3">J8+K8</f>
        <v>2.5</v>
      </c>
      <c r="J8" s="21">
        <v>2.5</v>
      </c>
      <c r="K8" s="22">
        <v>0</v>
      </c>
      <c r="L8" s="20">
        <f t="shared" ref="L8:L46" si="4">M8+N8</f>
        <v>35.5</v>
      </c>
      <c r="M8" s="23">
        <v>26.5</v>
      </c>
      <c r="N8" s="22">
        <v>9</v>
      </c>
      <c r="O8" s="20">
        <f t="shared" ref="O8:O46" si="5">P8+Q8</f>
        <v>29.57</v>
      </c>
      <c r="P8" s="23">
        <v>11.57</v>
      </c>
      <c r="Q8" s="22">
        <v>18</v>
      </c>
      <c r="R8" s="20">
        <f t="shared" ref="R8:R46" si="6">S8+T8</f>
        <v>5.2799999999999994</v>
      </c>
      <c r="S8" s="23">
        <v>2.5</v>
      </c>
      <c r="T8" s="22">
        <v>2.78</v>
      </c>
      <c r="U8" s="20">
        <f t="shared" ref="U8:U46" si="7">V8+W8</f>
        <v>1.63</v>
      </c>
      <c r="V8" s="23">
        <v>0</v>
      </c>
      <c r="W8" s="22">
        <v>1.63</v>
      </c>
      <c r="X8" s="20">
        <f t="shared" ref="X8:X46" si="8">Y8+Z8</f>
        <v>0</v>
      </c>
      <c r="Y8" s="23">
        <v>0</v>
      </c>
      <c r="Z8" s="22">
        <v>0</v>
      </c>
      <c r="AA8" s="20">
        <f t="shared" ref="AA8:AA46" si="9">AB8+AC8</f>
        <v>1.84</v>
      </c>
      <c r="AB8" s="23">
        <v>0</v>
      </c>
      <c r="AC8" s="22">
        <v>1.84</v>
      </c>
      <c r="AD8" s="20">
        <f t="shared" ref="AD8:AD46" si="10">AE8+AF8</f>
        <v>0.26</v>
      </c>
      <c r="AE8" s="23">
        <v>0.26</v>
      </c>
      <c r="AF8" s="22">
        <v>0</v>
      </c>
      <c r="AG8" s="20">
        <f t="shared" ref="AG8:AG46" si="11">AH8+AI8</f>
        <v>1.5</v>
      </c>
      <c r="AH8" s="23">
        <v>0</v>
      </c>
      <c r="AI8" s="22">
        <v>1.5</v>
      </c>
      <c r="AJ8" s="20">
        <f t="shared" ref="AJ8:AJ46" si="12">AK8+AL8</f>
        <v>3.75</v>
      </c>
      <c r="AK8" s="23">
        <v>0</v>
      </c>
      <c r="AL8" s="22">
        <v>3.75</v>
      </c>
      <c r="AM8" s="20">
        <f t="shared" ref="AM8:AM46" si="13">AN8+AO8</f>
        <v>0.75</v>
      </c>
      <c r="AN8" s="23">
        <v>0.75</v>
      </c>
      <c r="AO8" s="22">
        <v>0</v>
      </c>
      <c r="AP8" s="20">
        <f t="shared" ref="AP8:AP46" si="14">AQ8+AR8</f>
        <v>0</v>
      </c>
      <c r="AQ8" s="23">
        <v>0</v>
      </c>
      <c r="AR8" s="22">
        <v>0</v>
      </c>
      <c r="AS8" s="20">
        <f t="shared" ref="AS8:AS46" si="15">AT8+AU8</f>
        <v>0</v>
      </c>
      <c r="AT8" s="23">
        <v>0</v>
      </c>
      <c r="AU8" s="22">
        <v>0</v>
      </c>
      <c r="AV8" s="24">
        <f t="shared" si="0"/>
        <v>83.08</v>
      </c>
    </row>
    <row r="9" spans="1:48">
      <c r="A9" s="6">
        <v>3</v>
      </c>
      <c r="B9" s="19" t="s">
        <v>22</v>
      </c>
      <c r="C9" s="20">
        <f t="shared" si="1"/>
        <v>1</v>
      </c>
      <c r="D9" s="21">
        <v>1</v>
      </c>
      <c r="E9" s="22">
        <v>0</v>
      </c>
      <c r="F9" s="20">
        <f t="shared" si="2"/>
        <v>7.5</v>
      </c>
      <c r="G9" s="21">
        <v>7.5</v>
      </c>
      <c r="H9" s="22">
        <v>0</v>
      </c>
      <c r="I9" s="20">
        <f t="shared" si="3"/>
        <v>25.029999999999998</v>
      </c>
      <c r="J9" s="23">
        <v>24.7</v>
      </c>
      <c r="K9" s="22">
        <v>0.33</v>
      </c>
      <c r="L9" s="20">
        <f t="shared" si="4"/>
        <v>218.548</v>
      </c>
      <c r="M9" s="23">
        <v>194.518</v>
      </c>
      <c r="N9" s="22">
        <v>24.03</v>
      </c>
      <c r="O9" s="20">
        <f t="shared" si="5"/>
        <v>191.63800000000001</v>
      </c>
      <c r="P9" s="23">
        <v>96.841999999999999</v>
      </c>
      <c r="Q9" s="22">
        <v>94.796000000000006</v>
      </c>
      <c r="R9" s="20">
        <f t="shared" si="6"/>
        <v>53.277999999999999</v>
      </c>
      <c r="S9" s="23">
        <v>47.277999999999999</v>
      </c>
      <c r="T9" s="22">
        <v>6</v>
      </c>
      <c r="U9" s="20">
        <f t="shared" si="7"/>
        <v>5</v>
      </c>
      <c r="V9" s="23">
        <v>4.5</v>
      </c>
      <c r="W9" s="22">
        <v>0.5</v>
      </c>
      <c r="X9" s="20">
        <f t="shared" si="8"/>
        <v>0.5</v>
      </c>
      <c r="Y9" s="23">
        <v>0.5</v>
      </c>
      <c r="Z9" s="22">
        <v>0</v>
      </c>
      <c r="AA9" s="20">
        <f t="shared" si="9"/>
        <v>15</v>
      </c>
      <c r="AB9" s="23">
        <v>10</v>
      </c>
      <c r="AC9" s="22">
        <v>5</v>
      </c>
      <c r="AD9" s="20">
        <f t="shared" si="10"/>
        <v>4.8</v>
      </c>
      <c r="AE9" s="23">
        <v>3.8</v>
      </c>
      <c r="AF9" s="22">
        <v>1</v>
      </c>
      <c r="AG9" s="20">
        <f t="shared" si="11"/>
        <v>3.5</v>
      </c>
      <c r="AH9" s="23">
        <v>1</v>
      </c>
      <c r="AI9" s="22">
        <v>2.5</v>
      </c>
      <c r="AJ9" s="20">
        <f t="shared" si="12"/>
        <v>25.3</v>
      </c>
      <c r="AK9" s="23">
        <v>9</v>
      </c>
      <c r="AL9" s="22">
        <v>16.3</v>
      </c>
      <c r="AM9" s="20">
        <f t="shared" si="13"/>
        <v>13</v>
      </c>
      <c r="AN9" s="23">
        <v>10.8</v>
      </c>
      <c r="AO9" s="22">
        <v>2.2000000000000002</v>
      </c>
      <c r="AP9" s="20">
        <f t="shared" si="14"/>
        <v>2.5329999999999999</v>
      </c>
      <c r="AQ9" s="23">
        <v>1.5329999999999999</v>
      </c>
      <c r="AR9" s="22">
        <v>1</v>
      </c>
      <c r="AS9" s="20">
        <f t="shared" si="15"/>
        <v>0</v>
      </c>
      <c r="AT9" s="23">
        <v>0</v>
      </c>
      <c r="AU9" s="22">
        <v>0</v>
      </c>
      <c r="AV9" s="24">
        <f t="shared" si="0"/>
        <v>566.62699999999995</v>
      </c>
    </row>
    <row r="10" spans="1:48">
      <c r="A10" s="6">
        <v>4</v>
      </c>
      <c r="B10" s="19" t="s">
        <v>23</v>
      </c>
      <c r="C10" s="20">
        <f t="shared" si="1"/>
        <v>0</v>
      </c>
      <c r="D10" s="23">
        <v>0</v>
      </c>
      <c r="E10" s="22">
        <v>0</v>
      </c>
      <c r="F10" s="20">
        <f t="shared" si="2"/>
        <v>11.87</v>
      </c>
      <c r="G10" s="23">
        <v>10.87</v>
      </c>
      <c r="H10" s="22">
        <v>1</v>
      </c>
      <c r="I10" s="20">
        <f t="shared" si="3"/>
        <v>28.5</v>
      </c>
      <c r="J10" s="23">
        <v>28.5</v>
      </c>
      <c r="K10" s="22">
        <v>0</v>
      </c>
      <c r="L10" s="20">
        <f t="shared" si="4"/>
        <v>265.78500000000003</v>
      </c>
      <c r="M10" s="23">
        <v>227.88900000000001</v>
      </c>
      <c r="N10" s="22">
        <v>37.896000000000001</v>
      </c>
      <c r="O10" s="20">
        <f t="shared" si="5"/>
        <v>256.959</v>
      </c>
      <c r="P10" s="23">
        <v>141.881</v>
      </c>
      <c r="Q10" s="22">
        <v>115.078</v>
      </c>
      <c r="R10" s="20">
        <f t="shared" si="6"/>
        <v>56.606000000000002</v>
      </c>
      <c r="S10" s="23">
        <v>51.256</v>
      </c>
      <c r="T10" s="22">
        <v>5.35</v>
      </c>
      <c r="U10" s="20">
        <f t="shared" si="7"/>
        <v>16.603000000000002</v>
      </c>
      <c r="V10" s="23">
        <v>12.778</v>
      </c>
      <c r="W10" s="22">
        <v>3.8250000000000002</v>
      </c>
      <c r="X10" s="20">
        <f t="shared" si="8"/>
        <v>0</v>
      </c>
      <c r="Y10" s="23">
        <v>0</v>
      </c>
      <c r="Z10" s="22">
        <v>0</v>
      </c>
      <c r="AA10" s="20">
        <f t="shared" si="9"/>
        <v>18.774999999999999</v>
      </c>
      <c r="AB10" s="23">
        <v>7.9420000000000002</v>
      </c>
      <c r="AC10" s="22">
        <v>10.833</v>
      </c>
      <c r="AD10" s="20">
        <f t="shared" si="10"/>
        <v>20.268999999999998</v>
      </c>
      <c r="AE10" s="23">
        <v>17</v>
      </c>
      <c r="AF10" s="22">
        <v>3.2690000000000001</v>
      </c>
      <c r="AG10" s="20">
        <f t="shared" si="11"/>
        <v>3</v>
      </c>
      <c r="AH10" s="23">
        <v>0</v>
      </c>
      <c r="AI10" s="22">
        <v>3</v>
      </c>
      <c r="AJ10" s="20">
        <f t="shared" si="12"/>
        <v>28</v>
      </c>
      <c r="AK10" s="23">
        <v>8</v>
      </c>
      <c r="AL10" s="22">
        <v>20</v>
      </c>
      <c r="AM10" s="20">
        <f t="shared" si="13"/>
        <v>16.253</v>
      </c>
      <c r="AN10" s="23">
        <v>15.253</v>
      </c>
      <c r="AO10" s="22">
        <v>1</v>
      </c>
      <c r="AP10" s="20">
        <f t="shared" si="14"/>
        <v>4.3</v>
      </c>
      <c r="AQ10" s="23">
        <v>1</v>
      </c>
      <c r="AR10" s="22">
        <v>3.3</v>
      </c>
      <c r="AS10" s="20">
        <f t="shared" si="15"/>
        <v>0</v>
      </c>
      <c r="AT10" s="23">
        <v>0</v>
      </c>
      <c r="AU10" s="22">
        <v>0</v>
      </c>
      <c r="AV10" s="24">
        <f t="shared" si="0"/>
        <v>726.92</v>
      </c>
    </row>
    <row r="11" spans="1:48" ht="15.75" thickBot="1">
      <c r="A11" s="25">
        <v>5</v>
      </c>
      <c r="B11" s="26" t="s">
        <v>24</v>
      </c>
      <c r="C11" s="27">
        <f t="shared" si="1"/>
        <v>1</v>
      </c>
      <c r="D11" s="28">
        <v>1</v>
      </c>
      <c r="E11" s="29">
        <v>0</v>
      </c>
      <c r="F11" s="27">
        <f t="shared" si="2"/>
        <v>2</v>
      </c>
      <c r="G11" s="28">
        <v>2</v>
      </c>
      <c r="H11" s="29">
        <v>0</v>
      </c>
      <c r="I11" s="27">
        <f t="shared" si="3"/>
        <v>13</v>
      </c>
      <c r="J11" s="28">
        <v>13</v>
      </c>
      <c r="K11" s="29">
        <v>0</v>
      </c>
      <c r="L11" s="27">
        <f t="shared" si="4"/>
        <v>75.454999999999998</v>
      </c>
      <c r="M11" s="28">
        <v>70.284999999999997</v>
      </c>
      <c r="N11" s="29">
        <v>5.17</v>
      </c>
      <c r="O11" s="27">
        <f t="shared" si="5"/>
        <v>74.744</v>
      </c>
      <c r="P11" s="28">
        <v>36.81</v>
      </c>
      <c r="Q11" s="29">
        <v>37.933999999999997</v>
      </c>
      <c r="R11" s="27">
        <f t="shared" si="6"/>
        <v>21.332000000000001</v>
      </c>
      <c r="S11" s="28">
        <v>19.71</v>
      </c>
      <c r="T11" s="29">
        <v>1.6220000000000001</v>
      </c>
      <c r="U11" s="27">
        <f t="shared" si="7"/>
        <v>11.5</v>
      </c>
      <c r="V11" s="28">
        <v>11.5</v>
      </c>
      <c r="W11" s="29">
        <v>0</v>
      </c>
      <c r="X11" s="27">
        <f t="shared" si="8"/>
        <v>1</v>
      </c>
      <c r="Y11" s="28">
        <v>1</v>
      </c>
      <c r="Z11" s="29">
        <v>0</v>
      </c>
      <c r="AA11" s="27">
        <f t="shared" si="9"/>
        <v>5.77</v>
      </c>
      <c r="AB11" s="28">
        <v>3.6</v>
      </c>
      <c r="AC11" s="29">
        <v>2.17</v>
      </c>
      <c r="AD11" s="27">
        <f t="shared" si="10"/>
        <v>1.83</v>
      </c>
      <c r="AE11" s="28">
        <v>0.83</v>
      </c>
      <c r="AF11" s="29">
        <v>1</v>
      </c>
      <c r="AG11" s="27">
        <f t="shared" si="11"/>
        <v>6</v>
      </c>
      <c r="AH11" s="28">
        <v>5</v>
      </c>
      <c r="AI11" s="29">
        <v>1</v>
      </c>
      <c r="AJ11" s="27">
        <f t="shared" si="12"/>
        <v>11</v>
      </c>
      <c r="AK11" s="28">
        <v>5</v>
      </c>
      <c r="AL11" s="29">
        <v>6</v>
      </c>
      <c r="AM11" s="27">
        <f t="shared" si="13"/>
        <v>3.5</v>
      </c>
      <c r="AN11" s="28">
        <v>3.5</v>
      </c>
      <c r="AO11" s="29">
        <v>0</v>
      </c>
      <c r="AP11" s="27">
        <f t="shared" si="14"/>
        <v>0</v>
      </c>
      <c r="AQ11" s="28">
        <v>0</v>
      </c>
      <c r="AR11" s="29">
        <v>0</v>
      </c>
      <c r="AS11" s="27">
        <f t="shared" si="15"/>
        <v>2</v>
      </c>
      <c r="AT11" s="28">
        <v>2</v>
      </c>
      <c r="AU11" s="29">
        <v>0</v>
      </c>
      <c r="AV11" s="30">
        <f t="shared" si="0"/>
        <v>230.13100000000003</v>
      </c>
    </row>
    <row r="12" spans="1:48">
      <c r="A12" s="6">
        <v>6</v>
      </c>
      <c r="B12" s="19" t="s">
        <v>25</v>
      </c>
      <c r="C12" s="20">
        <f t="shared" si="1"/>
        <v>0</v>
      </c>
      <c r="D12" s="23">
        <v>0</v>
      </c>
      <c r="E12" s="22">
        <v>0</v>
      </c>
      <c r="F12" s="20">
        <f t="shared" si="2"/>
        <v>0</v>
      </c>
      <c r="G12" s="23">
        <v>0</v>
      </c>
      <c r="H12" s="22">
        <v>0</v>
      </c>
      <c r="I12" s="20">
        <f t="shared" si="3"/>
        <v>1</v>
      </c>
      <c r="J12" s="23">
        <v>1</v>
      </c>
      <c r="K12" s="22">
        <v>0</v>
      </c>
      <c r="L12" s="20">
        <f t="shared" si="4"/>
        <v>5.07</v>
      </c>
      <c r="M12" s="23">
        <v>4</v>
      </c>
      <c r="N12" s="22">
        <v>1.07</v>
      </c>
      <c r="O12" s="20">
        <f t="shared" si="5"/>
        <v>6.01</v>
      </c>
      <c r="P12" s="23">
        <v>4.17</v>
      </c>
      <c r="Q12" s="22">
        <v>1.84</v>
      </c>
      <c r="R12" s="20">
        <f t="shared" si="6"/>
        <v>0.75</v>
      </c>
      <c r="S12" s="23">
        <v>0.75</v>
      </c>
      <c r="T12" s="22">
        <v>0</v>
      </c>
      <c r="U12" s="20">
        <f t="shared" si="7"/>
        <v>1.528</v>
      </c>
      <c r="V12" s="23">
        <v>1</v>
      </c>
      <c r="W12" s="22">
        <v>0.52800000000000002</v>
      </c>
      <c r="X12" s="20">
        <f t="shared" si="8"/>
        <v>0</v>
      </c>
      <c r="Y12" s="23">
        <v>0</v>
      </c>
      <c r="Z12" s="22">
        <v>0</v>
      </c>
      <c r="AA12" s="20">
        <f t="shared" si="9"/>
        <v>0</v>
      </c>
      <c r="AB12" s="23">
        <v>0</v>
      </c>
      <c r="AC12" s="22">
        <v>0</v>
      </c>
      <c r="AD12" s="20">
        <f t="shared" si="10"/>
        <v>0.25</v>
      </c>
      <c r="AE12" s="23">
        <v>0.25</v>
      </c>
      <c r="AF12" s="22">
        <v>0</v>
      </c>
      <c r="AG12" s="20">
        <f t="shared" si="11"/>
        <v>0.75</v>
      </c>
      <c r="AH12" s="23">
        <v>0</v>
      </c>
      <c r="AI12" s="22">
        <v>0.75</v>
      </c>
      <c r="AJ12" s="20">
        <f t="shared" si="12"/>
        <v>0.35</v>
      </c>
      <c r="AK12" s="23">
        <v>0</v>
      </c>
      <c r="AL12" s="22">
        <v>0.35</v>
      </c>
      <c r="AM12" s="20">
        <f t="shared" si="13"/>
        <v>0</v>
      </c>
      <c r="AN12" s="23">
        <v>0</v>
      </c>
      <c r="AO12" s="22">
        <v>0</v>
      </c>
      <c r="AP12" s="20">
        <f t="shared" si="14"/>
        <v>0</v>
      </c>
      <c r="AQ12" s="23">
        <v>0</v>
      </c>
      <c r="AR12" s="22">
        <v>0</v>
      </c>
      <c r="AS12" s="20">
        <f t="shared" si="15"/>
        <v>0</v>
      </c>
      <c r="AT12" s="23">
        <v>0</v>
      </c>
      <c r="AU12" s="22">
        <v>0</v>
      </c>
      <c r="AV12" s="24">
        <f t="shared" si="0"/>
        <v>15.708</v>
      </c>
    </row>
    <row r="13" spans="1:48">
      <c r="A13" s="6">
        <v>7</v>
      </c>
      <c r="B13" s="19" t="s">
        <v>26</v>
      </c>
      <c r="C13" s="20">
        <f t="shared" si="1"/>
        <v>0.84</v>
      </c>
      <c r="D13" s="23">
        <v>0.84</v>
      </c>
      <c r="E13" s="22">
        <v>0</v>
      </c>
      <c r="F13" s="20">
        <f t="shared" si="2"/>
        <v>21.021999999999998</v>
      </c>
      <c r="G13" s="23">
        <v>20.021999999999998</v>
      </c>
      <c r="H13" s="22">
        <v>1</v>
      </c>
      <c r="I13" s="20">
        <f t="shared" si="3"/>
        <v>129.88300000000001</v>
      </c>
      <c r="J13" s="23">
        <v>128.88300000000001</v>
      </c>
      <c r="K13" s="22">
        <v>1</v>
      </c>
      <c r="L13" s="20">
        <f t="shared" si="4"/>
        <v>1252.635</v>
      </c>
      <c r="M13" s="23">
        <v>1173.0250000000001</v>
      </c>
      <c r="N13" s="22">
        <v>79.61</v>
      </c>
      <c r="O13" s="20">
        <f t="shared" si="5"/>
        <v>1208.0810000000001</v>
      </c>
      <c r="P13" s="23">
        <v>686.82100000000003</v>
      </c>
      <c r="Q13" s="22">
        <v>521.26</v>
      </c>
      <c r="R13" s="20">
        <f t="shared" si="6"/>
        <v>285.12299999999999</v>
      </c>
      <c r="S13" s="23">
        <v>236.452</v>
      </c>
      <c r="T13" s="22">
        <v>48.670999999999999</v>
      </c>
      <c r="U13" s="20">
        <f t="shared" si="7"/>
        <v>92.236999999999995</v>
      </c>
      <c r="V13" s="23">
        <v>70.016999999999996</v>
      </c>
      <c r="W13" s="22">
        <v>22.22</v>
      </c>
      <c r="X13" s="20">
        <f t="shared" si="8"/>
        <v>34</v>
      </c>
      <c r="Y13" s="23">
        <v>32</v>
      </c>
      <c r="Z13" s="22">
        <v>2</v>
      </c>
      <c r="AA13" s="20">
        <f t="shared" si="9"/>
        <v>73.44</v>
      </c>
      <c r="AB13" s="23">
        <v>50.94</v>
      </c>
      <c r="AC13" s="22">
        <v>22.5</v>
      </c>
      <c r="AD13" s="20">
        <f t="shared" si="10"/>
        <v>19.5</v>
      </c>
      <c r="AE13" s="23">
        <v>12.5</v>
      </c>
      <c r="AF13" s="22">
        <v>7</v>
      </c>
      <c r="AG13" s="20">
        <f t="shared" si="11"/>
        <v>29.916</v>
      </c>
      <c r="AH13" s="23">
        <v>18.916</v>
      </c>
      <c r="AI13" s="22">
        <v>11</v>
      </c>
      <c r="AJ13" s="20">
        <f t="shared" si="12"/>
        <v>125</v>
      </c>
      <c r="AK13" s="23">
        <v>48</v>
      </c>
      <c r="AL13" s="22">
        <v>77</v>
      </c>
      <c r="AM13" s="20">
        <f t="shared" si="13"/>
        <v>63.606999999999999</v>
      </c>
      <c r="AN13" s="23">
        <v>55.606999999999999</v>
      </c>
      <c r="AO13" s="22">
        <v>8</v>
      </c>
      <c r="AP13" s="20">
        <f t="shared" si="14"/>
        <v>34.08</v>
      </c>
      <c r="AQ13" s="23">
        <v>21.58</v>
      </c>
      <c r="AR13" s="22">
        <v>12.5</v>
      </c>
      <c r="AS13" s="20">
        <f t="shared" si="15"/>
        <v>4.75</v>
      </c>
      <c r="AT13" s="23">
        <v>4.75</v>
      </c>
      <c r="AU13" s="22">
        <v>0</v>
      </c>
      <c r="AV13" s="24">
        <f t="shared" si="0"/>
        <v>3374.1140000000005</v>
      </c>
    </row>
    <row r="14" spans="1:48">
      <c r="A14" s="6">
        <v>8</v>
      </c>
      <c r="B14" s="19" t="s">
        <v>27</v>
      </c>
      <c r="C14" s="20">
        <f t="shared" si="1"/>
        <v>0</v>
      </c>
      <c r="D14" s="23">
        <v>0</v>
      </c>
      <c r="E14" s="22">
        <v>0</v>
      </c>
      <c r="F14" s="20">
        <f t="shared" si="2"/>
        <v>1</v>
      </c>
      <c r="G14" s="23">
        <v>1</v>
      </c>
      <c r="H14" s="22">
        <v>0</v>
      </c>
      <c r="I14" s="20">
        <f t="shared" si="3"/>
        <v>12.058999999999999</v>
      </c>
      <c r="J14" s="23">
        <v>12.058999999999999</v>
      </c>
      <c r="K14" s="22">
        <v>0</v>
      </c>
      <c r="L14" s="20">
        <f t="shared" si="4"/>
        <v>94.64</v>
      </c>
      <c r="M14" s="23">
        <v>81.64</v>
      </c>
      <c r="N14" s="22">
        <v>13</v>
      </c>
      <c r="O14" s="20">
        <f t="shared" si="5"/>
        <v>88.231999999999999</v>
      </c>
      <c r="P14" s="23">
        <v>37.317999999999998</v>
      </c>
      <c r="Q14" s="22">
        <v>50.914000000000001</v>
      </c>
      <c r="R14" s="20">
        <f t="shared" si="6"/>
        <v>24.544</v>
      </c>
      <c r="S14" s="23">
        <v>21.744</v>
      </c>
      <c r="T14" s="22">
        <v>2.8</v>
      </c>
      <c r="U14" s="20">
        <f t="shared" si="7"/>
        <v>0.5</v>
      </c>
      <c r="V14" s="23">
        <v>0</v>
      </c>
      <c r="W14" s="22">
        <v>0.5</v>
      </c>
      <c r="X14" s="20">
        <f t="shared" si="8"/>
        <v>0</v>
      </c>
      <c r="Y14" s="23">
        <v>0</v>
      </c>
      <c r="Z14" s="22">
        <v>0</v>
      </c>
      <c r="AA14" s="20">
        <f t="shared" si="9"/>
        <v>4.8499999999999996</v>
      </c>
      <c r="AB14" s="23">
        <v>3</v>
      </c>
      <c r="AC14" s="22">
        <v>1.85</v>
      </c>
      <c r="AD14" s="20">
        <f t="shared" si="10"/>
        <v>6</v>
      </c>
      <c r="AE14" s="23">
        <v>4</v>
      </c>
      <c r="AF14" s="22">
        <v>2</v>
      </c>
      <c r="AG14" s="20">
        <f t="shared" si="11"/>
        <v>3.5</v>
      </c>
      <c r="AH14" s="23">
        <v>0</v>
      </c>
      <c r="AI14" s="22">
        <v>3.5</v>
      </c>
      <c r="AJ14" s="20">
        <f t="shared" si="12"/>
        <v>13.15</v>
      </c>
      <c r="AK14" s="23">
        <v>1</v>
      </c>
      <c r="AL14" s="22">
        <v>12.15</v>
      </c>
      <c r="AM14" s="20">
        <f t="shared" si="13"/>
        <v>1</v>
      </c>
      <c r="AN14" s="23">
        <v>1</v>
      </c>
      <c r="AO14" s="22">
        <v>0</v>
      </c>
      <c r="AP14" s="20">
        <f t="shared" si="14"/>
        <v>1</v>
      </c>
      <c r="AQ14" s="23">
        <v>0</v>
      </c>
      <c r="AR14" s="22">
        <v>1</v>
      </c>
      <c r="AS14" s="20">
        <f t="shared" si="15"/>
        <v>1</v>
      </c>
      <c r="AT14" s="23">
        <v>0</v>
      </c>
      <c r="AU14" s="22">
        <v>1</v>
      </c>
      <c r="AV14" s="24">
        <f t="shared" si="0"/>
        <v>251.47499999999999</v>
      </c>
    </row>
    <row r="15" spans="1:48">
      <c r="A15" s="6">
        <v>9</v>
      </c>
      <c r="B15" s="19" t="s">
        <v>28</v>
      </c>
      <c r="C15" s="20">
        <f t="shared" si="1"/>
        <v>0</v>
      </c>
      <c r="D15" s="23">
        <v>0</v>
      </c>
      <c r="E15" s="22">
        <v>0</v>
      </c>
      <c r="F15" s="20">
        <f t="shared" si="2"/>
        <v>1</v>
      </c>
      <c r="G15" s="23">
        <v>1</v>
      </c>
      <c r="H15" s="22">
        <v>0</v>
      </c>
      <c r="I15" s="20">
        <f t="shared" si="3"/>
        <v>5</v>
      </c>
      <c r="J15" s="23">
        <v>5</v>
      </c>
      <c r="K15" s="22">
        <v>0</v>
      </c>
      <c r="L15" s="20">
        <f t="shared" si="4"/>
        <v>51.85</v>
      </c>
      <c r="M15" s="23">
        <v>40.700000000000003</v>
      </c>
      <c r="N15" s="22">
        <v>11.15</v>
      </c>
      <c r="O15" s="20">
        <f t="shared" si="5"/>
        <v>57.114000000000004</v>
      </c>
      <c r="P15" s="23">
        <v>20.001999999999999</v>
      </c>
      <c r="Q15" s="22">
        <v>37.112000000000002</v>
      </c>
      <c r="R15" s="20">
        <f t="shared" si="6"/>
        <v>11.32</v>
      </c>
      <c r="S15" s="23">
        <v>8</v>
      </c>
      <c r="T15" s="22">
        <v>3.32</v>
      </c>
      <c r="U15" s="20">
        <f t="shared" si="7"/>
        <v>3.5</v>
      </c>
      <c r="V15" s="23">
        <v>3</v>
      </c>
      <c r="W15" s="22">
        <v>0.5</v>
      </c>
      <c r="X15" s="20">
        <f t="shared" si="8"/>
        <v>0</v>
      </c>
      <c r="Y15" s="23">
        <v>0</v>
      </c>
      <c r="Z15" s="22">
        <v>0</v>
      </c>
      <c r="AA15" s="20">
        <f t="shared" si="9"/>
        <v>0</v>
      </c>
      <c r="AB15" s="23">
        <v>0</v>
      </c>
      <c r="AC15" s="22">
        <v>0</v>
      </c>
      <c r="AD15" s="20">
        <f t="shared" si="10"/>
        <v>1</v>
      </c>
      <c r="AE15" s="23">
        <v>1</v>
      </c>
      <c r="AF15" s="22">
        <v>0</v>
      </c>
      <c r="AG15" s="20">
        <f t="shared" si="11"/>
        <v>4</v>
      </c>
      <c r="AH15" s="23">
        <v>0</v>
      </c>
      <c r="AI15" s="22">
        <v>4</v>
      </c>
      <c r="AJ15" s="20">
        <f t="shared" si="12"/>
        <v>9.49</v>
      </c>
      <c r="AK15" s="23">
        <v>1</v>
      </c>
      <c r="AL15" s="22">
        <v>8.49</v>
      </c>
      <c r="AM15" s="20">
        <f t="shared" si="13"/>
        <v>1</v>
      </c>
      <c r="AN15" s="23">
        <v>1</v>
      </c>
      <c r="AO15" s="22">
        <v>0</v>
      </c>
      <c r="AP15" s="20">
        <f t="shared" si="14"/>
        <v>0</v>
      </c>
      <c r="AQ15" s="23">
        <v>0</v>
      </c>
      <c r="AR15" s="22">
        <v>0</v>
      </c>
      <c r="AS15" s="20">
        <f t="shared" si="15"/>
        <v>0</v>
      </c>
      <c r="AT15" s="23">
        <v>0</v>
      </c>
      <c r="AU15" s="22">
        <v>0</v>
      </c>
      <c r="AV15" s="24">
        <f t="shared" si="0"/>
        <v>145.274</v>
      </c>
    </row>
    <row r="16" spans="1:48" ht="15.75" thickBot="1">
      <c r="A16" s="6">
        <v>10</v>
      </c>
      <c r="B16" s="19" t="s">
        <v>29</v>
      </c>
      <c r="C16" s="20">
        <f t="shared" si="1"/>
        <v>0</v>
      </c>
      <c r="D16" s="23">
        <v>0</v>
      </c>
      <c r="E16" s="22">
        <v>0</v>
      </c>
      <c r="F16" s="20">
        <f t="shared" si="2"/>
        <v>0</v>
      </c>
      <c r="G16" s="23">
        <v>0</v>
      </c>
      <c r="H16" s="22">
        <v>0</v>
      </c>
      <c r="I16" s="20">
        <f t="shared" si="3"/>
        <v>2.694</v>
      </c>
      <c r="J16" s="23">
        <v>2.694</v>
      </c>
      <c r="K16" s="22">
        <v>0</v>
      </c>
      <c r="L16" s="20">
        <f t="shared" si="4"/>
        <v>24.57</v>
      </c>
      <c r="M16" s="23">
        <v>21.57</v>
      </c>
      <c r="N16" s="22">
        <v>3</v>
      </c>
      <c r="O16" s="20">
        <f t="shared" si="5"/>
        <v>30.779</v>
      </c>
      <c r="P16" s="23">
        <v>15.475</v>
      </c>
      <c r="Q16" s="22">
        <v>15.304</v>
      </c>
      <c r="R16" s="20">
        <f t="shared" si="6"/>
        <v>6.35</v>
      </c>
      <c r="S16" s="23">
        <v>5.5</v>
      </c>
      <c r="T16" s="22">
        <v>0.85</v>
      </c>
      <c r="U16" s="20">
        <f t="shared" si="7"/>
        <v>4.51</v>
      </c>
      <c r="V16" s="23">
        <v>2.21</v>
      </c>
      <c r="W16" s="22">
        <v>2.2999999999999998</v>
      </c>
      <c r="X16" s="20">
        <f t="shared" si="8"/>
        <v>0.75</v>
      </c>
      <c r="Y16" s="23">
        <v>0.6</v>
      </c>
      <c r="Z16" s="22">
        <v>0.15</v>
      </c>
      <c r="AA16" s="20">
        <f t="shared" si="9"/>
        <v>1.4750000000000001</v>
      </c>
      <c r="AB16" s="23">
        <v>0.67500000000000004</v>
      </c>
      <c r="AC16" s="22">
        <v>0.8</v>
      </c>
      <c r="AD16" s="20">
        <f t="shared" si="10"/>
        <v>0</v>
      </c>
      <c r="AE16" s="23">
        <v>0</v>
      </c>
      <c r="AF16" s="22">
        <v>0</v>
      </c>
      <c r="AG16" s="20">
        <f t="shared" si="11"/>
        <v>1.6310000000000002</v>
      </c>
      <c r="AH16" s="23">
        <v>0.39</v>
      </c>
      <c r="AI16" s="22">
        <v>1.2410000000000001</v>
      </c>
      <c r="AJ16" s="20">
        <f t="shared" si="12"/>
        <v>5.5359999999999996</v>
      </c>
      <c r="AK16" s="23">
        <v>1.556</v>
      </c>
      <c r="AL16" s="22">
        <v>3.98</v>
      </c>
      <c r="AM16" s="20">
        <f t="shared" si="13"/>
        <v>1</v>
      </c>
      <c r="AN16" s="23">
        <v>1</v>
      </c>
      <c r="AO16" s="22">
        <v>0</v>
      </c>
      <c r="AP16" s="20">
        <f t="shared" si="14"/>
        <v>0</v>
      </c>
      <c r="AQ16" s="23">
        <v>0</v>
      </c>
      <c r="AR16" s="22">
        <v>0</v>
      </c>
      <c r="AS16" s="20">
        <f t="shared" si="15"/>
        <v>0</v>
      </c>
      <c r="AT16" s="23">
        <v>0</v>
      </c>
      <c r="AU16" s="22">
        <v>0</v>
      </c>
      <c r="AV16" s="24">
        <f t="shared" si="0"/>
        <v>79.295000000000002</v>
      </c>
    </row>
    <row r="17" spans="1:48">
      <c r="A17" s="4">
        <v>11</v>
      </c>
      <c r="B17" s="12" t="s">
        <v>30</v>
      </c>
      <c r="C17" s="13">
        <f t="shared" si="1"/>
        <v>0</v>
      </c>
      <c r="D17" s="17">
        <v>0</v>
      </c>
      <c r="E17" s="15">
        <v>0</v>
      </c>
      <c r="F17" s="13">
        <f t="shared" si="2"/>
        <v>1</v>
      </c>
      <c r="G17" s="17">
        <v>1</v>
      </c>
      <c r="H17" s="15">
        <v>0</v>
      </c>
      <c r="I17" s="13">
        <f t="shared" si="3"/>
        <v>5</v>
      </c>
      <c r="J17" s="17">
        <v>5</v>
      </c>
      <c r="K17" s="15">
        <v>0</v>
      </c>
      <c r="L17" s="13">
        <f t="shared" si="4"/>
        <v>33</v>
      </c>
      <c r="M17" s="17">
        <v>30</v>
      </c>
      <c r="N17" s="15">
        <v>3</v>
      </c>
      <c r="O17" s="13">
        <f t="shared" si="5"/>
        <v>38.124000000000002</v>
      </c>
      <c r="P17" s="17">
        <v>16.454000000000001</v>
      </c>
      <c r="Q17" s="15">
        <v>21.67</v>
      </c>
      <c r="R17" s="13">
        <f t="shared" si="6"/>
        <v>9.7059999999999995</v>
      </c>
      <c r="S17" s="17">
        <v>7</v>
      </c>
      <c r="T17" s="15">
        <v>2.706</v>
      </c>
      <c r="U17" s="13">
        <f t="shared" si="7"/>
        <v>1.17</v>
      </c>
      <c r="V17" s="17">
        <v>0.84</v>
      </c>
      <c r="W17" s="15">
        <v>0.33</v>
      </c>
      <c r="X17" s="13">
        <f t="shared" si="8"/>
        <v>0</v>
      </c>
      <c r="Y17" s="17">
        <v>0</v>
      </c>
      <c r="Z17" s="15">
        <v>0</v>
      </c>
      <c r="AA17" s="13">
        <f t="shared" si="9"/>
        <v>2</v>
      </c>
      <c r="AB17" s="17">
        <v>1</v>
      </c>
      <c r="AC17" s="15">
        <v>1</v>
      </c>
      <c r="AD17" s="13">
        <f t="shared" si="10"/>
        <v>2</v>
      </c>
      <c r="AE17" s="17">
        <v>2</v>
      </c>
      <c r="AF17" s="15">
        <v>0</v>
      </c>
      <c r="AG17" s="13">
        <f t="shared" si="11"/>
        <v>1</v>
      </c>
      <c r="AH17" s="17">
        <v>1</v>
      </c>
      <c r="AI17" s="15">
        <v>0</v>
      </c>
      <c r="AJ17" s="13">
        <f t="shared" si="12"/>
        <v>6</v>
      </c>
      <c r="AK17" s="17">
        <v>3</v>
      </c>
      <c r="AL17" s="15">
        <v>3</v>
      </c>
      <c r="AM17" s="13">
        <f t="shared" si="13"/>
        <v>2</v>
      </c>
      <c r="AN17" s="17">
        <v>2</v>
      </c>
      <c r="AO17" s="15">
        <v>0</v>
      </c>
      <c r="AP17" s="13">
        <f t="shared" si="14"/>
        <v>0</v>
      </c>
      <c r="AQ17" s="17">
        <v>0</v>
      </c>
      <c r="AR17" s="15">
        <v>0</v>
      </c>
      <c r="AS17" s="13">
        <f t="shared" si="15"/>
        <v>0</v>
      </c>
      <c r="AT17" s="17">
        <v>0</v>
      </c>
      <c r="AU17" s="15">
        <v>0</v>
      </c>
      <c r="AV17" s="18">
        <f t="shared" si="0"/>
        <v>101</v>
      </c>
    </row>
    <row r="18" spans="1:48">
      <c r="A18" s="6">
        <v>12</v>
      </c>
      <c r="B18" s="19" t="s">
        <v>31</v>
      </c>
      <c r="C18" s="20">
        <f t="shared" si="1"/>
        <v>15.256</v>
      </c>
      <c r="D18" s="23">
        <v>13.256</v>
      </c>
      <c r="E18" s="22">
        <v>2</v>
      </c>
      <c r="F18" s="20">
        <f t="shared" si="2"/>
        <v>27.75</v>
      </c>
      <c r="G18" s="23">
        <v>27.75</v>
      </c>
      <c r="H18" s="22">
        <v>0</v>
      </c>
      <c r="I18" s="20">
        <f t="shared" si="3"/>
        <v>142.71600000000001</v>
      </c>
      <c r="J18" s="23">
        <v>142.21600000000001</v>
      </c>
      <c r="K18" s="22">
        <v>0.5</v>
      </c>
      <c r="L18" s="20">
        <f t="shared" si="4"/>
        <v>1352.7670000000001</v>
      </c>
      <c r="M18" s="23">
        <v>1223.251</v>
      </c>
      <c r="N18" s="22">
        <v>129.51599999999999</v>
      </c>
      <c r="O18" s="20">
        <f t="shared" si="5"/>
        <v>1354.7649999999999</v>
      </c>
      <c r="P18" s="23">
        <v>804.12800000000004</v>
      </c>
      <c r="Q18" s="22">
        <v>550.63699999999994</v>
      </c>
      <c r="R18" s="20">
        <f t="shared" si="6"/>
        <v>298.339</v>
      </c>
      <c r="S18" s="23">
        <v>249.09399999999999</v>
      </c>
      <c r="T18" s="22">
        <v>49.244999999999997</v>
      </c>
      <c r="U18" s="20">
        <f t="shared" si="7"/>
        <v>93.551000000000002</v>
      </c>
      <c r="V18" s="23">
        <v>73.051000000000002</v>
      </c>
      <c r="W18" s="22">
        <v>20.5</v>
      </c>
      <c r="X18" s="20">
        <f t="shared" si="8"/>
        <v>3</v>
      </c>
      <c r="Y18" s="23">
        <v>3</v>
      </c>
      <c r="Z18" s="22">
        <v>0</v>
      </c>
      <c r="AA18" s="20">
        <f t="shared" si="9"/>
        <v>95.346999999999994</v>
      </c>
      <c r="AB18" s="23">
        <v>68.88</v>
      </c>
      <c r="AC18" s="22">
        <v>26.466999999999999</v>
      </c>
      <c r="AD18" s="20">
        <f t="shared" si="10"/>
        <v>24</v>
      </c>
      <c r="AE18" s="23">
        <v>15</v>
      </c>
      <c r="AF18" s="22">
        <v>9</v>
      </c>
      <c r="AG18" s="20">
        <f t="shared" si="11"/>
        <v>39</v>
      </c>
      <c r="AH18" s="23">
        <v>20</v>
      </c>
      <c r="AI18" s="22">
        <v>19</v>
      </c>
      <c r="AJ18" s="20">
        <f t="shared" si="12"/>
        <v>139</v>
      </c>
      <c r="AK18" s="23">
        <v>82</v>
      </c>
      <c r="AL18" s="22">
        <v>57</v>
      </c>
      <c r="AM18" s="20">
        <f t="shared" si="13"/>
        <v>71.83</v>
      </c>
      <c r="AN18" s="23">
        <v>69.83</v>
      </c>
      <c r="AO18" s="22">
        <v>2</v>
      </c>
      <c r="AP18" s="20">
        <f t="shared" si="14"/>
        <v>28.5</v>
      </c>
      <c r="AQ18" s="23">
        <v>17</v>
      </c>
      <c r="AR18" s="22">
        <v>11.5</v>
      </c>
      <c r="AS18" s="20">
        <f t="shared" si="15"/>
        <v>44.814</v>
      </c>
      <c r="AT18" s="23">
        <v>34.814</v>
      </c>
      <c r="AU18" s="22">
        <v>10</v>
      </c>
      <c r="AV18" s="24">
        <f t="shared" si="0"/>
        <v>3730.6349999999998</v>
      </c>
    </row>
    <row r="19" spans="1:48">
      <c r="A19" s="6">
        <v>13</v>
      </c>
      <c r="B19" s="19" t="s">
        <v>32</v>
      </c>
      <c r="C19" s="20">
        <f t="shared" si="1"/>
        <v>2</v>
      </c>
      <c r="D19" s="23">
        <v>2</v>
      </c>
      <c r="E19" s="22">
        <v>0</v>
      </c>
      <c r="F19" s="20">
        <f t="shared" si="2"/>
        <v>6.5</v>
      </c>
      <c r="G19" s="23">
        <v>6.5</v>
      </c>
      <c r="H19" s="22">
        <v>0</v>
      </c>
      <c r="I19" s="20">
        <f t="shared" si="3"/>
        <v>21</v>
      </c>
      <c r="J19" s="23">
        <v>21</v>
      </c>
      <c r="K19" s="22">
        <v>0</v>
      </c>
      <c r="L19" s="20">
        <f t="shared" si="4"/>
        <v>176.631</v>
      </c>
      <c r="M19" s="23">
        <v>148.631</v>
      </c>
      <c r="N19" s="22">
        <v>28</v>
      </c>
      <c r="O19" s="20">
        <f t="shared" si="5"/>
        <v>167.07300000000001</v>
      </c>
      <c r="P19" s="23">
        <v>96.31</v>
      </c>
      <c r="Q19" s="22">
        <v>70.763000000000005</v>
      </c>
      <c r="R19" s="20">
        <f t="shared" si="6"/>
        <v>42.092999999999996</v>
      </c>
      <c r="S19" s="23">
        <v>35.442999999999998</v>
      </c>
      <c r="T19" s="22">
        <v>6.65</v>
      </c>
      <c r="U19" s="20">
        <f t="shared" si="7"/>
        <v>6.1</v>
      </c>
      <c r="V19" s="23">
        <v>2.6</v>
      </c>
      <c r="W19" s="22">
        <v>3.5</v>
      </c>
      <c r="X19" s="20">
        <f t="shared" si="8"/>
        <v>4</v>
      </c>
      <c r="Y19" s="23">
        <v>4</v>
      </c>
      <c r="Z19" s="22">
        <v>0</v>
      </c>
      <c r="AA19" s="20">
        <f t="shared" si="9"/>
        <v>11.361000000000001</v>
      </c>
      <c r="AB19" s="23">
        <v>5.8609999999999998</v>
      </c>
      <c r="AC19" s="22">
        <v>5.5</v>
      </c>
      <c r="AD19" s="20">
        <f t="shared" si="10"/>
        <v>3</v>
      </c>
      <c r="AE19" s="23">
        <v>1</v>
      </c>
      <c r="AF19" s="22">
        <v>2</v>
      </c>
      <c r="AG19" s="20">
        <f t="shared" si="11"/>
        <v>4</v>
      </c>
      <c r="AH19" s="23">
        <v>1</v>
      </c>
      <c r="AI19" s="22">
        <v>3</v>
      </c>
      <c r="AJ19" s="20">
        <f t="shared" si="12"/>
        <v>19.399999999999999</v>
      </c>
      <c r="AK19" s="23">
        <v>5.4</v>
      </c>
      <c r="AL19" s="22">
        <v>14</v>
      </c>
      <c r="AM19" s="20">
        <f t="shared" si="13"/>
        <v>7.3529999999999998</v>
      </c>
      <c r="AN19" s="23">
        <f>6.52+0.833</f>
        <v>7.3529999999999998</v>
      </c>
      <c r="AO19" s="22">
        <v>0</v>
      </c>
      <c r="AP19" s="20">
        <f t="shared" si="14"/>
        <v>1</v>
      </c>
      <c r="AQ19" s="23">
        <v>0</v>
      </c>
      <c r="AR19" s="22">
        <v>1</v>
      </c>
      <c r="AS19" s="20">
        <f t="shared" si="15"/>
        <v>0</v>
      </c>
      <c r="AT19" s="23">
        <v>0</v>
      </c>
      <c r="AU19" s="22">
        <v>0</v>
      </c>
      <c r="AV19" s="24">
        <f t="shared" si="0"/>
        <v>471.51100000000002</v>
      </c>
    </row>
    <row r="20" spans="1:48">
      <c r="A20" s="6">
        <v>14</v>
      </c>
      <c r="B20" s="19" t="s">
        <v>33</v>
      </c>
      <c r="C20" s="20">
        <f t="shared" si="1"/>
        <v>5.5</v>
      </c>
      <c r="D20" s="23">
        <v>5.5</v>
      </c>
      <c r="E20" s="22">
        <v>0</v>
      </c>
      <c r="F20" s="20">
        <f t="shared" si="2"/>
        <v>30.2</v>
      </c>
      <c r="G20" s="23">
        <v>30.2</v>
      </c>
      <c r="H20" s="22">
        <v>0</v>
      </c>
      <c r="I20" s="20">
        <f t="shared" si="3"/>
        <v>134.82</v>
      </c>
      <c r="J20" s="23">
        <v>132.32</v>
      </c>
      <c r="K20" s="22">
        <v>2.5</v>
      </c>
      <c r="L20" s="20">
        <f t="shared" si="4"/>
        <v>1503.9110000000001</v>
      </c>
      <c r="M20" s="23">
        <v>1374.9</v>
      </c>
      <c r="N20" s="22">
        <v>129.011</v>
      </c>
      <c r="O20" s="20">
        <f t="shared" si="5"/>
        <v>1329.4659999999999</v>
      </c>
      <c r="P20" s="23">
        <v>804.83500000000004</v>
      </c>
      <c r="Q20" s="22">
        <v>524.63099999999997</v>
      </c>
      <c r="R20" s="20">
        <f t="shared" si="6"/>
        <v>310.35999999999996</v>
      </c>
      <c r="S20" s="23">
        <v>264.60899999999998</v>
      </c>
      <c r="T20" s="22">
        <v>45.750999999999998</v>
      </c>
      <c r="U20" s="20">
        <f t="shared" si="7"/>
        <v>200.14000000000001</v>
      </c>
      <c r="V20" s="23">
        <v>167.36</v>
      </c>
      <c r="W20" s="22">
        <v>32.78</v>
      </c>
      <c r="X20" s="20">
        <f t="shared" si="8"/>
        <v>2</v>
      </c>
      <c r="Y20" s="23">
        <v>0</v>
      </c>
      <c r="Z20" s="22">
        <v>2</v>
      </c>
      <c r="AA20" s="20">
        <f t="shared" si="9"/>
        <v>76.352000000000004</v>
      </c>
      <c r="AB20" s="23">
        <v>58.491999999999997</v>
      </c>
      <c r="AC20" s="22">
        <v>17.86</v>
      </c>
      <c r="AD20" s="20">
        <f t="shared" si="10"/>
        <v>26.667000000000002</v>
      </c>
      <c r="AE20" s="23">
        <v>19.667000000000002</v>
      </c>
      <c r="AF20" s="22">
        <v>7</v>
      </c>
      <c r="AG20" s="20">
        <f t="shared" si="11"/>
        <v>24.178000000000001</v>
      </c>
      <c r="AH20" s="23">
        <v>9.1780000000000008</v>
      </c>
      <c r="AI20" s="22">
        <v>15</v>
      </c>
      <c r="AJ20" s="20">
        <f t="shared" si="12"/>
        <v>165.59</v>
      </c>
      <c r="AK20" s="23">
        <v>84.59</v>
      </c>
      <c r="AL20" s="22">
        <v>81</v>
      </c>
      <c r="AM20" s="20">
        <f t="shared" si="13"/>
        <v>86.125</v>
      </c>
      <c r="AN20" s="23">
        <v>84.125</v>
      </c>
      <c r="AO20" s="22">
        <v>2</v>
      </c>
      <c r="AP20" s="20">
        <f t="shared" si="14"/>
        <v>63.17</v>
      </c>
      <c r="AQ20" s="23">
        <v>44.67</v>
      </c>
      <c r="AR20" s="22">
        <v>18.5</v>
      </c>
      <c r="AS20" s="20">
        <f t="shared" si="15"/>
        <v>2</v>
      </c>
      <c r="AT20" s="23">
        <v>0</v>
      </c>
      <c r="AU20" s="22">
        <v>2</v>
      </c>
      <c r="AV20" s="24">
        <f t="shared" si="0"/>
        <v>3960.4789999999998</v>
      </c>
    </row>
    <row r="21" spans="1:48" ht="15.75" thickBot="1">
      <c r="A21" s="25">
        <v>15</v>
      </c>
      <c r="B21" s="26" t="s">
        <v>34</v>
      </c>
      <c r="C21" s="27">
        <f t="shared" si="1"/>
        <v>0</v>
      </c>
      <c r="D21" s="28">
        <v>0</v>
      </c>
      <c r="E21" s="29">
        <v>0</v>
      </c>
      <c r="F21" s="27">
        <f t="shared" si="2"/>
        <v>1</v>
      </c>
      <c r="G21" s="28">
        <v>1</v>
      </c>
      <c r="H21" s="29">
        <v>0</v>
      </c>
      <c r="I21" s="27">
        <f t="shared" si="3"/>
        <v>5</v>
      </c>
      <c r="J21" s="28">
        <v>5</v>
      </c>
      <c r="K21" s="29">
        <v>0</v>
      </c>
      <c r="L21" s="27">
        <f t="shared" si="4"/>
        <v>43.542999999999999</v>
      </c>
      <c r="M21" s="28">
        <v>36.542999999999999</v>
      </c>
      <c r="N21" s="29">
        <v>7</v>
      </c>
      <c r="O21" s="27">
        <f t="shared" si="5"/>
        <v>35.122</v>
      </c>
      <c r="P21" s="28">
        <v>17.39</v>
      </c>
      <c r="Q21" s="29">
        <v>17.731999999999999</v>
      </c>
      <c r="R21" s="27">
        <f t="shared" si="6"/>
        <v>11.266</v>
      </c>
      <c r="S21" s="28">
        <v>11.266</v>
      </c>
      <c r="T21" s="29">
        <v>0</v>
      </c>
      <c r="U21" s="27">
        <f t="shared" si="7"/>
        <v>0</v>
      </c>
      <c r="V21" s="28">
        <v>0</v>
      </c>
      <c r="W21" s="29">
        <v>0</v>
      </c>
      <c r="X21" s="27">
        <f t="shared" si="8"/>
        <v>1</v>
      </c>
      <c r="Y21" s="28">
        <v>1</v>
      </c>
      <c r="Z21" s="29">
        <v>0</v>
      </c>
      <c r="AA21" s="27">
        <f t="shared" si="9"/>
        <v>2</v>
      </c>
      <c r="AB21" s="28">
        <v>1</v>
      </c>
      <c r="AC21" s="29">
        <v>1</v>
      </c>
      <c r="AD21" s="27">
        <f t="shared" si="10"/>
        <v>0</v>
      </c>
      <c r="AE21" s="28">
        <v>0</v>
      </c>
      <c r="AF21" s="29">
        <v>0</v>
      </c>
      <c r="AG21" s="27">
        <f t="shared" si="11"/>
        <v>1.17</v>
      </c>
      <c r="AH21" s="28">
        <v>0</v>
      </c>
      <c r="AI21" s="29">
        <v>1.17</v>
      </c>
      <c r="AJ21" s="27">
        <f t="shared" si="12"/>
        <v>6</v>
      </c>
      <c r="AK21" s="28">
        <v>2</v>
      </c>
      <c r="AL21" s="29">
        <v>4</v>
      </c>
      <c r="AM21" s="27">
        <f t="shared" si="13"/>
        <v>0</v>
      </c>
      <c r="AN21" s="28">
        <v>0</v>
      </c>
      <c r="AO21" s="29">
        <v>0</v>
      </c>
      <c r="AP21" s="27">
        <f t="shared" si="14"/>
        <v>0</v>
      </c>
      <c r="AQ21" s="28">
        <v>0</v>
      </c>
      <c r="AR21" s="29">
        <v>0</v>
      </c>
      <c r="AS21" s="27">
        <f t="shared" si="15"/>
        <v>0</v>
      </c>
      <c r="AT21" s="28">
        <v>0</v>
      </c>
      <c r="AU21" s="29">
        <v>0</v>
      </c>
      <c r="AV21" s="30">
        <f t="shared" si="0"/>
        <v>106.101</v>
      </c>
    </row>
    <row r="22" spans="1:48">
      <c r="A22" s="6">
        <v>16</v>
      </c>
      <c r="B22" s="19" t="s">
        <v>35</v>
      </c>
      <c r="C22" s="20">
        <f t="shared" si="1"/>
        <v>1.5</v>
      </c>
      <c r="D22" s="23">
        <v>1.5</v>
      </c>
      <c r="E22" s="22">
        <v>0</v>
      </c>
      <c r="F22" s="20">
        <f t="shared" si="2"/>
        <v>0</v>
      </c>
      <c r="G22" s="23">
        <v>0</v>
      </c>
      <c r="H22" s="22">
        <v>0</v>
      </c>
      <c r="I22" s="20">
        <f t="shared" si="3"/>
        <v>3.53</v>
      </c>
      <c r="J22" s="23">
        <v>3.53</v>
      </c>
      <c r="K22" s="22">
        <v>0</v>
      </c>
      <c r="L22" s="20">
        <f t="shared" si="4"/>
        <v>27.240000000000002</v>
      </c>
      <c r="M22" s="23">
        <v>22.91</v>
      </c>
      <c r="N22" s="22">
        <v>4.33</v>
      </c>
      <c r="O22" s="20">
        <f t="shared" si="5"/>
        <v>33.076999999999998</v>
      </c>
      <c r="P22" s="23">
        <v>16.491</v>
      </c>
      <c r="Q22" s="22">
        <v>16.585999999999999</v>
      </c>
      <c r="R22" s="20">
        <f t="shared" si="6"/>
        <v>5.8879999999999999</v>
      </c>
      <c r="S22" s="23">
        <v>4.6379999999999999</v>
      </c>
      <c r="T22" s="22">
        <v>1.25</v>
      </c>
      <c r="U22" s="20">
        <f t="shared" si="7"/>
        <v>0</v>
      </c>
      <c r="V22" s="23">
        <v>0</v>
      </c>
      <c r="W22" s="22">
        <v>0</v>
      </c>
      <c r="X22" s="20">
        <f t="shared" si="8"/>
        <v>0</v>
      </c>
      <c r="Y22" s="23">
        <v>0</v>
      </c>
      <c r="Z22" s="22">
        <v>0</v>
      </c>
      <c r="AA22" s="20">
        <f t="shared" si="9"/>
        <v>1.57</v>
      </c>
      <c r="AB22" s="23">
        <v>0</v>
      </c>
      <c r="AC22" s="22">
        <v>1.57</v>
      </c>
      <c r="AD22" s="20">
        <f t="shared" si="10"/>
        <v>0</v>
      </c>
      <c r="AE22" s="23">
        <v>0</v>
      </c>
      <c r="AF22" s="22">
        <v>0</v>
      </c>
      <c r="AG22" s="20">
        <f t="shared" si="11"/>
        <v>1</v>
      </c>
      <c r="AH22" s="23">
        <v>0</v>
      </c>
      <c r="AI22" s="22">
        <v>1</v>
      </c>
      <c r="AJ22" s="20">
        <f t="shared" si="12"/>
        <v>2.8</v>
      </c>
      <c r="AK22" s="23">
        <v>1</v>
      </c>
      <c r="AL22" s="22">
        <v>1.8</v>
      </c>
      <c r="AM22" s="20">
        <f t="shared" si="13"/>
        <v>1</v>
      </c>
      <c r="AN22" s="23">
        <v>1</v>
      </c>
      <c r="AO22" s="22">
        <v>0</v>
      </c>
      <c r="AP22" s="20">
        <f t="shared" si="14"/>
        <v>0</v>
      </c>
      <c r="AQ22" s="23">
        <v>0</v>
      </c>
      <c r="AR22" s="22">
        <v>0</v>
      </c>
      <c r="AS22" s="20">
        <f t="shared" si="15"/>
        <v>0</v>
      </c>
      <c r="AT22" s="23">
        <v>0</v>
      </c>
      <c r="AU22" s="22">
        <v>0</v>
      </c>
      <c r="AV22" s="24">
        <f t="shared" si="0"/>
        <v>77.605000000000004</v>
      </c>
    </row>
    <row r="23" spans="1:48">
      <c r="A23" s="6">
        <v>39</v>
      </c>
      <c r="B23" s="19" t="s">
        <v>58</v>
      </c>
      <c r="C23" s="20">
        <f t="shared" si="1"/>
        <v>0</v>
      </c>
      <c r="D23" s="23">
        <v>0</v>
      </c>
      <c r="E23" s="22">
        <v>0</v>
      </c>
      <c r="F23" s="20">
        <f t="shared" si="2"/>
        <v>2</v>
      </c>
      <c r="G23" s="23">
        <v>2</v>
      </c>
      <c r="H23" s="22">
        <v>0</v>
      </c>
      <c r="I23" s="20">
        <f t="shared" si="3"/>
        <v>15</v>
      </c>
      <c r="J23" s="23">
        <v>15</v>
      </c>
      <c r="K23" s="22">
        <v>0</v>
      </c>
      <c r="L23" s="20">
        <f t="shared" si="4"/>
        <v>126.26</v>
      </c>
      <c r="M23" s="23">
        <v>112.34</v>
      </c>
      <c r="N23" s="22">
        <v>13.92</v>
      </c>
      <c r="O23" s="20">
        <f t="shared" si="5"/>
        <v>131.095</v>
      </c>
      <c r="P23" s="23">
        <v>63.396999999999998</v>
      </c>
      <c r="Q23" s="22">
        <v>67.697999999999993</v>
      </c>
      <c r="R23" s="20">
        <f t="shared" si="6"/>
        <v>25.184000000000001</v>
      </c>
      <c r="S23" s="23">
        <v>22.184000000000001</v>
      </c>
      <c r="T23" s="22">
        <v>3</v>
      </c>
      <c r="U23" s="20">
        <f t="shared" si="7"/>
        <v>4.55</v>
      </c>
      <c r="V23" s="23">
        <v>3.55</v>
      </c>
      <c r="W23" s="22">
        <v>1</v>
      </c>
      <c r="X23" s="20">
        <f t="shared" si="8"/>
        <v>0</v>
      </c>
      <c r="Y23" s="23">
        <v>0</v>
      </c>
      <c r="Z23" s="22">
        <v>0</v>
      </c>
      <c r="AA23" s="20">
        <f t="shared" si="9"/>
        <v>6.8</v>
      </c>
      <c r="AB23" s="23">
        <v>4</v>
      </c>
      <c r="AC23" s="22">
        <v>2.8</v>
      </c>
      <c r="AD23" s="20">
        <f t="shared" si="10"/>
        <v>2.9</v>
      </c>
      <c r="AE23" s="23">
        <v>2.9</v>
      </c>
      <c r="AF23" s="22">
        <v>0</v>
      </c>
      <c r="AG23" s="20">
        <f t="shared" si="11"/>
        <v>6</v>
      </c>
      <c r="AH23" s="23">
        <v>2</v>
      </c>
      <c r="AI23" s="22">
        <v>4</v>
      </c>
      <c r="AJ23" s="20">
        <f t="shared" si="12"/>
        <v>11.85</v>
      </c>
      <c r="AK23" s="23">
        <v>2.9</v>
      </c>
      <c r="AL23" s="22">
        <v>8.9499999999999993</v>
      </c>
      <c r="AM23" s="20">
        <f t="shared" si="13"/>
        <v>8.6</v>
      </c>
      <c r="AN23" s="23">
        <v>8.6</v>
      </c>
      <c r="AO23" s="22">
        <v>0</v>
      </c>
      <c r="AP23" s="20">
        <f t="shared" si="14"/>
        <v>2</v>
      </c>
      <c r="AQ23" s="23">
        <v>1</v>
      </c>
      <c r="AR23" s="22">
        <v>1</v>
      </c>
      <c r="AS23" s="20">
        <f t="shared" si="15"/>
        <v>0</v>
      </c>
      <c r="AT23" s="23">
        <v>0</v>
      </c>
      <c r="AU23" s="22">
        <v>0</v>
      </c>
      <c r="AV23" s="24">
        <f t="shared" si="0"/>
        <v>342.23900000000009</v>
      </c>
    </row>
    <row r="24" spans="1:48">
      <c r="A24" s="6">
        <v>17</v>
      </c>
      <c r="B24" s="19" t="s">
        <v>36</v>
      </c>
      <c r="C24" s="20">
        <f t="shared" si="1"/>
        <v>0</v>
      </c>
      <c r="D24" s="23">
        <v>0</v>
      </c>
      <c r="E24" s="22">
        <v>0</v>
      </c>
      <c r="F24" s="20">
        <f t="shared" si="2"/>
        <v>3.5</v>
      </c>
      <c r="G24" s="23">
        <v>3.5</v>
      </c>
      <c r="H24" s="22">
        <v>0</v>
      </c>
      <c r="I24" s="20">
        <f t="shared" si="3"/>
        <v>8.33</v>
      </c>
      <c r="J24" s="23">
        <v>8.33</v>
      </c>
      <c r="K24" s="22">
        <v>0</v>
      </c>
      <c r="L24" s="20">
        <f t="shared" si="4"/>
        <v>56.84</v>
      </c>
      <c r="M24" s="23">
        <v>50.67</v>
      </c>
      <c r="N24" s="22">
        <v>6.17</v>
      </c>
      <c r="O24" s="20">
        <f t="shared" si="5"/>
        <v>77.343999999999994</v>
      </c>
      <c r="P24" s="23">
        <v>25.024000000000001</v>
      </c>
      <c r="Q24" s="22">
        <v>52.32</v>
      </c>
      <c r="R24" s="20">
        <f t="shared" si="6"/>
        <v>13.64</v>
      </c>
      <c r="S24" s="23">
        <v>13.64</v>
      </c>
      <c r="T24" s="22">
        <v>0</v>
      </c>
      <c r="U24" s="20">
        <f t="shared" si="7"/>
        <v>3.27</v>
      </c>
      <c r="V24" s="23">
        <v>0</v>
      </c>
      <c r="W24" s="22">
        <v>3.27</v>
      </c>
      <c r="X24" s="20">
        <f t="shared" si="8"/>
        <v>0.54500000000000004</v>
      </c>
      <c r="Y24" s="23">
        <v>0.54500000000000004</v>
      </c>
      <c r="Z24" s="22">
        <v>0</v>
      </c>
      <c r="AA24" s="20">
        <f t="shared" si="9"/>
        <v>2.14</v>
      </c>
      <c r="AB24" s="23">
        <v>0.8</v>
      </c>
      <c r="AC24" s="22">
        <v>1.34</v>
      </c>
      <c r="AD24" s="20">
        <f t="shared" si="10"/>
        <v>1.5</v>
      </c>
      <c r="AE24" s="23">
        <v>1.5</v>
      </c>
      <c r="AF24" s="22">
        <v>0</v>
      </c>
      <c r="AG24" s="20">
        <f t="shared" si="11"/>
        <v>2</v>
      </c>
      <c r="AH24" s="23">
        <v>0</v>
      </c>
      <c r="AI24" s="22">
        <v>2</v>
      </c>
      <c r="AJ24" s="20">
        <f t="shared" si="12"/>
        <v>8.74</v>
      </c>
      <c r="AK24" s="23">
        <v>1.84</v>
      </c>
      <c r="AL24" s="22">
        <v>6.9</v>
      </c>
      <c r="AM24" s="20">
        <f t="shared" si="13"/>
        <v>2</v>
      </c>
      <c r="AN24" s="23">
        <v>2</v>
      </c>
      <c r="AO24" s="22">
        <v>0</v>
      </c>
      <c r="AP24" s="20">
        <f t="shared" si="14"/>
        <v>2</v>
      </c>
      <c r="AQ24" s="23">
        <v>1</v>
      </c>
      <c r="AR24" s="22">
        <v>1</v>
      </c>
      <c r="AS24" s="20">
        <f t="shared" si="15"/>
        <v>0</v>
      </c>
      <c r="AT24" s="23">
        <v>0</v>
      </c>
      <c r="AU24" s="22">
        <v>0</v>
      </c>
      <c r="AV24" s="24">
        <f t="shared" si="0"/>
        <v>181.84899999999999</v>
      </c>
    </row>
    <row r="25" spans="1:48">
      <c r="A25" s="6">
        <v>18</v>
      </c>
      <c r="B25" s="19" t="s">
        <v>37</v>
      </c>
      <c r="C25" s="20">
        <f t="shared" si="1"/>
        <v>0</v>
      </c>
      <c r="D25" s="23">
        <v>0</v>
      </c>
      <c r="E25" s="22">
        <v>0</v>
      </c>
      <c r="F25" s="20">
        <f t="shared" si="2"/>
        <v>1</v>
      </c>
      <c r="G25" s="23">
        <v>1</v>
      </c>
      <c r="H25" s="22">
        <v>0</v>
      </c>
      <c r="I25" s="20">
        <f t="shared" si="3"/>
        <v>4</v>
      </c>
      <c r="J25" s="23">
        <v>4</v>
      </c>
      <c r="K25" s="22">
        <v>0</v>
      </c>
      <c r="L25" s="20">
        <f t="shared" si="4"/>
        <v>42.43</v>
      </c>
      <c r="M25" s="23">
        <v>36.01</v>
      </c>
      <c r="N25" s="22">
        <v>6.42</v>
      </c>
      <c r="O25" s="20">
        <f t="shared" si="5"/>
        <v>46.418999999999997</v>
      </c>
      <c r="P25" s="23">
        <v>25.652000000000001</v>
      </c>
      <c r="Q25" s="22">
        <v>20.766999999999999</v>
      </c>
      <c r="R25" s="20">
        <f t="shared" si="6"/>
        <v>7.8</v>
      </c>
      <c r="S25" s="23">
        <v>5</v>
      </c>
      <c r="T25" s="22">
        <v>2.8</v>
      </c>
      <c r="U25" s="20">
        <f t="shared" si="7"/>
        <v>0.71</v>
      </c>
      <c r="V25" s="23">
        <v>0.4</v>
      </c>
      <c r="W25" s="22">
        <v>0.31</v>
      </c>
      <c r="X25" s="20">
        <f t="shared" si="8"/>
        <v>0</v>
      </c>
      <c r="Y25" s="23">
        <v>0</v>
      </c>
      <c r="Z25" s="22">
        <v>0</v>
      </c>
      <c r="AA25" s="20">
        <f t="shared" si="9"/>
        <v>1.47</v>
      </c>
      <c r="AB25" s="23">
        <v>0.5</v>
      </c>
      <c r="AC25" s="22">
        <v>0.97</v>
      </c>
      <c r="AD25" s="20">
        <f t="shared" si="10"/>
        <v>1.04</v>
      </c>
      <c r="AE25" s="23">
        <v>0.5</v>
      </c>
      <c r="AF25" s="22">
        <v>0.54</v>
      </c>
      <c r="AG25" s="20">
        <f t="shared" si="11"/>
        <v>1</v>
      </c>
      <c r="AH25" s="23">
        <v>0</v>
      </c>
      <c r="AI25" s="22">
        <v>1</v>
      </c>
      <c r="AJ25" s="20">
        <f t="shared" si="12"/>
        <v>4.46</v>
      </c>
      <c r="AK25" s="23">
        <v>0.6</v>
      </c>
      <c r="AL25" s="22">
        <v>3.86</v>
      </c>
      <c r="AM25" s="20">
        <f t="shared" si="13"/>
        <v>0</v>
      </c>
      <c r="AN25" s="23">
        <v>0</v>
      </c>
      <c r="AO25" s="22">
        <v>0</v>
      </c>
      <c r="AP25" s="20">
        <f t="shared" si="14"/>
        <v>0</v>
      </c>
      <c r="AQ25" s="23">
        <v>0</v>
      </c>
      <c r="AR25" s="22">
        <v>0</v>
      </c>
      <c r="AS25" s="20">
        <f t="shared" si="15"/>
        <v>0</v>
      </c>
      <c r="AT25" s="23">
        <v>0</v>
      </c>
      <c r="AU25" s="22">
        <v>0</v>
      </c>
      <c r="AV25" s="24">
        <f t="shared" si="0"/>
        <v>110.32899999999998</v>
      </c>
    </row>
    <row r="26" spans="1:48" ht="15.75" thickBot="1">
      <c r="A26" s="6">
        <v>40</v>
      </c>
      <c r="B26" s="19" t="s">
        <v>59</v>
      </c>
      <c r="C26" s="20">
        <f t="shared" si="1"/>
        <v>0</v>
      </c>
      <c r="D26" s="23">
        <v>0</v>
      </c>
      <c r="E26" s="22">
        <v>0</v>
      </c>
      <c r="F26" s="20">
        <f t="shared" si="2"/>
        <v>1.5</v>
      </c>
      <c r="G26" s="23">
        <v>1.5</v>
      </c>
      <c r="H26" s="22">
        <v>0</v>
      </c>
      <c r="I26" s="20">
        <f t="shared" si="3"/>
        <v>12.441000000000001</v>
      </c>
      <c r="J26" s="23">
        <v>12.441000000000001</v>
      </c>
      <c r="K26" s="22">
        <v>0</v>
      </c>
      <c r="L26" s="20">
        <f t="shared" si="4"/>
        <v>128</v>
      </c>
      <c r="M26" s="23">
        <v>121</v>
      </c>
      <c r="N26" s="22">
        <v>7</v>
      </c>
      <c r="O26" s="20">
        <f t="shared" si="5"/>
        <v>123.68</v>
      </c>
      <c r="P26" s="23">
        <v>77.513000000000005</v>
      </c>
      <c r="Q26" s="22">
        <v>46.167000000000002</v>
      </c>
      <c r="R26" s="20">
        <f t="shared" si="6"/>
        <v>26.529</v>
      </c>
      <c r="S26" s="23">
        <v>18.529</v>
      </c>
      <c r="T26" s="22">
        <v>8</v>
      </c>
      <c r="U26" s="20">
        <f t="shared" si="7"/>
        <v>9.9260000000000002</v>
      </c>
      <c r="V26" s="23">
        <v>7.77</v>
      </c>
      <c r="W26" s="22">
        <v>2.1560000000000001</v>
      </c>
      <c r="X26" s="20">
        <f t="shared" si="8"/>
        <v>1.8</v>
      </c>
      <c r="Y26" s="23">
        <v>1.8</v>
      </c>
      <c r="Z26" s="22">
        <v>0</v>
      </c>
      <c r="AA26" s="20">
        <f t="shared" si="9"/>
        <v>9</v>
      </c>
      <c r="AB26" s="23">
        <v>5</v>
      </c>
      <c r="AC26" s="22">
        <v>4</v>
      </c>
      <c r="AD26" s="20">
        <f t="shared" si="10"/>
        <v>3</v>
      </c>
      <c r="AE26" s="23">
        <v>3</v>
      </c>
      <c r="AF26" s="22">
        <v>0</v>
      </c>
      <c r="AG26" s="20">
        <f t="shared" si="11"/>
        <v>3.5</v>
      </c>
      <c r="AH26" s="23">
        <v>0</v>
      </c>
      <c r="AI26" s="22">
        <v>3.5</v>
      </c>
      <c r="AJ26" s="20">
        <f t="shared" si="12"/>
        <v>14</v>
      </c>
      <c r="AK26" s="23">
        <v>7</v>
      </c>
      <c r="AL26" s="22">
        <v>7</v>
      </c>
      <c r="AM26" s="20">
        <f t="shared" si="13"/>
        <v>5.7</v>
      </c>
      <c r="AN26" s="23">
        <v>5.7</v>
      </c>
      <c r="AO26" s="22">
        <v>0</v>
      </c>
      <c r="AP26" s="20">
        <f t="shared" si="14"/>
        <v>1</v>
      </c>
      <c r="AQ26" s="23">
        <v>0</v>
      </c>
      <c r="AR26" s="22">
        <v>1</v>
      </c>
      <c r="AS26" s="20">
        <f t="shared" si="15"/>
        <v>5.6</v>
      </c>
      <c r="AT26" s="23">
        <v>4.5999999999999996</v>
      </c>
      <c r="AU26" s="22">
        <v>1</v>
      </c>
      <c r="AV26" s="24">
        <f t="shared" si="0"/>
        <v>345.67599999999999</v>
      </c>
    </row>
    <row r="27" spans="1:48">
      <c r="A27" s="4">
        <v>19</v>
      </c>
      <c r="B27" s="12" t="s">
        <v>38</v>
      </c>
      <c r="C27" s="13">
        <f t="shared" si="1"/>
        <v>4</v>
      </c>
      <c r="D27" s="17">
        <v>4</v>
      </c>
      <c r="E27" s="15">
        <v>0</v>
      </c>
      <c r="F27" s="13">
        <f t="shared" si="2"/>
        <v>13.821999999999999</v>
      </c>
      <c r="G27" s="17">
        <v>13.821999999999999</v>
      </c>
      <c r="H27" s="15">
        <v>0</v>
      </c>
      <c r="I27" s="13">
        <f t="shared" si="3"/>
        <v>61.95</v>
      </c>
      <c r="J27" s="17">
        <v>59.95</v>
      </c>
      <c r="K27" s="15">
        <v>2</v>
      </c>
      <c r="L27" s="13">
        <f t="shared" si="4"/>
        <v>518.39499999999998</v>
      </c>
      <c r="M27" s="17">
        <v>452.89499999999998</v>
      </c>
      <c r="N27" s="15">
        <v>65.5</v>
      </c>
      <c r="O27" s="13">
        <f t="shared" si="5"/>
        <v>407.65999999999997</v>
      </c>
      <c r="P27" s="17">
        <v>213.27500000000001</v>
      </c>
      <c r="Q27" s="15">
        <v>194.38499999999999</v>
      </c>
      <c r="R27" s="13">
        <f t="shared" si="6"/>
        <v>113.06399999999999</v>
      </c>
      <c r="S27" s="17">
        <v>96.78</v>
      </c>
      <c r="T27" s="15">
        <v>16.283999999999999</v>
      </c>
      <c r="U27" s="13">
        <f t="shared" si="7"/>
        <v>79.748000000000005</v>
      </c>
      <c r="V27" s="17">
        <v>64.998000000000005</v>
      </c>
      <c r="W27" s="15">
        <v>14.75</v>
      </c>
      <c r="X27" s="13">
        <f t="shared" si="8"/>
        <v>10</v>
      </c>
      <c r="Y27" s="17">
        <v>6.5</v>
      </c>
      <c r="Z27" s="15">
        <v>3.5</v>
      </c>
      <c r="AA27" s="13">
        <f t="shared" si="9"/>
        <v>27</v>
      </c>
      <c r="AB27" s="17">
        <v>11</v>
      </c>
      <c r="AC27" s="15">
        <v>16</v>
      </c>
      <c r="AD27" s="13">
        <f t="shared" si="10"/>
        <v>10.08</v>
      </c>
      <c r="AE27" s="17">
        <v>6.08</v>
      </c>
      <c r="AF27" s="15">
        <v>4</v>
      </c>
      <c r="AG27" s="13">
        <f t="shared" si="11"/>
        <v>11</v>
      </c>
      <c r="AH27" s="17">
        <v>2</v>
      </c>
      <c r="AI27" s="15">
        <v>9</v>
      </c>
      <c r="AJ27" s="13">
        <f t="shared" si="12"/>
        <v>52.5</v>
      </c>
      <c r="AK27" s="17">
        <v>13</v>
      </c>
      <c r="AL27" s="15">
        <v>39.5</v>
      </c>
      <c r="AM27" s="13">
        <f t="shared" si="13"/>
        <v>41.577999999999996</v>
      </c>
      <c r="AN27" s="17">
        <v>34.777999999999999</v>
      </c>
      <c r="AO27" s="15">
        <v>6.8</v>
      </c>
      <c r="AP27" s="13">
        <f t="shared" si="14"/>
        <v>12.6</v>
      </c>
      <c r="AQ27" s="17">
        <v>5.0999999999999996</v>
      </c>
      <c r="AR27" s="15">
        <v>7.5</v>
      </c>
      <c r="AS27" s="13">
        <f t="shared" si="15"/>
        <v>0</v>
      </c>
      <c r="AT27" s="17">
        <v>0</v>
      </c>
      <c r="AU27" s="15">
        <v>0</v>
      </c>
      <c r="AV27" s="18">
        <f t="shared" si="0"/>
        <v>1363.3969999999999</v>
      </c>
    </row>
    <row r="28" spans="1:48">
      <c r="A28" s="6">
        <v>20</v>
      </c>
      <c r="B28" s="19" t="s">
        <v>39</v>
      </c>
      <c r="C28" s="20">
        <f t="shared" si="1"/>
        <v>0</v>
      </c>
      <c r="D28" s="23">
        <v>0</v>
      </c>
      <c r="E28" s="22">
        <v>0</v>
      </c>
      <c r="F28" s="20">
        <f t="shared" si="2"/>
        <v>1</v>
      </c>
      <c r="G28" s="23">
        <v>1</v>
      </c>
      <c r="H28" s="22">
        <v>0</v>
      </c>
      <c r="I28" s="20">
        <f t="shared" si="3"/>
        <v>6.5</v>
      </c>
      <c r="J28" s="23">
        <v>6.5</v>
      </c>
      <c r="K28" s="22">
        <v>0</v>
      </c>
      <c r="L28" s="20">
        <f t="shared" si="4"/>
        <v>55</v>
      </c>
      <c r="M28" s="23">
        <v>46</v>
      </c>
      <c r="N28" s="22">
        <v>9</v>
      </c>
      <c r="O28" s="20">
        <f t="shared" si="5"/>
        <v>52.832999999999998</v>
      </c>
      <c r="P28" s="23">
        <v>22.497</v>
      </c>
      <c r="Q28" s="22">
        <v>30.335999999999999</v>
      </c>
      <c r="R28" s="20">
        <f t="shared" si="6"/>
        <v>11.667</v>
      </c>
      <c r="S28" s="23">
        <v>8.3369999999999997</v>
      </c>
      <c r="T28" s="22">
        <v>3.33</v>
      </c>
      <c r="U28" s="20">
        <f t="shared" si="7"/>
        <v>1</v>
      </c>
      <c r="V28" s="23">
        <v>0</v>
      </c>
      <c r="W28" s="22">
        <v>1</v>
      </c>
      <c r="X28" s="20">
        <f t="shared" si="8"/>
        <v>0</v>
      </c>
      <c r="Y28" s="23">
        <v>0</v>
      </c>
      <c r="Z28" s="22">
        <v>0</v>
      </c>
      <c r="AA28" s="20">
        <f t="shared" si="9"/>
        <v>0</v>
      </c>
      <c r="AB28" s="23">
        <v>0</v>
      </c>
      <c r="AC28" s="22">
        <v>0</v>
      </c>
      <c r="AD28" s="20">
        <f t="shared" si="10"/>
        <v>1</v>
      </c>
      <c r="AE28" s="23">
        <v>1</v>
      </c>
      <c r="AF28" s="22">
        <v>0</v>
      </c>
      <c r="AG28" s="20">
        <f t="shared" si="11"/>
        <v>3</v>
      </c>
      <c r="AH28" s="23">
        <v>1</v>
      </c>
      <c r="AI28" s="22">
        <v>2</v>
      </c>
      <c r="AJ28" s="20">
        <f t="shared" si="12"/>
        <v>7</v>
      </c>
      <c r="AK28" s="23">
        <v>1</v>
      </c>
      <c r="AL28" s="22">
        <v>6</v>
      </c>
      <c r="AM28" s="20">
        <f t="shared" si="13"/>
        <v>1</v>
      </c>
      <c r="AN28" s="23">
        <v>1</v>
      </c>
      <c r="AO28" s="22">
        <v>0</v>
      </c>
      <c r="AP28" s="20">
        <f t="shared" si="14"/>
        <v>0</v>
      </c>
      <c r="AQ28" s="23">
        <v>0</v>
      </c>
      <c r="AR28" s="22">
        <v>0</v>
      </c>
      <c r="AS28" s="20">
        <f t="shared" si="15"/>
        <v>0</v>
      </c>
      <c r="AT28" s="23">
        <v>0</v>
      </c>
      <c r="AU28" s="22">
        <v>0</v>
      </c>
      <c r="AV28" s="24">
        <f t="shared" si="0"/>
        <v>140</v>
      </c>
    </row>
    <row r="29" spans="1:48">
      <c r="A29" s="6">
        <v>21</v>
      </c>
      <c r="B29" s="19" t="s">
        <v>40</v>
      </c>
      <c r="C29" s="20">
        <f t="shared" si="1"/>
        <v>0.5</v>
      </c>
      <c r="D29" s="23">
        <v>0.5</v>
      </c>
      <c r="E29" s="22">
        <v>0</v>
      </c>
      <c r="F29" s="20">
        <f t="shared" si="2"/>
        <v>0</v>
      </c>
      <c r="G29" s="23">
        <v>0</v>
      </c>
      <c r="H29" s="22">
        <v>0</v>
      </c>
      <c r="I29" s="20">
        <f t="shared" si="3"/>
        <v>2</v>
      </c>
      <c r="J29" s="23">
        <v>2</v>
      </c>
      <c r="K29" s="22">
        <v>0</v>
      </c>
      <c r="L29" s="20">
        <f t="shared" si="4"/>
        <v>23.01</v>
      </c>
      <c r="M29" s="23">
        <v>19.350000000000001</v>
      </c>
      <c r="N29" s="22">
        <v>3.66</v>
      </c>
      <c r="O29" s="20">
        <f t="shared" si="5"/>
        <v>25.98</v>
      </c>
      <c r="P29" s="23">
        <v>13.14</v>
      </c>
      <c r="Q29" s="22">
        <v>12.84</v>
      </c>
      <c r="R29" s="20">
        <f t="shared" si="6"/>
        <v>6.34</v>
      </c>
      <c r="S29" s="23">
        <v>5.34</v>
      </c>
      <c r="T29" s="22">
        <v>1</v>
      </c>
      <c r="U29" s="20">
        <f t="shared" si="7"/>
        <v>1</v>
      </c>
      <c r="V29" s="23">
        <v>0</v>
      </c>
      <c r="W29" s="22">
        <v>1</v>
      </c>
      <c r="X29" s="20">
        <f t="shared" si="8"/>
        <v>0.5</v>
      </c>
      <c r="Y29" s="23">
        <v>0.5</v>
      </c>
      <c r="Z29" s="22">
        <v>0</v>
      </c>
      <c r="AA29" s="20">
        <f t="shared" si="9"/>
        <v>1.5</v>
      </c>
      <c r="AB29" s="23">
        <v>0.5</v>
      </c>
      <c r="AC29" s="22">
        <v>1</v>
      </c>
      <c r="AD29" s="20">
        <f t="shared" si="10"/>
        <v>1.83</v>
      </c>
      <c r="AE29" s="23">
        <v>1.83</v>
      </c>
      <c r="AF29" s="22">
        <v>0</v>
      </c>
      <c r="AG29" s="20">
        <f t="shared" si="11"/>
        <v>1</v>
      </c>
      <c r="AH29" s="23">
        <v>0</v>
      </c>
      <c r="AI29" s="22">
        <v>1</v>
      </c>
      <c r="AJ29" s="20">
        <f t="shared" si="12"/>
        <v>3.5</v>
      </c>
      <c r="AK29" s="23">
        <v>1</v>
      </c>
      <c r="AL29" s="22">
        <v>2.5</v>
      </c>
      <c r="AM29" s="20">
        <f t="shared" si="13"/>
        <v>0</v>
      </c>
      <c r="AN29" s="23">
        <v>0</v>
      </c>
      <c r="AO29" s="22">
        <v>0</v>
      </c>
      <c r="AP29" s="20">
        <f t="shared" si="14"/>
        <v>0</v>
      </c>
      <c r="AQ29" s="23">
        <v>0</v>
      </c>
      <c r="AR29" s="22">
        <v>0</v>
      </c>
      <c r="AS29" s="20">
        <f t="shared" si="15"/>
        <v>0</v>
      </c>
      <c r="AT29" s="23">
        <v>0</v>
      </c>
      <c r="AU29" s="22">
        <v>0</v>
      </c>
      <c r="AV29" s="24">
        <f t="shared" si="0"/>
        <v>67.16</v>
      </c>
    </row>
    <row r="30" spans="1:48">
      <c r="A30" s="6">
        <v>37</v>
      </c>
      <c r="B30" s="19" t="s">
        <v>56</v>
      </c>
      <c r="C30" s="20">
        <f t="shared" si="1"/>
        <v>0</v>
      </c>
      <c r="D30" s="23">
        <v>0</v>
      </c>
      <c r="E30" s="22">
        <v>0</v>
      </c>
      <c r="F30" s="20">
        <f t="shared" si="2"/>
        <v>4</v>
      </c>
      <c r="G30" s="23">
        <v>4</v>
      </c>
      <c r="H30" s="22">
        <v>0</v>
      </c>
      <c r="I30" s="20">
        <f t="shared" si="3"/>
        <v>37.732999999999997</v>
      </c>
      <c r="J30" s="23">
        <v>36.732999999999997</v>
      </c>
      <c r="K30" s="22">
        <v>1</v>
      </c>
      <c r="L30" s="20">
        <f t="shared" si="4"/>
        <v>228.977</v>
      </c>
      <c r="M30" s="23">
        <v>202.697</v>
      </c>
      <c r="N30" s="22">
        <v>26.28</v>
      </c>
      <c r="O30" s="20">
        <f t="shared" si="5"/>
        <v>220.87700000000001</v>
      </c>
      <c r="P30" s="23">
        <v>116.256</v>
      </c>
      <c r="Q30" s="22">
        <v>104.621</v>
      </c>
      <c r="R30" s="20">
        <f t="shared" si="6"/>
        <v>55.11</v>
      </c>
      <c r="S30" s="23">
        <v>42.92</v>
      </c>
      <c r="T30" s="22">
        <v>12.19</v>
      </c>
      <c r="U30" s="20">
        <f t="shared" si="7"/>
        <v>30.35</v>
      </c>
      <c r="V30" s="23">
        <v>26.85</v>
      </c>
      <c r="W30" s="22">
        <v>3.5</v>
      </c>
      <c r="X30" s="20">
        <f t="shared" si="8"/>
        <v>9.52</v>
      </c>
      <c r="Y30" s="23">
        <v>8.5</v>
      </c>
      <c r="Z30" s="22">
        <v>1.02</v>
      </c>
      <c r="AA30" s="20">
        <f t="shared" si="9"/>
        <v>12.58</v>
      </c>
      <c r="AB30" s="23">
        <v>7.6</v>
      </c>
      <c r="AC30" s="22">
        <v>4.9800000000000004</v>
      </c>
      <c r="AD30" s="20">
        <f t="shared" si="10"/>
        <v>16.329999999999998</v>
      </c>
      <c r="AE30" s="23">
        <v>14.33</v>
      </c>
      <c r="AF30" s="22">
        <v>2</v>
      </c>
      <c r="AG30" s="20">
        <f t="shared" si="11"/>
        <v>10</v>
      </c>
      <c r="AH30" s="23">
        <v>4</v>
      </c>
      <c r="AI30" s="22">
        <v>6</v>
      </c>
      <c r="AJ30" s="20">
        <f t="shared" si="12"/>
        <v>27</v>
      </c>
      <c r="AK30" s="23">
        <v>15</v>
      </c>
      <c r="AL30" s="22">
        <v>12</v>
      </c>
      <c r="AM30" s="20">
        <f t="shared" si="13"/>
        <v>10</v>
      </c>
      <c r="AN30" s="23">
        <v>10</v>
      </c>
      <c r="AO30" s="22">
        <v>0</v>
      </c>
      <c r="AP30" s="20">
        <f t="shared" si="14"/>
        <v>2.95</v>
      </c>
      <c r="AQ30" s="23">
        <v>2.4</v>
      </c>
      <c r="AR30" s="22">
        <v>0.55000000000000004</v>
      </c>
      <c r="AS30" s="20">
        <f t="shared" si="15"/>
        <v>1</v>
      </c>
      <c r="AT30" s="23">
        <v>0</v>
      </c>
      <c r="AU30" s="22">
        <v>1</v>
      </c>
      <c r="AV30" s="24">
        <f t="shared" si="0"/>
        <v>666.42700000000013</v>
      </c>
    </row>
    <row r="31" spans="1:48" ht="15.75" thickBot="1">
      <c r="A31" s="25">
        <v>22</v>
      </c>
      <c r="B31" s="26" t="s">
        <v>41</v>
      </c>
      <c r="C31" s="27">
        <f t="shared" si="1"/>
        <v>0.5</v>
      </c>
      <c r="D31" s="28">
        <v>0.5</v>
      </c>
      <c r="E31" s="29">
        <v>0</v>
      </c>
      <c r="F31" s="27">
        <f t="shared" si="2"/>
        <v>0</v>
      </c>
      <c r="G31" s="28">
        <v>0</v>
      </c>
      <c r="H31" s="29">
        <v>0</v>
      </c>
      <c r="I31" s="27">
        <f t="shared" si="3"/>
        <v>7.5</v>
      </c>
      <c r="J31" s="28">
        <v>6.5</v>
      </c>
      <c r="K31" s="29">
        <v>1</v>
      </c>
      <c r="L31" s="27">
        <f t="shared" si="4"/>
        <v>96.734999999999999</v>
      </c>
      <c r="M31" s="28">
        <v>83.575000000000003</v>
      </c>
      <c r="N31" s="29">
        <v>13.16</v>
      </c>
      <c r="O31" s="27">
        <f t="shared" si="5"/>
        <v>110.89400000000001</v>
      </c>
      <c r="P31" s="28">
        <v>73.08</v>
      </c>
      <c r="Q31" s="29">
        <v>37.814</v>
      </c>
      <c r="R31" s="27">
        <f t="shared" si="6"/>
        <v>19.84</v>
      </c>
      <c r="S31" s="28">
        <v>18.84</v>
      </c>
      <c r="T31" s="29">
        <v>1</v>
      </c>
      <c r="U31" s="27">
        <f t="shared" si="7"/>
        <v>10.284000000000001</v>
      </c>
      <c r="V31" s="28">
        <v>8.1850000000000005</v>
      </c>
      <c r="W31" s="29">
        <v>2.0990000000000002</v>
      </c>
      <c r="X31" s="27">
        <f t="shared" si="8"/>
        <v>4</v>
      </c>
      <c r="Y31" s="28">
        <v>3</v>
      </c>
      <c r="Z31" s="29">
        <v>1</v>
      </c>
      <c r="AA31" s="27">
        <f t="shared" si="9"/>
        <v>7.75</v>
      </c>
      <c r="AB31" s="28">
        <v>6.75</v>
      </c>
      <c r="AC31" s="29">
        <v>1</v>
      </c>
      <c r="AD31" s="27">
        <f t="shared" si="10"/>
        <v>6.585</v>
      </c>
      <c r="AE31" s="28">
        <v>6.585</v>
      </c>
      <c r="AF31" s="29">
        <v>0</v>
      </c>
      <c r="AG31" s="27">
        <f t="shared" si="11"/>
        <v>2</v>
      </c>
      <c r="AH31" s="28">
        <v>0</v>
      </c>
      <c r="AI31" s="29">
        <v>2</v>
      </c>
      <c r="AJ31" s="27">
        <f t="shared" si="12"/>
        <v>10.5</v>
      </c>
      <c r="AK31" s="28">
        <v>4</v>
      </c>
      <c r="AL31" s="29">
        <v>6.5</v>
      </c>
      <c r="AM31" s="27">
        <f t="shared" si="13"/>
        <v>2.2999999999999998</v>
      </c>
      <c r="AN31" s="28">
        <v>2.2999999999999998</v>
      </c>
      <c r="AO31" s="29">
        <v>0</v>
      </c>
      <c r="AP31" s="27">
        <f t="shared" si="14"/>
        <v>0</v>
      </c>
      <c r="AQ31" s="28">
        <v>0</v>
      </c>
      <c r="AR31" s="29">
        <v>0</v>
      </c>
      <c r="AS31" s="27">
        <f t="shared" si="15"/>
        <v>2</v>
      </c>
      <c r="AT31" s="28">
        <v>2</v>
      </c>
      <c r="AU31" s="29">
        <v>0</v>
      </c>
      <c r="AV31" s="30">
        <f t="shared" si="0"/>
        <v>280.88800000000003</v>
      </c>
    </row>
    <row r="32" spans="1:48">
      <c r="A32" s="6">
        <v>23</v>
      </c>
      <c r="B32" s="31" t="s">
        <v>42</v>
      </c>
      <c r="C32" s="20">
        <f t="shared" si="1"/>
        <v>0</v>
      </c>
      <c r="D32" s="23">
        <v>0</v>
      </c>
      <c r="E32" s="22">
        <v>0</v>
      </c>
      <c r="F32" s="20">
        <f t="shared" si="2"/>
        <v>0.751</v>
      </c>
      <c r="G32" s="23">
        <v>0.751</v>
      </c>
      <c r="H32" s="22">
        <v>0</v>
      </c>
      <c r="I32" s="20">
        <f t="shared" si="3"/>
        <v>1.5</v>
      </c>
      <c r="J32" s="23">
        <v>1.5</v>
      </c>
      <c r="K32" s="22">
        <v>0</v>
      </c>
      <c r="L32" s="20">
        <f t="shared" si="4"/>
        <v>7.66</v>
      </c>
      <c r="M32" s="23">
        <v>7.66</v>
      </c>
      <c r="N32" s="22">
        <v>0</v>
      </c>
      <c r="O32" s="20">
        <f t="shared" si="5"/>
        <v>14.6</v>
      </c>
      <c r="P32" s="23">
        <v>6</v>
      </c>
      <c r="Q32" s="22">
        <v>8.6</v>
      </c>
      <c r="R32" s="20">
        <f t="shared" si="6"/>
        <v>1.42</v>
      </c>
      <c r="S32" s="23">
        <v>0.67</v>
      </c>
      <c r="T32" s="22">
        <v>0.75</v>
      </c>
      <c r="U32" s="20">
        <f t="shared" si="7"/>
        <v>0.2</v>
      </c>
      <c r="V32" s="23">
        <v>0</v>
      </c>
      <c r="W32" s="22">
        <v>0.2</v>
      </c>
      <c r="X32" s="20">
        <f t="shared" si="8"/>
        <v>0.5</v>
      </c>
      <c r="Y32" s="23">
        <v>0.5</v>
      </c>
      <c r="Z32" s="22">
        <v>0</v>
      </c>
      <c r="AA32" s="20">
        <f t="shared" si="9"/>
        <v>0.5</v>
      </c>
      <c r="AB32" s="23">
        <v>0.5</v>
      </c>
      <c r="AC32" s="22">
        <v>0</v>
      </c>
      <c r="AD32" s="20">
        <f t="shared" si="10"/>
        <v>0</v>
      </c>
      <c r="AE32" s="23">
        <v>0</v>
      </c>
      <c r="AF32" s="22">
        <v>0</v>
      </c>
      <c r="AG32" s="20">
        <f t="shared" si="11"/>
        <v>1</v>
      </c>
      <c r="AH32" s="23">
        <v>0</v>
      </c>
      <c r="AI32" s="22">
        <v>1</v>
      </c>
      <c r="AJ32" s="20">
        <f t="shared" si="12"/>
        <v>1.1200000000000001</v>
      </c>
      <c r="AK32" s="23">
        <v>0.67</v>
      </c>
      <c r="AL32" s="22">
        <v>0.45</v>
      </c>
      <c r="AM32" s="20">
        <f t="shared" si="13"/>
        <v>0</v>
      </c>
      <c r="AN32" s="23">
        <v>0</v>
      </c>
      <c r="AO32" s="22">
        <v>0</v>
      </c>
      <c r="AP32" s="20">
        <f t="shared" si="14"/>
        <v>0</v>
      </c>
      <c r="AQ32" s="23">
        <v>0</v>
      </c>
      <c r="AR32" s="22">
        <v>0</v>
      </c>
      <c r="AS32" s="20">
        <f t="shared" si="15"/>
        <v>0</v>
      </c>
      <c r="AT32" s="23">
        <v>0</v>
      </c>
      <c r="AU32" s="22">
        <v>0</v>
      </c>
      <c r="AV32" s="24">
        <f t="shared" si="0"/>
        <v>29.250999999999998</v>
      </c>
    </row>
    <row r="33" spans="1:48">
      <c r="A33" s="6">
        <v>38</v>
      </c>
      <c r="B33" s="31" t="s">
        <v>57</v>
      </c>
      <c r="C33" s="20">
        <f t="shared" si="1"/>
        <v>1.167</v>
      </c>
      <c r="D33" s="23">
        <v>1.167</v>
      </c>
      <c r="E33" s="22">
        <v>0</v>
      </c>
      <c r="F33" s="20">
        <f t="shared" si="2"/>
        <v>2</v>
      </c>
      <c r="G33" s="23">
        <v>2</v>
      </c>
      <c r="H33" s="22">
        <v>0</v>
      </c>
      <c r="I33" s="20">
        <f t="shared" si="3"/>
        <v>26.5</v>
      </c>
      <c r="J33" s="23">
        <v>25.5</v>
      </c>
      <c r="K33" s="22">
        <v>1</v>
      </c>
      <c r="L33" s="20">
        <f t="shared" si="4"/>
        <v>238.49799999999999</v>
      </c>
      <c r="M33" s="23">
        <v>218.49799999999999</v>
      </c>
      <c r="N33" s="22">
        <v>20</v>
      </c>
      <c r="O33" s="20">
        <f t="shared" si="5"/>
        <v>249.90600000000001</v>
      </c>
      <c r="P33" s="23">
        <v>133.679</v>
      </c>
      <c r="Q33" s="22">
        <v>116.227</v>
      </c>
      <c r="R33" s="20">
        <f t="shared" si="6"/>
        <v>76.038000000000011</v>
      </c>
      <c r="S33" s="23">
        <v>59.703000000000003</v>
      </c>
      <c r="T33" s="22">
        <v>16.335000000000001</v>
      </c>
      <c r="U33" s="20">
        <f t="shared" si="7"/>
        <v>27.238</v>
      </c>
      <c r="V33" s="23">
        <v>20.731000000000002</v>
      </c>
      <c r="W33" s="22">
        <v>6.5069999999999997</v>
      </c>
      <c r="X33" s="20">
        <f t="shared" si="8"/>
        <v>0</v>
      </c>
      <c r="Y33" s="23">
        <v>0</v>
      </c>
      <c r="Z33" s="22">
        <v>0</v>
      </c>
      <c r="AA33" s="20">
        <f t="shared" si="9"/>
        <v>15.5</v>
      </c>
      <c r="AB33" s="23">
        <v>8.5</v>
      </c>
      <c r="AC33" s="22">
        <v>7</v>
      </c>
      <c r="AD33" s="20">
        <f t="shared" si="10"/>
        <v>5.4690000000000003</v>
      </c>
      <c r="AE33" s="23">
        <v>4.5</v>
      </c>
      <c r="AF33" s="22">
        <v>0.96899999999999997</v>
      </c>
      <c r="AG33" s="20">
        <f t="shared" si="11"/>
        <v>6</v>
      </c>
      <c r="AH33" s="23">
        <v>1</v>
      </c>
      <c r="AI33" s="22">
        <v>5</v>
      </c>
      <c r="AJ33" s="20">
        <f t="shared" si="12"/>
        <v>28.16</v>
      </c>
      <c r="AK33" s="23">
        <v>11</v>
      </c>
      <c r="AL33" s="22">
        <v>17.16</v>
      </c>
      <c r="AM33" s="20">
        <f t="shared" si="13"/>
        <v>13.5</v>
      </c>
      <c r="AN33" s="23">
        <v>12.5</v>
      </c>
      <c r="AO33" s="22">
        <v>1</v>
      </c>
      <c r="AP33" s="20">
        <f t="shared" si="14"/>
        <v>6.2</v>
      </c>
      <c r="AQ33" s="23">
        <v>3.2</v>
      </c>
      <c r="AR33" s="22">
        <v>3</v>
      </c>
      <c r="AS33" s="20">
        <f t="shared" si="15"/>
        <v>3</v>
      </c>
      <c r="AT33" s="23">
        <v>1</v>
      </c>
      <c r="AU33" s="22">
        <v>2</v>
      </c>
      <c r="AV33" s="24">
        <f t="shared" si="0"/>
        <v>699.17600000000004</v>
      </c>
    </row>
    <row r="34" spans="1:48">
      <c r="A34" s="6">
        <v>24</v>
      </c>
      <c r="B34" s="19" t="s">
        <v>43</v>
      </c>
      <c r="C34" s="20">
        <f t="shared" si="1"/>
        <v>0</v>
      </c>
      <c r="D34" s="23">
        <v>0</v>
      </c>
      <c r="E34" s="22">
        <v>0</v>
      </c>
      <c r="F34" s="20">
        <f t="shared" si="2"/>
        <v>0</v>
      </c>
      <c r="G34" s="23">
        <v>0</v>
      </c>
      <c r="H34" s="22">
        <v>0</v>
      </c>
      <c r="I34" s="20">
        <f t="shared" si="3"/>
        <v>2</v>
      </c>
      <c r="J34" s="23">
        <v>2</v>
      </c>
      <c r="K34" s="22">
        <v>0</v>
      </c>
      <c r="L34" s="20">
        <f t="shared" si="4"/>
        <v>12.690000000000001</v>
      </c>
      <c r="M34" s="23">
        <v>10.46</v>
      </c>
      <c r="N34" s="22">
        <v>2.23</v>
      </c>
      <c r="O34" s="20">
        <f t="shared" si="5"/>
        <v>16.59</v>
      </c>
      <c r="P34" s="23">
        <v>9.5399999999999991</v>
      </c>
      <c r="Q34" s="22">
        <v>7.05</v>
      </c>
      <c r="R34" s="20">
        <f t="shared" si="6"/>
        <v>2</v>
      </c>
      <c r="S34" s="23">
        <v>1</v>
      </c>
      <c r="T34" s="22">
        <v>1</v>
      </c>
      <c r="U34" s="20">
        <f t="shared" si="7"/>
        <v>0.32</v>
      </c>
      <c r="V34" s="23">
        <v>0.32</v>
      </c>
      <c r="W34" s="22">
        <v>0</v>
      </c>
      <c r="X34" s="20">
        <f t="shared" si="8"/>
        <v>0.5</v>
      </c>
      <c r="Y34" s="23">
        <v>0</v>
      </c>
      <c r="Z34" s="22">
        <v>0.5</v>
      </c>
      <c r="AA34" s="20">
        <f t="shared" si="9"/>
        <v>0.45</v>
      </c>
      <c r="AB34" s="23">
        <v>0</v>
      </c>
      <c r="AC34" s="22">
        <v>0.45</v>
      </c>
      <c r="AD34" s="20">
        <f t="shared" si="10"/>
        <v>0</v>
      </c>
      <c r="AE34" s="23">
        <v>0</v>
      </c>
      <c r="AF34" s="22">
        <v>0</v>
      </c>
      <c r="AG34" s="20">
        <f t="shared" si="11"/>
        <v>0.8</v>
      </c>
      <c r="AH34" s="23">
        <v>0</v>
      </c>
      <c r="AI34" s="22">
        <v>0.8</v>
      </c>
      <c r="AJ34" s="20">
        <f t="shared" si="12"/>
        <v>1.97</v>
      </c>
      <c r="AK34" s="23">
        <v>0</v>
      </c>
      <c r="AL34" s="22">
        <v>1.97</v>
      </c>
      <c r="AM34" s="20">
        <f t="shared" si="13"/>
        <v>0.68</v>
      </c>
      <c r="AN34" s="23">
        <v>0.68</v>
      </c>
      <c r="AO34" s="22">
        <v>0</v>
      </c>
      <c r="AP34" s="20">
        <f t="shared" si="14"/>
        <v>0</v>
      </c>
      <c r="AQ34" s="23">
        <v>0</v>
      </c>
      <c r="AR34" s="22">
        <v>0</v>
      </c>
      <c r="AS34" s="20">
        <f t="shared" si="15"/>
        <v>0</v>
      </c>
      <c r="AT34" s="23">
        <v>0</v>
      </c>
      <c r="AU34" s="22">
        <v>0</v>
      </c>
      <c r="AV34" s="24">
        <f t="shared" si="0"/>
        <v>38</v>
      </c>
    </row>
    <row r="35" spans="1:48">
      <c r="A35" s="6">
        <v>36</v>
      </c>
      <c r="B35" s="19" t="s">
        <v>55</v>
      </c>
      <c r="C35" s="20">
        <f t="shared" si="1"/>
        <v>0</v>
      </c>
      <c r="D35" s="23">
        <v>0</v>
      </c>
      <c r="E35" s="22">
        <v>0</v>
      </c>
      <c r="F35" s="20">
        <f t="shared" si="2"/>
        <v>7.9610000000000003</v>
      </c>
      <c r="G35" s="23">
        <v>7.9610000000000003</v>
      </c>
      <c r="H35" s="22">
        <v>0</v>
      </c>
      <c r="I35" s="20">
        <f t="shared" si="3"/>
        <v>78.789000000000001</v>
      </c>
      <c r="J35" s="23">
        <v>74.789000000000001</v>
      </c>
      <c r="K35" s="22">
        <v>4</v>
      </c>
      <c r="L35" s="20">
        <f t="shared" si="4"/>
        <v>492.11700000000002</v>
      </c>
      <c r="M35" s="23">
        <v>425.11700000000002</v>
      </c>
      <c r="N35" s="22">
        <v>67</v>
      </c>
      <c r="O35" s="20">
        <f t="shared" si="5"/>
        <v>396.16700000000003</v>
      </c>
      <c r="P35" s="23">
        <f>236.29+1</f>
        <v>237.29</v>
      </c>
      <c r="Q35" s="22">
        <v>158.87700000000001</v>
      </c>
      <c r="R35" s="20">
        <f t="shared" si="6"/>
        <v>158.4</v>
      </c>
      <c r="S35" s="23">
        <v>132.4</v>
      </c>
      <c r="T35" s="22">
        <v>26</v>
      </c>
      <c r="U35" s="20">
        <f t="shared" si="7"/>
        <v>94.442999999999998</v>
      </c>
      <c r="V35" s="23">
        <v>75.313000000000002</v>
      </c>
      <c r="W35" s="22">
        <v>19.13</v>
      </c>
      <c r="X35" s="20">
        <f t="shared" si="8"/>
        <v>14.3</v>
      </c>
      <c r="Y35" s="23">
        <v>12.8</v>
      </c>
      <c r="Z35" s="22">
        <v>1.5</v>
      </c>
      <c r="AA35" s="20">
        <f t="shared" si="9"/>
        <v>27.05</v>
      </c>
      <c r="AB35" s="23">
        <v>16.55</v>
      </c>
      <c r="AC35" s="22">
        <v>10.5</v>
      </c>
      <c r="AD35" s="20">
        <f t="shared" si="10"/>
        <v>37.72</v>
      </c>
      <c r="AE35" s="23">
        <v>33.72</v>
      </c>
      <c r="AF35" s="22">
        <v>4</v>
      </c>
      <c r="AG35" s="20">
        <f t="shared" si="11"/>
        <v>18</v>
      </c>
      <c r="AH35" s="23">
        <v>13</v>
      </c>
      <c r="AI35" s="22">
        <v>5</v>
      </c>
      <c r="AJ35" s="20">
        <f t="shared" si="12"/>
        <v>53</v>
      </c>
      <c r="AK35" s="23">
        <v>25</v>
      </c>
      <c r="AL35" s="22">
        <v>28</v>
      </c>
      <c r="AM35" s="20">
        <f t="shared" si="13"/>
        <v>22</v>
      </c>
      <c r="AN35" s="23">
        <v>21</v>
      </c>
      <c r="AO35" s="22">
        <v>1</v>
      </c>
      <c r="AP35" s="20">
        <f t="shared" si="14"/>
        <v>8</v>
      </c>
      <c r="AQ35" s="23">
        <v>7</v>
      </c>
      <c r="AR35" s="22">
        <v>1</v>
      </c>
      <c r="AS35" s="20">
        <f t="shared" si="15"/>
        <v>12</v>
      </c>
      <c r="AT35" s="23">
        <v>10</v>
      </c>
      <c r="AU35" s="22">
        <v>2</v>
      </c>
      <c r="AV35" s="24">
        <f t="shared" si="0"/>
        <v>1419.9469999999999</v>
      </c>
    </row>
    <row r="36" spans="1:48" ht="15.75" thickBot="1">
      <c r="A36" s="6">
        <v>25</v>
      </c>
      <c r="B36" s="19" t="s">
        <v>44</v>
      </c>
      <c r="C36" s="20">
        <f t="shared" si="1"/>
        <v>1</v>
      </c>
      <c r="D36" s="23">
        <v>1</v>
      </c>
      <c r="E36" s="22">
        <v>0</v>
      </c>
      <c r="F36" s="20">
        <f t="shared" si="2"/>
        <v>3</v>
      </c>
      <c r="G36" s="23">
        <v>3</v>
      </c>
      <c r="H36" s="22">
        <v>0</v>
      </c>
      <c r="I36" s="20">
        <f t="shared" si="3"/>
        <v>8.75</v>
      </c>
      <c r="J36" s="23">
        <v>8.75</v>
      </c>
      <c r="K36" s="22">
        <v>0</v>
      </c>
      <c r="L36" s="20">
        <f t="shared" si="4"/>
        <v>62.43</v>
      </c>
      <c r="M36" s="23">
        <v>57.26</v>
      </c>
      <c r="N36" s="22">
        <v>5.17</v>
      </c>
      <c r="O36" s="20">
        <f t="shared" si="5"/>
        <v>99.622</v>
      </c>
      <c r="P36" s="23">
        <v>44.012</v>
      </c>
      <c r="Q36" s="22">
        <v>55.61</v>
      </c>
      <c r="R36" s="20">
        <f t="shared" si="6"/>
        <v>16</v>
      </c>
      <c r="S36" s="23">
        <v>14</v>
      </c>
      <c r="T36" s="22">
        <v>2</v>
      </c>
      <c r="U36" s="20">
        <f t="shared" si="7"/>
        <v>8</v>
      </c>
      <c r="V36" s="23">
        <v>4</v>
      </c>
      <c r="W36" s="22">
        <v>4</v>
      </c>
      <c r="X36" s="20">
        <f t="shared" si="8"/>
        <v>0.33</v>
      </c>
      <c r="Y36" s="23">
        <v>0.33</v>
      </c>
      <c r="Z36" s="22">
        <v>0</v>
      </c>
      <c r="AA36" s="20">
        <f t="shared" si="9"/>
        <v>4.66</v>
      </c>
      <c r="AB36" s="23">
        <v>2</v>
      </c>
      <c r="AC36" s="22">
        <v>2.66</v>
      </c>
      <c r="AD36" s="20">
        <f t="shared" si="10"/>
        <v>5.33</v>
      </c>
      <c r="AE36" s="23">
        <v>1.83</v>
      </c>
      <c r="AF36" s="22">
        <v>3.5</v>
      </c>
      <c r="AG36" s="20">
        <f t="shared" si="11"/>
        <v>5</v>
      </c>
      <c r="AH36" s="23">
        <v>2</v>
      </c>
      <c r="AI36" s="22">
        <v>3</v>
      </c>
      <c r="AJ36" s="20">
        <f t="shared" si="12"/>
        <v>15.47</v>
      </c>
      <c r="AK36" s="23">
        <v>3.83</v>
      </c>
      <c r="AL36" s="22">
        <v>11.64</v>
      </c>
      <c r="AM36" s="20">
        <f t="shared" si="13"/>
        <v>2</v>
      </c>
      <c r="AN36" s="23">
        <v>2</v>
      </c>
      <c r="AO36" s="22">
        <v>0</v>
      </c>
      <c r="AP36" s="20">
        <f t="shared" si="14"/>
        <v>3</v>
      </c>
      <c r="AQ36" s="23">
        <v>1</v>
      </c>
      <c r="AR36" s="22">
        <v>2</v>
      </c>
      <c r="AS36" s="20">
        <f t="shared" si="15"/>
        <v>1</v>
      </c>
      <c r="AT36" s="23">
        <v>1</v>
      </c>
      <c r="AU36" s="22">
        <v>0</v>
      </c>
      <c r="AV36" s="24">
        <f t="shared" si="0"/>
        <v>235.59200000000004</v>
      </c>
    </row>
    <row r="37" spans="1:48">
      <c r="A37" s="4">
        <v>26</v>
      </c>
      <c r="B37" s="12" t="s">
        <v>45</v>
      </c>
      <c r="C37" s="13">
        <f t="shared" si="1"/>
        <v>0</v>
      </c>
      <c r="D37" s="17">
        <v>0</v>
      </c>
      <c r="E37" s="15">
        <v>0</v>
      </c>
      <c r="F37" s="13">
        <f t="shared" si="2"/>
        <v>4.6760000000000002</v>
      </c>
      <c r="G37" s="17">
        <v>4.6760000000000002</v>
      </c>
      <c r="H37" s="15">
        <v>0</v>
      </c>
      <c r="I37" s="13">
        <f t="shared" si="3"/>
        <v>11.983000000000001</v>
      </c>
      <c r="J37" s="17">
        <v>11.983000000000001</v>
      </c>
      <c r="K37" s="15">
        <v>0</v>
      </c>
      <c r="L37" s="13">
        <f t="shared" si="4"/>
        <v>84.331000000000003</v>
      </c>
      <c r="M37" s="17">
        <v>68.180000000000007</v>
      </c>
      <c r="N37" s="15">
        <v>16.151</v>
      </c>
      <c r="O37" s="13">
        <f t="shared" si="5"/>
        <v>92.986000000000004</v>
      </c>
      <c r="P37" s="17">
        <v>38.841000000000001</v>
      </c>
      <c r="Q37" s="15">
        <v>54.145000000000003</v>
      </c>
      <c r="R37" s="13">
        <f t="shared" si="6"/>
        <v>31.673999999999999</v>
      </c>
      <c r="S37" s="17">
        <v>25.673999999999999</v>
      </c>
      <c r="T37" s="15">
        <v>6</v>
      </c>
      <c r="U37" s="13">
        <f t="shared" si="7"/>
        <v>3.77</v>
      </c>
      <c r="V37" s="17">
        <v>2.27</v>
      </c>
      <c r="W37" s="15">
        <v>1.5</v>
      </c>
      <c r="X37" s="13">
        <f t="shared" si="8"/>
        <v>0</v>
      </c>
      <c r="Y37" s="17">
        <v>0</v>
      </c>
      <c r="Z37" s="15">
        <v>0</v>
      </c>
      <c r="AA37" s="13">
        <f t="shared" si="9"/>
        <v>3.8769999999999998</v>
      </c>
      <c r="AB37" s="17">
        <v>1.5</v>
      </c>
      <c r="AC37" s="15">
        <v>2.3769999999999998</v>
      </c>
      <c r="AD37" s="13">
        <f t="shared" si="10"/>
        <v>0</v>
      </c>
      <c r="AE37" s="17">
        <v>0</v>
      </c>
      <c r="AF37" s="15">
        <v>0</v>
      </c>
      <c r="AG37" s="13">
        <f t="shared" si="11"/>
        <v>2</v>
      </c>
      <c r="AH37" s="17">
        <v>0</v>
      </c>
      <c r="AI37" s="15">
        <v>2</v>
      </c>
      <c r="AJ37" s="13">
        <f t="shared" si="12"/>
        <v>12.647</v>
      </c>
      <c r="AK37" s="17">
        <v>3</v>
      </c>
      <c r="AL37" s="15">
        <v>9.6470000000000002</v>
      </c>
      <c r="AM37" s="13">
        <f t="shared" si="13"/>
        <v>2</v>
      </c>
      <c r="AN37" s="17">
        <v>1</v>
      </c>
      <c r="AO37" s="15">
        <v>1</v>
      </c>
      <c r="AP37" s="13">
        <f t="shared" si="14"/>
        <v>0</v>
      </c>
      <c r="AQ37" s="17">
        <v>0</v>
      </c>
      <c r="AR37" s="15">
        <v>0</v>
      </c>
      <c r="AS37" s="13">
        <f t="shared" si="15"/>
        <v>0</v>
      </c>
      <c r="AT37" s="17">
        <v>0</v>
      </c>
      <c r="AU37" s="15">
        <v>0</v>
      </c>
      <c r="AV37" s="18">
        <f t="shared" si="0"/>
        <v>249.94400000000002</v>
      </c>
    </row>
    <row r="38" spans="1:48">
      <c r="A38" s="6">
        <v>27</v>
      </c>
      <c r="B38" s="19" t="s">
        <v>46</v>
      </c>
      <c r="C38" s="20">
        <f t="shared" si="1"/>
        <v>0</v>
      </c>
      <c r="D38" s="23">
        <v>0</v>
      </c>
      <c r="E38" s="22">
        <v>0</v>
      </c>
      <c r="F38" s="20">
        <f t="shared" si="2"/>
        <v>1.714</v>
      </c>
      <c r="G38" s="23">
        <v>1.714</v>
      </c>
      <c r="H38" s="22">
        <v>0</v>
      </c>
      <c r="I38" s="20">
        <f t="shared" si="3"/>
        <v>6.5</v>
      </c>
      <c r="J38" s="23">
        <v>6.5</v>
      </c>
      <c r="K38" s="22">
        <v>0</v>
      </c>
      <c r="L38" s="20">
        <f t="shared" si="4"/>
        <v>63.19</v>
      </c>
      <c r="M38" s="23">
        <v>53.36</v>
      </c>
      <c r="N38" s="22">
        <v>9.83</v>
      </c>
      <c r="O38" s="20">
        <f t="shared" si="5"/>
        <v>79.191000000000003</v>
      </c>
      <c r="P38" s="23">
        <v>26.698</v>
      </c>
      <c r="Q38" s="22">
        <v>52.493000000000002</v>
      </c>
      <c r="R38" s="20">
        <f t="shared" si="6"/>
        <v>13.04</v>
      </c>
      <c r="S38" s="23">
        <v>10.756</v>
      </c>
      <c r="T38" s="22">
        <v>2.2839999999999998</v>
      </c>
      <c r="U38" s="20">
        <f t="shared" si="7"/>
        <v>5</v>
      </c>
      <c r="V38" s="23">
        <v>3</v>
      </c>
      <c r="W38" s="22">
        <v>2</v>
      </c>
      <c r="X38" s="20">
        <f t="shared" si="8"/>
        <v>0</v>
      </c>
      <c r="Y38" s="23">
        <v>0</v>
      </c>
      <c r="Z38" s="22">
        <v>0</v>
      </c>
      <c r="AA38" s="20">
        <f t="shared" si="9"/>
        <v>6.0589999999999993</v>
      </c>
      <c r="AB38" s="23">
        <v>4.4169999999999998</v>
      </c>
      <c r="AC38" s="22">
        <v>1.6419999999999999</v>
      </c>
      <c r="AD38" s="20">
        <f t="shared" si="10"/>
        <v>0</v>
      </c>
      <c r="AE38" s="23">
        <v>0</v>
      </c>
      <c r="AF38" s="22">
        <v>0</v>
      </c>
      <c r="AG38" s="20">
        <f t="shared" si="11"/>
        <v>4</v>
      </c>
      <c r="AH38" s="23">
        <v>1</v>
      </c>
      <c r="AI38" s="22">
        <v>3</v>
      </c>
      <c r="AJ38" s="20">
        <f t="shared" si="12"/>
        <v>12.141999999999999</v>
      </c>
      <c r="AK38" s="23">
        <v>2.1419999999999999</v>
      </c>
      <c r="AL38" s="22">
        <v>10</v>
      </c>
      <c r="AM38" s="20">
        <f t="shared" si="13"/>
        <v>2.35</v>
      </c>
      <c r="AN38" s="23">
        <v>2.35</v>
      </c>
      <c r="AO38" s="22">
        <v>0</v>
      </c>
      <c r="AP38" s="20">
        <f t="shared" si="14"/>
        <v>0</v>
      </c>
      <c r="AQ38" s="23">
        <v>0</v>
      </c>
      <c r="AR38" s="22">
        <v>0</v>
      </c>
      <c r="AS38" s="20">
        <f t="shared" si="15"/>
        <v>0</v>
      </c>
      <c r="AT38" s="23">
        <v>0</v>
      </c>
      <c r="AU38" s="22">
        <v>0</v>
      </c>
      <c r="AV38" s="24">
        <f t="shared" si="0"/>
        <v>193.18599999999998</v>
      </c>
    </row>
    <row r="39" spans="1:48">
      <c r="A39" s="6">
        <v>28</v>
      </c>
      <c r="B39" s="19" t="s">
        <v>47</v>
      </c>
      <c r="C39" s="20">
        <f t="shared" si="1"/>
        <v>0</v>
      </c>
      <c r="D39" s="23">
        <v>0</v>
      </c>
      <c r="E39" s="22">
        <v>0</v>
      </c>
      <c r="F39" s="20">
        <f t="shared" si="2"/>
        <v>0.13</v>
      </c>
      <c r="G39" s="23">
        <v>0.13</v>
      </c>
      <c r="H39" s="22">
        <v>0</v>
      </c>
      <c r="I39" s="20">
        <f t="shared" si="3"/>
        <v>3.5</v>
      </c>
      <c r="J39" s="23">
        <v>3.5</v>
      </c>
      <c r="K39" s="22">
        <v>0</v>
      </c>
      <c r="L39" s="20">
        <f t="shared" si="4"/>
        <v>33.799999999999997</v>
      </c>
      <c r="M39" s="23">
        <v>28.8</v>
      </c>
      <c r="N39" s="22">
        <v>5</v>
      </c>
      <c r="O39" s="20">
        <f t="shared" si="5"/>
        <v>33.049999999999997</v>
      </c>
      <c r="P39" s="23">
        <v>14.55</v>
      </c>
      <c r="Q39" s="22">
        <v>18.5</v>
      </c>
      <c r="R39" s="20">
        <f t="shared" si="6"/>
        <v>4.87</v>
      </c>
      <c r="S39" s="23">
        <v>3.87</v>
      </c>
      <c r="T39" s="22">
        <v>1</v>
      </c>
      <c r="U39" s="20">
        <f t="shared" si="7"/>
        <v>0.32</v>
      </c>
      <c r="V39" s="23">
        <v>0.32</v>
      </c>
      <c r="W39" s="22">
        <v>0</v>
      </c>
      <c r="X39" s="20">
        <f t="shared" si="8"/>
        <v>1</v>
      </c>
      <c r="Y39" s="23">
        <v>1</v>
      </c>
      <c r="Z39" s="22">
        <v>0</v>
      </c>
      <c r="AA39" s="20">
        <f t="shared" si="9"/>
        <v>1</v>
      </c>
      <c r="AB39" s="23">
        <v>1</v>
      </c>
      <c r="AC39" s="22">
        <v>0</v>
      </c>
      <c r="AD39" s="20">
        <f t="shared" si="10"/>
        <v>1.5</v>
      </c>
      <c r="AE39" s="23">
        <v>1</v>
      </c>
      <c r="AF39" s="22">
        <v>0.5</v>
      </c>
      <c r="AG39" s="20">
        <f t="shared" si="11"/>
        <v>1</v>
      </c>
      <c r="AH39" s="23">
        <v>0</v>
      </c>
      <c r="AI39" s="22">
        <v>1</v>
      </c>
      <c r="AJ39" s="20">
        <f t="shared" si="12"/>
        <v>4</v>
      </c>
      <c r="AK39" s="23">
        <v>1</v>
      </c>
      <c r="AL39" s="22">
        <v>3</v>
      </c>
      <c r="AM39" s="20">
        <f t="shared" si="13"/>
        <v>1.6</v>
      </c>
      <c r="AN39" s="23">
        <v>1.6</v>
      </c>
      <c r="AO39" s="22">
        <v>0</v>
      </c>
      <c r="AP39" s="20">
        <f t="shared" si="14"/>
        <v>0</v>
      </c>
      <c r="AQ39" s="23">
        <v>0</v>
      </c>
      <c r="AR39" s="22">
        <v>0</v>
      </c>
      <c r="AS39" s="20">
        <f t="shared" si="15"/>
        <v>0</v>
      </c>
      <c r="AT39" s="23">
        <v>0</v>
      </c>
      <c r="AU39" s="22">
        <v>0</v>
      </c>
      <c r="AV39" s="24">
        <f t="shared" si="0"/>
        <v>85.769999999999982</v>
      </c>
    </row>
    <row r="40" spans="1:48">
      <c r="A40" s="6">
        <v>29</v>
      </c>
      <c r="B40" s="19" t="s">
        <v>48</v>
      </c>
      <c r="C40" s="20">
        <f t="shared" si="1"/>
        <v>0</v>
      </c>
      <c r="D40" s="23">
        <v>0</v>
      </c>
      <c r="E40" s="22">
        <v>0</v>
      </c>
      <c r="F40" s="20">
        <f t="shared" si="2"/>
        <v>0.5</v>
      </c>
      <c r="G40" s="23">
        <v>0.5</v>
      </c>
      <c r="H40" s="22">
        <v>0</v>
      </c>
      <c r="I40" s="20">
        <f t="shared" si="3"/>
        <v>0.6</v>
      </c>
      <c r="J40" s="23">
        <v>0.6</v>
      </c>
      <c r="K40" s="22">
        <v>0</v>
      </c>
      <c r="L40" s="20">
        <f t="shared" si="4"/>
        <v>8.8000000000000007</v>
      </c>
      <c r="M40" s="23">
        <v>8.3000000000000007</v>
      </c>
      <c r="N40" s="22">
        <v>0.5</v>
      </c>
      <c r="O40" s="20">
        <f t="shared" si="5"/>
        <v>10.872</v>
      </c>
      <c r="P40" s="23">
        <v>2.972</v>
      </c>
      <c r="Q40" s="22">
        <v>7.9</v>
      </c>
      <c r="R40" s="20">
        <f t="shared" si="6"/>
        <v>1.85</v>
      </c>
      <c r="S40" s="23">
        <v>1.85</v>
      </c>
      <c r="T40" s="22">
        <v>0</v>
      </c>
      <c r="U40" s="20">
        <f t="shared" si="7"/>
        <v>0</v>
      </c>
      <c r="V40" s="23">
        <v>0</v>
      </c>
      <c r="W40" s="22">
        <v>0</v>
      </c>
      <c r="X40" s="20">
        <f t="shared" si="8"/>
        <v>0.2</v>
      </c>
      <c r="Y40" s="23">
        <v>0.2</v>
      </c>
      <c r="Z40" s="22">
        <v>0</v>
      </c>
      <c r="AA40" s="20">
        <f t="shared" si="9"/>
        <v>0.5</v>
      </c>
      <c r="AB40" s="23">
        <v>0.5</v>
      </c>
      <c r="AC40" s="22">
        <v>0</v>
      </c>
      <c r="AD40" s="20">
        <f t="shared" si="10"/>
        <v>0.15</v>
      </c>
      <c r="AE40" s="23">
        <v>0.15</v>
      </c>
      <c r="AF40" s="22">
        <v>0</v>
      </c>
      <c r="AG40" s="20">
        <f t="shared" si="11"/>
        <v>1</v>
      </c>
      <c r="AH40" s="23">
        <v>0</v>
      </c>
      <c r="AI40" s="22">
        <v>1</v>
      </c>
      <c r="AJ40" s="20">
        <f t="shared" si="12"/>
        <v>1.2</v>
      </c>
      <c r="AK40" s="23">
        <v>0</v>
      </c>
      <c r="AL40" s="22">
        <v>1.2</v>
      </c>
      <c r="AM40" s="20">
        <f t="shared" si="13"/>
        <v>0</v>
      </c>
      <c r="AN40" s="23">
        <v>0</v>
      </c>
      <c r="AO40" s="22">
        <v>0</v>
      </c>
      <c r="AP40" s="20">
        <f t="shared" si="14"/>
        <v>0</v>
      </c>
      <c r="AQ40" s="23">
        <v>0</v>
      </c>
      <c r="AR40" s="22">
        <v>0</v>
      </c>
      <c r="AS40" s="20">
        <f t="shared" si="15"/>
        <v>0</v>
      </c>
      <c r="AT40" s="23">
        <v>0</v>
      </c>
      <c r="AU40" s="22">
        <v>0</v>
      </c>
      <c r="AV40" s="24">
        <f t="shared" si="0"/>
        <v>25.671999999999997</v>
      </c>
    </row>
    <row r="41" spans="1:48" ht="15.75" thickBot="1">
      <c r="A41" s="25">
        <v>30</v>
      </c>
      <c r="B41" s="26" t="s">
        <v>49</v>
      </c>
      <c r="C41" s="27">
        <f t="shared" si="1"/>
        <v>1.31</v>
      </c>
      <c r="D41" s="28">
        <v>1.31</v>
      </c>
      <c r="E41" s="29">
        <v>0</v>
      </c>
      <c r="F41" s="27">
        <f t="shared" si="2"/>
        <v>8</v>
      </c>
      <c r="G41" s="28">
        <v>8</v>
      </c>
      <c r="H41" s="29">
        <v>0</v>
      </c>
      <c r="I41" s="27">
        <f t="shared" si="3"/>
        <v>27.565000000000001</v>
      </c>
      <c r="J41" s="28">
        <v>26.565000000000001</v>
      </c>
      <c r="K41" s="29">
        <v>1</v>
      </c>
      <c r="L41" s="27">
        <f t="shared" si="4"/>
        <v>270.505</v>
      </c>
      <c r="M41" s="28">
        <v>234.38499999999999</v>
      </c>
      <c r="N41" s="29">
        <v>36.119999999999997</v>
      </c>
      <c r="O41" s="27">
        <f t="shared" si="5"/>
        <v>228.59300000000002</v>
      </c>
      <c r="P41" s="28">
        <v>115.744</v>
      </c>
      <c r="Q41" s="29">
        <v>112.849</v>
      </c>
      <c r="R41" s="27">
        <f t="shared" si="6"/>
        <v>71.49799999999999</v>
      </c>
      <c r="S41" s="28">
        <v>51.137999999999998</v>
      </c>
      <c r="T41" s="29">
        <v>20.36</v>
      </c>
      <c r="U41" s="27">
        <f t="shared" si="7"/>
        <v>20.997</v>
      </c>
      <c r="V41" s="28">
        <v>19.167000000000002</v>
      </c>
      <c r="W41" s="29">
        <v>1.83</v>
      </c>
      <c r="X41" s="27">
        <f t="shared" si="8"/>
        <v>3</v>
      </c>
      <c r="Y41" s="28">
        <v>2</v>
      </c>
      <c r="Z41" s="29">
        <v>1</v>
      </c>
      <c r="AA41" s="27">
        <f t="shared" si="9"/>
        <v>12.794</v>
      </c>
      <c r="AB41" s="28">
        <v>6</v>
      </c>
      <c r="AC41" s="29">
        <v>6.7939999999999996</v>
      </c>
      <c r="AD41" s="27">
        <f>AE41+AF41</f>
        <v>2</v>
      </c>
      <c r="AE41" s="28">
        <v>2</v>
      </c>
      <c r="AF41" s="29">
        <v>0</v>
      </c>
      <c r="AG41" s="27">
        <f t="shared" si="11"/>
        <v>4.8</v>
      </c>
      <c r="AH41" s="28">
        <v>1.8</v>
      </c>
      <c r="AI41" s="29">
        <v>3</v>
      </c>
      <c r="AJ41" s="27">
        <f t="shared" si="12"/>
        <v>24.864000000000001</v>
      </c>
      <c r="AK41" s="28">
        <v>9.8680000000000003</v>
      </c>
      <c r="AL41" s="29">
        <v>14.996</v>
      </c>
      <c r="AM41" s="27">
        <f t="shared" si="13"/>
        <v>10.016</v>
      </c>
      <c r="AN41" s="28">
        <v>8.016</v>
      </c>
      <c r="AO41" s="29">
        <v>2</v>
      </c>
      <c r="AP41" s="27">
        <f t="shared" si="14"/>
        <v>2</v>
      </c>
      <c r="AQ41" s="28">
        <v>1</v>
      </c>
      <c r="AR41" s="29">
        <v>1</v>
      </c>
      <c r="AS41" s="27">
        <f t="shared" si="15"/>
        <v>2</v>
      </c>
      <c r="AT41" s="28">
        <v>0</v>
      </c>
      <c r="AU41" s="29">
        <v>2</v>
      </c>
      <c r="AV41" s="30">
        <f t="shared" si="0"/>
        <v>689.94199999999989</v>
      </c>
    </row>
    <row r="42" spans="1:48">
      <c r="A42" s="6">
        <v>31</v>
      </c>
      <c r="B42" s="19" t="s">
        <v>50</v>
      </c>
      <c r="C42" s="20">
        <f t="shared" si="1"/>
        <v>0</v>
      </c>
      <c r="D42" s="23">
        <v>0</v>
      </c>
      <c r="E42" s="22">
        <v>0</v>
      </c>
      <c r="F42" s="20">
        <f t="shared" si="2"/>
        <v>3</v>
      </c>
      <c r="G42" s="23">
        <v>3</v>
      </c>
      <c r="H42" s="22">
        <v>0</v>
      </c>
      <c r="I42" s="20">
        <f t="shared" si="3"/>
        <v>16.5</v>
      </c>
      <c r="J42" s="23">
        <v>16.5</v>
      </c>
      <c r="K42" s="22">
        <v>0</v>
      </c>
      <c r="L42" s="20">
        <f t="shared" si="4"/>
        <v>122.691</v>
      </c>
      <c r="M42" s="23">
        <v>108.011</v>
      </c>
      <c r="N42" s="22">
        <v>14.68</v>
      </c>
      <c r="O42" s="20">
        <f t="shared" si="5"/>
        <v>98.561000000000007</v>
      </c>
      <c r="P42" s="23">
        <v>54.511000000000003</v>
      </c>
      <c r="Q42" s="22">
        <v>44.05</v>
      </c>
      <c r="R42" s="20">
        <f t="shared" si="6"/>
        <v>30.041999999999998</v>
      </c>
      <c r="S42" s="23">
        <v>26.542999999999999</v>
      </c>
      <c r="T42" s="22">
        <v>3.4990000000000001</v>
      </c>
      <c r="U42" s="20">
        <f t="shared" si="7"/>
        <v>7.1680000000000001</v>
      </c>
      <c r="V42" s="23">
        <v>5.1680000000000001</v>
      </c>
      <c r="W42" s="22">
        <v>2</v>
      </c>
      <c r="X42" s="20">
        <f t="shared" si="8"/>
        <v>1.1399999999999999</v>
      </c>
      <c r="Y42" s="23">
        <v>0.56999999999999995</v>
      </c>
      <c r="Z42" s="22">
        <v>0.56999999999999995</v>
      </c>
      <c r="AA42" s="20">
        <f t="shared" si="9"/>
        <v>8.3350000000000009</v>
      </c>
      <c r="AB42" s="23">
        <v>4.4870000000000001</v>
      </c>
      <c r="AC42" s="22">
        <v>3.8479999999999999</v>
      </c>
      <c r="AD42" s="20">
        <f t="shared" si="10"/>
        <v>1</v>
      </c>
      <c r="AE42" s="23">
        <v>0</v>
      </c>
      <c r="AF42" s="22">
        <v>1</v>
      </c>
      <c r="AG42" s="20">
        <f t="shared" si="11"/>
        <v>3</v>
      </c>
      <c r="AH42" s="23">
        <v>1</v>
      </c>
      <c r="AI42" s="22">
        <v>2</v>
      </c>
      <c r="AJ42" s="20">
        <f t="shared" si="12"/>
        <v>14.5</v>
      </c>
      <c r="AK42" s="23">
        <v>6.5</v>
      </c>
      <c r="AL42" s="22">
        <v>8</v>
      </c>
      <c r="AM42" s="20">
        <f t="shared" si="13"/>
        <v>0.81</v>
      </c>
      <c r="AN42" s="23">
        <v>0.81</v>
      </c>
      <c r="AO42" s="22">
        <v>0</v>
      </c>
      <c r="AP42" s="20">
        <f t="shared" si="14"/>
        <v>1</v>
      </c>
      <c r="AQ42" s="23">
        <v>0</v>
      </c>
      <c r="AR42" s="22">
        <v>1</v>
      </c>
      <c r="AS42" s="20">
        <f t="shared" si="15"/>
        <v>0</v>
      </c>
      <c r="AT42" s="23">
        <v>0</v>
      </c>
      <c r="AU42" s="22">
        <v>0</v>
      </c>
      <c r="AV42" s="24">
        <f t="shared" si="0"/>
        <v>307.74699999999996</v>
      </c>
    </row>
    <row r="43" spans="1:48">
      <c r="A43" s="6">
        <v>32</v>
      </c>
      <c r="B43" s="19" t="s">
        <v>51</v>
      </c>
      <c r="C43" s="20">
        <f t="shared" si="1"/>
        <v>0</v>
      </c>
      <c r="D43" s="23">
        <v>0</v>
      </c>
      <c r="E43" s="22">
        <v>0</v>
      </c>
      <c r="F43" s="20">
        <f t="shared" si="2"/>
        <v>3</v>
      </c>
      <c r="G43" s="23">
        <v>3</v>
      </c>
      <c r="H43" s="22">
        <v>0</v>
      </c>
      <c r="I43" s="20">
        <f t="shared" si="3"/>
        <v>9</v>
      </c>
      <c r="J43" s="23">
        <v>9</v>
      </c>
      <c r="K43" s="22">
        <v>0</v>
      </c>
      <c r="L43" s="20">
        <f t="shared" si="4"/>
        <v>97.54</v>
      </c>
      <c r="M43" s="23">
        <v>81.540000000000006</v>
      </c>
      <c r="N43" s="22">
        <v>16</v>
      </c>
      <c r="O43" s="20">
        <f t="shared" si="5"/>
        <v>97.393000000000001</v>
      </c>
      <c r="P43" s="23">
        <v>51.853000000000002</v>
      </c>
      <c r="Q43" s="22">
        <v>45.54</v>
      </c>
      <c r="R43" s="20">
        <f t="shared" si="6"/>
        <v>24.058</v>
      </c>
      <c r="S43" s="23">
        <v>18.175999999999998</v>
      </c>
      <c r="T43" s="22">
        <v>5.8819999999999997</v>
      </c>
      <c r="U43" s="20">
        <f t="shared" si="7"/>
        <v>12.16</v>
      </c>
      <c r="V43" s="23">
        <v>12.16</v>
      </c>
      <c r="W43" s="22">
        <v>0</v>
      </c>
      <c r="X43" s="20">
        <f t="shared" si="8"/>
        <v>3</v>
      </c>
      <c r="Y43" s="23">
        <v>1</v>
      </c>
      <c r="Z43" s="22">
        <v>2</v>
      </c>
      <c r="AA43" s="20">
        <f t="shared" si="9"/>
        <v>5.6</v>
      </c>
      <c r="AB43" s="23">
        <v>2.5</v>
      </c>
      <c r="AC43" s="22">
        <v>3.1</v>
      </c>
      <c r="AD43" s="20">
        <f t="shared" si="10"/>
        <v>6.57</v>
      </c>
      <c r="AE43" s="23">
        <v>5.57</v>
      </c>
      <c r="AF43" s="22">
        <v>1</v>
      </c>
      <c r="AG43" s="20">
        <f t="shared" si="11"/>
        <v>2</v>
      </c>
      <c r="AH43" s="23">
        <v>1</v>
      </c>
      <c r="AI43" s="22">
        <v>1</v>
      </c>
      <c r="AJ43" s="20">
        <f t="shared" si="12"/>
        <v>11</v>
      </c>
      <c r="AK43" s="23">
        <v>3</v>
      </c>
      <c r="AL43" s="22">
        <v>8</v>
      </c>
      <c r="AM43" s="20">
        <f t="shared" si="13"/>
        <v>5.85</v>
      </c>
      <c r="AN43" s="23">
        <v>5.85</v>
      </c>
      <c r="AO43" s="22">
        <v>0</v>
      </c>
      <c r="AP43" s="20">
        <f t="shared" si="14"/>
        <v>0</v>
      </c>
      <c r="AQ43" s="23">
        <v>0</v>
      </c>
      <c r="AR43" s="22">
        <v>0</v>
      </c>
      <c r="AS43" s="20">
        <f t="shared" si="15"/>
        <v>1</v>
      </c>
      <c r="AT43" s="23">
        <v>1</v>
      </c>
      <c r="AU43" s="22">
        <v>0</v>
      </c>
      <c r="AV43" s="24">
        <f t="shared" si="0"/>
        <v>278.17099999999999</v>
      </c>
    </row>
    <row r="44" spans="1:48">
      <c r="A44" s="6">
        <v>33</v>
      </c>
      <c r="B44" s="19" t="s">
        <v>52</v>
      </c>
      <c r="C44" s="20">
        <f t="shared" si="1"/>
        <v>0</v>
      </c>
      <c r="D44" s="23">
        <v>0</v>
      </c>
      <c r="E44" s="22">
        <v>0</v>
      </c>
      <c r="F44" s="20">
        <f t="shared" si="2"/>
        <v>10.404</v>
      </c>
      <c r="G44" s="23">
        <v>10.404</v>
      </c>
      <c r="H44" s="22">
        <v>0</v>
      </c>
      <c r="I44" s="20">
        <f t="shared" si="3"/>
        <v>61.5</v>
      </c>
      <c r="J44" s="23">
        <v>61.5</v>
      </c>
      <c r="K44" s="22">
        <v>0</v>
      </c>
      <c r="L44" s="20">
        <f t="shared" si="4"/>
        <v>512.91399999999999</v>
      </c>
      <c r="M44" s="23">
        <v>419.01</v>
      </c>
      <c r="N44" s="22">
        <v>93.903999999999996</v>
      </c>
      <c r="O44" s="20">
        <f t="shared" si="5"/>
        <v>444.07600000000002</v>
      </c>
      <c r="P44" s="23">
        <v>197.393</v>
      </c>
      <c r="Q44" s="22">
        <v>246.68299999999999</v>
      </c>
      <c r="R44" s="20">
        <f t="shared" si="6"/>
        <v>141.14000000000001</v>
      </c>
      <c r="S44" s="23">
        <v>101.90300000000001</v>
      </c>
      <c r="T44" s="22">
        <v>39.237000000000002</v>
      </c>
      <c r="U44" s="20">
        <f t="shared" si="7"/>
        <v>81.801999999999992</v>
      </c>
      <c r="V44" s="23">
        <v>67.063999999999993</v>
      </c>
      <c r="W44" s="22">
        <v>14.738</v>
      </c>
      <c r="X44" s="20">
        <f t="shared" si="8"/>
        <v>12.8</v>
      </c>
      <c r="Y44" s="23">
        <v>7.8</v>
      </c>
      <c r="Z44" s="22">
        <v>5</v>
      </c>
      <c r="AA44" s="20">
        <f t="shared" si="9"/>
        <v>26.856999999999999</v>
      </c>
      <c r="AB44" s="23">
        <v>13.356999999999999</v>
      </c>
      <c r="AC44" s="22">
        <v>13.5</v>
      </c>
      <c r="AD44" s="20">
        <f t="shared" si="10"/>
        <v>13.966000000000001</v>
      </c>
      <c r="AE44" s="23">
        <v>10</v>
      </c>
      <c r="AF44" s="22">
        <v>3.9660000000000002</v>
      </c>
      <c r="AG44" s="20">
        <f t="shared" si="11"/>
        <v>11</v>
      </c>
      <c r="AH44" s="23">
        <v>4</v>
      </c>
      <c r="AI44" s="22">
        <v>7</v>
      </c>
      <c r="AJ44" s="20">
        <f t="shared" si="12"/>
        <v>57.072000000000003</v>
      </c>
      <c r="AK44" s="23">
        <v>16.571999999999999</v>
      </c>
      <c r="AL44" s="22">
        <v>40.5</v>
      </c>
      <c r="AM44" s="20">
        <f t="shared" si="13"/>
        <v>12.6</v>
      </c>
      <c r="AN44" s="23">
        <v>8</v>
      </c>
      <c r="AO44" s="22">
        <v>4.5999999999999996</v>
      </c>
      <c r="AP44" s="20">
        <f t="shared" si="14"/>
        <v>6</v>
      </c>
      <c r="AQ44" s="23">
        <v>2</v>
      </c>
      <c r="AR44" s="22">
        <v>4</v>
      </c>
      <c r="AS44" s="20">
        <f t="shared" si="15"/>
        <v>0</v>
      </c>
      <c r="AT44" s="23">
        <v>0</v>
      </c>
      <c r="AU44" s="22">
        <v>0</v>
      </c>
      <c r="AV44" s="24">
        <f t="shared" si="0"/>
        <v>1392.1309999999999</v>
      </c>
    </row>
    <row r="45" spans="1:48">
      <c r="A45" s="6">
        <v>34</v>
      </c>
      <c r="B45" s="19" t="s">
        <v>53</v>
      </c>
      <c r="C45" s="20">
        <f t="shared" si="1"/>
        <v>0</v>
      </c>
      <c r="D45" s="23">
        <v>0</v>
      </c>
      <c r="E45" s="22">
        <v>0</v>
      </c>
      <c r="F45" s="20">
        <f t="shared" si="2"/>
        <v>0.5</v>
      </c>
      <c r="G45" s="23">
        <v>0.5</v>
      </c>
      <c r="H45" s="22">
        <v>0</v>
      </c>
      <c r="I45" s="20">
        <f t="shared" si="3"/>
        <v>1.63</v>
      </c>
      <c r="J45" s="23">
        <v>1.63</v>
      </c>
      <c r="K45" s="22">
        <v>0</v>
      </c>
      <c r="L45" s="20">
        <f t="shared" si="4"/>
        <v>13.42</v>
      </c>
      <c r="M45" s="23">
        <v>11.75</v>
      </c>
      <c r="N45" s="22">
        <v>1.67</v>
      </c>
      <c r="O45" s="20">
        <f t="shared" si="5"/>
        <v>17.777000000000001</v>
      </c>
      <c r="P45" s="23">
        <v>9.9469999999999992</v>
      </c>
      <c r="Q45" s="22">
        <v>7.83</v>
      </c>
      <c r="R45" s="20">
        <f t="shared" si="6"/>
        <v>2.7959999999999998</v>
      </c>
      <c r="S45" s="23">
        <v>2.7959999999999998</v>
      </c>
      <c r="T45" s="22">
        <v>0</v>
      </c>
      <c r="U45" s="20">
        <f t="shared" si="7"/>
        <v>1.25</v>
      </c>
      <c r="V45" s="23">
        <v>1.25</v>
      </c>
      <c r="W45" s="22">
        <v>0</v>
      </c>
      <c r="X45" s="20">
        <f t="shared" si="8"/>
        <v>0</v>
      </c>
      <c r="Y45" s="23">
        <v>0</v>
      </c>
      <c r="Z45" s="22">
        <v>0</v>
      </c>
      <c r="AA45" s="20">
        <f t="shared" si="9"/>
        <v>0.86</v>
      </c>
      <c r="AB45" s="23">
        <v>0.86</v>
      </c>
      <c r="AC45" s="22">
        <v>0</v>
      </c>
      <c r="AD45" s="20">
        <f t="shared" si="10"/>
        <v>0</v>
      </c>
      <c r="AE45" s="23">
        <v>0</v>
      </c>
      <c r="AF45" s="22">
        <v>0</v>
      </c>
      <c r="AG45" s="20">
        <f t="shared" si="11"/>
        <v>0.75</v>
      </c>
      <c r="AH45" s="23">
        <v>0.75</v>
      </c>
      <c r="AI45" s="22">
        <v>0</v>
      </c>
      <c r="AJ45" s="20">
        <f t="shared" si="12"/>
        <v>2.19</v>
      </c>
      <c r="AK45" s="23">
        <v>0.69</v>
      </c>
      <c r="AL45" s="22">
        <v>1.5</v>
      </c>
      <c r="AM45" s="20">
        <f t="shared" si="13"/>
        <v>0</v>
      </c>
      <c r="AN45" s="23">
        <v>0</v>
      </c>
      <c r="AO45" s="22">
        <v>0</v>
      </c>
      <c r="AP45" s="20">
        <f t="shared" si="14"/>
        <v>0</v>
      </c>
      <c r="AQ45" s="23">
        <v>0</v>
      </c>
      <c r="AR45" s="22">
        <v>0</v>
      </c>
      <c r="AS45" s="20">
        <f t="shared" si="15"/>
        <v>0</v>
      </c>
      <c r="AT45" s="23">
        <v>0</v>
      </c>
      <c r="AU45" s="22">
        <v>0</v>
      </c>
      <c r="AV45" s="24">
        <f t="shared" si="0"/>
        <v>41.172999999999995</v>
      </c>
    </row>
    <row r="46" spans="1:48" ht="15.75" thickBot="1">
      <c r="A46" s="6">
        <v>35</v>
      </c>
      <c r="B46" s="19" t="s">
        <v>54</v>
      </c>
      <c r="C46" s="20">
        <f t="shared" si="1"/>
        <v>0</v>
      </c>
      <c r="D46" s="23">
        <v>0</v>
      </c>
      <c r="E46" s="22">
        <v>0</v>
      </c>
      <c r="F46" s="20">
        <f t="shared" si="2"/>
        <v>10</v>
      </c>
      <c r="G46" s="23">
        <v>10</v>
      </c>
      <c r="H46" s="22">
        <v>0</v>
      </c>
      <c r="I46" s="20">
        <f t="shared" si="3"/>
        <v>64.8</v>
      </c>
      <c r="J46" s="23">
        <v>64.8</v>
      </c>
      <c r="K46" s="22">
        <v>0</v>
      </c>
      <c r="L46" s="20">
        <f t="shared" si="4"/>
        <v>593.63</v>
      </c>
      <c r="M46" s="23">
        <v>544.24</v>
      </c>
      <c r="N46" s="22">
        <v>49.39</v>
      </c>
      <c r="O46" s="20">
        <f t="shared" si="5"/>
        <v>500.80399999999997</v>
      </c>
      <c r="P46" s="23">
        <v>283.714</v>
      </c>
      <c r="Q46" s="22">
        <v>217.09</v>
      </c>
      <c r="R46" s="20">
        <f t="shared" si="6"/>
        <v>163.11000000000001</v>
      </c>
      <c r="S46" s="23">
        <v>132.94</v>
      </c>
      <c r="T46" s="22">
        <v>30.17</v>
      </c>
      <c r="U46" s="20">
        <f t="shared" si="7"/>
        <v>26.262</v>
      </c>
      <c r="V46" s="23">
        <v>16.501999999999999</v>
      </c>
      <c r="W46" s="22">
        <v>9.76</v>
      </c>
      <c r="X46" s="20">
        <f t="shared" si="8"/>
        <v>16.399999999999999</v>
      </c>
      <c r="Y46" s="23">
        <v>12.75</v>
      </c>
      <c r="Z46" s="22">
        <v>3.65</v>
      </c>
      <c r="AA46" s="20">
        <f t="shared" si="9"/>
        <v>43.1</v>
      </c>
      <c r="AB46" s="23">
        <v>29.45</v>
      </c>
      <c r="AC46" s="22">
        <v>13.65</v>
      </c>
      <c r="AD46" s="20">
        <f t="shared" si="10"/>
        <v>13.83</v>
      </c>
      <c r="AE46" s="23">
        <v>7.83</v>
      </c>
      <c r="AF46" s="22">
        <v>6</v>
      </c>
      <c r="AG46" s="20">
        <f t="shared" si="11"/>
        <v>17</v>
      </c>
      <c r="AH46" s="23">
        <v>5</v>
      </c>
      <c r="AI46" s="22">
        <v>12</v>
      </c>
      <c r="AJ46" s="20">
        <f t="shared" si="12"/>
        <v>58.67</v>
      </c>
      <c r="AK46" s="23">
        <v>23</v>
      </c>
      <c r="AL46" s="22">
        <v>35.67</v>
      </c>
      <c r="AM46" s="20">
        <f t="shared" si="13"/>
        <v>33.31</v>
      </c>
      <c r="AN46" s="23">
        <v>31.01</v>
      </c>
      <c r="AO46" s="22">
        <v>2.2999999999999998</v>
      </c>
      <c r="AP46" s="20">
        <f t="shared" si="14"/>
        <v>2.75</v>
      </c>
      <c r="AQ46" s="23">
        <v>2</v>
      </c>
      <c r="AR46" s="22">
        <v>0.75</v>
      </c>
      <c r="AS46" s="20">
        <f t="shared" si="15"/>
        <v>6.55</v>
      </c>
      <c r="AT46" s="23">
        <v>6.55</v>
      </c>
      <c r="AU46" s="22">
        <v>0</v>
      </c>
      <c r="AV46" s="24">
        <f t="shared" si="0"/>
        <v>1550.2159999999999</v>
      </c>
    </row>
    <row r="47" spans="1:48" ht="15.75" thickBot="1">
      <c r="A47" s="7"/>
      <c r="B47" s="32" t="s">
        <v>60</v>
      </c>
      <c r="C47" s="33">
        <f>SUM(C7:C46)</f>
        <v>44.073000000000008</v>
      </c>
      <c r="D47" s="34">
        <f t="shared" ref="D47:AU47" si="16">SUM(D7:D46)</f>
        <v>42.073000000000008</v>
      </c>
      <c r="E47" s="35">
        <f t="shared" si="16"/>
        <v>2</v>
      </c>
      <c r="F47" s="33">
        <f t="shared" si="16"/>
        <v>207.43600000000001</v>
      </c>
      <c r="G47" s="34">
        <f t="shared" si="16"/>
        <v>204.43600000000001</v>
      </c>
      <c r="H47" s="35">
        <f t="shared" si="16"/>
        <v>3</v>
      </c>
      <c r="I47" s="33">
        <f t="shared" si="16"/>
        <v>1126.6300000000001</v>
      </c>
      <c r="J47" s="34">
        <f t="shared" si="16"/>
        <v>1111.3000000000002</v>
      </c>
      <c r="K47" s="35">
        <f t="shared" si="16"/>
        <v>15.33</v>
      </c>
      <c r="L47" s="33">
        <f t="shared" si="16"/>
        <v>10192.819999999998</v>
      </c>
      <c r="M47" s="34">
        <f t="shared" si="16"/>
        <v>9064.3300000000017</v>
      </c>
      <c r="N47" s="35">
        <f t="shared" si="16"/>
        <v>1128.4899999999998</v>
      </c>
      <c r="O47" s="33">
        <f t="shared" si="16"/>
        <v>9309.1890000000039</v>
      </c>
      <c r="P47" s="34">
        <f t="shared" si="16"/>
        <v>5100.3959999999997</v>
      </c>
      <c r="Q47" s="35">
        <f t="shared" si="16"/>
        <v>4208.7929999999997</v>
      </c>
      <c r="R47" s="33">
        <f t="shared" si="16"/>
        <v>2384.9349999999995</v>
      </c>
      <c r="S47" s="34">
        <f t="shared" si="16"/>
        <v>1964.4189999999996</v>
      </c>
      <c r="T47" s="35">
        <f t="shared" si="16"/>
        <v>420.51600000000008</v>
      </c>
      <c r="U47" s="33">
        <f t="shared" si="16"/>
        <v>956.87900000000013</v>
      </c>
      <c r="V47" s="34">
        <f t="shared" si="16"/>
        <v>756.01599999999996</v>
      </c>
      <c r="W47" s="35">
        <f t="shared" si="16"/>
        <v>200.86299999999997</v>
      </c>
      <c r="X47" s="33">
        <f t="shared" si="16"/>
        <v>125.785</v>
      </c>
      <c r="Y47" s="34">
        <f t="shared" si="16"/>
        <v>101.895</v>
      </c>
      <c r="Z47" s="35">
        <f t="shared" si="16"/>
        <v>23.89</v>
      </c>
      <c r="AA47" s="33">
        <f t="shared" si="16"/>
        <v>599.0680000000001</v>
      </c>
      <c r="AB47" s="34">
        <f t="shared" si="16"/>
        <v>374.161</v>
      </c>
      <c r="AC47" s="35">
        <f t="shared" si="16"/>
        <v>224.90699999999998</v>
      </c>
      <c r="AD47" s="33">
        <f t="shared" si="16"/>
        <v>259.916</v>
      </c>
      <c r="AE47" s="34">
        <f t="shared" si="16"/>
        <v>195.63200000000003</v>
      </c>
      <c r="AF47" s="35">
        <f t="shared" si="16"/>
        <v>64.283999999999992</v>
      </c>
      <c r="AG47" s="33">
        <f t="shared" si="16"/>
        <v>260.995</v>
      </c>
      <c r="AH47" s="34">
        <f t="shared" si="16"/>
        <v>102.03399999999999</v>
      </c>
      <c r="AI47" s="35">
        <f t="shared" si="16"/>
        <v>158.96100000000001</v>
      </c>
      <c r="AJ47" s="33">
        <f t="shared" si="16"/>
        <v>1102.9210000000003</v>
      </c>
      <c r="AK47" s="34">
        <f t="shared" si="16"/>
        <v>436.15799999999996</v>
      </c>
      <c r="AL47" s="35">
        <f t="shared" si="16"/>
        <v>666.76300000000003</v>
      </c>
      <c r="AM47" s="33">
        <f t="shared" si="16"/>
        <v>492.1330000000001</v>
      </c>
      <c r="AN47" s="34">
        <f t="shared" si="16"/>
        <v>453.23300000000012</v>
      </c>
      <c r="AO47" s="35">
        <f t="shared" si="16"/>
        <v>38.9</v>
      </c>
      <c r="AP47" s="33">
        <f t="shared" si="16"/>
        <v>206.43299999999996</v>
      </c>
      <c r="AQ47" s="34">
        <f t="shared" si="16"/>
        <v>123.833</v>
      </c>
      <c r="AR47" s="35">
        <f t="shared" si="16"/>
        <v>82.6</v>
      </c>
      <c r="AS47" s="33">
        <f t="shared" si="16"/>
        <v>88.713999999999999</v>
      </c>
      <c r="AT47" s="34">
        <f t="shared" si="16"/>
        <v>67.713999999999999</v>
      </c>
      <c r="AU47" s="35">
        <f t="shared" si="16"/>
        <v>21</v>
      </c>
      <c r="AV47" s="35">
        <f t="shared" si="0"/>
        <v>27357.927</v>
      </c>
    </row>
    <row r="48" spans="1:48" ht="15.75" thickBot="1">
      <c r="A48" s="7"/>
      <c r="B48" s="36" t="s">
        <v>82</v>
      </c>
      <c r="C48" s="33"/>
      <c r="D48" s="34"/>
      <c r="E48" s="37"/>
      <c r="F48" s="33"/>
      <c r="G48" s="34"/>
      <c r="H48" s="37"/>
      <c r="I48" s="33"/>
      <c r="J48" s="34"/>
      <c r="K48" s="37"/>
      <c r="L48" s="33"/>
      <c r="M48" s="34"/>
      <c r="N48" s="37"/>
      <c r="O48" s="33"/>
      <c r="P48" s="34"/>
      <c r="Q48" s="37"/>
      <c r="R48" s="33"/>
      <c r="S48" s="34"/>
      <c r="T48" s="37"/>
      <c r="U48" s="33"/>
      <c r="V48" s="34"/>
      <c r="W48" s="37"/>
      <c r="X48" s="33"/>
      <c r="Y48" s="34"/>
      <c r="Z48" s="37"/>
      <c r="AA48" s="33"/>
      <c r="AB48" s="34"/>
      <c r="AC48" s="37"/>
      <c r="AD48" s="33"/>
      <c r="AE48" s="34"/>
      <c r="AF48" s="37"/>
      <c r="AG48" s="33"/>
      <c r="AH48" s="34"/>
      <c r="AI48" s="37"/>
      <c r="AJ48" s="33"/>
      <c r="AK48" s="34"/>
      <c r="AL48" s="37"/>
      <c r="AM48" s="33"/>
      <c r="AN48" s="34"/>
      <c r="AO48" s="37"/>
      <c r="AP48" s="33"/>
      <c r="AQ48" s="34"/>
      <c r="AR48" s="37"/>
      <c r="AS48" s="33"/>
      <c r="AT48" s="34"/>
      <c r="AU48" s="37"/>
      <c r="AV48" s="37"/>
    </row>
    <row r="49" spans="1:48">
      <c r="A49" s="38" t="s">
        <v>83</v>
      </c>
      <c r="B49" s="39" t="s">
        <v>84</v>
      </c>
      <c r="C49" s="20">
        <f t="shared" ref="C49:C108" si="17">D49+E49</f>
        <v>1</v>
      </c>
      <c r="D49" s="40">
        <v>1</v>
      </c>
      <c r="E49" s="41">
        <v>0</v>
      </c>
      <c r="F49" s="20">
        <f t="shared" ref="F49:F108" si="18">G49+H49</f>
        <v>0</v>
      </c>
      <c r="G49" s="40">
        <v>0</v>
      </c>
      <c r="H49" s="41">
        <v>0</v>
      </c>
      <c r="I49" s="20">
        <f t="shared" ref="I49:I108" si="19">J49+K49</f>
        <v>1</v>
      </c>
      <c r="J49" s="40">
        <v>1</v>
      </c>
      <c r="K49" s="41">
        <v>0</v>
      </c>
      <c r="L49" s="20">
        <f t="shared" ref="L49:L108" si="20">M49+N49</f>
        <v>22</v>
      </c>
      <c r="M49" s="40">
        <v>20</v>
      </c>
      <c r="N49" s="41">
        <v>2</v>
      </c>
      <c r="O49" s="20">
        <f t="shared" ref="O49:O108" si="21">P49+Q49</f>
        <v>37.085999999999999</v>
      </c>
      <c r="P49" s="40">
        <v>19.585999999999999</v>
      </c>
      <c r="Q49" s="41">
        <v>17.5</v>
      </c>
      <c r="R49" s="20">
        <f t="shared" ref="R49:R108" si="22">S49+T49</f>
        <v>7</v>
      </c>
      <c r="S49" s="40">
        <v>6</v>
      </c>
      <c r="T49" s="41">
        <v>1</v>
      </c>
      <c r="U49" s="20">
        <f t="shared" ref="U49:U108" si="23">V49+W49</f>
        <v>1.5</v>
      </c>
      <c r="V49" s="40">
        <v>0.5</v>
      </c>
      <c r="W49" s="41">
        <v>1</v>
      </c>
      <c r="X49" s="20">
        <f t="shared" ref="X49:X108" si="24">Y49+Z49</f>
        <v>0</v>
      </c>
      <c r="Y49" s="40">
        <v>0</v>
      </c>
      <c r="Z49" s="41">
        <v>0</v>
      </c>
      <c r="AA49" s="20">
        <f t="shared" ref="AA49:AA108" si="25">AB49+AC49</f>
        <v>1</v>
      </c>
      <c r="AB49" s="40">
        <v>0</v>
      </c>
      <c r="AC49" s="41">
        <v>1</v>
      </c>
      <c r="AD49" s="20">
        <f t="shared" ref="AD49:AD108" si="26">AE49+AF49</f>
        <v>1</v>
      </c>
      <c r="AE49" s="40">
        <v>1</v>
      </c>
      <c r="AF49" s="41">
        <v>0</v>
      </c>
      <c r="AG49" s="20">
        <f t="shared" ref="AG49:AG108" si="27">AH49+AI49</f>
        <v>0</v>
      </c>
      <c r="AH49" s="40">
        <v>0</v>
      </c>
      <c r="AI49" s="41">
        <v>0</v>
      </c>
      <c r="AJ49" s="20">
        <f t="shared" ref="AJ49:AJ108" si="28">AK49+AL49</f>
        <v>2.25</v>
      </c>
      <c r="AK49" s="40">
        <v>1.25</v>
      </c>
      <c r="AL49" s="41">
        <v>1</v>
      </c>
      <c r="AM49" s="20">
        <f t="shared" ref="AM49:AM108" si="29">AN49+AO49</f>
        <v>0</v>
      </c>
      <c r="AN49" s="40">
        <v>0</v>
      </c>
      <c r="AO49" s="41">
        <v>0</v>
      </c>
      <c r="AP49" s="20">
        <f t="shared" ref="AP49:AP108" si="30">AQ49+AR49</f>
        <v>0</v>
      </c>
      <c r="AQ49" s="40">
        <v>0</v>
      </c>
      <c r="AR49" s="41">
        <v>0</v>
      </c>
      <c r="AS49" s="20">
        <f t="shared" ref="AS49:AS108" si="31">AT49+AU49</f>
        <v>0</v>
      </c>
      <c r="AT49" s="40">
        <v>0</v>
      </c>
      <c r="AU49" s="41">
        <v>0</v>
      </c>
      <c r="AV49" s="24">
        <f t="shared" ref="AV49:AV108" si="32">C49+F49+I49+L49+O49+R49+U49+X49+AA49+AD49+AG49+AJ49+AM49+AP49+AS49</f>
        <v>73.835999999999999</v>
      </c>
    </row>
    <row r="50" spans="1:48">
      <c r="A50" s="38">
        <v>74</v>
      </c>
      <c r="B50" s="39" t="s">
        <v>85</v>
      </c>
      <c r="C50" s="20">
        <f t="shared" si="17"/>
        <v>0</v>
      </c>
      <c r="D50" s="21">
        <v>0</v>
      </c>
      <c r="E50" s="22">
        <v>0</v>
      </c>
      <c r="F50" s="20">
        <f t="shared" si="18"/>
        <v>0</v>
      </c>
      <c r="G50" s="21">
        <v>0</v>
      </c>
      <c r="H50" s="22">
        <v>0</v>
      </c>
      <c r="I50" s="20">
        <f t="shared" si="19"/>
        <v>1</v>
      </c>
      <c r="J50" s="21">
        <v>1</v>
      </c>
      <c r="K50" s="22">
        <v>0</v>
      </c>
      <c r="L50" s="20">
        <f t="shared" si="20"/>
        <v>12.157</v>
      </c>
      <c r="M50" s="21">
        <v>12.157</v>
      </c>
      <c r="N50" s="22">
        <v>0</v>
      </c>
      <c r="O50" s="20">
        <f t="shared" si="21"/>
        <v>9.1000000000000014</v>
      </c>
      <c r="P50" s="21">
        <v>5.4</v>
      </c>
      <c r="Q50" s="22">
        <v>3.7</v>
      </c>
      <c r="R50" s="20">
        <f t="shared" si="22"/>
        <v>0.76100000000000001</v>
      </c>
      <c r="S50" s="21">
        <v>0.76100000000000001</v>
      </c>
      <c r="T50" s="22">
        <v>0</v>
      </c>
      <c r="U50" s="20">
        <f t="shared" si="23"/>
        <v>0</v>
      </c>
      <c r="V50" s="21">
        <v>0</v>
      </c>
      <c r="W50" s="22">
        <v>0</v>
      </c>
      <c r="X50" s="20">
        <f t="shared" si="24"/>
        <v>0</v>
      </c>
      <c r="Y50" s="21">
        <v>0</v>
      </c>
      <c r="Z50" s="22">
        <v>0</v>
      </c>
      <c r="AA50" s="20">
        <f t="shared" si="25"/>
        <v>0</v>
      </c>
      <c r="AB50" s="21">
        <v>0</v>
      </c>
      <c r="AC50" s="22">
        <v>0</v>
      </c>
      <c r="AD50" s="20">
        <f t="shared" si="26"/>
        <v>0</v>
      </c>
      <c r="AE50" s="21">
        <v>0</v>
      </c>
      <c r="AF50" s="22">
        <v>0</v>
      </c>
      <c r="AG50" s="20">
        <f t="shared" si="27"/>
        <v>0.3</v>
      </c>
      <c r="AH50" s="21">
        <v>0</v>
      </c>
      <c r="AI50" s="22">
        <v>0.3</v>
      </c>
      <c r="AJ50" s="20">
        <f t="shared" si="28"/>
        <v>1.3</v>
      </c>
      <c r="AK50" s="21">
        <v>1.3</v>
      </c>
      <c r="AL50" s="22">
        <v>0</v>
      </c>
      <c r="AM50" s="20">
        <f t="shared" si="29"/>
        <v>0</v>
      </c>
      <c r="AN50" s="21">
        <v>0</v>
      </c>
      <c r="AO50" s="22">
        <v>0</v>
      </c>
      <c r="AP50" s="20">
        <f t="shared" si="30"/>
        <v>0</v>
      </c>
      <c r="AQ50" s="21">
        <v>0</v>
      </c>
      <c r="AR50" s="22">
        <v>0</v>
      </c>
      <c r="AS50" s="20">
        <f t="shared" si="31"/>
        <v>0</v>
      </c>
      <c r="AT50" s="21">
        <v>0</v>
      </c>
      <c r="AU50" s="22">
        <v>0</v>
      </c>
      <c r="AV50" s="24">
        <f t="shared" si="32"/>
        <v>24.618000000000002</v>
      </c>
    </row>
    <row r="51" spans="1:48">
      <c r="A51" s="38">
        <v>83</v>
      </c>
      <c r="B51" s="39" t="s">
        <v>86</v>
      </c>
      <c r="C51" s="42">
        <f t="shared" si="17"/>
        <v>0</v>
      </c>
      <c r="D51" s="21">
        <v>0</v>
      </c>
      <c r="E51" s="22">
        <v>0</v>
      </c>
      <c r="F51" s="43">
        <f t="shared" si="18"/>
        <v>0</v>
      </c>
      <c r="G51" s="21">
        <v>0</v>
      </c>
      <c r="H51" s="22">
        <v>0</v>
      </c>
      <c r="I51" s="42">
        <f t="shared" si="19"/>
        <v>0</v>
      </c>
      <c r="J51" s="21">
        <v>0</v>
      </c>
      <c r="K51" s="22">
        <v>0</v>
      </c>
      <c r="L51" s="42">
        <f t="shared" si="20"/>
        <v>0</v>
      </c>
      <c r="M51" s="21">
        <v>0</v>
      </c>
      <c r="N51" s="22">
        <v>0</v>
      </c>
      <c r="O51" s="42">
        <f t="shared" si="21"/>
        <v>17.417999999999999</v>
      </c>
      <c r="P51" s="21">
        <v>9.4179999999999993</v>
      </c>
      <c r="Q51" s="22">
        <v>8</v>
      </c>
      <c r="R51" s="42">
        <f t="shared" si="22"/>
        <v>0.5</v>
      </c>
      <c r="S51" s="21">
        <v>0.5</v>
      </c>
      <c r="T51" s="22">
        <v>0</v>
      </c>
      <c r="U51" s="42">
        <f t="shared" si="23"/>
        <v>1</v>
      </c>
      <c r="V51" s="21">
        <v>1</v>
      </c>
      <c r="W51" s="22">
        <v>0</v>
      </c>
      <c r="X51" s="42">
        <f t="shared" si="24"/>
        <v>0</v>
      </c>
      <c r="Y51" s="21">
        <v>0</v>
      </c>
      <c r="Z51" s="22">
        <v>0</v>
      </c>
      <c r="AA51" s="42">
        <f t="shared" si="25"/>
        <v>1.67</v>
      </c>
      <c r="AB51" s="21">
        <v>1</v>
      </c>
      <c r="AC51" s="22">
        <v>0.67</v>
      </c>
      <c r="AD51" s="42">
        <f t="shared" si="26"/>
        <v>0</v>
      </c>
      <c r="AE51" s="21">
        <v>0</v>
      </c>
      <c r="AF51" s="22">
        <v>0</v>
      </c>
      <c r="AG51" s="42">
        <f t="shared" si="27"/>
        <v>0</v>
      </c>
      <c r="AH51" s="21">
        <v>0</v>
      </c>
      <c r="AI51" s="22">
        <v>0</v>
      </c>
      <c r="AJ51" s="42">
        <f t="shared" si="28"/>
        <v>2</v>
      </c>
      <c r="AK51" s="21">
        <v>1</v>
      </c>
      <c r="AL51" s="22">
        <v>1</v>
      </c>
      <c r="AM51" s="42">
        <f t="shared" si="29"/>
        <v>0</v>
      </c>
      <c r="AN51" s="21">
        <v>0</v>
      </c>
      <c r="AO51" s="22">
        <v>0</v>
      </c>
      <c r="AP51" s="42">
        <f t="shared" si="30"/>
        <v>0</v>
      </c>
      <c r="AQ51" s="21">
        <v>0</v>
      </c>
      <c r="AR51" s="22">
        <v>0</v>
      </c>
      <c r="AS51" s="42">
        <f t="shared" si="31"/>
        <v>0</v>
      </c>
      <c r="AT51" s="21">
        <v>0</v>
      </c>
      <c r="AU51" s="22">
        <v>0</v>
      </c>
      <c r="AV51" s="24">
        <f t="shared" si="32"/>
        <v>22.588000000000001</v>
      </c>
    </row>
    <row r="52" spans="1:48" ht="15.75" thickBot="1">
      <c r="A52" s="38" t="s">
        <v>87</v>
      </c>
      <c r="B52" s="39" t="s">
        <v>88</v>
      </c>
      <c r="C52" s="27">
        <f t="shared" si="17"/>
        <v>0</v>
      </c>
      <c r="D52" s="28">
        <v>0</v>
      </c>
      <c r="E52" s="29">
        <v>0</v>
      </c>
      <c r="F52" s="27">
        <f t="shared" si="18"/>
        <v>0</v>
      </c>
      <c r="G52" s="28">
        <v>0</v>
      </c>
      <c r="H52" s="29">
        <v>0</v>
      </c>
      <c r="I52" s="27">
        <f t="shared" si="19"/>
        <v>0</v>
      </c>
      <c r="J52" s="28">
        <v>0</v>
      </c>
      <c r="K52" s="29">
        <v>0</v>
      </c>
      <c r="L52" s="27">
        <f t="shared" si="20"/>
        <v>0</v>
      </c>
      <c r="M52" s="28">
        <v>0</v>
      </c>
      <c r="N52" s="29">
        <v>0</v>
      </c>
      <c r="O52" s="27">
        <f t="shared" si="21"/>
        <v>9.7669999999999995</v>
      </c>
      <c r="P52" s="28">
        <v>3.8</v>
      </c>
      <c r="Q52" s="29">
        <v>5.9669999999999996</v>
      </c>
      <c r="R52" s="27">
        <f t="shared" si="22"/>
        <v>0.7</v>
      </c>
      <c r="S52" s="28">
        <v>0.7</v>
      </c>
      <c r="T52" s="29">
        <v>0</v>
      </c>
      <c r="U52" s="27">
        <f t="shared" si="23"/>
        <v>1</v>
      </c>
      <c r="V52" s="28">
        <v>0.5</v>
      </c>
      <c r="W52" s="29">
        <v>0.5</v>
      </c>
      <c r="X52" s="27">
        <f t="shared" si="24"/>
        <v>0</v>
      </c>
      <c r="Y52" s="28">
        <v>0</v>
      </c>
      <c r="Z52" s="29">
        <v>0</v>
      </c>
      <c r="AA52" s="27">
        <f t="shared" si="25"/>
        <v>0</v>
      </c>
      <c r="AB52" s="28">
        <v>0</v>
      </c>
      <c r="AC52" s="29">
        <v>0</v>
      </c>
      <c r="AD52" s="27">
        <f t="shared" si="26"/>
        <v>0</v>
      </c>
      <c r="AE52" s="28">
        <v>0</v>
      </c>
      <c r="AF52" s="29">
        <v>0</v>
      </c>
      <c r="AG52" s="27">
        <f t="shared" si="27"/>
        <v>1</v>
      </c>
      <c r="AH52" s="28">
        <v>0</v>
      </c>
      <c r="AI52" s="29">
        <v>1</v>
      </c>
      <c r="AJ52" s="27">
        <f t="shared" si="28"/>
        <v>0</v>
      </c>
      <c r="AK52" s="28">
        <v>0</v>
      </c>
      <c r="AL52" s="29">
        <v>0</v>
      </c>
      <c r="AM52" s="27">
        <f t="shared" si="29"/>
        <v>0</v>
      </c>
      <c r="AN52" s="28">
        <v>0</v>
      </c>
      <c r="AO52" s="29">
        <v>0</v>
      </c>
      <c r="AP52" s="27">
        <f t="shared" si="30"/>
        <v>0</v>
      </c>
      <c r="AQ52" s="28">
        <v>0</v>
      </c>
      <c r="AR52" s="29">
        <v>0</v>
      </c>
      <c r="AS52" s="27">
        <f t="shared" si="31"/>
        <v>0</v>
      </c>
      <c r="AT52" s="28">
        <v>0</v>
      </c>
      <c r="AU52" s="29">
        <v>0</v>
      </c>
      <c r="AV52" s="30">
        <f t="shared" si="32"/>
        <v>12.466999999999999</v>
      </c>
    </row>
    <row r="53" spans="1:48">
      <c r="A53" s="38" t="s">
        <v>89</v>
      </c>
      <c r="B53" s="39" t="s">
        <v>90</v>
      </c>
      <c r="C53" s="13">
        <f t="shared" si="17"/>
        <v>0</v>
      </c>
      <c r="D53" s="17">
        <v>0</v>
      </c>
      <c r="E53" s="15">
        <v>0</v>
      </c>
      <c r="F53" s="13">
        <f t="shared" si="18"/>
        <v>0</v>
      </c>
      <c r="G53" s="17">
        <v>0</v>
      </c>
      <c r="H53" s="15">
        <v>0</v>
      </c>
      <c r="I53" s="13">
        <f t="shared" si="19"/>
        <v>1.5</v>
      </c>
      <c r="J53" s="17">
        <v>1.5</v>
      </c>
      <c r="K53" s="15">
        <v>0</v>
      </c>
      <c r="L53" s="13">
        <f t="shared" si="20"/>
        <v>16</v>
      </c>
      <c r="M53" s="17">
        <v>15</v>
      </c>
      <c r="N53" s="15">
        <v>1</v>
      </c>
      <c r="O53" s="13">
        <f t="shared" si="21"/>
        <v>1</v>
      </c>
      <c r="P53" s="17">
        <v>1</v>
      </c>
      <c r="Q53" s="15">
        <v>0</v>
      </c>
      <c r="R53" s="13">
        <f t="shared" si="22"/>
        <v>1</v>
      </c>
      <c r="S53" s="17">
        <v>1</v>
      </c>
      <c r="T53" s="15">
        <v>0</v>
      </c>
      <c r="U53" s="13">
        <f t="shared" si="23"/>
        <v>0</v>
      </c>
      <c r="V53" s="17">
        <v>0</v>
      </c>
      <c r="W53" s="15">
        <v>0</v>
      </c>
      <c r="X53" s="13">
        <f t="shared" si="24"/>
        <v>0</v>
      </c>
      <c r="Y53" s="17">
        <v>0</v>
      </c>
      <c r="Z53" s="15">
        <v>0</v>
      </c>
      <c r="AA53" s="13">
        <f t="shared" si="25"/>
        <v>0</v>
      </c>
      <c r="AB53" s="17">
        <v>0</v>
      </c>
      <c r="AC53" s="15">
        <v>0</v>
      </c>
      <c r="AD53" s="13">
        <f t="shared" si="26"/>
        <v>0</v>
      </c>
      <c r="AE53" s="17">
        <v>0</v>
      </c>
      <c r="AF53" s="15">
        <v>0</v>
      </c>
      <c r="AG53" s="13">
        <f t="shared" si="27"/>
        <v>0</v>
      </c>
      <c r="AH53" s="17">
        <v>0</v>
      </c>
      <c r="AI53" s="15">
        <v>0</v>
      </c>
      <c r="AJ53" s="13">
        <f t="shared" si="28"/>
        <v>1</v>
      </c>
      <c r="AK53" s="17">
        <v>1</v>
      </c>
      <c r="AL53" s="15">
        <v>0</v>
      </c>
      <c r="AM53" s="13">
        <f t="shared" si="29"/>
        <v>0</v>
      </c>
      <c r="AN53" s="17">
        <v>0</v>
      </c>
      <c r="AO53" s="15">
        <v>0</v>
      </c>
      <c r="AP53" s="13">
        <f t="shared" si="30"/>
        <v>0</v>
      </c>
      <c r="AQ53" s="17">
        <v>0</v>
      </c>
      <c r="AR53" s="15">
        <v>0</v>
      </c>
      <c r="AS53" s="13">
        <f t="shared" si="31"/>
        <v>0</v>
      </c>
      <c r="AT53" s="17">
        <v>0</v>
      </c>
      <c r="AU53" s="15">
        <v>0</v>
      </c>
      <c r="AV53" s="18">
        <f t="shared" si="32"/>
        <v>20.5</v>
      </c>
    </row>
    <row r="54" spans="1:48">
      <c r="A54" s="38">
        <v>84</v>
      </c>
      <c r="B54" s="39" t="s">
        <v>91</v>
      </c>
      <c r="C54" s="20">
        <f t="shared" si="17"/>
        <v>0</v>
      </c>
      <c r="D54" s="23">
        <v>0</v>
      </c>
      <c r="E54" s="22">
        <v>0</v>
      </c>
      <c r="F54" s="20">
        <f t="shared" si="18"/>
        <v>0</v>
      </c>
      <c r="G54" s="23">
        <v>0</v>
      </c>
      <c r="H54" s="22">
        <v>0</v>
      </c>
      <c r="I54" s="20">
        <f t="shared" si="19"/>
        <v>0</v>
      </c>
      <c r="J54" s="23">
        <v>0</v>
      </c>
      <c r="K54" s="22">
        <v>0</v>
      </c>
      <c r="L54" s="20">
        <f t="shared" si="20"/>
        <v>0</v>
      </c>
      <c r="M54" s="23">
        <v>0</v>
      </c>
      <c r="N54" s="22">
        <v>0</v>
      </c>
      <c r="O54" s="20">
        <f t="shared" si="21"/>
        <v>2.33</v>
      </c>
      <c r="P54" s="23">
        <v>1.83</v>
      </c>
      <c r="Q54" s="22">
        <v>0.5</v>
      </c>
      <c r="R54" s="20">
        <f t="shared" si="22"/>
        <v>0.17</v>
      </c>
      <c r="S54" s="23">
        <v>0.17</v>
      </c>
      <c r="T54" s="22">
        <v>0</v>
      </c>
      <c r="U54" s="20">
        <f t="shared" si="23"/>
        <v>0</v>
      </c>
      <c r="V54" s="23">
        <v>0</v>
      </c>
      <c r="W54" s="22">
        <v>0</v>
      </c>
      <c r="X54" s="20">
        <f t="shared" si="24"/>
        <v>0</v>
      </c>
      <c r="Y54" s="23">
        <v>0</v>
      </c>
      <c r="Z54" s="22">
        <v>0</v>
      </c>
      <c r="AA54" s="20">
        <f t="shared" si="25"/>
        <v>0</v>
      </c>
      <c r="AB54" s="23">
        <v>0</v>
      </c>
      <c r="AC54" s="22">
        <v>0</v>
      </c>
      <c r="AD54" s="20">
        <f t="shared" si="26"/>
        <v>0</v>
      </c>
      <c r="AE54" s="23">
        <v>0</v>
      </c>
      <c r="AF54" s="22">
        <v>0</v>
      </c>
      <c r="AG54" s="20">
        <f t="shared" si="27"/>
        <v>0</v>
      </c>
      <c r="AH54" s="23">
        <v>0</v>
      </c>
      <c r="AI54" s="22">
        <v>0</v>
      </c>
      <c r="AJ54" s="20">
        <f t="shared" si="28"/>
        <v>0.5</v>
      </c>
      <c r="AK54" s="23">
        <v>0</v>
      </c>
      <c r="AL54" s="22">
        <v>0.5</v>
      </c>
      <c r="AM54" s="20">
        <f t="shared" si="29"/>
        <v>0</v>
      </c>
      <c r="AN54" s="23">
        <v>0</v>
      </c>
      <c r="AO54" s="22">
        <v>0</v>
      </c>
      <c r="AP54" s="20">
        <f t="shared" si="30"/>
        <v>0</v>
      </c>
      <c r="AQ54" s="23">
        <v>0</v>
      </c>
      <c r="AR54" s="22">
        <v>0</v>
      </c>
      <c r="AS54" s="20">
        <f t="shared" si="31"/>
        <v>0</v>
      </c>
      <c r="AT54" s="23">
        <v>0</v>
      </c>
      <c r="AU54" s="22">
        <v>0</v>
      </c>
      <c r="AV54" s="24">
        <f t="shared" si="32"/>
        <v>3</v>
      </c>
    </row>
    <row r="55" spans="1:48">
      <c r="A55" s="38" t="s">
        <v>92</v>
      </c>
      <c r="B55" s="39" t="s">
        <v>93</v>
      </c>
      <c r="C55" s="20">
        <f t="shared" si="17"/>
        <v>0</v>
      </c>
      <c r="D55" s="21">
        <v>0</v>
      </c>
      <c r="E55" s="22">
        <v>0</v>
      </c>
      <c r="F55" s="20">
        <f t="shared" si="18"/>
        <v>0</v>
      </c>
      <c r="G55" s="21">
        <v>0</v>
      </c>
      <c r="H55" s="22">
        <v>0</v>
      </c>
      <c r="I55" s="20">
        <f t="shared" si="19"/>
        <v>2</v>
      </c>
      <c r="J55" s="21">
        <v>1</v>
      </c>
      <c r="K55" s="22">
        <v>1</v>
      </c>
      <c r="L55" s="20">
        <f t="shared" si="20"/>
        <v>19.2</v>
      </c>
      <c r="M55" s="21">
        <v>17.2</v>
      </c>
      <c r="N55" s="22">
        <v>2</v>
      </c>
      <c r="O55" s="20">
        <f t="shared" si="21"/>
        <v>10.039999999999999</v>
      </c>
      <c r="P55" s="21">
        <v>7.04</v>
      </c>
      <c r="Q55" s="22">
        <v>3</v>
      </c>
      <c r="R55" s="20">
        <f t="shared" si="22"/>
        <v>1.54</v>
      </c>
      <c r="S55" s="21">
        <v>1.54</v>
      </c>
      <c r="T55" s="22">
        <v>0</v>
      </c>
      <c r="U55" s="20">
        <f t="shared" si="23"/>
        <v>1.1120000000000001</v>
      </c>
      <c r="V55" s="21">
        <v>1.1120000000000001</v>
      </c>
      <c r="W55" s="22">
        <v>0</v>
      </c>
      <c r="X55" s="20">
        <f t="shared" si="24"/>
        <v>0</v>
      </c>
      <c r="Y55" s="21">
        <v>0</v>
      </c>
      <c r="Z55" s="22">
        <v>0</v>
      </c>
      <c r="AA55" s="20">
        <f t="shared" si="25"/>
        <v>0</v>
      </c>
      <c r="AB55" s="21">
        <v>0</v>
      </c>
      <c r="AC55" s="22">
        <v>0</v>
      </c>
      <c r="AD55" s="20">
        <f t="shared" si="26"/>
        <v>0</v>
      </c>
      <c r="AE55" s="21">
        <v>0</v>
      </c>
      <c r="AF55" s="22">
        <v>0</v>
      </c>
      <c r="AG55" s="20">
        <f t="shared" si="27"/>
        <v>0</v>
      </c>
      <c r="AH55" s="21">
        <v>0</v>
      </c>
      <c r="AI55" s="22">
        <v>0</v>
      </c>
      <c r="AJ55" s="20">
        <f t="shared" si="28"/>
        <v>1.111</v>
      </c>
      <c r="AK55" s="21">
        <v>1.111</v>
      </c>
      <c r="AL55" s="22">
        <v>0</v>
      </c>
      <c r="AM55" s="20">
        <f t="shared" si="29"/>
        <v>0</v>
      </c>
      <c r="AN55" s="21">
        <v>0</v>
      </c>
      <c r="AO55" s="22">
        <v>0</v>
      </c>
      <c r="AP55" s="20">
        <f t="shared" si="30"/>
        <v>0</v>
      </c>
      <c r="AQ55" s="21">
        <v>0</v>
      </c>
      <c r="AR55" s="22">
        <v>0</v>
      </c>
      <c r="AS55" s="20">
        <f t="shared" si="31"/>
        <v>0</v>
      </c>
      <c r="AT55" s="21">
        <v>0</v>
      </c>
      <c r="AU55" s="22">
        <v>0</v>
      </c>
      <c r="AV55" s="24">
        <f t="shared" si="32"/>
        <v>35.003</v>
      </c>
    </row>
    <row r="56" spans="1:48">
      <c r="A56" s="38">
        <v>87</v>
      </c>
      <c r="B56" s="39" t="s">
        <v>94</v>
      </c>
      <c r="C56" s="20">
        <f t="shared" si="17"/>
        <v>0</v>
      </c>
      <c r="D56" s="23">
        <v>0</v>
      </c>
      <c r="E56" s="22">
        <v>0</v>
      </c>
      <c r="F56" s="20">
        <f t="shared" si="18"/>
        <v>0</v>
      </c>
      <c r="G56" s="23">
        <v>0</v>
      </c>
      <c r="H56" s="22">
        <v>0</v>
      </c>
      <c r="I56" s="20">
        <f t="shared" si="19"/>
        <v>0</v>
      </c>
      <c r="J56" s="23">
        <v>0</v>
      </c>
      <c r="K56" s="22">
        <v>0</v>
      </c>
      <c r="L56" s="20">
        <f t="shared" si="20"/>
        <v>0</v>
      </c>
      <c r="M56" s="23">
        <v>0</v>
      </c>
      <c r="N56" s="22">
        <v>0</v>
      </c>
      <c r="O56" s="20">
        <f t="shared" si="21"/>
        <v>12.207999999999998</v>
      </c>
      <c r="P56" s="23">
        <v>7.0919999999999996</v>
      </c>
      <c r="Q56" s="22">
        <v>5.1159999999999997</v>
      </c>
      <c r="R56" s="20">
        <f t="shared" si="22"/>
        <v>0</v>
      </c>
      <c r="S56" s="23">
        <v>0</v>
      </c>
      <c r="T56" s="22">
        <v>0</v>
      </c>
      <c r="U56" s="20">
        <f t="shared" si="23"/>
        <v>1.831</v>
      </c>
      <c r="V56" s="23">
        <v>0.72</v>
      </c>
      <c r="W56" s="22">
        <v>1.111</v>
      </c>
      <c r="X56" s="20">
        <f t="shared" si="24"/>
        <v>0</v>
      </c>
      <c r="Y56" s="23">
        <v>0</v>
      </c>
      <c r="Z56" s="22">
        <v>0</v>
      </c>
      <c r="AA56" s="20">
        <f t="shared" si="25"/>
        <v>1</v>
      </c>
      <c r="AB56" s="23">
        <v>0</v>
      </c>
      <c r="AC56" s="22">
        <v>1</v>
      </c>
      <c r="AD56" s="20">
        <f t="shared" si="26"/>
        <v>0</v>
      </c>
      <c r="AE56" s="23">
        <v>0</v>
      </c>
      <c r="AF56" s="22">
        <v>0</v>
      </c>
      <c r="AG56" s="20">
        <f t="shared" si="27"/>
        <v>0</v>
      </c>
      <c r="AH56" s="23">
        <v>0</v>
      </c>
      <c r="AI56" s="22">
        <v>0</v>
      </c>
      <c r="AJ56" s="20">
        <f t="shared" si="28"/>
        <v>0.81</v>
      </c>
      <c r="AK56" s="23">
        <v>0.81</v>
      </c>
      <c r="AL56" s="22">
        <v>0</v>
      </c>
      <c r="AM56" s="20">
        <f t="shared" si="29"/>
        <v>0</v>
      </c>
      <c r="AN56" s="23">
        <v>0</v>
      </c>
      <c r="AO56" s="22">
        <v>0</v>
      </c>
      <c r="AP56" s="20">
        <f t="shared" si="30"/>
        <v>0</v>
      </c>
      <c r="AQ56" s="23">
        <v>0</v>
      </c>
      <c r="AR56" s="22">
        <v>0</v>
      </c>
      <c r="AS56" s="20">
        <f t="shared" si="31"/>
        <v>0</v>
      </c>
      <c r="AT56" s="23">
        <v>0</v>
      </c>
      <c r="AU56" s="22">
        <v>0</v>
      </c>
      <c r="AV56" s="24">
        <f t="shared" si="32"/>
        <v>15.848999999999998</v>
      </c>
    </row>
    <row r="57" spans="1:48" ht="15.75" thickBot="1">
      <c r="A57" s="38" t="s">
        <v>95</v>
      </c>
      <c r="B57" s="39" t="s">
        <v>96</v>
      </c>
      <c r="C57" s="44">
        <f t="shared" si="17"/>
        <v>0</v>
      </c>
      <c r="D57" s="45">
        <v>0</v>
      </c>
      <c r="E57" s="29">
        <v>0</v>
      </c>
      <c r="F57" s="46">
        <f t="shared" si="18"/>
        <v>0</v>
      </c>
      <c r="G57" s="45">
        <v>0</v>
      </c>
      <c r="H57" s="29">
        <v>0</v>
      </c>
      <c r="I57" s="44">
        <f t="shared" si="19"/>
        <v>3</v>
      </c>
      <c r="J57" s="45">
        <v>3</v>
      </c>
      <c r="K57" s="29">
        <v>0</v>
      </c>
      <c r="L57" s="44">
        <f t="shared" si="20"/>
        <v>8.75</v>
      </c>
      <c r="M57" s="45">
        <v>6.75</v>
      </c>
      <c r="N57" s="29">
        <v>2</v>
      </c>
      <c r="O57" s="44">
        <f t="shared" si="21"/>
        <v>0</v>
      </c>
      <c r="P57" s="45">
        <v>0</v>
      </c>
      <c r="Q57" s="29">
        <v>0</v>
      </c>
      <c r="R57" s="44">
        <f t="shared" si="22"/>
        <v>1</v>
      </c>
      <c r="S57" s="45">
        <v>1</v>
      </c>
      <c r="T57" s="29">
        <v>0</v>
      </c>
      <c r="U57" s="44">
        <f t="shared" si="23"/>
        <v>0.25</v>
      </c>
      <c r="V57" s="45">
        <v>0.25</v>
      </c>
      <c r="W57" s="29">
        <v>0</v>
      </c>
      <c r="X57" s="44">
        <f t="shared" si="24"/>
        <v>0</v>
      </c>
      <c r="Y57" s="45">
        <v>0</v>
      </c>
      <c r="Z57" s="29">
        <v>0</v>
      </c>
      <c r="AA57" s="44">
        <f t="shared" si="25"/>
        <v>0</v>
      </c>
      <c r="AB57" s="45">
        <v>0</v>
      </c>
      <c r="AC57" s="29">
        <v>0</v>
      </c>
      <c r="AD57" s="44">
        <f t="shared" si="26"/>
        <v>0</v>
      </c>
      <c r="AE57" s="45">
        <v>0</v>
      </c>
      <c r="AF57" s="29">
        <v>0</v>
      </c>
      <c r="AG57" s="44">
        <f t="shared" si="27"/>
        <v>0</v>
      </c>
      <c r="AH57" s="45">
        <v>0</v>
      </c>
      <c r="AI57" s="29">
        <v>0</v>
      </c>
      <c r="AJ57" s="44">
        <f t="shared" si="28"/>
        <v>1</v>
      </c>
      <c r="AK57" s="45">
        <v>0</v>
      </c>
      <c r="AL57" s="29">
        <v>1</v>
      </c>
      <c r="AM57" s="44">
        <f t="shared" si="29"/>
        <v>0</v>
      </c>
      <c r="AN57" s="45">
        <v>0</v>
      </c>
      <c r="AO57" s="29">
        <v>0</v>
      </c>
      <c r="AP57" s="44">
        <f t="shared" si="30"/>
        <v>0</v>
      </c>
      <c r="AQ57" s="45">
        <v>0</v>
      </c>
      <c r="AR57" s="29">
        <v>0</v>
      </c>
      <c r="AS57" s="44">
        <f t="shared" si="31"/>
        <v>0</v>
      </c>
      <c r="AT57" s="45">
        <v>0</v>
      </c>
      <c r="AU57" s="29">
        <v>0</v>
      </c>
      <c r="AV57" s="30">
        <f t="shared" si="32"/>
        <v>14</v>
      </c>
    </row>
    <row r="58" spans="1:48">
      <c r="A58" s="38" t="s">
        <v>97</v>
      </c>
      <c r="B58" s="39" t="s">
        <v>98</v>
      </c>
      <c r="C58" s="47">
        <f t="shared" si="17"/>
        <v>0</v>
      </c>
      <c r="D58" s="48">
        <v>0</v>
      </c>
      <c r="E58" s="49">
        <v>0</v>
      </c>
      <c r="F58" s="47">
        <f t="shared" si="18"/>
        <v>0</v>
      </c>
      <c r="G58" s="48">
        <v>0</v>
      </c>
      <c r="H58" s="49">
        <v>0</v>
      </c>
      <c r="I58" s="47">
        <f t="shared" si="19"/>
        <v>0</v>
      </c>
      <c r="J58" s="48">
        <v>0</v>
      </c>
      <c r="K58" s="49">
        <v>0</v>
      </c>
      <c r="L58" s="47">
        <f t="shared" si="20"/>
        <v>0</v>
      </c>
      <c r="M58" s="48">
        <v>0</v>
      </c>
      <c r="N58" s="49">
        <v>0</v>
      </c>
      <c r="O58" s="47">
        <f t="shared" si="21"/>
        <v>12.83</v>
      </c>
      <c r="P58" s="48">
        <v>8.17</v>
      </c>
      <c r="Q58" s="49">
        <v>4.66</v>
      </c>
      <c r="R58" s="47">
        <f t="shared" si="22"/>
        <v>2</v>
      </c>
      <c r="S58" s="48">
        <v>1</v>
      </c>
      <c r="T58" s="49">
        <v>1</v>
      </c>
      <c r="U58" s="47">
        <f t="shared" si="23"/>
        <v>0</v>
      </c>
      <c r="V58" s="48">
        <v>0</v>
      </c>
      <c r="W58" s="49">
        <v>0</v>
      </c>
      <c r="X58" s="47">
        <f t="shared" si="24"/>
        <v>0</v>
      </c>
      <c r="Y58" s="48">
        <v>0</v>
      </c>
      <c r="Z58" s="49">
        <v>0</v>
      </c>
      <c r="AA58" s="47">
        <f t="shared" si="25"/>
        <v>1</v>
      </c>
      <c r="AB58" s="48">
        <v>0</v>
      </c>
      <c r="AC58" s="49">
        <v>1</v>
      </c>
      <c r="AD58" s="47">
        <f t="shared" si="26"/>
        <v>0</v>
      </c>
      <c r="AE58" s="48">
        <v>0</v>
      </c>
      <c r="AF58" s="49">
        <v>0</v>
      </c>
      <c r="AG58" s="47">
        <f t="shared" si="27"/>
        <v>0</v>
      </c>
      <c r="AH58" s="48">
        <v>0</v>
      </c>
      <c r="AI58" s="49">
        <v>0</v>
      </c>
      <c r="AJ58" s="47">
        <f t="shared" si="28"/>
        <v>0.83</v>
      </c>
      <c r="AK58" s="48">
        <v>0.83</v>
      </c>
      <c r="AL58" s="49">
        <v>0</v>
      </c>
      <c r="AM58" s="47">
        <f t="shared" si="29"/>
        <v>0</v>
      </c>
      <c r="AN58" s="48">
        <v>0</v>
      </c>
      <c r="AO58" s="49">
        <v>0</v>
      </c>
      <c r="AP58" s="47">
        <f t="shared" si="30"/>
        <v>0</v>
      </c>
      <c r="AQ58" s="48">
        <v>0</v>
      </c>
      <c r="AR58" s="49">
        <v>0</v>
      </c>
      <c r="AS58" s="47">
        <f t="shared" si="31"/>
        <v>0</v>
      </c>
      <c r="AT58" s="48">
        <v>0</v>
      </c>
      <c r="AU58" s="49">
        <v>0</v>
      </c>
      <c r="AV58" s="18">
        <f t="shared" si="32"/>
        <v>16.66</v>
      </c>
    </row>
    <row r="59" spans="1:48">
      <c r="A59" s="38" t="s">
        <v>99</v>
      </c>
      <c r="B59" s="39" t="s">
        <v>100</v>
      </c>
      <c r="C59" s="42">
        <f t="shared" si="17"/>
        <v>0</v>
      </c>
      <c r="D59" s="21">
        <v>0</v>
      </c>
      <c r="E59" s="22">
        <v>0</v>
      </c>
      <c r="F59" s="43">
        <f t="shared" si="18"/>
        <v>0</v>
      </c>
      <c r="G59" s="21">
        <v>0</v>
      </c>
      <c r="H59" s="22">
        <v>0</v>
      </c>
      <c r="I59" s="42">
        <f t="shared" si="19"/>
        <v>4</v>
      </c>
      <c r="J59" s="21">
        <v>4</v>
      </c>
      <c r="K59" s="22">
        <v>0</v>
      </c>
      <c r="L59" s="42">
        <f t="shared" si="20"/>
        <v>10</v>
      </c>
      <c r="M59" s="21">
        <v>8</v>
      </c>
      <c r="N59" s="22">
        <v>2</v>
      </c>
      <c r="O59" s="42">
        <f t="shared" si="21"/>
        <v>0</v>
      </c>
      <c r="P59" s="21">
        <v>0</v>
      </c>
      <c r="Q59" s="22">
        <v>0</v>
      </c>
      <c r="R59" s="42">
        <f t="shared" si="22"/>
        <v>1</v>
      </c>
      <c r="S59" s="21">
        <v>1</v>
      </c>
      <c r="T59" s="22">
        <v>0</v>
      </c>
      <c r="U59" s="42">
        <f t="shared" si="23"/>
        <v>0</v>
      </c>
      <c r="V59" s="21">
        <v>0</v>
      </c>
      <c r="W59" s="22">
        <v>0</v>
      </c>
      <c r="X59" s="42">
        <f t="shared" si="24"/>
        <v>0</v>
      </c>
      <c r="Y59" s="21">
        <v>0</v>
      </c>
      <c r="Z59" s="22">
        <v>0</v>
      </c>
      <c r="AA59" s="42">
        <f t="shared" si="25"/>
        <v>0</v>
      </c>
      <c r="AB59" s="21">
        <v>0</v>
      </c>
      <c r="AC59" s="22">
        <v>0</v>
      </c>
      <c r="AD59" s="42">
        <f t="shared" si="26"/>
        <v>0</v>
      </c>
      <c r="AE59" s="21">
        <v>0</v>
      </c>
      <c r="AF59" s="22">
        <v>0</v>
      </c>
      <c r="AG59" s="42">
        <f t="shared" si="27"/>
        <v>0</v>
      </c>
      <c r="AH59" s="21">
        <v>0</v>
      </c>
      <c r="AI59" s="22">
        <v>0</v>
      </c>
      <c r="AJ59" s="42">
        <f t="shared" si="28"/>
        <v>0</v>
      </c>
      <c r="AK59" s="21">
        <v>0</v>
      </c>
      <c r="AL59" s="22">
        <v>0</v>
      </c>
      <c r="AM59" s="42">
        <f t="shared" si="29"/>
        <v>0</v>
      </c>
      <c r="AN59" s="21">
        <v>0</v>
      </c>
      <c r="AO59" s="22">
        <v>0</v>
      </c>
      <c r="AP59" s="42">
        <f t="shared" si="30"/>
        <v>0</v>
      </c>
      <c r="AQ59" s="21">
        <v>0</v>
      </c>
      <c r="AR59" s="22">
        <v>0</v>
      </c>
      <c r="AS59" s="42">
        <f t="shared" si="31"/>
        <v>0</v>
      </c>
      <c r="AT59" s="21">
        <v>0</v>
      </c>
      <c r="AU59" s="22">
        <v>0</v>
      </c>
      <c r="AV59" s="24">
        <f t="shared" si="32"/>
        <v>15</v>
      </c>
    </row>
    <row r="60" spans="1:48">
      <c r="A60" s="38" t="s">
        <v>101</v>
      </c>
      <c r="B60" s="39" t="s">
        <v>102</v>
      </c>
      <c r="C60" s="42">
        <f t="shared" si="17"/>
        <v>0</v>
      </c>
      <c r="D60" s="21">
        <v>0</v>
      </c>
      <c r="E60" s="22">
        <v>0</v>
      </c>
      <c r="F60" s="43">
        <f t="shared" si="18"/>
        <v>0</v>
      </c>
      <c r="G60" s="21">
        <v>0</v>
      </c>
      <c r="H60" s="22">
        <v>0</v>
      </c>
      <c r="I60" s="42">
        <f t="shared" si="19"/>
        <v>0</v>
      </c>
      <c r="J60" s="21">
        <v>0</v>
      </c>
      <c r="K60" s="22">
        <v>0</v>
      </c>
      <c r="L60" s="42">
        <f t="shared" si="20"/>
        <v>0</v>
      </c>
      <c r="M60" s="21">
        <v>0</v>
      </c>
      <c r="N60" s="22">
        <v>0</v>
      </c>
      <c r="O60" s="42">
        <f t="shared" si="21"/>
        <v>18.106000000000002</v>
      </c>
      <c r="P60" s="21">
        <v>6.15</v>
      </c>
      <c r="Q60" s="22">
        <v>11.956</v>
      </c>
      <c r="R60" s="42">
        <f t="shared" si="22"/>
        <v>0</v>
      </c>
      <c r="S60" s="21">
        <v>0</v>
      </c>
      <c r="T60" s="22">
        <v>0</v>
      </c>
      <c r="U60" s="42">
        <f t="shared" si="23"/>
        <v>0</v>
      </c>
      <c r="V60" s="21">
        <v>0</v>
      </c>
      <c r="W60" s="22">
        <v>0</v>
      </c>
      <c r="X60" s="42">
        <f t="shared" si="24"/>
        <v>0</v>
      </c>
      <c r="Y60" s="21">
        <v>0</v>
      </c>
      <c r="Z60" s="22">
        <v>0</v>
      </c>
      <c r="AA60" s="42">
        <f t="shared" si="25"/>
        <v>1</v>
      </c>
      <c r="AB60" s="21">
        <v>1</v>
      </c>
      <c r="AC60" s="22">
        <v>0</v>
      </c>
      <c r="AD60" s="42">
        <f t="shared" si="26"/>
        <v>0.73</v>
      </c>
      <c r="AE60" s="21">
        <v>0.6</v>
      </c>
      <c r="AF60" s="22">
        <v>0.13</v>
      </c>
      <c r="AG60" s="42">
        <f t="shared" si="27"/>
        <v>0</v>
      </c>
      <c r="AH60" s="21">
        <v>0</v>
      </c>
      <c r="AI60" s="22">
        <v>0</v>
      </c>
      <c r="AJ60" s="42">
        <f t="shared" si="28"/>
        <v>1.1359999999999999</v>
      </c>
      <c r="AK60" s="21">
        <v>0</v>
      </c>
      <c r="AL60" s="22">
        <v>1.1359999999999999</v>
      </c>
      <c r="AM60" s="42">
        <f t="shared" si="29"/>
        <v>0</v>
      </c>
      <c r="AN60" s="21">
        <v>0</v>
      </c>
      <c r="AO60" s="22">
        <v>0</v>
      </c>
      <c r="AP60" s="42">
        <f t="shared" si="30"/>
        <v>0</v>
      </c>
      <c r="AQ60" s="21">
        <v>0</v>
      </c>
      <c r="AR60" s="22">
        <v>0</v>
      </c>
      <c r="AS60" s="42">
        <f t="shared" si="31"/>
        <v>0</v>
      </c>
      <c r="AT60" s="21">
        <v>0</v>
      </c>
      <c r="AU60" s="22">
        <v>0</v>
      </c>
      <c r="AV60" s="24">
        <f t="shared" si="32"/>
        <v>20.972000000000001</v>
      </c>
    </row>
    <row r="61" spans="1:48">
      <c r="A61" s="38" t="s">
        <v>103</v>
      </c>
      <c r="B61" s="39" t="s">
        <v>104</v>
      </c>
      <c r="C61" s="20">
        <f t="shared" si="17"/>
        <v>0</v>
      </c>
      <c r="D61" s="23">
        <v>0</v>
      </c>
      <c r="E61" s="22">
        <v>0</v>
      </c>
      <c r="F61" s="20">
        <f t="shared" si="18"/>
        <v>0</v>
      </c>
      <c r="G61" s="23">
        <v>0</v>
      </c>
      <c r="H61" s="22">
        <v>0</v>
      </c>
      <c r="I61" s="20">
        <f t="shared" si="19"/>
        <v>1.079</v>
      </c>
      <c r="J61" s="23">
        <v>1.079</v>
      </c>
      <c r="K61" s="22">
        <v>0</v>
      </c>
      <c r="L61" s="20">
        <f t="shared" si="20"/>
        <v>13.498000000000001</v>
      </c>
      <c r="M61" s="23">
        <v>12.426</v>
      </c>
      <c r="N61" s="22">
        <v>1.0720000000000001</v>
      </c>
      <c r="O61" s="20">
        <f t="shared" si="21"/>
        <v>1.0720000000000001</v>
      </c>
      <c r="P61" s="23">
        <v>1.0720000000000001</v>
      </c>
      <c r="Q61" s="22">
        <v>0</v>
      </c>
      <c r="R61" s="20">
        <f t="shared" si="22"/>
        <v>1</v>
      </c>
      <c r="S61" s="23">
        <v>1</v>
      </c>
      <c r="T61" s="22">
        <v>0</v>
      </c>
      <c r="U61" s="20">
        <f t="shared" si="23"/>
        <v>0</v>
      </c>
      <c r="V61" s="23">
        <v>0</v>
      </c>
      <c r="W61" s="22">
        <v>0</v>
      </c>
      <c r="X61" s="20">
        <f t="shared" si="24"/>
        <v>0</v>
      </c>
      <c r="Y61" s="23">
        <v>0</v>
      </c>
      <c r="Z61" s="22">
        <v>0</v>
      </c>
      <c r="AA61" s="20">
        <f t="shared" si="25"/>
        <v>0</v>
      </c>
      <c r="AB61" s="23">
        <v>0</v>
      </c>
      <c r="AC61" s="22">
        <v>0</v>
      </c>
      <c r="AD61" s="20">
        <f t="shared" si="26"/>
        <v>2.6</v>
      </c>
      <c r="AE61" s="23">
        <v>1.3</v>
      </c>
      <c r="AF61" s="22">
        <v>1.3</v>
      </c>
      <c r="AG61" s="20">
        <f t="shared" si="27"/>
        <v>0</v>
      </c>
      <c r="AH61" s="23">
        <v>0</v>
      </c>
      <c r="AI61" s="22">
        <v>0</v>
      </c>
      <c r="AJ61" s="20">
        <f t="shared" si="28"/>
        <v>1</v>
      </c>
      <c r="AK61" s="23">
        <v>0</v>
      </c>
      <c r="AL61" s="22">
        <v>1</v>
      </c>
      <c r="AM61" s="20">
        <f t="shared" si="29"/>
        <v>0.53600000000000003</v>
      </c>
      <c r="AN61" s="23">
        <v>0.53600000000000003</v>
      </c>
      <c r="AO61" s="22">
        <v>0</v>
      </c>
      <c r="AP61" s="20">
        <f t="shared" si="30"/>
        <v>0</v>
      </c>
      <c r="AQ61" s="23">
        <v>0</v>
      </c>
      <c r="AR61" s="22">
        <v>0</v>
      </c>
      <c r="AS61" s="20">
        <f t="shared" si="31"/>
        <v>0</v>
      </c>
      <c r="AT61" s="23">
        <v>0</v>
      </c>
      <c r="AU61" s="22">
        <v>0</v>
      </c>
      <c r="AV61" s="24">
        <f t="shared" si="32"/>
        <v>20.785000000000004</v>
      </c>
    </row>
    <row r="62" spans="1:48" ht="15.75" thickBot="1">
      <c r="A62" s="38" t="s">
        <v>105</v>
      </c>
      <c r="B62" s="39" t="s">
        <v>106</v>
      </c>
      <c r="C62" s="44">
        <f t="shared" si="17"/>
        <v>0</v>
      </c>
      <c r="D62" s="45">
        <v>0</v>
      </c>
      <c r="E62" s="29">
        <v>0</v>
      </c>
      <c r="F62" s="46">
        <f t="shared" si="18"/>
        <v>0</v>
      </c>
      <c r="G62" s="45">
        <v>0</v>
      </c>
      <c r="H62" s="29">
        <v>0</v>
      </c>
      <c r="I62" s="44">
        <f t="shared" si="19"/>
        <v>2</v>
      </c>
      <c r="J62" s="45">
        <v>2</v>
      </c>
      <c r="K62" s="29">
        <v>0</v>
      </c>
      <c r="L62" s="44">
        <f t="shared" si="20"/>
        <v>11.878</v>
      </c>
      <c r="M62" s="45">
        <v>6</v>
      </c>
      <c r="N62" s="29">
        <v>5.8780000000000001</v>
      </c>
      <c r="O62" s="44">
        <f t="shared" si="21"/>
        <v>7</v>
      </c>
      <c r="P62" s="45">
        <v>6</v>
      </c>
      <c r="Q62" s="29">
        <v>1</v>
      </c>
      <c r="R62" s="44">
        <f t="shared" si="22"/>
        <v>2</v>
      </c>
      <c r="S62" s="45">
        <v>2</v>
      </c>
      <c r="T62" s="29">
        <v>0</v>
      </c>
      <c r="U62" s="44">
        <f t="shared" si="23"/>
        <v>1</v>
      </c>
      <c r="V62" s="45">
        <v>1</v>
      </c>
      <c r="W62" s="29">
        <v>0</v>
      </c>
      <c r="X62" s="44">
        <f t="shared" si="24"/>
        <v>0</v>
      </c>
      <c r="Y62" s="45">
        <v>0</v>
      </c>
      <c r="Z62" s="29">
        <v>0</v>
      </c>
      <c r="AA62" s="44">
        <f t="shared" si="25"/>
        <v>0</v>
      </c>
      <c r="AB62" s="45">
        <v>0</v>
      </c>
      <c r="AC62" s="29">
        <v>0</v>
      </c>
      <c r="AD62" s="44">
        <f t="shared" si="26"/>
        <v>0</v>
      </c>
      <c r="AE62" s="45">
        <v>0</v>
      </c>
      <c r="AF62" s="29">
        <v>0</v>
      </c>
      <c r="AG62" s="44">
        <f t="shared" si="27"/>
        <v>0</v>
      </c>
      <c r="AH62" s="45">
        <v>0</v>
      </c>
      <c r="AI62" s="29">
        <v>0</v>
      </c>
      <c r="AJ62" s="44">
        <f t="shared" si="28"/>
        <v>1</v>
      </c>
      <c r="AK62" s="45">
        <v>0</v>
      </c>
      <c r="AL62" s="29">
        <v>1</v>
      </c>
      <c r="AM62" s="44">
        <f t="shared" si="29"/>
        <v>0</v>
      </c>
      <c r="AN62" s="45">
        <v>0</v>
      </c>
      <c r="AO62" s="29">
        <v>0</v>
      </c>
      <c r="AP62" s="44">
        <f t="shared" si="30"/>
        <v>0</v>
      </c>
      <c r="AQ62" s="45">
        <v>0</v>
      </c>
      <c r="AR62" s="29">
        <v>0</v>
      </c>
      <c r="AS62" s="44">
        <f t="shared" si="31"/>
        <v>0</v>
      </c>
      <c r="AT62" s="45">
        <v>0</v>
      </c>
      <c r="AU62" s="29">
        <v>0</v>
      </c>
      <c r="AV62" s="30">
        <f t="shared" si="32"/>
        <v>24.878</v>
      </c>
    </row>
    <row r="63" spans="1:48">
      <c r="A63" s="38">
        <v>98</v>
      </c>
      <c r="B63" s="39" t="s">
        <v>107</v>
      </c>
      <c r="C63" s="47">
        <f t="shared" si="17"/>
        <v>0</v>
      </c>
      <c r="D63" s="14">
        <v>0</v>
      </c>
      <c r="E63" s="15">
        <v>0</v>
      </c>
      <c r="F63" s="50">
        <f t="shared" si="18"/>
        <v>0</v>
      </c>
      <c r="G63" s="14">
        <v>0</v>
      </c>
      <c r="H63" s="15">
        <v>0</v>
      </c>
      <c r="I63" s="47">
        <f t="shared" si="19"/>
        <v>0</v>
      </c>
      <c r="J63" s="14">
        <v>0</v>
      </c>
      <c r="K63" s="15">
        <v>0</v>
      </c>
      <c r="L63" s="47">
        <f t="shared" si="20"/>
        <v>0</v>
      </c>
      <c r="M63" s="14">
        <v>0</v>
      </c>
      <c r="N63" s="15">
        <v>0</v>
      </c>
      <c r="O63" s="47">
        <f t="shared" si="21"/>
        <v>11.876999999999999</v>
      </c>
      <c r="P63" s="14">
        <v>7.125</v>
      </c>
      <c r="Q63" s="15">
        <v>4.7519999999999998</v>
      </c>
      <c r="R63" s="47">
        <f t="shared" si="22"/>
        <v>1.33</v>
      </c>
      <c r="S63" s="14">
        <v>1.33</v>
      </c>
      <c r="T63" s="15">
        <v>0</v>
      </c>
      <c r="U63" s="47">
        <f t="shared" si="23"/>
        <v>0.67</v>
      </c>
      <c r="V63" s="14">
        <v>0.67</v>
      </c>
      <c r="W63" s="15">
        <v>0</v>
      </c>
      <c r="X63" s="47">
        <f t="shared" si="24"/>
        <v>0</v>
      </c>
      <c r="Y63" s="14">
        <v>0</v>
      </c>
      <c r="Z63" s="15">
        <v>0</v>
      </c>
      <c r="AA63" s="47">
        <f t="shared" si="25"/>
        <v>1.1000000000000001</v>
      </c>
      <c r="AB63" s="14">
        <v>1.1000000000000001</v>
      </c>
      <c r="AC63" s="15">
        <v>0</v>
      </c>
      <c r="AD63" s="47">
        <f t="shared" si="26"/>
        <v>0.435</v>
      </c>
      <c r="AE63" s="14">
        <v>0.435</v>
      </c>
      <c r="AF63" s="15">
        <v>0</v>
      </c>
      <c r="AG63" s="47">
        <f t="shared" si="27"/>
        <v>0</v>
      </c>
      <c r="AH63" s="14">
        <v>0</v>
      </c>
      <c r="AI63" s="15">
        <v>0</v>
      </c>
      <c r="AJ63" s="47">
        <f t="shared" si="28"/>
        <v>0.84</v>
      </c>
      <c r="AK63" s="14">
        <v>0.84</v>
      </c>
      <c r="AL63" s="15">
        <v>0</v>
      </c>
      <c r="AM63" s="47">
        <f t="shared" si="29"/>
        <v>0</v>
      </c>
      <c r="AN63" s="14">
        <v>0</v>
      </c>
      <c r="AO63" s="15">
        <v>0</v>
      </c>
      <c r="AP63" s="47">
        <f t="shared" si="30"/>
        <v>0</v>
      </c>
      <c r="AQ63" s="14">
        <v>0</v>
      </c>
      <c r="AR63" s="15">
        <v>0</v>
      </c>
      <c r="AS63" s="47">
        <f t="shared" si="31"/>
        <v>0</v>
      </c>
      <c r="AT63" s="14">
        <v>0</v>
      </c>
      <c r="AU63" s="15">
        <v>0</v>
      </c>
      <c r="AV63" s="18">
        <f t="shared" si="32"/>
        <v>16.251999999999999</v>
      </c>
    </row>
    <row r="64" spans="1:48">
      <c r="A64" s="38">
        <v>82</v>
      </c>
      <c r="B64" s="39" t="s">
        <v>108</v>
      </c>
      <c r="C64" s="20">
        <f t="shared" si="17"/>
        <v>0</v>
      </c>
      <c r="D64" s="21">
        <v>0</v>
      </c>
      <c r="E64" s="22">
        <v>0</v>
      </c>
      <c r="F64" s="20">
        <f t="shared" si="18"/>
        <v>0</v>
      </c>
      <c r="G64" s="21">
        <v>0</v>
      </c>
      <c r="H64" s="22">
        <v>0</v>
      </c>
      <c r="I64" s="20">
        <f t="shared" si="19"/>
        <v>2.5</v>
      </c>
      <c r="J64" s="21">
        <v>2.5</v>
      </c>
      <c r="K64" s="22">
        <v>0</v>
      </c>
      <c r="L64" s="20">
        <f t="shared" si="20"/>
        <v>24.36</v>
      </c>
      <c r="M64" s="21">
        <v>21.36</v>
      </c>
      <c r="N64" s="22">
        <v>3</v>
      </c>
      <c r="O64" s="20">
        <f t="shared" si="21"/>
        <v>4.6400000000000006</v>
      </c>
      <c r="P64" s="21">
        <v>3.64</v>
      </c>
      <c r="Q64" s="22">
        <v>1</v>
      </c>
      <c r="R64" s="20">
        <f t="shared" si="22"/>
        <v>2</v>
      </c>
      <c r="S64" s="21">
        <v>1</v>
      </c>
      <c r="T64" s="22">
        <v>1</v>
      </c>
      <c r="U64" s="20">
        <f t="shared" si="23"/>
        <v>0.25</v>
      </c>
      <c r="V64" s="21">
        <v>0.25</v>
      </c>
      <c r="W64" s="22">
        <v>0</v>
      </c>
      <c r="X64" s="20">
        <f t="shared" si="24"/>
        <v>0</v>
      </c>
      <c r="Y64" s="21">
        <v>0</v>
      </c>
      <c r="Z64" s="22">
        <v>0</v>
      </c>
      <c r="AA64" s="20">
        <f t="shared" si="25"/>
        <v>0</v>
      </c>
      <c r="AB64" s="21">
        <v>0</v>
      </c>
      <c r="AC64" s="22">
        <v>0</v>
      </c>
      <c r="AD64" s="20">
        <f t="shared" si="26"/>
        <v>1</v>
      </c>
      <c r="AE64" s="21">
        <v>1</v>
      </c>
      <c r="AF64" s="22">
        <v>0</v>
      </c>
      <c r="AG64" s="20">
        <f t="shared" si="27"/>
        <v>1</v>
      </c>
      <c r="AH64" s="21">
        <v>0</v>
      </c>
      <c r="AI64" s="22">
        <v>1</v>
      </c>
      <c r="AJ64" s="20">
        <f t="shared" si="28"/>
        <v>1.5</v>
      </c>
      <c r="AK64" s="21">
        <v>1.5</v>
      </c>
      <c r="AL64" s="22">
        <v>0</v>
      </c>
      <c r="AM64" s="20">
        <f t="shared" si="29"/>
        <v>0</v>
      </c>
      <c r="AN64" s="21">
        <v>0</v>
      </c>
      <c r="AO64" s="22">
        <v>0</v>
      </c>
      <c r="AP64" s="20">
        <f t="shared" si="30"/>
        <v>0</v>
      </c>
      <c r="AQ64" s="21">
        <v>0</v>
      </c>
      <c r="AR64" s="22">
        <v>0</v>
      </c>
      <c r="AS64" s="20">
        <f t="shared" si="31"/>
        <v>0</v>
      </c>
      <c r="AT64" s="21">
        <v>0</v>
      </c>
      <c r="AU64" s="22">
        <v>0</v>
      </c>
      <c r="AV64" s="24">
        <f t="shared" si="32"/>
        <v>37.25</v>
      </c>
    </row>
    <row r="65" spans="1:48">
      <c r="A65" s="38" t="s">
        <v>109</v>
      </c>
      <c r="B65" s="39" t="s">
        <v>110</v>
      </c>
      <c r="C65" s="20">
        <f t="shared" si="17"/>
        <v>0</v>
      </c>
      <c r="D65" s="23">
        <v>0</v>
      </c>
      <c r="E65" s="22">
        <v>0</v>
      </c>
      <c r="F65" s="20">
        <f t="shared" si="18"/>
        <v>0</v>
      </c>
      <c r="G65" s="23">
        <v>0</v>
      </c>
      <c r="H65" s="22">
        <v>0</v>
      </c>
      <c r="I65" s="20">
        <f t="shared" si="19"/>
        <v>2</v>
      </c>
      <c r="J65" s="23">
        <v>2</v>
      </c>
      <c r="K65" s="22">
        <v>0</v>
      </c>
      <c r="L65" s="20">
        <f t="shared" si="20"/>
        <v>13.75</v>
      </c>
      <c r="M65" s="23">
        <v>10.75</v>
      </c>
      <c r="N65" s="22">
        <v>3</v>
      </c>
      <c r="O65" s="20">
        <f t="shared" si="21"/>
        <v>3</v>
      </c>
      <c r="P65" s="23">
        <v>3</v>
      </c>
      <c r="Q65" s="22">
        <v>0</v>
      </c>
      <c r="R65" s="20">
        <f t="shared" si="22"/>
        <v>1.5</v>
      </c>
      <c r="S65" s="23">
        <v>1.5</v>
      </c>
      <c r="T65" s="22">
        <v>0</v>
      </c>
      <c r="U65" s="20">
        <f t="shared" si="23"/>
        <v>0</v>
      </c>
      <c r="V65" s="23">
        <v>0</v>
      </c>
      <c r="W65" s="22">
        <v>0</v>
      </c>
      <c r="X65" s="20">
        <f t="shared" si="24"/>
        <v>0</v>
      </c>
      <c r="Y65" s="23">
        <v>0</v>
      </c>
      <c r="Z65" s="22">
        <v>0</v>
      </c>
      <c r="AA65" s="20">
        <f t="shared" si="25"/>
        <v>0</v>
      </c>
      <c r="AB65" s="23">
        <v>0</v>
      </c>
      <c r="AC65" s="22">
        <v>0</v>
      </c>
      <c r="AD65" s="20">
        <f t="shared" si="26"/>
        <v>0</v>
      </c>
      <c r="AE65" s="23">
        <v>0</v>
      </c>
      <c r="AF65" s="22">
        <v>0</v>
      </c>
      <c r="AG65" s="20">
        <f t="shared" si="27"/>
        <v>0</v>
      </c>
      <c r="AH65" s="23">
        <v>0</v>
      </c>
      <c r="AI65" s="22">
        <v>0</v>
      </c>
      <c r="AJ65" s="20">
        <f t="shared" si="28"/>
        <v>1.3</v>
      </c>
      <c r="AK65" s="23">
        <v>1.3</v>
      </c>
      <c r="AL65" s="22">
        <v>0</v>
      </c>
      <c r="AM65" s="20">
        <f t="shared" si="29"/>
        <v>0</v>
      </c>
      <c r="AN65" s="23">
        <v>0</v>
      </c>
      <c r="AO65" s="22">
        <v>0</v>
      </c>
      <c r="AP65" s="20">
        <f t="shared" si="30"/>
        <v>0</v>
      </c>
      <c r="AQ65" s="23">
        <v>0</v>
      </c>
      <c r="AR65" s="22">
        <v>0</v>
      </c>
      <c r="AS65" s="20">
        <f t="shared" si="31"/>
        <v>0</v>
      </c>
      <c r="AT65" s="23">
        <v>0</v>
      </c>
      <c r="AU65" s="22">
        <v>0</v>
      </c>
      <c r="AV65" s="24">
        <f t="shared" si="32"/>
        <v>21.55</v>
      </c>
    </row>
    <row r="66" spans="1:48">
      <c r="A66" s="38" t="s">
        <v>111</v>
      </c>
      <c r="B66" s="39" t="s">
        <v>112</v>
      </c>
      <c r="C66" s="20">
        <f t="shared" si="17"/>
        <v>0</v>
      </c>
      <c r="D66" s="23">
        <v>0</v>
      </c>
      <c r="E66" s="22">
        <v>0</v>
      </c>
      <c r="F66" s="20">
        <f t="shared" si="18"/>
        <v>0</v>
      </c>
      <c r="G66" s="23">
        <v>0</v>
      </c>
      <c r="H66" s="22">
        <v>0</v>
      </c>
      <c r="I66" s="20">
        <f t="shared" si="19"/>
        <v>1</v>
      </c>
      <c r="J66" s="23">
        <v>1</v>
      </c>
      <c r="K66" s="22">
        <v>0</v>
      </c>
      <c r="L66" s="20">
        <f t="shared" si="20"/>
        <v>2.7719999999999998</v>
      </c>
      <c r="M66" s="23">
        <v>2.7719999999999998</v>
      </c>
      <c r="N66" s="22">
        <v>0</v>
      </c>
      <c r="O66" s="20">
        <f t="shared" si="21"/>
        <v>0</v>
      </c>
      <c r="P66" s="23">
        <v>0</v>
      </c>
      <c r="Q66" s="22">
        <v>0</v>
      </c>
      <c r="R66" s="20">
        <f t="shared" si="22"/>
        <v>0</v>
      </c>
      <c r="S66" s="23">
        <v>0</v>
      </c>
      <c r="T66" s="22">
        <v>0</v>
      </c>
      <c r="U66" s="20">
        <f t="shared" si="23"/>
        <v>0.5</v>
      </c>
      <c r="V66" s="23">
        <v>0.5</v>
      </c>
      <c r="W66" s="22">
        <v>0</v>
      </c>
      <c r="X66" s="20">
        <f t="shared" si="24"/>
        <v>0</v>
      </c>
      <c r="Y66" s="23">
        <v>0</v>
      </c>
      <c r="Z66" s="22">
        <v>0</v>
      </c>
      <c r="AA66" s="20">
        <f t="shared" si="25"/>
        <v>0</v>
      </c>
      <c r="AB66" s="23">
        <v>0</v>
      </c>
      <c r="AC66" s="22">
        <v>0</v>
      </c>
      <c r="AD66" s="20">
        <f t="shared" si="26"/>
        <v>0</v>
      </c>
      <c r="AE66" s="23">
        <v>0</v>
      </c>
      <c r="AF66" s="22">
        <v>0</v>
      </c>
      <c r="AG66" s="20">
        <f t="shared" si="27"/>
        <v>0</v>
      </c>
      <c r="AH66" s="23">
        <v>0</v>
      </c>
      <c r="AI66" s="22">
        <v>0</v>
      </c>
      <c r="AJ66" s="20">
        <f t="shared" si="28"/>
        <v>0</v>
      </c>
      <c r="AK66" s="23">
        <v>0</v>
      </c>
      <c r="AL66" s="22">
        <v>0</v>
      </c>
      <c r="AM66" s="20">
        <f t="shared" si="29"/>
        <v>0</v>
      </c>
      <c r="AN66" s="23">
        <v>0</v>
      </c>
      <c r="AO66" s="22">
        <v>0</v>
      </c>
      <c r="AP66" s="20">
        <f t="shared" si="30"/>
        <v>0</v>
      </c>
      <c r="AQ66" s="23">
        <v>0</v>
      </c>
      <c r="AR66" s="22">
        <v>0</v>
      </c>
      <c r="AS66" s="20">
        <f t="shared" si="31"/>
        <v>0</v>
      </c>
      <c r="AT66" s="23">
        <v>0</v>
      </c>
      <c r="AU66" s="22">
        <v>0</v>
      </c>
      <c r="AV66" s="24">
        <f t="shared" si="32"/>
        <v>4.2720000000000002</v>
      </c>
    </row>
    <row r="67" spans="1:48">
      <c r="A67" s="38" t="s">
        <v>113</v>
      </c>
      <c r="B67" s="39" t="s">
        <v>114</v>
      </c>
      <c r="C67" s="20">
        <f t="shared" si="17"/>
        <v>0</v>
      </c>
      <c r="D67" s="21">
        <v>0</v>
      </c>
      <c r="E67" s="22">
        <v>0</v>
      </c>
      <c r="F67" s="20">
        <f t="shared" si="18"/>
        <v>0</v>
      </c>
      <c r="G67" s="21">
        <v>0</v>
      </c>
      <c r="H67" s="22">
        <v>0</v>
      </c>
      <c r="I67" s="20">
        <f t="shared" si="19"/>
        <v>0</v>
      </c>
      <c r="J67" s="21">
        <v>0</v>
      </c>
      <c r="K67" s="22">
        <v>0</v>
      </c>
      <c r="L67" s="20">
        <f t="shared" si="20"/>
        <v>0</v>
      </c>
      <c r="M67" s="21">
        <v>0</v>
      </c>
      <c r="N67" s="22">
        <v>0</v>
      </c>
      <c r="O67" s="20">
        <f t="shared" si="21"/>
        <v>5.7229999999999999</v>
      </c>
      <c r="P67" s="21">
        <v>2.8889999999999998</v>
      </c>
      <c r="Q67" s="22">
        <v>2.8340000000000001</v>
      </c>
      <c r="R67" s="20">
        <f t="shared" si="22"/>
        <v>0</v>
      </c>
      <c r="S67" s="21">
        <v>0</v>
      </c>
      <c r="T67" s="22">
        <v>0</v>
      </c>
      <c r="U67" s="20">
        <f t="shared" si="23"/>
        <v>0</v>
      </c>
      <c r="V67" s="21">
        <v>0</v>
      </c>
      <c r="W67" s="22">
        <v>0</v>
      </c>
      <c r="X67" s="20">
        <f t="shared" si="24"/>
        <v>0</v>
      </c>
      <c r="Y67" s="21">
        <v>0</v>
      </c>
      <c r="Z67" s="22">
        <v>0</v>
      </c>
      <c r="AA67" s="20">
        <f t="shared" si="25"/>
        <v>0.75</v>
      </c>
      <c r="AB67" s="21">
        <v>0.75</v>
      </c>
      <c r="AC67" s="22">
        <v>0</v>
      </c>
      <c r="AD67" s="20">
        <f t="shared" si="26"/>
        <v>0</v>
      </c>
      <c r="AE67" s="21">
        <v>0</v>
      </c>
      <c r="AF67" s="22">
        <v>0</v>
      </c>
      <c r="AG67" s="20">
        <f t="shared" si="27"/>
        <v>0</v>
      </c>
      <c r="AH67" s="21">
        <v>0</v>
      </c>
      <c r="AI67" s="22">
        <v>0</v>
      </c>
      <c r="AJ67" s="20">
        <f t="shared" si="28"/>
        <v>0.82199999999999995</v>
      </c>
      <c r="AK67" s="21">
        <v>0</v>
      </c>
      <c r="AL67" s="22">
        <v>0.82199999999999995</v>
      </c>
      <c r="AM67" s="20">
        <f t="shared" si="29"/>
        <v>0</v>
      </c>
      <c r="AN67" s="21">
        <v>0</v>
      </c>
      <c r="AO67" s="22">
        <v>0</v>
      </c>
      <c r="AP67" s="20">
        <f t="shared" si="30"/>
        <v>0</v>
      </c>
      <c r="AQ67" s="21">
        <v>0</v>
      </c>
      <c r="AR67" s="22">
        <v>0</v>
      </c>
      <c r="AS67" s="20">
        <f t="shared" si="31"/>
        <v>0</v>
      </c>
      <c r="AT67" s="21">
        <v>0</v>
      </c>
      <c r="AU67" s="22">
        <v>0</v>
      </c>
      <c r="AV67" s="24">
        <f t="shared" si="32"/>
        <v>7.2949999999999999</v>
      </c>
    </row>
    <row r="68" spans="1:48" ht="15.75" thickBot="1">
      <c r="A68" s="38" t="s">
        <v>115</v>
      </c>
      <c r="B68" s="39" t="s">
        <v>116</v>
      </c>
      <c r="C68" s="27">
        <f t="shared" si="17"/>
        <v>0</v>
      </c>
      <c r="D68" s="28">
        <v>0</v>
      </c>
      <c r="E68" s="29">
        <v>0</v>
      </c>
      <c r="F68" s="27">
        <f t="shared" si="18"/>
        <v>0</v>
      </c>
      <c r="G68" s="28">
        <v>0</v>
      </c>
      <c r="H68" s="29">
        <v>0</v>
      </c>
      <c r="I68" s="27">
        <f t="shared" si="19"/>
        <v>0</v>
      </c>
      <c r="J68" s="28">
        <v>0</v>
      </c>
      <c r="K68" s="29">
        <v>0</v>
      </c>
      <c r="L68" s="27">
        <f t="shared" si="20"/>
        <v>0</v>
      </c>
      <c r="M68" s="28">
        <v>0</v>
      </c>
      <c r="N68" s="29">
        <v>0</v>
      </c>
      <c r="O68" s="27">
        <f t="shared" si="21"/>
        <v>8.8760000000000012</v>
      </c>
      <c r="P68" s="28">
        <v>4.7510000000000003</v>
      </c>
      <c r="Q68" s="29">
        <v>4.125</v>
      </c>
      <c r="R68" s="27">
        <f t="shared" si="22"/>
        <v>0</v>
      </c>
      <c r="S68" s="28">
        <v>0</v>
      </c>
      <c r="T68" s="29">
        <v>0</v>
      </c>
      <c r="U68" s="27">
        <f t="shared" si="23"/>
        <v>0</v>
      </c>
      <c r="V68" s="28">
        <v>0</v>
      </c>
      <c r="W68" s="29">
        <v>0</v>
      </c>
      <c r="X68" s="27">
        <f t="shared" si="24"/>
        <v>0</v>
      </c>
      <c r="Y68" s="28">
        <v>0</v>
      </c>
      <c r="Z68" s="29">
        <v>0</v>
      </c>
      <c r="AA68" s="27">
        <f t="shared" si="25"/>
        <v>2</v>
      </c>
      <c r="AB68" s="28">
        <v>0</v>
      </c>
      <c r="AC68" s="29">
        <v>2</v>
      </c>
      <c r="AD68" s="27">
        <f t="shared" si="26"/>
        <v>0</v>
      </c>
      <c r="AE68" s="28">
        <v>0</v>
      </c>
      <c r="AF68" s="29">
        <v>0</v>
      </c>
      <c r="AG68" s="27">
        <f t="shared" si="27"/>
        <v>0</v>
      </c>
      <c r="AH68" s="28">
        <v>0</v>
      </c>
      <c r="AI68" s="29">
        <v>0</v>
      </c>
      <c r="AJ68" s="27">
        <f t="shared" si="28"/>
        <v>1</v>
      </c>
      <c r="AK68" s="28">
        <v>0</v>
      </c>
      <c r="AL68" s="29">
        <v>1</v>
      </c>
      <c r="AM68" s="27">
        <f t="shared" si="29"/>
        <v>0</v>
      </c>
      <c r="AN68" s="28">
        <v>0</v>
      </c>
      <c r="AO68" s="29">
        <v>0</v>
      </c>
      <c r="AP68" s="27">
        <f t="shared" si="30"/>
        <v>0</v>
      </c>
      <c r="AQ68" s="28">
        <v>0</v>
      </c>
      <c r="AR68" s="29">
        <v>0</v>
      </c>
      <c r="AS68" s="27">
        <f t="shared" si="31"/>
        <v>0</v>
      </c>
      <c r="AT68" s="28">
        <v>0</v>
      </c>
      <c r="AU68" s="29">
        <v>0</v>
      </c>
      <c r="AV68" s="30">
        <f t="shared" si="32"/>
        <v>11.876000000000001</v>
      </c>
    </row>
    <row r="69" spans="1:48">
      <c r="A69" s="38">
        <v>93</v>
      </c>
      <c r="B69" s="39" t="s">
        <v>117</v>
      </c>
      <c r="C69" s="47">
        <f t="shared" si="17"/>
        <v>0</v>
      </c>
      <c r="D69" s="14">
        <v>0</v>
      </c>
      <c r="E69" s="15">
        <v>0</v>
      </c>
      <c r="F69" s="50">
        <f t="shared" si="18"/>
        <v>0</v>
      </c>
      <c r="G69" s="14">
        <v>0</v>
      </c>
      <c r="H69" s="15">
        <v>0</v>
      </c>
      <c r="I69" s="47">
        <f t="shared" si="19"/>
        <v>0.73099999999999998</v>
      </c>
      <c r="J69" s="14">
        <v>0.73099999999999998</v>
      </c>
      <c r="K69" s="15">
        <v>0</v>
      </c>
      <c r="L69" s="47">
        <f t="shared" si="20"/>
        <v>6.9560000000000004</v>
      </c>
      <c r="M69" s="14">
        <v>6.9560000000000004</v>
      </c>
      <c r="N69" s="15">
        <v>0</v>
      </c>
      <c r="O69" s="47">
        <f t="shared" si="21"/>
        <v>3.1640000000000001</v>
      </c>
      <c r="P69" s="14">
        <v>3.1640000000000001</v>
      </c>
      <c r="Q69" s="15">
        <v>0</v>
      </c>
      <c r="R69" s="47">
        <f t="shared" si="22"/>
        <v>1</v>
      </c>
      <c r="S69" s="14">
        <v>0</v>
      </c>
      <c r="T69" s="15">
        <v>1</v>
      </c>
      <c r="U69" s="47">
        <f t="shared" si="23"/>
        <v>0</v>
      </c>
      <c r="V69" s="14">
        <v>0</v>
      </c>
      <c r="W69" s="15">
        <v>0</v>
      </c>
      <c r="X69" s="47">
        <f t="shared" si="24"/>
        <v>0</v>
      </c>
      <c r="Y69" s="14">
        <v>0</v>
      </c>
      <c r="Z69" s="15">
        <v>0</v>
      </c>
      <c r="AA69" s="47">
        <f t="shared" si="25"/>
        <v>0</v>
      </c>
      <c r="AB69" s="14">
        <v>0</v>
      </c>
      <c r="AC69" s="15">
        <v>0</v>
      </c>
      <c r="AD69" s="47">
        <f t="shared" si="26"/>
        <v>0</v>
      </c>
      <c r="AE69" s="14">
        <v>0</v>
      </c>
      <c r="AF69" s="15">
        <v>0</v>
      </c>
      <c r="AG69" s="47">
        <f t="shared" si="27"/>
        <v>0</v>
      </c>
      <c r="AH69" s="14">
        <v>0</v>
      </c>
      <c r="AI69" s="15">
        <v>0</v>
      </c>
      <c r="AJ69" s="47">
        <f t="shared" si="28"/>
        <v>1</v>
      </c>
      <c r="AK69" s="14">
        <v>1</v>
      </c>
      <c r="AL69" s="15">
        <v>0</v>
      </c>
      <c r="AM69" s="47">
        <f t="shared" si="29"/>
        <v>0</v>
      </c>
      <c r="AN69" s="14">
        <v>0</v>
      </c>
      <c r="AO69" s="15">
        <v>0</v>
      </c>
      <c r="AP69" s="47">
        <f t="shared" si="30"/>
        <v>0</v>
      </c>
      <c r="AQ69" s="14">
        <v>0</v>
      </c>
      <c r="AR69" s="15">
        <v>0</v>
      </c>
      <c r="AS69" s="47">
        <f t="shared" si="31"/>
        <v>0</v>
      </c>
      <c r="AT69" s="14">
        <v>0</v>
      </c>
      <c r="AU69" s="15">
        <v>0</v>
      </c>
      <c r="AV69" s="18">
        <f t="shared" si="32"/>
        <v>12.851000000000001</v>
      </c>
    </row>
    <row r="70" spans="1:48">
      <c r="A70" s="38" t="s">
        <v>118</v>
      </c>
      <c r="B70" s="39" t="s">
        <v>119</v>
      </c>
      <c r="C70" s="20">
        <f t="shared" si="17"/>
        <v>0</v>
      </c>
      <c r="D70" s="23">
        <v>0</v>
      </c>
      <c r="E70" s="22">
        <v>0</v>
      </c>
      <c r="F70" s="20">
        <f t="shared" si="18"/>
        <v>0</v>
      </c>
      <c r="G70" s="23">
        <v>0</v>
      </c>
      <c r="H70" s="22">
        <v>0</v>
      </c>
      <c r="I70" s="20">
        <f t="shared" si="19"/>
        <v>1.5</v>
      </c>
      <c r="J70" s="23">
        <v>1.5</v>
      </c>
      <c r="K70" s="22">
        <v>0</v>
      </c>
      <c r="L70" s="20">
        <f t="shared" si="20"/>
        <v>21</v>
      </c>
      <c r="M70" s="23">
        <v>17</v>
      </c>
      <c r="N70" s="22">
        <v>4</v>
      </c>
      <c r="O70" s="20">
        <f t="shared" si="21"/>
        <v>11</v>
      </c>
      <c r="P70" s="23">
        <v>8</v>
      </c>
      <c r="Q70" s="22">
        <v>3</v>
      </c>
      <c r="R70" s="20">
        <f t="shared" si="22"/>
        <v>2.722</v>
      </c>
      <c r="S70" s="23">
        <v>2.722</v>
      </c>
      <c r="T70" s="22">
        <v>0</v>
      </c>
      <c r="U70" s="20">
        <f t="shared" si="23"/>
        <v>1</v>
      </c>
      <c r="V70" s="23">
        <v>1</v>
      </c>
      <c r="W70" s="22">
        <v>0</v>
      </c>
      <c r="X70" s="20">
        <f t="shared" si="24"/>
        <v>0</v>
      </c>
      <c r="Y70" s="23">
        <v>0</v>
      </c>
      <c r="Z70" s="22">
        <v>0</v>
      </c>
      <c r="AA70" s="20">
        <f t="shared" si="25"/>
        <v>0</v>
      </c>
      <c r="AB70" s="23">
        <v>0</v>
      </c>
      <c r="AC70" s="22">
        <v>0</v>
      </c>
      <c r="AD70" s="20">
        <f t="shared" si="26"/>
        <v>1</v>
      </c>
      <c r="AE70" s="23">
        <v>1</v>
      </c>
      <c r="AF70" s="22">
        <v>0</v>
      </c>
      <c r="AG70" s="20">
        <f t="shared" si="27"/>
        <v>0</v>
      </c>
      <c r="AH70" s="23">
        <v>0</v>
      </c>
      <c r="AI70" s="22">
        <v>0</v>
      </c>
      <c r="AJ70" s="20">
        <f t="shared" si="28"/>
        <v>2</v>
      </c>
      <c r="AK70" s="23">
        <v>1</v>
      </c>
      <c r="AL70" s="22">
        <v>1</v>
      </c>
      <c r="AM70" s="20">
        <f t="shared" si="29"/>
        <v>0</v>
      </c>
      <c r="AN70" s="23">
        <v>0</v>
      </c>
      <c r="AO70" s="22">
        <v>0</v>
      </c>
      <c r="AP70" s="20">
        <f t="shared" si="30"/>
        <v>0</v>
      </c>
      <c r="AQ70" s="23">
        <v>0</v>
      </c>
      <c r="AR70" s="22">
        <v>0</v>
      </c>
      <c r="AS70" s="20">
        <f t="shared" si="31"/>
        <v>0</v>
      </c>
      <c r="AT70" s="23">
        <v>0</v>
      </c>
      <c r="AU70" s="22">
        <v>0</v>
      </c>
      <c r="AV70" s="24">
        <f t="shared" si="32"/>
        <v>40.222000000000001</v>
      </c>
    </row>
    <row r="71" spans="1:48">
      <c r="A71" s="38" t="s">
        <v>120</v>
      </c>
      <c r="B71" s="39" t="s">
        <v>121</v>
      </c>
      <c r="C71" s="20">
        <f t="shared" si="17"/>
        <v>0</v>
      </c>
      <c r="D71" s="23">
        <v>0</v>
      </c>
      <c r="E71" s="22">
        <v>0</v>
      </c>
      <c r="F71" s="20">
        <f t="shared" si="18"/>
        <v>0</v>
      </c>
      <c r="G71" s="23">
        <v>0</v>
      </c>
      <c r="H71" s="22">
        <v>0</v>
      </c>
      <c r="I71" s="20">
        <f t="shared" si="19"/>
        <v>0.5</v>
      </c>
      <c r="J71" s="23">
        <v>0.5</v>
      </c>
      <c r="K71" s="22">
        <v>0</v>
      </c>
      <c r="L71" s="20">
        <f t="shared" si="20"/>
        <v>13</v>
      </c>
      <c r="M71" s="23">
        <v>12</v>
      </c>
      <c r="N71" s="22">
        <v>1</v>
      </c>
      <c r="O71" s="20">
        <f t="shared" si="21"/>
        <v>9.0010000000000012</v>
      </c>
      <c r="P71" s="23">
        <v>7.0010000000000003</v>
      </c>
      <c r="Q71" s="22">
        <v>2</v>
      </c>
      <c r="R71" s="20">
        <f t="shared" si="22"/>
        <v>1.1679999999999999</v>
      </c>
      <c r="S71" s="23">
        <v>1.1679999999999999</v>
      </c>
      <c r="T71" s="22">
        <v>0</v>
      </c>
      <c r="U71" s="20">
        <f t="shared" si="23"/>
        <v>0</v>
      </c>
      <c r="V71" s="23">
        <v>0</v>
      </c>
      <c r="W71" s="22">
        <v>0</v>
      </c>
      <c r="X71" s="20">
        <f t="shared" si="24"/>
        <v>0</v>
      </c>
      <c r="Y71" s="23">
        <v>0</v>
      </c>
      <c r="Z71" s="22">
        <v>0</v>
      </c>
      <c r="AA71" s="20">
        <f t="shared" si="25"/>
        <v>0</v>
      </c>
      <c r="AB71" s="23">
        <v>0</v>
      </c>
      <c r="AC71" s="22">
        <v>0</v>
      </c>
      <c r="AD71" s="20">
        <f t="shared" si="26"/>
        <v>0</v>
      </c>
      <c r="AE71" s="23">
        <v>0</v>
      </c>
      <c r="AF71" s="22">
        <v>0</v>
      </c>
      <c r="AG71" s="20">
        <f t="shared" si="27"/>
        <v>0</v>
      </c>
      <c r="AH71" s="23">
        <v>0</v>
      </c>
      <c r="AI71" s="22">
        <v>0</v>
      </c>
      <c r="AJ71" s="20">
        <f t="shared" si="28"/>
        <v>3.2199999999999998</v>
      </c>
      <c r="AK71" s="23">
        <v>2</v>
      </c>
      <c r="AL71" s="22">
        <v>1.22</v>
      </c>
      <c r="AM71" s="20">
        <f t="shared" si="29"/>
        <v>0</v>
      </c>
      <c r="AN71" s="23">
        <v>0</v>
      </c>
      <c r="AO71" s="22">
        <v>0</v>
      </c>
      <c r="AP71" s="20">
        <f t="shared" si="30"/>
        <v>0</v>
      </c>
      <c r="AQ71" s="23">
        <v>0</v>
      </c>
      <c r="AR71" s="22">
        <v>0</v>
      </c>
      <c r="AS71" s="20">
        <f t="shared" si="31"/>
        <v>0</v>
      </c>
      <c r="AT71" s="23">
        <v>0</v>
      </c>
      <c r="AU71" s="22">
        <v>0</v>
      </c>
      <c r="AV71" s="24">
        <f t="shared" si="32"/>
        <v>26.888999999999999</v>
      </c>
    </row>
    <row r="72" spans="1:48">
      <c r="A72" s="38" t="s">
        <v>122</v>
      </c>
      <c r="B72" s="39" t="s">
        <v>123</v>
      </c>
      <c r="C72" s="20">
        <f t="shared" si="17"/>
        <v>0</v>
      </c>
      <c r="D72" s="23">
        <v>0</v>
      </c>
      <c r="E72" s="22">
        <v>0</v>
      </c>
      <c r="F72" s="20">
        <f t="shared" si="18"/>
        <v>0</v>
      </c>
      <c r="G72" s="23">
        <v>0</v>
      </c>
      <c r="H72" s="22">
        <v>0</v>
      </c>
      <c r="I72" s="20">
        <f t="shared" si="19"/>
        <v>2</v>
      </c>
      <c r="J72" s="23">
        <v>2</v>
      </c>
      <c r="K72" s="22">
        <v>0</v>
      </c>
      <c r="L72" s="20">
        <f t="shared" si="20"/>
        <v>8</v>
      </c>
      <c r="M72" s="23">
        <v>6</v>
      </c>
      <c r="N72" s="22">
        <v>2</v>
      </c>
      <c r="O72" s="20">
        <f t="shared" si="21"/>
        <v>4.0129999999999999</v>
      </c>
      <c r="P72" s="23">
        <v>2.4609999999999999</v>
      </c>
      <c r="Q72" s="22">
        <v>1.552</v>
      </c>
      <c r="R72" s="20">
        <f t="shared" si="22"/>
        <v>0.625</v>
      </c>
      <c r="S72" s="23">
        <v>0.625</v>
      </c>
      <c r="T72" s="22">
        <v>0</v>
      </c>
      <c r="U72" s="20">
        <f t="shared" si="23"/>
        <v>1.125</v>
      </c>
      <c r="V72" s="23">
        <v>0.625</v>
      </c>
      <c r="W72" s="22">
        <v>0.5</v>
      </c>
      <c r="X72" s="20">
        <f t="shared" si="24"/>
        <v>0</v>
      </c>
      <c r="Y72" s="23">
        <v>0</v>
      </c>
      <c r="Z72" s="22">
        <v>0</v>
      </c>
      <c r="AA72" s="20">
        <f t="shared" si="25"/>
        <v>0</v>
      </c>
      <c r="AB72" s="23">
        <v>0</v>
      </c>
      <c r="AC72" s="22">
        <v>0</v>
      </c>
      <c r="AD72" s="20">
        <f t="shared" si="26"/>
        <v>0</v>
      </c>
      <c r="AE72" s="23">
        <v>0</v>
      </c>
      <c r="AF72" s="22">
        <v>0</v>
      </c>
      <c r="AG72" s="20">
        <f t="shared" si="27"/>
        <v>0</v>
      </c>
      <c r="AH72" s="23">
        <v>0</v>
      </c>
      <c r="AI72" s="22">
        <v>0</v>
      </c>
      <c r="AJ72" s="20">
        <f t="shared" si="28"/>
        <v>0.5</v>
      </c>
      <c r="AK72" s="23">
        <v>0</v>
      </c>
      <c r="AL72" s="22">
        <v>0.5</v>
      </c>
      <c r="AM72" s="20">
        <f t="shared" si="29"/>
        <v>0</v>
      </c>
      <c r="AN72" s="23">
        <v>0</v>
      </c>
      <c r="AO72" s="22">
        <v>0</v>
      </c>
      <c r="AP72" s="20">
        <f t="shared" si="30"/>
        <v>0</v>
      </c>
      <c r="AQ72" s="23">
        <v>0</v>
      </c>
      <c r="AR72" s="22">
        <v>0</v>
      </c>
      <c r="AS72" s="20">
        <f t="shared" si="31"/>
        <v>0</v>
      </c>
      <c r="AT72" s="23">
        <v>0</v>
      </c>
      <c r="AU72" s="22">
        <v>0</v>
      </c>
      <c r="AV72" s="24">
        <f t="shared" si="32"/>
        <v>16.262999999999998</v>
      </c>
    </row>
    <row r="73" spans="1:48">
      <c r="A73" s="38" t="s">
        <v>124</v>
      </c>
      <c r="B73" s="39" t="s">
        <v>125</v>
      </c>
      <c r="C73" s="20">
        <f t="shared" si="17"/>
        <v>0</v>
      </c>
      <c r="D73" s="23">
        <v>0</v>
      </c>
      <c r="E73" s="22">
        <v>0</v>
      </c>
      <c r="F73" s="20">
        <f t="shared" si="18"/>
        <v>0</v>
      </c>
      <c r="G73" s="23">
        <v>0</v>
      </c>
      <c r="H73" s="22">
        <v>0</v>
      </c>
      <c r="I73" s="20">
        <f t="shared" si="19"/>
        <v>1.5</v>
      </c>
      <c r="J73" s="23">
        <v>1.5</v>
      </c>
      <c r="K73" s="22">
        <v>0</v>
      </c>
      <c r="L73" s="20">
        <f t="shared" si="20"/>
        <v>11.01</v>
      </c>
      <c r="M73" s="23">
        <v>7.76</v>
      </c>
      <c r="N73" s="22">
        <v>3.25</v>
      </c>
      <c r="O73" s="20">
        <f t="shared" si="21"/>
        <v>9.4220000000000006</v>
      </c>
      <c r="P73" s="23">
        <v>3.6720000000000002</v>
      </c>
      <c r="Q73" s="22">
        <v>5.75</v>
      </c>
      <c r="R73" s="20">
        <f t="shared" si="22"/>
        <v>2.54</v>
      </c>
      <c r="S73" s="23">
        <v>2.54</v>
      </c>
      <c r="T73" s="22">
        <v>0</v>
      </c>
      <c r="U73" s="20">
        <f t="shared" si="23"/>
        <v>0</v>
      </c>
      <c r="V73" s="23">
        <v>0</v>
      </c>
      <c r="W73" s="22">
        <v>0</v>
      </c>
      <c r="X73" s="20">
        <f t="shared" si="24"/>
        <v>0</v>
      </c>
      <c r="Y73" s="23">
        <v>0</v>
      </c>
      <c r="Z73" s="22">
        <v>0</v>
      </c>
      <c r="AA73" s="20">
        <f t="shared" si="25"/>
        <v>0.5</v>
      </c>
      <c r="AB73" s="23">
        <v>0.5</v>
      </c>
      <c r="AC73" s="22">
        <v>0</v>
      </c>
      <c r="AD73" s="20">
        <f t="shared" si="26"/>
        <v>0</v>
      </c>
      <c r="AE73" s="23">
        <v>0</v>
      </c>
      <c r="AF73" s="22">
        <v>0</v>
      </c>
      <c r="AG73" s="20">
        <f t="shared" si="27"/>
        <v>1.5</v>
      </c>
      <c r="AH73" s="23">
        <v>0</v>
      </c>
      <c r="AI73" s="22">
        <v>1.5</v>
      </c>
      <c r="AJ73" s="20">
        <f t="shared" si="28"/>
        <v>0</v>
      </c>
      <c r="AK73" s="23">
        <v>0</v>
      </c>
      <c r="AL73" s="22">
        <v>0</v>
      </c>
      <c r="AM73" s="20">
        <f t="shared" si="29"/>
        <v>1</v>
      </c>
      <c r="AN73" s="23">
        <v>1</v>
      </c>
      <c r="AO73" s="22">
        <v>0</v>
      </c>
      <c r="AP73" s="20">
        <f t="shared" si="30"/>
        <v>0</v>
      </c>
      <c r="AQ73" s="23">
        <v>0</v>
      </c>
      <c r="AR73" s="22">
        <v>0</v>
      </c>
      <c r="AS73" s="20">
        <f t="shared" si="31"/>
        <v>0</v>
      </c>
      <c r="AT73" s="23">
        <v>0</v>
      </c>
      <c r="AU73" s="22">
        <v>0</v>
      </c>
      <c r="AV73" s="24">
        <f t="shared" si="32"/>
        <v>27.472000000000001</v>
      </c>
    </row>
    <row r="74" spans="1:48" ht="15.75" thickBot="1">
      <c r="A74" s="38" t="s">
        <v>126</v>
      </c>
      <c r="B74" s="39" t="s">
        <v>127</v>
      </c>
      <c r="C74" s="44">
        <f t="shared" si="17"/>
        <v>0</v>
      </c>
      <c r="D74" s="45">
        <v>0</v>
      </c>
      <c r="E74" s="29">
        <v>0</v>
      </c>
      <c r="F74" s="44">
        <f t="shared" si="18"/>
        <v>0</v>
      </c>
      <c r="G74" s="45">
        <v>0</v>
      </c>
      <c r="H74" s="29">
        <v>0</v>
      </c>
      <c r="I74" s="44">
        <f t="shared" si="19"/>
        <v>0</v>
      </c>
      <c r="J74" s="45">
        <v>0</v>
      </c>
      <c r="K74" s="29">
        <v>0</v>
      </c>
      <c r="L74" s="44">
        <f t="shared" si="20"/>
        <v>0</v>
      </c>
      <c r="M74" s="45">
        <v>0</v>
      </c>
      <c r="N74" s="29">
        <v>0</v>
      </c>
      <c r="O74" s="44">
        <f t="shared" si="21"/>
        <v>6.84</v>
      </c>
      <c r="P74" s="45">
        <v>1.8280000000000001</v>
      </c>
      <c r="Q74" s="29">
        <v>5.0119999999999996</v>
      </c>
      <c r="R74" s="44">
        <f t="shared" si="22"/>
        <v>0.32600000000000001</v>
      </c>
      <c r="S74" s="45">
        <v>0.17</v>
      </c>
      <c r="T74" s="29">
        <v>0.156</v>
      </c>
      <c r="U74" s="44">
        <f t="shared" si="23"/>
        <v>0.5</v>
      </c>
      <c r="V74" s="45">
        <v>0</v>
      </c>
      <c r="W74" s="29">
        <v>0.5</v>
      </c>
      <c r="X74" s="44">
        <f t="shared" si="24"/>
        <v>0</v>
      </c>
      <c r="Y74" s="45">
        <v>0</v>
      </c>
      <c r="Z74" s="29">
        <v>0</v>
      </c>
      <c r="AA74" s="44">
        <f t="shared" si="25"/>
        <v>0</v>
      </c>
      <c r="AB74" s="45">
        <v>0</v>
      </c>
      <c r="AC74" s="29">
        <v>0</v>
      </c>
      <c r="AD74" s="44">
        <f t="shared" si="26"/>
        <v>0</v>
      </c>
      <c r="AE74" s="45">
        <v>0</v>
      </c>
      <c r="AF74" s="29">
        <v>0</v>
      </c>
      <c r="AG74" s="44">
        <f t="shared" si="27"/>
        <v>0</v>
      </c>
      <c r="AH74" s="45">
        <v>0</v>
      </c>
      <c r="AI74" s="29">
        <v>0</v>
      </c>
      <c r="AJ74" s="44">
        <f t="shared" si="28"/>
        <v>0.65200000000000002</v>
      </c>
      <c r="AK74" s="45">
        <v>0.10199999999999999</v>
      </c>
      <c r="AL74" s="29">
        <v>0.55000000000000004</v>
      </c>
      <c r="AM74" s="44">
        <f t="shared" si="29"/>
        <v>0</v>
      </c>
      <c r="AN74" s="45">
        <v>0</v>
      </c>
      <c r="AO74" s="29">
        <v>0</v>
      </c>
      <c r="AP74" s="44">
        <f t="shared" si="30"/>
        <v>0</v>
      </c>
      <c r="AQ74" s="45">
        <v>0</v>
      </c>
      <c r="AR74" s="29">
        <v>0</v>
      </c>
      <c r="AS74" s="44">
        <f t="shared" si="31"/>
        <v>0</v>
      </c>
      <c r="AT74" s="45">
        <v>0</v>
      </c>
      <c r="AU74" s="29">
        <v>0</v>
      </c>
      <c r="AV74" s="30">
        <f t="shared" si="32"/>
        <v>8.3179999999999996</v>
      </c>
    </row>
    <row r="75" spans="1:48">
      <c r="A75" s="38" t="s">
        <v>128</v>
      </c>
      <c r="B75" s="39" t="s">
        <v>129</v>
      </c>
      <c r="C75" s="47">
        <f t="shared" si="17"/>
        <v>0</v>
      </c>
      <c r="D75" s="14">
        <v>0</v>
      </c>
      <c r="E75" s="15">
        <v>0</v>
      </c>
      <c r="F75" s="50">
        <f t="shared" si="18"/>
        <v>0</v>
      </c>
      <c r="G75" s="14">
        <v>0</v>
      </c>
      <c r="H75" s="15">
        <v>0</v>
      </c>
      <c r="I75" s="47">
        <f t="shared" si="19"/>
        <v>0.308</v>
      </c>
      <c r="J75" s="14">
        <v>0.308</v>
      </c>
      <c r="K75" s="15">
        <v>0</v>
      </c>
      <c r="L75" s="47">
        <f t="shared" si="20"/>
        <v>1.409</v>
      </c>
      <c r="M75" s="14">
        <v>1.409</v>
      </c>
      <c r="N75" s="15">
        <v>0</v>
      </c>
      <c r="O75" s="47">
        <f t="shared" si="21"/>
        <v>0</v>
      </c>
      <c r="P75" s="14">
        <v>0</v>
      </c>
      <c r="Q75" s="15">
        <v>0</v>
      </c>
      <c r="R75" s="47">
        <f t="shared" si="22"/>
        <v>0</v>
      </c>
      <c r="S75" s="14">
        <v>0</v>
      </c>
      <c r="T75" s="15">
        <v>0</v>
      </c>
      <c r="U75" s="47">
        <f t="shared" si="23"/>
        <v>0</v>
      </c>
      <c r="V75" s="14">
        <v>0</v>
      </c>
      <c r="W75" s="15">
        <v>0</v>
      </c>
      <c r="X75" s="47">
        <f t="shared" si="24"/>
        <v>0</v>
      </c>
      <c r="Y75" s="14">
        <v>0</v>
      </c>
      <c r="Z75" s="15">
        <v>0</v>
      </c>
      <c r="AA75" s="47">
        <f t="shared" si="25"/>
        <v>0</v>
      </c>
      <c r="AB75" s="14">
        <v>0</v>
      </c>
      <c r="AC75" s="15">
        <v>0</v>
      </c>
      <c r="AD75" s="47">
        <f t="shared" si="26"/>
        <v>0</v>
      </c>
      <c r="AE75" s="14">
        <v>0</v>
      </c>
      <c r="AF75" s="15">
        <v>0</v>
      </c>
      <c r="AG75" s="47">
        <f t="shared" si="27"/>
        <v>0</v>
      </c>
      <c r="AH75" s="14">
        <v>0</v>
      </c>
      <c r="AI75" s="15">
        <v>0</v>
      </c>
      <c r="AJ75" s="47">
        <f t="shared" si="28"/>
        <v>0.67200000000000004</v>
      </c>
      <c r="AK75" s="14">
        <v>0.67200000000000004</v>
      </c>
      <c r="AL75" s="15">
        <v>0</v>
      </c>
      <c r="AM75" s="47">
        <f t="shared" si="29"/>
        <v>0</v>
      </c>
      <c r="AN75" s="14">
        <v>0</v>
      </c>
      <c r="AO75" s="15">
        <v>0</v>
      </c>
      <c r="AP75" s="47">
        <f t="shared" si="30"/>
        <v>0</v>
      </c>
      <c r="AQ75" s="14">
        <v>0</v>
      </c>
      <c r="AR75" s="15">
        <v>0</v>
      </c>
      <c r="AS75" s="47">
        <f t="shared" si="31"/>
        <v>0</v>
      </c>
      <c r="AT75" s="14">
        <v>0</v>
      </c>
      <c r="AU75" s="15">
        <v>0</v>
      </c>
      <c r="AV75" s="18">
        <f t="shared" si="32"/>
        <v>2.3890000000000002</v>
      </c>
    </row>
    <row r="76" spans="1:48">
      <c r="A76" s="38" t="s">
        <v>130</v>
      </c>
      <c r="B76" s="39" t="s">
        <v>131</v>
      </c>
      <c r="C76" s="20">
        <f t="shared" si="17"/>
        <v>0</v>
      </c>
      <c r="D76" s="23">
        <v>0</v>
      </c>
      <c r="E76" s="22">
        <v>0</v>
      </c>
      <c r="F76" s="20">
        <f t="shared" si="18"/>
        <v>0</v>
      </c>
      <c r="G76" s="23">
        <v>0</v>
      </c>
      <c r="H76" s="22">
        <v>0</v>
      </c>
      <c r="I76" s="20">
        <f t="shared" si="19"/>
        <v>1.5149999999999999</v>
      </c>
      <c r="J76" s="23">
        <v>1.5149999999999999</v>
      </c>
      <c r="K76" s="22">
        <v>0</v>
      </c>
      <c r="L76" s="20">
        <f t="shared" si="20"/>
        <v>18.475999999999999</v>
      </c>
      <c r="M76" s="23">
        <v>13.678000000000001</v>
      </c>
      <c r="N76" s="22">
        <v>4.798</v>
      </c>
      <c r="O76" s="20">
        <f t="shared" si="21"/>
        <v>15.3</v>
      </c>
      <c r="P76" s="23">
        <v>8.7349999999999994</v>
      </c>
      <c r="Q76" s="22">
        <v>6.5650000000000004</v>
      </c>
      <c r="R76" s="20">
        <f t="shared" si="22"/>
        <v>1.01</v>
      </c>
      <c r="S76" s="23">
        <v>1.01</v>
      </c>
      <c r="T76" s="22">
        <v>0</v>
      </c>
      <c r="U76" s="20">
        <f t="shared" si="23"/>
        <v>0.75800000000000001</v>
      </c>
      <c r="V76" s="23">
        <v>0</v>
      </c>
      <c r="W76" s="22">
        <v>0.75800000000000001</v>
      </c>
      <c r="X76" s="20">
        <f t="shared" si="24"/>
        <v>0</v>
      </c>
      <c r="Y76" s="23">
        <v>0</v>
      </c>
      <c r="Z76" s="22">
        <v>0</v>
      </c>
      <c r="AA76" s="20">
        <f t="shared" si="25"/>
        <v>0</v>
      </c>
      <c r="AB76" s="23">
        <v>0</v>
      </c>
      <c r="AC76" s="22">
        <v>0</v>
      </c>
      <c r="AD76" s="20">
        <f t="shared" si="26"/>
        <v>0</v>
      </c>
      <c r="AE76" s="23">
        <v>0</v>
      </c>
      <c r="AF76" s="22">
        <v>0</v>
      </c>
      <c r="AG76" s="20">
        <f t="shared" si="27"/>
        <v>0.80300000000000005</v>
      </c>
      <c r="AH76" s="23">
        <v>0</v>
      </c>
      <c r="AI76" s="22">
        <v>0.80300000000000005</v>
      </c>
      <c r="AJ76" s="20">
        <f t="shared" si="28"/>
        <v>1.216</v>
      </c>
      <c r="AK76" s="23">
        <v>0.58299999999999996</v>
      </c>
      <c r="AL76" s="22">
        <v>0.63300000000000001</v>
      </c>
      <c r="AM76" s="20">
        <f t="shared" si="29"/>
        <v>0</v>
      </c>
      <c r="AN76" s="23">
        <v>0</v>
      </c>
      <c r="AO76" s="22">
        <v>0</v>
      </c>
      <c r="AP76" s="20">
        <f t="shared" si="30"/>
        <v>0</v>
      </c>
      <c r="AQ76" s="23">
        <v>0</v>
      </c>
      <c r="AR76" s="22">
        <v>0</v>
      </c>
      <c r="AS76" s="20">
        <f t="shared" si="31"/>
        <v>0</v>
      </c>
      <c r="AT76" s="23">
        <v>0</v>
      </c>
      <c r="AU76" s="22">
        <v>0</v>
      </c>
      <c r="AV76" s="24">
        <f t="shared" si="32"/>
        <v>39.077999999999996</v>
      </c>
    </row>
    <row r="77" spans="1:48">
      <c r="A77" s="38" t="s">
        <v>132</v>
      </c>
      <c r="B77" s="39" t="s">
        <v>133</v>
      </c>
      <c r="C77" s="20">
        <f t="shared" si="17"/>
        <v>0</v>
      </c>
      <c r="D77" s="23">
        <v>0</v>
      </c>
      <c r="E77" s="22">
        <v>0</v>
      </c>
      <c r="F77" s="20">
        <f t="shared" si="18"/>
        <v>0</v>
      </c>
      <c r="G77" s="23">
        <v>0</v>
      </c>
      <c r="H77" s="22">
        <v>0</v>
      </c>
      <c r="I77" s="20">
        <f t="shared" si="19"/>
        <v>1.5</v>
      </c>
      <c r="J77" s="23">
        <v>1.5</v>
      </c>
      <c r="K77" s="22">
        <v>0</v>
      </c>
      <c r="L77" s="20">
        <f t="shared" si="20"/>
        <v>20.248999999999999</v>
      </c>
      <c r="M77" s="23">
        <v>17.748999999999999</v>
      </c>
      <c r="N77" s="22">
        <v>2.5</v>
      </c>
      <c r="O77" s="20">
        <f t="shared" si="21"/>
        <v>7.3290000000000006</v>
      </c>
      <c r="P77" s="23">
        <v>3.49</v>
      </c>
      <c r="Q77" s="22">
        <v>3.839</v>
      </c>
      <c r="R77" s="20">
        <f t="shared" si="22"/>
        <v>1</v>
      </c>
      <c r="S77" s="23">
        <v>1</v>
      </c>
      <c r="T77" s="22">
        <v>0</v>
      </c>
      <c r="U77" s="20">
        <f t="shared" si="23"/>
        <v>0</v>
      </c>
      <c r="V77" s="23">
        <v>0</v>
      </c>
      <c r="W77" s="22">
        <v>0</v>
      </c>
      <c r="X77" s="20">
        <f t="shared" si="24"/>
        <v>0</v>
      </c>
      <c r="Y77" s="23">
        <v>0</v>
      </c>
      <c r="Z77" s="22">
        <v>0</v>
      </c>
      <c r="AA77" s="20">
        <f t="shared" si="25"/>
        <v>0</v>
      </c>
      <c r="AB77" s="23">
        <v>0</v>
      </c>
      <c r="AC77" s="22">
        <v>0</v>
      </c>
      <c r="AD77" s="20">
        <f t="shared" si="26"/>
        <v>1</v>
      </c>
      <c r="AE77" s="23">
        <v>1</v>
      </c>
      <c r="AF77" s="22">
        <v>0</v>
      </c>
      <c r="AG77" s="20">
        <f t="shared" si="27"/>
        <v>0.2</v>
      </c>
      <c r="AH77" s="23">
        <v>0.2</v>
      </c>
      <c r="AI77" s="22">
        <v>0</v>
      </c>
      <c r="AJ77" s="20">
        <f t="shared" si="28"/>
        <v>1</v>
      </c>
      <c r="AK77" s="23">
        <v>0</v>
      </c>
      <c r="AL77" s="22">
        <v>1</v>
      </c>
      <c r="AM77" s="20">
        <f t="shared" si="29"/>
        <v>0</v>
      </c>
      <c r="AN77" s="23">
        <v>0</v>
      </c>
      <c r="AO77" s="22">
        <v>0</v>
      </c>
      <c r="AP77" s="20">
        <f t="shared" si="30"/>
        <v>0</v>
      </c>
      <c r="AQ77" s="23">
        <v>0</v>
      </c>
      <c r="AR77" s="22">
        <v>0</v>
      </c>
      <c r="AS77" s="20">
        <f t="shared" si="31"/>
        <v>0</v>
      </c>
      <c r="AT77" s="23">
        <v>0</v>
      </c>
      <c r="AU77" s="22">
        <v>0</v>
      </c>
      <c r="AV77" s="24">
        <f t="shared" si="32"/>
        <v>32.277999999999999</v>
      </c>
    </row>
    <row r="78" spans="1:48">
      <c r="A78" s="38" t="s">
        <v>134</v>
      </c>
      <c r="B78" s="39" t="s">
        <v>135</v>
      </c>
      <c r="C78" s="42">
        <f t="shared" si="17"/>
        <v>0</v>
      </c>
      <c r="D78" s="21">
        <v>0</v>
      </c>
      <c r="E78" s="22">
        <v>0</v>
      </c>
      <c r="F78" s="43">
        <f t="shared" si="18"/>
        <v>0</v>
      </c>
      <c r="G78" s="21">
        <v>0</v>
      </c>
      <c r="H78" s="22">
        <v>0</v>
      </c>
      <c r="I78" s="42">
        <f t="shared" si="19"/>
        <v>1.5349999999999999</v>
      </c>
      <c r="J78" s="21">
        <v>1.5349999999999999</v>
      </c>
      <c r="K78" s="22">
        <v>0</v>
      </c>
      <c r="L78" s="42">
        <f t="shared" si="20"/>
        <v>12.085000000000001</v>
      </c>
      <c r="M78" s="21">
        <v>9.6850000000000005</v>
      </c>
      <c r="N78" s="22">
        <v>2.4</v>
      </c>
      <c r="O78" s="42">
        <f t="shared" si="21"/>
        <v>11.896000000000001</v>
      </c>
      <c r="P78" s="21">
        <v>8.76</v>
      </c>
      <c r="Q78" s="22">
        <v>3.1360000000000001</v>
      </c>
      <c r="R78" s="42">
        <f t="shared" si="22"/>
        <v>1.5</v>
      </c>
      <c r="S78" s="21">
        <v>1.5</v>
      </c>
      <c r="T78" s="22">
        <v>0</v>
      </c>
      <c r="U78" s="42">
        <f t="shared" si="23"/>
        <v>0</v>
      </c>
      <c r="V78" s="21">
        <v>0</v>
      </c>
      <c r="W78" s="22">
        <v>0</v>
      </c>
      <c r="X78" s="42">
        <f t="shared" si="24"/>
        <v>0</v>
      </c>
      <c r="Y78" s="21">
        <v>0</v>
      </c>
      <c r="Z78" s="22">
        <v>0</v>
      </c>
      <c r="AA78" s="42">
        <f t="shared" si="25"/>
        <v>0</v>
      </c>
      <c r="AB78" s="21">
        <v>0</v>
      </c>
      <c r="AC78" s="22">
        <v>0</v>
      </c>
      <c r="AD78" s="42">
        <f t="shared" si="26"/>
        <v>0</v>
      </c>
      <c r="AE78" s="21">
        <v>0</v>
      </c>
      <c r="AF78" s="22">
        <v>0</v>
      </c>
      <c r="AG78" s="42">
        <f t="shared" si="27"/>
        <v>0.94399999999999995</v>
      </c>
      <c r="AH78" s="21">
        <v>0.94399999999999995</v>
      </c>
      <c r="AI78" s="22">
        <v>0</v>
      </c>
      <c r="AJ78" s="42">
        <f t="shared" si="28"/>
        <v>1</v>
      </c>
      <c r="AK78" s="21">
        <v>1</v>
      </c>
      <c r="AL78" s="22">
        <v>0</v>
      </c>
      <c r="AM78" s="42">
        <f t="shared" si="29"/>
        <v>0</v>
      </c>
      <c r="AN78" s="21">
        <v>0</v>
      </c>
      <c r="AO78" s="22">
        <v>0</v>
      </c>
      <c r="AP78" s="42">
        <f t="shared" si="30"/>
        <v>0</v>
      </c>
      <c r="AQ78" s="21">
        <v>0</v>
      </c>
      <c r="AR78" s="22">
        <v>0</v>
      </c>
      <c r="AS78" s="42">
        <f t="shared" si="31"/>
        <v>0</v>
      </c>
      <c r="AT78" s="21">
        <v>0</v>
      </c>
      <c r="AU78" s="22">
        <v>0</v>
      </c>
      <c r="AV78" s="24">
        <f t="shared" si="32"/>
        <v>28.96</v>
      </c>
    </row>
    <row r="79" spans="1:48" ht="15.75" thickBot="1">
      <c r="A79" s="38" t="s">
        <v>136</v>
      </c>
      <c r="B79" s="39" t="s">
        <v>137</v>
      </c>
      <c r="C79" s="27">
        <f t="shared" si="17"/>
        <v>0</v>
      </c>
      <c r="D79" s="28">
        <v>0</v>
      </c>
      <c r="E79" s="29">
        <v>0</v>
      </c>
      <c r="F79" s="27">
        <f t="shared" si="18"/>
        <v>0</v>
      </c>
      <c r="G79" s="28">
        <v>0</v>
      </c>
      <c r="H79" s="29">
        <v>0</v>
      </c>
      <c r="I79" s="27">
        <f t="shared" si="19"/>
        <v>2</v>
      </c>
      <c r="J79" s="28">
        <v>2</v>
      </c>
      <c r="K79" s="29">
        <v>0</v>
      </c>
      <c r="L79" s="27">
        <f t="shared" si="20"/>
        <v>19.8</v>
      </c>
      <c r="M79" s="28">
        <v>16.8</v>
      </c>
      <c r="N79" s="29">
        <v>3</v>
      </c>
      <c r="O79" s="27">
        <f t="shared" si="21"/>
        <v>0</v>
      </c>
      <c r="P79" s="28">
        <v>0</v>
      </c>
      <c r="Q79" s="29">
        <v>0</v>
      </c>
      <c r="R79" s="27">
        <f t="shared" si="22"/>
        <v>1.63</v>
      </c>
      <c r="S79" s="28">
        <v>1.63</v>
      </c>
      <c r="T79" s="29">
        <v>0</v>
      </c>
      <c r="U79" s="27">
        <f t="shared" si="23"/>
        <v>0</v>
      </c>
      <c r="V79" s="28">
        <v>0</v>
      </c>
      <c r="W79" s="29">
        <v>0</v>
      </c>
      <c r="X79" s="27">
        <f t="shared" si="24"/>
        <v>0</v>
      </c>
      <c r="Y79" s="28">
        <v>0</v>
      </c>
      <c r="Z79" s="29">
        <v>0</v>
      </c>
      <c r="AA79" s="27">
        <f t="shared" si="25"/>
        <v>0</v>
      </c>
      <c r="AB79" s="28">
        <v>0</v>
      </c>
      <c r="AC79" s="29">
        <v>0</v>
      </c>
      <c r="AD79" s="27">
        <f t="shared" si="26"/>
        <v>0</v>
      </c>
      <c r="AE79" s="28">
        <v>0</v>
      </c>
      <c r="AF79" s="29">
        <v>0</v>
      </c>
      <c r="AG79" s="27">
        <f t="shared" si="27"/>
        <v>0</v>
      </c>
      <c r="AH79" s="28">
        <v>0</v>
      </c>
      <c r="AI79" s="29">
        <v>0</v>
      </c>
      <c r="AJ79" s="27">
        <f t="shared" si="28"/>
        <v>2</v>
      </c>
      <c r="AK79" s="28">
        <v>1</v>
      </c>
      <c r="AL79" s="29">
        <v>1</v>
      </c>
      <c r="AM79" s="27">
        <f t="shared" si="29"/>
        <v>0</v>
      </c>
      <c r="AN79" s="28">
        <v>0</v>
      </c>
      <c r="AO79" s="29">
        <v>0</v>
      </c>
      <c r="AP79" s="27">
        <f t="shared" si="30"/>
        <v>0</v>
      </c>
      <c r="AQ79" s="28">
        <v>0</v>
      </c>
      <c r="AR79" s="29">
        <v>0</v>
      </c>
      <c r="AS79" s="27">
        <f t="shared" si="31"/>
        <v>0</v>
      </c>
      <c r="AT79" s="28">
        <v>0</v>
      </c>
      <c r="AU79" s="29">
        <v>0</v>
      </c>
      <c r="AV79" s="30">
        <f t="shared" si="32"/>
        <v>25.43</v>
      </c>
    </row>
    <row r="80" spans="1:48">
      <c r="A80" s="38" t="s">
        <v>138</v>
      </c>
      <c r="B80" s="39" t="s">
        <v>139</v>
      </c>
      <c r="C80" s="47">
        <f t="shared" si="17"/>
        <v>0</v>
      </c>
      <c r="D80" s="14">
        <v>0</v>
      </c>
      <c r="E80" s="15">
        <v>0</v>
      </c>
      <c r="F80" s="50">
        <f t="shared" si="18"/>
        <v>0</v>
      </c>
      <c r="G80" s="14">
        <v>0</v>
      </c>
      <c r="H80" s="15">
        <v>0</v>
      </c>
      <c r="I80" s="47">
        <f t="shared" si="19"/>
        <v>1</v>
      </c>
      <c r="J80" s="14">
        <v>1</v>
      </c>
      <c r="K80" s="15">
        <v>0</v>
      </c>
      <c r="L80" s="47">
        <f t="shared" si="20"/>
        <v>18</v>
      </c>
      <c r="M80" s="14">
        <v>16</v>
      </c>
      <c r="N80" s="15">
        <v>2</v>
      </c>
      <c r="O80" s="47">
        <f t="shared" si="21"/>
        <v>0</v>
      </c>
      <c r="P80" s="14">
        <v>0</v>
      </c>
      <c r="Q80" s="15">
        <v>0</v>
      </c>
      <c r="R80" s="47">
        <f t="shared" si="22"/>
        <v>1.5</v>
      </c>
      <c r="S80" s="14">
        <v>1.5</v>
      </c>
      <c r="T80" s="15">
        <v>0</v>
      </c>
      <c r="U80" s="47">
        <f t="shared" si="23"/>
        <v>0</v>
      </c>
      <c r="V80" s="14">
        <v>0</v>
      </c>
      <c r="W80" s="15">
        <v>0</v>
      </c>
      <c r="X80" s="47">
        <f t="shared" si="24"/>
        <v>0</v>
      </c>
      <c r="Y80" s="14">
        <v>0</v>
      </c>
      <c r="Z80" s="15">
        <v>0</v>
      </c>
      <c r="AA80" s="47">
        <f t="shared" si="25"/>
        <v>0</v>
      </c>
      <c r="AB80" s="14">
        <v>0</v>
      </c>
      <c r="AC80" s="15">
        <v>0</v>
      </c>
      <c r="AD80" s="47">
        <f t="shared" si="26"/>
        <v>0</v>
      </c>
      <c r="AE80" s="14">
        <v>0</v>
      </c>
      <c r="AF80" s="15">
        <v>0</v>
      </c>
      <c r="AG80" s="47">
        <f t="shared" si="27"/>
        <v>0</v>
      </c>
      <c r="AH80" s="14">
        <v>0</v>
      </c>
      <c r="AI80" s="15">
        <v>0</v>
      </c>
      <c r="AJ80" s="47">
        <f t="shared" si="28"/>
        <v>1</v>
      </c>
      <c r="AK80" s="14">
        <v>1</v>
      </c>
      <c r="AL80" s="15">
        <v>0</v>
      </c>
      <c r="AM80" s="47">
        <f t="shared" si="29"/>
        <v>0</v>
      </c>
      <c r="AN80" s="14">
        <v>0</v>
      </c>
      <c r="AO80" s="15">
        <v>0</v>
      </c>
      <c r="AP80" s="47">
        <f t="shared" si="30"/>
        <v>0</v>
      </c>
      <c r="AQ80" s="14">
        <v>0</v>
      </c>
      <c r="AR80" s="15">
        <v>0</v>
      </c>
      <c r="AS80" s="47">
        <f t="shared" si="31"/>
        <v>0</v>
      </c>
      <c r="AT80" s="14">
        <v>0</v>
      </c>
      <c r="AU80" s="15">
        <v>0</v>
      </c>
      <c r="AV80" s="18">
        <f t="shared" si="32"/>
        <v>21.5</v>
      </c>
    </row>
    <row r="81" spans="1:48">
      <c r="A81" s="38" t="s">
        <v>140</v>
      </c>
      <c r="B81" s="39" t="s">
        <v>141</v>
      </c>
      <c r="C81" s="20">
        <f t="shared" si="17"/>
        <v>0</v>
      </c>
      <c r="D81" s="21">
        <v>0</v>
      </c>
      <c r="E81" s="22">
        <v>0</v>
      </c>
      <c r="F81" s="20">
        <f t="shared" si="18"/>
        <v>0</v>
      </c>
      <c r="G81" s="21">
        <v>0</v>
      </c>
      <c r="H81" s="22">
        <v>0</v>
      </c>
      <c r="I81" s="20">
        <f t="shared" si="19"/>
        <v>1</v>
      </c>
      <c r="J81" s="21">
        <v>1</v>
      </c>
      <c r="K81" s="22">
        <v>0</v>
      </c>
      <c r="L81" s="20">
        <f t="shared" si="20"/>
        <v>12.75</v>
      </c>
      <c r="M81" s="21">
        <v>12.75</v>
      </c>
      <c r="N81" s="22">
        <v>0</v>
      </c>
      <c r="O81" s="20">
        <f t="shared" si="21"/>
        <v>7.5</v>
      </c>
      <c r="P81" s="21">
        <v>6.25</v>
      </c>
      <c r="Q81" s="22">
        <v>1.25</v>
      </c>
      <c r="R81" s="20">
        <f t="shared" si="22"/>
        <v>1</v>
      </c>
      <c r="S81" s="21">
        <v>1</v>
      </c>
      <c r="T81" s="22">
        <v>0</v>
      </c>
      <c r="U81" s="20">
        <f t="shared" si="23"/>
        <v>1.25</v>
      </c>
      <c r="V81" s="21">
        <v>0.5</v>
      </c>
      <c r="W81" s="22">
        <v>0.75</v>
      </c>
      <c r="X81" s="20">
        <f t="shared" si="24"/>
        <v>0.67</v>
      </c>
      <c r="Y81" s="21">
        <v>0.67</v>
      </c>
      <c r="Z81" s="22">
        <v>0</v>
      </c>
      <c r="AA81" s="20">
        <f t="shared" si="25"/>
        <v>0.33</v>
      </c>
      <c r="AB81" s="21">
        <v>0.33</v>
      </c>
      <c r="AC81" s="22">
        <v>0</v>
      </c>
      <c r="AD81" s="20">
        <f t="shared" si="26"/>
        <v>1</v>
      </c>
      <c r="AE81" s="21">
        <v>1</v>
      </c>
      <c r="AF81" s="22">
        <v>0</v>
      </c>
      <c r="AG81" s="20">
        <f t="shared" si="27"/>
        <v>0</v>
      </c>
      <c r="AH81" s="21">
        <v>0</v>
      </c>
      <c r="AI81" s="22">
        <v>0</v>
      </c>
      <c r="AJ81" s="20">
        <f t="shared" si="28"/>
        <v>0</v>
      </c>
      <c r="AK81" s="21">
        <v>0</v>
      </c>
      <c r="AL81" s="22">
        <v>0</v>
      </c>
      <c r="AM81" s="20">
        <f t="shared" si="29"/>
        <v>0</v>
      </c>
      <c r="AN81" s="21">
        <v>0</v>
      </c>
      <c r="AO81" s="22">
        <v>0</v>
      </c>
      <c r="AP81" s="20">
        <f t="shared" si="30"/>
        <v>0</v>
      </c>
      <c r="AQ81" s="21">
        <v>0</v>
      </c>
      <c r="AR81" s="22">
        <v>0</v>
      </c>
      <c r="AS81" s="20">
        <f t="shared" si="31"/>
        <v>0</v>
      </c>
      <c r="AT81" s="21">
        <v>0</v>
      </c>
      <c r="AU81" s="22">
        <v>0</v>
      </c>
      <c r="AV81" s="24">
        <f t="shared" si="32"/>
        <v>25.5</v>
      </c>
    </row>
    <row r="82" spans="1:48">
      <c r="A82" s="38" t="s">
        <v>142</v>
      </c>
      <c r="B82" s="39" t="s">
        <v>143</v>
      </c>
      <c r="C82" s="20">
        <f t="shared" si="17"/>
        <v>0</v>
      </c>
      <c r="D82" s="40">
        <v>0</v>
      </c>
      <c r="E82" s="41">
        <v>0</v>
      </c>
      <c r="F82" s="20">
        <f t="shared" si="18"/>
        <v>0</v>
      </c>
      <c r="G82" s="40">
        <v>0</v>
      </c>
      <c r="H82" s="41">
        <v>0</v>
      </c>
      <c r="I82" s="20">
        <f t="shared" si="19"/>
        <v>0</v>
      </c>
      <c r="J82" s="40">
        <v>0</v>
      </c>
      <c r="K82" s="41">
        <v>0</v>
      </c>
      <c r="L82" s="20">
        <f t="shared" si="20"/>
        <v>0</v>
      </c>
      <c r="M82" s="40">
        <v>0</v>
      </c>
      <c r="N82" s="41">
        <v>0</v>
      </c>
      <c r="O82" s="20">
        <f t="shared" si="21"/>
        <v>13.87</v>
      </c>
      <c r="P82" s="40">
        <v>5.5</v>
      </c>
      <c r="Q82" s="41">
        <v>8.3699999999999992</v>
      </c>
      <c r="R82" s="20">
        <f t="shared" si="22"/>
        <v>0</v>
      </c>
      <c r="S82" s="40">
        <v>0</v>
      </c>
      <c r="T82" s="41">
        <v>0</v>
      </c>
      <c r="U82" s="20">
        <f t="shared" si="23"/>
        <v>0</v>
      </c>
      <c r="V82" s="40">
        <v>0</v>
      </c>
      <c r="W82" s="41">
        <v>0</v>
      </c>
      <c r="X82" s="20">
        <f t="shared" si="24"/>
        <v>0</v>
      </c>
      <c r="Y82" s="40">
        <v>0</v>
      </c>
      <c r="Z82" s="41">
        <v>0</v>
      </c>
      <c r="AA82" s="20">
        <f t="shared" si="25"/>
        <v>1</v>
      </c>
      <c r="AB82" s="40">
        <v>1</v>
      </c>
      <c r="AC82" s="41">
        <v>0</v>
      </c>
      <c r="AD82" s="20">
        <f t="shared" si="26"/>
        <v>0</v>
      </c>
      <c r="AE82" s="40">
        <v>0</v>
      </c>
      <c r="AF82" s="41">
        <v>0</v>
      </c>
      <c r="AG82" s="20">
        <f t="shared" si="27"/>
        <v>0</v>
      </c>
      <c r="AH82" s="40">
        <v>0</v>
      </c>
      <c r="AI82" s="41">
        <v>0</v>
      </c>
      <c r="AJ82" s="20">
        <f t="shared" si="28"/>
        <v>1</v>
      </c>
      <c r="AK82" s="40">
        <v>0</v>
      </c>
      <c r="AL82" s="41">
        <v>1</v>
      </c>
      <c r="AM82" s="20">
        <f t="shared" si="29"/>
        <v>0</v>
      </c>
      <c r="AN82" s="40">
        <v>0</v>
      </c>
      <c r="AO82" s="41">
        <v>0</v>
      </c>
      <c r="AP82" s="20">
        <f t="shared" si="30"/>
        <v>0</v>
      </c>
      <c r="AQ82" s="40">
        <v>0</v>
      </c>
      <c r="AR82" s="41">
        <v>0</v>
      </c>
      <c r="AS82" s="20">
        <f t="shared" si="31"/>
        <v>0</v>
      </c>
      <c r="AT82" s="40">
        <v>0</v>
      </c>
      <c r="AU82" s="41">
        <v>0</v>
      </c>
      <c r="AV82" s="51">
        <f t="shared" si="32"/>
        <v>15.87</v>
      </c>
    </row>
    <row r="83" spans="1:48">
      <c r="A83" s="38" t="s">
        <v>144</v>
      </c>
      <c r="B83" s="39" t="s">
        <v>145</v>
      </c>
      <c r="C83" s="20">
        <f t="shared" si="17"/>
        <v>0</v>
      </c>
      <c r="D83" s="23">
        <v>0</v>
      </c>
      <c r="E83" s="22">
        <v>0</v>
      </c>
      <c r="F83" s="20">
        <f t="shared" si="18"/>
        <v>0</v>
      </c>
      <c r="G83" s="23">
        <v>0</v>
      </c>
      <c r="H83" s="22">
        <v>0</v>
      </c>
      <c r="I83" s="20">
        <f t="shared" si="19"/>
        <v>1</v>
      </c>
      <c r="J83" s="23">
        <v>1</v>
      </c>
      <c r="K83" s="22">
        <v>0</v>
      </c>
      <c r="L83" s="20">
        <f t="shared" si="20"/>
        <v>14.78</v>
      </c>
      <c r="M83" s="23">
        <v>11.28</v>
      </c>
      <c r="N83" s="22">
        <v>3.5</v>
      </c>
      <c r="O83" s="20">
        <f t="shared" si="21"/>
        <v>4.7200000000000006</v>
      </c>
      <c r="P83" s="23">
        <v>3.72</v>
      </c>
      <c r="Q83" s="22">
        <v>1</v>
      </c>
      <c r="R83" s="20">
        <f t="shared" si="22"/>
        <v>1</v>
      </c>
      <c r="S83" s="23">
        <v>1</v>
      </c>
      <c r="T83" s="22">
        <v>0</v>
      </c>
      <c r="U83" s="20">
        <f t="shared" si="23"/>
        <v>0</v>
      </c>
      <c r="V83" s="23">
        <v>0</v>
      </c>
      <c r="W83" s="22">
        <v>0</v>
      </c>
      <c r="X83" s="20">
        <f t="shared" si="24"/>
        <v>0</v>
      </c>
      <c r="Y83" s="23">
        <v>0</v>
      </c>
      <c r="Z83" s="22">
        <v>0</v>
      </c>
      <c r="AA83" s="20">
        <f t="shared" si="25"/>
        <v>0</v>
      </c>
      <c r="AB83" s="23">
        <v>0</v>
      </c>
      <c r="AC83" s="22">
        <v>0</v>
      </c>
      <c r="AD83" s="20">
        <f t="shared" si="26"/>
        <v>0</v>
      </c>
      <c r="AE83" s="23">
        <v>0</v>
      </c>
      <c r="AF83" s="22">
        <v>0</v>
      </c>
      <c r="AG83" s="20">
        <f t="shared" si="27"/>
        <v>0</v>
      </c>
      <c r="AH83" s="23">
        <v>0</v>
      </c>
      <c r="AI83" s="22">
        <v>0</v>
      </c>
      <c r="AJ83" s="20">
        <f t="shared" si="28"/>
        <v>1</v>
      </c>
      <c r="AK83" s="23">
        <v>0</v>
      </c>
      <c r="AL83" s="22">
        <v>1</v>
      </c>
      <c r="AM83" s="20">
        <f t="shared" si="29"/>
        <v>0</v>
      </c>
      <c r="AN83" s="23">
        <v>0</v>
      </c>
      <c r="AO83" s="22">
        <v>0</v>
      </c>
      <c r="AP83" s="20">
        <f t="shared" si="30"/>
        <v>0</v>
      </c>
      <c r="AQ83" s="23">
        <v>0</v>
      </c>
      <c r="AR83" s="22">
        <v>0</v>
      </c>
      <c r="AS83" s="20">
        <f t="shared" si="31"/>
        <v>0</v>
      </c>
      <c r="AT83" s="23">
        <v>0</v>
      </c>
      <c r="AU83" s="22">
        <v>0</v>
      </c>
      <c r="AV83" s="24">
        <f t="shared" si="32"/>
        <v>22.5</v>
      </c>
    </row>
    <row r="84" spans="1:48" ht="15.75" thickBot="1">
      <c r="A84" s="38">
        <v>68</v>
      </c>
      <c r="B84" s="39" t="s">
        <v>146</v>
      </c>
      <c r="C84" s="27">
        <f t="shared" si="17"/>
        <v>0</v>
      </c>
      <c r="D84" s="45">
        <v>0</v>
      </c>
      <c r="E84" s="29">
        <v>0</v>
      </c>
      <c r="F84" s="27">
        <f t="shared" si="18"/>
        <v>0</v>
      </c>
      <c r="G84" s="45">
        <v>0</v>
      </c>
      <c r="H84" s="29">
        <v>0</v>
      </c>
      <c r="I84" s="27">
        <f t="shared" si="19"/>
        <v>1</v>
      </c>
      <c r="J84" s="45">
        <v>0</v>
      </c>
      <c r="K84" s="29">
        <v>1</v>
      </c>
      <c r="L84" s="27">
        <f t="shared" si="20"/>
        <v>13.33</v>
      </c>
      <c r="M84" s="45">
        <v>13</v>
      </c>
      <c r="N84" s="29">
        <v>0.33</v>
      </c>
      <c r="O84" s="27">
        <f t="shared" si="21"/>
        <v>7.67</v>
      </c>
      <c r="P84" s="45">
        <v>3</v>
      </c>
      <c r="Q84" s="29">
        <v>4.67</v>
      </c>
      <c r="R84" s="27">
        <f t="shared" si="22"/>
        <v>2.5</v>
      </c>
      <c r="S84" s="45">
        <v>2.5</v>
      </c>
      <c r="T84" s="29">
        <v>0</v>
      </c>
      <c r="U84" s="27">
        <f t="shared" si="23"/>
        <v>0</v>
      </c>
      <c r="V84" s="45">
        <v>0</v>
      </c>
      <c r="W84" s="29">
        <v>0</v>
      </c>
      <c r="X84" s="27">
        <f t="shared" si="24"/>
        <v>0</v>
      </c>
      <c r="Y84" s="45">
        <v>0</v>
      </c>
      <c r="Z84" s="29">
        <v>0</v>
      </c>
      <c r="AA84" s="27">
        <f t="shared" si="25"/>
        <v>0</v>
      </c>
      <c r="AB84" s="45">
        <v>0</v>
      </c>
      <c r="AC84" s="29">
        <v>0</v>
      </c>
      <c r="AD84" s="27">
        <f t="shared" si="26"/>
        <v>1</v>
      </c>
      <c r="AE84" s="45">
        <v>1</v>
      </c>
      <c r="AF84" s="29">
        <v>0</v>
      </c>
      <c r="AG84" s="27">
        <f t="shared" si="27"/>
        <v>1</v>
      </c>
      <c r="AH84" s="45">
        <v>1</v>
      </c>
      <c r="AI84" s="29">
        <v>0</v>
      </c>
      <c r="AJ84" s="27">
        <f t="shared" si="28"/>
        <v>2</v>
      </c>
      <c r="AK84" s="45">
        <v>1</v>
      </c>
      <c r="AL84" s="29">
        <v>1</v>
      </c>
      <c r="AM84" s="27">
        <f t="shared" si="29"/>
        <v>0</v>
      </c>
      <c r="AN84" s="45">
        <v>0</v>
      </c>
      <c r="AO84" s="29">
        <v>0</v>
      </c>
      <c r="AP84" s="27">
        <f t="shared" si="30"/>
        <v>0</v>
      </c>
      <c r="AQ84" s="45">
        <v>0</v>
      </c>
      <c r="AR84" s="29">
        <v>0</v>
      </c>
      <c r="AS84" s="27">
        <f t="shared" si="31"/>
        <v>0</v>
      </c>
      <c r="AT84" s="45">
        <v>0</v>
      </c>
      <c r="AU84" s="29">
        <v>0</v>
      </c>
      <c r="AV84" s="30">
        <f t="shared" si="32"/>
        <v>28.5</v>
      </c>
    </row>
    <row r="85" spans="1:48">
      <c r="A85" s="38" t="s">
        <v>147</v>
      </c>
      <c r="B85" s="39" t="s">
        <v>148</v>
      </c>
      <c r="C85" s="13">
        <f t="shared" si="17"/>
        <v>0</v>
      </c>
      <c r="D85" s="17">
        <v>0</v>
      </c>
      <c r="E85" s="15">
        <v>0</v>
      </c>
      <c r="F85" s="13">
        <f t="shared" si="18"/>
        <v>0</v>
      </c>
      <c r="G85" s="17">
        <v>0</v>
      </c>
      <c r="H85" s="15">
        <v>0</v>
      </c>
      <c r="I85" s="13">
        <f t="shared" si="19"/>
        <v>1.5</v>
      </c>
      <c r="J85" s="17">
        <v>1.5</v>
      </c>
      <c r="K85" s="15">
        <v>0</v>
      </c>
      <c r="L85" s="13">
        <f t="shared" si="20"/>
        <v>12</v>
      </c>
      <c r="M85" s="17">
        <v>11</v>
      </c>
      <c r="N85" s="15">
        <v>1</v>
      </c>
      <c r="O85" s="13">
        <f t="shared" si="21"/>
        <v>2</v>
      </c>
      <c r="P85" s="17">
        <v>1</v>
      </c>
      <c r="Q85" s="15">
        <v>1</v>
      </c>
      <c r="R85" s="13">
        <f t="shared" si="22"/>
        <v>1</v>
      </c>
      <c r="S85" s="17">
        <v>0</v>
      </c>
      <c r="T85" s="15">
        <v>1</v>
      </c>
      <c r="U85" s="13">
        <f t="shared" si="23"/>
        <v>1</v>
      </c>
      <c r="V85" s="17">
        <v>1</v>
      </c>
      <c r="W85" s="15">
        <v>0</v>
      </c>
      <c r="X85" s="13">
        <f t="shared" si="24"/>
        <v>0.5</v>
      </c>
      <c r="Y85" s="17">
        <v>0.5</v>
      </c>
      <c r="Z85" s="15">
        <v>0</v>
      </c>
      <c r="AA85" s="13">
        <f t="shared" si="25"/>
        <v>0</v>
      </c>
      <c r="AB85" s="17">
        <v>0</v>
      </c>
      <c r="AC85" s="15">
        <v>0</v>
      </c>
      <c r="AD85" s="13">
        <f t="shared" si="26"/>
        <v>1</v>
      </c>
      <c r="AE85" s="17">
        <v>0</v>
      </c>
      <c r="AF85" s="15">
        <v>1</v>
      </c>
      <c r="AG85" s="13">
        <f t="shared" si="27"/>
        <v>0</v>
      </c>
      <c r="AH85" s="17">
        <v>0</v>
      </c>
      <c r="AI85" s="15">
        <v>0</v>
      </c>
      <c r="AJ85" s="13">
        <f t="shared" si="28"/>
        <v>1</v>
      </c>
      <c r="AK85" s="17">
        <v>0</v>
      </c>
      <c r="AL85" s="15">
        <v>1</v>
      </c>
      <c r="AM85" s="13">
        <f t="shared" si="29"/>
        <v>0</v>
      </c>
      <c r="AN85" s="17">
        <v>0</v>
      </c>
      <c r="AO85" s="15">
        <v>0</v>
      </c>
      <c r="AP85" s="13">
        <f t="shared" si="30"/>
        <v>0</v>
      </c>
      <c r="AQ85" s="17">
        <v>0</v>
      </c>
      <c r="AR85" s="15">
        <v>0</v>
      </c>
      <c r="AS85" s="13">
        <f t="shared" si="31"/>
        <v>0</v>
      </c>
      <c r="AT85" s="17">
        <v>0</v>
      </c>
      <c r="AU85" s="15">
        <v>0</v>
      </c>
      <c r="AV85" s="18">
        <f t="shared" si="32"/>
        <v>20</v>
      </c>
    </row>
    <row r="86" spans="1:48">
      <c r="A86" s="38" t="s">
        <v>149</v>
      </c>
      <c r="B86" s="39" t="s">
        <v>150</v>
      </c>
      <c r="C86" s="20">
        <f t="shared" si="17"/>
        <v>0</v>
      </c>
      <c r="D86" s="23">
        <v>0</v>
      </c>
      <c r="E86" s="22">
        <v>0</v>
      </c>
      <c r="F86" s="20">
        <f t="shared" si="18"/>
        <v>0</v>
      </c>
      <c r="G86" s="23">
        <v>0</v>
      </c>
      <c r="H86" s="22">
        <v>0</v>
      </c>
      <c r="I86" s="20">
        <f t="shared" si="19"/>
        <v>0</v>
      </c>
      <c r="J86" s="23">
        <v>0</v>
      </c>
      <c r="K86" s="22">
        <v>0</v>
      </c>
      <c r="L86" s="20">
        <f t="shared" si="20"/>
        <v>0</v>
      </c>
      <c r="M86" s="23">
        <v>0</v>
      </c>
      <c r="N86" s="22">
        <v>0</v>
      </c>
      <c r="O86" s="20">
        <f t="shared" si="21"/>
        <v>13.051</v>
      </c>
      <c r="P86" s="23">
        <v>6</v>
      </c>
      <c r="Q86" s="22">
        <v>7.0510000000000002</v>
      </c>
      <c r="R86" s="20">
        <f t="shared" si="22"/>
        <v>0.5</v>
      </c>
      <c r="S86" s="23">
        <v>0</v>
      </c>
      <c r="T86" s="22">
        <v>0.5</v>
      </c>
      <c r="U86" s="20">
        <f t="shared" si="23"/>
        <v>0</v>
      </c>
      <c r="V86" s="23">
        <v>0</v>
      </c>
      <c r="W86" s="22">
        <v>0</v>
      </c>
      <c r="X86" s="20">
        <f t="shared" si="24"/>
        <v>0</v>
      </c>
      <c r="Y86" s="23">
        <v>0</v>
      </c>
      <c r="Z86" s="22">
        <v>0</v>
      </c>
      <c r="AA86" s="20">
        <f t="shared" si="25"/>
        <v>0</v>
      </c>
      <c r="AB86" s="23">
        <v>0</v>
      </c>
      <c r="AC86" s="22">
        <v>0</v>
      </c>
      <c r="AD86" s="20">
        <f t="shared" si="26"/>
        <v>0</v>
      </c>
      <c r="AE86" s="23">
        <v>0</v>
      </c>
      <c r="AF86" s="22">
        <v>0</v>
      </c>
      <c r="AG86" s="20">
        <f t="shared" si="27"/>
        <v>1.67</v>
      </c>
      <c r="AH86" s="23">
        <v>1.67</v>
      </c>
      <c r="AI86" s="22">
        <v>0</v>
      </c>
      <c r="AJ86" s="20">
        <f t="shared" si="28"/>
        <v>0</v>
      </c>
      <c r="AK86" s="23">
        <v>0</v>
      </c>
      <c r="AL86" s="22">
        <v>0</v>
      </c>
      <c r="AM86" s="20">
        <f t="shared" si="29"/>
        <v>0</v>
      </c>
      <c r="AN86" s="23">
        <v>0</v>
      </c>
      <c r="AO86" s="22">
        <v>0</v>
      </c>
      <c r="AP86" s="20">
        <f t="shared" si="30"/>
        <v>0</v>
      </c>
      <c r="AQ86" s="23">
        <v>0</v>
      </c>
      <c r="AR86" s="22">
        <v>0</v>
      </c>
      <c r="AS86" s="20">
        <f t="shared" si="31"/>
        <v>0</v>
      </c>
      <c r="AT86" s="23">
        <v>0</v>
      </c>
      <c r="AU86" s="22">
        <v>0</v>
      </c>
      <c r="AV86" s="24">
        <f t="shared" si="32"/>
        <v>15.221</v>
      </c>
    </row>
    <row r="87" spans="1:48">
      <c r="A87" s="38">
        <v>86</v>
      </c>
      <c r="B87" s="39" t="s">
        <v>151</v>
      </c>
      <c r="C87" s="20">
        <f t="shared" si="17"/>
        <v>0</v>
      </c>
      <c r="D87" s="23">
        <v>0</v>
      </c>
      <c r="E87" s="22">
        <v>0</v>
      </c>
      <c r="F87" s="20">
        <f t="shared" si="18"/>
        <v>0</v>
      </c>
      <c r="G87" s="23">
        <v>0</v>
      </c>
      <c r="H87" s="22">
        <v>0</v>
      </c>
      <c r="I87" s="20">
        <f t="shared" si="19"/>
        <v>1</v>
      </c>
      <c r="J87" s="23">
        <v>1</v>
      </c>
      <c r="K87" s="22">
        <v>0</v>
      </c>
      <c r="L87" s="20">
        <f t="shared" si="20"/>
        <v>8.7519999999999989</v>
      </c>
      <c r="M87" s="23">
        <v>6.7519999999999998</v>
      </c>
      <c r="N87" s="22">
        <v>2</v>
      </c>
      <c r="O87" s="20">
        <f t="shared" si="21"/>
        <v>7.34</v>
      </c>
      <c r="P87" s="23">
        <v>4.6980000000000004</v>
      </c>
      <c r="Q87" s="22">
        <v>2.6419999999999999</v>
      </c>
      <c r="R87" s="20">
        <f t="shared" si="22"/>
        <v>1.552</v>
      </c>
      <c r="S87" s="23">
        <v>1.552</v>
      </c>
      <c r="T87" s="22">
        <v>0</v>
      </c>
      <c r="U87" s="20">
        <f t="shared" si="23"/>
        <v>0.81399999999999995</v>
      </c>
      <c r="V87" s="23">
        <v>0.81399999999999995</v>
      </c>
      <c r="W87" s="22">
        <v>0</v>
      </c>
      <c r="X87" s="20">
        <f t="shared" si="24"/>
        <v>0</v>
      </c>
      <c r="Y87" s="23">
        <v>0</v>
      </c>
      <c r="Z87" s="22">
        <v>0</v>
      </c>
      <c r="AA87" s="20">
        <f t="shared" si="25"/>
        <v>0</v>
      </c>
      <c r="AB87" s="23">
        <v>0</v>
      </c>
      <c r="AC87" s="22">
        <v>0</v>
      </c>
      <c r="AD87" s="20">
        <f t="shared" si="26"/>
        <v>0</v>
      </c>
      <c r="AE87" s="23">
        <v>0</v>
      </c>
      <c r="AF87" s="22">
        <v>0</v>
      </c>
      <c r="AG87" s="20">
        <f t="shared" si="27"/>
        <v>1.583</v>
      </c>
      <c r="AH87" s="23">
        <v>1.583</v>
      </c>
      <c r="AI87" s="22">
        <v>0</v>
      </c>
      <c r="AJ87" s="20">
        <f t="shared" si="28"/>
        <v>1.056</v>
      </c>
      <c r="AK87" s="23">
        <v>1.056</v>
      </c>
      <c r="AL87" s="22">
        <v>0</v>
      </c>
      <c r="AM87" s="20">
        <f t="shared" si="29"/>
        <v>1</v>
      </c>
      <c r="AN87" s="23">
        <v>1</v>
      </c>
      <c r="AO87" s="22">
        <v>0</v>
      </c>
      <c r="AP87" s="20">
        <f t="shared" si="30"/>
        <v>0</v>
      </c>
      <c r="AQ87" s="23">
        <v>0</v>
      </c>
      <c r="AR87" s="22">
        <v>0</v>
      </c>
      <c r="AS87" s="20">
        <f t="shared" si="31"/>
        <v>0.37</v>
      </c>
      <c r="AT87" s="23">
        <v>0.37</v>
      </c>
      <c r="AU87" s="22">
        <v>0</v>
      </c>
      <c r="AV87" s="24">
        <f t="shared" si="32"/>
        <v>23.466999999999999</v>
      </c>
    </row>
    <row r="88" spans="1:48">
      <c r="A88" s="38" t="s">
        <v>152</v>
      </c>
      <c r="B88" s="39" t="s">
        <v>153</v>
      </c>
      <c r="C88" s="20">
        <f t="shared" si="17"/>
        <v>0</v>
      </c>
      <c r="D88" s="23">
        <v>0</v>
      </c>
      <c r="E88" s="22">
        <v>0</v>
      </c>
      <c r="F88" s="20">
        <f t="shared" si="18"/>
        <v>0</v>
      </c>
      <c r="G88" s="23">
        <v>0</v>
      </c>
      <c r="H88" s="22">
        <v>0</v>
      </c>
      <c r="I88" s="20">
        <f t="shared" si="19"/>
        <v>1</v>
      </c>
      <c r="J88" s="23">
        <v>1</v>
      </c>
      <c r="K88" s="22">
        <v>0</v>
      </c>
      <c r="L88" s="20">
        <f t="shared" si="20"/>
        <v>12.55</v>
      </c>
      <c r="M88" s="23">
        <v>11.55</v>
      </c>
      <c r="N88" s="22">
        <v>1</v>
      </c>
      <c r="O88" s="20">
        <f t="shared" si="21"/>
        <v>2.5</v>
      </c>
      <c r="P88" s="23">
        <v>1.5</v>
      </c>
      <c r="Q88" s="22">
        <v>1</v>
      </c>
      <c r="R88" s="20">
        <f t="shared" si="22"/>
        <v>1</v>
      </c>
      <c r="S88" s="23">
        <v>1</v>
      </c>
      <c r="T88" s="22">
        <v>0</v>
      </c>
      <c r="U88" s="20">
        <f t="shared" si="23"/>
        <v>0</v>
      </c>
      <c r="V88" s="23">
        <v>0</v>
      </c>
      <c r="W88" s="22">
        <v>0</v>
      </c>
      <c r="X88" s="20">
        <f t="shared" si="24"/>
        <v>0</v>
      </c>
      <c r="Y88" s="23">
        <v>0</v>
      </c>
      <c r="Z88" s="22">
        <v>0</v>
      </c>
      <c r="AA88" s="20">
        <f t="shared" si="25"/>
        <v>0</v>
      </c>
      <c r="AB88" s="23">
        <v>0</v>
      </c>
      <c r="AC88" s="22">
        <v>0</v>
      </c>
      <c r="AD88" s="20">
        <f t="shared" si="26"/>
        <v>0</v>
      </c>
      <c r="AE88" s="23">
        <v>0</v>
      </c>
      <c r="AF88" s="22">
        <v>0</v>
      </c>
      <c r="AG88" s="20">
        <f t="shared" si="27"/>
        <v>0</v>
      </c>
      <c r="AH88" s="23">
        <v>0</v>
      </c>
      <c r="AI88" s="22">
        <v>0</v>
      </c>
      <c r="AJ88" s="20">
        <f t="shared" si="28"/>
        <v>0</v>
      </c>
      <c r="AK88" s="23">
        <v>0</v>
      </c>
      <c r="AL88" s="22">
        <v>0</v>
      </c>
      <c r="AM88" s="20">
        <f t="shared" si="29"/>
        <v>0</v>
      </c>
      <c r="AN88" s="23">
        <v>0</v>
      </c>
      <c r="AO88" s="22">
        <v>0</v>
      </c>
      <c r="AP88" s="20">
        <f t="shared" si="30"/>
        <v>0</v>
      </c>
      <c r="AQ88" s="23">
        <v>0</v>
      </c>
      <c r="AR88" s="22">
        <v>0</v>
      </c>
      <c r="AS88" s="20">
        <f t="shared" si="31"/>
        <v>0</v>
      </c>
      <c r="AT88" s="23">
        <v>0</v>
      </c>
      <c r="AU88" s="22">
        <v>0</v>
      </c>
      <c r="AV88" s="24">
        <f t="shared" si="32"/>
        <v>17.05</v>
      </c>
    </row>
    <row r="89" spans="1:48" ht="15.75" thickBot="1">
      <c r="A89" s="38" t="s">
        <v>154</v>
      </c>
      <c r="B89" s="39" t="s">
        <v>155</v>
      </c>
      <c r="C89" s="27">
        <f t="shared" si="17"/>
        <v>0</v>
      </c>
      <c r="D89" s="28">
        <v>0</v>
      </c>
      <c r="E89" s="29">
        <v>0</v>
      </c>
      <c r="F89" s="27">
        <f t="shared" si="18"/>
        <v>0</v>
      </c>
      <c r="G89" s="28">
        <v>0</v>
      </c>
      <c r="H89" s="29">
        <v>0</v>
      </c>
      <c r="I89" s="27">
        <f t="shared" si="19"/>
        <v>2</v>
      </c>
      <c r="J89" s="28">
        <v>2</v>
      </c>
      <c r="K89" s="29">
        <v>0</v>
      </c>
      <c r="L89" s="27">
        <f t="shared" si="20"/>
        <v>19.875</v>
      </c>
      <c r="M89" s="28">
        <v>17.375</v>
      </c>
      <c r="N89" s="29">
        <v>2.5</v>
      </c>
      <c r="O89" s="27">
        <f t="shared" si="21"/>
        <v>8.0970000000000013</v>
      </c>
      <c r="P89" s="28">
        <v>5.5970000000000004</v>
      </c>
      <c r="Q89" s="29">
        <v>2.5</v>
      </c>
      <c r="R89" s="27">
        <f t="shared" si="22"/>
        <v>2</v>
      </c>
      <c r="S89" s="28">
        <v>2</v>
      </c>
      <c r="T89" s="29">
        <v>0</v>
      </c>
      <c r="U89" s="27">
        <f t="shared" si="23"/>
        <v>1.5</v>
      </c>
      <c r="V89" s="28">
        <v>0.5</v>
      </c>
      <c r="W89" s="29">
        <v>1</v>
      </c>
      <c r="X89" s="27">
        <f t="shared" si="24"/>
        <v>0</v>
      </c>
      <c r="Y89" s="28">
        <v>0</v>
      </c>
      <c r="Z89" s="29">
        <v>0</v>
      </c>
      <c r="AA89" s="27">
        <f t="shared" si="25"/>
        <v>0</v>
      </c>
      <c r="AB89" s="28">
        <v>0</v>
      </c>
      <c r="AC89" s="29">
        <v>0</v>
      </c>
      <c r="AD89" s="27">
        <f t="shared" si="26"/>
        <v>1</v>
      </c>
      <c r="AE89" s="28">
        <v>1</v>
      </c>
      <c r="AF89" s="29">
        <v>0</v>
      </c>
      <c r="AG89" s="27">
        <f t="shared" si="27"/>
        <v>0</v>
      </c>
      <c r="AH89" s="28">
        <v>0</v>
      </c>
      <c r="AI89" s="29">
        <v>0</v>
      </c>
      <c r="AJ89" s="27">
        <f t="shared" si="28"/>
        <v>1</v>
      </c>
      <c r="AK89" s="28">
        <v>0</v>
      </c>
      <c r="AL89" s="29">
        <v>1</v>
      </c>
      <c r="AM89" s="27">
        <f t="shared" si="29"/>
        <v>0</v>
      </c>
      <c r="AN89" s="28">
        <v>0</v>
      </c>
      <c r="AO89" s="29">
        <v>0</v>
      </c>
      <c r="AP89" s="27">
        <f t="shared" si="30"/>
        <v>0</v>
      </c>
      <c r="AQ89" s="28">
        <v>0</v>
      </c>
      <c r="AR89" s="29">
        <v>0</v>
      </c>
      <c r="AS89" s="27">
        <f t="shared" si="31"/>
        <v>0</v>
      </c>
      <c r="AT89" s="28">
        <v>0</v>
      </c>
      <c r="AU89" s="29">
        <v>0</v>
      </c>
      <c r="AV89" s="30">
        <f t="shared" si="32"/>
        <v>35.472000000000001</v>
      </c>
    </row>
    <row r="90" spans="1:48">
      <c r="A90" s="38" t="s">
        <v>156</v>
      </c>
      <c r="B90" s="39" t="s">
        <v>157</v>
      </c>
      <c r="C90" s="13">
        <f t="shared" si="17"/>
        <v>0</v>
      </c>
      <c r="D90" s="17">
        <v>0</v>
      </c>
      <c r="E90" s="15">
        <v>0</v>
      </c>
      <c r="F90" s="13">
        <f t="shared" si="18"/>
        <v>0</v>
      </c>
      <c r="G90" s="17">
        <v>0</v>
      </c>
      <c r="H90" s="15">
        <v>0</v>
      </c>
      <c r="I90" s="13">
        <f t="shared" si="19"/>
        <v>2</v>
      </c>
      <c r="J90" s="17">
        <v>2</v>
      </c>
      <c r="K90" s="15">
        <v>0</v>
      </c>
      <c r="L90" s="13">
        <f t="shared" si="20"/>
        <v>20.43</v>
      </c>
      <c r="M90" s="17">
        <v>17.43</v>
      </c>
      <c r="N90" s="15">
        <v>3</v>
      </c>
      <c r="O90" s="13">
        <f t="shared" si="21"/>
        <v>7.391</v>
      </c>
      <c r="P90" s="17">
        <v>6.391</v>
      </c>
      <c r="Q90" s="15">
        <v>1</v>
      </c>
      <c r="R90" s="13">
        <f t="shared" si="22"/>
        <v>1</v>
      </c>
      <c r="S90" s="17">
        <v>1</v>
      </c>
      <c r="T90" s="15">
        <v>0</v>
      </c>
      <c r="U90" s="13">
        <f t="shared" si="23"/>
        <v>1.2</v>
      </c>
      <c r="V90" s="17">
        <v>1.2</v>
      </c>
      <c r="W90" s="15">
        <v>0</v>
      </c>
      <c r="X90" s="13">
        <f t="shared" si="24"/>
        <v>0</v>
      </c>
      <c r="Y90" s="17">
        <v>0</v>
      </c>
      <c r="Z90" s="15">
        <v>0</v>
      </c>
      <c r="AA90" s="13">
        <f t="shared" si="25"/>
        <v>0</v>
      </c>
      <c r="AB90" s="17">
        <v>0</v>
      </c>
      <c r="AC90" s="15">
        <v>0</v>
      </c>
      <c r="AD90" s="13">
        <f t="shared" si="26"/>
        <v>0.35</v>
      </c>
      <c r="AE90" s="17">
        <v>0.35</v>
      </c>
      <c r="AF90" s="15">
        <v>0</v>
      </c>
      <c r="AG90" s="13">
        <f t="shared" si="27"/>
        <v>0</v>
      </c>
      <c r="AH90" s="17">
        <v>0</v>
      </c>
      <c r="AI90" s="15">
        <v>0</v>
      </c>
      <c r="AJ90" s="13">
        <f t="shared" si="28"/>
        <v>1.889</v>
      </c>
      <c r="AK90" s="17">
        <v>1.111</v>
      </c>
      <c r="AL90" s="15">
        <v>0.77800000000000002</v>
      </c>
      <c r="AM90" s="13">
        <f t="shared" si="29"/>
        <v>0</v>
      </c>
      <c r="AN90" s="17">
        <v>0</v>
      </c>
      <c r="AO90" s="15">
        <v>0</v>
      </c>
      <c r="AP90" s="13">
        <f t="shared" si="30"/>
        <v>0</v>
      </c>
      <c r="AQ90" s="17">
        <v>0</v>
      </c>
      <c r="AR90" s="15">
        <v>0</v>
      </c>
      <c r="AS90" s="13">
        <f t="shared" si="31"/>
        <v>0</v>
      </c>
      <c r="AT90" s="17">
        <v>0</v>
      </c>
      <c r="AU90" s="15">
        <v>0</v>
      </c>
      <c r="AV90" s="18">
        <f t="shared" si="32"/>
        <v>34.260000000000005</v>
      </c>
    </row>
    <row r="91" spans="1:48">
      <c r="A91" s="38">
        <v>97</v>
      </c>
      <c r="B91" s="39" t="s">
        <v>158</v>
      </c>
      <c r="C91" s="20">
        <f t="shared" si="17"/>
        <v>0</v>
      </c>
      <c r="D91" s="23">
        <v>0</v>
      </c>
      <c r="E91" s="22">
        <v>0</v>
      </c>
      <c r="F91" s="20">
        <f t="shared" si="18"/>
        <v>0</v>
      </c>
      <c r="G91" s="23">
        <v>0</v>
      </c>
      <c r="H91" s="22">
        <v>0</v>
      </c>
      <c r="I91" s="20">
        <f t="shared" si="19"/>
        <v>0</v>
      </c>
      <c r="J91" s="23">
        <v>0</v>
      </c>
      <c r="K91" s="22">
        <v>0</v>
      </c>
      <c r="L91" s="20">
        <f t="shared" si="20"/>
        <v>3.5</v>
      </c>
      <c r="M91" s="23">
        <v>2</v>
      </c>
      <c r="N91" s="22">
        <v>1.5</v>
      </c>
      <c r="O91" s="20">
        <f t="shared" si="21"/>
        <v>8.16</v>
      </c>
      <c r="P91" s="23">
        <v>6</v>
      </c>
      <c r="Q91" s="22">
        <v>2.16</v>
      </c>
      <c r="R91" s="20">
        <f t="shared" si="22"/>
        <v>1</v>
      </c>
      <c r="S91" s="23">
        <v>1</v>
      </c>
      <c r="T91" s="22">
        <v>0</v>
      </c>
      <c r="U91" s="20">
        <f t="shared" si="23"/>
        <v>0</v>
      </c>
      <c r="V91" s="23">
        <v>0</v>
      </c>
      <c r="W91" s="22">
        <v>0</v>
      </c>
      <c r="X91" s="20">
        <f t="shared" si="24"/>
        <v>0</v>
      </c>
      <c r="Y91" s="23">
        <v>0</v>
      </c>
      <c r="Z91" s="22">
        <v>0</v>
      </c>
      <c r="AA91" s="20">
        <f t="shared" si="25"/>
        <v>0</v>
      </c>
      <c r="AB91" s="23">
        <v>0</v>
      </c>
      <c r="AC91" s="22">
        <v>0</v>
      </c>
      <c r="AD91" s="20">
        <f t="shared" si="26"/>
        <v>0</v>
      </c>
      <c r="AE91" s="23">
        <v>0</v>
      </c>
      <c r="AF91" s="22">
        <v>0</v>
      </c>
      <c r="AG91" s="20">
        <f t="shared" si="27"/>
        <v>0</v>
      </c>
      <c r="AH91" s="23">
        <v>0</v>
      </c>
      <c r="AI91" s="22">
        <v>0</v>
      </c>
      <c r="AJ91" s="20">
        <f t="shared" si="28"/>
        <v>1</v>
      </c>
      <c r="AK91" s="23">
        <v>1</v>
      </c>
      <c r="AL91" s="22">
        <v>0</v>
      </c>
      <c r="AM91" s="20">
        <f t="shared" si="29"/>
        <v>0</v>
      </c>
      <c r="AN91" s="23">
        <v>0</v>
      </c>
      <c r="AO91" s="22">
        <v>0</v>
      </c>
      <c r="AP91" s="20">
        <f t="shared" si="30"/>
        <v>0</v>
      </c>
      <c r="AQ91" s="23">
        <v>0</v>
      </c>
      <c r="AR91" s="22">
        <v>0</v>
      </c>
      <c r="AS91" s="20">
        <f t="shared" si="31"/>
        <v>0</v>
      </c>
      <c r="AT91" s="23">
        <v>0</v>
      </c>
      <c r="AU91" s="22">
        <v>0</v>
      </c>
      <c r="AV91" s="24">
        <f t="shared" si="32"/>
        <v>13.66</v>
      </c>
    </row>
    <row r="92" spans="1:48">
      <c r="A92" s="38" t="s">
        <v>159</v>
      </c>
      <c r="B92" s="39" t="s">
        <v>160</v>
      </c>
      <c r="C92" s="20">
        <f t="shared" si="17"/>
        <v>0</v>
      </c>
      <c r="D92" s="40">
        <v>0</v>
      </c>
      <c r="E92" s="41">
        <v>0</v>
      </c>
      <c r="F92" s="20">
        <f t="shared" si="18"/>
        <v>0</v>
      </c>
      <c r="G92" s="40">
        <v>0</v>
      </c>
      <c r="H92" s="41">
        <v>0</v>
      </c>
      <c r="I92" s="20">
        <f t="shared" si="19"/>
        <v>0</v>
      </c>
      <c r="J92" s="40">
        <v>0</v>
      </c>
      <c r="K92" s="41">
        <v>0</v>
      </c>
      <c r="L92" s="20">
        <f t="shared" si="20"/>
        <v>0</v>
      </c>
      <c r="M92" s="40">
        <v>0</v>
      </c>
      <c r="N92" s="41">
        <v>0</v>
      </c>
      <c r="O92" s="20">
        <f t="shared" si="21"/>
        <v>1.8129999999999999</v>
      </c>
      <c r="P92" s="40">
        <v>0.68300000000000005</v>
      </c>
      <c r="Q92" s="41">
        <v>1.1299999999999999</v>
      </c>
      <c r="R92" s="20">
        <f t="shared" si="22"/>
        <v>0</v>
      </c>
      <c r="S92" s="40">
        <v>0</v>
      </c>
      <c r="T92" s="41">
        <v>0</v>
      </c>
      <c r="U92" s="20">
        <f t="shared" si="23"/>
        <v>0</v>
      </c>
      <c r="V92" s="40">
        <v>0</v>
      </c>
      <c r="W92" s="41">
        <v>0</v>
      </c>
      <c r="X92" s="20">
        <f t="shared" si="24"/>
        <v>0</v>
      </c>
      <c r="Y92" s="40">
        <v>0</v>
      </c>
      <c r="Z92" s="41">
        <v>0</v>
      </c>
      <c r="AA92" s="20">
        <f t="shared" si="25"/>
        <v>1</v>
      </c>
      <c r="AB92" s="40">
        <v>1</v>
      </c>
      <c r="AC92" s="41">
        <v>0</v>
      </c>
      <c r="AD92" s="20">
        <f t="shared" si="26"/>
        <v>0</v>
      </c>
      <c r="AE92" s="40">
        <v>0</v>
      </c>
      <c r="AF92" s="41">
        <v>0</v>
      </c>
      <c r="AG92" s="20">
        <f t="shared" si="27"/>
        <v>0</v>
      </c>
      <c r="AH92" s="40">
        <v>0</v>
      </c>
      <c r="AI92" s="41">
        <v>0</v>
      </c>
      <c r="AJ92" s="20">
        <f t="shared" si="28"/>
        <v>1.88</v>
      </c>
      <c r="AK92" s="40">
        <v>1.88</v>
      </c>
      <c r="AL92" s="41">
        <v>0</v>
      </c>
      <c r="AM92" s="20">
        <f t="shared" si="29"/>
        <v>0</v>
      </c>
      <c r="AN92" s="40">
        <v>0</v>
      </c>
      <c r="AO92" s="41">
        <v>0</v>
      </c>
      <c r="AP92" s="20">
        <f t="shared" si="30"/>
        <v>0</v>
      </c>
      <c r="AQ92" s="40">
        <v>0</v>
      </c>
      <c r="AR92" s="41">
        <v>0</v>
      </c>
      <c r="AS92" s="20">
        <f t="shared" si="31"/>
        <v>0</v>
      </c>
      <c r="AT92" s="40">
        <v>0</v>
      </c>
      <c r="AU92" s="41">
        <v>0</v>
      </c>
      <c r="AV92" s="24">
        <f t="shared" si="32"/>
        <v>4.6929999999999996</v>
      </c>
    </row>
    <row r="93" spans="1:48">
      <c r="A93" s="38">
        <v>89</v>
      </c>
      <c r="B93" s="39" t="s">
        <v>161</v>
      </c>
      <c r="C93" s="20">
        <f t="shared" si="17"/>
        <v>1</v>
      </c>
      <c r="D93" s="21">
        <v>1</v>
      </c>
      <c r="E93" s="22">
        <v>0</v>
      </c>
      <c r="F93" s="20">
        <f t="shared" si="18"/>
        <v>0</v>
      </c>
      <c r="G93" s="21">
        <v>0</v>
      </c>
      <c r="H93" s="22">
        <v>0</v>
      </c>
      <c r="I93" s="20">
        <f t="shared" si="19"/>
        <v>0</v>
      </c>
      <c r="J93" s="21">
        <v>0</v>
      </c>
      <c r="K93" s="22">
        <v>0</v>
      </c>
      <c r="L93" s="20">
        <f t="shared" si="20"/>
        <v>8</v>
      </c>
      <c r="M93" s="21">
        <v>7</v>
      </c>
      <c r="N93" s="22">
        <v>1</v>
      </c>
      <c r="O93" s="20">
        <f t="shared" si="21"/>
        <v>0.4</v>
      </c>
      <c r="P93" s="21">
        <v>0.2</v>
      </c>
      <c r="Q93" s="22">
        <v>0.2</v>
      </c>
      <c r="R93" s="20">
        <f t="shared" si="22"/>
        <v>0.8</v>
      </c>
      <c r="S93" s="21">
        <v>0.8</v>
      </c>
      <c r="T93" s="22">
        <v>0</v>
      </c>
      <c r="U93" s="20">
        <f t="shared" si="23"/>
        <v>0</v>
      </c>
      <c r="V93" s="21">
        <v>0</v>
      </c>
      <c r="W93" s="22">
        <v>0</v>
      </c>
      <c r="X93" s="20">
        <f t="shared" si="24"/>
        <v>0</v>
      </c>
      <c r="Y93" s="21">
        <v>0</v>
      </c>
      <c r="Z93" s="22">
        <v>0</v>
      </c>
      <c r="AA93" s="20">
        <f t="shared" si="25"/>
        <v>0</v>
      </c>
      <c r="AB93" s="21">
        <v>0</v>
      </c>
      <c r="AC93" s="22">
        <v>0</v>
      </c>
      <c r="AD93" s="20">
        <f t="shared" si="26"/>
        <v>0</v>
      </c>
      <c r="AE93" s="21">
        <v>0</v>
      </c>
      <c r="AF93" s="22">
        <v>0</v>
      </c>
      <c r="AG93" s="20">
        <f t="shared" si="27"/>
        <v>0</v>
      </c>
      <c r="AH93" s="21">
        <v>0</v>
      </c>
      <c r="AI93" s="22">
        <v>0</v>
      </c>
      <c r="AJ93" s="20">
        <f t="shared" si="28"/>
        <v>0.8</v>
      </c>
      <c r="AK93" s="21">
        <v>0</v>
      </c>
      <c r="AL93" s="22">
        <v>0.8</v>
      </c>
      <c r="AM93" s="20">
        <f t="shared" si="29"/>
        <v>0</v>
      </c>
      <c r="AN93" s="21">
        <v>0</v>
      </c>
      <c r="AO93" s="22">
        <v>0</v>
      </c>
      <c r="AP93" s="20">
        <f t="shared" si="30"/>
        <v>0</v>
      </c>
      <c r="AQ93" s="21">
        <v>0</v>
      </c>
      <c r="AR93" s="22">
        <v>0</v>
      </c>
      <c r="AS93" s="20">
        <f t="shared" si="31"/>
        <v>0</v>
      </c>
      <c r="AT93" s="21">
        <v>0</v>
      </c>
      <c r="AU93" s="22">
        <v>0</v>
      </c>
      <c r="AV93" s="24">
        <f t="shared" si="32"/>
        <v>11.000000000000002</v>
      </c>
    </row>
    <row r="94" spans="1:48" ht="15.75" thickBot="1">
      <c r="A94" s="38" t="s">
        <v>162</v>
      </c>
      <c r="B94" s="39" t="s">
        <v>163</v>
      </c>
      <c r="C94" s="27">
        <f t="shared" si="17"/>
        <v>0</v>
      </c>
      <c r="D94" s="28">
        <v>0</v>
      </c>
      <c r="E94" s="29">
        <v>0</v>
      </c>
      <c r="F94" s="27">
        <f t="shared" si="18"/>
        <v>0</v>
      </c>
      <c r="G94" s="28">
        <v>0</v>
      </c>
      <c r="H94" s="29">
        <v>0</v>
      </c>
      <c r="I94" s="27">
        <f t="shared" si="19"/>
        <v>0</v>
      </c>
      <c r="J94" s="28">
        <v>0</v>
      </c>
      <c r="K94" s="29">
        <v>0</v>
      </c>
      <c r="L94" s="27">
        <f t="shared" si="20"/>
        <v>0.5</v>
      </c>
      <c r="M94" s="28">
        <v>0.5</v>
      </c>
      <c r="N94" s="29">
        <v>0</v>
      </c>
      <c r="O94" s="27">
        <f t="shared" si="21"/>
        <v>0</v>
      </c>
      <c r="P94" s="28">
        <v>0</v>
      </c>
      <c r="Q94" s="29">
        <v>0</v>
      </c>
      <c r="R94" s="27">
        <f t="shared" si="22"/>
        <v>13.167</v>
      </c>
      <c r="S94" s="28">
        <f>11.667+1</f>
        <v>12.667</v>
      </c>
      <c r="T94" s="29">
        <v>0.5</v>
      </c>
      <c r="U94" s="27">
        <f t="shared" si="23"/>
        <v>0</v>
      </c>
      <c r="V94" s="28">
        <v>0</v>
      </c>
      <c r="W94" s="29">
        <v>0</v>
      </c>
      <c r="X94" s="27">
        <f t="shared" si="24"/>
        <v>0</v>
      </c>
      <c r="Y94" s="28">
        <v>0</v>
      </c>
      <c r="Z94" s="29">
        <v>0</v>
      </c>
      <c r="AA94" s="27">
        <f t="shared" si="25"/>
        <v>0</v>
      </c>
      <c r="AB94" s="28">
        <v>0</v>
      </c>
      <c r="AC94" s="29">
        <v>0</v>
      </c>
      <c r="AD94" s="27">
        <f t="shared" si="26"/>
        <v>0</v>
      </c>
      <c r="AE94" s="28">
        <v>0</v>
      </c>
      <c r="AF94" s="29">
        <v>0</v>
      </c>
      <c r="AG94" s="27">
        <f t="shared" si="27"/>
        <v>0</v>
      </c>
      <c r="AH94" s="28">
        <v>0</v>
      </c>
      <c r="AI94" s="29">
        <v>0</v>
      </c>
      <c r="AJ94" s="27">
        <f t="shared" si="28"/>
        <v>1.111</v>
      </c>
      <c r="AK94" s="28">
        <v>1.111</v>
      </c>
      <c r="AL94" s="29">
        <v>0</v>
      </c>
      <c r="AM94" s="27">
        <f t="shared" si="29"/>
        <v>1</v>
      </c>
      <c r="AN94" s="28">
        <v>1</v>
      </c>
      <c r="AO94" s="29">
        <v>0</v>
      </c>
      <c r="AP94" s="27">
        <f t="shared" si="30"/>
        <v>0</v>
      </c>
      <c r="AQ94" s="28">
        <v>0</v>
      </c>
      <c r="AR94" s="29">
        <v>0</v>
      </c>
      <c r="AS94" s="27">
        <f t="shared" si="31"/>
        <v>0</v>
      </c>
      <c r="AT94" s="28">
        <v>0</v>
      </c>
      <c r="AU94" s="29">
        <v>0</v>
      </c>
      <c r="AV94" s="30">
        <f t="shared" si="32"/>
        <v>15.778</v>
      </c>
    </row>
    <row r="95" spans="1:48">
      <c r="A95" s="38" t="s">
        <v>164</v>
      </c>
      <c r="B95" s="39" t="s">
        <v>165</v>
      </c>
      <c r="C95" s="47">
        <f t="shared" si="17"/>
        <v>0</v>
      </c>
      <c r="D95" s="52">
        <v>0</v>
      </c>
      <c r="E95" s="18">
        <v>0</v>
      </c>
      <c r="F95" s="47">
        <f t="shared" si="18"/>
        <v>0</v>
      </c>
      <c r="G95" s="48">
        <v>0</v>
      </c>
      <c r="H95" s="49">
        <v>0</v>
      </c>
      <c r="I95" s="47">
        <f t="shared" si="19"/>
        <v>0</v>
      </c>
      <c r="J95" s="48">
        <v>0</v>
      </c>
      <c r="K95" s="49">
        <v>0</v>
      </c>
      <c r="L95" s="47">
        <f t="shared" si="20"/>
        <v>0</v>
      </c>
      <c r="M95" s="48">
        <v>0</v>
      </c>
      <c r="N95" s="49">
        <v>0</v>
      </c>
      <c r="O95" s="47">
        <f t="shared" si="21"/>
        <v>5</v>
      </c>
      <c r="P95" s="48">
        <v>2</v>
      </c>
      <c r="Q95" s="49">
        <v>3</v>
      </c>
      <c r="R95" s="47">
        <f t="shared" si="22"/>
        <v>0</v>
      </c>
      <c r="S95" s="48">
        <v>0</v>
      </c>
      <c r="T95" s="49">
        <v>0</v>
      </c>
      <c r="U95" s="47">
        <f t="shared" si="23"/>
        <v>0</v>
      </c>
      <c r="V95" s="48">
        <v>0</v>
      </c>
      <c r="W95" s="49">
        <v>0</v>
      </c>
      <c r="X95" s="47">
        <f t="shared" si="24"/>
        <v>0</v>
      </c>
      <c r="Y95" s="48">
        <v>0</v>
      </c>
      <c r="Z95" s="49">
        <v>0</v>
      </c>
      <c r="AA95" s="47">
        <f t="shared" si="25"/>
        <v>1</v>
      </c>
      <c r="AB95" s="48">
        <v>0</v>
      </c>
      <c r="AC95" s="49">
        <v>1</v>
      </c>
      <c r="AD95" s="47">
        <f t="shared" si="26"/>
        <v>0</v>
      </c>
      <c r="AE95" s="48">
        <v>0</v>
      </c>
      <c r="AF95" s="49">
        <v>0</v>
      </c>
      <c r="AG95" s="47">
        <f t="shared" si="27"/>
        <v>0</v>
      </c>
      <c r="AH95" s="48">
        <v>0</v>
      </c>
      <c r="AI95" s="49">
        <v>0</v>
      </c>
      <c r="AJ95" s="47">
        <f t="shared" si="28"/>
        <v>1</v>
      </c>
      <c r="AK95" s="48">
        <v>1</v>
      </c>
      <c r="AL95" s="49">
        <v>0</v>
      </c>
      <c r="AM95" s="47">
        <f t="shared" si="29"/>
        <v>0</v>
      </c>
      <c r="AN95" s="48">
        <v>0</v>
      </c>
      <c r="AO95" s="49">
        <v>0</v>
      </c>
      <c r="AP95" s="47">
        <f t="shared" si="30"/>
        <v>0</v>
      </c>
      <c r="AQ95" s="48">
        <v>0</v>
      </c>
      <c r="AR95" s="49">
        <v>0</v>
      </c>
      <c r="AS95" s="47">
        <f t="shared" si="31"/>
        <v>0</v>
      </c>
      <c r="AT95" s="48">
        <v>0</v>
      </c>
      <c r="AU95" s="49">
        <v>0</v>
      </c>
      <c r="AV95" s="18">
        <f t="shared" si="32"/>
        <v>7</v>
      </c>
    </row>
    <row r="96" spans="1:48">
      <c r="A96" s="38">
        <v>88</v>
      </c>
      <c r="B96" s="39" t="s">
        <v>166</v>
      </c>
      <c r="C96" s="42">
        <f t="shared" si="17"/>
        <v>0</v>
      </c>
      <c r="D96" s="21">
        <v>0</v>
      </c>
      <c r="E96" s="22">
        <v>0</v>
      </c>
      <c r="F96" s="43">
        <f t="shared" si="18"/>
        <v>0</v>
      </c>
      <c r="G96" s="21">
        <v>0</v>
      </c>
      <c r="H96" s="22">
        <v>0</v>
      </c>
      <c r="I96" s="42">
        <f t="shared" si="19"/>
        <v>0</v>
      </c>
      <c r="J96" s="21">
        <v>0</v>
      </c>
      <c r="K96" s="22">
        <v>0</v>
      </c>
      <c r="L96" s="42">
        <f t="shared" si="20"/>
        <v>0</v>
      </c>
      <c r="M96" s="21">
        <v>0</v>
      </c>
      <c r="N96" s="22">
        <v>0</v>
      </c>
      <c r="O96" s="42">
        <f t="shared" si="21"/>
        <v>2</v>
      </c>
      <c r="P96" s="21">
        <v>1</v>
      </c>
      <c r="Q96" s="22">
        <v>1</v>
      </c>
      <c r="R96" s="42">
        <f t="shared" si="22"/>
        <v>0</v>
      </c>
      <c r="S96" s="21">
        <v>0</v>
      </c>
      <c r="T96" s="22">
        <v>0</v>
      </c>
      <c r="U96" s="42">
        <f t="shared" si="23"/>
        <v>0</v>
      </c>
      <c r="V96" s="21">
        <v>0</v>
      </c>
      <c r="W96" s="22">
        <v>0</v>
      </c>
      <c r="X96" s="42">
        <f t="shared" si="24"/>
        <v>0</v>
      </c>
      <c r="Y96" s="21">
        <v>0</v>
      </c>
      <c r="Z96" s="22">
        <v>0</v>
      </c>
      <c r="AA96" s="42">
        <f t="shared" si="25"/>
        <v>0</v>
      </c>
      <c r="AB96" s="21">
        <v>0</v>
      </c>
      <c r="AC96" s="22">
        <v>0</v>
      </c>
      <c r="AD96" s="42">
        <f t="shared" si="26"/>
        <v>0</v>
      </c>
      <c r="AE96" s="21">
        <v>0</v>
      </c>
      <c r="AF96" s="22">
        <v>0</v>
      </c>
      <c r="AG96" s="42">
        <f t="shared" si="27"/>
        <v>0</v>
      </c>
      <c r="AH96" s="21">
        <v>0</v>
      </c>
      <c r="AI96" s="22">
        <v>0</v>
      </c>
      <c r="AJ96" s="42">
        <f t="shared" si="28"/>
        <v>0</v>
      </c>
      <c r="AK96" s="21">
        <v>0</v>
      </c>
      <c r="AL96" s="22">
        <v>0</v>
      </c>
      <c r="AM96" s="42">
        <f t="shared" si="29"/>
        <v>0</v>
      </c>
      <c r="AN96" s="21">
        <v>0</v>
      </c>
      <c r="AO96" s="22">
        <v>0</v>
      </c>
      <c r="AP96" s="42">
        <f t="shared" si="30"/>
        <v>0</v>
      </c>
      <c r="AQ96" s="21">
        <v>0</v>
      </c>
      <c r="AR96" s="22">
        <v>0</v>
      </c>
      <c r="AS96" s="42">
        <f t="shared" si="31"/>
        <v>0</v>
      </c>
      <c r="AT96" s="21">
        <v>0</v>
      </c>
      <c r="AU96" s="22">
        <v>0</v>
      </c>
      <c r="AV96" s="24">
        <f t="shared" si="32"/>
        <v>2</v>
      </c>
    </row>
    <row r="97" spans="1:48">
      <c r="A97" s="38" t="s">
        <v>167</v>
      </c>
      <c r="B97" s="39" t="s">
        <v>168</v>
      </c>
      <c r="C97" s="20">
        <f t="shared" si="17"/>
        <v>0</v>
      </c>
      <c r="D97" s="23">
        <v>0</v>
      </c>
      <c r="E97" s="22">
        <v>0</v>
      </c>
      <c r="F97" s="20">
        <f t="shared" si="18"/>
        <v>0</v>
      </c>
      <c r="G97" s="23">
        <v>0</v>
      </c>
      <c r="H97" s="22">
        <v>0</v>
      </c>
      <c r="I97" s="20">
        <f t="shared" si="19"/>
        <v>2</v>
      </c>
      <c r="J97" s="23">
        <v>2</v>
      </c>
      <c r="K97" s="22">
        <v>0</v>
      </c>
      <c r="L97" s="20">
        <f t="shared" si="20"/>
        <v>24.553000000000001</v>
      </c>
      <c r="M97" s="23">
        <v>23.553000000000001</v>
      </c>
      <c r="N97" s="22">
        <v>1</v>
      </c>
      <c r="O97" s="20">
        <f t="shared" si="21"/>
        <v>10.243</v>
      </c>
      <c r="P97" s="23">
        <v>8.2430000000000003</v>
      </c>
      <c r="Q97" s="22">
        <v>2</v>
      </c>
      <c r="R97" s="20">
        <f t="shared" si="22"/>
        <v>1.2849999999999999</v>
      </c>
      <c r="S97" s="23">
        <v>1.2849999999999999</v>
      </c>
      <c r="T97" s="22">
        <v>0</v>
      </c>
      <c r="U97" s="20">
        <f t="shared" si="23"/>
        <v>0</v>
      </c>
      <c r="V97" s="23">
        <v>0</v>
      </c>
      <c r="W97" s="22">
        <v>0</v>
      </c>
      <c r="X97" s="20">
        <f t="shared" si="24"/>
        <v>0</v>
      </c>
      <c r="Y97" s="23">
        <v>0</v>
      </c>
      <c r="Z97" s="22">
        <v>0</v>
      </c>
      <c r="AA97" s="20">
        <f t="shared" si="25"/>
        <v>0</v>
      </c>
      <c r="AB97" s="23">
        <v>0</v>
      </c>
      <c r="AC97" s="22">
        <v>0</v>
      </c>
      <c r="AD97" s="20">
        <f t="shared" si="26"/>
        <v>0</v>
      </c>
      <c r="AE97" s="23">
        <v>0</v>
      </c>
      <c r="AF97" s="22">
        <v>0</v>
      </c>
      <c r="AG97" s="20">
        <f t="shared" si="27"/>
        <v>0</v>
      </c>
      <c r="AH97" s="23">
        <v>0</v>
      </c>
      <c r="AI97" s="22">
        <v>0</v>
      </c>
      <c r="AJ97" s="20">
        <f t="shared" si="28"/>
        <v>2</v>
      </c>
      <c r="AK97" s="23">
        <v>1</v>
      </c>
      <c r="AL97" s="22">
        <v>1</v>
      </c>
      <c r="AM97" s="20">
        <f t="shared" si="29"/>
        <v>0</v>
      </c>
      <c r="AN97" s="23">
        <v>0</v>
      </c>
      <c r="AO97" s="22">
        <v>0</v>
      </c>
      <c r="AP97" s="20">
        <f t="shared" si="30"/>
        <v>0</v>
      </c>
      <c r="AQ97" s="23">
        <v>0</v>
      </c>
      <c r="AR97" s="22">
        <v>0</v>
      </c>
      <c r="AS97" s="20">
        <f t="shared" si="31"/>
        <v>0.67</v>
      </c>
      <c r="AT97" s="23">
        <v>0.67</v>
      </c>
      <c r="AU97" s="22">
        <v>0</v>
      </c>
      <c r="AV97" s="24">
        <f t="shared" si="32"/>
        <v>40.750999999999998</v>
      </c>
    </row>
    <row r="98" spans="1:48">
      <c r="A98" s="38" t="s">
        <v>169</v>
      </c>
      <c r="B98" s="39" t="s">
        <v>170</v>
      </c>
      <c r="C98" s="20">
        <f t="shared" si="17"/>
        <v>0</v>
      </c>
      <c r="D98" s="23">
        <v>0</v>
      </c>
      <c r="E98" s="22">
        <v>0</v>
      </c>
      <c r="F98" s="20">
        <f t="shared" si="18"/>
        <v>0</v>
      </c>
      <c r="G98" s="23">
        <v>0</v>
      </c>
      <c r="H98" s="22">
        <v>0</v>
      </c>
      <c r="I98" s="20">
        <f t="shared" si="19"/>
        <v>2</v>
      </c>
      <c r="J98" s="23">
        <v>2</v>
      </c>
      <c r="K98" s="22">
        <v>0</v>
      </c>
      <c r="L98" s="20">
        <f t="shared" si="20"/>
        <v>19</v>
      </c>
      <c r="M98" s="23">
        <v>17</v>
      </c>
      <c r="N98" s="22">
        <v>2</v>
      </c>
      <c r="O98" s="20">
        <f t="shared" si="21"/>
        <v>0</v>
      </c>
      <c r="P98" s="23">
        <v>0</v>
      </c>
      <c r="Q98" s="22">
        <v>0</v>
      </c>
      <c r="R98" s="20">
        <f t="shared" si="22"/>
        <v>1</v>
      </c>
      <c r="S98" s="23">
        <v>1</v>
      </c>
      <c r="T98" s="22">
        <v>0</v>
      </c>
      <c r="U98" s="20">
        <f t="shared" si="23"/>
        <v>0</v>
      </c>
      <c r="V98" s="23">
        <v>0</v>
      </c>
      <c r="W98" s="22">
        <v>0</v>
      </c>
      <c r="X98" s="20">
        <f t="shared" si="24"/>
        <v>0</v>
      </c>
      <c r="Y98" s="23">
        <v>0</v>
      </c>
      <c r="Z98" s="22">
        <v>0</v>
      </c>
      <c r="AA98" s="20">
        <f t="shared" si="25"/>
        <v>0</v>
      </c>
      <c r="AB98" s="23">
        <v>0</v>
      </c>
      <c r="AC98" s="22">
        <v>0</v>
      </c>
      <c r="AD98" s="20">
        <f t="shared" si="26"/>
        <v>0</v>
      </c>
      <c r="AE98" s="23">
        <v>0</v>
      </c>
      <c r="AF98" s="22">
        <v>0</v>
      </c>
      <c r="AG98" s="20">
        <f t="shared" si="27"/>
        <v>0</v>
      </c>
      <c r="AH98" s="23">
        <v>0</v>
      </c>
      <c r="AI98" s="22">
        <v>0</v>
      </c>
      <c r="AJ98" s="20">
        <f t="shared" si="28"/>
        <v>1</v>
      </c>
      <c r="AK98" s="23">
        <v>1</v>
      </c>
      <c r="AL98" s="22">
        <v>0</v>
      </c>
      <c r="AM98" s="20">
        <f t="shared" si="29"/>
        <v>0</v>
      </c>
      <c r="AN98" s="23">
        <v>0</v>
      </c>
      <c r="AO98" s="22">
        <v>0</v>
      </c>
      <c r="AP98" s="20">
        <f t="shared" si="30"/>
        <v>0</v>
      </c>
      <c r="AQ98" s="23">
        <v>0</v>
      </c>
      <c r="AR98" s="22">
        <v>0</v>
      </c>
      <c r="AS98" s="20">
        <f t="shared" si="31"/>
        <v>0</v>
      </c>
      <c r="AT98" s="23">
        <v>0</v>
      </c>
      <c r="AU98" s="22">
        <v>0</v>
      </c>
      <c r="AV98" s="24">
        <f t="shared" si="32"/>
        <v>23</v>
      </c>
    </row>
    <row r="99" spans="1:48" ht="15.75" thickBot="1">
      <c r="A99" s="38">
        <v>94</v>
      </c>
      <c r="B99" s="39" t="s">
        <v>171</v>
      </c>
      <c r="C99" s="27">
        <f t="shared" si="17"/>
        <v>0</v>
      </c>
      <c r="D99" s="45">
        <v>0</v>
      </c>
      <c r="E99" s="29">
        <v>0</v>
      </c>
      <c r="F99" s="27">
        <f t="shared" si="18"/>
        <v>0</v>
      </c>
      <c r="G99" s="45">
        <v>0</v>
      </c>
      <c r="H99" s="29">
        <v>0</v>
      </c>
      <c r="I99" s="27">
        <f t="shared" si="19"/>
        <v>1</v>
      </c>
      <c r="J99" s="45">
        <v>1</v>
      </c>
      <c r="K99" s="29">
        <v>0</v>
      </c>
      <c r="L99" s="27">
        <f t="shared" si="20"/>
        <v>13.700000000000001</v>
      </c>
      <c r="M99" s="45">
        <v>11.3</v>
      </c>
      <c r="N99" s="29">
        <v>2.4</v>
      </c>
      <c r="O99" s="27">
        <f t="shared" si="21"/>
        <v>4.8000000000000007</v>
      </c>
      <c r="P99" s="45">
        <v>3.2</v>
      </c>
      <c r="Q99" s="29">
        <v>1.6</v>
      </c>
      <c r="R99" s="27">
        <f t="shared" si="22"/>
        <v>2</v>
      </c>
      <c r="S99" s="45">
        <v>2</v>
      </c>
      <c r="T99" s="29">
        <v>0</v>
      </c>
      <c r="U99" s="27">
        <f t="shared" si="23"/>
        <v>0</v>
      </c>
      <c r="V99" s="45">
        <v>0</v>
      </c>
      <c r="W99" s="29">
        <v>0</v>
      </c>
      <c r="X99" s="27">
        <f t="shared" si="24"/>
        <v>0</v>
      </c>
      <c r="Y99" s="45">
        <v>0</v>
      </c>
      <c r="Z99" s="29">
        <v>0</v>
      </c>
      <c r="AA99" s="27">
        <f t="shared" si="25"/>
        <v>0</v>
      </c>
      <c r="AB99" s="45">
        <v>0</v>
      </c>
      <c r="AC99" s="29">
        <v>0</v>
      </c>
      <c r="AD99" s="27">
        <f t="shared" si="26"/>
        <v>0</v>
      </c>
      <c r="AE99" s="45">
        <v>0</v>
      </c>
      <c r="AF99" s="29">
        <v>0</v>
      </c>
      <c r="AG99" s="27">
        <f t="shared" si="27"/>
        <v>0</v>
      </c>
      <c r="AH99" s="45">
        <v>0</v>
      </c>
      <c r="AI99" s="29">
        <v>0</v>
      </c>
      <c r="AJ99" s="27">
        <f t="shared" si="28"/>
        <v>1</v>
      </c>
      <c r="AK99" s="45">
        <v>0</v>
      </c>
      <c r="AL99" s="29">
        <v>1</v>
      </c>
      <c r="AM99" s="27">
        <f t="shared" si="29"/>
        <v>0</v>
      </c>
      <c r="AN99" s="45">
        <v>0</v>
      </c>
      <c r="AO99" s="29">
        <v>0</v>
      </c>
      <c r="AP99" s="27">
        <f t="shared" si="30"/>
        <v>0</v>
      </c>
      <c r="AQ99" s="45">
        <v>0</v>
      </c>
      <c r="AR99" s="29">
        <v>0</v>
      </c>
      <c r="AS99" s="27">
        <f t="shared" si="31"/>
        <v>0</v>
      </c>
      <c r="AT99" s="45">
        <v>0</v>
      </c>
      <c r="AU99" s="29">
        <v>0</v>
      </c>
      <c r="AV99" s="30">
        <f t="shared" si="32"/>
        <v>22.5</v>
      </c>
    </row>
    <row r="100" spans="1:48">
      <c r="A100" s="38" t="s">
        <v>172</v>
      </c>
      <c r="B100" s="39" t="s">
        <v>173</v>
      </c>
      <c r="C100" s="42">
        <f t="shared" si="17"/>
        <v>0</v>
      </c>
      <c r="D100" s="21">
        <v>0</v>
      </c>
      <c r="E100" s="22">
        <v>0</v>
      </c>
      <c r="F100" s="42">
        <f t="shared" si="18"/>
        <v>0</v>
      </c>
      <c r="G100" s="21">
        <v>0</v>
      </c>
      <c r="H100" s="22">
        <v>0</v>
      </c>
      <c r="I100" s="42">
        <f t="shared" si="19"/>
        <v>2</v>
      </c>
      <c r="J100" s="21">
        <v>2</v>
      </c>
      <c r="K100" s="22">
        <v>0</v>
      </c>
      <c r="L100" s="42">
        <f t="shared" si="20"/>
        <v>14.4</v>
      </c>
      <c r="M100" s="21">
        <v>11</v>
      </c>
      <c r="N100" s="22">
        <v>3.4</v>
      </c>
      <c r="O100" s="42">
        <f t="shared" si="21"/>
        <v>3.6</v>
      </c>
      <c r="P100" s="21">
        <v>3</v>
      </c>
      <c r="Q100" s="22">
        <v>0.6</v>
      </c>
      <c r="R100" s="42">
        <f t="shared" si="22"/>
        <v>1.944</v>
      </c>
      <c r="S100" s="21">
        <v>0.94399999999999995</v>
      </c>
      <c r="T100" s="22">
        <v>1</v>
      </c>
      <c r="U100" s="42">
        <f t="shared" si="23"/>
        <v>1</v>
      </c>
      <c r="V100" s="21">
        <v>1</v>
      </c>
      <c r="W100" s="22">
        <v>0</v>
      </c>
      <c r="X100" s="42">
        <f t="shared" si="24"/>
        <v>0</v>
      </c>
      <c r="Y100" s="21">
        <v>0</v>
      </c>
      <c r="Z100" s="22">
        <v>0</v>
      </c>
      <c r="AA100" s="42">
        <f t="shared" si="25"/>
        <v>0</v>
      </c>
      <c r="AB100" s="21">
        <v>0</v>
      </c>
      <c r="AC100" s="22">
        <v>0</v>
      </c>
      <c r="AD100" s="42">
        <f t="shared" si="26"/>
        <v>0</v>
      </c>
      <c r="AE100" s="21">
        <v>0</v>
      </c>
      <c r="AF100" s="22">
        <v>0</v>
      </c>
      <c r="AG100" s="42">
        <f t="shared" si="27"/>
        <v>0</v>
      </c>
      <c r="AH100" s="21">
        <v>0</v>
      </c>
      <c r="AI100" s="22">
        <v>0</v>
      </c>
      <c r="AJ100" s="42">
        <f t="shared" si="28"/>
        <v>1</v>
      </c>
      <c r="AK100" s="21">
        <v>0</v>
      </c>
      <c r="AL100" s="22">
        <v>1</v>
      </c>
      <c r="AM100" s="42">
        <f t="shared" si="29"/>
        <v>1</v>
      </c>
      <c r="AN100" s="21">
        <v>1</v>
      </c>
      <c r="AO100" s="22">
        <v>0</v>
      </c>
      <c r="AP100" s="42">
        <f t="shared" si="30"/>
        <v>0</v>
      </c>
      <c r="AQ100" s="21">
        <v>0</v>
      </c>
      <c r="AR100" s="22">
        <v>0</v>
      </c>
      <c r="AS100" s="42">
        <f t="shared" si="31"/>
        <v>0</v>
      </c>
      <c r="AT100" s="21">
        <v>0</v>
      </c>
      <c r="AU100" s="22">
        <v>0</v>
      </c>
      <c r="AV100" s="24">
        <f t="shared" si="32"/>
        <v>24.943999999999999</v>
      </c>
    </row>
    <row r="101" spans="1:48">
      <c r="A101" s="38">
        <v>95</v>
      </c>
      <c r="B101" s="39" t="s">
        <v>174</v>
      </c>
      <c r="C101" s="42">
        <f t="shared" si="17"/>
        <v>0</v>
      </c>
      <c r="D101" s="21">
        <v>0</v>
      </c>
      <c r="E101" s="22">
        <v>0</v>
      </c>
      <c r="F101" s="42">
        <f t="shared" si="18"/>
        <v>0</v>
      </c>
      <c r="G101" s="21">
        <v>0</v>
      </c>
      <c r="H101" s="22">
        <v>0</v>
      </c>
      <c r="I101" s="42">
        <f t="shared" si="19"/>
        <v>1</v>
      </c>
      <c r="J101" s="21">
        <v>1</v>
      </c>
      <c r="K101" s="22">
        <v>0</v>
      </c>
      <c r="L101" s="42">
        <f t="shared" si="20"/>
        <v>15.38</v>
      </c>
      <c r="M101" s="21">
        <v>14.63</v>
      </c>
      <c r="N101" s="22">
        <v>0.75</v>
      </c>
      <c r="O101" s="42">
        <f t="shared" si="21"/>
        <v>6.87</v>
      </c>
      <c r="P101" s="21">
        <v>3.87</v>
      </c>
      <c r="Q101" s="22">
        <v>3</v>
      </c>
      <c r="R101" s="42">
        <f t="shared" si="22"/>
        <v>1</v>
      </c>
      <c r="S101" s="21">
        <v>0</v>
      </c>
      <c r="T101" s="22">
        <v>1</v>
      </c>
      <c r="U101" s="42">
        <f t="shared" si="23"/>
        <v>0</v>
      </c>
      <c r="V101" s="21">
        <v>0</v>
      </c>
      <c r="W101" s="22">
        <v>0</v>
      </c>
      <c r="X101" s="42">
        <f t="shared" si="24"/>
        <v>0</v>
      </c>
      <c r="Y101" s="21">
        <v>0</v>
      </c>
      <c r="Z101" s="22">
        <v>0</v>
      </c>
      <c r="AA101" s="42">
        <f t="shared" si="25"/>
        <v>0</v>
      </c>
      <c r="AB101" s="21">
        <v>0</v>
      </c>
      <c r="AC101" s="22">
        <v>0</v>
      </c>
      <c r="AD101" s="42">
        <f t="shared" si="26"/>
        <v>0.75</v>
      </c>
      <c r="AE101" s="21">
        <v>0</v>
      </c>
      <c r="AF101" s="22">
        <v>0.75</v>
      </c>
      <c r="AG101" s="42">
        <f t="shared" si="27"/>
        <v>0</v>
      </c>
      <c r="AH101" s="21">
        <v>0</v>
      </c>
      <c r="AI101" s="22">
        <v>0</v>
      </c>
      <c r="AJ101" s="42">
        <f t="shared" si="28"/>
        <v>1</v>
      </c>
      <c r="AK101" s="21">
        <v>0</v>
      </c>
      <c r="AL101" s="22">
        <v>1</v>
      </c>
      <c r="AM101" s="42">
        <f t="shared" si="29"/>
        <v>0</v>
      </c>
      <c r="AN101" s="21">
        <v>0</v>
      </c>
      <c r="AO101" s="22">
        <v>0</v>
      </c>
      <c r="AP101" s="42">
        <f t="shared" si="30"/>
        <v>0</v>
      </c>
      <c r="AQ101" s="21">
        <v>0</v>
      </c>
      <c r="AR101" s="22">
        <v>0</v>
      </c>
      <c r="AS101" s="42">
        <f t="shared" si="31"/>
        <v>0</v>
      </c>
      <c r="AT101" s="21">
        <v>0</v>
      </c>
      <c r="AU101" s="22">
        <v>0</v>
      </c>
      <c r="AV101" s="24">
        <f t="shared" si="32"/>
        <v>26.000000000000004</v>
      </c>
    </row>
    <row r="102" spans="1:48">
      <c r="A102" s="38">
        <v>90</v>
      </c>
      <c r="B102" s="39" t="s">
        <v>175</v>
      </c>
      <c r="C102" s="42">
        <f t="shared" si="17"/>
        <v>0</v>
      </c>
      <c r="D102" s="21">
        <v>0</v>
      </c>
      <c r="E102" s="22">
        <v>0</v>
      </c>
      <c r="F102" s="42">
        <f t="shared" si="18"/>
        <v>0</v>
      </c>
      <c r="G102" s="21">
        <v>0</v>
      </c>
      <c r="H102" s="22">
        <v>0</v>
      </c>
      <c r="I102" s="42">
        <f t="shared" si="19"/>
        <v>0</v>
      </c>
      <c r="J102" s="21">
        <v>0</v>
      </c>
      <c r="K102" s="22">
        <v>0</v>
      </c>
      <c r="L102" s="42">
        <f t="shared" si="20"/>
        <v>0</v>
      </c>
      <c r="M102" s="21">
        <v>0</v>
      </c>
      <c r="N102" s="22">
        <v>0</v>
      </c>
      <c r="O102" s="20">
        <f t="shared" si="21"/>
        <v>12.336</v>
      </c>
      <c r="P102" s="23">
        <v>6.3360000000000003</v>
      </c>
      <c r="Q102" s="53">
        <v>6</v>
      </c>
      <c r="R102" s="42">
        <f t="shared" si="22"/>
        <v>0</v>
      </c>
      <c r="S102" s="21">
        <v>0</v>
      </c>
      <c r="T102" s="22">
        <v>0</v>
      </c>
      <c r="U102" s="42">
        <f t="shared" si="23"/>
        <v>0.34</v>
      </c>
      <c r="V102" s="21">
        <v>0</v>
      </c>
      <c r="W102" s="22">
        <v>0.34</v>
      </c>
      <c r="X102" s="42">
        <f t="shared" si="24"/>
        <v>0</v>
      </c>
      <c r="Y102" s="21">
        <v>0</v>
      </c>
      <c r="Z102" s="22">
        <v>0</v>
      </c>
      <c r="AA102" s="42">
        <f t="shared" si="25"/>
        <v>1</v>
      </c>
      <c r="AB102" s="21">
        <v>1</v>
      </c>
      <c r="AC102" s="22">
        <v>0</v>
      </c>
      <c r="AD102" s="42">
        <f t="shared" si="26"/>
        <v>1</v>
      </c>
      <c r="AE102" s="21">
        <v>1</v>
      </c>
      <c r="AF102" s="22">
        <v>0</v>
      </c>
      <c r="AG102" s="42">
        <f t="shared" si="27"/>
        <v>0</v>
      </c>
      <c r="AH102" s="21">
        <v>0</v>
      </c>
      <c r="AI102" s="22">
        <v>0</v>
      </c>
      <c r="AJ102" s="42">
        <f t="shared" si="28"/>
        <v>2.46</v>
      </c>
      <c r="AK102" s="21">
        <v>0.5</v>
      </c>
      <c r="AL102" s="22">
        <v>1.96</v>
      </c>
      <c r="AM102" s="42">
        <f t="shared" si="29"/>
        <v>0</v>
      </c>
      <c r="AN102" s="21">
        <v>0</v>
      </c>
      <c r="AO102" s="22">
        <v>0</v>
      </c>
      <c r="AP102" s="42">
        <f t="shared" si="30"/>
        <v>0</v>
      </c>
      <c r="AQ102" s="21">
        <v>0</v>
      </c>
      <c r="AR102" s="22">
        <v>0</v>
      </c>
      <c r="AS102" s="42">
        <f t="shared" si="31"/>
        <v>0</v>
      </c>
      <c r="AT102" s="21">
        <v>0</v>
      </c>
      <c r="AU102" s="22">
        <v>0</v>
      </c>
      <c r="AV102" s="24">
        <f t="shared" si="32"/>
        <v>17.135999999999999</v>
      </c>
    </row>
    <row r="103" spans="1:48">
      <c r="A103" s="38" t="s">
        <v>176</v>
      </c>
      <c r="B103" s="39" t="s">
        <v>177</v>
      </c>
      <c r="C103" s="42">
        <f t="shared" si="17"/>
        <v>0</v>
      </c>
      <c r="D103" s="21">
        <v>0</v>
      </c>
      <c r="E103" s="22">
        <v>0</v>
      </c>
      <c r="F103" s="42">
        <f t="shared" si="18"/>
        <v>0</v>
      </c>
      <c r="G103" s="21">
        <v>0</v>
      </c>
      <c r="H103" s="22">
        <v>0</v>
      </c>
      <c r="I103" s="42">
        <f t="shared" si="19"/>
        <v>0</v>
      </c>
      <c r="J103" s="21">
        <v>0</v>
      </c>
      <c r="K103" s="22">
        <v>0</v>
      </c>
      <c r="L103" s="42">
        <f t="shared" si="20"/>
        <v>0</v>
      </c>
      <c r="M103" s="21">
        <v>0</v>
      </c>
      <c r="N103" s="22">
        <v>0</v>
      </c>
      <c r="O103" s="42">
        <f t="shared" si="21"/>
        <v>9.6000000000000014</v>
      </c>
      <c r="P103" s="21">
        <v>4.4000000000000004</v>
      </c>
      <c r="Q103" s="22">
        <v>5.2</v>
      </c>
      <c r="R103" s="42">
        <f t="shared" si="22"/>
        <v>0</v>
      </c>
      <c r="S103" s="21">
        <v>0</v>
      </c>
      <c r="T103" s="22">
        <v>0</v>
      </c>
      <c r="U103" s="42">
        <f t="shared" si="23"/>
        <v>0</v>
      </c>
      <c r="V103" s="21">
        <v>0</v>
      </c>
      <c r="W103" s="22">
        <v>0</v>
      </c>
      <c r="X103" s="42">
        <f t="shared" si="24"/>
        <v>0</v>
      </c>
      <c r="Y103" s="21">
        <v>0</v>
      </c>
      <c r="Z103" s="22">
        <v>0</v>
      </c>
      <c r="AA103" s="42">
        <f t="shared" si="25"/>
        <v>2.52</v>
      </c>
      <c r="AB103" s="21">
        <v>0.9</v>
      </c>
      <c r="AC103" s="22">
        <v>1.62</v>
      </c>
      <c r="AD103" s="42">
        <f t="shared" si="26"/>
        <v>0</v>
      </c>
      <c r="AE103" s="21">
        <v>0</v>
      </c>
      <c r="AF103" s="22">
        <v>0</v>
      </c>
      <c r="AG103" s="42">
        <f t="shared" si="27"/>
        <v>0</v>
      </c>
      <c r="AH103" s="21">
        <v>0</v>
      </c>
      <c r="AI103" s="22">
        <v>0</v>
      </c>
      <c r="AJ103" s="42">
        <f t="shared" si="28"/>
        <v>1.28</v>
      </c>
      <c r="AK103" s="21">
        <v>0.1</v>
      </c>
      <c r="AL103" s="22">
        <v>1.18</v>
      </c>
      <c r="AM103" s="42">
        <f t="shared" si="29"/>
        <v>0</v>
      </c>
      <c r="AN103" s="21">
        <v>0</v>
      </c>
      <c r="AO103" s="22">
        <v>0</v>
      </c>
      <c r="AP103" s="42">
        <f t="shared" si="30"/>
        <v>0</v>
      </c>
      <c r="AQ103" s="21">
        <v>0</v>
      </c>
      <c r="AR103" s="22">
        <v>0</v>
      </c>
      <c r="AS103" s="42">
        <f t="shared" si="31"/>
        <v>0</v>
      </c>
      <c r="AT103" s="21">
        <v>0</v>
      </c>
      <c r="AU103" s="22">
        <v>0</v>
      </c>
      <c r="AV103" s="24">
        <f t="shared" si="32"/>
        <v>13.4</v>
      </c>
    </row>
    <row r="104" spans="1:48">
      <c r="A104" s="38">
        <v>92</v>
      </c>
      <c r="B104" s="39" t="s">
        <v>178</v>
      </c>
      <c r="C104" s="42">
        <f t="shared" si="17"/>
        <v>0</v>
      </c>
      <c r="D104" s="21">
        <v>0</v>
      </c>
      <c r="E104" s="22">
        <v>0</v>
      </c>
      <c r="F104" s="42">
        <f t="shared" si="18"/>
        <v>0</v>
      </c>
      <c r="G104" s="21">
        <v>0</v>
      </c>
      <c r="H104" s="22">
        <v>0</v>
      </c>
      <c r="I104" s="42">
        <f t="shared" si="19"/>
        <v>0</v>
      </c>
      <c r="J104" s="21">
        <v>0</v>
      </c>
      <c r="K104" s="22">
        <v>0</v>
      </c>
      <c r="L104" s="42">
        <f t="shared" si="20"/>
        <v>0</v>
      </c>
      <c r="M104" s="21">
        <v>0</v>
      </c>
      <c r="N104" s="22">
        <v>0</v>
      </c>
      <c r="O104" s="42">
        <f t="shared" si="21"/>
        <v>1.7930000000000001</v>
      </c>
      <c r="P104" s="21">
        <v>1</v>
      </c>
      <c r="Q104" s="22">
        <v>0.79300000000000004</v>
      </c>
      <c r="R104" s="42">
        <f t="shared" si="22"/>
        <v>1</v>
      </c>
      <c r="S104" s="21">
        <v>1</v>
      </c>
      <c r="T104" s="22">
        <v>0</v>
      </c>
      <c r="U104" s="42">
        <f t="shared" si="23"/>
        <v>0</v>
      </c>
      <c r="V104" s="21">
        <v>0</v>
      </c>
      <c r="W104" s="22">
        <v>0</v>
      </c>
      <c r="X104" s="42">
        <f t="shared" si="24"/>
        <v>0</v>
      </c>
      <c r="Y104" s="21">
        <v>0</v>
      </c>
      <c r="Z104" s="22">
        <v>0</v>
      </c>
      <c r="AA104" s="42">
        <f t="shared" si="25"/>
        <v>1</v>
      </c>
      <c r="AB104" s="21">
        <v>0</v>
      </c>
      <c r="AC104" s="22">
        <v>1</v>
      </c>
      <c r="AD104" s="42">
        <f t="shared" si="26"/>
        <v>0</v>
      </c>
      <c r="AE104" s="21">
        <v>0</v>
      </c>
      <c r="AF104" s="22">
        <v>0</v>
      </c>
      <c r="AG104" s="42">
        <f t="shared" si="27"/>
        <v>0</v>
      </c>
      <c r="AH104" s="21">
        <v>0</v>
      </c>
      <c r="AI104" s="22">
        <v>0</v>
      </c>
      <c r="AJ104" s="42">
        <f t="shared" si="28"/>
        <v>1</v>
      </c>
      <c r="AK104" s="21">
        <v>0</v>
      </c>
      <c r="AL104" s="22">
        <v>1</v>
      </c>
      <c r="AM104" s="42">
        <f t="shared" si="29"/>
        <v>0</v>
      </c>
      <c r="AN104" s="21">
        <v>0</v>
      </c>
      <c r="AO104" s="22">
        <v>0</v>
      </c>
      <c r="AP104" s="42">
        <f t="shared" si="30"/>
        <v>0</v>
      </c>
      <c r="AQ104" s="21">
        <v>0</v>
      </c>
      <c r="AR104" s="22">
        <v>0</v>
      </c>
      <c r="AS104" s="42">
        <f t="shared" si="31"/>
        <v>0</v>
      </c>
      <c r="AT104" s="21">
        <v>0</v>
      </c>
      <c r="AU104" s="22">
        <v>0</v>
      </c>
      <c r="AV104" s="24">
        <f t="shared" si="32"/>
        <v>4.7930000000000001</v>
      </c>
    </row>
    <row r="105" spans="1:48">
      <c r="A105" s="38">
        <v>81</v>
      </c>
      <c r="B105" s="39" t="s">
        <v>179</v>
      </c>
      <c r="C105" s="42">
        <f t="shared" si="17"/>
        <v>0</v>
      </c>
      <c r="D105" s="21">
        <v>0</v>
      </c>
      <c r="E105" s="22">
        <v>0</v>
      </c>
      <c r="F105" s="42">
        <f t="shared" si="18"/>
        <v>0</v>
      </c>
      <c r="G105" s="21">
        <v>0</v>
      </c>
      <c r="H105" s="22">
        <v>0</v>
      </c>
      <c r="I105" s="42">
        <f t="shared" si="19"/>
        <v>0.5</v>
      </c>
      <c r="J105" s="21">
        <v>0.5</v>
      </c>
      <c r="K105" s="22">
        <v>0</v>
      </c>
      <c r="L105" s="42">
        <f t="shared" si="20"/>
        <v>5.2</v>
      </c>
      <c r="M105" s="21">
        <v>4.2</v>
      </c>
      <c r="N105" s="22">
        <v>1</v>
      </c>
      <c r="O105" s="42">
        <f t="shared" si="21"/>
        <v>10.4</v>
      </c>
      <c r="P105" s="21">
        <v>4.4000000000000004</v>
      </c>
      <c r="Q105" s="22">
        <v>6</v>
      </c>
      <c r="R105" s="42">
        <f t="shared" si="22"/>
        <v>0</v>
      </c>
      <c r="S105" s="21">
        <v>0</v>
      </c>
      <c r="T105" s="22">
        <v>0</v>
      </c>
      <c r="U105" s="42">
        <f t="shared" si="23"/>
        <v>0</v>
      </c>
      <c r="V105" s="21">
        <v>0</v>
      </c>
      <c r="W105" s="22">
        <v>0</v>
      </c>
      <c r="X105" s="42">
        <f t="shared" si="24"/>
        <v>0.5</v>
      </c>
      <c r="Y105" s="21">
        <v>0.5</v>
      </c>
      <c r="Z105" s="22">
        <v>0</v>
      </c>
      <c r="AA105" s="42">
        <f t="shared" si="25"/>
        <v>0.5</v>
      </c>
      <c r="AB105" s="21">
        <v>0.5</v>
      </c>
      <c r="AC105" s="22">
        <v>0</v>
      </c>
      <c r="AD105" s="42">
        <f t="shared" si="26"/>
        <v>0</v>
      </c>
      <c r="AE105" s="21">
        <v>0</v>
      </c>
      <c r="AF105" s="22">
        <v>0</v>
      </c>
      <c r="AG105" s="42">
        <f t="shared" si="27"/>
        <v>0</v>
      </c>
      <c r="AH105" s="21">
        <v>0</v>
      </c>
      <c r="AI105" s="22">
        <v>0</v>
      </c>
      <c r="AJ105" s="42">
        <f t="shared" si="28"/>
        <v>0</v>
      </c>
      <c r="AK105" s="21">
        <v>0</v>
      </c>
      <c r="AL105" s="22">
        <v>0</v>
      </c>
      <c r="AM105" s="42">
        <f t="shared" si="29"/>
        <v>0</v>
      </c>
      <c r="AN105" s="21">
        <v>0</v>
      </c>
      <c r="AO105" s="22">
        <v>0</v>
      </c>
      <c r="AP105" s="42">
        <f t="shared" si="30"/>
        <v>0</v>
      </c>
      <c r="AQ105" s="21">
        <v>0</v>
      </c>
      <c r="AR105" s="22">
        <v>0</v>
      </c>
      <c r="AS105" s="42">
        <f t="shared" si="31"/>
        <v>0</v>
      </c>
      <c r="AT105" s="21">
        <v>0</v>
      </c>
      <c r="AU105" s="22">
        <v>0</v>
      </c>
      <c r="AV105" s="24">
        <f t="shared" si="32"/>
        <v>17.100000000000001</v>
      </c>
    </row>
    <row r="106" spans="1:48" ht="15.75" thickBot="1">
      <c r="A106" s="38" t="s">
        <v>180</v>
      </c>
      <c r="B106" s="39" t="s">
        <v>181</v>
      </c>
      <c r="C106" s="42">
        <f t="shared" si="17"/>
        <v>0</v>
      </c>
      <c r="D106" s="21">
        <v>0</v>
      </c>
      <c r="E106" s="22">
        <v>0</v>
      </c>
      <c r="F106" s="42">
        <f t="shared" si="18"/>
        <v>0</v>
      </c>
      <c r="G106" s="21">
        <v>0</v>
      </c>
      <c r="H106" s="22">
        <v>0</v>
      </c>
      <c r="I106" s="42">
        <f t="shared" si="19"/>
        <v>1</v>
      </c>
      <c r="J106" s="21">
        <v>1</v>
      </c>
      <c r="K106" s="22">
        <v>0</v>
      </c>
      <c r="L106" s="42">
        <f t="shared" si="20"/>
        <v>12.388999999999999</v>
      </c>
      <c r="M106" s="21">
        <v>11.388999999999999</v>
      </c>
      <c r="N106" s="22">
        <v>1</v>
      </c>
      <c r="O106" s="42">
        <f t="shared" si="21"/>
        <v>0</v>
      </c>
      <c r="P106" s="21">
        <v>0</v>
      </c>
      <c r="Q106" s="22">
        <v>0</v>
      </c>
      <c r="R106" s="42">
        <f t="shared" si="22"/>
        <v>1</v>
      </c>
      <c r="S106" s="21">
        <v>1</v>
      </c>
      <c r="T106" s="22">
        <v>0</v>
      </c>
      <c r="U106" s="42">
        <f t="shared" si="23"/>
        <v>0</v>
      </c>
      <c r="V106" s="21">
        <v>0</v>
      </c>
      <c r="W106" s="22">
        <v>0</v>
      </c>
      <c r="X106" s="42">
        <f t="shared" si="24"/>
        <v>0</v>
      </c>
      <c r="Y106" s="21">
        <v>0</v>
      </c>
      <c r="Z106" s="22">
        <v>0</v>
      </c>
      <c r="AA106" s="42">
        <f t="shared" si="25"/>
        <v>0</v>
      </c>
      <c r="AB106" s="21">
        <v>0</v>
      </c>
      <c r="AC106" s="22">
        <v>0</v>
      </c>
      <c r="AD106" s="42">
        <f t="shared" si="26"/>
        <v>0</v>
      </c>
      <c r="AE106" s="21">
        <v>0</v>
      </c>
      <c r="AF106" s="22">
        <v>0</v>
      </c>
      <c r="AG106" s="42">
        <f t="shared" si="27"/>
        <v>0</v>
      </c>
      <c r="AH106" s="21">
        <v>0</v>
      </c>
      <c r="AI106" s="22">
        <v>0</v>
      </c>
      <c r="AJ106" s="42">
        <f t="shared" si="28"/>
        <v>1</v>
      </c>
      <c r="AK106" s="21">
        <v>1</v>
      </c>
      <c r="AL106" s="22">
        <v>0</v>
      </c>
      <c r="AM106" s="42">
        <f t="shared" si="29"/>
        <v>0</v>
      </c>
      <c r="AN106" s="21">
        <v>0</v>
      </c>
      <c r="AO106" s="22">
        <v>0</v>
      </c>
      <c r="AP106" s="42">
        <f t="shared" si="30"/>
        <v>0</v>
      </c>
      <c r="AQ106" s="21">
        <v>0</v>
      </c>
      <c r="AR106" s="22">
        <v>0</v>
      </c>
      <c r="AS106" s="42">
        <f t="shared" si="31"/>
        <v>0</v>
      </c>
      <c r="AT106" s="21">
        <v>0</v>
      </c>
      <c r="AU106" s="22">
        <v>0</v>
      </c>
      <c r="AV106" s="24">
        <f t="shared" si="32"/>
        <v>15.388999999999999</v>
      </c>
    </row>
    <row r="107" spans="1:48" ht="15.75" thickBot="1">
      <c r="A107" s="54"/>
      <c r="B107" s="55" t="s">
        <v>182</v>
      </c>
      <c r="C107" s="56">
        <f>SUM(C49:C106)</f>
        <v>2</v>
      </c>
      <c r="D107" s="57">
        <f t="shared" ref="D107:AV107" si="33">SUM(D49:D106)</f>
        <v>2</v>
      </c>
      <c r="E107" s="58">
        <f t="shared" si="33"/>
        <v>0</v>
      </c>
      <c r="F107" s="56">
        <f t="shared" si="33"/>
        <v>0</v>
      </c>
      <c r="G107" s="57">
        <f t="shared" si="33"/>
        <v>0</v>
      </c>
      <c r="H107" s="58">
        <f t="shared" si="33"/>
        <v>0</v>
      </c>
      <c r="I107" s="56">
        <f t="shared" si="33"/>
        <v>55.167999999999999</v>
      </c>
      <c r="J107" s="57">
        <f t="shared" si="33"/>
        <v>53.168000000000006</v>
      </c>
      <c r="K107" s="58">
        <f t="shared" si="33"/>
        <v>2</v>
      </c>
      <c r="L107" s="56">
        <f t="shared" si="33"/>
        <v>535.43899999999996</v>
      </c>
      <c r="M107" s="57">
        <f t="shared" si="33"/>
        <v>461.161</v>
      </c>
      <c r="N107" s="58">
        <f t="shared" si="33"/>
        <v>74.27800000000002</v>
      </c>
      <c r="O107" s="56">
        <f t="shared" si="33"/>
        <v>401.19200000000006</v>
      </c>
      <c r="P107" s="57">
        <f t="shared" si="33"/>
        <v>233.06200000000001</v>
      </c>
      <c r="Q107" s="58">
        <f t="shared" si="33"/>
        <v>168.12999999999997</v>
      </c>
      <c r="R107" s="56">
        <f t="shared" si="33"/>
        <v>74.27</v>
      </c>
      <c r="S107" s="57">
        <f t="shared" si="33"/>
        <v>66.11399999999999</v>
      </c>
      <c r="T107" s="58">
        <f t="shared" si="33"/>
        <v>8.1559999999999988</v>
      </c>
      <c r="U107" s="56">
        <f t="shared" si="33"/>
        <v>19.599999999999998</v>
      </c>
      <c r="V107" s="57">
        <f t="shared" si="33"/>
        <v>13.140999999999998</v>
      </c>
      <c r="W107" s="58">
        <f t="shared" si="33"/>
        <v>6.4589999999999996</v>
      </c>
      <c r="X107" s="56">
        <f t="shared" si="33"/>
        <v>1.67</v>
      </c>
      <c r="Y107" s="57">
        <f t="shared" si="33"/>
        <v>1.67</v>
      </c>
      <c r="Z107" s="58">
        <f t="shared" si="33"/>
        <v>0</v>
      </c>
      <c r="AA107" s="56">
        <f t="shared" si="33"/>
        <v>18.37</v>
      </c>
      <c r="AB107" s="57">
        <f t="shared" si="33"/>
        <v>9.08</v>
      </c>
      <c r="AC107" s="58">
        <f t="shared" si="33"/>
        <v>9.2899999999999991</v>
      </c>
      <c r="AD107" s="56">
        <f t="shared" si="33"/>
        <v>13.865</v>
      </c>
      <c r="AE107" s="57">
        <f t="shared" si="33"/>
        <v>10.685</v>
      </c>
      <c r="AF107" s="58">
        <f t="shared" si="33"/>
        <v>3.18</v>
      </c>
      <c r="AG107" s="56">
        <f t="shared" si="33"/>
        <v>10</v>
      </c>
      <c r="AH107" s="57">
        <f t="shared" si="33"/>
        <v>5.3970000000000002</v>
      </c>
      <c r="AI107" s="58">
        <f t="shared" si="33"/>
        <v>4.6029999999999998</v>
      </c>
      <c r="AJ107" s="56">
        <f t="shared" si="33"/>
        <v>60.135000000000005</v>
      </c>
      <c r="AK107" s="57">
        <f t="shared" si="33"/>
        <v>31.056000000000004</v>
      </c>
      <c r="AL107" s="58">
        <f t="shared" si="33"/>
        <v>29.079000000000001</v>
      </c>
      <c r="AM107" s="56">
        <f t="shared" si="33"/>
        <v>4.5359999999999996</v>
      </c>
      <c r="AN107" s="57">
        <f t="shared" si="33"/>
        <v>4.5359999999999996</v>
      </c>
      <c r="AO107" s="58">
        <f t="shared" si="33"/>
        <v>0</v>
      </c>
      <c r="AP107" s="56">
        <f t="shared" si="33"/>
        <v>0</v>
      </c>
      <c r="AQ107" s="57">
        <f t="shared" si="33"/>
        <v>0</v>
      </c>
      <c r="AR107" s="58">
        <f t="shared" si="33"/>
        <v>0</v>
      </c>
      <c r="AS107" s="56">
        <f t="shared" si="33"/>
        <v>1.04</v>
      </c>
      <c r="AT107" s="57">
        <f t="shared" si="33"/>
        <v>1.04</v>
      </c>
      <c r="AU107" s="58">
        <f t="shared" si="33"/>
        <v>0</v>
      </c>
      <c r="AV107" s="35">
        <f t="shared" si="33"/>
        <v>1197.2849999999996</v>
      </c>
    </row>
    <row r="108" spans="1:48" ht="15.75" thickBot="1">
      <c r="A108" s="59"/>
      <c r="B108" s="55" t="s">
        <v>183</v>
      </c>
      <c r="C108" s="56">
        <f t="shared" si="17"/>
        <v>0</v>
      </c>
      <c r="D108" s="60">
        <v>0</v>
      </c>
      <c r="E108" s="61">
        <v>0</v>
      </c>
      <c r="F108" s="56">
        <f t="shared" si="18"/>
        <v>18.47</v>
      </c>
      <c r="G108" s="60">
        <v>18.47</v>
      </c>
      <c r="H108" s="61">
        <v>0</v>
      </c>
      <c r="I108" s="56">
        <f t="shared" si="19"/>
        <v>0</v>
      </c>
      <c r="J108" s="60">
        <v>0</v>
      </c>
      <c r="K108" s="61">
        <v>0</v>
      </c>
      <c r="L108" s="56">
        <f t="shared" si="20"/>
        <v>0</v>
      </c>
      <c r="M108" s="60">
        <v>0</v>
      </c>
      <c r="N108" s="61">
        <v>0</v>
      </c>
      <c r="O108" s="56">
        <f t="shared" si="21"/>
        <v>9.0039999999999996</v>
      </c>
      <c r="P108" s="60">
        <v>7.0039999999999996</v>
      </c>
      <c r="Q108" s="61">
        <v>2</v>
      </c>
      <c r="R108" s="56">
        <f t="shared" si="22"/>
        <v>100.754</v>
      </c>
      <c r="S108" s="60">
        <v>89.254000000000005</v>
      </c>
      <c r="T108" s="61">
        <v>11.5</v>
      </c>
      <c r="U108" s="56">
        <f t="shared" si="23"/>
        <v>16.943000000000001</v>
      </c>
      <c r="V108" s="60">
        <v>16.443000000000001</v>
      </c>
      <c r="W108" s="61">
        <v>0.5</v>
      </c>
      <c r="X108" s="56">
        <f t="shared" si="24"/>
        <v>0</v>
      </c>
      <c r="Y108" s="60">
        <v>0</v>
      </c>
      <c r="Z108" s="61">
        <v>0</v>
      </c>
      <c r="AA108" s="56">
        <f t="shared" si="25"/>
        <v>0</v>
      </c>
      <c r="AB108" s="60">
        <v>0</v>
      </c>
      <c r="AC108" s="61">
        <v>0</v>
      </c>
      <c r="AD108" s="56">
        <f t="shared" si="26"/>
        <v>2</v>
      </c>
      <c r="AE108" s="60">
        <v>2</v>
      </c>
      <c r="AF108" s="61">
        <v>0</v>
      </c>
      <c r="AG108" s="56">
        <f t="shared" si="27"/>
        <v>1</v>
      </c>
      <c r="AH108" s="60">
        <v>1</v>
      </c>
      <c r="AI108" s="61">
        <v>0</v>
      </c>
      <c r="AJ108" s="56">
        <f t="shared" si="28"/>
        <v>0</v>
      </c>
      <c r="AK108" s="60">
        <v>0</v>
      </c>
      <c r="AL108" s="61">
        <v>0</v>
      </c>
      <c r="AM108" s="56">
        <f t="shared" si="29"/>
        <v>7</v>
      </c>
      <c r="AN108" s="60">
        <v>6</v>
      </c>
      <c r="AO108" s="61">
        <v>1</v>
      </c>
      <c r="AP108" s="56">
        <f t="shared" si="30"/>
        <v>0</v>
      </c>
      <c r="AQ108" s="60">
        <v>0</v>
      </c>
      <c r="AR108" s="61">
        <v>0</v>
      </c>
      <c r="AS108" s="56">
        <f t="shared" si="31"/>
        <v>2</v>
      </c>
      <c r="AT108" s="60">
        <v>2</v>
      </c>
      <c r="AU108" s="61">
        <v>0</v>
      </c>
      <c r="AV108" s="35">
        <f t="shared" si="32"/>
        <v>157.17100000000002</v>
      </c>
    </row>
    <row r="109" spans="1:48" ht="15.75" thickBot="1">
      <c r="A109" s="62"/>
      <c r="B109" s="63" t="s">
        <v>184</v>
      </c>
      <c r="C109" s="44">
        <f>C47+C107+C108</f>
        <v>46.073000000000008</v>
      </c>
      <c r="D109" s="64">
        <f t="shared" ref="D109:AV109" si="34">D47+D107+D108</f>
        <v>44.073000000000008</v>
      </c>
      <c r="E109" s="30">
        <f t="shared" si="34"/>
        <v>2</v>
      </c>
      <c r="F109" s="44">
        <f t="shared" si="34"/>
        <v>225.90600000000001</v>
      </c>
      <c r="G109" s="64">
        <f t="shared" si="34"/>
        <v>222.90600000000001</v>
      </c>
      <c r="H109" s="30">
        <f t="shared" si="34"/>
        <v>3</v>
      </c>
      <c r="I109" s="44">
        <f t="shared" si="34"/>
        <v>1181.798</v>
      </c>
      <c r="J109" s="64">
        <f t="shared" si="34"/>
        <v>1164.4680000000003</v>
      </c>
      <c r="K109" s="30">
        <f t="shared" si="34"/>
        <v>17.329999999999998</v>
      </c>
      <c r="L109" s="44">
        <f t="shared" si="34"/>
        <v>10728.258999999998</v>
      </c>
      <c r="M109" s="64">
        <f t="shared" si="34"/>
        <v>9525.4910000000018</v>
      </c>
      <c r="N109" s="30">
        <f t="shared" si="34"/>
        <v>1202.7679999999998</v>
      </c>
      <c r="O109" s="27">
        <f t="shared" si="34"/>
        <v>9719.3850000000057</v>
      </c>
      <c r="P109" s="65">
        <f t="shared" si="34"/>
        <v>5340.4619999999995</v>
      </c>
      <c r="Q109" s="66">
        <f t="shared" si="34"/>
        <v>4378.9229999999998</v>
      </c>
      <c r="R109" s="27">
        <f t="shared" si="34"/>
        <v>2559.9589999999994</v>
      </c>
      <c r="S109" s="65">
        <f t="shared" si="34"/>
        <v>2119.7869999999998</v>
      </c>
      <c r="T109" s="30">
        <f t="shared" si="34"/>
        <v>440.17200000000008</v>
      </c>
      <c r="U109" s="44">
        <f t="shared" si="34"/>
        <v>993.42200000000014</v>
      </c>
      <c r="V109" s="64">
        <f t="shared" si="34"/>
        <v>785.59999999999991</v>
      </c>
      <c r="W109" s="30">
        <f t="shared" si="34"/>
        <v>207.82199999999997</v>
      </c>
      <c r="X109" s="44">
        <f t="shared" si="34"/>
        <v>127.455</v>
      </c>
      <c r="Y109" s="64">
        <f t="shared" si="34"/>
        <v>103.565</v>
      </c>
      <c r="Z109" s="30">
        <f t="shared" si="34"/>
        <v>23.89</v>
      </c>
      <c r="AA109" s="44">
        <f t="shared" si="34"/>
        <v>617.4380000000001</v>
      </c>
      <c r="AB109" s="64">
        <f t="shared" si="34"/>
        <v>383.24099999999999</v>
      </c>
      <c r="AC109" s="30">
        <f t="shared" si="34"/>
        <v>234.19699999999997</v>
      </c>
      <c r="AD109" s="44">
        <f t="shared" si="34"/>
        <v>275.78100000000001</v>
      </c>
      <c r="AE109" s="64">
        <f t="shared" si="34"/>
        <v>208.31700000000004</v>
      </c>
      <c r="AF109" s="30">
        <f t="shared" si="34"/>
        <v>67.463999999999999</v>
      </c>
      <c r="AG109" s="44">
        <f t="shared" si="34"/>
        <v>271.995</v>
      </c>
      <c r="AH109" s="64">
        <f t="shared" si="34"/>
        <v>108.431</v>
      </c>
      <c r="AI109" s="30">
        <f t="shared" si="34"/>
        <v>163.56400000000002</v>
      </c>
      <c r="AJ109" s="44">
        <f t="shared" si="34"/>
        <v>1163.0560000000003</v>
      </c>
      <c r="AK109" s="64">
        <f t="shared" si="34"/>
        <v>467.21399999999994</v>
      </c>
      <c r="AL109" s="30">
        <f t="shared" si="34"/>
        <v>695.84199999999998</v>
      </c>
      <c r="AM109" s="44">
        <f t="shared" si="34"/>
        <v>503.6690000000001</v>
      </c>
      <c r="AN109" s="64">
        <f t="shared" si="34"/>
        <v>463.76900000000012</v>
      </c>
      <c r="AO109" s="30">
        <f t="shared" si="34"/>
        <v>39.9</v>
      </c>
      <c r="AP109" s="44">
        <f t="shared" si="34"/>
        <v>206.43299999999996</v>
      </c>
      <c r="AQ109" s="64">
        <f t="shared" si="34"/>
        <v>123.833</v>
      </c>
      <c r="AR109" s="30">
        <f t="shared" si="34"/>
        <v>82.6</v>
      </c>
      <c r="AS109" s="44">
        <f t="shared" si="34"/>
        <v>91.754000000000005</v>
      </c>
      <c r="AT109" s="64">
        <f t="shared" si="34"/>
        <v>70.754000000000005</v>
      </c>
      <c r="AU109" s="30">
        <f t="shared" si="34"/>
        <v>21</v>
      </c>
      <c r="AV109" s="30">
        <f t="shared" si="34"/>
        <v>28712.382999999998</v>
      </c>
    </row>
  </sheetData>
  <mergeCells count="19">
    <mergeCell ref="AJ5:AL5"/>
    <mergeCell ref="C4:W4"/>
    <mergeCell ref="X4:AL4"/>
    <mergeCell ref="AM4:AU4"/>
    <mergeCell ref="AV4:AV6"/>
    <mergeCell ref="C5:E5"/>
    <mergeCell ref="F5:H5"/>
    <mergeCell ref="I5:K5"/>
    <mergeCell ref="L5:N5"/>
    <mergeCell ref="O5:Q5"/>
    <mergeCell ref="R5:T5"/>
    <mergeCell ref="AM5:AO5"/>
    <mergeCell ref="AP5:AR5"/>
    <mergeCell ref="AS5:AU5"/>
    <mergeCell ref="U5:W5"/>
    <mergeCell ref="X5:Z5"/>
    <mergeCell ref="AA5:AC5"/>
    <mergeCell ref="AD5:AF5"/>
    <mergeCell ref="AG5:AI5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108"/>
  <sheetViews>
    <sheetView workbookViewId="0">
      <pane ySplit="6" topLeftCell="A7" activePane="bottomLeft" state="frozen"/>
      <selection pane="bottomLeft" sqref="A1:AJ1"/>
    </sheetView>
  </sheetViews>
  <sheetFormatPr defaultRowHeight="15"/>
  <cols>
    <col min="2" max="2" width="26" bestFit="1" customWidth="1"/>
    <col min="3" max="3" width="12.140625" customWidth="1"/>
    <col min="4" max="4" width="10.5703125" customWidth="1"/>
    <col min="5" max="5" width="10" customWidth="1"/>
    <col min="6" max="6" width="11" customWidth="1"/>
    <col min="7" max="7" width="11.7109375" customWidth="1"/>
    <col min="8" max="8" width="11.85546875" customWidth="1"/>
    <col min="9" max="9" width="12.7109375" customWidth="1"/>
    <col min="10" max="10" width="10.7109375" customWidth="1"/>
    <col min="13" max="13" width="11.140625" customWidth="1"/>
    <col min="14" max="14" width="10.28515625" customWidth="1"/>
    <col min="15" max="15" width="10.42578125" customWidth="1"/>
    <col min="16" max="16" width="10.28515625" customWidth="1"/>
    <col min="17" max="17" width="10.42578125" customWidth="1"/>
    <col min="18" max="18" width="11.28515625" customWidth="1"/>
    <col min="19" max="19" width="13" customWidth="1"/>
    <col min="21" max="21" width="11.42578125" customWidth="1"/>
    <col min="22" max="22" width="11.85546875" customWidth="1"/>
    <col min="24" max="24" width="11.5703125" customWidth="1"/>
    <col min="27" max="27" width="10.140625" customWidth="1"/>
    <col min="30" max="30" width="10.7109375" customWidth="1"/>
    <col min="31" max="31" width="10.28515625" customWidth="1"/>
    <col min="32" max="32" width="8" customWidth="1"/>
    <col min="33" max="33" width="12.5703125" customWidth="1"/>
    <col min="35" max="35" width="10.42578125" customWidth="1"/>
    <col min="36" max="36" width="12.28515625" customWidth="1"/>
  </cols>
  <sheetData>
    <row r="1" spans="1:36" ht="15.75">
      <c r="A1" s="219" t="s">
        <v>185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</row>
    <row r="2" spans="1:36" ht="15.75">
      <c r="A2" s="219" t="s">
        <v>186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</row>
    <row r="3" spans="1:36" ht="16.5" thickBot="1">
      <c r="A3" s="2"/>
    </row>
    <row r="4" spans="1:36">
      <c r="A4" s="3"/>
      <c r="B4" s="67"/>
      <c r="C4" s="221" t="s">
        <v>187</v>
      </c>
      <c r="D4" s="223" t="s">
        <v>188</v>
      </c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5"/>
      <c r="AC4" s="226" t="s">
        <v>189</v>
      </c>
      <c r="AD4" s="227"/>
      <c r="AE4" s="227"/>
      <c r="AF4" s="228"/>
      <c r="AG4" s="226" t="s">
        <v>190</v>
      </c>
      <c r="AH4" s="227"/>
      <c r="AI4" s="228"/>
      <c r="AJ4" s="232" t="s">
        <v>191</v>
      </c>
    </row>
    <row r="5" spans="1:36" ht="25.5" thickBot="1">
      <c r="A5" s="5"/>
      <c r="B5" s="68"/>
      <c r="C5" s="222"/>
      <c r="D5" s="234" t="s">
        <v>192</v>
      </c>
      <c r="E5" s="217"/>
      <c r="F5" s="217" t="s">
        <v>193</v>
      </c>
      <c r="G5" s="235"/>
      <c r="H5" s="217" t="s">
        <v>194</v>
      </c>
      <c r="I5" s="217"/>
      <c r="J5" s="69" t="s">
        <v>195</v>
      </c>
      <c r="K5" s="217" t="s">
        <v>196</v>
      </c>
      <c r="L5" s="217"/>
      <c r="M5" s="217"/>
      <c r="N5" s="217"/>
      <c r="O5" s="217"/>
      <c r="P5" s="217"/>
      <c r="Q5" s="217" t="s">
        <v>197</v>
      </c>
      <c r="R5" s="217"/>
      <c r="S5" s="217"/>
      <c r="T5" s="217"/>
      <c r="U5" s="217" t="s">
        <v>198</v>
      </c>
      <c r="V5" s="217"/>
      <c r="W5" s="217"/>
      <c r="X5" s="217"/>
      <c r="Y5" s="217"/>
      <c r="Z5" s="217" t="s">
        <v>199</v>
      </c>
      <c r="AA5" s="217"/>
      <c r="AB5" s="218"/>
      <c r="AC5" s="229"/>
      <c r="AD5" s="230"/>
      <c r="AE5" s="230"/>
      <c r="AF5" s="231"/>
      <c r="AG5" s="229"/>
      <c r="AH5" s="230"/>
      <c r="AI5" s="231"/>
      <c r="AJ5" s="233"/>
    </row>
    <row r="6" spans="1:36" ht="36.75">
      <c r="A6" s="3"/>
      <c r="B6" s="70" t="s">
        <v>78</v>
      </c>
      <c r="C6" s="71" t="s">
        <v>200</v>
      </c>
      <c r="D6" s="72" t="s">
        <v>201</v>
      </c>
      <c r="E6" s="69" t="s">
        <v>202</v>
      </c>
      <c r="F6" s="69" t="s">
        <v>202</v>
      </c>
      <c r="G6" s="73" t="s">
        <v>203</v>
      </c>
      <c r="H6" s="73" t="s">
        <v>204</v>
      </c>
      <c r="I6" s="69" t="s">
        <v>202</v>
      </c>
      <c r="J6" s="69" t="s">
        <v>202</v>
      </c>
      <c r="K6" s="69" t="s">
        <v>205</v>
      </c>
      <c r="L6" s="73" t="s">
        <v>204</v>
      </c>
      <c r="M6" s="73" t="s">
        <v>206</v>
      </c>
      <c r="N6" s="69" t="s">
        <v>202</v>
      </c>
      <c r="O6" s="69" t="s">
        <v>207</v>
      </c>
      <c r="P6" s="69" t="s">
        <v>208</v>
      </c>
      <c r="Q6" s="69" t="s">
        <v>202</v>
      </c>
      <c r="R6" s="69" t="s">
        <v>209</v>
      </c>
      <c r="S6" s="69" t="s">
        <v>210</v>
      </c>
      <c r="T6" s="69" t="s">
        <v>211</v>
      </c>
      <c r="U6" s="69" t="s">
        <v>202</v>
      </c>
      <c r="V6" s="69" t="s">
        <v>209</v>
      </c>
      <c r="W6" s="69" t="s">
        <v>212</v>
      </c>
      <c r="X6" s="69" t="s">
        <v>213</v>
      </c>
      <c r="Y6" s="69" t="s">
        <v>214</v>
      </c>
      <c r="Z6" s="73" t="s">
        <v>204</v>
      </c>
      <c r="AA6" s="69" t="s">
        <v>207</v>
      </c>
      <c r="AB6" s="74" t="s">
        <v>215</v>
      </c>
      <c r="AC6" s="75" t="s">
        <v>204</v>
      </c>
      <c r="AD6" s="69" t="s">
        <v>202</v>
      </c>
      <c r="AE6" s="69" t="s">
        <v>216</v>
      </c>
      <c r="AF6" s="74" t="s">
        <v>217</v>
      </c>
      <c r="AG6" s="72" t="s">
        <v>218</v>
      </c>
      <c r="AH6" s="73" t="s">
        <v>204</v>
      </c>
      <c r="AI6" s="76" t="s">
        <v>219</v>
      </c>
      <c r="AJ6" s="233"/>
    </row>
    <row r="7" spans="1:36">
      <c r="A7" s="5">
        <v>1</v>
      </c>
      <c r="B7" s="77" t="s">
        <v>20</v>
      </c>
      <c r="C7" s="78">
        <v>700.64</v>
      </c>
      <c r="D7" s="79">
        <v>0</v>
      </c>
      <c r="E7" s="80">
        <v>10.42</v>
      </c>
      <c r="F7" s="80">
        <v>29.85</v>
      </c>
      <c r="G7" s="80">
        <v>57.12</v>
      </c>
      <c r="H7" s="80">
        <v>0</v>
      </c>
      <c r="I7" s="80">
        <v>1</v>
      </c>
      <c r="J7" s="80">
        <v>188.21</v>
      </c>
      <c r="K7" s="80">
        <v>1</v>
      </c>
      <c r="L7" s="80">
        <v>8</v>
      </c>
      <c r="M7" s="80">
        <v>3</v>
      </c>
      <c r="N7" s="80">
        <v>8.2799999999999994</v>
      </c>
      <c r="O7" s="80">
        <v>76.86</v>
      </c>
      <c r="P7" s="80">
        <f>SUM(K7:O7)</f>
        <v>97.14</v>
      </c>
      <c r="Q7" s="80">
        <v>2</v>
      </c>
      <c r="R7" s="80">
        <v>9</v>
      </c>
      <c r="S7" s="80">
        <v>345.8</v>
      </c>
      <c r="T7" s="80">
        <f>SUM(Q7:S7)</f>
        <v>356.8</v>
      </c>
      <c r="U7" s="80">
        <v>6.67</v>
      </c>
      <c r="V7" s="80">
        <v>4</v>
      </c>
      <c r="W7" s="80">
        <v>164.38</v>
      </c>
      <c r="X7" s="80">
        <v>6</v>
      </c>
      <c r="Y7" s="80">
        <f>SUM(U7:X7)</f>
        <v>181.04999999999998</v>
      </c>
      <c r="Z7" s="80">
        <v>0</v>
      </c>
      <c r="AA7" s="80">
        <v>0</v>
      </c>
      <c r="AB7" s="81">
        <f>SUM(Z7:AA7)</f>
        <v>0</v>
      </c>
      <c r="AC7" s="79">
        <v>5</v>
      </c>
      <c r="AD7" s="80">
        <v>2</v>
      </c>
      <c r="AE7" s="80">
        <v>269.06</v>
      </c>
      <c r="AF7" s="81">
        <f>SUM(AC7:AE7)</f>
        <v>276.06</v>
      </c>
      <c r="AG7" s="79">
        <v>0</v>
      </c>
      <c r="AH7" s="80">
        <v>0</v>
      </c>
      <c r="AI7" s="81">
        <f>SUM(AG7:AH7)</f>
        <v>0</v>
      </c>
      <c r="AJ7" s="82">
        <f t="shared" ref="AJ7:AJ70" si="0">SUM(C7:J7)+P7+T7+Y7+AB7+AF7+AI7</f>
        <v>1898.29</v>
      </c>
    </row>
    <row r="8" spans="1:36">
      <c r="A8" s="5">
        <v>2</v>
      </c>
      <c r="B8" s="77" t="s">
        <v>21</v>
      </c>
      <c r="C8" s="78">
        <v>33.15</v>
      </c>
      <c r="D8" s="79">
        <v>0.2</v>
      </c>
      <c r="E8" s="80">
        <v>0</v>
      </c>
      <c r="F8" s="80">
        <v>0</v>
      </c>
      <c r="G8" s="80">
        <v>2.9</v>
      </c>
      <c r="H8" s="80">
        <v>0</v>
      </c>
      <c r="I8" s="80">
        <v>1.49</v>
      </c>
      <c r="J8" s="80">
        <v>5.54</v>
      </c>
      <c r="K8" s="80">
        <v>0</v>
      </c>
      <c r="L8" s="80">
        <v>0</v>
      </c>
      <c r="M8" s="80">
        <v>0</v>
      </c>
      <c r="N8" s="80">
        <v>1</v>
      </c>
      <c r="O8" s="80">
        <v>0</v>
      </c>
      <c r="P8" s="80">
        <f t="shared" ref="P8:P46" si="1">SUM(K8:O8)</f>
        <v>1</v>
      </c>
      <c r="Q8" s="80">
        <v>0</v>
      </c>
      <c r="R8" s="80">
        <v>0</v>
      </c>
      <c r="S8" s="80">
        <v>13.51</v>
      </c>
      <c r="T8" s="80">
        <f t="shared" ref="T8:T46" si="2">SUM(Q8:S8)</f>
        <v>13.51</v>
      </c>
      <c r="U8" s="80">
        <v>0.35</v>
      </c>
      <c r="V8" s="80">
        <v>0</v>
      </c>
      <c r="W8" s="80">
        <v>4.75</v>
      </c>
      <c r="X8" s="80">
        <v>0</v>
      </c>
      <c r="Y8" s="80">
        <f t="shared" ref="Y8:Y46" si="3">SUM(U8:X8)</f>
        <v>5.0999999999999996</v>
      </c>
      <c r="Z8" s="80">
        <v>0</v>
      </c>
      <c r="AA8" s="80">
        <v>0</v>
      </c>
      <c r="AB8" s="81">
        <f t="shared" ref="AB8:AB46" si="4">SUM(Z8:AA8)</f>
        <v>0</v>
      </c>
      <c r="AC8" s="79">
        <v>0.25</v>
      </c>
      <c r="AD8" s="80">
        <v>0</v>
      </c>
      <c r="AE8" s="80">
        <v>7.13</v>
      </c>
      <c r="AF8" s="81">
        <f t="shared" ref="AF8:AF46" si="5">SUM(AC8:AE8)</f>
        <v>7.38</v>
      </c>
      <c r="AG8" s="79">
        <v>0.5</v>
      </c>
      <c r="AH8" s="80">
        <v>0.5</v>
      </c>
      <c r="AI8" s="81">
        <f t="shared" ref="AI8:AI46" si="6">SUM(AG8:AH8)</f>
        <v>1</v>
      </c>
      <c r="AJ8" s="82">
        <f t="shared" si="0"/>
        <v>71.27</v>
      </c>
    </row>
    <row r="9" spans="1:36">
      <c r="A9" s="5">
        <v>3</v>
      </c>
      <c r="B9" s="77" t="s">
        <v>22</v>
      </c>
      <c r="C9" s="78">
        <v>134</v>
      </c>
      <c r="D9" s="79">
        <v>3</v>
      </c>
      <c r="E9" s="80">
        <v>8</v>
      </c>
      <c r="F9" s="80">
        <v>5</v>
      </c>
      <c r="G9" s="80">
        <v>12</v>
      </c>
      <c r="H9" s="80">
        <v>0</v>
      </c>
      <c r="I9" s="80">
        <v>4</v>
      </c>
      <c r="J9" s="80">
        <v>16</v>
      </c>
      <c r="K9" s="80">
        <v>1</v>
      </c>
      <c r="L9" s="80">
        <v>1</v>
      </c>
      <c r="M9" s="80">
        <v>0</v>
      </c>
      <c r="N9" s="80">
        <v>3</v>
      </c>
      <c r="O9" s="80">
        <v>0</v>
      </c>
      <c r="P9" s="80">
        <f t="shared" si="1"/>
        <v>5</v>
      </c>
      <c r="Q9" s="80">
        <v>1.5</v>
      </c>
      <c r="R9" s="80">
        <v>16</v>
      </c>
      <c r="S9" s="80">
        <v>61</v>
      </c>
      <c r="T9" s="80">
        <f t="shared" si="2"/>
        <v>78.5</v>
      </c>
      <c r="U9" s="80">
        <v>2</v>
      </c>
      <c r="V9" s="80">
        <v>1</v>
      </c>
      <c r="W9" s="80">
        <v>79</v>
      </c>
      <c r="X9" s="80">
        <v>3</v>
      </c>
      <c r="Y9" s="80">
        <f t="shared" si="3"/>
        <v>85</v>
      </c>
      <c r="Z9" s="80">
        <v>0</v>
      </c>
      <c r="AA9" s="80">
        <v>0</v>
      </c>
      <c r="AB9" s="81">
        <f t="shared" si="4"/>
        <v>0</v>
      </c>
      <c r="AC9" s="79">
        <v>1</v>
      </c>
      <c r="AD9" s="80">
        <v>1</v>
      </c>
      <c r="AE9" s="80">
        <v>82</v>
      </c>
      <c r="AF9" s="81">
        <f t="shared" si="5"/>
        <v>84</v>
      </c>
      <c r="AG9" s="79">
        <v>0</v>
      </c>
      <c r="AH9" s="80">
        <v>0</v>
      </c>
      <c r="AI9" s="81">
        <f t="shared" si="6"/>
        <v>0</v>
      </c>
      <c r="AJ9" s="82">
        <f t="shared" si="0"/>
        <v>434.5</v>
      </c>
    </row>
    <row r="10" spans="1:36">
      <c r="A10" s="5">
        <v>4</v>
      </c>
      <c r="B10" s="77" t="s">
        <v>23</v>
      </c>
      <c r="C10" s="78">
        <v>299.87</v>
      </c>
      <c r="D10" s="79">
        <v>2</v>
      </c>
      <c r="E10" s="80">
        <v>0.39</v>
      </c>
      <c r="F10" s="80">
        <v>0</v>
      </c>
      <c r="G10" s="80">
        <v>0</v>
      </c>
      <c r="H10" s="80">
        <v>0</v>
      </c>
      <c r="I10" s="80">
        <v>13.93</v>
      </c>
      <c r="J10" s="80">
        <v>35.85</v>
      </c>
      <c r="K10" s="80">
        <v>1</v>
      </c>
      <c r="L10" s="80">
        <v>1</v>
      </c>
      <c r="M10" s="80">
        <v>1</v>
      </c>
      <c r="N10" s="80">
        <v>2.86</v>
      </c>
      <c r="O10" s="80">
        <v>0</v>
      </c>
      <c r="P10" s="80">
        <f t="shared" si="1"/>
        <v>5.8599999999999994</v>
      </c>
      <c r="Q10" s="80">
        <v>0</v>
      </c>
      <c r="R10" s="80">
        <v>0</v>
      </c>
      <c r="S10" s="80">
        <v>91.98</v>
      </c>
      <c r="T10" s="80">
        <f t="shared" si="2"/>
        <v>91.98</v>
      </c>
      <c r="U10" s="80">
        <v>3</v>
      </c>
      <c r="V10" s="80">
        <v>3.66</v>
      </c>
      <c r="W10" s="80">
        <v>78.48</v>
      </c>
      <c r="X10" s="80">
        <v>5</v>
      </c>
      <c r="Y10" s="80">
        <f t="shared" si="3"/>
        <v>90.14</v>
      </c>
      <c r="Z10" s="80">
        <v>2</v>
      </c>
      <c r="AA10" s="80">
        <v>17.649999999999999</v>
      </c>
      <c r="AB10" s="81">
        <f t="shared" si="4"/>
        <v>19.649999999999999</v>
      </c>
      <c r="AC10" s="79">
        <v>22</v>
      </c>
      <c r="AD10" s="80">
        <v>1</v>
      </c>
      <c r="AE10" s="80">
        <v>49.22</v>
      </c>
      <c r="AF10" s="81">
        <f t="shared" si="5"/>
        <v>72.22</v>
      </c>
      <c r="AG10" s="79">
        <v>2</v>
      </c>
      <c r="AH10" s="80">
        <v>0</v>
      </c>
      <c r="AI10" s="81">
        <f t="shared" si="6"/>
        <v>2</v>
      </c>
      <c r="AJ10" s="82">
        <f t="shared" si="0"/>
        <v>633.8900000000001</v>
      </c>
    </row>
    <row r="11" spans="1:36">
      <c r="A11" s="5">
        <v>5</v>
      </c>
      <c r="B11" s="77" t="s">
        <v>24</v>
      </c>
      <c r="C11" s="78">
        <v>81.37</v>
      </c>
      <c r="D11" s="79">
        <v>0</v>
      </c>
      <c r="E11" s="80">
        <v>0</v>
      </c>
      <c r="F11" s="80">
        <v>0</v>
      </c>
      <c r="G11" s="80">
        <v>4.41</v>
      </c>
      <c r="H11" s="80">
        <v>2</v>
      </c>
      <c r="I11" s="80">
        <v>3.58</v>
      </c>
      <c r="J11" s="80">
        <v>15.95</v>
      </c>
      <c r="K11" s="80">
        <v>1</v>
      </c>
      <c r="L11" s="80">
        <v>0</v>
      </c>
      <c r="M11" s="80">
        <v>3.64</v>
      </c>
      <c r="N11" s="80">
        <v>2.64</v>
      </c>
      <c r="O11" s="80">
        <v>0</v>
      </c>
      <c r="P11" s="80">
        <f t="shared" si="1"/>
        <v>7.2800000000000011</v>
      </c>
      <c r="Q11" s="80">
        <v>0.88</v>
      </c>
      <c r="R11" s="80">
        <v>1</v>
      </c>
      <c r="S11" s="80">
        <v>33.68</v>
      </c>
      <c r="T11" s="80">
        <f t="shared" si="2"/>
        <v>35.56</v>
      </c>
      <c r="U11" s="80">
        <v>0.48</v>
      </c>
      <c r="V11" s="80">
        <v>1</v>
      </c>
      <c r="W11" s="80">
        <v>10.93</v>
      </c>
      <c r="X11" s="80">
        <v>4</v>
      </c>
      <c r="Y11" s="80">
        <f t="shared" si="3"/>
        <v>16.41</v>
      </c>
      <c r="Z11" s="80">
        <v>0</v>
      </c>
      <c r="AA11" s="80">
        <v>7.88</v>
      </c>
      <c r="AB11" s="81">
        <f t="shared" si="4"/>
        <v>7.88</v>
      </c>
      <c r="AC11" s="79">
        <v>1</v>
      </c>
      <c r="AD11" s="80">
        <v>1.66</v>
      </c>
      <c r="AE11" s="80">
        <v>17.03</v>
      </c>
      <c r="AF11" s="81">
        <f t="shared" si="5"/>
        <v>19.690000000000001</v>
      </c>
      <c r="AG11" s="79">
        <v>0</v>
      </c>
      <c r="AH11" s="80">
        <v>0</v>
      </c>
      <c r="AI11" s="81">
        <f t="shared" si="6"/>
        <v>0</v>
      </c>
      <c r="AJ11" s="82">
        <f t="shared" si="0"/>
        <v>194.13</v>
      </c>
    </row>
    <row r="12" spans="1:36">
      <c r="A12" s="5">
        <v>6</v>
      </c>
      <c r="B12" s="77" t="s">
        <v>25</v>
      </c>
      <c r="C12" s="78">
        <v>4.75</v>
      </c>
      <c r="D12" s="79">
        <v>0.17</v>
      </c>
      <c r="E12" s="80">
        <v>0</v>
      </c>
      <c r="F12" s="80">
        <v>0</v>
      </c>
      <c r="G12" s="80">
        <v>0</v>
      </c>
      <c r="H12" s="80">
        <v>0</v>
      </c>
      <c r="I12" s="80">
        <v>1</v>
      </c>
      <c r="J12" s="80">
        <v>2</v>
      </c>
      <c r="K12" s="80">
        <v>0.85</v>
      </c>
      <c r="L12" s="80">
        <v>0</v>
      </c>
      <c r="M12" s="80">
        <v>0</v>
      </c>
      <c r="N12" s="80">
        <v>0</v>
      </c>
      <c r="O12" s="80">
        <v>0</v>
      </c>
      <c r="P12" s="80">
        <f t="shared" si="1"/>
        <v>0.85</v>
      </c>
      <c r="Q12" s="80">
        <v>0</v>
      </c>
      <c r="R12" s="80">
        <v>0</v>
      </c>
      <c r="S12" s="80">
        <v>4.4800000000000004</v>
      </c>
      <c r="T12" s="80">
        <f t="shared" si="2"/>
        <v>4.4800000000000004</v>
      </c>
      <c r="U12" s="80">
        <v>0.15</v>
      </c>
      <c r="V12" s="80">
        <v>0</v>
      </c>
      <c r="W12" s="80">
        <v>1.53</v>
      </c>
      <c r="X12" s="80">
        <v>0.41</v>
      </c>
      <c r="Y12" s="80">
        <f t="shared" si="3"/>
        <v>2.09</v>
      </c>
      <c r="Z12" s="80">
        <v>0</v>
      </c>
      <c r="AA12" s="80">
        <v>0</v>
      </c>
      <c r="AB12" s="81">
        <f t="shared" si="4"/>
        <v>0</v>
      </c>
      <c r="AC12" s="79">
        <v>0</v>
      </c>
      <c r="AD12" s="80">
        <v>0</v>
      </c>
      <c r="AE12" s="80">
        <v>1.92</v>
      </c>
      <c r="AF12" s="81">
        <f t="shared" si="5"/>
        <v>1.92</v>
      </c>
      <c r="AG12" s="79">
        <v>0</v>
      </c>
      <c r="AH12" s="80">
        <v>0</v>
      </c>
      <c r="AI12" s="81">
        <f t="shared" si="6"/>
        <v>0</v>
      </c>
      <c r="AJ12" s="82">
        <f t="shared" si="0"/>
        <v>17.259999999999998</v>
      </c>
    </row>
    <row r="13" spans="1:36">
      <c r="A13" s="5">
        <v>7</v>
      </c>
      <c r="B13" s="77" t="s">
        <v>26</v>
      </c>
      <c r="C13" s="78">
        <v>970.47</v>
      </c>
      <c r="D13" s="79">
        <v>0</v>
      </c>
      <c r="E13" s="80">
        <v>2</v>
      </c>
      <c r="F13" s="80">
        <v>54.27</v>
      </c>
      <c r="G13" s="80">
        <v>60.5</v>
      </c>
      <c r="H13" s="80">
        <v>8</v>
      </c>
      <c r="I13" s="80">
        <v>3.06</v>
      </c>
      <c r="J13" s="80">
        <v>160.85</v>
      </c>
      <c r="K13" s="80">
        <v>1</v>
      </c>
      <c r="L13" s="80">
        <v>4</v>
      </c>
      <c r="M13" s="80">
        <v>11</v>
      </c>
      <c r="N13" s="80">
        <v>36.520000000000003</v>
      </c>
      <c r="O13" s="80">
        <v>63.88</v>
      </c>
      <c r="P13" s="80">
        <f t="shared" si="1"/>
        <v>116.4</v>
      </c>
      <c r="Q13" s="80">
        <v>8.18</v>
      </c>
      <c r="R13" s="80">
        <v>6</v>
      </c>
      <c r="S13" s="80">
        <v>498.82</v>
      </c>
      <c r="T13" s="80">
        <f t="shared" si="2"/>
        <v>513</v>
      </c>
      <c r="U13" s="80">
        <v>7.86</v>
      </c>
      <c r="V13" s="80">
        <v>1.4</v>
      </c>
      <c r="W13" s="80">
        <v>149.12</v>
      </c>
      <c r="X13" s="80">
        <v>15.41</v>
      </c>
      <c r="Y13" s="80">
        <f t="shared" si="3"/>
        <v>173.79</v>
      </c>
      <c r="Z13" s="80">
        <v>4</v>
      </c>
      <c r="AA13" s="80">
        <v>104.37</v>
      </c>
      <c r="AB13" s="81">
        <f t="shared" si="4"/>
        <v>108.37</v>
      </c>
      <c r="AC13" s="79">
        <v>6.45</v>
      </c>
      <c r="AD13" s="80">
        <v>3.65</v>
      </c>
      <c r="AE13" s="80">
        <v>232.3</v>
      </c>
      <c r="AF13" s="81">
        <f t="shared" si="5"/>
        <v>242.4</v>
      </c>
      <c r="AG13" s="79">
        <v>12.5</v>
      </c>
      <c r="AH13" s="80">
        <v>2</v>
      </c>
      <c r="AI13" s="81">
        <f t="shared" si="6"/>
        <v>14.5</v>
      </c>
      <c r="AJ13" s="82">
        <f t="shared" si="0"/>
        <v>2427.61</v>
      </c>
    </row>
    <row r="14" spans="1:36">
      <c r="A14" s="5">
        <v>8</v>
      </c>
      <c r="B14" s="77" t="s">
        <v>27</v>
      </c>
      <c r="C14" s="78">
        <v>86.22</v>
      </c>
      <c r="D14" s="79">
        <v>0</v>
      </c>
      <c r="E14" s="80">
        <v>0</v>
      </c>
      <c r="F14" s="80">
        <v>0</v>
      </c>
      <c r="G14" s="80">
        <v>4.93</v>
      </c>
      <c r="H14" s="80">
        <v>0</v>
      </c>
      <c r="I14" s="80">
        <v>1</v>
      </c>
      <c r="J14" s="80">
        <v>19.73</v>
      </c>
      <c r="K14" s="80">
        <v>1</v>
      </c>
      <c r="L14" s="80">
        <v>0</v>
      </c>
      <c r="M14" s="80">
        <v>3.5</v>
      </c>
      <c r="N14" s="80">
        <v>3</v>
      </c>
      <c r="O14" s="80">
        <v>0</v>
      </c>
      <c r="P14" s="80">
        <f t="shared" si="1"/>
        <v>7.5</v>
      </c>
      <c r="Q14" s="80">
        <v>0</v>
      </c>
      <c r="R14" s="80">
        <v>1</v>
      </c>
      <c r="S14" s="80">
        <v>42.07</v>
      </c>
      <c r="T14" s="80">
        <f t="shared" si="2"/>
        <v>43.07</v>
      </c>
      <c r="U14" s="80">
        <v>1</v>
      </c>
      <c r="V14" s="80">
        <v>2</v>
      </c>
      <c r="W14" s="80">
        <v>18.309999999999999</v>
      </c>
      <c r="X14" s="80">
        <v>3.38</v>
      </c>
      <c r="Y14" s="80">
        <f t="shared" si="3"/>
        <v>24.689999999999998</v>
      </c>
      <c r="Z14" s="80">
        <v>0</v>
      </c>
      <c r="AA14" s="80">
        <v>0</v>
      </c>
      <c r="AB14" s="81">
        <f t="shared" si="4"/>
        <v>0</v>
      </c>
      <c r="AC14" s="79">
        <v>1</v>
      </c>
      <c r="AD14" s="80">
        <v>1</v>
      </c>
      <c r="AE14" s="80">
        <v>24.74</v>
      </c>
      <c r="AF14" s="81">
        <f t="shared" si="5"/>
        <v>26.74</v>
      </c>
      <c r="AG14" s="79">
        <v>4</v>
      </c>
      <c r="AH14" s="80">
        <v>0</v>
      </c>
      <c r="AI14" s="81">
        <f t="shared" si="6"/>
        <v>4</v>
      </c>
      <c r="AJ14" s="82">
        <f t="shared" si="0"/>
        <v>217.88000000000002</v>
      </c>
    </row>
    <row r="15" spans="1:36">
      <c r="A15" s="5">
        <v>9</v>
      </c>
      <c r="B15" s="77" t="s">
        <v>28</v>
      </c>
      <c r="C15" s="78">
        <v>37.81</v>
      </c>
      <c r="D15" s="79">
        <v>0</v>
      </c>
      <c r="E15" s="80">
        <v>0.88</v>
      </c>
      <c r="F15" s="80">
        <v>0</v>
      </c>
      <c r="G15" s="80">
        <v>5.88</v>
      </c>
      <c r="H15" s="80">
        <v>0</v>
      </c>
      <c r="I15" s="80">
        <v>0.5</v>
      </c>
      <c r="J15" s="80">
        <v>10.46</v>
      </c>
      <c r="K15" s="80">
        <v>1</v>
      </c>
      <c r="L15" s="80">
        <v>0</v>
      </c>
      <c r="M15" s="80">
        <v>2</v>
      </c>
      <c r="N15" s="80">
        <v>0</v>
      </c>
      <c r="O15" s="80">
        <v>0</v>
      </c>
      <c r="P15" s="80">
        <f t="shared" si="1"/>
        <v>3</v>
      </c>
      <c r="Q15" s="80">
        <v>1</v>
      </c>
      <c r="R15" s="80">
        <v>0</v>
      </c>
      <c r="S15" s="80">
        <v>32</v>
      </c>
      <c r="T15" s="80">
        <f t="shared" si="2"/>
        <v>33</v>
      </c>
      <c r="U15" s="80">
        <v>1</v>
      </c>
      <c r="V15" s="80">
        <v>1</v>
      </c>
      <c r="W15" s="80">
        <v>7.96</v>
      </c>
      <c r="X15" s="80">
        <v>1</v>
      </c>
      <c r="Y15" s="80">
        <f t="shared" si="3"/>
        <v>10.96</v>
      </c>
      <c r="Z15" s="80">
        <v>0</v>
      </c>
      <c r="AA15" s="80">
        <v>0</v>
      </c>
      <c r="AB15" s="81">
        <f t="shared" si="4"/>
        <v>0</v>
      </c>
      <c r="AC15" s="79">
        <v>1</v>
      </c>
      <c r="AD15" s="80">
        <v>0</v>
      </c>
      <c r="AE15" s="80">
        <v>11.51</v>
      </c>
      <c r="AF15" s="81">
        <f t="shared" si="5"/>
        <v>12.51</v>
      </c>
      <c r="AG15" s="79">
        <v>0</v>
      </c>
      <c r="AH15" s="80">
        <v>1</v>
      </c>
      <c r="AI15" s="81">
        <f t="shared" si="6"/>
        <v>1</v>
      </c>
      <c r="AJ15" s="82">
        <f t="shared" si="0"/>
        <v>116.00000000000001</v>
      </c>
    </row>
    <row r="16" spans="1:36">
      <c r="A16" s="5">
        <v>10</v>
      </c>
      <c r="B16" s="77" t="s">
        <v>29</v>
      </c>
      <c r="C16" s="78">
        <v>26</v>
      </c>
      <c r="D16" s="79">
        <v>0.5</v>
      </c>
      <c r="E16" s="80">
        <v>0</v>
      </c>
      <c r="F16" s="80">
        <v>0</v>
      </c>
      <c r="G16" s="80">
        <v>4.45</v>
      </c>
      <c r="H16" s="80">
        <v>0</v>
      </c>
      <c r="I16" s="80">
        <v>1</v>
      </c>
      <c r="J16" s="80">
        <v>7</v>
      </c>
      <c r="K16" s="80">
        <v>0</v>
      </c>
      <c r="L16" s="80">
        <v>1</v>
      </c>
      <c r="M16" s="80">
        <v>1</v>
      </c>
      <c r="N16" s="80">
        <v>1.08</v>
      </c>
      <c r="O16" s="80">
        <v>0</v>
      </c>
      <c r="P16" s="80">
        <f t="shared" si="1"/>
        <v>3.08</v>
      </c>
      <c r="Q16" s="80">
        <v>0</v>
      </c>
      <c r="R16" s="80">
        <v>0</v>
      </c>
      <c r="S16" s="80">
        <v>9.08</v>
      </c>
      <c r="T16" s="80">
        <f t="shared" si="2"/>
        <v>9.08</v>
      </c>
      <c r="U16" s="80">
        <v>0</v>
      </c>
      <c r="V16" s="80">
        <v>1</v>
      </c>
      <c r="W16" s="80">
        <v>5.84</v>
      </c>
      <c r="X16" s="80">
        <v>0</v>
      </c>
      <c r="Y16" s="80">
        <f t="shared" si="3"/>
        <v>6.84</v>
      </c>
      <c r="Z16" s="80">
        <v>0</v>
      </c>
      <c r="AA16" s="80">
        <v>0</v>
      </c>
      <c r="AB16" s="81">
        <f t="shared" si="4"/>
        <v>0</v>
      </c>
      <c r="AC16" s="79">
        <v>1</v>
      </c>
      <c r="AD16" s="80">
        <v>0</v>
      </c>
      <c r="AE16" s="80">
        <v>8.25</v>
      </c>
      <c r="AF16" s="81">
        <f t="shared" si="5"/>
        <v>9.25</v>
      </c>
      <c r="AG16" s="79">
        <v>1</v>
      </c>
      <c r="AH16" s="80">
        <v>1</v>
      </c>
      <c r="AI16" s="81">
        <f t="shared" si="6"/>
        <v>2</v>
      </c>
      <c r="AJ16" s="82">
        <f t="shared" si="0"/>
        <v>69.2</v>
      </c>
    </row>
    <row r="17" spans="1:36">
      <c r="A17" s="5">
        <v>11</v>
      </c>
      <c r="B17" s="77" t="s">
        <v>30</v>
      </c>
      <c r="C17" s="78">
        <v>45</v>
      </c>
      <c r="D17" s="79">
        <v>0</v>
      </c>
      <c r="E17" s="80">
        <v>1</v>
      </c>
      <c r="F17" s="80">
        <v>0</v>
      </c>
      <c r="G17" s="80">
        <v>0</v>
      </c>
      <c r="H17" s="80">
        <v>0</v>
      </c>
      <c r="I17" s="80">
        <v>2</v>
      </c>
      <c r="J17" s="80">
        <v>7</v>
      </c>
      <c r="K17" s="80">
        <v>1</v>
      </c>
      <c r="L17" s="80">
        <v>1</v>
      </c>
      <c r="M17" s="80">
        <v>1</v>
      </c>
      <c r="N17" s="80">
        <v>0</v>
      </c>
      <c r="O17" s="80">
        <v>0</v>
      </c>
      <c r="P17" s="80">
        <f t="shared" si="1"/>
        <v>3</v>
      </c>
      <c r="Q17" s="80">
        <v>0</v>
      </c>
      <c r="R17" s="80">
        <v>1</v>
      </c>
      <c r="S17" s="80">
        <v>15</v>
      </c>
      <c r="T17" s="80">
        <f t="shared" si="2"/>
        <v>16</v>
      </c>
      <c r="U17" s="80">
        <v>0</v>
      </c>
      <c r="V17" s="80">
        <v>1</v>
      </c>
      <c r="W17" s="80">
        <v>8</v>
      </c>
      <c r="X17" s="80">
        <v>1</v>
      </c>
      <c r="Y17" s="80">
        <f t="shared" si="3"/>
        <v>10</v>
      </c>
      <c r="Z17" s="80">
        <v>2</v>
      </c>
      <c r="AA17" s="80">
        <v>0.5</v>
      </c>
      <c r="AB17" s="81">
        <f t="shared" si="4"/>
        <v>2.5</v>
      </c>
      <c r="AC17" s="79">
        <v>1</v>
      </c>
      <c r="AD17" s="80">
        <v>0</v>
      </c>
      <c r="AE17" s="80">
        <v>13</v>
      </c>
      <c r="AF17" s="81">
        <f t="shared" si="5"/>
        <v>14</v>
      </c>
      <c r="AG17" s="79">
        <v>0</v>
      </c>
      <c r="AH17" s="80">
        <v>0</v>
      </c>
      <c r="AI17" s="81">
        <f t="shared" si="6"/>
        <v>0</v>
      </c>
      <c r="AJ17" s="82">
        <f t="shared" si="0"/>
        <v>100.5</v>
      </c>
    </row>
    <row r="18" spans="1:36">
      <c r="A18" s="5">
        <v>12</v>
      </c>
      <c r="B18" s="77" t="s">
        <v>31</v>
      </c>
      <c r="C18" s="78">
        <v>786.15</v>
      </c>
      <c r="D18" s="79">
        <v>18.21</v>
      </c>
      <c r="E18" s="80">
        <v>66.650000000000006</v>
      </c>
      <c r="F18" s="80">
        <v>129.34</v>
      </c>
      <c r="G18" s="80">
        <v>0</v>
      </c>
      <c r="H18" s="80">
        <v>3.5</v>
      </c>
      <c r="I18" s="80">
        <v>6.32</v>
      </c>
      <c r="J18" s="80">
        <v>135.53</v>
      </c>
      <c r="K18" s="80">
        <v>1</v>
      </c>
      <c r="L18" s="80">
        <v>6.17</v>
      </c>
      <c r="M18" s="80">
        <v>3</v>
      </c>
      <c r="N18" s="80">
        <v>34.18</v>
      </c>
      <c r="O18" s="80">
        <v>53.89</v>
      </c>
      <c r="P18" s="80">
        <f t="shared" si="1"/>
        <v>98.240000000000009</v>
      </c>
      <c r="Q18" s="80">
        <v>9.2799999999999994</v>
      </c>
      <c r="R18" s="80">
        <v>25.05</v>
      </c>
      <c r="S18" s="80">
        <v>472.83</v>
      </c>
      <c r="T18" s="80">
        <f t="shared" si="2"/>
        <v>507.15999999999997</v>
      </c>
      <c r="U18" s="80">
        <v>3.5</v>
      </c>
      <c r="V18" s="80">
        <v>2</v>
      </c>
      <c r="W18" s="80">
        <v>132.57</v>
      </c>
      <c r="X18" s="80">
        <v>9.56</v>
      </c>
      <c r="Y18" s="80">
        <f t="shared" si="3"/>
        <v>147.63</v>
      </c>
      <c r="Z18" s="80">
        <v>0</v>
      </c>
      <c r="AA18" s="80">
        <v>0</v>
      </c>
      <c r="AB18" s="81">
        <f t="shared" si="4"/>
        <v>0</v>
      </c>
      <c r="AC18" s="79">
        <v>41.43</v>
      </c>
      <c r="AD18" s="80">
        <v>21.9</v>
      </c>
      <c r="AE18" s="80">
        <v>417.07</v>
      </c>
      <c r="AF18" s="81">
        <f t="shared" si="5"/>
        <v>480.4</v>
      </c>
      <c r="AG18" s="79">
        <v>80.87</v>
      </c>
      <c r="AH18" s="80">
        <v>1</v>
      </c>
      <c r="AI18" s="81">
        <f t="shared" si="6"/>
        <v>81.87</v>
      </c>
      <c r="AJ18" s="82">
        <f t="shared" si="0"/>
        <v>2461</v>
      </c>
    </row>
    <row r="19" spans="1:36">
      <c r="A19" s="5">
        <v>13</v>
      </c>
      <c r="B19" s="77" t="s">
        <v>32</v>
      </c>
      <c r="C19" s="78">
        <v>233.1</v>
      </c>
      <c r="D19" s="79">
        <v>3</v>
      </c>
      <c r="E19" s="80">
        <v>2.7</v>
      </c>
      <c r="F19" s="80">
        <v>1.5</v>
      </c>
      <c r="G19" s="80">
        <v>10.1</v>
      </c>
      <c r="H19" s="80">
        <v>0</v>
      </c>
      <c r="I19" s="80">
        <v>0.5</v>
      </c>
      <c r="J19" s="80">
        <v>30</v>
      </c>
      <c r="K19" s="80">
        <v>1</v>
      </c>
      <c r="L19" s="80">
        <v>0</v>
      </c>
      <c r="M19" s="80">
        <v>2.9</v>
      </c>
      <c r="N19" s="80">
        <v>4.9000000000000004</v>
      </c>
      <c r="O19" s="80">
        <v>5.7</v>
      </c>
      <c r="P19" s="80">
        <f t="shared" si="1"/>
        <v>14.5</v>
      </c>
      <c r="Q19" s="80">
        <v>0</v>
      </c>
      <c r="R19" s="80">
        <v>2</v>
      </c>
      <c r="S19" s="80">
        <v>61.9</v>
      </c>
      <c r="T19" s="80">
        <f t="shared" si="2"/>
        <v>63.9</v>
      </c>
      <c r="U19" s="80">
        <v>1.8</v>
      </c>
      <c r="V19" s="80">
        <v>1</v>
      </c>
      <c r="W19" s="80">
        <v>33.200000000000003</v>
      </c>
      <c r="X19" s="80">
        <v>6.4</v>
      </c>
      <c r="Y19" s="80">
        <f t="shared" si="3"/>
        <v>42.4</v>
      </c>
      <c r="Z19" s="80">
        <v>0</v>
      </c>
      <c r="AA19" s="80">
        <v>0</v>
      </c>
      <c r="AB19" s="81">
        <f t="shared" si="4"/>
        <v>0</v>
      </c>
      <c r="AC19" s="79">
        <v>1</v>
      </c>
      <c r="AD19" s="80">
        <v>0</v>
      </c>
      <c r="AE19" s="80">
        <v>39.5</v>
      </c>
      <c r="AF19" s="81">
        <f t="shared" si="5"/>
        <v>40.5</v>
      </c>
      <c r="AG19" s="79">
        <v>3</v>
      </c>
      <c r="AH19" s="80">
        <v>0</v>
      </c>
      <c r="AI19" s="81">
        <f t="shared" si="6"/>
        <v>3</v>
      </c>
      <c r="AJ19" s="82">
        <f t="shared" si="0"/>
        <v>445.19999999999993</v>
      </c>
    </row>
    <row r="20" spans="1:36">
      <c r="A20" s="5">
        <v>14</v>
      </c>
      <c r="B20" s="77" t="s">
        <v>33</v>
      </c>
      <c r="C20" s="78">
        <v>889.68</v>
      </c>
      <c r="D20" s="79">
        <v>1</v>
      </c>
      <c r="E20" s="80">
        <v>22.24</v>
      </c>
      <c r="F20" s="80">
        <v>104.69</v>
      </c>
      <c r="G20" s="80">
        <v>13</v>
      </c>
      <c r="H20" s="80">
        <v>0</v>
      </c>
      <c r="I20" s="80">
        <v>8</v>
      </c>
      <c r="J20" s="80">
        <v>258.38</v>
      </c>
      <c r="K20" s="80">
        <v>0</v>
      </c>
      <c r="L20" s="80">
        <v>3</v>
      </c>
      <c r="M20" s="80">
        <v>8.5</v>
      </c>
      <c r="N20" s="80">
        <v>24.86</v>
      </c>
      <c r="O20" s="80">
        <v>0</v>
      </c>
      <c r="P20" s="80">
        <f t="shared" si="1"/>
        <v>36.36</v>
      </c>
      <c r="Q20" s="80">
        <v>15</v>
      </c>
      <c r="R20" s="80">
        <v>7</v>
      </c>
      <c r="S20" s="80">
        <v>407.96</v>
      </c>
      <c r="T20" s="80">
        <f t="shared" si="2"/>
        <v>429.96</v>
      </c>
      <c r="U20" s="80">
        <v>24.72</v>
      </c>
      <c r="V20" s="80">
        <v>6</v>
      </c>
      <c r="W20" s="80">
        <v>168.5</v>
      </c>
      <c r="X20" s="80">
        <v>16</v>
      </c>
      <c r="Y20" s="80">
        <f t="shared" si="3"/>
        <v>215.22</v>
      </c>
      <c r="Z20" s="80">
        <v>7</v>
      </c>
      <c r="AA20" s="80">
        <v>132.32</v>
      </c>
      <c r="AB20" s="81">
        <f t="shared" si="4"/>
        <v>139.32</v>
      </c>
      <c r="AC20" s="79">
        <v>1</v>
      </c>
      <c r="AD20" s="80">
        <v>11</v>
      </c>
      <c r="AE20" s="80">
        <v>417.05</v>
      </c>
      <c r="AF20" s="81">
        <f t="shared" si="5"/>
        <v>429.05</v>
      </c>
      <c r="AG20" s="79">
        <v>5</v>
      </c>
      <c r="AH20" s="80">
        <v>1</v>
      </c>
      <c r="AI20" s="81">
        <f t="shared" si="6"/>
        <v>6</v>
      </c>
      <c r="AJ20" s="82">
        <f t="shared" si="0"/>
        <v>2552.9</v>
      </c>
    </row>
    <row r="21" spans="1:36">
      <c r="A21" s="5">
        <v>15</v>
      </c>
      <c r="B21" s="77" t="s">
        <v>34</v>
      </c>
      <c r="C21" s="78">
        <v>37.57</v>
      </c>
      <c r="D21" s="79">
        <v>0.49</v>
      </c>
      <c r="E21" s="80">
        <v>0</v>
      </c>
      <c r="F21" s="80">
        <v>0</v>
      </c>
      <c r="G21" s="80">
        <v>7.87</v>
      </c>
      <c r="H21" s="80">
        <v>0</v>
      </c>
      <c r="I21" s="80">
        <v>0.85</v>
      </c>
      <c r="J21" s="80">
        <v>7</v>
      </c>
      <c r="K21" s="80">
        <v>1</v>
      </c>
      <c r="L21" s="80">
        <v>0</v>
      </c>
      <c r="M21" s="80">
        <v>0</v>
      </c>
      <c r="N21" s="80">
        <v>1.63</v>
      </c>
      <c r="O21" s="80">
        <v>0</v>
      </c>
      <c r="P21" s="80">
        <f t="shared" si="1"/>
        <v>2.63</v>
      </c>
      <c r="Q21" s="80">
        <v>0.33</v>
      </c>
      <c r="R21" s="80">
        <v>1</v>
      </c>
      <c r="S21" s="80">
        <v>16.57</v>
      </c>
      <c r="T21" s="80">
        <f t="shared" si="2"/>
        <v>17.899999999999999</v>
      </c>
      <c r="U21" s="80">
        <v>0.25</v>
      </c>
      <c r="V21" s="80">
        <v>0</v>
      </c>
      <c r="W21" s="80">
        <v>5.13</v>
      </c>
      <c r="X21" s="80">
        <v>0</v>
      </c>
      <c r="Y21" s="80">
        <f t="shared" si="3"/>
        <v>5.38</v>
      </c>
      <c r="Z21" s="80">
        <v>0</v>
      </c>
      <c r="AA21" s="80">
        <v>0</v>
      </c>
      <c r="AB21" s="81">
        <f t="shared" si="4"/>
        <v>0</v>
      </c>
      <c r="AC21" s="79">
        <v>5</v>
      </c>
      <c r="AD21" s="80">
        <v>0</v>
      </c>
      <c r="AE21" s="80">
        <v>8.9700000000000006</v>
      </c>
      <c r="AF21" s="81">
        <f t="shared" si="5"/>
        <v>13.97</v>
      </c>
      <c r="AG21" s="79">
        <v>0</v>
      </c>
      <c r="AH21" s="80">
        <v>0</v>
      </c>
      <c r="AI21" s="81">
        <f t="shared" si="6"/>
        <v>0</v>
      </c>
      <c r="AJ21" s="82">
        <f t="shared" si="0"/>
        <v>93.66</v>
      </c>
    </row>
    <row r="22" spans="1:36">
      <c r="A22" s="5">
        <v>16</v>
      </c>
      <c r="B22" s="77" t="s">
        <v>35</v>
      </c>
      <c r="C22" s="78">
        <v>30.32</v>
      </c>
      <c r="D22" s="79">
        <v>0</v>
      </c>
      <c r="E22" s="80">
        <v>0</v>
      </c>
      <c r="F22" s="80">
        <v>0</v>
      </c>
      <c r="G22" s="80">
        <v>5</v>
      </c>
      <c r="H22" s="80">
        <v>1</v>
      </c>
      <c r="I22" s="80">
        <v>1</v>
      </c>
      <c r="J22" s="80">
        <v>9</v>
      </c>
      <c r="K22" s="80">
        <v>1</v>
      </c>
      <c r="L22" s="80">
        <v>0</v>
      </c>
      <c r="M22" s="80">
        <v>0</v>
      </c>
      <c r="N22" s="80">
        <v>1.5</v>
      </c>
      <c r="O22" s="80">
        <v>0</v>
      </c>
      <c r="P22" s="80">
        <f t="shared" si="1"/>
        <v>2.5</v>
      </c>
      <c r="Q22" s="80">
        <v>0</v>
      </c>
      <c r="R22" s="80">
        <v>0.5</v>
      </c>
      <c r="S22" s="80">
        <v>12.78</v>
      </c>
      <c r="T22" s="80">
        <f t="shared" si="2"/>
        <v>13.28</v>
      </c>
      <c r="U22" s="80">
        <v>0</v>
      </c>
      <c r="V22" s="80">
        <v>0.5</v>
      </c>
      <c r="W22" s="80">
        <v>11</v>
      </c>
      <c r="X22" s="80">
        <v>0</v>
      </c>
      <c r="Y22" s="80">
        <f t="shared" si="3"/>
        <v>11.5</v>
      </c>
      <c r="Z22" s="80">
        <v>1.5</v>
      </c>
      <c r="AA22" s="80">
        <v>0</v>
      </c>
      <c r="AB22" s="81">
        <f t="shared" si="4"/>
        <v>1.5</v>
      </c>
      <c r="AC22" s="79">
        <v>0.5</v>
      </c>
      <c r="AD22" s="80">
        <v>0</v>
      </c>
      <c r="AE22" s="80">
        <v>7.04</v>
      </c>
      <c r="AF22" s="81">
        <f t="shared" si="5"/>
        <v>7.54</v>
      </c>
      <c r="AG22" s="79">
        <v>0</v>
      </c>
      <c r="AH22" s="80">
        <v>0</v>
      </c>
      <c r="AI22" s="81">
        <f t="shared" si="6"/>
        <v>0</v>
      </c>
      <c r="AJ22" s="82">
        <f t="shared" si="0"/>
        <v>82.64</v>
      </c>
    </row>
    <row r="23" spans="1:36">
      <c r="A23" s="5">
        <v>39</v>
      </c>
      <c r="B23" s="77" t="s">
        <v>58</v>
      </c>
      <c r="C23" s="78">
        <v>157</v>
      </c>
      <c r="D23" s="79">
        <v>1</v>
      </c>
      <c r="E23" s="80">
        <v>4.5</v>
      </c>
      <c r="F23" s="80">
        <v>1.5</v>
      </c>
      <c r="G23" s="80">
        <v>6.25</v>
      </c>
      <c r="H23" s="80">
        <v>0</v>
      </c>
      <c r="I23" s="80">
        <v>8</v>
      </c>
      <c r="J23" s="80">
        <v>15.5</v>
      </c>
      <c r="K23" s="80">
        <v>1</v>
      </c>
      <c r="L23" s="80">
        <v>0</v>
      </c>
      <c r="M23" s="80">
        <v>1</v>
      </c>
      <c r="N23" s="80">
        <v>2</v>
      </c>
      <c r="O23" s="80">
        <v>0</v>
      </c>
      <c r="P23" s="80">
        <f t="shared" si="1"/>
        <v>4</v>
      </c>
      <c r="Q23" s="80">
        <v>0</v>
      </c>
      <c r="R23" s="80">
        <v>1</v>
      </c>
      <c r="S23" s="80">
        <v>45</v>
      </c>
      <c r="T23" s="80">
        <f t="shared" si="2"/>
        <v>46</v>
      </c>
      <c r="U23" s="80">
        <v>0</v>
      </c>
      <c r="V23" s="80">
        <v>0</v>
      </c>
      <c r="W23" s="80">
        <v>0</v>
      </c>
      <c r="X23" s="80">
        <v>0</v>
      </c>
      <c r="Y23" s="80">
        <f t="shared" si="3"/>
        <v>0</v>
      </c>
      <c r="Z23" s="80">
        <v>0</v>
      </c>
      <c r="AA23" s="80">
        <v>0</v>
      </c>
      <c r="AB23" s="81">
        <f t="shared" si="4"/>
        <v>0</v>
      </c>
      <c r="AC23" s="79">
        <v>1</v>
      </c>
      <c r="AD23" s="80">
        <v>1</v>
      </c>
      <c r="AE23" s="80">
        <v>39</v>
      </c>
      <c r="AF23" s="81">
        <f t="shared" si="5"/>
        <v>41</v>
      </c>
      <c r="AG23" s="79">
        <v>0</v>
      </c>
      <c r="AH23" s="80">
        <v>0</v>
      </c>
      <c r="AI23" s="81">
        <f t="shared" si="6"/>
        <v>0</v>
      </c>
      <c r="AJ23" s="82">
        <f t="shared" si="0"/>
        <v>284.75</v>
      </c>
    </row>
    <row r="24" spans="1:36">
      <c r="A24" s="5">
        <v>17</v>
      </c>
      <c r="B24" s="77" t="s">
        <v>36</v>
      </c>
      <c r="C24" s="78">
        <v>66.44</v>
      </c>
      <c r="D24" s="79">
        <v>0</v>
      </c>
      <c r="E24" s="80">
        <v>0</v>
      </c>
      <c r="F24" s="80">
        <v>0</v>
      </c>
      <c r="G24" s="80">
        <v>0</v>
      </c>
      <c r="H24" s="80">
        <v>0</v>
      </c>
      <c r="I24" s="80">
        <v>1</v>
      </c>
      <c r="J24" s="80">
        <v>10</v>
      </c>
      <c r="K24" s="80">
        <v>1</v>
      </c>
      <c r="L24" s="80">
        <v>0</v>
      </c>
      <c r="M24" s="80">
        <v>2</v>
      </c>
      <c r="N24" s="80">
        <v>1</v>
      </c>
      <c r="O24" s="80">
        <v>0</v>
      </c>
      <c r="P24" s="80">
        <f t="shared" si="1"/>
        <v>4</v>
      </c>
      <c r="Q24" s="80">
        <v>0.25</v>
      </c>
      <c r="R24" s="80">
        <v>1</v>
      </c>
      <c r="S24" s="80">
        <v>30.39</v>
      </c>
      <c r="T24" s="80">
        <f t="shared" si="2"/>
        <v>31.64</v>
      </c>
      <c r="U24" s="80">
        <v>1</v>
      </c>
      <c r="V24" s="80">
        <v>1</v>
      </c>
      <c r="W24" s="80">
        <v>12.2</v>
      </c>
      <c r="X24" s="80">
        <v>1</v>
      </c>
      <c r="Y24" s="80">
        <f t="shared" si="3"/>
        <v>15.2</v>
      </c>
      <c r="Z24" s="80">
        <v>0</v>
      </c>
      <c r="AA24" s="80">
        <v>0</v>
      </c>
      <c r="AB24" s="81">
        <f t="shared" si="4"/>
        <v>0</v>
      </c>
      <c r="AC24" s="79">
        <v>1</v>
      </c>
      <c r="AD24" s="80">
        <v>0.25</v>
      </c>
      <c r="AE24" s="80">
        <v>26.22</v>
      </c>
      <c r="AF24" s="81">
        <f t="shared" si="5"/>
        <v>27.47</v>
      </c>
      <c r="AG24" s="79">
        <v>0</v>
      </c>
      <c r="AH24" s="80">
        <v>0</v>
      </c>
      <c r="AI24" s="81">
        <f t="shared" si="6"/>
        <v>0</v>
      </c>
      <c r="AJ24" s="82">
        <f t="shared" si="0"/>
        <v>155.75</v>
      </c>
    </row>
    <row r="25" spans="1:36">
      <c r="A25" s="5">
        <v>18</v>
      </c>
      <c r="B25" s="77" t="s">
        <v>37</v>
      </c>
      <c r="C25" s="78">
        <v>26.27</v>
      </c>
      <c r="D25" s="79">
        <v>0</v>
      </c>
      <c r="E25" s="80">
        <v>0</v>
      </c>
      <c r="F25" s="80">
        <v>0</v>
      </c>
      <c r="G25" s="80">
        <v>3</v>
      </c>
      <c r="H25" s="80">
        <v>0</v>
      </c>
      <c r="I25" s="80">
        <v>1.25</v>
      </c>
      <c r="J25" s="80">
        <v>6</v>
      </c>
      <c r="K25" s="80">
        <v>1</v>
      </c>
      <c r="L25" s="80">
        <v>0</v>
      </c>
      <c r="M25" s="80">
        <v>0</v>
      </c>
      <c r="N25" s="80">
        <v>1.47</v>
      </c>
      <c r="O25" s="80">
        <v>0</v>
      </c>
      <c r="P25" s="80">
        <f t="shared" si="1"/>
        <v>2.4699999999999998</v>
      </c>
      <c r="Q25" s="80">
        <v>0</v>
      </c>
      <c r="R25" s="80">
        <v>1</v>
      </c>
      <c r="S25" s="80">
        <v>10.06</v>
      </c>
      <c r="T25" s="80">
        <f t="shared" si="2"/>
        <v>11.06</v>
      </c>
      <c r="U25" s="80">
        <v>0.3</v>
      </c>
      <c r="V25" s="80">
        <v>0.5</v>
      </c>
      <c r="W25" s="80">
        <v>8.57</v>
      </c>
      <c r="X25" s="80">
        <v>1.1299999999999999</v>
      </c>
      <c r="Y25" s="80">
        <f t="shared" si="3"/>
        <v>10.5</v>
      </c>
      <c r="Z25" s="80">
        <v>0</v>
      </c>
      <c r="AA25" s="80">
        <v>3.26</v>
      </c>
      <c r="AB25" s="81">
        <f t="shared" si="4"/>
        <v>3.26</v>
      </c>
      <c r="AC25" s="79">
        <v>1</v>
      </c>
      <c r="AD25" s="80">
        <v>0</v>
      </c>
      <c r="AE25" s="80">
        <v>9.51</v>
      </c>
      <c r="AF25" s="81">
        <f t="shared" si="5"/>
        <v>10.51</v>
      </c>
      <c r="AG25" s="79">
        <v>0</v>
      </c>
      <c r="AH25" s="80">
        <v>0</v>
      </c>
      <c r="AI25" s="81">
        <f t="shared" si="6"/>
        <v>0</v>
      </c>
      <c r="AJ25" s="82">
        <f t="shared" si="0"/>
        <v>74.319999999999993</v>
      </c>
    </row>
    <row r="26" spans="1:36">
      <c r="A26" s="5">
        <v>40</v>
      </c>
      <c r="B26" s="77" t="s">
        <v>59</v>
      </c>
      <c r="C26" s="78">
        <v>101.33</v>
      </c>
      <c r="D26" s="79">
        <v>2.25</v>
      </c>
      <c r="E26" s="80">
        <v>5.5</v>
      </c>
      <c r="F26" s="80">
        <v>0</v>
      </c>
      <c r="G26" s="80">
        <v>8.64</v>
      </c>
      <c r="H26" s="80">
        <v>0.2</v>
      </c>
      <c r="I26" s="80">
        <v>3.5</v>
      </c>
      <c r="J26" s="80">
        <v>16.25</v>
      </c>
      <c r="K26" s="80">
        <v>1</v>
      </c>
      <c r="L26" s="80">
        <v>5</v>
      </c>
      <c r="M26" s="80">
        <v>2.75</v>
      </c>
      <c r="N26" s="80">
        <v>1</v>
      </c>
      <c r="O26" s="80">
        <v>0.5</v>
      </c>
      <c r="P26" s="80">
        <f t="shared" si="1"/>
        <v>10.25</v>
      </c>
      <c r="Q26" s="80">
        <v>0.5</v>
      </c>
      <c r="R26" s="80">
        <v>0.4</v>
      </c>
      <c r="S26" s="80">
        <v>41.6</v>
      </c>
      <c r="T26" s="80">
        <f t="shared" si="2"/>
        <v>42.5</v>
      </c>
      <c r="U26" s="80">
        <v>0.5</v>
      </c>
      <c r="V26" s="80">
        <v>0.4</v>
      </c>
      <c r="W26" s="80">
        <v>11.9</v>
      </c>
      <c r="X26" s="80">
        <v>0.5</v>
      </c>
      <c r="Y26" s="80">
        <f t="shared" si="3"/>
        <v>13.3</v>
      </c>
      <c r="Z26" s="80">
        <v>1</v>
      </c>
      <c r="AA26" s="80">
        <v>0</v>
      </c>
      <c r="AB26" s="81">
        <f t="shared" si="4"/>
        <v>1</v>
      </c>
      <c r="AC26" s="79">
        <v>1</v>
      </c>
      <c r="AD26" s="80">
        <v>0.75</v>
      </c>
      <c r="AE26" s="80">
        <v>34.72</v>
      </c>
      <c r="AF26" s="81">
        <f t="shared" si="5"/>
        <v>36.47</v>
      </c>
      <c r="AG26" s="79">
        <v>0</v>
      </c>
      <c r="AH26" s="80">
        <v>0</v>
      </c>
      <c r="AI26" s="81">
        <f t="shared" si="6"/>
        <v>0</v>
      </c>
      <c r="AJ26" s="82">
        <f t="shared" si="0"/>
        <v>241.19000000000003</v>
      </c>
    </row>
    <row r="27" spans="1:36">
      <c r="A27" s="5">
        <v>19</v>
      </c>
      <c r="B27" s="77" t="s">
        <v>38</v>
      </c>
      <c r="C27" s="78">
        <v>373.58</v>
      </c>
      <c r="D27" s="79">
        <v>0</v>
      </c>
      <c r="E27" s="80">
        <v>10.25</v>
      </c>
      <c r="F27" s="80">
        <v>3.4</v>
      </c>
      <c r="G27" s="80">
        <v>16.93</v>
      </c>
      <c r="H27" s="80">
        <v>0</v>
      </c>
      <c r="I27" s="80">
        <v>19.579999999999998</v>
      </c>
      <c r="J27" s="80">
        <v>83.56</v>
      </c>
      <c r="K27" s="80">
        <v>1</v>
      </c>
      <c r="L27" s="80">
        <v>1</v>
      </c>
      <c r="M27" s="80">
        <v>1</v>
      </c>
      <c r="N27" s="80">
        <v>6</v>
      </c>
      <c r="O27" s="80">
        <v>0</v>
      </c>
      <c r="P27" s="80">
        <f t="shared" si="1"/>
        <v>9</v>
      </c>
      <c r="Q27" s="80">
        <v>2.89</v>
      </c>
      <c r="R27" s="80">
        <v>2.9</v>
      </c>
      <c r="S27" s="80">
        <v>187.13</v>
      </c>
      <c r="T27" s="80">
        <f t="shared" si="2"/>
        <v>192.92</v>
      </c>
      <c r="U27" s="80">
        <v>5.88</v>
      </c>
      <c r="V27" s="80">
        <v>2</v>
      </c>
      <c r="W27" s="80">
        <v>71.53</v>
      </c>
      <c r="X27" s="80">
        <v>7.25</v>
      </c>
      <c r="Y27" s="80">
        <f t="shared" si="3"/>
        <v>86.66</v>
      </c>
      <c r="Z27" s="80">
        <v>0</v>
      </c>
      <c r="AA27" s="80">
        <v>61.46</v>
      </c>
      <c r="AB27" s="81">
        <f t="shared" si="4"/>
        <v>61.46</v>
      </c>
      <c r="AC27" s="79">
        <v>1.6</v>
      </c>
      <c r="AD27" s="80">
        <v>17.2</v>
      </c>
      <c r="AE27" s="80">
        <v>101.4</v>
      </c>
      <c r="AF27" s="81">
        <f t="shared" si="5"/>
        <v>120.2</v>
      </c>
      <c r="AG27" s="79">
        <v>2</v>
      </c>
      <c r="AH27" s="80">
        <v>0.5</v>
      </c>
      <c r="AI27" s="81">
        <f t="shared" si="6"/>
        <v>2.5</v>
      </c>
      <c r="AJ27" s="82">
        <f t="shared" si="0"/>
        <v>980.04</v>
      </c>
    </row>
    <row r="28" spans="1:36">
      <c r="A28" s="5">
        <v>20</v>
      </c>
      <c r="B28" s="77" t="s">
        <v>39</v>
      </c>
      <c r="C28" s="78">
        <v>67.73</v>
      </c>
      <c r="D28" s="79">
        <v>0</v>
      </c>
      <c r="E28" s="80">
        <v>0</v>
      </c>
      <c r="F28" s="80">
        <v>0</v>
      </c>
      <c r="G28" s="80">
        <v>3.75</v>
      </c>
      <c r="H28" s="80">
        <v>0</v>
      </c>
      <c r="I28" s="80">
        <v>2</v>
      </c>
      <c r="J28" s="80">
        <v>7.71</v>
      </c>
      <c r="K28" s="80">
        <v>1</v>
      </c>
      <c r="L28" s="80">
        <v>0</v>
      </c>
      <c r="M28" s="80">
        <v>0</v>
      </c>
      <c r="N28" s="80">
        <v>1</v>
      </c>
      <c r="O28" s="80">
        <v>0</v>
      </c>
      <c r="P28" s="80">
        <f t="shared" si="1"/>
        <v>2</v>
      </c>
      <c r="Q28" s="80">
        <v>0</v>
      </c>
      <c r="R28" s="80">
        <v>1</v>
      </c>
      <c r="S28" s="80">
        <v>15.35</v>
      </c>
      <c r="T28" s="80">
        <f t="shared" si="2"/>
        <v>16.350000000000001</v>
      </c>
      <c r="U28" s="80">
        <v>1</v>
      </c>
      <c r="V28" s="80">
        <v>0</v>
      </c>
      <c r="W28" s="80">
        <v>10.51</v>
      </c>
      <c r="X28" s="80">
        <v>1.56</v>
      </c>
      <c r="Y28" s="80">
        <f t="shared" si="3"/>
        <v>13.07</v>
      </c>
      <c r="Z28" s="80">
        <v>3.44</v>
      </c>
      <c r="AA28" s="80">
        <v>0</v>
      </c>
      <c r="AB28" s="81">
        <f t="shared" si="4"/>
        <v>3.44</v>
      </c>
      <c r="AC28" s="79">
        <v>1</v>
      </c>
      <c r="AD28" s="80">
        <v>0</v>
      </c>
      <c r="AE28" s="80">
        <v>13.13</v>
      </c>
      <c r="AF28" s="81">
        <f t="shared" si="5"/>
        <v>14.13</v>
      </c>
      <c r="AG28" s="79">
        <v>0</v>
      </c>
      <c r="AH28" s="80">
        <v>0</v>
      </c>
      <c r="AI28" s="81">
        <f t="shared" si="6"/>
        <v>0</v>
      </c>
      <c r="AJ28" s="82">
        <f t="shared" si="0"/>
        <v>130.17999999999998</v>
      </c>
    </row>
    <row r="29" spans="1:36">
      <c r="A29" s="5">
        <v>21</v>
      </c>
      <c r="B29" s="77" t="s">
        <v>40</v>
      </c>
      <c r="C29" s="78">
        <v>19.5</v>
      </c>
      <c r="D29" s="79">
        <v>0.5</v>
      </c>
      <c r="E29" s="83">
        <v>0</v>
      </c>
      <c r="F29" s="83">
        <v>0</v>
      </c>
      <c r="G29" s="83">
        <v>0.66</v>
      </c>
      <c r="H29" s="83">
        <v>0</v>
      </c>
      <c r="I29" s="83">
        <v>0.5</v>
      </c>
      <c r="J29" s="83">
        <v>4.34</v>
      </c>
      <c r="K29" s="83">
        <v>1</v>
      </c>
      <c r="L29" s="83">
        <v>0</v>
      </c>
      <c r="M29" s="83">
        <v>0</v>
      </c>
      <c r="N29" s="83">
        <v>0.5</v>
      </c>
      <c r="O29" s="83">
        <v>0</v>
      </c>
      <c r="P29" s="80">
        <f t="shared" si="1"/>
        <v>1.5</v>
      </c>
      <c r="Q29" s="83">
        <v>0</v>
      </c>
      <c r="R29" s="83">
        <v>0</v>
      </c>
      <c r="S29" s="83">
        <v>12.75</v>
      </c>
      <c r="T29" s="80">
        <f t="shared" si="2"/>
        <v>12.75</v>
      </c>
      <c r="U29" s="83">
        <v>0.5</v>
      </c>
      <c r="V29" s="83">
        <v>0.5</v>
      </c>
      <c r="W29" s="83">
        <v>12.5</v>
      </c>
      <c r="X29" s="83">
        <v>0.5</v>
      </c>
      <c r="Y29" s="80">
        <f t="shared" si="3"/>
        <v>14</v>
      </c>
      <c r="Z29" s="83">
        <v>0</v>
      </c>
      <c r="AA29" s="83">
        <v>1.5</v>
      </c>
      <c r="AB29" s="81">
        <f t="shared" si="4"/>
        <v>1.5</v>
      </c>
      <c r="AC29" s="79">
        <v>0.5</v>
      </c>
      <c r="AD29" s="83">
        <v>0</v>
      </c>
      <c r="AE29" s="83">
        <v>7.5</v>
      </c>
      <c r="AF29" s="81">
        <f t="shared" si="5"/>
        <v>8</v>
      </c>
      <c r="AG29" s="79">
        <v>0</v>
      </c>
      <c r="AH29" s="83">
        <v>0</v>
      </c>
      <c r="AI29" s="81">
        <f t="shared" si="6"/>
        <v>0</v>
      </c>
      <c r="AJ29" s="82">
        <f t="shared" si="0"/>
        <v>63.25</v>
      </c>
    </row>
    <row r="30" spans="1:36">
      <c r="A30" s="5">
        <v>37</v>
      </c>
      <c r="B30" s="77" t="s">
        <v>56</v>
      </c>
      <c r="C30" s="78">
        <v>141.80000000000001</v>
      </c>
      <c r="D30" s="79">
        <v>0</v>
      </c>
      <c r="E30" s="80">
        <v>9.73</v>
      </c>
      <c r="F30" s="80">
        <v>11</v>
      </c>
      <c r="G30" s="80">
        <v>3.51</v>
      </c>
      <c r="H30" s="80">
        <v>1</v>
      </c>
      <c r="I30" s="80">
        <v>4.75</v>
      </c>
      <c r="J30" s="80">
        <v>32.5</v>
      </c>
      <c r="K30" s="80">
        <v>1</v>
      </c>
      <c r="L30" s="80">
        <v>0</v>
      </c>
      <c r="M30" s="80">
        <v>1</v>
      </c>
      <c r="N30" s="80">
        <v>7</v>
      </c>
      <c r="O30" s="80">
        <v>20.74</v>
      </c>
      <c r="P30" s="80">
        <f t="shared" si="1"/>
        <v>29.74</v>
      </c>
      <c r="Q30" s="80">
        <v>1.65</v>
      </c>
      <c r="R30" s="80">
        <v>1</v>
      </c>
      <c r="S30" s="80">
        <v>73.73</v>
      </c>
      <c r="T30" s="80">
        <f t="shared" si="2"/>
        <v>76.38000000000001</v>
      </c>
      <c r="U30" s="80">
        <v>0</v>
      </c>
      <c r="V30" s="80">
        <v>0</v>
      </c>
      <c r="W30" s="80">
        <v>1</v>
      </c>
      <c r="X30" s="80">
        <v>0</v>
      </c>
      <c r="Y30" s="80">
        <f t="shared" si="3"/>
        <v>1</v>
      </c>
      <c r="Z30" s="80">
        <v>0</v>
      </c>
      <c r="AA30" s="80">
        <v>3.13</v>
      </c>
      <c r="AB30" s="81">
        <f t="shared" si="4"/>
        <v>3.13</v>
      </c>
      <c r="AC30" s="79">
        <v>0</v>
      </c>
      <c r="AD30" s="80">
        <v>2</v>
      </c>
      <c r="AE30" s="80">
        <v>67.900000000000006</v>
      </c>
      <c r="AF30" s="81">
        <f t="shared" si="5"/>
        <v>69.900000000000006</v>
      </c>
      <c r="AG30" s="79">
        <v>0</v>
      </c>
      <c r="AH30" s="80">
        <v>0</v>
      </c>
      <c r="AI30" s="81">
        <f t="shared" si="6"/>
        <v>0</v>
      </c>
      <c r="AJ30" s="82">
        <f t="shared" si="0"/>
        <v>384.44000000000005</v>
      </c>
    </row>
    <row r="31" spans="1:36">
      <c r="A31" s="5">
        <v>22</v>
      </c>
      <c r="B31" s="77" t="s">
        <v>41</v>
      </c>
      <c r="C31" s="78">
        <v>61.29</v>
      </c>
      <c r="D31" s="79">
        <v>2.08</v>
      </c>
      <c r="E31" s="80">
        <v>2</v>
      </c>
      <c r="F31" s="80">
        <v>0</v>
      </c>
      <c r="G31" s="80">
        <v>1.94</v>
      </c>
      <c r="H31" s="80">
        <v>0.5</v>
      </c>
      <c r="I31" s="80">
        <v>5</v>
      </c>
      <c r="J31" s="80">
        <v>15.96</v>
      </c>
      <c r="K31" s="80">
        <v>1</v>
      </c>
      <c r="L31" s="80">
        <v>0</v>
      </c>
      <c r="M31" s="80">
        <v>1</v>
      </c>
      <c r="N31" s="80">
        <v>0.5</v>
      </c>
      <c r="O31" s="80">
        <v>3.5</v>
      </c>
      <c r="P31" s="80">
        <f t="shared" si="1"/>
        <v>6</v>
      </c>
      <c r="Q31" s="80">
        <v>0.5</v>
      </c>
      <c r="R31" s="80">
        <v>1</v>
      </c>
      <c r="S31" s="80">
        <v>37.380000000000003</v>
      </c>
      <c r="T31" s="80">
        <f t="shared" si="2"/>
        <v>38.880000000000003</v>
      </c>
      <c r="U31" s="80">
        <v>1.75</v>
      </c>
      <c r="V31" s="80">
        <v>1</v>
      </c>
      <c r="W31" s="80">
        <v>17.86</v>
      </c>
      <c r="X31" s="80">
        <v>3</v>
      </c>
      <c r="Y31" s="80">
        <f t="shared" si="3"/>
        <v>23.61</v>
      </c>
      <c r="Z31" s="80">
        <v>0</v>
      </c>
      <c r="AA31" s="80">
        <v>0</v>
      </c>
      <c r="AB31" s="81">
        <f t="shared" si="4"/>
        <v>0</v>
      </c>
      <c r="AC31" s="79">
        <v>1</v>
      </c>
      <c r="AD31" s="80">
        <v>1.55</v>
      </c>
      <c r="AE31" s="80">
        <v>18.809999999999999</v>
      </c>
      <c r="AF31" s="81">
        <f t="shared" si="5"/>
        <v>21.36</v>
      </c>
      <c r="AG31" s="79">
        <v>0</v>
      </c>
      <c r="AH31" s="80">
        <v>0.5</v>
      </c>
      <c r="AI31" s="81">
        <f t="shared" si="6"/>
        <v>0.5</v>
      </c>
      <c r="AJ31" s="82">
        <f t="shared" si="0"/>
        <v>179.12</v>
      </c>
    </row>
    <row r="32" spans="1:36">
      <c r="A32" s="5">
        <v>23</v>
      </c>
      <c r="B32" s="77" t="s">
        <v>42</v>
      </c>
      <c r="C32" s="78">
        <v>10.050000000000001</v>
      </c>
      <c r="D32" s="79">
        <v>0</v>
      </c>
      <c r="E32" s="80">
        <v>0</v>
      </c>
      <c r="F32" s="80">
        <v>0</v>
      </c>
      <c r="G32" s="80">
        <v>1</v>
      </c>
      <c r="H32" s="80">
        <v>0</v>
      </c>
      <c r="I32" s="80">
        <v>1</v>
      </c>
      <c r="J32" s="80">
        <v>3.5</v>
      </c>
      <c r="K32" s="80">
        <v>1</v>
      </c>
      <c r="L32" s="80">
        <v>0</v>
      </c>
      <c r="M32" s="80">
        <v>0</v>
      </c>
      <c r="N32" s="80">
        <v>0</v>
      </c>
      <c r="O32" s="80">
        <v>0</v>
      </c>
      <c r="P32" s="80">
        <f t="shared" si="1"/>
        <v>1</v>
      </c>
      <c r="Q32" s="80">
        <v>0</v>
      </c>
      <c r="R32" s="80">
        <v>0</v>
      </c>
      <c r="S32" s="80">
        <v>4.3499999999999996</v>
      </c>
      <c r="T32" s="80">
        <f t="shared" si="2"/>
        <v>4.3499999999999996</v>
      </c>
      <c r="U32" s="80">
        <v>0.25</v>
      </c>
      <c r="V32" s="80">
        <v>0</v>
      </c>
      <c r="W32" s="80">
        <v>3.25</v>
      </c>
      <c r="X32" s="80">
        <v>0.75</v>
      </c>
      <c r="Y32" s="80">
        <f t="shared" si="3"/>
        <v>4.25</v>
      </c>
      <c r="Z32" s="80">
        <v>0</v>
      </c>
      <c r="AA32" s="80">
        <v>0</v>
      </c>
      <c r="AB32" s="81">
        <f t="shared" si="4"/>
        <v>0</v>
      </c>
      <c r="AC32" s="79">
        <v>1.1200000000000001</v>
      </c>
      <c r="AD32" s="80">
        <v>0</v>
      </c>
      <c r="AE32" s="80">
        <v>2.48</v>
      </c>
      <c r="AF32" s="81">
        <f t="shared" si="5"/>
        <v>3.6</v>
      </c>
      <c r="AG32" s="79">
        <v>0</v>
      </c>
      <c r="AH32" s="80">
        <v>0</v>
      </c>
      <c r="AI32" s="81">
        <f t="shared" si="6"/>
        <v>0</v>
      </c>
      <c r="AJ32" s="82">
        <f t="shared" si="0"/>
        <v>28.75</v>
      </c>
    </row>
    <row r="33" spans="1:36">
      <c r="A33" s="5">
        <v>38</v>
      </c>
      <c r="B33" s="84" t="s">
        <v>57</v>
      </c>
      <c r="C33" s="78">
        <v>270.89</v>
      </c>
      <c r="D33" s="79">
        <v>0.33</v>
      </c>
      <c r="E33" s="80">
        <v>7.05</v>
      </c>
      <c r="F33" s="80">
        <v>11.1</v>
      </c>
      <c r="G33" s="80">
        <v>13.4</v>
      </c>
      <c r="H33" s="80">
        <v>3</v>
      </c>
      <c r="I33" s="80">
        <v>3.5</v>
      </c>
      <c r="J33" s="80">
        <v>38.5</v>
      </c>
      <c r="K33" s="80">
        <v>1</v>
      </c>
      <c r="L33" s="80">
        <v>2</v>
      </c>
      <c r="M33" s="80">
        <v>1.33</v>
      </c>
      <c r="N33" s="80">
        <v>10.44</v>
      </c>
      <c r="O33" s="80">
        <v>0.5</v>
      </c>
      <c r="P33" s="80">
        <f t="shared" si="1"/>
        <v>15.27</v>
      </c>
      <c r="Q33" s="80">
        <v>0</v>
      </c>
      <c r="R33" s="80">
        <v>0</v>
      </c>
      <c r="S33" s="80">
        <v>58.79</v>
      </c>
      <c r="T33" s="80">
        <f t="shared" si="2"/>
        <v>58.79</v>
      </c>
      <c r="U33" s="80">
        <v>1</v>
      </c>
      <c r="V33" s="80">
        <v>0.94</v>
      </c>
      <c r="W33" s="80">
        <v>30.87</v>
      </c>
      <c r="X33" s="80">
        <v>3</v>
      </c>
      <c r="Y33" s="80">
        <f t="shared" si="3"/>
        <v>35.81</v>
      </c>
      <c r="Z33" s="80">
        <v>0</v>
      </c>
      <c r="AA33" s="80">
        <v>8.82</v>
      </c>
      <c r="AB33" s="81">
        <f t="shared" si="4"/>
        <v>8.82</v>
      </c>
      <c r="AC33" s="79">
        <v>1</v>
      </c>
      <c r="AD33" s="80">
        <v>7.8</v>
      </c>
      <c r="AE33" s="80">
        <v>52.9</v>
      </c>
      <c r="AF33" s="81">
        <f t="shared" si="5"/>
        <v>61.7</v>
      </c>
      <c r="AG33" s="79">
        <v>1</v>
      </c>
      <c r="AH33" s="80">
        <v>10.4</v>
      </c>
      <c r="AI33" s="81">
        <f t="shared" si="6"/>
        <v>11.4</v>
      </c>
      <c r="AJ33" s="82">
        <f t="shared" si="0"/>
        <v>539.55999999999995</v>
      </c>
    </row>
    <row r="34" spans="1:36">
      <c r="A34" s="5">
        <v>24</v>
      </c>
      <c r="B34" s="77" t="s">
        <v>43</v>
      </c>
      <c r="C34" s="78">
        <v>6.76</v>
      </c>
      <c r="D34" s="79">
        <v>0</v>
      </c>
      <c r="E34" s="80">
        <v>0</v>
      </c>
      <c r="F34" s="80">
        <v>0</v>
      </c>
      <c r="G34" s="80">
        <v>0</v>
      </c>
      <c r="H34" s="80">
        <v>0</v>
      </c>
      <c r="I34" s="80">
        <v>0.9</v>
      </c>
      <c r="J34" s="80">
        <v>2</v>
      </c>
      <c r="K34" s="80">
        <v>1</v>
      </c>
      <c r="L34" s="80">
        <v>0</v>
      </c>
      <c r="M34" s="80">
        <v>0</v>
      </c>
      <c r="N34" s="80">
        <v>0</v>
      </c>
      <c r="O34" s="80">
        <v>0</v>
      </c>
      <c r="P34" s="80">
        <f t="shared" si="1"/>
        <v>1</v>
      </c>
      <c r="Q34" s="80">
        <v>0</v>
      </c>
      <c r="R34" s="80">
        <v>1</v>
      </c>
      <c r="S34" s="80">
        <v>0</v>
      </c>
      <c r="T34" s="80">
        <f t="shared" si="2"/>
        <v>1</v>
      </c>
      <c r="U34" s="80">
        <v>0.1</v>
      </c>
      <c r="V34" s="80">
        <v>0.5</v>
      </c>
      <c r="W34" s="80">
        <v>4.68</v>
      </c>
      <c r="X34" s="80">
        <v>0</v>
      </c>
      <c r="Y34" s="80">
        <f t="shared" si="3"/>
        <v>5.2799999999999994</v>
      </c>
      <c r="Z34" s="80">
        <v>0</v>
      </c>
      <c r="AA34" s="80">
        <v>0</v>
      </c>
      <c r="AB34" s="81">
        <f t="shared" si="4"/>
        <v>0</v>
      </c>
      <c r="AC34" s="79">
        <v>0.5</v>
      </c>
      <c r="AD34" s="80">
        <v>0</v>
      </c>
      <c r="AE34" s="80">
        <v>4.57</v>
      </c>
      <c r="AF34" s="81">
        <f t="shared" si="5"/>
        <v>5.07</v>
      </c>
      <c r="AG34" s="79">
        <v>0</v>
      </c>
      <c r="AH34" s="80">
        <v>0</v>
      </c>
      <c r="AI34" s="81">
        <f t="shared" si="6"/>
        <v>0</v>
      </c>
      <c r="AJ34" s="82">
        <f t="shared" si="0"/>
        <v>22.009999999999998</v>
      </c>
    </row>
    <row r="35" spans="1:36">
      <c r="A35" s="5">
        <v>36</v>
      </c>
      <c r="B35" s="77" t="s">
        <v>55</v>
      </c>
      <c r="C35" s="78">
        <v>481.57</v>
      </c>
      <c r="D35" s="79">
        <v>5.6</v>
      </c>
      <c r="E35" s="80">
        <v>2.98</v>
      </c>
      <c r="F35" s="80">
        <v>62.63</v>
      </c>
      <c r="G35" s="80">
        <v>6.52</v>
      </c>
      <c r="H35" s="80">
        <v>2</v>
      </c>
      <c r="I35" s="80">
        <v>3</v>
      </c>
      <c r="J35" s="80">
        <v>62.6</v>
      </c>
      <c r="K35" s="80">
        <v>1</v>
      </c>
      <c r="L35" s="80">
        <v>5</v>
      </c>
      <c r="M35" s="80">
        <v>2</v>
      </c>
      <c r="N35" s="80">
        <v>18.29</v>
      </c>
      <c r="O35" s="80">
        <v>45.81</v>
      </c>
      <c r="P35" s="80">
        <f t="shared" si="1"/>
        <v>72.099999999999994</v>
      </c>
      <c r="Q35" s="80">
        <v>3</v>
      </c>
      <c r="R35" s="80">
        <v>7</v>
      </c>
      <c r="S35" s="80">
        <v>195.16</v>
      </c>
      <c r="T35" s="80">
        <f t="shared" si="2"/>
        <v>205.16</v>
      </c>
      <c r="U35" s="80">
        <v>5</v>
      </c>
      <c r="V35" s="80">
        <v>1</v>
      </c>
      <c r="W35" s="80">
        <v>42.17</v>
      </c>
      <c r="X35" s="80">
        <v>5</v>
      </c>
      <c r="Y35" s="80">
        <f t="shared" si="3"/>
        <v>53.17</v>
      </c>
      <c r="Z35" s="80">
        <v>0</v>
      </c>
      <c r="AA35" s="80">
        <v>0</v>
      </c>
      <c r="AB35" s="81">
        <f t="shared" si="4"/>
        <v>0</v>
      </c>
      <c r="AC35" s="79">
        <v>4</v>
      </c>
      <c r="AD35" s="80">
        <v>0</v>
      </c>
      <c r="AE35" s="80">
        <v>133.97999999999999</v>
      </c>
      <c r="AF35" s="81">
        <f t="shared" si="5"/>
        <v>137.97999999999999</v>
      </c>
      <c r="AG35" s="79">
        <v>0</v>
      </c>
      <c r="AH35" s="80">
        <v>5</v>
      </c>
      <c r="AI35" s="81">
        <f t="shared" si="6"/>
        <v>5</v>
      </c>
      <c r="AJ35" s="82">
        <f t="shared" si="0"/>
        <v>1100.31</v>
      </c>
    </row>
    <row r="36" spans="1:36">
      <c r="A36" s="5">
        <v>25</v>
      </c>
      <c r="B36" s="77" t="s">
        <v>44</v>
      </c>
      <c r="C36" s="78">
        <v>60.14</v>
      </c>
      <c r="D36" s="79">
        <v>2</v>
      </c>
      <c r="E36" s="80">
        <v>0</v>
      </c>
      <c r="F36" s="80">
        <v>3.88</v>
      </c>
      <c r="G36" s="80">
        <v>4.6399999999999997</v>
      </c>
      <c r="H36" s="80">
        <v>0</v>
      </c>
      <c r="I36" s="80">
        <v>1</v>
      </c>
      <c r="J36" s="80">
        <v>15.84</v>
      </c>
      <c r="K36" s="80">
        <v>1</v>
      </c>
      <c r="L36" s="80">
        <v>1</v>
      </c>
      <c r="M36" s="80">
        <v>3</v>
      </c>
      <c r="N36" s="80">
        <v>1</v>
      </c>
      <c r="O36" s="80">
        <v>1</v>
      </c>
      <c r="P36" s="80">
        <f t="shared" si="1"/>
        <v>7</v>
      </c>
      <c r="Q36" s="80">
        <v>1</v>
      </c>
      <c r="R36" s="80">
        <v>3</v>
      </c>
      <c r="S36" s="80">
        <v>52.17</v>
      </c>
      <c r="T36" s="80">
        <f t="shared" si="2"/>
        <v>56.17</v>
      </c>
      <c r="U36" s="80">
        <v>1</v>
      </c>
      <c r="V36" s="80">
        <v>1</v>
      </c>
      <c r="W36" s="80">
        <v>28.04</v>
      </c>
      <c r="X36" s="80">
        <v>4</v>
      </c>
      <c r="Y36" s="80">
        <f t="shared" si="3"/>
        <v>34.04</v>
      </c>
      <c r="Z36" s="80">
        <v>0</v>
      </c>
      <c r="AA36" s="80">
        <v>0</v>
      </c>
      <c r="AB36" s="81">
        <f t="shared" si="4"/>
        <v>0</v>
      </c>
      <c r="AC36" s="79">
        <v>0</v>
      </c>
      <c r="AD36" s="80">
        <v>0</v>
      </c>
      <c r="AE36" s="80">
        <v>8.76</v>
      </c>
      <c r="AF36" s="81">
        <f t="shared" si="5"/>
        <v>8.76</v>
      </c>
      <c r="AG36" s="79">
        <v>0</v>
      </c>
      <c r="AH36" s="80">
        <v>0</v>
      </c>
      <c r="AI36" s="81">
        <f t="shared" si="6"/>
        <v>0</v>
      </c>
      <c r="AJ36" s="82">
        <f t="shared" si="0"/>
        <v>193.47</v>
      </c>
    </row>
    <row r="37" spans="1:36">
      <c r="A37" s="5">
        <v>26</v>
      </c>
      <c r="B37" s="77" t="s">
        <v>45</v>
      </c>
      <c r="C37" s="78">
        <v>82.24</v>
      </c>
      <c r="D37" s="79">
        <v>1</v>
      </c>
      <c r="E37" s="80">
        <v>1</v>
      </c>
      <c r="F37" s="80">
        <v>0</v>
      </c>
      <c r="G37" s="80">
        <v>8.8000000000000007</v>
      </c>
      <c r="H37" s="80">
        <v>0</v>
      </c>
      <c r="I37" s="80">
        <v>2.12</v>
      </c>
      <c r="J37" s="80">
        <v>10.89</v>
      </c>
      <c r="K37" s="80">
        <v>0.1</v>
      </c>
      <c r="L37" s="80">
        <v>0.5</v>
      </c>
      <c r="M37" s="80">
        <v>1.4</v>
      </c>
      <c r="N37" s="80">
        <v>4.42</v>
      </c>
      <c r="O37" s="80">
        <v>2.37</v>
      </c>
      <c r="P37" s="80">
        <f t="shared" si="1"/>
        <v>8.7899999999999991</v>
      </c>
      <c r="Q37" s="80">
        <v>0.5</v>
      </c>
      <c r="R37" s="80">
        <v>1</v>
      </c>
      <c r="S37" s="80">
        <v>32.99</v>
      </c>
      <c r="T37" s="80">
        <f t="shared" si="2"/>
        <v>34.49</v>
      </c>
      <c r="U37" s="80">
        <v>1.24</v>
      </c>
      <c r="V37" s="80">
        <v>1</v>
      </c>
      <c r="W37" s="80">
        <v>18.36</v>
      </c>
      <c r="X37" s="80">
        <v>1.5</v>
      </c>
      <c r="Y37" s="80">
        <f t="shared" si="3"/>
        <v>22.1</v>
      </c>
      <c r="Z37" s="80">
        <v>0</v>
      </c>
      <c r="AA37" s="80">
        <v>0</v>
      </c>
      <c r="AB37" s="81">
        <f t="shared" si="4"/>
        <v>0</v>
      </c>
      <c r="AC37" s="79">
        <v>1</v>
      </c>
      <c r="AD37" s="80">
        <v>0.5</v>
      </c>
      <c r="AE37" s="80">
        <v>36.15</v>
      </c>
      <c r="AF37" s="81">
        <f t="shared" si="5"/>
        <v>37.65</v>
      </c>
      <c r="AG37" s="79">
        <v>0</v>
      </c>
      <c r="AH37" s="80">
        <v>0</v>
      </c>
      <c r="AI37" s="81">
        <f t="shared" si="6"/>
        <v>0</v>
      </c>
      <c r="AJ37" s="82">
        <f t="shared" si="0"/>
        <v>209.08</v>
      </c>
    </row>
    <row r="38" spans="1:36">
      <c r="A38" s="5">
        <v>27</v>
      </c>
      <c r="B38" s="77" t="s">
        <v>46</v>
      </c>
      <c r="C38" s="78">
        <v>105.41</v>
      </c>
      <c r="D38" s="79">
        <v>1.1000000000000001</v>
      </c>
      <c r="E38" s="80">
        <v>22</v>
      </c>
      <c r="F38" s="80">
        <v>0</v>
      </c>
      <c r="G38" s="80">
        <v>7</v>
      </c>
      <c r="H38" s="80">
        <v>1</v>
      </c>
      <c r="I38" s="80">
        <v>0.75</v>
      </c>
      <c r="J38" s="80">
        <v>2.25</v>
      </c>
      <c r="K38" s="80">
        <v>1</v>
      </c>
      <c r="L38" s="80">
        <v>0</v>
      </c>
      <c r="M38" s="80">
        <v>1</v>
      </c>
      <c r="N38" s="80">
        <v>0.5</v>
      </c>
      <c r="O38" s="80">
        <v>0</v>
      </c>
      <c r="P38" s="80">
        <f t="shared" si="1"/>
        <v>2.5</v>
      </c>
      <c r="Q38" s="80">
        <v>0</v>
      </c>
      <c r="R38" s="80">
        <v>1.1299999999999999</v>
      </c>
      <c r="S38" s="80">
        <v>29.58</v>
      </c>
      <c r="T38" s="80">
        <f t="shared" si="2"/>
        <v>30.709999999999997</v>
      </c>
      <c r="U38" s="80">
        <v>0.5</v>
      </c>
      <c r="V38" s="80">
        <v>0.5</v>
      </c>
      <c r="W38" s="80">
        <v>9.25</v>
      </c>
      <c r="X38" s="80">
        <v>0</v>
      </c>
      <c r="Y38" s="80">
        <f t="shared" si="3"/>
        <v>10.25</v>
      </c>
      <c r="Z38" s="80">
        <v>0</v>
      </c>
      <c r="AA38" s="80">
        <v>0</v>
      </c>
      <c r="AB38" s="81">
        <f t="shared" si="4"/>
        <v>0</v>
      </c>
      <c r="AC38" s="79">
        <v>0.75</v>
      </c>
      <c r="AD38" s="80">
        <v>0.75</v>
      </c>
      <c r="AE38" s="80">
        <v>22.88</v>
      </c>
      <c r="AF38" s="81">
        <f t="shared" si="5"/>
        <v>24.38</v>
      </c>
      <c r="AG38" s="79">
        <v>0</v>
      </c>
      <c r="AH38" s="80">
        <v>0</v>
      </c>
      <c r="AI38" s="81">
        <f t="shared" si="6"/>
        <v>0</v>
      </c>
      <c r="AJ38" s="82">
        <f t="shared" si="0"/>
        <v>207.35</v>
      </c>
    </row>
    <row r="39" spans="1:36">
      <c r="A39" s="5">
        <v>28</v>
      </c>
      <c r="B39" s="77" t="s">
        <v>47</v>
      </c>
      <c r="C39" s="78">
        <v>24.17</v>
      </c>
      <c r="D39" s="79">
        <v>1.5</v>
      </c>
      <c r="E39" s="80">
        <v>0.5</v>
      </c>
      <c r="F39" s="80">
        <v>0.5</v>
      </c>
      <c r="G39" s="80">
        <v>1.5</v>
      </c>
      <c r="H39" s="80">
        <v>0</v>
      </c>
      <c r="I39" s="80">
        <v>1</v>
      </c>
      <c r="J39" s="80">
        <v>5</v>
      </c>
      <c r="K39" s="80">
        <v>1</v>
      </c>
      <c r="L39" s="80">
        <v>0</v>
      </c>
      <c r="M39" s="80">
        <v>0</v>
      </c>
      <c r="N39" s="80">
        <v>1</v>
      </c>
      <c r="O39" s="80">
        <v>0</v>
      </c>
      <c r="P39" s="80">
        <f t="shared" si="1"/>
        <v>2</v>
      </c>
      <c r="Q39" s="80">
        <v>0</v>
      </c>
      <c r="R39" s="80">
        <v>0</v>
      </c>
      <c r="S39" s="80">
        <v>15.5</v>
      </c>
      <c r="T39" s="80">
        <f t="shared" si="2"/>
        <v>15.5</v>
      </c>
      <c r="U39" s="80">
        <v>0</v>
      </c>
      <c r="V39" s="80">
        <v>0</v>
      </c>
      <c r="W39" s="80">
        <v>9</v>
      </c>
      <c r="X39" s="80">
        <v>1</v>
      </c>
      <c r="Y39" s="80">
        <f t="shared" si="3"/>
        <v>10</v>
      </c>
      <c r="Z39" s="80">
        <v>3</v>
      </c>
      <c r="AA39" s="80">
        <v>0</v>
      </c>
      <c r="AB39" s="81">
        <f t="shared" si="4"/>
        <v>3</v>
      </c>
      <c r="AC39" s="79">
        <v>1</v>
      </c>
      <c r="AD39" s="80">
        <v>0</v>
      </c>
      <c r="AE39" s="80">
        <v>4.29</v>
      </c>
      <c r="AF39" s="81">
        <f t="shared" si="5"/>
        <v>5.29</v>
      </c>
      <c r="AG39" s="79">
        <v>0</v>
      </c>
      <c r="AH39" s="80">
        <v>0</v>
      </c>
      <c r="AI39" s="81">
        <f t="shared" si="6"/>
        <v>0</v>
      </c>
      <c r="AJ39" s="82">
        <f t="shared" si="0"/>
        <v>69.960000000000008</v>
      </c>
    </row>
    <row r="40" spans="1:36">
      <c r="A40" s="5">
        <v>29</v>
      </c>
      <c r="B40" s="77" t="s">
        <v>48</v>
      </c>
      <c r="C40" s="78">
        <v>5.84</v>
      </c>
      <c r="D40" s="79">
        <v>0</v>
      </c>
      <c r="E40" s="80">
        <v>1.05</v>
      </c>
      <c r="F40" s="80">
        <v>0</v>
      </c>
      <c r="G40" s="80">
        <v>0.38</v>
      </c>
      <c r="H40" s="80">
        <v>0.44</v>
      </c>
      <c r="I40" s="80">
        <v>0</v>
      </c>
      <c r="J40" s="80">
        <v>1.06</v>
      </c>
      <c r="K40" s="80">
        <v>0.44</v>
      </c>
      <c r="L40" s="80">
        <v>0</v>
      </c>
      <c r="M40" s="80">
        <v>0</v>
      </c>
      <c r="N40" s="80">
        <v>0.88</v>
      </c>
      <c r="O40" s="80">
        <v>0</v>
      </c>
      <c r="P40" s="80">
        <f t="shared" si="1"/>
        <v>1.32</v>
      </c>
      <c r="Q40" s="80">
        <v>0</v>
      </c>
      <c r="R40" s="80">
        <v>0.52</v>
      </c>
      <c r="S40" s="80">
        <v>3.2</v>
      </c>
      <c r="T40" s="80">
        <f t="shared" si="2"/>
        <v>3.72</v>
      </c>
      <c r="U40" s="80">
        <v>0.12</v>
      </c>
      <c r="V40" s="80">
        <v>0.12</v>
      </c>
      <c r="W40" s="80">
        <v>0.49</v>
      </c>
      <c r="X40" s="80">
        <v>0.12</v>
      </c>
      <c r="Y40" s="80">
        <f t="shared" si="3"/>
        <v>0.85</v>
      </c>
      <c r="Z40" s="80">
        <v>0</v>
      </c>
      <c r="AA40" s="80">
        <v>0</v>
      </c>
      <c r="AB40" s="81">
        <f t="shared" si="4"/>
        <v>0</v>
      </c>
      <c r="AC40" s="79">
        <v>0.94</v>
      </c>
      <c r="AD40" s="80">
        <v>0.18</v>
      </c>
      <c r="AE40" s="80">
        <v>0.94</v>
      </c>
      <c r="AF40" s="81">
        <f t="shared" si="5"/>
        <v>2.0599999999999996</v>
      </c>
      <c r="AG40" s="79">
        <v>0</v>
      </c>
      <c r="AH40" s="80">
        <v>0</v>
      </c>
      <c r="AI40" s="81">
        <f t="shared" si="6"/>
        <v>0</v>
      </c>
      <c r="AJ40" s="82">
        <f t="shared" si="0"/>
        <v>16.72</v>
      </c>
    </row>
    <row r="41" spans="1:36">
      <c r="A41" s="5">
        <v>30</v>
      </c>
      <c r="B41" s="77" t="s">
        <v>49</v>
      </c>
      <c r="C41" s="78">
        <v>173.89</v>
      </c>
      <c r="D41" s="79">
        <v>5</v>
      </c>
      <c r="E41" s="80">
        <v>5.98</v>
      </c>
      <c r="F41" s="80">
        <v>3</v>
      </c>
      <c r="G41" s="80">
        <v>20.54</v>
      </c>
      <c r="H41" s="80">
        <v>0</v>
      </c>
      <c r="I41" s="80">
        <v>1</v>
      </c>
      <c r="J41" s="80">
        <v>38.51</v>
      </c>
      <c r="K41" s="80">
        <v>1</v>
      </c>
      <c r="L41" s="80">
        <v>0</v>
      </c>
      <c r="M41" s="80">
        <v>1</v>
      </c>
      <c r="N41" s="80">
        <v>7</v>
      </c>
      <c r="O41" s="80">
        <v>0</v>
      </c>
      <c r="P41" s="80">
        <f t="shared" si="1"/>
        <v>9</v>
      </c>
      <c r="Q41" s="80">
        <v>0</v>
      </c>
      <c r="R41" s="80">
        <v>2</v>
      </c>
      <c r="S41" s="80">
        <v>64.650000000000006</v>
      </c>
      <c r="T41" s="80">
        <f t="shared" si="2"/>
        <v>66.650000000000006</v>
      </c>
      <c r="U41" s="80">
        <v>1</v>
      </c>
      <c r="V41" s="80">
        <v>1</v>
      </c>
      <c r="W41" s="80">
        <v>46.18</v>
      </c>
      <c r="X41" s="80">
        <v>3</v>
      </c>
      <c r="Y41" s="80">
        <f t="shared" si="3"/>
        <v>51.18</v>
      </c>
      <c r="Z41" s="80">
        <v>1</v>
      </c>
      <c r="AA41" s="80">
        <v>0</v>
      </c>
      <c r="AB41" s="81">
        <f t="shared" si="4"/>
        <v>1</v>
      </c>
      <c r="AC41" s="79">
        <v>1</v>
      </c>
      <c r="AD41" s="80">
        <v>2</v>
      </c>
      <c r="AE41" s="80">
        <v>98.21</v>
      </c>
      <c r="AF41" s="81">
        <f t="shared" si="5"/>
        <v>101.21</v>
      </c>
      <c r="AG41" s="79">
        <v>0</v>
      </c>
      <c r="AH41" s="80">
        <v>0</v>
      </c>
      <c r="AI41" s="81">
        <f t="shared" si="6"/>
        <v>0</v>
      </c>
      <c r="AJ41" s="82">
        <f t="shared" si="0"/>
        <v>476.95999999999992</v>
      </c>
    </row>
    <row r="42" spans="1:36">
      <c r="A42" s="5">
        <v>31</v>
      </c>
      <c r="B42" s="77" t="s">
        <v>50</v>
      </c>
      <c r="C42" s="78">
        <v>91.5</v>
      </c>
      <c r="D42" s="79">
        <v>3.75</v>
      </c>
      <c r="E42" s="80">
        <v>2.5</v>
      </c>
      <c r="F42" s="80">
        <v>0</v>
      </c>
      <c r="G42" s="80">
        <v>10</v>
      </c>
      <c r="H42" s="80">
        <v>0</v>
      </c>
      <c r="I42" s="80">
        <v>3</v>
      </c>
      <c r="J42" s="80">
        <v>21.18</v>
      </c>
      <c r="K42" s="80">
        <v>1</v>
      </c>
      <c r="L42" s="80">
        <v>0</v>
      </c>
      <c r="M42" s="80">
        <v>5.29</v>
      </c>
      <c r="N42" s="80">
        <v>0</v>
      </c>
      <c r="O42" s="80">
        <v>0</v>
      </c>
      <c r="P42" s="80">
        <f t="shared" si="1"/>
        <v>6.29</v>
      </c>
      <c r="Q42" s="80">
        <v>1</v>
      </c>
      <c r="R42" s="80">
        <v>1</v>
      </c>
      <c r="S42" s="80">
        <v>45.6</v>
      </c>
      <c r="T42" s="80">
        <f t="shared" si="2"/>
        <v>47.6</v>
      </c>
      <c r="U42" s="80">
        <v>4</v>
      </c>
      <c r="V42" s="80">
        <v>1</v>
      </c>
      <c r="W42" s="80">
        <v>38.74</v>
      </c>
      <c r="X42" s="80">
        <v>2</v>
      </c>
      <c r="Y42" s="80">
        <f t="shared" si="3"/>
        <v>45.74</v>
      </c>
      <c r="Z42" s="80">
        <v>2</v>
      </c>
      <c r="AA42" s="80">
        <v>7</v>
      </c>
      <c r="AB42" s="81">
        <f t="shared" si="4"/>
        <v>9</v>
      </c>
      <c r="AC42" s="79">
        <v>1</v>
      </c>
      <c r="AD42" s="80">
        <v>1.5</v>
      </c>
      <c r="AE42" s="80">
        <v>41.9</v>
      </c>
      <c r="AF42" s="81">
        <f t="shared" si="5"/>
        <v>44.4</v>
      </c>
      <c r="AG42" s="79">
        <v>0</v>
      </c>
      <c r="AH42" s="80">
        <v>0</v>
      </c>
      <c r="AI42" s="81">
        <f t="shared" si="6"/>
        <v>0</v>
      </c>
      <c r="AJ42" s="82">
        <f t="shared" si="0"/>
        <v>284.95999999999998</v>
      </c>
    </row>
    <row r="43" spans="1:36">
      <c r="A43" s="5">
        <v>32</v>
      </c>
      <c r="B43" s="77" t="s">
        <v>51</v>
      </c>
      <c r="C43" s="78">
        <v>76.650000000000006</v>
      </c>
      <c r="D43" s="79">
        <v>0.75</v>
      </c>
      <c r="E43" s="80">
        <v>0</v>
      </c>
      <c r="F43" s="80">
        <v>0</v>
      </c>
      <c r="G43" s="80">
        <v>1.5</v>
      </c>
      <c r="H43" s="80">
        <v>3</v>
      </c>
      <c r="I43" s="80">
        <v>4</v>
      </c>
      <c r="J43" s="80">
        <v>19.75</v>
      </c>
      <c r="K43" s="80">
        <v>1</v>
      </c>
      <c r="L43" s="80">
        <v>5</v>
      </c>
      <c r="M43" s="80">
        <v>1</v>
      </c>
      <c r="N43" s="80">
        <v>1</v>
      </c>
      <c r="O43" s="80">
        <v>0</v>
      </c>
      <c r="P43" s="80">
        <f t="shared" si="1"/>
        <v>8</v>
      </c>
      <c r="Q43" s="80">
        <v>0</v>
      </c>
      <c r="R43" s="80">
        <v>1</v>
      </c>
      <c r="S43" s="80">
        <v>36</v>
      </c>
      <c r="T43" s="80">
        <f t="shared" si="2"/>
        <v>37</v>
      </c>
      <c r="U43" s="80">
        <v>1</v>
      </c>
      <c r="V43" s="80">
        <v>1</v>
      </c>
      <c r="W43" s="80">
        <v>13.2</v>
      </c>
      <c r="X43" s="80">
        <v>2</v>
      </c>
      <c r="Y43" s="80">
        <f t="shared" si="3"/>
        <v>17.2</v>
      </c>
      <c r="Z43" s="80">
        <v>2</v>
      </c>
      <c r="AA43" s="80">
        <v>1.75</v>
      </c>
      <c r="AB43" s="81">
        <f t="shared" si="4"/>
        <v>3.75</v>
      </c>
      <c r="AC43" s="79">
        <v>1</v>
      </c>
      <c r="AD43" s="80">
        <v>4.25</v>
      </c>
      <c r="AE43" s="80">
        <v>20.5</v>
      </c>
      <c r="AF43" s="81">
        <f t="shared" si="5"/>
        <v>25.75</v>
      </c>
      <c r="AG43" s="79">
        <v>0</v>
      </c>
      <c r="AH43" s="80">
        <v>0</v>
      </c>
      <c r="AI43" s="81">
        <f t="shared" si="6"/>
        <v>0</v>
      </c>
      <c r="AJ43" s="82">
        <f t="shared" si="0"/>
        <v>197.35</v>
      </c>
    </row>
    <row r="44" spans="1:36">
      <c r="A44" s="5">
        <v>33</v>
      </c>
      <c r="B44" s="77" t="s">
        <v>52</v>
      </c>
      <c r="C44" s="78">
        <v>197.49</v>
      </c>
      <c r="D44" s="79">
        <v>11</v>
      </c>
      <c r="E44" s="80">
        <v>2.4</v>
      </c>
      <c r="F44" s="80">
        <v>15.83</v>
      </c>
      <c r="G44" s="80">
        <v>41.75</v>
      </c>
      <c r="H44" s="80">
        <v>6</v>
      </c>
      <c r="I44" s="80">
        <v>1</v>
      </c>
      <c r="J44" s="80">
        <v>92.03</v>
      </c>
      <c r="K44" s="80">
        <v>1</v>
      </c>
      <c r="L44" s="80">
        <v>0</v>
      </c>
      <c r="M44" s="80">
        <v>3</v>
      </c>
      <c r="N44" s="80">
        <v>11.55</v>
      </c>
      <c r="O44" s="80">
        <v>0.94</v>
      </c>
      <c r="P44" s="80">
        <f t="shared" si="1"/>
        <v>16.490000000000002</v>
      </c>
      <c r="Q44" s="80">
        <v>1</v>
      </c>
      <c r="R44" s="80">
        <v>2</v>
      </c>
      <c r="S44" s="80">
        <v>140.99</v>
      </c>
      <c r="T44" s="80">
        <f t="shared" si="2"/>
        <v>143.99</v>
      </c>
      <c r="U44" s="80">
        <v>4</v>
      </c>
      <c r="V44" s="80">
        <v>2</v>
      </c>
      <c r="W44" s="80">
        <v>57.55</v>
      </c>
      <c r="X44" s="80">
        <v>6.09</v>
      </c>
      <c r="Y44" s="80">
        <f t="shared" si="3"/>
        <v>69.64</v>
      </c>
      <c r="Z44" s="80">
        <v>1</v>
      </c>
      <c r="AA44" s="80">
        <v>5.95</v>
      </c>
      <c r="AB44" s="81">
        <f t="shared" si="4"/>
        <v>6.95</v>
      </c>
      <c r="AC44" s="79">
        <v>1</v>
      </c>
      <c r="AD44" s="80">
        <v>15.54</v>
      </c>
      <c r="AE44" s="80">
        <v>73.61</v>
      </c>
      <c r="AF44" s="81">
        <f t="shared" si="5"/>
        <v>90.15</v>
      </c>
      <c r="AG44" s="79">
        <v>2</v>
      </c>
      <c r="AH44" s="80">
        <v>0</v>
      </c>
      <c r="AI44" s="81">
        <f t="shared" si="6"/>
        <v>2</v>
      </c>
      <c r="AJ44" s="82">
        <f t="shared" si="0"/>
        <v>696.72</v>
      </c>
    </row>
    <row r="45" spans="1:36">
      <c r="A45" s="5">
        <v>34</v>
      </c>
      <c r="B45" s="77" t="s">
        <v>53</v>
      </c>
      <c r="C45" s="78">
        <v>10.43</v>
      </c>
      <c r="D45" s="79">
        <v>0</v>
      </c>
      <c r="E45" s="80">
        <v>0</v>
      </c>
      <c r="F45" s="80">
        <v>0</v>
      </c>
      <c r="G45" s="80">
        <v>1.86</v>
      </c>
      <c r="H45" s="80">
        <v>0</v>
      </c>
      <c r="I45" s="80">
        <v>0.5</v>
      </c>
      <c r="J45" s="80">
        <v>3.5</v>
      </c>
      <c r="K45" s="80">
        <v>1</v>
      </c>
      <c r="L45" s="80">
        <v>0</v>
      </c>
      <c r="M45" s="80">
        <v>0.33</v>
      </c>
      <c r="N45" s="80">
        <v>0.5</v>
      </c>
      <c r="O45" s="80">
        <v>0</v>
      </c>
      <c r="P45" s="80">
        <f t="shared" si="1"/>
        <v>1.83</v>
      </c>
      <c r="Q45" s="80">
        <v>0</v>
      </c>
      <c r="R45" s="80">
        <v>0.85</v>
      </c>
      <c r="S45" s="80">
        <v>4.38</v>
      </c>
      <c r="T45" s="80">
        <f t="shared" si="2"/>
        <v>5.2299999999999995</v>
      </c>
      <c r="U45" s="80">
        <v>0</v>
      </c>
      <c r="V45" s="80">
        <v>0.34</v>
      </c>
      <c r="W45" s="80">
        <v>3.29</v>
      </c>
      <c r="X45" s="80">
        <v>0.27</v>
      </c>
      <c r="Y45" s="80">
        <f t="shared" si="3"/>
        <v>3.9</v>
      </c>
      <c r="Z45" s="80">
        <v>1</v>
      </c>
      <c r="AA45" s="80">
        <v>0.13</v>
      </c>
      <c r="AB45" s="81">
        <f t="shared" si="4"/>
        <v>1.1299999999999999</v>
      </c>
      <c r="AC45" s="79">
        <v>0.33</v>
      </c>
      <c r="AD45" s="80">
        <v>0</v>
      </c>
      <c r="AE45" s="80">
        <v>4.68</v>
      </c>
      <c r="AF45" s="81">
        <f t="shared" si="5"/>
        <v>5.01</v>
      </c>
      <c r="AG45" s="79">
        <v>0</v>
      </c>
      <c r="AH45" s="80">
        <v>0</v>
      </c>
      <c r="AI45" s="81">
        <f t="shared" si="6"/>
        <v>0</v>
      </c>
      <c r="AJ45" s="82">
        <f t="shared" si="0"/>
        <v>33.389999999999993</v>
      </c>
    </row>
    <row r="46" spans="1:36" ht="15.75" thickBot="1">
      <c r="A46" s="5">
        <v>35</v>
      </c>
      <c r="B46" s="77" t="s">
        <v>54</v>
      </c>
      <c r="C46" s="78">
        <v>351.35</v>
      </c>
      <c r="D46" s="79">
        <v>14</v>
      </c>
      <c r="E46" s="80">
        <v>11.62</v>
      </c>
      <c r="F46" s="80">
        <v>13.3</v>
      </c>
      <c r="G46" s="80">
        <v>27.27</v>
      </c>
      <c r="H46" s="80">
        <v>0</v>
      </c>
      <c r="I46" s="80">
        <v>4.63</v>
      </c>
      <c r="J46" s="80">
        <v>68</v>
      </c>
      <c r="K46" s="80">
        <v>0</v>
      </c>
      <c r="L46" s="80">
        <v>0</v>
      </c>
      <c r="M46" s="80">
        <v>15.13</v>
      </c>
      <c r="N46" s="80">
        <v>0</v>
      </c>
      <c r="O46" s="80">
        <v>0</v>
      </c>
      <c r="P46" s="80">
        <f t="shared" si="1"/>
        <v>15.13</v>
      </c>
      <c r="Q46" s="80">
        <v>2</v>
      </c>
      <c r="R46" s="80">
        <v>2</v>
      </c>
      <c r="S46" s="80">
        <v>138.38</v>
      </c>
      <c r="T46" s="80">
        <f t="shared" si="2"/>
        <v>142.38</v>
      </c>
      <c r="U46" s="80">
        <v>3</v>
      </c>
      <c r="V46" s="80">
        <v>2</v>
      </c>
      <c r="W46" s="80">
        <v>89.13</v>
      </c>
      <c r="X46" s="80">
        <v>7</v>
      </c>
      <c r="Y46" s="80">
        <f t="shared" si="3"/>
        <v>101.13</v>
      </c>
      <c r="Z46" s="80">
        <v>0</v>
      </c>
      <c r="AA46" s="80">
        <v>19.5</v>
      </c>
      <c r="AB46" s="81">
        <f t="shared" si="4"/>
        <v>19.5</v>
      </c>
      <c r="AC46" s="79">
        <v>3</v>
      </c>
      <c r="AD46" s="80">
        <v>2</v>
      </c>
      <c r="AE46" s="80">
        <v>169.82</v>
      </c>
      <c r="AF46" s="81">
        <f t="shared" si="5"/>
        <v>174.82</v>
      </c>
      <c r="AG46" s="79">
        <v>7</v>
      </c>
      <c r="AH46" s="80">
        <v>0</v>
      </c>
      <c r="AI46" s="81">
        <f t="shared" si="6"/>
        <v>7</v>
      </c>
      <c r="AJ46" s="82">
        <f t="shared" si="0"/>
        <v>950.13000000000011</v>
      </c>
    </row>
    <row r="47" spans="1:36" ht="15.75" thickBot="1">
      <c r="A47" s="85"/>
      <c r="B47" s="86" t="s">
        <v>60</v>
      </c>
      <c r="C47" s="87">
        <f>SUM(C7:C46)</f>
        <v>7359.42</v>
      </c>
      <c r="D47" s="88">
        <f t="shared" ref="D47:AI47" si="7">SUM(D7:D46)</f>
        <v>80.430000000000007</v>
      </c>
      <c r="E47" s="89">
        <f t="shared" si="7"/>
        <v>203.34</v>
      </c>
      <c r="F47" s="89">
        <f t="shared" si="7"/>
        <v>450.78999999999996</v>
      </c>
      <c r="G47" s="89">
        <f t="shared" si="7"/>
        <v>379.00000000000006</v>
      </c>
      <c r="H47" s="89">
        <f t="shared" si="7"/>
        <v>31.64</v>
      </c>
      <c r="I47" s="89">
        <f t="shared" si="7"/>
        <v>122.21000000000001</v>
      </c>
      <c r="J47" s="89">
        <f t="shared" si="7"/>
        <v>1484.9299999999998</v>
      </c>
      <c r="K47" s="89">
        <f t="shared" si="7"/>
        <v>34.39</v>
      </c>
      <c r="L47" s="89">
        <f t="shared" si="7"/>
        <v>44.67</v>
      </c>
      <c r="M47" s="89">
        <f t="shared" si="7"/>
        <v>83.77</v>
      </c>
      <c r="N47" s="89">
        <f t="shared" si="7"/>
        <v>202.49999999999997</v>
      </c>
      <c r="O47" s="89">
        <f t="shared" si="7"/>
        <v>275.69</v>
      </c>
      <c r="P47" s="89">
        <f t="shared" si="7"/>
        <v>641.0200000000001</v>
      </c>
      <c r="Q47" s="89">
        <f t="shared" si="7"/>
        <v>52.459999999999994</v>
      </c>
      <c r="R47" s="89">
        <f t="shared" si="7"/>
        <v>101.35</v>
      </c>
      <c r="S47" s="89">
        <f t="shared" si="7"/>
        <v>3394.5899999999992</v>
      </c>
      <c r="T47" s="89">
        <f t="shared" si="7"/>
        <v>3548.4</v>
      </c>
      <c r="U47" s="89">
        <f t="shared" si="7"/>
        <v>85.92</v>
      </c>
      <c r="V47" s="89">
        <f t="shared" si="7"/>
        <v>43.360000000000007</v>
      </c>
      <c r="W47" s="89">
        <f t="shared" si="7"/>
        <v>1418.9700000000003</v>
      </c>
      <c r="X47" s="89">
        <f t="shared" si="7"/>
        <v>121.83</v>
      </c>
      <c r="Y47" s="89">
        <f t="shared" si="7"/>
        <v>1670.08</v>
      </c>
      <c r="Z47" s="89">
        <f t="shared" si="7"/>
        <v>30.94</v>
      </c>
      <c r="AA47" s="89">
        <f t="shared" si="7"/>
        <v>375.21999999999997</v>
      </c>
      <c r="AB47" s="90">
        <f t="shared" si="7"/>
        <v>406.15999999999997</v>
      </c>
      <c r="AC47" s="88">
        <f t="shared" si="7"/>
        <v>114.36999999999999</v>
      </c>
      <c r="AD47" s="89">
        <f t="shared" si="7"/>
        <v>100.47999999999999</v>
      </c>
      <c r="AE47" s="89">
        <f t="shared" si="7"/>
        <v>2599.650000000001</v>
      </c>
      <c r="AF47" s="90">
        <f t="shared" si="7"/>
        <v>2814.5000000000009</v>
      </c>
      <c r="AG47" s="88">
        <f t="shared" si="7"/>
        <v>120.87</v>
      </c>
      <c r="AH47" s="89">
        <f t="shared" si="7"/>
        <v>22.9</v>
      </c>
      <c r="AI47" s="90">
        <f t="shared" si="7"/>
        <v>143.77000000000001</v>
      </c>
      <c r="AJ47" s="90">
        <f t="shared" si="0"/>
        <v>19335.690000000002</v>
      </c>
    </row>
    <row r="48" spans="1:36" ht="15.75" thickBot="1">
      <c r="A48" s="7"/>
      <c r="B48" s="36" t="s">
        <v>82</v>
      </c>
      <c r="C48" s="91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4"/>
      <c r="AC48" s="92"/>
      <c r="AD48" s="93"/>
      <c r="AE48" s="93"/>
      <c r="AF48" s="94"/>
      <c r="AG48" s="92"/>
      <c r="AH48" s="93"/>
      <c r="AI48" s="94"/>
      <c r="AJ48" s="90">
        <f t="shared" si="0"/>
        <v>0</v>
      </c>
    </row>
    <row r="49" spans="1:36">
      <c r="A49" s="38" t="s">
        <v>83</v>
      </c>
      <c r="B49" s="39" t="s">
        <v>84</v>
      </c>
      <c r="C49" s="78">
        <v>20</v>
      </c>
      <c r="D49" s="79">
        <v>0.1</v>
      </c>
      <c r="E49" s="80">
        <v>3</v>
      </c>
      <c r="F49" s="80">
        <v>7</v>
      </c>
      <c r="G49" s="80">
        <v>0.5</v>
      </c>
      <c r="H49" s="80">
        <v>5</v>
      </c>
      <c r="I49" s="80">
        <v>1</v>
      </c>
      <c r="J49" s="80">
        <v>0</v>
      </c>
      <c r="K49" s="80">
        <v>0</v>
      </c>
      <c r="L49" s="80">
        <v>0</v>
      </c>
      <c r="M49" s="80">
        <v>1</v>
      </c>
      <c r="N49" s="80">
        <v>0</v>
      </c>
      <c r="O49" s="80">
        <v>0</v>
      </c>
      <c r="P49" s="80">
        <f t="shared" ref="P49:P106" si="8">SUM(K49:O49)</f>
        <v>1</v>
      </c>
      <c r="Q49" s="80">
        <v>0</v>
      </c>
      <c r="R49" s="80">
        <v>0</v>
      </c>
      <c r="S49" s="80">
        <v>3</v>
      </c>
      <c r="T49" s="80">
        <f t="shared" ref="T49:T106" si="9">SUM(Q49:S49)</f>
        <v>3</v>
      </c>
      <c r="U49" s="80">
        <v>0</v>
      </c>
      <c r="V49" s="80">
        <v>0</v>
      </c>
      <c r="W49" s="80">
        <v>1</v>
      </c>
      <c r="X49" s="80">
        <v>0</v>
      </c>
      <c r="Y49" s="80">
        <f t="shared" ref="Y49:Y106" si="10">SUM(U49:X49)</f>
        <v>1</v>
      </c>
      <c r="Z49" s="80">
        <v>0</v>
      </c>
      <c r="AA49" s="80">
        <v>0</v>
      </c>
      <c r="AB49" s="81">
        <f t="shared" ref="AB49:AB106" si="11">SUM(Z49:AA49)</f>
        <v>0</v>
      </c>
      <c r="AC49" s="79">
        <v>1</v>
      </c>
      <c r="AD49" s="80">
        <v>0</v>
      </c>
      <c r="AE49" s="80">
        <v>0</v>
      </c>
      <c r="AF49" s="81">
        <f t="shared" ref="AF49:AF106" si="12">SUM(AC49:AE49)</f>
        <v>1</v>
      </c>
      <c r="AG49" s="79">
        <v>0</v>
      </c>
      <c r="AH49" s="80">
        <v>0</v>
      </c>
      <c r="AI49" s="81">
        <f t="shared" ref="AI49:AI106" si="13">SUM(AG49:AH49)</f>
        <v>0</v>
      </c>
      <c r="AJ49" s="82">
        <f t="shared" si="0"/>
        <v>42.6</v>
      </c>
    </row>
    <row r="50" spans="1:36">
      <c r="A50" s="38">
        <v>74</v>
      </c>
      <c r="B50" s="39" t="s">
        <v>85</v>
      </c>
      <c r="C50" s="78">
        <v>16.75</v>
      </c>
      <c r="D50" s="79">
        <v>0.25</v>
      </c>
      <c r="E50" s="80">
        <v>2</v>
      </c>
      <c r="F50" s="80">
        <v>1</v>
      </c>
      <c r="G50" s="80">
        <v>0</v>
      </c>
      <c r="H50" s="80">
        <v>0</v>
      </c>
      <c r="I50" s="80">
        <v>0</v>
      </c>
      <c r="J50" s="80">
        <v>5.25</v>
      </c>
      <c r="K50" s="80">
        <v>1</v>
      </c>
      <c r="L50" s="80">
        <v>0</v>
      </c>
      <c r="M50" s="80">
        <v>0</v>
      </c>
      <c r="N50" s="80">
        <v>1.75</v>
      </c>
      <c r="O50" s="80">
        <v>0</v>
      </c>
      <c r="P50" s="80">
        <f t="shared" si="8"/>
        <v>2.75</v>
      </c>
      <c r="Q50" s="80">
        <v>0</v>
      </c>
      <c r="R50" s="80">
        <v>0</v>
      </c>
      <c r="S50" s="80">
        <v>1.75</v>
      </c>
      <c r="T50" s="80">
        <f t="shared" si="9"/>
        <v>1.75</v>
      </c>
      <c r="U50" s="80">
        <v>0</v>
      </c>
      <c r="V50" s="80">
        <v>0</v>
      </c>
      <c r="W50" s="80">
        <v>0</v>
      </c>
      <c r="X50" s="80">
        <v>0</v>
      </c>
      <c r="Y50" s="80">
        <f t="shared" si="10"/>
        <v>0</v>
      </c>
      <c r="Z50" s="80">
        <v>0</v>
      </c>
      <c r="AA50" s="80">
        <v>0</v>
      </c>
      <c r="AB50" s="81">
        <f t="shared" si="11"/>
        <v>0</v>
      </c>
      <c r="AC50" s="79">
        <v>0</v>
      </c>
      <c r="AD50" s="80">
        <v>0</v>
      </c>
      <c r="AE50" s="80">
        <v>0</v>
      </c>
      <c r="AF50" s="81">
        <f t="shared" si="12"/>
        <v>0</v>
      </c>
      <c r="AG50" s="79">
        <v>0</v>
      </c>
      <c r="AH50" s="80">
        <v>0</v>
      </c>
      <c r="AI50" s="81">
        <f t="shared" si="13"/>
        <v>0</v>
      </c>
      <c r="AJ50" s="82">
        <f t="shared" si="0"/>
        <v>29.75</v>
      </c>
    </row>
    <row r="51" spans="1:36">
      <c r="A51" s="38">
        <v>83</v>
      </c>
      <c r="B51" s="39" t="s">
        <v>86</v>
      </c>
      <c r="C51" s="78">
        <v>1.84</v>
      </c>
      <c r="D51" s="79">
        <v>0</v>
      </c>
      <c r="E51" s="80">
        <v>1.32</v>
      </c>
      <c r="F51" s="80">
        <v>0</v>
      </c>
      <c r="G51" s="80">
        <v>0.56000000000000005</v>
      </c>
      <c r="H51" s="80">
        <v>0</v>
      </c>
      <c r="I51" s="80">
        <v>0</v>
      </c>
      <c r="J51" s="80">
        <v>0.91</v>
      </c>
      <c r="K51" s="80">
        <v>1</v>
      </c>
      <c r="L51" s="80">
        <v>0</v>
      </c>
      <c r="M51" s="80">
        <v>0.13</v>
      </c>
      <c r="N51" s="80">
        <v>0</v>
      </c>
      <c r="O51" s="80">
        <v>0.13</v>
      </c>
      <c r="P51" s="80">
        <f t="shared" si="8"/>
        <v>1.2599999999999998</v>
      </c>
      <c r="Q51" s="80">
        <v>0</v>
      </c>
      <c r="R51" s="80">
        <v>0</v>
      </c>
      <c r="S51" s="80">
        <v>0</v>
      </c>
      <c r="T51" s="80">
        <f t="shared" si="9"/>
        <v>0</v>
      </c>
      <c r="U51" s="80">
        <v>0</v>
      </c>
      <c r="V51" s="80">
        <v>0</v>
      </c>
      <c r="W51" s="80">
        <v>0</v>
      </c>
      <c r="X51" s="80">
        <v>0</v>
      </c>
      <c r="Y51" s="80">
        <f t="shared" si="10"/>
        <v>0</v>
      </c>
      <c r="Z51" s="80">
        <v>0</v>
      </c>
      <c r="AA51" s="80">
        <v>0</v>
      </c>
      <c r="AB51" s="81">
        <f t="shared" si="11"/>
        <v>0</v>
      </c>
      <c r="AC51" s="79">
        <v>0</v>
      </c>
      <c r="AD51" s="80">
        <v>0</v>
      </c>
      <c r="AE51" s="80">
        <v>0</v>
      </c>
      <c r="AF51" s="81">
        <f t="shared" si="12"/>
        <v>0</v>
      </c>
      <c r="AG51" s="79">
        <v>0</v>
      </c>
      <c r="AH51" s="80">
        <v>0</v>
      </c>
      <c r="AI51" s="81">
        <f t="shared" si="13"/>
        <v>0</v>
      </c>
      <c r="AJ51" s="82">
        <f t="shared" si="0"/>
        <v>5.89</v>
      </c>
    </row>
    <row r="52" spans="1:36">
      <c r="A52" s="38" t="s">
        <v>87</v>
      </c>
      <c r="B52" s="39" t="s">
        <v>88</v>
      </c>
      <c r="C52" s="78">
        <v>0</v>
      </c>
      <c r="D52" s="79">
        <v>0</v>
      </c>
      <c r="E52" s="80">
        <v>0</v>
      </c>
      <c r="F52" s="80">
        <v>0.4</v>
      </c>
      <c r="G52" s="80">
        <v>0</v>
      </c>
      <c r="H52" s="80">
        <v>1</v>
      </c>
      <c r="I52" s="80">
        <v>0.6</v>
      </c>
      <c r="J52" s="80">
        <v>1</v>
      </c>
      <c r="K52" s="80">
        <v>1</v>
      </c>
      <c r="L52" s="80">
        <v>0</v>
      </c>
      <c r="M52" s="80">
        <v>0</v>
      </c>
      <c r="N52" s="80">
        <v>0</v>
      </c>
      <c r="O52" s="80">
        <v>0</v>
      </c>
      <c r="P52" s="80">
        <f t="shared" si="8"/>
        <v>1</v>
      </c>
      <c r="Q52" s="80">
        <v>0</v>
      </c>
      <c r="R52" s="80">
        <v>0</v>
      </c>
      <c r="S52" s="80">
        <v>1</v>
      </c>
      <c r="T52" s="80">
        <f t="shared" si="9"/>
        <v>1</v>
      </c>
      <c r="U52" s="80">
        <v>0</v>
      </c>
      <c r="V52" s="80">
        <v>0</v>
      </c>
      <c r="W52" s="80">
        <v>0</v>
      </c>
      <c r="X52" s="80">
        <v>0</v>
      </c>
      <c r="Y52" s="80">
        <f t="shared" si="10"/>
        <v>0</v>
      </c>
      <c r="Z52" s="80">
        <v>0</v>
      </c>
      <c r="AA52" s="80">
        <v>0</v>
      </c>
      <c r="AB52" s="81">
        <f t="shared" si="11"/>
        <v>0</v>
      </c>
      <c r="AC52" s="79">
        <v>0</v>
      </c>
      <c r="AD52" s="80">
        <v>0</v>
      </c>
      <c r="AE52" s="80">
        <v>0</v>
      </c>
      <c r="AF52" s="81">
        <f t="shared" si="12"/>
        <v>0</v>
      </c>
      <c r="AG52" s="79">
        <v>0</v>
      </c>
      <c r="AH52" s="80">
        <v>0</v>
      </c>
      <c r="AI52" s="81">
        <f t="shared" si="13"/>
        <v>0</v>
      </c>
      <c r="AJ52" s="82">
        <f t="shared" si="0"/>
        <v>5</v>
      </c>
    </row>
    <row r="53" spans="1:36">
      <c r="A53" s="38" t="s">
        <v>89</v>
      </c>
      <c r="B53" s="39" t="s">
        <v>90</v>
      </c>
      <c r="C53" s="78">
        <v>8.41</v>
      </c>
      <c r="D53" s="79">
        <v>0</v>
      </c>
      <c r="E53" s="80">
        <v>0</v>
      </c>
      <c r="F53" s="80">
        <v>0</v>
      </c>
      <c r="G53" s="80">
        <v>0.54</v>
      </c>
      <c r="H53" s="80">
        <v>0</v>
      </c>
      <c r="I53" s="80">
        <v>0</v>
      </c>
      <c r="J53" s="80">
        <v>2.2400000000000002</v>
      </c>
      <c r="K53" s="80">
        <v>0</v>
      </c>
      <c r="L53" s="80">
        <v>0</v>
      </c>
      <c r="M53" s="80">
        <v>0</v>
      </c>
      <c r="N53" s="80">
        <v>0</v>
      </c>
      <c r="O53" s="80">
        <v>0</v>
      </c>
      <c r="P53" s="80">
        <f t="shared" si="8"/>
        <v>0</v>
      </c>
      <c r="Q53" s="80">
        <v>0</v>
      </c>
      <c r="R53" s="80">
        <v>1.08</v>
      </c>
      <c r="S53" s="80">
        <v>0.97</v>
      </c>
      <c r="T53" s="80">
        <f t="shared" si="9"/>
        <v>2.0499999999999998</v>
      </c>
      <c r="U53" s="80">
        <v>0</v>
      </c>
      <c r="V53" s="80">
        <v>0</v>
      </c>
      <c r="W53" s="80">
        <v>0</v>
      </c>
      <c r="X53" s="80">
        <v>0</v>
      </c>
      <c r="Y53" s="80">
        <f t="shared" si="10"/>
        <v>0</v>
      </c>
      <c r="Z53" s="80">
        <v>0</v>
      </c>
      <c r="AA53" s="80">
        <v>0</v>
      </c>
      <c r="AB53" s="81">
        <f t="shared" si="11"/>
        <v>0</v>
      </c>
      <c r="AC53" s="79">
        <v>0.72</v>
      </c>
      <c r="AD53" s="80">
        <v>0</v>
      </c>
      <c r="AE53" s="80">
        <v>0.65</v>
      </c>
      <c r="AF53" s="81">
        <f t="shared" si="12"/>
        <v>1.37</v>
      </c>
      <c r="AG53" s="79">
        <v>0</v>
      </c>
      <c r="AH53" s="80">
        <v>0</v>
      </c>
      <c r="AI53" s="81">
        <f t="shared" si="13"/>
        <v>0</v>
      </c>
      <c r="AJ53" s="82">
        <f t="shared" si="0"/>
        <v>14.61</v>
      </c>
    </row>
    <row r="54" spans="1:36">
      <c r="A54" s="38">
        <v>84</v>
      </c>
      <c r="B54" s="39" t="s">
        <v>91</v>
      </c>
      <c r="C54" s="78">
        <v>2.2200000000000002</v>
      </c>
      <c r="D54" s="79">
        <v>0</v>
      </c>
      <c r="E54" s="80">
        <v>0</v>
      </c>
      <c r="F54" s="80">
        <v>0</v>
      </c>
      <c r="G54" s="80">
        <v>0</v>
      </c>
      <c r="H54" s="80">
        <v>0</v>
      </c>
      <c r="I54" s="80">
        <v>0</v>
      </c>
      <c r="J54" s="80">
        <v>0</v>
      </c>
      <c r="K54" s="80">
        <v>0</v>
      </c>
      <c r="L54" s="80">
        <v>0</v>
      </c>
      <c r="M54" s="80">
        <v>0</v>
      </c>
      <c r="N54" s="80">
        <v>0</v>
      </c>
      <c r="O54" s="80">
        <v>0</v>
      </c>
      <c r="P54" s="80">
        <f t="shared" si="8"/>
        <v>0</v>
      </c>
      <c r="Q54" s="80">
        <v>0</v>
      </c>
      <c r="R54" s="80">
        <v>0</v>
      </c>
      <c r="S54" s="80">
        <v>0.31</v>
      </c>
      <c r="T54" s="80">
        <f t="shared" si="9"/>
        <v>0.31</v>
      </c>
      <c r="U54" s="80">
        <v>0</v>
      </c>
      <c r="V54" s="80">
        <v>0</v>
      </c>
      <c r="W54" s="80">
        <v>0.47</v>
      </c>
      <c r="X54" s="80">
        <v>0</v>
      </c>
      <c r="Y54" s="80">
        <f t="shared" si="10"/>
        <v>0.47</v>
      </c>
      <c r="Z54" s="80">
        <v>0</v>
      </c>
      <c r="AA54" s="80">
        <v>0</v>
      </c>
      <c r="AB54" s="81">
        <f t="shared" si="11"/>
        <v>0</v>
      </c>
      <c r="AC54" s="79">
        <v>0</v>
      </c>
      <c r="AD54" s="80">
        <v>0</v>
      </c>
      <c r="AE54" s="80">
        <v>0</v>
      </c>
      <c r="AF54" s="81">
        <f t="shared" si="12"/>
        <v>0</v>
      </c>
      <c r="AG54" s="79">
        <v>0</v>
      </c>
      <c r="AH54" s="80">
        <v>0</v>
      </c>
      <c r="AI54" s="81">
        <f t="shared" si="13"/>
        <v>0</v>
      </c>
      <c r="AJ54" s="82">
        <f t="shared" si="0"/>
        <v>3</v>
      </c>
    </row>
    <row r="55" spans="1:36">
      <c r="A55" s="38" t="s">
        <v>92</v>
      </c>
      <c r="B55" s="39" t="s">
        <v>93</v>
      </c>
      <c r="C55" s="78">
        <v>10.1</v>
      </c>
      <c r="D55" s="79">
        <v>0</v>
      </c>
      <c r="E55" s="80">
        <v>0</v>
      </c>
      <c r="F55" s="80">
        <v>0</v>
      </c>
      <c r="G55" s="80">
        <v>1.63</v>
      </c>
      <c r="H55" s="80">
        <v>0</v>
      </c>
      <c r="I55" s="80">
        <v>0</v>
      </c>
      <c r="J55" s="80">
        <v>1</v>
      </c>
      <c r="K55" s="80">
        <v>1</v>
      </c>
      <c r="L55" s="80">
        <v>0</v>
      </c>
      <c r="M55" s="80">
        <v>0.45</v>
      </c>
      <c r="N55" s="80">
        <v>0</v>
      </c>
      <c r="O55" s="80">
        <v>0</v>
      </c>
      <c r="P55" s="80">
        <f t="shared" si="8"/>
        <v>1.45</v>
      </c>
      <c r="Q55" s="80">
        <v>0</v>
      </c>
      <c r="R55" s="80">
        <v>1</v>
      </c>
      <c r="S55" s="80">
        <v>1.61</v>
      </c>
      <c r="T55" s="80">
        <f t="shared" si="9"/>
        <v>2.6100000000000003</v>
      </c>
      <c r="U55" s="80">
        <v>0</v>
      </c>
      <c r="V55" s="80">
        <v>0</v>
      </c>
      <c r="W55" s="80">
        <v>0</v>
      </c>
      <c r="X55" s="80">
        <v>0</v>
      </c>
      <c r="Y55" s="80">
        <f t="shared" si="10"/>
        <v>0</v>
      </c>
      <c r="Z55" s="80">
        <v>0</v>
      </c>
      <c r="AA55" s="80">
        <v>0</v>
      </c>
      <c r="AB55" s="81">
        <f t="shared" si="11"/>
        <v>0</v>
      </c>
      <c r="AC55" s="79">
        <v>1</v>
      </c>
      <c r="AD55" s="80">
        <v>0</v>
      </c>
      <c r="AE55" s="80">
        <v>1.28</v>
      </c>
      <c r="AF55" s="81">
        <f t="shared" si="12"/>
        <v>2.2800000000000002</v>
      </c>
      <c r="AG55" s="79">
        <v>0</v>
      </c>
      <c r="AH55" s="80">
        <v>0</v>
      </c>
      <c r="AI55" s="81">
        <f t="shared" si="13"/>
        <v>0</v>
      </c>
      <c r="AJ55" s="82">
        <f t="shared" si="0"/>
        <v>19.07</v>
      </c>
    </row>
    <row r="56" spans="1:36">
      <c r="A56" s="38">
        <v>87</v>
      </c>
      <c r="B56" s="39" t="s">
        <v>94</v>
      </c>
      <c r="C56" s="78">
        <v>2.88</v>
      </c>
      <c r="D56" s="79">
        <v>0</v>
      </c>
      <c r="E56" s="80">
        <v>0</v>
      </c>
      <c r="F56" s="80">
        <v>0</v>
      </c>
      <c r="G56" s="80">
        <v>0.55000000000000004</v>
      </c>
      <c r="H56" s="80">
        <v>0</v>
      </c>
      <c r="I56" s="80">
        <v>0</v>
      </c>
      <c r="J56" s="80">
        <v>1.1599999999999999</v>
      </c>
      <c r="K56" s="80">
        <v>0.25</v>
      </c>
      <c r="L56" s="80">
        <v>0.08</v>
      </c>
      <c r="M56" s="80">
        <v>0</v>
      </c>
      <c r="N56" s="80">
        <v>0</v>
      </c>
      <c r="O56" s="80">
        <v>2.2000000000000002</v>
      </c>
      <c r="P56" s="80">
        <f t="shared" si="8"/>
        <v>2.5300000000000002</v>
      </c>
      <c r="Q56" s="80">
        <v>0</v>
      </c>
      <c r="R56" s="80">
        <v>1</v>
      </c>
      <c r="S56" s="80">
        <v>0.55000000000000004</v>
      </c>
      <c r="T56" s="80">
        <f t="shared" si="9"/>
        <v>1.55</v>
      </c>
      <c r="U56" s="80">
        <v>0</v>
      </c>
      <c r="V56" s="80">
        <v>0</v>
      </c>
      <c r="W56" s="80">
        <v>0</v>
      </c>
      <c r="X56" s="80">
        <v>0</v>
      </c>
      <c r="Y56" s="80">
        <f t="shared" si="10"/>
        <v>0</v>
      </c>
      <c r="Z56" s="80">
        <v>0</v>
      </c>
      <c r="AA56" s="80">
        <v>0</v>
      </c>
      <c r="AB56" s="81">
        <f t="shared" si="11"/>
        <v>0</v>
      </c>
      <c r="AC56" s="79">
        <v>0</v>
      </c>
      <c r="AD56" s="80">
        <v>0</v>
      </c>
      <c r="AE56" s="80">
        <v>0</v>
      </c>
      <c r="AF56" s="81">
        <f t="shared" si="12"/>
        <v>0</v>
      </c>
      <c r="AG56" s="79">
        <v>0</v>
      </c>
      <c r="AH56" s="80">
        <v>0</v>
      </c>
      <c r="AI56" s="81">
        <f t="shared" si="13"/>
        <v>0</v>
      </c>
      <c r="AJ56" s="82">
        <f t="shared" si="0"/>
        <v>8.67</v>
      </c>
    </row>
    <row r="57" spans="1:36">
      <c r="A57" s="38" t="s">
        <v>95</v>
      </c>
      <c r="B57" s="39" t="s">
        <v>96</v>
      </c>
      <c r="C57" s="78">
        <v>2</v>
      </c>
      <c r="D57" s="79">
        <v>0</v>
      </c>
      <c r="E57" s="80">
        <v>1</v>
      </c>
      <c r="F57" s="80">
        <v>0</v>
      </c>
      <c r="G57" s="80">
        <v>0</v>
      </c>
      <c r="H57" s="80">
        <v>0</v>
      </c>
      <c r="I57" s="80">
        <v>0</v>
      </c>
      <c r="J57" s="80">
        <v>2</v>
      </c>
      <c r="K57" s="80">
        <v>1</v>
      </c>
      <c r="L57" s="80">
        <v>0</v>
      </c>
      <c r="M57" s="80">
        <v>0</v>
      </c>
      <c r="N57" s="80">
        <v>0</v>
      </c>
      <c r="O57" s="80">
        <v>0</v>
      </c>
      <c r="P57" s="80">
        <f t="shared" si="8"/>
        <v>1</v>
      </c>
      <c r="Q57" s="80">
        <v>0</v>
      </c>
      <c r="R57" s="80">
        <v>0</v>
      </c>
      <c r="S57" s="80">
        <v>1</v>
      </c>
      <c r="T57" s="80">
        <f t="shared" si="9"/>
        <v>1</v>
      </c>
      <c r="U57" s="80">
        <v>0</v>
      </c>
      <c r="V57" s="80">
        <v>0</v>
      </c>
      <c r="W57" s="80">
        <v>0</v>
      </c>
      <c r="X57" s="80">
        <v>0</v>
      </c>
      <c r="Y57" s="80">
        <f t="shared" si="10"/>
        <v>0</v>
      </c>
      <c r="Z57" s="80">
        <v>0</v>
      </c>
      <c r="AA57" s="80">
        <v>0</v>
      </c>
      <c r="AB57" s="81">
        <f t="shared" si="11"/>
        <v>0</v>
      </c>
      <c r="AC57" s="79">
        <v>0</v>
      </c>
      <c r="AD57" s="80">
        <v>0</v>
      </c>
      <c r="AE57" s="80">
        <v>0</v>
      </c>
      <c r="AF57" s="81">
        <f t="shared" si="12"/>
        <v>0</v>
      </c>
      <c r="AG57" s="79">
        <v>0</v>
      </c>
      <c r="AH57" s="80">
        <v>0</v>
      </c>
      <c r="AI57" s="81">
        <f t="shared" si="13"/>
        <v>0</v>
      </c>
      <c r="AJ57" s="82">
        <f t="shared" si="0"/>
        <v>7</v>
      </c>
    </row>
    <row r="58" spans="1:36">
      <c r="A58" s="38" t="s">
        <v>97</v>
      </c>
      <c r="B58" s="39" t="s">
        <v>98</v>
      </c>
      <c r="C58" s="78">
        <v>1</v>
      </c>
      <c r="D58" s="79">
        <v>0</v>
      </c>
      <c r="E58" s="80">
        <v>1</v>
      </c>
      <c r="F58" s="80">
        <v>1</v>
      </c>
      <c r="G58" s="80">
        <v>0</v>
      </c>
      <c r="H58" s="80">
        <v>0.5</v>
      </c>
      <c r="I58" s="80">
        <v>0</v>
      </c>
      <c r="J58" s="80">
        <v>0.5</v>
      </c>
      <c r="K58" s="80">
        <v>1</v>
      </c>
      <c r="L58" s="80">
        <v>0</v>
      </c>
      <c r="M58" s="80">
        <v>0</v>
      </c>
      <c r="N58" s="80">
        <v>0</v>
      </c>
      <c r="O58" s="80">
        <v>0</v>
      </c>
      <c r="P58" s="80">
        <f t="shared" si="8"/>
        <v>1</v>
      </c>
      <c r="Q58" s="80">
        <v>0</v>
      </c>
      <c r="R58" s="80">
        <v>0</v>
      </c>
      <c r="S58" s="80">
        <v>1</v>
      </c>
      <c r="T58" s="80">
        <f t="shared" si="9"/>
        <v>1</v>
      </c>
      <c r="U58" s="80">
        <v>0</v>
      </c>
      <c r="V58" s="80">
        <v>0</v>
      </c>
      <c r="W58" s="80">
        <v>0</v>
      </c>
      <c r="X58" s="80">
        <v>0</v>
      </c>
      <c r="Y58" s="80">
        <f t="shared" si="10"/>
        <v>0</v>
      </c>
      <c r="Z58" s="80">
        <v>0</v>
      </c>
      <c r="AA58" s="80">
        <v>0</v>
      </c>
      <c r="AB58" s="81">
        <f t="shared" si="11"/>
        <v>0</v>
      </c>
      <c r="AC58" s="79">
        <v>0</v>
      </c>
      <c r="AD58" s="80">
        <v>0</v>
      </c>
      <c r="AE58" s="80">
        <v>1</v>
      </c>
      <c r="AF58" s="81">
        <f t="shared" si="12"/>
        <v>1</v>
      </c>
      <c r="AG58" s="79">
        <v>0</v>
      </c>
      <c r="AH58" s="80">
        <v>0</v>
      </c>
      <c r="AI58" s="81">
        <f t="shared" si="13"/>
        <v>0</v>
      </c>
      <c r="AJ58" s="82">
        <f t="shared" si="0"/>
        <v>7</v>
      </c>
    </row>
    <row r="59" spans="1:36">
      <c r="A59" s="38" t="s">
        <v>99</v>
      </c>
      <c r="B59" s="39" t="s">
        <v>100</v>
      </c>
      <c r="C59" s="78">
        <v>3.75</v>
      </c>
      <c r="D59" s="79">
        <v>0</v>
      </c>
      <c r="E59" s="80">
        <v>1.5</v>
      </c>
      <c r="F59" s="80">
        <v>0</v>
      </c>
      <c r="G59" s="80">
        <v>0</v>
      </c>
      <c r="H59" s="80">
        <v>3</v>
      </c>
      <c r="I59" s="80">
        <v>0</v>
      </c>
      <c r="J59" s="80">
        <v>1</v>
      </c>
      <c r="K59" s="80">
        <v>0</v>
      </c>
      <c r="L59" s="80">
        <v>0</v>
      </c>
      <c r="M59" s="80">
        <v>0</v>
      </c>
      <c r="N59" s="80">
        <v>0</v>
      </c>
      <c r="O59" s="80">
        <v>0</v>
      </c>
      <c r="P59" s="80">
        <f t="shared" si="8"/>
        <v>0</v>
      </c>
      <c r="Q59" s="80">
        <v>0</v>
      </c>
      <c r="R59" s="80">
        <v>0</v>
      </c>
      <c r="S59" s="80">
        <v>1.25</v>
      </c>
      <c r="T59" s="80">
        <f t="shared" si="9"/>
        <v>1.25</v>
      </c>
      <c r="U59" s="80">
        <v>0</v>
      </c>
      <c r="V59" s="80">
        <v>0</v>
      </c>
      <c r="W59" s="80">
        <v>0</v>
      </c>
      <c r="X59" s="80">
        <v>0</v>
      </c>
      <c r="Y59" s="80">
        <f t="shared" si="10"/>
        <v>0</v>
      </c>
      <c r="Z59" s="80">
        <v>0</v>
      </c>
      <c r="AA59" s="80">
        <v>0</v>
      </c>
      <c r="AB59" s="81">
        <f t="shared" si="11"/>
        <v>0</v>
      </c>
      <c r="AC59" s="79">
        <v>1</v>
      </c>
      <c r="AD59" s="80">
        <v>0</v>
      </c>
      <c r="AE59" s="80">
        <v>1.5</v>
      </c>
      <c r="AF59" s="81">
        <f t="shared" si="12"/>
        <v>2.5</v>
      </c>
      <c r="AG59" s="79">
        <v>0</v>
      </c>
      <c r="AH59" s="80">
        <v>0</v>
      </c>
      <c r="AI59" s="81">
        <f t="shared" si="13"/>
        <v>0</v>
      </c>
      <c r="AJ59" s="82">
        <f t="shared" si="0"/>
        <v>13</v>
      </c>
    </row>
    <row r="60" spans="1:36">
      <c r="A60" s="38" t="s">
        <v>101</v>
      </c>
      <c r="B60" s="39" t="s">
        <v>102</v>
      </c>
      <c r="C60" s="78">
        <v>1</v>
      </c>
      <c r="D60" s="79">
        <v>0</v>
      </c>
      <c r="E60" s="80">
        <v>0.75</v>
      </c>
      <c r="F60" s="80">
        <v>0</v>
      </c>
      <c r="G60" s="80">
        <v>0</v>
      </c>
      <c r="H60" s="80">
        <v>0</v>
      </c>
      <c r="I60" s="80">
        <v>0</v>
      </c>
      <c r="J60" s="80">
        <v>1</v>
      </c>
      <c r="K60" s="80">
        <v>0.6</v>
      </c>
      <c r="L60" s="80">
        <v>0.6</v>
      </c>
      <c r="M60" s="80">
        <v>0</v>
      </c>
      <c r="N60" s="80">
        <v>0</v>
      </c>
      <c r="O60" s="80">
        <v>0</v>
      </c>
      <c r="P60" s="80">
        <f t="shared" si="8"/>
        <v>1.2</v>
      </c>
      <c r="Q60" s="80">
        <v>0</v>
      </c>
      <c r="R60" s="80">
        <v>0</v>
      </c>
      <c r="S60" s="80">
        <v>2</v>
      </c>
      <c r="T60" s="80">
        <f t="shared" si="9"/>
        <v>2</v>
      </c>
      <c r="U60" s="80">
        <v>0</v>
      </c>
      <c r="V60" s="80">
        <v>0</v>
      </c>
      <c r="W60" s="80">
        <v>0</v>
      </c>
      <c r="X60" s="80">
        <v>0</v>
      </c>
      <c r="Y60" s="80">
        <f t="shared" si="10"/>
        <v>0</v>
      </c>
      <c r="Z60" s="80">
        <v>0</v>
      </c>
      <c r="AA60" s="80">
        <v>0</v>
      </c>
      <c r="AB60" s="81">
        <f t="shared" si="11"/>
        <v>0</v>
      </c>
      <c r="AC60" s="79">
        <v>0</v>
      </c>
      <c r="AD60" s="80">
        <v>0</v>
      </c>
      <c r="AE60" s="80">
        <v>0</v>
      </c>
      <c r="AF60" s="81">
        <f t="shared" si="12"/>
        <v>0</v>
      </c>
      <c r="AG60" s="79">
        <v>0</v>
      </c>
      <c r="AH60" s="80">
        <v>0</v>
      </c>
      <c r="AI60" s="81">
        <f t="shared" si="13"/>
        <v>0</v>
      </c>
      <c r="AJ60" s="82">
        <f t="shared" si="0"/>
        <v>5.95</v>
      </c>
    </row>
    <row r="61" spans="1:36">
      <c r="A61" s="38" t="s">
        <v>103</v>
      </c>
      <c r="B61" s="39" t="s">
        <v>104</v>
      </c>
      <c r="C61" s="78">
        <v>6.8</v>
      </c>
      <c r="D61" s="79">
        <v>0</v>
      </c>
      <c r="E61" s="80">
        <v>0</v>
      </c>
      <c r="F61" s="80">
        <v>0</v>
      </c>
      <c r="G61" s="80">
        <v>0</v>
      </c>
      <c r="H61" s="80">
        <v>0</v>
      </c>
      <c r="I61" s="80">
        <v>0</v>
      </c>
      <c r="J61" s="80">
        <v>1.75</v>
      </c>
      <c r="K61" s="80">
        <v>1</v>
      </c>
      <c r="L61" s="80">
        <v>0</v>
      </c>
      <c r="M61" s="80">
        <v>0</v>
      </c>
      <c r="N61" s="80">
        <v>0</v>
      </c>
      <c r="O61" s="80">
        <v>1</v>
      </c>
      <c r="P61" s="80">
        <f t="shared" si="8"/>
        <v>2</v>
      </c>
      <c r="Q61" s="80">
        <v>0</v>
      </c>
      <c r="R61" s="80">
        <v>0</v>
      </c>
      <c r="S61" s="80">
        <v>0</v>
      </c>
      <c r="T61" s="80">
        <f t="shared" si="9"/>
        <v>0</v>
      </c>
      <c r="U61" s="80">
        <v>0</v>
      </c>
      <c r="V61" s="80">
        <v>0</v>
      </c>
      <c r="W61" s="80">
        <v>0</v>
      </c>
      <c r="X61" s="80">
        <v>0</v>
      </c>
      <c r="Y61" s="80">
        <f t="shared" si="10"/>
        <v>0</v>
      </c>
      <c r="Z61" s="80">
        <v>0</v>
      </c>
      <c r="AA61" s="80">
        <v>0</v>
      </c>
      <c r="AB61" s="81">
        <f t="shared" si="11"/>
        <v>0</v>
      </c>
      <c r="AC61" s="79">
        <v>1</v>
      </c>
      <c r="AD61" s="80">
        <v>0</v>
      </c>
      <c r="AE61" s="80">
        <v>0.64</v>
      </c>
      <c r="AF61" s="81">
        <f t="shared" si="12"/>
        <v>1.6400000000000001</v>
      </c>
      <c r="AG61" s="79">
        <v>0</v>
      </c>
      <c r="AH61" s="80">
        <v>0</v>
      </c>
      <c r="AI61" s="81">
        <f t="shared" si="13"/>
        <v>0</v>
      </c>
      <c r="AJ61" s="82">
        <f t="shared" si="0"/>
        <v>12.190000000000001</v>
      </c>
    </row>
    <row r="62" spans="1:36">
      <c r="A62" s="38" t="s">
        <v>105</v>
      </c>
      <c r="B62" s="39" t="s">
        <v>106</v>
      </c>
      <c r="C62" s="78">
        <v>8.8000000000000007</v>
      </c>
      <c r="D62" s="79">
        <v>0</v>
      </c>
      <c r="E62" s="80">
        <v>0</v>
      </c>
      <c r="F62" s="80">
        <v>0</v>
      </c>
      <c r="G62" s="80">
        <v>0</v>
      </c>
      <c r="H62" s="80">
        <v>0</v>
      </c>
      <c r="I62" s="80">
        <v>0</v>
      </c>
      <c r="J62" s="80">
        <v>0</v>
      </c>
      <c r="K62" s="80">
        <v>0</v>
      </c>
      <c r="L62" s="80">
        <v>0</v>
      </c>
      <c r="M62" s="80">
        <v>0</v>
      </c>
      <c r="N62" s="80">
        <v>0.2</v>
      </c>
      <c r="O62" s="80">
        <v>0</v>
      </c>
      <c r="P62" s="80">
        <f t="shared" si="8"/>
        <v>0.2</v>
      </c>
      <c r="Q62" s="80">
        <v>0</v>
      </c>
      <c r="R62" s="80">
        <v>0</v>
      </c>
      <c r="S62" s="80">
        <v>1</v>
      </c>
      <c r="T62" s="80">
        <f t="shared" si="9"/>
        <v>1</v>
      </c>
      <c r="U62" s="80">
        <v>0</v>
      </c>
      <c r="V62" s="80">
        <v>0</v>
      </c>
      <c r="W62" s="80">
        <v>0.2</v>
      </c>
      <c r="X62" s="80">
        <v>0</v>
      </c>
      <c r="Y62" s="80">
        <f t="shared" si="10"/>
        <v>0.2</v>
      </c>
      <c r="Z62" s="80">
        <v>0</v>
      </c>
      <c r="AA62" s="80">
        <v>0</v>
      </c>
      <c r="AB62" s="81">
        <f t="shared" si="11"/>
        <v>0</v>
      </c>
      <c r="AC62" s="79">
        <v>0</v>
      </c>
      <c r="AD62" s="80">
        <v>0</v>
      </c>
      <c r="AE62" s="80">
        <v>1.6</v>
      </c>
      <c r="AF62" s="81">
        <f t="shared" si="12"/>
        <v>1.6</v>
      </c>
      <c r="AG62" s="79">
        <v>0</v>
      </c>
      <c r="AH62" s="80">
        <v>0</v>
      </c>
      <c r="AI62" s="81">
        <f t="shared" si="13"/>
        <v>0</v>
      </c>
      <c r="AJ62" s="82">
        <f t="shared" si="0"/>
        <v>11.799999999999999</v>
      </c>
    </row>
    <row r="63" spans="1:36">
      <c r="A63" s="38">
        <v>98</v>
      </c>
      <c r="B63" s="39" t="s">
        <v>107</v>
      </c>
      <c r="C63" s="78">
        <v>0.75</v>
      </c>
      <c r="D63" s="79">
        <v>0</v>
      </c>
      <c r="E63" s="80">
        <v>0</v>
      </c>
      <c r="F63" s="80">
        <v>0</v>
      </c>
      <c r="G63" s="80">
        <v>0</v>
      </c>
      <c r="H63" s="80">
        <v>0</v>
      </c>
      <c r="I63" s="80">
        <v>0</v>
      </c>
      <c r="J63" s="80">
        <v>1</v>
      </c>
      <c r="K63" s="80">
        <v>0.4</v>
      </c>
      <c r="L63" s="80">
        <v>0.4</v>
      </c>
      <c r="M63" s="80">
        <v>0</v>
      </c>
      <c r="N63" s="80">
        <v>0</v>
      </c>
      <c r="O63" s="80">
        <v>0.75</v>
      </c>
      <c r="P63" s="80">
        <f t="shared" si="8"/>
        <v>1.55</v>
      </c>
      <c r="Q63" s="80">
        <v>0</v>
      </c>
      <c r="R63" s="80">
        <v>0</v>
      </c>
      <c r="S63" s="80">
        <v>1</v>
      </c>
      <c r="T63" s="80">
        <f t="shared" si="9"/>
        <v>1</v>
      </c>
      <c r="U63" s="80">
        <v>0</v>
      </c>
      <c r="V63" s="80">
        <v>0</v>
      </c>
      <c r="W63" s="80">
        <v>0</v>
      </c>
      <c r="X63" s="80">
        <v>0</v>
      </c>
      <c r="Y63" s="80">
        <f t="shared" si="10"/>
        <v>0</v>
      </c>
      <c r="Z63" s="80">
        <v>0</v>
      </c>
      <c r="AA63" s="80">
        <v>0</v>
      </c>
      <c r="AB63" s="81">
        <f t="shared" si="11"/>
        <v>0</v>
      </c>
      <c r="AC63" s="79">
        <v>0</v>
      </c>
      <c r="AD63" s="80">
        <v>0</v>
      </c>
      <c r="AE63" s="80">
        <v>0</v>
      </c>
      <c r="AF63" s="81">
        <f t="shared" si="12"/>
        <v>0</v>
      </c>
      <c r="AG63" s="79">
        <v>0</v>
      </c>
      <c r="AH63" s="80">
        <v>0</v>
      </c>
      <c r="AI63" s="81">
        <f t="shared" si="13"/>
        <v>0</v>
      </c>
      <c r="AJ63" s="82">
        <f t="shared" si="0"/>
        <v>4.3</v>
      </c>
    </row>
    <row r="64" spans="1:36">
      <c r="A64" s="38">
        <v>82</v>
      </c>
      <c r="B64" s="39" t="s">
        <v>108</v>
      </c>
      <c r="C64" s="78">
        <v>0.8</v>
      </c>
      <c r="D64" s="79">
        <v>0.8</v>
      </c>
      <c r="E64" s="80">
        <v>1</v>
      </c>
      <c r="F64" s="80">
        <v>0</v>
      </c>
      <c r="G64" s="80">
        <v>0.4</v>
      </c>
      <c r="H64" s="80">
        <v>0</v>
      </c>
      <c r="I64" s="80">
        <v>0</v>
      </c>
      <c r="J64" s="80">
        <v>0</v>
      </c>
      <c r="K64" s="80">
        <v>1</v>
      </c>
      <c r="L64" s="80">
        <v>0</v>
      </c>
      <c r="M64" s="80">
        <v>0</v>
      </c>
      <c r="N64" s="80">
        <v>0</v>
      </c>
      <c r="O64" s="80">
        <v>0</v>
      </c>
      <c r="P64" s="80">
        <f t="shared" si="8"/>
        <v>1</v>
      </c>
      <c r="Q64" s="80">
        <v>0</v>
      </c>
      <c r="R64" s="80">
        <v>1</v>
      </c>
      <c r="S64" s="80">
        <v>1</v>
      </c>
      <c r="T64" s="80">
        <f t="shared" si="9"/>
        <v>2</v>
      </c>
      <c r="U64" s="80">
        <v>0</v>
      </c>
      <c r="V64" s="80">
        <v>0</v>
      </c>
      <c r="W64" s="80">
        <v>0</v>
      </c>
      <c r="X64" s="80">
        <v>0</v>
      </c>
      <c r="Y64" s="80">
        <f t="shared" si="10"/>
        <v>0</v>
      </c>
      <c r="Z64" s="80">
        <v>0</v>
      </c>
      <c r="AA64" s="80">
        <v>0</v>
      </c>
      <c r="AB64" s="81">
        <f t="shared" si="11"/>
        <v>0</v>
      </c>
      <c r="AC64" s="79">
        <v>0.8</v>
      </c>
      <c r="AD64" s="80">
        <v>0.8</v>
      </c>
      <c r="AE64" s="80">
        <v>0.4</v>
      </c>
      <c r="AF64" s="81">
        <f t="shared" si="12"/>
        <v>2</v>
      </c>
      <c r="AG64" s="79">
        <v>0</v>
      </c>
      <c r="AH64" s="80">
        <v>0</v>
      </c>
      <c r="AI64" s="81">
        <f t="shared" si="13"/>
        <v>0</v>
      </c>
      <c r="AJ64" s="82">
        <f t="shared" si="0"/>
        <v>8</v>
      </c>
    </row>
    <row r="65" spans="1:36">
      <c r="A65" s="38" t="s">
        <v>109</v>
      </c>
      <c r="B65" s="39" t="s">
        <v>110</v>
      </c>
      <c r="C65" s="78">
        <v>4.46</v>
      </c>
      <c r="D65" s="79">
        <v>0</v>
      </c>
      <c r="E65" s="80">
        <v>0</v>
      </c>
      <c r="F65" s="80">
        <v>0</v>
      </c>
      <c r="G65" s="80">
        <v>0</v>
      </c>
      <c r="H65" s="80">
        <v>0</v>
      </c>
      <c r="I65" s="80">
        <v>0</v>
      </c>
      <c r="J65" s="80">
        <v>1.7</v>
      </c>
      <c r="K65" s="80">
        <v>0</v>
      </c>
      <c r="L65" s="80">
        <v>0</v>
      </c>
      <c r="M65" s="80">
        <v>0</v>
      </c>
      <c r="N65" s="80">
        <v>0</v>
      </c>
      <c r="O65" s="80">
        <v>0</v>
      </c>
      <c r="P65" s="80">
        <f t="shared" si="8"/>
        <v>0</v>
      </c>
      <c r="Q65" s="80">
        <v>0</v>
      </c>
      <c r="R65" s="80">
        <v>0</v>
      </c>
      <c r="S65" s="80">
        <v>1</v>
      </c>
      <c r="T65" s="80">
        <f t="shared" si="9"/>
        <v>1</v>
      </c>
      <c r="U65" s="80">
        <v>0</v>
      </c>
      <c r="V65" s="80">
        <v>0</v>
      </c>
      <c r="W65" s="80">
        <v>0</v>
      </c>
      <c r="X65" s="80">
        <v>0</v>
      </c>
      <c r="Y65" s="80">
        <f t="shared" si="10"/>
        <v>0</v>
      </c>
      <c r="Z65" s="80">
        <v>0</v>
      </c>
      <c r="AA65" s="80">
        <v>0</v>
      </c>
      <c r="AB65" s="81">
        <f t="shared" si="11"/>
        <v>0</v>
      </c>
      <c r="AC65" s="79">
        <v>0</v>
      </c>
      <c r="AD65" s="80">
        <v>0</v>
      </c>
      <c r="AE65" s="80">
        <v>0</v>
      </c>
      <c r="AF65" s="81">
        <f t="shared" si="12"/>
        <v>0</v>
      </c>
      <c r="AG65" s="79">
        <v>0</v>
      </c>
      <c r="AH65" s="80">
        <v>0</v>
      </c>
      <c r="AI65" s="81">
        <f t="shared" si="13"/>
        <v>0</v>
      </c>
      <c r="AJ65" s="82">
        <f t="shared" si="0"/>
        <v>7.16</v>
      </c>
    </row>
    <row r="66" spans="1:36">
      <c r="A66" s="38" t="s">
        <v>111</v>
      </c>
      <c r="B66" s="39" t="s">
        <v>112</v>
      </c>
      <c r="C66" s="78">
        <v>4.3499999999999996</v>
      </c>
      <c r="D66" s="79">
        <v>0</v>
      </c>
      <c r="E66" s="80">
        <v>0</v>
      </c>
      <c r="F66" s="80">
        <v>0</v>
      </c>
      <c r="G66" s="80">
        <v>0</v>
      </c>
      <c r="H66" s="80">
        <v>0.3</v>
      </c>
      <c r="I66" s="80">
        <v>0</v>
      </c>
      <c r="J66" s="80">
        <v>0.6</v>
      </c>
      <c r="K66" s="80">
        <v>0</v>
      </c>
      <c r="L66" s="80">
        <v>0</v>
      </c>
      <c r="M66" s="80">
        <v>0.6</v>
      </c>
      <c r="N66" s="80">
        <v>0</v>
      </c>
      <c r="O66" s="80">
        <v>0</v>
      </c>
      <c r="P66" s="80">
        <f t="shared" si="8"/>
        <v>0.6</v>
      </c>
      <c r="Q66" s="80">
        <v>0</v>
      </c>
      <c r="R66" s="80">
        <v>0</v>
      </c>
      <c r="S66" s="80">
        <v>0</v>
      </c>
      <c r="T66" s="80">
        <f t="shared" si="9"/>
        <v>0</v>
      </c>
      <c r="U66" s="80">
        <v>0</v>
      </c>
      <c r="V66" s="80">
        <v>0</v>
      </c>
      <c r="W66" s="80">
        <v>1.8</v>
      </c>
      <c r="X66" s="80">
        <v>0</v>
      </c>
      <c r="Y66" s="80">
        <f t="shared" si="10"/>
        <v>1.8</v>
      </c>
      <c r="Z66" s="80">
        <v>0</v>
      </c>
      <c r="AA66" s="80">
        <v>0</v>
      </c>
      <c r="AB66" s="81">
        <f t="shared" si="11"/>
        <v>0</v>
      </c>
      <c r="AC66" s="79">
        <v>0</v>
      </c>
      <c r="AD66" s="80">
        <v>0</v>
      </c>
      <c r="AE66" s="80">
        <v>1</v>
      </c>
      <c r="AF66" s="81">
        <f t="shared" si="12"/>
        <v>1</v>
      </c>
      <c r="AG66" s="79">
        <v>0</v>
      </c>
      <c r="AH66" s="80">
        <v>0</v>
      </c>
      <c r="AI66" s="81">
        <f t="shared" si="13"/>
        <v>0</v>
      </c>
      <c r="AJ66" s="82">
        <f t="shared" si="0"/>
        <v>8.6499999999999986</v>
      </c>
    </row>
    <row r="67" spans="1:36">
      <c r="A67" s="38" t="s">
        <v>113</v>
      </c>
      <c r="B67" s="39" t="s">
        <v>114</v>
      </c>
      <c r="C67" s="78">
        <v>3</v>
      </c>
      <c r="D67" s="79">
        <v>0</v>
      </c>
      <c r="E67" s="80">
        <v>0.5</v>
      </c>
      <c r="F67" s="80">
        <v>0.5</v>
      </c>
      <c r="G67" s="80">
        <v>0</v>
      </c>
      <c r="H67" s="80">
        <v>0</v>
      </c>
      <c r="I67" s="80">
        <v>0</v>
      </c>
      <c r="J67" s="80">
        <v>0</v>
      </c>
      <c r="K67" s="80">
        <v>0.5</v>
      </c>
      <c r="L67" s="80">
        <v>0</v>
      </c>
      <c r="M67" s="80">
        <v>0.5</v>
      </c>
      <c r="N67" s="80">
        <v>0</v>
      </c>
      <c r="O67" s="80">
        <v>0</v>
      </c>
      <c r="P67" s="80">
        <f t="shared" si="8"/>
        <v>1</v>
      </c>
      <c r="Q67" s="80">
        <v>0</v>
      </c>
      <c r="R67" s="80">
        <v>0</v>
      </c>
      <c r="S67" s="80">
        <v>0</v>
      </c>
      <c r="T67" s="80">
        <f t="shared" si="9"/>
        <v>0</v>
      </c>
      <c r="U67" s="80">
        <v>0</v>
      </c>
      <c r="V67" s="80">
        <v>0</v>
      </c>
      <c r="W67" s="80">
        <v>0</v>
      </c>
      <c r="X67" s="80">
        <v>0</v>
      </c>
      <c r="Y67" s="80">
        <f t="shared" si="10"/>
        <v>0</v>
      </c>
      <c r="Z67" s="80">
        <v>0</v>
      </c>
      <c r="AA67" s="80">
        <v>0</v>
      </c>
      <c r="AB67" s="81">
        <f t="shared" si="11"/>
        <v>0</v>
      </c>
      <c r="AC67" s="79">
        <v>0</v>
      </c>
      <c r="AD67" s="80">
        <v>0</v>
      </c>
      <c r="AE67" s="80">
        <v>0</v>
      </c>
      <c r="AF67" s="81">
        <f t="shared" si="12"/>
        <v>0</v>
      </c>
      <c r="AG67" s="79">
        <v>0</v>
      </c>
      <c r="AH67" s="80">
        <v>0</v>
      </c>
      <c r="AI67" s="81">
        <f t="shared" si="13"/>
        <v>0</v>
      </c>
      <c r="AJ67" s="82">
        <f t="shared" si="0"/>
        <v>5</v>
      </c>
    </row>
    <row r="68" spans="1:36">
      <c r="A68" s="38" t="s">
        <v>115</v>
      </c>
      <c r="B68" s="39" t="s">
        <v>116</v>
      </c>
      <c r="C68" s="78">
        <v>0</v>
      </c>
      <c r="D68" s="79">
        <v>0</v>
      </c>
      <c r="E68" s="80">
        <v>0</v>
      </c>
      <c r="F68" s="80">
        <v>1</v>
      </c>
      <c r="G68" s="80">
        <v>0</v>
      </c>
      <c r="H68" s="80">
        <v>0</v>
      </c>
      <c r="I68" s="80">
        <v>0</v>
      </c>
      <c r="J68" s="80">
        <v>2.5</v>
      </c>
      <c r="K68" s="80">
        <v>0</v>
      </c>
      <c r="L68" s="80">
        <v>0</v>
      </c>
      <c r="M68" s="80">
        <v>0</v>
      </c>
      <c r="N68" s="80">
        <v>0</v>
      </c>
      <c r="O68" s="80">
        <v>0</v>
      </c>
      <c r="P68" s="80">
        <f t="shared" si="8"/>
        <v>0</v>
      </c>
      <c r="Q68" s="80">
        <v>0</v>
      </c>
      <c r="R68" s="80">
        <v>0</v>
      </c>
      <c r="S68" s="80">
        <v>0</v>
      </c>
      <c r="T68" s="80">
        <f t="shared" si="9"/>
        <v>0</v>
      </c>
      <c r="U68" s="80">
        <v>0</v>
      </c>
      <c r="V68" s="80">
        <v>0</v>
      </c>
      <c r="W68" s="80">
        <v>0</v>
      </c>
      <c r="X68" s="80">
        <v>0</v>
      </c>
      <c r="Y68" s="80">
        <f t="shared" si="10"/>
        <v>0</v>
      </c>
      <c r="Z68" s="80">
        <v>0</v>
      </c>
      <c r="AA68" s="80">
        <v>0</v>
      </c>
      <c r="AB68" s="81">
        <f t="shared" si="11"/>
        <v>0</v>
      </c>
      <c r="AC68" s="79">
        <v>0</v>
      </c>
      <c r="AD68" s="80">
        <v>0</v>
      </c>
      <c r="AE68" s="80">
        <v>0</v>
      </c>
      <c r="AF68" s="81">
        <f t="shared" si="12"/>
        <v>0</v>
      </c>
      <c r="AG68" s="79">
        <v>0</v>
      </c>
      <c r="AH68" s="80">
        <v>0</v>
      </c>
      <c r="AI68" s="81">
        <f t="shared" si="13"/>
        <v>0</v>
      </c>
      <c r="AJ68" s="82">
        <f t="shared" si="0"/>
        <v>3.5</v>
      </c>
    </row>
    <row r="69" spans="1:36">
      <c r="A69" s="38">
        <v>93</v>
      </c>
      <c r="B69" s="39" t="s">
        <v>117</v>
      </c>
      <c r="C69" s="78">
        <v>3.92</v>
      </c>
      <c r="D69" s="79">
        <v>0</v>
      </c>
      <c r="E69" s="80">
        <v>0</v>
      </c>
      <c r="F69" s="80">
        <v>0</v>
      </c>
      <c r="G69" s="80">
        <v>0</v>
      </c>
      <c r="H69" s="80">
        <v>0</v>
      </c>
      <c r="I69" s="80">
        <v>0</v>
      </c>
      <c r="J69" s="80">
        <v>0.9</v>
      </c>
      <c r="K69" s="80">
        <v>1</v>
      </c>
      <c r="L69" s="80">
        <v>0</v>
      </c>
      <c r="M69" s="80">
        <v>0</v>
      </c>
      <c r="N69" s="80">
        <v>0</v>
      </c>
      <c r="O69" s="80">
        <v>0</v>
      </c>
      <c r="P69" s="80">
        <f t="shared" si="8"/>
        <v>1</v>
      </c>
      <c r="Q69" s="80">
        <v>0</v>
      </c>
      <c r="R69" s="80">
        <v>0</v>
      </c>
      <c r="S69" s="80">
        <v>0</v>
      </c>
      <c r="T69" s="80">
        <f t="shared" si="9"/>
        <v>0</v>
      </c>
      <c r="U69" s="80">
        <v>0</v>
      </c>
      <c r="V69" s="80">
        <v>0</v>
      </c>
      <c r="W69" s="80">
        <v>0.02</v>
      </c>
      <c r="X69" s="80">
        <v>0</v>
      </c>
      <c r="Y69" s="80">
        <f t="shared" si="10"/>
        <v>0.02</v>
      </c>
      <c r="Z69" s="80">
        <v>0</v>
      </c>
      <c r="AA69" s="80">
        <v>0</v>
      </c>
      <c r="AB69" s="81">
        <f t="shared" si="11"/>
        <v>0</v>
      </c>
      <c r="AC69" s="79">
        <v>0</v>
      </c>
      <c r="AD69" s="80">
        <v>0</v>
      </c>
      <c r="AE69" s="80">
        <v>0</v>
      </c>
      <c r="AF69" s="81">
        <f t="shared" si="12"/>
        <v>0</v>
      </c>
      <c r="AG69" s="79">
        <v>0</v>
      </c>
      <c r="AH69" s="80">
        <v>0</v>
      </c>
      <c r="AI69" s="81">
        <f t="shared" si="13"/>
        <v>0</v>
      </c>
      <c r="AJ69" s="82">
        <f t="shared" si="0"/>
        <v>5.84</v>
      </c>
    </row>
    <row r="70" spans="1:36">
      <c r="A70" s="38" t="s">
        <v>118</v>
      </c>
      <c r="B70" s="39" t="s">
        <v>119</v>
      </c>
      <c r="C70" s="78">
        <v>19</v>
      </c>
      <c r="D70" s="79">
        <v>0</v>
      </c>
      <c r="E70" s="80">
        <v>0</v>
      </c>
      <c r="F70" s="80">
        <v>0</v>
      </c>
      <c r="G70" s="80">
        <v>0</v>
      </c>
      <c r="H70" s="80">
        <v>0</v>
      </c>
      <c r="I70" s="80">
        <v>0</v>
      </c>
      <c r="J70" s="80">
        <v>2.5</v>
      </c>
      <c r="K70" s="80">
        <v>0</v>
      </c>
      <c r="L70" s="80">
        <v>0</v>
      </c>
      <c r="M70" s="80">
        <v>0</v>
      </c>
      <c r="N70" s="80">
        <v>0</v>
      </c>
      <c r="O70" s="80">
        <v>0</v>
      </c>
      <c r="P70" s="80">
        <f t="shared" si="8"/>
        <v>0</v>
      </c>
      <c r="Q70" s="80">
        <v>0</v>
      </c>
      <c r="R70" s="80">
        <v>1</v>
      </c>
      <c r="S70" s="80">
        <v>2</v>
      </c>
      <c r="T70" s="80">
        <f t="shared" si="9"/>
        <v>3</v>
      </c>
      <c r="U70" s="80">
        <v>0</v>
      </c>
      <c r="V70" s="80">
        <v>0</v>
      </c>
      <c r="W70" s="80">
        <v>0</v>
      </c>
      <c r="X70" s="80">
        <v>0</v>
      </c>
      <c r="Y70" s="80">
        <f t="shared" si="10"/>
        <v>0</v>
      </c>
      <c r="Z70" s="80">
        <v>0</v>
      </c>
      <c r="AA70" s="80">
        <v>0</v>
      </c>
      <c r="AB70" s="81">
        <f t="shared" si="11"/>
        <v>0</v>
      </c>
      <c r="AC70" s="79">
        <v>1</v>
      </c>
      <c r="AD70" s="80">
        <v>0</v>
      </c>
      <c r="AE70" s="80">
        <v>1.5</v>
      </c>
      <c r="AF70" s="81">
        <f t="shared" si="12"/>
        <v>2.5</v>
      </c>
      <c r="AG70" s="79">
        <v>0</v>
      </c>
      <c r="AH70" s="80">
        <v>0</v>
      </c>
      <c r="AI70" s="81">
        <f t="shared" si="13"/>
        <v>0</v>
      </c>
      <c r="AJ70" s="82">
        <f t="shared" si="0"/>
        <v>27</v>
      </c>
    </row>
    <row r="71" spans="1:36">
      <c r="A71" s="38" t="s">
        <v>120</v>
      </c>
      <c r="B71" s="39" t="s">
        <v>121</v>
      </c>
      <c r="C71" s="78">
        <v>19.45</v>
      </c>
      <c r="D71" s="79">
        <v>0</v>
      </c>
      <c r="E71" s="80">
        <v>1</v>
      </c>
      <c r="F71" s="80">
        <v>0</v>
      </c>
      <c r="G71" s="80">
        <v>0</v>
      </c>
      <c r="H71" s="80">
        <v>4</v>
      </c>
      <c r="I71" s="80">
        <v>2</v>
      </c>
      <c r="J71" s="80">
        <v>0</v>
      </c>
      <c r="K71" s="80">
        <v>0</v>
      </c>
      <c r="L71" s="80">
        <v>1</v>
      </c>
      <c r="M71" s="80">
        <v>1</v>
      </c>
      <c r="N71" s="80">
        <v>1</v>
      </c>
      <c r="O71" s="80">
        <v>0</v>
      </c>
      <c r="P71" s="80">
        <f t="shared" si="8"/>
        <v>3</v>
      </c>
      <c r="Q71" s="80">
        <v>0</v>
      </c>
      <c r="R71" s="80">
        <v>0</v>
      </c>
      <c r="S71" s="80">
        <v>2.13</v>
      </c>
      <c r="T71" s="80">
        <f t="shared" si="9"/>
        <v>2.13</v>
      </c>
      <c r="U71" s="80">
        <v>0</v>
      </c>
      <c r="V71" s="80">
        <v>0</v>
      </c>
      <c r="W71" s="80">
        <v>0</v>
      </c>
      <c r="X71" s="80">
        <v>0</v>
      </c>
      <c r="Y71" s="80">
        <f t="shared" si="10"/>
        <v>0</v>
      </c>
      <c r="Z71" s="80">
        <v>0</v>
      </c>
      <c r="AA71" s="80">
        <v>0</v>
      </c>
      <c r="AB71" s="81">
        <f t="shared" si="11"/>
        <v>0</v>
      </c>
      <c r="AC71" s="79">
        <v>0</v>
      </c>
      <c r="AD71" s="80">
        <v>0</v>
      </c>
      <c r="AE71" s="80">
        <v>0</v>
      </c>
      <c r="AF71" s="81">
        <f t="shared" si="12"/>
        <v>0</v>
      </c>
      <c r="AG71" s="79">
        <v>0</v>
      </c>
      <c r="AH71" s="80">
        <v>0</v>
      </c>
      <c r="AI71" s="81">
        <f t="shared" si="13"/>
        <v>0</v>
      </c>
      <c r="AJ71" s="82">
        <f t="shared" ref="AJ71:AJ108" si="14">SUM(C71:J71)+P71+T71+Y71+AB71+AF71+AI71</f>
        <v>31.58</v>
      </c>
    </row>
    <row r="72" spans="1:36">
      <c r="A72" s="38" t="s">
        <v>122</v>
      </c>
      <c r="B72" s="39" t="s">
        <v>123</v>
      </c>
      <c r="C72" s="78">
        <v>1</v>
      </c>
      <c r="D72" s="79">
        <v>0</v>
      </c>
      <c r="E72" s="80">
        <v>0</v>
      </c>
      <c r="F72" s="80">
        <v>0</v>
      </c>
      <c r="G72" s="80">
        <v>0</v>
      </c>
      <c r="H72" s="80">
        <v>3</v>
      </c>
      <c r="I72" s="80">
        <v>0</v>
      </c>
      <c r="J72" s="80">
        <v>0</v>
      </c>
      <c r="K72" s="80">
        <v>1</v>
      </c>
      <c r="L72" s="80">
        <v>0</v>
      </c>
      <c r="M72" s="80">
        <v>0</v>
      </c>
      <c r="N72" s="80">
        <v>1</v>
      </c>
      <c r="O72" s="80">
        <v>0</v>
      </c>
      <c r="P72" s="80">
        <f t="shared" si="8"/>
        <v>2</v>
      </c>
      <c r="Q72" s="80">
        <v>0</v>
      </c>
      <c r="R72" s="80">
        <v>0</v>
      </c>
      <c r="S72" s="80">
        <v>0</v>
      </c>
      <c r="T72" s="80">
        <f t="shared" si="9"/>
        <v>0</v>
      </c>
      <c r="U72" s="80">
        <v>0</v>
      </c>
      <c r="V72" s="80">
        <v>0</v>
      </c>
      <c r="W72" s="80">
        <v>0</v>
      </c>
      <c r="X72" s="80">
        <v>0</v>
      </c>
      <c r="Y72" s="80">
        <f t="shared" si="10"/>
        <v>0</v>
      </c>
      <c r="Z72" s="80">
        <v>0</v>
      </c>
      <c r="AA72" s="80">
        <v>0</v>
      </c>
      <c r="AB72" s="81">
        <f t="shared" si="11"/>
        <v>0</v>
      </c>
      <c r="AC72" s="79">
        <v>0</v>
      </c>
      <c r="AD72" s="80">
        <v>0</v>
      </c>
      <c r="AE72" s="80">
        <v>0</v>
      </c>
      <c r="AF72" s="81">
        <f t="shared" si="12"/>
        <v>0</v>
      </c>
      <c r="AG72" s="79">
        <v>0</v>
      </c>
      <c r="AH72" s="80">
        <v>0</v>
      </c>
      <c r="AI72" s="81">
        <f t="shared" si="13"/>
        <v>0</v>
      </c>
      <c r="AJ72" s="82">
        <f t="shared" si="14"/>
        <v>6</v>
      </c>
    </row>
    <row r="73" spans="1:36">
      <c r="A73" s="38" t="s">
        <v>124</v>
      </c>
      <c r="B73" s="39" t="s">
        <v>125</v>
      </c>
      <c r="C73" s="78">
        <v>22.5</v>
      </c>
      <c r="D73" s="79">
        <v>0</v>
      </c>
      <c r="E73" s="80">
        <v>0</v>
      </c>
      <c r="F73" s="80">
        <v>0</v>
      </c>
      <c r="G73" s="80">
        <v>1</v>
      </c>
      <c r="H73" s="80">
        <v>1</v>
      </c>
      <c r="I73" s="80">
        <v>0.1</v>
      </c>
      <c r="J73" s="80">
        <v>1.9</v>
      </c>
      <c r="K73" s="80">
        <v>1</v>
      </c>
      <c r="L73" s="80">
        <v>0</v>
      </c>
      <c r="M73" s="80">
        <v>1</v>
      </c>
      <c r="N73" s="80">
        <v>0</v>
      </c>
      <c r="O73" s="80">
        <v>0.5</v>
      </c>
      <c r="P73" s="80">
        <f t="shared" si="8"/>
        <v>2.5</v>
      </c>
      <c r="Q73" s="80">
        <v>0</v>
      </c>
      <c r="R73" s="80">
        <v>0</v>
      </c>
      <c r="S73" s="80">
        <v>0</v>
      </c>
      <c r="T73" s="80">
        <f t="shared" si="9"/>
        <v>0</v>
      </c>
      <c r="U73" s="80">
        <v>0</v>
      </c>
      <c r="V73" s="80">
        <v>0</v>
      </c>
      <c r="W73" s="80">
        <v>0</v>
      </c>
      <c r="X73" s="80">
        <v>0</v>
      </c>
      <c r="Y73" s="80">
        <f t="shared" si="10"/>
        <v>0</v>
      </c>
      <c r="Z73" s="80">
        <v>0</v>
      </c>
      <c r="AA73" s="80">
        <v>0</v>
      </c>
      <c r="AB73" s="81">
        <f t="shared" si="11"/>
        <v>0</v>
      </c>
      <c r="AC73" s="79">
        <v>0</v>
      </c>
      <c r="AD73" s="80">
        <v>0</v>
      </c>
      <c r="AE73" s="80">
        <v>0</v>
      </c>
      <c r="AF73" s="81">
        <f t="shared" si="12"/>
        <v>0</v>
      </c>
      <c r="AG73" s="79">
        <v>0</v>
      </c>
      <c r="AH73" s="80">
        <v>0</v>
      </c>
      <c r="AI73" s="81">
        <f t="shared" si="13"/>
        <v>0</v>
      </c>
      <c r="AJ73" s="82">
        <f t="shared" si="14"/>
        <v>29</v>
      </c>
    </row>
    <row r="74" spans="1:36">
      <c r="A74" s="38" t="s">
        <v>126</v>
      </c>
      <c r="B74" s="39" t="s">
        <v>127</v>
      </c>
      <c r="C74" s="78">
        <v>3.78</v>
      </c>
      <c r="D74" s="79">
        <v>0</v>
      </c>
      <c r="E74" s="80">
        <v>0.51</v>
      </c>
      <c r="F74" s="80">
        <v>0.5</v>
      </c>
      <c r="G74" s="80">
        <v>0</v>
      </c>
      <c r="H74" s="80">
        <v>1</v>
      </c>
      <c r="I74" s="80">
        <v>0</v>
      </c>
      <c r="J74" s="80">
        <v>0.51</v>
      </c>
      <c r="K74" s="80">
        <v>0</v>
      </c>
      <c r="L74" s="80">
        <v>0</v>
      </c>
      <c r="M74" s="80">
        <v>0.34</v>
      </c>
      <c r="N74" s="80">
        <v>0</v>
      </c>
      <c r="O74" s="80">
        <v>0</v>
      </c>
      <c r="P74" s="80">
        <f t="shared" si="8"/>
        <v>0.34</v>
      </c>
      <c r="Q74" s="80">
        <v>0</v>
      </c>
      <c r="R74" s="80">
        <v>0</v>
      </c>
      <c r="S74" s="80">
        <v>0</v>
      </c>
      <c r="T74" s="80">
        <f t="shared" si="9"/>
        <v>0</v>
      </c>
      <c r="U74" s="80">
        <v>0</v>
      </c>
      <c r="V74" s="80">
        <v>0</v>
      </c>
      <c r="W74" s="80">
        <v>0</v>
      </c>
      <c r="X74" s="80">
        <v>0</v>
      </c>
      <c r="Y74" s="80">
        <f t="shared" si="10"/>
        <v>0</v>
      </c>
      <c r="Z74" s="80">
        <v>0</v>
      </c>
      <c r="AA74" s="80">
        <v>0.06</v>
      </c>
      <c r="AB74" s="81">
        <f t="shared" si="11"/>
        <v>0.06</v>
      </c>
      <c r="AC74" s="79">
        <v>0</v>
      </c>
      <c r="AD74" s="80">
        <v>0</v>
      </c>
      <c r="AE74" s="80">
        <v>0</v>
      </c>
      <c r="AF74" s="81">
        <f t="shared" si="12"/>
        <v>0</v>
      </c>
      <c r="AG74" s="79">
        <v>0</v>
      </c>
      <c r="AH74" s="80">
        <v>0</v>
      </c>
      <c r="AI74" s="81">
        <f t="shared" si="13"/>
        <v>0</v>
      </c>
      <c r="AJ74" s="82">
        <f t="shared" si="14"/>
        <v>6.6999999999999993</v>
      </c>
    </row>
    <row r="75" spans="1:36">
      <c r="A75" s="38" t="s">
        <v>128</v>
      </c>
      <c r="B75" s="39" t="s">
        <v>129</v>
      </c>
      <c r="C75" s="78">
        <v>1.81</v>
      </c>
      <c r="D75" s="79">
        <v>0</v>
      </c>
      <c r="E75" s="80">
        <v>0</v>
      </c>
      <c r="F75" s="80">
        <v>0</v>
      </c>
      <c r="G75" s="80">
        <v>0</v>
      </c>
      <c r="H75" s="80">
        <v>1</v>
      </c>
      <c r="I75" s="80">
        <v>0.74</v>
      </c>
      <c r="J75" s="80">
        <v>0</v>
      </c>
      <c r="K75" s="80">
        <v>0</v>
      </c>
      <c r="L75" s="80">
        <v>0</v>
      </c>
      <c r="M75" s="80">
        <v>0.24</v>
      </c>
      <c r="N75" s="80">
        <v>0</v>
      </c>
      <c r="O75" s="80">
        <v>0</v>
      </c>
      <c r="P75" s="80">
        <f t="shared" si="8"/>
        <v>0.24</v>
      </c>
      <c r="Q75" s="80">
        <v>0</v>
      </c>
      <c r="R75" s="80">
        <v>0</v>
      </c>
      <c r="S75" s="80">
        <v>0</v>
      </c>
      <c r="T75" s="80">
        <f t="shared" si="9"/>
        <v>0</v>
      </c>
      <c r="U75" s="80">
        <v>0</v>
      </c>
      <c r="V75" s="80">
        <v>0</v>
      </c>
      <c r="W75" s="80">
        <v>0</v>
      </c>
      <c r="X75" s="80">
        <v>0</v>
      </c>
      <c r="Y75" s="80">
        <f t="shared" si="10"/>
        <v>0</v>
      </c>
      <c r="Z75" s="80">
        <v>0</v>
      </c>
      <c r="AA75" s="80">
        <v>0</v>
      </c>
      <c r="AB75" s="81">
        <f t="shared" si="11"/>
        <v>0</v>
      </c>
      <c r="AC75" s="79">
        <v>0</v>
      </c>
      <c r="AD75" s="80">
        <v>0</v>
      </c>
      <c r="AE75" s="80">
        <v>0.39</v>
      </c>
      <c r="AF75" s="81">
        <f t="shared" si="12"/>
        <v>0.39</v>
      </c>
      <c r="AG75" s="79">
        <v>0</v>
      </c>
      <c r="AH75" s="80">
        <v>0</v>
      </c>
      <c r="AI75" s="81">
        <f t="shared" si="13"/>
        <v>0</v>
      </c>
      <c r="AJ75" s="82">
        <f t="shared" si="14"/>
        <v>4.18</v>
      </c>
    </row>
    <row r="76" spans="1:36">
      <c r="A76" s="38" t="s">
        <v>130</v>
      </c>
      <c r="B76" s="39" t="s">
        <v>131</v>
      </c>
      <c r="C76" s="78">
        <v>4.21</v>
      </c>
      <c r="D76" s="79">
        <v>0</v>
      </c>
      <c r="E76" s="80">
        <v>0</v>
      </c>
      <c r="F76" s="80">
        <v>0</v>
      </c>
      <c r="G76" s="80">
        <v>1.2</v>
      </c>
      <c r="H76" s="80">
        <v>0</v>
      </c>
      <c r="I76" s="80">
        <v>0</v>
      </c>
      <c r="J76" s="80">
        <v>0.38</v>
      </c>
      <c r="K76" s="80">
        <v>0.95</v>
      </c>
      <c r="L76" s="80">
        <v>0</v>
      </c>
      <c r="M76" s="80">
        <v>0.41</v>
      </c>
      <c r="N76" s="80">
        <v>1.4</v>
      </c>
      <c r="O76" s="80">
        <v>0</v>
      </c>
      <c r="P76" s="80">
        <f t="shared" si="8"/>
        <v>2.76</v>
      </c>
      <c r="Q76" s="80">
        <v>0.2</v>
      </c>
      <c r="R76" s="80">
        <v>0.2</v>
      </c>
      <c r="S76" s="80">
        <v>2.06</v>
      </c>
      <c r="T76" s="80">
        <f t="shared" si="9"/>
        <v>2.46</v>
      </c>
      <c r="U76" s="80">
        <v>0</v>
      </c>
      <c r="V76" s="80">
        <v>0</v>
      </c>
      <c r="W76" s="80">
        <v>0</v>
      </c>
      <c r="X76" s="80">
        <v>0</v>
      </c>
      <c r="Y76" s="80">
        <f t="shared" si="10"/>
        <v>0</v>
      </c>
      <c r="Z76" s="80">
        <v>0</v>
      </c>
      <c r="AA76" s="80">
        <v>0</v>
      </c>
      <c r="AB76" s="81">
        <f t="shared" si="11"/>
        <v>0</v>
      </c>
      <c r="AC76" s="79">
        <v>1.25</v>
      </c>
      <c r="AD76" s="80">
        <v>0.2</v>
      </c>
      <c r="AE76" s="80">
        <v>2.94</v>
      </c>
      <c r="AF76" s="81">
        <f t="shared" si="12"/>
        <v>4.3899999999999997</v>
      </c>
      <c r="AG76" s="79">
        <v>0</v>
      </c>
      <c r="AH76" s="80">
        <v>0</v>
      </c>
      <c r="AI76" s="81">
        <f t="shared" si="13"/>
        <v>0</v>
      </c>
      <c r="AJ76" s="82">
        <f t="shared" si="14"/>
        <v>15.400000000000002</v>
      </c>
    </row>
    <row r="77" spans="1:36">
      <c r="A77" s="38" t="s">
        <v>132</v>
      </c>
      <c r="B77" s="39" t="s">
        <v>133</v>
      </c>
      <c r="C77" s="78">
        <v>23.5</v>
      </c>
      <c r="D77" s="79">
        <v>1</v>
      </c>
      <c r="E77" s="80">
        <v>0</v>
      </c>
      <c r="F77" s="80">
        <v>0</v>
      </c>
      <c r="G77" s="80">
        <v>0.25</v>
      </c>
      <c r="H77" s="80">
        <v>0</v>
      </c>
      <c r="I77" s="80">
        <v>1</v>
      </c>
      <c r="J77" s="80">
        <v>2</v>
      </c>
      <c r="K77" s="80">
        <v>1</v>
      </c>
      <c r="L77" s="80">
        <v>0</v>
      </c>
      <c r="M77" s="80">
        <v>0</v>
      </c>
      <c r="N77" s="80">
        <v>0</v>
      </c>
      <c r="O77" s="80">
        <v>0</v>
      </c>
      <c r="P77" s="80">
        <f t="shared" si="8"/>
        <v>1</v>
      </c>
      <c r="Q77" s="80">
        <v>0</v>
      </c>
      <c r="R77" s="80">
        <v>0</v>
      </c>
      <c r="S77" s="80">
        <v>1.4</v>
      </c>
      <c r="T77" s="80">
        <f t="shared" si="9"/>
        <v>1.4</v>
      </c>
      <c r="U77" s="80">
        <v>0</v>
      </c>
      <c r="V77" s="80">
        <v>0</v>
      </c>
      <c r="W77" s="80">
        <v>0</v>
      </c>
      <c r="X77" s="80">
        <v>0</v>
      </c>
      <c r="Y77" s="80">
        <f t="shared" si="10"/>
        <v>0</v>
      </c>
      <c r="Z77" s="80">
        <v>0</v>
      </c>
      <c r="AA77" s="80">
        <v>0</v>
      </c>
      <c r="AB77" s="81">
        <f t="shared" si="11"/>
        <v>0</v>
      </c>
      <c r="AC77" s="79">
        <v>0</v>
      </c>
      <c r="AD77" s="80">
        <v>0</v>
      </c>
      <c r="AE77" s="80">
        <v>0</v>
      </c>
      <c r="AF77" s="81">
        <f t="shared" si="12"/>
        <v>0</v>
      </c>
      <c r="AG77" s="79">
        <v>0</v>
      </c>
      <c r="AH77" s="80">
        <v>0</v>
      </c>
      <c r="AI77" s="81">
        <f t="shared" si="13"/>
        <v>0</v>
      </c>
      <c r="AJ77" s="82">
        <f t="shared" si="14"/>
        <v>30.15</v>
      </c>
    </row>
    <row r="78" spans="1:36">
      <c r="A78" s="38" t="s">
        <v>134</v>
      </c>
      <c r="B78" s="39" t="s">
        <v>135</v>
      </c>
      <c r="C78" s="78">
        <v>11.22</v>
      </c>
      <c r="D78" s="79">
        <v>2.85</v>
      </c>
      <c r="E78" s="80">
        <v>0</v>
      </c>
      <c r="F78" s="80">
        <v>0</v>
      </c>
      <c r="G78" s="80">
        <v>0</v>
      </c>
      <c r="H78" s="80">
        <v>1</v>
      </c>
      <c r="I78" s="80">
        <v>0</v>
      </c>
      <c r="J78" s="80">
        <v>2.65</v>
      </c>
      <c r="K78" s="80">
        <v>0</v>
      </c>
      <c r="L78" s="80">
        <v>0</v>
      </c>
      <c r="M78" s="80">
        <v>0</v>
      </c>
      <c r="N78" s="80">
        <v>0</v>
      </c>
      <c r="O78" s="80">
        <v>0</v>
      </c>
      <c r="P78" s="80">
        <f t="shared" si="8"/>
        <v>0</v>
      </c>
      <c r="Q78" s="80">
        <v>0</v>
      </c>
      <c r="R78" s="80">
        <v>0</v>
      </c>
      <c r="S78" s="80">
        <v>1.5</v>
      </c>
      <c r="T78" s="80">
        <f t="shared" si="9"/>
        <v>1.5</v>
      </c>
      <c r="U78" s="80">
        <v>0</v>
      </c>
      <c r="V78" s="80">
        <v>0</v>
      </c>
      <c r="W78" s="80">
        <v>0</v>
      </c>
      <c r="X78" s="80">
        <v>0</v>
      </c>
      <c r="Y78" s="80">
        <f t="shared" si="10"/>
        <v>0</v>
      </c>
      <c r="Z78" s="80">
        <v>0</v>
      </c>
      <c r="AA78" s="80">
        <v>0</v>
      </c>
      <c r="AB78" s="81">
        <f t="shared" si="11"/>
        <v>0</v>
      </c>
      <c r="AC78" s="79">
        <v>0</v>
      </c>
      <c r="AD78" s="80">
        <v>0</v>
      </c>
      <c r="AE78" s="80">
        <v>0</v>
      </c>
      <c r="AF78" s="81">
        <f t="shared" si="12"/>
        <v>0</v>
      </c>
      <c r="AG78" s="79">
        <v>0</v>
      </c>
      <c r="AH78" s="80">
        <v>0</v>
      </c>
      <c r="AI78" s="81">
        <f t="shared" si="13"/>
        <v>0</v>
      </c>
      <c r="AJ78" s="82">
        <f t="shared" si="14"/>
        <v>19.22</v>
      </c>
    </row>
    <row r="79" spans="1:36">
      <c r="A79" s="38" t="s">
        <v>136</v>
      </c>
      <c r="B79" s="39" t="s">
        <v>137</v>
      </c>
      <c r="C79" s="78">
        <v>8</v>
      </c>
      <c r="D79" s="79">
        <v>0</v>
      </c>
      <c r="E79" s="80">
        <v>0</v>
      </c>
      <c r="F79" s="80">
        <v>0</v>
      </c>
      <c r="G79" s="80">
        <v>2.0499999999999998</v>
      </c>
      <c r="H79" s="80">
        <v>0</v>
      </c>
      <c r="I79" s="80">
        <v>0</v>
      </c>
      <c r="J79" s="80">
        <v>3</v>
      </c>
      <c r="K79" s="80">
        <v>0</v>
      </c>
      <c r="L79" s="80">
        <v>0</v>
      </c>
      <c r="M79" s="80">
        <v>1</v>
      </c>
      <c r="N79" s="80">
        <v>0</v>
      </c>
      <c r="O79" s="80">
        <v>1</v>
      </c>
      <c r="P79" s="80">
        <f t="shared" si="8"/>
        <v>2</v>
      </c>
      <c r="Q79" s="80">
        <v>0</v>
      </c>
      <c r="R79" s="80">
        <v>0</v>
      </c>
      <c r="S79" s="80">
        <v>0</v>
      </c>
      <c r="T79" s="80">
        <f t="shared" si="9"/>
        <v>0</v>
      </c>
      <c r="U79" s="80">
        <v>0</v>
      </c>
      <c r="V79" s="80">
        <v>0</v>
      </c>
      <c r="W79" s="80">
        <v>0</v>
      </c>
      <c r="X79" s="80">
        <v>0</v>
      </c>
      <c r="Y79" s="80">
        <f t="shared" si="10"/>
        <v>0</v>
      </c>
      <c r="Z79" s="80">
        <v>0</v>
      </c>
      <c r="AA79" s="80">
        <v>0</v>
      </c>
      <c r="AB79" s="81">
        <f t="shared" si="11"/>
        <v>0</v>
      </c>
      <c r="AC79" s="79">
        <v>0</v>
      </c>
      <c r="AD79" s="80">
        <v>0</v>
      </c>
      <c r="AE79" s="80">
        <v>0</v>
      </c>
      <c r="AF79" s="81">
        <f t="shared" si="12"/>
        <v>0</v>
      </c>
      <c r="AG79" s="79">
        <v>0</v>
      </c>
      <c r="AH79" s="80">
        <v>0</v>
      </c>
      <c r="AI79" s="81">
        <f t="shared" si="13"/>
        <v>0</v>
      </c>
      <c r="AJ79" s="82">
        <f t="shared" si="14"/>
        <v>15.05</v>
      </c>
    </row>
    <row r="80" spans="1:36">
      <c r="A80" s="38" t="s">
        <v>138</v>
      </c>
      <c r="B80" s="39" t="s">
        <v>139</v>
      </c>
      <c r="C80" s="78">
        <v>7.6</v>
      </c>
      <c r="D80" s="79">
        <v>0</v>
      </c>
      <c r="E80" s="80">
        <v>0</v>
      </c>
      <c r="F80" s="80">
        <v>0</v>
      </c>
      <c r="G80" s="80">
        <v>0.47</v>
      </c>
      <c r="H80" s="80">
        <v>0</v>
      </c>
      <c r="I80" s="80">
        <v>0</v>
      </c>
      <c r="J80" s="80">
        <v>3.08</v>
      </c>
      <c r="K80" s="80">
        <v>0</v>
      </c>
      <c r="L80" s="80">
        <v>0</v>
      </c>
      <c r="M80" s="80">
        <v>0</v>
      </c>
      <c r="N80" s="80">
        <v>0</v>
      </c>
      <c r="O80" s="80">
        <v>0</v>
      </c>
      <c r="P80" s="80">
        <f t="shared" si="8"/>
        <v>0</v>
      </c>
      <c r="Q80" s="80">
        <v>0</v>
      </c>
      <c r="R80" s="80">
        <v>0</v>
      </c>
      <c r="S80" s="80">
        <v>0.82</v>
      </c>
      <c r="T80" s="80">
        <f t="shared" si="9"/>
        <v>0.82</v>
      </c>
      <c r="U80" s="80">
        <v>0</v>
      </c>
      <c r="V80" s="80">
        <v>0</v>
      </c>
      <c r="W80" s="80">
        <v>0</v>
      </c>
      <c r="X80" s="80">
        <v>0</v>
      </c>
      <c r="Y80" s="80">
        <f t="shared" si="10"/>
        <v>0</v>
      </c>
      <c r="Z80" s="80">
        <v>0</v>
      </c>
      <c r="AA80" s="80">
        <v>1.22</v>
      </c>
      <c r="AB80" s="81">
        <f t="shared" si="11"/>
        <v>1.22</v>
      </c>
      <c r="AC80" s="79">
        <v>1</v>
      </c>
      <c r="AD80" s="80">
        <v>0</v>
      </c>
      <c r="AE80" s="80">
        <v>0.9</v>
      </c>
      <c r="AF80" s="81">
        <f t="shared" si="12"/>
        <v>1.9</v>
      </c>
      <c r="AG80" s="79">
        <v>0</v>
      </c>
      <c r="AH80" s="80">
        <v>0</v>
      </c>
      <c r="AI80" s="81">
        <f t="shared" si="13"/>
        <v>0</v>
      </c>
      <c r="AJ80" s="82">
        <f t="shared" si="14"/>
        <v>15.090000000000002</v>
      </c>
    </row>
    <row r="81" spans="1:36">
      <c r="A81" s="38" t="s">
        <v>140</v>
      </c>
      <c r="B81" s="39" t="s">
        <v>141</v>
      </c>
      <c r="C81" s="78">
        <v>13.66</v>
      </c>
      <c r="D81" s="79">
        <v>0</v>
      </c>
      <c r="E81" s="80">
        <v>0</v>
      </c>
      <c r="F81" s="80">
        <v>0</v>
      </c>
      <c r="G81" s="80">
        <v>0</v>
      </c>
      <c r="H81" s="80">
        <v>0</v>
      </c>
      <c r="I81" s="80">
        <v>0</v>
      </c>
      <c r="J81" s="80">
        <v>2.25</v>
      </c>
      <c r="K81" s="80">
        <v>0</v>
      </c>
      <c r="L81" s="80">
        <v>0</v>
      </c>
      <c r="M81" s="80">
        <v>0</v>
      </c>
      <c r="N81" s="80">
        <v>0</v>
      </c>
      <c r="O81" s="80">
        <v>0</v>
      </c>
      <c r="P81" s="80">
        <f t="shared" si="8"/>
        <v>0</v>
      </c>
      <c r="Q81" s="80">
        <v>0</v>
      </c>
      <c r="R81" s="80">
        <v>1.08</v>
      </c>
      <c r="S81" s="80">
        <v>0.68</v>
      </c>
      <c r="T81" s="80">
        <f t="shared" si="9"/>
        <v>1.7600000000000002</v>
      </c>
      <c r="U81" s="80">
        <v>0</v>
      </c>
      <c r="V81" s="80">
        <v>0</v>
      </c>
      <c r="W81" s="80">
        <v>0</v>
      </c>
      <c r="X81" s="80">
        <v>0</v>
      </c>
      <c r="Y81" s="80">
        <f t="shared" si="10"/>
        <v>0</v>
      </c>
      <c r="Z81" s="80">
        <v>0</v>
      </c>
      <c r="AA81" s="80">
        <v>0</v>
      </c>
      <c r="AB81" s="81">
        <f t="shared" si="11"/>
        <v>0</v>
      </c>
      <c r="AC81" s="79">
        <v>0.83</v>
      </c>
      <c r="AD81" s="80">
        <v>0</v>
      </c>
      <c r="AE81" s="80">
        <v>0.63</v>
      </c>
      <c r="AF81" s="81">
        <f t="shared" si="12"/>
        <v>1.46</v>
      </c>
      <c r="AG81" s="79">
        <v>0</v>
      </c>
      <c r="AH81" s="80">
        <v>0</v>
      </c>
      <c r="AI81" s="81">
        <f t="shared" si="13"/>
        <v>0</v>
      </c>
      <c r="AJ81" s="82">
        <f t="shared" si="14"/>
        <v>19.130000000000003</v>
      </c>
    </row>
    <row r="82" spans="1:36">
      <c r="A82" s="38" t="s">
        <v>142</v>
      </c>
      <c r="B82" s="39" t="s">
        <v>143</v>
      </c>
      <c r="C82" s="78">
        <v>1</v>
      </c>
      <c r="D82" s="79">
        <v>0</v>
      </c>
      <c r="E82" s="80">
        <v>0</v>
      </c>
      <c r="F82" s="80">
        <v>0</v>
      </c>
      <c r="G82" s="80">
        <v>0</v>
      </c>
      <c r="H82" s="80">
        <v>0</v>
      </c>
      <c r="I82" s="80">
        <v>1</v>
      </c>
      <c r="J82" s="80">
        <v>0</v>
      </c>
      <c r="K82" s="80">
        <v>0</v>
      </c>
      <c r="L82" s="80">
        <v>0</v>
      </c>
      <c r="M82" s="80">
        <v>0</v>
      </c>
      <c r="N82" s="80">
        <v>0</v>
      </c>
      <c r="O82" s="80">
        <v>0</v>
      </c>
      <c r="P82" s="80">
        <f t="shared" si="8"/>
        <v>0</v>
      </c>
      <c r="Q82" s="80">
        <v>0</v>
      </c>
      <c r="R82" s="80">
        <v>0</v>
      </c>
      <c r="S82" s="80">
        <v>0.25</v>
      </c>
      <c r="T82" s="80">
        <f t="shared" si="9"/>
        <v>0.25</v>
      </c>
      <c r="U82" s="80">
        <v>0</v>
      </c>
      <c r="V82" s="80">
        <v>0</v>
      </c>
      <c r="W82" s="80">
        <v>2.7</v>
      </c>
      <c r="X82" s="80">
        <v>0</v>
      </c>
      <c r="Y82" s="80">
        <f t="shared" si="10"/>
        <v>2.7</v>
      </c>
      <c r="Z82" s="80">
        <v>0</v>
      </c>
      <c r="AA82" s="80">
        <v>0</v>
      </c>
      <c r="AB82" s="81">
        <f t="shared" si="11"/>
        <v>0</v>
      </c>
      <c r="AC82" s="79">
        <v>0</v>
      </c>
      <c r="AD82" s="80">
        <v>0</v>
      </c>
      <c r="AE82" s="80">
        <v>0</v>
      </c>
      <c r="AF82" s="81">
        <f t="shared" si="12"/>
        <v>0</v>
      </c>
      <c r="AG82" s="79">
        <v>0</v>
      </c>
      <c r="AH82" s="80">
        <v>0</v>
      </c>
      <c r="AI82" s="81">
        <f t="shared" si="13"/>
        <v>0</v>
      </c>
      <c r="AJ82" s="82">
        <f t="shared" si="14"/>
        <v>4.95</v>
      </c>
    </row>
    <row r="83" spans="1:36">
      <c r="A83" s="38" t="s">
        <v>144</v>
      </c>
      <c r="B83" s="39" t="s">
        <v>145</v>
      </c>
      <c r="C83" s="78">
        <v>13.17</v>
      </c>
      <c r="D83" s="79">
        <v>0.48</v>
      </c>
      <c r="E83" s="80">
        <v>0</v>
      </c>
      <c r="F83" s="80">
        <v>0</v>
      </c>
      <c r="G83" s="80">
        <v>0.5</v>
      </c>
      <c r="H83" s="80">
        <v>0</v>
      </c>
      <c r="I83" s="80">
        <v>0</v>
      </c>
      <c r="J83" s="80">
        <v>2.13</v>
      </c>
      <c r="K83" s="80">
        <v>1</v>
      </c>
      <c r="L83" s="80">
        <v>0</v>
      </c>
      <c r="M83" s="80">
        <v>0</v>
      </c>
      <c r="N83" s="80">
        <v>0</v>
      </c>
      <c r="O83" s="80">
        <v>0</v>
      </c>
      <c r="P83" s="80">
        <f t="shared" si="8"/>
        <v>1</v>
      </c>
      <c r="Q83" s="80">
        <v>0</v>
      </c>
      <c r="R83" s="80">
        <v>0</v>
      </c>
      <c r="S83" s="80">
        <v>1.64</v>
      </c>
      <c r="T83" s="80">
        <f t="shared" si="9"/>
        <v>1.64</v>
      </c>
      <c r="U83" s="80">
        <v>0</v>
      </c>
      <c r="V83" s="80">
        <v>0</v>
      </c>
      <c r="W83" s="80">
        <v>0</v>
      </c>
      <c r="X83" s="80">
        <v>0</v>
      </c>
      <c r="Y83" s="80">
        <f t="shared" si="10"/>
        <v>0</v>
      </c>
      <c r="Z83" s="80">
        <v>0</v>
      </c>
      <c r="AA83" s="80">
        <v>0</v>
      </c>
      <c r="AB83" s="81">
        <f t="shared" si="11"/>
        <v>0</v>
      </c>
      <c r="AC83" s="79">
        <v>0</v>
      </c>
      <c r="AD83" s="80">
        <v>0</v>
      </c>
      <c r="AE83" s="80">
        <v>0</v>
      </c>
      <c r="AF83" s="81">
        <f t="shared" si="12"/>
        <v>0</v>
      </c>
      <c r="AG83" s="79">
        <v>0</v>
      </c>
      <c r="AH83" s="80">
        <v>0</v>
      </c>
      <c r="AI83" s="81">
        <f t="shared" si="13"/>
        <v>0</v>
      </c>
      <c r="AJ83" s="82">
        <f t="shared" si="14"/>
        <v>18.920000000000002</v>
      </c>
    </row>
    <row r="84" spans="1:36">
      <c r="A84" s="38">
        <v>68</v>
      </c>
      <c r="B84" s="39" t="s">
        <v>146</v>
      </c>
      <c r="C84" s="78">
        <v>9.3699999999999992</v>
      </c>
      <c r="D84" s="79">
        <v>0</v>
      </c>
      <c r="E84" s="80">
        <v>0</v>
      </c>
      <c r="F84" s="80">
        <v>0</v>
      </c>
      <c r="G84" s="80">
        <v>1.08</v>
      </c>
      <c r="H84" s="80">
        <v>0</v>
      </c>
      <c r="I84" s="80">
        <v>0</v>
      </c>
      <c r="J84" s="80">
        <v>2.91</v>
      </c>
      <c r="K84" s="80">
        <v>0</v>
      </c>
      <c r="L84" s="80">
        <v>0</v>
      </c>
      <c r="M84" s="80">
        <v>0</v>
      </c>
      <c r="N84" s="80">
        <v>0</v>
      </c>
      <c r="O84" s="80">
        <v>0</v>
      </c>
      <c r="P84" s="80">
        <f t="shared" si="8"/>
        <v>0</v>
      </c>
      <c r="Q84" s="80">
        <v>0</v>
      </c>
      <c r="R84" s="80">
        <v>0</v>
      </c>
      <c r="S84" s="80">
        <v>0</v>
      </c>
      <c r="T84" s="80">
        <f t="shared" si="9"/>
        <v>0</v>
      </c>
      <c r="U84" s="80">
        <v>0</v>
      </c>
      <c r="V84" s="80">
        <v>0</v>
      </c>
      <c r="W84" s="80">
        <v>0</v>
      </c>
      <c r="X84" s="80">
        <v>0</v>
      </c>
      <c r="Y84" s="80">
        <f t="shared" si="10"/>
        <v>0</v>
      </c>
      <c r="Z84" s="80">
        <v>0</v>
      </c>
      <c r="AA84" s="80">
        <v>0</v>
      </c>
      <c r="AB84" s="81">
        <f t="shared" si="11"/>
        <v>0</v>
      </c>
      <c r="AC84" s="79">
        <v>1</v>
      </c>
      <c r="AD84" s="80">
        <v>0</v>
      </c>
      <c r="AE84" s="80">
        <v>1.73</v>
      </c>
      <c r="AF84" s="81">
        <f t="shared" si="12"/>
        <v>2.73</v>
      </c>
      <c r="AG84" s="79">
        <v>0</v>
      </c>
      <c r="AH84" s="80">
        <v>0</v>
      </c>
      <c r="AI84" s="81">
        <f t="shared" si="13"/>
        <v>0</v>
      </c>
      <c r="AJ84" s="82">
        <f t="shared" si="14"/>
        <v>16.09</v>
      </c>
    </row>
    <row r="85" spans="1:36">
      <c r="A85" s="38" t="s">
        <v>147</v>
      </c>
      <c r="B85" s="39" t="s">
        <v>148</v>
      </c>
      <c r="C85" s="78">
        <v>0.82</v>
      </c>
      <c r="D85" s="79">
        <v>0</v>
      </c>
      <c r="E85" s="80">
        <v>0</v>
      </c>
      <c r="F85" s="80">
        <v>0</v>
      </c>
      <c r="G85" s="80">
        <v>0</v>
      </c>
      <c r="H85" s="80">
        <v>0</v>
      </c>
      <c r="I85" s="80">
        <v>0</v>
      </c>
      <c r="J85" s="80">
        <v>4.7300000000000004</v>
      </c>
      <c r="K85" s="80">
        <v>0</v>
      </c>
      <c r="L85" s="80">
        <v>0</v>
      </c>
      <c r="M85" s="80">
        <v>0</v>
      </c>
      <c r="N85" s="80">
        <v>0</v>
      </c>
      <c r="O85" s="80">
        <v>0</v>
      </c>
      <c r="P85" s="80">
        <f t="shared" si="8"/>
        <v>0</v>
      </c>
      <c r="Q85" s="80">
        <v>0</v>
      </c>
      <c r="R85" s="80">
        <v>0</v>
      </c>
      <c r="S85" s="80">
        <v>1.78</v>
      </c>
      <c r="T85" s="80">
        <f t="shared" si="9"/>
        <v>1.78</v>
      </c>
      <c r="U85" s="80">
        <v>0</v>
      </c>
      <c r="V85" s="80">
        <v>0</v>
      </c>
      <c r="W85" s="80">
        <v>0</v>
      </c>
      <c r="X85" s="80">
        <v>0</v>
      </c>
      <c r="Y85" s="80">
        <f t="shared" si="10"/>
        <v>0</v>
      </c>
      <c r="Z85" s="80">
        <v>0</v>
      </c>
      <c r="AA85" s="80">
        <v>0</v>
      </c>
      <c r="AB85" s="81">
        <f t="shared" si="11"/>
        <v>0</v>
      </c>
      <c r="AC85" s="79">
        <v>0</v>
      </c>
      <c r="AD85" s="80">
        <v>0</v>
      </c>
      <c r="AE85" s="80">
        <v>1.45</v>
      </c>
      <c r="AF85" s="81">
        <f t="shared" si="12"/>
        <v>1.45</v>
      </c>
      <c r="AG85" s="79">
        <v>0</v>
      </c>
      <c r="AH85" s="80">
        <v>0</v>
      </c>
      <c r="AI85" s="81">
        <f t="shared" si="13"/>
        <v>0</v>
      </c>
      <c r="AJ85" s="82">
        <f t="shared" si="14"/>
        <v>8.7800000000000011</v>
      </c>
    </row>
    <row r="86" spans="1:36">
      <c r="A86" s="38" t="s">
        <v>149</v>
      </c>
      <c r="B86" s="39" t="s">
        <v>150</v>
      </c>
      <c r="C86" s="78">
        <v>2</v>
      </c>
      <c r="D86" s="79">
        <v>0</v>
      </c>
      <c r="E86" s="80">
        <v>0</v>
      </c>
      <c r="F86" s="80">
        <v>0</v>
      </c>
      <c r="G86" s="80">
        <v>0</v>
      </c>
      <c r="H86" s="80">
        <v>1</v>
      </c>
      <c r="I86" s="80">
        <v>0.83</v>
      </c>
      <c r="J86" s="80">
        <v>0.83</v>
      </c>
      <c r="K86" s="80">
        <v>0.34</v>
      </c>
      <c r="L86" s="80">
        <v>0</v>
      </c>
      <c r="M86" s="80">
        <v>0</v>
      </c>
      <c r="N86" s="80">
        <v>0</v>
      </c>
      <c r="O86" s="80">
        <v>0</v>
      </c>
      <c r="P86" s="80">
        <f t="shared" si="8"/>
        <v>0.34</v>
      </c>
      <c r="Q86" s="80">
        <v>0</v>
      </c>
      <c r="R86" s="80">
        <v>0</v>
      </c>
      <c r="S86" s="80">
        <v>1</v>
      </c>
      <c r="T86" s="80">
        <f t="shared" si="9"/>
        <v>1</v>
      </c>
      <c r="U86" s="80">
        <v>0</v>
      </c>
      <c r="V86" s="80">
        <v>0</v>
      </c>
      <c r="W86" s="80">
        <v>1</v>
      </c>
      <c r="X86" s="80">
        <v>0</v>
      </c>
      <c r="Y86" s="80">
        <f t="shared" si="10"/>
        <v>1</v>
      </c>
      <c r="Z86" s="80">
        <v>0</v>
      </c>
      <c r="AA86" s="80">
        <v>0</v>
      </c>
      <c r="AB86" s="81">
        <f t="shared" si="11"/>
        <v>0</v>
      </c>
      <c r="AC86" s="79">
        <v>0</v>
      </c>
      <c r="AD86" s="80">
        <v>0</v>
      </c>
      <c r="AE86" s="80">
        <v>0</v>
      </c>
      <c r="AF86" s="81">
        <f t="shared" si="12"/>
        <v>0</v>
      </c>
      <c r="AG86" s="79">
        <v>0</v>
      </c>
      <c r="AH86" s="80">
        <v>0</v>
      </c>
      <c r="AI86" s="81">
        <f t="shared" si="13"/>
        <v>0</v>
      </c>
      <c r="AJ86" s="82">
        <f t="shared" si="14"/>
        <v>7</v>
      </c>
    </row>
    <row r="87" spans="1:36">
      <c r="A87" s="38">
        <v>86</v>
      </c>
      <c r="B87" s="39" t="s">
        <v>151</v>
      </c>
      <c r="C87" s="78">
        <v>26.61</v>
      </c>
      <c r="D87" s="79">
        <v>0</v>
      </c>
      <c r="E87" s="80">
        <v>1</v>
      </c>
      <c r="F87" s="80">
        <v>0</v>
      </c>
      <c r="G87" s="80">
        <v>0.81</v>
      </c>
      <c r="H87" s="80">
        <v>0</v>
      </c>
      <c r="I87" s="80">
        <v>0</v>
      </c>
      <c r="J87" s="80">
        <v>1.1599999999999999</v>
      </c>
      <c r="K87" s="80">
        <v>0.5</v>
      </c>
      <c r="L87" s="80">
        <v>0</v>
      </c>
      <c r="M87" s="80">
        <v>0</v>
      </c>
      <c r="N87" s="80">
        <v>0</v>
      </c>
      <c r="O87" s="80">
        <v>0</v>
      </c>
      <c r="P87" s="80">
        <f t="shared" si="8"/>
        <v>0.5</v>
      </c>
      <c r="Q87" s="80">
        <v>0</v>
      </c>
      <c r="R87" s="80">
        <v>0</v>
      </c>
      <c r="S87" s="80">
        <v>2.19</v>
      </c>
      <c r="T87" s="80">
        <f t="shared" si="9"/>
        <v>2.19</v>
      </c>
      <c r="U87" s="80">
        <v>0</v>
      </c>
      <c r="V87" s="80">
        <v>0</v>
      </c>
      <c r="W87" s="80">
        <v>0</v>
      </c>
      <c r="X87" s="80">
        <v>0</v>
      </c>
      <c r="Y87" s="80">
        <f t="shared" si="10"/>
        <v>0</v>
      </c>
      <c r="Z87" s="80">
        <v>0.92</v>
      </c>
      <c r="AA87" s="80">
        <v>5.22</v>
      </c>
      <c r="AB87" s="81">
        <f t="shared" si="11"/>
        <v>6.14</v>
      </c>
      <c r="AC87" s="79">
        <v>0.25</v>
      </c>
      <c r="AD87" s="80">
        <v>0.41</v>
      </c>
      <c r="AE87" s="80">
        <v>1.46</v>
      </c>
      <c r="AF87" s="81">
        <f t="shared" si="12"/>
        <v>2.12</v>
      </c>
      <c r="AG87" s="79">
        <v>0</v>
      </c>
      <c r="AH87" s="80">
        <v>0</v>
      </c>
      <c r="AI87" s="81">
        <f t="shared" si="13"/>
        <v>0</v>
      </c>
      <c r="AJ87" s="82">
        <f t="shared" si="14"/>
        <v>40.529999999999994</v>
      </c>
    </row>
    <row r="88" spans="1:36">
      <c r="A88" s="38" t="s">
        <v>152</v>
      </c>
      <c r="B88" s="39" t="s">
        <v>153</v>
      </c>
      <c r="C88" s="78">
        <v>14.63</v>
      </c>
      <c r="D88" s="79">
        <v>0</v>
      </c>
      <c r="E88" s="80">
        <v>0</v>
      </c>
      <c r="F88" s="80">
        <v>0</v>
      </c>
      <c r="G88" s="80">
        <v>1.88</v>
      </c>
      <c r="H88" s="80">
        <v>1</v>
      </c>
      <c r="I88" s="80">
        <v>0</v>
      </c>
      <c r="J88" s="80">
        <v>1</v>
      </c>
      <c r="K88" s="80">
        <v>1</v>
      </c>
      <c r="L88" s="80">
        <v>0</v>
      </c>
      <c r="M88" s="80">
        <v>0</v>
      </c>
      <c r="N88" s="80">
        <v>0</v>
      </c>
      <c r="O88" s="80">
        <v>0.08</v>
      </c>
      <c r="P88" s="80">
        <f t="shared" si="8"/>
        <v>1.08</v>
      </c>
      <c r="Q88" s="80">
        <v>0</v>
      </c>
      <c r="R88" s="80">
        <v>0</v>
      </c>
      <c r="S88" s="80">
        <v>0.88</v>
      </c>
      <c r="T88" s="80">
        <f t="shared" si="9"/>
        <v>0.88</v>
      </c>
      <c r="U88" s="80">
        <v>0</v>
      </c>
      <c r="V88" s="80">
        <v>0</v>
      </c>
      <c r="W88" s="80">
        <v>0</v>
      </c>
      <c r="X88" s="80">
        <v>0</v>
      </c>
      <c r="Y88" s="80">
        <f t="shared" si="10"/>
        <v>0</v>
      </c>
      <c r="Z88" s="80">
        <v>0</v>
      </c>
      <c r="AA88" s="80">
        <v>0</v>
      </c>
      <c r="AB88" s="81">
        <f t="shared" si="11"/>
        <v>0</v>
      </c>
      <c r="AC88" s="79">
        <v>0</v>
      </c>
      <c r="AD88" s="80">
        <v>0</v>
      </c>
      <c r="AE88" s="80">
        <v>0</v>
      </c>
      <c r="AF88" s="81">
        <f t="shared" si="12"/>
        <v>0</v>
      </c>
      <c r="AG88" s="79">
        <v>0</v>
      </c>
      <c r="AH88" s="80">
        <v>0</v>
      </c>
      <c r="AI88" s="81">
        <f t="shared" si="13"/>
        <v>0</v>
      </c>
      <c r="AJ88" s="82">
        <f t="shared" si="14"/>
        <v>20.470000000000002</v>
      </c>
    </row>
    <row r="89" spans="1:36">
      <c r="A89" s="38" t="s">
        <v>154</v>
      </c>
      <c r="B89" s="39" t="s">
        <v>155</v>
      </c>
      <c r="C89" s="78">
        <v>18</v>
      </c>
      <c r="D89" s="79">
        <v>0</v>
      </c>
      <c r="E89" s="80">
        <v>2</v>
      </c>
      <c r="F89" s="80">
        <v>1</v>
      </c>
      <c r="G89" s="80">
        <v>1.25</v>
      </c>
      <c r="H89" s="80">
        <v>0</v>
      </c>
      <c r="I89" s="80">
        <v>0</v>
      </c>
      <c r="J89" s="80">
        <v>0</v>
      </c>
      <c r="K89" s="80">
        <v>0</v>
      </c>
      <c r="L89" s="80">
        <v>0</v>
      </c>
      <c r="M89" s="80">
        <v>0</v>
      </c>
      <c r="N89" s="80">
        <v>1</v>
      </c>
      <c r="O89" s="80">
        <v>0</v>
      </c>
      <c r="P89" s="80">
        <f t="shared" si="8"/>
        <v>1</v>
      </c>
      <c r="Q89" s="80">
        <v>0</v>
      </c>
      <c r="R89" s="80">
        <v>0</v>
      </c>
      <c r="S89" s="80">
        <v>1.5</v>
      </c>
      <c r="T89" s="80">
        <f t="shared" si="9"/>
        <v>1.5</v>
      </c>
      <c r="U89" s="80">
        <v>0</v>
      </c>
      <c r="V89" s="80">
        <v>0</v>
      </c>
      <c r="W89" s="80">
        <v>0</v>
      </c>
      <c r="X89" s="80">
        <v>0</v>
      </c>
      <c r="Y89" s="80">
        <f t="shared" si="10"/>
        <v>0</v>
      </c>
      <c r="Z89" s="80">
        <v>0</v>
      </c>
      <c r="AA89" s="80">
        <v>0</v>
      </c>
      <c r="AB89" s="81">
        <f t="shared" si="11"/>
        <v>0</v>
      </c>
      <c r="AC89" s="79">
        <v>2</v>
      </c>
      <c r="AD89" s="80">
        <v>0</v>
      </c>
      <c r="AE89" s="80">
        <v>3</v>
      </c>
      <c r="AF89" s="81">
        <f t="shared" si="12"/>
        <v>5</v>
      </c>
      <c r="AG89" s="79">
        <v>0</v>
      </c>
      <c r="AH89" s="80">
        <v>0</v>
      </c>
      <c r="AI89" s="81">
        <f t="shared" si="13"/>
        <v>0</v>
      </c>
      <c r="AJ89" s="82">
        <f t="shared" si="14"/>
        <v>29.75</v>
      </c>
    </row>
    <row r="90" spans="1:36">
      <c r="A90" s="38" t="s">
        <v>156</v>
      </c>
      <c r="B90" s="39" t="s">
        <v>157</v>
      </c>
      <c r="C90" s="78">
        <v>11.83</v>
      </c>
      <c r="D90" s="79">
        <v>0</v>
      </c>
      <c r="E90" s="80">
        <v>0</v>
      </c>
      <c r="F90" s="80">
        <v>0</v>
      </c>
      <c r="G90" s="80">
        <v>0</v>
      </c>
      <c r="H90" s="80">
        <v>0</v>
      </c>
      <c r="I90" s="80">
        <v>3.59</v>
      </c>
      <c r="J90" s="80">
        <v>0</v>
      </c>
      <c r="K90" s="80">
        <v>0</v>
      </c>
      <c r="L90" s="80">
        <v>0</v>
      </c>
      <c r="M90" s="80">
        <v>0</v>
      </c>
      <c r="N90" s="80">
        <v>0</v>
      </c>
      <c r="O90" s="80">
        <v>0</v>
      </c>
      <c r="P90" s="80">
        <f t="shared" si="8"/>
        <v>0</v>
      </c>
      <c r="Q90" s="80">
        <v>0</v>
      </c>
      <c r="R90" s="80">
        <v>0</v>
      </c>
      <c r="S90" s="80">
        <v>1.55</v>
      </c>
      <c r="T90" s="80">
        <f t="shared" si="9"/>
        <v>1.55</v>
      </c>
      <c r="U90" s="80">
        <v>0</v>
      </c>
      <c r="V90" s="80">
        <v>0</v>
      </c>
      <c r="W90" s="80">
        <v>0</v>
      </c>
      <c r="X90" s="80">
        <v>0</v>
      </c>
      <c r="Y90" s="80">
        <f t="shared" si="10"/>
        <v>0</v>
      </c>
      <c r="Z90" s="80">
        <v>0</v>
      </c>
      <c r="AA90" s="80">
        <v>0</v>
      </c>
      <c r="AB90" s="81">
        <f t="shared" si="11"/>
        <v>0</v>
      </c>
      <c r="AC90" s="79">
        <v>0</v>
      </c>
      <c r="AD90" s="80">
        <v>0</v>
      </c>
      <c r="AE90" s="80">
        <v>0</v>
      </c>
      <c r="AF90" s="81">
        <f t="shared" si="12"/>
        <v>0</v>
      </c>
      <c r="AG90" s="79">
        <v>0</v>
      </c>
      <c r="AH90" s="80">
        <v>0</v>
      </c>
      <c r="AI90" s="81">
        <f t="shared" si="13"/>
        <v>0</v>
      </c>
      <c r="AJ90" s="82">
        <f t="shared" si="14"/>
        <v>16.97</v>
      </c>
    </row>
    <row r="91" spans="1:36">
      <c r="A91" s="38">
        <v>97</v>
      </c>
      <c r="B91" s="39" t="s">
        <v>158</v>
      </c>
      <c r="C91" s="78">
        <v>3.25</v>
      </c>
      <c r="D91" s="79">
        <v>0</v>
      </c>
      <c r="E91" s="80">
        <v>0</v>
      </c>
      <c r="F91" s="80">
        <v>0</v>
      </c>
      <c r="G91" s="80">
        <v>0</v>
      </c>
      <c r="H91" s="80">
        <v>1</v>
      </c>
      <c r="I91" s="80">
        <v>1</v>
      </c>
      <c r="J91" s="80">
        <v>0</v>
      </c>
      <c r="K91" s="80">
        <v>1</v>
      </c>
      <c r="L91" s="80">
        <v>0</v>
      </c>
      <c r="M91" s="80">
        <v>0</v>
      </c>
      <c r="N91" s="80">
        <v>0</v>
      </c>
      <c r="O91" s="80">
        <v>1</v>
      </c>
      <c r="P91" s="80">
        <f t="shared" si="8"/>
        <v>2</v>
      </c>
      <c r="Q91" s="80">
        <v>0</v>
      </c>
      <c r="R91" s="80">
        <v>0</v>
      </c>
      <c r="S91" s="80">
        <v>1</v>
      </c>
      <c r="T91" s="80">
        <f t="shared" si="9"/>
        <v>1</v>
      </c>
      <c r="U91" s="80">
        <v>0</v>
      </c>
      <c r="V91" s="80">
        <v>0</v>
      </c>
      <c r="W91" s="80">
        <v>0</v>
      </c>
      <c r="X91" s="80">
        <v>0</v>
      </c>
      <c r="Y91" s="80">
        <f t="shared" si="10"/>
        <v>0</v>
      </c>
      <c r="Z91" s="80">
        <v>0</v>
      </c>
      <c r="AA91" s="80">
        <v>0</v>
      </c>
      <c r="AB91" s="81">
        <f t="shared" si="11"/>
        <v>0</v>
      </c>
      <c r="AC91" s="79">
        <v>0</v>
      </c>
      <c r="AD91" s="80">
        <v>0</v>
      </c>
      <c r="AE91" s="80">
        <v>0</v>
      </c>
      <c r="AF91" s="81">
        <f t="shared" si="12"/>
        <v>0</v>
      </c>
      <c r="AG91" s="79">
        <v>0</v>
      </c>
      <c r="AH91" s="80">
        <v>0</v>
      </c>
      <c r="AI91" s="81">
        <f t="shared" si="13"/>
        <v>0</v>
      </c>
      <c r="AJ91" s="82">
        <f t="shared" si="14"/>
        <v>8.25</v>
      </c>
    </row>
    <row r="92" spans="1:36">
      <c r="A92" s="38" t="s">
        <v>159</v>
      </c>
      <c r="B92" s="39" t="s">
        <v>160</v>
      </c>
      <c r="C92" s="78">
        <v>0</v>
      </c>
      <c r="D92" s="79">
        <v>0</v>
      </c>
      <c r="E92" s="80">
        <v>0</v>
      </c>
      <c r="F92" s="80">
        <v>0</v>
      </c>
      <c r="G92" s="80">
        <v>0</v>
      </c>
      <c r="H92" s="80">
        <v>0</v>
      </c>
      <c r="I92" s="80">
        <v>0</v>
      </c>
      <c r="J92" s="80">
        <v>1</v>
      </c>
      <c r="K92" s="80">
        <v>0</v>
      </c>
      <c r="L92" s="80">
        <v>0</v>
      </c>
      <c r="M92" s="80">
        <v>0.94</v>
      </c>
      <c r="N92" s="80">
        <v>0</v>
      </c>
      <c r="O92" s="80">
        <v>0</v>
      </c>
      <c r="P92" s="80">
        <f t="shared" si="8"/>
        <v>0.94</v>
      </c>
      <c r="Q92" s="80">
        <v>0</v>
      </c>
      <c r="R92" s="80">
        <v>0</v>
      </c>
      <c r="S92" s="80">
        <v>0</v>
      </c>
      <c r="T92" s="80">
        <f t="shared" si="9"/>
        <v>0</v>
      </c>
      <c r="U92" s="80">
        <v>0</v>
      </c>
      <c r="V92" s="80">
        <v>0</v>
      </c>
      <c r="W92" s="80">
        <v>0</v>
      </c>
      <c r="X92" s="80">
        <v>0</v>
      </c>
      <c r="Y92" s="80">
        <f t="shared" si="10"/>
        <v>0</v>
      </c>
      <c r="Z92" s="80">
        <v>0</v>
      </c>
      <c r="AA92" s="80">
        <v>0</v>
      </c>
      <c r="AB92" s="81">
        <f t="shared" si="11"/>
        <v>0</v>
      </c>
      <c r="AC92" s="79">
        <v>0</v>
      </c>
      <c r="AD92" s="80">
        <v>0</v>
      </c>
      <c r="AE92" s="80">
        <v>0</v>
      </c>
      <c r="AF92" s="81">
        <f t="shared" si="12"/>
        <v>0</v>
      </c>
      <c r="AG92" s="79">
        <v>0</v>
      </c>
      <c r="AH92" s="80">
        <v>0</v>
      </c>
      <c r="AI92" s="81">
        <f t="shared" si="13"/>
        <v>0</v>
      </c>
      <c r="AJ92" s="82">
        <f t="shared" si="14"/>
        <v>1.94</v>
      </c>
    </row>
    <row r="93" spans="1:36">
      <c r="A93" s="38">
        <v>89</v>
      </c>
      <c r="B93" s="39" t="s">
        <v>161</v>
      </c>
      <c r="C93" s="78">
        <v>0</v>
      </c>
      <c r="D93" s="79">
        <v>0</v>
      </c>
      <c r="E93" s="80">
        <v>0</v>
      </c>
      <c r="F93" s="80">
        <v>0</v>
      </c>
      <c r="G93" s="80">
        <v>0</v>
      </c>
      <c r="H93" s="80">
        <v>0</v>
      </c>
      <c r="I93" s="80">
        <v>0</v>
      </c>
      <c r="J93" s="80">
        <v>1</v>
      </c>
      <c r="K93" s="80">
        <v>0</v>
      </c>
      <c r="L93" s="80">
        <v>0</v>
      </c>
      <c r="M93" s="80">
        <v>0</v>
      </c>
      <c r="N93" s="80">
        <v>0</v>
      </c>
      <c r="O93" s="80">
        <v>0</v>
      </c>
      <c r="P93" s="80">
        <f t="shared" si="8"/>
        <v>0</v>
      </c>
      <c r="Q93" s="80">
        <v>0</v>
      </c>
      <c r="R93" s="80">
        <v>0</v>
      </c>
      <c r="S93" s="80">
        <v>0</v>
      </c>
      <c r="T93" s="80">
        <f t="shared" si="9"/>
        <v>0</v>
      </c>
      <c r="U93" s="80">
        <v>0</v>
      </c>
      <c r="V93" s="80">
        <v>0</v>
      </c>
      <c r="W93" s="80">
        <v>0</v>
      </c>
      <c r="X93" s="80">
        <v>0</v>
      </c>
      <c r="Y93" s="80">
        <f t="shared" si="10"/>
        <v>0</v>
      </c>
      <c r="Z93" s="80">
        <v>0</v>
      </c>
      <c r="AA93" s="80">
        <v>0</v>
      </c>
      <c r="AB93" s="81">
        <f t="shared" si="11"/>
        <v>0</v>
      </c>
      <c r="AC93" s="79">
        <v>0</v>
      </c>
      <c r="AD93" s="80">
        <v>0</v>
      </c>
      <c r="AE93" s="80">
        <v>0</v>
      </c>
      <c r="AF93" s="81">
        <f t="shared" si="12"/>
        <v>0</v>
      </c>
      <c r="AG93" s="79">
        <v>0</v>
      </c>
      <c r="AH93" s="80">
        <v>0</v>
      </c>
      <c r="AI93" s="81">
        <f t="shared" si="13"/>
        <v>0</v>
      </c>
      <c r="AJ93" s="82">
        <f t="shared" si="14"/>
        <v>1</v>
      </c>
    </row>
    <row r="94" spans="1:36">
      <c r="A94" s="38" t="s">
        <v>162</v>
      </c>
      <c r="B94" s="39" t="s">
        <v>163</v>
      </c>
      <c r="C94" s="78">
        <v>12.62</v>
      </c>
      <c r="D94" s="79">
        <v>0.05</v>
      </c>
      <c r="E94" s="80">
        <v>0</v>
      </c>
      <c r="F94" s="80">
        <v>0</v>
      </c>
      <c r="G94" s="80">
        <v>0.69</v>
      </c>
      <c r="H94" s="80">
        <v>0</v>
      </c>
      <c r="I94" s="80">
        <v>0</v>
      </c>
      <c r="J94" s="80">
        <v>1</v>
      </c>
      <c r="K94" s="80">
        <v>1</v>
      </c>
      <c r="L94" s="80">
        <v>0</v>
      </c>
      <c r="M94" s="80">
        <v>0</v>
      </c>
      <c r="N94" s="80">
        <v>1</v>
      </c>
      <c r="O94" s="80">
        <v>0.1</v>
      </c>
      <c r="P94" s="80">
        <f t="shared" si="8"/>
        <v>2.1</v>
      </c>
      <c r="Q94" s="80">
        <v>0</v>
      </c>
      <c r="R94" s="80">
        <v>0</v>
      </c>
      <c r="S94" s="80">
        <v>0.21</v>
      </c>
      <c r="T94" s="80">
        <f t="shared" si="9"/>
        <v>0.21</v>
      </c>
      <c r="U94" s="80">
        <v>0</v>
      </c>
      <c r="V94" s="80">
        <v>0</v>
      </c>
      <c r="W94" s="80">
        <v>0</v>
      </c>
      <c r="X94" s="80">
        <v>0</v>
      </c>
      <c r="Y94" s="80">
        <f t="shared" si="10"/>
        <v>0</v>
      </c>
      <c r="Z94" s="80">
        <v>0</v>
      </c>
      <c r="AA94" s="80">
        <v>2</v>
      </c>
      <c r="AB94" s="81">
        <f t="shared" si="11"/>
        <v>2</v>
      </c>
      <c r="AC94" s="79">
        <v>0</v>
      </c>
      <c r="AD94" s="80">
        <v>0</v>
      </c>
      <c r="AE94" s="80">
        <v>0</v>
      </c>
      <c r="AF94" s="81">
        <f t="shared" si="12"/>
        <v>0</v>
      </c>
      <c r="AG94" s="79">
        <v>0</v>
      </c>
      <c r="AH94" s="80">
        <v>0</v>
      </c>
      <c r="AI94" s="81">
        <f t="shared" si="13"/>
        <v>0</v>
      </c>
      <c r="AJ94" s="82">
        <f t="shared" si="14"/>
        <v>18.670000000000002</v>
      </c>
    </row>
    <row r="95" spans="1:36">
      <c r="A95" s="38" t="s">
        <v>164</v>
      </c>
      <c r="B95" s="39" t="s">
        <v>165</v>
      </c>
      <c r="C95" s="78">
        <v>0.68</v>
      </c>
      <c r="D95" s="79">
        <v>0</v>
      </c>
      <c r="E95" s="80">
        <v>0</v>
      </c>
      <c r="F95" s="80">
        <v>0</v>
      </c>
      <c r="G95" s="80">
        <v>0</v>
      </c>
      <c r="H95" s="80">
        <v>0</v>
      </c>
      <c r="I95" s="80">
        <v>0</v>
      </c>
      <c r="J95" s="80">
        <v>2</v>
      </c>
      <c r="K95" s="80">
        <v>0</v>
      </c>
      <c r="L95" s="80">
        <v>0</v>
      </c>
      <c r="M95" s="80">
        <v>0</v>
      </c>
      <c r="N95" s="80">
        <v>0</v>
      </c>
      <c r="O95" s="80">
        <v>0</v>
      </c>
      <c r="P95" s="80">
        <f t="shared" si="8"/>
        <v>0</v>
      </c>
      <c r="Q95" s="80">
        <v>0</v>
      </c>
      <c r="R95" s="80">
        <v>0</v>
      </c>
      <c r="S95" s="80">
        <v>0</v>
      </c>
      <c r="T95" s="80">
        <f t="shared" si="9"/>
        <v>0</v>
      </c>
      <c r="U95" s="80">
        <v>0</v>
      </c>
      <c r="V95" s="80">
        <v>0</v>
      </c>
      <c r="W95" s="80">
        <v>0</v>
      </c>
      <c r="X95" s="80">
        <v>0</v>
      </c>
      <c r="Y95" s="80">
        <f t="shared" si="10"/>
        <v>0</v>
      </c>
      <c r="Z95" s="80">
        <v>0</v>
      </c>
      <c r="AA95" s="80">
        <v>0</v>
      </c>
      <c r="AB95" s="81">
        <f t="shared" si="11"/>
        <v>0</v>
      </c>
      <c r="AC95" s="79">
        <v>0</v>
      </c>
      <c r="AD95" s="80">
        <v>0</v>
      </c>
      <c r="AE95" s="80">
        <v>0</v>
      </c>
      <c r="AF95" s="81">
        <f t="shared" si="12"/>
        <v>0</v>
      </c>
      <c r="AG95" s="79">
        <v>0</v>
      </c>
      <c r="AH95" s="80">
        <v>0</v>
      </c>
      <c r="AI95" s="81">
        <f t="shared" si="13"/>
        <v>0</v>
      </c>
      <c r="AJ95" s="82">
        <f t="shared" si="14"/>
        <v>2.68</v>
      </c>
    </row>
    <row r="96" spans="1:36">
      <c r="A96" s="38">
        <v>88</v>
      </c>
      <c r="B96" s="39" t="s">
        <v>166</v>
      </c>
      <c r="C96" s="78">
        <v>1</v>
      </c>
      <c r="D96" s="79">
        <v>0</v>
      </c>
      <c r="E96" s="80">
        <v>0</v>
      </c>
      <c r="F96" s="80">
        <v>0.75</v>
      </c>
      <c r="G96" s="80">
        <v>0</v>
      </c>
      <c r="H96" s="80">
        <v>0</v>
      </c>
      <c r="I96" s="80">
        <v>0</v>
      </c>
      <c r="J96" s="80">
        <v>0</v>
      </c>
      <c r="K96" s="80">
        <v>0</v>
      </c>
      <c r="L96" s="80">
        <v>0</v>
      </c>
      <c r="M96" s="80">
        <v>0</v>
      </c>
      <c r="N96" s="80">
        <v>0</v>
      </c>
      <c r="O96" s="80">
        <v>0</v>
      </c>
      <c r="P96" s="80">
        <f t="shared" si="8"/>
        <v>0</v>
      </c>
      <c r="Q96" s="80">
        <v>0</v>
      </c>
      <c r="R96" s="80">
        <v>0</v>
      </c>
      <c r="S96" s="80">
        <v>0</v>
      </c>
      <c r="T96" s="80">
        <f t="shared" si="9"/>
        <v>0</v>
      </c>
      <c r="U96" s="80">
        <v>0</v>
      </c>
      <c r="V96" s="80">
        <v>0</v>
      </c>
      <c r="W96" s="80">
        <v>0</v>
      </c>
      <c r="X96" s="80">
        <v>0</v>
      </c>
      <c r="Y96" s="80">
        <f t="shared" si="10"/>
        <v>0</v>
      </c>
      <c r="Z96" s="80">
        <v>0</v>
      </c>
      <c r="AA96" s="80">
        <v>0</v>
      </c>
      <c r="AB96" s="81">
        <f t="shared" si="11"/>
        <v>0</v>
      </c>
      <c r="AC96" s="79">
        <v>0</v>
      </c>
      <c r="AD96" s="80">
        <v>0</v>
      </c>
      <c r="AE96" s="80">
        <v>0</v>
      </c>
      <c r="AF96" s="81">
        <f t="shared" si="12"/>
        <v>0</v>
      </c>
      <c r="AG96" s="79">
        <v>0</v>
      </c>
      <c r="AH96" s="80">
        <v>0</v>
      </c>
      <c r="AI96" s="81">
        <f t="shared" si="13"/>
        <v>0</v>
      </c>
      <c r="AJ96" s="82">
        <f t="shared" si="14"/>
        <v>1.75</v>
      </c>
    </row>
    <row r="97" spans="1:36">
      <c r="A97" s="38" t="s">
        <v>167</v>
      </c>
      <c r="B97" s="39" t="s">
        <v>168</v>
      </c>
      <c r="C97" s="78">
        <v>16.5</v>
      </c>
      <c r="D97" s="79">
        <v>0</v>
      </c>
      <c r="E97" s="80">
        <v>2</v>
      </c>
      <c r="F97" s="80">
        <v>0</v>
      </c>
      <c r="G97" s="80">
        <v>1</v>
      </c>
      <c r="H97" s="80">
        <v>1</v>
      </c>
      <c r="I97" s="80">
        <v>0</v>
      </c>
      <c r="J97" s="80">
        <v>3</v>
      </c>
      <c r="K97" s="80">
        <v>0.3</v>
      </c>
      <c r="L97" s="80">
        <v>0</v>
      </c>
      <c r="M97" s="80">
        <v>0</v>
      </c>
      <c r="N97" s="80">
        <v>0</v>
      </c>
      <c r="O97" s="80">
        <v>0</v>
      </c>
      <c r="P97" s="80">
        <f t="shared" si="8"/>
        <v>0.3</v>
      </c>
      <c r="Q97" s="80">
        <v>0</v>
      </c>
      <c r="R97" s="80">
        <v>1</v>
      </c>
      <c r="S97" s="80">
        <v>0</v>
      </c>
      <c r="T97" s="80">
        <f t="shared" si="9"/>
        <v>1</v>
      </c>
      <c r="U97" s="80">
        <v>0</v>
      </c>
      <c r="V97" s="80">
        <v>0</v>
      </c>
      <c r="W97" s="80">
        <v>0</v>
      </c>
      <c r="X97" s="80">
        <v>0</v>
      </c>
      <c r="Y97" s="80">
        <f t="shared" si="10"/>
        <v>0</v>
      </c>
      <c r="Z97" s="80">
        <v>0</v>
      </c>
      <c r="AA97" s="80">
        <v>0</v>
      </c>
      <c r="AB97" s="81">
        <f t="shared" si="11"/>
        <v>0</v>
      </c>
      <c r="AC97" s="79">
        <v>0</v>
      </c>
      <c r="AD97" s="80">
        <v>0</v>
      </c>
      <c r="AE97" s="80">
        <v>1</v>
      </c>
      <c r="AF97" s="81">
        <f t="shared" si="12"/>
        <v>1</v>
      </c>
      <c r="AG97" s="79">
        <v>0</v>
      </c>
      <c r="AH97" s="80">
        <v>0</v>
      </c>
      <c r="AI97" s="81">
        <f t="shared" si="13"/>
        <v>0</v>
      </c>
      <c r="AJ97" s="82">
        <f t="shared" si="14"/>
        <v>25.8</v>
      </c>
    </row>
    <row r="98" spans="1:36">
      <c r="A98" s="38" t="s">
        <v>169</v>
      </c>
      <c r="B98" s="39" t="s">
        <v>170</v>
      </c>
      <c r="C98" s="78">
        <v>5.57</v>
      </c>
      <c r="D98" s="79">
        <v>0</v>
      </c>
      <c r="E98" s="80">
        <v>0</v>
      </c>
      <c r="F98" s="80">
        <v>0</v>
      </c>
      <c r="G98" s="80">
        <v>0</v>
      </c>
      <c r="H98" s="80">
        <v>0</v>
      </c>
      <c r="I98" s="80">
        <v>0</v>
      </c>
      <c r="J98" s="80">
        <v>2.2599999999999998</v>
      </c>
      <c r="K98" s="80">
        <v>0</v>
      </c>
      <c r="L98" s="80">
        <v>0</v>
      </c>
      <c r="M98" s="80">
        <v>0</v>
      </c>
      <c r="N98" s="80">
        <v>0</v>
      </c>
      <c r="O98" s="80">
        <v>0</v>
      </c>
      <c r="P98" s="80">
        <f t="shared" si="8"/>
        <v>0</v>
      </c>
      <c r="Q98" s="80">
        <v>0</v>
      </c>
      <c r="R98" s="80">
        <v>0</v>
      </c>
      <c r="S98" s="80">
        <v>0.68</v>
      </c>
      <c r="T98" s="80">
        <f t="shared" si="9"/>
        <v>0.68</v>
      </c>
      <c r="U98" s="80">
        <v>0</v>
      </c>
      <c r="V98" s="80">
        <v>0</v>
      </c>
      <c r="W98" s="80">
        <v>0</v>
      </c>
      <c r="X98" s="80">
        <v>0</v>
      </c>
      <c r="Y98" s="80">
        <f t="shared" si="10"/>
        <v>0</v>
      </c>
      <c r="Z98" s="80">
        <v>0</v>
      </c>
      <c r="AA98" s="80">
        <v>0.3</v>
      </c>
      <c r="AB98" s="81">
        <f t="shared" si="11"/>
        <v>0.3</v>
      </c>
      <c r="AC98" s="79">
        <v>0.68</v>
      </c>
      <c r="AD98" s="80">
        <v>0</v>
      </c>
      <c r="AE98" s="80">
        <v>0.51</v>
      </c>
      <c r="AF98" s="81">
        <f t="shared" si="12"/>
        <v>1.19</v>
      </c>
      <c r="AG98" s="79">
        <v>0</v>
      </c>
      <c r="AH98" s="80">
        <v>0</v>
      </c>
      <c r="AI98" s="81">
        <f t="shared" si="13"/>
        <v>0</v>
      </c>
      <c r="AJ98" s="82">
        <f t="shared" si="14"/>
        <v>10</v>
      </c>
    </row>
    <row r="99" spans="1:36">
      <c r="A99" s="38">
        <v>94</v>
      </c>
      <c r="B99" s="39" t="s">
        <v>171</v>
      </c>
      <c r="C99" s="78">
        <v>12.8</v>
      </c>
      <c r="D99" s="79">
        <v>0</v>
      </c>
      <c r="E99" s="80">
        <v>1</v>
      </c>
      <c r="F99" s="80">
        <v>1</v>
      </c>
      <c r="G99" s="80">
        <v>0.6</v>
      </c>
      <c r="H99" s="80">
        <v>0</v>
      </c>
      <c r="I99" s="80">
        <v>0</v>
      </c>
      <c r="J99" s="80">
        <v>0</v>
      </c>
      <c r="K99" s="80">
        <v>0</v>
      </c>
      <c r="L99" s="80">
        <v>0</v>
      </c>
      <c r="M99" s="80">
        <v>0</v>
      </c>
      <c r="N99" s="80">
        <v>0</v>
      </c>
      <c r="O99" s="80">
        <v>0</v>
      </c>
      <c r="P99" s="80">
        <f t="shared" si="8"/>
        <v>0</v>
      </c>
      <c r="Q99" s="80">
        <v>0</v>
      </c>
      <c r="R99" s="80">
        <v>0</v>
      </c>
      <c r="S99" s="80">
        <v>2</v>
      </c>
      <c r="T99" s="80">
        <f t="shared" si="9"/>
        <v>2</v>
      </c>
      <c r="U99" s="80">
        <v>0</v>
      </c>
      <c r="V99" s="80">
        <v>0</v>
      </c>
      <c r="W99" s="80">
        <v>0</v>
      </c>
      <c r="X99" s="80">
        <v>0</v>
      </c>
      <c r="Y99" s="80">
        <f t="shared" si="10"/>
        <v>0</v>
      </c>
      <c r="Z99" s="80">
        <v>0</v>
      </c>
      <c r="AA99" s="80">
        <v>0</v>
      </c>
      <c r="AB99" s="81">
        <f t="shared" si="11"/>
        <v>0</v>
      </c>
      <c r="AC99" s="79">
        <v>0</v>
      </c>
      <c r="AD99" s="80">
        <v>0</v>
      </c>
      <c r="AE99" s="80">
        <v>0</v>
      </c>
      <c r="AF99" s="81">
        <f t="shared" si="12"/>
        <v>0</v>
      </c>
      <c r="AG99" s="79">
        <v>0</v>
      </c>
      <c r="AH99" s="80">
        <v>0</v>
      </c>
      <c r="AI99" s="81">
        <f t="shared" si="13"/>
        <v>0</v>
      </c>
      <c r="AJ99" s="82">
        <f t="shared" si="14"/>
        <v>17.399999999999999</v>
      </c>
    </row>
    <row r="100" spans="1:36">
      <c r="A100" s="38" t="s">
        <v>172</v>
      </c>
      <c r="B100" s="39" t="s">
        <v>173</v>
      </c>
      <c r="C100" s="78">
        <v>12.8</v>
      </c>
      <c r="D100" s="79">
        <v>0</v>
      </c>
      <c r="E100" s="80">
        <v>1</v>
      </c>
      <c r="F100" s="80">
        <v>1</v>
      </c>
      <c r="G100" s="80">
        <v>0.6</v>
      </c>
      <c r="H100" s="80">
        <v>0</v>
      </c>
      <c r="I100" s="80">
        <v>0</v>
      </c>
      <c r="J100" s="80">
        <v>0</v>
      </c>
      <c r="K100" s="80">
        <v>0</v>
      </c>
      <c r="L100" s="80">
        <v>0</v>
      </c>
      <c r="M100" s="80">
        <v>0</v>
      </c>
      <c r="N100" s="80">
        <v>0</v>
      </c>
      <c r="O100" s="80">
        <v>0</v>
      </c>
      <c r="P100" s="80">
        <f t="shared" si="8"/>
        <v>0</v>
      </c>
      <c r="Q100" s="80">
        <v>0</v>
      </c>
      <c r="R100" s="80">
        <v>0</v>
      </c>
      <c r="S100" s="80">
        <v>2</v>
      </c>
      <c r="T100" s="80">
        <f t="shared" si="9"/>
        <v>2</v>
      </c>
      <c r="U100" s="80">
        <v>0</v>
      </c>
      <c r="V100" s="80">
        <v>0</v>
      </c>
      <c r="W100" s="80">
        <v>0</v>
      </c>
      <c r="X100" s="80">
        <v>0</v>
      </c>
      <c r="Y100" s="80">
        <f t="shared" si="10"/>
        <v>0</v>
      </c>
      <c r="Z100" s="80">
        <v>0</v>
      </c>
      <c r="AA100" s="80">
        <v>0</v>
      </c>
      <c r="AB100" s="81">
        <f t="shared" si="11"/>
        <v>0</v>
      </c>
      <c r="AC100" s="79">
        <v>0</v>
      </c>
      <c r="AD100" s="80">
        <v>0</v>
      </c>
      <c r="AE100" s="80">
        <v>0</v>
      </c>
      <c r="AF100" s="81">
        <f t="shared" si="12"/>
        <v>0</v>
      </c>
      <c r="AG100" s="79">
        <v>0</v>
      </c>
      <c r="AH100" s="80">
        <v>0</v>
      </c>
      <c r="AI100" s="81">
        <f t="shared" si="13"/>
        <v>0</v>
      </c>
      <c r="AJ100" s="82">
        <f t="shared" si="14"/>
        <v>17.399999999999999</v>
      </c>
    </row>
    <row r="101" spans="1:36">
      <c r="A101" s="38">
        <v>95</v>
      </c>
      <c r="B101" s="39" t="s">
        <v>174</v>
      </c>
      <c r="C101" s="78">
        <v>7.5</v>
      </c>
      <c r="D101" s="79">
        <v>0</v>
      </c>
      <c r="E101" s="80">
        <v>0</v>
      </c>
      <c r="F101" s="80">
        <v>0</v>
      </c>
      <c r="G101" s="80">
        <v>0</v>
      </c>
      <c r="H101" s="80">
        <v>0</v>
      </c>
      <c r="I101" s="80">
        <v>2</v>
      </c>
      <c r="J101" s="80">
        <v>0</v>
      </c>
      <c r="K101" s="80">
        <v>0</v>
      </c>
      <c r="L101" s="80">
        <v>0</v>
      </c>
      <c r="M101" s="80">
        <v>1.25</v>
      </c>
      <c r="N101" s="80">
        <v>0</v>
      </c>
      <c r="O101" s="80">
        <v>0</v>
      </c>
      <c r="P101" s="80">
        <f t="shared" si="8"/>
        <v>1.25</v>
      </c>
      <c r="Q101" s="80">
        <v>0</v>
      </c>
      <c r="R101" s="80">
        <v>1</v>
      </c>
      <c r="S101" s="80">
        <v>0</v>
      </c>
      <c r="T101" s="80">
        <f t="shared" si="9"/>
        <v>1</v>
      </c>
      <c r="U101" s="80">
        <v>0</v>
      </c>
      <c r="V101" s="80">
        <v>0</v>
      </c>
      <c r="W101" s="80">
        <v>0</v>
      </c>
      <c r="X101" s="80">
        <v>0</v>
      </c>
      <c r="Y101" s="80">
        <f t="shared" si="10"/>
        <v>0</v>
      </c>
      <c r="Z101" s="80">
        <v>0</v>
      </c>
      <c r="AA101" s="80">
        <v>0</v>
      </c>
      <c r="AB101" s="81">
        <f t="shared" si="11"/>
        <v>0</v>
      </c>
      <c r="AC101" s="79">
        <v>0</v>
      </c>
      <c r="AD101" s="80">
        <v>0</v>
      </c>
      <c r="AE101" s="80">
        <v>0</v>
      </c>
      <c r="AF101" s="81">
        <f t="shared" si="12"/>
        <v>0</v>
      </c>
      <c r="AG101" s="79">
        <v>0</v>
      </c>
      <c r="AH101" s="80">
        <v>0</v>
      </c>
      <c r="AI101" s="81">
        <f t="shared" si="13"/>
        <v>0</v>
      </c>
      <c r="AJ101" s="82">
        <f t="shared" si="14"/>
        <v>11.75</v>
      </c>
    </row>
    <row r="102" spans="1:36">
      <c r="A102" s="38">
        <v>90</v>
      </c>
      <c r="B102" s="39" t="s">
        <v>175</v>
      </c>
      <c r="C102" s="78">
        <v>1</v>
      </c>
      <c r="D102" s="79">
        <v>0</v>
      </c>
      <c r="E102" s="80">
        <v>0</v>
      </c>
      <c r="F102" s="80">
        <v>0</v>
      </c>
      <c r="G102" s="80">
        <v>0</v>
      </c>
      <c r="H102" s="80">
        <v>0</v>
      </c>
      <c r="I102" s="80">
        <v>0</v>
      </c>
      <c r="J102" s="80">
        <v>1</v>
      </c>
      <c r="K102" s="80">
        <v>1</v>
      </c>
      <c r="L102" s="80">
        <v>0</v>
      </c>
      <c r="M102" s="80">
        <v>0</v>
      </c>
      <c r="N102" s="80">
        <v>0</v>
      </c>
      <c r="O102" s="80">
        <v>0</v>
      </c>
      <c r="P102" s="80">
        <f t="shared" si="8"/>
        <v>1</v>
      </c>
      <c r="Q102" s="80">
        <v>0</v>
      </c>
      <c r="R102" s="80">
        <v>0</v>
      </c>
      <c r="S102" s="80">
        <v>0</v>
      </c>
      <c r="T102" s="80">
        <f t="shared" si="9"/>
        <v>0</v>
      </c>
      <c r="U102" s="80">
        <v>0</v>
      </c>
      <c r="V102" s="80">
        <v>0</v>
      </c>
      <c r="W102" s="80">
        <v>0</v>
      </c>
      <c r="X102" s="80">
        <v>0</v>
      </c>
      <c r="Y102" s="80">
        <f t="shared" si="10"/>
        <v>0</v>
      </c>
      <c r="Z102" s="80">
        <v>0</v>
      </c>
      <c r="AA102" s="80">
        <v>0</v>
      </c>
      <c r="AB102" s="81">
        <f t="shared" si="11"/>
        <v>0</v>
      </c>
      <c r="AC102" s="79">
        <v>0</v>
      </c>
      <c r="AD102" s="80">
        <v>0</v>
      </c>
      <c r="AE102" s="80">
        <v>0</v>
      </c>
      <c r="AF102" s="81">
        <f t="shared" si="12"/>
        <v>0</v>
      </c>
      <c r="AG102" s="79">
        <v>0</v>
      </c>
      <c r="AH102" s="80">
        <v>0</v>
      </c>
      <c r="AI102" s="81">
        <f t="shared" si="13"/>
        <v>0</v>
      </c>
      <c r="AJ102" s="82">
        <f t="shared" si="14"/>
        <v>3</v>
      </c>
    </row>
    <row r="103" spans="1:36">
      <c r="A103" s="38" t="s">
        <v>176</v>
      </c>
      <c r="B103" s="39" t="s">
        <v>177</v>
      </c>
      <c r="C103" s="78">
        <v>0</v>
      </c>
      <c r="D103" s="79">
        <v>0</v>
      </c>
      <c r="E103" s="80">
        <v>1.5</v>
      </c>
      <c r="F103" s="80">
        <v>0</v>
      </c>
      <c r="G103" s="80">
        <v>0</v>
      </c>
      <c r="H103" s="80">
        <v>0</v>
      </c>
      <c r="I103" s="80">
        <v>0</v>
      </c>
      <c r="J103" s="80">
        <v>1</v>
      </c>
      <c r="K103" s="80">
        <v>0</v>
      </c>
      <c r="L103" s="80">
        <v>0</v>
      </c>
      <c r="M103" s="80">
        <v>0.25</v>
      </c>
      <c r="N103" s="80">
        <v>0</v>
      </c>
      <c r="O103" s="80">
        <v>0</v>
      </c>
      <c r="P103" s="80">
        <f t="shared" si="8"/>
        <v>0.25</v>
      </c>
      <c r="Q103" s="80">
        <v>0</v>
      </c>
      <c r="R103" s="80">
        <v>0</v>
      </c>
      <c r="S103" s="80">
        <v>0</v>
      </c>
      <c r="T103" s="80">
        <f t="shared" si="9"/>
        <v>0</v>
      </c>
      <c r="U103" s="80">
        <v>0</v>
      </c>
      <c r="V103" s="80">
        <v>0</v>
      </c>
      <c r="W103" s="80">
        <v>0</v>
      </c>
      <c r="X103" s="80">
        <v>0</v>
      </c>
      <c r="Y103" s="80">
        <f t="shared" si="10"/>
        <v>0</v>
      </c>
      <c r="Z103" s="80">
        <v>0</v>
      </c>
      <c r="AA103" s="80">
        <v>0</v>
      </c>
      <c r="AB103" s="81">
        <f t="shared" si="11"/>
        <v>0</v>
      </c>
      <c r="AC103" s="79">
        <v>0.5</v>
      </c>
      <c r="AD103" s="80">
        <v>0</v>
      </c>
      <c r="AE103" s="80">
        <v>0</v>
      </c>
      <c r="AF103" s="81">
        <f t="shared" si="12"/>
        <v>0.5</v>
      </c>
      <c r="AG103" s="79">
        <v>0</v>
      </c>
      <c r="AH103" s="80">
        <v>0</v>
      </c>
      <c r="AI103" s="81">
        <f t="shared" si="13"/>
        <v>0</v>
      </c>
      <c r="AJ103" s="82">
        <f t="shared" si="14"/>
        <v>3.25</v>
      </c>
    </row>
    <row r="104" spans="1:36">
      <c r="A104" s="38">
        <v>92</v>
      </c>
      <c r="B104" s="39" t="s">
        <v>178</v>
      </c>
      <c r="C104" s="78">
        <v>0</v>
      </c>
      <c r="D104" s="79">
        <v>0</v>
      </c>
      <c r="E104" s="80">
        <v>0.1</v>
      </c>
      <c r="F104" s="80">
        <v>1</v>
      </c>
      <c r="G104" s="80">
        <v>1</v>
      </c>
      <c r="H104" s="80">
        <v>0</v>
      </c>
      <c r="I104" s="80">
        <v>0</v>
      </c>
      <c r="J104" s="80">
        <v>0</v>
      </c>
      <c r="K104" s="80">
        <v>0.15</v>
      </c>
      <c r="L104" s="80">
        <v>0</v>
      </c>
      <c r="M104" s="80">
        <v>0</v>
      </c>
      <c r="N104" s="80">
        <v>0</v>
      </c>
      <c r="O104" s="80">
        <v>0</v>
      </c>
      <c r="P104" s="80">
        <f t="shared" si="8"/>
        <v>0.15</v>
      </c>
      <c r="Q104" s="80">
        <v>0</v>
      </c>
      <c r="R104" s="80">
        <v>0</v>
      </c>
      <c r="S104" s="80">
        <v>1</v>
      </c>
      <c r="T104" s="80">
        <f t="shared" si="9"/>
        <v>1</v>
      </c>
      <c r="U104" s="80">
        <v>0</v>
      </c>
      <c r="V104" s="80">
        <v>0</v>
      </c>
      <c r="W104" s="80">
        <v>0</v>
      </c>
      <c r="X104" s="80">
        <v>0</v>
      </c>
      <c r="Y104" s="80">
        <f t="shared" si="10"/>
        <v>0</v>
      </c>
      <c r="Z104" s="80">
        <v>0</v>
      </c>
      <c r="AA104" s="80">
        <v>1</v>
      </c>
      <c r="AB104" s="81">
        <f t="shared" si="11"/>
        <v>1</v>
      </c>
      <c r="AC104" s="79">
        <v>0</v>
      </c>
      <c r="AD104" s="80">
        <v>0</v>
      </c>
      <c r="AE104" s="80">
        <v>0</v>
      </c>
      <c r="AF104" s="81">
        <f t="shared" si="12"/>
        <v>0</v>
      </c>
      <c r="AG104" s="79">
        <v>0</v>
      </c>
      <c r="AH104" s="80">
        <v>0</v>
      </c>
      <c r="AI104" s="81">
        <f t="shared" si="13"/>
        <v>0</v>
      </c>
      <c r="AJ104" s="82">
        <f t="shared" si="14"/>
        <v>4.25</v>
      </c>
    </row>
    <row r="105" spans="1:36">
      <c r="A105" s="38">
        <v>81</v>
      </c>
      <c r="B105" s="39" t="s">
        <v>179</v>
      </c>
      <c r="C105" s="78">
        <v>5.91</v>
      </c>
      <c r="D105" s="79">
        <v>0</v>
      </c>
      <c r="E105" s="80">
        <v>0.9</v>
      </c>
      <c r="F105" s="80">
        <v>0</v>
      </c>
      <c r="G105" s="80">
        <v>0</v>
      </c>
      <c r="H105" s="80">
        <v>0</v>
      </c>
      <c r="I105" s="80">
        <v>0</v>
      </c>
      <c r="J105" s="80">
        <v>0</v>
      </c>
      <c r="K105" s="80">
        <v>0</v>
      </c>
      <c r="L105" s="80">
        <v>0</v>
      </c>
      <c r="M105" s="80">
        <v>0</v>
      </c>
      <c r="N105" s="80">
        <v>0</v>
      </c>
      <c r="O105" s="80">
        <v>0</v>
      </c>
      <c r="P105" s="80">
        <f t="shared" si="8"/>
        <v>0</v>
      </c>
      <c r="Q105" s="80">
        <v>0</v>
      </c>
      <c r="R105" s="80">
        <v>0</v>
      </c>
      <c r="S105" s="80">
        <v>1.1100000000000001</v>
      </c>
      <c r="T105" s="80">
        <f t="shared" si="9"/>
        <v>1.1100000000000001</v>
      </c>
      <c r="U105" s="80">
        <v>0</v>
      </c>
      <c r="V105" s="80">
        <v>0</v>
      </c>
      <c r="W105" s="80">
        <v>0</v>
      </c>
      <c r="X105" s="80">
        <v>0</v>
      </c>
      <c r="Y105" s="80">
        <f t="shared" si="10"/>
        <v>0</v>
      </c>
      <c r="Z105" s="80">
        <v>0</v>
      </c>
      <c r="AA105" s="80">
        <v>0</v>
      </c>
      <c r="AB105" s="81">
        <f t="shared" si="11"/>
        <v>0</v>
      </c>
      <c r="AC105" s="79">
        <v>0</v>
      </c>
      <c r="AD105" s="80">
        <v>0</v>
      </c>
      <c r="AE105" s="80">
        <v>0.71</v>
      </c>
      <c r="AF105" s="81">
        <f t="shared" si="12"/>
        <v>0.71</v>
      </c>
      <c r="AG105" s="79">
        <v>0</v>
      </c>
      <c r="AH105" s="80">
        <v>0</v>
      </c>
      <c r="AI105" s="81">
        <f t="shared" si="13"/>
        <v>0</v>
      </c>
      <c r="AJ105" s="82">
        <f t="shared" si="14"/>
        <v>8.6300000000000008</v>
      </c>
    </row>
    <row r="106" spans="1:36" ht="15.75" thickBot="1">
      <c r="A106" s="38" t="s">
        <v>180</v>
      </c>
      <c r="B106" s="39" t="s">
        <v>181</v>
      </c>
      <c r="C106" s="78">
        <v>8.19</v>
      </c>
      <c r="D106" s="79">
        <v>0</v>
      </c>
      <c r="E106" s="80">
        <v>0</v>
      </c>
      <c r="F106" s="80">
        <v>0</v>
      </c>
      <c r="G106" s="80">
        <v>0.45</v>
      </c>
      <c r="H106" s="80">
        <v>0</v>
      </c>
      <c r="I106" s="80">
        <v>0</v>
      </c>
      <c r="J106" s="80">
        <v>1.73</v>
      </c>
      <c r="K106" s="80">
        <v>0</v>
      </c>
      <c r="L106" s="80">
        <v>0</v>
      </c>
      <c r="M106" s="80">
        <v>0</v>
      </c>
      <c r="N106" s="80">
        <v>0</v>
      </c>
      <c r="O106" s="80">
        <v>0</v>
      </c>
      <c r="P106" s="80">
        <f t="shared" si="8"/>
        <v>0</v>
      </c>
      <c r="Q106" s="80">
        <v>0</v>
      </c>
      <c r="R106" s="80">
        <v>0</v>
      </c>
      <c r="S106" s="80">
        <v>1.08</v>
      </c>
      <c r="T106" s="80">
        <f t="shared" si="9"/>
        <v>1.08</v>
      </c>
      <c r="U106" s="80">
        <v>0</v>
      </c>
      <c r="V106" s="80">
        <v>0</v>
      </c>
      <c r="W106" s="80">
        <v>0</v>
      </c>
      <c r="X106" s="80">
        <v>0</v>
      </c>
      <c r="Y106" s="80">
        <f t="shared" si="10"/>
        <v>0</v>
      </c>
      <c r="Z106" s="80">
        <v>0</v>
      </c>
      <c r="AA106" s="80">
        <v>0</v>
      </c>
      <c r="AB106" s="81">
        <f t="shared" si="11"/>
        <v>0</v>
      </c>
      <c r="AC106" s="79">
        <v>0.65</v>
      </c>
      <c r="AD106" s="80">
        <v>0</v>
      </c>
      <c r="AE106" s="80">
        <v>0.83</v>
      </c>
      <c r="AF106" s="81">
        <f t="shared" si="12"/>
        <v>1.48</v>
      </c>
      <c r="AG106" s="79">
        <v>0</v>
      </c>
      <c r="AH106" s="80">
        <v>0</v>
      </c>
      <c r="AI106" s="81">
        <f t="shared" si="13"/>
        <v>0</v>
      </c>
      <c r="AJ106" s="82">
        <f t="shared" si="14"/>
        <v>12.93</v>
      </c>
    </row>
    <row r="107" spans="1:36" ht="15.75" thickBot="1">
      <c r="A107" s="54"/>
      <c r="B107" s="55" t="s">
        <v>182</v>
      </c>
      <c r="C107" s="87">
        <f>SUM(C49:C106)</f>
        <v>423.81</v>
      </c>
      <c r="D107" s="88">
        <f t="shared" ref="D107:AI107" si="15">SUM(D49:D106)</f>
        <v>5.53</v>
      </c>
      <c r="E107" s="89">
        <f t="shared" si="15"/>
        <v>23.08</v>
      </c>
      <c r="F107" s="89">
        <f t="shared" si="15"/>
        <v>16.149999999999999</v>
      </c>
      <c r="G107" s="89">
        <f t="shared" si="15"/>
        <v>19.010000000000002</v>
      </c>
      <c r="H107" s="89">
        <f t="shared" si="15"/>
        <v>24.8</v>
      </c>
      <c r="I107" s="89">
        <f t="shared" si="15"/>
        <v>13.86</v>
      </c>
      <c r="J107" s="89">
        <f t="shared" si="15"/>
        <v>69.530000000000015</v>
      </c>
      <c r="K107" s="89">
        <f t="shared" si="15"/>
        <v>20.99</v>
      </c>
      <c r="L107" s="89">
        <f t="shared" si="15"/>
        <v>2.08</v>
      </c>
      <c r="M107" s="89">
        <f t="shared" si="15"/>
        <v>9.11</v>
      </c>
      <c r="N107" s="89">
        <f t="shared" si="15"/>
        <v>7.35</v>
      </c>
      <c r="O107" s="89">
        <f t="shared" si="15"/>
        <v>6.76</v>
      </c>
      <c r="P107" s="89">
        <f t="shared" si="15"/>
        <v>46.289999999999992</v>
      </c>
      <c r="Q107" s="89">
        <f t="shared" si="15"/>
        <v>0.2</v>
      </c>
      <c r="R107" s="89">
        <f t="shared" si="15"/>
        <v>8.36</v>
      </c>
      <c r="S107" s="89">
        <f t="shared" si="15"/>
        <v>48.899999999999991</v>
      </c>
      <c r="T107" s="89">
        <f t="shared" si="15"/>
        <v>57.459999999999994</v>
      </c>
      <c r="U107" s="89">
        <f t="shared" si="15"/>
        <v>0</v>
      </c>
      <c r="V107" s="89">
        <f t="shared" si="15"/>
        <v>0</v>
      </c>
      <c r="W107" s="89">
        <f t="shared" si="15"/>
        <v>7.1899999999999995</v>
      </c>
      <c r="X107" s="89">
        <f t="shared" si="15"/>
        <v>0</v>
      </c>
      <c r="Y107" s="89">
        <f t="shared" si="15"/>
        <v>7.1899999999999995</v>
      </c>
      <c r="Z107" s="89">
        <f t="shared" si="15"/>
        <v>0.92</v>
      </c>
      <c r="AA107" s="89">
        <f t="shared" si="15"/>
        <v>9.8000000000000007</v>
      </c>
      <c r="AB107" s="90">
        <f t="shared" si="15"/>
        <v>10.72</v>
      </c>
      <c r="AC107" s="88">
        <f t="shared" si="15"/>
        <v>14.68</v>
      </c>
      <c r="AD107" s="89">
        <f t="shared" si="15"/>
        <v>1.41</v>
      </c>
      <c r="AE107" s="89">
        <f t="shared" si="15"/>
        <v>25.12</v>
      </c>
      <c r="AF107" s="90">
        <f t="shared" si="15"/>
        <v>41.209999999999994</v>
      </c>
      <c r="AG107" s="88">
        <f t="shared" si="15"/>
        <v>0</v>
      </c>
      <c r="AH107" s="89">
        <f t="shared" si="15"/>
        <v>0</v>
      </c>
      <c r="AI107" s="90">
        <f t="shared" si="15"/>
        <v>0</v>
      </c>
      <c r="AJ107" s="90">
        <f t="shared" si="14"/>
        <v>758.64</v>
      </c>
    </row>
    <row r="108" spans="1:36" ht="15.75" thickBot="1">
      <c r="A108" s="62"/>
      <c r="B108" s="63" t="s">
        <v>184</v>
      </c>
      <c r="C108" s="87">
        <f>C47+C107</f>
        <v>7783.2300000000005</v>
      </c>
      <c r="D108" s="88">
        <f t="shared" ref="D108:AI108" si="16">D47+D107</f>
        <v>85.960000000000008</v>
      </c>
      <c r="E108" s="89">
        <f t="shared" si="16"/>
        <v>226.42000000000002</v>
      </c>
      <c r="F108" s="89">
        <f t="shared" si="16"/>
        <v>466.93999999999994</v>
      </c>
      <c r="G108" s="89">
        <f t="shared" si="16"/>
        <v>398.01000000000005</v>
      </c>
      <c r="H108" s="89">
        <f t="shared" si="16"/>
        <v>56.44</v>
      </c>
      <c r="I108" s="89">
        <f t="shared" si="16"/>
        <v>136.07</v>
      </c>
      <c r="J108" s="89">
        <f t="shared" si="16"/>
        <v>1554.4599999999998</v>
      </c>
      <c r="K108" s="89">
        <f t="shared" si="16"/>
        <v>55.379999999999995</v>
      </c>
      <c r="L108" s="89">
        <f t="shared" si="16"/>
        <v>46.75</v>
      </c>
      <c r="M108" s="89">
        <f t="shared" si="16"/>
        <v>92.88</v>
      </c>
      <c r="N108" s="89">
        <f t="shared" si="16"/>
        <v>209.84999999999997</v>
      </c>
      <c r="O108" s="89">
        <f t="shared" si="16"/>
        <v>282.45</v>
      </c>
      <c r="P108" s="89">
        <f t="shared" si="16"/>
        <v>687.31000000000006</v>
      </c>
      <c r="Q108" s="89">
        <f t="shared" si="16"/>
        <v>52.66</v>
      </c>
      <c r="R108" s="89">
        <f t="shared" si="16"/>
        <v>109.71</v>
      </c>
      <c r="S108" s="89">
        <f t="shared" si="16"/>
        <v>3443.4899999999993</v>
      </c>
      <c r="T108" s="89">
        <f t="shared" si="16"/>
        <v>3605.86</v>
      </c>
      <c r="U108" s="89">
        <f t="shared" si="16"/>
        <v>85.92</v>
      </c>
      <c r="V108" s="89">
        <f t="shared" si="16"/>
        <v>43.360000000000007</v>
      </c>
      <c r="W108" s="89">
        <f t="shared" si="16"/>
        <v>1426.1600000000003</v>
      </c>
      <c r="X108" s="89">
        <f t="shared" si="16"/>
        <v>121.83</v>
      </c>
      <c r="Y108" s="89">
        <f t="shared" si="16"/>
        <v>1677.27</v>
      </c>
      <c r="Z108" s="89">
        <f t="shared" si="16"/>
        <v>31.860000000000003</v>
      </c>
      <c r="AA108" s="89">
        <f t="shared" si="16"/>
        <v>385.02</v>
      </c>
      <c r="AB108" s="90">
        <f t="shared" si="16"/>
        <v>416.88</v>
      </c>
      <c r="AC108" s="88">
        <f t="shared" si="16"/>
        <v>129.04999999999998</v>
      </c>
      <c r="AD108" s="89">
        <f t="shared" si="16"/>
        <v>101.88999999999999</v>
      </c>
      <c r="AE108" s="89">
        <f t="shared" si="16"/>
        <v>2624.7700000000009</v>
      </c>
      <c r="AF108" s="90">
        <f t="shared" si="16"/>
        <v>2855.7100000000009</v>
      </c>
      <c r="AG108" s="88">
        <f t="shared" si="16"/>
        <v>120.87</v>
      </c>
      <c r="AH108" s="89">
        <f t="shared" si="16"/>
        <v>22.9</v>
      </c>
      <c r="AI108" s="90">
        <f t="shared" si="16"/>
        <v>143.77000000000001</v>
      </c>
      <c r="AJ108" s="90">
        <f t="shared" si="14"/>
        <v>20094.330000000005</v>
      </c>
    </row>
  </sheetData>
  <mergeCells count="14">
    <mergeCell ref="K5:P5"/>
    <mergeCell ref="Q5:T5"/>
    <mergeCell ref="U5:Y5"/>
    <mergeCell ref="Z5:AB5"/>
    <mergeCell ref="A1:AJ1"/>
    <mergeCell ref="A2:AJ2"/>
    <mergeCell ref="C4:C5"/>
    <mergeCell ref="D4:AB4"/>
    <mergeCell ref="AC4:AF5"/>
    <mergeCell ref="AG4:AI5"/>
    <mergeCell ref="AJ4:AJ6"/>
    <mergeCell ref="D5:E5"/>
    <mergeCell ref="F5:G5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instruction-districts</vt:lpstr>
      <vt:lpstr>instruction-charters</vt:lpstr>
      <vt:lpstr>support-districts</vt:lpstr>
      <vt:lpstr>support-charters</vt:lpstr>
      <vt:lpstr>Licensed FTEs</vt:lpstr>
      <vt:lpstr>Classified FTEs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Eyre</dc:creator>
  <cp:lastModifiedBy>Emily Eyre</cp:lastModifiedBy>
  <cp:lastPrinted>2008-12-12T19:53:24Z</cp:lastPrinted>
  <dcterms:created xsi:type="dcterms:W3CDTF">2008-10-06T17:22:04Z</dcterms:created>
  <dcterms:modified xsi:type="dcterms:W3CDTF">2009-01-20T18:46:46Z</dcterms:modified>
</cp:coreProperties>
</file>