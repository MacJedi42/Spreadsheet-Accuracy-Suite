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135" windowWidth="14160" windowHeight="8520"/>
  </bookViews>
  <sheets>
    <sheet name="Base SOW - Cost Table" sheetId="1" r:id="rId1"/>
  </sheets>
  <definedNames>
    <definedName name="_xlnm.Print_Area" localSheetId="0">'Base SOW - Cost Table'!$A$1:$O$60</definedName>
  </definedNames>
  <calcPr calcId="145621"/>
</workbook>
</file>

<file path=xl/calcChain.xml><?xml version="1.0" encoding="utf-8"?>
<calcChain xmlns="http://schemas.openxmlformats.org/spreadsheetml/2006/main">
  <c r="O34" i="1"/>
  <c r="O33"/>
  <c r="O32"/>
  <c r="O31"/>
  <c r="O30"/>
  <c r="O29"/>
  <c r="O28"/>
  <c r="O27"/>
  <c r="O26"/>
  <c r="O25"/>
  <c r="O24"/>
  <c r="O23"/>
  <c r="O22"/>
  <c r="O21"/>
  <c r="O20"/>
  <c r="O19"/>
  <c r="O18"/>
  <c r="O17"/>
  <c r="O15"/>
  <c r="O14"/>
  <c r="O13"/>
  <c r="O12"/>
  <c r="O10"/>
  <c r="M35"/>
  <c r="M36"/>
  <c r="D35"/>
  <c r="D36"/>
  <c r="F35"/>
  <c r="F36"/>
  <c r="I35"/>
  <c r="I36"/>
  <c r="H35"/>
  <c r="H36"/>
  <c r="K35"/>
  <c r="K36"/>
  <c r="L35"/>
  <c r="L36"/>
  <c r="N35"/>
  <c r="N36"/>
  <c r="J35"/>
  <c r="J36"/>
  <c r="G35"/>
  <c r="G36"/>
  <c r="E36"/>
  <c r="C35"/>
  <c r="C36"/>
  <c r="O36"/>
</calcChain>
</file>

<file path=xl/sharedStrings.xml><?xml version="1.0" encoding="utf-8"?>
<sst xmlns="http://schemas.openxmlformats.org/spreadsheetml/2006/main" count="86" uniqueCount="67">
  <si>
    <t>COST COMPONENT</t>
  </si>
  <si>
    <t>Base SOW Subtotal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</si>
  <si>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</si>
  <si>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</si>
  <si>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</si>
  <si>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</si>
  <si>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  <family val="2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</si>
  <si>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</si>
  <si>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</si>
  <si>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</si>
  <si>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</si>
  <si>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</si>
  <si>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</si>
  <si>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</si>
  <si>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</si>
  <si>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</si>
  <si>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</si>
  <si>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</si>
  <si>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</si>
  <si>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Sr. Hydrogeologist, P.G.</t>
  </si>
  <si>
    <t>Project Manager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</si>
  <si>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</si>
  <si>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</si>
  <si>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</si>
  <si>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</si>
  <si>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</si>
  <si>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</si>
  <si>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</si>
  <si>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</si>
  <si>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</si>
  <si>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</si>
  <si>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 xml:space="preserve"> (A mark-up percentage no greater than 10% is acceptable to the Solicitor &amp; USTIF)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</si>
  <si>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</si>
  <si>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</si>
  <si>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Equipment Rental</t>
  </si>
  <si>
    <t>Schedule of Unit Rates</t>
  </si>
  <si>
    <t>Additional Cost per Unit</t>
  </si>
  <si>
    <t>Analytical Laboratory - Water</t>
  </si>
  <si>
    <t>Professional Surveyor</t>
  </si>
  <si>
    <t>Milestone A.                                    Quarterly Groundwater Monitoring, Sampling and Reporting</t>
  </si>
  <si>
    <t>Milestone E.                                            Soil Attainment Demonstration</t>
  </si>
  <si>
    <t>Milestone G.                                   Prepare and Submit a Draft and Final RACR</t>
  </si>
  <si>
    <t>Sub-Milestones</t>
  </si>
  <si>
    <t>NA</t>
  </si>
  <si>
    <t>Milestone D1 (if implemented) - Fixed unit-cost for clean fill importation ($/ton).</t>
  </si>
  <si>
    <t>4- Bidders shall only enter data into Bid Form areas (Excel file cells) that are shaded in blue.</t>
  </si>
  <si>
    <t>Bid Cost Tabulation Spreadsheet</t>
  </si>
  <si>
    <t>Milestones A1 - A3</t>
  </si>
  <si>
    <t>3 - Regardless of the number of quarters of remedial system O&amp;M that are expected to be needed for the site to achieve SHS for all COCs in groundwater as entered on this Bid Form by any Bidder, the "Totals for Milestones A through H" will reflect 18 months of remedial system O&amp;M.</t>
  </si>
  <si>
    <t>Milestone D1 - Soil Excavation (if applicable)</t>
  </si>
  <si>
    <t>Milestone D2 - Finalizing In-Situ Remedial Design &amp; System Install (if applicable)</t>
  </si>
  <si>
    <t>Milestone D3 - Quarterly O&amp;M and Monitoring-Reporting (if applicable)</t>
  </si>
  <si>
    <t>Independent of the 18-month O&amp;M period indicated above, all bidders shall indicate below the number of remedial system O&amp;M quarters that are expected to be needed for the site to achieve SHS for all COCs in groundwater under the bidder's care.</t>
  </si>
  <si>
    <t>Required Quarters of remedial System O&amp;M &gt;&gt;&gt;</t>
  </si>
  <si>
    <t>Milestone D1 (if implemented) - Fixed unit-cost for excessively contaminated soil transportation and disposal ($/ton).</t>
  </si>
  <si>
    <t>Milestone A - All inclusive fixed unit-rate per quarterly monitoring, sampling and reporting event ($/event).</t>
  </si>
  <si>
    <t>Attachment 2</t>
  </si>
  <si>
    <t>Bernard III Land Co., Inc., Armstrong Township, Indiana County, PA</t>
  </si>
  <si>
    <t>Milestone B.                                 Decommission Facility Water Supply Well</t>
  </si>
  <si>
    <t>Milestone C.                                      Supplemental Site Characterization Activities and Reporting</t>
  </si>
  <si>
    <t>Milestone D4 -             Post-Remedial Quarterly Groundwater Monitoring, Sampling and Reporting</t>
  </si>
  <si>
    <t>Milestone F.                                Groundwater Exposure Pathway Evaluation and Quantitative Risk Assessment</t>
  </si>
  <si>
    <t>Milestone D.                                                                                                                     Implementation of Remedial Solution</t>
  </si>
  <si>
    <t>Waste Transport &amp; Disposal</t>
  </si>
  <si>
    <t>Milestone A - All inclusive fixed unit-rate for absorbent sock replacement / disposal ($/event)</t>
  </si>
  <si>
    <t>Milestone H.                                                 Finalizing / Filing of EC(s)</t>
  </si>
  <si>
    <t>Milestone I.                            Site Restoration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</si>
</sst>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164" fontId="3" fillId="2" borderId="2" xfId="0" applyNumberFormat="1" applyFont="1" applyFill="1" applyBorder="1" applyAlignment="1" applyProtection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Border="1"/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Border="1" applyAlignment="1" applyProtection="1">
      <alignment vertical="top"/>
      <protection locked="0"/>
    </xf>
    <xf numFmtId="0" fontId="3" fillId="0" borderId="3" xfId="0" applyFont="1" applyBorder="1" applyProtection="1"/>
    <xf numFmtId="0" fontId="3" fillId="0" borderId="4" xfId="0" applyFont="1" applyBorder="1" applyProtection="1"/>
    <xf numFmtId="0" fontId="4" fillId="0" borderId="4" xfId="0" applyFont="1" applyBorder="1" applyAlignment="1" applyProtection="1">
      <alignment horizontal="left"/>
    </xf>
    <xf numFmtId="0" fontId="4" fillId="0" borderId="4" xfId="0" applyFont="1" applyBorder="1" applyProtection="1"/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vertical="top"/>
    </xf>
    <xf numFmtId="0" fontId="2" fillId="0" borderId="8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left" vertical="top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Protection="1"/>
    <xf numFmtId="0" fontId="3" fillId="4" borderId="8" xfId="0" applyFont="1" applyFill="1" applyBorder="1" applyAlignment="1" applyProtection="1">
      <alignment horizontal="center" vertical="center" wrapText="1"/>
    </xf>
    <xf numFmtId="0" fontId="3" fillId="4" borderId="10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/>
    </xf>
    <xf numFmtId="164" fontId="3" fillId="0" borderId="11" xfId="0" applyNumberFormat="1" applyFont="1" applyBorder="1" applyAlignment="1" applyProtection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164" fontId="14" fillId="0" borderId="12" xfId="0" applyNumberFormat="1" applyFont="1" applyBorder="1" applyAlignment="1" applyProtection="1">
      <alignment horizontal="center"/>
    </xf>
    <xf numFmtId="0" fontId="3" fillId="0" borderId="13" xfId="0" applyFont="1" applyFill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left" vertical="center" wrapText="1"/>
    </xf>
    <xf numFmtId="0" fontId="2" fillId="0" borderId="13" xfId="0" applyFont="1" applyBorder="1" applyAlignment="1" applyProtection="1">
      <alignment horizontal="left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top" wrapText="1"/>
      <protection locked="0"/>
    </xf>
    <xf numFmtId="164" fontId="2" fillId="5" borderId="1" xfId="0" applyNumberFormat="1" applyFont="1" applyFill="1" applyBorder="1" applyAlignment="1" applyProtection="1">
      <alignment horizontal="center"/>
      <protection locked="0"/>
    </xf>
    <xf numFmtId="164" fontId="3" fillId="0" borderId="1" xfId="0" applyNumberFormat="1" applyFont="1" applyFill="1" applyBorder="1" applyAlignment="1" applyProtection="1">
      <alignment horizontal="center"/>
    </xf>
    <xf numFmtId="164" fontId="2" fillId="5" borderId="15" xfId="0" applyNumberFormat="1" applyFont="1" applyFill="1" applyBorder="1" applyAlignment="1" applyProtection="1">
      <alignment horizontal="center"/>
      <protection locked="0"/>
    </xf>
    <xf numFmtId="164" fontId="2" fillId="5" borderId="16" xfId="0" applyNumberFormat="1" applyFont="1" applyFill="1" applyBorder="1" applyAlignment="1" applyProtection="1">
      <alignment horizontal="center"/>
      <protection locked="0"/>
    </xf>
    <xf numFmtId="164" fontId="2" fillId="5" borderId="6" xfId="0" applyNumberFormat="1" applyFont="1" applyFill="1" applyBorder="1" applyAlignment="1" applyProtection="1">
      <alignment horizontal="center"/>
      <protection locked="0"/>
    </xf>
    <xf numFmtId="10" fontId="2" fillId="5" borderId="1" xfId="0" applyNumberFormat="1" applyFont="1" applyFill="1" applyBorder="1" applyAlignment="1" applyProtection="1">
      <alignment horizontal="center"/>
      <protection locked="0"/>
    </xf>
    <xf numFmtId="0" fontId="4" fillId="5" borderId="4" xfId="0" applyFont="1" applyFill="1" applyBorder="1" applyAlignment="1" applyProtection="1">
      <alignment horizontal="left"/>
      <protection locked="0"/>
    </xf>
    <xf numFmtId="0" fontId="2" fillId="5" borderId="7" xfId="0" applyFont="1" applyFill="1" applyBorder="1" applyAlignment="1" applyProtection="1">
      <alignment vertical="top"/>
      <protection locked="0"/>
    </xf>
    <xf numFmtId="0" fontId="2" fillId="5" borderId="17" xfId="0" applyFont="1" applyFill="1" applyBorder="1" applyAlignment="1" applyProtection="1">
      <alignment vertical="top"/>
      <protection locked="0"/>
    </xf>
    <xf numFmtId="164" fontId="2" fillId="0" borderId="1" xfId="0" applyNumberFormat="1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2" fillId="0" borderId="18" xfId="0" applyFont="1" applyBorder="1" applyAlignment="1" applyProtection="1">
      <alignment vertical="top"/>
      <protection locked="0"/>
    </xf>
    <xf numFmtId="164" fontId="2" fillId="0" borderId="18" xfId="0" applyNumberFormat="1" applyFont="1" applyFill="1" applyBorder="1" applyAlignment="1" applyProtection="1">
      <alignment horizontal="center"/>
      <protection locked="0"/>
    </xf>
    <xf numFmtId="164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center" vertical="center" wrapText="1"/>
    </xf>
    <xf numFmtId="0" fontId="11" fillId="0" borderId="19" xfId="0" applyFont="1" applyBorder="1" applyAlignment="1" applyProtection="1">
      <alignment horizontal="center" vertical="center" wrapText="1"/>
    </xf>
    <xf numFmtId="0" fontId="11" fillId="0" borderId="10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11" fillId="0" borderId="30" xfId="0" applyFont="1" applyBorder="1" applyAlignment="1" applyProtection="1">
      <alignment horizontal="center" vertical="center" wrapText="1"/>
    </xf>
    <xf numFmtId="0" fontId="11" fillId="5" borderId="31" xfId="0" applyNumberFormat="1" applyFont="1" applyFill="1" applyBorder="1" applyAlignment="1" applyProtection="1">
      <alignment horizontal="center" vertical="center"/>
      <protection locked="0"/>
    </xf>
    <xf numFmtId="0" fontId="11" fillId="5" borderId="32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center" vertical="center" wrapText="1"/>
    </xf>
    <xf numFmtId="0" fontId="2" fillId="0" borderId="25" xfId="0" applyFont="1" applyBorder="1" applyAlignment="1" applyProtection="1">
      <alignment horizontal="left" vertical="center" wrapText="1"/>
    </xf>
    <xf numFmtId="0" fontId="2" fillId="0" borderId="26" xfId="0" applyFont="1" applyBorder="1" applyAlignment="1" applyProtection="1">
      <alignment horizontal="left" vertical="center" wrapText="1"/>
    </xf>
    <xf numFmtId="0" fontId="2" fillId="0" borderId="27" xfId="0" applyFont="1" applyBorder="1" applyAlignment="1" applyProtection="1">
      <alignment horizontal="left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22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23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3" fillId="3" borderId="24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10" fillId="6" borderId="8" xfId="0" applyFont="1" applyFill="1" applyBorder="1" applyAlignment="1" applyProtection="1">
      <alignment horizontal="center" vertical="center" wrapText="1"/>
    </xf>
    <xf numFmtId="0" fontId="10" fillId="6" borderId="22" xfId="0" applyFont="1" applyFill="1" applyBorder="1" applyAlignment="1" applyProtection="1">
      <alignment horizontal="center" vertical="center" wrapText="1"/>
    </xf>
    <xf numFmtId="0" fontId="10" fillId="6" borderId="2" xfId="0" applyFont="1" applyFill="1" applyBorder="1" applyAlignment="1" applyProtection="1">
      <alignment horizontal="center" vertical="center" wrapText="1"/>
    </xf>
    <xf numFmtId="0" fontId="2" fillId="0" borderId="0" xfId="0" applyFont="1" applyProtection="1"/>
    <xf numFmtId="0" fontId="2" fillId="0" borderId="0" xfId="0" applyFont="1" applyAlignment="1" applyProtection="1">
      <alignment vertical="top"/>
    </xf>
    <xf numFmtId="0" fontId="0" fillId="0" borderId="10" xfId="0" applyBorder="1" applyAlignment="1" applyProtection="1">
      <alignment horizontal="center" vertical="center" wrapText="1"/>
    </xf>
    <xf numFmtId="0" fontId="0" fillId="0" borderId="12" xfId="0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left" vertical="top" wrapText="1"/>
      <protection locked="0"/>
    </xf>
    <xf numFmtId="0" fontId="2" fillId="0" borderId="20" xfId="0" applyFont="1" applyBorder="1" applyAlignment="1" applyProtection="1">
      <alignment horizontal="left" vertical="top" wrapText="1"/>
      <protection locked="0"/>
    </xf>
    <xf numFmtId="0" fontId="2" fillId="0" borderId="21" xfId="0" applyFont="1" applyBorder="1" applyAlignment="1" applyProtection="1">
      <alignment horizontal="left" vertical="top" wrapText="1"/>
      <protection locked="0"/>
    </xf>
    <xf numFmtId="0" fontId="5" fillId="3" borderId="3" xfId="0" applyFont="1" applyFill="1" applyBorder="1" applyAlignment="1" applyProtection="1">
      <alignment horizontal="center" textRotation="90" wrapText="1"/>
    </xf>
    <xf numFmtId="0" fontId="5" fillId="3" borderId="4" xfId="0" applyFont="1" applyFill="1" applyBorder="1" applyAlignment="1" applyProtection="1">
      <alignment horizontal="center" textRotation="90" wrapText="1"/>
    </xf>
    <xf numFmtId="0" fontId="2" fillId="0" borderId="25" xfId="0" applyFont="1" applyBorder="1" applyAlignment="1" applyProtection="1">
      <alignment vertical="center"/>
    </xf>
    <xf numFmtId="0" fontId="2" fillId="0" borderId="26" xfId="0" applyFont="1" applyBorder="1" applyAlignment="1" applyProtection="1">
      <alignment vertical="center"/>
    </xf>
    <xf numFmtId="0" fontId="2" fillId="0" borderId="27" xfId="0" applyFont="1" applyBorder="1" applyAlignment="1" applyProtection="1">
      <alignment vertical="center"/>
    </xf>
    <xf numFmtId="0" fontId="2" fillId="0" borderId="23" xfId="0" applyFont="1" applyBorder="1" applyAlignment="1" applyProtection="1">
      <alignment vertical="center"/>
    </xf>
    <xf numFmtId="0" fontId="2" fillId="0" borderId="28" xfId="0" applyFont="1" applyBorder="1" applyAlignment="1" applyProtection="1">
      <alignment vertical="center"/>
    </xf>
    <xf numFmtId="0" fontId="2" fillId="0" borderId="29" xfId="0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4"/>
  <sheetViews>
    <sheetView tabSelected="1" zoomScale="75" zoomScaleNormal="75" zoomScaleSheetLayoutView="80" workbookViewId="0">
      <selection activeCell="A5" sqref="A5"/>
    </sheetView>
  </sheetViews>
  <sheetFormatPr defaultColWidth="8.7109375" defaultRowHeight="12"/>
  <cols>
    <col min="1" max="1" width="31.28515625" style="1" customWidth="1"/>
    <col min="2" max="2" width="16.140625" style="1" customWidth="1"/>
    <col min="3" max="4" width="22.28515625" style="1" customWidth="1"/>
    <col min="5" max="5" width="23" style="1" customWidth="1"/>
    <col min="6" max="6" width="21.28515625" style="1" customWidth="1"/>
    <col min="7" max="8" width="19.28515625" style="1" customWidth="1"/>
    <col min="9" max="9" width="21" style="1" customWidth="1"/>
    <col min="10" max="10" width="22" style="1" customWidth="1"/>
    <col min="11" max="11" width="22.28515625" style="1" customWidth="1"/>
    <col min="12" max="12" width="23.7109375" style="1" customWidth="1"/>
    <col min="13" max="13" width="20.28515625" style="1" customWidth="1"/>
    <col min="14" max="14" width="15.28515625" style="1" customWidth="1"/>
    <col min="15" max="15" width="15.7109375" style="1" customWidth="1"/>
    <col min="16" max="17" width="8.7109375" style="1"/>
    <col min="18" max="18" width="9.140625" style="1" customWidth="1"/>
    <col min="19" max="16384" width="8.7109375" style="1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>
      <c r="A2" s="70" t="s">
        <v>56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8">
      <c r="A3" s="70" t="s">
        <v>46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4" spans="1:18">
      <c r="A4" s="70" t="s">
        <v>57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8" ht="25.5" customHeight="1" thickBot="1">
      <c r="A5" s="22"/>
      <c r="B5" s="22"/>
      <c r="C5" s="22"/>
      <c r="D5" s="23"/>
      <c r="E5" s="23"/>
      <c r="F5" s="23"/>
      <c r="G5" s="22"/>
      <c r="H5" s="22"/>
      <c r="I5" s="22"/>
      <c r="J5" s="22"/>
      <c r="K5" s="22"/>
      <c r="L5" s="22"/>
      <c r="M5" s="22"/>
      <c r="N5" s="22"/>
      <c r="O5" s="22"/>
    </row>
    <row r="6" spans="1:18" s="2" customFormat="1" ht="57" customHeight="1">
      <c r="A6" s="83" t="s">
        <v>0</v>
      </c>
      <c r="B6" s="85"/>
      <c r="C6" s="83" t="s">
        <v>39</v>
      </c>
      <c r="D6" s="72" t="s">
        <v>58</v>
      </c>
      <c r="E6" s="72" t="s">
        <v>59</v>
      </c>
      <c r="F6" s="83" t="s">
        <v>62</v>
      </c>
      <c r="G6" s="84"/>
      <c r="H6" s="84"/>
      <c r="I6" s="85"/>
      <c r="J6" s="72" t="s">
        <v>40</v>
      </c>
      <c r="K6" s="72" t="s">
        <v>61</v>
      </c>
      <c r="L6" s="72" t="s">
        <v>41</v>
      </c>
      <c r="M6" s="72" t="s">
        <v>65</v>
      </c>
      <c r="N6" s="72" t="s">
        <v>66</v>
      </c>
      <c r="O6" s="72" t="s">
        <v>1</v>
      </c>
    </row>
    <row r="7" spans="1:18" s="2" customFormat="1" ht="53.45" customHeight="1" thickBot="1">
      <c r="A7" s="96"/>
      <c r="B7" s="97"/>
      <c r="C7" s="96"/>
      <c r="D7" s="73"/>
      <c r="E7" s="73"/>
      <c r="F7" s="86"/>
      <c r="G7" s="87"/>
      <c r="H7" s="87"/>
      <c r="I7" s="88"/>
      <c r="J7" s="73"/>
      <c r="K7" s="73"/>
      <c r="L7" s="73"/>
      <c r="M7" s="73"/>
      <c r="N7" s="73"/>
      <c r="O7" s="73"/>
    </row>
    <row r="8" spans="1:18" s="2" customFormat="1" ht="114.75" customHeight="1" thickBot="1">
      <c r="A8" s="77" t="s">
        <v>42</v>
      </c>
      <c r="B8" s="82"/>
      <c r="C8" s="28" t="s">
        <v>47</v>
      </c>
      <c r="D8" s="29" t="s">
        <v>43</v>
      </c>
      <c r="E8" s="29" t="s">
        <v>43</v>
      </c>
      <c r="F8" s="30" t="s">
        <v>49</v>
      </c>
      <c r="G8" s="28" t="s">
        <v>50</v>
      </c>
      <c r="H8" s="28" t="s">
        <v>51</v>
      </c>
      <c r="I8" s="28" t="s">
        <v>60</v>
      </c>
      <c r="J8" s="28" t="s">
        <v>43</v>
      </c>
      <c r="K8" s="28" t="s">
        <v>43</v>
      </c>
      <c r="L8" s="28" t="s">
        <v>43</v>
      </c>
      <c r="M8" s="28" t="s">
        <v>43</v>
      </c>
      <c r="N8" s="28" t="s">
        <v>43</v>
      </c>
      <c r="O8" s="3"/>
      <c r="P8" s="34"/>
      <c r="Q8" s="35"/>
      <c r="R8" s="36"/>
    </row>
    <row r="9" spans="1:18" s="2" customFormat="1" ht="16.5" thickBot="1">
      <c r="A9" s="77" t="s">
        <v>2</v>
      </c>
      <c r="B9" s="82"/>
      <c r="C9" s="28">
        <v>3</v>
      </c>
      <c r="D9" s="28">
        <v>1</v>
      </c>
      <c r="E9" s="30">
        <v>1</v>
      </c>
      <c r="F9" s="31">
        <v>1</v>
      </c>
      <c r="G9" s="31">
        <v>1</v>
      </c>
      <c r="H9" s="31">
        <v>6</v>
      </c>
      <c r="I9" s="54">
        <v>8</v>
      </c>
      <c r="J9" s="30">
        <v>1</v>
      </c>
      <c r="K9" s="31">
        <v>1</v>
      </c>
      <c r="L9" s="31">
        <v>1</v>
      </c>
      <c r="M9" s="31">
        <v>1</v>
      </c>
      <c r="N9" s="31">
        <v>1</v>
      </c>
      <c r="O9" s="3"/>
    </row>
    <row r="10" spans="1:18" s="4" customFormat="1" ht="16.5" thickBot="1">
      <c r="A10" s="11" t="s">
        <v>3</v>
      </c>
      <c r="B10" s="101" t="s">
        <v>4</v>
      </c>
      <c r="C10" s="44">
        <v>0</v>
      </c>
      <c r="D10" s="44">
        <v>0</v>
      </c>
      <c r="E10" s="53"/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32">
        <f>+(C10*3)+D10+F10+G10+(H10*6)+(I10*8)+J10+K10+L10+M10+N10</f>
        <v>0</v>
      </c>
    </row>
    <row r="11" spans="1:18" s="4" customFormat="1" ht="19.5" thickBot="1">
      <c r="A11" s="12" t="s">
        <v>5</v>
      </c>
      <c r="B11" s="10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3"/>
    </row>
    <row r="12" spans="1:18" s="4" customFormat="1" ht="16.5" thickBot="1">
      <c r="A12" s="50" t="s">
        <v>6</v>
      </c>
      <c r="B12" s="102"/>
      <c r="C12" s="44">
        <v>0</v>
      </c>
      <c r="D12" s="44">
        <v>0</v>
      </c>
      <c r="E12" s="53"/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5">
        <f>+(C12*3)+D12+F12+G12+(H12*6)+(I12*8)+J12+K12+L12+M12+N12</f>
        <v>0</v>
      </c>
    </row>
    <row r="13" spans="1:18" s="4" customFormat="1" ht="16.5" thickBot="1">
      <c r="A13" s="50" t="s">
        <v>6</v>
      </c>
      <c r="B13" s="102"/>
      <c r="C13" s="44">
        <v>0</v>
      </c>
      <c r="D13" s="44">
        <v>0</v>
      </c>
      <c r="E13" s="53"/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5">
        <f>+(C13*3)+D13+F13+G13+(H13*6)+(I13*8)+J13+K13+L13+M13+N13</f>
        <v>0</v>
      </c>
    </row>
    <row r="14" spans="1:18" s="4" customFormat="1" ht="16.5" thickBot="1">
      <c r="A14" s="50" t="s">
        <v>6</v>
      </c>
      <c r="B14" s="102"/>
      <c r="C14" s="44">
        <v>0</v>
      </c>
      <c r="D14" s="44">
        <v>0</v>
      </c>
      <c r="E14" s="53"/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5">
        <f>+(C14*3)+D14+F14+G14+(H14*6)+(I14*8)+J14+K14+L14+M14+N14</f>
        <v>0</v>
      </c>
    </row>
    <row r="15" spans="1:18" s="4" customFormat="1" ht="16.5" thickBot="1">
      <c r="A15" s="14" t="s">
        <v>7</v>
      </c>
      <c r="B15" s="102"/>
      <c r="C15" s="44">
        <v>0</v>
      </c>
      <c r="D15" s="44">
        <v>0</v>
      </c>
      <c r="E15" s="53"/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5">
        <f>+(C15*3)+D15+F15+G15+(H15*6)+(I15*8)+J15+K15+L15+M15+N15</f>
        <v>0</v>
      </c>
    </row>
    <row r="16" spans="1:18" s="4" customFormat="1" ht="19.5" thickBot="1">
      <c r="A16" s="12" t="s">
        <v>8</v>
      </c>
      <c r="B16" s="10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3"/>
    </row>
    <row r="17" spans="1:17" s="4" customFormat="1" ht="16.5" thickBot="1">
      <c r="A17" s="13" t="s">
        <v>37</v>
      </c>
      <c r="B17" s="102"/>
      <c r="C17" s="44">
        <v>0</v>
      </c>
      <c r="D17" s="44">
        <v>0</v>
      </c>
      <c r="E17" s="53"/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32">
        <f t="shared" ref="O17:O34" si="0">+(C17*3)+D17+F17+G17+(H17*6)+(I17*8)+J17+K17+L17+M17+N17</f>
        <v>0</v>
      </c>
    </row>
    <row r="18" spans="1:17" s="4" customFormat="1" ht="16.5" thickBot="1">
      <c r="A18" s="14" t="s">
        <v>9</v>
      </c>
      <c r="B18" s="102"/>
      <c r="C18" s="44">
        <v>0</v>
      </c>
      <c r="D18" s="44">
        <v>0</v>
      </c>
      <c r="E18" s="53"/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32">
        <f t="shared" si="0"/>
        <v>0</v>
      </c>
    </row>
    <row r="19" spans="1:17" s="4" customFormat="1" ht="16.5" thickBot="1">
      <c r="A19" s="14" t="s">
        <v>10</v>
      </c>
      <c r="B19" s="102"/>
      <c r="C19" s="44">
        <v>0</v>
      </c>
      <c r="D19" s="44">
        <v>0</v>
      </c>
      <c r="E19" s="53"/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32">
        <f t="shared" si="0"/>
        <v>0</v>
      </c>
    </row>
    <row r="20" spans="1:17" s="4" customFormat="1" ht="16.5" thickBot="1">
      <c r="A20" s="14" t="s">
        <v>11</v>
      </c>
      <c r="B20" s="102"/>
      <c r="C20" s="44">
        <v>0</v>
      </c>
      <c r="D20" s="44">
        <v>0</v>
      </c>
      <c r="E20" s="53"/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32">
        <f t="shared" si="0"/>
        <v>0</v>
      </c>
    </row>
    <row r="21" spans="1:17" s="4" customFormat="1" ht="16.5" thickBot="1">
      <c r="A21" s="14" t="s">
        <v>34</v>
      </c>
      <c r="B21" s="102"/>
      <c r="C21" s="44">
        <v>0</v>
      </c>
      <c r="D21" s="44">
        <v>0</v>
      </c>
      <c r="E21" s="53"/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32">
        <f t="shared" si="0"/>
        <v>0</v>
      </c>
    </row>
    <row r="22" spans="1:17" s="4" customFormat="1" ht="16.5" thickBot="1">
      <c r="A22" s="13" t="s">
        <v>12</v>
      </c>
      <c r="B22" s="102"/>
      <c r="C22" s="44">
        <v>0</v>
      </c>
      <c r="D22" s="44">
        <v>0</v>
      </c>
      <c r="E22" s="53"/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32">
        <f t="shared" si="0"/>
        <v>0</v>
      </c>
      <c r="Q22" s="37"/>
    </row>
    <row r="23" spans="1:17" s="4" customFormat="1" ht="16.5" thickBot="1">
      <c r="A23" s="13" t="s">
        <v>38</v>
      </c>
      <c r="B23" s="102"/>
      <c r="C23" s="44">
        <v>0</v>
      </c>
      <c r="D23" s="44">
        <v>0</v>
      </c>
      <c r="E23" s="53"/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32">
        <f t="shared" si="0"/>
        <v>0</v>
      </c>
    </row>
    <row r="24" spans="1:17" s="4" customFormat="1" ht="16.5" thickBot="1">
      <c r="A24" s="13" t="s">
        <v>63</v>
      </c>
      <c r="B24" s="102"/>
      <c r="C24" s="44">
        <v>0</v>
      </c>
      <c r="D24" s="44">
        <v>0</v>
      </c>
      <c r="E24" s="53"/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32">
        <f t="shared" si="0"/>
        <v>0</v>
      </c>
    </row>
    <row r="25" spans="1:17" s="4" customFormat="1" ht="16.5" thickBot="1">
      <c r="A25" s="50" t="s">
        <v>13</v>
      </c>
      <c r="B25" s="102"/>
      <c r="C25" s="44">
        <v>0</v>
      </c>
      <c r="D25" s="44">
        <v>0</v>
      </c>
      <c r="E25" s="53"/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32">
        <f t="shared" si="0"/>
        <v>0</v>
      </c>
    </row>
    <row r="26" spans="1:17" s="4" customFormat="1" ht="16.5" thickBot="1">
      <c r="A26" s="50" t="s">
        <v>13</v>
      </c>
      <c r="B26" s="102"/>
      <c r="C26" s="44">
        <v>0</v>
      </c>
      <c r="D26" s="44">
        <v>0</v>
      </c>
      <c r="E26" s="53"/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32">
        <f t="shared" si="0"/>
        <v>0</v>
      </c>
    </row>
    <row r="27" spans="1:17" s="4" customFormat="1" ht="16.5" thickBot="1">
      <c r="A27" s="50" t="s">
        <v>13</v>
      </c>
      <c r="B27" s="102"/>
      <c r="C27" s="44">
        <v>0</v>
      </c>
      <c r="D27" s="44">
        <v>0</v>
      </c>
      <c r="E27" s="53"/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32">
        <f t="shared" si="0"/>
        <v>0</v>
      </c>
    </row>
    <row r="28" spans="1:17" s="4" customFormat="1" ht="16.5" thickBot="1">
      <c r="A28" s="50" t="s">
        <v>13</v>
      </c>
      <c r="B28" s="102"/>
      <c r="C28" s="44">
        <v>0</v>
      </c>
      <c r="D28" s="44">
        <v>0</v>
      </c>
      <c r="E28" s="53"/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32">
        <f t="shared" si="0"/>
        <v>0</v>
      </c>
    </row>
    <row r="29" spans="1:17" s="4" customFormat="1" ht="16.5" thickBot="1">
      <c r="A29" s="50" t="s">
        <v>13</v>
      </c>
      <c r="B29" s="102"/>
      <c r="C29" s="44">
        <v>0</v>
      </c>
      <c r="D29" s="44">
        <v>0</v>
      </c>
      <c r="E29" s="53"/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32">
        <f t="shared" si="0"/>
        <v>0</v>
      </c>
    </row>
    <row r="30" spans="1:17" s="4" customFormat="1" ht="16.5" thickBot="1">
      <c r="A30" s="50" t="s">
        <v>13</v>
      </c>
      <c r="B30" s="102"/>
      <c r="C30" s="44">
        <v>0</v>
      </c>
      <c r="D30" s="44">
        <v>0</v>
      </c>
      <c r="E30" s="53"/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32">
        <f t="shared" si="0"/>
        <v>0</v>
      </c>
    </row>
    <row r="31" spans="1:17" s="4" customFormat="1" ht="16.5" thickBot="1">
      <c r="A31" s="50" t="s">
        <v>13</v>
      </c>
      <c r="B31" s="102"/>
      <c r="C31" s="44">
        <v>0</v>
      </c>
      <c r="D31" s="44">
        <v>0</v>
      </c>
      <c r="E31" s="53"/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32">
        <f t="shared" si="0"/>
        <v>0</v>
      </c>
    </row>
    <row r="32" spans="1:17" s="4" customFormat="1" ht="16.5" thickBot="1">
      <c r="A32" s="50" t="s">
        <v>13</v>
      </c>
      <c r="B32" s="102"/>
      <c r="C32" s="44">
        <v>0</v>
      </c>
      <c r="D32" s="44">
        <v>0</v>
      </c>
      <c r="E32" s="53"/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32">
        <f t="shared" si="0"/>
        <v>0</v>
      </c>
    </row>
    <row r="33" spans="1:18" s="4" customFormat="1" ht="16.5" thickBot="1">
      <c r="A33" s="50" t="s">
        <v>13</v>
      </c>
      <c r="B33" s="102"/>
      <c r="C33" s="44">
        <v>0</v>
      </c>
      <c r="D33" s="44">
        <v>0</v>
      </c>
      <c r="E33" s="53"/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32">
        <f t="shared" si="0"/>
        <v>0</v>
      </c>
    </row>
    <row r="34" spans="1:18" s="4" customFormat="1" ht="16.5" thickBot="1">
      <c r="A34" s="50" t="s">
        <v>13</v>
      </c>
      <c r="B34" s="102"/>
      <c r="C34" s="44">
        <v>0</v>
      </c>
      <c r="D34" s="44">
        <v>0</v>
      </c>
      <c r="E34" s="53"/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32">
        <f t="shared" si="0"/>
        <v>0</v>
      </c>
    </row>
    <row r="35" spans="1:18" s="4" customFormat="1" ht="18.75" thickBot="1">
      <c r="A35" s="89" t="s">
        <v>14</v>
      </c>
      <c r="B35" s="90"/>
      <c r="C35" s="32">
        <f>SUM(C10:C34)</f>
        <v>0</v>
      </c>
      <c r="D35" s="32">
        <f>+SUM(D10:D34)</f>
        <v>0</v>
      </c>
      <c r="E35" s="32">
        <v>10000</v>
      </c>
      <c r="F35" s="32">
        <f>+SUM(F10:F34)</f>
        <v>0</v>
      </c>
      <c r="G35" s="32">
        <f t="shared" ref="G35:N35" si="1">SUM(G10:G34)</f>
        <v>0</v>
      </c>
      <c r="H35" s="32">
        <f t="shared" si="1"/>
        <v>0</v>
      </c>
      <c r="I35" s="32">
        <f t="shared" si="1"/>
        <v>0</v>
      </c>
      <c r="J35" s="32">
        <f t="shared" si="1"/>
        <v>0</v>
      </c>
      <c r="K35" s="32">
        <f t="shared" si="1"/>
        <v>0</v>
      </c>
      <c r="L35" s="32">
        <f t="shared" si="1"/>
        <v>0</v>
      </c>
      <c r="M35" s="32">
        <f>SUM(M10:M34)</f>
        <v>0</v>
      </c>
      <c r="N35" s="32">
        <f t="shared" si="1"/>
        <v>0</v>
      </c>
      <c r="O35" s="6"/>
    </row>
    <row r="36" spans="1:18" s="4" customFormat="1" ht="18.75" thickBot="1">
      <c r="A36" s="80" t="s">
        <v>15</v>
      </c>
      <c r="B36" s="81"/>
      <c r="C36" s="33">
        <f t="shared" ref="C36:N36" si="2">+C35*C9</f>
        <v>0</v>
      </c>
      <c r="D36" s="33">
        <f>+D35*D9</f>
        <v>0</v>
      </c>
      <c r="E36" s="33">
        <f t="shared" si="2"/>
        <v>10000</v>
      </c>
      <c r="F36" s="33">
        <f t="shared" si="2"/>
        <v>0</v>
      </c>
      <c r="G36" s="33">
        <f t="shared" si="2"/>
        <v>0</v>
      </c>
      <c r="H36" s="33">
        <f t="shared" si="2"/>
        <v>0</v>
      </c>
      <c r="I36" s="33">
        <f t="shared" si="2"/>
        <v>0</v>
      </c>
      <c r="J36" s="33">
        <f t="shared" si="2"/>
        <v>0</v>
      </c>
      <c r="K36" s="33">
        <f t="shared" si="2"/>
        <v>0</v>
      </c>
      <c r="L36" s="33">
        <f t="shared" si="2"/>
        <v>0</v>
      </c>
      <c r="M36" s="33">
        <f>+M35*M9</f>
        <v>0</v>
      </c>
      <c r="N36" s="33">
        <f t="shared" si="2"/>
        <v>0</v>
      </c>
      <c r="O36" s="38">
        <f>+SUM(C36:N36)</f>
        <v>10000</v>
      </c>
    </row>
    <row r="37" spans="1:18" s="4" customFormat="1" ht="18.75" thickBot="1">
      <c r="A37" s="24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6"/>
    </row>
    <row r="38" spans="1:18" s="7" customFormat="1" ht="80.25" customHeight="1" thickBot="1">
      <c r="A38" s="15" t="s">
        <v>16</v>
      </c>
      <c r="B38" s="16" t="s">
        <v>17</v>
      </c>
      <c r="C38" s="27"/>
      <c r="D38" s="27"/>
      <c r="E38" s="77" t="s">
        <v>35</v>
      </c>
      <c r="F38" s="78"/>
      <c r="G38" s="78"/>
      <c r="H38" s="78"/>
      <c r="I38" s="78"/>
      <c r="J38" s="42" t="s">
        <v>36</v>
      </c>
      <c r="K38" s="39"/>
      <c r="L38" s="57"/>
      <c r="M38" s="57"/>
      <c r="N38" s="57"/>
      <c r="O38" s="57"/>
      <c r="P38" s="79"/>
      <c r="Q38" s="79"/>
      <c r="R38" s="79"/>
    </row>
    <row r="39" spans="1:18" s="9" customFormat="1" ht="26.25" customHeight="1">
      <c r="A39" s="17" t="s">
        <v>18</v>
      </c>
      <c r="B39" s="46">
        <v>0</v>
      </c>
      <c r="C39" s="19"/>
      <c r="D39" s="19"/>
      <c r="E39" s="106" t="s">
        <v>55</v>
      </c>
      <c r="F39" s="107"/>
      <c r="G39" s="107"/>
      <c r="H39" s="107"/>
      <c r="I39" s="108"/>
      <c r="J39" s="48">
        <v>0</v>
      </c>
      <c r="K39" s="40"/>
      <c r="L39" s="60"/>
      <c r="M39" s="60"/>
      <c r="N39" s="60"/>
      <c r="O39" s="61"/>
    </row>
    <row r="40" spans="1:18" s="9" customFormat="1" ht="26.25" customHeight="1">
      <c r="A40" s="17" t="s">
        <v>19</v>
      </c>
      <c r="B40" s="46">
        <v>0</v>
      </c>
      <c r="C40" s="19"/>
      <c r="D40" s="19"/>
      <c r="E40" s="103" t="s">
        <v>64</v>
      </c>
      <c r="F40" s="104"/>
      <c r="G40" s="104"/>
      <c r="H40" s="104"/>
      <c r="I40" s="105"/>
      <c r="J40" s="46">
        <v>0</v>
      </c>
      <c r="K40" s="40"/>
      <c r="L40" s="60"/>
      <c r="M40" s="60"/>
      <c r="N40" s="60"/>
      <c r="O40" s="61"/>
    </row>
    <row r="41" spans="1:18" s="9" customFormat="1" ht="26.25" customHeight="1">
      <c r="A41" s="17" t="s">
        <v>20</v>
      </c>
      <c r="B41" s="46">
        <v>0</v>
      </c>
      <c r="C41" s="19"/>
      <c r="D41" s="19"/>
      <c r="E41" s="74" t="s">
        <v>54</v>
      </c>
      <c r="F41" s="75"/>
      <c r="G41" s="75"/>
      <c r="H41" s="75"/>
      <c r="I41" s="76"/>
      <c r="J41" s="46">
        <v>0</v>
      </c>
      <c r="K41" s="41"/>
      <c r="L41" s="21"/>
      <c r="M41" s="21"/>
      <c r="N41" s="21"/>
    </row>
    <row r="42" spans="1:18" s="9" customFormat="1" ht="26.25" customHeight="1">
      <c r="A42" s="17" t="s">
        <v>21</v>
      </c>
      <c r="B42" s="46">
        <v>0</v>
      </c>
      <c r="C42" s="19"/>
      <c r="D42" s="19"/>
      <c r="E42" s="74" t="s">
        <v>44</v>
      </c>
      <c r="F42" s="75"/>
      <c r="G42" s="75"/>
      <c r="H42" s="75"/>
      <c r="I42" s="76"/>
      <c r="J42" s="46">
        <v>0</v>
      </c>
      <c r="K42" s="41"/>
      <c r="L42" s="21"/>
      <c r="M42" s="21"/>
      <c r="N42" s="21"/>
    </row>
    <row r="43" spans="1:18" s="9" customFormat="1" ht="29.25" customHeight="1" thickBot="1">
      <c r="A43" s="17" t="s">
        <v>22</v>
      </c>
      <c r="B43" s="46">
        <v>0</v>
      </c>
      <c r="C43" s="19"/>
      <c r="D43" s="19"/>
      <c r="E43" s="58"/>
      <c r="F43" s="58"/>
      <c r="G43" s="58"/>
      <c r="H43" s="58"/>
      <c r="I43" s="58"/>
      <c r="J43" s="59"/>
      <c r="K43" s="55"/>
      <c r="L43" s="21"/>
      <c r="M43" s="21"/>
      <c r="N43" s="21"/>
    </row>
    <row r="44" spans="1:18" s="9" customFormat="1" ht="46.5" customHeight="1" thickBot="1">
      <c r="A44" s="17" t="s">
        <v>23</v>
      </c>
      <c r="B44" s="46">
        <v>0</v>
      </c>
      <c r="C44" s="19"/>
      <c r="D44" s="19"/>
      <c r="E44" s="91" t="s">
        <v>52</v>
      </c>
      <c r="F44" s="92"/>
      <c r="G44" s="92"/>
      <c r="H44" s="92"/>
      <c r="I44" s="93"/>
      <c r="J44" s="21"/>
      <c r="K44" s="56"/>
      <c r="L44" s="21"/>
      <c r="M44" s="21"/>
      <c r="N44" s="21"/>
    </row>
    <row r="45" spans="1:18" s="9" customFormat="1" ht="26.25" customHeight="1">
      <c r="A45" s="17" t="s">
        <v>24</v>
      </c>
      <c r="B45" s="46">
        <v>0</v>
      </c>
      <c r="C45" s="19"/>
      <c r="D45" s="19"/>
      <c r="E45" s="62" t="s">
        <v>53</v>
      </c>
      <c r="F45" s="63"/>
      <c r="G45" s="63"/>
      <c r="H45" s="64"/>
      <c r="I45" s="68"/>
      <c r="J45" s="21"/>
      <c r="K45" s="43"/>
      <c r="L45" s="21"/>
      <c r="M45" s="21"/>
      <c r="N45" s="21"/>
    </row>
    <row r="46" spans="1:18" s="9" customFormat="1" ht="21" customHeight="1" thickBot="1">
      <c r="A46" s="17" t="s">
        <v>25</v>
      </c>
      <c r="B46" s="46">
        <v>0</v>
      </c>
      <c r="C46" s="19"/>
      <c r="D46" s="19"/>
      <c r="E46" s="65"/>
      <c r="F46" s="66"/>
      <c r="G46" s="66"/>
      <c r="H46" s="67"/>
      <c r="I46" s="69"/>
      <c r="J46" s="21"/>
      <c r="K46" s="43"/>
      <c r="L46" s="21"/>
      <c r="M46" s="21"/>
      <c r="N46" s="21"/>
    </row>
    <row r="47" spans="1:18" s="9" customFormat="1" ht="18.75" customHeight="1">
      <c r="A47" s="17" t="s">
        <v>26</v>
      </c>
      <c r="B47" s="46">
        <v>0</v>
      </c>
      <c r="C47" s="19"/>
      <c r="D47" s="19"/>
      <c r="E47" s="71"/>
      <c r="F47" s="71"/>
      <c r="G47" s="71"/>
      <c r="H47" s="71"/>
      <c r="I47" s="71"/>
      <c r="J47" s="21"/>
      <c r="K47" s="43"/>
      <c r="L47" s="21"/>
      <c r="M47" s="21"/>
      <c r="N47" s="21"/>
    </row>
    <row r="48" spans="1:18" s="9" customFormat="1" ht="18" customHeight="1">
      <c r="A48" s="17" t="s">
        <v>27</v>
      </c>
      <c r="B48" s="46">
        <v>0</v>
      </c>
      <c r="C48" s="19"/>
      <c r="D48" s="19"/>
      <c r="E48" s="71"/>
      <c r="F48" s="71"/>
      <c r="G48" s="71"/>
      <c r="H48" s="71"/>
      <c r="I48" s="71"/>
      <c r="J48" s="21"/>
      <c r="K48" s="43"/>
      <c r="L48" s="21"/>
      <c r="M48" s="21"/>
      <c r="N48" s="21"/>
    </row>
    <row r="49" spans="1:15" s="9" customFormat="1" ht="18" customHeight="1">
      <c r="A49" s="17" t="s">
        <v>28</v>
      </c>
      <c r="B49" s="46">
        <v>0</v>
      </c>
      <c r="C49" s="19"/>
      <c r="D49" s="19"/>
      <c r="E49" s="71"/>
      <c r="F49" s="71"/>
      <c r="G49" s="71"/>
      <c r="H49" s="71"/>
      <c r="I49" s="71"/>
      <c r="J49" s="21"/>
      <c r="K49" s="43"/>
      <c r="L49" s="21"/>
      <c r="M49" s="21"/>
      <c r="N49" s="21"/>
    </row>
    <row r="50" spans="1:15" s="9" customFormat="1" ht="19.5" customHeight="1">
      <c r="A50" s="17" t="s">
        <v>29</v>
      </c>
      <c r="B50" s="46">
        <v>0</v>
      </c>
      <c r="C50" s="19"/>
      <c r="D50" s="19"/>
      <c r="E50" s="71"/>
      <c r="F50" s="71"/>
      <c r="G50" s="71"/>
      <c r="H50" s="71"/>
      <c r="I50" s="71"/>
      <c r="J50" s="21"/>
      <c r="K50" s="43"/>
      <c r="L50" s="21"/>
      <c r="M50" s="21"/>
      <c r="N50" s="21"/>
    </row>
    <row r="51" spans="1:15" s="9" customFormat="1">
      <c r="A51" s="51" t="s">
        <v>13</v>
      </c>
      <c r="B51" s="46">
        <v>0</v>
      </c>
      <c r="C51" s="19"/>
      <c r="D51" s="19"/>
      <c r="E51" s="98"/>
      <c r="F51" s="99"/>
      <c r="G51" s="99"/>
      <c r="H51" s="99"/>
      <c r="I51" s="99"/>
      <c r="J51" s="99"/>
      <c r="K51" s="100"/>
      <c r="L51" s="21"/>
      <c r="M51" s="21"/>
      <c r="N51" s="10"/>
    </row>
    <row r="52" spans="1:15" s="9" customFormat="1" ht="12.75" thickBot="1">
      <c r="A52" s="52" t="s">
        <v>13</v>
      </c>
      <c r="B52" s="47">
        <v>0</v>
      </c>
      <c r="C52" s="19"/>
      <c r="D52" s="19"/>
      <c r="E52" s="98"/>
      <c r="F52" s="99"/>
      <c r="G52" s="99"/>
      <c r="H52" s="99"/>
      <c r="I52" s="99"/>
      <c r="J52" s="99"/>
      <c r="K52" s="100"/>
      <c r="L52" s="21"/>
      <c r="M52" s="21"/>
      <c r="N52" s="10"/>
    </row>
    <row r="53" spans="1:15" s="9" customFormat="1">
      <c r="A53" s="10"/>
      <c r="B53" s="21"/>
      <c r="C53" s="19"/>
      <c r="D53" s="19"/>
      <c r="E53" s="98"/>
      <c r="F53" s="99"/>
      <c r="G53" s="99"/>
      <c r="H53" s="99"/>
      <c r="I53" s="99"/>
      <c r="J53" s="99"/>
      <c r="K53" s="100"/>
      <c r="L53" s="21"/>
      <c r="M53" s="21"/>
      <c r="N53" s="10"/>
    </row>
    <row r="54" spans="1:15" s="9" customFormat="1" ht="12" customHeight="1" thickBot="1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5" s="9" customFormat="1" ht="12.75" thickBot="1">
      <c r="A55" s="18" t="s">
        <v>30</v>
      </c>
      <c r="B55" s="49">
        <v>0</v>
      </c>
      <c r="C55" s="19" t="s">
        <v>31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5" s="9" customForma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1:15" s="9" customFormat="1">
      <c r="A57" s="20" t="s">
        <v>32</v>
      </c>
      <c r="B57" s="20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1:15" s="9" customFormat="1">
      <c r="A58" s="19" t="s">
        <v>33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1:15" s="9" customFormat="1">
      <c r="A59" s="95" t="s">
        <v>48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19"/>
      <c r="N59" s="19"/>
    </row>
    <row r="60" spans="1:15" s="7" customFormat="1" ht="12" customHeight="1">
      <c r="A60" s="94" t="s">
        <v>45</v>
      </c>
      <c r="B60" s="94"/>
      <c r="C60" s="94"/>
      <c r="D60" s="94"/>
      <c r="E60" s="94"/>
    </row>
    <row r="63" spans="1:15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19"/>
    </row>
    <row r="71" spans="1:2">
      <c r="A71" s="8"/>
      <c r="B71" s="8"/>
    </row>
    <row r="72" spans="1:2">
      <c r="A72" s="8"/>
      <c r="B72" s="8"/>
    </row>
    <row r="74" spans="1:2" ht="12" customHeight="1"/>
  </sheetData>
  <sheetProtection password="D9B1" sheet="1" selectLockedCells="1"/>
  <protectedRanges>
    <protectedRange password="BDBF" sqref="B55 K51:M53 B39:B53 C10:N10 C12:N15 C17:N34 J39:N50" name="Range1"/>
  </protectedRanges>
  <mergeCells count="38">
    <mergeCell ref="E53:K53"/>
    <mergeCell ref="B10:B34"/>
    <mergeCell ref="M6:M7"/>
    <mergeCell ref="A63:L63"/>
    <mergeCell ref="E50:I50"/>
    <mergeCell ref="E49:I49"/>
    <mergeCell ref="E40:I40"/>
    <mergeCell ref="E39:I39"/>
    <mergeCell ref="A35:B35"/>
    <mergeCell ref="E44:I44"/>
    <mergeCell ref="A60:E60"/>
    <mergeCell ref="L6:L7"/>
    <mergeCell ref="A59:L59"/>
    <mergeCell ref="C6:C7"/>
    <mergeCell ref="A6:B7"/>
    <mergeCell ref="E48:I48"/>
    <mergeCell ref="E51:K51"/>
    <mergeCell ref="E52:K52"/>
    <mergeCell ref="P38:R38"/>
    <mergeCell ref="A2:O2"/>
    <mergeCell ref="A36:B36"/>
    <mergeCell ref="A9:B9"/>
    <mergeCell ref="K6:K7"/>
    <mergeCell ref="D6:D7"/>
    <mergeCell ref="A8:B8"/>
    <mergeCell ref="O6:O7"/>
    <mergeCell ref="F6:I7"/>
    <mergeCell ref="N6:N7"/>
    <mergeCell ref="E45:H46"/>
    <mergeCell ref="I45:I46"/>
    <mergeCell ref="A3:O3"/>
    <mergeCell ref="A4:O4"/>
    <mergeCell ref="E47:I47"/>
    <mergeCell ref="E6:E7"/>
    <mergeCell ref="E42:I42"/>
    <mergeCell ref="E38:I38"/>
    <mergeCell ref="E41:I41"/>
    <mergeCell ref="J6:J7"/>
  </mergeCells>
  <phoneticPr fontId="8" type="noConversion"/>
  <printOptions horizontalCentered="1"/>
  <pageMargins left="0.75" right="0.75" top="0.75" bottom="1" header="0.5" footer="0.5"/>
  <pageSetup scale="38" orientation="landscape" horizontalDpi="1200" verticalDpi="1200" r:id="rId1"/>
  <headerFooter alignWithMargins="0"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Roberts</dc:creator>
  <cp:lastModifiedBy>Amy Steiner</cp:lastModifiedBy>
  <cp:lastPrinted>2013-08-13T12:52:37Z</cp:lastPrinted>
  <dcterms:created xsi:type="dcterms:W3CDTF">2009-03-12T14:50:14Z</dcterms:created>
  <dcterms:modified xsi:type="dcterms:W3CDTF">2013-09-12T13:49:43Z</dcterms:modified>
</cp:coreProperties>
</file>