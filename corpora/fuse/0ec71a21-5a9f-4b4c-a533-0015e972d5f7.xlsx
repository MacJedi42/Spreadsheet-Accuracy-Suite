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360" yWindow="285" windowWidth="18795" windowHeight="11760"/>
  </bookViews>
  <sheets>
    <sheet name="Fed-Public Sponsor" sheetId="1" r:id="rId1"/>
    <sheet name="Private Sponsor" sheetId="3" r:id="rId2"/>
    <sheet name="Equipment Grant" sheetId="7" r:id="rId3"/>
    <sheet name="Travel Worksheet" sheetId="8" r:id="rId4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H22" i="3"/>
  <c r="G22"/>
  <c r="F22"/>
  <c r="E22"/>
  <c r="D22"/>
  <c r="H62" i="1"/>
  <c r="G62"/>
  <c r="F62"/>
  <c r="E62"/>
  <c r="D62"/>
  <c r="H22"/>
  <c r="G22"/>
  <c r="F22"/>
  <c r="E22"/>
  <c r="D22"/>
  <c r="E56"/>
  <c r="E50"/>
  <c r="E44"/>
  <c r="E34"/>
  <c r="E33"/>
  <c r="D34"/>
  <c r="D33"/>
  <c r="D9"/>
  <c r="F9"/>
  <c r="G9"/>
  <c r="D11"/>
  <c r="F11"/>
  <c r="G11"/>
  <c r="F15"/>
  <c r="F16"/>
  <c r="G15"/>
  <c r="G16"/>
  <c r="F19"/>
  <c r="G19"/>
  <c r="F7"/>
  <c r="G7"/>
  <c r="F23"/>
  <c r="G23"/>
  <c r="F34"/>
  <c r="G34"/>
  <c r="F35"/>
  <c r="G35"/>
  <c r="F33"/>
  <c r="G33"/>
  <c r="F44"/>
  <c r="G44"/>
  <c r="F50"/>
  <c r="G50"/>
  <c r="F53"/>
  <c r="G53"/>
  <c r="F47"/>
  <c r="G47"/>
  <c r="F45"/>
  <c r="G45"/>
  <c r="F46"/>
  <c r="G46"/>
  <c r="F51"/>
  <c r="G51"/>
  <c r="F52"/>
  <c r="G52"/>
  <c r="F56"/>
  <c r="G56"/>
  <c r="F57"/>
  <c r="G57"/>
  <c r="F58"/>
  <c r="G58"/>
  <c r="F61"/>
  <c r="G61"/>
  <c r="F59"/>
  <c r="G59"/>
  <c r="F30"/>
  <c r="G30"/>
  <c r="F41"/>
  <c r="G41"/>
  <c r="F63"/>
  <c r="G63"/>
  <c r="D26"/>
  <c r="E26" s="1"/>
  <c r="F26"/>
  <c r="G26"/>
  <c r="H26"/>
  <c r="D27"/>
  <c r="E27"/>
  <c r="F27"/>
  <c r="G27"/>
  <c r="H27"/>
  <c r="D28"/>
  <c r="E28" s="1"/>
  <c r="F28"/>
  <c r="G28"/>
  <c r="H28"/>
  <c r="D29"/>
  <c r="E29" s="1"/>
  <c r="F29"/>
  <c r="G29"/>
  <c r="H29"/>
  <c r="H30"/>
  <c r="E38"/>
  <c r="F38"/>
  <c r="G38"/>
  <c r="H38"/>
  <c r="E39"/>
  <c r="F39"/>
  <c r="G39"/>
  <c r="H39"/>
  <c r="E40"/>
  <c r="F40"/>
  <c r="G40"/>
  <c r="H40"/>
  <c r="D41"/>
  <c r="E41"/>
  <c r="H41"/>
  <c r="H63"/>
  <c r="D10"/>
  <c r="E10" s="1"/>
  <c r="F10" s="1"/>
  <c r="G10" s="1"/>
  <c r="H10" s="1"/>
  <c r="H59" i="3"/>
  <c r="F59"/>
  <c r="D59"/>
  <c r="H58"/>
  <c r="G58"/>
  <c r="F58"/>
  <c r="E58"/>
  <c r="H57"/>
  <c r="G57"/>
  <c r="F57"/>
  <c r="E57"/>
  <c r="H56"/>
  <c r="G56"/>
  <c r="G59" s="1"/>
  <c r="F56"/>
  <c r="E56"/>
  <c r="E59" s="1"/>
  <c r="G53"/>
  <c r="E53"/>
  <c r="D53"/>
  <c r="H52"/>
  <c r="G52"/>
  <c r="F52"/>
  <c r="E52"/>
  <c r="H51"/>
  <c r="G51"/>
  <c r="F51"/>
  <c r="E51"/>
  <c r="H50"/>
  <c r="H53" s="1"/>
  <c r="G50"/>
  <c r="F50"/>
  <c r="F53" s="1"/>
  <c r="E50"/>
  <c r="H47"/>
  <c r="F47"/>
  <c r="D47"/>
  <c r="H46"/>
  <c r="G46"/>
  <c r="F46"/>
  <c r="E46"/>
  <c r="H45"/>
  <c r="G45"/>
  <c r="F45"/>
  <c r="E45"/>
  <c r="H44"/>
  <c r="G44"/>
  <c r="G47" s="1"/>
  <c r="F44"/>
  <c r="E44"/>
  <c r="E47" s="1"/>
  <c r="G41"/>
  <c r="E41"/>
  <c r="D41"/>
  <c r="H40"/>
  <c r="G40"/>
  <c r="F40"/>
  <c r="E40"/>
  <c r="H39"/>
  <c r="G39"/>
  <c r="F39"/>
  <c r="E39"/>
  <c r="H38"/>
  <c r="H41" s="1"/>
  <c r="G38"/>
  <c r="F38"/>
  <c r="F41" s="1"/>
  <c r="E38"/>
  <c r="H34"/>
  <c r="G34"/>
  <c r="F34"/>
  <c r="E34"/>
  <c r="D34"/>
  <c r="H33"/>
  <c r="G33"/>
  <c r="G35" s="1"/>
  <c r="F33"/>
  <c r="E33"/>
  <c r="E35" s="1"/>
  <c r="D33"/>
  <c r="D29"/>
  <c r="E29" s="1"/>
  <c r="F29" s="1"/>
  <c r="G29" s="1"/>
  <c r="H29" s="1"/>
  <c r="D28"/>
  <c r="E28" s="1"/>
  <c r="F28" s="1"/>
  <c r="G28" s="1"/>
  <c r="H28" s="1"/>
  <c r="D27"/>
  <c r="E27" s="1"/>
  <c r="F27" s="1"/>
  <c r="G27" s="1"/>
  <c r="H27" s="1"/>
  <c r="D26"/>
  <c r="E26" s="1"/>
  <c r="E18"/>
  <c r="F18" s="1"/>
  <c r="G18" s="1"/>
  <c r="H18" s="1"/>
  <c r="E17"/>
  <c r="F17" s="1"/>
  <c r="G17" s="1"/>
  <c r="H17" s="1"/>
  <c r="E16"/>
  <c r="F16" s="1"/>
  <c r="G16" s="1"/>
  <c r="H16" s="1"/>
  <c r="E15"/>
  <c r="F15" s="1"/>
  <c r="G15" s="1"/>
  <c r="H15" s="1"/>
  <c r="D14"/>
  <c r="E14" s="1"/>
  <c r="F14" s="1"/>
  <c r="G14" s="1"/>
  <c r="H14" s="1"/>
  <c r="E13"/>
  <c r="F13" s="1"/>
  <c r="G13" s="1"/>
  <c r="H13" s="1"/>
  <c r="D13"/>
  <c r="C13"/>
  <c r="A13"/>
  <c r="E12"/>
  <c r="F12" s="1"/>
  <c r="G12" s="1"/>
  <c r="H12" s="1"/>
  <c r="D12"/>
  <c r="D11"/>
  <c r="E11" s="1"/>
  <c r="F11" s="1"/>
  <c r="G11" s="1"/>
  <c r="H11" s="1"/>
  <c r="C11"/>
  <c r="A11"/>
  <c r="E10"/>
  <c r="F10" s="1"/>
  <c r="G10" s="1"/>
  <c r="H10" s="1"/>
  <c r="D10"/>
  <c r="D9"/>
  <c r="D19" s="1"/>
  <c r="C9"/>
  <c r="A9"/>
  <c r="H7"/>
  <c r="G7"/>
  <c r="F7"/>
  <c r="E7"/>
  <c r="E16" i="1"/>
  <c r="H16" s="1"/>
  <c r="E17"/>
  <c r="F17" s="1"/>
  <c r="G17" s="1"/>
  <c r="H17" s="1"/>
  <c r="E18"/>
  <c r="F18" s="1"/>
  <c r="G18" s="1"/>
  <c r="H18" s="1"/>
  <c r="D14"/>
  <c r="E14" s="1"/>
  <c r="F14" s="1"/>
  <c r="G14" s="1"/>
  <c r="H14" s="1"/>
  <c r="D13"/>
  <c r="E13" s="1"/>
  <c r="F13" s="1"/>
  <c r="G13" s="1"/>
  <c r="H13" s="1"/>
  <c r="H58"/>
  <c r="E58"/>
  <c r="H57"/>
  <c r="E57"/>
  <c r="H56"/>
  <c r="H59" s="1"/>
  <c r="E59"/>
  <c r="E52"/>
  <c r="E51"/>
  <c r="H52"/>
  <c r="H51"/>
  <c r="H50"/>
  <c r="H53" s="1"/>
  <c r="H46"/>
  <c r="H45"/>
  <c r="H44"/>
  <c r="E46"/>
  <c r="E45"/>
  <c r="H34"/>
  <c r="H33"/>
  <c r="D12"/>
  <c r="E15"/>
  <c r="H15" s="1"/>
  <c r="H7"/>
  <c r="E7"/>
  <c r="C13"/>
  <c r="C11"/>
  <c r="C9"/>
  <c r="A13"/>
  <c r="A11"/>
  <c r="A9"/>
  <c r="D47"/>
  <c r="D59"/>
  <c r="D53"/>
  <c r="C12" i="7"/>
  <c r="C20"/>
  <c r="C30"/>
  <c r="C33"/>
  <c r="C35"/>
  <c r="E15" i="8"/>
  <c r="E163"/>
  <c r="E162"/>
  <c r="E161"/>
  <c r="E160"/>
  <c r="E159"/>
  <c r="E158"/>
  <c r="E157"/>
  <c r="E164"/>
  <c r="E147"/>
  <c r="E146"/>
  <c r="E145"/>
  <c r="E144"/>
  <c r="E143"/>
  <c r="E142"/>
  <c r="E141"/>
  <c r="E148"/>
  <c r="E131"/>
  <c r="E130"/>
  <c r="E129"/>
  <c r="E128"/>
  <c r="E127"/>
  <c r="E126"/>
  <c r="E125"/>
  <c r="E132"/>
  <c r="E115"/>
  <c r="E114"/>
  <c r="E113"/>
  <c r="E112"/>
  <c r="E111"/>
  <c r="E110"/>
  <c r="E109"/>
  <c r="E116"/>
  <c r="E99"/>
  <c r="E98"/>
  <c r="E97"/>
  <c r="E96"/>
  <c r="E95"/>
  <c r="E94"/>
  <c r="E93"/>
  <c r="E100"/>
  <c r="E82"/>
  <c r="E81"/>
  <c r="E80"/>
  <c r="E79"/>
  <c r="E78"/>
  <c r="E77"/>
  <c r="E76"/>
  <c r="E66"/>
  <c r="E65"/>
  <c r="E64"/>
  <c r="E63"/>
  <c r="E62"/>
  <c r="E61"/>
  <c r="E60"/>
  <c r="E67"/>
  <c r="E50"/>
  <c r="E49"/>
  <c r="E48"/>
  <c r="E47"/>
  <c r="E46"/>
  <c r="E45"/>
  <c r="E44"/>
  <c r="E34"/>
  <c r="E33"/>
  <c r="E32"/>
  <c r="E31"/>
  <c r="E30"/>
  <c r="E29"/>
  <c r="E28"/>
  <c r="E35"/>
  <c r="E18"/>
  <c r="E17"/>
  <c r="E16"/>
  <c r="E14"/>
  <c r="E13"/>
  <c r="E12"/>
  <c r="E19"/>
  <c r="E83"/>
  <c r="E51"/>
  <c r="D30" i="1" l="1"/>
  <c r="E30"/>
  <c r="D35" i="3"/>
  <c r="F35"/>
  <c r="H35"/>
  <c r="E11" i="1"/>
  <c r="D35"/>
  <c r="D23" i="3"/>
  <c r="E30"/>
  <c r="E62" s="1"/>
  <c r="F26"/>
  <c r="E9"/>
  <c r="D30"/>
  <c r="D62" s="1"/>
  <c r="E12" i="1"/>
  <c r="F12" s="1"/>
  <c r="G12" s="1"/>
  <c r="H12" s="1"/>
  <c r="H35"/>
  <c r="H47"/>
  <c r="E47"/>
  <c r="E53"/>
  <c r="E35"/>
  <c r="D61" i="3" l="1"/>
  <c r="E9" i="1"/>
  <c r="H11"/>
  <c r="D19"/>
  <c r="G26" i="3"/>
  <c r="F30"/>
  <c r="F62" s="1"/>
  <c r="F9"/>
  <c r="E19"/>
  <c r="E19" i="1"/>
  <c r="D63" i="3" l="1"/>
  <c r="D23" i="1"/>
  <c r="E23"/>
  <c r="E23" i="3"/>
  <c r="E61" s="1"/>
  <c r="E63" s="1"/>
  <c r="F19"/>
  <c r="G9"/>
  <c r="G30"/>
  <c r="G62" s="1"/>
  <c r="H26"/>
  <c r="H30" s="1"/>
  <c r="H62" s="1"/>
  <c r="D61" i="1" l="1"/>
  <c r="E61"/>
  <c r="F23" i="3"/>
  <c r="F61" s="1"/>
  <c r="F63" s="1"/>
  <c r="H9"/>
  <c r="H19" s="1"/>
  <c r="G19"/>
  <c r="H9" i="1"/>
  <c r="H19" s="1"/>
  <c r="D63" l="1"/>
  <c r="E63"/>
  <c r="H61" i="3"/>
  <c r="H63" s="1"/>
  <c r="H23"/>
  <c r="G23"/>
  <c r="G61" s="1"/>
  <c r="G63" s="1"/>
  <c r="H23" i="1"/>
  <c r="H61" s="1"/>
</calcChain>
</file>

<file path=xl/sharedStrings.xml><?xml version="1.0" encoding="utf-8"?>
<sst xmlns="http://schemas.openxmlformats.org/spreadsheetml/2006/main" count="293" uniqueCount="92">
  <si>
    <t>PI/PD; Co-PI/PD(s)</t>
  </si>
  <si>
    <t>PI/PD</t>
  </si>
  <si>
    <t>Co-PI/PD</t>
  </si>
  <si>
    <t>COLA</t>
  </si>
  <si>
    <t>Key Pers</t>
  </si>
  <si>
    <t>Fringe Benefits</t>
  </si>
  <si>
    <t>Travel</t>
  </si>
  <si>
    <t>Supplies</t>
  </si>
  <si>
    <t>Other</t>
  </si>
  <si>
    <t>Total Direct Costs</t>
  </si>
  <si>
    <t>Total Costs</t>
  </si>
  <si>
    <t>Year 1</t>
  </si>
  <si>
    <t>Key Personnel (Salary)</t>
  </si>
  <si>
    <t>Total Key Personnel (Salary)</t>
  </si>
  <si>
    <t>Total Key Personnel (Fringe)</t>
  </si>
  <si>
    <t>Total Travel</t>
  </si>
  <si>
    <t>Total Supplies</t>
  </si>
  <si>
    <t>Total Other</t>
  </si>
  <si>
    <t>Names</t>
  </si>
  <si>
    <t>Domestic Travel</t>
  </si>
  <si>
    <t>Total Undergraduate Stipends</t>
  </si>
  <si>
    <t>Student Wages</t>
  </si>
  <si>
    <t>Student 1</t>
  </si>
  <si>
    <t>Student 2</t>
  </si>
  <si>
    <t>Student 3</t>
  </si>
  <si>
    <t>Student 4</t>
  </si>
  <si>
    <t>Foreign Travel</t>
  </si>
  <si>
    <t>Equipment 1</t>
  </si>
  <si>
    <t>Equipment 2</t>
  </si>
  <si>
    <t>Equipment 3</t>
  </si>
  <si>
    <t>Supplies 1</t>
  </si>
  <si>
    <t>Supplies 2</t>
  </si>
  <si>
    <t>Supplies 3</t>
  </si>
  <si>
    <t>Total Equipment</t>
  </si>
  <si>
    <t>Other 1</t>
  </si>
  <si>
    <t>Other 2</t>
  </si>
  <si>
    <t>Other 3</t>
  </si>
  <si>
    <t>PI 1:</t>
  </si>
  <si>
    <t>PI 2:</t>
  </si>
  <si>
    <t>Consultants</t>
  </si>
  <si>
    <t>Consultant 1</t>
  </si>
  <si>
    <t>Consultant 2</t>
  </si>
  <si>
    <t>Consultant 3</t>
  </si>
  <si>
    <t>Total Consultants</t>
  </si>
  <si>
    <t>Equipment (&gt;$5,000)</t>
  </si>
  <si>
    <t>Base Salary</t>
  </si>
  <si>
    <t>Service Contract</t>
  </si>
  <si>
    <t>Equipment 4</t>
  </si>
  <si>
    <t>Equipment 5</t>
  </si>
  <si>
    <t>Supplies 4</t>
  </si>
  <si>
    <t>Supplies 5</t>
  </si>
  <si>
    <t>Other 4</t>
  </si>
  <si>
    <t>Other 5</t>
  </si>
  <si>
    <t>Total Indirect Costs (Normally, N/A)</t>
  </si>
  <si>
    <t xml:space="preserve">TRAVEL BUDGET </t>
  </si>
  <si>
    <t>Please complete fields hightlighted in yellow to calculate expenses.</t>
  </si>
  <si>
    <t>DOMESTIC TRAVEL YEAR 1</t>
  </si>
  <si>
    <t>DESTINATION:</t>
  </si>
  <si>
    <t>PURPOSE:</t>
  </si>
  <si>
    <t># Travelers</t>
  </si>
  <si>
    <t>Days</t>
  </si>
  <si>
    <t>Per Day Per Diem</t>
  </si>
  <si>
    <t xml:space="preserve">Per Night Hotel </t>
  </si>
  <si>
    <t>Registration</t>
  </si>
  <si>
    <t>Mileage @$.5/mile</t>
  </si>
  <si>
    <t>Ground Transportation</t>
  </si>
  <si>
    <t>Rental Car, per day</t>
  </si>
  <si>
    <t>Airfare</t>
  </si>
  <si>
    <t>Total Estimated Trip Cost</t>
  </si>
  <si>
    <t>DOMESTIC TRAVEL YEAR 2</t>
  </si>
  <si>
    <t>DOMESTIC TRAVEL YEAR 3</t>
  </si>
  <si>
    <t>DOMESTIC TRAVEL YEAR 4</t>
  </si>
  <si>
    <t>DOMESTIC TRAVEL YEAR 5</t>
  </si>
  <si>
    <t>FOREIGN TRAVEL YEAR 1</t>
  </si>
  <si>
    <t>FOREIGN TRAVEL YEAR 2</t>
  </si>
  <si>
    <t>FOREIGN TRAVEL YEAR 3</t>
  </si>
  <si>
    <t>FOREIGN TRAVEL YEAR 4</t>
  </si>
  <si>
    <t>FOREIGN TRAVEL YEAR 5</t>
  </si>
  <si>
    <t>Rate</t>
  </si>
  <si>
    <t>Hours</t>
  </si>
  <si>
    <t>Weeks</t>
  </si>
  <si>
    <t># Years</t>
  </si>
  <si>
    <t># Students at this rate</t>
  </si>
  <si>
    <t>Total students = 4</t>
  </si>
  <si>
    <t>AY</t>
  </si>
  <si>
    <t>Summer</t>
  </si>
  <si>
    <t>AY FTE (Release)</t>
  </si>
  <si>
    <t># Summer Months</t>
  </si>
  <si>
    <t>Summer FTE</t>
  </si>
  <si>
    <t>Total Indirect Costs (48.5% of S&amp;W only)</t>
  </si>
  <si>
    <t>Key Personnel (31.7%)</t>
  </si>
  <si>
    <t>Key Personnel (32.75%)</t>
  </si>
</sst>
</file>

<file path=xl/styles.xml><?xml version="1.0" encoding="utf-8"?>
<styleSheet xmlns="http://schemas.openxmlformats.org/spreadsheetml/2006/main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6" fillId="0" borderId="0" xfId="0" applyFont="1"/>
    <xf numFmtId="164" fontId="6" fillId="0" borderId="0" xfId="1" applyNumberFormat="1" applyFont="1"/>
    <xf numFmtId="164" fontId="6" fillId="0" borderId="0" xfId="0" applyNumberFormat="1" applyFont="1"/>
    <xf numFmtId="0" fontId="5" fillId="0" borderId="2" xfId="0" applyFont="1" applyBorder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1" fillId="0" borderId="0" xfId="0" applyFont="1" applyFill="1" applyAlignment="1">
      <alignment horizontal="right"/>
    </xf>
    <xf numFmtId="0" fontId="2" fillId="0" borderId="0" xfId="0" applyFont="1" applyFill="1"/>
    <xf numFmtId="164" fontId="2" fillId="4" borderId="0" xfId="1" applyNumberFormat="1" applyFont="1" applyFill="1"/>
    <xf numFmtId="164" fontId="2" fillId="0" borderId="0" xfId="1" applyNumberFormat="1" applyFont="1"/>
    <xf numFmtId="164" fontId="3" fillId="3" borderId="0" xfId="1" applyNumberFormat="1" applyFont="1" applyFill="1"/>
    <xf numFmtId="164" fontId="3" fillId="0" borderId="0" xfId="1" applyNumberFormat="1" applyFont="1"/>
    <xf numFmtId="164" fontId="4" fillId="0" borderId="0" xfId="1" applyNumberFormat="1" applyFont="1"/>
    <xf numFmtId="42" fontId="2" fillId="0" borderId="0" xfId="1" applyNumberFormat="1" applyFont="1"/>
    <xf numFmtId="42" fontId="2" fillId="2" borderId="0" xfId="1" applyNumberFormat="1" applyFont="1" applyFill="1"/>
    <xf numFmtId="42" fontId="2" fillId="3" borderId="0" xfId="1" applyNumberFormat="1" applyFont="1" applyFill="1"/>
    <xf numFmtId="42" fontId="4" fillId="0" borderId="0" xfId="1" applyNumberFormat="1" applyFont="1"/>
    <xf numFmtId="42" fontId="5" fillId="0" borderId="0" xfId="0" applyNumberFormat="1" applyFont="1" applyAlignment="1">
      <alignment horizontal="center"/>
    </xf>
    <xf numFmtId="42" fontId="6" fillId="0" borderId="0" xfId="1" applyNumberFormat="1" applyFont="1"/>
    <xf numFmtId="42" fontId="6" fillId="0" borderId="0" xfId="0" applyNumberFormat="1" applyFont="1"/>
    <xf numFmtId="42" fontId="5" fillId="0" borderId="0" xfId="1" applyNumberFormat="1" applyFont="1"/>
    <xf numFmtId="42" fontId="5" fillId="0" borderId="2" xfId="1" applyNumberFormat="1" applyFont="1" applyBorder="1"/>
    <xf numFmtId="0" fontId="6" fillId="0" borderId="0" xfId="0" applyFont="1" applyProtection="1">
      <protection locked="0"/>
    </xf>
    <xf numFmtId="42" fontId="6" fillId="0" borderId="0" xfId="1" applyNumberFormat="1" applyFont="1" applyProtection="1">
      <protection locked="0"/>
    </xf>
    <xf numFmtId="42" fontId="6" fillId="0" borderId="0" xfId="0" applyNumberFormat="1" applyFont="1" applyProtection="1">
      <protection locked="0"/>
    </xf>
    <xf numFmtId="0" fontId="6" fillId="0" borderId="1" xfId="0" applyFont="1" applyBorder="1" applyProtection="1">
      <protection locked="0"/>
    </xf>
    <xf numFmtId="42" fontId="6" fillId="0" borderId="1" xfId="1" applyNumberFormat="1" applyFont="1" applyBorder="1" applyProtection="1">
      <protection locked="0"/>
    </xf>
    <xf numFmtId="0" fontId="6" fillId="0" borderId="0" xfId="0" applyFont="1" applyBorder="1" applyProtection="1">
      <protection locked="0"/>
    </xf>
    <xf numFmtId="42" fontId="6" fillId="0" borderId="0" xfId="1" applyNumberFormat="1" applyFont="1" applyBorder="1" applyProtection="1">
      <protection locked="0"/>
    </xf>
    <xf numFmtId="0" fontId="2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2" fillId="4" borderId="0" xfId="0" applyFont="1" applyFill="1" applyProtection="1">
      <protection locked="0"/>
    </xf>
    <xf numFmtId="164" fontId="2" fillId="4" borderId="0" xfId="1" applyNumberFormat="1" applyFont="1" applyFill="1" applyProtection="1">
      <protection locked="0"/>
    </xf>
    <xf numFmtId="0" fontId="2" fillId="0" borderId="0" xfId="0" applyFont="1" applyProtection="1"/>
    <xf numFmtId="42" fontId="6" fillId="0" borderId="0" xfId="1" applyNumberFormat="1" applyFont="1" applyProtection="1"/>
    <xf numFmtId="2" fontId="6" fillId="0" borderId="0" xfId="0" applyNumberFormat="1" applyFont="1" applyProtection="1">
      <protection locked="0"/>
    </xf>
    <xf numFmtId="42" fontId="6" fillId="0" borderId="1" xfId="1" applyNumberFormat="1" applyFont="1" applyBorder="1" applyProtection="1"/>
    <xf numFmtId="42" fontId="6" fillId="0" borderId="0" xfId="1" applyNumberFormat="1" applyFont="1" applyBorder="1" applyProtection="1"/>
    <xf numFmtId="2" fontId="6" fillId="0" borderId="0" xfId="1" applyNumberFormat="1" applyFont="1" applyProtection="1">
      <protection locked="0"/>
    </xf>
    <xf numFmtId="10" fontId="6" fillId="0" borderId="0" xfId="0" applyNumberFormat="1" applyFont="1" applyProtection="1">
      <protection locked="0"/>
    </xf>
    <xf numFmtId="42" fontId="6" fillId="0" borderId="1" xfId="0" applyNumberFormat="1" applyFont="1" applyBorder="1" applyProtection="1">
      <protection locked="0"/>
    </xf>
    <xf numFmtId="164" fontId="6" fillId="0" borderId="0" xfId="0" applyNumberFormat="1" applyFont="1" applyProtection="1">
      <protection locked="0"/>
    </xf>
    <xf numFmtId="42" fontId="5" fillId="0" borderId="0" xfId="0" applyNumberFormat="1" applyFont="1" applyProtection="1">
      <protection locked="0"/>
    </xf>
    <xf numFmtId="2" fontId="6" fillId="0" borderId="0" xfId="1" applyNumberFormat="1" applyFont="1" applyProtection="1"/>
    <xf numFmtId="42" fontId="6" fillId="0" borderId="0" xfId="0" applyNumberFormat="1" applyFont="1" applyProtection="1"/>
    <xf numFmtId="42" fontId="6" fillId="0" borderId="1" xfId="0" applyNumberFormat="1" applyFont="1" applyBorder="1" applyProtection="1"/>
    <xf numFmtId="42" fontId="5" fillId="0" borderId="1" xfId="0" applyNumberFormat="1" applyFont="1" applyBorder="1" applyProtection="1"/>
    <xf numFmtId="164" fontId="5" fillId="0" borderId="0" xfId="1" applyNumberFormat="1" applyFont="1" applyProtection="1"/>
    <xf numFmtId="164" fontId="5" fillId="0" borderId="1" xfId="1" applyNumberFormat="1" applyFont="1" applyBorder="1" applyProtection="1"/>
    <xf numFmtId="44" fontId="6" fillId="0" borderId="0" xfId="0" applyNumberFormat="1" applyFont="1" applyProtection="1"/>
    <xf numFmtId="164" fontId="6" fillId="0" borderId="0" xfId="0" applyNumberFormat="1" applyFont="1" applyProtection="1"/>
    <xf numFmtId="42" fontId="5" fillId="0" borderId="0" xfId="1" applyNumberFormat="1" applyFont="1" applyProtection="1"/>
    <xf numFmtId="42" fontId="5" fillId="0" borderId="2" xfId="1" applyNumberFormat="1" applyFont="1" applyBorder="1" applyProtection="1"/>
    <xf numFmtId="42" fontId="5" fillId="0" borderId="2" xfId="0" applyNumberFormat="1" applyFont="1" applyBorder="1" applyProtection="1"/>
    <xf numFmtId="42" fontId="5" fillId="0" borderId="0" xfId="0" applyNumberFormat="1" applyFont="1" applyProtection="1"/>
    <xf numFmtId="0" fontId="5" fillId="0" borderId="0" xfId="0" applyFont="1" applyProtection="1">
      <protection locked="0"/>
    </xf>
    <xf numFmtId="42" fontId="5" fillId="0" borderId="0" xfId="0" applyNumberFormat="1" applyFont="1" applyAlignment="1" applyProtection="1">
      <alignment horizontal="center"/>
      <protection locked="0"/>
    </xf>
    <xf numFmtId="164" fontId="5" fillId="0" borderId="0" xfId="0" applyNumberFormat="1" applyFont="1" applyProtection="1">
      <protection locked="0"/>
    </xf>
    <xf numFmtId="10" fontId="6" fillId="0" borderId="0" xfId="1" applyNumberFormat="1" applyFont="1" applyProtection="1">
      <protection locked="0"/>
    </xf>
    <xf numFmtId="1" fontId="6" fillId="0" borderId="0" xfId="0" applyNumberFormat="1" applyFont="1" applyProtection="1">
      <protection locked="0"/>
    </xf>
    <xf numFmtId="0" fontId="6" fillId="0" borderId="0" xfId="0" applyFont="1" applyBorder="1" applyProtection="1"/>
    <xf numFmtId="0" fontId="6" fillId="0" borderId="0" xfId="0" applyFont="1" applyProtection="1"/>
    <xf numFmtId="42" fontId="5" fillId="0" borderId="0" xfId="0" applyNumberFormat="1" applyFont="1" applyAlignment="1" applyProtection="1">
      <alignment horizontal="center"/>
    </xf>
    <xf numFmtId="0" fontId="6" fillId="0" borderId="1" xfId="0" applyFont="1" applyBorder="1" applyProtection="1"/>
    <xf numFmtId="0" fontId="5" fillId="0" borderId="0" xfId="0" applyFont="1" applyProtection="1"/>
    <xf numFmtId="0" fontId="5" fillId="0" borderId="2" xfId="0" applyFont="1" applyBorder="1" applyProtection="1"/>
    <xf numFmtId="0" fontId="1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>
      <selection activeCell="I23" sqref="I23"/>
    </sheetView>
  </sheetViews>
  <sheetFormatPr defaultColWidth="8.85546875" defaultRowHeight="12.75"/>
  <cols>
    <col min="1" max="2" width="9.42578125" style="27" customWidth="1"/>
    <col min="3" max="3" width="33" style="27" customWidth="1"/>
    <col min="4" max="6" width="17.7109375" style="29" customWidth="1"/>
    <col min="7" max="8" width="17.7109375" style="46" customWidth="1"/>
    <col min="9" max="16384" width="8.85546875" style="27"/>
  </cols>
  <sheetData>
    <row r="1" spans="1:8" s="60" customFormat="1">
      <c r="A1" s="60" t="s">
        <v>0</v>
      </c>
      <c r="D1" s="61" t="s">
        <v>45</v>
      </c>
      <c r="E1" s="61" t="s">
        <v>86</v>
      </c>
      <c r="F1" s="60" t="s">
        <v>87</v>
      </c>
      <c r="G1" s="61" t="s">
        <v>88</v>
      </c>
      <c r="H1" s="62" t="s">
        <v>81</v>
      </c>
    </row>
    <row r="2" spans="1:8">
      <c r="A2" s="27" t="s">
        <v>1</v>
      </c>
      <c r="D2" s="28">
        <v>0</v>
      </c>
      <c r="E2" s="44">
        <v>0</v>
      </c>
      <c r="F2" s="40">
        <v>0</v>
      </c>
      <c r="G2" s="63">
        <v>0</v>
      </c>
      <c r="H2" s="64">
        <v>2</v>
      </c>
    </row>
    <row r="3" spans="1:8">
      <c r="A3" s="27" t="s">
        <v>2</v>
      </c>
      <c r="D3" s="28">
        <v>0</v>
      </c>
      <c r="E3" s="44">
        <v>0</v>
      </c>
      <c r="F3" s="40">
        <v>0</v>
      </c>
      <c r="G3" s="63">
        <v>0</v>
      </c>
      <c r="H3" s="64"/>
    </row>
    <row r="4" spans="1:8">
      <c r="A4" s="27" t="s">
        <v>2</v>
      </c>
      <c r="D4" s="28">
        <v>0</v>
      </c>
      <c r="E4" s="44">
        <v>0.1</v>
      </c>
      <c r="F4" s="43">
        <v>2</v>
      </c>
      <c r="G4" s="63">
        <v>0.1</v>
      </c>
      <c r="H4" s="64"/>
    </row>
    <row r="5" spans="1:8">
      <c r="C5" s="66" t="s">
        <v>3</v>
      </c>
      <c r="D5" s="48">
        <v>1.03</v>
      </c>
      <c r="E5" s="40"/>
      <c r="F5" s="63"/>
      <c r="G5" s="28"/>
    </row>
    <row r="6" spans="1:8">
      <c r="E6" s="28"/>
      <c r="F6" s="28"/>
    </row>
    <row r="7" spans="1:8">
      <c r="D7" s="67" t="s">
        <v>11</v>
      </c>
      <c r="E7" s="59" t="str">
        <f>IF($H2&gt;1, "Year 2", "")</f>
        <v>Year 2</v>
      </c>
      <c r="F7" s="59" t="str">
        <f>IF($H2&gt;2, "Year 3", "")</f>
        <v/>
      </c>
      <c r="G7" s="59" t="str">
        <f>IF($H2&gt;3, "Year 4", "")</f>
        <v/>
      </c>
      <c r="H7" s="59" t="str">
        <f>IF($H2&gt;4, "Year 5", "")</f>
        <v/>
      </c>
    </row>
    <row r="8" spans="1:8" s="60" customFormat="1">
      <c r="A8" s="60" t="s">
        <v>12</v>
      </c>
      <c r="D8" s="28"/>
      <c r="E8" s="47"/>
      <c r="F8" s="47"/>
      <c r="G8" s="62"/>
    </row>
    <row r="9" spans="1:8" s="60" customFormat="1">
      <c r="A9" s="27" t="str">
        <f t="shared" ref="A9:C9" si="0">A2</f>
        <v>PI/PD</v>
      </c>
      <c r="B9" s="27" t="s">
        <v>84</v>
      </c>
      <c r="C9" s="66">
        <f t="shared" si="0"/>
        <v>0</v>
      </c>
      <c r="D9" s="39">
        <f>$D2*$E2</f>
        <v>0</v>
      </c>
      <c r="E9" s="49">
        <f>IF($H$2&gt;1,D9*$D$5, "")</f>
        <v>0</v>
      </c>
      <c r="F9" s="49" t="str">
        <f>IF($H2&gt;2,E9*$D$5, "")</f>
        <v/>
      </c>
      <c r="G9" s="49" t="str">
        <f>IF($H2&gt;3,F9*$D$5, "")</f>
        <v/>
      </c>
      <c r="H9" s="49" t="str">
        <f>IF($H2&gt;4,G9*$D$5, "")</f>
        <v/>
      </c>
    </row>
    <row r="10" spans="1:8" s="60" customFormat="1">
      <c r="A10" s="27"/>
      <c r="B10" s="27" t="s">
        <v>85</v>
      </c>
      <c r="C10" s="27"/>
      <c r="D10" s="39">
        <f>(D2*2+D2*D5*11)/13/9*F2*G2</f>
        <v>0</v>
      </c>
      <c r="E10" s="49">
        <f>IF($H$2&gt;1,D10*$D$5, "")</f>
        <v>0</v>
      </c>
      <c r="F10" s="49" t="str">
        <f t="shared" ref="F10:F18" si="1">IF($H$2&gt;2,E10*$D$5, "")</f>
        <v/>
      </c>
      <c r="G10" s="49" t="str">
        <f t="shared" ref="G10:G18" si="2">IF($H$2&gt;3,F10*$D$5, "")</f>
        <v/>
      </c>
      <c r="H10" s="49" t="str">
        <f t="shared" ref="H10:H18" si="3">IF($H$2&gt;4,G10*$D$5, "")</f>
        <v/>
      </c>
    </row>
    <row r="11" spans="1:8">
      <c r="A11" s="27" t="str">
        <f>A3</f>
        <v>Co-PI/PD</v>
      </c>
      <c r="B11" s="27" t="s">
        <v>84</v>
      </c>
      <c r="C11" s="65">
        <f>C3</f>
        <v>0</v>
      </c>
      <c r="D11" s="39">
        <f>$D3*$E3</f>
        <v>0</v>
      </c>
      <c r="E11" s="49">
        <f>IF($H$2&gt;1,D11*$D$5, "")</f>
        <v>0</v>
      </c>
      <c r="F11" s="49" t="str">
        <f t="shared" si="1"/>
        <v/>
      </c>
      <c r="G11" s="49" t="str">
        <f t="shared" si="2"/>
        <v/>
      </c>
      <c r="H11" s="49" t="str">
        <f t="shared" si="3"/>
        <v/>
      </c>
    </row>
    <row r="12" spans="1:8">
      <c r="B12" s="27" t="s">
        <v>85</v>
      </c>
      <c r="C12" s="32"/>
      <c r="D12" s="39">
        <f>(D3*2+D3*D5*11)/13/9*F3*G3</f>
        <v>0</v>
      </c>
      <c r="E12" s="49">
        <f>IF($H$2&gt;1,D12*$D$5, "")</f>
        <v>0</v>
      </c>
      <c r="F12" s="49" t="str">
        <f t="shared" si="1"/>
        <v/>
      </c>
      <c r="G12" s="49" t="str">
        <f t="shared" si="2"/>
        <v/>
      </c>
      <c r="H12" s="49" t="str">
        <f t="shared" si="3"/>
        <v/>
      </c>
    </row>
    <row r="13" spans="1:8">
      <c r="A13" s="27" t="str">
        <f>A4</f>
        <v>Co-PI/PD</v>
      </c>
      <c r="B13" s="27" t="s">
        <v>84</v>
      </c>
      <c r="C13" s="65">
        <f>C4</f>
        <v>0</v>
      </c>
      <c r="D13" s="39">
        <f>$D4/9*$E4</f>
        <v>0</v>
      </c>
      <c r="E13" s="49">
        <f t="shared" ref="E13:E14" si="4">IF($H$2&gt;1,D13*$D$5, "")</f>
        <v>0</v>
      </c>
      <c r="F13" s="49" t="str">
        <f t="shared" si="1"/>
        <v/>
      </c>
      <c r="G13" s="49" t="str">
        <f t="shared" si="2"/>
        <v/>
      </c>
      <c r="H13" s="49" t="str">
        <f t="shared" si="3"/>
        <v/>
      </c>
    </row>
    <row r="14" spans="1:8">
      <c r="B14" s="27" t="s">
        <v>85</v>
      </c>
      <c r="C14" s="65"/>
      <c r="D14" s="39">
        <f>(D4*2+D4*D5*11)/13/9*F4*G4</f>
        <v>0</v>
      </c>
      <c r="E14" s="49">
        <f t="shared" si="4"/>
        <v>0</v>
      </c>
      <c r="F14" s="49" t="str">
        <f t="shared" si="1"/>
        <v/>
      </c>
      <c r="G14" s="49" t="str">
        <f t="shared" si="2"/>
        <v/>
      </c>
      <c r="H14" s="49" t="str">
        <f t="shared" si="3"/>
        <v/>
      </c>
    </row>
    <row r="15" spans="1:8">
      <c r="A15" s="27" t="s">
        <v>4</v>
      </c>
      <c r="B15" s="27" t="s">
        <v>84</v>
      </c>
      <c r="C15" s="32"/>
      <c r="D15" s="42">
        <v>0</v>
      </c>
      <c r="E15" s="49">
        <f>IF($H$2&gt;1,D15*$D$5, "")</f>
        <v>0</v>
      </c>
      <c r="F15" s="49" t="str">
        <f t="shared" si="1"/>
        <v/>
      </c>
      <c r="G15" s="49" t="str">
        <f t="shared" si="2"/>
        <v/>
      </c>
      <c r="H15" s="49" t="str">
        <f t="shared" si="3"/>
        <v/>
      </c>
    </row>
    <row r="16" spans="1:8">
      <c r="B16" s="27" t="s">
        <v>85</v>
      </c>
      <c r="C16" s="32"/>
      <c r="D16" s="42">
        <v>0</v>
      </c>
      <c r="E16" s="49">
        <f t="shared" ref="E16:E18" si="5">IF($H$2&gt;1,D16*$D$5, "")</f>
        <v>0</v>
      </c>
      <c r="F16" s="49" t="str">
        <f t="shared" si="1"/>
        <v/>
      </c>
      <c r="G16" s="49" t="str">
        <f t="shared" si="2"/>
        <v/>
      </c>
      <c r="H16" s="49" t="str">
        <f t="shared" si="3"/>
        <v/>
      </c>
    </row>
    <row r="17" spans="1:12">
      <c r="A17" s="27" t="s">
        <v>4</v>
      </c>
      <c r="B17" s="27" t="s">
        <v>84</v>
      </c>
      <c r="C17" s="32"/>
      <c r="D17" s="42">
        <v>0</v>
      </c>
      <c r="E17" s="49">
        <f t="shared" si="5"/>
        <v>0</v>
      </c>
      <c r="F17" s="49" t="str">
        <f t="shared" si="1"/>
        <v/>
      </c>
      <c r="G17" s="49" t="str">
        <f t="shared" si="2"/>
        <v/>
      </c>
      <c r="H17" s="49" t="str">
        <f t="shared" si="3"/>
        <v/>
      </c>
    </row>
    <row r="18" spans="1:12">
      <c r="B18" s="27" t="s">
        <v>85</v>
      </c>
      <c r="C18" s="30"/>
      <c r="D18" s="41">
        <v>0</v>
      </c>
      <c r="E18" s="50">
        <f t="shared" si="5"/>
        <v>0</v>
      </c>
      <c r="F18" s="50" t="str">
        <f t="shared" si="1"/>
        <v/>
      </c>
      <c r="G18" s="50" t="str">
        <f t="shared" si="2"/>
        <v/>
      </c>
      <c r="H18" s="50" t="str">
        <f t="shared" si="3"/>
        <v/>
      </c>
    </row>
    <row r="19" spans="1:12">
      <c r="C19" s="66" t="s">
        <v>13</v>
      </c>
      <c r="D19" s="39">
        <f>SUM(D9:D18)</f>
        <v>0</v>
      </c>
      <c r="E19" s="39">
        <f>IF($H$2&gt;1,SUM(E9:E18),"")</f>
        <v>0</v>
      </c>
      <c r="F19" s="39" t="str">
        <f>IF($H$2&gt;2,SUM(F9:F18),"")</f>
        <v/>
      </c>
      <c r="G19" s="39" t="str">
        <f>IF($H$2&gt;3,SUM(G9:G18),"")</f>
        <v/>
      </c>
      <c r="H19" s="39" t="str">
        <f>IF($H$2&gt;4,SUM(H9:H18),"")</f>
        <v/>
      </c>
    </row>
    <row r="20" spans="1:12">
      <c r="D20" s="28"/>
      <c r="G20" s="27"/>
      <c r="H20" s="27"/>
    </row>
    <row r="21" spans="1:12" s="60" customFormat="1">
      <c r="A21" s="60" t="s">
        <v>5</v>
      </c>
      <c r="C21" s="27"/>
      <c r="D21" s="28"/>
      <c r="E21" s="47"/>
      <c r="F21" s="47"/>
    </row>
    <row r="22" spans="1:12" s="60" customFormat="1">
      <c r="C22" s="68" t="s">
        <v>90</v>
      </c>
      <c r="D22" s="41">
        <f>(D19)*0.317</f>
        <v>0</v>
      </c>
      <c r="E22" s="51">
        <f>IF($H$2&gt;1, (E19)*0.317, "")</f>
        <v>0</v>
      </c>
      <c r="F22" s="51" t="str">
        <f>IF($H$2&gt;2, F19*0.317, "")</f>
        <v/>
      </c>
      <c r="G22" s="51" t="str">
        <f>IF($H$2&gt;3, G19*0.317, "")</f>
        <v/>
      </c>
      <c r="H22" s="51" t="str">
        <f>IF($H$2&gt;4, H19*0.317, "")</f>
        <v/>
      </c>
    </row>
    <row r="23" spans="1:12">
      <c r="C23" s="66" t="s">
        <v>14</v>
      </c>
      <c r="D23" s="39">
        <f>SUM(D22:D22)</f>
        <v>0</v>
      </c>
      <c r="E23" s="39">
        <f>IF(H2&gt;1,E22,"")</f>
        <v>0</v>
      </c>
      <c r="F23" s="39" t="str">
        <f>IF(H2&gt;2,F22,"")</f>
        <v/>
      </c>
      <c r="G23" s="39" t="str">
        <f>IF(H2&gt;3,G22,"")</f>
        <v/>
      </c>
      <c r="H23" s="39" t="str">
        <f>IF(H2&gt;4,H22,"")</f>
        <v/>
      </c>
    </row>
    <row r="24" spans="1:12">
      <c r="D24" s="28"/>
      <c r="G24" s="27"/>
      <c r="H24" s="27"/>
    </row>
    <row r="25" spans="1:12" s="60" customFormat="1">
      <c r="A25" s="60" t="s">
        <v>21</v>
      </c>
      <c r="C25" s="27"/>
      <c r="D25" s="28"/>
      <c r="E25" s="47"/>
      <c r="I25" s="47" t="s">
        <v>78</v>
      </c>
      <c r="J25" s="60" t="s">
        <v>79</v>
      </c>
      <c r="K25" s="60" t="s">
        <v>80</v>
      </c>
      <c r="L25" s="60" t="s">
        <v>82</v>
      </c>
    </row>
    <row r="26" spans="1:12" s="60" customFormat="1">
      <c r="C26" s="27" t="s">
        <v>22</v>
      </c>
      <c r="D26" s="52">
        <f>IF($L$26=0,IF($L$27&gt;=1,$I$27*$J$27*$K$27,IF($L$27=0,IF($L$28&gt;=1,$I$28*$J$28*$K$28,IF($L$28=0,IF($L$29&gt;=1,$I$29*$J$29*$K$29,0),0)),0)),IF($L$26&gt;=1,$I$26*$J$26*$K$26,0))</f>
        <v>0</v>
      </c>
      <c r="E26" s="52">
        <f>IF($H$2&gt;1,D26*$D$5,"")</f>
        <v>0</v>
      </c>
      <c r="F26" s="52" t="str">
        <f>IF($H$2&gt;2,E26*$D$5,"")</f>
        <v/>
      </c>
      <c r="G26" s="52" t="str">
        <f>IF($H$2&gt;3,F26*$D$5,"")</f>
        <v/>
      </c>
      <c r="H26" s="52" t="str">
        <f>IF($H$2&gt;4,G26*$D$5,"")</f>
        <v/>
      </c>
      <c r="I26" s="54">
        <v>8.9499999999999993</v>
      </c>
      <c r="J26" s="40">
        <v>10</v>
      </c>
      <c r="K26" s="40">
        <v>8</v>
      </c>
      <c r="L26" s="60">
        <v>0</v>
      </c>
    </row>
    <row r="27" spans="1:12" s="60" customFormat="1">
      <c r="C27" s="27" t="s">
        <v>23</v>
      </c>
      <c r="D27" s="52">
        <f>IF($L$26=0,IF($L$27&gt;1,$I$27*$J$27*$K$27,IF($L$27=1,IF($L$28&gt;=1,$I$28*$J$28*$K$28,IF($L$28=0,IF($L$29&gt;=1,$I$29*$J$29*$K$29,0),0)),IF($L$27=0,IF($L$28&gt;=2,$I$28*$J$28*$K$28,IF($L$28=1,IF($L$29&gt;=1,$I$29*$J$29*$K$29,0),IF($L$28=0,IF($L$29&gt;1,$I$29*$J$29*$K$29,0),0)))))),IF($L$26&gt;=2,$I$26*$J$26*$K$26,IF($L$26=1,IF($L$27&gt;=1,$I$27*$J$27*$K$27,IF($L$28&gt;=1,$I$28*$J$28*$K$28,IF($L$29&gt;=1,$I$29*$J$29*K$29,0))),0)))</f>
        <v>0</v>
      </c>
      <c r="E27" s="52">
        <f t="shared" ref="E27:E29" si="6">IF($H$2&gt;1,D27*$D$5,"")</f>
        <v>0</v>
      </c>
      <c r="F27" s="52" t="str">
        <f>IF($H$2&gt;2,E27*$D$5,"")</f>
        <v/>
      </c>
      <c r="G27" s="52" t="str">
        <f>IF($H$2&gt;3,F27*$D$5,"")</f>
        <v/>
      </c>
      <c r="H27" s="52" t="str">
        <f>IF($H$2&gt;4,G27*$D$5,"")</f>
        <v/>
      </c>
      <c r="I27" s="54">
        <v>10.25</v>
      </c>
      <c r="J27" s="40">
        <v>10</v>
      </c>
      <c r="K27" s="40">
        <v>8</v>
      </c>
      <c r="L27" s="60">
        <v>0</v>
      </c>
    </row>
    <row r="28" spans="1:12" s="60" customFormat="1">
      <c r="C28" s="27" t="s">
        <v>24</v>
      </c>
      <c r="D28" s="52">
        <f>IF($L$26=0,IF($L$27&gt;2,$I$27*$J$27*$K$27,IF($L$27=2,IF($L$28&gt;=1,$I$28*$J$28*$K$28,IF($L$28=0,IF($L$29&gt;=1,$I$29*$J$29*$K$29,0),0)),IF($L$27=1, IF($L$28&gt;=2,$I$28*$J$28*$K$28,IF($L$28=1, IF($L$29&gt;=1, $I$29*$J$29*$K$29,0),IF($L$28=0,IF($L$29&gt;=2,$I$29*$J$29*$K$29,0)))),IF($L$27=0,IF($L$28&gt;=3,$I$28*$J$28*$K$28,IF($L$29&gt;=3,$I$29*$J$29*$K$29,IF($L$28=2,IF($L$29&gt;=1,$I$29*$J$29*$K$29,IF($L$28=1,IF($L$29&gt;=2,$I$29*$J$29*$K$29,0))),0))),0)))),IF($L$26&gt;=3,$I$26*$J$26*$K$26,IF($L$26=2,IF($L$27&gt;=1,$I$27*$J$27*$K$27, IF($L$28&gt;=1,$I$28*$J$28*$K$28,IF($L$29&gt;=1,$I$29*$J$29*$K$29,0))),IF($L$26=1, IF($L$27&gt;=2,$I$27*$J$27*$K$27, IF($L$27=1, IF($L$28&gt;=1, $I$28*$J$28*$K$28,IF($L$29&gt;=1, $I$29*$J$29*$K$29,0)),IF($L$27=0,IF($L$28&gt;=2,$I$28*$J$28*$K$28,IF($L$28=1,IF($L$29&gt;=1, $I$29*$J$29*$K$29,0),IF($L$28=0, IF($L$29&gt;=2, $I$29*$J$29*$K$29,0),0))),0))),0))))</f>
        <v>0</v>
      </c>
      <c r="E28" s="52">
        <f t="shared" si="6"/>
        <v>0</v>
      </c>
      <c r="F28" s="52" t="str">
        <f>IF($H$2&gt;2,E28*$D$5,"")</f>
        <v/>
      </c>
      <c r="G28" s="52" t="str">
        <f>IF($H$2&gt;3,F28*$D$5,"")</f>
        <v/>
      </c>
      <c r="H28" s="52" t="str">
        <f>IF($H$2&gt;4,G28*$D$5,"")</f>
        <v/>
      </c>
      <c r="I28" s="54">
        <v>11.3</v>
      </c>
      <c r="J28" s="40">
        <v>10</v>
      </c>
      <c r="K28" s="40">
        <v>8</v>
      </c>
      <c r="L28" s="60">
        <v>0</v>
      </c>
    </row>
    <row r="29" spans="1:12">
      <c r="C29" s="30" t="s">
        <v>25</v>
      </c>
      <c r="D29" s="53">
        <f>IF($L$26=0,IF($L$27&gt;3,$I$27*$J$27*$K$27,IF($L$27=3,IF($L$28&gt;=1,$I$28*$J$28*$K$28,IF($L$28=0,IF($L$29&gt;=1,$I$29*$J$29*$K$29,0),0)),IF($L$27=2, IF($L$28&gt;=2,$I$28*$J$28*$K$28,IF($L$28=1, IF($L$29&gt;=1, $I$29*$J$29*$K$29,0),IF($L$28=0,IF($L$29&gt;=2,$I$29*$J$29*$K$29,0),0))),IF($L$27=1,IF($L$28&gt;=3,$I$28*$J$28*$K$28,IF($L$28=2,IF($L$29&gt;=1,$I$29*$J$29*$K$29,0),IF($L$28=1,IF($L$29&gt;=2,$I$29*$J$29*$K$29,0),IF($L$28=0, IF($L$29&gt;=3,$I$29*$J$29*$K$29,0),0)))),IF($L$27=0,IF($L$28&gt;3,$I$28*$J$28*$K$28,IF($L$28=3, IF($L$29&gt;=1,$I$29*$J$29*$K$29,0),IF($L$28=2, IF($L$29&gt;=2,$I$29*$J$29*$K$29,0),IF($L$28=1, IF($L$29&gt;=3, $I$29*$J$29*$K$29,0),IF($L$28=0, IF($L$29&gt;=4, $I$29*$J$29*$K$29,0),0))))),0))))),IF($L$26&gt;=4,$I$26*$J$26*$K$26,IF($L$26=3,IF($L$27=1,$I$27*$J$27*$K$27, IF($L$28=1,$I$28*$J$28*$K$28,IF($L$29=1,$I$29*$J$29*$K$29,0))),IF($L$26=2, IF($L$27&gt;=2,$I$27*$J$27*$K$27, IF($L$27=1, IF($L$28&gt;=1, $I$28*$J$28*$K$28,IF($L$29&gt;=1, $I$29*$J$29*$K$29,0)),IF($L$27=0,IF($L$28&gt;=2,$I$28*$J$28*$K$28,IF($L$28=1,IF($L$29&gt;=1, $I$29*$J$29*$K$29,0),IF($L$28=0, IF($L$29&gt;=2, $I$29*$J$29*$K$29,0),0))),0))),IF($L$26=1, IF($L$27&gt;=3,$I$28*$J$28*$K$28, IF($L$27=2, IF($L$28&gt;=1,$I$28*$J$28*$K$28, IF($L$29&gt;=1, $I$29*$J$29*$K$29,0)),IF($L$27=1, IF($L$28&gt;=2,$I$28*$J$28*$K$28, IF($L$28=1, IF($L$29&gt;=1, $I$29*$J$29*$K$29,0), IF($L$28=0, IF($L$29&gt;=2,$I$29*$J$29*$K$29,0),0))),IF($L$27=0, IF($L$28&gt;=3,$I$28*$J$28*$K$28, IF($L$28=2, IF($L$29&gt;=1,$I$29*$J$29*$K$29,0),IF($L$28=1, IF($L$29&gt;=2,$I$29*$J$29*$K$29,0),IF($L$28=0, IF($L$29&gt;=3,$I$29*$J$29*$K$29,0),0)))),0)))),0)))))</f>
        <v>0</v>
      </c>
      <c r="E29" s="53">
        <f t="shared" si="6"/>
        <v>0</v>
      </c>
      <c r="F29" s="53" t="str">
        <f>IF($H$2&gt;2,E29*$D$5,"")</f>
        <v/>
      </c>
      <c r="G29" s="53" t="str">
        <f>IF($H$2&gt;3,F29*$D$5,"")</f>
        <v/>
      </c>
      <c r="H29" s="53" t="str">
        <f>IF($H$2&gt;4,G29*$D$5,"")</f>
        <v/>
      </c>
      <c r="I29" s="54">
        <v>19.79</v>
      </c>
      <c r="J29" s="40">
        <v>10</v>
      </c>
      <c r="K29" s="40">
        <v>8</v>
      </c>
      <c r="L29" s="27">
        <v>0</v>
      </c>
    </row>
    <row r="30" spans="1:12">
      <c r="C30" s="27" t="s">
        <v>20</v>
      </c>
      <c r="D30" s="39">
        <f>SUM(D26:D29)</f>
        <v>0</v>
      </c>
      <c r="E30" s="49">
        <f>IF($H$2&gt;1,SUM(E26:E29),"")</f>
        <v>0</v>
      </c>
      <c r="F30" s="49" t="str">
        <f>IF($H$2&gt;2,SUM(F26:F29),"")</f>
        <v/>
      </c>
      <c r="G30" s="49" t="str">
        <f>IF($H$2&gt;3,SUM(G26:G29),"")</f>
        <v/>
      </c>
      <c r="H30" s="49" t="str">
        <f>IF($H$2&gt;4,SUM(H26:H29),"")</f>
        <v/>
      </c>
    </row>
    <row r="31" spans="1:12">
      <c r="D31" s="28"/>
      <c r="G31" s="27"/>
      <c r="H31" s="27"/>
      <c r="J31" s="27" t="s">
        <v>83</v>
      </c>
    </row>
    <row r="32" spans="1:12" s="60" customFormat="1">
      <c r="A32" s="60" t="s">
        <v>6</v>
      </c>
      <c r="C32" s="27"/>
      <c r="D32" s="28"/>
      <c r="E32" s="47"/>
      <c r="F32" s="47"/>
    </row>
    <row r="33" spans="1:8">
      <c r="C33" s="66" t="s">
        <v>19</v>
      </c>
      <c r="D33" s="39">
        <f xml:space="preserve"> 'Travel Worksheet'!E19</f>
        <v>0</v>
      </c>
      <c r="E33" s="49">
        <f>'Travel Worksheet'!E35</f>
        <v>0</v>
      </c>
      <c r="F33" s="49" t="str">
        <f>IF(H2&gt;2,'Travel Worksheet'!E51,"")</f>
        <v/>
      </c>
      <c r="G33" s="55" t="str">
        <f>IF(H2&gt;3,'Travel Worksheet'!E67,"")</f>
        <v/>
      </c>
      <c r="H33" s="55" t="str">
        <f>IF(H2&gt;4,'Travel Worksheet'!E83,"")</f>
        <v/>
      </c>
    </row>
    <row r="34" spans="1:8">
      <c r="C34" s="68" t="s">
        <v>26</v>
      </c>
      <c r="D34" s="41">
        <f>'Travel Worksheet'!E100</f>
        <v>0</v>
      </c>
      <c r="E34" s="50">
        <f>'Travel Worksheet'!E116</f>
        <v>0</v>
      </c>
      <c r="F34" s="41" t="str">
        <f>IF(H2&gt;2,'Travel Worksheet'!E132,"")</f>
        <v/>
      </c>
      <c r="G34" s="41" t="str">
        <f>IF(H2&gt;3,'Travel Worksheet'!E132,"")</f>
        <v/>
      </c>
      <c r="H34" s="41" t="str">
        <f>IF(H2&gt;4,'Travel Worksheet'!E164,"")</f>
        <v/>
      </c>
    </row>
    <row r="35" spans="1:8">
      <c r="C35" s="66" t="s">
        <v>15</v>
      </c>
      <c r="D35" s="39">
        <f>SUM(D33:D34)</f>
        <v>0</v>
      </c>
      <c r="E35" s="39">
        <f>IF($H$2&gt;1,SUM(E33:E34),"")</f>
        <v>0</v>
      </c>
      <c r="F35" s="39" t="str">
        <f>IF($H$2&gt;2,SUM(F33:F34),"")</f>
        <v/>
      </c>
      <c r="G35" s="39" t="str">
        <f>IF($H$2&gt;3,SUM(G33:G34),"")</f>
        <v/>
      </c>
      <c r="H35" s="39" t="str">
        <f>IF($H$2&gt;4,SUM(H33:H34),"")</f>
        <v/>
      </c>
    </row>
    <row r="36" spans="1:8">
      <c r="D36" s="28"/>
      <c r="G36" s="27"/>
      <c r="H36" s="27"/>
    </row>
    <row r="37" spans="1:8">
      <c r="A37" s="60" t="s">
        <v>44</v>
      </c>
      <c r="B37" s="60"/>
      <c r="D37" s="28"/>
      <c r="G37" s="27"/>
      <c r="H37" s="27"/>
    </row>
    <row r="38" spans="1:8">
      <c r="C38" s="27" t="s">
        <v>27</v>
      </c>
      <c r="D38" s="28">
        <v>0</v>
      </c>
      <c r="E38" s="29">
        <f>IF($H$2&gt;1,0,"")</f>
        <v>0</v>
      </c>
      <c r="F38" s="29" t="str">
        <f>IF($H$2&gt;2,0,"")</f>
        <v/>
      </c>
      <c r="G38" s="29" t="str">
        <f>IF($H$2&gt;3,0,"")</f>
        <v/>
      </c>
      <c r="H38" s="29" t="str">
        <f>IF($H$2&gt;4,0,"")</f>
        <v/>
      </c>
    </row>
    <row r="39" spans="1:8">
      <c r="C39" s="27" t="s">
        <v>28</v>
      </c>
      <c r="D39" s="28">
        <v>0</v>
      </c>
      <c r="E39" s="29">
        <f t="shared" ref="E39:E40" si="7">IF($H$2&gt;1,0,"")</f>
        <v>0</v>
      </c>
      <c r="F39" s="29" t="str">
        <f t="shared" ref="F39:F40" si="8">IF($H$2&gt;2,0,"")</f>
        <v/>
      </c>
      <c r="G39" s="29" t="str">
        <f t="shared" ref="G39:G40" si="9">IF($H$2&gt;3,0,"")</f>
        <v/>
      </c>
      <c r="H39" s="29" t="str">
        <f t="shared" ref="H39:H40" si="10">IF($H$2&gt;4,0,"")</f>
        <v/>
      </c>
    </row>
    <row r="40" spans="1:8">
      <c r="C40" s="30" t="s">
        <v>29</v>
      </c>
      <c r="D40" s="31">
        <v>0</v>
      </c>
      <c r="E40" s="45">
        <f t="shared" si="7"/>
        <v>0</v>
      </c>
      <c r="F40" s="45" t="str">
        <f t="shared" si="8"/>
        <v/>
      </c>
      <c r="G40" s="45" t="str">
        <f t="shared" si="9"/>
        <v/>
      </c>
      <c r="H40" s="45" t="str">
        <f t="shared" si="10"/>
        <v/>
      </c>
    </row>
    <row r="41" spans="1:8">
      <c r="C41" s="66" t="s">
        <v>33</v>
      </c>
      <c r="D41" s="39">
        <f>SUM(D38:D40)</f>
        <v>0</v>
      </c>
      <c r="E41" s="39">
        <f>IF($H$2&gt;1,SUM(E38:E40),"")</f>
        <v>0</v>
      </c>
      <c r="F41" s="39" t="str">
        <f>IF($H$2&gt;2,SUM(F38:F40),"")</f>
        <v/>
      </c>
      <c r="G41" s="39" t="str">
        <f>IF($H$2&gt;3,SUM(G38:G40),"")</f>
        <v/>
      </c>
      <c r="H41" s="39" t="str">
        <f>IF($H$2&gt;4,SUM(H38:H40),"")</f>
        <v/>
      </c>
    </row>
    <row r="42" spans="1:8">
      <c r="D42" s="28"/>
      <c r="G42" s="27"/>
      <c r="H42" s="27"/>
    </row>
    <row r="43" spans="1:8" s="60" customFormat="1">
      <c r="A43" s="60" t="s">
        <v>7</v>
      </c>
      <c r="C43" s="27"/>
      <c r="D43" s="28"/>
      <c r="E43" s="47"/>
      <c r="F43" s="47"/>
    </row>
    <row r="44" spans="1:8" s="60" customFormat="1">
      <c r="C44" s="27" t="s">
        <v>30</v>
      </c>
      <c r="D44" s="28">
        <v>0</v>
      </c>
      <c r="E44" s="29">
        <f t="shared" ref="E44:E46" si="11">IF($H$2&gt;1,0,"")</f>
        <v>0</v>
      </c>
      <c r="F44" s="29" t="str">
        <f>IF($H$2&gt;2,0,"")</f>
        <v/>
      </c>
      <c r="G44" s="29" t="str">
        <f>IF($H$2&gt;3,0,"")</f>
        <v/>
      </c>
      <c r="H44" s="29" t="str">
        <f>IF($H$2&gt;4,0,"")</f>
        <v/>
      </c>
    </row>
    <row r="45" spans="1:8" s="60" customFormat="1">
      <c r="C45" s="27" t="s">
        <v>31</v>
      </c>
      <c r="D45" s="28">
        <v>0</v>
      </c>
      <c r="E45" s="29">
        <f t="shared" si="11"/>
        <v>0</v>
      </c>
      <c r="F45" s="29" t="str">
        <f t="shared" ref="F45:F46" si="12">IF($H$2&gt;2,0,"")</f>
        <v/>
      </c>
      <c r="G45" s="29" t="str">
        <f t="shared" ref="G45:G46" si="13">IF($H$2&gt;3,0,"")</f>
        <v/>
      </c>
      <c r="H45" s="29" t="str">
        <f t="shared" ref="H45:H46" si="14">IF($H$2&gt;4,0,"")</f>
        <v/>
      </c>
    </row>
    <row r="46" spans="1:8" s="60" customFormat="1">
      <c r="C46" s="30" t="s">
        <v>32</v>
      </c>
      <c r="D46" s="31">
        <v>0</v>
      </c>
      <c r="E46" s="45">
        <f t="shared" si="11"/>
        <v>0</v>
      </c>
      <c r="F46" s="45" t="str">
        <f t="shared" si="12"/>
        <v/>
      </c>
      <c r="G46" s="45" t="str">
        <f t="shared" si="13"/>
        <v/>
      </c>
      <c r="H46" s="45" t="str">
        <f t="shared" si="14"/>
        <v/>
      </c>
    </row>
    <row r="47" spans="1:8" s="60" customFormat="1">
      <c r="C47" s="66" t="s">
        <v>16</v>
      </c>
      <c r="D47" s="39">
        <f>SUM(D44:D46)</f>
        <v>0</v>
      </c>
      <c r="E47" s="39">
        <f>IF($H$2&gt;1,SUM(E44:E46),"")</f>
        <v>0</v>
      </c>
      <c r="F47" s="39" t="str">
        <f>IF($H$2&gt;2,SUM(F44:F46),"")</f>
        <v/>
      </c>
      <c r="G47" s="39" t="str">
        <f>IF($H$2&gt;3,SUM(G44:G46),"")</f>
        <v/>
      </c>
      <c r="H47" s="39" t="str">
        <f>IF($H$2&gt;4,SUM(H44:H46),"")</f>
        <v/>
      </c>
    </row>
    <row r="48" spans="1:8" s="60" customFormat="1">
      <c r="C48" s="27"/>
      <c r="D48" s="28"/>
      <c r="E48" s="47"/>
      <c r="F48" s="47"/>
    </row>
    <row r="49" spans="1:8" s="60" customFormat="1">
      <c r="A49" s="60" t="s">
        <v>8</v>
      </c>
      <c r="C49" s="27"/>
      <c r="D49" s="28"/>
      <c r="E49" s="47"/>
      <c r="F49" s="47"/>
    </row>
    <row r="50" spans="1:8" s="60" customFormat="1">
      <c r="C50" s="27" t="s">
        <v>34</v>
      </c>
      <c r="D50" s="28">
        <v>0</v>
      </c>
      <c r="E50" s="29">
        <f t="shared" ref="E50:E52" si="15">IF($H$2&gt;1,0,"")</f>
        <v>0</v>
      </c>
      <c r="F50" s="29" t="str">
        <f>IF($H$2&gt;2,0,"")</f>
        <v/>
      </c>
      <c r="G50" s="29" t="str">
        <f>IF($H$2&gt;3,0,"")</f>
        <v/>
      </c>
      <c r="H50" s="29" t="str">
        <f>IF($H$2&gt;4,0,"")</f>
        <v/>
      </c>
    </row>
    <row r="51" spans="1:8" s="60" customFormat="1">
      <c r="C51" s="27" t="s">
        <v>35</v>
      </c>
      <c r="D51" s="28">
        <v>0</v>
      </c>
      <c r="E51" s="29">
        <f t="shared" si="15"/>
        <v>0</v>
      </c>
      <c r="F51" s="29" t="str">
        <f t="shared" ref="F51:F52" si="16">IF($H$2&gt;2,0,"")</f>
        <v/>
      </c>
      <c r="G51" s="29" t="str">
        <f t="shared" ref="G51:G52" si="17">IF($H$2&gt;3,0,"")</f>
        <v/>
      </c>
      <c r="H51" s="29" t="str">
        <f t="shared" ref="H51:H52" si="18">IF($H$2&gt;4,0,"")</f>
        <v/>
      </c>
    </row>
    <row r="52" spans="1:8" s="60" customFormat="1">
      <c r="C52" s="30" t="s">
        <v>36</v>
      </c>
      <c r="D52" s="31">
        <v>0</v>
      </c>
      <c r="E52" s="45">
        <f t="shared" si="15"/>
        <v>0</v>
      </c>
      <c r="F52" s="45" t="str">
        <f t="shared" si="16"/>
        <v/>
      </c>
      <c r="G52" s="45" t="str">
        <f t="shared" si="17"/>
        <v/>
      </c>
      <c r="H52" s="45" t="str">
        <f t="shared" si="18"/>
        <v/>
      </c>
    </row>
    <row r="53" spans="1:8" s="60" customFormat="1">
      <c r="C53" s="66" t="s">
        <v>17</v>
      </c>
      <c r="D53" s="39">
        <f>SUM(D50:D52)</f>
        <v>0</v>
      </c>
      <c r="E53" s="39">
        <f>IF($H$2&gt;1,SUM(E50:E52),"")</f>
        <v>0</v>
      </c>
      <c r="F53" s="39" t="str">
        <f>IF($H$2&gt;2,SUM(F50:F52),"")</f>
        <v/>
      </c>
      <c r="G53" s="39" t="str">
        <f>IF($H$2&gt;3,SUM(G50:G52),"")</f>
        <v/>
      </c>
      <c r="H53" s="39" t="str">
        <f>IF($H$2&gt;4,SUM(H50:H52),"")</f>
        <v/>
      </c>
    </row>
    <row r="54" spans="1:8" s="60" customFormat="1">
      <c r="C54" s="27"/>
      <c r="D54" s="28"/>
      <c r="E54" s="47"/>
      <c r="F54" s="47"/>
    </row>
    <row r="55" spans="1:8" s="60" customFormat="1">
      <c r="A55" s="60" t="s">
        <v>39</v>
      </c>
      <c r="C55" s="27"/>
      <c r="D55" s="28"/>
      <c r="E55" s="47"/>
      <c r="F55" s="47"/>
    </row>
    <row r="56" spans="1:8" s="60" customFormat="1">
      <c r="C56" s="27" t="s">
        <v>40</v>
      </c>
      <c r="D56" s="28">
        <v>0</v>
      </c>
      <c r="E56" s="29">
        <f t="shared" ref="E56:E58" si="19">IF($H$2&gt;1,0,"")</f>
        <v>0</v>
      </c>
      <c r="F56" s="29" t="str">
        <f>IF($H$2&gt;2,0,"")</f>
        <v/>
      </c>
      <c r="G56" s="29" t="str">
        <f>IF($H$2&gt;3,0,"")</f>
        <v/>
      </c>
      <c r="H56" s="29" t="str">
        <f>IF($H$2&gt;4,0,"")</f>
        <v/>
      </c>
    </row>
    <row r="57" spans="1:8" s="60" customFormat="1">
      <c r="C57" s="27" t="s">
        <v>41</v>
      </c>
      <c r="D57" s="28">
        <v>0</v>
      </c>
      <c r="E57" s="29">
        <f t="shared" si="19"/>
        <v>0</v>
      </c>
      <c r="F57" s="29" t="str">
        <f t="shared" ref="F57:F58" si="20">IF($H$2&gt;2,0,"")</f>
        <v/>
      </c>
      <c r="G57" s="29" t="str">
        <f t="shared" ref="G57:G58" si="21">IF($H$2&gt;3,0,"")</f>
        <v/>
      </c>
      <c r="H57" s="29" t="str">
        <f t="shared" ref="H57:H58" si="22">IF($H$2&gt;4,0,"")</f>
        <v/>
      </c>
    </row>
    <row r="58" spans="1:8" s="60" customFormat="1">
      <c r="C58" s="30" t="s">
        <v>42</v>
      </c>
      <c r="D58" s="31">
        <v>0</v>
      </c>
      <c r="E58" s="45">
        <f t="shared" si="19"/>
        <v>0</v>
      </c>
      <c r="F58" s="45" t="str">
        <f t="shared" si="20"/>
        <v/>
      </c>
      <c r="G58" s="45" t="str">
        <f t="shared" si="21"/>
        <v/>
      </c>
      <c r="H58" s="45" t="str">
        <f t="shared" si="22"/>
        <v/>
      </c>
    </row>
    <row r="59" spans="1:8" s="60" customFormat="1">
      <c r="C59" s="66" t="s">
        <v>43</v>
      </c>
      <c r="D59" s="39">
        <f>SUM(D56:D58)</f>
        <v>0</v>
      </c>
      <c r="E59" s="39">
        <f>IF($H$2&gt;1,SUM(E56:E58),"")</f>
        <v>0</v>
      </c>
      <c r="F59" s="39" t="str">
        <f>IF($H$2&gt;2,SUM(F56:F58),"")</f>
        <v/>
      </c>
      <c r="G59" s="39" t="str">
        <f>IF($H$2&gt;3,SUM(G56:G58),"")</f>
        <v/>
      </c>
      <c r="H59" s="39" t="str">
        <f>IF($H$2&gt;4,SUM(H56:H58),"")</f>
        <v/>
      </c>
    </row>
    <row r="60" spans="1:8" s="60" customFormat="1">
      <c r="C60" s="27"/>
      <c r="D60" s="28"/>
      <c r="E60" s="47"/>
      <c r="F60" s="47"/>
    </row>
    <row r="61" spans="1:8" s="60" customFormat="1">
      <c r="A61" s="69" t="s">
        <v>9</v>
      </c>
      <c r="B61" s="69"/>
      <c r="C61" s="69"/>
      <c r="D61" s="56">
        <f>D19+D23+D30+D35+D41+D47+D53+D59</f>
        <v>0</v>
      </c>
      <c r="E61" s="56">
        <f>IF($H$2&gt;1,E19+E23+E30+E35+E41+E47+E53+E59,"")</f>
        <v>0</v>
      </c>
      <c r="F61" s="56" t="str">
        <f>IF($H$2&gt;2,F19+F23+F30+F35+F41+F47+F53+F59,"")</f>
        <v/>
      </c>
      <c r="G61" s="56" t="str">
        <f>IF($H$2&gt;3,G19+G23+G30+G35+G41+G47+G53+G59,"")</f>
        <v/>
      </c>
      <c r="H61" s="56" t="str">
        <f>IF($H$2&gt;4,H19+H23+H30+H35+H41+H47+H53+H59,"")</f>
        <v/>
      </c>
    </row>
    <row r="62" spans="1:8" s="60" customFormat="1" ht="13.5" thickBot="1">
      <c r="A62" s="70" t="s">
        <v>89</v>
      </c>
      <c r="B62" s="70"/>
      <c r="C62" s="70"/>
      <c r="D62" s="57">
        <f>(D19+D30)*0.485</f>
        <v>0</v>
      </c>
      <c r="E62" s="58">
        <f>IF($H$2&gt;1,(E19+E30)*0.485,"")</f>
        <v>0</v>
      </c>
      <c r="F62" s="58" t="str">
        <f>IF($H$2&gt;2,(F19+F30)*0.485,"")</f>
        <v/>
      </c>
      <c r="G62" s="58" t="str">
        <f>IF($H$2&gt;3,(G19+G30)*0.485,"")</f>
        <v/>
      </c>
      <c r="H62" s="58" t="str">
        <f>IF($H$2&gt;4,(H19+H30)*0.485,"")</f>
        <v/>
      </c>
    </row>
    <row r="63" spans="1:8" s="60" customFormat="1" ht="13.5" thickTop="1">
      <c r="A63" s="69" t="s">
        <v>10</v>
      </c>
      <c r="B63" s="69"/>
      <c r="C63" s="69"/>
      <c r="D63" s="56">
        <f>IF(D62&lt;F62, D61+D62, D61+F62)</f>
        <v>0</v>
      </c>
      <c r="E63" s="56">
        <f>IF(E62&lt;G62, E61+E62, E61+G62)</f>
        <v>0</v>
      </c>
      <c r="F63" s="59" t="str">
        <f>IF($H$2&gt;2,SUM(F61:F62),"")</f>
        <v/>
      </c>
      <c r="G63" s="59" t="str">
        <f>IF($H$2&gt;3,SUM(G61:G62),"")</f>
        <v/>
      </c>
      <c r="H63" s="59" t="str">
        <f>IF($H$2&gt;4,SUM(H61:H62),"")</f>
        <v/>
      </c>
    </row>
    <row r="64" spans="1:8">
      <c r="D64" s="28"/>
      <c r="H64" s="27"/>
    </row>
    <row r="65" spans="1:4">
      <c r="A65" s="60"/>
      <c r="B65" s="60"/>
      <c r="D65" s="28"/>
    </row>
    <row r="66" spans="1:4">
      <c r="D66" s="28"/>
    </row>
  </sheetData>
  <sheetProtection password="C230" sheet="1" objects="1" scenarios="1" selectLockedCells="1"/>
  <phoneticPr fontId="7" type="noConversion"/>
  <pageMargins left="0.7" right="0.7" top="0.84" bottom="0.75" header="0.45" footer="0.3"/>
  <pageSetup orientation="portrait" r:id="rId1"/>
  <headerFooter>
    <oddHeader>&amp;C&amp;"Arial,Bold"&amp;12Proposal Budget</oddHeader>
    <oddFooter>&amp;RUpdated by V. Quiroz, 03.10.2010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L63"/>
  <sheetViews>
    <sheetView topLeftCell="A8" workbookViewId="0">
      <selection activeCell="L27" sqref="L27"/>
    </sheetView>
  </sheetViews>
  <sheetFormatPr defaultColWidth="8.85546875" defaultRowHeight="12.75"/>
  <cols>
    <col min="1" max="1" width="8.85546875" style="4" customWidth="1"/>
    <col min="2" max="2" width="9" style="4" customWidth="1"/>
    <col min="3" max="3" width="19.85546875" style="24" customWidth="1"/>
    <col min="4" max="5" width="17.7109375" style="24" customWidth="1"/>
    <col min="6" max="6" width="17.5703125" style="4" bestFit="1" customWidth="1"/>
    <col min="7" max="7" width="14" style="4" bestFit="1" customWidth="1"/>
    <col min="8" max="16384" width="8.85546875" style="4"/>
  </cols>
  <sheetData>
    <row r="1" spans="1:8" s="60" customFormat="1">
      <c r="A1" s="60" t="s">
        <v>0</v>
      </c>
      <c r="D1" s="61" t="s">
        <v>45</v>
      </c>
      <c r="E1" s="61" t="s">
        <v>86</v>
      </c>
      <c r="F1" s="60" t="s">
        <v>87</v>
      </c>
      <c r="G1" s="61" t="s">
        <v>88</v>
      </c>
      <c r="H1" s="62" t="s">
        <v>81</v>
      </c>
    </row>
    <row r="2" spans="1:8" s="27" customFormat="1">
      <c r="A2" s="27" t="s">
        <v>1</v>
      </c>
      <c r="D2" s="28">
        <v>0</v>
      </c>
      <c r="E2" s="44">
        <v>0.15</v>
      </c>
      <c r="F2" s="40">
        <v>3</v>
      </c>
      <c r="G2" s="63">
        <v>0.6</v>
      </c>
      <c r="H2" s="64">
        <v>5</v>
      </c>
    </row>
    <row r="3" spans="1:8" s="27" customFormat="1">
      <c r="A3" s="27" t="s">
        <v>2</v>
      </c>
      <c r="D3" s="28">
        <v>0</v>
      </c>
      <c r="E3" s="44">
        <v>0.1</v>
      </c>
      <c r="F3" s="40">
        <v>2</v>
      </c>
      <c r="G3" s="63">
        <v>0.1</v>
      </c>
      <c r="H3" s="64"/>
    </row>
    <row r="4" spans="1:8" s="27" customFormat="1">
      <c r="A4" s="27" t="s">
        <v>2</v>
      </c>
      <c r="D4" s="28">
        <v>0</v>
      </c>
      <c r="E4" s="44">
        <v>0.1</v>
      </c>
      <c r="F4" s="43">
        <v>2</v>
      </c>
      <c r="G4" s="63">
        <v>0.1</v>
      </c>
      <c r="H4" s="64"/>
    </row>
    <row r="5" spans="1:8" s="27" customFormat="1">
      <c r="C5" s="66" t="s">
        <v>3</v>
      </c>
      <c r="D5" s="48">
        <v>1.03</v>
      </c>
      <c r="E5" s="40"/>
      <c r="F5" s="63"/>
      <c r="G5" s="28"/>
      <c r="H5" s="46"/>
    </row>
    <row r="6" spans="1:8" s="27" customFormat="1">
      <c r="D6" s="29"/>
      <c r="E6" s="28"/>
      <c r="F6" s="28"/>
      <c r="G6" s="46"/>
      <c r="H6" s="46"/>
    </row>
    <row r="7" spans="1:8" s="27" customFormat="1">
      <c r="D7" s="67" t="s">
        <v>11</v>
      </c>
      <c r="E7" s="59" t="str">
        <f>IF($H2&gt;1, "Year 2", "")</f>
        <v>Year 2</v>
      </c>
      <c r="F7" s="59" t="str">
        <f>IF($H2&gt;2, "Year 3", "")</f>
        <v>Year 3</v>
      </c>
      <c r="G7" s="59" t="str">
        <f>IF($H2&gt;3, "Year 4", "")</f>
        <v>Year 4</v>
      </c>
      <c r="H7" s="59" t="str">
        <f>IF($H2&gt;4, "Year 5", "")</f>
        <v>Year 5</v>
      </c>
    </row>
    <row r="8" spans="1:8" s="60" customFormat="1">
      <c r="A8" s="60" t="s">
        <v>12</v>
      </c>
      <c r="D8" s="28"/>
      <c r="E8" s="47"/>
      <c r="F8" s="47"/>
      <c r="G8" s="62"/>
    </row>
    <row r="9" spans="1:8" s="60" customFormat="1">
      <c r="A9" s="27" t="str">
        <f t="shared" ref="A9:C9" si="0">A2</f>
        <v>PI/PD</v>
      </c>
      <c r="B9" s="27" t="s">
        <v>84</v>
      </c>
      <c r="C9" s="66">
        <f t="shared" si="0"/>
        <v>0</v>
      </c>
      <c r="D9" s="39">
        <f>$D2/9*$E2</f>
        <v>0</v>
      </c>
      <c r="E9" s="49">
        <f>IF($H$2&gt;1,D9*$D$5, "")</f>
        <v>0</v>
      </c>
      <c r="F9" s="49">
        <f>IF($H2&gt;2,E9*$D$5, "")</f>
        <v>0</v>
      </c>
      <c r="G9" s="49">
        <f>IF($H2&gt;3,F9*$D$5, "")</f>
        <v>0</v>
      </c>
      <c r="H9" s="49">
        <f>IF($H2&gt;4,G9*$D$5, "")</f>
        <v>0</v>
      </c>
    </row>
    <row r="10" spans="1:8" s="60" customFormat="1">
      <c r="A10" s="27"/>
      <c r="B10" s="27" t="s">
        <v>85</v>
      </c>
      <c r="C10" s="27"/>
      <c r="D10" s="39">
        <f>(D2*2+D2*D5*11)/13/9*F2*G2</f>
        <v>0</v>
      </c>
      <c r="E10" s="49">
        <f>IF($H$2&gt;1,D10*$D$5, "")</f>
        <v>0</v>
      </c>
      <c r="F10" s="49">
        <f t="shared" ref="F10:F18" si="1">IF($H$2&gt;2,E10*$D$5, "")</f>
        <v>0</v>
      </c>
      <c r="G10" s="49">
        <f t="shared" ref="G10:G18" si="2">IF($H$2&gt;3,F10*$D$5, "")</f>
        <v>0</v>
      </c>
      <c r="H10" s="49">
        <f t="shared" ref="H10:H18" si="3">IF($H$2&gt;4,G10*$D$5, "")</f>
        <v>0</v>
      </c>
    </row>
    <row r="11" spans="1:8" s="27" customFormat="1">
      <c r="A11" s="27" t="str">
        <f>A3</f>
        <v>Co-PI/PD</v>
      </c>
      <c r="B11" s="27" t="s">
        <v>84</v>
      </c>
      <c r="C11" s="65">
        <f>C3</f>
        <v>0</v>
      </c>
      <c r="D11" s="39">
        <f>$D3/9*$E3</f>
        <v>0</v>
      </c>
      <c r="E11" s="49">
        <f>IF($H$2&gt;1,D11*$D$5, "")</f>
        <v>0</v>
      </c>
      <c r="F11" s="49">
        <f t="shared" si="1"/>
        <v>0</v>
      </c>
      <c r="G11" s="49">
        <f t="shared" si="2"/>
        <v>0</v>
      </c>
      <c r="H11" s="49">
        <f t="shared" si="3"/>
        <v>0</v>
      </c>
    </row>
    <row r="12" spans="1:8" s="27" customFormat="1">
      <c r="B12" s="27" t="s">
        <v>85</v>
      </c>
      <c r="C12" s="32"/>
      <c r="D12" s="39">
        <f>(D3*2+D3*D5*11)/13/9*F3*G3</f>
        <v>0</v>
      </c>
      <c r="E12" s="49">
        <f>IF($H$2&gt;1,D12*$D$5, "")</f>
        <v>0</v>
      </c>
      <c r="F12" s="49">
        <f t="shared" si="1"/>
        <v>0</v>
      </c>
      <c r="G12" s="49">
        <f t="shared" si="2"/>
        <v>0</v>
      </c>
      <c r="H12" s="49">
        <f t="shared" si="3"/>
        <v>0</v>
      </c>
    </row>
    <row r="13" spans="1:8" s="27" customFormat="1">
      <c r="A13" s="27" t="str">
        <f>A4</f>
        <v>Co-PI/PD</v>
      </c>
      <c r="B13" s="27" t="s">
        <v>84</v>
      </c>
      <c r="C13" s="65">
        <f>C4</f>
        <v>0</v>
      </c>
      <c r="D13" s="39">
        <f>$D4/9*$E4</f>
        <v>0</v>
      </c>
      <c r="E13" s="49">
        <f t="shared" ref="E13:E14" si="4">IF($H$2&gt;1,D13*$D$5, "")</f>
        <v>0</v>
      </c>
      <c r="F13" s="49">
        <f t="shared" si="1"/>
        <v>0</v>
      </c>
      <c r="G13" s="49">
        <f t="shared" si="2"/>
        <v>0</v>
      </c>
      <c r="H13" s="49">
        <f t="shared" si="3"/>
        <v>0</v>
      </c>
    </row>
    <row r="14" spans="1:8" s="27" customFormat="1">
      <c r="B14" s="27" t="s">
        <v>85</v>
      </c>
      <c r="C14" s="65"/>
      <c r="D14" s="39">
        <f>(D4*2+D4*D5*11)/13/9*F4*G4</f>
        <v>0</v>
      </c>
      <c r="E14" s="49">
        <f t="shared" si="4"/>
        <v>0</v>
      </c>
      <c r="F14" s="49">
        <f t="shared" si="1"/>
        <v>0</v>
      </c>
      <c r="G14" s="49">
        <f t="shared" si="2"/>
        <v>0</v>
      </c>
      <c r="H14" s="49">
        <f t="shared" si="3"/>
        <v>0</v>
      </c>
    </row>
    <row r="15" spans="1:8" s="27" customFormat="1">
      <c r="A15" s="27" t="s">
        <v>4</v>
      </c>
      <c r="B15" s="27" t="s">
        <v>84</v>
      </c>
      <c r="C15" s="32"/>
      <c r="D15" s="42">
        <v>0</v>
      </c>
      <c r="E15" s="49">
        <f>IF($H$2&gt;1,D15*$D$5, "")</f>
        <v>0</v>
      </c>
      <c r="F15" s="49">
        <f t="shared" si="1"/>
        <v>0</v>
      </c>
      <c r="G15" s="49">
        <f t="shared" si="2"/>
        <v>0</v>
      </c>
      <c r="H15" s="49">
        <f t="shared" si="3"/>
        <v>0</v>
      </c>
    </row>
    <row r="16" spans="1:8" s="27" customFormat="1">
      <c r="B16" s="27" t="s">
        <v>85</v>
      </c>
      <c r="C16" s="32"/>
      <c r="D16" s="42">
        <v>0</v>
      </c>
      <c r="E16" s="49">
        <f t="shared" ref="E16:E18" si="5">IF($H$2&gt;1,D16*$D$5, "")</f>
        <v>0</v>
      </c>
      <c r="F16" s="49">
        <f t="shared" si="1"/>
        <v>0</v>
      </c>
      <c r="G16" s="49">
        <f t="shared" si="2"/>
        <v>0</v>
      </c>
      <c r="H16" s="49">
        <f t="shared" si="3"/>
        <v>0</v>
      </c>
    </row>
    <row r="17" spans="1:12" s="27" customFormat="1">
      <c r="A17" s="27" t="s">
        <v>4</v>
      </c>
      <c r="B17" s="27" t="s">
        <v>84</v>
      </c>
      <c r="C17" s="32"/>
      <c r="D17" s="42">
        <v>0</v>
      </c>
      <c r="E17" s="49">
        <f t="shared" si="5"/>
        <v>0</v>
      </c>
      <c r="F17" s="49">
        <f t="shared" si="1"/>
        <v>0</v>
      </c>
      <c r="G17" s="49">
        <f t="shared" si="2"/>
        <v>0</v>
      </c>
      <c r="H17" s="49">
        <f t="shared" si="3"/>
        <v>0</v>
      </c>
    </row>
    <row r="18" spans="1:12" s="27" customFormat="1">
      <c r="B18" s="27" t="s">
        <v>85</v>
      </c>
      <c r="C18" s="30"/>
      <c r="D18" s="41">
        <v>0</v>
      </c>
      <c r="E18" s="50">
        <f t="shared" si="5"/>
        <v>0</v>
      </c>
      <c r="F18" s="50">
        <f t="shared" si="1"/>
        <v>0</v>
      </c>
      <c r="G18" s="50">
        <f t="shared" si="2"/>
        <v>0</v>
      </c>
      <c r="H18" s="50">
        <f t="shared" si="3"/>
        <v>0</v>
      </c>
    </row>
    <row r="19" spans="1:12" s="27" customFormat="1">
      <c r="C19" s="66" t="s">
        <v>13</v>
      </c>
      <c r="D19" s="39">
        <f>SUM(D9:D18)</f>
        <v>0</v>
      </c>
      <c r="E19" s="39">
        <f>IF($H$2&gt;1,SUM(E9:E18),"")</f>
        <v>0</v>
      </c>
      <c r="F19" s="39">
        <f>IF($H$2&gt;2,SUM(F9:F18),"")</f>
        <v>0</v>
      </c>
      <c r="G19" s="39">
        <f>IF($H$2&gt;3,SUM(G9:G18),"")</f>
        <v>0</v>
      </c>
      <c r="H19" s="39">
        <f>IF($H$2&gt;4,SUM(H9:H18),"")</f>
        <v>0</v>
      </c>
    </row>
    <row r="20" spans="1:12" s="27" customFormat="1">
      <c r="D20" s="28"/>
      <c r="E20" s="29"/>
      <c r="F20" s="29"/>
    </row>
    <row r="21" spans="1:12" s="60" customFormat="1">
      <c r="A21" s="60" t="s">
        <v>5</v>
      </c>
      <c r="C21" s="27"/>
      <c r="D21" s="28"/>
      <c r="E21" s="47"/>
      <c r="F21" s="47"/>
    </row>
    <row r="22" spans="1:12" s="60" customFormat="1">
      <c r="C22" s="68" t="s">
        <v>91</v>
      </c>
      <c r="D22" s="41">
        <f>D19*0.3275</f>
        <v>0</v>
      </c>
      <c r="E22" s="51">
        <f>IF($H$2&gt;1, E19*0.3275, "")</f>
        <v>0</v>
      </c>
      <c r="F22" s="51">
        <f>IF($H$2&gt;2, F19*0.3275, "")</f>
        <v>0</v>
      </c>
      <c r="G22" s="51">
        <f>IF($H$2&gt;3, G19*0.3275, "")</f>
        <v>0</v>
      </c>
      <c r="H22" s="51">
        <f>IF($H$2&gt;4, H19*0.3275, "")</f>
        <v>0</v>
      </c>
    </row>
    <row r="23" spans="1:12" s="27" customFormat="1">
      <c r="C23" s="66" t="s">
        <v>14</v>
      </c>
      <c r="D23" s="39">
        <f>SUM(D22:D22)</f>
        <v>0</v>
      </c>
      <c r="E23" s="39">
        <f>IF(H2&gt;1,E22,"")</f>
        <v>0</v>
      </c>
      <c r="F23" s="39">
        <f>IF(H2&gt;2,F22,"")</f>
        <v>0</v>
      </c>
      <c r="G23" s="39">
        <f>IF(H2&gt;3,G22,"")</f>
        <v>0</v>
      </c>
      <c r="H23" s="39">
        <f>IF(H2&gt;4,H22,"")</f>
        <v>0</v>
      </c>
    </row>
    <row r="24" spans="1:12" s="27" customFormat="1">
      <c r="D24" s="28"/>
      <c r="E24" s="29"/>
      <c r="F24" s="29"/>
    </row>
    <row r="25" spans="1:12" s="60" customFormat="1">
      <c r="A25" s="60" t="s">
        <v>21</v>
      </c>
      <c r="C25" s="27"/>
      <c r="D25" s="28"/>
      <c r="E25" s="47"/>
      <c r="I25" s="47" t="s">
        <v>78</v>
      </c>
      <c r="J25" s="60" t="s">
        <v>79</v>
      </c>
      <c r="K25" s="60" t="s">
        <v>80</v>
      </c>
      <c r="L25" s="60" t="s">
        <v>82</v>
      </c>
    </row>
    <row r="26" spans="1:12" s="60" customFormat="1">
      <c r="C26" s="27" t="s">
        <v>22</v>
      </c>
      <c r="D26" s="52">
        <f>IF($L$26=0,IF($L$27&gt;=1,$I$27*$J$27*$K$27,IF($L$27=0,IF($L$28&gt;=1,$I$28*$J$28*$K$28,IF($L$28=0,IF($L$29&gt;=1,$I$29*$J$29*$K$29,0),0)),0)),IF($L$26&gt;=1,$I$26*$J$26*$K$26,0))</f>
        <v>0</v>
      </c>
      <c r="E26" s="52">
        <f>IF($H$2&gt;1,D26*$D$5,"")</f>
        <v>0</v>
      </c>
      <c r="F26" s="52">
        <f>IF($H$2&gt;2,E26*$D$5,"")</f>
        <v>0</v>
      </c>
      <c r="G26" s="52">
        <f>IF($H$2&gt;3,F26*$D$5,"")</f>
        <v>0</v>
      </c>
      <c r="H26" s="52">
        <f>IF($H$2&gt;4,G26*$D$5,"")</f>
        <v>0</v>
      </c>
      <c r="I26" s="54">
        <v>8.9499999999999993</v>
      </c>
      <c r="J26" s="40">
        <v>10</v>
      </c>
      <c r="K26" s="40">
        <v>8</v>
      </c>
      <c r="L26" s="60">
        <v>0</v>
      </c>
    </row>
    <row r="27" spans="1:12" s="60" customFormat="1">
      <c r="C27" s="27" t="s">
        <v>23</v>
      </c>
      <c r="D27" s="52">
        <f>IF($L$26=0,IF($L$27&gt;1,$I$27*$J$27*$K$27,IF($L$27=1,IF($L$28&gt;=1,$I$28*$J$28*$K$28,IF($L$28=0,IF($L$29&gt;=1,$I$29*$J$29*$K$29,0),0)),IF($L$27=0,IF($L$28&gt;=2,$I$28*$J$28*$K$28,IF($L$28=1,IF($L$29&gt;=1,$I$29*$J$29*$K$29,0),IF($L$28=0,IF($L$29&gt;1,$I$29*$J$29*$K$29,0),0)))))),IF($L$26&gt;=2,$I$26*$J$26*$K$26,IF($L$26=1,IF($L$27&gt;=1,$I$27*$J$27*$K$27,IF($L$28&gt;=1,$I$28*$J$28*$K$28,IF($L$29&gt;=1,$I$29*$J$29*K$29,0))),0)))</f>
        <v>0</v>
      </c>
      <c r="E27" s="52">
        <f t="shared" ref="E27:E29" si="6">IF($H$2&gt;1,D27*$D$5,"")</f>
        <v>0</v>
      </c>
      <c r="F27" s="52">
        <f>IF($H$2&gt;2,E27*$D$5,"")</f>
        <v>0</v>
      </c>
      <c r="G27" s="52">
        <f>IF($H$2&gt;3,F27*$D$5,"")</f>
        <v>0</v>
      </c>
      <c r="H27" s="52">
        <f>IF($H$2&gt;4,G27*$D$5,"")</f>
        <v>0</v>
      </c>
      <c r="I27" s="54">
        <v>10.25</v>
      </c>
      <c r="J27" s="40">
        <v>10</v>
      </c>
      <c r="K27" s="40">
        <v>8</v>
      </c>
      <c r="L27" s="60">
        <v>0</v>
      </c>
    </row>
    <row r="28" spans="1:12" s="60" customFormat="1">
      <c r="C28" s="27" t="s">
        <v>24</v>
      </c>
      <c r="D28" s="52">
        <f>IF($L$26=0,IF($L$27&gt;2,$I$27*$J$27*$K$27,IF($L$27=2,IF($L$28&gt;=1,$I$28*$J$28*$K$28,IF($L$28=0,IF($L$29&gt;=1,$I$29*$J$29*$K$29,0),0)),IF($L$27=1, IF($L$28&gt;=2,$I$28*$J$28*$K$28,IF($L$28=1, IF($L$29&gt;=1, $I$29*$J$29*$K$29,0),IF($L$28=0,IF($L$29&gt;=2,$I$29*$J$29*$K$29,0)))),IF($L$27=0,IF($L$28&gt;=3,$I$28*$J$28*$K$28,IF($L$29&gt;=3,$I$29*$J$29*$K$29,IF($L$28=2,IF($L$29&gt;=1,$I$29*$J$29*$K$29,IF($L$28=1,IF($L$29&gt;=2,$I$29*$J$29*$K$29,0))),0))),0)))),IF($L$26&gt;=3,$I$26*$J$26*$K$26,IF($L$26=2,IF($L$27&gt;=1,$I$27*$J$27*$K$27, IF($L$28&gt;=1,$I$28*$J$28*$K$28,IF($L$29&gt;=1,$I$29*$J$29*$K$29,0))),IF($L$26=1, IF($L$27&gt;=2,$I$27*$J$27*$K$27, IF($L$27=1, IF($L$28&gt;=1, $I$28*$J$28*$K$28,IF($L$29&gt;=1, $I$29*$J$29*$K$29,0)),IF($L$27=0,IF($L$28&gt;=2,$I$28*$J$28*$K$28,IF($L$28=1,IF($L$29&gt;=1, $I$29*$J$29*$K$29,0),IF($L$28=0, IF($L$29&gt;=2, $I$29*$J$29*$K$29,0),0))),0))),0))))</f>
        <v>0</v>
      </c>
      <c r="E28" s="52">
        <f t="shared" si="6"/>
        <v>0</v>
      </c>
      <c r="F28" s="52">
        <f>IF($H$2&gt;2,E28*$D$5,"")</f>
        <v>0</v>
      </c>
      <c r="G28" s="52">
        <f>IF($H$2&gt;3,F28*$D$5,"")</f>
        <v>0</v>
      </c>
      <c r="H28" s="52">
        <f>IF($H$2&gt;4,G28*$D$5,"")</f>
        <v>0</v>
      </c>
      <c r="I28" s="54">
        <v>11.3</v>
      </c>
      <c r="J28" s="40">
        <v>10</v>
      </c>
      <c r="K28" s="40">
        <v>8</v>
      </c>
      <c r="L28" s="60">
        <v>0</v>
      </c>
    </row>
    <row r="29" spans="1:12" s="27" customFormat="1">
      <c r="C29" s="30" t="s">
        <v>25</v>
      </c>
      <c r="D29" s="53">
        <f>IF($L$26=0,IF($L$27&gt;3,$I$27*$J$27*$K$27,IF($L$27=3,IF($L$28&gt;=1,$I$28*$J$28*$K$28,IF($L$28=0,IF($L$29&gt;=1,$I$29*$J$29*$K$29,0),0)),IF($L$27=2, IF($L$28&gt;=2,$I$28*$J$28*$K$28,IF($L$28=1, IF($L$29&gt;=1, $I$29*$J$29*$K$29,0),IF($L$28=0,IF($L$29&gt;=2,$I$29*$J$29*$K$29,0),0))),IF($L$27=1,IF($L$28&gt;=3,$I$28*$J$28*$K$28,IF($L$28=2,IF($L$29&gt;=1,$I$29*$J$29*$K$29,0),IF($L$28=1,IF($L$29&gt;=2,$I$29*$J$29*$K$29,0),IF($L$28=0, IF($L$29&gt;=3,$I$29*$J$29*$K$29,0),0)))),IF($L$27=0,IF($L$28&gt;3,$I$28*$J$28*$K$28,IF($L$28=3, IF($L$29&gt;=1,$I$29*$J$29*$K$29,0),IF($L$28=2, IF($L$29&gt;=2,$I$29*$J$29*$K$29,0),IF($L$28=1, IF($L$29&gt;=3, $I$29*$J$29*$K$29,0),IF($L$28=0, IF($L$29&gt;=4, $I$29*$J$29*$K$29,0),0))))),0))))),IF($L$26&gt;=4,$I$26*$J$26*$K$26,IF($L$26=3,IF($L$27=1,$I$27*$J$27*$K$27, IF($L$28=1,$I$28*$J$28*$K$28,IF($L$29=1,$I$29*$J$29*$K$29,0))),IF($L$26=2, IF($L$27&gt;=2,$I$27*$J$27*$K$27, IF($L$27=1, IF($L$28&gt;=1, $I$28*$J$28*$K$28,IF($L$29&gt;=1, $I$29*$J$29*$K$29,0)),IF($L$27=0,IF($L$28&gt;=2,$I$28*$J$28*$K$28,IF($L$28=1,IF($L$29&gt;=1, $I$29*$J$29*$K$29,0),IF($L$28=0, IF($L$29&gt;=2, $I$29*$J$29*$K$29,0),0))),0))),IF($L$26=1, IF($L$27&gt;=3,$I$28*$J$28*$K$28, IF($L$27=2, IF($L$28&gt;=1,$I$28*$J$28*$K$28, IF($L$29&gt;=1, $I$29*$J$29*$K$29,0)),IF($L$27=1, IF($L$28&gt;=2,$I$28*$J$28*$K$28, IF($L$28=1, IF($L$29&gt;=1, $I$29*$J$29*$K$29,0), IF($L$28=0, IF($L$29&gt;=2,$I$29*$J$29*$K$29,0),0))),IF($L$27=0, IF($L$28&gt;=3,$I$28*$J$28*$K$28, IF($L$28=2, IF($L$29&gt;=1,$I$29*$J$29*$K$29,0),IF($L$28=1, IF($L$29&gt;=2,$I$29*$J$29*$K$29,0),IF($L$28=0, IF($L$29&gt;=3,$I$29*$J$29*$K$29,0),0)))),0)))),0)))))</f>
        <v>0</v>
      </c>
      <c r="E29" s="53">
        <f t="shared" si="6"/>
        <v>0</v>
      </c>
      <c r="F29" s="53">
        <f>IF($H$2&gt;2,E29*$D$5,"")</f>
        <v>0</v>
      </c>
      <c r="G29" s="53">
        <f>IF($H$2&gt;3,F29*$D$5,"")</f>
        <v>0</v>
      </c>
      <c r="H29" s="53">
        <f>IF($H$2&gt;4,G29*$D$5,"")</f>
        <v>0</v>
      </c>
      <c r="I29" s="54">
        <v>19.79</v>
      </c>
      <c r="J29" s="40">
        <v>10</v>
      </c>
      <c r="K29" s="40">
        <v>8</v>
      </c>
      <c r="L29" s="27">
        <v>0</v>
      </c>
    </row>
    <row r="30" spans="1:12" s="27" customFormat="1">
      <c r="C30" s="27" t="s">
        <v>20</v>
      </c>
      <c r="D30" s="39">
        <f>SUM(D26:D29)</f>
        <v>0</v>
      </c>
      <c r="E30" s="49">
        <f>IF($H$2&gt;1,SUM(E26:E29),"")</f>
        <v>0</v>
      </c>
      <c r="F30" s="49">
        <f>IF($H$2&gt;2,SUM(F26:F29),"")</f>
        <v>0</v>
      </c>
      <c r="G30" s="49">
        <f>IF($H$2&gt;3,SUM(G26:G29),"")</f>
        <v>0</v>
      </c>
      <c r="H30" s="49">
        <f>IF($H$2&gt;4,SUM(H26:H29),"")</f>
        <v>0</v>
      </c>
    </row>
    <row r="31" spans="1:12" s="27" customFormat="1">
      <c r="D31" s="28"/>
      <c r="E31" s="29"/>
      <c r="F31" s="29"/>
      <c r="J31" s="27" t="s">
        <v>83</v>
      </c>
    </row>
    <row r="32" spans="1:12" s="60" customFormat="1">
      <c r="A32" s="60" t="s">
        <v>6</v>
      </c>
      <c r="C32" s="27"/>
      <c r="D32" s="28"/>
      <c r="E32" s="47"/>
      <c r="F32" s="47"/>
    </row>
    <row r="33" spans="1:8" s="27" customFormat="1">
      <c r="C33" s="66" t="s">
        <v>19</v>
      </c>
      <c r="D33" s="39">
        <f>'Travel Worksheet'!E19</f>
        <v>0</v>
      </c>
      <c r="E33" s="49">
        <f>IF(H2&gt;1,'Travel Worksheet'!E35,"")</f>
        <v>0</v>
      </c>
      <c r="F33" s="49">
        <f>IF(H2&gt;2,'Travel Worksheet'!E51,"")</f>
        <v>0</v>
      </c>
      <c r="G33" s="55">
        <f>IF(H2&gt;3,'Travel Worksheet'!E67,"")</f>
        <v>0</v>
      </c>
      <c r="H33" s="55">
        <f>IF(H2&gt;4,'Travel Worksheet'!E83,"")</f>
        <v>0</v>
      </c>
    </row>
    <row r="34" spans="1:8" s="27" customFormat="1">
      <c r="C34" s="68" t="s">
        <v>26</v>
      </c>
      <c r="D34" s="41">
        <f>'Travel Worksheet'!E100</f>
        <v>0</v>
      </c>
      <c r="E34" s="50">
        <f>IF(H2&gt;1,'Travel Worksheet'!E116,"")</f>
        <v>0</v>
      </c>
      <c r="F34" s="41">
        <f>IF(H2&gt;2,'Travel Worksheet'!E132,"")</f>
        <v>0</v>
      </c>
      <c r="G34" s="41">
        <f>IF(H2&gt;3,'Travel Worksheet'!E132,"")</f>
        <v>0</v>
      </c>
      <c r="H34" s="41">
        <f>IF(H2&gt;4,'Travel Worksheet'!E164,"")</f>
        <v>0</v>
      </c>
    </row>
    <row r="35" spans="1:8" s="27" customFormat="1">
      <c r="C35" s="66" t="s">
        <v>15</v>
      </c>
      <c r="D35" s="39">
        <f>SUM(D33:D34)</f>
        <v>0</v>
      </c>
      <c r="E35" s="39">
        <f>IF($H$2&gt;1,SUM(E33:E34),"")</f>
        <v>0</v>
      </c>
      <c r="F35" s="39">
        <f>IF($H$2&gt;2,SUM(F33:F34),"")</f>
        <v>0</v>
      </c>
      <c r="G35" s="39">
        <f>IF($H$2&gt;3,SUM(G33:G34),"")</f>
        <v>0</v>
      </c>
      <c r="H35" s="39">
        <f>IF($H$2&gt;4,SUM(H33:H34),"")</f>
        <v>0</v>
      </c>
    </row>
    <row r="36" spans="1:8" s="27" customFormat="1">
      <c r="D36" s="28"/>
      <c r="E36" s="29"/>
      <c r="F36" s="29"/>
    </row>
    <row r="37" spans="1:8" s="27" customFormat="1">
      <c r="A37" s="60" t="s">
        <v>44</v>
      </c>
      <c r="B37" s="60"/>
      <c r="D37" s="28"/>
      <c r="E37" s="29"/>
      <c r="F37" s="29"/>
    </row>
    <row r="38" spans="1:8" s="27" customFormat="1">
      <c r="C38" s="27" t="s">
        <v>27</v>
      </c>
      <c r="D38" s="28">
        <v>0</v>
      </c>
      <c r="E38" s="29">
        <f>IF($H$2&gt;1,0,"")</f>
        <v>0</v>
      </c>
      <c r="F38" s="29">
        <f>IF($H$2&gt;2,0,"")</f>
        <v>0</v>
      </c>
      <c r="G38" s="29">
        <f>IF($H$2&gt;3,0,"")</f>
        <v>0</v>
      </c>
      <c r="H38" s="29">
        <f>IF($H$2&gt;4,0,"")</f>
        <v>0</v>
      </c>
    </row>
    <row r="39" spans="1:8" s="27" customFormat="1">
      <c r="C39" s="27" t="s">
        <v>28</v>
      </c>
      <c r="D39" s="28">
        <v>0</v>
      </c>
      <c r="E39" s="29">
        <f t="shared" ref="E39:E40" si="7">IF($H$2&gt;1,0,"")</f>
        <v>0</v>
      </c>
      <c r="F39" s="29">
        <f t="shared" ref="F39:F40" si="8">IF($H$2&gt;2,0,"")</f>
        <v>0</v>
      </c>
      <c r="G39" s="29">
        <f t="shared" ref="G39:G40" si="9">IF($H$2&gt;3,0,"")</f>
        <v>0</v>
      </c>
      <c r="H39" s="29">
        <f t="shared" ref="H39:H40" si="10">IF($H$2&gt;4,0,"")</f>
        <v>0</v>
      </c>
    </row>
    <row r="40" spans="1:8" s="27" customFormat="1">
      <c r="C40" s="30" t="s">
        <v>29</v>
      </c>
      <c r="D40" s="31">
        <v>0</v>
      </c>
      <c r="E40" s="45">
        <f t="shared" si="7"/>
        <v>0</v>
      </c>
      <c r="F40" s="45">
        <f t="shared" si="8"/>
        <v>0</v>
      </c>
      <c r="G40" s="45">
        <f t="shared" si="9"/>
        <v>0</v>
      </c>
      <c r="H40" s="45">
        <f t="shared" si="10"/>
        <v>0</v>
      </c>
    </row>
    <row r="41" spans="1:8" s="27" customFormat="1">
      <c r="C41" s="66" t="s">
        <v>33</v>
      </c>
      <c r="D41" s="39">
        <f>SUM(D38:D40)</f>
        <v>0</v>
      </c>
      <c r="E41" s="39">
        <f>IF($H$2&gt;1,SUM(E38:E40),"")</f>
        <v>0</v>
      </c>
      <c r="F41" s="39">
        <f>IF($H$2&gt;2,SUM(F38:F40),"")</f>
        <v>0</v>
      </c>
      <c r="G41" s="39">
        <f>IF($H$2&gt;3,SUM(G38:G40),"")</f>
        <v>0</v>
      </c>
      <c r="H41" s="39">
        <f>IF($H$2&gt;4,SUM(H38:H40),"")</f>
        <v>0</v>
      </c>
    </row>
    <row r="42" spans="1:8" s="27" customFormat="1">
      <c r="D42" s="28"/>
      <c r="E42" s="29"/>
      <c r="F42" s="29"/>
    </row>
    <row r="43" spans="1:8" s="60" customFormat="1">
      <c r="A43" s="60" t="s">
        <v>7</v>
      </c>
      <c r="C43" s="27"/>
      <c r="D43" s="28"/>
      <c r="E43" s="47"/>
      <c r="F43" s="47"/>
    </row>
    <row r="44" spans="1:8" s="60" customFormat="1">
      <c r="C44" s="27" t="s">
        <v>30</v>
      </c>
      <c r="D44" s="28">
        <v>0</v>
      </c>
      <c r="E44" s="29">
        <f>IF($H$2&gt;1,0,"")</f>
        <v>0</v>
      </c>
      <c r="F44" s="29">
        <f>IF($H$2&gt;2,0,"")</f>
        <v>0</v>
      </c>
      <c r="G44" s="29">
        <f>IF($H$2&gt;3,0,"")</f>
        <v>0</v>
      </c>
      <c r="H44" s="29">
        <f>IF($H$2&gt;4,0,"")</f>
        <v>0</v>
      </c>
    </row>
    <row r="45" spans="1:8" s="60" customFormat="1">
      <c r="C45" s="27" t="s">
        <v>31</v>
      </c>
      <c r="D45" s="28">
        <v>0</v>
      </c>
      <c r="E45" s="29">
        <f t="shared" ref="E45:E46" si="11">IF($H$2&gt;1,0,"")</f>
        <v>0</v>
      </c>
      <c r="F45" s="29">
        <f t="shared" ref="F45:F46" si="12">IF($H$2&gt;2,0,"")</f>
        <v>0</v>
      </c>
      <c r="G45" s="29">
        <f t="shared" ref="G45:G46" si="13">IF($H$2&gt;3,0,"")</f>
        <v>0</v>
      </c>
      <c r="H45" s="29">
        <f t="shared" ref="H45:H46" si="14">IF($H$2&gt;4,0,"")</f>
        <v>0</v>
      </c>
    </row>
    <row r="46" spans="1:8" s="60" customFormat="1">
      <c r="C46" s="30" t="s">
        <v>32</v>
      </c>
      <c r="D46" s="31">
        <v>0</v>
      </c>
      <c r="E46" s="45">
        <f t="shared" si="11"/>
        <v>0</v>
      </c>
      <c r="F46" s="45">
        <f t="shared" si="12"/>
        <v>0</v>
      </c>
      <c r="G46" s="45">
        <f t="shared" si="13"/>
        <v>0</v>
      </c>
      <c r="H46" s="45">
        <f t="shared" si="14"/>
        <v>0</v>
      </c>
    </row>
    <row r="47" spans="1:8" s="60" customFormat="1">
      <c r="C47" s="66" t="s">
        <v>16</v>
      </c>
      <c r="D47" s="39">
        <f>SUM(D44:D46)</f>
        <v>0</v>
      </c>
      <c r="E47" s="39">
        <f>IF($H$2&gt;1,SUM(E44:E46),"")</f>
        <v>0</v>
      </c>
      <c r="F47" s="39">
        <f>IF($H$2&gt;2,SUM(F44:F46),"")</f>
        <v>0</v>
      </c>
      <c r="G47" s="39">
        <f>IF($H$2&gt;3,SUM(G44:G46),"")</f>
        <v>0</v>
      </c>
      <c r="H47" s="39">
        <f>IF($H$2&gt;4,SUM(H44:H46),"")</f>
        <v>0</v>
      </c>
    </row>
    <row r="48" spans="1:8" s="60" customFormat="1">
      <c r="C48" s="27"/>
      <c r="D48" s="28"/>
      <c r="E48" s="47"/>
      <c r="F48" s="47"/>
    </row>
    <row r="49" spans="1:8" s="60" customFormat="1">
      <c r="A49" s="60" t="s">
        <v>8</v>
      </c>
      <c r="C49" s="27"/>
      <c r="D49" s="28"/>
      <c r="E49" s="47"/>
      <c r="F49" s="47"/>
    </row>
    <row r="50" spans="1:8" s="60" customFormat="1">
      <c r="C50" s="27" t="s">
        <v>34</v>
      </c>
      <c r="D50" s="28">
        <v>0</v>
      </c>
      <c r="E50" s="29">
        <f>IF($H$2&gt;1,0,"")</f>
        <v>0</v>
      </c>
      <c r="F50" s="29">
        <f>IF($H$2&gt;2,0,"")</f>
        <v>0</v>
      </c>
      <c r="G50" s="29">
        <f>IF($H$2&gt;3,0,"")</f>
        <v>0</v>
      </c>
      <c r="H50" s="29">
        <f>IF($H$2&gt;4,0,"")</f>
        <v>0</v>
      </c>
    </row>
    <row r="51" spans="1:8" s="60" customFormat="1">
      <c r="C51" s="27" t="s">
        <v>35</v>
      </c>
      <c r="D51" s="28">
        <v>0</v>
      </c>
      <c r="E51" s="29">
        <f t="shared" ref="E51:E52" si="15">IF($H$2&gt;1,0,"")</f>
        <v>0</v>
      </c>
      <c r="F51" s="29">
        <f t="shared" ref="F51:F52" si="16">IF($H$2&gt;2,0,"")</f>
        <v>0</v>
      </c>
      <c r="G51" s="29">
        <f t="shared" ref="G51:G52" si="17">IF($H$2&gt;3,0,"")</f>
        <v>0</v>
      </c>
      <c r="H51" s="29">
        <f t="shared" ref="H51:H52" si="18">IF($H$2&gt;4,0,"")</f>
        <v>0</v>
      </c>
    </row>
    <row r="52" spans="1:8" s="60" customFormat="1">
      <c r="C52" s="30" t="s">
        <v>36</v>
      </c>
      <c r="D52" s="31">
        <v>0</v>
      </c>
      <c r="E52" s="45">
        <f t="shared" si="15"/>
        <v>0</v>
      </c>
      <c r="F52" s="45">
        <f t="shared" si="16"/>
        <v>0</v>
      </c>
      <c r="G52" s="45">
        <f t="shared" si="17"/>
        <v>0</v>
      </c>
      <c r="H52" s="45">
        <f t="shared" si="18"/>
        <v>0</v>
      </c>
    </row>
    <row r="53" spans="1:8" s="60" customFormat="1">
      <c r="C53" s="66" t="s">
        <v>17</v>
      </c>
      <c r="D53" s="39">
        <f>SUM(D50:D52)</f>
        <v>0</v>
      </c>
      <c r="E53" s="39">
        <f>IF($H$2&gt;1,SUM(E50:E52),"")</f>
        <v>0</v>
      </c>
      <c r="F53" s="39">
        <f>IF($H$2&gt;2,SUM(F50:F52),"")</f>
        <v>0</v>
      </c>
      <c r="G53" s="39">
        <f>IF($H$2&gt;3,SUM(G50:G52),"")</f>
        <v>0</v>
      </c>
      <c r="H53" s="39">
        <f>IF($H$2&gt;4,SUM(H50:H52),"")</f>
        <v>0</v>
      </c>
    </row>
    <row r="54" spans="1:8" s="60" customFormat="1">
      <c r="C54" s="27"/>
      <c r="D54" s="28"/>
      <c r="E54" s="47"/>
      <c r="F54" s="47"/>
    </row>
    <row r="55" spans="1:8" s="60" customFormat="1">
      <c r="A55" s="60" t="s">
        <v>39</v>
      </c>
      <c r="C55" s="27"/>
      <c r="D55" s="28"/>
      <c r="E55" s="47"/>
      <c r="F55" s="47"/>
    </row>
    <row r="56" spans="1:8" s="60" customFormat="1">
      <c r="C56" s="27" t="s">
        <v>40</v>
      </c>
      <c r="D56" s="28">
        <v>0</v>
      </c>
      <c r="E56" s="29">
        <f>IF($H$2&gt;1,0,"")</f>
        <v>0</v>
      </c>
      <c r="F56" s="29">
        <f>IF($H$2&gt;2,0,"")</f>
        <v>0</v>
      </c>
      <c r="G56" s="29">
        <f>IF($H$2&gt;3,0,"")</f>
        <v>0</v>
      </c>
      <c r="H56" s="29">
        <f>IF($H$2&gt;4,0,"")</f>
        <v>0</v>
      </c>
    </row>
    <row r="57" spans="1:8" s="60" customFormat="1">
      <c r="C57" s="27" t="s">
        <v>41</v>
      </c>
      <c r="D57" s="28">
        <v>0</v>
      </c>
      <c r="E57" s="29">
        <f t="shared" ref="E57:E58" si="19">IF($H$2&gt;1,0,"")</f>
        <v>0</v>
      </c>
      <c r="F57" s="29">
        <f t="shared" ref="F57:F58" si="20">IF($H$2&gt;2,0,"")</f>
        <v>0</v>
      </c>
      <c r="G57" s="29">
        <f t="shared" ref="G57:G58" si="21">IF($H$2&gt;3,0,"")</f>
        <v>0</v>
      </c>
      <c r="H57" s="29">
        <f t="shared" ref="H57:H58" si="22">IF($H$2&gt;4,0,"")</f>
        <v>0</v>
      </c>
    </row>
    <row r="58" spans="1:8" s="60" customFormat="1">
      <c r="C58" s="30" t="s">
        <v>42</v>
      </c>
      <c r="D58" s="31">
        <v>0</v>
      </c>
      <c r="E58" s="45">
        <f t="shared" si="19"/>
        <v>0</v>
      </c>
      <c r="F58" s="45">
        <f t="shared" si="20"/>
        <v>0</v>
      </c>
      <c r="G58" s="45">
        <f t="shared" si="21"/>
        <v>0</v>
      </c>
      <c r="H58" s="45">
        <f t="shared" si="22"/>
        <v>0</v>
      </c>
    </row>
    <row r="59" spans="1:8" s="60" customFormat="1">
      <c r="C59" s="66" t="s">
        <v>43</v>
      </c>
      <c r="D59" s="39">
        <f>SUM(D56:D58)</f>
        <v>0</v>
      </c>
      <c r="E59" s="39">
        <f>IF($H$2&gt;1,SUM(E56:E58),"")</f>
        <v>0</v>
      </c>
      <c r="F59" s="39">
        <f>IF($H$2&gt;2,SUM(F56:F58),"")</f>
        <v>0</v>
      </c>
      <c r="G59" s="39">
        <f>IF($H$2&gt;3,SUM(G56:G58),"")</f>
        <v>0</v>
      </c>
      <c r="H59" s="39">
        <f>IF($H$2&gt;4,SUM(H56:H58),"")</f>
        <v>0</v>
      </c>
    </row>
    <row r="60" spans="1:8" s="60" customFormat="1">
      <c r="C60" s="27"/>
      <c r="D60" s="28"/>
      <c r="E60" s="47"/>
      <c r="F60" s="47"/>
    </row>
    <row r="61" spans="1:8" s="60" customFormat="1">
      <c r="A61" s="69" t="s">
        <v>9</v>
      </c>
      <c r="B61" s="69"/>
      <c r="C61" s="69"/>
      <c r="D61" s="56">
        <f>D19+D23+D30+D35+D41+D47+D53+D59</f>
        <v>0</v>
      </c>
      <c r="E61" s="56">
        <f>IF($H$2&gt;1,E19+E23+E30+E35+E41+E47+E53+E59,"")</f>
        <v>0</v>
      </c>
      <c r="F61" s="56">
        <f>IF($H$2&gt;2,F19+F23+F30+F35+F41+F47+F53+F59,"")</f>
        <v>0</v>
      </c>
      <c r="G61" s="56">
        <f>IF($H$2&gt;3,G19+G23+G30+G35+G41+G47+G53+G59,"")</f>
        <v>0</v>
      </c>
      <c r="H61" s="56">
        <f>IF($H$2&gt;4,H19+H23+H30+H35+H41+H47+H53+H59,"")</f>
        <v>0</v>
      </c>
    </row>
    <row r="62" spans="1:8" s="60" customFormat="1" ht="13.5" thickBot="1">
      <c r="A62" s="70" t="s">
        <v>89</v>
      </c>
      <c r="B62" s="70"/>
      <c r="C62" s="70"/>
      <c r="D62" s="57">
        <f>(D19+D30)*0.485</f>
        <v>0</v>
      </c>
      <c r="E62" s="58">
        <f>IF($H$2&gt;1,(E19+E30)*0.485,"")</f>
        <v>0</v>
      </c>
      <c r="F62" s="58">
        <f>IF($H$2&gt;2,(F19+F30)*0.485,"")</f>
        <v>0</v>
      </c>
      <c r="G62" s="58">
        <f>IF($H$2&gt;3,(G19+G30)*0.485,"")</f>
        <v>0</v>
      </c>
      <c r="H62" s="58">
        <f>IF($H$2&gt;4,(H19+H30)*0.485,"")</f>
        <v>0</v>
      </c>
    </row>
    <row r="63" spans="1:8" s="60" customFormat="1" ht="13.5" thickTop="1">
      <c r="A63" s="69" t="s">
        <v>10</v>
      </c>
      <c r="B63" s="69"/>
      <c r="C63" s="69"/>
      <c r="D63" s="56">
        <f>D61+D62</f>
        <v>0</v>
      </c>
      <c r="E63" s="59">
        <f>IF($H$2&gt;1,SUM(E61:E62),"")</f>
        <v>0</v>
      </c>
      <c r="F63" s="59">
        <f>IF($H$2&gt;2,SUM(F61:F62),"")</f>
        <v>0</v>
      </c>
      <c r="G63" s="59">
        <f>IF($H$2&gt;3,SUM(G61:G62),"")</f>
        <v>0</v>
      </c>
      <c r="H63" s="59">
        <f>IF($H$2&gt;4,SUM(H61:H62),"")</f>
        <v>0</v>
      </c>
    </row>
  </sheetData>
  <sheetProtection password="C230" sheet="1" objects="1" scenarios="1" selectLockedCells="1"/>
  <pageMargins left="0.7" right="0.7" top="0.84" bottom="0.75" header="0.45" footer="0.3"/>
  <headerFooter>
    <oddHeader>&amp;C&amp;"Arial,Bold"&amp;12Proposal Budget</oddHeader>
    <oddFooter>&amp;RUpdated by V. Quiroz, 03.10.2010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>
      <selection activeCell="C19" sqref="C19"/>
    </sheetView>
  </sheetViews>
  <sheetFormatPr defaultColWidth="8.85546875" defaultRowHeight="12.75"/>
  <cols>
    <col min="1" max="1" width="3.7109375" style="4" customWidth="1"/>
    <col min="2" max="2" width="33" style="4" customWidth="1"/>
    <col min="3" max="3" width="17.7109375" style="24" customWidth="1"/>
    <col min="4" max="5" width="17.7109375" style="6" customWidth="1"/>
    <col min="6" max="7" width="8.85546875" style="6"/>
    <col min="8" max="16384" width="8.85546875" style="4"/>
  </cols>
  <sheetData>
    <row r="1" spans="1:7" s="1" customFormat="1">
      <c r="A1" s="1" t="s">
        <v>18</v>
      </c>
      <c r="C1" s="22"/>
      <c r="D1" s="2"/>
      <c r="E1" s="2"/>
      <c r="F1" s="3"/>
      <c r="G1" s="3"/>
    </row>
    <row r="2" spans="1:7">
      <c r="A2" s="4" t="s">
        <v>37</v>
      </c>
      <c r="B2" s="27"/>
      <c r="C2" s="23"/>
      <c r="D2" s="4"/>
      <c r="E2" s="5"/>
    </row>
    <row r="3" spans="1:7">
      <c r="A3" s="4" t="s">
        <v>38</v>
      </c>
      <c r="B3" s="27"/>
      <c r="C3" s="23"/>
      <c r="D3" s="4"/>
      <c r="E3" s="5"/>
    </row>
    <row r="4" spans="1:7">
      <c r="D4" s="5"/>
      <c r="E4" s="5"/>
    </row>
    <row r="5" spans="1:7">
      <c r="C5" s="22" t="s">
        <v>11</v>
      </c>
      <c r="D5" s="4"/>
    </row>
    <row r="6" spans="1:7">
      <c r="A6" s="1" t="s">
        <v>44</v>
      </c>
      <c r="C6" s="23"/>
      <c r="G6" s="4"/>
    </row>
    <row r="7" spans="1:7">
      <c r="B7" s="27" t="s">
        <v>27</v>
      </c>
      <c r="C7" s="28">
        <v>0</v>
      </c>
      <c r="G7" s="4"/>
    </row>
    <row r="8" spans="1:7">
      <c r="B8" s="32" t="s">
        <v>28</v>
      </c>
      <c r="C8" s="33">
        <v>0</v>
      </c>
      <c r="G8" s="4"/>
    </row>
    <row r="9" spans="1:7">
      <c r="B9" s="32" t="s">
        <v>29</v>
      </c>
      <c r="C9" s="33">
        <v>0</v>
      </c>
      <c r="G9" s="4"/>
    </row>
    <row r="10" spans="1:7">
      <c r="B10" s="32" t="s">
        <v>47</v>
      </c>
      <c r="C10" s="33">
        <v>0</v>
      </c>
      <c r="G10" s="4"/>
    </row>
    <row r="11" spans="1:7">
      <c r="B11" s="30" t="s">
        <v>48</v>
      </c>
      <c r="C11" s="31">
        <v>0</v>
      </c>
      <c r="G11" s="4"/>
    </row>
    <row r="12" spans="1:7">
      <c r="B12" s="4" t="s">
        <v>33</v>
      </c>
      <c r="C12" s="23">
        <f>SUM(C7:C11)</f>
        <v>0</v>
      </c>
      <c r="G12" s="4"/>
    </row>
    <row r="13" spans="1:7">
      <c r="C13" s="23"/>
      <c r="G13" s="4"/>
    </row>
    <row r="14" spans="1:7" s="1" customFormat="1">
      <c r="A14" s="1" t="s">
        <v>7</v>
      </c>
      <c r="B14" s="4"/>
      <c r="C14" s="23"/>
      <c r="D14" s="3"/>
      <c r="E14" s="3"/>
      <c r="F14" s="3"/>
    </row>
    <row r="15" spans="1:7" s="1" customFormat="1">
      <c r="B15" s="27" t="s">
        <v>30</v>
      </c>
      <c r="C15" s="28">
        <v>0</v>
      </c>
      <c r="D15" s="3"/>
      <c r="E15" s="3"/>
      <c r="F15" s="3"/>
    </row>
    <row r="16" spans="1:7" s="1" customFormat="1">
      <c r="B16" s="27" t="s">
        <v>31</v>
      </c>
      <c r="C16" s="28">
        <v>0</v>
      </c>
      <c r="D16" s="3"/>
      <c r="E16" s="3"/>
      <c r="F16" s="3"/>
    </row>
    <row r="17" spans="1:6" s="1" customFormat="1">
      <c r="B17" s="32" t="s">
        <v>32</v>
      </c>
      <c r="C17" s="33">
        <v>0</v>
      </c>
      <c r="D17" s="3"/>
      <c r="E17" s="3"/>
      <c r="F17" s="3"/>
    </row>
    <row r="18" spans="1:6" s="1" customFormat="1">
      <c r="B18" s="32" t="s">
        <v>49</v>
      </c>
      <c r="C18" s="33">
        <v>0</v>
      </c>
      <c r="D18" s="3"/>
      <c r="E18" s="3"/>
      <c r="F18" s="3"/>
    </row>
    <row r="19" spans="1:6" s="1" customFormat="1">
      <c r="B19" s="30" t="s">
        <v>50</v>
      </c>
      <c r="C19" s="31">
        <v>0</v>
      </c>
      <c r="D19" s="3"/>
      <c r="E19" s="3"/>
      <c r="F19" s="3"/>
    </row>
    <row r="20" spans="1:6" s="1" customFormat="1">
      <c r="B20" s="4" t="s">
        <v>16</v>
      </c>
      <c r="C20" s="23">
        <f>SUM(C15:C19)</f>
        <v>0</v>
      </c>
      <c r="D20" s="3"/>
      <c r="E20" s="3"/>
      <c r="F20" s="3"/>
    </row>
    <row r="21" spans="1:6" s="1" customFormat="1">
      <c r="B21" s="4"/>
      <c r="C21" s="23"/>
      <c r="D21" s="3"/>
      <c r="E21" s="3"/>
      <c r="F21" s="3"/>
    </row>
    <row r="22" spans="1:6" s="1" customFormat="1">
      <c r="A22" s="1" t="s">
        <v>46</v>
      </c>
      <c r="B22" s="4"/>
      <c r="C22" s="28">
        <v>0</v>
      </c>
      <c r="D22" s="3"/>
      <c r="E22" s="3"/>
      <c r="F22" s="3"/>
    </row>
    <row r="23" spans="1:6" s="1" customFormat="1">
      <c r="B23" s="4"/>
      <c r="C23" s="23"/>
      <c r="D23" s="3"/>
      <c r="E23" s="3"/>
      <c r="F23" s="3"/>
    </row>
    <row r="24" spans="1:6" s="1" customFormat="1">
      <c r="A24" s="1" t="s">
        <v>8</v>
      </c>
      <c r="B24" s="4"/>
      <c r="C24" s="23"/>
      <c r="D24" s="3"/>
      <c r="E24" s="3"/>
      <c r="F24" s="3"/>
    </row>
    <row r="25" spans="1:6" s="1" customFormat="1">
      <c r="B25" s="27" t="s">
        <v>34</v>
      </c>
      <c r="C25" s="28">
        <v>0</v>
      </c>
      <c r="D25" s="3"/>
      <c r="E25" s="3"/>
      <c r="F25" s="3"/>
    </row>
    <row r="26" spans="1:6" s="1" customFormat="1">
      <c r="B26" s="27" t="s">
        <v>35</v>
      </c>
      <c r="C26" s="28">
        <v>0</v>
      </c>
      <c r="D26" s="3"/>
      <c r="E26" s="3"/>
      <c r="F26" s="3"/>
    </row>
    <row r="27" spans="1:6" s="1" customFormat="1">
      <c r="B27" s="27" t="s">
        <v>36</v>
      </c>
      <c r="C27" s="28">
        <v>0</v>
      </c>
      <c r="D27" s="3"/>
      <c r="E27" s="3"/>
      <c r="F27" s="3"/>
    </row>
    <row r="28" spans="1:6" s="1" customFormat="1">
      <c r="B28" s="27" t="s">
        <v>51</v>
      </c>
      <c r="C28" s="28">
        <v>0</v>
      </c>
      <c r="D28" s="3"/>
      <c r="E28" s="3"/>
      <c r="F28" s="3"/>
    </row>
    <row r="29" spans="1:6" s="1" customFormat="1">
      <c r="B29" s="30" t="s">
        <v>52</v>
      </c>
      <c r="C29" s="31">
        <v>0</v>
      </c>
      <c r="D29" s="3"/>
      <c r="E29" s="3"/>
      <c r="F29" s="3"/>
    </row>
    <row r="30" spans="1:6" s="1" customFormat="1">
      <c r="B30" s="4" t="s">
        <v>17</v>
      </c>
      <c r="C30" s="23">
        <f>SUM(C25:C29)</f>
        <v>0</v>
      </c>
      <c r="D30" s="3"/>
      <c r="E30" s="3"/>
      <c r="F30" s="3"/>
    </row>
    <row r="31" spans="1:6" s="1" customFormat="1">
      <c r="B31" s="4"/>
      <c r="C31" s="23"/>
      <c r="D31" s="3"/>
      <c r="E31" s="3"/>
      <c r="F31" s="3"/>
    </row>
    <row r="32" spans="1:6" s="1" customFormat="1">
      <c r="B32" s="4"/>
      <c r="C32" s="23"/>
      <c r="D32" s="3"/>
      <c r="E32" s="3"/>
      <c r="F32" s="3"/>
    </row>
    <row r="33" spans="1:7" s="1" customFormat="1">
      <c r="A33" s="1" t="s">
        <v>9</v>
      </c>
      <c r="B33" s="4"/>
      <c r="C33" s="23">
        <f>C12+C20+C22+C30</f>
        <v>0</v>
      </c>
      <c r="D33" s="3"/>
      <c r="E33" s="3"/>
      <c r="F33" s="3"/>
    </row>
    <row r="34" spans="1:7" s="1" customFormat="1" ht="13.5" thickBot="1">
      <c r="A34" s="7" t="s">
        <v>53</v>
      </c>
      <c r="B34" s="7"/>
      <c r="C34" s="26">
        <v>0</v>
      </c>
      <c r="D34" s="3"/>
      <c r="E34" s="3"/>
      <c r="F34" s="3"/>
    </row>
    <row r="35" spans="1:7" s="1" customFormat="1" ht="13.5" thickTop="1">
      <c r="A35" s="1" t="s">
        <v>10</v>
      </c>
      <c r="C35" s="25">
        <f>C33+C34</f>
        <v>0</v>
      </c>
      <c r="D35" s="3"/>
      <c r="E35" s="3"/>
      <c r="F35" s="3"/>
    </row>
    <row r="36" spans="1:7">
      <c r="C36" s="23"/>
      <c r="G36" s="4"/>
    </row>
    <row r="37" spans="1:7">
      <c r="A37" s="1"/>
      <c r="C37" s="23"/>
    </row>
    <row r="38" spans="1:7">
      <c r="C38" s="23"/>
    </row>
  </sheetData>
  <sheetProtection password="C230" sheet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I164"/>
  <sheetViews>
    <sheetView topLeftCell="A82" workbookViewId="0">
      <selection activeCell="C8" sqref="C8"/>
    </sheetView>
  </sheetViews>
  <sheetFormatPr defaultColWidth="8.85546875" defaultRowHeight="15"/>
  <cols>
    <col min="1" max="1" width="8.85546875" style="17"/>
    <col min="2" max="2" width="10" customWidth="1"/>
    <col min="5" max="5" width="11.28515625" style="21" customWidth="1"/>
    <col min="9" max="9" width="10.28515625" customWidth="1"/>
  </cols>
  <sheetData>
    <row r="1" spans="1:9">
      <c r="A1" s="71" t="s">
        <v>54</v>
      </c>
      <c r="B1" s="71"/>
      <c r="C1" s="71"/>
      <c r="D1" s="71"/>
      <c r="E1" s="71"/>
      <c r="F1" s="71"/>
      <c r="G1" s="71"/>
      <c r="H1" s="71"/>
      <c r="I1" s="71"/>
    </row>
    <row r="2" spans="1:9">
      <c r="A2" s="71"/>
      <c r="B2" s="71"/>
      <c r="C2" s="71"/>
      <c r="D2" s="71"/>
      <c r="E2" s="71"/>
      <c r="F2" s="71"/>
      <c r="G2" s="71"/>
      <c r="H2" s="71"/>
      <c r="I2" s="71"/>
    </row>
    <row r="3" spans="1:9">
      <c r="A3" s="14"/>
      <c r="B3" s="8"/>
      <c r="C3" s="8"/>
      <c r="D3" s="8"/>
      <c r="E3" s="18"/>
      <c r="F3" s="8"/>
      <c r="G3" s="8"/>
      <c r="H3" s="8"/>
      <c r="I3" s="8"/>
    </row>
    <row r="4" spans="1:9">
      <c r="A4" s="13" t="s">
        <v>55</v>
      </c>
      <c r="B4" s="9"/>
      <c r="C4" s="9"/>
      <c r="D4" s="9"/>
      <c r="E4" s="19"/>
      <c r="F4" s="9"/>
      <c r="G4" s="9"/>
      <c r="H4" s="8"/>
      <c r="I4" s="8"/>
    </row>
    <row r="5" spans="1:9">
      <c r="A5" s="14"/>
      <c r="B5" s="8"/>
      <c r="C5" s="8"/>
      <c r="D5" s="8"/>
      <c r="E5" s="18"/>
      <c r="F5" s="8"/>
      <c r="G5" s="8"/>
      <c r="H5" s="8"/>
      <c r="I5" s="8"/>
    </row>
    <row r="6" spans="1:9">
      <c r="A6" s="15" t="s">
        <v>56</v>
      </c>
      <c r="B6" s="10"/>
      <c r="C6" s="10"/>
      <c r="D6" s="10"/>
      <c r="E6" s="20"/>
      <c r="F6" s="10"/>
      <c r="G6" s="10"/>
      <c r="H6" s="10"/>
      <c r="I6" s="10"/>
    </row>
    <row r="7" spans="1:9">
      <c r="A7" s="14"/>
      <c r="B7" s="8"/>
      <c r="C7" s="8"/>
      <c r="D7" s="8"/>
      <c r="E7" s="18"/>
      <c r="F7" s="8"/>
      <c r="G7" s="8"/>
      <c r="H7" s="8"/>
      <c r="I7" s="8"/>
    </row>
    <row r="8" spans="1:9">
      <c r="A8" s="14"/>
      <c r="B8" s="11" t="s">
        <v>57</v>
      </c>
      <c r="C8" s="35"/>
      <c r="D8" s="9"/>
      <c r="E8" s="19"/>
      <c r="F8" s="9"/>
      <c r="G8" s="9"/>
      <c r="H8" s="9"/>
      <c r="I8" s="9"/>
    </row>
    <row r="9" spans="1:9">
      <c r="A9" s="14"/>
      <c r="B9" s="11" t="s">
        <v>58</v>
      </c>
      <c r="C9" s="35"/>
      <c r="D9" s="9"/>
      <c r="E9" s="19"/>
      <c r="F9" s="9"/>
      <c r="G9" s="9"/>
      <c r="H9" s="9"/>
      <c r="I9" s="9"/>
    </row>
    <row r="10" spans="1:9">
      <c r="A10" s="14"/>
      <c r="B10" s="8"/>
      <c r="C10" s="8"/>
      <c r="D10" s="12"/>
      <c r="E10" s="18"/>
      <c r="F10" s="8"/>
      <c r="G10" s="8"/>
      <c r="H10" s="8"/>
      <c r="I10" s="8"/>
    </row>
    <row r="11" spans="1:9">
      <c r="A11" s="37"/>
      <c r="B11" t="s">
        <v>59</v>
      </c>
      <c r="C11" s="36"/>
      <c r="D11" t="s">
        <v>60</v>
      </c>
      <c r="E11" s="18"/>
      <c r="F11" s="8"/>
      <c r="G11" s="8"/>
      <c r="H11" s="8"/>
      <c r="I11" s="8"/>
    </row>
    <row r="12" spans="1:9">
      <c r="A12" s="14">
        <v>35</v>
      </c>
      <c r="B12" t="s">
        <v>61</v>
      </c>
      <c r="C12" s="8"/>
      <c r="D12" s="8"/>
      <c r="E12" s="18">
        <f>A12*A11*C11</f>
        <v>0</v>
      </c>
      <c r="F12" s="8"/>
      <c r="G12" s="8"/>
      <c r="H12" s="8"/>
      <c r="I12" s="8"/>
    </row>
    <row r="13" spans="1:9">
      <c r="A13" s="37">
        <v>0</v>
      </c>
      <c r="B13" t="s">
        <v>62</v>
      </c>
      <c r="C13" s="8"/>
      <c r="D13" s="8"/>
      <c r="E13" s="18">
        <f>A11*(C11)*A13*1.2</f>
        <v>0</v>
      </c>
      <c r="F13" s="8"/>
      <c r="G13" s="8"/>
      <c r="H13" s="8"/>
      <c r="I13" s="8"/>
    </row>
    <row r="14" spans="1:9">
      <c r="A14" s="37">
        <v>0</v>
      </c>
      <c r="B14" t="s">
        <v>63</v>
      </c>
      <c r="C14" s="8"/>
      <c r="D14" s="8"/>
      <c r="E14" s="18">
        <f>A11*A14</f>
        <v>0</v>
      </c>
      <c r="F14" s="8"/>
      <c r="G14" s="8"/>
      <c r="H14" s="34"/>
      <c r="I14" s="8"/>
    </row>
    <row r="15" spans="1:9">
      <c r="A15" s="37">
        <v>0</v>
      </c>
      <c r="B15" t="s">
        <v>64</v>
      </c>
      <c r="C15" s="8"/>
      <c r="D15" s="8"/>
      <c r="E15" s="18">
        <f>A15*A11</f>
        <v>0</v>
      </c>
      <c r="F15" s="8"/>
      <c r="G15" s="8"/>
      <c r="H15" s="8"/>
      <c r="I15" s="8"/>
    </row>
    <row r="16" spans="1:9">
      <c r="A16" s="37">
        <v>0</v>
      </c>
      <c r="B16" t="s">
        <v>65</v>
      </c>
      <c r="C16" s="8"/>
      <c r="D16" s="8"/>
      <c r="E16" s="18">
        <f>A16*A11</f>
        <v>0</v>
      </c>
      <c r="F16" s="8"/>
      <c r="G16" s="8"/>
      <c r="H16" s="8"/>
      <c r="I16" s="8"/>
    </row>
    <row r="17" spans="1:9">
      <c r="A17" s="37">
        <v>0</v>
      </c>
      <c r="B17" t="s">
        <v>66</v>
      </c>
      <c r="C17" s="8"/>
      <c r="D17" s="8"/>
      <c r="E17" s="18">
        <f>A17*A11*C11</f>
        <v>0</v>
      </c>
      <c r="F17" s="8"/>
      <c r="G17" s="8"/>
      <c r="H17" s="8"/>
      <c r="I17" s="8"/>
    </row>
    <row r="18" spans="1:9">
      <c r="A18" s="37">
        <v>0</v>
      </c>
      <c r="B18" s="8" t="s">
        <v>67</v>
      </c>
      <c r="C18" s="8"/>
      <c r="D18" s="8"/>
      <c r="E18" s="18">
        <f>A18*A11</f>
        <v>0</v>
      </c>
      <c r="F18" s="8"/>
      <c r="G18" s="8"/>
      <c r="H18" s="8"/>
      <c r="I18" s="8"/>
    </row>
    <row r="19" spans="1:9">
      <c r="A19" s="14"/>
      <c r="B19" t="s">
        <v>68</v>
      </c>
      <c r="C19" s="8"/>
      <c r="D19" s="8"/>
      <c r="E19" s="18">
        <f>SUM(E12:E18)</f>
        <v>0</v>
      </c>
      <c r="F19" s="8"/>
      <c r="G19" s="8"/>
      <c r="H19" s="8"/>
      <c r="I19" s="8"/>
    </row>
    <row r="20" spans="1:9">
      <c r="A20" s="14"/>
      <c r="B20" s="8"/>
      <c r="C20" s="8"/>
      <c r="D20" s="8"/>
      <c r="E20" s="18"/>
      <c r="F20" s="8"/>
      <c r="G20" s="8"/>
      <c r="H20" s="8"/>
      <c r="I20" s="8"/>
    </row>
    <row r="21" spans="1:9">
      <c r="A21" s="14"/>
      <c r="B21" s="8"/>
      <c r="C21" s="8"/>
      <c r="D21" s="8"/>
      <c r="E21" s="18"/>
      <c r="F21" s="8"/>
      <c r="G21" s="8"/>
      <c r="H21" s="8"/>
      <c r="I21" s="8"/>
    </row>
    <row r="22" spans="1:9">
      <c r="A22" s="15" t="s">
        <v>69</v>
      </c>
      <c r="B22" s="10"/>
      <c r="C22" s="10"/>
      <c r="D22" s="10"/>
      <c r="E22" s="20"/>
      <c r="F22" s="10"/>
      <c r="G22" s="10"/>
      <c r="H22" s="10"/>
      <c r="I22" s="10"/>
    </row>
    <row r="23" spans="1:9">
      <c r="A23" s="16"/>
      <c r="B23" s="8"/>
      <c r="C23" s="8"/>
      <c r="D23" s="8"/>
      <c r="E23" s="18"/>
      <c r="F23" s="8"/>
      <c r="G23" s="8"/>
      <c r="H23" s="8"/>
      <c r="I23" s="8"/>
    </row>
    <row r="24" spans="1:9">
      <c r="A24" s="14"/>
      <c r="B24" s="11" t="s">
        <v>57</v>
      </c>
      <c r="C24" s="35"/>
      <c r="D24" s="9"/>
      <c r="E24" s="19"/>
      <c r="F24" s="9"/>
      <c r="G24" s="9"/>
      <c r="H24" s="9"/>
      <c r="I24" s="9"/>
    </row>
    <row r="25" spans="1:9">
      <c r="A25" s="14"/>
      <c r="B25" s="11" t="s">
        <v>58</v>
      </c>
      <c r="C25" s="35"/>
      <c r="D25" s="9"/>
      <c r="E25" s="19"/>
      <c r="F25" s="9"/>
      <c r="G25" s="9"/>
      <c r="H25" s="9"/>
      <c r="I25" s="9"/>
    </row>
    <row r="26" spans="1:9">
      <c r="A26" s="14"/>
      <c r="B26" s="8"/>
      <c r="C26" s="8"/>
      <c r="D26" s="12"/>
      <c r="E26" s="18"/>
      <c r="F26" s="8"/>
      <c r="G26" s="8"/>
      <c r="H26" s="8"/>
      <c r="I26" s="8"/>
    </row>
    <row r="27" spans="1:9">
      <c r="A27" s="37"/>
      <c r="B27" t="s">
        <v>59</v>
      </c>
      <c r="C27" s="36"/>
      <c r="D27" t="s">
        <v>60</v>
      </c>
      <c r="E27" s="18"/>
      <c r="F27" s="8"/>
      <c r="G27" s="8"/>
      <c r="H27" s="8"/>
      <c r="I27" s="8"/>
    </row>
    <row r="28" spans="1:9">
      <c r="A28" s="14">
        <v>35</v>
      </c>
      <c r="B28" t="s">
        <v>61</v>
      </c>
      <c r="C28" s="8"/>
      <c r="D28" s="8"/>
      <c r="E28" s="18">
        <f>A28*A27*C27</f>
        <v>0</v>
      </c>
      <c r="F28" s="8"/>
      <c r="G28" s="8"/>
      <c r="H28" s="8"/>
      <c r="I28" s="8"/>
    </row>
    <row r="29" spans="1:9">
      <c r="A29" s="37">
        <v>0</v>
      </c>
      <c r="B29" t="s">
        <v>62</v>
      </c>
      <c r="C29" s="8"/>
      <c r="D29" s="8"/>
      <c r="E29" s="18">
        <f>A27*(C27)*A29*1.2</f>
        <v>0</v>
      </c>
      <c r="F29" s="8"/>
      <c r="G29" s="8"/>
      <c r="H29" s="8"/>
      <c r="I29" s="8"/>
    </row>
    <row r="30" spans="1:9">
      <c r="A30" s="37">
        <v>0</v>
      </c>
      <c r="B30" t="s">
        <v>63</v>
      </c>
      <c r="C30" s="8"/>
      <c r="D30" s="8"/>
      <c r="E30" s="18">
        <f>A27*A30</f>
        <v>0</v>
      </c>
      <c r="F30" s="8"/>
      <c r="G30" s="8"/>
      <c r="H30" s="8"/>
      <c r="I30" s="8"/>
    </row>
    <row r="31" spans="1:9">
      <c r="A31" s="37">
        <v>0</v>
      </c>
      <c r="B31" t="s">
        <v>64</v>
      </c>
      <c r="C31" s="8"/>
      <c r="D31" s="8"/>
      <c r="E31" s="18">
        <f>A31*A27</f>
        <v>0</v>
      </c>
      <c r="F31" s="8"/>
      <c r="G31" s="8"/>
      <c r="H31" s="8"/>
      <c r="I31" s="8"/>
    </row>
    <row r="32" spans="1:9">
      <c r="A32" s="37">
        <v>0</v>
      </c>
      <c r="B32" t="s">
        <v>65</v>
      </c>
      <c r="C32" s="8"/>
      <c r="D32" s="8"/>
      <c r="E32" s="18">
        <f>A32*A27</f>
        <v>0</v>
      </c>
      <c r="F32" s="8"/>
      <c r="G32" s="8"/>
      <c r="H32" s="8"/>
      <c r="I32" s="8"/>
    </row>
    <row r="33" spans="1:9">
      <c r="A33" s="37">
        <v>0</v>
      </c>
      <c r="B33" t="s">
        <v>66</v>
      </c>
      <c r="C33" s="8"/>
      <c r="D33" s="8"/>
      <c r="E33" s="18">
        <f>A33*A27*C27</f>
        <v>0</v>
      </c>
      <c r="F33" s="8"/>
      <c r="G33" s="8"/>
      <c r="H33" s="8"/>
      <c r="I33" s="8"/>
    </row>
    <row r="34" spans="1:9">
      <c r="A34" s="37">
        <v>0</v>
      </c>
      <c r="B34" s="8" t="s">
        <v>67</v>
      </c>
      <c r="C34" s="8"/>
      <c r="D34" s="8"/>
      <c r="E34" s="18">
        <f>A34*A27</f>
        <v>0</v>
      </c>
      <c r="F34" s="8"/>
      <c r="G34" s="8"/>
      <c r="H34" s="8"/>
      <c r="I34" s="8"/>
    </row>
    <row r="35" spans="1:9">
      <c r="A35" s="14"/>
      <c r="B35" t="s">
        <v>68</v>
      </c>
      <c r="C35" s="8"/>
      <c r="D35" s="8"/>
      <c r="E35" s="18">
        <f>SUM(E28:E34)</f>
        <v>0</v>
      </c>
      <c r="F35" s="8"/>
      <c r="G35" s="8"/>
      <c r="H35" s="8"/>
      <c r="I35" s="8"/>
    </row>
    <row r="36" spans="1:9">
      <c r="A36" s="14"/>
      <c r="B36" s="8"/>
      <c r="C36" s="8"/>
      <c r="D36" s="8"/>
      <c r="E36" s="18"/>
      <c r="F36" s="8"/>
      <c r="G36" s="8"/>
      <c r="H36" s="8"/>
      <c r="I36" s="8"/>
    </row>
    <row r="37" spans="1:9">
      <c r="A37" s="14"/>
      <c r="B37" s="8"/>
      <c r="C37" s="8"/>
      <c r="D37" s="8"/>
      <c r="E37" s="18"/>
      <c r="F37" s="8"/>
      <c r="G37" s="8"/>
      <c r="H37" s="8"/>
      <c r="I37" s="8"/>
    </row>
    <row r="38" spans="1:9">
      <c r="A38" s="15" t="s">
        <v>70</v>
      </c>
      <c r="B38" s="10"/>
      <c r="C38" s="10"/>
      <c r="D38" s="10"/>
      <c r="E38" s="20"/>
      <c r="F38" s="10"/>
      <c r="G38" s="10"/>
      <c r="H38" s="10"/>
      <c r="I38" s="10"/>
    </row>
    <row r="39" spans="1:9">
      <c r="A39" s="14"/>
      <c r="B39" s="8"/>
      <c r="C39" s="8"/>
      <c r="D39" s="8"/>
      <c r="E39" s="18"/>
      <c r="F39" s="8"/>
      <c r="G39" s="8"/>
      <c r="H39" s="8"/>
      <c r="I39" s="8"/>
    </row>
    <row r="40" spans="1:9">
      <c r="A40" s="14"/>
      <c r="B40" s="11" t="s">
        <v>57</v>
      </c>
      <c r="C40" s="35"/>
      <c r="D40" s="9"/>
      <c r="E40" s="19"/>
      <c r="F40" s="9"/>
      <c r="G40" s="9"/>
      <c r="H40" s="9"/>
      <c r="I40" s="9"/>
    </row>
    <row r="41" spans="1:9">
      <c r="A41" s="14"/>
      <c r="B41" s="11" t="s">
        <v>58</v>
      </c>
      <c r="C41" s="35"/>
      <c r="D41" s="9"/>
      <c r="E41" s="19"/>
      <c r="F41" s="9"/>
      <c r="G41" s="9"/>
      <c r="H41" s="9"/>
      <c r="I41" s="9"/>
    </row>
    <row r="42" spans="1:9">
      <c r="A42" s="14"/>
      <c r="B42" s="8"/>
      <c r="C42" s="8"/>
      <c r="D42" s="12"/>
      <c r="E42" s="18"/>
      <c r="F42" s="8"/>
      <c r="G42" s="8"/>
      <c r="H42" s="8"/>
      <c r="I42" s="8"/>
    </row>
    <row r="43" spans="1:9">
      <c r="A43" s="37"/>
      <c r="B43" t="s">
        <v>59</v>
      </c>
      <c r="C43" s="36"/>
      <c r="D43" t="s">
        <v>60</v>
      </c>
      <c r="E43" s="18"/>
      <c r="F43" s="8"/>
      <c r="G43" s="8"/>
      <c r="H43" s="8"/>
      <c r="I43" s="8"/>
    </row>
    <row r="44" spans="1:9">
      <c r="A44" s="14">
        <v>35</v>
      </c>
      <c r="B44" t="s">
        <v>61</v>
      </c>
      <c r="C44" s="8"/>
      <c r="D44" s="8"/>
      <c r="E44" s="18">
        <f>A44*A43*C43</f>
        <v>0</v>
      </c>
      <c r="F44" s="8"/>
      <c r="G44" s="8"/>
      <c r="H44" s="8"/>
      <c r="I44" s="8"/>
    </row>
    <row r="45" spans="1:9">
      <c r="A45" s="37">
        <v>0</v>
      </c>
      <c r="B45" t="s">
        <v>62</v>
      </c>
      <c r="C45" s="8"/>
      <c r="D45" s="8"/>
      <c r="E45" s="18">
        <f>A43*(C43)*A45*1.2</f>
        <v>0</v>
      </c>
      <c r="F45" s="8"/>
      <c r="G45" s="8"/>
      <c r="H45" s="8"/>
      <c r="I45" s="8"/>
    </row>
    <row r="46" spans="1:9">
      <c r="A46" s="37">
        <v>0</v>
      </c>
      <c r="B46" t="s">
        <v>63</v>
      </c>
      <c r="C46" s="8"/>
      <c r="D46" s="8"/>
      <c r="E46" s="18">
        <f>A43*A46</f>
        <v>0</v>
      </c>
      <c r="F46" s="8"/>
      <c r="G46" s="8"/>
      <c r="H46" s="8"/>
      <c r="I46" s="8"/>
    </row>
    <row r="47" spans="1:9">
      <c r="A47" s="37">
        <v>0</v>
      </c>
      <c r="B47" t="s">
        <v>64</v>
      </c>
      <c r="C47" s="8"/>
      <c r="D47" s="8"/>
      <c r="E47" s="18">
        <f>A47*A43</f>
        <v>0</v>
      </c>
      <c r="F47" s="8"/>
      <c r="G47" s="8"/>
      <c r="H47" s="8"/>
      <c r="I47" s="8"/>
    </row>
    <row r="48" spans="1:9">
      <c r="A48" s="37">
        <v>0</v>
      </c>
      <c r="B48" t="s">
        <v>65</v>
      </c>
      <c r="C48" s="8"/>
      <c r="D48" s="8"/>
      <c r="E48" s="18">
        <f>A48*A43</f>
        <v>0</v>
      </c>
      <c r="F48" s="8"/>
      <c r="G48" s="8"/>
      <c r="H48" s="8"/>
      <c r="I48" s="8"/>
    </row>
    <row r="49" spans="1:9">
      <c r="A49" s="37">
        <v>0</v>
      </c>
      <c r="B49" t="s">
        <v>66</v>
      </c>
      <c r="C49" s="8"/>
      <c r="D49" s="8"/>
      <c r="E49" s="18">
        <f>A49*A43*C43</f>
        <v>0</v>
      </c>
      <c r="F49" s="8"/>
      <c r="G49" s="8"/>
      <c r="H49" s="8"/>
      <c r="I49" s="8"/>
    </row>
    <row r="50" spans="1:9">
      <c r="A50" s="37">
        <v>0</v>
      </c>
      <c r="B50" s="8" t="s">
        <v>67</v>
      </c>
      <c r="C50" s="8"/>
      <c r="D50" s="8"/>
      <c r="E50" s="18">
        <f>A50*A43</f>
        <v>0</v>
      </c>
      <c r="F50" s="8"/>
      <c r="G50" s="8"/>
      <c r="H50" s="8"/>
      <c r="I50" s="8"/>
    </row>
    <row r="51" spans="1:9">
      <c r="A51" s="14"/>
      <c r="B51" t="s">
        <v>68</v>
      </c>
      <c r="C51" s="8"/>
      <c r="D51" s="8"/>
      <c r="E51" s="18">
        <f>SUM(E44:E50)</f>
        <v>0</v>
      </c>
      <c r="F51" s="8"/>
      <c r="G51" s="8"/>
      <c r="H51" s="8"/>
      <c r="I51" s="8"/>
    </row>
    <row r="52" spans="1:9">
      <c r="A52" s="14"/>
      <c r="B52" s="8"/>
      <c r="C52" s="8"/>
      <c r="D52" s="8"/>
      <c r="E52" s="18"/>
      <c r="F52" s="8"/>
      <c r="G52" s="8"/>
      <c r="H52" s="8"/>
      <c r="I52" s="8"/>
    </row>
    <row r="53" spans="1:9">
      <c r="A53" s="14"/>
      <c r="B53" s="8"/>
      <c r="C53" s="8"/>
      <c r="D53" s="8"/>
      <c r="E53" s="18"/>
      <c r="F53" s="8"/>
      <c r="G53" s="8"/>
      <c r="H53" s="8"/>
      <c r="I53" s="8"/>
    </row>
    <row r="54" spans="1:9">
      <c r="A54" s="15" t="s">
        <v>71</v>
      </c>
      <c r="B54" s="10"/>
      <c r="C54" s="10"/>
      <c r="D54" s="10"/>
      <c r="E54" s="20"/>
      <c r="F54" s="10"/>
      <c r="G54" s="10"/>
      <c r="H54" s="10"/>
      <c r="I54" s="10"/>
    </row>
    <row r="55" spans="1:9">
      <c r="A55" s="14"/>
      <c r="B55" s="8"/>
      <c r="C55" s="8"/>
      <c r="D55" s="8"/>
      <c r="E55" s="18"/>
      <c r="F55" s="8"/>
      <c r="G55" s="8"/>
      <c r="H55" s="8"/>
      <c r="I55" s="8"/>
    </row>
    <row r="56" spans="1:9">
      <c r="A56" s="14"/>
      <c r="B56" s="11" t="s">
        <v>57</v>
      </c>
      <c r="C56" s="35"/>
      <c r="D56" s="9"/>
      <c r="E56" s="19"/>
      <c r="F56" s="9"/>
      <c r="G56" s="9"/>
      <c r="H56" s="9"/>
      <c r="I56" s="9"/>
    </row>
    <row r="57" spans="1:9">
      <c r="A57" s="14"/>
      <c r="B57" s="11" t="s">
        <v>58</v>
      </c>
      <c r="C57" s="35"/>
      <c r="D57" s="9"/>
      <c r="E57" s="19"/>
      <c r="F57" s="9"/>
      <c r="G57" s="9"/>
      <c r="H57" s="9"/>
      <c r="I57" s="9"/>
    </row>
    <row r="58" spans="1:9">
      <c r="A58" s="14"/>
      <c r="B58" s="8"/>
      <c r="C58" s="38"/>
      <c r="D58" s="12"/>
      <c r="E58" s="18"/>
      <c r="F58" s="8"/>
      <c r="G58" s="8"/>
      <c r="H58" s="8"/>
      <c r="I58" s="8"/>
    </row>
    <row r="59" spans="1:9">
      <c r="A59" s="37"/>
      <c r="B59" t="s">
        <v>59</v>
      </c>
      <c r="C59" s="36"/>
      <c r="D59" t="s">
        <v>60</v>
      </c>
      <c r="E59" s="18"/>
      <c r="F59" s="8"/>
      <c r="G59" s="8"/>
      <c r="H59" s="8"/>
      <c r="I59" s="8"/>
    </row>
    <row r="60" spans="1:9">
      <c r="A60" s="14">
        <v>35</v>
      </c>
      <c r="B60" t="s">
        <v>61</v>
      </c>
      <c r="C60" s="8"/>
      <c r="D60" s="8"/>
      <c r="E60" s="18">
        <f>A60*A59*C59</f>
        <v>0</v>
      </c>
      <c r="F60" s="8"/>
      <c r="G60" s="8"/>
      <c r="H60" s="8"/>
      <c r="I60" s="8"/>
    </row>
    <row r="61" spans="1:9">
      <c r="A61" s="37">
        <v>0</v>
      </c>
      <c r="B61" t="s">
        <v>62</v>
      </c>
      <c r="C61" s="8"/>
      <c r="D61" s="8"/>
      <c r="E61" s="18">
        <f>A59*(C59)*A61*1.2</f>
        <v>0</v>
      </c>
      <c r="F61" s="8"/>
      <c r="G61" s="8"/>
      <c r="H61" s="8"/>
      <c r="I61" s="8"/>
    </row>
    <row r="62" spans="1:9">
      <c r="A62" s="37">
        <v>0</v>
      </c>
      <c r="B62" t="s">
        <v>63</v>
      </c>
      <c r="C62" s="8"/>
      <c r="D62" s="8"/>
      <c r="E62" s="18">
        <f>A59*A62</f>
        <v>0</v>
      </c>
      <c r="F62" s="8"/>
      <c r="G62" s="8"/>
      <c r="H62" s="8"/>
      <c r="I62" s="8"/>
    </row>
    <row r="63" spans="1:9">
      <c r="A63" s="37">
        <v>0</v>
      </c>
      <c r="B63" t="s">
        <v>64</v>
      </c>
      <c r="C63" s="8"/>
      <c r="D63" s="8"/>
      <c r="E63" s="18">
        <f>A63*A59</f>
        <v>0</v>
      </c>
      <c r="F63" s="8"/>
      <c r="G63" s="8"/>
      <c r="H63" s="8"/>
      <c r="I63" s="8"/>
    </row>
    <row r="64" spans="1:9">
      <c r="A64" s="37">
        <v>0</v>
      </c>
      <c r="B64" t="s">
        <v>65</v>
      </c>
      <c r="C64" s="8"/>
      <c r="D64" s="8"/>
      <c r="E64" s="18">
        <f>A64*A59</f>
        <v>0</v>
      </c>
      <c r="F64" s="8"/>
      <c r="G64" s="8"/>
      <c r="H64" s="8"/>
      <c r="I64" s="8"/>
    </row>
    <row r="65" spans="1:9">
      <c r="A65" s="37">
        <v>0</v>
      </c>
      <c r="B65" t="s">
        <v>66</v>
      </c>
      <c r="C65" s="8"/>
      <c r="D65" s="8"/>
      <c r="E65" s="18">
        <f>A65*A59*C59</f>
        <v>0</v>
      </c>
      <c r="F65" s="8"/>
      <c r="G65" s="8"/>
      <c r="H65" s="8"/>
      <c r="I65" s="8"/>
    </row>
    <row r="66" spans="1:9">
      <c r="A66" s="37">
        <v>0</v>
      </c>
      <c r="B66" s="8" t="s">
        <v>67</v>
      </c>
      <c r="C66" s="8"/>
      <c r="D66" s="8"/>
      <c r="E66" s="18">
        <f>A66*A59</f>
        <v>0</v>
      </c>
      <c r="F66" s="8"/>
      <c r="G66" s="8"/>
      <c r="H66" s="8"/>
      <c r="I66" s="8"/>
    </row>
    <row r="67" spans="1:9">
      <c r="A67" s="14"/>
      <c r="B67" t="s">
        <v>68</v>
      </c>
      <c r="C67" s="8"/>
      <c r="D67" s="8"/>
      <c r="E67" s="18">
        <f>SUM(E60:E66)</f>
        <v>0</v>
      </c>
      <c r="F67" s="8"/>
      <c r="G67" s="8"/>
      <c r="H67" s="8"/>
      <c r="I67" s="8"/>
    </row>
    <row r="68" spans="1:9">
      <c r="A68" s="14"/>
      <c r="B68" s="8"/>
      <c r="C68" s="8"/>
      <c r="D68" s="8"/>
      <c r="E68" s="18"/>
      <c r="F68" s="8"/>
      <c r="G68" s="8"/>
      <c r="H68" s="8"/>
      <c r="I68" s="8"/>
    </row>
    <row r="69" spans="1:9">
      <c r="A69" s="14"/>
      <c r="B69" s="8"/>
      <c r="C69" s="8"/>
      <c r="D69" s="8"/>
      <c r="E69" s="18"/>
      <c r="F69" s="8"/>
      <c r="G69" s="8"/>
      <c r="H69" s="8"/>
      <c r="I69" s="8"/>
    </row>
    <row r="70" spans="1:9">
      <c r="A70" s="15" t="s">
        <v>72</v>
      </c>
      <c r="B70" s="10"/>
      <c r="C70" s="10"/>
      <c r="D70" s="10"/>
      <c r="E70" s="20"/>
      <c r="F70" s="10"/>
      <c r="G70" s="10"/>
      <c r="H70" s="10"/>
      <c r="I70" s="10"/>
    </row>
    <row r="71" spans="1:9">
      <c r="A71" s="14"/>
      <c r="B71" s="8"/>
      <c r="C71" s="8"/>
      <c r="D71" s="8"/>
      <c r="E71" s="18"/>
      <c r="F71" s="8"/>
      <c r="G71" s="8"/>
      <c r="H71" s="8"/>
      <c r="I71" s="8"/>
    </row>
    <row r="72" spans="1:9">
      <c r="A72" s="14"/>
      <c r="B72" s="11" t="s">
        <v>57</v>
      </c>
      <c r="C72" s="35"/>
      <c r="D72" s="9"/>
      <c r="E72" s="19"/>
      <c r="F72" s="9"/>
      <c r="G72" s="9"/>
      <c r="H72" s="9"/>
      <c r="I72" s="9"/>
    </row>
    <row r="73" spans="1:9">
      <c r="A73" s="14"/>
      <c r="B73" s="11" t="s">
        <v>58</v>
      </c>
      <c r="C73" s="35"/>
      <c r="D73" s="9"/>
      <c r="E73" s="19"/>
      <c r="F73" s="9"/>
      <c r="G73" s="9"/>
      <c r="H73" s="9"/>
      <c r="I73" s="9"/>
    </row>
    <row r="74" spans="1:9">
      <c r="A74" s="14"/>
      <c r="B74" s="8"/>
      <c r="C74" s="38"/>
      <c r="D74" s="12"/>
      <c r="E74" s="18"/>
      <c r="F74" s="8"/>
      <c r="G74" s="8"/>
      <c r="H74" s="8"/>
      <c r="I74" s="8"/>
    </row>
    <row r="75" spans="1:9">
      <c r="A75" s="37"/>
      <c r="B75" t="s">
        <v>59</v>
      </c>
      <c r="C75" s="36"/>
      <c r="D75" t="s">
        <v>60</v>
      </c>
      <c r="E75" s="18"/>
      <c r="F75" s="8"/>
      <c r="G75" s="8"/>
      <c r="H75" s="8"/>
      <c r="I75" s="8"/>
    </row>
    <row r="76" spans="1:9">
      <c r="A76" s="14">
        <v>35</v>
      </c>
      <c r="B76" t="s">
        <v>61</v>
      </c>
      <c r="C76" s="8"/>
      <c r="D76" s="8"/>
      <c r="E76" s="18">
        <f>A76*A75*C75</f>
        <v>0</v>
      </c>
      <c r="F76" s="8"/>
      <c r="G76" s="8"/>
      <c r="H76" s="8"/>
      <c r="I76" s="8"/>
    </row>
    <row r="77" spans="1:9">
      <c r="A77" s="37">
        <v>0</v>
      </c>
      <c r="B77" t="s">
        <v>62</v>
      </c>
      <c r="C77" s="8"/>
      <c r="D77" s="8"/>
      <c r="E77" s="18">
        <f>A75*(C75)*A77*1.2</f>
        <v>0</v>
      </c>
      <c r="F77" s="8"/>
      <c r="G77" s="8"/>
      <c r="H77" s="8"/>
      <c r="I77" s="8"/>
    </row>
    <row r="78" spans="1:9">
      <c r="A78" s="37">
        <v>0</v>
      </c>
      <c r="B78" t="s">
        <v>63</v>
      </c>
      <c r="C78" s="8"/>
      <c r="D78" s="8"/>
      <c r="E78" s="18">
        <f>A75*A78</f>
        <v>0</v>
      </c>
      <c r="F78" s="8"/>
      <c r="G78" s="8"/>
      <c r="H78" s="8"/>
      <c r="I78" s="8"/>
    </row>
    <row r="79" spans="1:9">
      <c r="A79" s="37">
        <v>0</v>
      </c>
      <c r="B79" t="s">
        <v>64</v>
      </c>
      <c r="C79" s="8"/>
      <c r="D79" s="8"/>
      <c r="E79" s="18">
        <f>A79*A75</f>
        <v>0</v>
      </c>
      <c r="F79" s="8"/>
      <c r="G79" s="8"/>
      <c r="H79" s="8"/>
      <c r="I79" s="8"/>
    </row>
    <row r="80" spans="1:9">
      <c r="A80" s="37">
        <v>0</v>
      </c>
      <c r="B80" t="s">
        <v>65</v>
      </c>
      <c r="C80" s="8"/>
      <c r="D80" s="8"/>
      <c r="E80" s="18">
        <f>A80*A75</f>
        <v>0</v>
      </c>
      <c r="F80" s="8"/>
      <c r="G80" s="8"/>
      <c r="H80" s="8"/>
      <c r="I80" s="8"/>
    </row>
    <row r="81" spans="1:9">
      <c r="A81" s="37">
        <v>0</v>
      </c>
      <c r="B81" t="s">
        <v>66</v>
      </c>
      <c r="C81" s="8"/>
      <c r="D81" s="8"/>
      <c r="E81" s="18">
        <f>A81*A75*C75</f>
        <v>0</v>
      </c>
      <c r="F81" s="8"/>
      <c r="G81" s="8"/>
      <c r="H81" s="8"/>
      <c r="I81" s="8"/>
    </row>
    <row r="82" spans="1:9">
      <c r="A82" s="37">
        <v>0</v>
      </c>
      <c r="B82" s="8" t="s">
        <v>67</v>
      </c>
      <c r="C82" s="8"/>
      <c r="D82" s="8"/>
      <c r="E82" s="18">
        <f>A82*A75</f>
        <v>0</v>
      </c>
      <c r="F82" s="8"/>
      <c r="G82" s="8"/>
      <c r="H82" s="8"/>
      <c r="I82" s="8"/>
    </row>
    <row r="83" spans="1:9">
      <c r="A83" s="14"/>
      <c r="B83" t="s">
        <v>68</v>
      </c>
      <c r="C83" s="8"/>
      <c r="D83" s="8"/>
      <c r="E83" s="18">
        <f>SUM(E76:E82)</f>
        <v>0</v>
      </c>
      <c r="F83" s="8"/>
      <c r="G83" s="8"/>
      <c r="H83" s="8"/>
      <c r="I83" s="8"/>
    </row>
    <row r="84" spans="1:9">
      <c r="A84" s="14"/>
      <c r="B84" s="8"/>
      <c r="D84" s="8"/>
      <c r="E84" s="18"/>
      <c r="F84" s="8"/>
      <c r="G84" s="8"/>
      <c r="H84" s="8"/>
      <c r="I84" s="8"/>
    </row>
    <row r="85" spans="1:9">
      <c r="A85" s="14"/>
      <c r="B85" s="8"/>
      <c r="C85" s="8"/>
      <c r="D85" s="8"/>
      <c r="E85" s="18"/>
      <c r="F85" s="8"/>
      <c r="G85" s="8"/>
      <c r="H85" s="8"/>
      <c r="I85" s="8"/>
    </row>
    <row r="86" spans="1:9">
      <c r="A86" s="14"/>
      <c r="B86" s="8"/>
      <c r="C86" s="8"/>
      <c r="D86" s="8"/>
      <c r="E86" s="18"/>
      <c r="F86" s="8"/>
      <c r="G86" s="8"/>
      <c r="H86" s="8"/>
      <c r="I86" s="8"/>
    </row>
    <row r="87" spans="1:9">
      <c r="A87" s="15" t="s">
        <v>73</v>
      </c>
      <c r="B87" s="10"/>
      <c r="C87" s="10"/>
      <c r="D87" s="10"/>
      <c r="E87" s="20"/>
      <c r="F87" s="10"/>
      <c r="G87" s="10"/>
      <c r="H87" s="10"/>
      <c r="I87" s="10"/>
    </row>
    <row r="88" spans="1:9">
      <c r="A88" s="14"/>
      <c r="B88" s="8"/>
      <c r="C88" s="8"/>
      <c r="D88" s="8"/>
      <c r="E88" s="18"/>
      <c r="F88" s="8"/>
      <c r="G88" s="8"/>
      <c r="H88" s="8"/>
      <c r="I88" s="8"/>
    </row>
    <row r="89" spans="1:9">
      <c r="A89" s="14"/>
      <c r="B89" s="11" t="s">
        <v>57</v>
      </c>
      <c r="C89" s="35"/>
      <c r="D89" s="9"/>
      <c r="E89" s="19"/>
      <c r="F89" s="9"/>
      <c r="G89" s="9"/>
      <c r="H89" s="9"/>
      <c r="I89" s="9"/>
    </row>
    <row r="90" spans="1:9">
      <c r="A90" s="14"/>
      <c r="B90" s="11" t="s">
        <v>58</v>
      </c>
      <c r="C90" s="35"/>
      <c r="D90" s="9"/>
      <c r="E90" s="19"/>
      <c r="F90" s="9"/>
      <c r="G90" s="9"/>
      <c r="H90" s="9"/>
      <c r="I90" s="9"/>
    </row>
    <row r="91" spans="1:9">
      <c r="A91" s="14"/>
      <c r="B91" s="8"/>
      <c r="C91" s="38"/>
      <c r="D91" s="12"/>
      <c r="E91" s="18"/>
      <c r="F91" s="8"/>
      <c r="G91" s="8"/>
      <c r="H91" s="8"/>
      <c r="I91" s="8"/>
    </row>
    <row r="92" spans="1:9">
      <c r="A92" s="37"/>
      <c r="B92" t="s">
        <v>59</v>
      </c>
      <c r="C92" s="36"/>
      <c r="D92" t="s">
        <v>60</v>
      </c>
      <c r="E92" s="18"/>
      <c r="F92" s="8"/>
      <c r="G92" s="8"/>
      <c r="H92" s="8"/>
      <c r="I92" s="8"/>
    </row>
    <row r="93" spans="1:9">
      <c r="A93" s="14">
        <v>35</v>
      </c>
      <c r="B93" t="s">
        <v>61</v>
      </c>
      <c r="C93" s="8"/>
      <c r="D93" s="8"/>
      <c r="E93" s="18">
        <f>A93*A92*C92</f>
        <v>0</v>
      </c>
      <c r="F93" s="8"/>
      <c r="G93" s="8"/>
      <c r="H93" s="8"/>
      <c r="I93" s="8"/>
    </row>
    <row r="94" spans="1:9">
      <c r="A94" s="37">
        <v>0</v>
      </c>
      <c r="B94" t="s">
        <v>62</v>
      </c>
      <c r="C94" s="8"/>
      <c r="D94" s="8"/>
      <c r="E94" s="18">
        <f>A92*(C92)*A94*1.2</f>
        <v>0</v>
      </c>
      <c r="F94" s="8"/>
      <c r="G94" s="8"/>
      <c r="H94" s="8"/>
      <c r="I94" s="8"/>
    </row>
    <row r="95" spans="1:9">
      <c r="A95" s="37">
        <v>0</v>
      </c>
      <c r="B95" t="s">
        <v>63</v>
      </c>
      <c r="C95" s="8"/>
      <c r="D95" s="8"/>
      <c r="E95" s="18">
        <f>A92*A95</f>
        <v>0</v>
      </c>
      <c r="F95" s="8"/>
      <c r="G95" s="8"/>
      <c r="H95" s="8"/>
      <c r="I95" s="8"/>
    </row>
    <row r="96" spans="1:9">
      <c r="A96" s="37">
        <v>0</v>
      </c>
      <c r="B96" t="s">
        <v>64</v>
      </c>
      <c r="C96" s="8"/>
      <c r="D96" s="8"/>
      <c r="E96" s="18">
        <f>A96*A92</f>
        <v>0</v>
      </c>
      <c r="F96" s="8"/>
      <c r="G96" s="8"/>
      <c r="H96" s="8"/>
      <c r="I96" s="8"/>
    </row>
    <row r="97" spans="1:9">
      <c r="A97" s="37">
        <v>0</v>
      </c>
      <c r="B97" t="s">
        <v>65</v>
      </c>
      <c r="C97" s="8"/>
      <c r="D97" s="8"/>
      <c r="E97" s="18">
        <f>A97*A92</f>
        <v>0</v>
      </c>
      <c r="F97" s="8"/>
      <c r="G97" s="8"/>
      <c r="H97" s="8"/>
      <c r="I97" s="8"/>
    </row>
    <row r="98" spans="1:9">
      <c r="A98" s="37">
        <v>0</v>
      </c>
      <c r="B98" t="s">
        <v>66</v>
      </c>
      <c r="C98" s="8"/>
      <c r="D98" s="8"/>
      <c r="E98" s="18">
        <f>A98*A92*C92</f>
        <v>0</v>
      </c>
      <c r="F98" s="8"/>
      <c r="G98" s="8"/>
      <c r="H98" s="8"/>
      <c r="I98" s="8"/>
    </row>
    <row r="99" spans="1:9">
      <c r="A99" s="37">
        <v>0</v>
      </c>
      <c r="B99" s="8" t="s">
        <v>67</v>
      </c>
      <c r="C99" s="8"/>
      <c r="D99" s="8"/>
      <c r="E99" s="18">
        <f>A99*A92</f>
        <v>0</v>
      </c>
      <c r="F99" s="8"/>
      <c r="G99" s="8"/>
      <c r="H99" s="8"/>
      <c r="I99" s="8"/>
    </row>
    <row r="100" spans="1:9">
      <c r="A100" s="14"/>
      <c r="B100" t="s">
        <v>68</v>
      </c>
      <c r="C100" s="8"/>
      <c r="D100" s="8"/>
      <c r="E100" s="18">
        <f>SUM(E93:E99)</f>
        <v>0</v>
      </c>
      <c r="F100" s="8"/>
      <c r="G100" s="8"/>
      <c r="H100" s="8"/>
      <c r="I100" s="8"/>
    </row>
    <row r="101" spans="1:9">
      <c r="A101" s="14"/>
      <c r="C101" s="8"/>
      <c r="D101" s="8"/>
      <c r="E101" s="18"/>
      <c r="F101" s="8"/>
      <c r="G101" s="8"/>
      <c r="H101" s="8"/>
      <c r="I101" s="8"/>
    </row>
    <row r="102" spans="1:9">
      <c r="A102" s="14"/>
      <c r="B102" s="8"/>
      <c r="C102" s="8"/>
      <c r="D102" s="8"/>
      <c r="E102" s="18"/>
      <c r="F102" s="8"/>
      <c r="G102" s="8"/>
      <c r="H102" s="8"/>
      <c r="I102" s="8"/>
    </row>
    <row r="103" spans="1:9">
      <c r="A103" s="15" t="s">
        <v>74</v>
      </c>
      <c r="B103" s="10"/>
      <c r="C103" s="10"/>
      <c r="D103" s="10"/>
      <c r="E103" s="20"/>
      <c r="F103" s="10"/>
      <c r="G103" s="10"/>
      <c r="H103" s="10"/>
      <c r="I103" s="10"/>
    </row>
    <row r="104" spans="1:9">
      <c r="A104" s="14"/>
      <c r="B104" s="8"/>
      <c r="C104" s="8"/>
      <c r="D104" s="8"/>
      <c r="E104" s="18"/>
      <c r="F104" s="8"/>
      <c r="G104" s="8"/>
      <c r="H104" s="8"/>
      <c r="I104" s="8"/>
    </row>
    <row r="105" spans="1:9">
      <c r="A105" s="14"/>
      <c r="B105" s="11" t="s">
        <v>57</v>
      </c>
      <c r="C105" s="35"/>
      <c r="D105" s="9"/>
      <c r="E105" s="19"/>
      <c r="F105" s="9"/>
      <c r="G105" s="9"/>
      <c r="H105" s="9"/>
      <c r="I105" s="9"/>
    </row>
    <row r="106" spans="1:9">
      <c r="A106" s="14"/>
      <c r="B106" s="11" t="s">
        <v>58</v>
      </c>
      <c r="C106" s="35"/>
      <c r="D106" s="9"/>
      <c r="E106" s="19"/>
      <c r="F106" s="9"/>
      <c r="G106" s="9"/>
      <c r="H106" s="9"/>
      <c r="I106" s="9"/>
    </row>
    <row r="107" spans="1:9">
      <c r="A107" s="14"/>
      <c r="B107" s="8"/>
      <c r="C107" s="38"/>
      <c r="D107" s="12"/>
      <c r="E107" s="18"/>
      <c r="F107" s="8"/>
      <c r="G107" s="8"/>
      <c r="H107" s="8"/>
      <c r="I107" s="8"/>
    </row>
    <row r="108" spans="1:9">
      <c r="A108" s="37"/>
      <c r="B108" t="s">
        <v>59</v>
      </c>
      <c r="C108" s="36"/>
      <c r="D108" t="s">
        <v>60</v>
      </c>
      <c r="E108" s="18"/>
      <c r="F108" s="8"/>
      <c r="G108" s="8"/>
      <c r="H108" s="8"/>
      <c r="I108" s="8"/>
    </row>
    <row r="109" spans="1:9">
      <c r="A109" s="14">
        <v>35</v>
      </c>
      <c r="B109" t="s">
        <v>61</v>
      </c>
      <c r="C109" s="8"/>
      <c r="D109" s="8"/>
      <c r="E109" s="18">
        <f>A109*A108*C108</f>
        <v>0</v>
      </c>
      <c r="F109" s="8"/>
      <c r="G109" s="8"/>
      <c r="H109" s="8"/>
      <c r="I109" s="8"/>
    </row>
    <row r="110" spans="1:9">
      <c r="A110" s="37">
        <v>0</v>
      </c>
      <c r="B110" t="s">
        <v>62</v>
      </c>
      <c r="C110" s="8"/>
      <c r="D110" s="8"/>
      <c r="E110" s="18">
        <f>A108*(C108)*A110*1.2</f>
        <v>0</v>
      </c>
      <c r="F110" s="8"/>
      <c r="G110" s="8"/>
      <c r="H110" s="8"/>
      <c r="I110" s="8"/>
    </row>
    <row r="111" spans="1:9">
      <c r="A111" s="37">
        <v>0</v>
      </c>
      <c r="B111" t="s">
        <v>63</v>
      </c>
      <c r="C111" s="8"/>
      <c r="D111" s="8"/>
      <c r="E111" s="18">
        <f>A108*A111</f>
        <v>0</v>
      </c>
      <c r="F111" s="8"/>
      <c r="G111" s="8"/>
      <c r="H111" s="8"/>
      <c r="I111" s="8"/>
    </row>
    <row r="112" spans="1:9">
      <c r="A112" s="37">
        <v>0</v>
      </c>
      <c r="B112" t="s">
        <v>64</v>
      </c>
      <c r="C112" s="8"/>
      <c r="D112" s="8"/>
      <c r="E112" s="18">
        <f>A112*A108</f>
        <v>0</v>
      </c>
      <c r="F112" s="8"/>
      <c r="G112" s="8"/>
      <c r="H112" s="8"/>
      <c r="I112" s="8"/>
    </row>
    <row r="113" spans="1:9">
      <c r="A113" s="37">
        <v>0</v>
      </c>
      <c r="B113" t="s">
        <v>65</v>
      </c>
      <c r="C113" s="8"/>
      <c r="D113" s="8"/>
      <c r="E113" s="18">
        <f>A113*A108</f>
        <v>0</v>
      </c>
      <c r="F113" s="8"/>
      <c r="G113" s="8"/>
      <c r="H113" s="8"/>
      <c r="I113" s="8"/>
    </row>
    <row r="114" spans="1:9">
      <c r="A114" s="37">
        <v>0</v>
      </c>
      <c r="B114" t="s">
        <v>66</v>
      </c>
      <c r="C114" s="8"/>
      <c r="D114" s="8"/>
      <c r="E114" s="18">
        <f>A114*A108*C108</f>
        <v>0</v>
      </c>
      <c r="F114" s="8"/>
      <c r="G114" s="8"/>
      <c r="H114" s="8"/>
      <c r="I114" s="8"/>
    </row>
    <row r="115" spans="1:9">
      <c r="A115" s="37">
        <v>0</v>
      </c>
      <c r="B115" s="8" t="s">
        <v>67</v>
      </c>
      <c r="C115" s="8"/>
      <c r="D115" s="8"/>
      <c r="E115" s="18">
        <f>A115*A108</f>
        <v>0</v>
      </c>
      <c r="F115" s="8"/>
      <c r="G115" s="8"/>
      <c r="H115" s="8"/>
      <c r="I115" s="8"/>
    </row>
    <row r="116" spans="1:9">
      <c r="A116" s="14"/>
      <c r="B116" t="s">
        <v>68</v>
      </c>
      <c r="C116" s="8"/>
      <c r="D116" s="8"/>
      <c r="E116" s="18">
        <f>SUM(E109:E115)</f>
        <v>0</v>
      </c>
      <c r="F116" s="8"/>
      <c r="G116" s="8"/>
      <c r="H116" s="8"/>
      <c r="I116" s="8"/>
    </row>
    <row r="119" spans="1:9">
      <c r="A119" s="15" t="s">
        <v>75</v>
      </c>
      <c r="B119" s="10"/>
      <c r="C119" s="10"/>
      <c r="D119" s="10"/>
      <c r="E119" s="20"/>
      <c r="F119" s="10"/>
      <c r="G119" s="10"/>
      <c r="H119" s="10"/>
      <c r="I119" s="10"/>
    </row>
    <row r="120" spans="1:9">
      <c r="A120" s="14"/>
      <c r="B120" s="8"/>
      <c r="C120" s="8"/>
      <c r="D120" s="8"/>
      <c r="E120" s="18"/>
      <c r="F120" s="8"/>
      <c r="G120" s="8"/>
      <c r="H120" s="8"/>
      <c r="I120" s="8"/>
    </row>
    <row r="121" spans="1:9">
      <c r="A121" s="14"/>
      <c r="B121" s="11" t="s">
        <v>57</v>
      </c>
      <c r="C121" s="35"/>
      <c r="D121" s="9"/>
      <c r="E121" s="19"/>
      <c r="F121" s="9"/>
      <c r="G121" s="9"/>
      <c r="H121" s="9"/>
      <c r="I121" s="9"/>
    </row>
    <row r="122" spans="1:9">
      <c r="A122" s="14"/>
      <c r="B122" s="11" t="s">
        <v>58</v>
      </c>
      <c r="C122" s="35"/>
      <c r="D122" s="9"/>
      <c r="E122" s="19"/>
      <c r="F122" s="9"/>
      <c r="G122" s="9"/>
      <c r="H122" s="9"/>
      <c r="I122" s="9"/>
    </row>
    <row r="123" spans="1:9">
      <c r="A123" s="14"/>
      <c r="B123" s="8"/>
      <c r="C123" s="38"/>
      <c r="D123" s="12"/>
      <c r="E123" s="18"/>
      <c r="F123" s="8"/>
      <c r="G123" s="8"/>
      <c r="H123" s="8"/>
      <c r="I123" s="8"/>
    </row>
    <row r="124" spans="1:9">
      <c r="A124" s="37"/>
      <c r="B124" t="s">
        <v>59</v>
      </c>
      <c r="C124" s="36"/>
      <c r="D124" t="s">
        <v>60</v>
      </c>
      <c r="E124" s="18"/>
      <c r="F124" s="8"/>
      <c r="G124" s="8"/>
      <c r="H124" s="8"/>
      <c r="I124" s="8"/>
    </row>
    <row r="125" spans="1:9">
      <c r="A125" s="14">
        <v>35</v>
      </c>
      <c r="B125" t="s">
        <v>61</v>
      </c>
      <c r="C125" s="8"/>
      <c r="D125" s="8"/>
      <c r="E125" s="18">
        <f>A125*A124*C124</f>
        <v>0</v>
      </c>
      <c r="F125" s="8"/>
      <c r="G125" s="8"/>
      <c r="H125" s="8"/>
      <c r="I125" s="8"/>
    </row>
    <row r="126" spans="1:9">
      <c r="A126" s="37">
        <v>0</v>
      </c>
      <c r="B126" t="s">
        <v>62</v>
      </c>
      <c r="C126" s="8"/>
      <c r="D126" s="8"/>
      <c r="E126" s="18">
        <f>A124*(C124)*A126*1.2</f>
        <v>0</v>
      </c>
      <c r="F126" s="8"/>
      <c r="G126" s="8"/>
      <c r="H126" s="8"/>
      <c r="I126" s="8"/>
    </row>
    <row r="127" spans="1:9">
      <c r="A127" s="37">
        <v>0</v>
      </c>
      <c r="B127" t="s">
        <v>63</v>
      </c>
      <c r="C127" s="8"/>
      <c r="D127" s="8"/>
      <c r="E127" s="18">
        <f>A124*A127</f>
        <v>0</v>
      </c>
      <c r="F127" s="8"/>
      <c r="G127" s="8"/>
      <c r="H127" s="8"/>
      <c r="I127" s="8"/>
    </row>
    <row r="128" spans="1:9">
      <c r="A128" s="37">
        <v>0</v>
      </c>
      <c r="B128" t="s">
        <v>64</v>
      </c>
      <c r="C128" s="8"/>
      <c r="D128" s="8"/>
      <c r="E128" s="18">
        <f>A128*A124</f>
        <v>0</v>
      </c>
      <c r="F128" s="8"/>
      <c r="G128" s="8"/>
      <c r="H128" s="8"/>
      <c r="I128" s="8"/>
    </row>
    <row r="129" spans="1:9">
      <c r="A129" s="37">
        <v>0</v>
      </c>
      <c r="B129" t="s">
        <v>65</v>
      </c>
      <c r="C129" s="8"/>
      <c r="D129" s="8"/>
      <c r="E129" s="18">
        <f>A129*A124</f>
        <v>0</v>
      </c>
      <c r="F129" s="8"/>
      <c r="G129" s="8"/>
      <c r="H129" s="8"/>
      <c r="I129" s="8"/>
    </row>
    <row r="130" spans="1:9">
      <c r="A130" s="37">
        <v>0</v>
      </c>
      <c r="B130" t="s">
        <v>66</v>
      </c>
      <c r="C130" s="8"/>
      <c r="D130" s="8"/>
      <c r="E130" s="18">
        <f>A130*A124*C124</f>
        <v>0</v>
      </c>
      <c r="F130" s="8"/>
      <c r="G130" s="8"/>
      <c r="H130" s="8"/>
      <c r="I130" s="8"/>
    </row>
    <row r="131" spans="1:9">
      <c r="A131" s="37">
        <v>0</v>
      </c>
      <c r="B131" s="8" t="s">
        <v>67</v>
      </c>
      <c r="C131" s="8"/>
      <c r="D131" s="8"/>
      <c r="E131" s="18">
        <f>A131*A124</f>
        <v>0</v>
      </c>
      <c r="F131" s="8"/>
      <c r="G131" s="8"/>
      <c r="H131" s="8"/>
      <c r="I131" s="8"/>
    </row>
    <row r="132" spans="1:9">
      <c r="A132" s="14"/>
      <c r="B132" t="s">
        <v>68</v>
      </c>
      <c r="C132" s="8"/>
      <c r="D132" s="8"/>
      <c r="E132" s="18">
        <f>SUM(E125:E131)</f>
        <v>0</v>
      </c>
      <c r="F132" s="8"/>
      <c r="G132" s="8"/>
      <c r="H132" s="8"/>
      <c r="I132" s="8"/>
    </row>
    <row r="135" spans="1:9">
      <c r="A135" s="15" t="s">
        <v>76</v>
      </c>
      <c r="B135" s="10"/>
      <c r="C135" s="10"/>
      <c r="D135" s="10"/>
      <c r="E135" s="20"/>
      <c r="F135" s="10"/>
      <c r="G135" s="10"/>
      <c r="H135" s="10"/>
      <c r="I135" s="10"/>
    </row>
    <row r="136" spans="1:9">
      <c r="A136" s="14"/>
      <c r="B136" s="8"/>
      <c r="C136" s="8"/>
      <c r="D136" s="8"/>
      <c r="E136" s="18"/>
      <c r="F136" s="8"/>
      <c r="G136" s="8"/>
      <c r="H136" s="8"/>
      <c r="I136" s="8"/>
    </row>
    <row r="137" spans="1:9">
      <c r="A137" s="14"/>
      <c r="B137" s="11" t="s">
        <v>57</v>
      </c>
      <c r="C137" s="35"/>
      <c r="D137" s="9"/>
      <c r="E137" s="19"/>
      <c r="F137" s="9"/>
      <c r="G137" s="9"/>
      <c r="H137" s="9"/>
      <c r="I137" s="9"/>
    </row>
    <row r="138" spans="1:9">
      <c r="A138" s="14"/>
      <c r="B138" s="11" t="s">
        <v>58</v>
      </c>
      <c r="C138" s="35"/>
      <c r="D138" s="9"/>
      <c r="E138" s="19"/>
      <c r="F138" s="9"/>
      <c r="G138" s="9"/>
      <c r="H138" s="9"/>
      <c r="I138" s="9"/>
    </row>
    <row r="139" spans="1:9">
      <c r="A139" s="14"/>
      <c r="B139" s="8"/>
      <c r="C139" s="8"/>
      <c r="D139" s="12"/>
      <c r="E139" s="18"/>
      <c r="F139" s="8"/>
      <c r="G139" s="8"/>
      <c r="H139" s="8"/>
      <c r="I139" s="8"/>
    </row>
    <row r="140" spans="1:9">
      <c r="A140" s="37"/>
      <c r="B140" t="s">
        <v>59</v>
      </c>
      <c r="C140" s="36"/>
      <c r="D140" t="s">
        <v>60</v>
      </c>
      <c r="E140" s="18"/>
      <c r="F140" s="8"/>
      <c r="G140" s="8"/>
      <c r="H140" s="8"/>
      <c r="I140" s="8"/>
    </row>
    <row r="141" spans="1:9">
      <c r="A141" s="14">
        <v>35</v>
      </c>
      <c r="B141" t="s">
        <v>61</v>
      </c>
      <c r="C141" s="8"/>
      <c r="D141" s="8"/>
      <c r="E141" s="18">
        <f>A141*A140*C140</f>
        <v>0</v>
      </c>
      <c r="F141" s="8"/>
      <c r="G141" s="8"/>
      <c r="H141" s="8"/>
      <c r="I141" s="8"/>
    </row>
    <row r="142" spans="1:9">
      <c r="A142" s="37">
        <v>0</v>
      </c>
      <c r="B142" t="s">
        <v>62</v>
      </c>
      <c r="C142" s="8"/>
      <c r="D142" s="8"/>
      <c r="E142" s="18">
        <f>A140*(C140)*A142*1.2</f>
        <v>0</v>
      </c>
      <c r="F142" s="8"/>
      <c r="G142" s="8"/>
      <c r="H142" s="8"/>
      <c r="I142" s="8"/>
    </row>
    <row r="143" spans="1:9">
      <c r="A143" s="37">
        <v>0</v>
      </c>
      <c r="B143" t="s">
        <v>63</v>
      </c>
      <c r="C143" s="8"/>
      <c r="D143" s="8"/>
      <c r="E143" s="18">
        <f>A140*A143</f>
        <v>0</v>
      </c>
      <c r="F143" s="8"/>
      <c r="G143" s="8"/>
      <c r="H143" s="8"/>
      <c r="I143" s="8"/>
    </row>
    <row r="144" spans="1:9">
      <c r="A144" s="37">
        <v>0</v>
      </c>
      <c r="B144" t="s">
        <v>64</v>
      </c>
      <c r="C144" s="8"/>
      <c r="D144" s="8"/>
      <c r="E144" s="18">
        <f>A144*A140</f>
        <v>0</v>
      </c>
      <c r="F144" s="8"/>
      <c r="G144" s="8"/>
      <c r="H144" s="8"/>
      <c r="I144" s="8"/>
    </row>
    <row r="145" spans="1:9">
      <c r="A145" s="37">
        <v>0</v>
      </c>
      <c r="B145" t="s">
        <v>65</v>
      </c>
      <c r="C145" s="8"/>
      <c r="D145" s="8"/>
      <c r="E145" s="18">
        <f>A145*A140</f>
        <v>0</v>
      </c>
      <c r="F145" s="8"/>
      <c r="G145" s="8"/>
      <c r="H145" s="8"/>
      <c r="I145" s="8"/>
    </row>
    <row r="146" spans="1:9">
      <c r="A146" s="37">
        <v>0</v>
      </c>
      <c r="B146" t="s">
        <v>66</v>
      </c>
      <c r="C146" s="8"/>
      <c r="D146" s="8"/>
      <c r="E146" s="18">
        <f>A146*A140*C140</f>
        <v>0</v>
      </c>
      <c r="F146" s="8"/>
      <c r="G146" s="8"/>
      <c r="H146" s="8"/>
      <c r="I146" s="8"/>
    </row>
    <row r="147" spans="1:9">
      <c r="A147" s="37">
        <v>0</v>
      </c>
      <c r="B147" s="8" t="s">
        <v>67</v>
      </c>
      <c r="C147" s="8"/>
      <c r="D147" s="8"/>
      <c r="E147" s="18">
        <f>A147*A140</f>
        <v>0</v>
      </c>
      <c r="F147" s="8"/>
      <c r="G147" s="8"/>
      <c r="H147" s="8"/>
      <c r="I147" s="8"/>
    </row>
    <row r="148" spans="1:9">
      <c r="A148" s="14"/>
      <c r="B148" t="s">
        <v>68</v>
      </c>
      <c r="C148" s="8"/>
      <c r="D148" s="8"/>
      <c r="E148" s="18">
        <f>SUM(E141:E147)</f>
        <v>0</v>
      </c>
      <c r="F148" s="8"/>
      <c r="G148" s="8"/>
      <c r="H148" s="8"/>
      <c r="I148" s="8"/>
    </row>
    <row r="151" spans="1:9">
      <c r="A151" s="15" t="s">
        <v>77</v>
      </c>
      <c r="B151" s="10"/>
      <c r="C151" s="10"/>
      <c r="D151" s="10"/>
      <c r="E151" s="20"/>
      <c r="F151" s="10"/>
      <c r="G151" s="10"/>
      <c r="H151" s="10"/>
      <c r="I151" s="10"/>
    </row>
    <row r="152" spans="1:9">
      <c r="A152" s="14"/>
      <c r="B152" s="8"/>
      <c r="C152" s="38"/>
      <c r="D152" s="8"/>
      <c r="E152" s="18"/>
      <c r="F152" s="8"/>
      <c r="G152" s="8"/>
      <c r="H152" s="8"/>
      <c r="I152" s="8"/>
    </row>
    <row r="153" spans="1:9">
      <c r="A153" s="14"/>
      <c r="B153" s="11" t="s">
        <v>57</v>
      </c>
      <c r="C153" s="35"/>
      <c r="D153" s="9"/>
      <c r="E153" s="19"/>
      <c r="F153" s="9"/>
      <c r="G153" s="9"/>
      <c r="H153" s="9"/>
      <c r="I153" s="9"/>
    </row>
    <row r="154" spans="1:9">
      <c r="A154" s="14"/>
      <c r="B154" s="11" t="s">
        <v>58</v>
      </c>
      <c r="C154" s="35"/>
      <c r="D154" s="9"/>
      <c r="E154" s="19"/>
      <c r="F154" s="9"/>
      <c r="G154" s="9"/>
      <c r="H154" s="9"/>
      <c r="I154" s="9"/>
    </row>
    <row r="155" spans="1:9">
      <c r="A155" s="14"/>
      <c r="B155" s="8"/>
      <c r="C155" s="8"/>
      <c r="D155" s="12"/>
      <c r="E155" s="18"/>
      <c r="F155" s="8"/>
      <c r="G155" s="8"/>
      <c r="H155" s="8"/>
      <c r="I155" s="8"/>
    </row>
    <row r="156" spans="1:9">
      <c r="A156" s="37"/>
      <c r="B156" t="s">
        <v>59</v>
      </c>
      <c r="C156" s="36"/>
      <c r="D156" t="s">
        <v>60</v>
      </c>
      <c r="E156" s="18"/>
      <c r="F156" s="8"/>
      <c r="G156" s="8"/>
      <c r="H156" s="8"/>
      <c r="I156" s="8"/>
    </row>
    <row r="157" spans="1:9">
      <c r="A157" s="14">
        <v>35</v>
      </c>
      <c r="B157" t="s">
        <v>61</v>
      </c>
      <c r="C157" s="8"/>
      <c r="D157" s="8"/>
      <c r="E157" s="18">
        <f>A157*A156*C156</f>
        <v>0</v>
      </c>
      <c r="F157" s="8"/>
      <c r="G157" s="8"/>
      <c r="H157" s="8"/>
      <c r="I157" s="8"/>
    </row>
    <row r="158" spans="1:9">
      <c r="A158" s="37">
        <v>0</v>
      </c>
      <c r="B158" t="s">
        <v>62</v>
      </c>
      <c r="C158" s="8"/>
      <c r="D158" s="8"/>
      <c r="E158" s="18">
        <f>A156*(C156)*A158*1.2</f>
        <v>0</v>
      </c>
      <c r="F158" s="8"/>
      <c r="G158" s="8"/>
      <c r="H158" s="8"/>
      <c r="I158" s="8"/>
    </row>
    <row r="159" spans="1:9">
      <c r="A159" s="37">
        <v>0</v>
      </c>
      <c r="B159" t="s">
        <v>63</v>
      </c>
      <c r="C159" s="8"/>
      <c r="D159" s="8"/>
      <c r="E159" s="18">
        <f>A156*A159</f>
        <v>0</v>
      </c>
      <c r="F159" s="8"/>
      <c r="G159" s="8"/>
      <c r="H159" s="8"/>
      <c r="I159" s="8"/>
    </row>
    <row r="160" spans="1:9">
      <c r="A160" s="37">
        <v>0</v>
      </c>
      <c r="B160" t="s">
        <v>64</v>
      </c>
      <c r="C160" s="8"/>
      <c r="D160" s="8"/>
      <c r="E160" s="18">
        <f>A160*A156</f>
        <v>0</v>
      </c>
      <c r="F160" s="8"/>
      <c r="G160" s="8"/>
      <c r="H160" s="8"/>
      <c r="I160" s="8"/>
    </row>
    <row r="161" spans="1:9">
      <c r="A161" s="37">
        <v>0</v>
      </c>
      <c r="B161" t="s">
        <v>65</v>
      </c>
      <c r="C161" s="8"/>
      <c r="D161" s="8"/>
      <c r="E161" s="18">
        <f>A161*A156</f>
        <v>0</v>
      </c>
      <c r="F161" s="8"/>
      <c r="G161" s="8"/>
      <c r="H161" s="8"/>
      <c r="I161" s="8"/>
    </row>
    <row r="162" spans="1:9">
      <c r="A162" s="37">
        <v>0</v>
      </c>
      <c r="B162" t="s">
        <v>66</v>
      </c>
      <c r="C162" s="8"/>
      <c r="D162" s="8"/>
      <c r="E162" s="18">
        <f>A162*A156*C156</f>
        <v>0</v>
      </c>
      <c r="F162" s="8"/>
      <c r="G162" s="8"/>
      <c r="H162" s="8"/>
      <c r="I162" s="8"/>
    </row>
    <row r="163" spans="1:9">
      <c r="A163" s="13">
        <v>0</v>
      </c>
      <c r="B163" s="8" t="s">
        <v>67</v>
      </c>
      <c r="C163" s="8"/>
      <c r="D163" s="8"/>
      <c r="E163" s="18">
        <f>A163*A156</f>
        <v>0</v>
      </c>
      <c r="F163" s="8"/>
      <c r="G163" s="8"/>
      <c r="H163" s="8"/>
      <c r="I163" s="8"/>
    </row>
    <row r="164" spans="1:9">
      <c r="A164" s="14"/>
      <c r="B164" t="s">
        <v>68</v>
      </c>
      <c r="C164" s="8"/>
      <c r="D164" s="8"/>
      <c r="E164" s="18">
        <f>SUM(E157:E163)</f>
        <v>0</v>
      </c>
      <c r="F164" s="8"/>
      <c r="G164" s="8"/>
      <c r="H164" s="8"/>
      <c r="I164" s="8"/>
    </row>
  </sheetData>
  <sheetProtection password="C230" sheet="1" objects="1" scenarios="1" selectLockedCells="1"/>
  <mergeCells count="1">
    <mergeCell ref="A1:I2"/>
  </mergeCells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Fed-Public Sponsor</vt:lpstr>
      <vt:lpstr>Private Sponsor</vt:lpstr>
      <vt:lpstr>Equipment Grant</vt:lpstr>
      <vt:lpstr>Travel Worksheet</vt:lpstr>
    </vt:vector>
  </TitlesOfParts>
  <Company>Seattle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Grants and Contracts Financial Analyst</dc:title>
  <dc:subject>Budget Template</dc:subject>
  <dc:creator>Vanessa Quiroz</dc:creator>
  <cp:lastModifiedBy>Office of Information Technology</cp:lastModifiedBy>
  <cp:lastPrinted>2010-06-10T21:35:30Z</cp:lastPrinted>
  <dcterms:created xsi:type="dcterms:W3CDTF">2010-02-23T22:24:19Z</dcterms:created>
  <dcterms:modified xsi:type="dcterms:W3CDTF">2011-05-19T20:44:45Z</dcterms:modified>
</cp:coreProperties>
</file>