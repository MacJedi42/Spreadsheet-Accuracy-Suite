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7100" windowHeight="106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5" i="1"/>
  <c r="M5"/>
  <c r="N5"/>
  <c r="H5"/>
  <c r="I5"/>
</calcChain>
</file>

<file path=xl/sharedStrings.xml><?xml version="1.0" encoding="utf-8"?>
<sst xmlns="http://schemas.openxmlformats.org/spreadsheetml/2006/main" count="22" uniqueCount="22">
  <si>
    <t>SIN</t>
  </si>
  <si>
    <t>Proposed Commercial Price List</t>
  </si>
  <si>
    <t>$ Change</t>
  </si>
  <si>
    <t>% Change</t>
  </si>
  <si>
    <t>Current GSA Price Including IFF</t>
  </si>
  <si>
    <t>Proposed  GSA Price Including IFF</t>
  </si>
  <si>
    <t>302-49</t>
  </si>
  <si>
    <t>123ABC</t>
  </si>
  <si>
    <t xml:space="preserve">Ice Machine </t>
  </si>
  <si>
    <t>Manufacturer</t>
  </si>
  <si>
    <t>ACME</t>
  </si>
  <si>
    <t>same</t>
  </si>
  <si>
    <t>Product Description</t>
  </si>
  <si>
    <t>Current Approved Commercial Price List</t>
  </si>
  <si>
    <t>COO</t>
  </si>
  <si>
    <t>Reason for Increase</t>
  </si>
  <si>
    <t>Manufacturer Part #</t>
  </si>
  <si>
    <t xml:space="preserve">GSA or Dealer Part # </t>
  </si>
  <si>
    <t>MFC Discount</t>
  </si>
  <si>
    <t>GSA Discount</t>
  </si>
  <si>
    <t xml:space="preserve">EPA SPREADSHEET </t>
  </si>
  <si>
    <t>Relationship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</si>
</sst>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7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3" fillId="0" borderId="0" xfId="0" applyFont="1"/>
    <xf numFmtId="4" fontId="3" fillId="0" borderId="0" xfId="0" applyNumberFormat="1" applyFont="1"/>
    <xf numFmtId="10" fontId="3" fillId="0" borderId="0" xfId="0" applyNumberFormat="1" applyFont="1"/>
    <xf numFmtId="165" fontId="3" fillId="0" borderId="0" xfId="0" applyNumberFormat="1" applyFont="1"/>
    <xf numFmtId="1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4" fillId="0" borderId="1" xfId="0" applyFont="1" applyBorder="1"/>
    <xf numFmtId="4" fontId="4" fillId="0" borderId="1" xfId="0" applyNumberFormat="1" applyFont="1" applyBorder="1"/>
    <xf numFmtId="4" fontId="4" fillId="0" borderId="1" xfId="1" applyNumberFormat="1" applyFont="1" applyBorder="1"/>
    <xf numFmtId="10" fontId="4" fillId="0" borderId="1" xfId="2" applyNumberFormat="1" applyFont="1" applyBorder="1"/>
    <xf numFmtId="165" fontId="4" fillId="0" borderId="1" xfId="2" applyNumberFormat="1" applyFont="1" applyBorder="1"/>
    <xf numFmtId="164" fontId="4" fillId="0" borderId="1" xfId="2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0" fontId="3" fillId="0" borderId="1" xfId="0" applyNumberFormat="1" applyFont="1" applyBorder="1"/>
    <xf numFmtId="165" fontId="3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" fontId="1" fillId="2" borderId="1" xfId="1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zoomScaleNormal="100" workbookViewId="0">
      <selection activeCell="L6" sqref="L6"/>
    </sheetView>
  </sheetViews>
  <sheetFormatPr defaultRowHeight="15"/>
  <cols>
    <col min="1" max="1" width="7.5703125" customWidth="1"/>
    <col min="2" max="2" width="16.140625" customWidth="1"/>
    <col min="3" max="3" width="14.85546875" customWidth="1"/>
    <col min="4" max="4" width="14.28515625" customWidth="1"/>
    <col min="5" max="5" width="28.140625" customWidth="1"/>
    <col min="6" max="6" width="15.140625" style="1" customWidth="1"/>
    <col min="7" max="7" width="17.85546875" style="1" customWidth="1"/>
    <col min="8" max="8" width="10" style="1" customWidth="1"/>
    <col min="9" max="9" width="10.42578125" style="2" customWidth="1"/>
    <col min="10" max="10" width="10" style="2" customWidth="1"/>
    <col min="11" max="12" width="12" style="2" customWidth="1"/>
    <col min="13" max="13" width="17.85546875" style="3" customWidth="1"/>
    <col min="14" max="14" width="19.7109375" style="1" customWidth="1"/>
    <col min="15" max="15" width="9.28515625" customWidth="1"/>
    <col min="16" max="16" width="29.5703125" customWidth="1"/>
  </cols>
  <sheetData>
    <row r="1" spans="1:16">
      <c r="A1" s="4"/>
      <c r="B1" s="4"/>
      <c r="C1" s="4"/>
      <c r="D1" s="4"/>
      <c r="E1" s="4"/>
      <c r="F1" s="5"/>
      <c r="G1" s="5"/>
      <c r="H1" s="5"/>
      <c r="I1" s="6"/>
      <c r="J1" s="6"/>
      <c r="K1" s="6"/>
      <c r="L1" s="6"/>
      <c r="M1" s="7"/>
      <c r="N1" s="5"/>
      <c r="O1" s="4"/>
      <c r="P1" s="4"/>
    </row>
    <row r="2" spans="1:16" ht="18">
      <c r="A2" s="28" t="s">
        <v>20</v>
      </c>
      <c r="B2" s="4"/>
      <c r="C2" s="4"/>
      <c r="D2" s="4"/>
      <c r="E2" s="4"/>
      <c r="F2" s="5"/>
      <c r="G2" s="5"/>
      <c r="H2" s="5"/>
      <c r="I2" s="6"/>
      <c r="J2" s="6"/>
      <c r="K2" s="6"/>
      <c r="L2" s="6"/>
      <c r="M2" s="7"/>
      <c r="N2" s="5"/>
      <c r="O2" s="4"/>
      <c r="P2" s="4"/>
    </row>
    <row r="3" spans="1:16">
      <c r="A3" s="4"/>
      <c r="B3" s="4"/>
      <c r="C3" s="4"/>
      <c r="D3" s="4"/>
      <c r="E3" s="4"/>
      <c r="F3" s="5"/>
      <c r="G3" s="5"/>
      <c r="H3" s="5"/>
      <c r="I3" s="6"/>
      <c r="J3" s="6"/>
      <c r="K3" s="6"/>
      <c r="L3" s="6"/>
      <c r="M3" s="7"/>
      <c r="N3" s="5"/>
      <c r="O3" s="4"/>
      <c r="P3" s="4"/>
    </row>
    <row r="4" spans="1:16" s="27" customFormat="1" ht="86.25" customHeight="1">
      <c r="A4" s="20" t="s">
        <v>0</v>
      </c>
      <c r="B4" s="21" t="s">
        <v>9</v>
      </c>
      <c r="C4" s="22" t="s">
        <v>16</v>
      </c>
      <c r="D4" s="23" t="s">
        <v>17</v>
      </c>
      <c r="E4" s="9" t="s">
        <v>12</v>
      </c>
      <c r="F4" s="24" t="s">
        <v>13</v>
      </c>
      <c r="G4" s="25" t="s">
        <v>1</v>
      </c>
      <c r="H4" s="25" t="s">
        <v>2</v>
      </c>
      <c r="I4" s="8" t="s">
        <v>3</v>
      </c>
      <c r="J4" s="8" t="s">
        <v>18</v>
      </c>
      <c r="K4" s="8" t="s">
        <v>19</v>
      </c>
      <c r="L4" s="8" t="s">
        <v>21</v>
      </c>
      <c r="M4" s="26" t="s">
        <v>4</v>
      </c>
      <c r="N4" s="25" t="s">
        <v>5</v>
      </c>
      <c r="O4" s="9" t="s">
        <v>14</v>
      </c>
      <c r="P4" s="23" t="s">
        <v>15</v>
      </c>
    </row>
    <row r="5" spans="1:16">
      <c r="A5" s="10" t="s">
        <v>6</v>
      </c>
      <c r="B5" s="10" t="s">
        <v>10</v>
      </c>
      <c r="C5" s="10" t="s">
        <v>7</v>
      </c>
      <c r="D5" s="10" t="s">
        <v>11</v>
      </c>
      <c r="E5" s="10" t="s">
        <v>8</v>
      </c>
      <c r="F5" s="11">
        <v>2000</v>
      </c>
      <c r="G5" s="12">
        <v>2100</v>
      </c>
      <c r="H5" s="12">
        <f>SUM(G5-F5)</f>
        <v>100</v>
      </c>
      <c r="I5" s="13">
        <f>(G5-F5)/F5</f>
        <v>0.05</v>
      </c>
      <c r="J5" s="13">
        <v>0.05</v>
      </c>
      <c r="K5" s="13">
        <v>0.1</v>
      </c>
      <c r="L5" s="13">
        <f>K5-J5</f>
        <v>0.05</v>
      </c>
      <c r="M5" s="14">
        <f>(F5-(F5*K5))/0.9925</f>
        <v>1813.60201511335</v>
      </c>
      <c r="N5" s="12">
        <f>(G5-(G5*K5))/0.9925</f>
        <v>1904.2821158690176</v>
      </c>
      <c r="O5" s="15"/>
      <c r="P5" s="16"/>
    </row>
    <row r="6" spans="1:16">
      <c r="A6" s="16"/>
      <c r="B6" s="16"/>
      <c r="C6" s="16"/>
      <c r="D6" s="16"/>
      <c r="E6" s="16"/>
      <c r="F6" s="17"/>
      <c r="G6" s="17"/>
      <c r="H6" s="17"/>
      <c r="I6" s="18"/>
      <c r="J6" s="18"/>
      <c r="K6" s="18"/>
      <c r="L6" s="18"/>
      <c r="M6" s="19"/>
      <c r="N6" s="17"/>
      <c r="O6" s="16"/>
      <c r="P6" s="16"/>
    </row>
    <row r="7" spans="1:16">
      <c r="A7" s="16"/>
      <c r="B7" s="16"/>
      <c r="C7" s="16"/>
      <c r="D7" s="16"/>
      <c r="E7" s="16"/>
      <c r="F7" s="17"/>
      <c r="G7" s="17"/>
      <c r="H7" s="17"/>
      <c r="I7" s="18"/>
      <c r="J7" s="18"/>
      <c r="K7" s="18"/>
      <c r="L7" s="18"/>
      <c r="M7" s="19"/>
      <c r="N7" s="17"/>
      <c r="O7" s="16"/>
      <c r="P7" s="16"/>
    </row>
    <row r="8" spans="1:16">
      <c r="A8" s="16"/>
      <c r="B8" s="16"/>
      <c r="C8" s="16"/>
      <c r="D8" s="16"/>
      <c r="E8" s="16"/>
      <c r="F8" s="17"/>
      <c r="G8" s="17"/>
      <c r="H8" s="17"/>
      <c r="I8" s="18"/>
      <c r="J8" s="18"/>
      <c r="K8" s="18"/>
      <c r="L8" s="18"/>
      <c r="M8" s="19"/>
      <c r="N8" s="17"/>
      <c r="O8" s="16"/>
      <c r="P8" s="16"/>
    </row>
    <row r="9" spans="1:16">
      <c r="A9" s="16"/>
      <c r="B9" s="16"/>
      <c r="C9" s="16"/>
      <c r="D9" s="16"/>
      <c r="E9" s="16"/>
      <c r="F9" s="17"/>
      <c r="G9" s="17"/>
      <c r="H9" s="17"/>
      <c r="I9" s="18"/>
      <c r="J9" s="18"/>
      <c r="K9" s="18"/>
      <c r="L9" s="18"/>
      <c r="M9" s="19"/>
      <c r="N9" s="17"/>
      <c r="O9" s="16"/>
      <c r="P9" s="16"/>
    </row>
    <row r="10" spans="1:16">
      <c r="A10" s="16"/>
      <c r="B10" s="16"/>
      <c r="C10" s="16"/>
      <c r="D10" s="16"/>
      <c r="E10" s="16"/>
      <c r="F10" s="17"/>
      <c r="G10" s="17"/>
      <c r="H10" s="17"/>
      <c r="I10" s="18"/>
      <c r="J10" s="18"/>
      <c r="K10" s="18"/>
      <c r="L10" s="18"/>
      <c r="M10" s="19"/>
      <c r="N10" s="17"/>
      <c r="O10" s="16"/>
      <c r="P10" s="16"/>
    </row>
    <row r="11" spans="1:16">
      <c r="A11" s="16"/>
      <c r="B11" s="16"/>
      <c r="C11" s="16"/>
      <c r="D11" s="16"/>
      <c r="E11" s="16"/>
      <c r="F11" s="17"/>
      <c r="G11" s="17"/>
      <c r="H11" s="17"/>
      <c r="I11" s="18"/>
      <c r="J11" s="18"/>
      <c r="K11" s="18"/>
      <c r="L11" s="18"/>
      <c r="M11" s="19"/>
      <c r="N11" s="17"/>
      <c r="O11" s="16"/>
      <c r="P11" s="16"/>
    </row>
    <row r="12" spans="1:16">
      <c r="A12" s="16"/>
      <c r="B12" s="16"/>
      <c r="C12" s="16"/>
      <c r="D12" s="16"/>
      <c r="E12" s="16"/>
      <c r="F12" s="17"/>
      <c r="G12" s="17"/>
      <c r="H12" s="17"/>
      <c r="I12" s="18"/>
      <c r="J12" s="18"/>
      <c r="K12" s="18"/>
      <c r="L12" s="18"/>
      <c r="M12" s="19"/>
      <c r="N12" s="17"/>
      <c r="O12" s="16"/>
      <c r="P12" s="16"/>
    </row>
    <row r="13" spans="1:16">
      <c r="A13" s="16"/>
      <c r="B13" s="16"/>
      <c r="C13" s="16"/>
      <c r="D13" s="16"/>
      <c r="E13" s="16"/>
      <c r="F13" s="17"/>
      <c r="G13" s="17"/>
      <c r="H13" s="17"/>
      <c r="I13" s="18"/>
      <c r="J13" s="18"/>
      <c r="K13" s="18"/>
      <c r="L13" s="18"/>
      <c r="M13" s="19"/>
      <c r="N13" s="17"/>
      <c r="O13" s="16"/>
      <c r="P13" s="16"/>
    </row>
    <row r="14" spans="1:16">
      <c r="A14" s="16"/>
      <c r="B14" s="16"/>
      <c r="C14" s="16"/>
      <c r="D14" s="16"/>
      <c r="E14" s="16"/>
      <c r="F14" s="17"/>
      <c r="G14" s="17"/>
      <c r="H14" s="17"/>
      <c r="I14" s="18"/>
      <c r="J14" s="18"/>
      <c r="K14" s="18"/>
      <c r="L14" s="18"/>
      <c r="M14" s="19"/>
      <c r="N14" s="17"/>
      <c r="O14" s="16"/>
      <c r="P14" s="16"/>
    </row>
    <row r="15" spans="1:16">
      <c r="A15" s="16"/>
      <c r="B15" s="16"/>
      <c r="C15" s="16"/>
      <c r="D15" s="16"/>
      <c r="E15" s="16"/>
      <c r="F15" s="17"/>
      <c r="G15" s="17"/>
      <c r="H15" s="17"/>
      <c r="I15" s="18"/>
      <c r="J15" s="18"/>
      <c r="K15" s="18"/>
      <c r="L15" s="18"/>
      <c r="M15" s="19"/>
      <c r="N15" s="17"/>
      <c r="O15" s="16"/>
      <c r="P15" s="16"/>
    </row>
    <row r="16" spans="1:16">
      <c r="A16" s="16"/>
      <c r="B16" s="16"/>
      <c r="C16" s="16"/>
      <c r="D16" s="16"/>
      <c r="E16" s="16"/>
      <c r="F16" s="17"/>
      <c r="G16" s="17"/>
      <c r="H16" s="17"/>
      <c r="I16" s="18"/>
      <c r="J16" s="18"/>
      <c r="K16" s="18"/>
      <c r="L16" s="18"/>
      <c r="M16" s="19"/>
      <c r="N16" s="17"/>
      <c r="O16" s="16"/>
      <c r="P16" s="16"/>
    </row>
    <row r="17" spans="1:16">
      <c r="A17" s="16"/>
      <c r="B17" s="16"/>
      <c r="C17" s="16"/>
      <c r="D17" s="16"/>
      <c r="E17" s="16"/>
      <c r="F17" s="17"/>
      <c r="G17" s="17"/>
      <c r="H17" s="17"/>
      <c r="I17" s="18"/>
      <c r="J17" s="18"/>
      <c r="K17" s="18"/>
      <c r="L17" s="18"/>
      <c r="M17" s="19"/>
      <c r="N17" s="17"/>
      <c r="O17" s="16"/>
      <c r="P17" s="16"/>
    </row>
  </sheetData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StephenPNieswiadomy</dc:creator>
  <cp:lastModifiedBy>DonnaJJames</cp:lastModifiedBy>
  <dcterms:created xsi:type="dcterms:W3CDTF">2011-11-02T13:22:43Z</dcterms:created>
  <dcterms:modified xsi:type="dcterms:W3CDTF">2013-01-14T16:41:48Z</dcterms:modified>
</cp:coreProperties>
</file>